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BF814EFD-20EF-43A9-8488-0C6DA0080A0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指摘履歴資料補足1" sheetId="10" r:id="rId3"/>
    <sheet name="業務フロー" sheetId="5" r:id="rId4"/>
    <sheet name="機能概要" sheetId="2" r:id="rId5"/>
    <sheet name="画面共通" sheetId="9" r:id="rId6"/>
    <sheet name="テンプレート" sheetId="7" r:id="rId7"/>
  </sheets>
  <definedNames>
    <definedName name="_xlnm.Print_Area" localSheetId="1">改訂履歴!$A$1:$BK$47</definedName>
    <definedName name="_xlnm.Print_Area" localSheetId="3">業務フロー!$A$1:$BK$61</definedName>
    <definedName name="_xlnm.Print_Area" localSheetId="4">機能概要!$A$1:$BK$223</definedName>
    <definedName name="_xlnm.Print_Area" localSheetId="5">画面共通!$A$1:$BK$138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3">業務フロー!$1:$5</definedName>
    <definedName name="_xlnm.Print_Titles" localSheetId="4">機能概要!$1:$5</definedName>
    <definedName name="_xlnm.Print_Titles" localSheetId="5">画面共通!$1:$5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 a="1"/>
  <c r="AP4" i="7" s="1"/>
  <c r="Z4" i="7"/>
  <c r="H4" i="7"/>
  <c r="K2" i="7"/>
  <c r="A2" i="7"/>
  <c r="W1" i="7"/>
  <c r="AP4" i="9" a="1"/>
  <c r="AP4" i="9" s="1"/>
  <c r="Z4" i="9"/>
  <c r="H4" i="9"/>
  <c r="K2" i="9"/>
  <c r="A2" i="9"/>
  <c r="W1" i="9"/>
  <c r="BM10" i="2"/>
  <c r="BM11" i="2" s="1"/>
  <c r="BM12" i="2" s="1"/>
  <c r="BM13" i="2" s="1"/>
  <c r="BM14" i="2" s="1"/>
  <c r="BM15" i="2" s="1"/>
  <c r="BM16" i="2" s="1"/>
  <c r="BM17" i="2" s="1"/>
  <c r="BM18" i="2" s="1"/>
  <c r="BM19" i="2" s="1"/>
  <c r="BM20" i="2" s="1"/>
  <c r="BM21" i="2" s="1"/>
  <c r="BM22" i="2" s="1"/>
  <c r="BM23" i="2" s="1"/>
  <c r="BM24" i="2" s="1"/>
  <c r="BM25" i="2" s="1"/>
  <c r="BM26" i="2" s="1"/>
  <c r="BM27" i="2" s="1"/>
  <c r="BM28" i="2" s="1"/>
  <c r="BM29" i="2" s="1"/>
  <c r="BM30" i="2" s="1"/>
  <c r="BM31" i="2" s="1"/>
  <c r="BM32" i="2" s="1"/>
  <c r="BM33" i="2" s="1"/>
  <c r="BM34" i="2" s="1"/>
  <c r="BM35" i="2" s="1"/>
  <c r="BM36" i="2" s="1"/>
  <c r="BM37" i="2" s="1"/>
  <c r="BM38" i="2" s="1"/>
  <c r="BM39" i="2" s="1"/>
  <c r="BM40" i="2" s="1"/>
  <c r="BM41" i="2" s="1"/>
  <c r="BM42" i="2" s="1"/>
  <c r="BM43" i="2" s="1"/>
  <c r="BM44" i="2" s="1"/>
  <c r="BM45" i="2" s="1"/>
  <c r="BM46" i="2" s="1"/>
  <c r="BM47" i="2" s="1"/>
  <c r="BM48" i="2" s="1"/>
  <c r="BM49" i="2" s="1"/>
  <c r="BM50" i="2" s="1"/>
  <c r="BM51" i="2" s="1"/>
  <c r="BM52" i="2" s="1"/>
  <c r="BM53" i="2" s="1"/>
  <c r="BM54" i="2" s="1"/>
  <c r="BM55" i="2" s="1"/>
  <c r="BM56" i="2" s="1"/>
  <c r="BM57" i="2" s="1"/>
  <c r="BM58" i="2" s="1"/>
  <c r="BM59" i="2" s="1"/>
  <c r="BM60" i="2" s="1"/>
  <c r="BM61" i="2" s="1"/>
  <c r="BM62" i="2" s="1"/>
  <c r="BM63" i="2" s="1"/>
  <c r="BM64" i="2" s="1"/>
  <c r="BM65" i="2" s="1"/>
  <c r="BM66" i="2" s="1"/>
  <c r="BM67" i="2" s="1"/>
  <c r="BM68" i="2" s="1"/>
  <c r="BM69" i="2" s="1"/>
  <c r="BM70" i="2" s="1"/>
  <c r="BM71" i="2" s="1"/>
  <c r="BM72" i="2" s="1"/>
  <c r="BM73" i="2" s="1"/>
  <c r="BM74" i="2" s="1"/>
  <c r="BM75" i="2" s="1"/>
  <c r="BM76" i="2" s="1"/>
  <c r="BM77" i="2" s="1"/>
  <c r="BM78" i="2" s="1"/>
  <c r="BM79" i="2" s="1"/>
  <c r="BM80" i="2" s="1"/>
  <c r="BM81" i="2" s="1"/>
  <c r="BM82" i="2" s="1"/>
  <c r="BM83" i="2" s="1"/>
  <c r="BM84" i="2" s="1"/>
  <c r="BM85" i="2" s="1"/>
  <c r="BM86" i="2" s="1"/>
  <c r="BM87" i="2" s="1"/>
  <c r="BM88" i="2" s="1"/>
  <c r="BM89" i="2" s="1"/>
  <c r="BM90" i="2" s="1"/>
  <c r="BM91" i="2" s="1"/>
  <c r="BM92" i="2" s="1"/>
  <c r="BM93" i="2" s="1"/>
  <c r="BM94" i="2" s="1"/>
  <c r="BM95" i="2" s="1"/>
  <c r="BM96" i="2" s="1"/>
  <c r="BM97" i="2" s="1"/>
  <c r="BM98" i="2" s="1"/>
  <c r="BM99" i="2" s="1"/>
  <c r="BM100" i="2" s="1"/>
  <c r="BM101" i="2" s="1"/>
  <c r="BM102" i="2" s="1"/>
  <c r="BM103" i="2" s="1"/>
  <c r="BM104" i="2" s="1"/>
  <c r="BM105" i="2" s="1"/>
  <c r="BM106" i="2" s="1"/>
  <c r="BM107" i="2" s="1"/>
  <c r="BM108" i="2" s="1"/>
  <c r="BM109" i="2" s="1"/>
  <c r="BM110" i="2" s="1"/>
  <c r="BM111" i="2" s="1"/>
  <c r="BM112" i="2" s="1"/>
  <c r="BM113" i="2" s="1"/>
  <c r="BM114" i="2" s="1"/>
  <c r="BM115" i="2" s="1"/>
  <c r="BM116" i="2" s="1"/>
  <c r="BM117" i="2" s="1"/>
  <c r="BM118" i="2" s="1"/>
  <c r="BM119" i="2" s="1"/>
  <c r="BM120" i="2" s="1"/>
  <c r="BM121" i="2" s="1"/>
  <c r="BM122" i="2" s="1"/>
  <c r="BM123" i="2" s="1"/>
  <c r="BM124" i="2" s="1"/>
  <c r="BM125" i="2" s="1"/>
  <c r="BM126" i="2" s="1"/>
  <c r="BM127" i="2" s="1"/>
  <c r="BM128" i="2" s="1"/>
  <c r="BM129" i="2" s="1"/>
  <c r="BM130" i="2" s="1"/>
  <c r="BM131" i="2" s="1"/>
  <c r="BM132" i="2" s="1"/>
  <c r="BM133" i="2" s="1"/>
  <c r="BM134" i="2" s="1"/>
  <c r="BM135" i="2" s="1"/>
  <c r="BM136" i="2" s="1"/>
  <c r="BM137" i="2" s="1"/>
  <c r="BM138" i="2" s="1"/>
  <c r="BM139" i="2" s="1"/>
  <c r="BM140" i="2" s="1"/>
  <c r="BM141" i="2" s="1"/>
  <c r="BM142" i="2" s="1"/>
  <c r="BM143" i="2" s="1"/>
  <c r="BM144" i="2" s="1"/>
  <c r="BM145" i="2" s="1"/>
  <c r="BM146" i="2" s="1"/>
  <c r="BM147" i="2" s="1"/>
  <c r="BM148" i="2" s="1"/>
  <c r="BM149" i="2" s="1"/>
  <c r="BM150" i="2" s="1"/>
  <c r="BM151" i="2" s="1"/>
  <c r="BM152" i="2" s="1"/>
  <c r="BM153" i="2" s="1"/>
  <c r="BM154" i="2" s="1"/>
  <c r="BM155" i="2" s="1"/>
  <c r="BM156" i="2" s="1"/>
  <c r="BM157" i="2" s="1"/>
  <c r="BM158" i="2" s="1"/>
  <c r="BM159" i="2" s="1"/>
  <c r="BM160" i="2" s="1"/>
  <c r="BM161" i="2" s="1"/>
  <c r="BM162" i="2" s="1"/>
  <c r="BM163" i="2" s="1"/>
  <c r="BM164" i="2" s="1"/>
  <c r="BM165" i="2" s="1"/>
  <c r="BM166" i="2" s="1"/>
  <c r="BM167" i="2" s="1"/>
  <c r="BM168" i="2" s="1"/>
  <c r="BM169" i="2" s="1"/>
  <c r="BM170" i="2" s="1"/>
  <c r="BM171" i="2" s="1"/>
  <c r="BM172" i="2" s="1"/>
  <c r="BM173" i="2" s="1"/>
  <c r="BM174" i="2" s="1"/>
  <c r="BM175" i="2" s="1"/>
  <c r="BM176" i="2" s="1"/>
  <c r="BM177" i="2" s="1"/>
  <c r="BM178" i="2" s="1"/>
  <c r="BM179" i="2" s="1"/>
  <c r="BM180" i="2" s="1"/>
  <c r="BM181" i="2" s="1"/>
  <c r="BM182" i="2" s="1"/>
  <c r="BM183" i="2" s="1"/>
  <c r="BM184" i="2" s="1"/>
  <c r="BM185" i="2" s="1"/>
  <c r="BM186" i="2" s="1"/>
  <c r="BM187" i="2" s="1"/>
  <c r="BM188" i="2" s="1"/>
  <c r="BM189" i="2" s="1"/>
  <c r="BM190" i="2" s="1"/>
  <c r="BM191" i="2" s="1"/>
  <c r="BM192" i="2" s="1"/>
  <c r="BM193" i="2" s="1"/>
  <c r="BM194" i="2" s="1"/>
  <c r="BM195" i="2" s="1"/>
  <c r="BM196" i="2" s="1"/>
  <c r="BM197" i="2" s="1"/>
  <c r="BM198" i="2" s="1"/>
  <c r="BM199" i="2" s="1"/>
  <c r="BM200" i="2" s="1"/>
  <c r="BM201" i="2" s="1"/>
  <c r="BM202" i="2" s="1"/>
  <c r="BM203" i="2" s="1"/>
  <c r="BM204" i="2" s="1"/>
  <c r="BM205" i="2" s="1"/>
  <c r="BM206" i="2" s="1"/>
  <c r="BM207" i="2" s="1"/>
  <c r="BM208" i="2" s="1"/>
  <c r="BM209" i="2" s="1"/>
  <c r="BM210" i="2" s="1"/>
  <c r="BM211" i="2" s="1"/>
  <c r="BM212" i="2" s="1"/>
  <c r="BM213" i="2" s="1"/>
  <c r="BM214" i="2" s="1"/>
  <c r="BM215" i="2" s="1"/>
  <c r="BM216" i="2" s="1"/>
  <c r="BM217" i="2" s="1"/>
  <c r="BM218" i="2" s="1"/>
  <c r="BM219" i="2" s="1"/>
  <c r="BM220" i="2" s="1"/>
  <c r="BM221" i="2" s="1"/>
  <c r="BM222" i="2" s="1"/>
  <c r="BM223" i="2" s="1"/>
  <c r="BM224" i="2" s="1"/>
  <c r="BM9" i="2"/>
  <c r="BM8" i="2"/>
  <c r="AP4" i="2" a="1"/>
  <c r="AP4" i="2" s="1"/>
  <c r="Z4" i="2"/>
  <c r="H4" i="2"/>
  <c r="BC2" i="2"/>
  <c r="K2" i="2"/>
  <c r="A2" i="2"/>
  <c r="W1" i="2"/>
  <c r="AP4" i="5" a="1"/>
  <c r="AP4" i="5" s="1"/>
  <c r="Z4" i="5"/>
  <c r="H4" i="5"/>
  <c r="BC2" i="5"/>
  <c r="K2" i="5"/>
  <c r="A2" i="5"/>
  <c r="W1" i="5"/>
  <c r="AP4" i="3" a="1"/>
  <c r="AP4" i="3" s="1"/>
  <c r="Z4" i="3"/>
  <c r="H4" i="3"/>
  <c r="BC2" i="3"/>
  <c r="K2" i="3"/>
  <c r="A2" i="3"/>
  <c r="W1" i="3"/>
  <c r="L24" i="4"/>
  <c r="AP4" i="4" a="1"/>
  <c r="AP4" i="4" s="1"/>
  <c r="BH2" i="4"/>
  <c r="BH2" i="7" s="1"/>
  <c r="BC2" i="4"/>
  <c r="BC2" i="7" s="1"/>
  <c r="AY2" i="4"/>
  <c r="AT2" i="4"/>
  <c r="AT2" i="2" s="1"/>
  <c r="AP2" i="4"/>
  <c r="AP2" i="7" s="1"/>
  <c r="AY2" i="2" l="1"/>
  <c r="AY2" i="5"/>
  <c r="AY2" i="3"/>
  <c r="AY2" i="7"/>
  <c r="AY2" i="9"/>
  <c r="AT2" i="9"/>
  <c r="AT2" i="7"/>
  <c r="AP2" i="3"/>
  <c r="BH2" i="3"/>
  <c r="AP2" i="5"/>
  <c r="BH2" i="5"/>
  <c r="AP2" i="2"/>
  <c r="BH2" i="2"/>
  <c r="BC2" i="9"/>
  <c r="AT2" i="3"/>
  <c r="AT2" i="5"/>
  <c r="AP2" i="9"/>
  <c r="BH2" i="9"/>
</calcChain>
</file>

<file path=xl/sharedStrings.xml><?xml version="1.0" encoding="utf-8"?>
<sst xmlns="http://schemas.openxmlformats.org/spreadsheetml/2006/main" count="257" uniqueCount="220">
  <si>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</si>
  <si>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</si>
  <si>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</si>
  <si>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</si>
  <si>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</si>
  <si>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</si>
  <si>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</si>
  <si>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</si>
  <si>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</si>
  <si>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24"/>
        <color rgb="FF000000"/>
        <rFont val="Meiryo UI"/>
        <family val="3"/>
      </rPr>
      <t>現金専用セルフPOS_基本設計書</t>
    </r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</si>
  <si>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</si>
  <si>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</si>
  <si>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</si>
  <si>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3"/>
      </rPr>
      <t>ignica POS</t>
    </r>
  </si>
  <si>
    <r>
      <rPr>
        <sz val="11"/>
        <color rgb="FF000000"/>
        <rFont val="Meiryo UI"/>
        <family val="3"/>
      </rPr>
      <t>POSサーバー</t>
    </r>
  </si>
  <si>
    <r>
      <rPr>
        <sz val="18"/>
        <color rgb="FF000000"/>
        <rFont val="Meiryo UI"/>
        <family val="3"/>
      </rPr>
      <t>基本設計書</t>
    </r>
  </si>
  <si>
    <r>
      <rPr>
        <sz val="11"/>
        <color rgb="FF000000"/>
        <rFont val="Meiryo UI"/>
        <family val="3"/>
      </rPr>
      <t>概要設計</t>
    </r>
  </si>
  <si>
    <r>
      <rPr>
        <sz val="11"/>
        <color rgb="FF000000"/>
        <rFont val="Meiryo UI"/>
        <family val="3"/>
      </rPr>
      <t xml:space="preserve">1. </t>
    </r>
    <r>
      <rPr>
        <sz val="11"/>
        <color rgb="FF000000"/>
        <rFont val="Meiryo UI"/>
        <family val="3"/>
      </rPr>
      <t>フォント</t>
    </r>
  </si>
  <si>
    <r>
      <rPr>
        <sz val="11"/>
        <color rgb="FF000000"/>
        <rFont val="Meiryo UI"/>
        <family val="3"/>
      </rPr>
      <t xml:space="preserve">2. </t>
    </r>
    <r>
      <rPr>
        <sz val="11"/>
        <color rgb="FF000000"/>
        <rFont val="Meiryo UI"/>
        <family val="3"/>
      </rPr>
      <t>共通アクション：</t>
    </r>
  </si>
  <si>
    <r>
      <rPr>
        <sz val="11"/>
        <color rgb="FF000000"/>
        <rFont val="Meiryo UI"/>
        <family val="3"/>
      </rPr>
      <t>・ヘッダーのxボタンをクリックするか、xボタンをタッチしてブラウザのタブを閉じるか、xボタンをタッチしてブラウザを閉じるか、右クリックでブラウザを閉じると、</t>
    </r>
  </si>
  <si>
    <r>
      <rPr>
        <sz val="11"/>
        <color rgb="FF000000"/>
        <rFont val="Meiryo UI"/>
        <family val="3"/>
      </rPr>
      <t>・保存確認モーダル、一時削除確認モーダル、保存成功モーダルを削除する。</t>
    </r>
  </si>
  <si>
    <r>
      <rPr>
        <sz val="11"/>
        <color rgb="FF000000"/>
        <rFont val="Meiryo UI"/>
        <family val="3"/>
      </rPr>
      <t>・削除ボタンをタッチしてDB(サーバー)の削除を行う場合、削除確認モーダルが必要となる。</t>
    </r>
    <r>
      <rPr>
        <sz val="11"/>
        <color rgb="FF000000"/>
        <rFont val="Meiryo UI"/>
        <family val="3"/>
      </rPr>
      <t>「はい」ボタンをタッチすると、削除API呼出を行う。</t>
    </r>
  </si>
  <si>
    <r>
      <rPr>
        <strike/>
        <sz val="11"/>
        <color rgb="FFCC00CC"/>
        <rFont val="Meiryo UI"/>
        <family val="3"/>
        <charset val="128"/>
      </rPr>
      <t>・「クリア」ボタンをタッチすると、各画面の通知モーダルを削除する。</t>
    </r>
  </si>
  <si>
    <r>
      <rPr>
        <sz val="11"/>
        <color rgb="FF000000"/>
        <rFont val="Meiryo UI"/>
        <family val="3"/>
      </rPr>
      <t>・エリア部分を削除し、店舗一覧選択のみを残す。</t>
    </r>
  </si>
  <si>
    <r>
      <rPr>
        <sz val="11"/>
        <color rgb="FF000000"/>
        <rFont val="Meiryo UI"/>
        <family val="3"/>
      </rPr>
      <t>■マスタ更新共通</t>
    </r>
  </si>
  <si>
    <r>
      <rPr>
        <sz val="11"/>
        <color rgb="FF000000"/>
        <rFont val="Meiryo UI"/>
        <family val="3"/>
      </rPr>
      <t>・印刷時に営業日が変更された場合、営業日が変更された勧告モーダルを表示し、印刷すると変更された日付ではなく、古いデータを印刷する。</t>
    </r>
  </si>
  <si>
    <r>
      <rPr>
        <sz val="11"/>
        <color rgb="FF000000"/>
        <rFont val="Meiryo UI"/>
        <family val="3"/>
      </rPr>
      <t>・検索時間が長すぎる場合、検索を続行するかの表示モーダルが必要である。</t>
    </r>
  </si>
  <si>
    <r>
      <rPr>
        <sz val="11"/>
        <color rgb="FF000000"/>
        <rFont val="Meiryo UI"/>
        <family val="3"/>
      </rPr>
      <t>CM0001_共通ヘッダー</t>
    </r>
  </si>
  <si>
    <r>
      <rPr>
        <sz val="11"/>
        <color rgb="FF000000"/>
        <rFont val="Meiryo UI"/>
        <family val="3"/>
      </rPr>
      <t>CM0002_店舗選択共通</t>
    </r>
  </si>
  <si>
    <r>
      <rPr>
        <sz val="11"/>
        <color rgb="FF000000"/>
        <rFont val="Meiryo UI"/>
        <family val="3"/>
      </rPr>
      <t>CM0003_バリデーションチェックの共通、成功およびエラーのAPI呼出処理の共通</t>
    </r>
  </si>
  <si>
    <r>
      <rPr>
        <sz val="11"/>
        <color rgb="FF000000"/>
        <rFont val="Meiryo UI"/>
        <family val="3"/>
      </rPr>
      <t>1つの店舗選択可能</t>
    </r>
  </si>
  <si>
    <r>
      <rPr>
        <sz val="11"/>
        <color rgb="FF000000"/>
        <rFont val="Meiryo UI"/>
        <family val="3"/>
      </rPr>
      <t>複数の店舗選択可能</t>
    </r>
  </si>
  <si>
    <r>
      <rPr>
        <sz val="11"/>
        <color rgb="FF000000"/>
        <rFont val="Meiryo UI"/>
        <family val="3"/>
      </rPr>
      <t>01.商品管理</t>
    </r>
  </si>
  <si>
    <r>
      <rPr>
        <sz val="11"/>
        <color rgb="FF000000"/>
        <rFont val="Meiryo UI"/>
        <family val="3"/>
      </rPr>
      <t>店舗一覧表示フロー分類表</t>
    </r>
  </si>
  <si>
    <r>
      <rPr>
        <sz val="11"/>
        <color rgb="FF000000"/>
        <rFont val="Meiryo UI"/>
        <family val="3"/>
      </rPr>
      <t>10_プロモーションメンテ</t>
    </r>
  </si>
  <si>
    <r>
      <rPr>
        <sz val="11"/>
        <color rgb="FF000000"/>
        <rFont val="Meiryo UI"/>
        <family val="3"/>
      </rPr>
      <t>02_緊急売価変更</t>
    </r>
  </si>
  <si>
    <r>
      <rPr>
        <sz val="11"/>
        <color rgb="FF000000"/>
        <rFont val="Meiryo UI"/>
        <family val="3"/>
      </rPr>
      <t>03_店舗特売入力</t>
    </r>
  </si>
  <si>
    <r>
      <rPr>
        <sz val="11"/>
        <color rgb="FF000000"/>
        <rFont val="Meiryo UI"/>
        <family val="3"/>
      </rPr>
      <t>04_商品採用店舗確認</t>
    </r>
  </si>
  <si>
    <r>
      <rPr>
        <sz val="11"/>
        <color rgb="FF000000"/>
        <rFont val="Meiryo UI"/>
        <family val="3"/>
      </rPr>
      <t>05_セットマッチ設定</t>
    </r>
  </si>
  <si>
    <r>
      <rPr>
        <sz val="11"/>
        <color rgb="FF000000"/>
        <rFont val="Meiryo UI"/>
        <family val="3"/>
      </rPr>
      <t>06_1, 7, 8 定番変更</t>
    </r>
  </si>
  <si>
    <r>
      <rPr>
        <sz val="11"/>
        <color rgb="FF000000"/>
        <rFont val="Meiryo UI"/>
        <family val="3"/>
      </rPr>
      <t>11_部門別売上速報/日報</t>
    </r>
  </si>
  <si>
    <r>
      <rPr>
        <sz val="11"/>
        <color rgb="FF000000"/>
        <rFont val="Meiryo UI"/>
        <family val="3"/>
      </rPr>
      <t>12_単品速報/日報</t>
    </r>
  </si>
  <si>
    <r>
      <rPr>
        <b/>
        <sz val="11"/>
        <color rgb="FF000000"/>
        <rFont val="Meiryo UI"/>
        <family val="3"/>
      </rPr>
      <t>14_テナント売上速報・日報</t>
    </r>
  </si>
  <si>
    <r>
      <rPr>
        <sz val="11"/>
        <color rgb="FF000000"/>
        <rFont val="Meiryo UI"/>
        <family val="3"/>
      </rPr>
      <t>19_売価変更勧告リスト</t>
    </r>
  </si>
  <si>
    <r>
      <rPr>
        <sz val="11"/>
        <color rgb="FF000000"/>
        <rFont val="Meiryo UI"/>
        <family val="3"/>
      </rPr>
      <t>20_レジ精算入力</t>
    </r>
  </si>
  <si>
    <r>
      <rPr>
        <b/>
        <sz val="11"/>
        <color rgb="FF000000"/>
        <rFont val="Meiryo UI"/>
        <family val="3"/>
      </rPr>
      <t>21_ジャーナル検索</t>
    </r>
  </si>
  <si>
    <r>
      <rPr>
        <sz val="11"/>
        <color rgb="FF000000"/>
        <rFont val="Meiryo UI"/>
        <family val="3"/>
      </rPr>
      <t>25_取扱設定マスタ設定(KSM)</t>
    </r>
  </si>
  <si>
    <r>
      <rPr>
        <sz val="11"/>
        <color rgb="FF000000"/>
        <rFont val="Meiryo UI"/>
        <family val="3"/>
      </rPr>
      <t>26 取扱設定マスタ設定(Welcia)</t>
    </r>
  </si>
  <si>
    <r>
      <rPr>
        <sz val="11"/>
        <color rgb="FF000000"/>
        <rFont val="Meiryo UI"/>
        <family val="3"/>
      </rPr>
      <t>28 レシートクーポン設定</t>
    </r>
  </si>
  <si>
    <r>
      <rPr>
        <sz val="11"/>
        <color rgb="FF000000"/>
        <rFont val="Meiryo UI"/>
        <family val="3"/>
      </rPr>
      <t>31_レジ別速報/日報</t>
    </r>
  </si>
  <si>
    <r>
      <rPr>
        <sz val="11"/>
        <color rgb="FF000000"/>
        <rFont val="Meiryo UI"/>
        <family val="3"/>
      </rPr>
      <t>40_従業員設定</t>
    </r>
  </si>
  <si>
    <r>
      <rPr>
        <sz val="11"/>
        <color rgb="FF000000"/>
        <rFont val="Meiryo UI"/>
        <family val="3"/>
      </rPr>
      <t>ページネーション</t>
    </r>
  </si>
  <si>
    <r>
      <rPr>
        <sz val="11"/>
        <color rgb="FF000000"/>
        <rFont val="Meiryo UI"/>
        <family val="3"/>
      </rPr>
      <t>・最大100ページまで表示する。</t>
    </r>
  </si>
  <si>
    <r>
      <rPr>
        <sz val="11"/>
        <color rgb="FF000000"/>
        <rFont val="Meiryo UI"/>
        <family val="3"/>
      </rPr>
      <t>・商品情報をすべて入力しなくてもスイッチ可能</t>
    </r>
    <r>
      <rPr>
        <sz val="11"/>
        <color rgb="FF000000"/>
        <rFont val="Meiryo UI"/>
        <family val="3"/>
      </rPr>
      <t xml:space="preserve"> </t>
    </r>
  </si>
  <si>
    <r>
      <rPr>
        <sz val="11"/>
        <color rgb="FF000000"/>
        <rFont val="Meiryo UI"/>
        <family val="3"/>
      </rPr>
      <t>・売価は最大6文字まで入力可能。</t>
    </r>
  </si>
  <si>
    <r>
      <rPr>
        <sz val="11"/>
        <color rgb="FF000000"/>
        <rFont val="Meiryo UI"/>
        <family val="3"/>
      </rPr>
      <t>　</t>
    </r>
    <r>
      <rPr>
        <sz val="11"/>
        <color rgb="FF000000"/>
        <rFont val="Meiryo UI"/>
        <family val="3"/>
      </rPr>
      <t>マスタに存在していない場合：【登録】</t>
    </r>
  </si>
  <si>
    <r>
      <rPr>
        <sz val="11"/>
        <color rgb="FF000000"/>
        <rFont val="Meiryo UI"/>
        <family val="3"/>
      </rPr>
      <t>　</t>
    </r>
    <r>
      <rPr>
        <sz val="11"/>
        <color rgb="FF000000"/>
        <rFont val="Meiryo UI"/>
        <family val="3"/>
      </rPr>
      <t>マスタに存在している場合：【更新】</t>
    </r>
  </si>
  <si>
    <r>
      <rPr>
        <sz val="11"/>
        <color rgb="FF000000"/>
        <rFont val="Meiryo UI"/>
        <family val="3"/>
      </rPr>
      <t>登録</t>
    </r>
  </si>
  <si>
    <r>
      <rPr>
        <sz val="11"/>
        <color rgb="FF000000"/>
        <rFont val="Meiryo UI"/>
        <family val="3"/>
      </rPr>
      <t>情報入力</t>
    </r>
  </si>
  <si>
    <r>
      <rPr>
        <sz val="11"/>
        <color rgb="FF000000"/>
        <rFont val="Meiryo UI"/>
        <family val="3"/>
      </rPr>
      <t>・売価が「0」である場合、エラーになる。ただし、マスタ簡易設定画面の場合、「0」入力許可。</t>
    </r>
  </si>
  <si>
    <r>
      <rPr>
        <sz val="11"/>
        <color rgb="FF000000"/>
        <rFont val="Meiryo UI"/>
        <family val="3"/>
      </rPr>
      <t>・商品情報をすべて入力しなくてもスイッチ可能。 (これは複数のレコードを入力できる画面に適用される。 例: フロー10, 02など)</t>
    </r>
  </si>
  <si>
    <r>
      <rPr>
        <sz val="11"/>
        <color rgb="FF000000"/>
        <rFont val="Meiryo UI"/>
        <family val="3"/>
      </rPr>
      <t>・DB更新時にマスタをPOSとSCに連携する。</t>
    </r>
  </si>
  <si>
    <r>
      <rPr>
        <sz val="11"/>
        <color rgb="FF000000"/>
        <rFont val="Meiryo UI"/>
        <family val="3"/>
      </rPr>
      <t>処理ロジック：</t>
    </r>
  </si>
  <si>
    <r>
      <rPr>
        <sz val="11"/>
        <color rgb="FF000000"/>
        <rFont val="Meiryo UI"/>
        <family val="3"/>
      </rPr>
      <t>印刷時に営業日が変更された場合、営業日が変更された勧告モーダルを表示し、印刷すると変更された日付ではなく、古いデータを印刷する。</t>
    </r>
  </si>
  <si>
    <r>
      <rPr>
        <sz val="11"/>
        <color rgb="FF000000"/>
        <rFont val="Meiryo UI"/>
        <family val="3"/>
      </rPr>
      <t>インタフェース</t>
    </r>
  </si>
  <si>
    <r>
      <rPr>
        <sz val="11"/>
        <color rgb="FF000000"/>
        <rFont val="Meiryo UI"/>
        <family val="3"/>
      </rPr>
      <t>・画面に合うように文字のサイズを変更し、ボタンのサイズを大きくし、見やすくする。(この件に関してはチームが認識している)</t>
    </r>
  </si>
  <si>
    <r>
      <rPr>
        <sz val="11"/>
        <color rgb="FF000000"/>
        <rFont val="Meiryo UI"/>
        <family val="3"/>
      </rPr>
      <t>・PLU：共通13文字</t>
    </r>
  </si>
  <si>
    <r>
      <rPr>
        <sz val="11"/>
        <color rgb="FF000000"/>
        <rFont val="Meiryo UI"/>
        <family val="3"/>
      </rPr>
      <t>・プロモーションコード: 最大5桁。</t>
    </r>
    <r>
      <rPr>
        <sz val="11"/>
        <color rgb="FF000000"/>
        <rFont val="Meiryo UI"/>
        <family val="3"/>
      </rPr>
      <t>店舗スタッフは99から始まるプロモーションコードのみを作成できる。</t>
    </r>
  </si>
  <si>
    <r>
      <rPr>
        <sz val="11"/>
        <color rgb="FF000000"/>
        <rFont val="Meiryo UI"/>
        <family val="3"/>
      </rPr>
      <t>・日報を使用する箇所では、デフォルトで前日を選択する（現在、当日をデフォルトで選択している）。</t>
    </r>
  </si>
  <si>
    <r>
      <rPr>
        <sz val="11"/>
        <color rgb="FF000000"/>
        <rFont val="Meiryo UI"/>
        <family val="3"/>
      </rPr>
      <t>・レイアウトを清原氏の提案に従って変更する。項目が多い画面（特売売価設定画面、ミックスマッチ設定画面）で見づらくないか確認する。</t>
    </r>
  </si>
  <si>
    <r>
      <rPr>
        <sz val="11"/>
        <color rgb="FF000000"/>
        <rFont val="Meiryo UI"/>
        <family val="3"/>
      </rPr>
      <t>清原氏関連</t>
    </r>
  </si>
  <si>
    <r>
      <rPr>
        <b/>
        <sz val="11"/>
        <color rgb="FF000000"/>
        <rFont val="Meiryo UI"/>
        <family val="3"/>
      </rPr>
      <t>店舗検索時には前回検索内容を表示する。全件表示で１店舗のみ選択した場合に指定した店舗表示</t>
    </r>
  </si>
  <si>
    <r>
      <rPr>
        <sz val="11"/>
        <color rgb="FF000000"/>
        <rFont val="Meiryo UI"/>
        <family val="3"/>
      </rPr>
      <t>選択時【佐和店】</t>
    </r>
  </si>
  <si>
    <r>
      <rPr>
        <sz val="11"/>
        <color rgb="FF000000"/>
        <rFont val="Meiryo UI"/>
        <family val="3"/>
      </rPr>
      <t>再選択時【佐和店】</t>
    </r>
  </si>
  <si>
    <r>
      <rPr>
        <sz val="11"/>
        <color rgb="FF000000"/>
        <rFont val="Meiryo UI"/>
        <family val="3"/>
      </rPr>
      <t>NG</t>
    </r>
  </si>
  <si>
    <r>
      <rPr>
        <sz val="11"/>
        <color rgb="FFC55A11"/>
        <rFont val="Meiryo UI"/>
        <family val="3"/>
      </rPr>
      <t>66_券マスタ設定の場合、店舗が選択されておらず、システム権限を持つユーザーのみがアクセスできる。</t>
    </r>
  </si>
  <si>
    <r>
      <rPr>
        <sz val="11"/>
        <color rgb="FF000000"/>
        <rFont val="Meiryo UI"/>
        <family val="3"/>
      </rPr>
      <t>・表示行は現在の画面と合わさずに可能な限り多くする。</t>
    </r>
  </si>
  <si>
    <r>
      <rPr>
        <sz val="11"/>
        <color rgb="FF000000"/>
        <rFont val="Meiryo UI"/>
        <family val="3"/>
      </rPr>
      <t>・商品コード、PLU入力がある場合、【PLUコード切替】ボタンを付ける。タッチすると、【商品コード切替】ボタンに切り替える。※初期値はPLU入力とする。</t>
    </r>
  </si>
  <si>
    <r>
      <rPr>
        <sz val="11"/>
        <color rgb="FF000000"/>
        <rFont val="Meiryo UI"/>
        <family val="3"/>
      </rPr>
      <t>・数値項目は数値以外入力不可とし、入力時のチェックは行わない。</t>
    </r>
  </si>
  <si>
    <r>
      <rPr>
        <sz val="11"/>
        <color rgb="FF000000"/>
        <rFont val="Meiryo UI"/>
        <family val="3"/>
      </rPr>
      <t>・クリアボタンは初期画面より情報が入力された場合、新規、修正、検索ボタンがタッチされた時に有効になる。</t>
    </r>
  </si>
  <si>
    <r>
      <rPr>
        <sz val="11"/>
        <color rgb="FF000000"/>
        <rFont val="Meiryo UI"/>
        <family val="3"/>
      </rPr>
      <t>・前頁、次頁、先頭行、終了行は押下するにあたいする画面情報がある場合のみ有効。 (前頁、先頭行：1ページ目ではない場合、有効になる。次頁、終了行：最後のページではない場合、有効になる)</t>
    </r>
  </si>
  <si>
    <r>
      <rPr>
        <sz val="11"/>
        <color rgb="FF000000"/>
        <rFont val="Meiryo UI"/>
        <family val="3"/>
      </rPr>
      <t>・確定ボタンが有効で画面終了ボタンがタッチされた時にメッセージ【編集情報が失われますがよろしいですか？】を表示する。</t>
    </r>
  </si>
  <si>
    <r>
      <rPr>
        <sz val="11"/>
        <color rgb="FF0000FF"/>
        <rFont val="Meiryo UI"/>
        <family val="3"/>
        <charset val="128"/>
      </rPr>
      <t>・S&amp;G連携データを出力可能とする。</t>
    </r>
  </si>
  <si>
    <r>
      <rPr>
        <sz val="11"/>
        <color rgb="FF000000"/>
        <rFont val="Meiryo UI"/>
        <family val="3"/>
      </rPr>
      <t>・サイズ：</t>
    </r>
  </si>
  <si>
    <r>
      <rPr>
        <sz val="11"/>
        <color rgb="FF000000"/>
        <rFont val="Meiryo UI"/>
        <family val="3"/>
      </rPr>
      <t>標準フォントサイズ：</t>
    </r>
    <r>
      <rPr>
        <sz val="11"/>
        <color rgb="FF000000"/>
        <rFont val="Meiryo UI"/>
        <family val="3"/>
      </rPr>
      <t>24</t>
    </r>
  </si>
  <si>
    <r>
      <rPr>
        <sz val="11"/>
        <color rgb="FF000000"/>
        <rFont val="Meiryo UI"/>
        <family val="3"/>
      </rPr>
      <t>・システムの共通時刻形式: 「hh:mm」。</t>
    </r>
    <r>
      <rPr>
        <sz val="11"/>
        <color rgb="FF000000"/>
        <rFont val="Meiryo UI"/>
        <family val="3"/>
      </rPr>
      <t>hhmm形式での入力可能とする。その後、「hh:mm」形式に変換する。</t>
    </r>
  </si>
  <si>
    <r>
      <rPr>
        <sz val="11"/>
        <color rgb="FF000000"/>
        <rFont val="Meiryo UI"/>
        <family val="3"/>
      </rPr>
      <t>・テキストが表示ビューで設定された最大長を超える場合、…を表示する。</t>
    </r>
    <r>
      <rPr>
        <sz val="11"/>
        <color rgb="FF000000"/>
        <rFont val="Meiryo UI"/>
        <family val="3"/>
      </rPr>
      <t>ホバーすると、完全なツールチップデータを表示する。</t>
    </r>
  </si>
  <si>
    <r>
      <rPr>
        <sz val="11"/>
        <color rgb="FF000000"/>
        <rFont val="Meiryo UI"/>
        <family val="3"/>
      </rPr>
      <t>・一覧表示画面に対しては：</t>
    </r>
  </si>
  <si>
    <r>
      <rPr>
        <sz val="11"/>
        <color rgb="FF000000"/>
        <rFont val="Meiryo UI"/>
        <family val="3"/>
      </rPr>
      <t>+新規作成されたアイテム：</t>
    </r>
    <r>
      <rPr>
        <sz val="11"/>
        <color rgb="FF000000"/>
        <rFont val="Meiryo UI"/>
        <family val="3"/>
      </rPr>
      <t>全ての新規情報を赤色で表示する。</t>
    </r>
  </si>
  <si>
    <r>
      <rPr>
        <sz val="11"/>
        <color rgb="FFFF0000"/>
        <rFont val="Meiryo UI"/>
        <family val="3"/>
        <charset val="128"/>
      </rPr>
      <t>古い情報</t>
    </r>
  </si>
  <si>
    <r>
      <rPr>
        <sz val="11"/>
        <color rgb="FFFF0000"/>
        <rFont val="Meiryo UI"/>
        <family val="3"/>
        <charset val="128"/>
      </rPr>
      <t>新しい情報</t>
    </r>
  </si>
  <si>
    <r>
      <rPr>
        <sz val="11"/>
        <color rgb="FF000000"/>
        <rFont val="Meiryo UI"/>
        <family val="3"/>
      </rPr>
      <t>+更新されたアイテム：編集された情報を以下の形式で表示する。</t>
    </r>
  </si>
  <si>
    <r>
      <rPr>
        <sz val="11"/>
        <color rgb="FF000000"/>
        <rFont val="Meiryo UI"/>
        <family val="3"/>
      </rPr>
      <t>+削除されたアイテム：</t>
    </r>
    <r>
      <rPr>
        <sz val="11"/>
        <color rgb="FF000000"/>
        <rFont val="Meiryo UI"/>
        <family val="3"/>
      </rPr>
      <t>削除された行を赤い取り消し線で表示する。</t>
    </r>
  </si>
  <si>
    <r>
      <rPr>
        <sz val="11"/>
        <color rgb="FF000000"/>
        <rFont val="Meiryo UI"/>
        <family val="3"/>
      </rPr>
      <t>CM0004_ページング共通</t>
    </r>
  </si>
  <si>
    <r>
      <rPr>
        <sz val="11"/>
        <color rgb="FF000000"/>
        <rFont val="Meiryo UI"/>
        <family val="3"/>
      </rPr>
      <t>・フォントサイズ：</t>
    </r>
    <r>
      <rPr>
        <sz val="11"/>
        <color rgb="FF000000"/>
        <rFont val="Meiryo UI"/>
        <family val="3"/>
      </rPr>
      <t>Noto Sans CJK JP</t>
    </r>
  </si>
  <si>
    <r>
      <rPr>
        <sz val="11"/>
        <color rgb="FF000000"/>
        <rFont val="Meiryo UI"/>
        <family val="3"/>
      </rPr>
      <t>ヘッダーフォントサイズ：</t>
    </r>
    <r>
      <rPr>
        <sz val="11"/>
        <color rgb="FF000000"/>
        <rFont val="Meiryo UI"/>
        <family val="3"/>
      </rPr>
      <t>36</t>
    </r>
  </si>
  <si>
    <r>
      <rPr>
        <sz val="11"/>
        <color rgb="FF000000"/>
        <rFont val="Meiryo UI"/>
        <family val="3"/>
      </rPr>
      <t>=&gt; 画面を終了すると、変更されたデータが保存していない場合は、閉じる確認モーダルを表示する。</t>
    </r>
  </si>
  <si>
    <r>
      <rPr>
        <sz val="11"/>
        <color rgb="FF000000"/>
        <rFont val="Meiryo UI"/>
        <family val="3"/>
      </rPr>
      <t>・デフォルトでは [確定]ボタンを無効にし、画面上でデータが変更された場合にのみ有効にする。</t>
    </r>
  </si>
  <si>
    <r>
      <rPr>
        <sz val="11"/>
        <color rgb="FF000000"/>
        <rFont val="Meiryo UI"/>
        <family val="3"/>
      </rPr>
      <t>・PLU: 共通13桁。PLUに子JAN入力時は親JANを表示する 。</t>
    </r>
  </si>
  <si>
    <r>
      <rPr>
        <sz val="11"/>
        <color rgb="FF00B050"/>
        <rFont val="Meiryo UI"/>
        <family val="3"/>
        <charset val="128"/>
      </rPr>
      <t>・削除としてマークされたアイテムを削除すると、その削除マークを解除し、赤い取り消し線を削除し、アイテムの初期状態に復元する。</t>
    </r>
  </si>
  <si>
    <r>
      <rPr>
        <sz val="11"/>
        <color rgb="FF000000"/>
        <rFont val="Meiryo UI"/>
        <family val="3"/>
      </rPr>
      <t>・画面に変更がない場合、[確定]ボタンタッチ不可。追加や更新情報が入力された場合のみ有効になる。</t>
    </r>
  </si>
  <si>
    <r>
      <rPr>
        <sz val="11"/>
        <color rgb="FF00B050"/>
        <rFont val="Meiryo UI"/>
        <family val="3"/>
        <charset val="128"/>
      </rPr>
      <t>・システムの共通表示日付形式：yy/MM/dd。</t>
    </r>
    <r>
      <rPr>
        <sz val="11"/>
        <color rgb="FF00B050"/>
        <rFont val="Meiryo UI"/>
        <family val="3"/>
        <charset val="128"/>
      </rPr>
      <t>yyyyMMdd又はyyMMdd形式での入力可能とする。その後、yy/MM/dd形式に変換する。</t>
    </r>
  </si>
  <si>
    <r>
      <rPr>
        <sz val="11"/>
        <color rgb="FF00B050"/>
        <rFont val="Meiryo UI"/>
        <family val="3"/>
        <charset val="128"/>
      </rPr>
      <t>+入力項目がチェックボックスの場合、</t>
    </r>
    <r>
      <rPr>
        <sz val="11"/>
        <color rgb="FF00B050"/>
        <rFont val="Meiryo UI"/>
        <family val="3"/>
        <charset val="128"/>
      </rPr>
      <t>Spaceキーで選択・Spaceキーで選択解除する。</t>
    </r>
  </si>
  <si>
    <r>
      <rPr>
        <sz val="11"/>
        <color rgb="FF00B050"/>
        <rFont val="Meiryo UI"/>
        <family val="3"/>
        <charset val="128"/>
      </rPr>
      <t>+入力項目がラジオボタンの場合、</t>
    </r>
    <r>
      <rPr>
        <sz val="11"/>
        <color rgb="FF00B050"/>
        <rFont val="Meiryo UI"/>
        <family val="3"/>
        <charset val="128"/>
      </rPr>
      <t>Spaceキーで選択する。</t>
    </r>
  </si>
  <si>
    <r>
      <rPr>
        <sz val="11"/>
        <color rgb="FF00B050"/>
        <rFont val="Meiryo UI"/>
        <family val="3"/>
        <charset val="128"/>
      </rPr>
      <t>+入力項目がボタンの場合、</t>
    </r>
    <r>
      <rPr>
        <sz val="11"/>
        <color rgb="FF00B050"/>
        <rFont val="Meiryo UI"/>
        <family val="3"/>
        <charset val="128"/>
      </rPr>
      <t>Spaceキーまたはファンクションキーでボタンをタッチする (アクションを実行する)</t>
    </r>
  </si>
  <si>
    <r>
      <rPr>
        <sz val="11"/>
        <color rgb="FF00B050"/>
        <rFont val="Meiryo UI"/>
        <family val="3"/>
        <charset val="128"/>
      </rPr>
      <t>・次の項目：入力必須項目を優先する。</t>
    </r>
  </si>
  <si>
    <r>
      <rPr>
        <sz val="11"/>
        <color rgb="FF00B050"/>
        <rFont val="Meiryo UI"/>
        <family val="3"/>
        <charset val="128"/>
      </rPr>
      <t>■マウスを使わずに画面・モーダル上で操作可能</t>
    </r>
  </si>
  <si>
    <r>
      <rPr>
        <sz val="11"/>
        <color rgb="FF00B050"/>
        <rFont val="Meiryo UI"/>
        <family val="3"/>
        <charset val="128"/>
      </rPr>
      <t>・画面に入った場合、最初の入力項目にフォーカスする。</t>
    </r>
  </si>
  <si>
    <r>
      <rPr>
        <sz val="11"/>
        <color rgb="FF00B050"/>
        <rFont val="Meiryo UI"/>
        <family val="3"/>
        <charset val="128"/>
      </rPr>
      <t xml:space="preserve">+最初の入力項目がカレンダーの場合、カレンダーにフォーカスし(カレンダーを表示しない), </t>
    </r>
    <r>
      <rPr>
        <sz val="11"/>
        <color rgb="FF0000FF"/>
        <rFont val="Meiryo UI"/>
        <family val="3"/>
        <charset val="128"/>
      </rPr>
      <t>項目に表示されている全ての日付テキスト値を色づける。</t>
    </r>
  </si>
  <si>
    <r>
      <rPr>
        <sz val="11"/>
        <color rgb="FF0000FF"/>
        <rFont val="Meiryo UI"/>
        <family val="3"/>
        <charset val="128"/>
      </rPr>
      <t>カレンダーを表示するためにスペースキーを使用する。</t>
    </r>
    <r>
      <rPr>
        <sz val="11"/>
        <color rgb="FF0000FF"/>
        <rFont val="Meiryo UI"/>
        <family val="3"/>
        <charset val="128"/>
      </rPr>
      <t>デフォルトでは、選択されている日付にフォーカスが当たる。</t>
    </r>
  </si>
  <si>
    <r>
      <rPr>
        <sz val="11"/>
        <color rgb="FF0000FF"/>
        <rFont val="Meiryo UI"/>
        <family val="3"/>
        <charset val="128"/>
      </rPr>
      <t>日付を選択するために、上下左右のキーを使用して日付間を移動する。</t>
    </r>
    <r>
      <rPr>
        <sz val="11"/>
        <color rgb="FF0000FF"/>
        <rFont val="Meiryo UI"/>
        <family val="3"/>
        <charset val="128"/>
      </rPr>
      <t>当月の表示には移動制限されない。</t>
    </r>
  </si>
  <si>
    <r>
      <rPr>
        <sz val="11"/>
        <color rgb="FF0000FF"/>
        <rFont val="Meiryo UI"/>
        <family val="3"/>
        <charset val="128"/>
      </rPr>
      <t>Spaceキーを押してカレンダー上で日付を選択する。</t>
    </r>
  </si>
  <si>
    <r>
      <rPr>
        <sz val="11"/>
        <color rgb="FF0000FF"/>
        <rFont val="Meiryo UI"/>
        <family val="3"/>
        <charset val="128"/>
      </rPr>
      <t>フォーカスが外れた場合、カレンダーを閉じる。</t>
    </r>
  </si>
  <si>
    <r>
      <rPr>
        <sz val="11"/>
        <color rgb="FF0000FF"/>
        <rFont val="Meiryo UI"/>
        <family val="3"/>
        <charset val="128"/>
      </rPr>
      <t>スペースを押下してドロップダウンリストを表示する。</t>
    </r>
    <r>
      <rPr>
        <sz val="11"/>
        <color rgb="FF0000FF"/>
        <rFont val="Meiryo UI"/>
        <family val="3"/>
        <charset val="128"/>
      </rPr>
      <t>リスト内の選択中のアイテムにフォーカスする。</t>
    </r>
  </si>
  <si>
    <r>
      <rPr>
        <sz val="11"/>
        <color rgb="FF00B050"/>
        <rFont val="Meiryo UI"/>
        <family val="3"/>
        <charset val="128"/>
      </rPr>
      <t>+最初の入力項目がドロップダウンの場合、ドロップダウンにフォーカスしてドロップダウンリストを表示しない。</t>
    </r>
  </si>
  <si>
    <r>
      <rPr>
        <sz val="11"/>
        <color rgb="FF0000FF"/>
        <rFont val="Meiryo UI"/>
        <family val="3"/>
        <charset val="128"/>
      </rPr>
      <t>上下キーを使用して、ドロップダウンリスト内のアイテム間を移動する。</t>
    </r>
  </si>
  <si>
    <r>
      <rPr>
        <sz val="11"/>
        <color rgb="FF0000FF"/>
        <rFont val="Meiryo UI"/>
        <family val="3"/>
        <charset val="128"/>
      </rPr>
      <t xml:space="preserve"> </t>
    </r>
    <r>
      <rPr>
        <sz val="11"/>
        <color rgb="FF0000FF"/>
        <rFont val="Meiryo UI"/>
        <family val="3"/>
        <charset val="128"/>
      </rPr>
      <t>上下キーを押すと、同じ曜日の日付間を順に移動する（縦方向）</t>
    </r>
  </si>
  <si>
    <r>
      <rPr>
        <sz val="11"/>
        <color rgb="FF0000FF"/>
        <rFont val="Meiryo UI"/>
        <family val="3"/>
        <charset val="128"/>
      </rPr>
      <t xml:space="preserve"> </t>
    </r>
    <r>
      <rPr>
        <sz val="11"/>
        <color rgb="FF0000FF"/>
        <rFont val="Meiryo UI"/>
        <family val="3"/>
        <charset val="128"/>
      </rPr>
      <t>左右キーを押すと、日付を順に移動する（横方向）</t>
    </r>
  </si>
  <si>
    <r>
      <rPr>
        <sz val="11"/>
        <color rgb="FF0000FF"/>
        <rFont val="Meiryo UI"/>
        <family val="3"/>
        <charset val="128"/>
      </rPr>
      <t xml:space="preserve"> </t>
    </r>
    <r>
      <rPr>
        <sz val="11"/>
        <color rgb="FF0000FF"/>
        <rFont val="Meiryo UI"/>
        <family val="3"/>
        <charset val="128"/>
      </rPr>
      <t>前月や次月にも移動可能とする。</t>
    </r>
  </si>
  <si>
    <r>
      <rPr>
        <sz val="11"/>
        <color rgb="FF0000FF"/>
        <rFont val="Meiryo UI"/>
        <family val="3"/>
        <charset val="128"/>
      </rPr>
      <t>Space/Tab/Enter を押してアイテムを選択する。</t>
    </r>
    <r>
      <rPr>
        <sz val="11"/>
        <color rgb="FF0000FF"/>
        <rFont val="Meiryo UI"/>
        <family val="3"/>
        <charset val="128"/>
      </rPr>
      <t>選択後、ドロップダウンリストを閉じる。</t>
    </r>
    <r>
      <rPr>
        <sz val="11"/>
        <color rgb="FF0000FF"/>
        <rFont val="Meiryo UI"/>
        <family val="3"/>
        <charset val="128"/>
      </rPr>
      <t>フォーカス位置はドロップダウンに維持される。</t>
    </r>
  </si>
  <si>
    <r>
      <rPr>
        <sz val="11"/>
        <color rgb="FF0000FF"/>
        <rFont val="Meiryo UI"/>
        <family val="3"/>
        <charset val="128"/>
      </rPr>
      <t>テキストボックスが空の場合、カーソルを点滅表示する。</t>
    </r>
  </si>
  <si>
    <r>
      <rPr>
        <sz val="11"/>
        <color rgb="FF00B050"/>
        <rFont val="Meiryo UI"/>
        <family val="3"/>
        <charset val="128"/>
      </rPr>
      <t>+入力項目がテキスト入力の場合、</t>
    </r>
  </si>
  <si>
    <r>
      <rPr>
        <sz val="11"/>
        <color rgb="FF0000FF"/>
        <rFont val="Meiryo UI"/>
        <family val="3"/>
        <charset val="128"/>
      </rPr>
      <t>テキストボックスにデータがある場合、色付けて全てのテキストを選択する。</t>
    </r>
  </si>
  <si>
    <r>
      <rPr>
        <sz val="11"/>
        <color rgb="FF00B050"/>
        <rFont val="Meiryo UI"/>
        <family val="3"/>
        <charset val="128"/>
      </rPr>
      <t>・Enterと</t>
    </r>
    <r>
      <rPr>
        <sz val="11"/>
        <color rgb="FF0000FF"/>
        <rFont val="Meiryo UI"/>
        <family val="3"/>
        <charset val="128"/>
      </rPr>
      <t>Tab</t>
    </r>
    <r>
      <rPr>
        <sz val="11"/>
        <color rgb="FF00B050"/>
        <rFont val="Meiryo UI"/>
        <family val="3"/>
        <charset val="128"/>
      </rPr>
      <t>キーで次の項目にフォーカスを移動する。</t>
    </r>
  </si>
  <si>
    <r>
      <rPr>
        <sz val="11"/>
        <color rgb="FF0000FF"/>
        <rFont val="Meiryo UI"/>
        <family val="3"/>
        <charset val="128"/>
      </rPr>
      <t>タブキーを使って、次月・前月ボタンや選択されている日付にフォーカスできる。</t>
    </r>
    <r>
      <rPr>
        <sz val="11"/>
        <color rgb="FF0000FF"/>
        <rFont val="Meiryo UI"/>
        <family val="3"/>
        <charset val="128"/>
      </rPr>
      <t>次月/前月ボタンにフォーカスしている場合、スペースを押下してアクションを実行する。</t>
    </r>
  </si>
  <si>
    <r>
      <rPr>
        <sz val="11"/>
        <color rgb="FF0000FF"/>
        <rFont val="Meiryo UI"/>
        <family val="3"/>
        <charset val="128"/>
      </rPr>
      <t>+年を1桁入力してEnterキーを押すと、自動的に0が追加され、月の入力に移動される。</t>
    </r>
  </si>
  <si>
    <r>
      <rPr>
        <sz val="11"/>
        <color rgb="FF0000FF"/>
        <rFont val="Meiryo UI"/>
        <family val="3"/>
        <charset val="128"/>
      </rPr>
      <t>例：</t>
    </r>
    <r>
      <rPr>
        <sz val="11"/>
        <color rgb="FF0000FF"/>
        <rFont val="Meiryo UI"/>
        <family val="3"/>
        <charset val="128"/>
      </rPr>
      <t>2|_/__/__ =&gt; 02/|__/__</t>
    </r>
    <r>
      <rPr>
        <sz val="11"/>
        <color rgb="FF0000FF"/>
        <rFont val="Meiryo UI"/>
        <family val="3"/>
        <charset val="128"/>
      </rPr>
      <t xml:space="preserve"> </t>
    </r>
  </si>
  <si>
    <r>
      <rPr>
        <sz val="11"/>
        <color rgb="FF0000FF"/>
        <rFont val="Meiryo UI"/>
        <family val="3"/>
        <charset val="128"/>
      </rPr>
      <t>+月を1桁入力してEnterキーを押すと、自動的に0が追加され、日の入力に移動される。</t>
    </r>
  </si>
  <si>
    <r>
      <rPr>
        <sz val="11"/>
        <color rgb="FF0000FF"/>
        <rFont val="Meiryo UI"/>
        <family val="3"/>
        <charset val="128"/>
      </rPr>
      <t>例：</t>
    </r>
    <r>
      <rPr>
        <sz val="11"/>
        <color rgb="FF0000FF"/>
        <rFont val="Meiryo UI"/>
        <family val="3"/>
        <charset val="128"/>
      </rPr>
      <t>24/1|_/__ =&gt; 24/01/|_</t>
    </r>
    <r>
      <rPr>
        <sz val="11"/>
        <color rgb="FF0000FF"/>
        <rFont val="Meiryo UI"/>
        <family val="3"/>
        <charset val="128"/>
      </rPr>
      <t xml:space="preserve"> </t>
    </r>
  </si>
  <si>
    <r>
      <rPr>
        <sz val="11"/>
        <color rgb="FF0000FF"/>
        <rFont val="Meiryo UI"/>
        <family val="3"/>
        <charset val="128"/>
      </rPr>
      <t>・日付テキストボックスに直接に値を入力する場合、入力を開始すると、形式「/__/__/__」が自動的に表示される。</t>
    </r>
  </si>
  <si>
    <r>
      <rPr>
        <sz val="11"/>
        <color rgb="FF0000FF"/>
        <rFont val="Meiryo UI"/>
        <family val="3"/>
        <charset val="128"/>
      </rPr>
      <t>・時刻テキストボックスに直接に値を入力する場合、入力を開始すると、形式「__:__」が自動的に表示される。</t>
    </r>
  </si>
  <si>
    <r>
      <rPr>
        <sz val="11"/>
        <color rgb="FF0000FF"/>
        <rFont val="Meiryo UI"/>
        <family val="3"/>
        <charset val="128"/>
      </rPr>
      <t>+時を2桁入力すると、自動的にカーソルが分に移動される。</t>
    </r>
    <r>
      <rPr>
        <sz val="11"/>
        <color rgb="FF0000FF"/>
        <rFont val="Meiryo UI"/>
        <family val="3"/>
        <charset val="128"/>
      </rPr>
      <t>分入力部分にカーソルがある状態でEnter・Tabキーを押すと、フォーカスが次の項目に移動される。</t>
    </r>
  </si>
  <si>
    <r>
      <rPr>
        <sz val="11"/>
        <color rgb="FF0000FF"/>
        <rFont val="Meiryo UI"/>
        <family val="3"/>
        <charset val="128"/>
      </rPr>
      <t>+年・月を2桁入力すると、自動的にカーソルが月・日に移動される。</t>
    </r>
    <r>
      <rPr>
        <sz val="11"/>
        <color rgb="FF0000FF"/>
        <rFont val="Meiryo UI"/>
        <family val="3"/>
        <charset val="128"/>
      </rPr>
      <t>日付入力部分にカーソルがある状態でEnter・Tabキーを押すと、フォーカスが次の項目に移動される。</t>
    </r>
  </si>
  <si>
    <r>
      <rPr>
        <sz val="11"/>
        <color rgb="FF0000FF"/>
        <rFont val="Meiryo UI"/>
        <family val="3"/>
        <charset val="128"/>
      </rPr>
      <t>+時を1桁入力してEnterキーを押すと、自動的に「0」が追加され、分の入力に移動される。</t>
    </r>
  </si>
  <si>
    <r>
      <rPr>
        <sz val="11"/>
        <color rgb="FF0000FF"/>
        <rFont val="Meiryo UI"/>
        <family val="3"/>
        <charset val="128"/>
      </rPr>
      <t>例：</t>
    </r>
    <r>
      <rPr>
        <sz val="11"/>
        <color rgb="FF0000FF"/>
        <rFont val="Meiryo UI"/>
        <family val="3"/>
        <charset val="128"/>
      </rPr>
      <t>2|_:__ =&gt; 02:|__</t>
    </r>
  </si>
  <si>
    <r>
      <rPr>
        <sz val="11"/>
        <color rgb="FF0000FF"/>
        <rFont val="Meiryo UI"/>
        <family val="3"/>
        <charset val="128"/>
      </rPr>
      <t>+月を1桁入力してEnterキーを押すと、自動的に「0」が追加され、フォーカスが次の項目に移動される。</t>
    </r>
  </si>
  <si>
    <r>
      <rPr>
        <sz val="11"/>
        <color rgb="FF0000FF"/>
        <rFont val="Meiryo UI"/>
        <family val="3"/>
        <charset val="128"/>
      </rPr>
      <t>+分を1桁入力してEnterキーを押すと、自動的に「0」が追加され、フォーカスが次の項目に移動される。</t>
    </r>
  </si>
  <si>
    <r>
      <rPr>
        <sz val="11"/>
        <color rgb="FF0000FF"/>
        <rFont val="Meiryo UI"/>
        <family val="3"/>
        <charset val="128"/>
      </rPr>
      <t>例：</t>
    </r>
    <r>
      <rPr>
        <sz val="11"/>
        <color rgb="FF0000FF"/>
        <rFont val="Meiryo UI"/>
        <family val="3"/>
        <charset val="128"/>
      </rPr>
      <t>02:1|_ =&gt; 02:01</t>
    </r>
  </si>
  <si>
    <r>
      <rPr>
        <sz val="11"/>
        <color rgb="FF0000FF"/>
        <rFont val="Meiryo UI"/>
        <family val="3"/>
        <charset val="128"/>
      </rPr>
      <t>例：</t>
    </r>
    <r>
      <rPr>
        <sz val="11"/>
        <color rgb="FF0000FF"/>
        <rFont val="Meiryo UI"/>
        <family val="3"/>
        <charset val="128"/>
      </rPr>
      <t>24/01/1|_ =&gt; 24/01/01</t>
    </r>
  </si>
  <si>
    <r>
      <rPr>
        <sz val="11"/>
        <color rgb="FFC00000"/>
        <rFont val="Meiryo UI"/>
        <family val="3"/>
        <charset val="128"/>
      </rPr>
      <t>■店舗選択タブに関連する共通</t>
    </r>
  </si>
  <si>
    <r>
      <rPr>
        <sz val="11"/>
        <color rgb="FFC00000"/>
        <rFont val="Meiryo UI"/>
        <family val="3"/>
        <charset val="128"/>
      </rPr>
      <t>=&gt;目的：店舗選択適用</t>
    </r>
    <r>
      <rPr>
        <sz val="11"/>
        <color rgb="FFC00000"/>
        <rFont val="Meiryo UI"/>
        <family val="3"/>
        <charset val="128"/>
      </rPr>
      <t xml:space="preserve"> </t>
    </r>
    <r>
      <rPr>
        <sz val="11"/>
        <color rgb="FFC00000"/>
        <rFont val="Meiryo UI"/>
        <family val="3"/>
        <charset val="128"/>
      </rPr>
      <t>「確認」をタッチせずに選択だけした場合、変更がない。</t>
    </r>
  </si>
  <si>
    <r>
      <rPr>
        <sz val="11"/>
        <color rgb="FFC00000"/>
        <rFont val="Meiryo UI"/>
        <family val="3"/>
        <charset val="128"/>
      </rPr>
      <t>・「店舗検索」タブの「確定」ボタン</t>
    </r>
    <r>
      <rPr>
        <sz val="11"/>
        <color rgb="FFC00000"/>
        <rFont val="Meiryo UI"/>
        <family val="3"/>
        <charset val="128"/>
      </rPr>
      <t xml:space="preserve">
</t>
    </r>
  </si>
  <si>
    <r>
      <rPr>
        <sz val="11"/>
        <color rgb="FFC00000"/>
        <rFont val="Meiryo UI"/>
        <family val="3"/>
        <charset val="128"/>
      </rPr>
      <t>「店舗検索」タブを閉じるには、以下の3つのアクションを実行する。</t>
    </r>
  </si>
  <si>
    <r>
      <rPr>
        <sz val="11"/>
        <color rgb="FFC00000"/>
        <rFont val="Meiryo UI"/>
        <family val="3"/>
        <charset val="128"/>
      </rPr>
      <t>+店舗が選択された場合：有効</t>
    </r>
    <r>
      <rPr>
        <sz val="11"/>
        <color rgb="FFC00000"/>
        <rFont val="Meiryo UI"/>
        <family val="3"/>
        <charset val="128"/>
      </rPr>
      <t xml:space="preserve">
</t>
    </r>
  </si>
  <si>
    <r>
      <rPr>
        <sz val="11"/>
        <color rgb="FFC00000"/>
        <rFont val="Meiryo UI"/>
        <family val="3"/>
        <charset val="128"/>
      </rPr>
      <t>+店舗が選択されていない場合：無効</t>
    </r>
  </si>
  <si>
    <r>
      <rPr>
        <sz val="11"/>
        <color rgb="FFC00000"/>
        <rFont val="Meiryo UI"/>
        <family val="3"/>
        <charset val="128"/>
      </rPr>
      <t>+閉じる・開くアイコンをタッチする</t>
    </r>
  </si>
  <si>
    <r>
      <rPr>
        <sz val="11"/>
        <color rgb="FFC00000"/>
        <rFont val="Meiryo UI"/>
        <family val="3"/>
        <charset val="128"/>
      </rPr>
      <t>+タブの外エリアをタッチする。</t>
    </r>
  </si>
  <si>
    <r>
      <rPr>
        <sz val="11"/>
        <color rgb="FFC00000"/>
        <rFont val="Meiryo UI"/>
        <family val="3"/>
        <charset val="128"/>
      </rPr>
      <t>+確定ボタンをタッチする。</t>
    </r>
  </si>
  <si>
    <r>
      <rPr>
        <sz val="11"/>
        <color rgb="FFC00000"/>
        <rFont val="Meiryo UI"/>
        <family val="3"/>
        <charset val="128"/>
      </rPr>
      <t>・確定ボタンをタッチした時のダーティチェック</t>
    </r>
  </si>
  <si>
    <r>
      <rPr>
        <sz val="11"/>
        <color rgb="FFC00000"/>
        <rFont val="Meiryo UI"/>
        <family val="3"/>
        <charset val="128"/>
      </rPr>
      <t>+一覧画面のデータがない場合（検索結果がない場合も含む）=&gt; 確認メッセージを表示しない。</t>
    </r>
  </si>
  <si>
    <r>
      <rPr>
        <sz val="11"/>
        <color rgb="FFC00000"/>
        <rFont val="Meiryo UI"/>
        <family val="3"/>
        <charset val="128"/>
      </rPr>
      <t>+検索結果がある場合、又は一覧画面のデータ変更がある場合=&gt;確認メッセージを表示する。</t>
    </r>
  </si>
  <si>
    <r>
      <rPr>
        <sz val="11"/>
        <color rgb="FFCC00CC"/>
        <rFont val="Meiryo UI"/>
        <family val="2"/>
      </rPr>
      <t>■項目調整共通</t>
    </r>
  </si>
  <si>
    <r>
      <rPr>
        <sz val="11"/>
        <color rgb="FFCC00CC"/>
        <rFont val="Meiryo UI"/>
        <family val="2"/>
      </rPr>
      <t>・項目タイトル、通常テキスト項目値、ドロップダウン項目など: 左揃え</t>
    </r>
  </si>
  <si>
    <r>
      <rPr>
        <sz val="11"/>
        <color rgb="FFCC00CC"/>
        <rFont val="Meiryo UI"/>
        <family val="2"/>
      </rPr>
      <t>・コード項目(純粋な数字形式、「0」追加なし)、金額、商品数、客数、割合など: 右揃え</t>
    </r>
  </si>
  <si>
    <r>
      <rPr>
        <sz val="11"/>
        <color rgb="FFCC00CC"/>
        <rFont val="Meiryo UI"/>
        <family val="2"/>
      </rPr>
      <t>・固定文字数の項目（入力が不足している場合に「0」を追加)：左揃え</t>
    </r>
  </si>
  <si>
    <r>
      <rPr>
        <sz val="11"/>
        <color rgb="FFCC00CC"/>
        <rFont val="Meiryo UI"/>
        <family val="2"/>
      </rPr>
      <t>・ボタン内のテキスト: 中央揃え</t>
    </r>
  </si>
  <si>
    <r>
      <rPr>
        <sz val="11"/>
        <color rgb="FFCC00CC"/>
        <rFont val="Meiryo UI"/>
        <family val="2"/>
      </rPr>
      <t>・リストのヘッダー: 中央揃え</t>
    </r>
  </si>
  <si>
    <r>
      <rPr>
        <sz val="11"/>
        <color rgb="FFCC00CC"/>
        <rFont val="Meiryo UI"/>
        <family val="2"/>
      </rPr>
      <t>・状態・有効項目（テキスト形式）：中央揃え</t>
    </r>
  </si>
  <si>
    <r>
      <rPr>
        <sz val="11"/>
        <color rgb="FFCC00CC"/>
        <rFont val="Meiryo UI"/>
        <family val="2"/>
      </rPr>
      <t>・日付、月の項目: 左揃え</t>
    </r>
  </si>
  <si>
    <r>
      <rPr>
        <sz val="11"/>
        <color rgb="FFCC00CC"/>
        <rFont val="Meiryo UI"/>
        <family val="2"/>
      </rPr>
      <t>・システムの共通金額、数量形式：</t>
    </r>
    <r>
      <rPr>
        <sz val="11"/>
        <color rgb="FFCC00CC"/>
        <rFont val="Meiryo UI"/>
        <family val="2"/>
      </rPr>
      <t>xxx,xxx,xxx</t>
    </r>
  </si>
  <si>
    <r>
      <rPr>
        <sz val="11"/>
        <color rgb="FFCC00CC"/>
        <rFont val="Meiryo UI"/>
        <family val="2"/>
      </rPr>
      <t>・システムの共通小数点形式：</t>
    </r>
    <r>
      <rPr>
        <sz val="11"/>
        <color rgb="FFCC00CC"/>
        <rFont val="Meiryo UI"/>
        <family val="2"/>
      </rPr>
      <t>xxx,xxx,xxx.x</t>
    </r>
  </si>
  <si>
    <r>
      <rPr>
        <sz val="11"/>
        <color rgb="FFCC00CC"/>
        <rFont val="Meiryo UI"/>
        <family val="2"/>
      </rPr>
      <t>・システムの共通割合形式：</t>
    </r>
    <r>
      <rPr>
        <sz val="11"/>
        <color rgb="FFCC00CC"/>
        <rFont val="Meiryo UI"/>
        <family val="2"/>
      </rPr>
      <t>xx.x</t>
    </r>
  </si>
  <si>
    <r>
      <rPr>
        <sz val="11"/>
        <color rgb="FF000000"/>
        <rFont val="Meiryo UI"/>
        <family val="3"/>
      </rPr>
      <t>■マスタ更新共通</t>
    </r>
  </si>
  <si>
    <r>
      <rPr>
        <strike/>
        <sz val="11"/>
        <color rgb="FFCC00CC"/>
        <rFont val="Meiryo UI"/>
        <family val="3"/>
        <charset val="128"/>
      </rPr>
      <t>・「クリア」ボタンをタッチすると、各画面の通知モーダルを削除する。</t>
    </r>
  </si>
  <si>
    <r>
      <rPr>
        <sz val="11"/>
        <color rgb="FF000000"/>
        <rFont val="Meiryo UI"/>
        <family val="3"/>
      </rPr>
      <t>・エリア部分を削除し、店舗一覧選択のみを残す。</t>
    </r>
  </si>
  <si>
    <r>
      <rPr>
        <sz val="11"/>
        <color rgb="FFFFFFFF"/>
        <rFont val="Meiryo UI"/>
        <family val="3"/>
      </rPr>
      <t>システム名</t>
    </r>
  </si>
  <si>
    <r>
      <rPr>
        <sz val="11"/>
        <color rgb="FFFFFFFF"/>
        <rFont val="Meiryo UI"/>
        <family val="3"/>
      </rPr>
      <t>システム種別</t>
    </r>
  </si>
  <si>
    <r>
      <rPr>
        <sz val="11"/>
        <color rgb="FFFFFFFF"/>
        <rFont val="Meiryo UI"/>
        <family val="3"/>
      </rPr>
      <t>作成者</t>
    </r>
  </si>
  <si>
    <r>
      <rPr>
        <sz val="11"/>
        <color rgb="FFFFFFFF"/>
        <rFont val="Meiryo UI"/>
        <family val="3"/>
      </rPr>
      <t>作成日</t>
    </r>
  </si>
  <si>
    <r>
      <rPr>
        <sz val="11"/>
        <color rgb="FFFFFFFF"/>
        <rFont val="Meiryo UI"/>
        <family val="3"/>
      </rPr>
      <t>更新者</t>
    </r>
  </si>
  <si>
    <r>
      <rPr>
        <sz val="11"/>
        <color rgb="FFFFFFFF"/>
        <rFont val="Meiryo UI"/>
        <family val="3"/>
      </rPr>
      <t>更新日</t>
    </r>
  </si>
  <si>
    <r>
      <rPr>
        <sz val="11"/>
        <color rgb="FFFFFFFF"/>
        <rFont val="Meiryo UI"/>
        <family val="3"/>
      </rPr>
      <t>版数</t>
    </r>
  </si>
  <si>
    <r>
      <rPr>
        <sz val="11"/>
        <color rgb="FFFFFFFF"/>
        <rFont val="Meiryo UI"/>
        <family val="3"/>
      </rPr>
      <t>機能カテゴリ</t>
    </r>
  </si>
  <si>
    <t>00_共通</t>
  </si>
  <si>
    <r>
      <rPr>
        <sz val="11"/>
        <color rgb="FFFFFFFF"/>
        <rFont val="Meiryo UI"/>
        <family val="3"/>
      </rPr>
      <t>項目</t>
    </r>
  </si>
  <si>
    <r>
      <rPr>
        <sz val="11"/>
        <color rgb="FFFFFFFF"/>
        <rFont val="Meiryo UI"/>
        <family val="3"/>
      </rPr>
      <t>承認日</t>
    </r>
  </si>
  <si>
    <r>
      <rPr>
        <sz val="11"/>
        <color rgb="FFFFFFFF"/>
        <rFont val="Meiryo UI"/>
        <family val="3"/>
      </rPr>
      <t>承認者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</si>
  <si>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</si>
  <si>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</si>
  <si>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</si>
  <si>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</si>
  <si>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</si>
  <si>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</si>
  <si>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</si>
  <si>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</si>
  <si>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</si>
  <si>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</si>
  <si>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</si>
  <si>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</si>
  <si>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</si>
  <si>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</si>
  <si>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作成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</si>
  <si>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</si>
  <si>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ページングエリアの新規追加</t>
    </r>
  </si>
  <si>
    <r>
      <rPr>
        <sz val="11"/>
        <color rgb="FF000000"/>
        <rFont val="Meiryo UI"/>
        <family val="2"/>
      </rPr>
      <t>LoiLV</t>
    </r>
  </si>
  <si>
    <r>
      <rPr>
        <sz val="11"/>
        <color rgb="FF000000"/>
        <rFont val="Meiryo UI"/>
        <family val="2"/>
      </rPr>
      <t>ページング、フォントの更新</t>
    </r>
  </si>
  <si>
    <r>
      <rPr>
        <sz val="11"/>
        <color rgb="FFC55A11"/>
        <rFont val="Meiryo UI"/>
        <family val="2"/>
      </rPr>
      <t>TinNH</t>
    </r>
  </si>
  <si>
    <r>
      <rPr>
        <sz val="11"/>
        <color rgb="FFC55A11"/>
        <rFont val="Meiryo UI"/>
        <family val="2"/>
      </rPr>
      <t>コメントによる更新</t>
    </r>
  </si>
  <si>
    <r>
      <rPr>
        <sz val="11"/>
        <color rgb="FF000000"/>
        <rFont val="Meiryo UI"/>
        <family val="2"/>
      </rPr>
      <t>TinNH</t>
    </r>
  </si>
  <si>
    <r>
      <rPr>
        <sz val="11"/>
        <color rgb="FF000000"/>
        <rFont val="Meiryo UI"/>
        <family val="2"/>
      </rPr>
      <t>コメントによる更新</t>
    </r>
  </si>
  <si>
    <r>
      <rPr>
        <sz val="11"/>
        <color rgb="FF000000"/>
        <rFont val="Meiryo UI"/>
        <family val="2"/>
      </rPr>
      <t>・JANコード入力共通更新、画面に従う一覧制限、【PLUコード切替】ボタン、数値項目のバリデーションチェック</t>
    </r>
  </si>
  <si>
    <r>
      <rPr>
        <sz val="11"/>
        <color rgb="FF000000"/>
        <rFont val="Meiryo UI"/>
        <family val="2"/>
      </rPr>
      <t>・ボタン有効化情報を更新し、更新を確定し、出力可能とする。</t>
    </r>
  </si>
  <si>
    <r>
      <rPr>
        <sz val="11"/>
        <color rgb="FF000000"/>
        <rFont val="Meiryo UI"/>
        <family val="2"/>
      </rPr>
      <t>店舗共通を更新する。</t>
    </r>
  </si>
  <si>
    <r>
      <rPr>
        <sz val="11"/>
        <color rgb="FF000000"/>
        <rFont val="Meiryo UI"/>
        <family val="2"/>
      </rPr>
      <t>日付と時刻の形式共通を追加する。</t>
    </r>
  </si>
  <si>
    <r>
      <rPr>
        <sz val="11"/>
        <color rgb="FF000000"/>
        <rFont val="Meiryo UI"/>
        <family val="2"/>
      </rPr>
      <t>画面設計シートを削除する-&gt; 画面設計書、共通機能設計書を作成する。</t>
    </r>
  </si>
  <si>
    <r>
      <rPr>
        <sz val="11"/>
        <color rgb="FF000000"/>
        <rFont val="Meiryo UI"/>
        <family val="2"/>
      </rPr>
      <t>以下の説明を更新する。テキストが長すぎる場合、「…」を表示するように説明を更新する</t>
    </r>
  </si>
  <si>
    <r>
      <rPr>
        <sz val="11"/>
        <color rgb="FF000000"/>
        <rFont val="Meiryo UI"/>
        <family val="2"/>
      </rPr>
      <t>機能概要：ページング共通説明</t>
    </r>
  </si>
  <si>
    <t>DuNT</t>
  </si>
  <si>
    <t>マウスを使用しない入力共通項目</t>
  </si>
  <si>
    <t>AnhTTP</t>
  </si>
  <si>
    <t>TinNH</t>
  </si>
  <si>
    <t>店舗選択タブに関連する内容更新</t>
  </si>
  <si>
    <t>項目調整共通更新</t>
  </si>
  <si>
    <t>数値表示共通更新</t>
  </si>
  <si>
    <t>●共通機能</t>
  </si>
  <si>
    <r>
      <rPr>
        <sz val="11"/>
        <color rgb="FF000000"/>
        <rFont val="Meiryo UI"/>
        <family val="3"/>
      </rPr>
      <t>15. タッチメニュー</t>
    </r>
  </si>
  <si>
    <r>
      <rPr>
        <sz val="11"/>
        <color rgb="FF000000"/>
        <rFont val="Meiryo UI"/>
        <family val="3"/>
      </rPr>
      <t xml:space="preserve">08_カテゴリ値引/割引設定 </t>
    </r>
  </si>
  <si>
    <t>後で追加</t>
  </si>
  <si>
    <t>画面サイズが1280までの場合のレスポンシブフォントサイズ：16</t>
  </si>
  <si>
    <t>システム名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</si>
</sst>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38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rgb="FF000000"/>
      <name val="Meiryo UI"/>
      <family val="3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11"/>
      <color rgb="FFFF0000"/>
      <name val="Meiryo UI"/>
      <family val="3"/>
      <charset val="128"/>
    </font>
    <font>
      <sz val="11"/>
      <color theme="1"/>
      <name val="Meiryo UI"/>
      <family val="2"/>
    </font>
    <font>
      <sz val="11"/>
      <color rgb="FF00B050"/>
      <name val="Meiryo UI"/>
      <family val="3"/>
      <charset val="128"/>
    </font>
    <font>
      <sz val="11"/>
      <color rgb="FF0000FF"/>
      <name val="Meiryo UI"/>
      <family val="3"/>
      <charset val="128"/>
    </font>
    <font>
      <sz val="11"/>
      <color theme="5"/>
      <name val="Meiryo UI"/>
      <family val="3"/>
      <charset val="128"/>
    </font>
    <font>
      <sz val="11"/>
      <color rgb="FFC00000"/>
      <name val="Meiryo UI"/>
      <family val="3"/>
      <charset val="128"/>
    </font>
    <font>
      <strike/>
      <sz val="11"/>
      <color rgb="FFCC00CC"/>
      <name val="Meiryo UI"/>
      <family val="3"/>
      <charset val="128"/>
    </font>
    <font>
      <sz val="11"/>
      <color rgb="FFCC00CC"/>
      <name val="Meiryo UI"/>
      <family val="2"/>
    </font>
    <font>
      <b/>
      <sz val="11"/>
      <color rgb="FF000000"/>
      <name val="Meiryo UI"/>
      <family val="3"/>
    </font>
    <font>
      <sz val="11"/>
      <color rgb="FFC55A11"/>
      <name val="Meiryo UI"/>
      <family val="3"/>
    </font>
    <font>
      <sz val="11"/>
      <name val="Meiryo UI"/>
      <family val="3"/>
      <charset val="128"/>
    </font>
    <font>
      <sz val="11"/>
      <color theme="0"/>
      <name val="Meiryo UI"/>
      <family val="3"/>
    </font>
    <font>
      <sz val="11"/>
      <color rgb="FFFFFFFF"/>
      <name val="Meiryo UI"/>
      <family val="3"/>
    </font>
    <font>
      <sz val="18"/>
      <name val="Meiryo UI"/>
      <family val="3"/>
    </font>
    <font>
      <sz val="11"/>
      <name val="Meiryo UI"/>
      <family val="3"/>
    </font>
    <font>
      <b/>
      <sz val="24"/>
      <name val="Meiryo UI"/>
      <family val="3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11"/>
      <color rgb="FF000000"/>
      <name val="Meiryo UI"/>
      <family val="2"/>
    </font>
    <font>
      <sz val="11"/>
      <color theme="5" tint="-0.24994659260841701"/>
      <name val="Meiryo UI"/>
      <family val="2"/>
    </font>
    <font>
      <sz val="11"/>
      <color rgb="FFC55A11"/>
      <name val="Meiryo UI"/>
      <family val="2"/>
    </font>
    <font>
      <sz val="11"/>
      <color rgb="FF00B050"/>
      <name val="Meiryo UI"/>
      <family val="2"/>
    </font>
    <font>
      <sz val="11"/>
      <color rgb="FF0000FF"/>
      <name val="Meiryo UI"/>
      <family val="2"/>
    </font>
    <font>
      <sz val="11"/>
      <color rgb="FFC00000"/>
      <name val="Meiryo UI"/>
      <family val="2"/>
    </font>
    <font>
      <b/>
      <sz val="11"/>
      <name val="Meiryo UI"/>
      <family val="3"/>
    </font>
    <font>
      <sz val="11"/>
      <color rgb="FFFF0000"/>
      <name val="Meiryo UI"/>
      <family val="3"/>
    </font>
    <font>
      <sz val="11"/>
      <color theme="5" tint="-0.24994659260841701"/>
      <name val="Meiryo UI"/>
      <family val="3"/>
    </font>
  </fonts>
  <fills count="4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/>
      <right style="hair">
        <color theme="0" tint="-0.49992370372631001"/>
      </right>
      <top/>
      <bottom style="thin">
        <color auto="1"/>
      </bottom>
      <diagonal/>
    </border>
    <border>
      <left style="hair">
        <color theme="0" tint="-0.49992370372631001"/>
      </left>
      <right/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hair">
        <color theme="0" tint="-0.49992370372631001"/>
      </right>
      <top style="thin">
        <color auto="1"/>
      </top>
      <bottom/>
      <diagonal/>
    </border>
    <border>
      <left style="hair">
        <color theme="0" tint="-0.4999237037263100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theme="0" tint="-0.49992370372631001"/>
      </right>
      <top style="thin">
        <color auto="1"/>
      </top>
      <bottom style="thin">
        <color auto="1"/>
      </bottom>
      <diagonal/>
    </border>
    <border>
      <left style="hair">
        <color theme="0" tint="-0.4999237037263100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9" fillId="0" borderId="0">
      <alignment vertical="center"/>
    </xf>
  </cellStyleXfs>
  <cellXfs count="293">
    <xf numFmtId="0" fontId="0" fillId="0" borderId="0" xfId="0"/>
    <xf numFmtId="0" fontId="3" fillId="0" borderId="2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2" borderId="16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7" xfId="0" applyFont="1" applyFill="1" applyBorder="1" applyAlignment="1">
      <alignment vertical="center"/>
    </xf>
    <xf numFmtId="0" fontId="0" fillId="0" borderId="0" xfId="0" quotePrefix="1"/>
    <xf numFmtId="0" fontId="10" fillId="0" borderId="0" xfId="0" quotePrefix="1" applyFont="1"/>
    <xf numFmtId="0" fontId="12" fillId="0" borderId="0" xfId="0" quotePrefix="1" applyFont="1"/>
    <xf numFmtId="0" fontId="11" fillId="0" borderId="0" xfId="0" applyFont="1"/>
    <xf numFmtId="0" fontId="11" fillId="0" borderId="0" xfId="0" quotePrefix="1" applyFont="1"/>
    <xf numFmtId="0" fontId="13" fillId="0" borderId="0" xfId="0" quotePrefix="1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4" fillId="0" borderId="0" xfId="0" applyFont="1"/>
    <xf numFmtId="0" fontId="14" fillId="0" borderId="0" xfId="0" quotePrefix="1" applyFont="1"/>
    <xf numFmtId="0" fontId="15" fillId="0" borderId="0" xfId="0" quotePrefix="1" applyFont="1"/>
    <xf numFmtId="0" fontId="15" fillId="0" borderId="0" xfId="0" applyFont="1"/>
    <xf numFmtId="0" fontId="16" fillId="0" borderId="0" xfId="0" quotePrefix="1" applyFont="1"/>
    <xf numFmtId="0" fontId="16" fillId="0" borderId="0" xfId="0" applyFont="1"/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16" fillId="0" borderId="26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35" xfId="0" applyFont="1" applyBorder="1"/>
    <xf numFmtId="0" fontId="16" fillId="0" borderId="36" xfId="0" applyFont="1" applyBorder="1"/>
    <xf numFmtId="0" fontId="16" fillId="0" borderId="37" xfId="0" applyFont="1" applyBorder="1"/>
    <xf numFmtId="0" fontId="16" fillId="0" borderId="38" xfId="0" applyFont="1" applyBorder="1"/>
    <xf numFmtId="0" fontId="16" fillId="0" borderId="39" xfId="0" applyFont="1" applyBorder="1"/>
    <xf numFmtId="0" fontId="16" fillId="0" borderId="40" xfId="0" applyFont="1" applyBorder="1"/>
    <xf numFmtId="0" fontId="20" fillId="2" borderId="30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2" borderId="34" xfId="0" applyFont="1" applyFill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3" fillId="0" borderId="0" xfId="0" applyFont="1"/>
    <xf numFmtId="0" fontId="23" fillId="0" borderId="26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4" fontId="23" fillId="0" borderId="26" xfId="0" applyNumberFormat="1" applyFont="1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23" fillId="0" borderId="25" xfId="0" applyNumberFormat="1" applyFont="1" applyBorder="1" applyAlignment="1">
      <alignment horizontal="center" vertical="center"/>
    </xf>
    <xf numFmtId="2" fontId="23" fillId="0" borderId="26" xfId="0" applyNumberFormat="1" applyFont="1" applyBorder="1" applyAlignment="1">
      <alignment horizontal="center" vertical="center"/>
    </xf>
    <xf numFmtId="2" fontId="23" fillId="0" borderId="24" xfId="0" applyNumberFormat="1" applyFont="1" applyBorder="1" applyAlignment="1">
      <alignment horizontal="center" vertical="center"/>
    </xf>
    <xf numFmtId="2" fontId="23" fillId="0" borderId="25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14" fontId="23" fillId="0" borderId="5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3" fillId="0" borderId="3" xfId="0" applyNumberFormat="1" applyFont="1" applyBorder="1" applyAlignment="1">
      <alignment horizontal="center" vertical="center"/>
    </xf>
    <xf numFmtId="2" fontId="23" fillId="0" borderId="5" xfId="0" applyNumberFormat="1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2" xfId="0" applyFont="1" applyBorder="1"/>
    <xf numFmtId="0" fontId="23" fillId="0" borderId="3" xfId="0" applyFont="1" applyBorder="1"/>
    <xf numFmtId="0" fontId="23" fillId="0" borderId="5" xfId="0" applyFont="1" applyBorder="1"/>
    <xf numFmtId="0" fontId="23" fillId="0" borderId="1" xfId="0" applyFont="1" applyBorder="1"/>
    <xf numFmtId="0" fontId="23" fillId="0" borderId="4" xfId="0" applyFont="1" applyBorder="1"/>
    <xf numFmtId="0" fontId="23" fillId="0" borderId="7" xfId="0" applyFont="1" applyBorder="1"/>
    <xf numFmtId="0" fontId="23" fillId="0" borderId="8" xfId="0" applyFont="1" applyBorder="1"/>
    <xf numFmtId="0" fontId="23" fillId="0" borderId="11" xfId="0" applyFont="1" applyBorder="1"/>
    <xf numFmtId="0" fontId="23" fillId="0" borderId="6" xfId="0" applyFont="1" applyBorder="1"/>
    <xf numFmtId="0" fontId="24" fillId="0" borderId="0" xfId="0" applyFont="1" applyAlignment="1">
      <alignment horizontal="center" vertical="center"/>
    </xf>
    <xf numFmtId="0" fontId="23" fillId="0" borderId="12" xfId="0" applyFont="1" applyBorder="1"/>
    <xf numFmtId="0" fontId="23" fillId="0" borderId="14" xfId="0" applyFont="1" applyBorder="1"/>
    <xf numFmtId="0" fontId="23" fillId="0" borderId="15" xfId="0" applyFont="1" applyBorder="1"/>
    <xf numFmtId="0" fontId="23" fillId="0" borderId="9" xfId="0" applyFont="1" applyBorder="1"/>
    <xf numFmtId="0" fontId="23" fillId="0" borderId="10" xfId="0" applyFont="1" applyBorder="1"/>
    <xf numFmtId="0" fontId="23" fillId="0" borderId="13" xfId="0" applyFont="1" applyBorder="1"/>
    <xf numFmtId="0" fontId="20" fillId="2" borderId="26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5" fillId="2" borderId="30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4" xfId="0" applyFont="1" applyFill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8" fillId="0" borderId="0" xfId="0" applyFont="1"/>
    <xf numFmtId="0" fontId="28" fillId="0" borderId="26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4" fontId="28" fillId="0" borderId="26" xfId="0" applyNumberFormat="1" applyFont="1" applyBorder="1" applyAlignment="1">
      <alignment horizontal="center" vertical="center"/>
    </xf>
    <xf numFmtId="14" fontId="28" fillId="0" borderId="24" xfId="0" applyNumberFormat="1" applyFont="1" applyBorder="1" applyAlignment="1">
      <alignment horizontal="center" vertical="center"/>
    </xf>
    <xf numFmtId="14" fontId="28" fillId="0" borderId="25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14" fontId="28" fillId="0" borderId="2" xfId="0" applyNumberFormat="1" applyFont="1" applyBorder="1" applyAlignment="1">
      <alignment horizontal="center" vertical="center"/>
    </xf>
    <xf numFmtId="14" fontId="28" fillId="0" borderId="3" xfId="0" applyNumberFormat="1" applyFont="1" applyBorder="1" applyAlignment="1">
      <alignment horizontal="center" vertical="center"/>
    </xf>
    <xf numFmtId="14" fontId="28" fillId="0" borderId="5" xfId="0" applyNumberFormat="1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2" xfId="0" applyFont="1" applyBorder="1"/>
    <xf numFmtId="0" fontId="28" fillId="0" borderId="3" xfId="0" applyFont="1" applyBorder="1"/>
    <xf numFmtId="0" fontId="28" fillId="0" borderId="5" xfId="0" applyFont="1" applyBorder="1"/>
    <xf numFmtId="0" fontId="28" fillId="0" borderId="1" xfId="0" applyFont="1" applyBorder="1"/>
    <xf numFmtId="0" fontId="28" fillId="0" borderId="4" xfId="0" applyFont="1" applyBorder="1"/>
    <xf numFmtId="0" fontId="25" fillId="2" borderId="0" xfId="0" applyFont="1" applyFill="1"/>
    <xf numFmtId="0" fontId="28" fillId="0" borderId="35" xfId="0" applyFont="1" applyBorder="1"/>
    <xf numFmtId="0" fontId="28" fillId="0" borderId="36" xfId="0" applyFont="1" applyBorder="1"/>
    <xf numFmtId="0" fontId="28" fillId="0" borderId="37" xfId="0" applyFont="1" applyBorder="1"/>
    <xf numFmtId="0" fontId="28" fillId="0" borderId="24" xfId="0" applyFont="1" applyBorder="1"/>
    <xf numFmtId="0" fontId="28" fillId="0" borderId="25" xfId="0" applyFont="1" applyBorder="1"/>
    <xf numFmtId="0" fontId="28" fillId="0" borderId="26" xfId="0" applyFont="1" applyBorder="1"/>
    <xf numFmtId="0" fontId="28" fillId="0" borderId="38" xfId="0" applyFont="1" applyBorder="1"/>
    <xf numFmtId="0" fontId="28" fillId="0" borderId="39" xfId="0" applyFont="1" applyBorder="1"/>
    <xf numFmtId="0" fontId="28" fillId="0" borderId="40" xfId="0" applyFont="1" applyBorder="1"/>
    <xf numFmtId="0" fontId="28" fillId="0" borderId="3" xfId="0" applyFont="1" applyBorder="1"/>
    <xf numFmtId="0" fontId="28" fillId="0" borderId="5" xfId="0" applyFont="1" applyBorder="1"/>
    <xf numFmtId="0" fontId="28" fillId="0" borderId="2" xfId="0" applyFont="1" applyBorder="1"/>
    <xf numFmtId="14" fontId="30" fillId="0" borderId="26" xfId="0" applyNumberFormat="1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0" fontId="30" fillId="0" borderId="35" xfId="0" applyFont="1" applyBorder="1"/>
    <xf numFmtId="0" fontId="30" fillId="0" borderId="36" xfId="0" applyFont="1" applyBorder="1"/>
    <xf numFmtId="0" fontId="30" fillId="0" borderId="37" xfId="0" applyFont="1" applyBorder="1"/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38" xfId="0" applyFont="1" applyBorder="1"/>
    <xf numFmtId="0" fontId="30" fillId="0" borderId="39" xfId="0" applyFont="1" applyBorder="1"/>
    <xf numFmtId="0" fontId="30" fillId="0" borderId="40" xfId="0" applyFont="1" applyBorder="1"/>
    <xf numFmtId="14" fontId="28" fillId="0" borderId="1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1" xfId="0" quotePrefix="1" applyFont="1" applyBorder="1" applyAlignment="1">
      <alignment horizontal="left"/>
    </xf>
    <xf numFmtId="0" fontId="28" fillId="0" borderId="42" xfId="0" applyFont="1" applyBorder="1" applyAlignment="1">
      <alignment horizontal="left"/>
    </xf>
    <xf numFmtId="0" fontId="28" fillId="0" borderId="43" xfId="0" applyFont="1" applyBorder="1" applyAlignment="1">
      <alignment horizontal="left"/>
    </xf>
    <xf numFmtId="0" fontId="28" fillId="0" borderId="0" xfId="0" applyFont="1"/>
    <xf numFmtId="0" fontId="28" fillId="0" borderId="4" xfId="0" applyFont="1" applyBorder="1"/>
    <xf numFmtId="0" fontId="28" fillId="0" borderId="1" xfId="0" applyFont="1" applyBorder="1"/>
    <xf numFmtId="0" fontId="28" fillId="0" borderId="38" xfId="0" quotePrefix="1" applyFont="1" applyBorder="1" applyAlignment="1">
      <alignment horizontal="left"/>
    </xf>
    <xf numFmtId="0" fontId="28" fillId="0" borderId="39" xfId="0" applyFont="1" applyBorder="1" applyAlignment="1">
      <alignment horizontal="left"/>
    </xf>
    <xf numFmtId="0" fontId="28" fillId="0" borderId="40" xfId="0" applyFont="1" applyBorder="1" applyAlignment="1">
      <alignment horizontal="left"/>
    </xf>
    <xf numFmtId="0" fontId="28" fillId="0" borderId="41" xfId="0" applyFont="1" applyBorder="1" applyAlignment="1">
      <alignment horizontal="left"/>
    </xf>
    <xf numFmtId="14" fontId="32" fillId="0" borderId="26" xfId="0" applyNumberFormat="1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35" xfId="0" applyFont="1" applyBorder="1"/>
    <xf numFmtId="0" fontId="32" fillId="0" borderId="36" xfId="0" applyFont="1" applyBorder="1"/>
    <xf numFmtId="0" fontId="32" fillId="0" borderId="37" xfId="0" applyFont="1" applyBorder="1"/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38" xfId="0" applyFont="1" applyBorder="1"/>
    <xf numFmtId="0" fontId="32" fillId="0" borderId="39" xfId="0" applyFont="1" applyBorder="1"/>
    <xf numFmtId="0" fontId="32" fillId="0" borderId="40" xfId="0" applyFont="1" applyBorder="1"/>
    <xf numFmtId="14" fontId="33" fillId="0" borderId="26" xfId="0" applyNumberFormat="1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35" xfId="0" applyFont="1" applyBorder="1"/>
    <xf numFmtId="0" fontId="33" fillId="0" borderId="36" xfId="0" applyFont="1" applyBorder="1"/>
    <xf numFmtId="0" fontId="33" fillId="0" borderId="37" xfId="0" applyFont="1" applyBorder="1"/>
    <xf numFmtId="0" fontId="33" fillId="0" borderId="2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38" xfId="0" applyFont="1" applyBorder="1"/>
    <xf numFmtId="0" fontId="33" fillId="0" borderId="39" xfId="0" applyFont="1" applyBorder="1"/>
    <xf numFmtId="0" fontId="33" fillId="0" borderId="40" xfId="0" applyFont="1" applyBorder="1"/>
    <xf numFmtId="14" fontId="34" fillId="0" borderId="26" xfId="0" applyNumberFormat="1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4" fillId="0" borderId="35" xfId="0" applyFont="1" applyBorder="1"/>
    <xf numFmtId="0" fontId="34" fillId="0" borderId="36" xfId="0" applyFont="1" applyBorder="1"/>
    <xf numFmtId="0" fontId="34" fillId="0" borderId="37" xfId="0" applyFont="1" applyBorder="1"/>
    <xf numFmtId="0" fontId="34" fillId="0" borderId="2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4" fillId="0" borderId="38" xfId="0" applyFont="1" applyBorder="1"/>
    <xf numFmtId="0" fontId="34" fillId="0" borderId="39" xfId="0" applyFont="1" applyBorder="1"/>
    <xf numFmtId="0" fontId="34" fillId="0" borderId="40" xfId="0" applyFont="1" applyBorder="1"/>
    <xf numFmtId="0" fontId="35" fillId="0" borderId="0" xfId="0" applyFont="1"/>
    <xf numFmtId="0" fontId="23" fillId="0" borderId="29" xfId="0" applyFont="1" applyBorder="1"/>
    <xf numFmtId="0" fontId="0" fillId="0" borderId="0" xfId="0" applyFont="1"/>
    <xf numFmtId="0" fontId="0" fillId="0" borderId="26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14" fontId="0" fillId="0" borderId="26" xfId="0" applyNumberFormat="1" applyFont="1" applyBorder="1" applyAlignment="1">
      <alignment horizontal="center" vertical="center"/>
    </xf>
    <xf numFmtId="14" fontId="0" fillId="0" borderId="24" xfId="0" applyNumberFormat="1" applyFont="1" applyBorder="1" applyAlignment="1">
      <alignment horizontal="center" vertical="center"/>
    </xf>
    <xf numFmtId="14" fontId="0" fillId="0" borderId="25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7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2" xfId="0" applyFont="1" applyBorder="1" applyAlignment="1">
      <alignment vertical="center"/>
    </xf>
    <xf numFmtId="0" fontId="0" fillId="0" borderId="23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21" fillId="2" borderId="0" xfId="0" applyFont="1" applyFill="1" applyAlignment="1">
      <alignment vertical="center"/>
    </xf>
    <xf numFmtId="0" fontId="20" fillId="2" borderId="18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19" xfId="0" applyFont="1" applyFill="1" applyBorder="1" applyAlignment="1">
      <alignment vertical="center"/>
    </xf>
    <xf numFmtId="0" fontId="23" fillId="0" borderId="19" xfId="0" applyFont="1" applyBorder="1"/>
    <xf numFmtId="0" fontId="23" fillId="0" borderId="18" xfId="0" applyFont="1" applyBorder="1"/>
    <xf numFmtId="0" fontId="23" fillId="3" borderId="0" xfId="0" applyFont="1" applyFill="1"/>
    <xf numFmtId="0" fontId="23" fillId="3" borderId="19" xfId="0" applyFont="1" applyFill="1" applyBorder="1"/>
    <xf numFmtId="0" fontId="23" fillId="3" borderId="18" xfId="0" applyFont="1" applyFill="1" applyBorder="1"/>
    <xf numFmtId="0" fontId="23" fillId="3" borderId="0" xfId="7" applyFont="1" applyFill="1">
      <alignment vertical="center"/>
    </xf>
    <xf numFmtId="0" fontId="23" fillId="0" borderId="26" xfId="0" applyFont="1" applyBorder="1"/>
    <xf numFmtId="0" fontId="23" fillId="0" borderId="24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5" xfId="0" applyFont="1" applyBorder="1"/>
    <xf numFmtId="0" fontId="36" fillId="0" borderId="0" xfId="0" applyFont="1" applyAlignment="1">
      <alignment horizontal="left" vertical="center"/>
    </xf>
    <xf numFmtId="0" fontId="23" fillId="3" borderId="30" xfId="0" applyFont="1" applyFill="1" applyBorder="1"/>
    <xf numFmtId="0" fontId="23" fillId="3" borderId="31" xfId="0" applyFont="1" applyFill="1" applyBorder="1"/>
    <xf numFmtId="0" fontId="23" fillId="3" borderId="32" xfId="0" applyFont="1" applyFill="1" applyBorder="1"/>
    <xf numFmtId="0" fontId="23" fillId="3" borderId="33" xfId="0" applyFont="1" applyFill="1" applyBorder="1"/>
    <xf numFmtId="0" fontId="23" fillId="3" borderId="34" xfId="0" applyFont="1" applyFill="1" applyBorder="1"/>
    <xf numFmtId="0" fontId="35" fillId="0" borderId="1" xfId="0" applyFont="1" applyBorder="1"/>
    <xf numFmtId="0" fontId="36" fillId="0" borderId="3" xfId="0" applyFont="1" applyBorder="1"/>
    <xf numFmtId="0" fontId="23" fillId="0" borderId="20" xfId="0" applyFont="1" applyBorder="1"/>
    <xf numFmtId="0" fontId="23" fillId="0" borderId="21" xfId="0" applyFont="1" applyBorder="1"/>
    <xf numFmtId="0" fontId="37" fillId="0" borderId="0" xfId="0" applyFont="1"/>
    <xf numFmtId="0" fontId="21" fillId="2" borderId="30" xfId="0" applyFont="1" applyFill="1" applyBorder="1" applyAlignment="1">
      <alignment horizontal="center"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3</xdr:row>
      <xdr:rowOff>0</xdr:rowOff>
    </xdr:from>
    <xdr:ext cx="4695825" cy="2790825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600075"/>
          <a:ext cx="4695825" cy="27908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</xdr:col>
      <xdr:colOff>0</xdr:colOff>
      <xdr:row>19</xdr:row>
      <xdr:rowOff>0</xdr:rowOff>
    </xdr:from>
    <xdr:ext cx="4695825" cy="2790825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3800475"/>
          <a:ext cx="4695825" cy="27908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8</xdr:col>
      <xdr:colOff>47625</xdr:colOff>
      <xdr:row>19</xdr:row>
      <xdr:rowOff>28575</xdr:rowOff>
    </xdr:from>
    <xdr:ext cx="4419600" cy="3981450"/>
    <xdr:pic>
      <xdr:nvPicPr>
        <xdr:cNvPr id="4" name="図 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3225" y="3829050"/>
          <a:ext cx="4419600" cy="39814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62" name="正方形/長方形 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63" name="吹き出し: 線 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64" name="四角形: 角を丸くする 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65" name="吹き出し: 線 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6" name="正方形/長方形 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67" name="吹き出し: 線 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68" name="フローチャート: 手操作入力 1033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69" name="吹き出し: 線 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70" name="フローチャート: 表示 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71" name="吹き出し: 線 1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72" name="フローチャート: 書類 1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29</xdr:row>
      <xdr:rowOff>0</xdr:rowOff>
    </xdr:from>
    <xdr:to>
      <xdr:col>61</xdr:col>
      <xdr:colOff>0</xdr:colOff>
      <xdr:row>33</xdr:row>
      <xdr:rowOff>0</xdr:rowOff>
    </xdr:to>
    <xdr:sp macro="" textlink="" fLocksText="0">
      <xdr:nvSpPr>
        <xdr:cNvPr id="73" name="吹き出し: 線 1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>
        <a:xfrm>
          <a:off x="10934700" y="5638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74" name="フローチャート: 磁気ディスク 1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75" name="吹き出し: 線 1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76" name="吹き出し: 角を丸めた四角形 1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77" name="吹き出し: 線 1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78" name="フローチャート: カード 1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79" name="吹き出し: 線 1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80" name="正方形/長方形 1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81" name="吹き出し: 線 2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82" name="四角形: 角を丸くする 2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83" name="吹き出し: 線 2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84" name="フローチャート: 磁気ディスク 2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85" name="吹き出し: 線 2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86" name="四角形: 角を丸くする 294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87" name="吹き出し: 線 2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88" name="吹き出し: 線 2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89" name="四角形: 角を丸くする 294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40</xdr:col>
      <xdr:colOff>235323</xdr:colOff>
      <xdr:row>56</xdr:row>
      <xdr:rowOff>11205</xdr:rowOff>
    </xdr:from>
    <xdr:to>
      <xdr:col>60</xdr:col>
      <xdr:colOff>235322</xdr:colOff>
      <xdr:row>59</xdr:row>
      <xdr:rowOff>201705</xdr:rowOff>
    </xdr:to>
    <xdr:sp macro="" textlink="" fLocksText="0">
      <xdr:nvSpPr>
        <xdr:cNvPr id="90" name="吹き出し: 線 22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/>
      </xdr:nvSpPr>
      <xdr:spPr>
        <a:xfrm>
          <a:off x="10906125" y="10801350"/>
          <a:ext cx="5334000" cy="790575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31</xdr:col>
      <xdr:colOff>235323</xdr:colOff>
      <xdr:row>56</xdr:row>
      <xdr:rowOff>11206</xdr:rowOff>
    </xdr:from>
    <xdr:to>
      <xdr:col>38</xdr:col>
      <xdr:colOff>449</xdr:colOff>
      <xdr:row>59</xdr:row>
      <xdr:rowOff>169289</xdr:rowOff>
    </xdr:to>
    <xdr:sp macro="" textlink="" fLocksText="0">
      <xdr:nvSpPr>
        <xdr:cNvPr id="91" name="四角形: 角を丸くする 21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/>
      </xdr:nvSpPr>
      <xdr:spPr>
        <a:xfrm>
          <a:off x="8505825" y="10801350"/>
          <a:ext cx="1628775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32</xdr:row>
      <xdr:rowOff>0</xdr:rowOff>
    </xdr:from>
    <xdr:to>
      <xdr:col>61</xdr:col>
      <xdr:colOff>0</xdr:colOff>
      <xdr:row>36</xdr:row>
      <xdr:rowOff>0</xdr:rowOff>
    </xdr:to>
    <xdr:sp macro="" textlink="" fLocksText="0">
      <xdr:nvSpPr>
        <xdr:cNvPr id="109" name="吹き出し: 線 3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10134600" y="6210300"/>
          <a:ext cx="6134100" cy="762000"/>
        </a:xfrm>
        <a:prstGeom prst="borderCallout1">
          <a:avLst>
            <a:gd name="adj1" fmla="val 75416"/>
            <a:gd name="adj2" fmla="val -565"/>
            <a:gd name="adj3" fmla="val 78027"/>
            <a:gd name="adj4" fmla="val -12098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前の画面に戻る。保存されていない変更データがある場合、確定モダールを閉じる通知が表示される。ブラウザタブのxボタンやブラウザのxボタンで閉じた場合にも適用される。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99</xdr:row>
      <xdr:rowOff>0</xdr:rowOff>
    </xdr:from>
    <xdr:to>
      <xdr:col>61</xdr:col>
      <xdr:colOff>0</xdr:colOff>
      <xdr:row>104</xdr:row>
      <xdr:rowOff>0</xdr:rowOff>
    </xdr:to>
    <xdr:sp macro="" textlink="" fLocksText="0">
      <xdr:nvSpPr>
        <xdr:cNvPr id="130" name="吹き出し: 線 3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SpPr/>
      </xdr:nvSpPr>
      <xdr:spPr>
        <a:xfrm>
          <a:off x="10134600" y="18973800"/>
          <a:ext cx="6134100" cy="952500"/>
        </a:xfrm>
        <a:prstGeom prst="borderCallout1">
          <a:avLst>
            <a:gd name="adj1" fmla="val 50083"/>
            <a:gd name="adj2" fmla="val 121"/>
            <a:gd name="adj3" fmla="val 31341"/>
            <a:gd name="adj4" fmla="val -990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1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・ログインしているアカウントの権限がシステム権限以外の場合、店舗選択エリアを表示しない。ヘッダーに店舗情報のみを表示する。そのアカウントが所属する店舗のみで機能実行が可能。</a:t>
          </a:r>
        </a:p>
      </xdr:txBody>
    </xdr:sp>
    <xdr:clientData/>
  </xdr:twoCellAnchor>
  <xdr:twoCellAnchor>
    <xdr:from>
      <xdr:col>38</xdr:col>
      <xdr:colOff>0</xdr:colOff>
      <xdr:row>12</xdr:row>
      <xdr:rowOff>0</xdr:rowOff>
    </xdr:from>
    <xdr:to>
      <xdr:col>61</xdr:col>
      <xdr:colOff>0</xdr:colOff>
      <xdr:row>20</xdr:row>
      <xdr:rowOff>0</xdr:rowOff>
    </xdr:to>
    <xdr:sp macro="" textlink="" fLocksText="0">
      <xdr:nvSpPr>
        <xdr:cNvPr id="15" name="吹き出し: 線 3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0134600" y="2400300"/>
          <a:ext cx="6134100" cy="1524000"/>
        </a:xfrm>
        <a:prstGeom prst="borderCallout1">
          <a:avLst>
            <a:gd name="adj1" fmla="val 75416"/>
            <a:gd name="adj2" fmla="val -565"/>
            <a:gd name="adj3" fmla="val 14882"/>
            <a:gd name="adj4" fmla="val -13832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画面にはヘッダーが含まれている。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ヘッダーには、画面タイトル、ユーザー名、選択した店舗（1つの店舗または複数の店舗）などが含まれている。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1つの店舗を選択した場合、機能を実行している店舗コードと店舗名を表示する。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複数の店舗を選択した場合、「複数店舗選択中」テキストを表示する。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152</xdr:row>
      <xdr:rowOff>0</xdr:rowOff>
    </xdr:from>
    <xdr:to>
      <xdr:col>61</xdr:col>
      <xdr:colOff>0</xdr:colOff>
      <xdr:row>160</xdr:row>
      <xdr:rowOff>0</xdr:rowOff>
    </xdr:to>
    <xdr:sp macro="" textlink="" fLocksText="0">
      <xdr:nvSpPr>
        <xdr:cNvPr id="64" name="吹き出し: 線 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10134600" y="29070300"/>
          <a:ext cx="6134100" cy="1524000"/>
        </a:xfrm>
        <a:prstGeom prst="borderCallout1">
          <a:avLst>
            <a:gd name="adj1" fmla="val 75416"/>
            <a:gd name="adj2" fmla="val -565"/>
            <a:gd name="adj3" fmla="val 43424"/>
            <a:gd name="adj4" fmla="val -12831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API呼出を行い（ローディング表示）、APIレスポンスがある場合、ローディングモーダルを閉じる。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情報を取得したAPIに対しては、成功した場合 -&gt; モーダルが正常に表示されない。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新規作成、更新、削除のAPIに対しては、成功した場合、モーダルが正常に表示される。フローによって次の作業を実行する。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失敗した場合、エラーメッセージとエラーコードを含む失敗モーダルが表示される。「閉じる」をタッチすると、モダールを閉じる。</a:t>
          </a:r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7</xdr:col>
      <xdr:colOff>0</xdr:colOff>
      <xdr:row>16</xdr:row>
      <xdr:rowOff>0</xdr:rowOff>
    </xdr:to>
    <xdr:sp macro="" textlink="" fLocksText="0">
      <xdr:nvSpPr>
        <xdr:cNvPr id="2" name="正方形/長方形 2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66700" y="2400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SC●●●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18</xdr:row>
      <xdr:rowOff>0</xdr:rowOff>
    </xdr:from>
    <xdr:to>
      <xdr:col>10</xdr:col>
      <xdr:colOff>0</xdr:colOff>
      <xdr:row>20</xdr:row>
      <xdr:rowOff>0</xdr:rowOff>
    </xdr:to>
    <xdr:sp macro="" textlink="" fLocksText="0">
      <xdr:nvSpPr>
        <xdr:cNvPr id="7" name="四角形: 角を丸くする 29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600200" y="3543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ログアウト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39</xdr:row>
      <xdr:rowOff>0</xdr:rowOff>
    </xdr:from>
    <xdr:to>
      <xdr:col>10</xdr:col>
      <xdr:colOff>12700</xdr:colOff>
      <xdr:row>41</xdr:row>
      <xdr:rowOff>0</xdr:rowOff>
    </xdr:to>
    <xdr:sp macro="" textlink="" fLocksText="0">
      <xdr:nvSpPr>
        <xdr:cNvPr id="8" name="四角形: 角を丸くする 29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600200" y="7543800"/>
          <a:ext cx="107632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34</xdr:row>
      <xdr:rowOff>0</xdr:rowOff>
    </xdr:from>
    <xdr:to>
      <xdr:col>10</xdr:col>
      <xdr:colOff>0</xdr:colOff>
      <xdr:row>36</xdr:row>
      <xdr:rowOff>0</xdr:rowOff>
    </xdr:to>
    <xdr:sp macro="" textlink="" fLocksText="0">
      <xdr:nvSpPr>
        <xdr:cNvPr id="9" name="四角形: 角を丸くする 29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600200" y="6591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メインメニュー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6</xdr:col>
      <xdr:colOff>0</xdr:colOff>
      <xdr:row>19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2" idx="2"/>
          <a:endCxn id="7" idx="1"/>
        </xdr:cNvCxnSpPr>
      </xdr:nvCxnSpPr>
      <xdr:spPr>
        <a:xfrm rot="16200000" flipH="1">
          <a:off x="1066800" y="3162300"/>
          <a:ext cx="533400" cy="5715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16</xdr:row>
      <xdr:rowOff>0</xdr:rowOff>
    </xdr:from>
    <xdr:to>
      <xdr:col>6</xdr:col>
      <xdr:colOff>0</xdr:colOff>
      <xdr:row>35</xdr:row>
      <xdr:rowOff>0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2" idx="2"/>
          <a:endCxn id="9" idx="1"/>
        </xdr:cNvCxnSpPr>
      </xdr:nvCxnSpPr>
      <xdr:spPr>
        <a:xfrm rot="16200000" flipH="1">
          <a:off x="1066800" y="3162300"/>
          <a:ext cx="533400" cy="36195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16</xdr:row>
      <xdr:rowOff>0</xdr:rowOff>
    </xdr:from>
    <xdr:to>
      <xdr:col>6</xdr:col>
      <xdr:colOff>0</xdr:colOff>
      <xdr:row>40</xdr:row>
      <xdr:rowOff>0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2" idx="2"/>
          <a:endCxn id="8" idx="1"/>
        </xdr:cNvCxnSpPr>
      </xdr:nvCxnSpPr>
      <xdr:spPr>
        <a:xfrm rot="16200000" flipH="1">
          <a:off x="1066800" y="3162300"/>
          <a:ext cx="533400" cy="45720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17</xdr:row>
      <xdr:rowOff>0</xdr:rowOff>
    </xdr:from>
    <xdr:to>
      <xdr:col>19</xdr:col>
      <xdr:colOff>0</xdr:colOff>
      <xdr:row>21</xdr:row>
      <xdr:rowOff>0</xdr:rowOff>
    </xdr:to>
    <xdr:sp macro="" textlink="" fLocksText="0">
      <xdr:nvSpPr>
        <xdr:cNvPr id="36" name="四角形: 角を丸くする 21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3467100" y="3352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KN0002_ログアウト機能</a:t>
          </a:r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13</xdr:col>
      <xdr:colOff>0</xdr:colOff>
      <xdr:row>19</xdr:row>
      <xdr:rowOff>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stCxn id="7" idx="3"/>
          <a:endCxn id="36" idx="1"/>
        </xdr:cNvCxnSpPr>
      </xdr:nvCxnSpPr>
      <xdr:spPr>
        <a:xfrm>
          <a:off x="2667000" y="37338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35</xdr:row>
      <xdr:rowOff>0</xdr:rowOff>
    </xdr:from>
    <xdr:to>
      <xdr:col>13</xdr:col>
      <xdr:colOff>0</xdr:colOff>
      <xdr:row>35</xdr:row>
      <xdr:rowOff>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9" idx="3"/>
          <a:endCxn id="29" idx="1"/>
        </xdr:cNvCxnSpPr>
      </xdr:nvCxnSpPr>
      <xdr:spPr>
        <a:xfrm>
          <a:off x="2667000" y="67818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33</xdr:row>
      <xdr:rowOff>0</xdr:rowOff>
    </xdr:from>
    <xdr:to>
      <xdr:col>19</xdr:col>
      <xdr:colOff>0</xdr:colOff>
      <xdr:row>37</xdr:row>
      <xdr:rowOff>0</xdr:rowOff>
    </xdr:to>
    <xdr:sp macro="" textlink="" fLocksText="0">
      <xdr:nvSpPr>
        <xdr:cNvPr id="29" name="四角形: 角を丸くする 21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3467100" y="6400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X02_メニュー機能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</xdr:col>
      <xdr:colOff>0</xdr:colOff>
      <xdr:row>134</xdr:row>
      <xdr:rowOff>0</xdr:rowOff>
    </xdr:from>
    <xdr:to>
      <xdr:col>9</xdr:col>
      <xdr:colOff>0</xdr:colOff>
      <xdr:row>138</xdr:row>
      <xdr:rowOff>0</xdr:rowOff>
    </xdr:to>
    <xdr:sp macro="" textlink="" fLocksText="0">
      <xdr:nvSpPr>
        <xdr:cNvPr id="6" name="正方形/長方形 27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00100" y="25641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SC●●●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152</xdr:row>
      <xdr:rowOff>0</xdr:rowOff>
    </xdr:from>
    <xdr:to>
      <xdr:col>9</xdr:col>
      <xdr:colOff>0</xdr:colOff>
      <xdr:row>156</xdr:row>
      <xdr:rowOff>0</xdr:rowOff>
    </xdr:to>
    <xdr:sp macro="" textlink="" fLocksText="0">
      <xdr:nvSpPr>
        <xdr:cNvPr id="10" name="正方形/長方形 1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00100" y="29070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KN●●●</a:t>
          </a:r>
        </a:p>
      </xdr:txBody>
    </xdr:sp>
    <xdr:clientData/>
  </xdr:twoCellAnchor>
  <xdr:twoCellAnchor>
    <xdr:from>
      <xdr:col>15</xdr:col>
      <xdr:colOff>0</xdr:colOff>
      <xdr:row>144</xdr:row>
      <xdr:rowOff>0</xdr:rowOff>
    </xdr:from>
    <xdr:to>
      <xdr:col>21</xdr:col>
      <xdr:colOff>0</xdr:colOff>
      <xdr:row>148</xdr:row>
      <xdr:rowOff>0</xdr:rowOff>
    </xdr:to>
    <xdr:sp macro="" textlink="" fLocksText="0">
      <xdr:nvSpPr>
        <xdr:cNvPr id="11" name="正方形/長方形 19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4000500" y="27546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エラーモーダル</a:t>
          </a:r>
        </a:p>
      </xdr:txBody>
    </xdr:sp>
    <xdr:clientData/>
  </xdr:twoCellAnchor>
  <xdr:twoCellAnchor>
    <xdr:from>
      <xdr:col>6</xdr:col>
      <xdr:colOff>0</xdr:colOff>
      <xdr:row>138</xdr:row>
      <xdr:rowOff>0</xdr:rowOff>
    </xdr:from>
    <xdr:to>
      <xdr:col>18</xdr:col>
      <xdr:colOff>0</xdr:colOff>
      <xdr:row>139</xdr:row>
      <xdr:rowOff>177800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6" idx="2"/>
          <a:endCxn id="28" idx="0"/>
        </xdr:cNvCxnSpPr>
      </xdr:nvCxnSpPr>
      <xdr:spPr>
        <a:xfrm rot="16200000" flipH="1">
          <a:off x="1600200" y="26403300"/>
          <a:ext cx="3200400" cy="3714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139</xdr:row>
      <xdr:rowOff>177800</xdr:rowOff>
    </xdr:from>
    <xdr:to>
      <xdr:col>20</xdr:col>
      <xdr:colOff>0</xdr:colOff>
      <xdr:row>141</xdr:row>
      <xdr:rowOff>0</xdr:rowOff>
    </xdr:to>
    <xdr:sp macro="" textlink="" fLocksText="0">
      <xdr:nvSpPr>
        <xdr:cNvPr id="28" name="四角形: 角を丸くする 294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4267200" y="26774775"/>
          <a:ext cx="10668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8</xdr:col>
      <xdr:colOff>0</xdr:colOff>
      <xdr:row>141</xdr:row>
      <xdr:rowOff>0</xdr:rowOff>
    </xdr:to>
    <xdr:sp macro="" textlink="" fLocksText="0">
      <xdr:nvSpPr>
        <xdr:cNvPr id="34" name="四角形: 角を丸くする 294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1066800" y="267843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138</xdr:row>
      <xdr:rowOff>0</xdr:rowOff>
    </xdr:from>
    <xdr:to>
      <xdr:col>6</xdr:col>
      <xdr:colOff>0</xdr:colOff>
      <xdr:row>140</xdr:row>
      <xdr:rowOff>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>
          <a:stCxn id="6" idx="2"/>
          <a:endCxn id="34" idx="0"/>
        </xdr:cNvCxnSpPr>
      </xdr:nvCxnSpPr>
      <xdr:spPr>
        <a:xfrm>
          <a:off x="1600200" y="26403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141</xdr:row>
      <xdr:rowOff>0</xdr:rowOff>
    </xdr:from>
    <xdr:to>
      <xdr:col>6</xdr:col>
      <xdr:colOff>0</xdr:colOff>
      <xdr:row>152</xdr:row>
      <xdr:rowOff>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CxnSpPr>
          <a:stCxn id="34" idx="2"/>
          <a:endCxn id="10" idx="0"/>
        </xdr:cNvCxnSpPr>
      </xdr:nvCxnSpPr>
      <xdr:spPr>
        <a:xfrm>
          <a:off x="1600200" y="26974800"/>
          <a:ext cx="0" cy="2095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141</xdr:row>
      <xdr:rowOff>0</xdr:rowOff>
    </xdr:from>
    <xdr:to>
      <xdr:col>18</xdr:col>
      <xdr:colOff>0</xdr:colOff>
      <xdr:row>144</xdr:row>
      <xdr:rowOff>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>
          <a:stCxn id="28" idx="2"/>
          <a:endCxn id="11" idx="0"/>
        </xdr:cNvCxnSpPr>
      </xdr:nvCxnSpPr>
      <xdr:spPr>
        <a:xfrm>
          <a:off x="4800600" y="26974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134</xdr:row>
      <xdr:rowOff>139700</xdr:rowOff>
    </xdr:from>
    <xdr:to>
      <xdr:col>61</xdr:col>
      <xdr:colOff>0</xdr:colOff>
      <xdr:row>139</xdr:row>
      <xdr:rowOff>0</xdr:rowOff>
    </xdr:to>
    <xdr:sp macro="" textlink="" fLocksText="0">
      <xdr:nvSpPr>
        <xdr:cNvPr id="53" name="吹き出し: 線 3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10134600" y="25784175"/>
          <a:ext cx="6134100" cy="809625"/>
        </a:xfrm>
        <a:prstGeom prst="borderCallout1">
          <a:avLst>
            <a:gd name="adj1" fmla="val 75416"/>
            <a:gd name="adj2" fmla="val -565"/>
            <a:gd name="adj3" fmla="val 43424"/>
            <a:gd name="adj4" fmla="val -12831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APIを呼び出す前にバリデーションチェックを行う。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ローディングモーダルを表示する。レスポンスのバリデーションチェックを行う時、ローディングモーダルを閉じる。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30</xdr:col>
      <xdr:colOff>0</xdr:colOff>
      <xdr:row>152</xdr:row>
      <xdr:rowOff>0</xdr:rowOff>
    </xdr:from>
    <xdr:to>
      <xdr:col>36</xdr:col>
      <xdr:colOff>21771</xdr:colOff>
      <xdr:row>156</xdr:row>
      <xdr:rowOff>0</xdr:rowOff>
    </xdr:to>
    <xdr:sp macro="" textlink="" fLocksText="0">
      <xdr:nvSpPr>
        <xdr:cNvPr id="62" name="フローチャート: 磁気ディスク 194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8001000" y="29070300"/>
          <a:ext cx="161925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APxxx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154</xdr:row>
      <xdr:rowOff>0</xdr:rowOff>
    </xdr:from>
    <xdr:to>
      <xdr:col>30</xdr:col>
      <xdr:colOff>0</xdr:colOff>
      <xdr:row>154</xdr:row>
      <xdr:rowOff>0</xdr:rowOff>
    </xdr:to>
    <xdr:cxnSp macro="">
      <xdr:nvCxnSpPr>
        <xdr:cNvPr id="63" name="直線矢印コネクタ 196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CxnSpPr>
          <a:stCxn id="10" idx="3"/>
          <a:endCxn id="62" idx="2"/>
        </xdr:cNvCxnSpPr>
      </xdr:nvCxnSpPr>
      <xdr:spPr>
        <a:xfrm>
          <a:off x="2400300" y="29451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156</xdr:row>
      <xdr:rowOff>0</xdr:rowOff>
    </xdr:from>
    <xdr:to>
      <xdr:col>18</xdr:col>
      <xdr:colOff>0</xdr:colOff>
      <xdr:row>158</xdr:row>
      <xdr:rowOff>177800</xdr:rowOff>
    </xdr:to>
    <xdr:cxnSp macro="">
      <xdr:nvCxnSpPr>
        <xdr:cNvPr id="66" name="Connector: Elbow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>
          <a:stCxn id="10" idx="2"/>
          <a:endCxn id="67" idx="0"/>
        </xdr:cNvCxnSpPr>
      </xdr:nvCxnSpPr>
      <xdr:spPr>
        <a:xfrm rot="16200000" flipH="1">
          <a:off x="1600200" y="29832300"/>
          <a:ext cx="3200400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158</xdr:row>
      <xdr:rowOff>177800</xdr:rowOff>
    </xdr:from>
    <xdr:to>
      <xdr:col>20</xdr:col>
      <xdr:colOff>0</xdr:colOff>
      <xdr:row>160</xdr:row>
      <xdr:rowOff>0</xdr:rowOff>
    </xdr:to>
    <xdr:sp macro="" textlink="" fLocksText="0">
      <xdr:nvSpPr>
        <xdr:cNvPr id="67" name="四角形: 角を丸くする 294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4267200" y="30394275"/>
          <a:ext cx="10668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159</xdr:row>
      <xdr:rowOff>0</xdr:rowOff>
    </xdr:from>
    <xdr:to>
      <xdr:col>8</xdr:col>
      <xdr:colOff>0</xdr:colOff>
      <xdr:row>160</xdr:row>
      <xdr:rowOff>0</xdr:rowOff>
    </xdr:to>
    <xdr:sp macro="" textlink="" fLocksText="0">
      <xdr:nvSpPr>
        <xdr:cNvPr id="68" name="四角形: 角を丸くする 294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1066800" y="30403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156</xdr:row>
      <xdr:rowOff>0</xdr:rowOff>
    </xdr:from>
    <xdr:to>
      <xdr:col>6</xdr:col>
      <xdr:colOff>0</xdr:colOff>
      <xdr:row>159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10" idx="2"/>
          <a:endCxn id="68" idx="0"/>
        </xdr:cNvCxnSpPr>
      </xdr:nvCxnSpPr>
      <xdr:spPr>
        <a:xfrm>
          <a:off x="1600200" y="29832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162</xdr:row>
      <xdr:rowOff>0</xdr:rowOff>
    </xdr:from>
    <xdr:to>
      <xdr:col>21</xdr:col>
      <xdr:colOff>0</xdr:colOff>
      <xdr:row>166</xdr:row>
      <xdr:rowOff>0</xdr:rowOff>
    </xdr:to>
    <xdr:sp macro="" textlink="" fLocksText="0">
      <xdr:nvSpPr>
        <xdr:cNvPr id="72" name="正方形/長方形 19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4000500" y="30975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エラーモーダル</a:t>
          </a:r>
        </a:p>
      </xdr:txBody>
    </xdr:sp>
    <xdr:clientData/>
  </xdr:twoCellAnchor>
  <xdr:twoCellAnchor>
    <xdr:from>
      <xdr:col>18</xdr:col>
      <xdr:colOff>0</xdr:colOff>
      <xdr:row>160</xdr:row>
      <xdr:rowOff>0</xdr:rowOff>
    </xdr:from>
    <xdr:to>
      <xdr:col>18</xdr:col>
      <xdr:colOff>0</xdr:colOff>
      <xdr:row>162</xdr:row>
      <xdr:rowOff>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CxnSpPr>
          <a:stCxn id="67" idx="2"/>
          <a:endCxn id="72" idx="0"/>
        </xdr:cNvCxnSpPr>
      </xdr:nvCxnSpPr>
      <xdr:spPr>
        <a:xfrm>
          <a:off x="4800600" y="30594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160</xdr:row>
      <xdr:rowOff>0</xdr:rowOff>
    </xdr:from>
    <xdr:to>
      <xdr:col>6</xdr:col>
      <xdr:colOff>0</xdr:colOff>
      <xdr:row>162</xdr:row>
      <xdr:rowOff>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>
          <a:stCxn id="68" idx="2"/>
        </xdr:cNvCxnSpPr>
      </xdr:nvCxnSpPr>
      <xdr:spPr>
        <a:xfrm>
          <a:off x="1600200" y="30594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148</xdr:row>
      <xdr:rowOff>0</xdr:rowOff>
    </xdr:from>
    <xdr:to>
      <xdr:col>19</xdr:col>
      <xdr:colOff>0</xdr:colOff>
      <xdr:row>149</xdr:row>
      <xdr:rowOff>0</xdr:rowOff>
    </xdr:to>
    <xdr:sp macro="" textlink="" fLocksText="0">
      <xdr:nvSpPr>
        <xdr:cNvPr id="83" name="四角形: 角を丸くする 294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4533900" y="283083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147</xdr:row>
      <xdr:rowOff>0</xdr:rowOff>
    </xdr:from>
    <xdr:to>
      <xdr:col>61</xdr:col>
      <xdr:colOff>0</xdr:colOff>
      <xdr:row>149</xdr:row>
      <xdr:rowOff>0</xdr:rowOff>
    </xdr:to>
    <xdr:sp macro="" textlink="" fLocksText="0">
      <xdr:nvSpPr>
        <xdr:cNvPr id="84" name="吹き出し: 線 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10134600" y="28117800"/>
          <a:ext cx="6134100" cy="381000"/>
        </a:xfrm>
        <a:prstGeom prst="borderCallout1">
          <a:avLst>
            <a:gd name="adj1" fmla="val 75416"/>
            <a:gd name="adj2" fmla="val -565"/>
            <a:gd name="adj3" fmla="val 77382"/>
            <a:gd name="adj4" fmla="val -8346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モーダルを閉じる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29</xdr:col>
      <xdr:colOff>0</xdr:colOff>
      <xdr:row>77</xdr:row>
      <xdr:rowOff>177800</xdr:rowOff>
    </xdr:from>
    <xdr:to>
      <xdr:col>34</xdr:col>
      <xdr:colOff>222623</xdr:colOff>
      <xdr:row>82</xdr:row>
      <xdr:rowOff>0</xdr:rowOff>
    </xdr:to>
    <xdr:sp macro="" textlink="" fLocksText="0">
      <xdr:nvSpPr>
        <xdr:cNvPr id="22" name="フローチャート: 磁気ディスク 194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7734300" y="14963775"/>
          <a:ext cx="1552575" cy="771525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AP8201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店舗一覧取得</a:t>
          </a:r>
        </a:p>
      </xdr:txBody>
    </xdr:sp>
    <xdr:clientData/>
  </xdr:twoCellAnchor>
  <xdr:twoCellAnchor>
    <xdr:from>
      <xdr:col>17</xdr:col>
      <xdr:colOff>0</xdr:colOff>
      <xdr:row>79</xdr:row>
      <xdr:rowOff>184150</xdr:rowOff>
    </xdr:from>
    <xdr:to>
      <xdr:col>29</xdr:col>
      <xdr:colOff>0</xdr:colOff>
      <xdr:row>80</xdr:row>
      <xdr:rowOff>0</xdr:rowOff>
    </xdr:to>
    <xdr:cxnSp macro="">
      <xdr:nvCxnSpPr>
        <xdr:cNvPr id="24" name="直線矢印コネクタ 196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26" idx="3"/>
          <a:endCxn id="22" idx="2"/>
        </xdr:cNvCxnSpPr>
      </xdr:nvCxnSpPr>
      <xdr:spPr>
        <a:xfrm flipV="1">
          <a:off x="4533900" y="15344775"/>
          <a:ext cx="3200400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235322</xdr:colOff>
      <xdr:row>78</xdr:row>
      <xdr:rowOff>0</xdr:rowOff>
    </xdr:from>
    <xdr:to>
      <xdr:col>17</xdr:col>
      <xdr:colOff>0</xdr:colOff>
      <xdr:row>82</xdr:row>
      <xdr:rowOff>0</xdr:rowOff>
    </xdr:to>
    <xdr:sp macro="" textlink="" fLocksText="0">
      <xdr:nvSpPr>
        <xdr:cNvPr id="26" name="四角形: 角を丸くする 3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2905125" y="14973300"/>
          <a:ext cx="1628775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KN0001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店舗一覧取得機能</a:t>
          </a:r>
        </a:p>
      </xdr:txBody>
    </xdr:sp>
    <xdr:clientData/>
  </xdr:twoCellAnchor>
  <xdr:twoCellAnchor>
    <xdr:from>
      <xdr:col>16</xdr:col>
      <xdr:colOff>0</xdr:colOff>
      <xdr:row>61</xdr:row>
      <xdr:rowOff>0</xdr:rowOff>
    </xdr:from>
    <xdr:to>
      <xdr:col>18</xdr:col>
      <xdr:colOff>0</xdr:colOff>
      <xdr:row>61</xdr:row>
      <xdr:rowOff>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32" idx="3"/>
          <a:endCxn id="33" idx="1"/>
        </xdr:cNvCxnSpPr>
      </xdr:nvCxnSpPr>
      <xdr:spPr>
        <a:xfrm>
          <a:off x="4267200" y="11734800"/>
          <a:ext cx="5334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76</xdr:row>
      <xdr:rowOff>1</xdr:rowOff>
    </xdr:from>
    <xdr:to>
      <xdr:col>14</xdr:col>
      <xdr:colOff>0</xdr:colOff>
      <xdr:row>78</xdr:row>
      <xdr:rowOff>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CxnSpPr>
          <a:stCxn id="158" idx="2"/>
          <a:endCxn id="26" idx="0"/>
        </xdr:cNvCxnSpPr>
      </xdr:nvCxnSpPr>
      <xdr:spPr>
        <a:xfrm>
          <a:off x="3733800" y="14592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162</xdr:row>
      <xdr:rowOff>0</xdr:rowOff>
    </xdr:from>
    <xdr:to>
      <xdr:col>8</xdr:col>
      <xdr:colOff>0</xdr:colOff>
      <xdr:row>163</xdr:row>
      <xdr:rowOff>0</xdr:rowOff>
    </xdr:to>
    <xdr:sp macro="" textlink="" fLocksText="0">
      <xdr:nvSpPr>
        <xdr:cNvPr id="45" name="四角形: 角を丸くする 29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1066800" y="309753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Next job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17</xdr:col>
      <xdr:colOff>0</xdr:colOff>
      <xdr:row>166</xdr:row>
      <xdr:rowOff>0</xdr:rowOff>
    </xdr:from>
    <xdr:to>
      <xdr:col>19</xdr:col>
      <xdr:colOff>0</xdr:colOff>
      <xdr:row>167</xdr:row>
      <xdr:rowOff>0</xdr:rowOff>
    </xdr:to>
    <xdr:sp macro="" textlink="" fLocksText="0">
      <xdr:nvSpPr>
        <xdr:cNvPr id="47" name="四角形: 角を丸くする 294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4533900" y="317373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16</xdr:col>
      <xdr:colOff>0</xdr:colOff>
      <xdr:row>62</xdr:row>
      <xdr:rowOff>0</xdr:rowOff>
    </xdr:to>
    <xdr:sp macro="" textlink="" fLocksText="0">
      <xdr:nvSpPr>
        <xdr:cNvPr id="32" name="四角形: 角を丸くする 294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2933700" y="11544300"/>
          <a:ext cx="1333500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システム権限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100</xdr:row>
      <xdr:rowOff>0</xdr:rowOff>
    </xdr:from>
    <xdr:to>
      <xdr:col>16</xdr:col>
      <xdr:colOff>0</xdr:colOff>
      <xdr:row>103</xdr:row>
      <xdr:rowOff>0</xdr:rowOff>
    </xdr:to>
    <xdr:sp macro="" textlink="" fLocksText="0">
      <xdr:nvSpPr>
        <xdr:cNvPr id="57" name="四角形: 角を丸くする 294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2933700" y="19164300"/>
          <a:ext cx="1333500" cy="571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システム権限なし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56</xdr:row>
      <xdr:rowOff>0</xdr:rowOff>
    </xdr:from>
    <xdr:to>
      <xdr:col>11</xdr:col>
      <xdr:colOff>0</xdr:colOff>
      <xdr:row>101</xdr:row>
      <xdr:rowOff>95250</xdr:rowOff>
    </xdr:to>
    <xdr:cxnSp macro="">
      <xdr:nvCxnSpPr>
        <xdr:cNvPr id="58" name="Connector: Elbow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CxnSpPr>
          <a:stCxn id="133" idx="3"/>
          <a:endCxn id="57" idx="1"/>
        </xdr:cNvCxnSpPr>
      </xdr:nvCxnSpPr>
      <xdr:spPr>
        <a:xfrm>
          <a:off x="2400300" y="10782300"/>
          <a:ext cx="533400" cy="86677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11204</xdr:colOff>
      <xdr:row>55</xdr:row>
      <xdr:rowOff>0</xdr:rowOff>
    </xdr:from>
    <xdr:to>
      <xdr:col>4</xdr:col>
      <xdr:colOff>235323</xdr:colOff>
      <xdr:row>57</xdr:row>
      <xdr:rowOff>0</xdr:rowOff>
    </xdr:to>
    <xdr:sp macro="" textlink="" fLocksText="0">
      <xdr:nvSpPr>
        <xdr:cNvPr id="126" name="四角形: 角を丸くする 294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/>
      </xdr:nvSpPr>
      <xdr:spPr>
        <a:xfrm>
          <a:off x="276225" y="10591800"/>
          <a:ext cx="10287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 b="1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55</xdr:row>
      <xdr:rowOff>0</xdr:rowOff>
    </xdr:from>
    <xdr:to>
      <xdr:col>9</xdr:col>
      <xdr:colOff>0</xdr:colOff>
      <xdr:row>57</xdr:row>
      <xdr:rowOff>0</xdr:rowOff>
    </xdr:to>
    <xdr:sp macro="" textlink="" fLocksText="0">
      <xdr:nvSpPr>
        <xdr:cNvPr id="133" name="Rectangle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/>
      </xdr:nvSpPr>
      <xdr:spPr>
        <a:xfrm>
          <a:off x="1866900" y="10591800"/>
          <a:ext cx="533400" cy="381000"/>
        </a:xfrm>
        <a:prstGeom prst="rect">
          <a:avLst/>
        </a:prstGeom>
      </xdr:spPr>
      <xdr:style>
        <a:lnRef idx="2">
          <a:schemeClr val="accent1"/>
        </a:lnRef>
        <a:fillRef idx="1">
          <a:schemeClr val="bg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56</xdr:row>
      <xdr:rowOff>0</xdr:rowOff>
    </xdr:from>
    <xdr:to>
      <xdr:col>11</xdr:col>
      <xdr:colOff>0</xdr:colOff>
      <xdr:row>61</xdr:row>
      <xdr:rowOff>0</xdr:rowOff>
    </xdr:to>
    <xdr:cxnSp macro="">
      <xdr:nvCxnSpPr>
        <xdr:cNvPr id="135" name="Connector: Elbow 134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CxnSpPr>
          <a:stCxn id="133" idx="3"/>
          <a:endCxn id="32" idx="1"/>
        </xdr:cNvCxnSpPr>
      </xdr:nvCxnSpPr>
      <xdr:spPr>
        <a:xfrm>
          <a:off x="2400300" y="10782300"/>
          <a:ext cx="533400" cy="952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56</xdr:row>
      <xdr:rowOff>0</xdr:rowOff>
    </xdr:from>
    <xdr:to>
      <xdr:col>7</xdr:col>
      <xdr:colOff>0</xdr:colOff>
      <xdr:row>56</xdr:row>
      <xdr:rowOff>0</xdr:rowOff>
    </xdr:to>
    <xdr:cxnSp macro="">
      <xdr:nvCxnSpPr>
        <xdr:cNvPr id="149" name="Straight Arrow Connector 148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CxnSpPr>
          <a:stCxn id="126" idx="3"/>
          <a:endCxn id="133" idx="1"/>
        </xdr:cNvCxnSpPr>
      </xdr:nvCxnSpPr>
      <xdr:spPr>
        <a:xfrm>
          <a:off x="1304925" y="10782300"/>
          <a:ext cx="5619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74</xdr:row>
      <xdr:rowOff>0</xdr:rowOff>
    </xdr:from>
    <xdr:to>
      <xdr:col>22</xdr:col>
      <xdr:colOff>225717</xdr:colOff>
      <xdr:row>76</xdr:row>
      <xdr:rowOff>0</xdr:rowOff>
    </xdr:to>
    <xdr:sp macro="" textlink="" fLocksText="0">
      <xdr:nvSpPr>
        <xdr:cNvPr id="153" name="四角形: 角を丸くする 1101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/>
      </xdr:nvSpPr>
      <xdr:spPr>
        <a:xfrm>
          <a:off x="5067300" y="14211300"/>
          <a:ext cx="10287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全選択・全解除</a:t>
          </a:r>
          <a:endParaRPr 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235323</xdr:colOff>
      <xdr:row>74</xdr:row>
      <xdr:rowOff>1</xdr:rowOff>
    </xdr:from>
    <xdr:to>
      <xdr:col>15</xdr:col>
      <xdr:colOff>0</xdr:colOff>
      <xdr:row>76</xdr:row>
      <xdr:rowOff>1</xdr:rowOff>
    </xdr:to>
    <xdr:sp macro="" textlink="" fLocksText="0">
      <xdr:nvSpPr>
        <xdr:cNvPr id="158" name="四角形: 角を丸くする 1101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/>
      </xdr:nvSpPr>
      <xdr:spPr>
        <a:xfrm>
          <a:off x="3438525" y="14211300"/>
          <a:ext cx="56197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14</xdr:col>
      <xdr:colOff>1</xdr:colOff>
      <xdr:row>69</xdr:row>
      <xdr:rowOff>190499</xdr:rowOff>
    </xdr:from>
    <xdr:to>
      <xdr:col>21</xdr:col>
      <xdr:colOff>2</xdr:colOff>
      <xdr:row>74</xdr:row>
      <xdr:rowOff>0</xdr:rowOff>
    </xdr:to>
    <xdr:cxnSp macro="">
      <xdr:nvCxnSpPr>
        <xdr:cNvPr id="159" name="Connector: Elbow 158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CxnSpPr>
          <a:stCxn id="182" idx="2"/>
          <a:endCxn id="158" idx="0"/>
        </xdr:cNvCxnSpPr>
      </xdr:nvCxnSpPr>
      <xdr:spPr>
        <a:xfrm rot="5400000">
          <a:off x="3733800" y="13449300"/>
          <a:ext cx="18669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230520</xdr:colOff>
      <xdr:row>70</xdr:row>
      <xdr:rowOff>0</xdr:rowOff>
    </xdr:from>
    <xdr:to>
      <xdr:col>21</xdr:col>
      <xdr:colOff>1</xdr:colOff>
      <xdr:row>74</xdr:row>
      <xdr:rowOff>0</xdr:rowOff>
    </xdr:to>
    <xdr:cxnSp macro="">
      <xdr:nvCxnSpPr>
        <xdr:cNvPr id="174" name="Connector: Elbow 173"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CxnSpPr>
          <a:stCxn id="182" idx="2"/>
          <a:endCxn id="153" idx="0"/>
        </xdr:cNvCxnSpPr>
      </xdr:nvCxnSpPr>
      <xdr:spPr>
        <a:xfrm rot="5400000">
          <a:off x="5562600" y="13449300"/>
          <a:ext cx="381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66</xdr:row>
      <xdr:rowOff>0</xdr:rowOff>
    </xdr:from>
    <xdr:to>
      <xdr:col>24</xdr:col>
      <xdr:colOff>0</xdr:colOff>
      <xdr:row>70</xdr:row>
      <xdr:rowOff>0</xdr:rowOff>
    </xdr:to>
    <xdr:sp macro="" textlink="" fLocksText="0">
      <xdr:nvSpPr>
        <xdr:cNvPr id="182" name="正方形/長方形 19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/>
      </xdr:nvSpPr>
      <xdr:spPr>
        <a:xfrm>
          <a:off x="4800600" y="12687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SC●●●</a:t>
          </a:r>
        </a:p>
      </xdr:txBody>
    </xdr:sp>
    <xdr:clientData/>
  </xdr:twoCellAnchor>
  <xdr:twoCellAnchor>
    <xdr:from>
      <xdr:col>38</xdr:col>
      <xdr:colOff>0</xdr:colOff>
      <xdr:row>54</xdr:row>
      <xdr:rowOff>0</xdr:rowOff>
    </xdr:from>
    <xdr:to>
      <xdr:col>61</xdr:col>
      <xdr:colOff>0</xdr:colOff>
      <xdr:row>68</xdr:row>
      <xdr:rowOff>0</xdr:rowOff>
    </xdr:to>
    <xdr:sp macro="" textlink="" fLocksText="0">
      <xdr:nvSpPr>
        <xdr:cNvPr id="188" name="吹き出し: 線 3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SpPr/>
      </xdr:nvSpPr>
      <xdr:spPr>
        <a:xfrm>
          <a:off x="10134600" y="10401300"/>
          <a:ext cx="6134100" cy="2667000"/>
        </a:xfrm>
        <a:prstGeom prst="borderCallout1">
          <a:avLst>
            <a:gd name="adj1" fmla="val 50083"/>
            <a:gd name="adj2" fmla="val 121"/>
            <a:gd name="adj3" fmla="val 51353"/>
            <a:gd name="adj4" fmla="val -5261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1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ログインしているアカウント権限がシステム権限の場合、各フローの最初の画面に入った時に店舗一覧を取得する。</a:t>
          </a:r>
        </a:p>
        <a:p>
          <a:pPr>
            <a:defRPr lang="vi-VN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vi-VN" altLang="ja-JP" sz="11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その後、画面上の店舗一覧エリアに店舗一覧を表示する。</a:t>
          </a:r>
        </a:p>
        <a:p>
          <a:pPr>
            <a:defRPr lang="vi-VN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vi-VN" altLang="ja-JP" sz="11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複数の店舗を選択できるフローの場合: 画面初期化時に店舗が選択されていない。</a:t>
          </a:r>
        </a:p>
        <a:p>
          <a:pPr>
            <a:defRPr lang="vi-VN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vi-VN" altLang="ja-JP" sz="11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1つの店舗のみを選択できるフローの場合: 店舗一覧に保存された店舗がデフォルトで選択される。</a:t>
          </a:r>
        </a:p>
        <a:p>
          <a:pPr>
            <a:defRPr lang="vi-VN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vi-VN" altLang="ja-JP" sz="11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ログアウトまたはタブのクローズ、ブラウザのクローズ、またはセッションの終了時に店舗をクリアする。</a:t>
          </a:r>
        </a:p>
        <a:p>
          <a:pPr>
            <a:defRPr lang="vi-VN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vi-VN" altLang="ja-JP" sz="11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1つまたは複数の店舗選択は各フローで説明される。店舗一覧表示フロー分類表をご参照ください。</a:t>
          </a:r>
        </a:p>
      </xdr:txBody>
    </xdr:sp>
    <xdr:clientData/>
  </xdr:twoCellAnchor>
  <xdr:twoCellAnchor>
    <xdr:from>
      <xdr:col>38</xdr:col>
      <xdr:colOff>0</xdr:colOff>
      <xdr:row>72</xdr:row>
      <xdr:rowOff>0</xdr:rowOff>
    </xdr:from>
    <xdr:to>
      <xdr:col>61</xdr:col>
      <xdr:colOff>0</xdr:colOff>
      <xdr:row>98</xdr:row>
      <xdr:rowOff>0</xdr:rowOff>
    </xdr:to>
    <xdr:sp macro="" textlink="" fLocksText="0">
      <xdr:nvSpPr>
        <xdr:cNvPr id="5" name="吹き出し: 線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134600" y="13830300"/>
          <a:ext cx="6134100" cy="4953000"/>
        </a:xfrm>
        <a:prstGeom prst="borderCallout1">
          <a:avLst>
            <a:gd name="adj1" fmla="val 23767"/>
            <a:gd name="adj2" fmla="val 742"/>
            <a:gd name="adj3" fmla="val -15459"/>
            <a:gd name="adj4" fmla="val -6193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▪画面表示</a:t>
          </a:r>
        </a:p>
        <a:p>
          <a:pPr>
            <a:defRPr lang="en-US" altLang="ja-JP" sz="11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権限システムの全ての店舗一覧を表示する。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１つ選択または複数選択許可は店舗一覧分類表や各フローで記載されている。</a:t>
          </a:r>
        </a:p>
        <a:p>
          <a:pPr>
            <a:defRPr lang="en-US" altLang="ja-JP" sz="11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・「決定」ボタン：店舗が選択されていない場合、無効になる。</a:t>
          </a:r>
        </a:p>
        <a:p>
          <a:pPr>
            <a:defRPr lang="en-US" altLang="ja-JP" sz="11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・「全選択」ボタン: 一覧にレコードがない場合、無効になる。</a:t>
          </a:r>
        </a:p>
        <a:p>
          <a:pPr>
            <a:defRPr lang="en-US" altLang="ja-JP" sz="11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+複数の店舗を選択できる場合、画面に全選択ボタンを表示する。店舗が選択されていないか、全ての店舗が選択されていない場合、「全選択」テキストを表示する。全ての店舗が選択されている場合、「全解除」テキストを表示する。</a:t>
          </a:r>
        </a:p>
        <a:p>
          <a:pPr>
            <a:defRPr lang="en-US" altLang="ja-JP" sz="11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+1つの店舗のみを選択できる場合、画面に「全選択」ボタンを表示しない・検索するために店舗コード、店舗名称を入力できる。</a:t>
          </a:r>
        </a:p>
        <a:p>
          <a:pPr>
            <a:defRPr lang="en-US" altLang="ja-JP" sz="11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▪イベント：</a:t>
          </a:r>
        </a:p>
        <a:p>
          <a:pPr>
            <a:defRPr lang="en-US" altLang="ja-JP" sz="11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検索ボタンをタッチすると、ユーザーが入力した店舗コード又は店舗名称に基づいて検索を実行する。レコードが存在している場合、画面に店舗一覧を表示する。レコードが存在していない場合、店舗一覧表示エリアに「データが見つかりません」エラーテキストを表示する。</a:t>
          </a:r>
        </a:p>
        <a:p>
          <a:pPr>
            <a:defRPr lang="en-US" altLang="ja-JP" sz="11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何も入力しない場合、全て検索する。</a:t>
          </a:r>
        </a:p>
        <a:p>
          <a:pPr>
            <a:defRPr lang="en-US" altLang="ja-JP" sz="11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・全選択・全解除ボタンをタッチすると、表示されている全て店舗を選択・選択解除する。</a:t>
          </a:r>
        </a:p>
        <a:p>
          <a:pPr>
            <a:defRPr lang="en-US" altLang="ja-JP" sz="11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・「決定」ボタンをタッチすると、実行中のフローに該当する対象を検索する。</a:t>
          </a:r>
        </a:p>
        <a:p>
          <a:pPr>
            <a:defRPr lang="en-US" altLang="ja-JP" sz="11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・ログアウトまたはログイン時に保存された店舗を削除する。</a:t>
          </a:r>
        </a:p>
        <a:p>
          <a:pPr>
            <a:defRPr lang="en-US" altLang="ja-JP" sz="11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29</xdr:col>
      <xdr:colOff>0</xdr:colOff>
      <xdr:row>74</xdr:row>
      <xdr:rowOff>0</xdr:rowOff>
    </xdr:from>
    <xdr:to>
      <xdr:col>30</xdr:col>
      <xdr:colOff>235322</xdr:colOff>
      <xdr:row>76</xdr:row>
      <xdr:rowOff>0</xdr:rowOff>
    </xdr:to>
    <xdr:sp macro="" textlink="" fLocksText="0">
      <xdr:nvSpPr>
        <xdr:cNvPr id="75" name="四角形: 角を丸くする 29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7734300" y="14211300"/>
          <a:ext cx="50482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1</xdr:colOff>
      <xdr:row>70</xdr:row>
      <xdr:rowOff>0</xdr:rowOff>
    </xdr:from>
    <xdr:to>
      <xdr:col>29</xdr:col>
      <xdr:colOff>235323</xdr:colOff>
      <xdr:row>74</xdr:row>
      <xdr:rowOff>0</xdr:rowOff>
    </xdr:to>
    <xdr:cxnSp macro="">
      <xdr:nvCxnSpPr>
        <xdr:cNvPr id="85" name="Connector: Elbow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>
          <a:stCxn id="182" idx="2"/>
          <a:endCxn id="75" idx="0"/>
        </xdr:cNvCxnSpPr>
      </xdr:nvCxnSpPr>
      <xdr:spPr>
        <a:xfrm rot="16200000" flipH="1">
          <a:off x="5600700" y="13449300"/>
          <a:ext cx="237172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12701</xdr:colOff>
      <xdr:row>59</xdr:row>
      <xdr:rowOff>0</xdr:rowOff>
    </xdr:from>
    <xdr:to>
      <xdr:col>35</xdr:col>
      <xdr:colOff>0</xdr:colOff>
      <xdr:row>63</xdr:row>
      <xdr:rowOff>12700</xdr:rowOff>
    </xdr:to>
    <xdr:sp macro="" textlink="" fLocksText="0">
      <xdr:nvSpPr>
        <xdr:cNvPr id="30" name="フローチャート: 磁気ディスク 194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7743825" y="11353800"/>
          <a:ext cx="1590675" cy="771525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AP8201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店舗一覧取得</a:t>
          </a:r>
        </a:p>
      </xdr:txBody>
    </xdr:sp>
    <xdr:clientData/>
  </xdr:twoCellAnchor>
  <xdr:twoCellAnchor>
    <xdr:from>
      <xdr:col>24</xdr:col>
      <xdr:colOff>0</xdr:colOff>
      <xdr:row>61</xdr:row>
      <xdr:rowOff>0</xdr:rowOff>
    </xdr:from>
    <xdr:to>
      <xdr:col>29</xdr:col>
      <xdr:colOff>12701</xdr:colOff>
      <xdr:row>61</xdr:row>
      <xdr:rowOff>6350</xdr:rowOff>
    </xdr:to>
    <xdr:cxnSp macro="">
      <xdr:nvCxnSpPr>
        <xdr:cNvPr id="31" name="直線矢印コネクタ 196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>
          <a:stCxn id="33" idx="3"/>
          <a:endCxn id="30" idx="2"/>
        </xdr:cNvCxnSpPr>
      </xdr:nvCxnSpPr>
      <xdr:spPr>
        <a:xfrm>
          <a:off x="6400800" y="11734800"/>
          <a:ext cx="1343025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59</xdr:row>
      <xdr:rowOff>0</xdr:rowOff>
    </xdr:from>
    <xdr:to>
      <xdr:col>24</xdr:col>
      <xdr:colOff>0</xdr:colOff>
      <xdr:row>63</xdr:row>
      <xdr:rowOff>0</xdr:rowOff>
    </xdr:to>
    <xdr:sp macro="" textlink="" fLocksText="0">
      <xdr:nvSpPr>
        <xdr:cNvPr id="33" name="四角形: 角を丸くする 3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4800600" y="11353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KN0001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店舗一覧取得機能</a:t>
          </a:r>
        </a:p>
      </xdr:txBody>
    </xdr:sp>
    <xdr:clientData/>
  </xdr:twoCellAnchor>
  <xdr:twoCellAnchor>
    <xdr:from>
      <xdr:col>21</xdr:col>
      <xdr:colOff>1</xdr:colOff>
      <xdr:row>63</xdr:row>
      <xdr:rowOff>0</xdr:rowOff>
    </xdr:from>
    <xdr:to>
      <xdr:col>21</xdr:col>
      <xdr:colOff>1</xdr:colOff>
      <xdr:row>66</xdr:row>
      <xdr:rowOff>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CxnSpPr>
          <a:stCxn id="33" idx="2"/>
          <a:endCxn id="182" idx="0"/>
        </xdr:cNvCxnSpPr>
      </xdr:nvCxnSpPr>
      <xdr:spPr>
        <a:xfrm>
          <a:off x="5600700" y="12115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67</xdr:col>
      <xdr:colOff>0</xdr:colOff>
      <xdr:row>58</xdr:row>
      <xdr:rowOff>97593</xdr:rowOff>
    </xdr:from>
    <xdr:to>
      <xdr:col>79</xdr:col>
      <xdr:colOff>43542</xdr:colOff>
      <xdr:row>75</xdr:row>
      <xdr:rowOff>145677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68900" y="11258550"/>
          <a:ext cx="3248025" cy="3286125"/>
        </a:xfrm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58</xdr:row>
      <xdr:rowOff>91977</xdr:rowOff>
    </xdr:from>
    <xdr:to>
      <xdr:col>93</xdr:col>
      <xdr:colOff>43543</xdr:colOff>
      <xdr:row>76</xdr:row>
      <xdr:rowOff>44824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02700" y="11258550"/>
          <a:ext cx="3248025" cy="3381375"/>
        </a:xfrm>
        <a:prstGeom prst="rect">
          <a:avLst/>
        </a:prstGeom>
      </xdr:spPr>
    </xdr:pic>
    <xdr:clientData/>
  </xdr:twoCellAnchor>
  <xdr:twoCellAnchor>
    <xdr:from>
      <xdr:col>5</xdr:col>
      <xdr:colOff>235322</xdr:colOff>
      <xdr:row>45</xdr:row>
      <xdr:rowOff>0</xdr:rowOff>
    </xdr:from>
    <xdr:to>
      <xdr:col>11</xdr:col>
      <xdr:colOff>235322</xdr:colOff>
      <xdr:row>48</xdr:row>
      <xdr:rowOff>0</xdr:rowOff>
    </xdr:to>
    <xdr:sp macro="" textlink="" fLocksText="0">
      <xdr:nvSpPr>
        <xdr:cNvPr id="116" name="四角形: 角を丸くする 294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/>
      </xdr:nvSpPr>
      <xdr:spPr>
        <a:xfrm>
          <a:off x="1571625" y="86868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「複数店舗選択中」テキストにマウスを押し続ける</a:t>
          </a:r>
          <a:endParaRPr lang="ja-JP" altLang="en-US" sz="10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235321</xdr:colOff>
      <xdr:row>46</xdr:row>
      <xdr:rowOff>95250</xdr:rowOff>
    </xdr:to>
    <xdr:cxnSp macro="">
      <xdr:nvCxnSpPr>
        <xdr:cNvPr id="118" name="Connector: Elbow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CxnSpPr>
          <a:stCxn id="2" idx="2"/>
          <a:endCxn id="116" idx="1"/>
        </xdr:cNvCxnSpPr>
      </xdr:nvCxnSpPr>
      <xdr:spPr>
        <a:xfrm rot="16200000" flipH="1">
          <a:off x="1066800" y="3162300"/>
          <a:ext cx="504825" cy="5810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44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120" name="吹き出し: 線 3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10134600" y="8496300"/>
          <a:ext cx="6134100" cy="571500"/>
        </a:xfrm>
        <a:prstGeom prst="borderCallout1">
          <a:avLst>
            <a:gd name="adj1" fmla="val 75416"/>
            <a:gd name="adj2" fmla="val -565"/>
            <a:gd name="adj3" fmla="val 86851"/>
            <a:gd name="adj4" fmla="val -11436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1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画面ヘッダーの「複数店舗選択中」テキストにマウスを押し続けると、選択されている店舗（コード:名称）の一覧を表示するダイアログを表示する。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23</xdr:col>
      <xdr:colOff>11207</xdr:colOff>
      <xdr:row>17</xdr:row>
      <xdr:rowOff>0</xdr:rowOff>
    </xdr:from>
    <xdr:to>
      <xdr:col>29</xdr:col>
      <xdr:colOff>11207</xdr:colOff>
      <xdr:row>21</xdr:row>
      <xdr:rowOff>0</xdr:rowOff>
    </xdr:to>
    <xdr:sp macro="" textlink="" fLocksText="0">
      <xdr:nvSpPr>
        <xdr:cNvPr id="19" name="四角形: 角を丸くする 21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6143625" y="3352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X00_ログイン機能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23</xdr:col>
      <xdr:colOff>11207</xdr:colOff>
      <xdr:row>19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36" idx="3"/>
          <a:endCxn id="19" idx="1"/>
        </xdr:cNvCxnSpPr>
      </xdr:nvCxnSpPr>
      <xdr:spPr>
        <a:xfrm>
          <a:off x="5067300" y="3733800"/>
          <a:ext cx="10763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37" name="吹き出し: 線 3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10134600" y="4495800"/>
          <a:ext cx="6134100" cy="762000"/>
        </a:xfrm>
        <a:prstGeom prst="borderCallout1">
          <a:avLst>
            <a:gd name="adj1" fmla="val 75416"/>
            <a:gd name="adj2" fmla="val -565"/>
            <a:gd name="adj3" fmla="val -82757"/>
            <a:gd name="adj4" fmla="val -8662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システムからログアウトを実行する。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ログアウトが成功した場合、保存された対象店舗を削除し、ログイン画面に戻る。</a:t>
          </a:r>
        </a:p>
      </xdr:txBody>
    </xdr:sp>
    <xdr:clientData/>
  </xdr:twoCellAnchor>
  <xdr:twoCellAnchor>
    <xdr:from>
      <xdr:col>2</xdr:col>
      <xdr:colOff>0</xdr:colOff>
      <xdr:row>172</xdr:row>
      <xdr:rowOff>0</xdr:rowOff>
    </xdr:from>
    <xdr:to>
      <xdr:col>8</xdr:col>
      <xdr:colOff>0</xdr:colOff>
      <xdr:row>176</xdr:row>
      <xdr:rowOff>0</xdr:rowOff>
    </xdr:to>
    <xdr:sp macro="" textlink="" fLocksText="0">
      <xdr:nvSpPr>
        <xdr:cNvPr id="3" name="正方形/長方形 27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32880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SC●●●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11</xdr:col>
      <xdr:colOff>0</xdr:colOff>
      <xdr:row>179</xdr:row>
      <xdr:rowOff>0</xdr:rowOff>
    </xdr:to>
    <xdr:sp macro="" textlink="" fLocksText="0">
      <xdr:nvSpPr>
        <xdr:cNvPr id="4" name="四角形: 角を丸くする 11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866900" y="34023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先頭行</a:t>
          </a:r>
          <a:endParaRPr lang="ja-JP" altLang="en-US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 editAs="oneCell">
    <xdr:from>
      <xdr:col>66</xdr:col>
      <xdr:colOff>0</xdr:colOff>
      <xdr:row>172</xdr:row>
      <xdr:rowOff>0</xdr:rowOff>
    </xdr:from>
    <xdr:to>
      <xdr:col>124</xdr:col>
      <xdr:colOff>203200</xdr:colOff>
      <xdr:row>175</xdr:row>
      <xdr:rowOff>158416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02200" y="32880300"/>
          <a:ext cx="15668625" cy="733425"/>
        </a:xfrm>
        <a:prstGeom prst="rect">
          <a:avLst/>
        </a:prstGeom>
        <a:effectLst>
          <a:glow rad="25400">
            <a:schemeClr val="tx1"/>
          </a:glow>
        </a:effectLst>
      </xdr:spPr>
    </xdr:pic>
    <xdr:clientData/>
  </xdr:twoCellAnchor>
  <xdr:twoCellAnchor>
    <xdr:from>
      <xdr:col>7</xdr:col>
      <xdr:colOff>0</xdr:colOff>
      <xdr:row>181</xdr:row>
      <xdr:rowOff>0</xdr:rowOff>
    </xdr:from>
    <xdr:to>
      <xdr:col>11</xdr:col>
      <xdr:colOff>0</xdr:colOff>
      <xdr:row>182</xdr:row>
      <xdr:rowOff>0</xdr:rowOff>
    </xdr:to>
    <xdr:sp macro="" textlink="" fLocksText="0">
      <xdr:nvSpPr>
        <xdr:cNvPr id="17" name="四角形: 角を丸くする 1101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866900" y="345948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最終行</a:t>
          </a:r>
          <a:endParaRPr lang="ja-JP" altLang="en-US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7</xdr:col>
      <xdr:colOff>0</xdr:colOff>
      <xdr:row>184</xdr:row>
      <xdr:rowOff>0</xdr:rowOff>
    </xdr:from>
    <xdr:to>
      <xdr:col>11</xdr:col>
      <xdr:colOff>0</xdr:colOff>
      <xdr:row>185</xdr:row>
      <xdr:rowOff>0</xdr:rowOff>
    </xdr:to>
    <xdr:sp macro="" textlink="" fLocksText="0">
      <xdr:nvSpPr>
        <xdr:cNvPr id="18" name="四角形: 角を丸くする 1101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866900" y="35166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前頁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7</xdr:col>
      <xdr:colOff>0</xdr:colOff>
      <xdr:row>187</xdr:row>
      <xdr:rowOff>0</xdr:rowOff>
    </xdr:from>
    <xdr:to>
      <xdr:col>11</xdr:col>
      <xdr:colOff>0</xdr:colOff>
      <xdr:row>188</xdr:row>
      <xdr:rowOff>0</xdr:rowOff>
    </xdr:to>
    <xdr:sp macro="" textlink="" fLocksText="0">
      <xdr:nvSpPr>
        <xdr:cNvPr id="21" name="四角形: 角を丸くする 110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1866900" y="357378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次頁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235323</xdr:colOff>
      <xdr:row>176</xdr:row>
      <xdr:rowOff>0</xdr:rowOff>
    </xdr:from>
    <xdr:to>
      <xdr:col>6</xdr:col>
      <xdr:colOff>235323</xdr:colOff>
      <xdr:row>178</xdr:row>
      <xdr:rowOff>95250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3" idx="2"/>
          <a:endCxn id="4" idx="1"/>
        </xdr:cNvCxnSpPr>
      </xdr:nvCxnSpPr>
      <xdr:spPr>
        <a:xfrm rot="16200000" flipH="1">
          <a:off x="1304925" y="33642300"/>
          <a:ext cx="533400" cy="47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176</xdr:row>
      <xdr:rowOff>0</xdr:rowOff>
    </xdr:from>
    <xdr:to>
      <xdr:col>6</xdr:col>
      <xdr:colOff>235323</xdr:colOff>
      <xdr:row>181</xdr:row>
      <xdr:rowOff>95250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>
          <a:stCxn id="3" idx="2"/>
          <a:endCxn id="17" idx="1"/>
        </xdr:cNvCxnSpPr>
      </xdr:nvCxnSpPr>
      <xdr:spPr>
        <a:xfrm rot="16200000" flipH="1">
          <a:off x="1304925" y="33642300"/>
          <a:ext cx="533400" cy="1047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176</xdr:row>
      <xdr:rowOff>0</xdr:rowOff>
    </xdr:from>
    <xdr:to>
      <xdr:col>6</xdr:col>
      <xdr:colOff>235323</xdr:colOff>
      <xdr:row>184</xdr:row>
      <xdr:rowOff>95250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>
          <a:stCxn id="3" idx="2"/>
          <a:endCxn id="18" idx="1"/>
        </xdr:cNvCxnSpPr>
      </xdr:nvCxnSpPr>
      <xdr:spPr>
        <a:xfrm rot="16200000" flipH="1">
          <a:off x="1304925" y="33642300"/>
          <a:ext cx="533400" cy="1619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176</xdr:row>
      <xdr:rowOff>0</xdr:rowOff>
    </xdr:from>
    <xdr:to>
      <xdr:col>6</xdr:col>
      <xdr:colOff>235323</xdr:colOff>
      <xdr:row>187</xdr:row>
      <xdr:rowOff>95250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CxnSpPr>
          <a:stCxn id="3" idx="2"/>
          <a:endCxn id="21" idx="1"/>
        </xdr:cNvCxnSpPr>
      </xdr:nvCxnSpPr>
      <xdr:spPr>
        <a:xfrm rot="16200000" flipH="1">
          <a:off x="1304925" y="33642300"/>
          <a:ext cx="533400" cy="2190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172</xdr:row>
      <xdr:rowOff>0</xdr:rowOff>
    </xdr:from>
    <xdr:to>
      <xdr:col>61</xdr:col>
      <xdr:colOff>0</xdr:colOff>
      <xdr:row>191</xdr:row>
      <xdr:rowOff>0</xdr:rowOff>
    </xdr:to>
    <xdr:sp macro="" textlink="" fLocksText="0">
      <xdr:nvSpPr>
        <xdr:cNvPr id="65" name="吹き出し: 線 3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10134600" y="32880300"/>
          <a:ext cx="6134100" cy="3619500"/>
        </a:xfrm>
        <a:prstGeom prst="borderCallout1">
          <a:avLst>
            <a:gd name="adj1" fmla="val 75416"/>
            <a:gd name="adj2" fmla="val -565"/>
            <a:gd name="adj3" fmla="val 9013"/>
            <a:gd name="adj4" fmla="val -1314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ページング表示エリアがある画面では：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・件数を以下のフォーマットで表示する:  n件中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n ＝０の場合、項目を非表示する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n ＞＝ 1の場合、項目を表示する。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・ページ数を表示する。形式：1 ~ ｎ件.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n &lt;＝ 1の場合、項目を非表示する。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n ＞ 1の場合、項目を表示する。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・先頭行ボタン：1ページのみがある場合、または最初のページが表示されている場合は、ボタンを無効にする。2ページ目以降の場合は、ボタンをタッチすると1ページ目の先頭行に戻る。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・最終行ボタン：1ページのみがある場合、または最後のページが表示されている場合は、ボタンを無効にする。ボタンをタッチすると、最終ページの最終行に遷移する。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前頁ボタン：1ページのみがある場合、または最初のページが表示されている場合は、ボタンを無効にする。タッチすると、次頁に遷移する。・次頁ボタン：1ページのみがある場合、または最後のページが表示されている場合は、ボタンを無効にする。タッチすると、前頁に遷移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179294</xdr:colOff>
      <xdr:row>33</xdr:row>
      <xdr:rowOff>11206</xdr:rowOff>
    </xdr:from>
    <xdr:to>
      <xdr:col>5</xdr:col>
      <xdr:colOff>179294</xdr:colOff>
      <xdr:row>34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1514475" y="6410325"/>
          <a:ext cx="0" cy="1809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6CBF-E803-41DD-BC73-DDAB01D27DBA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71" customWidth="1"/>
    <col min="61" max="16384" width="2.77734375" style="71"/>
  </cols>
  <sheetData>
    <row r="1" spans="1:63" ht="24.95" customHeight="1" x14ac:dyDescent="0.25">
      <c r="A1" s="292" t="s">
        <v>219</v>
      </c>
      <c r="B1" s="66"/>
      <c r="C1" s="66"/>
      <c r="D1" s="66"/>
      <c r="E1" s="66"/>
      <c r="F1" s="66"/>
      <c r="G1" s="66"/>
      <c r="H1" s="66"/>
      <c r="I1" s="66"/>
      <c r="J1" s="67"/>
      <c r="K1" s="65" t="s">
        <v>166</v>
      </c>
      <c r="L1" s="66"/>
      <c r="M1" s="66"/>
      <c r="N1" s="66"/>
      <c r="O1" s="66"/>
      <c r="P1" s="66"/>
      <c r="Q1" s="66"/>
      <c r="R1" s="66"/>
      <c r="S1" s="66"/>
      <c r="T1" s="66"/>
      <c r="U1" s="66"/>
      <c r="V1" s="67"/>
      <c r="W1" s="68" t="s">
        <v>15</v>
      </c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70"/>
      <c r="AP1" s="65" t="s">
        <v>167</v>
      </c>
      <c r="AQ1" s="66"/>
      <c r="AR1" s="66"/>
      <c r="AS1" s="67"/>
      <c r="AT1" s="65" t="s">
        <v>168</v>
      </c>
      <c r="AU1" s="66"/>
      <c r="AV1" s="66"/>
      <c r="AW1" s="66"/>
      <c r="AX1" s="67"/>
      <c r="AY1" s="65" t="s">
        <v>169</v>
      </c>
      <c r="AZ1" s="66"/>
      <c r="BA1" s="66"/>
      <c r="BB1" s="67"/>
      <c r="BC1" s="65" t="s">
        <v>170</v>
      </c>
      <c r="BD1" s="66"/>
      <c r="BE1" s="66"/>
      <c r="BF1" s="66"/>
      <c r="BG1" s="67"/>
      <c r="BH1" s="65" t="s">
        <v>171</v>
      </c>
      <c r="BI1" s="66"/>
      <c r="BJ1" s="66"/>
      <c r="BK1" s="67"/>
    </row>
    <row r="2" spans="1:63" ht="15" customHeight="1" x14ac:dyDescent="0.25">
      <c r="A2" s="72" t="s">
        <v>13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14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75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7"/>
      <c r="AP2" s="72" t="str">
        <f>改訂履歴!$H$11</f>
        <v>DuNT</v>
      </c>
      <c r="AQ2" s="73"/>
      <c r="AR2" s="73"/>
      <c r="AS2" s="74"/>
      <c r="AT2" s="78">
        <f>改訂履歴!$B$11</f>
        <v>45391</v>
      </c>
      <c r="AU2" s="79"/>
      <c r="AV2" s="79"/>
      <c r="AW2" s="79"/>
      <c r="AX2" s="80"/>
      <c r="AY2" s="72" t="str">
        <f>LOOKUP(2,1/(改訂履歴!H11:H29992&lt;&gt;""),改訂履歴!H11:H29992)</f>
        <v>AnhTTP</v>
      </c>
      <c r="AZ2" s="73"/>
      <c r="BA2" s="73"/>
      <c r="BB2" s="74"/>
      <c r="BC2" s="78">
        <f>LOOKUP(2,1/(改訂履歴!B11:B29992&lt;&gt;""),改訂履歴!B11:B29992)</f>
        <v>45637</v>
      </c>
      <c r="BD2" s="79"/>
      <c r="BE2" s="79"/>
      <c r="BF2" s="79"/>
      <c r="BG2" s="80"/>
      <c r="BH2" s="81">
        <f>LOOKUP(2,1/(改訂履歴!O11:O29992&lt;&gt;""),改訂履歴!O11:O29992)</f>
        <v>0.74</v>
      </c>
      <c r="BI2" s="82"/>
      <c r="BJ2" s="82"/>
      <c r="BK2" s="83"/>
    </row>
    <row r="3" spans="1:63" ht="15" customHeight="1" x14ac:dyDescent="0.25">
      <c r="A3" s="84"/>
      <c r="B3" s="85"/>
      <c r="C3" s="85"/>
      <c r="D3" s="85"/>
      <c r="E3" s="85"/>
      <c r="F3" s="85"/>
      <c r="G3" s="85"/>
      <c r="H3" s="85"/>
      <c r="I3" s="85"/>
      <c r="J3" s="86"/>
      <c r="K3" s="84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87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9"/>
      <c r="AP3" s="84"/>
      <c r="AQ3" s="85"/>
      <c r="AR3" s="85"/>
      <c r="AS3" s="86"/>
      <c r="AT3" s="90"/>
      <c r="AU3" s="91"/>
      <c r="AV3" s="91"/>
      <c r="AW3" s="91"/>
      <c r="AX3" s="92"/>
      <c r="AY3" s="84"/>
      <c r="AZ3" s="85"/>
      <c r="BA3" s="85"/>
      <c r="BB3" s="86"/>
      <c r="BC3" s="90"/>
      <c r="BD3" s="91"/>
      <c r="BE3" s="91"/>
      <c r="BF3" s="91"/>
      <c r="BG3" s="92"/>
      <c r="BH3" s="93"/>
      <c r="BI3" s="94"/>
      <c r="BJ3" s="94"/>
      <c r="BK3" s="95"/>
    </row>
    <row r="4" spans="1:63" ht="24.95" customHeight="1" x14ac:dyDescent="0.25">
      <c r="A4" s="65" t="s">
        <v>172</v>
      </c>
      <c r="B4" s="66"/>
      <c r="C4" s="66"/>
      <c r="D4" s="66"/>
      <c r="E4" s="66"/>
      <c r="F4" s="66"/>
      <c r="G4" s="67"/>
      <c r="H4" s="8" t="s">
        <v>173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65" t="s">
        <v>174</v>
      </c>
      <c r="V4" s="66"/>
      <c r="W4" s="66"/>
      <c r="X4" s="66"/>
      <c r="Y4" s="67"/>
      <c r="Z4" s="98" t="s">
        <v>16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8" t="str">
        <f t="array" aca="1" ref="AP4" ca="1">RIGHT(CELL("filename",$A$1),LEN(CELL("filename",$A$1))-FIND("]",CELL("filename",$A$1)))</f>
        <v>表紙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99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1"/>
    </row>
    <row r="6" spans="1:63" ht="15" customHeight="1" x14ac:dyDescent="0.25">
      <c r="A6" s="102"/>
      <c r="BK6" s="103"/>
    </row>
    <row r="7" spans="1:63" ht="15" customHeight="1" x14ac:dyDescent="0.25">
      <c r="A7" s="102"/>
      <c r="BK7" s="103"/>
    </row>
    <row r="8" spans="1:63" ht="15" customHeight="1" x14ac:dyDescent="0.25">
      <c r="A8" s="102"/>
      <c r="BK8" s="103"/>
    </row>
    <row r="9" spans="1:63" ht="15" customHeight="1" x14ac:dyDescent="0.25">
      <c r="A9" s="102"/>
      <c r="BK9" s="103"/>
    </row>
    <row r="10" spans="1:63" ht="15" customHeight="1" x14ac:dyDescent="0.25">
      <c r="A10" s="102"/>
      <c r="BK10" s="103"/>
    </row>
    <row r="11" spans="1:63" ht="15" customHeight="1" x14ac:dyDescent="0.25">
      <c r="A11" s="102"/>
      <c r="BK11" s="103"/>
    </row>
    <row r="12" spans="1:63" ht="15" customHeight="1" x14ac:dyDescent="0.25">
      <c r="A12" s="102"/>
      <c r="BK12" s="103"/>
    </row>
    <row r="13" spans="1:63" ht="15" customHeight="1" x14ac:dyDescent="0.25">
      <c r="A13" s="102"/>
      <c r="BK13" s="103"/>
    </row>
    <row r="14" spans="1:63" ht="15" customHeight="1" thickBot="1" x14ac:dyDescent="0.3">
      <c r="A14" s="102"/>
      <c r="BK14" s="103"/>
    </row>
    <row r="15" spans="1:63" ht="15" customHeight="1" thickTop="1" x14ac:dyDescent="0.25">
      <c r="A15" s="102"/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6"/>
      <c r="BK15" s="103"/>
    </row>
    <row r="16" spans="1:63" ht="15" customHeight="1" x14ac:dyDescent="0.25">
      <c r="A16" s="102"/>
      <c r="K16" s="107"/>
      <c r="L16" s="108" t="s">
        <v>9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9"/>
      <c r="BK16" s="103"/>
    </row>
    <row r="17" spans="1:63" ht="15" customHeight="1" x14ac:dyDescent="0.25">
      <c r="A17" s="102"/>
      <c r="K17" s="107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9"/>
      <c r="BK17" s="103"/>
    </row>
    <row r="18" spans="1:63" ht="15" customHeight="1" x14ac:dyDescent="0.25">
      <c r="A18" s="102"/>
      <c r="K18" s="107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9"/>
      <c r="BK18" s="103"/>
    </row>
    <row r="19" spans="1:63" ht="15" customHeight="1" x14ac:dyDescent="0.25">
      <c r="A19" s="102"/>
      <c r="K19" s="107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9"/>
      <c r="BK19" s="103"/>
    </row>
    <row r="20" spans="1:63" ht="15" customHeight="1" x14ac:dyDescent="0.25">
      <c r="A20" s="102"/>
      <c r="K20" s="107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9"/>
      <c r="BK20" s="103"/>
    </row>
    <row r="21" spans="1:63" ht="15" customHeight="1" x14ac:dyDescent="0.25">
      <c r="A21" s="102"/>
      <c r="K21" s="107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9"/>
      <c r="BK21" s="103"/>
    </row>
    <row r="22" spans="1:63" ht="15" customHeight="1" thickBot="1" x14ac:dyDescent="0.3">
      <c r="A22" s="102"/>
      <c r="K22" s="107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09"/>
      <c r="BK22" s="103"/>
    </row>
    <row r="23" spans="1:63" ht="15" customHeight="1" x14ac:dyDescent="0.25">
      <c r="A23" s="102"/>
      <c r="K23" s="107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09"/>
      <c r="BK23" s="103"/>
    </row>
    <row r="24" spans="1:63" ht="15" customHeight="1" x14ac:dyDescent="0.25">
      <c r="A24" s="102"/>
      <c r="K24" s="107"/>
      <c r="L24" s="108" t="str">
        <f>K2&amp;"/"&amp;H4&amp;"/"&amp;Z4</f>
        <v>POSサーバー/00_共通/概要設計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9"/>
      <c r="BK24" s="103"/>
    </row>
    <row r="25" spans="1:63" ht="15" customHeight="1" x14ac:dyDescent="0.25">
      <c r="A25" s="102"/>
      <c r="K25" s="107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9"/>
      <c r="BK25" s="103"/>
    </row>
    <row r="26" spans="1:63" ht="15" customHeight="1" x14ac:dyDescent="0.25">
      <c r="A26" s="102"/>
      <c r="K26" s="107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9"/>
      <c r="BK26" s="103"/>
    </row>
    <row r="27" spans="1:63" ht="15" customHeight="1" x14ac:dyDescent="0.25">
      <c r="A27" s="102"/>
      <c r="K27" s="107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9"/>
      <c r="BK27" s="103"/>
    </row>
    <row r="28" spans="1:63" ht="15" customHeight="1" x14ac:dyDescent="0.25">
      <c r="A28" s="102"/>
      <c r="K28" s="107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9"/>
      <c r="BK28" s="103"/>
    </row>
    <row r="29" spans="1:63" ht="15" customHeight="1" x14ac:dyDescent="0.25">
      <c r="A29" s="102"/>
      <c r="K29" s="107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9"/>
      <c r="BK29" s="103"/>
    </row>
    <row r="30" spans="1:63" ht="15" customHeight="1" x14ac:dyDescent="0.25">
      <c r="A30" s="102"/>
      <c r="K30" s="107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9"/>
      <c r="BK30" s="103"/>
    </row>
    <row r="31" spans="1:63" ht="15" customHeight="1" x14ac:dyDescent="0.25">
      <c r="A31" s="102"/>
      <c r="K31" s="107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9"/>
      <c r="BK31" s="103"/>
    </row>
    <row r="32" spans="1:63" ht="15" customHeight="1" x14ac:dyDescent="0.25">
      <c r="A32" s="102"/>
      <c r="K32" s="107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9"/>
      <c r="BK32" s="103"/>
    </row>
    <row r="33" spans="1:63" ht="15" customHeight="1" x14ac:dyDescent="0.25">
      <c r="A33" s="102"/>
      <c r="K33" s="107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9"/>
      <c r="BK33" s="103"/>
    </row>
    <row r="34" spans="1:63" ht="15" customHeight="1" x14ac:dyDescent="0.25">
      <c r="A34" s="102"/>
      <c r="K34" s="107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9"/>
      <c r="BK34" s="103"/>
    </row>
    <row r="35" spans="1:63" ht="15" customHeight="1" x14ac:dyDescent="0.25">
      <c r="A35" s="102"/>
      <c r="K35" s="107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9"/>
      <c r="BK35" s="103"/>
    </row>
    <row r="36" spans="1:63" ht="15" customHeight="1" x14ac:dyDescent="0.25">
      <c r="A36" s="102"/>
      <c r="K36" s="107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9"/>
      <c r="BK36" s="103"/>
    </row>
    <row r="37" spans="1:63" ht="15" customHeight="1" thickBot="1" x14ac:dyDescent="0.3">
      <c r="A37" s="102"/>
      <c r="K37" s="112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4"/>
      <c r="BK37" s="103"/>
    </row>
    <row r="38" spans="1:63" ht="15" customHeight="1" thickTop="1" x14ac:dyDescent="0.25">
      <c r="A38" s="102"/>
      <c r="BK38" s="103"/>
    </row>
    <row r="39" spans="1:63" ht="15" customHeight="1" x14ac:dyDescent="0.25">
      <c r="A39" s="102"/>
      <c r="BK39" s="103"/>
    </row>
    <row r="40" spans="1:63" ht="15" customHeight="1" x14ac:dyDescent="0.25">
      <c r="A40" s="102"/>
      <c r="BK40" s="103"/>
    </row>
    <row r="41" spans="1:63" ht="15" customHeight="1" x14ac:dyDescent="0.25">
      <c r="A41" s="102"/>
      <c r="BK41" s="103"/>
    </row>
    <row r="42" spans="1:63" ht="15" customHeight="1" x14ac:dyDescent="0.25">
      <c r="A42" s="102"/>
      <c r="BK42" s="103"/>
    </row>
    <row r="43" spans="1:63" ht="15" customHeight="1" x14ac:dyDescent="0.25">
      <c r="A43" s="102"/>
      <c r="BK43" s="103"/>
    </row>
    <row r="44" spans="1:63" ht="15" customHeight="1" x14ac:dyDescent="0.25">
      <c r="A44" s="102"/>
      <c r="Q44" s="115" t="s">
        <v>175</v>
      </c>
      <c r="R44" s="116"/>
      <c r="S44" s="116"/>
      <c r="T44" s="116"/>
      <c r="U44" s="116"/>
      <c r="V44" s="116"/>
      <c r="W44" s="116"/>
      <c r="X44" s="116"/>
      <c r="Y44" s="116"/>
      <c r="Z44" s="117"/>
      <c r="AA44" s="115" t="s">
        <v>176</v>
      </c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7"/>
      <c r="AQ44" s="115" t="s">
        <v>171</v>
      </c>
      <c r="AR44" s="116"/>
      <c r="AS44" s="116"/>
      <c r="AT44" s="116"/>
      <c r="AU44" s="117"/>
      <c r="BK44" s="103"/>
    </row>
    <row r="45" spans="1:63" ht="15" customHeight="1" x14ac:dyDescent="0.25">
      <c r="A45" s="102"/>
      <c r="Q45" s="118"/>
      <c r="R45" s="119"/>
      <c r="S45" s="119"/>
      <c r="T45" s="119"/>
      <c r="U45" s="119"/>
      <c r="V45" s="119"/>
      <c r="W45" s="119"/>
      <c r="X45" s="119"/>
      <c r="Y45" s="119"/>
      <c r="Z45" s="120"/>
      <c r="AA45" s="118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20"/>
      <c r="AQ45" s="118"/>
      <c r="AR45" s="119"/>
      <c r="AS45" s="119"/>
      <c r="AT45" s="119"/>
      <c r="AU45" s="120"/>
      <c r="BK45" s="103"/>
    </row>
    <row r="46" spans="1:63" ht="15" customHeight="1" x14ac:dyDescent="0.25">
      <c r="A46" s="102"/>
      <c r="Q46" s="72"/>
      <c r="R46" s="73"/>
      <c r="S46" s="73"/>
      <c r="T46" s="73"/>
      <c r="U46" s="73"/>
      <c r="V46" s="73"/>
      <c r="W46" s="73"/>
      <c r="X46" s="73"/>
      <c r="Y46" s="73"/>
      <c r="Z46" s="74"/>
      <c r="AA46" s="72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4"/>
      <c r="AQ46" s="72"/>
      <c r="AR46" s="73"/>
      <c r="AS46" s="73"/>
      <c r="AT46" s="73"/>
      <c r="AU46" s="74"/>
      <c r="BK46" s="103"/>
    </row>
    <row r="47" spans="1:63" ht="15" customHeight="1" x14ac:dyDescent="0.25">
      <c r="A47" s="102"/>
      <c r="Q47" s="121"/>
      <c r="R47" s="122"/>
      <c r="S47" s="122"/>
      <c r="T47" s="122"/>
      <c r="U47" s="122"/>
      <c r="V47" s="122"/>
      <c r="W47" s="122"/>
      <c r="X47" s="122"/>
      <c r="Y47" s="122"/>
      <c r="Z47" s="123"/>
      <c r="AA47" s="121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3"/>
      <c r="AQ47" s="121"/>
      <c r="AR47" s="122"/>
      <c r="AS47" s="122"/>
      <c r="AT47" s="122"/>
      <c r="AU47" s="123"/>
      <c r="BK47" s="103"/>
    </row>
    <row r="48" spans="1:63" ht="15" customHeight="1" x14ac:dyDescent="0.25">
      <c r="A48" s="102"/>
      <c r="Q48" s="121"/>
      <c r="R48" s="122"/>
      <c r="S48" s="122"/>
      <c r="T48" s="122"/>
      <c r="U48" s="122"/>
      <c r="V48" s="122"/>
      <c r="W48" s="122"/>
      <c r="X48" s="122"/>
      <c r="Y48" s="122"/>
      <c r="Z48" s="123"/>
      <c r="AA48" s="121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3"/>
      <c r="AQ48" s="121"/>
      <c r="AR48" s="122"/>
      <c r="AS48" s="122"/>
      <c r="AT48" s="122"/>
      <c r="AU48" s="123"/>
      <c r="BK48" s="103"/>
    </row>
    <row r="49" spans="1:63" ht="15" customHeight="1" x14ac:dyDescent="0.25">
      <c r="A49" s="102"/>
      <c r="Q49" s="84"/>
      <c r="R49" s="85"/>
      <c r="S49" s="85"/>
      <c r="T49" s="85"/>
      <c r="U49" s="85"/>
      <c r="V49" s="85"/>
      <c r="W49" s="85"/>
      <c r="X49" s="85"/>
      <c r="Y49" s="85"/>
      <c r="Z49" s="86"/>
      <c r="AA49" s="84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6"/>
      <c r="AQ49" s="84"/>
      <c r="AR49" s="85"/>
      <c r="AS49" s="85"/>
      <c r="AT49" s="85"/>
      <c r="AU49" s="86"/>
      <c r="BK49" s="103"/>
    </row>
    <row r="50" spans="1:63" ht="15" customHeight="1" x14ac:dyDescent="0.25">
      <c r="A50" s="102"/>
      <c r="BK50" s="103"/>
    </row>
    <row r="51" spans="1:63" ht="15" customHeight="1" x14ac:dyDescent="0.25">
      <c r="A51" s="102"/>
      <c r="BK51" s="103"/>
    </row>
    <row r="52" spans="1:63" ht="15" customHeight="1" x14ac:dyDescent="0.25">
      <c r="A52" s="102"/>
      <c r="BK52" s="103"/>
    </row>
    <row r="53" spans="1:63" ht="15" customHeight="1" x14ac:dyDescent="0.25">
      <c r="A53" s="102"/>
      <c r="BK53" s="103"/>
    </row>
    <row r="54" spans="1:63" ht="15" customHeight="1" x14ac:dyDescent="0.25">
      <c r="A54" s="102"/>
      <c r="BK54" s="103"/>
    </row>
    <row r="55" spans="1:63" ht="15" customHeight="1" x14ac:dyDescent="0.25">
      <c r="A55" s="99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  <c r="BD55" s="100"/>
      <c r="BE55" s="100"/>
      <c r="BF55" s="100"/>
      <c r="BG55" s="100"/>
      <c r="BH55" s="100"/>
      <c r="BI55" s="100"/>
      <c r="BJ55" s="100"/>
      <c r="BK55" s="101"/>
    </row>
  </sheetData>
  <mergeCells count="28">
    <mergeCell ref="L16:AZ21"/>
    <mergeCell ref="L24:AZ36"/>
    <mergeCell ref="AQ46:AU49"/>
    <mergeCell ref="AA46:AP49"/>
    <mergeCell ref="Q46:Z49"/>
    <mergeCell ref="AQ44:AU45"/>
    <mergeCell ref="AA44:AP45"/>
    <mergeCell ref="Q44:Z45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horizontalDpi="300" verticalDpi="300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2784-A716-4033-921C-EAE8063211A0}">
  <sheetPr>
    <tabColor rgb="FFC00000"/>
    <pageSetUpPr fitToPage="1"/>
  </sheetPr>
  <dimension ref="A1:BK47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30" customWidth="1"/>
    <col min="61" max="16384" width="2.77734375" style="130"/>
  </cols>
  <sheetData>
    <row r="1" spans="1:63" ht="24.95" customHeight="1" x14ac:dyDescent="0.25">
      <c r="A1" s="124" t="s">
        <v>177</v>
      </c>
      <c r="B1" s="125"/>
      <c r="C1" s="125"/>
      <c r="D1" s="125"/>
      <c r="E1" s="125"/>
      <c r="F1" s="125"/>
      <c r="G1" s="125"/>
      <c r="H1" s="125"/>
      <c r="I1" s="125"/>
      <c r="J1" s="126"/>
      <c r="K1" s="124" t="s">
        <v>178</v>
      </c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6"/>
      <c r="W1" s="127" t="str">
        <f>IF(表紙!W1="","",表紙!W1)</f>
        <v>基本設計書</v>
      </c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9"/>
      <c r="AP1" s="124" t="s">
        <v>179</v>
      </c>
      <c r="AQ1" s="125"/>
      <c r="AR1" s="125"/>
      <c r="AS1" s="126"/>
      <c r="AT1" s="124" t="s">
        <v>180</v>
      </c>
      <c r="AU1" s="125"/>
      <c r="AV1" s="125"/>
      <c r="AW1" s="125"/>
      <c r="AX1" s="126"/>
      <c r="AY1" s="124" t="s">
        <v>181</v>
      </c>
      <c r="AZ1" s="125"/>
      <c r="BA1" s="125"/>
      <c r="BB1" s="126"/>
      <c r="BC1" s="124" t="s">
        <v>182</v>
      </c>
      <c r="BD1" s="125"/>
      <c r="BE1" s="125"/>
      <c r="BF1" s="125"/>
      <c r="BG1" s="126"/>
      <c r="BH1" s="124" t="s">
        <v>183</v>
      </c>
      <c r="BI1" s="125"/>
      <c r="BJ1" s="125"/>
      <c r="BK1" s="126"/>
    </row>
    <row r="2" spans="1:63" ht="15" customHeight="1" x14ac:dyDescent="0.25">
      <c r="A2" s="131" t="str">
        <f>IF(表紙!A2="","",表紙!A2)</f>
        <v>ignica POS</v>
      </c>
      <c r="B2" s="132"/>
      <c r="C2" s="132"/>
      <c r="D2" s="132"/>
      <c r="E2" s="132"/>
      <c r="F2" s="132"/>
      <c r="G2" s="132"/>
      <c r="H2" s="132"/>
      <c r="I2" s="132"/>
      <c r="J2" s="133"/>
      <c r="K2" s="131" t="str">
        <f>IF(表紙!K2="","",表紙!K2)</f>
        <v>POSサーバー</v>
      </c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3"/>
      <c r="W2" s="134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6"/>
      <c r="AP2" s="131" t="str">
        <f>IF(表紙!AP2="","",表紙!AP2)</f>
        <v>DuNT</v>
      </c>
      <c r="AQ2" s="132"/>
      <c r="AR2" s="132"/>
      <c r="AS2" s="133"/>
      <c r="AT2" s="137">
        <f>IF(表紙!AT2="","",表紙!AT2)</f>
        <v>45391</v>
      </c>
      <c r="AU2" s="138"/>
      <c r="AV2" s="138"/>
      <c r="AW2" s="138"/>
      <c r="AX2" s="139"/>
      <c r="AY2" s="131" t="str">
        <f>IF(表紙!AY2="","",表紙!AY2)</f>
        <v>AnhTTP</v>
      </c>
      <c r="AZ2" s="132"/>
      <c r="BA2" s="132"/>
      <c r="BB2" s="133"/>
      <c r="BC2" s="137">
        <f>IF(表紙!BC2="","",表紙!BC2)</f>
        <v>45637</v>
      </c>
      <c r="BD2" s="138"/>
      <c r="BE2" s="138"/>
      <c r="BF2" s="138"/>
      <c r="BG2" s="139"/>
      <c r="BH2" s="131">
        <f>IF(表紙!BH2="","",表紙!BH2)</f>
        <v>0.74</v>
      </c>
      <c r="BI2" s="132"/>
      <c r="BJ2" s="132"/>
      <c r="BK2" s="133"/>
    </row>
    <row r="3" spans="1:63" ht="15" customHeight="1" x14ac:dyDescent="0.25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143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5"/>
      <c r="AP3" s="140"/>
      <c r="AQ3" s="141"/>
      <c r="AR3" s="141"/>
      <c r="AS3" s="142"/>
      <c r="AT3" s="146"/>
      <c r="AU3" s="147"/>
      <c r="AV3" s="147"/>
      <c r="AW3" s="147"/>
      <c r="AX3" s="148"/>
      <c r="AY3" s="140"/>
      <c r="AZ3" s="141"/>
      <c r="BA3" s="141"/>
      <c r="BB3" s="142"/>
      <c r="BC3" s="146"/>
      <c r="BD3" s="147"/>
      <c r="BE3" s="147"/>
      <c r="BF3" s="147"/>
      <c r="BG3" s="148"/>
      <c r="BH3" s="140"/>
      <c r="BI3" s="141"/>
      <c r="BJ3" s="141"/>
      <c r="BK3" s="142"/>
    </row>
    <row r="4" spans="1:63" ht="24.95" customHeight="1" x14ac:dyDescent="0.25">
      <c r="A4" s="124" t="s">
        <v>184</v>
      </c>
      <c r="B4" s="125"/>
      <c r="C4" s="125"/>
      <c r="D4" s="125"/>
      <c r="E4" s="125"/>
      <c r="F4" s="125"/>
      <c r="G4" s="126"/>
      <c r="H4" s="149" t="str">
        <f>IF(表紙!H4="","",表紙!H4)</f>
        <v>00_共通</v>
      </c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  <c r="U4" s="124" t="s">
        <v>185</v>
      </c>
      <c r="V4" s="125"/>
      <c r="W4" s="125"/>
      <c r="X4" s="125"/>
      <c r="Y4" s="126"/>
      <c r="Z4" s="149" t="str">
        <f>IF(表紙!Z4="","",表紙!Z4)</f>
        <v>概要設計</v>
      </c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1"/>
      <c r="AP4" s="149" t="str">
        <f t="array" aca="1" ref="AP4" ca="1">RIGHT(CELL("filename",$A$1),LEN(CELL("filename",$A$1))-FIND("]",CELL("filename",$A$1)))</f>
        <v>改訂履歴</v>
      </c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1"/>
    </row>
    <row r="5" spans="1:63" ht="5.0999999999999996" customHeight="1" x14ac:dyDescent="0.25">
      <c r="A5" s="152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54"/>
    </row>
    <row r="6" spans="1:63" ht="15" customHeight="1" x14ac:dyDescent="0.25">
      <c r="A6" s="155"/>
      <c r="BK6" s="156"/>
    </row>
    <row r="7" spans="1:63" ht="15" customHeight="1" x14ac:dyDescent="0.25">
      <c r="A7" s="155"/>
      <c r="BK7" s="156"/>
    </row>
    <row r="8" spans="1:63" ht="15" customHeight="1" x14ac:dyDescent="0.25">
      <c r="A8" s="155"/>
      <c r="B8" s="130" t="s">
        <v>186</v>
      </c>
      <c r="BK8" s="156"/>
    </row>
    <row r="9" spans="1:63" ht="15" customHeight="1" x14ac:dyDescent="0.25">
      <c r="A9" s="155"/>
      <c r="BK9" s="156"/>
    </row>
    <row r="10" spans="1:63" ht="15" customHeight="1" x14ac:dyDescent="0.25">
      <c r="A10" s="155"/>
      <c r="B10" s="157" t="s">
        <v>182</v>
      </c>
      <c r="C10" s="157"/>
      <c r="D10" s="157"/>
      <c r="E10" s="157"/>
      <c r="F10" s="157"/>
      <c r="G10" s="157"/>
      <c r="H10" s="157" t="s">
        <v>181</v>
      </c>
      <c r="I10" s="157"/>
      <c r="J10" s="157"/>
      <c r="K10" s="157"/>
      <c r="L10" s="157"/>
      <c r="M10" s="157"/>
      <c r="N10" s="157"/>
      <c r="O10" s="157" t="s">
        <v>183</v>
      </c>
      <c r="P10" s="157"/>
      <c r="Q10" s="157"/>
      <c r="R10" s="157"/>
      <c r="S10" s="157" t="s">
        <v>187</v>
      </c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 t="s">
        <v>188</v>
      </c>
      <c r="AY10" s="157"/>
      <c r="AZ10" s="157"/>
      <c r="BA10" s="157"/>
      <c r="BB10" s="157"/>
      <c r="BC10" s="157"/>
      <c r="BD10" s="157" t="s">
        <v>189</v>
      </c>
      <c r="BE10" s="157"/>
      <c r="BF10" s="157"/>
      <c r="BG10" s="157"/>
      <c r="BH10" s="157"/>
      <c r="BI10" s="157"/>
      <c r="BJ10" s="157"/>
      <c r="BK10" s="156"/>
    </row>
    <row r="11" spans="1:63" ht="15" customHeight="1" x14ac:dyDescent="0.25">
      <c r="A11" s="155"/>
      <c r="B11" s="137">
        <v>45391</v>
      </c>
      <c r="C11" s="132"/>
      <c r="D11" s="132"/>
      <c r="E11" s="132"/>
      <c r="F11" s="132"/>
      <c r="G11" s="133"/>
      <c r="H11" s="131" t="s">
        <v>190</v>
      </c>
      <c r="I11" s="132"/>
      <c r="J11" s="132"/>
      <c r="K11" s="132"/>
      <c r="L11" s="132"/>
      <c r="M11" s="132"/>
      <c r="N11" s="133"/>
      <c r="O11" s="131">
        <v>0.1</v>
      </c>
      <c r="P11" s="132"/>
      <c r="Q11" s="132"/>
      <c r="R11" s="132"/>
      <c r="S11" s="158" t="s">
        <v>191</v>
      </c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60"/>
      <c r="AX11" s="161"/>
      <c r="AY11" s="161"/>
      <c r="AZ11" s="161"/>
      <c r="BA11" s="161"/>
      <c r="BB11" s="161"/>
      <c r="BC11" s="162"/>
      <c r="BD11" s="163"/>
      <c r="BE11" s="161"/>
      <c r="BF11" s="161"/>
      <c r="BG11" s="161"/>
      <c r="BH11" s="161"/>
      <c r="BI11" s="161"/>
      <c r="BJ11" s="162"/>
      <c r="BK11" s="156"/>
    </row>
    <row r="12" spans="1:63" ht="15" customHeight="1" x14ac:dyDescent="0.25">
      <c r="A12" s="155"/>
      <c r="B12" s="140"/>
      <c r="C12" s="141"/>
      <c r="D12" s="141"/>
      <c r="E12" s="141"/>
      <c r="F12" s="141"/>
      <c r="G12" s="142"/>
      <c r="H12" s="140"/>
      <c r="I12" s="141"/>
      <c r="J12" s="141"/>
      <c r="K12" s="141"/>
      <c r="L12" s="141"/>
      <c r="M12" s="141"/>
      <c r="N12" s="142"/>
      <c r="O12" s="140"/>
      <c r="P12" s="141"/>
      <c r="Q12" s="141"/>
      <c r="R12" s="141"/>
      <c r="S12" s="164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6"/>
      <c r="AX12" s="167"/>
      <c r="AY12" s="167"/>
      <c r="AZ12" s="167"/>
      <c r="BA12" s="167"/>
      <c r="BB12" s="167"/>
      <c r="BC12" s="168"/>
      <c r="BD12" s="169"/>
      <c r="BE12" s="167"/>
      <c r="BF12" s="167"/>
      <c r="BG12" s="167"/>
      <c r="BH12" s="167"/>
      <c r="BI12" s="167"/>
      <c r="BJ12" s="168"/>
      <c r="BK12" s="156"/>
    </row>
    <row r="13" spans="1:63" ht="15" customHeight="1" x14ac:dyDescent="0.25">
      <c r="A13" s="155"/>
      <c r="B13" s="137">
        <v>45415</v>
      </c>
      <c r="C13" s="132"/>
      <c r="D13" s="132"/>
      <c r="E13" s="132"/>
      <c r="F13" s="132"/>
      <c r="G13" s="133"/>
      <c r="H13" s="131" t="s">
        <v>192</v>
      </c>
      <c r="I13" s="132"/>
      <c r="J13" s="132"/>
      <c r="K13" s="132"/>
      <c r="L13" s="132"/>
      <c r="M13" s="132"/>
      <c r="N13" s="133"/>
      <c r="O13" s="131">
        <v>0.2</v>
      </c>
      <c r="P13" s="132"/>
      <c r="Q13" s="132"/>
      <c r="R13" s="132"/>
      <c r="S13" s="158" t="s">
        <v>193</v>
      </c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60"/>
      <c r="AX13" s="161"/>
      <c r="AY13" s="161"/>
      <c r="AZ13" s="161"/>
      <c r="BA13" s="161"/>
      <c r="BB13" s="161"/>
      <c r="BC13" s="162"/>
      <c r="BD13" s="163"/>
      <c r="BE13" s="161"/>
      <c r="BF13" s="161"/>
      <c r="BG13" s="161"/>
      <c r="BH13" s="161"/>
      <c r="BI13" s="161"/>
      <c r="BJ13" s="162"/>
      <c r="BK13" s="156"/>
    </row>
    <row r="14" spans="1:63" ht="15" customHeight="1" x14ac:dyDescent="0.25">
      <c r="A14" s="155"/>
      <c r="B14" s="140"/>
      <c r="C14" s="141"/>
      <c r="D14" s="141"/>
      <c r="E14" s="141"/>
      <c r="F14" s="141"/>
      <c r="G14" s="142"/>
      <c r="H14" s="140"/>
      <c r="I14" s="141"/>
      <c r="J14" s="141"/>
      <c r="K14" s="141"/>
      <c r="L14" s="141"/>
      <c r="M14" s="141"/>
      <c r="N14" s="142"/>
      <c r="O14" s="140"/>
      <c r="P14" s="141"/>
      <c r="Q14" s="141"/>
      <c r="R14" s="141"/>
      <c r="S14" s="164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6"/>
      <c r="AX14" s="167"/>
      <c r="AY14" s="167"/>
      <c r="AZ14" s="167"/>
      <c r="BA14" s="167"/>
      <c r="BB14" s="167"/>
      <c r="BC14" s="168"/>
      <c r="BD14" s="169"/>
      <c r="BE14" s="167"/>
      <c r="BF14" s="167"/>
      <c r="BG14" s="167"/>
      <c r="BH14" s="167"/>
      <c r="BI14" s="167"/>
      <c r="BJ14" s="168"/>
      <c r="BK14" s="156"/>
    </row>
    <row r="15" spans="1:63" ht="15" customHeight="1" x14ac:dyDescent="0.25">
      <c r="A15" s="155"/>
      <c r="B15" s="137">
        <v>45434</v>
      </c>
      <c r="C15" s="132"/>
      <c r="D15" s="132"/>
      <c r="E15" s="132"/>
      <c r="F15" s="132"/>
      <c r="G15" s="133"/>
      <c r="H15" s="131" t="s">
        <v>194</v>
      </c>
      <c r="I15" s="132"/>
      <c r="J15" s="132"/>
      <c r="K15" s="132"/>
      <c r="L15" s="132"/>
      <c r="M15" s="132"/>
      <c r="N15" s="133"/>
      <c r="O15" s="131">
        <v>0.21</v>
      </c>
      <c r="P15" s="132"/>
      <c r="Q15" s="132"/>
      <c r="R15" s="132"/>
      <c r="S15" s="158" t="s">
        <v>195</v>
      </c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59"/>
      <c r="AW15" s="160"/>
      <c r="AX15" s="161"/>
      <c r="AY15" s="161"/>
      <c r="AZ15" s="161"/>
      <c r="BA15" s="161"/>
      <c r="BB15" s="161"/>
      <c r="BC15" s="162"/>
      <c r="BD15" s="163"/>
      <c r="BE15" s="161"/>
      <c r="BF15" s="161"/>
      <c r="BG15" s="161"/>
      <c r="BH15" s="161"/>
      <c r="BI15" s="161"/>
      <c r="BJ15" s="162"/>
      <c r="BK15" s="156"/>
    </row>
    <row r="16" spans="1:63" ht="15" customHeight="1" x14ac:dyDescent="0.25">
      <c r="A16" s="155"/>
      <c r="B16" s="140"/>
      <c r="C16" s="141"/>
      <c r="D16" s="141"/>
      <c r="E16" s="141"/>
      <c r="F16" s="141"/>
      <c r="G16" s="142"/>
      <c r="H16" s="140"/>
      <c r="I16" s="141"/>
      <c r="J16" s="141"/>
      <c r="K16" s="141"/>
      <c r="L16" s="141"/>
      <c r="M16" s="141"/>
      <c r="N16" s="142"/>
      <c r="O16" s="140"/>
      <c r="P16" s="141"/>
      <c r="Q16" s="141"/>
      <c r="R16" s="141"/>
      <c r="S16" s="164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6"/>
      <c r="AX16" s="167"/>
      <c r="AY16" s="167"/>
      <c r="AZ16" s="167"/>
      <c r="BA16" s="167"/>
      <c r="BB16" s="167"/>
      <c r="BC16" s="168"/>
      <c r="BD16" s="169"/>
      <c r="BE16" s="167"/>
      <c r="BF16" s="167"/>
      <c r="BG16" s="167"/>
      <c r="BH16" s="167"/>
      <c r="BI16" s="167"/>
      <c r="BJ16" s="168"/>
      <c r="BK16" s="156"/>
    </row>
    <row r="17" spans="1:63" ht="15" customHeight="1" x14ac:dyDescent="0.25">
      <c r="A17" s="155"/>
      <c r="B17" s="170">
        <v>45490</v>
      </c>
      <c r="C17" s="171"/>
      <c r="D17" s="171"/>
      <c r="E17" s="171"/>
      <c r="F17" s="171"/>
      <c r="G17" s="172"/>
      <c r="H17" s="173" t="s">
        <v>196</v>
      </c>
      <c r="I17" s="171"/>
      <c r="J17" s="171"/>
      <c r="K17" s="171"/>
      <c r="L17" s="171"/>
      <c r="M17" s="171"/>
      <c r="N17" s="172"/>
      <c r="O17" s="173">
        <v>0.3</v>
      </c>
      <c r="P17" s="171"/>
      <c r="Q17" s="171"/>
      <c r="R17" s="171"/>
      <c r="S17" s="174" t="s">
        <v>197</v>
      </c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  <c r="AS17" s="175"/>
      <c r="AT17" s="175"/>
      <c r="AU17" s="175"/>
      <c r="AV17" s="175"/>
      <c r="AW17" s="176"/>
      <c r="AX17" s="161"/>
      <c r="AY17" s="161"/>
      <c r="AZ17" s="161"/>
      <c r="BA17" s="161"/>
      <c r="BB17" s="161"/>
      <c r="BC17" s="162"/>
      <c r="BD17" s="163"/>
      <c r="BE17" s="161"/>
      <c r="BF17" s="161"/>
      <c r="BG17" s="161"/>
      <c r="BH17" s="161"/>
      <c r="BI17" s="161"/>
      <c r="BJ17" s="162"/>
      <c r="BK17" s="156"/>
    </row>
    <row r="18" spans="1:63" ht="15" customHeight="1" x14ac:dyDescent="0.25">
      <c r="A18" s="155"/>
      <c r="B18" s="177"/>
      <c r="C18" s="178"/>
      <c r="D18" s="178"/>
      <c r="E18" s="178"/>
      <c r="F18" s="178"/>
      <c r="G18" s="179"/>
      <c r="H18" s="177"/>
      <c r="I18" s="178"/>
      <c r="J18" s="178"/>
      <c r="K18" s="178"/>
      <c r="L18" s="178"/>
      <c r="M18" s="178"/>
      <c r="N18" s="179"/>
      <c r="O18" s="177"/>
      <c r="P18" s="178"/>
      <c r="Q18" s="178"/>
      <c r="R18" s="178"/>
      <c r="S18" s="180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1"/>
      <c r="AW18" s="182"/>
      <c r="AX18" s="167"/>
      <c r="AY18" s="167"/>
      <c r="AZ18" s="167"/>
      <c r="BA18" s="167"/>
      <c r="BB18" s="167"/>
      <c r="BC18" s="168"/>
      <c r="BD18" s="169"/>
      <c r="BE18" s="167"/>
      <c r="BF18" s="167"/>
      <c r="BG18" s="167"/>
      <c r="BH18" s="167"/>
      <c r="BI18" s="167"/>
      <c r="BJ18" s="168"/>
      <c r="BK18" s="156"/>
    </row>
    <row r="19" spans="1:63" ht="15" customHeight="1" x14ac:dyDescent="0.25">
      <c r="A19" s="155"/>
      <c r="B19" s="137">
        <v>45504</v>
      </c>
      <c r="C19" s="132"/>
      <c r="D19" s="132"/>
      <c r="E19" s="132"/>
      <c r="F19" s="132"/>
      <c r="G19" s="133"/>
      <c r="H19" s="131" t="s">
        <v>198</v>
      </c>
      <c r="I19" s="132"/>
      <c r="J19" s="132"/>
      <c r="K19" s="132"/>
      <c r="L19" s="132"/>
      <c r="M19" s="132"/>
      <c r="N19" s="133"/>
      <c r="O19" s="131">
        <v>0.4</v>
      </c>
      <c r="P19" s="132"/>
      <c r="Q19" s="132"/>
      <c r="R19" s="132"/>
      <c r="S19" s="158" t="s">
        <v>199</v>
      </c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60"/>
      <c r="AX19" s="161"/>
      <c r="AY19" s="161"/>
      <c r="AZ19" s="161"/>
      <c r="BA19" s="161"/>
      <c r="BB19" s="161"/>
      <c r="BC19" s="162"/>
      <c r="BD19" s="163"/>
      <c r="BE19" s="161"/>
      <c r="BF19" s="161"/>
      <c r="BG19" s="161"/>
      <c r="BH19" s="161"/>
      <c r="BI19" s="161"/>
      <c r="BJ19" s="162"/>
      <c r="BK19" s="156"/>
    </row>
    <row r="20" spans="1:63" ht="15" customHeight="1" x14ac:dyDescent="0.25">
      <c r="A20" s="155"/>
      <c r="B20" s="183"/>
      <c r="C20" s="184"/>
      <c r="D20" s="184"/>
      <c r="E20" s="184"/>
      <c r="F20" s="184"/>
      <c r="G20" s="185"/>
      <c r="H20" s="186"/>
      <c r="I20" s="184"/>
      <c r="J20" s="184"/>
      <c r="K20" s="184"/>
      <c r="L20" s="184"/>
      <c r="M20" s="184"/>
      <c r="N20" s="185"/>
      <c r="O20" s="186"/>
      <c r="P20" s="184"/>
      <c r="Q20" s="184"/>
      <c r="R20" s="184"/>
      <c r="S20" s="187" t="s">
        <v>200</v>
      </c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88"/>
      <c r="AW20" s="189"/>
      <c r="AX20" s="190"/>
      <c r="AY20" s="190"/>
      <c r="AZ20" s="190"/>
      <c r="BA20" s="190"/>
      <c r="BB20" s="190"/>
      <c r="BC20" s="191"/>
      <c r="BD20" s="192"/>
      <c r="BE20" s="190"/>
      <c r="BF20" s="190"/>
      <c r="BG20" s="190"/>
      <c r="BH20" s="190"/>
      <c r="BI20" s="190"/>
      <c r="BJ20" s="191"/>
      <c r="BK20" s="156"/>
    </row>
    <row r="21" spans="1:63" ht="15" customHeight="1" x14ac:dyDescent="0.25">
      <c r="A21" s="155"/>
      <c r="B21" s="140"/>
      <c r="C21" s="141"/>
      <c r="D21" s="141"/>
      <c r="E21" s="141"/>
      <c r="F21" s="141"/>
      <c r="G21" s="142"/>
      <c r="H21" s="140"/>
      <c r="I21" s="141"/>
      <c r="J21" s="141"/>
      <c r="K21" s="141"/>
      <c r="L21" s="141"/>
      <c r="M21" s="141"/>
      <c r="N21" s="142"/>
      <c r="O21" s="140"/>
      <c r="P21" s="141"/>
      <c r="Q21" s="141"/>
      <c r="R21" s="141"/>
      <c r="S21" s="193" t="s">
        <v>201</v>
      </c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5"/>
      <c r="AX21" s="167"/>
      <c r="AY21" s="167"/>
      <c r="AZ21" s="167"/>
      <c r="BA21" s="167"/>
      <c r="BB21" s="167"/>
      <c r="BC21" s="168"/>
      <c r="BD21" s="169"/>
      <c r="BE21" s="167"/>
      <c r="BF21" s="167"/>
      <c r="BG21" s="167"/>
      <c r="BH21" s="167"/>
      <c r="BI21" s="167"/>
      <c r="BJ21" s="168"/>
      <c r="BK21" s="156"/>
    </row>
    <row r="22" spans="1:63" ht="15" customHeight="1" x14ac:dyDescent="0.25">
      <c r="A22" s="155"/>
      <c r="B22" s="137">
        <v>45504</v>
      </c>
      <c r="C22" s="132"/>
      <c r="D22" s="132"/>
      <c r="E22" s="132"/>
      <c r="F22" s="132"/>
      <c r="G22" s="133"/>
      <c r="H22" s="131" t="s">
        <v>190</v>
      </c>
      <c r="I22" s="132"/>
      <c r="J22" s="132"/>
      <c r="K22" s="132"/>
      <c r="L22" s="132"/>
      <c r="M22" s="132"/>
      <c r="N22" s="133"/>
      <c r="O22" s="131">
        <v>0.5</v>
      </c>
      <c r="P22" s="132"/>
      <c r="Q22" s="132"/>
      <c r="R22" s="132"/>
      <c r="S22" s="158" t="s">
        <v>202</v>
      </c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60"/>
      <c r="AX22" s="161"/>
      <c r="AY22" s="161"/>
      <c r="AZ22" s="161"/>
      <c r="BA22" s="161"/>
      <c r="BB22" s="161"/>
      <c r="BC22" s="162"/>
      <c r="BD22" s="163"/>
      <c r="BE22" s="161"/>
      <c r="BF22" s="161"/>
      <c r="BG22" s="161"/>
      <c r="BH22" s="161"/>
      <c r="BI22" s="161"/>
      <c r="BJ22" s="162"/>
      <c r="BK22" s="156"/>
    </row>
    <row r="23" spans="1:63" ht="15" customHeight="1" x14ac:dyDescent="0.25">
      <c r="A23" s="155"/>
      <c r="B23" s="183"/>
      <c r="C23" s="184"/>
      <c r="D23" s="184"/>
      <c r="E23" s="184"/>
      <c r="F23" s="184"/>
      <c r="G23" s="185"/>
      <c r="H23" s="186"/>
      <c r="I23" s="184"/>
      <c r="J23" s="184"/>
      <c r="K23" s="184"/>
      <c r="L23" s="184"/>
      <c r="M23" s="184"/>
      <c r="N23" s="185"/>
      <c r="O23" s="186"/>
      <c r="P23" s="184"/>
      <c r="Q23" s="184"/>
      <c r="R23" s="184"/>
      <c r="S23" s="196" t="s">
        <v>203</v>
      </c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9"/>
      <c r="AX23" s="190"/>
      <c r="AY23" s="190"/>
      <c r="AZ23" s="190"/>
      <c r="BA23" s="190"/>
      <c r="BB23" s="190"/>
      <c r="BC23" s="191"/>
      <c r="BD23" s="192"/>
      <c r="BE23" s="190"/>
      <c r="BF23" s="190"/>
      <c r="BG23" s="190"/>
      <c r="BH23" s="190"/>
      <c r="BI23" s="190"/>
      <c r="BJ23" s="191"/>
      <c r="BK23" s="156"/>
    </row>
    <row r="24" spans="1:63" ht="15" customHeight="1" x14ac:dyDescent="0.25">
      <c r="A24" s="155"/>
      <c r="B24" s="140"/>
      <c r="C24" s="141"/>
      <c r="D24" s="141"/>
      <c r="E24" s="141"/>
      <c r="F24" s="141"/>
      <c r="G24" s="142"/>
      <c r="H24" s="140"/>
      <c r="I24" s="141"/>
      <c r="J24" s="141"/>
      <c r="K24" s="141"/>
      <c r="L24" s="141"/>
      <c r="M24" s="141"/>
      <c r="N24" s="142"/>
      <c r="O24" s="140"/>
      <c r="P24" s="141"/>
      <c r="Q24" s="141"/>
      <c r="R24" s="141"/>
      <c r="S24" s="164" t="s">
        <v>204</v>
      </c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6"/>
      <c r="AX24" s="167"/>
      <c r="AY24" s="167"/>
      <c r="AZ24" s="167"/>
      <c r="BA24" s="167"/>
      <c r="BB24" s="167"/>
      <c r="BC24" s="168"/>
      <c r="BD24" s="169"/>
      <c r="BE24" s="167"/>
      <c r="BF24" s="167"/>
      <c r="BG24" s="167"/>
      <c r="BH24" s="167"/>
      <c r="BI24" s="167"/>
      <c r="BJ24" s="168"/>
      <c r="BK24" s="156"/>
    </row>
    <row r="25" spans="1:63" ht="15" customHeight="1" x14ac:dyDescent="0.25">
      <c r="A25" s="155"/>
      <c r="B25" s="137">
        <v>45523</v>
      </c>
      <c r="C25" s="132"/>
      <c r="D25" s="132"/>
      <c r="E25" s="132"/>
      <c r="F25" s="132"/>
      <c r="G25" s="133"/>
      <c r="H25" s="131" t="s">
        <v>190</v>
      </c>
      <c r="I25" s="132"/>
      <c r="J25" s="132"/>
      <c r="K25" s="132"/>
      <c r="L25" s="132"/>
      <c r="M25" s="132"/>
      <c r="N25" s="133"/>
      <c r="O25" s="131">
        <v>0.6</v>
      </c>
      <c r="P25" s="132"/>
      <c r="Q25" s="132"/>
      <c r="R25" s="132"/>
      <c r="S25" s="158" t="s">
        <v>205</v>
      </c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60"/>
      <c r="AX25" s="161"/>
      <c r="AY25" s="161"/>
      <c r="AZ25" s="161"/>
      <c r="BA25" s="161"/>
      <c r="BB25" s="161"/>
      <c r="BC25" s="162"/>
      <c r="BD25" s="163"/>
      <c r="BE25" s="161"/>
      <c r="BF25" s="161"/>
      <c r="BG25" s="161"/>
      <c r="BH25" s="161"/>
      <c r="BI25" s="161"/>
      <c r="BJ25" s="162"/>
      <c r="BK25" s="156"/>
    </row>
    <row r="26" spans="1:63" ht="15" customHeight="1" x14ac:dyDescent="0.25">
      <c r="A26" s="155"/>
      <c r="B26" s="140"/>
      <c r="C26" s="141"/>
      <c r="D26" s="141"/>
      <c r="E26" s="141"/>
      <c r="F26" s="141"/>
      <c r="G26" s="142"/>
      <c r="H26" s="140"/>
      <c r="I26" s="141"/>
      <c r="J26" s="141"/>
      <c r="K26" s="141"/>
      <c r="L26" s="141"/>
      <c r="M26" s="141"/>
      <c r="N26" s="142"/>
      <c r="O26" s="140"/>
      <c r="P26" s="141"/>
      <c r="Q26" s="141"/>
      <c r="R26" s="141"/>
      <c r="S26" s="164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6"/>
      <c r="AX26" s="167"/>
      <c r="AY26" s="167"/>
      <c r="AZ26" s="167"/>
      <c r="BA26" s="167"/>
      <c r="BB26" s="167"/>
      <c r="BC26" s="168"/>
      <c r="BD26" s="169"/>
      <c r="BE26" s="167"/>
      <c r="BF26" s="167"/>
      <c r="BG26" s="167"/>
      <c r="BH26" s="167"/>
      <c r="BI26" s="167"/>
      <c r="BJ26" s="168"/>
      <c r="BK26" s="156"/>
    </row>
    <row r="27" spans="1:63" ht="15" customHeight="1" x14ac:dyDescent="0.25">
      <c r="A27" s="155"/>
      <c r="B27" s="137">
        <v>45523</v>
      </c>
      <c r="C27" s="132"/>
      <c r="D27" s="132"/>
      <c r="E27" s="132"/>
      <c r="F27" s="132"/>
      <c r="G27" s="133"/>
      <c r="H27" s="131" t="s">
        <v>190</v>
      </c>
      <c r="I27" s="132"/>
      <c r="J27" s="132"/>
      <c r="K27" s="132"/>
      <c r="L27" s="132"/>
      <c r="M27" s="132"/>
      <c r="N27" s="133"/>
      <c r="O27" s="131">
        <v>0.7</v>
      </c>
      <c r="P27" s="132"/>
      <c r="Q27" s="132"/>
      <c r="R27" s="132"/>
      <c r="S27" s="158" t="s">
        <v>206</v>
      </c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60"/>
      <c r="AX27" s="161"/>
      <c r="AY27" s="161"/>
      <c r="AZ27" s="161"/>
      <c r="BA27" s="161"/>
      <c r="BB27" s="161"/>
      <c r="BC27" s="162"/>
      <c r="BD27" s="163"/>
      <c r="BE27" s="161"/>
      <c r="BF27" s="161"/>
      <c r="BG27" s="161"/>
      <c r="BH27" s="161"/>
      <c r="BI27" s="161"/>
      <c r="BJ27" s="162"/>
      <c r="BK27" s="156"/>
    </row>
    <row r="28" spans="1:63" ht="15" customHeight="1" x14ac:dyDescent="0.25">
      <c r="A28" s="155"/>
      <c r="B28" s="140"/>
      <c r="C28" s="141"/>
      <c r="D28" s="141"/>
      <c r="E28" s="141"/>
      <c r="F28" s="141"/>
      <c r="G28" s="142"/>
      <c r="H28" s="140"/>
      <c r="I28" s="141"/>
      <c r="J28" s="141"/>
      <c r="K28" s="141"/>
      <c r="L28" s="141"/>
      <c r="M28" s="141"/>
      <c r="N28" s="142"/>
      <c r="O28" s="140"/>
      <c r="P28" s="141"/>
      <c r="Q28" s="141"/>
      <c r="R28" s="141"/>
      <c r="S28" s="164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6"/>
      <c r="AX28" s="167"/>
      <c r="AY28" s="167"/>
      <c r="AZ28" s="167"/>
      <c r="BA28" s="167"/>
      <c r="BB28" s="167"/>
      <c r="BC28" s="168"/>
      <c r="BD28" s="169"/>
      <c r="BE28" s="167"/>
      <c r="BF28" s="167"/>
      <c r="BG28" s="167"/>
      <c r="BH28" s="167"/>
      <c r="BI28" s="167"/>
      <c r="BJ28" s="168"/>
      <c r="BK28" s="156"/>
    </row>
    <row r="29" spans="1:63" ht="15" customHeight="1" x14ac:dyDescent="0.25">
      <c r="A29" s="155"/>
      <c r="B29" s="197">
        <v>45590</v>
      </c>
      <c r="C29" s="198"/>
      <c r="D29" s="198"/>
      <c r="E29" s="198"/>
      <c r="F29" s="198"/>
      <c r="G29" s="199"/>
      <c r="H29" s="200" t="s">
        <v>207</v>
      </c>
      <c r="I29" s="198"/>
      <c r="J29" s="198"/>
      <c r="K29" s="198"/>
      <c r="L29" s="198"/>
      <c r="M29" s="198"/>
      <c r="N29" s="199"/>
      <c r="O29" s="200">
        <v>0.71</v>
      </c>
      <c r="P29" s="198"/>
      <c r="Q29" s="198"/>
      <c r="R29" s="198"/>
      <c r="S29" s="201" t="s">
        <v>208</v>
      </c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3"/>
      <c r="AX29" s="161"/>
      <c r="AY29" s="161"/>
      <c r="AZ29" s="161"/>
      <c r="BA29" s="161"/>
      <c r="BB29" s="161"/>
      <c r="BC29" s="162"/>
      <c r="BD29" s="163"/>
      <c r="BE29" s="161"/>
      <c r="BF29" s="161"/>
      <c r="BG29" s="161"/>
      <c r="BH29" s="161"/>
      <c r="BI29" s="161"/>
      <c r="BJ29" s="162"/>
      <c r="BK29" s="156"/>
    </row>
    <row r="30" spans="1:63" ht="15" customHeight="1" x14ac:dyDescent="0.25">
      <c r="A30" s="155"/>
      <c r="B30" s="204"/>
      <c r="C30" s="205"/>
      <c r="D30" s="205"/>
      <c r="E30" s="205"/>
      <c r="F30" s="205"/>
      <c r="G30" s="206"/>
      <c r="H30" s="204"/>
      <c r="I30" s="205"/>
      <c r="J30" s="205"/>
      <c r="K30" s="205"/>
      <c r="L30" s="205"/>
      <c r="M30" s="205"/>
      <c r="N30" s="206"/>
      <c r="O30" s="204"/>
      <c r="P30" s="205"/>
      <c r="Q30" s="205"/>
      <c r="R30" s="205"/>
      <c r="S30" s="207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8"/>
      <c r="AT30" s="208"/>
      <c r="AU30" s="208"/>
      <c r="AV30" s="208"/>
      <c r="AW30" s="209"/>
      <c r="AX30" s="167"/>
      <c r="AY30" s="167"/>
      <c r="AZ30" s="167"/>
      <c r="BA30" s="167"/>
      <c r="BB30" s="167"/>
      <c r="BC30" s="168"/>
      <c r="BD30" s="169"/>
      <c r="BE30" s="167"/>
      <c r="BF30" s="167"/>
      <c r="BG30" s="167"/>
      <c r="BH30" s="167"/>
      <c r="BI30" s="167"/>
      <c r="BJ30" s="168"/>
      <c r="BK30" s="156"/>
    </row>
    <row r="31" spans="1:63" ht="15" customHeight="1" x14ac:dyDescent="0.25">
      <c r="A31" s="155"/>
      <c r="B31" s="210">
        <v>45610</v>
      </c>
      <c r="C31" s="211"/>
      <c r="D31" s="211"/>
      <c r="E31" s="211"/>
      <c r="F31" s="211"/>
      <c r="G31" s="212"/>
      <c r="H31" s="213" t="s">
        <v>209</v>
      </c>
      <c r="I31" s="211"/>
      <c r="J31" s="211"/>
      <c r="K31" s="211"/>
      <c r="L31" s="211"/>
      <c r="M31" s="211"/>
      <c r="N31" s="212"/>
      <c r="O31" s="213">
        <v>0.72</v>
      </c>
      <c r="P31" s="211"/>
      <c r="Q31" s="211"/>
      <c r="R31" s="211"/>
      <c r="S31" s="214" t="s">
        <v>208</v>
      </c>
      <c r="T31" s="215"/>
      <c r="U31" s="215"/>
      <c r="V31" s="215"/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  <c r="AG31" s="215"/>
      <c r="AH31" s="215"/>
      <c r="AI31" s="215"/>
      <c r="AJ31" s="215"/>
      <c r="AK31" s="215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6"/>
      <c r="AX31" s="161"/>
      <c r="AY31" s="161"/>
      <c r="AZ31" s="161"/>
      <c r="BA31" s="161"/>
      <c r="BB31" s="161"/>
      <c r="BC31" s="162"/>
      <c r="BD31" s="163"/>
      <c r="BE31" s="161"/>
      <c r="BF31" s="161"/>
      <c r="BG31" s="161"/>
      <c r="BH31" s="161"/>
      <c r="BI31" s="161"/>
      <c r="BJ31" s="162"/>
      <c r="BK31" s="156"/>
    </row>
    <row r="32" spans="1:63" ht="15" customHeight="1" x14ac:dyDescent="0.25">
      <c r="A32" s="155"/>
      <c r="B32" s="217"/>
      <c r="C32" s="218"/>
      <c r="D32" s="218"/>
      <c r="E32" s="218"/>
      <c r="F32" s="218"/>
      <c r="G32" s="219"/>
      <c r="H32" s="217"/>
      <c r="I32" s="218"/>
      <c r="J32" s="218"/>
      <c r="K32" s="218"/>
      <c r="L32" s="218"/>
      <c r="M32" s="218"/>
      <c r="N32" s="219"/>
      <c r="O32" s="217"/>
      <c r="P32" s="218"/>
      <c r="Q32" s="218"/>
      <c r="R32" s="218"/>
      <c r="S32" s="220"/>
      <c r="T32" s="221"/>
      <c r="U32" s="221"/>
      <c r="V32" s="221"/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  <c r="AK32" s="221"/>
      <c r="AL32" s="221"/>
      <c r="AM32" s="221"/>
      <c r="AN32" s="221"/>
      <c r="AO32" s="221"/>
      <c r="AP32" s="221"/>
      <c r="AQ32" s="221"/>
      <c r="AR32" s="221"/>
      <c r="AS32" s="221"/>
      <c r="AT32" s="221"/>
      <c r="AU32" s="221"/>
      <c r="AV32" s="221"/>
      <c r="AW32" s="222"/>
      <c r="AX32" s="167"/>
      <c r="AY32" s="167"/>
      <c r="AZ32" s="167"/>
      <c r="BA32" s="167"/>
      <c r="BB32" s="167"/>
      <c r="BC32" s="168"/>
      <c r="BD32" s="169"/>
      <c r="BE32" s="167"/>
      <c r="BF32" s="167"/>
      <c r="BG32" s="167"/>
      <c r="BH32" s="167"/>
      <c r="BI32" s="167"/>
      <c r="BJ32" s="168"/>
      <c r="BK32" s="156"/>
    </row>
    <row r="33" spans="1:63" ht="15" customHeight="1" x14ac:dyDescent="0.25">
      <c r="A33" s="155"/>
      <c r="B33" s="223">
        <v>45618</v>
      </c>
      <c r="C33" s="224"/>
      <c r="D33" s="224"/>
      <c r="E33" s="224"/>
      <c r="F33" s="224"/>
      <c r="G33" s="225"/>
      <c r="H33" s="226" t="s">
        <v>210</v>
      </c>
      <c r="I33" s="224"/>
      <c r="J33" s="224"/>
      <c r="K33" s="224"/>
      <c r="L33" s="224"/>
      <c r="M33" s="224"/>
      <c r="N33" s="225"/>
      <c r="O33" s="226">
        <v>0.73</v>
      </c>
      <c r="P33" s="224"/>
      <c r="Q33" s="224"/>
      <c r="R33" s="224"/>
      <c r="S33" s="227" t="s">
        <v>211</v>
      </c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  <c r="AU33" s="228"/>
      <c r="AV33" s="228"/>
      <c r="AW33" s="229"/>
      <c r="AX33" s="161"/>
      <c r="AY33" s="161"/>
      <c r="AZ33" s="161"/>
      <c r="BA33" s="161"/>
      <c r="BB33" s="161"/>
      <c r="BC33" s="162"/>
      <c r="BD33" s="163"/>
      <c r="BE33" s="161"/>
      <c r="BF33" s="161"/>
      <c r="BG33" s="161"/>
      <c r="BH33" s="161"/>
      <c r="BI33" s="161"/>
      <c r="BJ33" s="162"/>
      <c r="BK33" s="156"/>
    </row>
    <row r="34" spans="1:63" ht="15" customHeight="1" x14ac:dyDescent="0.25">
      <c r="A34" s="155"/>
      <c r="B34" s="230"/>
      <c r="C34" s="231"/>
      <c r="D34" s="231"/>
      <c r="E34" s="231"/>
      <c r="F34" s="231"/>
      <c r="G34" s="232"/>
      <c r="H34" s="230"/>
      <c r="I34" s="231"/>
      <c r="J34" s="231"/>
      <c r="K34" s="231"/>
      <c r="L34" s="231"/>
      <c r="M34" s="231"/>
      <c r="N34" s="232"/>
      <c r="O34" s="230"/>
      <c r="P34" s="231"/>
      <c r="Q34" s="231"/>
      <c r="R34" s="231"/>
      <c r="S34" s="233"/>
      <c r="T34" s="234"/>
      <c r="U34" s="234"/>
      <c r="V34" s="234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234"/>
      <c r="AT34" s="234"/>
      <c r="AU34" s="234"/>
      <c r="AV34" s="234"/>
      <c r="AW34" s="235"/>
      <c r="AX34" s="167"/>
      <c r="AY34" s="167"/>
      <c r="AZ34" s="167"/>
      <c r="BA34" s="167"/>
      <c r="BB34" s="167"/>
      <c r="BC34" s="168"/>
      <c r="BD34" s="169"/>
      <c r="BE34" s="167"/>
      <c r="BF34" s="167"/>
      <c r="BG34" s="167"/>
      <c r="BH34" s="167"/>
      <c r="BI34" s="167"/>
      <c r="BJ34" s="168"/>
      <c r="BK34" s="156"/>
    </row>
    <row r="35" spans="1:63" ht="15" customHeight="1" x14ac:dyDescent="0.25">
      <c r="A35" s="155"/>
      <c r="B35" s="52">
        <v>45637</v>
      </c>
      <c r="C35" s="53"/>
      <c r="D35" s="53"/>
      <c r="E35" s="53"/>
      <c r="F35" s="53"/>
      <c r="G35" s="54"/>
      <c r="H35" s="58" t="s">
        <v>209</v>
      </c>
      <c r="I35" s="53"/>
      <c r="J35" s="53"/>
      <c r="K35" s="53"/>
      <c r="L35" s="53"/>
      <c r="M35" s="53"/>
      <c r="N35" s="54"/>
      <c r="O35" s="58">
        <v>0.74</v>
      </c>
      <c r="P35" s="53"/>
      <c r="Q35" s="53"/>
      <c r="R35" s="53"/>
      <c r="S35" s="59" t="s">
        <v>212</v>
      </c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1"/>
      <c r="AX35" s="161"/>
      <c r="AY35" s="161"/>
      <c r="AZ35" s="161"/>
      <c r="BA35" s="161"/>
      <c r="BB35" s="161"/>
      <c r="BC35" s="162"/>
      <c r="BD35" s="163"/>
      <c r="BE35" s="161"/>
      <c r="BF35" s="161"/>
      <c r="BG35" s="161"/>
      <c r="BH35" s="161"/>
      <c r="BI35" s="161"/>
      <c r="BJ35" s="162"/>
      <c r="BK35" s="156"/>
    </row>
    <row r="36" spans="1:63" ht="15" customHeight="1" x14ac:dyDescent="0.25">
      <c r="A36" s="155"/>
      <c r="B36" s="55"/>
      <c r="C36" s="56"/>
      <c r="D36" s="56"/>
      <c r="E36" s="56"/>
      <c r="F36" s="56"/>
      <c r="G36" s="57"/>
      <c r="H36" s="55"/>
      <c r="I36" s="56"/>
      <c r="J36" s="56"/>
      <c r="K36" s="56"/>
      <c r="L36" s="56"/>
      <c r="M36" s="56"/>
      <c r="N36" s="57"/>
      <c r="O36" s="55"/>
      <c r="P36" s="56"/>
      <c r="Q36" s="56"/>
      <c r="R36" s="56"/>
      <c r="S36" s="62" t="s">
        <v>213</v>
      </c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4"/>
      <c r="AX36" s="167"/>
      <c r="AY36" s="167"/>
      <c r="AZ36" s="167"/>
      <c r="BA36" s="167"/>
      <c r="BB36" s="167"/>
      <c r="BC36" s="168"/>
      <c r="BD36" s="169"/>
      <c r="BE36" s="167"/>
      <c r="BF36" s="167"/>
      <c r="BG36" s="167"/>
      <c r="BH36" s="167"/>
      <c r="BI36" s="167"/>
      <c r="BJ36" s="168"/>
      <c r="BK36" s="156"/>
    </row>
    <row r="37" spans="1:63" ht="15" customHeight="1" x14ac:dyDescent="0.25">
      <c r="A37" s="155"/>
      <c r="B37" s="131"/>
      <c r="C37" s="132"/>
      <c r="D37" s="132"/>
      <c r="E37" s="132"/>
      <c r="F37" s="132"/>
      <c r="G37" s="133"/>
      <c r="H37" s="131"/>
      <c r="I37" s="132"/>
      <c r="J37" s="132"/>
      <c r="K37" s="132"/>
      <c r="L37" s="132"/>
      <c r="M37" s="132"/>
      <c r="N37" s="133"/>
      <c r="O37" s="131"/>
      <c r="P37" s="132"/>
      <c r="Q37" s="132"/>
      <c r="R37" s="132"/>
      <c r="S37" s="158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60"/>
      <c r="AX37" s="161"/>
      <c r="AY37" s="161"/>
      <c r="AZ37" s="161"/>
      <c r="BA37" s="161"/>
      <c r="BB37" s="161"/>
      <c r="BC37" s="162"/>
      <c r="BD37" s="163"/>
      <c r="BE37" s="161"/>
      <c r="BF37" s="161"/>
      <c r="BG37" s="161"/>
      <c r="BH37" s="161"/>
      <c r="BI37" s="161"/>
      <c r="BJ37" s="162"/>
      <c r="BK37" s="156"/>
    </row>
    <row r="38" spans="1:63" ht="15" customHeight="1" x14ac:dyDescent="0.25">
      <c r="A38" s="155"/>
      <c r="B38" s="140"/>
      <c r="C38" s="141"/>
      <c r="D38" s="141"/>
      <c r="E38" s="141"/>
      <c r="F38" s="141"/>
      <c r="G38" s="142"/>
      <c r="H38" s="140"/>
      <c r="I38" s="141"/>
      <c r="J38" s="141"/>
      <c r="K38" s="141"/>
      <c r="L38" s="141"/>
      <c r="M38" s="141"/>
      <c r="N38" s="142"/>
      <c r="O38" s="140"/>
      <c r="P38" s="141"/>
      <c r="Q38" s="141"/>
      <c r="R38" s="141"/>
      <c r="S38" s="164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6"/>
      <c r="AX38" s="167"/>
      <c r="AY38" s="167"/>
      <c r="AZ38" s="167"/>
      <c r="BA38" s="167"/>
      <c r="BB38" s="167"/>
      <c r="BC38" s="168"/>
      <c r="BD38" s="169"/>
      <c r="BE38" s="167"/>
      <c r="BF38" s="167"/>
      <c r="BG38" s="167"/>
      <c r="BH38" s="167"/>
      <c r="BI38" s="167"/>
      <c r="BJ38" s="168"/>
      <c r="BK38" s="156"/>
    </row>
    <row r="39" spans="1:63" ht="15" customHeight="1" x14ac:dyDescent="0.25">
      <c r="A39" s="155"/>
      <c r="B39" s="131"/>
      <c r="C39" s="132"/>
      <c r="D39" s="132"/>
      <c r="E39" s="132"/>
      <c r="F39" s="132"/>
      <c r="G39" s="133"/>
      <c r="H39" s="131"/>
      <c r="I39" s="132"/>
      <c r="J39" s="132"/>
      <c r="K39" s="132"/>
      <c r="L39" s="132"/>
      <c r="M39" s="132"/>
      <c r="N39" s="133"/>
      <c r="O39" s="131"/>
      <c r="P39" s="132"/>
      <c r="Q39" s="132"/>
      <c r="R39" s="132"/>
      <c r="S39" s="158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60"/>
      <c r="AX39" s="161"/>
      <c r="AY39" s="161"/>
      <c r="AZ39" s="161"/>
      <c r="BA39" s="161"/>
      <c r="BB39" s="161"/>
      <c r="BC39" s="162"/>
      <c r="BD39" s="163"/>
      <c r="BE39" s="161"/>
      <c r="BF39" s="161"/>
      <c r="BG39" s="161"/>
      <c r="BH39" s="161"/>
      <c r="BI39" s="161"/>
      <c r="BJ39" s="162"/>
      <c r="BK39" s="156"/>
    </row>
    <row r="40" spans="1:63" ht="15" customHeight="1" x14ac:dyDescent="0.25">
      <c r="A40" s="155"/>
      <c r="B40" s="140"/>
      <c r="C40" s="141"/>
      <c r="D40" s="141"/>
      <c r="E40" s="141"/>
      <c r="F40" s="141"/>
      <c r="G40" s="142"/>
      <c r="H40" s="140"/>
      <c r="I40" s="141"/>
      <c r="J40" s="141"/>
      <c r="K40" s="141"/>
      <c r="L40" s="141"/>
      <c r="M40" s="141"/>
      <c r="N40" s="142"/>
      <c r="O40" s="140"/>
      <c r="P40" s="141"/>
      <c r="Q40" s="141"/>
      <c r="R40" s="141"/>
      <c r="S40" s="164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6"/>
      <c r="AX40" s="167"/>
      <c r="AY40" s="167"/>
      <c r="AZ40" s="167"/>
      <c r="BA40" s="167"/>
      <c r="BB40" s="167"/>
      <c r="BC40" s="168"/>
      <c r="BD40" s="169"/>
      <c r="BE40" s="167"/>
      <c r="BF40" s="167"/>
      <c r="BG40" s="167"/>
      <c r="BH40" s="167"/>
      <c r="BI40" s="167"/>
      <c r="BJ40" s="168"/>
      <c r="BK40" s="156"/>
    </row>
    <row r="41" spans="1:63" ht="15" customHeight="1" x14ac:dyDescent="0.25">
      <c r="A41" s="155"/>
      <c r="B41" s="131"/>
      <c r="C41" s="132"/>
      <c r="D41" s="132"/>
      <c r="E41" s="132"/>
      <c r="F41" s="132"/>
      <c r="G41" s="133"/>
      <c r="H41" s="131"/>
      <c r="I41" s="132"/>
      <c r="J41" s="132"/>
      <c r="K41" s="132"/>
      <c r="L41" s="132"/>
      <c r="M41" s="132"/>
      <c r="N41" s="133"/>
      <c r="O41" s="131"/>
      <c r="P41" s="132"/>
      <c r="Q41" s="132"/>
      <c r="R41" s="132"/>
      <c r="S41" s="158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60"/>
      <c r="AX41" s="161"/>
      <c r="AY41" s="161"/>
      <c r="AZ41" s="161"/>
      <c r="BA41" s="161"/>
      <c r="BB41" s="161"/>
      <c r="BC41" s="162"/>
      <c r="BD41" s="163"/>
      <c r="BE41" s="161"/>
      <c r="BF41" s="161"/>
      <c r="BG41" s="161"/>
      <c r="BH41" s="161"/>
      <c r="BI41" s="161"/>
      <c r="BJ41" s="162"/>
      <c r="BK41" s="156"/>
    </row>
    <row r="42" spans="1:63" ht="15" customHeight="1" x14ac:dyDescent="0.25">
      <c r="A42" s="155"/>
      <c r="B42" s="140"/>
      <c r="C42" s="141"/>
      <c r="D42" s="141"/>
      <c r="E42" s="141"/>
      <c r="F42" s="141"/>
      <c r="G42" s="142"/>
      <c r="H42" s="140"/>
      <c r="I42" s="141"/>
      <c r="J42" s="141"/>
      <c r="K42" s="141"/>
      <c r="L42" s="141"/>
      <c r="M42" s="141"/>
      <c r="N42" s="142"/>
      <c r="O42" s="140"/>
      <c r="P42" s="141"/>
      <c r="Q42" s="141"/>
      <c r="R42" s="141"/>
      <c r="S42" s="164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6"/>
      <c r="AX42" s="167"/>
      <c r="AY42" s="167"/>
      <c r="AZ42" s="167"/>
      <c r="BA42" s="167"/>
      <c r="BB42" s="167"/>
      <c r="BC42" s="168"/>
      <c r="BD42" s="169"/>
      <c r="BE42" s="167"/>
      <c r="BF42" s="167"/>
      <c r="BG42" s="167"/>
      <c r="BH42" s="167"/>
      <c r="BI42" s="167"/>
      <c r="BJ42" s="168"/>
      <c r="BK42" s="156"/>
    </row>
    <row r="43" spans="1:63" ht="15" customHeight="1" x14ac:dyDescent="0.25">
      <c r="A43" s="155"/>
      <c r="B43" s="131"/>
      <c r="C43" s="132"/>
      <c r="D43" s="132"/>
      <c r="E43" s="132"/>
      <c r="F43" s="132"/>
      <c r="G43" s="133"/>
      <c r="H43" s="131"/>
      <c r="I43" s="132"/>
      <c r="J43" s="132"/>
      <c r="K43" s="132"/>
      <c r="L43" s="132"/>
      <c r="M43" s="132"/>
      <c r="N43" s="133"/>
      <c r="O43" s="131"/>
      <c r="P43" s="132"/>
      <c r="Q43" s="132"/>
      <c r="R43" s="132"/>
      <c r="S43" s="158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60"/>
      <c r="AX43" s="161"/>
      <c r="AY43" s="161"/>
      <c r="AZ43" s="161"/>
      <c r="BA43" s="161"/>
      <c r="BB43" s="161"/>
      <c r="BC43" s="162"/>
      <c r="BD43" s="163"/>
      <c r="BE43" s="161"/>
      <c r="BF43" s="161"/>
      <c r="BG43" s="161"/>
      <c r="BH43" s="161"/>
      <c r="BI43" s="161"/>
      <c r="BJ43" s="162"/>
      <c r="BK43" s="156"/>
    </row>
    <row r="44" spans="1:63" ht="15" customHeight="1" x14ac:dyDescent="0.25">
      <c r="A44" s="155"/>
      <c r="B44" s="140"/>
      <c r="C44" s="141"/>
      <c r="D44" s="141"/>
      <c r="E44" s="141"/>
      <c r="F44" s="141"/>
      <c r="G44" s="142"/>
      <c r="H44" s="140"/>
      <c r="I44" s="141"/>
      <c r="J44" s="141"/>
      <c r="K44" s="141"/>
      <c r="L44" s="141"/>
      <c r="M44" s="141"/>
      <c r="N44" s="142"/>
      <c r="O44" s="140"/>
      <c r="P44" s="141"/>
      <c r="Q44" s="141"/>
      <c r="R44" s="141"/>
      <c r="S44" s="164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6"/>
      <c r="AX44" s="167"/>
      <c r="AY44" s="167"/>
      <c r="AZ44" s="167"/>
      <c r="BA44" s="167"/>
      <c r="BB44" s="167"/>
      <c r="BC44" s="168"/>
      <c r="BD44" s="169"/>
      <c r="BE44" s="167"/>
      <c r="BF44" s="167"/>
      <c r="BG44" s="167"/>
      <c r="BH44" s="167"/>
      <c r="BI44" s="167"/>
      <c r="BJ44" s="168"/>
      <c r="BK44" s="156"/>
    </row>
    <row r="45" spans="1:63" ht="15" customHeight="1" x14ac:dyDescent="0.25">
      <c r="A45" s="155"/>
      <c r="B45" s="131"/>
      <c r="C45" s="132"/>
      <c r="D45" s="132"/>
      <c r="E45" s="132"/>
      <c r="F45" s="132"/>
      <c r="G45" s="133"/>
      <c r="H45" s="131"/>
      <c r="I45" s="132"/>
      <c r="J45" s="132"/>
      <c r="K45" s="132"/>
      <c r="L45" s="132"/>
      <c r="M45" s="132"/>
      <c r="N45" s="133"/>
      <c r="O45" s="131"/>
      <c r="P45" s="132"/>
      <c r="Q45" s="132"/>
      <c r="R45" s="132"/>
      <c r="S45" s="158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60"/>
      <c r="AX45" s="161"/>
      <c r="AY45" s="161"/>
      <c r="AZ45" s="161"/>
      <c r="BA45" s="161"/>
      <c r="BB45" s="161"/>
      <c r="BC45" s="162"/>
      <c r="BD45" s="163"/>
      <c r="BE45" s="161"/>
      <c r="BF45" s="161"/>
      <c r="BG45" s="161"/>
      <c r="BH45" s="161"/>
      <c r="BI45" s="161"/>
      <c r="BJ45" s="162"/>
      <c r="BK45" s="156"/>
    </row>
    <row r="46" spans="1:63" ht="15" customHeight="1" x14ac:dyDescent="0.25">
      <c r="A46" s="155"/>
      <c r="B46" s="140"/>
      <c r="C46" s="141"/>
      <c r="D46" s="141"/>
      <c r="E46" s="141"/>
      <c r="F46" s="141"/>
      <c r="G46" s="142"/>
      <c r="H46" s="140"/>
      <c r="I46" s="141"/>
      <c r="J46" s="141"/>
      <c r="K46" s="141"/>
      <c r="L46" s="141"/>
      <c r="M46" s="141"/>
      <c r="N46" s="142"/>
      <c r="O46" s="140"/>
      <c r="P46" s="141"/>
      <c r="Q46" s="141"/>
      <c r="R46" s="141"/>
      <c r="S46" s="164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  <c r="AL46" s="165"/>
      <c r="AM46" s="165"/>
      <c r="AN46" s="165"/>
      <c r="AO46" s="165"/>
      <c r="AP46" s="165"/>
      <c r="AQ46" s="165"/>
      <c r="AR46" s="165"/>
      <c r="AS46" s="165"/>
      <c r="AT46" s="165"/>
      <c r="AU46" s="165"/>
      <c r="AV46" s="165"/>
      <c r="AW46" s="166"/>
      <c r="AX46" s="167"/>
      <c r="AY46" s="167"/>
      <c r="AZ46" s="167"/>
      <c r="BA46" s="167"/>
      <c r="BB46" s="167"/>
      <c r="BC46" s="168"/>
      <c r="BD46" s="169"/>
      <c r="BE46" s="167"/>
      <c r="BF46" s="167"/>
      <c r="BG46" s="167"/>
      <c r="BH46" s="167"/>
      <c r="BI46" s="167"/>
      <c r="BJ46" s="168"/>
      <c r="BK46" s="156"/>
    </row>
    <row r="47" spans="1:63" ht="15" customHeight="1" x14ac:dyDescent="0.25">
      <c r="A47" s="152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  <c r="AJ47" s="153"/>
      <c r="AK47" s="153"/>
      <c r="AL47" s="153"/>
      <c r="AM47" s="153"/>
      <c r="AN47" s="153"/>
      <c r="AO47" s="153"/>
      <c r="AP47" s="153"/>
      <c r="AQ47" s="153"/>
      <c r="AR47" s="153"/>
      <c r="AS47" s="153"/>
      <c r="AT47" s="153"/>
      <c r="AU47" s="153"/>
      <c r="AV47" s="153"/>
      <c r="AW47" s="153"/>
      <c r="AX47" s="153"/>
      <c r="AY47" s="153"/>
      <c r="AZ47" s="153"/>
      <c r="BA47" s="153"/>
      <c r="BB47" s="153"/>
      <c r="BC47" s="153"/>
      <c r="BD47" s="153"/>
      <c r="BE47" s="153"/>
      <c r="BF47" s="153"/>
      <c r="BG47" s="153"/>
      <c r="BH47" s="153"/>
      <c r="BI47" s="153"/>
      <c r="BJ47" s="153"/>
      <c r="BK47" s="154"/>
    </row>
  </sheetData>
  <mergeCells count="147"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19:G21"/>
    <mergeCell ref="H19:N21"/>
    <mergeCell ref="O19:R21"/>
    <mergeCell ref="S19:AW19"/>
    <mergeCell ref="AX19:BC21"/>
    <mergeCell ref="BD19:BJ21"/>
    <mergeCell ref="S21:AW21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2:G24"/>
    <mergeCell ref="H22:N24"/>
    <mergeCell ref="O22:R24"/>
    <mergeCell ref="S22:AW22"/>
    <mergeCell ref="AX22:BC24"/>
    <mergeCell ref="BD22:BJ24"/>
    <mergeCell ref="S24:AW24"/>
    <mergeCell ref="S23:AW23"/>
    <mergeCell ref="B15:G16"/>
    <mergeCell ref="H15:N16"/>
    <mergeCell ref="O15:R16"/>
    <mergeCell ref="S15:AW15"/>
    <mergeCell ref="AX15:BC16"/>
    <mergeCell ref="BD15:BJ16"/>
    <mergeCell ref="S16:AW16"/>
    <mergeCell ref="B17:G18"/>
    <mergeCell ref="H17:N18"/>
    <mergeCell ref="O17:R18"/>
    <mergeCell ref="S17:AW17"/>
    <mergeCell ref="AX17:BC18"/>
    <mergeCell ref="BD17:BJ18"/>
    <mergeCell ref="S18:AW18"/>
    <mergeCell ref="BD10:BJ10"/>
    <mergeCell ref="AX10:BC10"/>
    <mergeCell ref="S10:AW10"/>
    <mergeCell ref="O10:R10"/>
    <mergeCell ref="H10:N10"/>
    <mergeCell ref="B10:G10"/>
    <mergeCell ref="K2:V3"/>
    <mergeCell ref="A2:J3"/>
    <mergeCell ref="BD13:BJ14"/>
    <mergeCell ref="S14:AW14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horizontalDpi="300" verticalDpi="300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A789-EE56-4360-BCBD-5D0ADF6D0729}">
  <sheetPr>
    <tabColor rgb="FF7030A0"/>
  </sheetPr>
  <dimension ref="A1:I19"/>
  <sheetViews>
    <sheetView zoomScale="85" zoomScaleNormal="85" workbookViewId="0"/>
  </sheetViews>
  <sheetFormatPr defaultRowHeight="15.75" x14ac:dyDescent="0.25"/>
  <cols>
    <col min="1" max="9" width="8.77734375" style="71" customWidth="1"/>
    <col min="10" max="16384" width="8.88671875" style="71"/>
  </cols>
  <sheetData>
    <row r="1" spans="1:2" x14ac:dyDescent="0.25">
      <c r="A1" s="236" t="s">
        <v>71</v>
      </c>
    </row>
    <row r="3" spans="1:2" x14ac:dyDescent="0.25">
      <c r="B3" s="71" t="s">
        <v>72</v>
      </c>
    </row>
    <row r="4" spans="1:2" x14ac:dyDescent="0.25">
      <c r="B4" s="237"/>
    </row>
    <row r="19" spans="2:9" x14ac:dyDescent="0.25">
      <c r="B19" s="71" t="s">
        <v>73</v>
      </c>
      <c r="I19" s="71" t="s">
        <v>74</v>
      </c>
    </row>
  </sheetData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B67A-4EB8-4CF1-ADCE-D76B04D8EBEF}">
  <sheetPr>
    <pageSetUpPr fitToPage="1"/>
  </sheetPr>
  <dimension ref="A1:BK61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38" customWidth="1"/>
    <col min="61" max="16384" width="2.77734375" style="238"/>
  </cols>
  <sheetData>
    <row r="1" spans="1:63" ht="24.95" customHeight="1" x14ac:dyDescent="0.25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9"/>
      <c r="K1" s="11" t="s">
        <v>2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9"/>
      <c r="W1" s="1" t="str">
        <f>IF(表紙!W1="","",表紙!W1)</f>
        <v>基本設計書</v>
      </c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9"/>
      <c r="AP1" s="11" t="s">
        <v>3</v>
      </c>
      <c r="AQ1" s="10"/>
      <c r="AR1" s="10"/>
      <c r="AS1" s="9"/>
      <c r="AT1" s="11" t="s">
        <v>4</v>
      </c>
      <c r="AU1" s="10"/>
      <c r="AV1" s="10"/>
      <c r="AW1" s="10"/>
      <c r="AX1" s="9"/>
      <c r="AY1" s="11" t="s">
        <v>5</v>
      </c>
      <c r="AZ1" s="10"/>
      <c r="BA1" s="10"/>
      <c r="BB1" s="9"/>
      <c r="BC1" s="11" t="s">
        <v>6</v>
      </c>
      <c r="BD1" s="10"/>
      <c r="BE1" s="10"/>
      <c r="BF1" s="10"/>
      <c r="BG1" s="9"/>
      <c r="BH1" s="11" t="s">
        <v>7</v>
      </c>
      <c r="BI1" s="10"/>
      <c r="BJ1" s="10"/>
      <c r="BK1" s="9"/>
    </row>
    <row r="2" spans="1:63" ht="15" customHeight="1" x14ac:dyDescent="0.25">
      <c r="A2" s="239" t="str">
        <f>IF(表紙!A2="","",表紙!A2)</f>
        <v>ignica POS</v>
      </c>
      <c r="B2" s="240"/>
      <c r="C2" s="240"/>
      <c r="D2" s="240"/>
      <c r="E2" s="240"/>
      <c r="F2" s="240"/>
      <c r="G2" s="240"/>
      <c r="H2" s="240"/>
      <c r="I2" s="240"/>
      <c r="J2" s="241"/>
      <c r="K2" s="239" t="str">
        <f>IF(表紙!K2="","",表紙!K2)</f>
        <v>POSサーバー</v>
      </c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1"/>
      <c r="W2" s="40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2"/>
      <c r="AP2" s="239" t="str">
        <f>IF(表紙!AP2="","",表紙!AP2)</f>
        <v>DuNT</v>
      </c>
      <c r="AQ2" s="240"/>
      <c r="AR2" s="240"/>
      <c r="AS2" s="241"/>
      <c r="AT2" s="242">
        <f>IF(表紙!AT2="","",表紙!AT2)</f>
        <v>45391</v>
      </c>
      <c r="AU2" s="243"/>
      <c r="AV2" s="243"/>
      <c r="AW2" s="243"/>
      <c r="AX2" s="244"/>
      <c r="AY2" s="239" t="str">
        <f>IF(表紙!AY2="","",表紙!AY2)</f>
        <v>AnhTTP</v>
      </c>
      <c r="AZ2" s="240"/>
      <c r="BA2" s="240"/>
      <c r="BB2" s="241"/>
      <c r="BC2" s="242">
        <f>IF(表紙!BC2="","",表紙!BC2)</f>
        <v>45637</v>
      </c>
      <c r="BD2" s="243"/>
      <c r="BE2" s="243"/>
      <c r="BF2" s="243"/>
      <c r="BG2" s="244"/>
      <c r="BH2" s="239">
        <f>IF(表紙!BH2="","",表紙!BH2)</f>
        <v>0.74</v>
      </c>
      <c r="BI2" s="240"/>
      <c r="BJ2" s="240"/>
      <c r="BK2" s="241"/>
    </row>
    <row r="3" spans="1:63" ht="15" customHeight="1" x14ac:dyDescent="0.25">
      <c r="A3" s="245"/>
      <c r="B3" s="246"/>
      <c r="C3" s="246"/>
      <c r="D3" s="246"/>
      <c r="E3" s="246"/>
      <c r="F3" s="246"/>
      <c r="G3" s="246"/>
      <c r="H3" s="246"/>
      <c r="I3" s="246"/>
      <c r="J3" s="247"/>
      <c r="K3" s="245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7"/>
      <c r="W3" s="43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5"/>
      <c r="AP3" s="245"/>
      <c r="AQ3" s="246"/>
      <c r="AR3" s="246"/>
      <c r="AS3" s="247"/>
      <c r="AT3" s="248"/>
      <c r="AU3" s="249"/>
      <c r="AV3" s="249"/>
      <c r="AW3" s="249"/>
      <c r="AX3" s="250"/>
      <c r="AY3" s="245"/>
      <c r="AZ3" s="246"/>
      <c r="BA3" s="246"/>
      <c r="BB3" s="247"/>
      <c r="BC3" s="248"/>
      <c r="BD3" s="249"/>
      <c r="BE3" s="249"/>
      <c r="BF3" s="249"/>
      <c r="BG3" s="250"/>
      <c r="BH3" s="245"/>
      <c r="BI3" s="246"/>
      <c r="BJ3" s="246"/>
      <c r="BK3" s="247"/>
    </row>
    <row r="4" spans="1:63" ht="24.95" customHeight="1" x14ac:dyDescent="0.25">
      <c r="A4" s="11" t="s">
        <v>1</v>
      </c>
      <c r="B4" s="10"/>
      <c r="C4" s="10"/>
      <c r="D4" s="10"/>
      <c r="E4" s="10"/>
      <c r="F4" s="10"/>
      <c r="G4" s="9"/>
      <c r="H4" s="251" t="str">
        <f>IF(表紙!H4="","",表紙!H4)</f>
        <v>00_共通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3"/>
      <c r="U4" s="11" t="s">
        <v>8</v>
      </c>
      <c r="V4" s="10"/>
      <c r="W4" s="10"/>
      <c r="X4" s="10"/>
      <c r="Y4" s="9"/>
      <c r="Z4" s="251" t="str">
        <f>IF(表紙!Z4="","",表紙!Z4)</f>
        <v>概要設計</v>
      </c>
      <c r="AA4" s="252"/>
      <c r="AB4" s="252"/>
      <c r="AC4" s="252"/>
      <c r="AD4" s="252"/>
      <c r="AE4" s="252"/>
      <c r="AF4" s="252"/>
      <c r="AG4" s="252"/>
      <c r="AH4" s="252"/>
      <c r="AI4" s="252"/>
      <c r="AJ4" s="252"/>
      <c r="AK4" s="252"/>
      <c r="AL4" s="252"/>
      <c r="AM4" s="252"/>
      <c r="AN4" s="252"/>
      <c r="AO4" s="253"/>
      <c r="AP4" s="251" t="str">
        <f t="array" aca="1" ref="AP4" ca="1">RIGHT(CELL("filename",$A$1),LEN(CELL("filename",$A$1))-FIND("]",CELL("filename",$A$1)))</f>
        <v>業務フロー</v>
      </c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52"/>
      <c r="BK4" s="253"/>
    </row>
    <row r="5" spans="1:63" ht="5.0999999999999996" customHeight="1" x14ac:dyDescent="0.25">
      <c r="A5" s="254"/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/>
      <c r="AT5" s="255"/>
      <c r="AU5" s="255"/>
      <c r="AV5" s="255"/>
      <c r="AW5" s="255"/>
      <c r="AX5" s="255"/>
      <c r="AY5" s="255"/>
      <c r="AZ5" s="255"/>
      <c r="BA5" s="255"/>
      <c r="BB5" s="255"/>
      <c r="BC5" s="255"/>
      <c r="BD5" s="255"/>
      <c r="BE5" s="255"/>
      <c r="BF5" s="255"/>
      <c r="BG5" s="255"/>
      <c r="BH5" s="255"/>
      <c r="BI5" s="255"/>
      <c r="BJ5" s="255"/>
      <c r="BK5" s="256"/>
    </row>
    <row r="6" spans="1:63" ht="15" customHeight="1" x14ac:dyDescent="0.25">
      <c r="A6" s="257"/>
      <c r="B6" s="258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60"/>
      <c r="AF6" s="258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259"/>
      <c r="BB6" s="259"/>
      <c r="BC6" s="259"/>
      <c r="BD6" s="259"/>
      <c r="BE6" s="259"/>
      <c r="BF6" s="259"/>
      <c r="BG6" s="259"/>
      <c r="BH6" s="259"/>
      <c r="BI6" s="260"/>
      <c r="BJ6" s="259"/>
      <c r="BK6" s="261"/>
    </row>
    <row r="7" spans="1:63" ht="15" customHeight="1" x14ac:dyDescent="0.25">
      <c r="A7" s="257"/>
      <c r="B7" s="20" t="s">
        <v>10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2"/>
      <c r="AF7" s="20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2"/>
      <c r="BJ7" s="21"/>
      <c r="BK7" s="261"/>
    </row>
    <row r="8" spans="1:63" ht="15" customHeight="1" x14ac:dyDescent="0.25">
      <c r="A8" s="257"/>
      <c r="B8" s="258"/>
      <c r="C8" s="259"/>
      <c r="D8" s="259"/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60"/>
      <c r="AF8" s="258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  <c r="BD8" s="259"/>
      <c r="BE8" s="259"/>
      <c r="BF8" s="259"/>
      <c r="BG8" s="259"/>
      <c r="BH8" s="259"/>
      <c r="BI8" s="260"/>
      <c r="BJ8" s="259"/>
      <c r="BK8" s="261"/>
    </row>
    <row r="9" spans="1:63" ht="15" customHeight="1" x14ac:dyDescent="0.25">
      <c r="A9" s="257"/>
      <c r="B9" s="258"/>
      <c r="C9" s="259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60"/>
      <c r="AF9" s="258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59"/>
      <c r="BG9" s="259"/>
      <c r="BH9" s="259"/>
      <c r="BI9" s="260"/>
      <c r="BJ9" s="259"/>
      <c r="BK9" s="261"/>
    </row>
    <row r="10" spans="1:63" ht="15" customHeight="1" x14ac:dyDescent="0.25">
      <c r="A10" s="257"/>
      <c r="B10" s="258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60"/>
      <c r="AF10" s="258"/>
      <c r="AG10" s="259"/>
      <c r="AH10" s="259"/>
      <c r="AI10" s="259"/>
      <c r="AJ10" s="259"/>
      <c r="AK10" s="259"/>
      <c r="AL10" s="259"/>
      <c r="AM10" s="259"/>
      <c r="AN10" s="259"/>
      <c r="AO10" s="259"/>
      <c r="AP10" s="259"/>
      <c r="AQ10" s="259"/>
      <c r="AR10" s="259"/>
      <c r="AS10" s="259"/>
      <c r="AT10" s="259"/>
      <c r="AU10" s="259"/>
      <c r="AV10" s="259"/>
      <c r="AW10" s="259"/>
      <c r="AX10" s="259"/>
      <c r="AY10" s="259"/>
      <c r="AZ10" s="259"/>
      <c r="BA10" s="259"/>
      <c r="BB10" s="259"/>
      <c r="BC10" s="259"/>
      <c r="BD10" s="259"/>
      <c r="BE10" s="259"/>
      <c r="BF10" s="259"/>
      <c r="BG10" s="259"/>
      <c r="BH10" s="259"/>
      <c r="BI10" s="260"/>
      <c r="BJ10" s="259"/>
      <c r="BK10" s="261"/>
    </row>
    <row r="11" spans="1:63" ht="15" customHeight="1" x14ac:dyDescent="0.25">
      <c r="A11" s="257"/>
      <c r="B11" s="258"/>
      <c r="C11" s="259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60"/>
      <c r="AF11" s="258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59"/>
      <c r="AW11" s="259"/>
      <c r="AX11" s="259"/>
      <c r="AY11" s="259"/>
      <c r="AZ11" s="259"/>
      <c r="BA11" s="259"/>
      <c r="BB11" s="259"/>
      <c r="BC11" s="259"/>
      <c r="BD11" s="259"/>
      <c r="BE11" s="259"/>
      <c r="BF11" s="259"/>
      <c r="BG11" s="259"/>
      <c r="BH11" s="259"/>
      <c r="BI11" s="260"/>
      <c r="BJ11" s="259"/>
      <c r="BK11" s="261"/>
    </row>
    <row r="12" spans="1:63" ht="15" customHeight="1" x14ac:dyDescent="0.25">
      <c r="A12" s="257"/>
      <c r="B12" s="258"/>
      <c r="C12" s="259"/>
      <c r="D12" s="259"/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60"/>
      <c r="AF12" s="258"/>
      <c r="AG12" s="259"/>
      <c r="AH12" s="259"/>
      <c r="AI12" s="259"/>
      <c r="AJ12" s="259"/>
      <c r="AK12" s="259"/>
      <c r="AL12" s="259"/>
      <c r="AM12" s="259"/>
      <c r="AN12" s="259"/>
      <c r="AO12" s="259"/>
      <c r="AP12" s="259"/>
      <c r="AQ12" s="259"/>
      <c r="AR12" s="259"/>
      <c r="AS12" s="259"/>
      <c r="AT12" s="259"/>
      <c r="AU12" s="259"/>
      <c r="AV12" s="259"/>
      <c r="AW12" s="259"/>
      <c r="AX12" s="259"/>
      <c r="AY12" s="259"/>
      <c r="AZ12" s="259"/>
      <c r="BA12" s="259"/>
      <c r="BB12" s="259"/>
      <c r="BC12" s="259"/>
      <c r="BD12" s="259"/>
      <c r="BE12" s="259"/>
      <c r="BF12" s="259"/>
      <c r="BG12" s="259"/>
      <c r="BH12" s="259"/>
      <c r="BI12" s="260"/>
      <c r="BJ12" s="259"/>
      <c r="BK12" s="261"/>
    </row>
    <row r="13" spans="1:63" ht="15" customHeight="1" x14ac:dyDescent="0.25">
      <c r="A13" s="257"/>
      <c r="B13" s="258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60"/>
      <c r="AF13" s="258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59"/>
      <c r="BB13" s="259"/>
      <c r="BC13" s="259"/>
      <c r="BD13" s="259"/>
      <c r="BE13" s="259"/>
      <c r="BF13" s="259"/>
      <c r="BG13" s="259"/>
      <c r="BH13" s="259"/>
      <c r="BI13" s="260"/>
      <c r="BJ13" s="259"/>
      <c r="BK13" s="261"/>
    </row>
    <row r="14" spans="1:63" ht="15" customHeight="1" x14ac:dyDescent="0.25">
      <c r="A14" s="257"/>
      <c r="B14" s="258"/>
      <c r="C14" s="259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60"/>
      <c r="AF14" s="258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259"/>
      <c r="AV14" s="259"/>
      <c r="AW14" s="259"/>
      <c r="AX14" s="259"/>
      <c r="AY14" s="259"/>
      <c r="AZ14" s="259"/>
      <c r="BA14" s="259"/>
      <c r="BB14" s="259"/>
      <c r="BC14" s="259"/>
      <c r="BD14" s="259"/>
      <c r="BE14" s="259"/>
      <c r="BF14" s="259"/>
      <c r="BG14" s="259"/>
      <c r="BH14" s="259"/>
      <c r="BI14" s="260"/>
      <c r="BJ14" s="259"/>
      <c r="BK14" s="261"/>
    </row>
    <row r="15" spans="1:63" ht="15" customHeight="1" x14ac:dyDescent="0.25">
      <c r="A15" s="257"/>
      <c r="B15" s="258"/>
      <c r="C15" s="259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60"/>
      <c r="AF15" s="258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59"/>
      <c r="BB15" s="259"/>
      <c r="BC15" s="259"/>
      <c r="BD15" s="259"/>
      <c r="BE15" s="259"/>
      <c r="BF15" s="259"/>
      <c r="BG15" s="259"/>
      <c r="BH15" s="259"/>
      <c r="BI15" s="260"/>
      <c r="BJ15" s="259"/>
      <c r="BK15" s="261"/>
    </row>
    <row r="16" spans="1:63" ht="15" customHeight="1" x14ac:dyDescent="0.25">
      <c r="A16" s="257"/>
      <c r="B16" s="258"/>
      <c r="C16" s="259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60"/>
      <c r="AF16" s="258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  <c r="BD16" s="259"/>
      <c r="BE16" s="259"/>
      <c r="BF16" s="259"/>
      <c r="BG16" s="259"/>
      <c r="BH16" s="259"/>
      <c r="BI16" s="260"/>
      <c r="BJ16" s="259"/>
      <c r="BK16" s="261"/>
    </row>
    <row r="17" spans="1:63" ht="15" customHeight="1" x14ac:dyDescent="0.25">
      <c r="A17" s="257"/>
      <c r="B17" s="258"/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60"/>
      <c r="AF17" s="258"/>
      <c r="AG17" s="259"/>
      <c r="AH17" s="259"/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59"/>
      <c r="BG17" s="259"/>
      <c r="BH17" s="259"/>
      <c r="BI17" s="260"/>
      <c r="BJ17" s="259"/>
      <c r="BK17" s="261"/>
    </row>
    <row r="18" spans="1:63" ht="15" customHeight="1" x14ac:dyDescent="0.25">
      <c r="A18" s="257"/>
      <c r="B18" s="258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60"/>
      <c r="AF18" s="258"/>
      <c r="AG18" s="259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G18" s="259"/>
      <c r="BH18" s="259"/>
      <c r="BI18" s="260"/>
      <c r="BJ18" s="259"/>
      <c r="BK18" s="261"/>
    </row>
    <row r="19" spans="1:63" ht="15" customHeight="1" x14ac:dyDescent="0.25">
      <c r="A19" s="257"/>
      <c r="B19" s="258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60"/>
      <c r="AF19" s="258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59"/>
      <c r="BI19" s="260"/>
      <c r="BJ19" s="259"/>
      <c r="BK19" s="261"/>
    </row>
    <row r="20" spans="1:63" ht="15" customHeight="1" x14ac:dyDescent="0.25">
      <c r="A20" s="257"/>
      <c r="B20" s="258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60"/>
      <c r="AF20" s="258"/>
      <c r="AG20" s="259"/>
      <c r="AH20" s="259"/>
      <c r="AI20" s="259"/>
      <c r="AJ20" s="259"/>
      <c r="AK20" s="259"/>
      <c r="AL20" s="259"/>
      <c r="AM20" s="259"/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60"/>
      <c r="BJ20" s="259"/>
      <c r="BK20" s="261"/>
    </row>
    <row r="21" spans="1:63" ht="15" customHeight="1" x14ac:dyDescent="0.25">
      <c r="A21" s="257"/>
      <c r="B21" s="258"/>
      <c r="C21" s="259"/>
      <c r="D21" s="259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60"/>
      <c r="AF21" s="258"/>
      <c r="AG21" s="259"/>
      <c r="AH21" s="259"/>
      <c r="AI21" s="259"/>
      <c r="AJ21" s="259"/>
      <c r="AK21" s="259"/>
      <c r="AL21" s="259"/>
      <c r="AM21" s="259"/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59"/>
      <c r="BI21" s="260"/>
      <c r="BJ21" s="259"/>
      <c r="BK21" s="261"/>
    </row>
    <row r="22" spans="1:63" ht="15" customHeight="1" x14ac:dyDescent="0.25">
      <c r="A22" s="257"/>
      <c r="B22" s="20" t="s">
        <v>11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2"/>
      <c r="AF22" s="20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2"/>
      <c r="BJ22" s="21"/>
      <c r="BK22" s="261"/>
    </row>
    <row r="23" spans="1:63" ht="15" customHeight="1" x14ac:dyDescent="0.25">
      <c r="A23" s="257"/>
      <c r="B23" s="258"/>
      <c r="C23" s="259"/>
      <c r="D23" s="259"/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60"/>
      <c r="AF23" s="258"/>
      <c r="AG23" s="259"/>
      <c r="AH23" s="259"/>
      <c r="AI23" s="259"/>
      <c r="AJ23" s="259"/>
      <c r="AK23" s="259"/>
      <c r="AL23" s="259"/>
      <c r="AM23" s="259"/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60"/>
      <c r="BJ23" s="259"/>
      <c r="BK23" s="261"/>
    </row>
    <row r="24" spans="1:63" ht="15" customHeight="1" x14ac:dyDescent="0.25">
      <c r="A24" s="257"/>
      <c r="B24" s="258"/>
      <c r="C24" s="259"/>
      <c r="D24" s="259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60"/>
      <c r="AF24" s="258"/>
      <c r="AG24" s="259"/>
      <c r="AH24" s="259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60"/>
      <c r="BJ24" s="259"/>
      <c r="BK24" s="261"/>
    </row>
    <row r="25" spans="1:63" ht="15" customHeight="1" x14ac:dyDescent="0.25">
      <c r="A25" s="257"/>
      <c r="B25" s="258"/>
      <c r="C25" s="259"/>
      <c r="D25" s="259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60"/>
      <c r="AF25" s="258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60"/>
      <c r="BJ25" s="259"/>
      <c r="BK25" s="261"/>
    </row>
    <row r="26" spans="1:63" ht="15" customHeight="1" x14ac:dyDescent="0.25">
      <c r="A26" s="257"/>
      <c r="B26" s="258"/>
      <c r="C26" s="259"/>
      <c r="D26" s="259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60"/>
      <c r="AF26" s="258"/>
      <c r="AG26" s="259"/>
      <c r="AH26" s="259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60"/>
      <c r="BJ26" s="259"/>
      <c r="BK26" s="261"/>
    </row>
    <row r="27" spans="1:63" ht="15" customHeight="1" x14ac:dyDescent="0.25">
      <c r="A27" s="257"/>
      <c r="B27" s="258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60"/>
      <c r="AF27" s="258"/>
      <c r="AG27" s="259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60"/>
      <c r="BJ27" s="259"/>
      <c r="BK27" s="261"/>
    </row>
    <row r="28" spans="1:63" ht="15" customHeight="1" x14ac:dyDescent="0.25">
      <c r="A28" s="257"/>
      <c r="B28" s="258"/>
      <c r="C28" s="259"/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60"/>
      <c r="AF28" s="258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60"/>
      <c r="BJ28" s="259"/>
      <c r="BK28" s="261"/>
    </row>
    <row r="29" spans="1:63" ht="15" customHeight="1" x14ac:dyDescent="0.25">
      <c r="A29" s="257"/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60"/>
      <c r="AF29" s="258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60"/>
      <c r="BJ29" s="259"/>
      <c r="BK29" s="261"/>
    </row>
    <row r="30" spans="1:63" ht="15" customHeight="1" x14ac:dyDescent="0.25">
      <c r="A30" s="257"/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60"/>
      <c r="AF30" s="258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59"/>
      <c r="BI30" s="260"/>
      <c r="BJ30" s="259"/>
      <c r="BK30" s="261"/>
    </row>
    <row r="31" spans="1:63" ht="15" customHeight="1" x14ac:dyDescent="0.25">
      <c r="A31" s="257"/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60"/>
      <c r="AF31" s="258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60"/>
      <c r="BJ31" s="259"/>
      <c r="BK31" s="261"/>
    </row>
    <row r="32" spans="1:63" ht="15" customHeight="1" x14ac:dyDescent="0.25">
      <c r="A32" s="257"/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60"/>
      <c r="AF32" s="258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60"/>
      <c r="BJ32" s="259"/>
      <c r="BK32" s="261"/>
    </row>
    <row r="33" spans="1:63" ht="15" customHeight="1" x14ac:dyDescent="0.25">
      <c r="A33" s="257"/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60"/>
      <c r="AF33" s="258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59"/>
      <c r="BI33" s="260"/>
      <c r="BJ33" s="259"/>
      <c r="BK33" s="261"/>
    </row>
    <row r="34" spans="1:63" ht="15" customHeight="1" x14ac:dyDescent="0.25">
      <c r="A34" s="257"/>
      <c r="B34" s="258"/>
      <c r="C34" s="259"/>
      <c r="D34" s="259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60"/>
      <c r="AF34" s="258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60"/>
      <c r="BJ34" s="259"/>
      <c r="BK34" s="261"/>
    </row>
    <row r="35" spans="1:63" ht="15" customHeight="1" x14ac:dyDescent="0.25">
      <c r="A35" s="257"/>
      <c r="B35" s="258"/>
      <c r="C35" s="259"/>
      <c r="D35" s="259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60"/>
      <c r="AF35" s="258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60"/>
      <c r="BJ35" s="259"/>
      <c r="BK35" s="261"/>
    </row>
    <row r="36" spans="1:63" ht="15" customHeight="1" x14ac:dyDescent="0.25">
      <c r="A36" s="257"/>
      <c r="B36" s="258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60"/>
      <c r="AF36" s="258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60"/>
      <c r="BJ36" s="259"/>
      <c r="BK36" s="261"/>
    </row>
    <row r="37" spans="1:63" ht="15" customHeight="1" x14ac:dyDescent="0.25">
      <c r="A37" s="257"/>
      <c r="B37" s="258"/>
      <c r="C37" s="259"/>
      <c r="D37" s="259"/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59"/>
      <c r="R37" s="259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8"/>
      <c r="AG37" s="259"/>
      <c r="AH37" s="259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  <c r="BD37" s="259"/>
      <c r="BE37" s="259"/>
      <c r="BF37" s="259"/>
      <c r="BG37" s="259"/>
      <c r="BH37" s="259"/>
      <c r="BI37" s="260"/>
      <c r="BJ37" s="259"/>
      <c r="BK37" s="261"/>
    </row>
    <row r="38" spans="1:63" ht="15" customHeight="1" x14ac:dyDescent="0.25">
      <c r="A38" s="257"/>
      <c r="B38" s="258"/>
      <c r="C38" s="259"/>
      <c r="D38" s="259"/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8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59"/>
      <c r="BI38" s="260"/>
      <c r="BJ38" s="259"/>
      <c r="BK38" s="261"/>
    </row>
    <row r="39" spans="1:63" ht="15" customHeight="1" x14ac:dyDescent="0.25">
      <c r="A39" s="257"/>
      <c r="B39" s="258"/>
      <c r="C39" s="259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59"/>
      <c r="R39" s="25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8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  <c r="BD39" s="259"/>
      <c r="BE39" s="259"/>
      <c r="BF39" s="259"/>
      <c r="BG39" s="259"/>
      <c r="BH39" s="259"/>
      <c r="BI39" s="260"/>
      <c r="BJ39" s="259"/>
      <c r="BK39" s="261"/>
    </row>
    <row r="40" spans="1:63" ht="15" customHeight="1" x14ac:dyDescent="0.25">
      <c r="A40" s="257"/>
      <c r="B40" s="258"/>
      <c r="C40" s="259"/>
      <c r="D40" s="259"/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8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259"/>
      <c r="BC40" s="259"/>
      <c r="BD40" s="259"/>
      <c r="BE40" s="259"/>
      <c r="BF40" s="259"/>
      <c r="BG40" s="259"/>
      <c r="BH40" s="259"/>
      <c r="BI40" s="260"/>
      <c r="BJ40" s="259"/>
      <c r="BK40" s="261"/>
    </row>
    <row r="41" spans="1:63" ht="15" customHeight="1" x14ac:dyDescent="0.25">
      <c r="A41" s="257"/>
      <c r="B41" s="258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8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59"/>
      <c r="BI41" s="260"/>
      <c r="BJ41" s="259"/>
      <c r="BK41" s="261"/>
    </row>
    <row r="42" spans="1:63" ht="15" customHeight="1" x14ac:dyDescent="0.25">
      <c r="A42" s="257"/>
      <c r="B42" s="20" t="s">
        <v>12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2"/>
      <c r="AF42" s="20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2"/>
      <c r="BJ42" s="21"/>
      <c r="BK42" s="261"/>
    </row>
    <row r="43" spans="1:63" ht="15" customHeight="1" x14ac:dyDescent="0.25">
      <c r="A43" s="257"/>
      <c r="B43" s="258"/>
      <c r="C43" s="259"/>
      <c r="D43" s="259"/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60"/>
      <c r="AF43" s="258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59"/>
      <c r="BI43" s="260"/>
      <c r="BJ43" s="259"/>
      <c r="BK43" s="261"/>
    </row>
    <row r="44" spans="1:63" ht="15" customHeight="1" x14ac:dyDescent="0.25">
      <c r="A44" s="257"/>
      <c r="B44" s="258"/>
      <c r="C44" s="259"/>
      <c r="D44" s="259"/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60"/>
      <c r="AF44" s="258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59"/>
      <c r="BA44" s="259"/>
      <c r="BB44" s="259"/>
      <c r="BC44" s="259"/>
      <c r="BD44" s="259"/>
      <c r="BE44" s="259"/>
      <c r="BF44" s="259"/>
      <c r="BG44" s="259"/>
      <c r="BH44" s="259"/>
      <c r="BI44" s="260"/>
      <c r="BJ44" s="259"/>
      <c r="BK44" s="261"/>
    </row>
    <row r="45" spans="1:63" ht="15" customHeight="1" x14ac:dyDescent="0.25">
      <c r="A45" s="257"/>
      <c r="B45" s="258"/>
      <c r="C45" s="259"/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60"/>
      <c r="AF45" s="258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V45" s="259"/>
      <c r="AW45" s="259"/>
      <c r="AX45" s="259"/>
      <c r="AY45" s="259"/>
      <c r="AZ45" s="259"/>
      <c r="BA45" s="259"/>
      <c r="BB45" s="259"/>
      <c r="BC45" s="259"/>
      <c r="BD45" s="259"/>
      <c r="BE45" s="259"/>
      <c r="BF45" s="259"/>
      <c r="BG45" s="259"/>
      <c r="BH45" s="259"/>
      <c r="BI45" s="260"/>
      <c r="BJ45" s="259"/>
      <c r="BK45" s="261"/>
    </row>
    <row r="46" spans="1:63" ht="15" customHeight="1" x14ac:dyDescent="0.25">
      <c r="A46" s="257"/>
      <c r="B46" s="258"/>
      <c r="C46" s="259"/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60"/>
      <c r="AF46" s="258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  <c r="AS46" s="259"/>
      <c r="AT46" s="259"/>
      <c r="AU46" s="259"/>
      <c r="AV46" s="259"/>
      <c r="AW46" s="259"/>
      <c r="AX46" s="259"/>
      <c r="AY46" s="259"/>
      <c r="AZ46" s="259"/>
      <c r="BA46" s="259"/>
      <c r="BB46" s="259"/>
      <c r="BC46" s="259"/>
      <c r="BD46" s="259"/>
      <c r="BE46" s="259"/>
      <c r="BF46" s="259"/>
      <c r="BG46" s="259"/>
      <c r="BH46" s="259"/>
      <c r="BI46" s="260"/>
      <c r="BJ46" s="259"/>
      <c r="BK46" s="261"/>
    </row>
    <row r="47" spans="1:63" ht="15" customHeight="1" x14ac:dyDescent="0.25">
      <c r="A47" s="257"/>
      <c r="B47" s="258"/>
      <c r="C47" s="259"/>
      <c r="D47" s="259"/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60"/>
      <c r="AF47" s="258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  <c r="BD47" s="259"/>
      <c r="BE47" s="259"/>
      <c r="BF47" s="259"/>
      <c r="BG47" s="259"/>
      <c r="BH47" s="259"/>
      <c r="BI47" s="260"/>
      <c r="BJ47" s="259"/>
      <c r="BK47" s="261"/>
    </row>
    <row r="48" spans="1:63" ht="15" customHeight="1" x14ac:dyDescent="0.25">
      <c r="A48" s="257"/>
      <c r="B48" s="258"/>
      <c r="C48" s="259"/>
      <c r="D48" s="259"/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60"/>
      <c r="AF48" s="258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59"/>
      <c r="AY48" s="259"/>
      <c r="AZ48" s="259"/>
      <c r="BA48" s="259"/>
      <c r="BB48" s="259"/>
      <c r="BC48" s="259"/>
      <c r="BD48" s="259"/>
      <c r="BE48" s="259"/>
      <c r="BF48" s="259"/>
      <c r="BG48" s="259"/>
      <c r="BH48" s="259"/>
      <c r="BI48" s="260"/>
      <c r="BJ48" s="259"/>
      <c r="BK48" s="261"/>
    </row>
    <row r="49" spans="1:63" ht="15" customHeight="1" x14ac:dyDescent="0.25">
      <c r="A49" s="257"/>
      <c r="B49" s="258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8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59"/>
      <c r="AY49" s="259"/>
      <c r="AZ49" s="259"/>
      <c r="BA49" s="259"/>
      <c r="BB49" s="259"/>
      <c r="BC49" s="259"/>
      <c r="BD49" s="259"/>
      <c r="BE49" s="259"/>
      <c r="BF49" s="259"/>
      <c r="BG49" s="259"/>
      <c r="BH49" s="259"/>
      <c r="BI49" s="260"/>
      <c r="BJ49" s="259"/>
      <c r="BK49" s="261"/>
    </row>
    <row r="50" spans="1:63" ht="15" customHeight="1" x14ac:dyDescent="0.25">
      <c r="A50" s="257"/>
      <c r="B50" s="258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8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  <c r="BD50" s="259"/>
      <c r="BE50" s="259"/>
      <c r="BF50" s="259"/>
      <c r="BG50" s="259"/>
      <c r="BH50" s="259"/>
      <c r="BI50" s="260"/>
      <c r="BJ50" s="259"/>
      <c r="BK50" s="261"/>
    </row>
    <row r="51" spans="1:63" ht="15" customHeight="1" x14ac:dyDescent="0.25">
      <c r="A51" s="257"/>
      <c r="B51" s="258"/>
      <c r="C51" s="259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8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59"/>
      <c r="AY51" s="259"/>
      <c r="AZ51" s="259"/>
      <c r="BA51" s="259"/>
      <c r="BB51" s="259"/>
      <c r="BC51" s="259"/>
      <c r="BD51" s="259"/>
      <c r="BE51" s="259"/>
      <c r="BF51" s="259"/>
      <c r="BG51" s="259"/>
      <c r="BH51" s="259"/>
      <c r="BI51" s="260"/>
      <c r="BJ51" s="259"/>
      <c r="BK51" s="261"/>
    </row>
    <row r="52" spans="1:63" ht="15" customHeight="1" x14ac:dyDescent="0.25">
      <c r="A52" s="257"/>
      <c r="B52" s="258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8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59"/>
      <c r="AY52" s="259"/>
      <c r="AZ52" s="259"/>
      <c r="BA52" s="259"/>
      <c r="BB52" s="259"/>
      <c r="BC52" s="259"/>
      <c r="BD52" s="259"/>
      <c r="BE52" s="259"/>
      <c r="BF52" s="259"/>
      <c r="BG52" s="259"/>
      <c r="BH52" s="259"/>
      <c r="BI52" s="260"/>
      <c r="BJ52" s="259"/>
      <c r="BK52" s="261"/>
    </row>
    <row r="53" spans="1:63" ht="15" customHeight="1" x14ac:dyDescent="0.25">
      <c r="A53" s="257"/>
      <c r="B53" s="258"/>
      <c r="C53" s="259"/>
      <c r="D53" s="259"/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8"/>
      <c r="AG53" s="259"/>
      <c r="AH53" s="259"/>
      <c r="AI53" s="259"/>
      <c r="AJ53" s="259"/>
      <c r="AK53" s="259"/>
      <c r="AL53" s="259"/>
      <c r="AM53" s="259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  <c r="BD53" s="259"/>
      <c r="BE53" s="259"/>
      <c r="BF53" s="259"/>
      <c r="BG53" s="259"/>
      <c r="BH53" s="259"/>
      <c r="BI53" s="260"/>
      <c r="BJ53" s="259"/>
      <c r="BK53" s="261"/>
    </row>
    <row r="54" spans="1:63" ht="15" customHeight="1" x14ac:dyDescent="0.25">
      <c r="A54" s="257"/>
      <c r="B54" s="258"/>
      <c r="C54" s="259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8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59"/>
      <c r="AY54" s="259"/>
      <c r="AZ54" s="259"/>
      <c r="BA54" s="259"/>
      <c r="BB54" s="259"/>
      <c r="BC54" s="259"/>
      <c r="BD54" s="259"/>
      <c r="BE54" s="259"/>
      <c r="BF54" s="259"/>
      <c r="BG54" s="259"/>
      <c r="BH54" s="259"/>
      <c r="BI54" s="260"/>
      <c r="BJ54" s="259"/>
      <c r="BK54" s="261"/>
    </row>
    <row r="55" spans="1:63" ht="15" customHeight="1" x14ac:dyDescent="0.25">
      <c r="A55" s="259"/>
      <c r="B55" s="258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60"/>
      <c r="AF55" s="258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59"/>
      <c r="AY55" s="259"/>
      <c r="AZ55" s="259"/>
      <c r="BA55" s="259"/>
      <c r="BB55" s="259"/>
      <c r="BC55" s="259"/>
      <c r="BD55" s="259"/>
      <c r="BE55" s="259"/>
      <c r="BF55" s="259"/>
      <c r="BG55" s="259"/>
      <c r="BH55" s="259"/>
      <c r="BI55" s="260"/>
      <c r="BJ55" s="259"/>
      <c r="BK55" s="261"/>
    </row>
    <row r="56" spans="1:63" ht="15.75" x14ac:dyDescent="0.25">
      <c r="A56" s="259"/>
      <c r="B56" s="258"/>
      <c r="C56" s="259"/>
      <c r="D56" s="259"/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60"/>
      <c r="AF56" s="258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59"/>
      <c r="BA56" s="259"/>
      <c r="BB56" s="259"/>
      <c r="BC56" s="259"/>
      <c r="BD56" s="259"/>
      <c r="BE56" s="259"/>
      <c r="BF56" s="259"/>
      <c r="BG56" s="259"/>
      <c r="BH56" s="259"/>
      <c r="BI56" s="260"/>
      <c r="BJ56" s="259"/>
      <c r="BK56" s="261"/>
    </row>
    <row r="57" spans="1:63" ht="15.75" x14ac:dyDescent="0.25">
      <c r="A57" s="259"/>
      <c r="B57" s="258"/>
      <c r="C57" s="259"/>
      <c r="D57" s="259"/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60"/>
      <c r="AF57" s="258"/>
      <c r="AG57" s="259"/>
      <c r="AH57" s="259"/>
      <c r="AI57" s="259"/>
      <c r="AJ57" s="259"/>
      <c r="AK57" s="259"/>
      <c r="AL57" s="259"/>
      <c r="AM57" s="259"/>
      <c r="AN57" s="259"/>
      <c r="AO57" s="259"/>
      <c r="AP57" s="259"/>
      <c r="AQ57" s="259"/>
      <c r="AR57" s="259"/>
      <c r="AS57" s="259"/>
      <c r="AT57" s="259"/>
      <c r="AU57" s="259"/>
      <c r="AV57" s="259"/>
      <c r="AW57" s="259"/>
      <c r="AX57" s="259"/>
      <c r="AY57" s="259"/>
      <c r="AZ57" s="259"/>
      <c r="BA57" s="259"/>
      <c r="BB57" s="259"/>
      <c r="BC57" s="259"/>
      <c r="BD57" s="259"/>
      <c r="BE57" s="259"/>
      <c r="BF57" s="259"/>
      <c r="BG57" s="259"/>
      <c r="BH57" s="259"/>
      <c r="BI57" s="260"/>
      <c r="BJ57" s="259"/>
      <c r="BK57" s="261"/>
    </row>
    <row r="58" spans="1:63" ht="15.75" x14ac:dyDescent="0.25">
      <c r="A58" s="259"/>
      <c r="B58" s="258"/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60"/>
      <c r="AF58" s="258"/>
      <c r="AG58" s="259"/>
      <c r="AH58" s="259"/>
      <c r="AI58" s="259"/>
      <c r="AJ58" s="259"/>
      <c r="AK58" s="259"/>
      <c r="AL58" s="259"/>
      <c r="AM58" s="259"/>
      <c r="AN58" s="259"/>
      <c r="AO58" s="259"/>
      <c r="AP58" s="259"/>
      <c r="AQ58" s="259"/>
      <c r="AR58" s="259"/>
      <c r="AS58" s="259"/>
      <c r="AT58" s="259"/>
      <c r="AU58" s="259"/>
      <c r="AV58" s="259"/>
      <c r="AW58" s="259"/>
      <c r="AX58" s="259"/>
      <c r="AY58" s="259"/>
      <c r="AZ58" s="259"/>
      <c r="BA58" s="259"/>
      <c r="BB58" s="259"/>
      <c r="BC58" s="259"/>
      <c r="BD58" s="259"/>
      <c r="BE58" s="259"/>
      <c r="BF58" s="259"/>
      <c r="BG58" s="259"/>
      <c r="BH58" s="259"/>
      <c r="BI58" s="260"/>
      <c r="BJ58" s="259"/>
      <c r="BK58" s="261"/>
    </row>
    <row r="59" spans="1:63" ht="15.75" x14ac:dyDescent="0.25">
      <c r="A59" s="259"/>
      <c r="B59" s="258"/>
      <c r="C59" s="259"/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60"/>
      <c r="AF59" s="258"/>
      <c r="AG59" s="259"/>
      <c r="AH59" s="259"/>
      <c r="AI59" s="259"/>
      <c r="AJ59" s="259"/>
      <c r="AK59" s="259"/>
      <c r="AL59" s="259"/>
      <c r="AM59" s="259"/>
      <c r="AN59" s="259"/>
      <c r="AO59" s="259"/>
      <c r="AP59" s="259"/>
      <c r="AQ59" s="259"/>
      <c r="AR59" s="259"/>
      <c r="AS59" s="259"/>
      <c r="AT59" s="259"/>
      <c r="AU59" s="259"/>
      <c r="AV59" s="259"/>
      <c r="AW59" s="259"/>
      <c r="AX59" s="259"/>
      <c r="AY59" s="259"/>
      <c r="AZ59" s="259"/>
      <c r="BA59" s="259"/>
      <c r="BB59" s="259"/>
      <c r="BC59" s="259"/>
      <c r="BD59" s="259"/>
      <c r="BE59" s="259"/>
      <c r="BF59" s="259"/>
      <c r="BG59" s="259"/>
      <c r="BH59" s="259"/>
      <c r="BI59" s="260"/>
      <c r="BJ59" s="259"/>
      <c r="BK59" s="261"/>
    </row>
    <row r="60" spans="1:63" ht="17.25" customHeight="1" x14ac:dyDescent="0.25">
      <c r="A60" s="259"/>
      <c r="B60" s="258"/>
      <c r="C60" s="259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60"/>
      <c r="AF60" s="258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59"/>
      <c r="AY60" s="259"/>
      <c r="AZ60" s="259"/>
      <c r="BA60" s="259"/>
      <c r="BB60" s="259"/>
      <c r="BC60" s="259"/>
      <c r="BD60" s="259"/>
      <c r="BE60" s="259"/>
      <c r="BF60" s="259"/>
      <c r="BG60" s="259"/>
      <c r="BH60" s="259"/>
      <c r="BI60" s="260"/>
      <c r="BJ60" s="259"/>
      <c r="BK60" s="261"/>
    </row>
    <row r="61" spans="1:63" ht="15.75" x14ac:dyDescent="0.25">
      <c r="A61" s="262"/>
      <c r="B61" s="263"/>
      <c r="C61" s="262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62"/>
      <c r="X61" s="262"/>
      <c r="Y61" s="262"/>
      <c r="Z61" s="262"/>
      <c r="AA61" s="262"/>
      <c r="AB61" s="262"/>
      <c r="AC61" s="262"/>
      <c r="AD61" s="262"/>
      <c r="AE61" s="264"/>
      <c r="AF61" s="263"/>
      <c r="AG61" s="262"/>
      <c r="AH61" s="262"/>
      <c r="AI61" s="262"/>
      <c r="AJ61" s="262"/>
      <c r="AK61" s="262"/>
      <c r="AL61" s="262"/>
      <c r="AM61" s="262"/>
      <c r="AN61" s="262"/>
      <c r="AO61" s="262"/>
      <c r="AP61" s="262"/>
      <c r="AQ61" s="262"/>
      <c r="AR61" s="262"/>
      <c r="AS61" s="262"/>
      <c r="AT61" s="262"/>
      <c r="AU61" s="262"/>
      <c r="AV61" s="262"/>
      <c r="AW61" s="262"/>
      <c r="AX61" s="262"/>
      <c r="AY61" s="262"/>
      <c r="AZ61" s="262"/>
      <c r="BA61" s="262"/>
      <c r="BB61" s="262"/>
      <c r="BC61" s="262"/>
      <c r="BD61" s="262"/>
      <c r="BE61" s="262"/>
      <c r="BF61" s="262"/>
      <c r="BG61" s="262"/>
      <c r="BH61" s="262"/>
      <c r="BI61" s="264"/>
      <c r="BJ61" s="262"/>
      <c r="BK61" s="26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3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48F4-D8AD-443A-8E50-529BF54BC9AC}">
  <sheetPr>
    <tabColor theme="5" tint="-0.24994659260841701"/>
    <pageSetUpPr fitToPage="1"/>
  </sheetPr>
  <dimension ref="A1:BO224"/>
  <sheetViews>
    <sheetView view="pageBreakPreview" zoomScale="85" zoomScaleNormal="75" zoomScaleSheetLayoutView="85" zoomScalePageLayoutView="40" workbookViewId="0">
      <selection sqref="A1:J1"/>
    </sheetView>
  </sheetViews>
  <sheetFormatPr defaultColWidth="2.77734375" defaultRowHeight="15" customHeight="1" x14ac:dyDescent="0.25"/>
  <cols>
    <col min="1" max="65" width="2.77734375" style="71" customWidth="1"/>
    <col min="66" max="16384" width="2.77734375" style="71"/>
  </cols>
  <sheetData>
    <row r="1" spans="1:65" ht="24.95" customHeight="1" x14ac:dyDescent="0.25">
      <c r="A1" s="65" t="s">
        <v>165</v>
      </c>
      <c r="B1" s="66"/>
      <c r="C1" s="66"/>
      <c r="D1" s="66"/>
      <c r="E1" s="66"/>
      <c r="F1" s="66"/>
      <c r="G1" s="66"/>
      <c r="H1" s="66"/>
      <c r="I1" s="66"/>
      <c r="J1" s="67"/>
      <c r="K1" s="65" t="s">
        <v>166</v>
      </c>
      <c r="L1" s="66"/>
      <c r="M1" s="66"/>
      <c r="N1" s="66"/>
      <c r="O1" s="66"/>
      <c r="P1" s="66"/>
      <c r="Q1" s="66"/>
      <c r="R1" s="66"/>
      <c r="S1" s="66"/>
      <c r="T1" s="66"/>
      <c r="U1" s="66"/>
      <c r="V1" s="67"/>
      <c r="W1" s="68" t="str">
        <f>IF(表紙!W1="","",表紙!W1)</f>
        <v>基本設計書</v>
      </c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70"/>
      <c r="AP1" s="65" t="s">
        <v>167</v>
      </c>
      <c r="AQ1" s="66"/>
      <c r="AR1" s="66"/>
      <c r="AS1" s="67"/>
      <c r="AT1" s="65" t="s">
        <v>168</v>
      </c>
      <c r="AU1" s="66"/>
      <c r="AV1" s="66"/>
      <c r="AW1" s="66"/>
      <c r="AX1" s="67"/>
      <c r="AY1" s="65" t="s">
        <v>169</v>
      </c>
      <c r="AZ1" s="66"/>
      <c r="BA1" s="66"/>
      <c r="BB1" s="67"/>
      <c r="BC1" s="65" t="s">
        <v>170</v>
      </c>
      <c r="BD1" s="66"/>
      <c r="BE1" s="66"/>
      <c r="BF1" s="66"/>
      <c r="BG1" s="67"/>
      <c r="BH1" s="65" t="s">
        <v>171</v>
      </c>
      <c r="BI1" s="66"/>
      <c r="BJ1" s="66"/>
      <c r="BK1" s="67"/>
    </row>
    <row r="2" spans="1:65" ht="15" customHeight="1" x14ac:dyDescent="0.25">
      <c r="A2" s="72" t="str">
        <f>IF(表紙!A2="","",表紙!A2)</f>
        <v>ignica POS</v>
      </c>
      <c r="B2" s="73"/>
      <c r="C2" s="73"/>
      <c r="D2" s="73"/>
      <c r="E2" s="73"/>
      <c r="F2" s="73"/>
      <c r="G2" s="73"/>
      <c r="H2" s="73"/>
      <c r="I2" s="73"/>
      <c r="J2" s="74"/>
      <c r="K2" s="72" t="str">
        <f>IF(表紙!K2="","",表紙!K2)</f>
        <v>POSサーバー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75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7"/>
      <c r="AP2" s="72" t="str">
        <f>IF(表紙!AP2="","",表紙!AP2)</f>
        <v>DuNT</v>
      </c>
      <c r="AQ2" s="73"/>
      <c r="AR2" s="73"/>
      <c r="AS2" s="74"/>
      <c r="AT2" s="78">
        <f>IF(表紙!AT2="","",表紙!AT2)</f>
        <v>45391</v>
      </c>
      <c r="AU2" s="79"/>
      <c r="AV2" s="79"/>
      <c r="AW2" s="79"/>
      <c r="AX2" s="80"/>
      <c r="AY2" s="72" t="str">
        <f>IF(表紙!AY2="","",表紙!AY2)</f>
        <v>AnhTTP</v>
      </c>
      <c r="AZ2" s="73"/>
      <c r="BA2" s="73"/>
      <c r="BB2" s="74"/>
      <c r="BC2" s="78">
        <f>IF(表紙!BC2="","",表紙!BC2)</f>
        <v>45637</v>
      </c>
      <c r="BD2" s="79"/>
      <c r="BE2" s="79"/>
      <c r="BF2" s="79"/>
      <c r="BG2" s="80"/>
      <c r="BH2" s="72">
        <f>IF(表紙!BH2="","",表紙!BH2)</f>
        <v>0.74</v>
      </c>
      <c r="BI2" s="73"/>
      <c r="BJ2" s="73"/>
      <c r="BK2" s="74"/>
    </row>
    <row r="3" spans="1:65" ht="15" customHeight="1" x14ac:dyDescent="0.25">
      <c r="A3" s="84"/>
      <c r="B3" s="85"/>
      <c r="C3" s="85"/>
      <c r="D3" s="85"/>
      <c r="E3" s="85"/>
      <c r="F3" s="85"/>
      <c r="G3" s="85"/>
      <c r="H3" s="85"/>
      <c r="I3" s="85"/>
      <c r="J3" s="86"/>
      <c r="K3" s="84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87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9"/>
      <c r="AP3" s="84"/>
      <c r="AQ3" s="85"/>
      <c r="AR3" s="85"/>
      <c r="AS3" s="86"/>
      <c r="AT3" s="90"/>
      <c r="AU3" s="91"/>
      <c r="AV3" s="91"/>
      <c r="AW3" s="91"/>
      <c r="AX3" s="92"/>
      <c r="AY3" s="84"/>
      <c r="AZ3" s="85"/>
      <c r="BA3" s="85"/>
      <c r="BB3" s="86"/>
      <c r="BC3" s="90"/>
      <c r="BD3" s="91"/>
      <c r="BE3" s="91"/>
      <c r="BF3" s="91"/>
      <c r="BG3" s="92"/>
      <c r="BH3" s="84"/>
      <c r="BI3" s="85"/>
      <c r="BJ3" s="85"/>
      <c r="BK3" s="86"/>
    </row>
    <row r="4" spans="1:65" ht="24.95" customHeight="1" x14ac:dyDescent="0.25">
      <c r="A4" s="65" t="s">
        <v>172</v>
      </c>
      <c r="B4" s="66"/>
      <c r="C4" s="66"/>
      <c r="D4" s="66"/>
      <c r="E4" s="66"/>
      <c r="F4" s="66"/>
      <c r="G4" s="67"/>
      <c r="H4" s="98" t="str">
        <f>IF(表紙!H4="","",表紙!H4)</f>
        <v>00_共通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65" t="s">
        <v>174</v>
      </c>
      <c r="V4" s="66"/>
      <c r="W4" s="66"/>
      <c r="X4" s="66"/>
      <c r="Y4" s="67"/>
      <c r="Z4" s="98" t="str">
        <f>IF(表紙!Z4="","",表紙!Z4)</f>
        <v>概要設計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8" t="str">
        <f t="array" aca="1" ref="AP4" ca="1">RIGHT(CELL("filename",$A$1),LEN(CELL("filename",$A$1))-FIND("]",CELL("filename",$A$1)))</f>
        <v>機能概要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5" ht="5.0999999999999996" customHeight="1" x14ac:dyDescent="0.25">
      <c r="A5" s="99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1"/>
    </row>
    <row r="6" spans="1:65" ht="15" customHeight="1" x14ac:dyDescent="0.25">
      <c r="A6" s="102"/>
      <c r="BK6" s="103"/>
    </row>
    <row r="7" spans="1:65" ht="15" customHeight="1" x14ac:dyDescent="0.25">
      <c r="A7" s="102"/>
      <c r="B7" s="266" t="s">
        <v>214</v>
      </c>
      <c r="C7" s="267"/>
      <c r="D7" s="268"/>
      <c r="E7" s="268"/>
      <c r="F7" s="268"/>
      <c r="G7" s="268"/>
      <c r="H7" s="268"/>
      <c r="I7" s="268"/>
      <c r="J7" s="268"/>
      <c r="K7" s="269"/>
      <c r="L7" s="267"/>
      <c r="M7" s="268"/>
      <c r="N7" s="268"/>
      <c r="O7" s="268"/>
      <c r="P7" s="268"/>
      <c r="Q7" s="268"/>
      <c r="R7" s="268"/>
      <c r="S7" s="268"/>
      <c r="T7" s="269"/>
      <c r="U7" s="267"/>
      <c r="V7" s="268"/>
      <c r="W7" s="268"/>
      <c r="X7" s="268"/>
      <c r="Y7" s="268"/>
      <c r="Z7" s="268"/>
      <c r="AA7" s="268"/>
      <c r="AB7" s="268"/>
      <c r="AC7" s="269"/>
      <c r="AD7" s="267"/>
      <c r="AE7" s="268"/>
      <c r="AF7" s="268"/>
      <c r="AG7" s="268"/>
      <c r="AH7" s="268"/>
      <c r="AI7" s="268"/>
      <c r="AJ7" s="268"/>
      <c r="AK7" s="268"/>
      <c r="AL7" s="269"/>
      <c r="AM7" s="267"/>
      <c r="AN7" s="268"/>
      <c r="AO7" s="268"/>
      <c r="AP7" s="268"/>
      <c r="AQ7" s="268"/>
      <c r="AR7" s="268"/>
      <c r="AS7" s="268"/>
      <c r="AT7" s="268"/>
      <c r="AU7" s="268"/>
      <c r="AV7" s="268"/>
      <c r="AW7" s="268"/>
      <c r="AX7" s="268"/>
      <c r="AY7" s="268"/>
      <c r="AZ7" s="268"/>
      <c r="BA7" s="268"/>
      <c r="BB7" s="268"/>
      <c r="BC7" s="268"/>
      <c r="BD7" s="268"/>
      <c r="BE7" s="268"/>
      <c r="BF7" s="268"/>
      <c r="BG7" s="268"/>
      <c r="BH7" s="268"/>
      <c r="BI7" s="269"/>
      <c r="BJ7" s="267"/>
      <c r="BK7" s="103"/>
    </row>
    <row r="8" spans="1:65" ht="15" customHeight="1" x14ac:dyDescent="0.25">
      <c r="A8" s="102"/>
      <c r="K8" s="270"/>
      <c r="L8" s="271"/>
      <c r="T8" s="270"/>
      <c r="U8" s="271"/>
      <c r="AC8" s="270"/>
      <c r="AD8" s="271"/>
      <c r="AL8" s="270"/>
      <c r="AM8" s="271"/>
      <c r="BI8" s="270"/>
      <c r="BJ8" s="271"/>
      <c r="BK8" s="103"/>
      <c r="BM8" s="71">
        <f>IF(BM7=50,1,BM7+1)</f>
        <v>1</v>
      </c>
    </row>
    <row r="9" spans="1:65" ht="15" customHeight="1" x14ac:dyDescent="0.25">
      <c r="A9" s="102"/>
      <c r="B9" s="272" t="s">
        <v>27</v>
      </c>
      <c r="C9" s="272"/>
      <c r="D9" s="272"/>
      <c r="E9" s="272"/>
      <c r="F9" s="272"/>
      <c r="G9" s="272"/>
      <c r="H9" s="272"/>
      <c r="I9" s="272"/>
      <c r="J9" s="272"/>
      <c r="K9" s="273"/>
      <c r="L9" s="274"/>
      <c r="M9" s="275"/>
      <c r="N9" s="272"/>
      <c r="O9" s="272"/>
      <c r="P9" s="272"/>
      <c r="Q9" s="272"/>
      <c r="R9" s="272"/>
      <c r="S9" s="272"/>
      <c r="T9" s="273"/>
      <c r="U9" s="274"/>
      <c r="V9" s="272"/>
      <c r="W9" s="272"/>
      <c r="X9" s="272"/>
      <c r="Y9" s="272"/>
      <c r="Z9" s="272"/>
      <c r="AA9" s="272"/>
      <c r="AB9" s="272"/>
      <c r="AC9" s="273"/>
      <c r="AD9" s="274"/>
      <c r="AE9" s="272"/>
      <c r="AF9" s="272"/>
      <c r="AG9" s="272"/>
      <c r="AH9" s="272"/>
      <c r="AI9" s="272"/>
      <c r="AJ9" s="272"/>
      <c r="AK9" s="272"/>
      <c r="AL9" s="273"/>
      <c r="AM9" s="274"/>
      <c r="AN9" s="272"/>
      <c r="AO9" s="272"/>
      <c r="AP9" s="272"/>
      <c r="AQ9" s="272"/>
      <c r="AR9" s="272"/>
      <c r="AS9" s="272"/>
      <c r="AT9" s="272"/>
      <c r="AU9" s="272"/>
      <c r="AV9" s="272"/>
      <c r="AW9" s="272"/>
      <c r="AX9" s="272"/>
      <c r="AY9" s="272"/>
      <c r="AZ9" s="272"/>
      <c r="BA9" s="272"/>
      <c r="BB9" s="272"/>
      <c r="BC9" s="272"/>
      <c r="BD9" s="272"/>
      <c r="BE9" s="272"/>
      <c r="BF9" s="272"/>
      <c r="BG9" s="272"/>
      <c r="BH9" s="272"/>
      <c r="BI9" s="273"/>
      <c r="BJ9" s="274"/>
      <c r="BK9" s="103"/>
      <c r="BM9" s="71">
        <f t="shared" ref="BM9:BM146" si="0">IF(BM8=50,1,BM8+1)</f>
        <v>2</v>
      </c>
    </row>
    <row r="10" spans="1:65" ht="15" customHeight="1" x14ac:dyDescent="0.25">
      <c r="A10" s="102"/>
      <c r="K10" s="270"/>
      <c r="L10" s="271"/>
      <c r="T10" s="270"/>
      <c r="U10" s="271"/>
      <c r="AC10" s="270"/>
      <c r="AD10" s="271"/>
      <c r="AL10" s="270"/>
      <c r="AM10" s="271"/>
      <c r="BI10" s="270"/>
      <c r="BJ10" s="271"/>
      <c r="BK10" s="103"/>
      <c r="BM10" s="71">
        <f t="shared" si="0"/>
        <v>3</v>
      </c>
    </row>
    <row r="11" spans="1:65" ht="15" customHeight="1" x14ac:dyDescent="0.25">
      <c r="A11" s="102"/>
      <c r="K11" s="270"/>
      <c r="L11" s="271"/>
      <c r="T11" s="270"/>
      <c r="U11" s="271"/>
      <c r="AC11" s="270"/>
      <c r="AD11" s="271"/>
      <c r="AL11" s="270"/>
      <c r="AM11" s="271"/>
      <c r="BI11" s="270"/>
      <c r="BJ11" s="271"/>
      <c r="BK11" s="103"/>
      <c r="BM11" s="71">
        <f t="shared" si="0"/>
        <v>4</v>
      </c>
    </row>
    <row r="12" spans="1:65" ht="15" customHeight="1" x14ac:dyDescent="0.25">
      <c r="A12" s="102"/>
      <c r="K12" s="270"/>
      <c r="L12" s="271"/>
      <c r="T12" s="270"/>
      <c r="U12" s="271"/>
      <c r="AC12" s="270"/>
      <c r="AD12" s="271"/>
      <c r="AL12" s="270"/>
      <c r="AM12" s="271"/>
      <c r="BI12" s="270"/>
      <c r="BJ12" s="271"/>
      <c r="BK12" s="103"/>
      <c r="BM12" s="71">
        <f t="shared" si="0"/>
        <v>5</v>
      </c>
    </row>
    <row r="13" spans="1:65" ht="15" customHeight="1" x14ac:dyDescent="0.25">
      <c r="A13" s="102"/>
      <c r="K13" s="270"/>
      <c r="L13" s="271"/>
      <c r="T13" s="270"/>
      <c r="U13" s="271"/>
      <c r="AC13" s="270"/>
      <c r="AD13" s="271"/>
      <c r="AL13" s="270"/>
      <c r="AM13" s="271"/>
      <c r="BI13" s="270"/>
      <c r="BJ13" s="271"/>
      <c r="BK13" s="103"/>
      <c r="BM13" s="71">
        <f t="shared" si="0"/>
        <v>6</v>
      </c>
    </row>
    <row r="14" spans="1:65" ht="15" customHeight="1" x14ac:dyDescent="0.25">
      <c r="A14" s="102"/>
      <c r="K14" s="270"/>
      <c r="L14" s="271"/>
      <c r="T14" s="270"/>
      <c r="U14" s="271"/>
      <c r="AC14" s="270"/>
      <c r="AD14" s="271"/>
      <c r="AL14" s="270"/>
      <c r="AM14" s="271"/>
      <c r="BI14" s="270"/>
      <c r="BJ14" s="271"/>
      <c r="BK14" s="103"/>
      <c r="BM14" s="71">
        <f t="shared" si="0"/>
        <v>7</v>
      </c>
    </row>
    <row r="15" spans="1:65" ht="15" customHeight="1" x14ac:dyDescent="0.25">
      <c r="A15" s="102"/>
      <c r="K15" s="270"/>
      <c r="L15" s="271"/>
      <c r="T15" s="270"/>
      <c r="U15" s="271"/>
      <c r="AC15" s="270"/>
      <c r="AD15" s="271"/>
      <c r="AL15" s="270"/>
      <c r="AM15" s="271"/>
      <c r="BI15" s="270"/>
      <c r="BJ15" s="271"/>
      <c r="BK15" s="103"/>
      <c r="BM15" s="71">
        <f t="shared" si="0"/>
        <v>8</v>
      </c>
    </row>
    <row r="16" spans="1:65" ht="15" customHeight="1" x14ac:dyDescent="0.25">
      <c r="A16" s="102"/>
      <c r="K16" s="270"/>
      <c r="L16" s="271"/>
      <c r="T16" s="270"/>
      <c r="U16" s="271"/>
      <c r="AC16" s="270"/>
      <c r="AD16" s="271"/>
      <c r="AL16" s="270"/>
      <c r="AM16" s="271"/>
      <c r="BI16" s="270"/>
      <c r="BJ16" s="271"/>
      <c r="BK16" s="103"/>
      <c r="BM16" s="71">
        <f t="shared" si="0"/>
        <v>9</v>
      </c>
    </row>
    <row r="17" spans="1:65" ht="15" customHeight="1" x14ac:dyDescent="0.25">
      <c r="A17" s="102"/>
      <c r="K17" s="270"/>
      <c r="L17" s="271"/>
      <c r="T17" s="270"/>
      <c r="U17" s="271"/>
      <c r="AC17" s="270"/>
      <c r="AD17" s="271"/>
      <c r="AL17" s="270"/>
      <c r="AM17" s="271"/>
      <c r="BI17" s="270"/>
      <c r="BJ17" s="271"/>
      <c r="BK17" s="103"/>
      <c r="BM17" s="71">
        <f t="shared" si="0"/>
        <v>10</v>
      </c>
    </row>
    <row r="18" spans="1:65" ht="15" customHeight="1" x14ac:dyDescent="0.25">
      <c r="A18" s="102"/>
      <c r="K18" s="270"/>
      <c r="L18" s="271"/>
      <c r="T18" s="270"/>
      <c r="U18" s="271"/>
      <c r="AC18" s="270"/>
      <c r="AD18" s="271"/>
      <c r="AL18" s="270"/>
      <c r="AM18" s="271"/>
      <c r="BI18" s="270"/>
      <c r="BJ18" s="271"/>
      <c r="BK18" s="103"/>
      <c r="BM18" s="71">
        <f t="shared" si="0"/>
        <v>11</v>
      </c>
    </row>
    <row r="19" spans="1:65" ht="15" customHeight="1" x14ac:dyDescent="0.25">
      <c r="A19" s="102"/>
      <c r="K19" s="270"/>
      <c r="L19" s="271"/>
      <c r="T19" s="270"/>
      <c r="U19" s="271"/>
      <c r="AC19" s="270"/>
      <c r="AD19" s="271"/>
      <c r="AL19" s="270"/>
      <c r="AM19" s="271"/>
      <c r="BI19" s="270"/>
      <c r="BJ19" s="271"/>
      <c r="BK19" s="103"/>
      <c r="BM19" s="71">
        <f t="shared" si="0"/>
        <v>12</v>
      </c>
    </row>
    <row r="20" spans="1:65" ht="15" customHeight="1" x14ac:dyDescent="0.25">
      <c r="A20" s="102"/>
      <c r="K20" s="270"/>
      <c r="L20" s="271"/>
      <c r="T20" s="270"/>
      <c r="U20" s="271"/>
      <c r="AC20" s="270"/>
      <c r="AD20" s="271"/>
      <c r="AL20" s="270"/>
      <c r="AM20" s="271"/>
      <c r="BI20" s="270"/>
      <c r="BJ20" s="271"/>
      <c r="BK20" s="103"/>
      <c r="BM20" s="71">
        <f t="shared" si="0"/>
        <v>13</v>
      </c>
    </row>
    <row r="21" spans="1:65" ht="15" customHeight="1" x14ac:dyDescent="0.25">
      <c r="A21" s="102"/>
      <c r="K21" s="270"/>
      <c r="L21" s="271"/>
      <c r="T21" s="270"/>
      <c r="U21" s="271"/>
      <c r="AC21" s="270"/>
      <c r="AD21" s="271"/>
      <c r="AL21" s="270"/>
      <c r="AM21" s="271"/>
      <c r="BI21" s="270"/>
      <c r="BJ21" s="271"/>
      <c r="BK21" s="103"/>
      <c r="BM21" s="71">
        <f t="shared" si="0"/>
        <v>14</v>
      </c>
    </row>
    <row r="22" spans="1:65" ht="15" customHeight="1" x14ac:dyDescent="0.25">
      <c r="A22" s="102"/>
      <c r="K22" s="270"/>
      <c r="L22" s="271"/>
      <c r="T22" s="270"/>
      <c r="U22" s="271"/>
      <c r="AC22" s="270"/>
      <c r="AD22" s="271"/>
      <c r="AL22" s="270"/>
      <c r="AM22" s="271"/>
      <c r="BI22" s="270"/>
      <c r="BJ22" s="271"/>
      <c r="BK22" s="103"/>
      <c r="BM22" s="71">
        <f t="shared" si="0"/>
        <v>15</v>
      </c>
    </row>
    <row r="23" spans="1:65" ht="15" customHeight="1" x14ac:dyDescent="0.25">
      <c r="A23" s="102"/>
      <c r="K23" s="270"/>
      <c r="L23" s="271"/>
      <c r="T23" s="270"/>
      <c r="U23" s="271"/>
      <c r="AC23" s="270"/>
      <c r="AD23" s="271"/>
      <c r="AL23" s="270"/>
      <c r="AM23" s="271"/>
      <c r="BI23" s="270"/>
      <c r="BJ23" s="271"/>
      <c r="BK23" s="103"/>
      <c r="BM23" s="71">
        <f t="shared" si="0"/>
        <v>16</v>
      </c>
    </row>
    <row r="24" spans="1:65" ht="15" customHeight="1" x14ac:dyDescent="0.25">
      <c r="A24" s="102"/>
      <c r="K24" s="270"/>
      <c r="L24" s="271"/>
      <c r="T24" s="270"/>
      <c r="U24" s="271"/>
      <c r="AC24" s="270"/>
      <c r="AD24" s="271"/>
      <c r="AL24" s="270"/>
      <c r="AM24" s="271"/>
      <c r="BI24" s="270"/>
      <c r="BJ24" s="271"/>
      <c r="BK24" s="103"/>
      <c r="BM24" s="71">
        <f t="shared" si="0"/>
        <v>17</v>
      </c>
    </row>
    <row r="25" spans="1:65" ht="15" customHeight="1" x14ac:dyDescent="0.25">
      <c r="A25" s="102"/>
      <c r="K25" s="270"/>
      <c r="L25" s="271"/>
      <c r="T25" s="270"/>
      <c r="U25" s="271"/>
      <c r="AC25" s="270"/>
      <c r="AD25" s="271"/>
      <c r="AL25" s="270"/>
      <c r="AM25" s="271"/>
      <c r="BI25" s="270"/>
      <c r="BJ25" s="271"/>
      <c r="BK25" s="103"/>
      <c r="BM25" s="71">
        <f t="shared" si="0"/>
        <v>18</v>
      </c>
    </row>
    <row r="26" spans="1:65" ht="15" customHeight="1" x14ac:dyDescent="0.25">
      <c r="A26" s="102"/>
      <c r="K26" s="270"/>
      <c r="L26" s="271"/>
      <c r="T26" s="270"/>
      <c r="U26" s="271"/>
      <c r="AC26" s="270"/>
      <c r="AD26" s="271"/>
      <c r="AL26" s="270"/>
      <c r="AM26" s="271"/>
      <c r="BI26" s="270"/>
      <c r="BJ26" s="271"/>
      <c r="BK26" s="103"/>
      <c r="BM26" s="71">
        <f t="shared" si="0"/>
        <v>19</v>
      </c>
    </row>
    <row r="27" spans="1:65" ht="15" customHeight="1" x14ac:dyDescent="0.25">
      <c r="A27" s="102"/>
      <c r="K27" s="270"/>
      <c r="L27" s="271"/>
      <c r="T27" s="270"/>
      <c r="U27" s="271"/>
      <c r="AC27" s="270"/>
      <c r="AD27" s="271"/>
      <c r="AL27" s="270"/>
      <c r="AM27" s="271"/>
      <c r="BI27" s="270"/>
      <c r="BJ27" s="271"/>
      <c r="BK27" s="103"/>
      <c r="BM27" s="71">
        <f t="shared" si="0"/>
        <v>20</v>
      </c>
    </row>
    <row r="28" spans="1:65" ht="15" customHeight="1" x14ac:dyDescent="0.25">
      <c r="A28" s="102"/>
      <c r="K28" s="270"/>
      <c r="L28" s="271"/>
      <c r="T28" s="270"/>
      <c r="U28" s="271"/>
      <c r="AC28" s="270"/>
      <c r="AD28" s="271"/>
      <c r="AL28" s="270"/>
      <c r="AM28" s="271"/>
      <c r="BI28" s="270"/>
      <c r="BJ28" s="271"/>
      <c r="BK28" s="103"/>
      <c r="BM28" s="71">
        <f t="shared" si="0"/>
        <v>21</v>
      </c>
    </row>
    <row r="29" spans="1:65" ht="15" customHeight="1" x14ac:dyDescent="0.25">
      <c r="A29" s="102"/>
      <c r="K29" s="270"/>
      <c r="L29" s="271"/>
      <c r="T29" s="270"/>
      <c r="U29" s="271"/>
      <c r="AC29" s="270"/>
      <c r="AD29" s="271"/>
      <c r="AL29" s="270"/>
      <c r="AM29" s="271"/>
      <c r="BI29" s="270"/>
      <c r="BJ29" s="271"/>
      <c r="BK29" s="103"/>
      <c r="BM29" s="71">
        <f t="shared" si="0"/>
        <v>22</v>
      </c>
    </row>
    <row r="30" spans="1:65" ht="15" customHeight="1" x14ac:dyDescent="0.25">
      <c r="A30" s="102"/>
      <c r="K30" s="270"/>
      <c r="L30" s="271"/>
      <c r="T30" s="270"/>
      <c r="U30" s="271"/>
      <c r="AC30" s="270"/>
      <c r="AD30" s="271"/>
      <c r="AL30" s="270"/>
      <c r="AM30" s="271"/>
      <c r="BI30" s="270"/>
      <c r="BJ30" s="271"/>
      <c r="BK30" s="103"/>
      <c r="BM30" s="71">
        <f t="shared" si="0"/>
        <v>23</v>
      </c>
    </row>
    <row r="31" spans="1:65" ht="15" customHeight="1" x14ac:dyDescent="0.25">
      <c r="A31" s="102"/>
      <c r="K31" s="270"/>
      <c r="L31" s="271"/>
      <c r="T31" s="270"/>
      <c r="U31" s="271"/>
      <c r="AC31" s="270"/>
      <c r="AD31" s="271"/>
      <c r="AL31" s="270"/>
      <c r="AM31" s="271"/>
      <c r="BI31" s="270"/>
      <c r="BJ31" s="271"/>
      <c r="BK31" s="103"/>
      <c r="BM31" s="71">
        <f t="shared" si="0"/>
        <v>24</v>
      </c>
    </row>
    <row r="32" spans="1:65" ht="15" customHeight="1" x14ac:dyDescent="0.25">
      <c r="A32" s="102"/>
      <c r="K32" s="270"/>
      <c r="L32" s="271"/>
      <c r="T32" s="270"/>
      <c r="U32" s="271"/>
      <c r="AC32" s="270"/>
      <c r="AD32" s="271"/>
      <c r="AL32" s="270"/>
      <c r="AM32" s="271"/>
      <c r="BI32" s="270"/>
      <c r="BJ32" s="271"/>
      <c r="BK32" s="103"/>
      <c r="BM32" s="71">
        <f t="shared" si="0"/>
        <v>25</v>
      </c>
    </row>
    <row r="33" spans="1:65" ht="15" customHeight="1" x14ac:dyDescent="0.25">
      <c r="A33" s="102"/>
      <c r="K33" s="270"/>
      <c r="L33" s="271"/>
      <c r="T33" s="270"/>
      <c r="U33" s="271"/>
      <c r="AC33" s="270"/>
      <c r="AD33" s="271"/>
      <c r="AL33" s="270"/>
      <c r="AM33" s="271"/>
      <c r="BI33" s="270"/>
      <c r="BJ33" s="271"/>
      <c r="BK33" s="103"/>
      <c r="BM33" s="71">
        <f t="shared" si="0"/>
        <v>26</v>
      </c>
    </row>
    <row r="34" spans="1:65" ht="15" customHeight="1" x14ac:dyDescent="0.25">
      <c r="A34" s="102"/>
      <c r="K34" s="270"/>
      <c r="L34" s="271"/>
      <c r="T34" s="270"/>
      <c r="U34" s="271"/>
      <c r="AC34" s="270"/>
      <c r="AD34" s="271"/>
      <c r="AL34" s="270"/>
      <c r="AM34" s="271"/>
      <c r="BI34" s="270"/>
      <c r="BJ34" s="271"/>
      <c r="BK34" s="103"/>
      <c r="BM34" s="71">
        <f t="shared" si="0"/>
        <v>27</v>
      </c>
    </row>
    <row r="35" spans="1:65" ht="15" customHeight="1" x14ac:dyDescent="0.25">
      <c r="A35" s="102"/>
      <c r="K35" s="270"/>
      <c r="L35" s="271"/>
      <c r="T35" s="270"/>
      <c r="U35" s="271"/>
      <c r="AC35" s="270"/>
      <c r="AD35" s="271"/>
      <c r="AL35" s="270"/>
      <c r="AM35" s="271"/>
      <c r="BI35" s="270"/>
      <c r="BJ35" s="271"/>
      <c r="BK35" s="103"/>
      <c r="BM35" s="71">
        <f t="shared" si="0"/>
        <v>28</v>
      </c>
    </row>
    <row r="36" spans="1:65" ht="15" customHeight="1" x14ac:dyDescent="0.25">
      <c r="A36" s="102"/>
      <c r="K36" s="270"/>
      <c r="L36" s="271"/>
      <c r="T36" s="270"/>
      <c r="U36" s="271"/>
      <c r="AC36" s="270"/>
      <c r="AD36" s="271"/>
      <c r="AL36" s="270"/>
      <c r="AM36" s="271"/>
      <c r="BI36" s="270"/>
      <c r="BJ36" s="271"/>
      <c r="BK36" s="103"/>
      <c r="BM36" s="71">
        <f t="shared" si="0"/>
        <v>29</v>
      </c>
    </row>
    <row r="37" spans="1:65" ht="15" customHeight="1" x14ac:dyDescent="0.25">
      <c r="A37" s="102"/>
      <c r="K37" s="270"/>
      <c r="L37" s="271"/>
      <c r="T37" s="270"/>
      <c r="U37" s="271"/>
      <c r="AC37" s="270"/>
      <c r="AD37" s="271"/>
      <c r="AL37" s="270"/>
      <c r="AM37" s="271"/>
      <c r="BI37" s="270"/>
      <c r="BJ37" s="271"/>
      <c r="BK37" s="103"/>
      <c r="BM37" s="71">
        <f t="shared" si="0"/>
        <v>30</v>
      </c>
    </row>
    <row r="38" spans="1:65" ht="15" customHeight="1" x14ac:dyDescent="0.25">
      <c r="A38" s="102"/>
      <c r="K38" s="270"/>
      <c r="L38" s="271"/>
      <c r="T38" s="270"/>
      <c r="U38" s="271"/>
      <c r="AC38" s="270"/>
      <c r="AD38" s="271"/>
      <c r="AL38" s="270"/>
      <c r="AM38" s="271"/>
      <c r="BI38" s="270"/>
      <c r="BJ38" s="271"/>
      <c r="BK38" s="103"/>
      <c r="BM38" s="71">
        <f t="shared" si="0"/>
        <v>31</v>
      </c>
    </row>
    <row r="39" spans="1:65" ht="15" customHeight="1" x14ac:dyDescent="0.25">
      <c r="A39" s="102"/>
      <c r="K39" s="270"/>
      <c r="L39" s="271"/>
      <c r="T39" s="270"/>
      <c r="U39" s="271"/>
      <c r="AC39" s="270"/>
      <c r="AD39" s="271"/>
      <c r="AL39" s="270"/>
      <c r="AM39" s="271"/>
      <c r="BI39" s="270"/>
      <c r="BJ39" s="271"/>
      <c r="BK39" s="103"/>
      <c r="BM39" s="71">
        <f t="shared" si="0"/>
        <v>32</v>
      </c>
    </row>
    <row r="40" spans="1:65" ht="15" customHeight="1" x14ac:dyDescent="0.25">
      <c r="A40" s="102"/>
      <c r="K40" s="270"/>
      <c r="L40" s="271"/>
      <c r="T40" s="270"/>
      <c r="U40" s="271"/>
      <c r="AC40" s="270"/>
      <c r="AD40" s="271"/>
      <c r="AL40" s="270"/>
      <c r="AM40" s="271"/>
      <c r="BI40" s="270"/>
      <c r="BJ40" s="271"/>
      <c r="BK40" s="103"/>
      <c r="BM40" s="71">
        <f t="shared" si="0"/>
        <v>33</v>
      </c>
    </row>
    <row r="41" spans="1:65" ht="15" customHeight="1" x14ac:dyDescent="0.25">
      <c r="A41" s="102"/>
      <c r="K41" s="270"/>
      <c r="L41" s="271"/>
      <c r="T41" s="270"/>
      <c r="U41" s="271"/>
      <c r="AC41" s="270"/>
      <c r="AD41" s="271"/>
      <c r="AL41" s="270"/>
      <c r="AM41" s="271"/>
      <c r="BI41" s="270"/>
      <c r="BJ41" s="271"/>
      <c r="BK41" s="103"/>
      <c r="BM41" s="71">
        <f t="shared" si="0"/>
        <v>34</v>
      </c>
    </row>
    <row r="42" spans="1:65" ht="15" customHeight="1" x14ac:dyDescent="0.25">
      <c r="A42" s="102"/>
      <c r="K42" s="270"/>
      <c r="L42" s="271"/>
      <c r="T42" s="270"/>
      <c r="U42" s="271"/>
      <c r="AC42" s="270"/>
      <c r="AD42" s="271"/>
      <c r="AL42" s="270"/>
      <c r="AM42" s="271"/>
      <c r="BI42" s="270"/>
      <c r="BJ42" s="271"/>
      <c r="BK42" s="103"/>
      <c r="BM42" s="71">
        <f t="shared" si="0"/>
        <v>35</v>
      </c>
    </row>
    <row r="43" spans="1:65" ht="15" customHeight="1" x14ac:dyDescent="0.25">
      <c r="A43" s="102"/>
      <c r="K43" s="270"/>
      <c r="L43" s="271"/>
      <c r="T43" s="270"/>
      <c r="U43" s="271"/>
      <c r="AC43" s="270"/>
      <c r="AD43" s="271"/>
      <c r="AL43" s="270"/>
      <c r="AM43" s="271"/>
      <c r="BI43" s="270"/>
      <c r="BJ43" s="271"/>
      <c r="BK43" s="103"/>
      <c r="BM43" s="71">
        <f t="shared" si="0"/>
        <v>36</v>
      </c>
    </row>
    <row r="44" spans="1:65" ht="15" customHeight="1" x14ac:dyDescent="0.25">
      <c r="A44" s="102"/>
      <c r="K44" s="270"/>
      <c r="L44" s="271"/>
      <c r="T44" s="270"/>
      <c r="U44" s="271"/>
      <c r="AC44" s="270"/>
      <c r="AD44" s="271"/>
      <c r="AL44" s="270"/>
      <c r="AM44" s="271"/>
      <c r="BI44" s="270"/>
      <c r="BJ44" s="271"/>
      <c r="BK44" s="103"/>
      <c r="BM44" s="71">
        <f t="shared" si="0"/>
        <v>37</v>
      </c>
    </row>
    <row r="45" spans="1:65" ht="15" customHeight="1" x14ac:dyDescent="0.25">
      <c r="A45" s="102"/>
      <c r="K45" s="270"/>
      <c r="L45" s="271"/>
      <c r="T45" s="270"/>
      <c r="U45" s="271"/>
      <c r="AC45" s="270"/>
      <c r="AD45" s="271"/>
      <c r="AL45" s="270"/>
      <c r="AM45" s="271"/>
      <c r="BI45" s="270"/>
      <c r="BJ45" s="271"/>
      <c r="BK45" s="103"/>
      <c r="BM45" s="71">
        <f t="shared" si="0"/>
        <v>38</v>
      </c>
    </row>
    <row r="46" spans="1:65" ht="15" customHeight="1" x14ac:dyDescent="0.25">
      <c r="A46" s="102"/>
      <c r="K46" s="270"/>
      <c r="L46" s="271"/>
      <c r="T46" s="270"/>
      <c r="U46" s="271"/>
      <c r="AC46" s="270"/>
      <c r="AD46" s="271"/>
      <c r="AL46" s="270"/>
      <c r="AM46" s="271"/>
      <c r="BI46" s="270"/>
      <c r="BJ46" s="271"/>
      <c r="BK46" s="103"/>
      <c r="BM46" s="71">
        <f t="shared" si="0"/>
        <v>39</v>
      </c>
    </row>
    <row r="47" spans="1:65" ht="15" customHeight="1" x14ac:dyDescent="0.25">
      <c r="A47" s="102"/>
      <c r="K47" s="270"/>
      <c r="L47" s="271"/>
      <c r="T47" s="270"/>
      <c r="U47" s="271"/>
      <c r="AC47" s="270"/>
      <c r="AD47" s="271"/>
      <c r="AL47" s="270"/>
      <c r="AM47" s="271"/>
      <c r="BI47" s="270"/>
      <c r="BJ47" s="271"/>
      <c r="BK47" s="103"/>
      <c r="BM47" s="71">
        <f t="shared" si="0"/>
        <v>40</v>
      </c>
    </row>
    <row r="48" spans="1:65" ht="15" customHeight="1" x14ac:dyDescent="0.25">
      <c r="A48" s="102"/>
      <c r="K48" s="270"/>
      <c r="L48" s="271"/>
      <c r="T48" s="270"/>
      <c r="U48" s="271"/>
      <c r="AC48" s="270"/>
      <c r="AD48" s="271"/>
      <c r="AL48" s="270"/>
      <c r="AM48" s="271"/>
      <c r="BI48" s="270"/>
      <c r="BJ48" s="271"/>
      <c r="BK48" s="103"/>
      <c r="BM48" s="71">
        <f t="shared" si="0"/>
        <v>41</v>
      </c>
    </row>
    <row r="49" spans="1:67" ht="15" customHeight="1" x14ac:dyDescent="0.25">
      <c r="A49" s="102"/>
      <c r="K49" s="270"/>
      <c r="L49" s="271"/>
      <c r="T49" s="270"/>
      <c r="U49" s="271"/>
      <c r="AC49" s="270"/>
      <c r="AD49" s="271"/>
      <c r="AL49" s="270"/>
      <c r="AM49" s="271"/>
      <c r="BI49" s="270"/>
      <c r="BJ49" s="271"/>
      <c r="BK49" s="103"/>
      <c r="BM49" s="71">
        <f t="shared" si="0"/>
        <v>42</v>
      </c>
    </row>
    <row r="50" spans="1:67" ht="15" customHeight="1" x14ac:dyDescent="0.25">
      <c r="A50" s="102"/>
      <c r="K50" s="270"/>
      <c r="L50" s="271"/>
      <c r="T50" s="270"/>
      <c r="U50" s="271"/>
      <c r="AC50" s="270"/>
      <c r="AD50" s="271"/>
      <c r="AL50" s="270"/>
      <c r="AM50" s="271"/>
      <c r="BI50" s="270"/>
      <c r="BJ50" s="271"/>
      <c r="BK50" s="103"/>
      <c r="BM50" s="71">
        <f t="shared" si="0"/>
        <v>43</v>
      </c>
    </row>
    <row r="51" spans="1:67" ht="15" customHeight="1" x14ac:dyDescent="0.25">
      <c r="A51" s="102"/>
      <c r="K51" s="270"/>
      <c r="L51" s="271"/>
      <c r="T51" s="270"/>
      <c r="U51" s="271"/>
      <c r="AC51" s="270"/>
      <c r="AD51" s="271"/>
      <c r="AL51" s="270"/>
      <c r="AM51" s="271"/>
      <c r="BI51" s="270"/>
      <c r="BJ51" s="271"/>
      <c r="BK51" s="103"/>
      <c r="BM51" s="71">
        <f t="shared" si="0"/>
        <v>44</v>
      </c>
    </row>
    <row r="52" spans="1:67" ht="15" customHeight="1" x14ac:dyDescent="0.25">
      <c r="A52" s="276"/>
      <c r="B52" s="277"/>
      <c r="C52" s="277"/>
      <c r="D52" s="277"/>
      <c r="E52" s="277"/>
      <c r="F52" s="277"/>
      <c r="G52" s="277"/>
      <c r="H52" s="277"/>
      <c r="I52" s="277"/>
      <c r="J52" s="277"/>
      <c r="K52" s="278"/>
      <c r="L52" s="279"/>
      <c r="M52" s="277"/>
      <c r="N52" s="277"/>
      <c r="O52" s="277"/>
      <c r="P52" s="277"/>
      <c r="Q52" s="277"/>
      <c r="R52" s="277"/>
      <c r="S52" s="277"/>
      <c r="T52" s="278"/>
      <c r="U52" s="279"/>
      <c r="V52" s="277"/>
      <c r="W52" s="277"/>
      <c r="X52" s="277"/>
      <c r="Y52" s="277"/>
      <c r="Z52" s="277"/>
      <c r="AA52" s="277"/>
      <c r="AB52" s="277"/>
      <c r="AC52" s="278"/>
      <c r="AD52" s="279"/>
      <c r="AE52" s="277"/>
      <c r="AF52" s="277"/>
      <c r="AG52" s="277"/>
      <c r="AH52" s="277"/>
      <c r="AI52" s="277"/>
      <c r="AJ52" s="277"/>
      <c r="AK52" s="277"/>
      <c r="AL52" s="278"/>
      <c r="AM52" s="279"/>
      <c r="AN52" s="277"/>
      <c r="AO52" s="277"/>
      <c r="AP52" s="277"/>
      <c r="AQ52" s="277"/>
      <c r="AR52" s="277"/>
      <c r="AS52" s="277"/>
      <c r="AT52" s="277"/>
      <c r="AU52" s="277"/>
      <c r="AV52" s="277"/>
      <c r="AW52" s="277"/>
      <c r="AX52" s="277"/>
      <c r="AY52" s="277"/>
      <c r="AZ52" s="277"/>
      <c r="BA52" s="277"/>
      <c r="BB52" s="277"/>
      <c r="BC52" s="277"/>
      <c r="BD52" s="277"/>
      <c r="BE52" s="277"/>
      <c r="BF52" s="277"/>
      <c r="BG52" s="277"/>
      <c r="BH52" s="277"/>
      <c r="BI52" s="278"/>
      <c r="BJ52" s="279"/>
      <c r="BK52" s="280"/>
      <c r="BM52" s="71">
        <f t="shared" si="0"/>
        <v>45</v>
      </c>
    </row>
    <row r="53" spans="1:67" ht="15" customHeight="1" x14ac:dyDescent="0.25">
      <c r="A53" s="102"/>
      <c r="B53" s="272" t="s">
        <v>28</v>
      </c>
      <c r="C53" s="272"/>
      <c r="D53" s="272"/>
      <c r="E53" s="272"/>
      <c r="F53" s="272"/>
      <c r="G53" s="272"/>
      <c r="H53" s="272"/>
      <c r="I53" s="272"/>
      <c r="J53" s="272"/>
      <c r="K53" s="273"/>
      <c r="L53" s="274"/>
      <c r="M53" s="275"/>
      <c r="N53" s="272"/>
      <c r="O53" s="272"/>
      <c r="P53" s="272"/>
      <c r="Q53" s="272"/>
      <c r="R53" s="272"/>
      <c r="S53" s="272"/>
      <c r="T53" s="273"/>
      <c r="U53" s="274"/>
      <c r="V53" s="272"/>
      <c r="W53" s="272"/>
      <c r="X53" s="272"/>
      <c r="Y53" s="272"/>
      <c r="Z53" s="272"/>
      <c r="AA53" s="272"/>
      <c r="AB53" s="272"/>
      <c r="AC53" s="273"/>
      <c r="AD53" s="274"/>
      <c r="AE53" s="272"/>
      <c r="AF53" s="272"/>
      <c r="AG53" s="272"/>
      <c r="AH53" s="272"/>
      <c r="AI53" s="272"/>
      <c r="AJ53" s="272"/>
      <c r="AK53" s="272"/>
      <c r="AL53" s="273"/>
      <c r="AM53" s="274"/>
      <c r="AN53" s="272"/>
      <c r="AO53" s="272"/>
      <c r="AP53" s="272"/>
      <c r="AQ53" s="272"/>
      <c r="AR53" s="272"/>
      <c r="AS53" s="272"/>
      <c r="AT53" s="272"/>
      <c r="AU53" s="272"/>
      <c r="AV53" s="272"/>
      <c r="AW53" s="272"/>
      <c r="AX53" s="272"/>
      <c r="AY53" s="272"/>
      <c r="AZ53" s="272"/>
      <c r="BA53" s="272"/>
      <c r="BB53" s="272"/>
      <c r="BC53" s="272"/>
      <c r="BD53" s="272"/>
      <c r="BE53" s="272"/>
      <c r="BF53" s="272"/>
      <c r="BG53" s="272"/>
      <c r="BH53" s="272"/>
      <c r="BI53" s="273"/>
      <c r="BJ53" s="274"/>
      <c r="BK53" s="103"/>
      <c r="BM53" s="71">
        <f t="shared" si="0"/>
        <v>46</v>
      </c>
    </row>
    <row r="54" spans="1:67" ht="15" customHeight="1" x14ac:dyDescent="0.25">
      <c r="A54" s="102"/>
      <c r="K54" s="270"/>
      <c r="L54" s="271"/>
      <c r="T54" s="270"/>
      <c r="U54" s="271"/>
      <c r="AC54" s="270"/>
      <c r="AD54" s="271"/>
      <c r="AL54" s="270"/>
      <c r="AM54" s="271"/>
      <c r="BI54" s="270"/>
      <c r="BJ54" s="271"/>
      <c r="BK54" s="103"/>
      <c r="BM54" s="71">
        <f t="shared" si="0"/>
        <v>47</v>
      </c>
    </row>
    <row r="55" spans="1:67" ht="15" customHeight="1" x14ac:dyDescent="0.25">
      <c r="A55" s="102"/>
      <c r="K55" s="270"/>
      <c r="L55" s="271"/>
      <c r="T55" s="270"/>
      <c r="U55" s="271"/>
      <c r="AC55" s="270"/>
      <c r="AD55" s="271"/>
      <c r="AL55" s="270"/>
      <c r="AM55" s="271"/>
      <c r="BI55" s="270"/>
      <c r="BJ55" s="271"/>
      <c r="BK55" s="103"/>
      <c r="BM55" s="71">
        <f t="shared" si="0"/>
        <v>48</v>
      </c>
    </row>
    <row r="56" spans="1:67" ht="15" customHeight="1" x14ac:dyDescent="0.25">
      <c r="A56" s="102"/>
      <c r="K56" s="270"/>
      <c r="L56" s="271"/>
      <c r="T56" s="270"/>
      <c r="U56" s="271"/>
      <c r="AC56" s="270"/>
      <c r="AD56" s="271"/>
      <c r="AL56" s="270"/>
      <c r="AM56" s="271"/>
      <c r="BI56" s="270"/>
      <c r="BJ56" s="271"/>
      <c r="BK56" s="103"/>
      <c r="BM56" s="71">
        <f t="shared" si="0"/>
        <v>49</v>
      </c>
      <c r="BO56" s="281"/>
    </row>
    <row r="57" spans="1:67" ht="15" customHeight="1" x14ac:dyDescent="0.25">
      <c r="A57" s="102"/>
      <c r="K57" s="270"/>
      <c r="L57" s="271"/>
      <c r="T57" s="270"/>
      <c r="U57" s="271"/>
      <c r="AC57" s="270"/>
      <c r="AD57" s="271"/>
      <c r="AL57" s="270"/>
      <c r="AM57" s="271"/>
      <c r="BI57" s="270"/>
      <c r="BJ57" s="271"/>
      <c r="BK57" s="103"/>
      <c r="BM57" s="71">
        <f t="shared" si="0"/>
        <v>50</v>
      </c>
    </row>
    <row r="58" spans="1:67" ht="15" customHeight="1" x14ac:dyDescent="0.25">
      <c r="A58" s="102"/>
      <c r="K58" s="270"/>
      <c r="L58" s="271"/>
      <c r="T58" s="270"/>
      <c r="U58" s="271"/>
      <c r="AC58" s="270"/>
      <c r="AD58" s="271"/>
      <c r="AL58" s="270"/>
      <c r="AM58" s="271"/>
      <c r="BI58" s="270"/>
      <c r="BJ58" s="271"/>
      <c r="BK58" s="103"/>
      <c r="BM58" s="71">
        <f t="shared" si="0"/>
        <v>1</v>
      </c>
    </row>
    <row r="59" spans="1:67" ht="15" customHeight="1" x14ac:dyDescent="0.25">
      <c r="A59" s="102"/>
      <c r="K59" s="270"/>
      <c r="L59" s="271"/>
      <c r="T59" s="270"/>
      <c r="U59" s="271"/>
      <c r="AC59" s="270"/>
      <c r="AD59" s="271"/>
      <c r="AL59" s="270"/>
      <c r="AM59" s="271"/>
      <c r="BI59" s="270"/>
      <c r="BJ59" s="271"/>
      <c r="BK59" s="103"/>
      <c r="BM59" s="71">
        <f t="shared" si="0"/>
        <v>2</v>
      </c>
    </row>
    <row r="60" spans="1:67" ht="15" customHeight="1" x14ac:dyDescent="0.25">
      <c r="A60" s="102"/>
      <c r="K60" s="270"/>
      <c r="L60" s="271"/>
      <c r="T60" s="270"/>
      <c r="U60" s="271"/>
      <c r="AC60" s="270"/>
      <c r="AD60" s="271"/>
      <c r="AL60" s="270"/>
      <c r="AM60" s="271"/>
      <c r="BI60" s="270"/>
      <c r="BJ60" s="271"/>
      <c r="BK60" s="103"/>
      <c r="BM60" s="71">
        <f t="shared" si="0"/>
        <v>3</v>
      </c>
    </row>
    <row r="61" spans="1:67" ht="15" customHeight="1" x14ac:dyDescent="0.25">
      <c r="A61" s="102"/>
      <c r="K61" s="270"/>
      <c r="L61" s="271"/>
      <c r="T61" s="270"/>
      <c r="U61" s="271"/>
      <c r="AC61" s="270"/>
      <c r="AD61" s="271"/>
      <c r="AL61" s="270"/>
      <c r="AM61" s="271"/>
      <c r="BI61" s="270"/>
      <c r="BJ61" s="271"/>
      <c r="BK61" s="103"/>
      <c r="BM61" s="71">
        <f t="shared" si="0"/>
        <v>4</v>
      </c>
    </row>
    <row r="62" spans="1:67" ht="15" customHeight="1" x14ac:dyDescent="0.25">
      <c r="A62" s="102"/>
      <c r="K62" s="270"/>
      <c r="L62" s="271"/>
      <c r="T62" s="270"/>
      <c r="U62" s="271"/>
      <c r="AC62" s="270"/>
      <c r="AD62" s="271"/>
      <c r="AL62" s="270"/>
      <c r="AM62" s="271"/>
      <c r="BI62" s="270"/>
      <c r="BJ62" s="271"/>
      <c r="BK62" s="103"/>
      <c r="BM62" s="71">
        <f t="shared" si="0"/>
        <v>5</v>
      </c>
    </row>
    <row r="63" spans="1:67" ht="15" customHeight="1" x14ac:dyDescent="0.25">
      <c r="A63" s="102"/>
      <c r="K63" s="270"/>
      <c r="L63" s="271"/>
      <c r="T63" s="270"/>
      <c r="U63" s="271"/>
      <c r="AC63" s="270"/>
      <c r="AD63" s="271"/>
      <c r="AL63" s="270"/>
      <c r="AM63" s="271"/>
      <c r="BI63" s="270"/>
      <c r="BJ63" s="271"/>
      <c r="BK63" s="103"/>
      <c r="BM63" s="71">
        <f t="shared" si="0"/>
        <v>6</v>
      </c>
    </row>
    <row r="64" spans="1:67" ht="15" customHeight="1" x14ac:dyDescent="0.25">
      <c r="A64" s="102"/>
      <c r="K64" s="270"/>
      <c r="L64" s="271"/>
      <c r="T64" s="270"/>
      <c r="U64" s="271"/>
      <c r="AC64" s="270"/>
      <c r="AD64" s="271"/>
      <c r="AL64" s="270"/>
      <c r="AM64" s="271"/>
      <c r="BI64" s="270"/>
      <c r="BJ64" s="271"/>
      <c r="BK64" s="103"/>
      <c r="BM64" s="71">
        <f t="shared" si="0"/>
        <v>7</v>
      </c>
    </row>
    <row r="65" spans="1:65" ht="15" customHeight="1" x14ac:dyDescent="0.25">
      <c r="A65" s="102"/>
      <c r="K65" s="270"/>
      <c r="L65" s="271"/>
      <c r="T65" s="270"/>
      <c r="U65" s="271"/>
      <c r="AC65" s="270"/>
      <c r="AD65" s="271"/>
      <c r="AL65" s="270"/>
      <c r="AM65" s="271"/>
      <c r="BI65" s="270"/>
      <c r="BJ65" s="271"/>
      <c r="BK65" s="103"/>
      <c r="BM65" s="71">
        <f t="shared" si="0"/>
        <v>8</v>
      </c>
    </row>
    <row r="66" spans="1:65" ht="15" customHeight="1" x14ac:dyDescent="0.25">
      <c r="A66" s="102"/>
      <c r="K66" s="270"/>
      <c r="L66" s="271"/>
      <c r="T66" s="270"/>
      <c r="U66" s="271"/>
      <c r="AC66" s="270"/>
      <c r="AD66" s="271"/>
      <c r="AL66" s="270"/>
      <c r="AM66" s="271"/>
      <c r="BI66" s="270"/>
      <c r="BJ66" s="271"/>
      <c r="BK66" s="103"/>
      <c r="BM66" s="71">
        <f t="shared" si="0"/>
        <v>9</v>
      </c>
    </row>
    <row r="67" spans="1:65" ht="15" customHeight="1" x14ac:dyDescent="0.25">
      <c r="A67" s="102"/>
      <c r="K67" s="270"/>
      <c r="L67" s="271"/>
      <c r="T67" s="270"/>
      <c r="U67" s="271"/>
      <c r="AC67" s="270"/>
      <c r="AD67" s="271"/>
      <c r="AL67" s="270"/>
      <c r="AM67" s="271"/>
      <c r="BI67" s="270"/>
      <c r="BJ67" s="271"/>
      <c r="BK67" s="103"/>
      <c r="BM67" s="71">
        <f t="shared" si="0"/>
        <v>10</v>
      </c>
    </row>
    <row r="68" spans="1:65" ht="15" customHeight="1" x14ac:dyDescent="0.25">
      <c r="A68" s="102"/>
      <c r="K68" s="270"/>
      <c r="L68" s="271"/>
      <c r="T68" s="270"/>
      <c r="U68" s="271"/>
      <c r="AC68" s="270"/>
      <c r="AD68" s="271"/>
      <c r="AL68" s="270"/>
      <c r="AM68" s="271"/>
      <c r="BI68" s="270"/>
      <c r="BJ68" s="271"/>
      <c r="BK68" s="103"/>
      <c r="BM68" s="71">
        <f t="shared" si="0"/>
        <v>11</v>
      </c>
    </row>
    <row r="69" spans="1:65" ht="15" customHeight="1" x14ac:dyDescent="0.25">
      <c r="A69" s="102"/>
      <c r="K69" s="270"/>
      <c r="L69" s="271"/>
      <c r="T69" s="270"/>
      <c r="U69" s="271"/>
      <c r="AC69" s="270"/>
      <c r="AD69" s="271"/>
      <c r="AL69" s="270"/>
      <c r="AM69" s="271"/>
      <c r="BI69" s="270"/>
      <c r="BJ69" s="271"/>
      <c r="BK69" s="103"/>
      <c r="BM69" s="71">
        <f t="shared" si="0"/>
        <v>12</v>
      </c>
    </row>
    <row r="70" spans="1:65" ht="15" customHeight="1" x14ac:dyDescent="0.25">
      <c r="A70" s="102"/>
      <c r="K70" s="270"/>
      <c r="L70" s="271"/>
      <c r="T70" s="270"/>
      <c r="U70" s="271"/>
      <c r="AC70" s="270"/>
      <c r="AD70" s="271"/>
      <c r="AL70" s="270"/>
      <c r="AM70" s="271"/>
      <c r="BI70" s="270"/>
      <c r="BJ70" s="271"/>
      <c r="BK70" s="103"/>
      <c r="BM70" s="71">
        <f t="shared" si="0"/>
        <v>13</v>
      </c>
    </row>
    <row r="71" spans="1:65" ht="15" customHeight="1" x14ac:dyDescent="0.25">
      <c r="A71" s="102"/>
      <c r="K71" s="270"/>
      <c r="L71" s="271"/>
      <c r="T71" s="270"/>
      <c r="U71" s="271"/>
      <c r="AC71" s="270"/>
      <c r="AD71" s="271"/>
      <c r="AL71" s="270"/>
      <c r="AM71" s="271"/>
      <c r="BI71" s="270"/>
      <c r="BJ71" s="271"/>
      <c r="BK71" s="103"/>
      <c r="BM71" s="71">
        <f t="shared" si="0"/>
        <v>14</v>
      </c>
    </row>
    <row r="72" spans="1:65" ht="15" customHeight="1" x14ac:dyDescent="0.25">
      <c r="A72" s="102"/>
      <c r="K72" s="270"/>
      <c r="L72" s="271"/>
      <c r="T72" s="270"/>
      <c r="U72" s="271"/>
      <c r="AC72" s="270"/>
      <c r="AD72" s="271"/>
      <c r="AL72" s="270"/>
      <c r="AM72" s="271"/>
      <c r="BI72" s="270"/>
      <c r="BJ72" s="271"/>
      <c r="BK72" s="103"/>
      <c r="BM72" s="71">
        <f t="shared" si="0"/>
        <v>15</v>
      </c>
    </row>
    <row r="73" spans="1:65" ht="15" customHeight="1" x14ac:dyDescent="0.25">
      <c r="A73" s="102"/>
      <c r="K73" s="270"/>
      <c r="L73" s="271"/>
      <c r="T73" s="270"/>
      <c r="U73" s="271"/>
      <c r="AC73" s="270"/>
      <c r="AD73" s="271"/>
      <c r="AL73" s="270"/>
      <c r="AM73" s="271"/>
      <c r="BI73" s="270"/>
      <c r="BJ73" s="271"/>
      <c r="BK73" s="103"/>
      <c r="BM73" s="71">
        <f t="shared" si="0"/>
        <v>16</v>
      </c>
    </row>
    <row r="74" spans="1:65" ht="15" customHeight="1" x14ac:dyDescent="0.25">
      <c r="A74" s="102"/>
      <c r="K74" s="270"/>
      <c r="L74" s="271"/>
      <c r="T74" s="270"/>
      <c r="U74" s="271"/>
      <c r="AC74" s="270"/>
      <c r="AD74" s="271"/>
      <c r="AL74" s="270"/>
      <c r="AM74" s="271"/>
      <c r="BI74" s="270"/>
      <c r="BJ74" s="271"/>
      <c r="BK74" s="103"/>
      <c r="BM74" s="71">
        <f t="shared" si="0"/>
        <v>17</v>
      </c>
    </row>
    <row r="75" spans="1:65" ht="15" customHeight="1" x14ac:dyDescent="0.25">
      <c r="A75" s="102"/>
      <c r="K75" s="270"/>
      <c r="L75" s="271"/>
      <c r="T75" s="270"/>
      <c r="U75" s="271"/>
      <c r="AC75" s="270"/>
      <c r="AD75" s="271"/>
      <c r="AL75" s="270"/>
      <c r="AM75" s="271"/>
      <c r="BI75" s="270"/>
      <c r="BJ75" s="271"/>
      <c r="BK75" s="103"/>
      <c r="BM75" s="71">
        <f t="shared" si="0"/>
        <v>18</v>
      </c>
    </row>
    <row r="76" spans="1:65" ht="15" customHeight="1" x14ac:dyDescent="0.25">
      <c r="A76" s="102"/>
      <c r="K76" s="270"/>
      <c r="L76" s="271"/>
      <c r="T76" s="270"/>
      <c r="U76" s="271"/>
      <c r="AC76" s="270"/>
      <c r="AD76" s="271"/>
      <c r="AL76" s="270"/>
      <c r="AM76" s="271"/>
      <c r="BI76" s="270"/>
      <c r="BJ76" s="271"/>
      <c r="BK76" s="103"/>
      <c r="BM76" s="71">
        <f t="shared" si="0"/>
        <v>19</v>
      </c>
    </row>
    <row r="77" spans="1:65" ht="15" customHeight="1" x14ac:dyDescent="0.25">
      <c r="A77" s="102"/>
      <c r="K77" s="270"/>
      <c r="L77" s="271"/>
      <c r="T77" s="270"/>
      <c r="U77" s="271"/>
      <c r="AC77" s="270"/>
      <c r="AD77" s="271"/>
      <c r="AL77" s="270"/>
      <c r="AM77" s="271"/>
      <c r="BI77" s="270"/>
      <c r="BJ77" s="271"/>
      <c r="BK77" s="103"/>
      <c r="BM77" s="71">
        <f t="shared" si="0"/>
        <v>20</v>
      </c>
    </row>
    <row r="78" spans="1:65" ht="15" customHeight="1" x14ac:dyDescent="0.25">
      <c r="A78" s="102"/>
      <c r="K78" s="270"/>
      <c r="L78" s="271"/>
      <c r="T78" s="270"/>
      <c r="U78" s="271"/>
      <c r="AC78" s="270"/>
      <c r="AD78" s="271"/>
      <c r="AL78" s="270"/>
      <c r="AM78" s="271"/>
      <c r="BI78" s="270"/>
      <c r="BJ78" s="271"/>
      <c r="BK78" s="103"/>
      <c r="BM78" s="71">
        <f t="shared" si="0"/>
        <v>21</v>
      </c>
    </row>
    <row r="79" spans="1:65" ht="15" customHeight="1" x14ac:dyDescent="0.25">
      <c r="A79" s="102"/>
      <c r="K79" s="270"/>
      <c r="L79" s="271"/>
      <c r="T79" s="270"/>
      <c r="U79" s="271"/>
      <c r="AC79" s="270"/>
      <c r="AD79" s="271"/>
      <c r="AL79" s="270"/>
      <c r="AM79" s="271"/>
      <c r="BI79" s="270"/>
      <c r="BJ79" s="271"/>
      <c r="BK79" s="103"/>
      <c r="BM79" s="71">
        <f t="shared" si="0"/>
        <v>22</v>
      </c>
    </row>
    <row r="80" spans="1:65" ht="15" customHeight="1" x14ac:dyDescent="0.25">
      <c r="A80" s="102"/>
      <c r="K80" s="270"/>
      <c r="L80" s="271"/>
      <c r="T80" s="270"/>
      <c r="U80" s="271"/>
      <c r="AC80" s="270"/>
      <c r="AD80" s="271"/>
      <c r="AL80" s="270"/>
      <c r="AM80" s="271"/>
      <c r="BI80" s="270"/>
      <c r="BJ80" s="271"/>
      <c r="BK80" s="103"/>
      <c r="BM80" s="71">
        <f t="shared" si="0"/>
        <v>23</v>
      </c>
    </row>
    <row r="81" spans="1:65" ht="15" customHeight="1" x14ac:dyDescent="0.25">
      <c r="A81" s="102"/>
      <c r="K81" s="270"/>
      <c r="L81" s="271"/>
      <c r="T81" s="270"/>
      <c r="U81" s="271"/>
      <c r="AC81" s="270"/>
      <c r="AD81" s="271"/>
      <c r="AL81" s="270"/>
      <c r="AM81" s="271"/>
      <c r="BI81" s="270"/>
      <c r="BJ81" s="271"/>
      <c r="BK81" s="103"/>
      <c r="BM81" s="71">
        <f t="shared" si="0"/>
        <v>24</v>
      </c>
    </row>
    <row r="82" spans="1:65" ht="15" customHeight="1" x14ac:dyDescent="0.25">
      <c r="A82" s="102"/>
      <c r="K82" s="270"/>
      <c r="L82" s="271"/>
      <c r="T82" s="270"/>
      <c r="U82" s="271"/>
      <c r="AC82" s="270"/>
      <c r="AD82" s="271"/>
      <c r="AL82" s="270"/>
      <c r="AM82" s="271"/>
      <c r="BI82" s="270"/>
      <c r="BJ82" s="271"/>
      <c r="BK82" s="103"/>
      <c r="BM82" s="71">
        <f t="shared" si="0"/>
        <v>25</v>
      </c>
    </row>
    <row r="83" spans="1:65" ht="15" customHeight="1" x14ac:dyDescent="0.25">
      <c r="A83" s="102"/>
      <c r="K83" s="270"/>
      <c r="L83" s="271"/>
      <c r="T83" s="270"/>
      <c r="U83" s="271"/>
      <c r="AC83" s="270"/>
      <c r="AD83" s="271"/>
      <c r="AL83" s="270"/>
      <c r="AM83" s="271"/>
      <c r="BI83" s="270"/>
      <c r="BJ83" s="271"/>
      <c r="BK83" s="103"/>
      <c r="BM83" s="71">
        <f t="shared" si="0"/>
        <v>26</v>
      </c>
    </row>
    <row r="84" spans="1:65" ht="15" customHeight="1" x14ac:dyDescent="0.25">
      <c r="A84" s="102"/>
      <c r="K84" s="270"/>
      <c r="L84" s="271"/>
      <c r="T84" s="270"/>
      <c r="U84" s="271"/>
      <c r="AC84" s="270"/>
      <c r="AD84" s="271"/>
      <c r="AL84" s="270"/>
      <c r="AM84" s="271"/>
      <c r="BI84" s="270"/>
      <c r="BJ84" s="271"/>
      <c r="BK84" s="103"/>
      <c r="BM84" s="71">
        <f t="shared" si="0"/>
        <v>27</v>
      </c>
    </row>
    <row r="85" spans="1:65" ht="15" customHeight="1" x14ac:dyDescent="0.25">
      <c r="A85" s="102"/>
      <c r="K85" s="270"/>
      <c r="L85" s="271"/>
      <c r="T85" s="270"/>
      <c r="U85" s="271"/>
      <c r="AC85" s="270"/>
      <c r="AD85" s="271"/>
      <c r="AL85" s="270"/>
      <c r="AM85" s="271"/>
      <c r="BI85" s="270"/>
      <c r="BJ85" s="271"/>
      <c r="BK85" s="103"/>
      <c r="BM85" s="71">
        <f t="shared" si="0"/>
        <v>28</v>
      </c>
    </row>
    <row r="86" spans="1:65" ht="15" customHeight="1" x14ac:dyDescent="0.25">
      <c r="A86" s="102"/>
      <c r="K86" s="270"/>
      <c r="L86" s="271"/>
      <c r="T86" s="270"/>
      <c r="U86" s="271"/>
      <c r="AC86" s="270"/>
      <c r="AD86" s="271"/>
      <c r="AL86" s="270"/>
      <c r="AM86" s="271"/>
      <c r="BI86" s="270"/>
      <c r="BJ86" s="271"/>
      <c r="BK86" s="103"/>
      <c r="BM86" s="71">
        <f t="shared" si="0"/>
        <v>29</v>
      </c>
    </row>
    <row r="87" spans="1:65" ht="15" customHeight="1" x14ac:dyDescent="0.25">
      <c r="A87" s="102"/>
      <c r="K87" s="270"/>
      <c r="L87" s="271"/>
      <c r="T87" s="270"/>
      <c r="U87" s="271"/>
      <c r="AC87" s="270"/>
      <c r="AD87" s="271"/>
      <c r="AL87" s="270"/>
      <c r="AM87" s="271"/>
      <c r="BI87" s="270"/>
      <c r="BJ87" s="271"/>
      <c r="BK87" s="103"/>
      <c r="BM87" s="71">
        <f t="shared" si="0"/>
        <v>30</v>
      </c>
    </row>
    <row r="88" spans="1:65" ht="15" customHeight="1" x14ac:dyDescent="0.25">
      <c r="A88" s="102"/>
      <c r="K88" s="270"/>
      <c r="L88" s="271"/>
      <c r="T88" s="270"/>
      <c r="U88" s="271"/>
      <c r="AC88" s="270"/>
      <c r="AD88" s="271"/>
      <c r="AL88" s="270"/>
      <c r="AM88" s="271"/>
      <c r="BI88" s="270"/>
      <c r="BJ88" s="271"/>
      <c r="BK88" s="103"/>
      <c r="BM88" s="71">
        <f t="shared" si="0"/>
        <v>31</v>
      </c>
    </row>
    <row r="89" spans="1:65" ht="15" customHeight="1" x14ac:dyDescent="0.25">
      <c r="A89" s="102"/>
      <c r="K89" s="270"/>
      <c r="L89" s="271"/>
      <c r="T89" s="270"/>
      <c r="U89" s="271"/>
      <c r="AC89" s="270"/>
      <c r="AD89" s="271"/>
      <c r="AL89" s="270"/>
      <c r="AM89" s="271"/>
      <c r="BI89" s="270"/>
      <c r="BJ89" s="271"/>
      <c r="BK89" s="103"/>
      <c r="BM89" s="71">
        <f t="shared" si="0"/>
        <v>32</v>
      </c>
    </row>
    <row r="90" spans="1:65" ht="15" customHeight="1" x14ac:dyDescent="0.25">
      <c r="A90" s="102"/>
      <c r="K90" s="270"/>
      <c r="L90" s="271"/>
      <c r="T90" s="270"/>
      <c r="U90" s="271"/>
      <c r="AC90" s="270"/>
      <c r="AD90" s="271"/>
      <c r="AL90" s="270"/>
      <c r="AM90" s="271"/>
      <c r="BI90" s="270"/>
      <c r="BJ90" s="271"/>
      <c r="BK90" s="103"/>
      <c r="BM90" s="71">
        <f t="shared" si="0"/>
        <v>33</v>
      </c>
    </row>
    <row r="91" spans="1:65" ht="15" customHeight="1" x14ac:dyDescent="0.25">
      <c r="A91" s="102"/>
      <c r="K91" s="270"/>
      <c r="L91" s="271"/>
      <c r="T91" s="270"/>
      <c r="U91" s="271"/>
      <c r="AC91" s="270"/>
      <c r="AD91" s="271"/>
      <c r="AL91" s="270"/>
      <c r="AM91" s="271"/>
      <c r="BI91" s="270"/>
      <c r="BJ91" s="271"/>
      <c r="BK91" s="103"/>
      <c r="BM91" s="71">
        <f t="shared" si="0"/>
        <v>34</v>
      </c>
    </row>
    <row r="92" spans="1:65" ht="15" customHeight="1" x14ac:dyDescent="0.25">
      <c r="A92" s="102"/>
      <c r="K92" s="270"/>
      <c r="L92" s="271"/>
      <c r="T92" s="270"/>
      <c r="U92" s="271"/>
      <c r="AC92" s="270"/>
      <c r="AD92" s="271"/>
      <c r="AL92" s="270"/>
      <c r="AM92" s="271"/>
      <c r="BI92" s="270"/>
      <c r="BJ92" s="271"/>
      <c r="BK92" s="103"/>
      <c r="BM92" s="71">
        <f t="shared" si="0"/>
        <v>35</v>
      </c>
    </row>
    <row r="93" spans="1:65" ht="15" customHeight="1" x14ac:dyDescent="0.25">
      <c r="A93" s="102"/>
      <c r="K93" s="270"/>
      <c r="L93" s="271"/>
      <c r="T93" s="270"/>
      <c r="U93" s="271"/>
      <c r="AC93" s="270"/>
      <c r="AD93" s="271"/>
      <c r="AL93" s="270"/>
      <c r="AM93" s="271"/>
      <c r="BI93" s="270"/>
      <c r="BJ93" s="271"/>
      <c r="BK93" s="103"/>
      <c r="BM93" s="71">
        <f t="shared" si="0"/>
        <v>36</v>
      </c>
    </row>
    <row r="94" spans="1:65" ht="15" customHeight="1" x14ac:dyDescent="0.25">
      <c r="A94" s="102"/>
      <c r="K94" s="270"/>
      <c r="L94" s="271"/>
      <c r="T94" s="270"/>
      <c r="U94" s="271"/>
      <c r="AC94" s="270"/>
      <c r="AD94" s="271"/>
      <c r="AL94" s="270"/>
      <c r="AM94" s="271"/>
      <c r="BI94" s="270"/>
      <c r="BJ94" s="271"/>
      <c r="BK94" s="103"/>
      <c r="BM94" s="71">
        <f t="shared" si="0"/>
        <v>37</v>
      </c>
    </row>
    <row r="95" spans="1:65" ht="15" customHeight="1" x14ac:dyDescent="0.25">
      <c r="A95" s="102"/>
      <c r="K95" s="270"/>
      <c r="L95" s="271"/>
      <c r="T95" s="270"/>
      <c r="U95" s="271"/>
      <c r="AC95" s="270"/>
      <c r="AD95" s="271"/>
      <c r="AL95" s="270"/>
      <c r="AM95" s="271"/>
      <c r="BI95" s="270"/>
      <c r="BJ95" s="271"/>
      <c r="BK95" s="103"/>
      <c r="BM95" s="71">
        <f t="shared" si="0"/>
        <v>38</v>
      </c>
    </row>
    <row r="96" spans="1:65" ht="15" customHeight="1" x14ac:dyDescent="0.25">
      <c r="A96" s="102"/>
      <c r="K96" s="270"/>
      <c r="L96" s="271"/>
      <c r="T96" s="270"/>
      <c r="U96" s="271"/>
      <c r="AC96" s="270"/>
      <c r="AD96" s="271"/>
      <c r="AL96" s="270"/>
      <c r="AM96" s="271"/>
      <c r="BI96" s="270"/>
      <c r="BJ96" s="271"/>
      <c r="BK96" s="103"/>
      <c r="BM96" s="71">
        <f t="shared" si="0"/>
        <v>39</v>
      </c>
    </row>
    <row r="97" spans="1:65" ht="15" customHeight="1" x14ac:dyDescent="0.25">
      <c r="A97" s="102"/>
      <c r="K97" s="270"/>
      <c r="L97" s="271"/>
      <c r="T97" s="270"/>
      <c r="U97" s="271"/>
      <c r="AC97" s="270"/>
      <c r="AD97" s="271"/>
      <c r="AL97" s="270"/>
      <c r="AM97" s="271"/>
      <c r="BI97" s="270"/>
      <c r="BJ97" s="271"/>
      <c r="BK97" s="103"/>
      <c r="BM97" s="71">
        <f t="shared" si="0"/>
        <v>40</v>
      </c>
    </row>
    <row r="98" spans="1:65" ht="15" customHeight="1" x14ac:dyDescent="0.25">
      <c r="A98" s="102"/>
      <c r="K98" s="270"/>
      <c r="L98" s="271"/>
      <c r="T98" s="270"/>
      <c r="U98" s="271"/>
      <c r="AC98" s="270"/>
      <c r="AD98" s="271"/>
      <c r="AL98" s="270"/>
      <c r="AM98" s="271"/>
      <c r="BI98" s="270"/>
      <c r="BJ98" s="271"/>
      <c r="BK98" s="103"/>
      <c r="BM98" s="71">
        <f t="shared" si="0"/>
        <v>41</v>
      </c>
    </row>
    <row r="99" spans="1:65" ht="15" customHeight="1" x14ac:dyDescent="0.25">
      <c r="A99" s="102"/>
      <c r="K99" s="270"/>
      <c r="L99" s="271"/>
      <c r="T99" s="270"/>
      <c r="U99" s="271"/>
      <c r="AC99" s="270"/>
      <c r="AD99" s="271"/>
      <c r="AL99" s="270"/>
      <c r="AM99" s="271"/>
      <c r="BI99" s="270"/>
      <c r="BJ99" s="271"/>
      <c r="BK99" s="103"/>
      <c r="BM99" s="71">
        <f t="shared" si="0"/>
        <v>42</v>
      </c>
    </row>
    <row r="100" spans="1:65" ht="15" customHeight="1" x14ac:dyDescent="0.25">
      <c r="A100" s="102"/>
      <c r="K100" s="270"/>
      <c r="L100" s="271"/>
      <c r="T100" s="270"/>
      <c r="U100" s="271"/>
      <c r="AC100" s="270"/>
      <c r="AD100" s="271"/>
      <c r="AL100" s="270"/>
      <c r="AM100" s="271"/>
      <c r="BI100" s="270"/>
      <c r="BJ100" s="271"/>
      <c r="BK100" s="103"/>
      <c r="BM100" s="71">
        <f t="shared" si="0"/>
        <v>43</v>
      </c>
    </row>
    <row r="101" spans="1:65" ht="15" customHeight="1" x14ac:dyDescent="0.25">
      <c r="A101" s="102"/>
      <c r="K101" s="270"/>
      <c r="L101" s="271"/>
      <c r="T101" s="270"/>
      <c r="U101" s="271"/>
      <c r="AC101" s="270"/>
      <c r="AD101" s="271"/>
      <c r="AL101" s="270"/>
      <c r="AM101" s="271"/>
      <c r="BI101" s="270"/>
      <c r="BJ101" s="271"/>
      <c r="BK101" s="103"/>
      <c r="BM101" s="71">
        <f t="shared" si="0"/>
        <v>44</v>
      </c>
    </row>
    <row r="102" spans="1:65" ht="15" customHeight="1" x14ac:dyDescent="0.25">
      <c r="A102" s="102"/>
      <c r="K102" s="270"/>
      <c r="L102" s="271"/>
      <c r="T102" s="270"/>
      <c r="U102" s="271"/>
      <c r="AC102" s="270"/>
      <c r="AD102" s="271"/>
      <c r="AL102" s="270"/>
      <c r="AM102" s="271"/>
      <c r="BI102" s="270"/>
      <c r="BJ102" s="271"/>
      <c r="BK102" s="103"/>
      <c r="BM102" s="71">
        <f t="shared" si="0"/>
        <v>45</v>
      </c>
    </row>
    <row r="103" spans="1:65" ht="15" customHeight="1" x14ac:dyDescent="0.25">
      <c r="A103" s="102"/>
      <c r="K103" s="270"/>
      <c r="L103" s="271"/>
      <c r="T103" s="270"/>
      <c r="U103" s="271"/>
      <c r="AC103" s="270"/>
      <c r="AD103" s="271"/>
      <c r="AL103" s="270"/>
      <c r="AM103" s="271"/>
      <c r="BI103" s="270"/>
      <c r="BJ103" s="271"/>
      <c r="BK103" s="103"/>
      <c r="BM103" s="71">
        <f t="shared" si="0"/>
        <v>46</v>
      </c>
    </row>
    <row r="104" spans="1:65" ht="15" customHeight="1" x14ac:dyDescent="0.25">
      <c r="A104" s="102"/>
      <c r="K104" s="270"/>
      <c r="L104" s="271"/>
      <c r="T104" s="270"/>
      <c r="U104" s="271"/>
      <c r="AC104" s="270"/>
      <c r="AD104" s="271"/>
      <c r="AL104" s="270"/>
      <c r="AM104" s="271"/>
      <c r="BI104" s="270"/>
      <c r="BJ104" s="271"/>
      <c r="BK104" s="103"/>
      <c r="BM104" s="71">
        <f t="shared" si="0"/>
        <v>47</v>
      </c>
    </row>
    <row r="105" spans="1:65" ht="15" customHeight="1" x14ac:dyDescent="0.25">
      <c r="A105" s="102"/>
      <c r="B105" s="71" t="s">
        <v>33</v>
      </c>
      <c r="K105" s="270"/>
      <c r="L105" s="271"/>
      <c r="T105" s="270"/>
      <c r="U105" s="271"/>
      <c r="AC105" s="270"/>
      <c r="AD105" s="271"/>
      <c r="AL105" s="270"/>
      <c r="AM105" s="271"/>
      <c r="BI105" s="270"/>
      <c r="BJ105" s="271"/>
      <c r="BK105" s="103"/>
      <c r="BM105" s="71">
        <f t="shared" si="0"/>
        <v>48</v>
      </c>
    </row>
    <row r="106" spans="1:65" ht="15" customHeight="1" x14ac:dyDescent="0.25">
      <c r="A106" s="102"/>
      <c r="K106" s="270"/>
      <c r="L106" s="271"/>
      <c r="T106" s="270"/>
      <c r="U106" s="271"/>
      <c r="AC106" s="270"/>
      <c r="AD106" s="271"/>
      <c r="AL106" s="270"/>
      <c r="AM106" s="271"/>
      <c r="BI106" s="270"/>
      <c r="BJ106" s="271"/>
      <c r="BK106" s="103"/>
      <c r="BM106" s="71">
        <f t="shared" si="0"/>
        <v>49</v>
      </c>
    </row>
    <row r="107" spans="1:65" ht="15" customHeight="1" x14ac:dyDescent="0.25">
      <c r="A107" s="102"/>
      <c r="B107" s="282"/>
      <c r="C107" s="283"/>
      <c r="D107" s="283"/>
      <c r="E107" s="283"/>
      <c r="F107" s="283" t="s">
        <v>30</v>
      </c>
      <c r="G107" s="283"/>
      <c r="H107" s="283"/>
      <c r="I107" s="283"/>
      <c r="J107" s="283"/>
      <c r="K107" s="284"/>
      <c r="L107" s="285"/>
      <c r="M107" s="283"/>
      <c r="N107" s="283"/>
      <c r="O107" s="283"/>
      <c r="P107" s="283"/>
      <c r="Q107" s="283"/>
      <c r="R107" s="283"/>
      <c r="S107" s="283"/>
      <c r="T107" s="284"/>
      <c r="U107" s="285"/>
      <c r="V107" s="283"/>
      <c r="W107" s="283"/>
      <c r="X107" s="283"/>
      <c r="Y107" s="283"/>
      <c r="Z107" s="283"/>
      <c r="AA107" s="283"/>
      <c r="AB107" s="283"/>
      <c r="AC107" s="286"/>
      <c r="AD107" s="283"/>
      <c r="AE107" s="283"/>
      <c r="AF107" s="283"/>
      <c r="AG107" s="283"/>
      <c r="AH107" s="283"/>
      <c r="AI107" s="283"/>
      <c r="AJ107" s="283"/>
      <c r="AK107" s="283"/>
      <c r="AL107" s="284"/>
      <c r="AM107" s="285" t="s">
        <v>31</v>
      </c>
      <c r="AN107" s="283"/>
      <c r="AO107" s="283"/>
      <c r="AP107" s="283"/>
      <c r="AQ107" s="283"/>
      <c r="AR107" s="283"/>
      <c r="AS107" s="283"/>
      <c r="AT107" s="283"/>
      <c r="AU107" s="283"/>
      <c r="AV107" s="283"/>
      <c r="AW107" s="283"/>
      <c r="AX107" s="283"/>
      <c r="AY107" s="283"/>
      <c r="AZ107" s="283"/>
      <c r="BA107" s="283"/>
      <c r="BB107" s="283"/>
      <c r="BC107" s="283"/>
      <c r="BD107" s="283"/>
      <c r="BE107" s="283"/>
      <c r="BF107" s="283"/>
      <c r="BG107" s="283"/>
      <c r="BH107" s="283"/>
      <c r="BI107" s="286"/>
      <c r="BK107" s="103"/>
      <c r="BM107" s="71">
        <f t="shared" si="0"/>
        <v>50</v>
      </c>
    </row>
    <row r="108" spans="1:65" ht="15" customHeight="1" x14ac:dyDescent="0.25">
      <c r="A108" s="102"/>
      <c r="B108" s="102" t="s">
        <v>32</v>
      </c>
      <c r="K108" s="270"/>
      <c r="L108" s="271"/>
      <c r="T108" s="270"/>
      <c r="U108" s="271"/>
      <c r="AC108" s="103"/>
      <c r="AD108" s="71" t="s">
        <v>215</v>
      </c>
      <c r="AL108" s="270"/>
      <c r="AM108" s="271"/>
      <c r="BI108" s="103"/>
      <c r="BK108" s="103"/>
      <c r="BM108" s="71">
        <f t="shared" si="0"/>
        <v>1</v>
      </c>
    </row>
    <row r="109" spans="1:65" ht="15" customHeight="1" x14ac:dyDescent="0.25">
      <c r="A109" s="102"/>
      <c r="B109" s="102" t="s">
        <v>35</v>
      </c>
      <c r="K109" s="270"/>
      <c r="L109" s="271"/>
      <c r="T109" s="270"/>
      <c r="U109" s="271"/>
      <c r="AC109" s="103"/>
      <c r="AD109" s="71" t="s">
        <v>48</v>
      </c>
      <c r="AL109" s="270"/>
      <c r="AM109" s="271"/>
      <c r="BI109" s="103"/>
      <c r="BK109" s="103"/>
      <c r="BM109" s="71">
        <f t="shared" si="0"/>
        <v>2</v>
      </c>
    </row>
    <row r="110" spans="1:65" ht="15" customHeight="1" x14ac:dyDescent="0.25">
      <c r="A110" s="102"/>
      <c r="B110" s="102" t="s">
        <v>36</v>
      </c>
      <c r="K110" s="270"/>
      <c r="L110" s="271"/>
      <c r="T110" s="270"/>
      <c r="U110" s="271"/>
      <c r="AC110" s="103"/>
      <c r="AD110" s="71" t="s">
        <v>49</v>
      </c>
      <c r="AL110" s="270"/>
      <c r="AM110" s="271"/>
      <c r="BI110" s="103"/>
      <c r="BK110" s="103"/>
      <c r="BM110" s="71">
        <f t="shared" si="0"/>
        <v>3</v>
      </c>
    </row>
    <row r="111" spans="1:65" ht="15" customHeight="1" x14ac:dyDescent="0.25">
      <c r="A111" s="102"/>
      <c r="B111" s="102" t="s">
        <v>37</v>
      </c>
      <c r="K111" s="270"/>
      <c r="L111" s="271"/>
      <c r="T111" s="270"/>
      <c r="U111" s="271"/>
      <c r="AC111" s="103"/>
      <c r="AD111" s="71" t="s">
        <v>50</v>
      </c>
      <c r="AL111" s="270"/>
      <c r="AM111" s="271"/>
      <c r="BI111" s="103"/>
      <c r="BK111" s="103"/>
      <c r="BM111" s="71">
        <f t="shared" si="0"/>
        <v>4</v>
      </c>
    </row>
    <row r="112" spans="1:65" ht="15" customHeight="1" x14ac:dyDescent="0.25">
      <c r="A112" s="102"/>
      <c r="B112" s="102" t="s">
        <v>38</v>
      </c>
      <c r="K112" s="270"/>
      <c r="L112" s="271"/>
      <c r="T112" s="270"/>
      <c r="U112" s="271"/>
      <c r="AC112" s="103"/>
      <c r="AL112" s="270"/>
      <c r="AM112" s="271"/>
      <c r="BI112" s="103"/>
      <c r="BK112" s="103"/>
      <c r="BM112" s="71">
        <f t="shared" si="0"/>
        <v>5</v>
      </c>
    </row>
    <row r="113" spans="1:65" ht="15" customHeight="1" x14ac:dyDescent="0.25">
      <c r="A113" s="102"/>
      <c r="B113" s="102" t="s">
        <v>39</v>
      </c>
      <c r="K113" s="270"/>
      <c r="L113" s="271"/>
      <c r="T113" s="270"/>
      <c r="U113" s="271"/>
      <c r="AC113" s="103"/>
      <c r="AL113" s="270"/>
      <c r="AM113" s="271"/>
      <c r="BI113" s="103"/>
      <c r="BK113" s="103"/>
      <c r="BM113" s="71">
        <f t="shared" si="0"/>
        <v>6</v>
      </c>
    </row>
    <row r="114" spans="1:65" ht="15" customHeight="1" x14ac:dyDescent="0.25">
      <c r="A114" s="102"/>
      <c r="B114" s="102" t="s">
        <v>216</v>
      </c>
      <c r="K114" s="270"/>
      <c r="L114" s="271"/>
      <c r="T114" s="270"/>
      <c r="U114" s="271"/>
      <c r="AC114" s="103"/>
      <c r="AL114" s="270"/>
      <c r="AM114" s="271"/>
      <c r="BI114" s="103"/>
      <c r="BK114" s="103"/>
      <c r="BM114" s="71">
        <f t="shared" si="0"/>
        <v>7</v>
      </c>
    </row>
    <row r="115" spans="1:65" ht="15" customHeight="1" x14ac:dyDescent="0.25">
      <c r="A115" s="102"/>
      <c r="B115" s="102" t="s">
        <v>34</v>
      </c>
      <c r="K115" s="270"/>
      <c r="L115" s="271"/>
      <c r="T115" s="270"/>
      <c r="U115" s="271"/>
      <c r="AC115" s="103"/>
      <c r="AL115" s="270"/>
      <c r="AM115" s="271"/>
      <c r="BI115" s="103"/>
      <c r="BK115" s="103"/>
      <c r="BM115" s="71">
        <f t="shared" si="0"/>
        <v>8</v>
      </c>
    </row>
    <row r="116" spans="1:65" ht="15" customHeight="1" x14ac:dyDescent="0.25">
      <c r="A116" s="102"/>
      <c r="B116" s="102" t="s">
        <v>40</v>
      </c>
      <c r="K116" s="270"/>
      <c r="L116" s="271"/>
      <c r="T116" s="270"/>
      <c r="U116" s="271"/>
      <c r="AC116" s="103"/>
      <c r="AL116" s="270"/>
      <c r="AM116" s="271"/>
      <c r="BI116" s="103"/>
      <c r="BK116" s="103"/>
      <c r="BM116" s="71">
        <f t="shared" si="0"/>
        <v>9</v>
      </c>
    </row>
    <row r="117" spans="1:65" ht="15" customHeight="1" x14ac:dyDescent="0.25">
      <c r="A117" s="102"/>
      <c r="B117" s="102" t="s">
        <v>41</v>
      </c>
      <c r="K117" s="270"/>
      <c r="L117" s="271"/>
      <c r="T117" s="270"/>
      <c r="U117" s="271"/>
      <c r="AC117" s="103"/>
      <c r="AL117" s="270"/>
      <c r="AM117" s="271"/>
      <c r="BI117" s="103"/>
      <c r="BK117" s="103"/>
      <c r="BM117" s="71">
        <f t="shared" si="0"/>
        <v>10</v>
      </c>
    </row>
    <row r="118" spans="1:65" ht="15" customHeight="1" x14ac:dyDescent="0.25">
      <c r="A118" s="102"/>
      <c r="B118" s="102"/>
      <c r="K118" s="270"/>
      <c r="L118" s="271"/>
      <c r="T118" s="270"/>
      <c r="U118" s="271"/>
      <c r="AC118" s="103"/>
      <c r="AD118" s="287" t="s">
        <v>42</v>
      </c>
      <c r="AL118" s="270"/>
      <c r="AM118" s="271"/>
      <c r="BI118" s="103"/>
      <c r="BK118" s="103"/>
      <c r="BM118" s="71">
        <f t="shared" si="0"/>
        <v>11</v>
      </c>
    </row>
    <row r="119" spans="1:65" ht="15" customHeight="1" x14ac:dyDescent="0.25">
      <c r="A119" s="102"/>
      <c r="B119" s="102" t="s">
        <v>43</v>
      </c>
      <c r="K119" s="270"/>
      <c r="L119" s="271"/>
      <c r="T119" s="270"/>
      <c r="U119" s="271"/>
      <c r="AC119" s="103"/>
      <c r="AD119" s="236"/>
      <c r="AL119" s="270"/>
      <c r="AM119" s="271"/>
      <c r="BI119" s="103"/>
      <c r="BK119" s="103"/>
      <c r="BM119" s="71">
        <f t="shared" si="0"/>
        <v>12</v>
      </c>
    </row>
    <row r="120" spans="1:65" ht="15" customHeight="1" x14ac:dyDescent="0.25">
      <c r="A120" s="102"/>
      <c r="B120" s="102" t="s">
        <v>44</v>
      </c>
      <c r="K120" s="270"/>
      <c r="L120" s="271"/>
      <c r="T120" s="270"/>
      <c r="U120" s="271"/>
      <c r="AC120" s="103"/>
      <c r="AD120" s="236"/>
      <c r="AL120" s="270"/>
      <c r="AM120" s="271"/>
      <c r="BI120" s="103"/>
      <c r="BK120" s="103"/>
      <c r="BM120" s="71">
        <f t="shared" si="0"/>
        <v>13</v>
      </c>
    </row>
    <row r="121" spans="1:65" ht="15" customHeight="1" x14ac:dyDescent="0.25">
      <c r="A121" s="102"/>
      <c r="B121" s="102"/>
      <c r="K121" s="270"/>
      <c r="L121" s="271"/>
      <c r="T121" s="270"/>
      <c r="U121" s="271"/>
      <c r="AC121" s="103"/>
      <c r="AD121" s="287" t="s">
        <v>45</v>
      </c>
      <c r="AL121" s="270"/>
      <c r="AM121" s="271"/>
      <c r="BI121" s="103"/>
      <c r="BK121" s="103"/>
      <c r="BM121" s="71">
        <f t="shared" si="0"/>
        <v>14</v>
      </c>
    </row>
    <row r="122" spans="1:65" ht="15" customHeight="1" x14ac:dyDescent="0.25">
      <c r="A122" s="102"/>
      <c r="B122" s="102" t="s">
        <v>46</v>
      </c>
      <c r="K122" s="270"/>
      <c r="L122" s="271"/>
      <c r="T122" s="270"/>
      <c r="U122" s="271"/>
      <c r="AC122" s="103"/>
      <c r="AL122" s="270"/>
      <c r="AM122" s="271"/>
      <c r="BI122" s="103"/>
      <c r="BK122" s="103"/>
      <c r="BM122" s="71">
        <f t="shared" si="0"/>
        <v>15</v>
      </c>
    </row>
    <row r="123" spans="1:65" ht="15" customHeight="1" x14ac:dyDescent="0.25">
      <c r="A123" s="102"/>
      <c r="B123" s="102" t="s">
        <v>47</v>
      </c>
      <c r="K123" s="270"/>
      <c r="L123" s="271"/>
      <c r="T123" s="270"/>
      <c r="U123" s="271"/>
      <c r="AC123" s="103"/>
      <c r="AL123" s="270"/>
      <c r="AM123" s="271"/>
      <c r="BI123" s="103"/>
      <c r="BK123" s="103"/>
      <c r="BM123" s="71">
        <f t="shared" si="0"/>
        <v>16</v>
      </c>
    </row>
    <row r="124" spans="1:65" ht="15" customHeight="1" x14ac:dyDescent="0.25">
      <c r="A124" s="102"/>
      <c r="B124" s="102"/>
      <c r="K124" s="270"/>
      <c r="L124" s="271"/>
      <c r="T124" s="270"/>
      <c r="U124" s="271"/>
      <c r="AC124" s="103"/>
      <c r="AL124" s="270"/>
      <c r="AM124" s="271"/>
      <c r="BI124" s="103"/>
      <c r="BK124" s="103"/>
      <c r="BM124" s="71">
        <f t="shared" si="0"/>
        <v>17</v>
      </c>
    </row>
    <row r="125" spans="1:65" ht="15" customHeight="1" x14ac:dyDescent="0.25">
      <c r="A125" s="102"/>
      <c r="B125" s="102"/>
      <c r="K125" s="270"/>
      <c r="L125" s="271"/>
      <c r="T125" s="270"/>
      <c r="U125" s="271"/>
      <c r="AC125" s="103"/>
      <c r="AL125" s="270"/>
      <c r="AM125" s="271"/>
      <c r="BI125" s="103"/>
      <c r="BK125" s="103"/>
      <c r="BM125" s="71">
        <f t="shared" si="0"/>
        <v>18</v>
      </c>
    </row>
    <row r="126" spans="1:65" ht="15" customHeight="1" x14ac:dyDescent="0.25">
      <c r="A126" s="102"/>
      <c r="B126" s="99"/>
      <c r="C126" s="100"/>
      <c r="D126" s="288" t="s">
        <v>217</v>
      </c>
      <c r="E126" s="100"/>
      <c r="F126" s="100"/>
      <c r="G126" s="100"/>
      <c r="H126" s="100"/>
      <c r="I126" s="100"/>
      <c r="J126" s="100"/>
      <c r="K126" s="289"/>
      <c r="L126" s="290"/>
      <c r="M126" s="100"/>
      <c r="N126" s="100"/>
      <c r="O126" s="100"/>
      <c r="P126" s="100"/>
      <c r="Q126" s="100"/>
      <c r="R126" s="100"/>
      <c r="S126" s="100"/>
      <c r="T126" s="289"/>
      <c r="U126" s="290"/>
      <c r="V126" s="100"/>
      <c r="W126" s="100"/>
      <c r="X126" s="100"/>
      <c r="Y126" s="100"/>
      <c r="Z126" s="100"/>
      <c r="AA126" s="100"/>
      <c r="AB126" s="100"/>
      <c r="AC126" s="101"/>
      <c r="AD126" s="288" t="s">
        <v>217</v>
      </c>
      <c r="AE126" s="288"/>
      <c r="AF126" s="288"/>
      <c r="AG126" s="288"/>
      <c r="AH126" s="100"/>
      <c r="AI126" s="100"/>
      <c r="AJ126" s="100"/>
      <c r="AK126" s="100"/>
      <c r="AL126" s="289"/>
      <c r="AM126" s="290"/>
      <c r="AN126" s="100"/>
      <c r="AO126" s="100"/>
      <c r="AP126" s="100"/>
      <c r="AQ126" s="100"/>
      <c r="AR126" s="100"/>
      <c r="AS126" s="100"/>
      <c r="AT126" s="100"/>
      <c r="AU126" s="100"/>
      <c r="AV126" s="100"/>
      <c r="AW126" s="100"/>
      <c r="AX126" s="100"/>
      <c r="AY126" s="100"/>
      <c r="AZ126" s="100"/>
      <c r="BA126" s="100"/>
      <c r="BB126" s="100"/>
      <c r="BC126" s="100"/>
      <c r="BD126" s="100"/>
      <c r="BE126" s="100"/>
      <c r="BF126" s="100"/>
      <c r="BG126" s="100"/>
      <c r="BH126" s="100"/>
      <c r="BI126" s="101"/>
      <c r="BK126" s="103"/>
      <c r="BM126" s="71">
        <f t="shared" si="0"/>
        <v>19</v>
      </c>
    </row>
    <row r="127" spans="1:65" ht="15" customHeight="1" x14ac:dyDescent="0.25">
      <c r="A127" s="102"/>
      <c r="K127" s="270"/>
      <c r="L127" s="271"/>
      <c r="T127" s="270"/>
      <c r="U127" s="271"/>
      <c r="AC127" s="270"/>
      <c r="AD127" s="271"/>
      <c r="AL127" s="270"/>
      <c r="AM127" s="271"/>
      <c r="BI127" s="270"/>
      <c r="BJ127" s="271"/>
      <c r="BK127" s="103"/>
      <c r="BM127" s="71">
        <f t="shared" si="0"/>
        <v>20</v>
      </c>
    </row>
    <row r="128" spans="1:65" ht="15" customHeight="1" x14ac:dyDescent="0.25">
      <c r="A128" s="102"/>
      <c r="B128" s="291" t="s">
        <v>75</v>
      </c>
      <c r="K128" s="270"/>
      <c r="L128" s="271"/>
      <c r="T128" s="270"/>
      <c r="U128" s="271"/>
      <c r="AC128" s="270"/>
      <c r="AD128" s="271"/>
      <c r="AL128" s="270"/>
      <c r="AM128" s="271"/>
      <c r="BI128" s="270"/>
      <c r="BJ128" s="271"/>
      <c r="BK128" s="103"/>
      <c r="BM128" s="71">
        <f t="shared" si="0"/>
        <v>21</v>
      </c>
    </row>
    <row r="129" spans="1:65" ht="15" customHeight="1" x14ac:dyDescent="0.25">
      <c r="A129" s="99"/>
      <c r="B129" s="100"/>
      <c r="C129" s="100"/>
      <c r="D129" s="100"/>
      <c r="E129" s="100"/>
      <c r="F129" s="100"/>
      <c r="G129" s="100"/>
      <c r="H129" s="100"/>
      <c r="I129" s="100"/>
      <c r="J129" s="100"/>
      <c r="K129" s="289"/>
      <c r="L129" s="290"/>
      <c r="M129" s="100"/>
      <c r="N129" s="100"/>
      <c r="O129" s="100"/>
      <c r="P129" s="100"/>
      <c r="Q129" s="100"/>
      <c r="R129" s="100"/>
      <c r="S129" s="100"/>
      <c r="T129" s="289"/>
      <c r="U129" s="290"/>
      <c r="V129" s="100"/>
      <c r="W129" s="100"/>
      <c r="X129" s="100"/>
      <c r="Y129" s="100"/>
      <c r="Z129" s="100"/>
      <c r="AA129" s="100"/>
      <c r="AB129" s="100"/>
      <c r="AC129" s="289"/>
      <c r="AD129" s="290"/>
      <c r="AE129" s="100"/>
      <c r="AF129" s="100"/>
      <c r="AG129" s="100"/>
      <c r="AH129" s="100"/>
      <c r="AI129" s="100"/>
      <c r="AJ129" s="100"/>
      <c r="AK129" s="100"/>
      <c r="AL129" s="289"/>
      <c r="AM129" s="290"/>
      <c r="AN129" s="100"/>
      <c r="AO129" s="100"/>
      <c r="AP129" s="100"/>
      <c r="AQ129" s="100"/>
      <c r="AR129" s="100"/>
      <c r="AS129" s="100"/>
      <c r="AT129" s="100"/>
      <c r="AU129" s="100"/>
      <c r="AV129" s="100"/>
      <c r="AW129" s="100"/>
      <c r="AX129" s="100"/>
      <c r="AY129" s="100"/>
      <c r="AZ129" s="100"/>
      <c r="BA129" s="100"/>
      <c r="BB129" s="100"/>
      <c r="BC129" s="100"/>
      <c r="BD129" s="100"/>
      <c r="BE129" s="100"/>
      <c r="BF129" s="100"/>
      <c r="BG129" s="100"/>
      <c r="BH129" s="100"/>
      <c r="BI129" s="289"/>
      <c r="BJ129" s="290"/>
      <c r="BK129" s="101"/>
      <c r="BM129" s="71">
        <f t="shared" si="0"/>
        <v>22</v>
      </c>
    </row>
    <row r="130" spans="1:65" ht="15" customHeight="1" x14ac:dyDescent="0.25">
      <c r="A130" s="276"/>
      <c r="BK130" s="280"/>
      <c r="BM130" s="71">
        <f t="shared" si="0"/>
        <v>23</v>
      </c>
    </row>
    <row r="131" spans="1:65" ht="15" customHeight="1" x14ac:dyDescent="0.25">
      <c r="A131" s="102"/>
      <c r="BK131" s="103"/>
      <c r="BM131" s="71">
        <f t="shared" si="0"/>
        <v>24</v>
      </c>
    </row>
    <row r="132" spans="1:65" ht="15" customHeight="1" x14ac:dyDescent="0.25">
      <c r="A132" s="102"/>
      <c r="B132" s="272" t="s">
        <v>29</v>
      </c>
      <c r="C132" s="272"/>
      <c r="D132" s="272"/>
      <c r="E132" s="272"/>
      <c r="F132" s="272"/>
      <c r="G132" s="272"/>
      <c r="H132" s="272"/>
      <c r="I132" s="272"/>
      <c r="J132" s="272"/>
      <c r="K132" s="273"/>
      <c r="L132" s="274"/>
      <c r="M132" s="275"/>
      <c r="N132" s="272"/>
      <c r="O132" s="272"/>
      <c r="P132" s="272"/>
      <c r="Q132" s="272"/>
      <c r="R132" s="272"/>
      <c r="S132" s="272"/>
      <c r="T132" s="273"/>
      <c r="U132" s="274"/>
      <c r="V132" s="272"/>
      <c r="W132" s="272"/>
      <c r="X132" s="272"/>
      <c r="Y132" s="272"/>
      <c r="Z132" s="272"/>
      <c r="AA132" s="272"/>
      <c r="AB132" s="272"/>
      <c r="AC132" s="273"/>
      <c r="AD132" s="274"/>
      <c r="AE132" s="272"/>
      <c r="AF132" s="272"/>
      <c r="AG132" s="272"/>
      <c r="AH132" s="272"/>
      <c r="AI132" s="272"/>
      <c r="AJ132" s="272"/>
      <c r="AK132" s="272"/>
      <c r="AL132" s="273"/>
      <c r="AM132" s="274"/>
      <c r="AN132" s="272"/>
      <c r="AO132" s="272"/>
      <c r="AP132" s="272"/>
      <c r="AQ132" s="272"/>
      <c r="AR132" s="272"/>
      <c r="AS132" s="272"/>
      <c r="AT132" s="272"/>
      <c r="AU132" s="272"/>
      <c r="AV132" s="272"/>
      <c r="AW132" s="272"/>
      <c r="AX132" s="272"/>
      <c r="AY132" s="272"/>
      <c r="AZ132" s="272"/>
      <c r="BA132" s="272"/>
      <c r="BB132" s="272"/>
      <c r="BC132" s="272"/>
      <c r="BD132" s="272"/>
      <c r="BE132" s="272"/>
      <c r="BF132" s="272"/>
      <c r="BG132" s="272"/>
      <c r="BH132" s="272"/>
      <c r="BI132" s="273"/>
      <c r="BJ132" s="274"/>
      <c r="BK132" s="103"/>
      <c r="BM132" s="71">
        <f t="shared" si="0"/>
        <v>25</v>
      </c>
    </row>
    <row r="133" spans="1:65" ht="15" customHeight="1" x14ac:dyDescent="0.25">
      <c r="A133" s="102"/>
      <c r="K133" s="270"/>
      <c r="L133" s="271"/>
      <c r="T133" s="270"/>
      <c r="U133" s="271"/>
      <c r="AC133" s="270"/>
      <c r="AD133" s="271"/>
      <c r="AL133" s="270"/>
      <c r="AM133" s="271"/>
      <c r="BI133" s="270"/>
      <c r="BJ133" s="271"/>
      <c r="BK133" s="103"/>
      <c r="BM133" s="71">
        <f t="shared" si="0"/>
        <v>26</v>
      </c>
    </row>
    <row r="134" spans="1:65" ht="15" customHeight="1" x14ac:dyDescent="0.25">
      <c r="A134" s="102"/>
      <c r="K134" s="270"/>
      <c r="L134" s="271"/>
      <c r="T134" s="270"/>
      <c r="U134" s="271"/>
      <c r="AC134" s="270"/>
      <c r="AD134" s="271"/>
      <c r="AL134" s="270"/>
      <c r="AM134" s="271"/>
      <c r="BI134" s="270"/>
      <c r="BJ134" s="271"/>
      <c r="BK134" s="103"/>
      <c r="BM134" s="71">
        <f t="shared" si="0"/>
        <v>27</v>
      </c>
    </row>
    <row r="135" spans="1:65" ht="15" customHeight="1" x14ac:dyDescent="0.25">
      <c r="A135" s="102"/>
      <c r="K135" s="270"/>
      <c r="L135" s="271"/>
      <c r="T135" s="270"/>
      <c r="U135" s="271"/>
      <c r="AC135" s="270"/>
      <c r="AD135" s="271"/>
      <c r="AL135" s="270"/>
      <c r="AM135" s="271"/>
      <c r="BI135" s="270"/>
      <c r="BJ135" s="271"/>
      <c r="BK135" s="103"/>
      <c r="BM135" s="71">
        <f t="shared" si="0"/>
        <v>28</v>
      </c>
    </row>
    <row r="136" spans="1:65" ht="15" customHeight="1" x14ac:dyDescent="0.25">
      <c r="A136" s="102"/>
      <c r="K136" s="270"/>
      <c r="L136" s="271"/>
      <c r="T136" s="270"/>
      <c r="U136" s="271"/>
      <c r="AC136" s="270"/>
      <c r="AD136" s="271"/>
      <c r="AL136" s="270"/>
      <c r="AM136" s="271"/>
      <c r="BI136" s="270"/>
      <c r="BJ136" s="271"/>
      <c r="BK136" s="103"/>
      <c r="BM136" s="71">
        <f t="shared" si="0"/>
        <v>29</v>
      </c>
    </row>
    <row r="137" spans="1:65" ht="15" customHeight="1" x14ac:dyDescent="0.25">
      <c r="A137" s="102"/>
      <c r="K137" s="270"/>
      <c r="L137" s="271"/>
      <c r="T137" s="270"/>
      <c r="U137" s="271"/>
      <c r="AC137" s="270"/>
      <c r="AD137" s="271"/>
      <c r="AL137" s="270"/>
      <c r="AM137" s="271"/>
      <c r="BI137" s="270"/>
      <c r="BJ137" s="271"/>
      <c r="BK137" s="103"/>
      <c r="BM137" s="71">
        <f t="shared" si="0"/>
        <v>30</v>
      </c>
    </row>
    <row r="138" spans="1:65" ht="15" customHeight="1" x14ac:dyDescent="0.25">
      <c r="A138" s="102"/>
      <c r="K138" s="270"/>
      <c r="L138" s="271"/>
      <c r="T138" s="270"/>
      <c r="U138" s="271"/>
      <c r="AC138" s="270"/>
      <c r="AD138" s="271"/>
      <c r="AL138" s="270"/>
      <c r="AM138" s="271"/>
      <c r="BI138" s="270"/>
      <c r="BJ138" s="271"/>
      <c r="BK138" s="103"/>
      <c r="BM138" s="71">
        <f t="shared" si="0"/>
        <v>31</v>
      </c>
    </row>
    <row r="139" spans="1:65" ht="15" customHeight="1" x14ac:dyDescent="0.25">
      <c r="A139" s="102"/>
      <c r="K139" s="270"/>
      <c r="L139" s="271"/>
      <c r="T139" s="270"/>
      <c r="U139" s="271"/>
      <c r="AC139" s="270"/>
      <c r="AD139" s="271"/>
      <c r="AL139" s="270"/>
      <c r="AM139" s="271"/>
      <c r="BI139" s="270"/>
      <c r="BJ139" s="271"/>
      <c r="BK139" s="103"/>
      <c r="BM139" s="71">
        <f t="shared" si="0"/>
        <v>32</v>
      </c>
    </row>
    <row r="140" spans="1:65" ht="15" customHeight="1" x14ac:dyDescent="0.25">
      <c r="A140" s="102"/>
      <c r="K140" s="270"/>
      <c r="L140" s="271"/>
      <c r="T140" s="270"/>
      <c r="U140" s="271"/>
      <c r="AC140" s="270"/>
      <c r="AD140" s="271"/>
      <c r="AL140" s="270"/>
      <c r="AM140" s="271"/>
      <c r="BI140" s="270"/>
      <c r="BJ140" s="271"/>
      <c r="BK140" s="103"/>
      <c r="BM140" s="71">
        <f t="shared" si="0"/>
        <v>33</v>
      </c>
    </row>
    <row r="141" spans="1:65" ht="15" customHeight="1" x14ac:dyDescent="0.25">
      <c r="A141" s="102"/>
      <c r="K141" s="270"/>
      <c r="L141" s="271"/>
      <c r="T141" s="270"/>
      <c r="U141" s="271"/>
      <c r="AC141" s="270"/>
      <c r="AD141" s="271"/>
      <c r="AL141" s="270"/>
      <c r="AM141" s="271"/>
      <c r="BI141" s="270"/>
      <c r="BJ141" s="271"/>
      <c r="BK141" s="103"/>
      <c r="BM141" s="71">
        <f t="shared" si="0"/>
        <v>34</v>
      </c>
    </row>
    <row r="142" spans="1:65" ht="15" customHeight="1" x14ac:dyDescent="0.25">
      <c r="A142" s="102"/>
      <c r="K142" s="270"/>
      <c r="L142" s="271"/>
      <c r="T142" s="270"/>
      <c r="U142" s="271"/>
      <c r="AC142" s="270"/>
      <c r="AD142" s="271"/>
      <c r="AL142" s="270"/>
      <c r="AM142" s="271"/>
      <c r="BI142" s="270"/>
      <c r="BJ142" s="271"/>
      <c r="BK142" s="103"/>
      <c r="BM142" s="71">
        <f t="shared" si="0"/>
        <v>35</v>
      </c>
    </row>
    <row r="143" spans="1:65" ht="15" customHeight="1" x14ac:dyDescent="0.25">
      <c r="A143" s="102"/>
      <c r="K143" s="270"/>
      <c r="L143" s="271"/>
      <c r="T143" s="270"/>
      <c r="U143" s="271"/>
      <c r="AC143" s="270"/>
      <c r="AD143" s="271"/>
      <c r="AL143" s="270"/>
      <c r="AM143" s="271"/>
      <c r="BI143" s="270"/>
      <c r="BJ143" s="271"/>
      <c r="BK143" s="103"/>
      <c r="BM143" s="71">
        <f t="shared" si="0"/>
        <v>36</v>
      </c>
    </row>
    <row r="144" spans="1:65" ht="15" customHeight="1" x14ac:dyDescent="0.25">
      <c r="A144" s="102"/>
      <c r="K144" s="270"/>
      <c r="L144" s="271"/>
      <c r="T144" s="270"/>
      <c r="U144" s="271"/>
      <c r="AC144" s="270"/>
      <c r="AD144" s="271"/>
      <c r="AL144" s="270"/>
      <c r="AM144" s="271"/>
      <c r="BI144" s="270"/>
      <c r="BJ144" s="271"/>
      <c r="BK144" s="103"/>
      <c r="BM144" s="71">
        <f t="shared" si="0"/>
        <v>37</v>
      </c>
    </row>
    <row r="145" spans="1:65" ht="15" customHeight="1" x14ac:dyDescent="0.25">
      <c r="A145" s="102"/>
      <c r="K145" s="270"/>
      <c r="L145" s="271"/>
      <c r="T145" s="270"/>
      <c r="U145" s="271"/>
      <c r="AC145" s="270"/>
      <c r="AD145" s="271"/>
      <c r="AL145" s="270"/>
      <c r="AM145" s="271"/>
      <c r="BI145" s="270"/>
      <c r="BJ145" s="271"/>
      <c r="BK145" s="103"/>
      <c r="BM145" s="71">
        <f t="shared" si="0"/>
        <v>38</v>
      </c>
    </row>
    <row r="146" spans="1:65" ht="15" customHeight="1" x14ac:dyDescent="0.25">
      <c r="A146" s="102"/>
      <c r="K146" s="270"/>
      <c r="L146" s="271"/>
      <c r="T146" s="270"/>
      <c r="U146" s="271"/>
      <c r="AC146" s="270"/>
      <c r="AD146" s="271"/>
      <c r="AL146" s="270"/>
      <c r="AM146" s="271"/>
      <c r="BI146" s="270"/>
      <c r="BJ146" s="271"/>
      <c r="BK146" s="103"/>
      <c r="BM146" s="71">
        <f t="shared" si="0"/>
        <v>39</v>
      </c>
    </row>
    <row r="147" spans="1:65" ht="15" customHeight="1" x14ac:dyDescent="0.25">
      <c r="A147" s="102"/>
      <c r="K147" s="270"/>
      <c r="L147" s="271"/>
      <c r="T147" s="270"/>
      <c r="U147" s="271"/>
      <c r="AC147" s="270"/>
      <c r="AD147" s="271"/>
      <c r="AL147" s="270"/>
      <c r="AM147" s="271"/>
      <c r="BI147" s="270"/>
      <c r="BJ147" s="271"/>
      <c r="BK147" s="103"/>
      <c r="BM147" s="71">
        <f t="shared" ref="BM147:BM210" si="1">IF(BM146=50,1,BM146+1)</f>
        <v>40</v>
      </c>
    </row>
    <row r="148" spans="1:65" ht="15" customHeight="1" x14ac:dyDescent="0.25">
      <c r="A148" s="102"/>
      <c r="K148" s="270"/>
      <c r="L148" s="271"/>
      <c r="T148" s="270"/>
      <c r="U148" s="271"/>
      <c r="AC148" s="270"/>
      <c r="AD148" s="271"/>
      <c r="AL148" s="270"/>
      <c r="AM148" s="271"/>
      <c r="BI148" s="270"/>
      <c r="BJ148" s="271"/>
      <c r="BK148" s="103"/>
      <c r="BM148" s="71">
        <f t="shared" si="1"/>
        <v>41</v>
      </c>
    </row>
    <row r="149" spans="1:65" ht="15" customHeight="1" x14ac:dyDescent="0.25">
      <c r="A149" s="102"/>
      <c r="K149" s="270"/>
      <c r="L149" s="271"/>
      <c r="T149" s="270"/>
      <c r="U149" s="271"/>
      <c r="AC149" s="270"/>
      <c r="AD149" s="271"/>
      <c r="AL149" s="270"/>
      <c r="AM149" s="271"/>
      <c r="BI149" s="270"/>
      <c r="BJ149" s="271"/>
      <c r="BK149" s="103"/>
      <c r="BM149" s="71">
        <f t="shared" si="1"/>
        <v>42</v>
      </c>
    </row>
    <row r="150" spans="1:65" ht="15" customHeight="1" x14ac:dyDescent="0.25">
      <c r="A150" s="102"/>
      <c r="K150" s="270"/>
      <c r="L150" s="271"/>
      <c r="T150" s="270"/>
      <c r="U150" s="271"/>
      <c r="AC150" s="270"/>
      <c r="AD150" s="271"/>
      <c r="AL150" s="270"/>
      <c r="AM150" s="271"/>
      <c r="BI150" s="270"/>
      <c r="BJ150" s="271"/>
      <c r="BK150" s="103"/>
      <c r="BM150" s="71">
        <f t="shared" si="1"/>
        <v>43</v>
      </c>
    </row>
    <row r="151" spans="1:65" ht="15" customHeight="1" x14ac:dyDescent="0.25">
      <c r="A151" s="102"/>
      <c r="K151" s="270"/>
      <c r="L151" s="271"/>
      <c r="T151" s="270"/>
      <c r="U151" s="271"/>
      <c r="AC151" s="270"/>
      <c r="AD151" s="271"/>
      <c r="AL151" s="270"/>
      <c r="AM151" s="271"/>
      <c r="BI151" s="270"/>
      <c r="BJ151" s="271"/>
      <c r="BK151" s="103"/>
      <c r="BM151" s="71">
        <f t="shared" si="1"/>
        <v>44</v>
      </c>
    </row>
    <row r="152" spans="1:65" ht="15" customHeight="1" x14ac:dyDescent="0.25">
      <c r="A152" s="102"/>
      <c r="K152" s="270"/>
      <c r="L152" s="271"/>
      <c r="T152" s="270"/>
      <c r="U152" s="271"/>
      <c r="AC152" s="270"/>
      <c r="AD152" s="271"/>
      <c r="AL152" s="270"/>
      <c r="AM152" s="271"/>
      <c r="BI152" s="270"/>
      <c r="BJ152" s="271"/>
      <c r="BK152" s="103"/>
      <c r="BM152" s="71">
        <f t="shared" si="1"/>
        <v>45</v>
      </c>
    </row>
    <row r="153" spans="1:65" ht="15" customHeight="1" x14ac:dyDescent="0.25">
      <c r="A153" s="102"/>
      <c r="K153" s="270"/>
      <c r="L153" s="271"/>
      <c r="T153" s="270"/>
      <c r="U153" s="271"/>
      <c r="AC153" s="270"/>
      <c r="AD153" s="271"/>
      <c r="AL153" s="270"/>
      <c r="AM153" s="271"/>
      <c r="BI153" s="270"/>
      <c r="BJ153" s="271"/>
      <c r="BK153" s="103"/>
      <c r="BM153" s="71">
        <f t="shared" si="1"/>
        <v>46</v>
      </c>
    </row>
    <row r="154" spans="1:65" ht="15" customHeight="1" x14ac:dyDescent="0.25">
      <c r="A154" s="102"/>
      <c r="K154" s="270"/>
      <c r="L154" s="271"/>
      <c r="T154" s="270"/>
      <c r="U154" s="271"/>
      <c r="AC154" s="270"/>
      <c r="AD154" s="271"/>
      <c r="AL154" s="270"/>
      <c r="AM154" s="271"/>
      <c r="BI154" s="270"/>
      <c r="BJ154" s="271"/>
      <c r="BK154" s="103"/>
      <c r="BM154" s="71">
        <f t="shared" si="1"/>
        <v>47</v>
      </c>
    </row>
    <row r="155" spans="1:65" ht="15" customHeight="1" x14ac:dyDescent="0.25">
      <c r="A155" s="102"/>
      <c r="K155" s="270"/>
      <c r="L155" s="271"/>
      <c r="T155" s="270"/>
      <c r="U155" s="271"/>
      <c r="AC155" s="270"/>
      <c r="AD155" s="271"/>
      <c r="AL155" s="270"/>
      <c r="AM155" s="271"/>
      <c r="BI155" s="270"/>
      <c r="BJ155" s="271"/>
      <c r="BK155" s="103"/>
      <c r="BM155" s="71">
        <f t="shared" si="1"/>
        <v>48</v>
      </c>
    </row>
    <row r="156" spans="1:65" ht="15" customHeight="1" x14ac:dyDescent="0.25">
      <c r="A156" s="102"/>
      <c r="K156" s="270"/>
      <c r="L156" s="271"/>
      <c r="T156" s="270"/>
      <c r="U156" s="271"/>
      <c r="AC156" s="270"/>
      <c r="AD156" s="271"/>
      <c r="AL156" s="270"/>
      <c r="AM156" s="271"/>
      <c r="BI156" s="270"/>
      <c r="BJ156" s="271"/>
      <c r="BK156" s="103"/>
      <c r="BM156" s="71">
        <f t="shared" si="1"/>
        <v>49</v>
      </c>
    </row>
    <row r="157" spans="1:65" ht="15" customHeight="1" x14ac:dyDescent="0.25">
      <c r="A157" s="102"/>
      <c r="K157" s="270"/>
      <c r="L157" s="271"/>
      <c r="T157" s="270"/>
      <c r="U157" s="271"/>
      <c r="AC157" s="270"/>
      <c r="AD157" s="271"/>
      <c r="AL157" s="270"/>
      <c r="AM157" s="271"/>
      <c r="BI157" s="270"/>
      <c r="BJ157" s="271"/>
      <c r="BK157" s="103"/>
      <c r="BM157" s="71">
        <f t="shared" si="1"/>
        <v>50</v>
      </c>
    </row>
    <row r="158" spans="1:65" ht="15" customHeight="1" x14ac:dyDescent="0.25">
      <c r="A158" s="102"/>
      <c r="K158" s="270"/>
      <c r="L158" s="271"/>
      <c r="T158" s="270"/>
      <c r="U158" s="271"/>
      <c r="AC158" s="270"/>
      <c r="AD158" s="271"/>
      <c r="AL158" s="270"/>
      <c r="AM158" s="271"/>
      <c r="BI158" s="270"/>
      <c r="BJ158" s="271"/>
      <c r="BK158" s="103"/>
      <c r="BM158" s="71">
        <f t="shared" si="1"/>
        <v>1</v>
      </c>
    </row>
    <row r="159" spans="1:65" ht="15" customHeight="1" x14ac:dyDescent="0.25">
      <c r="A159" s="102"/>
      <c r="K159" s="270"/>
      <c r="L159" s="271"/>
      <c r="T159" s="270"/>
      <c r="U159" s="271"/>
      <c r="AC159" s="270"/>
      <c r="AD159" s="271"/>
      <c r="AL159" s="270"/>
      <c r="AM159" s="271"/>
      <c r="BI159" s="270"/>
      <c r="BJ159" s="271"/>
      <c r="BK159" s="103"/>
      <c r="BM159" s="71">
        <f t="shared" si="1"/>
        <v>2</v>
      </c>
    </row>
    <row r="160" spans="1:65" ht="15" customHeight="1" x14ac:dyDescent="0.25">
      <c r="A160" s="102"/>
      <c r="K160" s="270"/>
      <c r="L160" s="271"/>
      <c r="T160" s="270"/>
      <c r="U160" s="271"/>
      <c r="AC160" s="270"/>
      <c r="AD160" s="271"/>
      <c r="AL160" s="270"/>
      <c r="AM160" s="271"/>
      <c r="BI160" s="270"/>
      <c r="BJ160" s="271"/>
      <c r="BK160" s="103"/>
      <c r="BM160" s="71">
        <f t="shared" si="1"/>
        <v>3</v>
      </c>
    </row>
    <row r="161" spans="1:65" ht="15" customHeight="1" x14ac:dyDescent="0.25">
      <c r="A161" s="102"/>
      <c r="K161" s="270"/>
      <c r="L161" s="271"/>
      <c r="T161" s="270"/>
      <c r="U161" s="271"/>
      <c r="AC161" s="270"/>
      <c r="AD161" s="271"/>
      <c r="AL161" s="270"/>
      <c r="AM161" s="271"/>
      <c r="BI161" s="270"/>
      <c r="BJ161" s="271"/>
      <c r="BK161" s="103"/>
      <c r="BM161" s="71">
        <f t="shared" si="1"/>
        <v>4</v>
      </c>
    </row>
    <row r="162" spans="1:65" ht="15" customHeight="1" x14ac:dyDescent="0.25">
      <c r="A162" s="102"/>
      <c r="K162" s="270"/>
      <c r="L162" s="271"/>
      <c r="T162" s="270"/>
      <c r="U162" s="271"/>
      <c r="AC162" s="270"/>
      <c r="AD162" s="271"/>
      <c r="AL162" s="270"/>
      <c r="AM162" s="271"/>
      <c r="BI162" s="270"/>
      <c r="BJ162" s="271"/>
      <c r="BK162" s="103"/>
      <c r="BM162" s="71">
        <f t="shared" si="1"/>
        <v>5</v>
      </c>
    </row>
    <row r="163" spans="1:65" ht="15" customHeight="1" x14ac:dyDescent="0.25">
      <c r="A163" s="102"/>
      <c r="K163" s="270"/>
      <c r="L163" s="271"/>
      <c r="T163" s="270"/>
      <c r="U163" s="271"/>
      <c r="AC163" s="270"/>
      <c r="AD163" s="271"/>
      <c r="AL163" s="270"/>
      <c r="AM163" s="271"/>
      <c r="BI163" s="270"/>
      <c r="BJ163" s="271"/>
      <c r="BK163" s="103"/>
      <c r="BM163" s="71">
        <f t="shared" si="1"/>
        <v>6</v>
      </c>
    </row>
    <row r="164" spans="1:65" ht="15" customHeight="1" x14ac:dyDescent="0.25">
      <c r="A164" s="102"/>
      <c r="K164" s="270"/>
      <c r="L164" s="271"/>
      <c r="T164" s="270"/>
      <c r="U164" s="271"/>
      <c r="AC164" s="270"/>
      <c r="AD164" s="271"/>
      <c r="AL164" s="270"/>
      <c r="AM164" s="271"/>
      <c r="BI164" s="270"/>
      <c r="BJ164" s="271"/>
      <c r="BK164" s="103"/>
      <c r="BM164" s="71">
        <f t="shared" si="1"/>
        <v>7</v>
      </c>
    </row>
    <row r="165" spans="1:65" ht="15" customHeight="1" x14ac:dyDescent="0.25">
      <c r="A165" s="102"/>
      <c r="K165" s="270"/>
      <c r="L165" s="271"/>
      <c r="T165" s="270"/>
      <c r="U165" s="271"/>
      <c r="AC165" s="270"/>
      <c r="AD165" s="271"/>
      <c r="AL165" s="270"/>
      <c r="AM165" s="271"/>
      <c r="BI165" s="270"/>
      <c r="BJ165" s="271"/>
      <c r="BK165" s="103"/>
      <c r="BM165" s="71">
        <f t="shared" si="1"/>
        <v>8</v>
      </c>
    </row>
    <row r="166" spans="1:65" ht="15" customHeight="1" x14ac:dyDescent="0.25">
      <c r="A166" s="102"/>
      <c r="K166" s="270"/>
      <c r="L166" s="271"/>
      <c r="T166" s="270"/>
      <c r="U166" s="271"/>
      <c r="AC166" s="270"/>
      <c r="AD166" s="271"/>
      <c r="AL166" s="270"/>
      <c r="AM166" s="271"/>
      <c r="BI166" s="270"/>
      <c r="BJ166" s="271"/>
      <c r="BK166" s="103"/>
      <c r="BM166" s="71">
        <f t="shared" si="1"/>
        <v>9</v>
      </c>
    </row>
    <row r="167" spans="1:65" ht="15" customHeight="1" x14ac:dyDescent="0.25">
      <c r="A167" s="102"/>
      <c r="K167" s="270"/>
      <c r="L167" s="271"/>
      <c r="T167" s="270"/>
      <c r="U167" s="271"/>
      <c r="AC167" s="270"/>
      <c r="AD167" s="271"/>
      <c r="AL167" s="270"/>
      <c r="AM167" s="271"/>
      <c r="BI167" s="270"/>
      <c r="BJ167" s="271"/>
      <c r="BK167" s="103"/>
      <c r="BM167" s="71">
        <f t="shared" si="1"/>
        <v>10</v>
      </c>
    </row>
    <row r="168" spans="1:65" ht="15" customHeight="1" x14ac:dyDescent="0.25">
      <c r="A168" s="102"/>
      <c r="K168" s="270"/>
      <c r="L168" s="271"/>
      <c r="T168" s="270"/>
      <c r="U168" s="271"/>
      <c r="AC168" s="270"/>
      <c r="AD168" s="271"/>
      <c r="AL168" s="270"/>
      <c r="AM168" s="271"/>
      <c r="BI168" s="270"/>
      <c r="BJ168" s="271"/>
      <c r="BK168" s="103"/>
      <c r="BM168" s="71">
        <f t="shared" si="1"/>
        <v>11</v>
      </c>
    </row>
    <row r="169" spans="1:65" ht="15" customHeight="1" x14ac:dyDescent="0.25">
      <c r="A169" s="102"/>
      <c r="K169" s="270"/>
      <c r="L169" s="271"/>
      <c r="T169" s="270"/>
      <c r="U169" s="271"/>
      <c r="AC169" s="270"/>
      <c r="AD169" s="271"/>
      <c r="AL169" s="270"/>
      <c r="AM169" s="271"/>
      <c r="BI169" s="270"/>
      <c r="BJ169" s="271"/>
      <c r="BK169" s="103"/>
      <c r="BM169" s="71">
        <f t="shared" si="1"/>
        <v>12</v>
      </c>
    </row>
    <row r="170" spans="1:65" ht="15" customHeight="1" x14ac:dyDescent="0.25">
      <c r="A170" s="102"/>
      <c r="B170" s="272" t="s">
        <v>93</v>
      </c>
      <c r="C170" s="272"/>
      <c r="D170" s="272"/>
      <c r="E170" s="272"/>
      <c r="F170" s="272"/>
      <c r="G170" s="272"/>
      <c r="H170" s="272"/>
      <c r="I170" s="272"/>
      <c r="J170" s="272"/>
      <c r="K170" s="273"/>
      <c r="L170" s="274"/>
      <c r="M170" s="275"/>
      <c r="N170" s="272"/>
      <c r="O170" s="272"/>
      <c r="P170" s="272"/>
      <c r="Q170" s="272"/>
      <c r="R170" s="272"/>
      <c r="S170" s="272"/>
      <c r="T170" s="273"/>
      <c r="U170" s="274"/>
      <c r="V170" s="272"/>
      <c r="W170" s="272"/>
      <c r="X170" s="272"/>
      <c r="Y170" s="272"/>
      <c r="Z170" s="272"/>
      <c r="AA170" s="272"/>
      <c r="AB170" s="272"/>
      <c r="AC170" s="273"/>
      <c r="AD170" s="274"/>
      <c r="AE170" s="272"/>
      <c r="AF170" s="272"/>
      <c r="AG170" s="272"/>
      <c r="AH170" s="272"/>
      <c r="AI170" s="272"/>
      <c r="AJ170" s="272"/>
      <c r="AK170" s="272"/>
      <c r="AL170" s="273"/>
      <c r="AM170" s="274"/>
      <c r="AN170" s="272"/>
      <c r="AO170" s="272"/>
      <c r="AP170" s="272"/>
      <c r="AQ170" s="272"/>
      <c r="AR170" s="272"/>
      <c r="AS170" s="272"/>
      <c r="AT170" s="272"/>
      <c r="AU170" s="272"/>
      <c r="AV170" s="272"/>
      <c r="AW170" s="272"/>
      <c r="AX170" s="272"/>
      <c r="AY170" s="272"/>
      <c r="AZ170" s="272"/>
      <c r="BA170" s="272"/>
      <c r="BB170" s="272"/>
      <c r="BC170" s="272"/>
      <c r="BD170" s="272"/>
      <c r="BE170" s="272"/>
      <c r="BF170" s="272"/>
      <c r="BG170" s="272"/>
      <c r="BH170" s="272"/>
      <c r="BI170" s="273"/>
      <c r="BJ170" s="274"/>
      <c r="BK170" s="103"/>
      <c r="BM170" s="71">
        <f t="shared" si="1"/>
        <v>13</v>
      </c>
    </row>
    <row r="171" spans="1:65" ht="15" customHeight="1" x14ac:dyDescent="0.25">
      <c r="A171" s="102"/>
      <c r="K171" s="270"/>
      <c r="L171" s="271"/>
      <c r="T171" s="270"/>
      <c r="U171" s="271"/>
      <c r="AC171" s="270"/>
      <c r="AD171" s="271"/>
      <c r="AL171" s="270"/>
      <c r="AM171" s="271"/>
      <c r="BI171" s="270"/>
      <c r="BJ171" s="271"/>
      <c r="BK171" s="103"/>
      <c r="BM171" s="71">
        <f t="shared" si="1"/>
        <v>14</v>
      </c>
    </row>
    <row r="172" spans="1:65" ht="15" customHeight="1" x14ac:dyDescent="0.25">
      <c r="A172" s="102"/>
      <c r="K172" s="270"/>
      <c r="L172" s="271"/>
      <c r="T172" s="270"/>
      <c r="U172" s="271"/>
      <c r="AC172" s="270"/>
      <c r="AD172" s="271"/>
      <c r="AL172" s="270"/>
      <c r="AM172" s="271"/>
      <c r="BI172" s="270"/>
      <c r="BJ172" s="271"/>
      <c r="BK172" s="103"/>
      <c r="BM172" s="71">
        <f t="shared" si="1"/>
        <v>15</v>
      </c>
    </row>
    <row r="173" spans="1:65" ht="15" customHeight="1" x14ac:dyDescent="0.25">
      <c r="A173" s="102"/>
      <c r="K173" s="270"/>
      <c r="L173" s="271"/>
      <c r="T173" s="270"/>
      <c r="U173" s="271"/>
      <c r="AC173" s="270"/>
      <c r="AD173" s="271"/>
      <c r="AL173" s="270"/>
      <c r="AM173" s="271"/>
      <c r="BI173" s="270"/>
      <c r="BJ173" s="271"/>
      <c r="BK173" s="103"/>
      <c r="BM173" s="71">
        <f t="shared" si="1"/>
        <v>16</v>
      </c>
    </row>
    <row r="174" spans="1:65" ht="15" customHeight="1" x14ac:dyDescent="0.25">
      <c r="A174" s="102"/>
      <c r="K174" s="270"/>
      <c r="L174" s="271"/>
      <c r="T174" s="270"/>
      <c r="U174" s="271"/>
      <c r="AC174" s="270"/>
      <c r="AD174" s="271"/>
      <c r="AL174" s="270"/>
      <c r="AM174" s="271"/>
      <c r="BI174" s="270"/>
      <c r="BJ174" s="271"/>
      <c r="BK174" s="103"/>
      <c r="BM174" s="71">
        <f t="shared" si="1"/>
        <v>17</v>
      </c>
    </row>
    <row r="175" spans="1:65" ht="15" customHeight="1" x14ac:dyDescent="0.25">
      <c r="A175" s="102"/>
      <c r="K175" s="270"/>
      <c r="L175" s="271"/>
      <c r="T175" s="270"/>
      <c r="U175" s="271"/>
      <c r="AC175" s="270"/>
      <c r="AD175" s="271"/>
      <c r="AL175" s="270"/>
      <c r="AM175" s="271"/>
      <c r="BI175" s="270"/>
      <c r="BJ175" s="271"/>
      <c r="BK175" s="103"/>
      <c r="BM175" s="71">
        <f t="shared" si="1"/>
        <v>18</v>
      </c>
    </row>
    <row r="176" spans="1:65" ht="15" customHeight="1" x14ac:dyDescent="0.25">
      <c r="A176" s="102"/>
      <c r="K176" s="270"/>
      <c r="L176" s="271"/>
      <c r="T176" s="270"/>
      <c r="U176" s="271"/>
      <c r="AC176" s="270"/>
      <c r="AD176" s="271"/>
      <c r="AL176" s="270"/>
      <c r="AM176" s="271"/>
      <c r="BI176" s="270"/>
      <c r="BJ176" s="271"/>
      <c r="BK176" s="103"/>
      <c r="BM176" s="71">
        <f t="shared" si="1"/>
        <v>19</v>
      </c>
    </row>
    <row r="177" spans="1:65" ht="15" customHeight="1" x14ac:dyDescent="0.25">
      <c r="A177" s="102"/>
      <c r="K177" s="270"/>
      <c r="L177" s="271"/>
      <c r="T177" s="270"/>
      <c r="U177" s="271"/>
      <c r="AC177" s="270"/>
      <c r="AD177" s="271"/>
      <c r="AL177" s="270"/>
      <c r="AM177" s="271"/>
      <c r="BI177" s="270"/>
      <c r="BJ177" s="271"/>
      <c r="BK177" s="103"/>
      <c r="BM177" s="71">
        <f t="shared" si="1"/>
        <v>20</v>
      </c>
    </row>
    <row r="178" spans="1:65" ht="15" customHeight="1" x14ac:dyDescent="0.25">
      <c r="A178" s="102"/>
      <c r="K178" s="270"/>
      <c r="L178" s="271"/>
      <c r="T178" s="270"/>
      <c r="U178" s="271"/>
      <c r="AC178" s="270"/>
      <c r="AD178" s="271"/>
      <c r="AL178" s="270"/>
      <c r="AM178" s="271"/>
      <c r="BI178" s="270"/>
      <c r="BJ178" s="271"/>
      <c r="BK178" s="103"/>
      <c r="BM178" s="71">
        <f t="shared" si="1"/>
        <v>21</v>
      </c>
    </row>
    <row r="179" spans="1:65" ht="15" customHeight="1" x14ac:dyDescent="0.25">
      <c r="A179" s="102"/>
      <c r="K179" s="270"/>
      <c r="L179" s="271"/>
      <c r="T179" s="270"/>
      <c r="U179" s="271"/>
      <c r="AC179" s="270"/>
      <c r="AD179" s="271"/>
      <c r="AL179" s="270"/>
      <c r="AM179" s="271"/>
      <c r="BI179" s="270"/>
      <c r="BJ179" s="271"/>
      <c r="BK179" s="103"/>
      <c r="BM179" s="71">
        <f t="shared" si="1"/>
        <v>22</v>
      </c>
    </row>
    <row r="180" spans="1:65" ht="15" customHeight="1" x14ac:dyDescent="0.25">
      <c r="A180" s="102"/>
      <c r="K180" s="270"/>
      <c r="L180" s="271"/>
      <c r="T180" s="270"/>
      <c r="U180" s="271"/>
      <c r="AC180" s="270"/>
      <c r="AD180" s="271"/>
      <c r="AL180" s="270"/>
      <c r="AM180" s="271"/>
      <c r="BI180" s="270"/>
      <c r="BJ180" s="271"/>
      <c r="BK180" s="103"/>
      <c r="BM180" s="71">
        <f t="shared" si="1"/>
        <v>23</v>
      </c>
    </row>
    <row r="181" spans="1:65" ht="15" customHeight="1" x14ac:dyDescent="0.25">
      <c r="A181" s="102"/>
      <c r="K181" s="270"/>
      <c r="L181" s="271"/>
      <c r="T181" s="270"/>
      <c r="U181" s="271"/>
      <c r="AC181" s="270"/>
      <c r="AD181" s="271"/>
      <c r="AL181" s="270"/>
      <c r="AM181" s="271"/>
      <c r="BI181" s="270"/>
      <c r="BJ181" s="271"/>
      <c r="BK181" s="103"/>
      <c r="BM181" s="71">
        <f t="shared" si="1"/>
        <v>24</v>
      </c>
    </row>
    <row r="182" spans="1:65" ht="15" customHeight="1" x14ac:dyDescent="0.25">
      <c r="A182" s="102"/>
      <c r="K182" s="270"/>
      <c r="L182" s="271"/>
      <c r="T182" s="270"/>
      <c r="U182" s="271"/>
      <c r="AC182" s="270"/>
      <c r="AD182" s="271"/>
      <c r="AL182" s="270"/>
      <c r="AM182" s="271"/>
      <c r="BI182" s="270"/>
      <c r="BJ182" s="271"/>
      <c r="BK182" s="103"/>
      <c r="BM182" s="71">
        <f t="shared" si="1"/>
        <v>25</v>
      </c>
    </row>
    <row r="183" spans="1:65" ht="15" customHeight="1" x14ac:dyDescent="0.25">
      <c r="A183" s="102"/>
      <c r="K183" s="270"/>
      <c r="L183" s="271"/>
      <c r="T183" s="270"/>
      <c r="U183" s="271"/>
      <c r="AC183" s="270"/>
      <c r="AD183" s="271"/>
      <c r="AL183" s="270"/>
      <c r="AM183" s="271"/>
      <c r="BI183" s="270"/>
      <c r="BJ183" s="271"/>
      <c r="BK183" s="103"/>
      <c r="BM183" s="71">
        <f t="shared" si="1"/>
        <v>26</v>
      </c>
    </row>
    <row r="184" spans="1:65" ht="15" customHeight="1" x14ac:dyDescent="0.25">
      <c r="A184" s="102"/>
      <c r="K184" s="270"/>
      <c r="L184" s="271"/>
      <c r="T184" s="270"/>
      <c r="U184" s="271"/>
      <c r="AC184" s="270"/>
      <c r="AD184" s="271"/>
      <c r="AL184" s="270"/>
      <c r="AM184" s="271"/>
      <c r="BI184" s="270"/>
      <c r="BJ184" s="271"/>
      <c r="BK184" s="103"/>
      <c r="BM184" s="71">
        <f t="shared" si="1"/>
        <v>27</v>
      </c>
    </row>
    <row r="185" spans="1:65" ht="15" customHeight="1" x14ac:dyDescent="0.25">
      <c r="A185" s="102"/>
      <c r="K185" s="270"/>
      <c r="L185" s="271"/>
      <c r="T185" s="270"/>
      <c r="U185" s="271"/>
      <c r="AC185" s="270"/>
      <c r="AD185" s="271"/>
      <c r="AL185" s="270"/>
      <c r="AM185" s="271"/>
      <c r="BI185" s="270"/>
      <c r="BJ185" s="271"/>
      <c r="BK185" s="103"/>
      <c r="BM185" s="71">
        <f t="shared" si="1"/>
        <v>28</v>
      </c>
    </row>
    <row r="186" spans="1:65" ht="15" customHeight="1" x14ac:dyDescent="0.25">
      <c r="A186" s="102"/>
      <c r="K186" s="270"/>
      <c r="L186" s="271"/>
      <c r="T186" s="270"/>
      <c r="U186" s="271"/>
      <c r="AC186" s="270"/>
      <c r="AD186" s="271"/>
      <c r="AL186" s="270"/>
      <c r="AM186" s="271"/>
      <c r="BI186" s="270"/>
      <c r="BJ186" s="271"/>
      <c r="BK186" s="103"/>
      <c r="BM186" s="71">
        <f t="shared" si="1"/>
        <v>29</v>
      </c>
    </row>
    <row r="187" spans="1:65" ht="15" customHeight="1" x14ac:dyDescent="0.25">
      <c r="A187" s="102"/>
      <c r="K187" s="270"/>
      <c r="L187" s="271"/>
      <c r="T187" s="270"/>
      <c r="U187" s="271"/>
      <c r="AC187" s="270"/>
      <c r="AD187" s="271"/>
      <c r="AL187" s="270"/>
      <c r="AM187" s="271"/>
      <c r="BI187" s="270"/>
      <c r="BJ187" s="271"/>
      <c r="BK187" s="103"/>
      <c r="BM187" s="71">
        <f t="shared" si="1"/>
        <v>30</v>
      </c>
    </row>
    <row r="188" spans="1:65" ht="15" customHeight="1" x14ac:dyDescent="0.25">
      <c r="A188" s="102"/>
      <c r="K188" s="270"/>
      <c r="L188" s="271"/>
      <c r="T188" s="270"/>
      <c r="U188" s="271"/>
      <c r="AC188" s="270"/>
      <c r="AD188" s="271"/>
      <c r="AL188" s="270"/>
      <c r="AM188" s="271"/>
      <c r="BI188" s="270"/>
      <c r="BJ188" s="271"/>
      <c r="BK188" s="103"/>
      <c r="BM188" s="71">
        <f t="shared" si="1"/>
        <v>31</v>
      </c>
    </row>
    <row r="189" spans="1:65" ht="15" customHeight="1" x14ac:dyDescent="0.25">
      <c r="A189" s="102"/>
      <c r="K189" s="270"/>
      <c r="L189" s="271"/>
      <c r="T189" s="270"/>
      <c r="U189" s="271"/>
      <c r="AC189" s="270"/>
      <c r="AD189" s="271"/>
      <c r="AL189" s="270"/>
      <c r="AM189" s="271"/>
      <c r="BI189" s="270"/>
      <c r="BJ189" s="271"/>
      <c r="BK189" s="103"/>
      <c r="BM189" s="71">
        <f t="shared" si="1"/>
        <v>32</v>
      </c>
    </row>
    <row r="190" spans="1:65" ht="15" customHeight="1" x14ac:dyDescent="0.25">
      <c r="A190" s="102"/>
      <c r="K190" s="270"/>
      <c r="L190" s="271"/>
      <c r="T190" s="270"/>
      <c r="U190" s="271"/>
      <c r="AC190" s="270"/>
      <c r="AD190" s="271"/>
      <c r="AL190" s="270"/>
      <c r="AM190" s="271"/>
      <c r="BI190" s="270"/>
      <c r="BJ190" s="271"/>
      <c r="BK190" s="103"/>
      <c r="BM190" s="71">
        <f t="shared" si="1"/>
        <v>33</v>
      </c>
    </row>
    <row r="191" spans="1:65" ht="15" customHeight="1" x14ac:dyDescent="0.25">
      <c r="A191" s="102"/>
      <c r="K191" s="270"/>
      <c r="L191" s="271"/>
      <c r="T191" s="270"/>
      <c r="U191" s="271"/>
      <c r="AC191" s="270"/>
      <c r="AD191" s="271"/>
      <c r="AL191" s="270"/>
      <c r="AM191" s="271"/>
      <c r="BI191" s="270"/>
      <c r="BJ191" s="271"/>
      <c r="BK191" s="103"/>
      <c r="BM191" s="71">
        <f t="shared" si="1"/>
        <v>34</v>
      </c>
    </row>
    <row r="192" spans="1:65" ht="15" customHeight="1" x14ac:dyDescent="0.25">
      <c r="A192" s="102"/>
      <c r="K192" s="270"/>
      <c r="L192" s="271"/>
      <c r="T192" s="270"/>
      <c r="U192" s="271"/>
      <c r="AC192" s="270"/>
      <c r="AD192" s="271"/>
      <c r="AL192" s="270"/>
      <c r="AM192" s="271"/>
      <c r="BI192" s="270"/>
      <c r="BJ192" s="271"/>
      <c r="BK192" s="103"/>
      <c r="BM192" s="71">
        <f t="shared" si="1"/>
        <v>35</v>
      </c>
    </row>
    <row r="193" spans="1:65" ht="15" customHeight="1" x14ac:dyDescent="0.25">
      <c r="A193" s="102"/>
      <c r="K193" s="270"/>
      <c r="L193" s="271"/>
      <c r="T193" s="270"/>
      <c r="U193" s="271"/>
      <c r="AC193" s="270"/>
      <c r="AD193" s="271"/>
      <c r="AL193" s="270"/>
      <c r="AM193" s="271"/>
      <c r="BI193" s="270"/>
      <c r="BJ193" s="271"/>
      <c r="BK193" s="103"/>
      <c r="BM193" s="71">
        <f t="shared" si="1"/>
        <v>36</v>
      </c>
    </row>
    <row r="194" spans="1:65" ht="15" customHeight="1" x14ac:dyDescent="0.25">
      <c r="A194" s="102"/>
      <c r="K194" s="270"/>
      <c r="L194" s="271"/>
      <c r="T194" s="270"/>
      <c r="U194" s="271"/>
      <c r="AC194" s="270"/>
      <c r="AD194" s="271"/>
      <c r="AL194" s="270"/>
      <c r="AM194" s="271"/>
      <c r="BI194" s="270"/>
      <c r="BJ194" s="271"/>
      <c r="BK194" s="103"/>
      <c r="BM194" s="71">
        <f t="shared" si="1"/>
        <v>37</v>
      </c>
    </row>
    <row r="195" spans="1:65" ht="15" customHeight="1" x14ac:dyDescent="0.25">
      <c r="A195" s="102"/>
      <c r="K195" s="270"/>
      <c r="L195" s="271"/>
      <c r="T195" s="270"/>
      <c r="U195" s="271"/>
      <c r="AC195" s="270"/>
      <c r="AD195" s="271"/>
      <c r="AL195" s="270"/>
      <c r="AM195" s="271"/>
      <c r="BI195" s="270"/>
      <c r="BJ195" s="271"/>
      <c r="BK195" s="103"/>
      <c r="BM195" s="71">
        <f t="shared" si="1"/>
        <v>38</v>
      </c>
    </row>
    <row r="196" spans="1:65" ht="15" customHeight="1" x14ac:dyDescent="0.25">
      <c r="A196" s="102"/>
      <c r="K196" s="270"/>
      <c r="L196" s="271"/>
      <c r="T196" s="270"/>
      <c r="U196" s="271"/>
      <c r="AC196" s="270"/>
      <c r="AD196" s="271"/>
      <c r="AL196" s="270"/>
      <c r="AM196" s="271"/>
      <c r="BI196" s="270"/>
      <c r="BJ196" s="271"/>
      <c r="BK196" s="103"/>
      <c r="BM196" s="71">
        <f t="shared" si="1"/>
        <v>39</v>
      </c>
    </row>
    <row r="197" spans="1:65" ht="15" customHeight="1" x14ac:dyDescent="0.25">
      <c r="A197" s="102"/>
      <c r="K197" s="270"/>
      <c r="L197" s="271"/>
      <c r="T197" s="270"/>
      <c r="U197" s="271"/>
      <c r="AC197" s="270"/>
      <c r="AD197" s="271"/>
      <c r="AL197" s="270"/>
      <c r="AM197" s="271"/>
      <c r="BI197" s="270"/>
      <c r="BJ197" s="271"/>
      <c r="BK197" s="103"/>
      <c r="BM197" s="71">
        <f t="shared" si="1"/>
        <v>40</v>
      </c>
    </row>
    <row r="198" spans="1:65" ht="15" customHeight="1" x14ac:dyDescent="0.25">
      <c r="A198" s="102"/>
      <c r="K198" s="270"/>
      <c r="L198" s="271"/>
      <c r="T198" s="270"/>
      <c r="U198" s="271"/>
      <c r="AC198" s="270"/>
      <c r="AD198" s="271"/>
      <c r="AL198" s="270"/>
      <c r="AM198" s="271"/>
      <c r="BI198" s="270"/>
      <c r="BJ198" s="271"/>
      <c r="BK198" s="103"/>
      <c r="BM198" s="71">
        <f t="shared" si="1"/>
        <v>41</v>
      </c>
    </row>
    <row r="199" spans="1:65" ht="15" customHeight="1" x14ac:dyDescent="0.25">
      <c r="A199" s="102"/>
      <c r="K199" s="270"/>
      <c r="L199" s="271"/>
      <c r="T199" s="270"/>
      <c r="U199" s="271"/>
      <c r="AC199" s="270"/>
      <c r="AD199" s="271"/>
      <c r="AL199" s="270"/>
      <c r="AM199" s="271"/>
      <c r="BI199" s="270"/>
      <c r="BJ199" s="271"/>
      <c r="BK199" s="103"/>
      <c r="BM199" s="71">
        <f t="shared" si="1"/>
        <v>42</v>
      </c>
    </row>
    <row r="200" spans="1:65" ht="15" customHeight="1" x14ac:dyDescent="0.25">
      <c r="A200" s="102"/>
      <c r="K200" s="270"/>
      <c r="L200" s="271"/>
      <c r="T200" s="270"/>
      <c r="U200" s="271"/>
      <c r="AC200" s="270"/>
      <c r="AD200" s="271"/>
      <c r="AL200" s="270"/>
      <c r="AM200" s="271"/>
      <c r="BI200" s="270"/>
      <c r="BJ200" s="271"/>
      <c r="BK200" s="103"/>
      <c r="BM200" s="71">
        <f t="shared" si="1"/>
        <v>43</v>
      </c>
    </row>
    <row r="201" spans="1:65" ht="15" customHeight="1" x14ac:dyDescent="0.25">
      <c r="A201" s="102"/>
      <c r="K201" s="270"/>
      <c r="L201" s="271"/>
      <c r="T201" s="270"/>
      <c r="U201" s="271"/>
      <c r="AC201" s="270"/>
      <c r="AD201" s="271"/>
      <c r="AL201" s="270"/>
      <c r="AM201" s="271"/>
      <c r="BI201" s="270"/>
      <c r="BJ201" s="271"/>
      <c r="BK201" s="103"/>
      <c r="BM201" s="71">
        <f t="shared" si="1"/>
        <v>44</v>
      </c>
    </row>
    <row r="202" spans="1:65" ht="15" customHeight="1" x14ac:dyDescent="0.25">
      <c r="A202" s="102"/>
      <c r="K202" s="270"/>
      <c r="L202" s="271"/>
      <c r="T202" s="270"/>
      <c r="U202" s="271"/>
      <c r="AC202" s="270"/>
      <c r="AD202" s="271"/>
      <c r="AL202" s="270"/>
      <c r="AM202" s="271"/>
      <c r="BI202" s="270"/>
      <c r="BJ202" s="271"/>
      <c r="BK202" s="103"/>
      <c r="BM202" s="71">
        <f t="shared" si="1"/>
        <v>45</v>
      </c>
    </row>
    <row r="203" spans="1:65" ht="15" customHeight="1" x14ac:dyDescent="0.25">
      <c r="A203" s="102"/>
      <c r="K203" s="270"/>
      <c r="L203" s="271"/>
      <c r="T203" s="270"/>
      <c r="U203" s="271"/>
      <c r="AC203" s="270"/>
      <c r="AD203" s="271"/>
      <c r="AL203" s="270"/>
      <c r="AM203" s="271"/>
      <c r="BI203" s="270"/>
      <c r="BJ203" s="271"/>
      <c r="BK203" s="103"/>
      <c r="BM203" s="71">
        <f t="shared" si="1"/>
        <v>46</v>
      </c>
    </row>
    <row r="204" spans="1:65" ht="15" customHeight="1" x14ac:dyDescent="0.25">
      <c r="A204" s="102"/>
      <c r="K204" s="270"/>
      <c r="L204" s="271"/>
      <c r="T204" s="270"/>
      <c r="U204" s="271"/>
      <c r="AC204" s="270"/>
      <c r="AD204" s="271"/>
      <c r="AL204" s="270"/>
      <c r="AM204" s="271"/>
      <c r="BI204" s="270"/>
      <c r="BJ204" s="271"/>
      <c r="BK204" s="103"/>
      <c r="BM204" s="71">
        <f t="shared" si="1"/>
        <v>47</v>
      </c>
    </row>
    <row r="205" spans="1:65" ht="15" customHeight="1" x14ac:dyDescent="0.25">
      <c r="A205" s="102"/>
      <c r="K205" s="270"/>
      <c r="L205" s="271"/>
      <c r="T205" s="270"/>
      <c r="U205" s="271"/>
      <c r="AC205" s="270"/>
      <c r="AD205" s="271"/>
      <c r="AL205" s="270"/>
      <c r="AM205" s="271"/>
      <c r="BI205" s="270"/>
      <c r="BJ205" s="271"/>
      <c r="BK205" s="103"/>
      <c r="BM205" s="71">
        <f t="shared" si="1"/>
        <v>48</v>
      </c>
    </row>
    <row r="206" spans="1:65" ht="15" customHeight="1" x14ac:dyDescent="0.25">
      <c r="A206" s="102"/>
      <c r="K206" s="270"/>
      <c r="L206" s="271"/>
      <c r="T206" s="270"/>
      <c r="U206" s="271"/>
      <c r="AC206" s="270"/>
      <c r="AD206" s="271"/>
      <c r="AL206" s="270"/>
      <c r="AM206" s="271"/>
      <c r="BI206" s="270"/>
      <c r="BJ206" s="271"/>
      <c r="BK206" s="103"/>
      <c r="BM206" s="71">
        <f t="shared" si="1"/>
        <v>49</v>
      </c>
    </row>
    <row r="207" spans="1:65" ht="15" customHeight="1" x14ac:dyDescent="0.25">
      <c r="A207" s="102"/>
      <c r="K207" s="270"/>
      <c r="L207" s="271"/>
      <c r="T207" s="270"/>
      <c r="U207" s="271"/>
      <c r="AC207" s="270"/>
      <c r="AD207" s="271"/>
      <c r="AL207" s="270"/>
      <c r="AM207" s="271"/>
      <c r="BI207" s="270"/>
      <c r="BJ207" s="271"/>
      <c r="BK207" s="103"/>
      <c r="BM207" s="71">
        <f t="shared" si="1"/>
        <v>50</v>
      </c>
    </row>
    <row r="208" spans="1:65" ht="15" customHeight="1" x14ac:dyDescent="0.25">
      <c r="A208" s="102"/>
      <c r="K208" s="270"/>
      <c r="L208" s="271"/>
      <c r="T208" s="270"/>
      <c r="U208" s="271"/>
      <c r="AC208" s="270"/>
      <c r="AD208" s="271"/>
      <c r="AL208" s="270"/>
      <c r="AM208" s="271"/>
      <c r="BI208" s="270"/>
      <c r="BJ208" s="271"/>
      <c r="BK208" s="103"/>
      <c r="BM208" s="71">
        <f t="shared" si="1"/>
        <v>1</v>
      </c>
    </row>
    <row r="209" spans="1:65" ht="15" customHeight="1" x14ac:dyDescent="0.25">
      <c r="A209" s="102"/>
      <c r="K209" s="270"/>
      <c r="L209" s="271"/>
      <c r="T209" s="270"/>
      <c r="U209" s="271"/>
      <c r="AC209" s="270"/>
      <c r="AD209" s="271"/>
      <c r="AL209" s="270"/>
      <c r="AM209" s="271"/>
      <c r="BI209" s="270"/>
      <c r="BJ209" s="271"/>
      <c r="BK209" s="103"/>
      <c r="BM209" s="71">
        <f t="shared" si="1"/>
        <v>2</v>
      </c>
    </row>
    <row r="210" spans="1:65" ht="15" customHeight="1" x14ac:dyDescent="0.25">
      <c r="A210" s="102"/>
      <c r="K210" s="270"/>
      <c r="L210" s="271"/>
      <c r="T210" s="270"/>
      <c r="U210" s="271"/>
      <c r="AC210" s="270"/>
      <c r="AD210" s="271"/>
      <c r="AL210" s="270"/>
      <c r="AM210" s="271"/>
      <c r="BI210" s="270"/>
      <c r="BJ210" s="271"/>
      <c r="BK210" s="103"/>
      <c r="BM210" s="71">
        <f t="shared" si="1"/>
        <v>3</v>
      </c>
    </row>
    <row r="211" spans="1:65" ht="15" customHeight="1" x14ac:dyDescent="0.25">
      <c r="A211" s="102"/>
      <c r="K211" s="270"/>
      <c r="L211" s="271"/>
      <c r="T211" s="270"/>
      <c r="U211" s="271"/>
      <c r="AC211" s="270"/>
      <c r="AD211" s="271"/>
      <c r="AL211" s="270"/>
      <c r="AM211" s="271"/>
      <c r="BI211" s="270"/>
      <c r="BJ211" s="271"/>
      <c r="BK211" s="103"/>
      <c r="BM211" s="71">
        <f t="shared" ref="BM211:BM224" si="2">IF(BM210=50,1,BM210+1)</f>
        <v>4</v>
      </c>
    </row>
    <row r="212" spans="1:65" ht="15" customHeight="1" x14ac:dyDescent="0.25">
      <c r="A212" s="102"/>
      <c r="K212" s="270"/>
      <c r="L212" s="271"/>
      <c r="T212" s="270"/>
      <c r="U212" s="271"/>
      <c r="AC212" s="270"/>
      <c r="AD212" s="271"/>
      <c r="AL212" s="270"/>
      <c r="AM212" s="271"/>
      <c r="BI212" s="270"/>
      <c r="BJ212" s="271"/>
      <c r="BK212" s="103"/>
      <c r="BM212" s="71">
        <f t="shared" si="2"/>
        <v>5</v>
      </c>
    </row>
    <row r="213" spans="1:65" ht="15" customHeight="1" x14ac:dyDescent="0.25">
      <c r="A213" s="102"/>
      <c r="K213" s="270"/>
      <c r="L213" s="271"/>
      <c r="T213" s="270"/>
      <c r="U213" s="271"/>
      <c r="AC213" s="270"/>
      <c r="AD213" s="271"/>
      <c r="AL213" s="270"/>
      <c r="AM213" s="271"/>
      <c r="BI213" s="270"/>
      <c r="BJ213" s="271"/>
      <c r="BK213" s="103"/>
      <c r="BM213" s="71">
        <f t="shared" si="2"/>
        <v>6</v>
      </c>
    </row>
    <row r="214" spans="1:65" ht="15" customHeight="1" x14ac:dyDescent="0.25">
      <c r="A214" s="102"/>
      <c r="K214" s="270"/>
      <c r="L214" s="271"/>
      <c r="T214" s="270"/>
      <c r="U214" s="271"/>
      <c r="AC214" s="270"/>
      <c r="AD214" s="271"/>
      <c r="AL214" s="270"/>
      <c r="AM214" s="271"/>
      <c r="BI214" s="270"/>
      <c r="BJ214" s="271"/>
      <c r="BK214" s="103"/>
      <c r="BM214" s="71">
        <f t="shared" si="2"/>
        <v>7</v>
      </c>
    </row>
    <row r="215" spans="1:65" ht="15" customHeight="1" x14ac:dyDescent="0.25">
      <c r="A215" s="102"/>
      <c r="K215" s="270"/>
      <c r="L215" s="271"/>
      <c r="T215" s="270"/>
      <c r="U215" s="271"/>
      <c r="AC215" s="270"/>
      <c r="AD215" s="271"/>
      <c r="AL215" s="270"/>
      <c r="AM215" s="271"/>
      <c r="BI215" s="270"/>
      <c r="BJ215" s="271"/>
      <c r="BK215" s="103"/>
      <c r="BM215" s="71">
        <f t="shared" si="2"/>
        <v>8</v>
      </c>
    </row>
    <row r="216" spans="1:65" ht="15" customHeight="1" x14ac:dyDescent="0.25">
      <c r="A216" s="102"/>
      <c r="K216" s="270"/>
      <c r="L216" s="271"/>
      <c r="T216" s="270"/>
      <c r="U216" s="271"/>
      <c r="AC216" s="270"/>
      <c r="AD216" s="271"/>
      <c r="AL216" s="270"/>
      <c r="AM216" s="271"/>
      <c r="BI216" s="270"/>
      <c r="BJ216" s="271"/>
      <c r="BK216" s="103"/>
      <c r="BM216" s="71">
        <f t="shared" si="2"/>
        <v>9</v>
      </c>
    </row>
    <row r="217" spans="1:65" ht="15" customHeight="1" x14ac:dyDescent="0.25">
      <c r="A217" s="102"/>
      <c r="K217" s="270"/>
      <c r="L217" s="271"/>
      <c r="T217" s="270"/>
      <c r="U217" s="271"/>
      <c r="AC217" s="270"/>
      <c r="AD217" s="271"/>
      <c r="AL217" s="270"/>
      <c r="AM217" s="271"/>
      <c r="BI217" s="270"/>
      <c r="BJ217" s="271"/>
      <c r="BK217" s="103"/>
      <c r="BM217" s="71">
        <f t="shared" si="2"/>
        <v>10</v>
      </c>
    </row>
    <row r="218" spans="1:65" ht="15" customHeight="1" x14ac:dyDescent="0.25">
      <c r="A218" s="102"/>
      <c r="K218" s="270"/>
      <c r="L218" s="271"/>
      <c r="T218" s="270"/>
      <c r="U218" s="271"/>
      <c r="AC218" s="270"/>
      <c r="AD218" s="271"/>
      <c r="AL218" s="270"/>
      <c r="AM218" s="271"/>
      <c r="BI218" s="270"/>
      <c r="BJ218" s="271"/>
      <c r="BK218" s="103"/>
      <c r="BM218" s="71">
        <f t="shared" si="2"/>
        <v>11</v>
      </c>
    </row>
    <row r="219" spans="1:65" ht="15" customHeight="1" x14ac:dyDescent="0.25">
      <c r="A219" s="102"/>
      <c r="K219" s="270"/>
      <c r="L219" s="271"/>
      <c r="T219" s="270"/>
      <c r="U219" s="271"/>
      <c r="AC219" s="270"/>
      <c r="AD219" s="271"/>
      <c r="AL219" s="270"/>
      <c r="AM219" s="271"/>
      <c r="BI219" s="270"/>
      <c r="BJ219" s="271"/>
      <c r="BK219" s="103"/>
      <c r="BM219" s="71">
        <f t="shared" si="2"/>
        <v>12</v>
      </c>
    </row>
    <row r="220" spans="1:65" ht="15" customHeight="1" x14ac:dyDescent="0.25">
      <c r="A220" s="102"/>
      <c r="K220" s="270"/>
      <c r="L220" s="271"/>
      <c r="T220" s="270"/>
      <c r="U220" s="271"/>
      <c r="AC220" s="270"/>
      <c r="AD220" s="271"/>
      <c r="AL220" s="270"/>
      <c r="AM220" s="271"/>
      <c r="BI220" s="270"/>
      <c r="BJ220" s="271"/>
      <c r="BK220" s="103"/>
      <c r="BM220" s="71">
        <f t="shared" si="2"/>
        <v>13</v>
      </c>
    </row>
    <row r="221" spans="1:65" ht="15" customHeight="1" x14ac:dyDescent="0.25">
      <c r="A221" s="102"/>
      <c r="K221" s="270"/>
      <c r="L221" s="271"/>
      <c r="T221" s="270"/>
      <c r="U221" s="271"/>
      <c r="AC221" s="270"/>
      <c r="AD221" s="271"/>
      <c r="AL221" s="270"/>
      <c r="AM221" s="271"/>
      <c r="BI221" s="270"/>
      <c r="BJ221" s="271"/>
      <c r="BK221" s="103"/>
      <c r="BM221" s="71">
        <f t="shared" si="2"/>
        <v>14</v>
      </c>
    </row>
    <row r="222" spans="1:65" ht="15" customHeight="1" x14ac:dyDescent="0.25">
      <c r="A222" s="102"/>
      <c r="K222" s="270"/>
      <c r="L222" s="271"/>
      <c r="T222" s="270"/>
      <c r="U222" s="271"/>
      <c r="AC222" s="270"/>
      <c r="AD222" s="271"/>
      <c r="AL222" s="270"/>
      <c r="AM222" s="271"/>
      <c r="BI222" s="270"/>
      <c r="BJ222" s="271"/>
      <c r="BK222" s="103"/>
      <c r="BM222" s="71">
        <f t="shared" si="2"/>
        <v>15</v>
      </c>
    </row>
    <row r="223" spans="1:65" ht="15" customHeight="1" x14ac:dyDescent="0.25">
      <c r="A223" s="102"/>
      <c r="K223" s="270"/>
      <c r="L223" s="271"/>
      <c r="T223" s="270"/>
      <c r="U223" s="271"/>
      <c r="AC223" s="270"/>
      <c r="AD223" s="271"/>
      <c r="AL223" s="270"/>
      <c r="AM223" s="271"/>
      <c r="BI223" s="270"/>
      <c r="BJ223" s="271"/>
      <c r="BK223" s="103"/>
      <c r="BM223" s="71">
        <f t="shared" si="2"/>
        <v>16</v>
      </c>
    </row>
    <row r="224" spans="1:65" ht="15" customHeight="1" x14ac:dyDescent="0.25">
      <c r="A224" s="102"/>
      <c r="K224" s="270"/>
      <c r="L224" s="271"/>
      <c r="T224" s="270"/>
      <c r="U224" s="271"/>
      <c r="AC224" s="270"/>
      <c r="AD224" s="271"/>
      <c r="AL224" s="270"/>
      <c r="AM224" s="271"/>
      <c r="BI224" s="270"/>
      <c r="BJ224" s="271"/>
      <c r="BK224" s="103"/>
      <c r="BM224" s="71">
        <f t="shared" si="2"/>
        <v>17</v>
      </c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15" orientation="landscape" horizontalDpi="300" verticalDpi="300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711E-3423-4718-BF65-44B8847DD552}">
  <sheetPr>
    <tabColor rgb="FFCC00CC"/>
    <pageSetUpPr fitToPage="1"/>
  </sheetPr>
  <dimension ref="A1:BK13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9"/>
      <c r="K1" s="11" t="s">
        <v>2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9"/>
      <c r="W1" s="1" t="str">
        <f>IF(表紙!W1="","",表紙!W1)</f>
        <v>基本設計書</v>
      </c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9"/>
      <c r="AP1" s="11" t="s">
        <v>3</v>
      </c>
      <c r="AQ1" s="10"/>
      <c r="AR1" s="10"/>
      <c r="AS1" s="9"/>
      <c r="AT1" s="11" t="s">
        <v>4</v>
      </c>
      <c r="AU1" s="10"/>
      <c r="AV1" s="10"/>
      <c r="AW1" s="10"/>
      <c r="AX1" s="9"/>
      <c r="AY1" s="11" t="s">
        <v>5</v>
      </c>
      <c r="AZ1" s="10"/>
      <c r="BA1" s="10"/>
      <c r="BB1" s="9"/>
      <c r="BC1" s="11" t="s">
        <v>6</v>
      </c>
      <c r="BD1" s="10"/>
      <c r="BE1" s="10"/>
      <c r="BF1" s="10"/>
      <c r="BG1" s="9"/>
      <c r="BH1" s="11" t="s">
        <v>7</v>
      </c>
      <c r="BI1" s="10"/>
      <c r="BJ1" s="10"/>
      <c r="BK1" s="9"/>
    </row>
    <row r="2" spans="1:63" ht="15" customHeight="1" x14ac:dyDescent="0.25">
      <c r="A2" s="7" t="str">
        <f>IF(表紙!A2="","",表紙!A2)</f>
        <v>ignica POS</v>
      </c>
      <c r="B2" s="6"/>
      <c r="C2" s="6"/>
      <c r="D2" s="6"/>
      <c r="E2" s="6"/>
      <c r="F2" s="6"/>
      <c r="G2" s="6"/>
      <c r="H2" s="6"/>
      <c r="I2" s="6"/>
      <c r="J2" s="5"/>
      <c r="K2" s="7" t="str">
        <f>IF(表紙!K2="","",表紙!K2)</f>
        <v>POSサーバー</v>
      </c>
      <c r="L2" s="6"/>
      <c r="M2" s="6"/>
      <c r="N2" s="6"/>
      <c r="O2" s="6"/>
      <c r="P2" s="6"/>
      <c r="Q2" s="6"/>
      <c r="R2" s="6"/>
      <c r="S2" s="6"/>
      <c r="T2" s="6"/>
      <c r="U2" s="6"/>
      <c r="V2" s="5"/>
      <c r="W2" s="40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2"/>
      <c r="AP2" s="7" t="str">
        <f>IF(表紙!AP2="","",表紙!AP2)</f>
        <v>DuNT</v>
      </c>
      <c r="AQ2" s="6"/>
      <c r="AR2" s="6"/>
      <c r="AS2" s="5"/>
      <c r="AT2" s="46">
        <f>IF(表紙!AT2="","",表紙!AT2)</f>
        <v>45391</v>
      </c>
      <c r="AU2" s="47"/>
      <c r="AV2" s="47"/>
      <c r="AW2" s="47"/>
      <c r="AX2" s="48"/>
      <c r="AY2" s="7" t="str">
        <f>IF(表紙!AY2="","",表紙!AY2)</f>
        <v>AnhTTP</v>
      </c>
      <c r="AZ2" s="6"/>
      <c r="BA2" s="6"/>
      <c r="BB2" s="5"/>
      <c r="BC2" s="46">
        <f>IF(表紙!BC2="","",表紙!BC2)</f>
        <v>45637</v>
      </c>
      <c r="BD2" s="47"/>
      <c r="BE2" s="47"/>
      <c r="BF2" s="47"/>
      <c r="BG2" s="48"/>
      <c r="BH2" s="7">
        <f>IF(表紙!BH2="","",表紙!BH2)</f>
        <v>0.74</v>
      </c>
      <c r="BI2" s="6"/>
      <c r="BJ2" s="6"/>
      <c r="BK2" s="5"/>
    </row>
    <row r="3" spans="1:63" ht="15" customHeight="1" x14ac:dyDescent="0.25">
      <c r="A3" s="4"/>
      <c r="B3" s="3"/>
      <c r="C3" s="3"/>
      <c r="D3" s="3"/>
      <c r="E3" s="3"/>
      <c r="F3" s="3"/>
      <c r="G3" s="3"/>
      <c r="H3" s="3"/>
      <c r="I3" s="3"/>
      <c r="J3" s="2"/>
      <c r="K3" s="4"/>
      <c r="L3" s="3"/>
      <c r="M3" s="3"/>
      <c r="N3" s="3"/>
      <c r="O3" s="3"/>
      <c r="P3" s="3"/>
      <c r="Q3" s="3"/>
      <c r="R3" s="3"/>
      <c r="S3" s="3"/>
      <c r="T3" s="3"/>
      <c r="U3" s="3"/>
      <c r="V3" s="2"/>
      <c r="W3" s="43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5"/>
      <c r="AP3" s="4"/>
      <c r="AQ3" s="3"/>
      <c r="AR3" s="3"/>
      <c r="AS3" s="2"/>
      <c r="AT3" s="49"/>
      <c r="AU3" s="50"/>
      <c r="AV3" s="50"/>
      <c r="AW3" s="50"/>
      <c r="AX3" s="51"/>
      <c r="AY3" s="4"/>
      <c r="AZ3" s="3"/>
      <c r="BA3" s="3"/>
      <c r="BB3" s="2"/>
      <c r="BC3" s="49"/>
      <c r="BD3" s="50"/>
      <c r="BE3" s="50"/>
      <c r="BF3" s="50"/>
      <c r="BG3" s="51"/>
      <c r="BH3" s="4"/>
      <c r="BI3" s="3"/>
      <c r="BJ3" s="3"/>
      <c r="BK3" s="2"/>
    </row>
    <row r="4" spans="1:63" ht="24.95" customHeight="1" x14ac:dyDescent="0.25">
      <c r="A4" s="11" t="s">
        <v>1</v>
      </c>
      <c r="B4" s="10"/>
      <c r="C4" s="10"/>
      <c r="D4" s="10"/>
      <c r="E4" s="10"/>
      <c r="F4" s="10"/>
      <c r="G4" s="9"/>
      <c r="H4" s="14" t="str">
        <f>IF(表紙!H4="","",表紙!H4)</f>
        <v>00_共通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2"/>
      <c r="U4" s="11" t="s">
        <v>8</v>
      </c>
      <c r="V4" s="10"/>
      <c r="W4" s="10"/>
      <c r="X4" s="10"/>
      <c r="Y4" s="9"/>
      <c r="Z4" s="14" t="str">
        <f>IF(表紙!Z4="","",表紙!Z4)</f>
        <v>概要設計</v>
      </c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2"/>
      <c r="AP4" s="14" t="str">
        <f t="array" aca="1" ref="AP4" ca="1">RIGHT(CELL("filename",$A$1),LEN(CELL("filename",$A$1))-FIND("]",CELL("filename",$A$1)))</f>
        <v>画面共通</v>
      </c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2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7" t="s">
        <v>17</v>
      </c>
      <c r="BK7" s="18"/>
    </row>
    <row r="8" spans="1:63" ht="15" customHeight="1" x14ac:dyDescent="0.25">
      <c r="A8" s="15"/>
      <c r="C8" s="23" t="s">
        <v>94</v>
      </c>
      <c r="BK8" s="18"/>
    </row>
    <row r="9" spans="1:63" ht="15" customHeight="1" x14ac:dyDescent="0.25">
      <c r="A9" s="15"/>
      <c r="C9" s="23" t="s">
        <v>83</v>
      </c>
      <c r="BK9" s="18"/>
    </row>
    <row r="10" spans="1:63" ht="15" customHeight="1" x14ac:dyDescent="0.25">
      <c r="A10" s="15"/>
      <c r="D10" t="s">
        <v>84</v>
      </c>
      <c r="L10" s="26" t="s">
        <v>218</v>
      </c>
      <c r="BK10" s="18"/>
    </row>
    <row r="11" spans="1:63" ht="15" customHeight="1" x14ac:dyDescent="0.25">
      <c r="A11" s="15"/>
      <c r="D11" t="s">
        <v>95</v>
      </c>
      <c r="BK11" s="18"/>
    </row>
    <row r="12" spans="1:63" ht="15" customHeight="1" x14ac:dyDescent="0.25">
      <c r="A12" s="15"/>
      <c r="B12" t="s">
        <v>18</v>
      </c>
      <c r="BK12" s="18"/>
    </row>
    <row r="13" spans="1:63" ht="15" customHeight="1" x14ac:dyDescent="0.25">
      <c r="A13" s="15"/>
      <c r="C13" s="23" t="s">
        <v>19</v>
      </c>
      <c r="BK13" s="18"/>
    </row>
    <row r="14" spans="1:63" ht="15" customHeight="1" x14ac:dyDescent="0.25">
      <c r="A14" s="15"/>
      <c r="C14" s="23" t="s">
        <v>96</v>
      </c>
      <c r="BK14" s="18"/>
    </row>
    <row r="15" spans="1:63" ht="15" customHeight="1" x14ac:dyDescent="0.25">
      <c r="A15" s="15"/>
      <c r="C15" s="23" t="s">
        <v>20</v>
      </c>
      <c r="BK15" s="18"/>
    </row>
    <row r="16" spans="1:63" ht="15" customHeight="1" x14ac:dyDescent="0.25">
      <c r="A16" s="15"/>
      <c r="C16" s="34" t="s">
        <v>163</v>
      </c>
      <c r="BK16" s="18"/>
    </row>
    <row r="17" spans="1:63" ht="15" customHeight="1" x14ac:dyDescent="0.25">
      <c r="A17" s="15"/>
      <c r="C17" s="23" t="s">
        <v>21</v>
      </c>
      <c r="BK17" s="18"/>
    </row>
    <row r="18" spans="1:63" ht="15" customHeight="1" x14ac:dyDescent="0.25">
      <c r="A18" s="15"/>
      <c r="C18" s="23" t="s">
        <v>164</v>
      </c>
      <c r="BK18" s="18"/>
    </row>
    <row r="19" spans="1:63" ht="15" customHeight="1" x14ac:dyDescent="0.25">
      <c r="A19" s="15"/>
      <c r="C19" s="24" t="s">
        <v>97</v>
      </c>
      <c r="BK19" s="18"/>
    </row>
    <row r="20" spans="1:63" ht="15" customHeight="1" x14ac:dyDescent="0.25">
      <c r="A20" s="15"/>
      <c r="C20" s="23" t="s">
        <v>98</v>
      </c>
      <c r="BK20" s="18"/>
    </row>
    <row r="21" spans="1:63" ht="15" customHeight="1" x14ac:dyDescent="0.25">
      <c r="A21" s="15"/>
      <c r="C21" s="23" t="s">
        <v>77</v>
      </c>
      <c r="BK21" s="18"/>
    </row>
    <row r="22" spans="1:63" ht="15" customHeight="1" x14ac:dyDescent="0.25">
      <c r="A22" s="15"/>
      <c r="C22" s="23" t="s">
        <v>78</v>
      </c>
      <c r="BK22" s="18"/>
    </row>
    <row r="23" spans="1:63" ht="15" customHeight="1" x14ac:dyDescent="0.25">
      <c r="A23" s="15"/>
      <c r="C23" s="25" t="s">
        <v>82</v>
      </c>
      <c r="BK23" s="18"/>
    </row>
    <row r="24" spans="1:63" ht="15" customHeight="1" x14ac:dyDescent="0.25">
      <c r="A24" s="15"/>
      <c r="C24" s="27" t="s">
        <v>101</v>
      </c>
      <c r="D24" s="26"/>
      <c r="BK24" s="18"/>
    </row>
    <row r="25" spans="1:63" ht="15" customHeight="1" x14ac:dyDescent="0.25">
      <c r="A25" s="15"/>
      <c r="C25" s="23" t="s">
        <v>85</v>
      </c>
      <c r="D25" s="26"/>
      <c r="BK25" s="18"/>
    </row>
    <row r="26" spans="1:63" ht="15" customHeight="1" x14ac:dyDescent="0.25">
      <c r="A26" s="15"/>
      <c r="C26" s="36" t="s">
        <v>160</v>
      </c>
      <c r="D26" s="26"/>
      <c r="BK26" s="18"/>
    </row>
    <row r="27" spans="1:63" ht="15" customHeight="1" x14ac:dyDescent="0.25">
      <c r="A27" s="15"/>
      <c r="C27" s="36" t="s">
        <v>161</v>
      </c>
      <c r="D27" s="26"/>
      <c r="BK27" s="18"/>
    </row>
    <row r="28" spans="1:63" ht="15" customHeight="1" x14ac:dyDescent="0.25">
      <c r="A28" s="15"/>
      <c r="C28" s="36" t="s">
        <v>159</v>
      </c>
      <c r="D28" s="26"/>
      <c r="BK28" s="18"/>
    </row>
    <row r="29" spans="1:63" ht="15" customHeight="1" x14ac:dyDescent="0.25">
      <c r="A29" s="15"/>
      <c r="C29" s="23" t="s">
        <v>86</v>
      </c>
      <c r="D29" s="26"/>
      <c r="BK29" s="18"/>
    </row>
    <row r="30" spans="1:63" ht="15" customHeight="1" x14ac:dyDescent="0.25">
      <c r="A30" s="15"/>
      <c r="C30" s="23" t="s">
        <v>87</v>
      </c>
      <c r="BK30" s="18"/>
    </row>
    <row r="31" spans="1:63" ht="15" customHeight="1" x14ac:dyDescent="0.25">
      <c r="A31" s="15"/>
      <c r="C31" s="23"/>
      <c r="D31" s="23" t="s">
        <v>88</v>
      </c>
      <c r="BK31" s="18"/>
    </row>
    <row r="32" spans="1:63" ht="15" customHeight="1" x14ac:dyDescent="0.25">
      <c r="A32" s="15"/>
      <c r="C32" s="23"/>
      <c r="D32" s="23" t="s">
        <v>91</v>
      </c>
      <c r="BK32" s="18"/>
    </row>
    <row r="33" spans="1:63" ht="15" customHeight="1" x14ac:dyDescent="0.25">
      <c r="A33" s="15"/>
      <c r="C33" s="28"/>
      <c r="D33" s="27"/>
      <c r="F33" s="29" t="s">
        <v>89</v>
      </c>
      <c r="G33" s="29"/>
      <c r="H33" s="29"/>
      <c r="BK33" s="18"/>
    </row>
    <row r="34" spans="1:63" ht="15" customHeight="1" x14ac:dyDescent="0.25">
      <c r="A34" s="15"/>
      <c r="C34" s="28"/>
      <c r="D34" s="27"/>
      <c r="F34" s="29"/>
      <c r="G34" s="29"/>
      <c r="H34" s="29"/>
      <c r="BK34" s="18"/>
    </row>
    <row r="35" spans="1:63" ht="15" customHeight="1" x14ac:dyDescent="0.25">
      <c r="A35" s="15"/>
      <c r="C35" s="28"/>
      <c r="D35" s="27"/>
      <c r="F35" s="29" t="s">
        <v>90</v>
      </c>
      <c r="G35" s="29"/>
      <c r="H35" s="29"/>
      <c r="BK35" s="18"/>
    </row>
    <row r="36" spans="1:63" ht="15" customHeight="1" x14ac:dyDescent="0.25">
      <c r="A36" s="15"/>
      <c r="C36" s="28"/>
      <c r="D36" s="23" t="s">
        <v>92</v>
      </c>
      <c r="BK36" s="18"/>
    </row>
    <row r="37" spans="1:63" ht="15" customHeight="1" x14ac:dyDescent="0.25">
      <c r="A37" s="15"/>
      <c r="C37" s="27" t="s">
        <v>99</v>
      </c>
      <c r="D37" s="26"/>
      <c r="BK37" s="18"/>
    </row>
    <row r="38" spans="1:63" ht="15" customHeight="1" x14ac:dyDescent="0.25">
      <c r="A38" s="15"/>
      <c r="BK38" s="18"/>
    </row>
    <row r="39" spans="1:63" ht="15" customHeight="1" x14ac:dyDescent="0.25">
      <c r="A39" s="15"/>
      <c r="B39" s="36" t="s">
        <v>151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BK39" s="18"/>
    </row>
    <row r="40" spans="1:63" ht="15" customHeight="1" x14ac:dyDescent="0.25">
      <c r="A40" s="15"/>
      <c r="B40" s="37"/>
      <c r="C40" s="36" t="s">
        <v>152</v>
      </c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BK40" s="18"/>
    </row>
    <row r="41" spans="1:63" ht="15" customHeight="1" x14ac:dyDescent="0.25">
      <c r="A41" s="15"/>
      <c r="B41" s="37"/>
      <c r="C41" s="36" t="s">
        <v>153</v>
      </c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BK41" s="18"/>
    </row>
    <row r="42" spans="1:63" ht="15" customHeight="1" x14ac:dyDescent="0.25">
      <c r="A42" s="15"/>
      <c r="B42" s="37"/>
      <c r="C42" s="36" t="s">
        <v>154</v>
      </c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BK42" s="18"/>
    </row>
    <row r="43" spans="1:63" ht="15" customHeight="1" x14ac:dyDescent="0.25">
      <c r="A43" s="15"/>
      <c r="B43" s="37"/>
      <c r="C43" s="36" t="s">
        <v>158</v>
      </c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BK43" s="18"/>
    </row>
    <row r="44" spans="1:63" ht="15" customHeight="1" x14ac:dyDescent="0.25">
      <c r="A44" s="15"/>
      <c r="B44" s="37"/>
      <c r="C44" s="36" t="s">
        <v>155</v>
      </c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BK44" s="18"/>
    </row>
    <row r="45" spans="1:63" ht="15" customHeight="1" x14ac:dyDescent="0.25">
      <c r="A45" s="15"/>
      <c r="B45" s="37"/>
      <c r="C45" s="36" t="s">
        <v>156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BK45" s="18"/>
    </row>
    <row r="46" spans="1:63" ht="15" customHeight="1" x14ac:dyDescent="0.25">
      <c r="A46" s="15"/>
      <c r="B46" s="37"/>
      <c r="C46" s="36" t="s">
        <v>157</v>
      </c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BK46" s="18"/>
    </row>
    <row r="47" spans="1:63" ht="15" customHeight="1" x14ac:dyDescent="0.25">
      <c r="A47" s="15"/>
      <c r="BK47" s="18"/>
    </row>
    <row r="48" spans="1:63" ht="15" customHeight="1" x14ac:dyDescent="0.25">
      <c r="A48" s="15"/>
      <c r="BK48" s="18"/>
    </row>
    <row r="49" spans="1:63" ht="15" customHeight="1" x14ac:dyDescent="0.25">
      <c r="A49" s="15"/>
      <c r="B49" s="24" t="s">
        <v>162</v>
      </c>
      <c r="BK49" s="18"/>
    </row>
    <row r="50" spans="1:63" ht="15" customHeight="1" x14ac:dyDescent="0.25">
      <c r="A50" s="15"/>
      <c r="C50" s="24" t="s">
        <v>25</v>
      </c>
      <c r="BK50" s="18"/>
    </row>
    <row r="51" spans="1:63" ht="15" customHeight="1" x14ac:dyDescent="0.25">
      <c r="A51" s="15"/>
      <c r="C51" s="24" t="s">
        <v>26</v>
      </c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53" s="24" t="s">
        <v>24</v>
      </c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5"/>
      <c r="C55" t="s">
        <v>51</v>
      </c>
      <c r="BK55" s="18"/>
    </row>
    <row r="56" spans="1:63" ht="15" customHeight="1" x14ac:dyDescent="0.25">
      <c r="A56" s="15"/>
      <c r="D56" t="s">
        <v>76</v>
      </c>
      <c r="BK56" s="18"/>
    </row>
    <row r="57" spans="1:63" ht="15" customHeight="1" x14ac:dyDescent="0.25">
      <c r="A57" s="15"/>
      <c r="D57" t="s">
        <v>52</v>
      </c>
      <c r="BK57" s="18"/>
    </row>
    <row r="58" spans="1:63" ht="15" customHeight="1" x14ac:dyDescent="0.25">
      <c r="A58" s="15"/>
      <c r="D58" t="s">
        <v>80</v>
      </c>
      <c r="BK58" s="18"/>
    </row>
    <row r="59" spans="1:63" ht="15" customHeight="1" x14ac:dyDescent="0.25">
      <c r="A59" s="15"/>
      <c r="C59" t="s">
        <v>58</v>
      </c>
      <c r="BK59" s="18"/>
    </row>
    <row r="60" spans="1:63" ht="15" customHeight="1" x14ac:dyDescent="0.25">
      <c r="A60" s="15"/>
      <c r="D60" t="s">
        <v>53</v>
      </c>
      <c r="BK60" s="18"/>
    </row>
    <row r="61" spans="1:63" ht="15" customHeight="1" x14ac:dyDescent="0.25">
      <c r="A61" s="15"/>
      <c r="D61" t="s">
        <v>54</v>
      </c>
      <c r="BK61" s="18"/>
    </row>
    <row r="62" spans="1:63" ht="15" customHeight="1" x14ac:dyDescent="0.25">
      <c r="A62" s="15"/>
      <c r="D62" t="s">
        <v>59</v>
      </c>
      <c r="BK62" s="18"/>
    </row>
    <row r="63" spans="1:63" ht="15" customHeight="1" x14ac:dyDescent="0.25">
      <c r="A63" s="15"/>
      <c r="D63" t="s">
        <v>60</v>
      </c>
      <c r="BK63" s="18"/>
    </row>
    <row r="64" spans="1:63" ht="15" customHeight="1" x14ac:dyDescent="0.25">
      <c r="A64" s="15"/>
      <c r="D64" s="24" t="s">
        <v>66</v>
      </c>
      <c r="BK64" s="18"/>
    </row>
    <row r="65" spans="1:63" ht="15" customHeight="1" x14ac:dyDescent="0.25">
      <c r="A65" s="15"/>
      <c r="D65" s="24" t="s">
        <v>67</v>
      </c>
      <c r="BK65" s="18"/>
    </row>
    <row r="66" spans="1:63" ht="15" customHeight="1" x14ac:dyDescent="0.25">
      <c r="A66" s="15"/>
      <c r="BK66" s="18"/>
    </row>
    <row r="67" spans="1:63" ht="15" customHeight="1" x14ac:dyDescent="0.25">
      <c r="A67" s="15"/>
      <c r="C67" t="s">
        <v>62</v>
      </c>
      <c r="BK67" s="18"/>
    </row>
    <row r="68" spans="1:63" ht="15" customHeight="1" x14ac:dyDescent="0.25">
      <c r="A68" s="15"/>
      <c r="D68" t="s">
        <v>26</v>
      </c>
      <c r="BK68" s="18"/>
    </row>
    <row r="69" spans="1:63" ht="15" customHeight="1" x14ac:dyDescent="0.25">
      <c r="A69" s="15"/>
      <c r="D69" t="s">
        <v>63</v>
      </c>
      <c r="BK69" s="18"/>
    </row>
    <row r="70" spans="1:63" ht="15" customHeight="1" x14ac:dyDescent="0.25">
      <c r="A70" s="15"/>
      <c r="D70" t="s">
        <v>68</v>
      </c>
      <c r="BK70" s="18"/>
    </row>
    <row r="71" spans="1:63" ht="15" customHeight="1" x14ac:dyDescent="0.25">
      <c r="A71" s="15"/>
      <c r="D71" t="s">
        <v>61</v>
      </c>
      <c r="BK71" s="18"/>
    </row>
    <row r="72" spans="1:63" ht="15" customHeight="1" x14ac:dyDescent="0.25">
      <c r="A72" s="15"/>
      <c r="BK72" s="18"/>
    </row>
    <row r="73" spans="1:63" ht="15" customHeight="1" x14ac:dyDescent="0.25">
      <c r="A73" s="15"/>
      <c r="C73" t="s">
        <v>57</v>
      </c>
      <c r="BK73" s="18"/>
    </row>
    <row r="74" spans="1:63" ht="15" customHeight="1" x14ac:dyDescent="0.25">
      <c r="A74" s="15"/>
      <c r="D74" s="30" t="s">
        <v>55</v>
      </c>
      <c r="BK74" s="18"/>
    </row>
    <row r="75" spans="1:63" ht="15" customHeight="1" x14ac:dyDescent="0.25">
      <c r="A75" s="15"/>
      <c r="D75" s="30" t="s">
        <v>56</v>
      </c>
      <c r="BK75" s="18"/>
    </row>
    <row r="76" spans="1:63" ht="15" customHeight="1" x14ac:dyDescent="0.25">
      <c r="A76" s="15"/>
      <c r="BK76" s="18"/>
    </row>
    <row r="77" spans="1:63" ht="15" customHeight="1" x14ac:dyDescent="0.25">
      <c r="A77" s="15"/>
      <c r="C77" t="s">
        <v>64</v>
      </c>
      <c r="BK77" s="18"/>
    </row>
    <row r="78" spans="1:63" ht="15" customHeight="1" x14ac:dyDescent="0.25">
      <c r="A78" s="15"/>
      <c r="D78" s="35" t="s">
        <v>22</v>
      </c>
      <c r="BK78" s="18"/>
    </row>
    <row r="79" spans="1:63" ht="15" customHeight="1" x14ac:dyDescent="0.25">
      <c r="A79" s="15"/>
      <c r="D79" s="24" t="s">
        <v>65</v>
      </c>
      <c r="BK79" s="18"/>
    </row>
    <row r="80" spans="1:63" ht="15" customHeight="1" x14ac:dyDescent="0.25">
      <c r="A80" s="15"/>
      <c r="D80" s="24" t="s">
        <v>23</v>
      </c>
      <c r="BK80" s="18"/>
    </row>
    <row r="81" spans="1:63" ht="15" customHeight="1" x14ac:dyDescent="0.25">
      <c r="A81" s="15"/>
      <c r="D81" s="23" t="s">
        <v>100</v>
      </c>
      <c r="BK81" s="18"/>
    </row>
    <row r="82" spans="1:63" ht="15" customHeight="1" x14ac:dyDescent="0.25">
      <c r="A82" s="15"/>
      <c r="D82" s="23" t="s">
        <v>79</v>
      </c>
      <c r="BK82" s="18"/>
    </row>
    <row r="83" spans="1:63" ht="15" customHeight="1" x14ac:dyDescent="0.25">
      <c r="A83" s="15"/>
      <c r="D83" s="23" t="s">
        <v>81</v>
      </c>
      <c r="BK83" s="18"/>
    </row>
    <row r="84" spans="1:63" ht="15" customHeight="1" x14ac:dyDescent="0.25">
      <c r="A84" s="15"/>
      <c r="C84" t="s">
        <v>70</v>
      </c>
      <c r="BK84" s="18"/>
    </row>
    <row r="85" spans="1:63" ht="15" customHeight="1" x14ac:dyDescent="0.25">
      <c r="A85" s="15"/>
      <c r="D85" s="23" t="s">
        <v>69</v>
      </c>
      <c r="BK85" s="18"/>
    </row>
    <row r="86" spans="1:63" ht="15" customHeight="1" x14ac:dyDescent="0.25">
      <c r="A86" s="15"/>
      <c r="BK86" s="18"/>
    </row>
    <row r="87" spans="1:63" ht="15" customHeight="1" x14ac:dyDescent="0.25">
      <c r="A87" s="15"/>
      <c r="B87" s="26" t="s">
        <v>106</v>
      </c>
      <c r="C87" s="26"/>
      <c r="D87" s="26"/>
      <c r="E87" s="26"/>
      <c r="F87" s="26"/>
      <c r="BK87" s="18"/>
    </row>
    <row r="88" spans="1:63" ht="15" customHeight="1" x14ac:dyDescent="0.25">
      <c r="A88" s="15"/>
      <c r="C88" s="26"/>
      <c r="D88" s="27" t="s">
        <v>107</v>
      </c>
      <c r="E88" s="26"/>
      <c r="F88" s="26"/>
      <c r="BK88" s="18"/>
    </row>
    <row r="89" spans="1:63" ht="15" customHeight="1" x14ac:dyDescent="0.25">
      <c r="A89" s="15"/>
      <c r="C89" s="26"/>
      <c r="D89" s="26"/>
      <c r="E89" s="27" t="s">
        <v>108</v>
      </c>
      <c r="F89" s="26"/>
      <c r="BK89" s="18"/>
    </row>
    <row r="90" spans="1:63" ht="15" customHeight="1" x14ac:dyDescent="0.25">
      <c r="A90" s="15"/>
      <c r="C90" s="26"/>
      <c r="D90" s="26"/>
      <c r="E90" s="27"/>
      <c r="F90" s="31" t="s">
        <v>109</v>
      </c>
      <c r="BK90" s="18"/>
    </row>
    <row r="91" spans="1:63" ht="15" customHeight="1" x14ac:dyDescent="0.25">
      <c r="A91" s="15"/>
      <c r="C91" s="26"/>
      <c r="D91" s="26"/>
      <c r="E91" s="27"/>
      <c r="F91" s="31" t="s">
        <v>110</v>
      </c>
      <c r="BK91" s="18"/>
    </row>
    <row r="92" spans="1:63" ht="15" customHeight="1" x14ac:dyDescent="0.25">
      <c r="A92" s="15"/>
      <c r="C92" s="26"/>
      <c r="D92" s="26"/>
      <c r="E92" s="27"/>
      <c r="F92" s="31"/>
      <c r="G92" s="25" t="s">
        <v>116</v>
      </c>
      <c r="BK92" s="18"/>
    </row>
    <row r="93" spans="1:63" ht="15" customHeight="1" x14ac:dyDescent="0.25">
      <c r="A93" s="15"/>
      <c r="C93" s="26"/>
      <c r="D93" s="26"/>
      <c r="E93" s="27"/>
      <c r="F93" s="31"/>
      <c r="G93" s="25" t="s">
        <v>117</v>
      </c>
      <c r="BK93" s="18"/>
    </row>
    <row r="94" spans="1:63" ht="15" customHeight="1" x14ac:dyDescent="0.25">
      <c r="A94" s="15"/>
      <c r="C94" s="26"/>
      <c r="D94" s="26"/>
      <c r="E94" s="27"/>
      <c r="F94" s="31"/>
      <c r="G94" s="25" t="s">
        <v>118</v>
      </c>
      <c r="BK94" s="18"/>
    </row>
    <row r="95" spans="1:63" ht="15" customHeight="1" x14ac:dyDescent="0.25">
      <c r="A95" s="15"/>
      <c r="C95" s="26"/>
      <c r="D95" s="26"/>
      <c r="E95" s="27"/>
      <c r="F95" s="31" t="s">
        <v>111</v>
      </c>
      <c r="G95" s="25"/>
      <c r="BK95" s="18"/>
    </row>
    <row r="96" spans="1:63" ht="15" customHeight="1" x14ac:dyDescent="0.25">
      <c r="A96" s="15"/>
      <c r="E96" s="27"/>
      <c r="F96" s="31" t="s">
        <v>124</v>
      </c>
      <c r="BK96" s="18"/>
    </row>
    <row r="97" spans="1:63" ht="15" customHeight="1" x14ac:dyDescent="0.25">
      <c r="A97" s="15"/>
      <c r="E97" s="27"/>
      <c r="F97" s="31" t="s">
        <v>112</v>
      </c>
      <c r="BK97" s="18"/>
    </row>
    <row r="98" spans="1:63" ht="15" customHeight="1" x14ac:dyDescent="0.25">
      <c r="A98" s="15"/>
      <c r="E98" s="27" t="s">
        <v>114</v>
      </c>
      <c r="F98" s="26"/>
      <c r="BK98" s="18"/>
    </row>
    <row r="99" spans="1:63" ht="15" customHeight="1" x14ac:dyDescent="0.25">
      <c r="A99" s="15"/>
      <c r="E99" s="27"/>
      <c r="F99" s="31" t="s">
        <v>113</v>
      </c>
      <c r="BK99" s="18"/>
    </row>
    <row r="100" spans="1:63" ht="15" customHeight="1" x14ac:dyDescent="0.25">
      <c r="A100" s="15"/>
      <c r="E100" s="27"/>
      <c r="F100" s="31" t="s">
        <v>115</v>
      </c>
      <c r="BK100" s="18"/>
    </row>
    <row r="101" spans="1:63" ht="15" customHeight="1" x14ac:dyDescent="0.25">
      <c r="A101" s="15"/>
      <c r="F101" s="31" t="s">
        <v>119</v>
      </c>
      <c r="BK101" s="18"/>
    </row>
    <row r="102" spans="1:63" ht="15" customHeight="1" x14ac:dyDescent="0.25">
      <c r="A102" s="15"/>
      <c r="E102" s="27" t="s">
        <v>121</v>
      </c>
      <c r="BK102" s="18"/>
    </row>
    <row r="103" spans="1:63" ht="15" customHeight="1" x14ac:dyDescent="0.25">
      <c r="A103" s="15"/>
      <c r="E103" s="27"/>
      <c r="G103" s="25" t="s">
        <v>120</v>
      </c>
      <c r="BK103" s="18"/>
    </row>
    <row r="104" spans="1:63" ht="15" customHeight="1" x14ac:dyDescent="0.25">
      <c r="A104" s="15"/>
      <c r="E104" s="27"/>
      <c r="G104" s="31" t="s">
        <v>122</v>
      </c>
      <c r="BK104" s="18"/>
    </row>
    <row r="105" spans="1:63" ht="15" customHeight="1" x14ac:dyDescent="0.25">
      <c r="A105" s="15"/>
      <c r="E105" s="27" t="s">
        <v>102</v>
      </c>
      <c r="BK105" s="18"/>
    </row>
    <row r="106" spans="1:63" ht="15" customHeight="1" x14ac:dyDescent="0.25">
      <c r="E106" s="27" t="s">
        <v>103</v>
      </c>
    </row>
    <row r="107" spans="1:63" ht="15" customHeight="1" x14ac:dyDescent="0.25">
      <c r="E107" s="27" t="s">
        <v>104</v>
      </c>
    </row>
    <row r="108" spans="1:63" ht="15" customHeight="1" x14ac:dyDescent="0.25">
      <c r="D108" s="27" t="s">
        <v>123</v>
      </c>
    </row>
    <row r="109" spans="1:63" ht="15" customHeight="1" x14ac:dyDescent="0.25">
      <c r="D109" s="27" t="s">
        <v>105</v>
      </c>
    </row>
    <row r="110" spans="1:63" ht="15" customHeight="1" x14ac:dyDescent="0.25">
      <c r="D110" s="25" t="s">
        <v>129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</row>
    <row r="111" spans="1:63" ht="15" customHeight="1" x14ac:dyDescent="0.25">
      <c r="D111" s="25"/>
      <c r="E111" s="31"/>
      <c r="F111" s="25" t="s">
        <v>132</v>
      </c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</row>
    <row r="112" spans="1:63" ht="15" customHeight="1" x14ac:dyDescent="0.25">
      <c r="D112" s="31"/>
      <c r="E112" s="31"/>
      <c r="F112" s="25" t="s">
        <v>125</v>
      </c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</row>
    <row r="113" spans="2:47" ht="15" customHeight="1" x14ac:dyDescent="0.25">
      <c r="D113" s="31"/>
      <c r="E113" s="31"/>
      <c r="F113" s="31"/>
      <c r="G113" s="31" t="s">
        <v>126</v>
      </c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</row>
    <row r="114" spans="2:47" ht="15" customHeight="1" x14ac:dyDescent="0.25">
      <c r="D114" s="31"/>
      <c r="E114" s="31"/>
      <c r="F114" s="25" t="s">
        <v>127</v>
      </c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</row>
    <row r="115" spans="2:47" ht="15" customHeight="1" x14ac:dyDescent="0.25">
      <c r="D115" s="31"/>
      <c r="E115" s="31"/>
      <c r="F115" s="31"/>
      <c r="G115" s="31" t="s">
        <v>128</v>
      </c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</row>
    <row r="116" spans="2:47" ht="15" customHeight="1" x14ac:dyDescent="0.25">
      <c r="D116" s="31"/>
      <c r="E116" s="31"/>
      <c r="F116" s="25" t="s">
        <v>135</v>
      </c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</row>
    <row r="117" spans="2:47" ht="15" customHeight="1" x14ac:dyDescent="0.25">
      <c r="G117" s="31" t="s">
        <v>138</v>
      </c>
    </row>
    <row r="118" spans="2:47" ht="15" customHeight="1" x14ac:dyDescent="0.25">
      <c r="D118" s="25" t="s">
        <v>130</v>
      </c>
    </row>
    <row r="119" spans="2:47" ht="15" customHeight="1" x14ac:dyDescent="0.25">
      <c r="F119" s="25" t="s">
        <v>131</v>
      </c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</row>
    <row r="120" spans="2:47" ht="15" customHeight="1" x14ac:dyDescent="0.25">
      <c r="F120" s="25" t="s">
        <v>133</v>
      </c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</row>
    <row r="121" spans="2:47" ht="15" customHeight="1" x14ac:dyDescent="0.25">
      <c r="F121" s="31"/>
      <c r="G121" s="31" t="s">
        <v>134</v>
      </c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</row>
    <row r="122" spans="2:47" ht="15" customHeight="1" x14ac:dyDescent="0.25">
      <c r="F122" s="25" t="s">
        <v>136</v>
      </c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</row>
    <row r="123" spans="2:47" ht="15" customHeight="1" x14ac:dyDescent="0.25">
      <c r="G123" s="31" t="s">
        <v>137</v>
      </c>
    </row>
    <row r="124" spans="2:47" ht="15" customHeight="1" x14ac:dyDescent="0.25">
      <c r="G124" s="31"/>
    </row>
    <row r="125" spans="2:47" ht="15" customHeight="1" x14ac:dyDescent="0.25">
      <c r="B125" s="32" t="s">
        <v>139</v>
      </c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</row>
    <row r="126" spans="2:47" ht="15" customHeight="1" x14ac:dyDescent="0.25">
      <c r="B126" s="32"/>
      <c r="C126" s="33" t="s">
        <v>141</v>
      </c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</row>
    <row r="127" spans="2:47" ht="15" customHeight="1" x14ac:dyDescent="0.25">
      <c r="B127" s="32"/>
      <c r="C127" s="32"/>
      <c r="D127" s="33" t="s">
        <v>140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</row>
    <row r="128" spans="2:47" ht="15" customHeight="1" x14ac:dyDescent="0.25">
      <c r="B128" s="32"/>
      <c r="C128" s="32"/>
      <c r="D128" s="33" t="s">
        <v>143</v>
      </c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</row>
    <row r="129" spans="2:39" ht="15" customHeight="1" x14ac:dyDescent="0.25">
      <c r="B129" s="32"/>
      <c r="C129" s="32"/>
      <c r="D129" s="33" t="s">
        <v>144</v>
      </c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</row>
    <row r="130" spans="2:39" ht="15" customHeight="1" x14ac:dyDescent="0.25">
      <c r="B130" s="32"/>
      <c r="C130" s="33" t="s">
        <v>142</v>
      </c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</row>
    <row r="131" spans="2:39" ht="15" customHeight="1" x14ac:dyDescent="0.25">
      <c r="B131" s="32"/>
      <c r="C131" s="32"/>
      <c r="D131" s="33" t="s">
        <v>145</v>
      </c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</row>
    <row r="132" spans="2:39" ht="15" customHeight="1" x14ac:dyDescent="0.25">
      <c r="B132" s="32"/>
      <c r="C132" s="32"/>
      <c r="D132" s="33" t="s">
        <v>146</v>
      </c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</row>
    <row r="133" spans="2:39" ht="15" customHeight="1" x14ac:dyDescent="0.25">
      <c r="B133" s="32"/>
      <c r="C133" s="32"/>
      <c r="D133" s="33" t="s">
        <v>147</v>
      </c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</row>
    <row r="134" spans="2:39" ht="15" customHeight="1" x14ac:dyDescent="0.25">
      <c r="B134" s="32"/>
      <c r="C134" s="33" t="s">
        <v>148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</row>
    <row r="135" spans="2:39" ht="15" customHeight="1" x14ac:dyDescent="0.25">
      <c r="B135" s="32"/>
      <c r="C135" s="32"/>
      <c r="D135" s="33" t="s">
        <v>149</v>
      </c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</row>
    <row r="136" spans="2:39" ht="15" customHeight="1" x14ac:dyDescent="0.25">
      <c r="B136" s="32"/>
      <c r="C136" s="32"/>
      <c r="D136" s="33" t="s">
        <v>150</v>
      </c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</row>
    <row r="137" spans="2:39" ht="15" customHeight="1" x14ac:dyDescent="0.25">
      <c r="G137" s="31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25" orientation="landscape" horizontalDpi="300" verticalDpi="300" r:id="rId1"/>
  <headerFooter>
    <oddHeader>&amp;R&amp;F</oddHeader>
    <oddFooter>&amp;C&amp;P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C37-BF11-4BFF-9BE7-4D457D057733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9"/>
      <c r="K1" s="11" t="s">
        <v>2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9"/>
      <c r="W1" s="1" t="str">
        <f>IF(表紙!W1="","",表紙!W1)</f>
        <v>基本設計書</v>
      </c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9"/>
      <c r="AP1" s="11" t="s">
        <v>3</v>
      </c>
      <c r="AQ1" s="10"/>
      <c r="AR1" s="10"/>
      <c r="AS1" s="9"/>
      <c r="AT1" s="11" t="s">
        <v>4</v>
      </c>
      <c r="AU1" s="10"/>
      <c r="AV1" s="10"/>
      <c r="AW1" s="10"/>
      <c r="AX1" s="9"/>
      <c r="AY1" s="11" t="s">
        <v>5</v>
      </c>
      <c r="AZ1" s="10"/>
      <c r="BA1" s="10"/>
      <c r="BB1" s="9"/>
      <c r="BC1" s="11" t="s">
        <v>6</v>
      </c>
      <c r="BD1" s="10"/>
      <c r="BE1" s="10"/>
      <c r="BF1" s="10"/>
      <c r="BG1" s="9"/>
      <c r="BH1" s="11" t="s">
        <v>7</v>
      </c>
      <c r="BI1" s="10"/>
      <c r="BJ1" s="10"/>
      <c r="BK1" s="9"/>
    </row>
    <row r="2" spans="1:63" ht="15" customHeight="1" x14ac:dyDescent="0.25">
      <c r="A2" s="7" t="str">
        <f>IF(表紙!A2="","",表紙!A2)</f>
        <v>ignica POS</v>
      </c>
      <c r="B2" s="6"/>
      <c r="C2" s="6"/>
      <c r="D2" s="6"/>
      <c r="E2" s="6"/>
      <c r="F2" s="6"/>
      <c r="G2" s="6"/>
      <c r="H2" s="6"/>
      <c r="I2" s="6"/>
      <c r="J2" s="5"/>
      <c r="K2" s="7" t="str">
        <f>IF(表紙!K2="","",表紙!K2)</f>
        <v>POSサーバー</v>
      </c>
      <c r="L2" s="6"/>
      <c r="M2" s="6"/>
      <c r="N2" s="6"/>
      <c r="O2" s="6"/>
      <c r="P2" s="6"/>
      <c r="Q2" s="6"/>
      <c r="R2" s="6"/>
      <c r="S2" s="6"/>
      <c r="T2" s="6"/>
      <c r="U2" s="6"/>
      <c r="V2" s="5"/>
      <c r="W2" s="40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2"/>
      <c r="AP2" s="7" t="str">
        <f>IF(表紙!AP2="","",表紙!AP2)</f>
        <v>DuNT</v>
      </c>
      <c r="AQ2" s="6"/>
      <c r="AR2" s="6"/>
      <c r="AS2" s="5"/>
      <c r="AT2" s="46">
        <f>IF(表紙!AT2="","",表紙!AT2)</f>
        <v>45391</v>
      </c>
      <c r="AU2" s="47"/>
      <c r="AV2" s="47"/>
      <c r="AW2" s="47"/>
      <c r="AX2" s="48"/>
      <c r="AY2" s="7" t="str">
        <f>IF(表紙!AY2="","",表紙!AY2)</f>
        <v>AnhTTP</v>
      </c>
      <c r="AZ2" s="6"/>
      <c r="BA2" s="6"/>
      <c r="BB2" s="5"/>
      <c r="BC2" s="46">
        <f>IF(表紙!BC2="","",表紙!BC2)</f>
        <v>45637</v>
      </c>
      <c r="BD2" s="47"/>
      <c r="BE2" s="47"/>
      <c r="BF2" s="47"/>
      <c r="BG2" s="48"/>
      <c r="BH2" s="7">
        <f>IF(表紙!BH2="","",表紙!BH2)</f>
        <v>0.74</v>
      </c>
      <c r="BI2" s="6"/>
      <c r="BJ2" s="6"/>
      <c r="BK2" s="5"/>
    </row>
    <row r="3" spans="1:63" ht="15" customHeight="1" x14ac:dyDescent="0.25">
      <c r="A3" s="4"/>
      <c r="B3" s="3"/>
      <c r="C3" s="3"/>
      <c r="D3" s="3"/>
      <c r="E3" s="3"/>
      <c r="F3" s="3"/>
      <c r="G3" s="3"/>
      <c r="H3" s="3"/>
      <c r="I3" s="3"/>
      <c r="J3" s="2"/>
      <c r="K3" s="4"/>
      <c r="L3" s="3"/>
      <c r="M3" s="3"/>
      <c r="N3" s="3"/>
      <c r="O3" s="3"/>
      <c r="P3" s="3"/>
      <c r="Q3" s="3"/>
      <c r="R3" s="3"/>
      <c r="S3" s="3"/>
      <c r="T3" s="3"/>
      <c r="U3" s="3"/>
      <c r="V3" s="2"/>
      <c r="W3" s="43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5"/>
      <c r="AP3" s="4"/>
      <c r="AQ3" s="3"/>
      <c r="AR3" s="3"/>
      <c r="AS3" s="2"/>
      <c r="AT3" s="49"/>
      <c r="AU3" s="50"/>
      <c r="AV3" s="50"/>
      <c r="AW3" s="50"/>
      <c r="AX3" s="51"/>
      <c r="AY3" s="4"/>
      <c r="AZ3" s="3"/>
      <c r="BA3" s="3"/>
      <c r="BB3" s="2"/>
      <c r="BC3" s="49"/>
      <c r="BD3" s="50"/>
      <c r="BE3" s="50"/>
      <c r="BF3" s="50"/>
      <c r="BG3" s="51"/>
      <c r="BH3" s="4"/>
      <c r="BI3" s="3"/>
      <c r="BJ3" s="3"/>
      <c r="BK3" s="2"/>
    </row>
    <row r="4" spans="1:63" ht="24.95" customHeight="1" x14ac:dyDescent="0.25">
      <c r="A4" s="11" t="s">
        <v>1</v>
      </c>
      <c r="B4" s="10"/>
      <c r="C4" s="10"/>
      <c r="D4" s="10"/>
      <c r="E4" s="10"/>
      <c r="F4" s="10"/>
      <c r="G4" s="9"/>
      <c r="H4" s="14" t="str">
        <f>IF(表紙!H4="","",表紙!H4)</f>
        <v>00_共通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2"/>
      <c r="U4" s="11" t="s">
        <v>8</v>
      </c>
      <c r="V4" s="10"/>
      <c r="W4" s="10"/>
      <c r="X4" s="10"/>
      <c r="Y4" s="9"/>
      <c r="Z4" s="14" t="str">
        <f>IF(表紙!Z4="","",表紙!Z4)</f>
        <v>概要設計</v>
      </c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2"/>
      <c r="AP4" s="14" t="str">
        <f t="array" aca="1" ref="AP4" ca="1">RIGHT(CELL("filename",$A$1),LEN(CELL("filename",$A$1))-FIND("]",CELL("filename",$A$1)))</f>
        <v>テンプレート</v>
      </c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2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x14ac:dyDescent="0.25">
      <c r="A14" s="15"/>
      <c r="BK14" s="18"/>
    </row>
    <row r="15" spans="1:63" ht="15" customHeight="1" x14ac:dyDescent="0.25">
      <c r="A15" s="15"/>
      <c r="BK15" s="18"/>
    </row>
    <row r="16" spans="1:63" ht="15" customHeight="1" x14ac:dyDescent="0.25">
      <c r="A16" s="15"/>
      <c r="BK16" s="18"/>
    </row>
    <row r="17" spans="1:63" ht="15" customHeight="1" x14ac:dyDescent="0.25">
      <c r="A17" s="15"/>
      <c r="BK17" s="18"/>
    </row>
    <row r="18" spans="1:63" ht="15" customHeight="1" x14ac:dyDescent="0.25">
      <c r="A18" s="15"/>
      <c r="BK18" s="18"/>
    </row>
    <row r="19" spans="1:63" ht="15" customHeight="1" x14ac:dyDescent="0.25">
      <c r="A19" s="15"/>
      <c r="BK19" s="18"/>
    </row>
    <row r="20" spans="1:63" ht="15" customHeight="1" x14ac:dyDescent="0.25">
      <c r="A20" s="15"/>
      <c r="BK20" s="18"/>
    </row>
    <row r="21" spans="1:63" ht="15" customHeight="1" x14ac:dyDescent="0.25">
      <c r="A21" s="15"/>
      <c r="BK21" s="18"/>
    </row>
    <row r="22" spans="1:63" ht="15" customHeight="1" x14ac:dyDescent="0.25">
      <c r="A22" s="15"/>
      <c r="BK22" s="18"/>
    </row>
    <row r="23" spans="1:63" ht="15" customHeight="1" x14ac:dyDescent="0.25">
      <c r="A23" s="15"/>
      <c r="BK23" s="18"/>
    </row>
    <row r="24" spans="1:63" ht="15" customHeight="1" x14ac:dyDescent="0.25">
      <c r="A24" s="15"/>
      <c r="BK24" s="18"/>
    </row>
    <row r="25" spans="1:63" ht="15" customHeight="1" x14ac:dyDescent="0.25">
      <c r="A25" s="15"/>
      <c r="BK25" s="18"/>
    </row>
    <row r="26" spans="1:63" ht="15" customHeight="1" x14ac:dyDescent="0.25">
      <c r="A26" s="15"/>
      <c r="BK26" s="18"/>
    </row>
    <row r="27" spans="1:63" ht="15" customHeight="1" x14ac:dyDescent="0.25">
      <c r="A27" s="15"/>
      <c r="BK27" s="18"/>
    </row>
    <row r="28" spans="1:63" ht="15" customHeight="1" x14ac:dyDescent="0.25">
      <c r="A28" s="15"/>
      <c r="BK28" s="18"/>
    </row>
    <row r="29" spans="1:63" ht="15" customHeight="1" x14ac:dyDescent="0.25">
      <c r="A29" s="15"/>
      <c r="BK29" s="18"/>
    </row>
    <row r="30" spans="1:63" ht="15" customHeight="1" x14ac:dyDescent="0.25">
      <c r="A30" s="15"/>
      <c r="BK30" s="18"/>
    </row>
    <row r="31" spans="1:63" ht="15" customHeight="1" x14ac:dyDescent="0.25">
      <c r="A31" s="15"/>
      <c r="BK31" s="18"/>
    </row>
    <row r="32" spans="1:63" ht="15" customHeight="1" x14ac:dyDescent="0.25">
      <c r="A32" s="15"/>
      <c r="BK32" s="18"/>
    </row>
    <row r="33" spans="1:63" ht="15" customHeight="1" x14ac:dyDescent="0.25">
      <c r="A33" s="15"/>
      <c r="BK33" s="18"/>
    </row>
    <row r="34" spans="1:63" ht="15" customHeight="1" x14ac:dyDescent="0.25">
      <c r="A34" s="15"/>
      <c r="BK34" s="18"/>
    </row>
    <row r="35" spans="1:63" ht="15" customHeight="1" x14ac:dyDescent="0.25">
      <c r="A35" s="15"/>
      <c r="BK35" s="18"/>
    </row>
    <row r="36" spans="1:63" ht="15" customHeight="1" x14ac:dyDescent="0.25">
      <c r="A36" s="15"/>
      <c r="BK36" s="18"/>
    </row>
    <row r="37" spans="1:63" ht="15" customHeight="1" x14ac:dyDescent="0.25">
      <c r="A37" s="15"/>
      <c r="BK37" s="18"/>
    </row>
    <row r="38" spans="1:63" ht="15" customHeight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BK44" s="18"/>
    </row>
    <row r="45" spans="1:63" ht="15" customHeight="1" x14ac:dyDescent="0.25">
      <c r="A45" s="15"/>
      <c r="BK45" s="18"/>
    </row>
    <row r="46" spans="1:63" ht="15" customHeight="1" x14ac:dyDescent="0.25">
      <c r="A46" s="15"/>
      <c r="BK46" s="18"/>
    </row>
    <row r="47" spans="1:63" ht="15" customHeight="1" x14ac:dyDescent="0.25">
      <c r="A47" s="15"/>
      <c r="BK47" s="18"/>
    </row>
    <row r="48" spans="1:63" ht="15" customHeight="1" x14ac:dyDescent="0.25">
      <c r="A48" s="15"/>
      <c r="BK48" s="18"/>
    </row>
    <row r="49" spans="1:63" ht="15" customHeight="1" x14ac:dyDescent="0.25">
      <c r="A49" s="15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horizontalDpi="300" verticalDpi="300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指摘履歴資料補足1</vt:lpstr>
      <vt:lpstr>業務フロー</vt:lpstr>
      <vt:lpstr>機能概要</vt:lpstr>
      <vt:lpstr>画面共通</vt:lpstr>
      <vt:lpstr>テンプレート</vt:lpstr>
      <vt:lpstr>改訂履歴!Print_Area</vt:lpstr>
      <vt:lpstr>業務フロー!Print_Area</vt:lpstr>
      <vt:lpstr>機能概要!Print_Area</vt:lpstr>
      <vt:lpstr>画面共通!Print_Area</vt:lpstr>
      <vt:lpstr>表紙!Print_Area</vt:lpstr>
      <vt:lpstr>テンプレート!Print_Titles</vt:lpstr>
      <vt:lpstr>改訂履歴!Print_Titles</vt:lpstr>
      <vt:lpstr>業務フロー!Print_Titles</vt:lpstr>
      <vt:lpstr>機能概要!Print_Titles</vt:lpstr>
      <vt:lpstr>画面共通!Print_Titles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2024-12-13T08:16:58Z</dcterms:modified>
  <cp:category/>
  <cp:contentStatus/>
</cp:coreProperties>
</file>