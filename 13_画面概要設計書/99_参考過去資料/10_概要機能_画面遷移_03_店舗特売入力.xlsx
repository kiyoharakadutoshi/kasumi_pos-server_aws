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os system\10_機能概要_画面遷移\"/>
    </mc:Choice>
  </mc:AlternateContent>
  <xr:revisionPtr revIDLastSave="0" documentId="13_ncr:1_{28F635BC-75A5-4501-A42F-6FD2727E2AB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9" r:id="rId3"/>
    <sheet name="業務フロー" sheetId="6" r:id="rId4"/>
    <sheet name="機能概要説明" sheetId="8" r:id="rId5"/>
    <sheet name="機能概要" sheetId="5" r:id="rId6"/>
    <sheet name="画面設計書" sheetId="7" r:id="rId7"/>
    <sheet name="テンプレート" sheetId="2" r:id="rId8"/>
  </sheets>
  <definedNames>
    <definedName name="_xlnm.Print_Area" localSheetId="7">テンプレート!$A$1:$BK$55</definedName>
    <definedName name="_xlnm.Print_Area" localSheetId="2">指摘履歴!$A$1:$BK$57</definedName>
    <definedName name="_xlnm.Print_Area" localSheetId="1">改訂履歴!$A$1:$BK$55</definedName>
    <definedName name="_xlnm.Print_Area" localSheetId="3">業務フロー!$A$1:$BK$61</definedName>
    <definedName name="_xlnm.Print_Area" localSheetId="5">機能概要!$A$1:$BK$108</definedName>
    <definedName name="_xlnm.Print_Area" localSheetId="4">機能概要説明!$A$1:$BK$57</definedName>
    <definedName name="_xlnm.Print_Area" localSheetId="0">表紙!$A$1:$BK$55</definedName>
    <definedName name="_xlnm.Print_Titles" localSheetId="7">テンプレート!$1:$5</definedName>
    <definedName name="_xlnm.Print_Titles" localSheetId="2">指摘履歴!$1:$5</definedName>
    <definedName name="_xlnm.Print_Titles" localSheetId="1">改訂履歴!$1:$5</definedName>
    <definedName name="_xlnm.Print_Titles" localSheetId="3">業務フロー!$1:$5</definedName>
    <definedName name="_xlnm.Print_Titles" localSheetId="5">機能概要!$1:$5</definedName>
    <definedName name="_xlnm.Print_Titles" localSheetId="4">機能概要説明!$1:$5</definedName>
    <definedName name="_xlnm.Print_Titles" localSheetId="0">表紙!$1:$5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BM84" i="5" s="1"/>
  <c r="BM85" i="5" s="1"/>
  <c r="BM86" i="5" s="1"/>
  <c r="BM87" i="5" s="1"/>
  <c r="BM88" i="5" s="1"/>
  <c r="BM89" i="5" s="1"/>
  <c r="BM90" i="5" s="1"/>
  <c r="BM91" i="5" s="1"/>
  <c r="BM92" i="5" s="1"/>
  <c r="BM93" i="5" s="1"/>
  <c r="BM94" i="5" s="1"/>
  <c r="BM95" i="5" s="1"/>
  <c r="BM96" i="5" s="1"/>
  <c r="BM97" i="5" s="1"/>
  <c r="BM98" i="5" s="1"/>
  <c r="BM99" i="5" s="1"/>
  <c r="BM100" i="5" s="1"/>
  <c r="BM101" i="5" s="1"/>
  <c r="BM102" i="5" s="1"/>
  <c r="BM103" i="5" s="1"/>
  <c r="BM104" i="5" s="1"/>
  <c r="BM105" i="5" s="1"/>
  <c r="BM106" i="5" s="1"/>
  <c r="BM107" i="5" s="1"/>
  <c r="BM108" i="5" s="1"/>
  <c r="AP4" i="5" a="1"/>
  <c r="AP4" i="5" s="1"/>
  <c r="Z4" i="5"/>
  <c r="H4" i="5"/>
  <c r="K2" i="5"/>
  <c r="A2" i="5"/>
  <c r="W1" i="5"/>
  <c r="BM7" i="8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AP4" i="8" a="1"/>
  <c r="AP4" i="8" s="1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K2" i="3"/>
  <c r="A2" i="3"/>
  <c r="W1" i="3"/>
  <c r="L24" i="4"/>
  <c r="AP4" i="4" a="1"/>
  <c r="AP4" i="4" s="1"/>
  <c r="BH2" i="4"/>
  <c r="BC2" i="4"/>
  <c r="AY2" i="4"/>
  <c r="AT2" i="4"/>
  <c r="AP2" i="4"/>
  <c r="AP2" i="2" l="1"/>
  <c r="AP2" i="7"/>
  <c r="AP2" i="5"/>
  <c r="AP2" i="8"/>
  <c r="AP2" i="6"/>
  <c r="AP2" i="3"/>
  <c r="AT2" i="2"/>
  <c r="AT2" i="7"/>
  <c r="AT2" i="5"/>
  <c r="AT2" i="8"/>
  <c r="AT2" i="3"/>
  <c r="AY2" i="2"/>
  <c r="AY2" i="7"/>
  <c r="AY2" i="5"/>
  <c r="AY2" i="8"/>
  <c r="AY2" i="6"/>
  <c r="AY2" i="3"/>
  <c r="BC2" i="2"/>
  <c r="BC2" i="7"/>
  <c r="BC2" i="5"/>
  <c r="BC2" i="8"/>
  <c r="BC2" i="6"/>
  <c r="BC2" i="3"/>
  <c r="BH2" i="2"/>
  <c r="BH2" i="7"/>
  <c r="BH2" i="5"/>
  <c r="BH2" i="8"/>
  <c r="BH2" i="6"/>
  <c r="BH2" i="3"/>
</calcChain>
</file>

<file path=xl/sharedStrings.xml><?xml version="1.0" encoding="utf-8"?>
<sst xmlns="http://schemas.openxmlformats.org/spreadsheetml/2006/main" count="260" uniqueCount="108">
  <si>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</si>
  <si>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</si>
  <si>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8"/>
        <color rgb="FF000000"/>
        <rFont val="Meiryo UI"/>
        <family val="3"/>
      </rPr>
      <t>基本設計書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</si>
  <si>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</si>
  <si>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</si>
  <si>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</si>
  <si>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</si>
  <si>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</si>
  <si>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</si>
  <si>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</si>
  <si>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</si>
  <si>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000000"/>
        <rFont val="Meiryo UI"/>
        <family val="2"/>
      </rPr>
      <t>03_店舗特売入力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</si>
  <si>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</si>
  <si>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概要設計</t>
    </r>
  </si>
  <si>
    <r>
      <rPr>
        <sz val="24"/>
        <color rgb="FF000000"/>
        <rFont val="Meiryo UI"/>
        <family val="3"/>
      </rPr>
      <t>POSサーバーの基本設計書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</si>
  <si>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</si>
  <si>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</si>
  <si>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</si>
  <si>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</si>
  <si>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</si>
  <si>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</si>
  <si>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</si>
  <si>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2024年05月10日のコメントによる更新</t>
    </r>
  </si>
  <si>
    <r>
      <rPr>
        <sz val="11"/>
        <color rgb="FF000000"/>
        <rFont val="Meiryo UI"/>
        <family val="2"/>
      </rPr>
      <t>2024年06月26日のコメントによる更新</t>
    </r>
  </si>
  <si>
    <t>TinNH</t>
  </si>
  <si>
    <t xml:space="preserve">機能概要説明、機能概要 </t>
  </si>
  <si>
    <t xml:space="preserve">コメントによる更新 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</si>
  <si>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</si>
  <si>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</si>
  <si>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基本設計書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</si>
  <si>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</si>
  <si>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</si>
  <si>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</si>
  <si>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</si>
  <si>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</si>
  <si>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</si>
  <si>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t>カスミ</t>
  </si>
  <si>
    <t>佐々木</t>
    <rPh sb="0" eb="3">
      <t>ササキ</t>
    </rPh>
    <phoneticPr fontId="0"/>
  </si>
  <si>
    <r>
      <rPr>
        <sz val="11"/>
        <color rgb="FFFFFFFF"/>
        <rFont val="Meiryo UI"/>
        <family val="2"/>
      </rPr>
      <t>機能カテゴリ</t>
    </r>
  </si>
  <si>
    <t>03_店舗特売入力</t>
  </si>
  <si>
    <r>
      <rPr>
        <sz val="11"/>
        <color rgb="FFFFFFFF"/>
        <rFont val="Meiryo UI"/>
        <family val="2"/>
      </rPr>
      <t>項目</t>
    </r>
  </si>
  <si>
    <t>概要設計書</t>
  </si>
  <si>
    <t>指摘履歴</t>
    <rPh sb="0" eb="2">
      <t>シテキ</t>
    </rPh>
    <rPh sb="2" eb="4">
      <t>リレキ</t>
    </rPh>
    <phoneticPr fontId="0"/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</si>
  <si>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</si>
  <si>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</si>
  <si>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</si>
  <si>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カスミ　佐々木</t>
    <rPh sb="4" eb="7">
      <t>ササキ</t>
    </rPh>
    <phoneticPr fontId="17"/>
  </si>
  <si>
    <t>機能概要</t>
    <phoneticPr fontId="17"/>
  </si>
  <si>
    <t>　現在売価表示</t>
    <rPh sb="1" eb="3">
      <t>ゲンザイ</t>
    </rPh>
    <rPh sb="3" eb="5">
      <t>バイカ</t>
    </rPh>
    <rPh sb="5" eb="7">
      <t>ヒョウジ</t>
    </rPh>
    <phoneticPr fontId="17"/>
  </si>
  <si>
    <t>　会員価格（S&amp;Gカード使用時、S&amp;Gアプリ使用時、S&amp;Gカードアプリ使用時）</t>
    <rPh sb="1" eb="3">
      <t>カイイン</t>
    </rPh>
    <rPh sb="3" eb="5">
      <t>カカク</t>
    </rPh>
    <rPh sb="14" eb="15">
      <t>ジ</t>
    </rPh>
    <rPh sb="24" eb="25">
      <t>ジ</t>
    </rPh>
    <rPh sb="37" eb="38">
      <t>ジ</t>
    </rPh>
    <phoneticPr fontId="17"/>
  </si>
  <si>
    <t>　日付反映内容は【次頁】当のボタン押下時でも内容を維持する。【クリア】、【確定】押下時に初期化（当日、明日の販促時間を表示）</t>
    <rPh sb="1" eb="3">
      <t>ヒツ</t>
    </rPh>
    <rPh sb="3" eb="5">
      <t>ハンエイ</t>
    </rPh>
    <rPh sb="5" eb="7">
      <t>ナイヨウ</t>
    </rPh>
    <rPh sb="9" eb="11">
      <t>ジページ</t>
    </rPh>
    <rPh sb="12" eb="13">
      <t>トウ</t>
    </rPh>
    <rPh sb="17" eb="20">
      <t>オウカジ</t>
    </rPh>
    <rPh sb="22" eb="24">
      <t>ナイヨウ</t>
    </rPh>
    <rPh sb="25" eb="27">
      <t>イジ</t>
    </rPh>
    <rPh sb="37" eb="39">
      <t>カクテイ</t>
    </rPh>
    <rPh sb="40" eb="43">
      <t>オウカジ</t>
    </rPh>
    <rPh sb="44" eb="47">
      <t>ショキカ</t>
    </rPh>
    <rPh sb="48" eb="50">
      <t>トウヒ</t>
    </rPh>
    <rPh sb="51" eb="53">
      <t>アス</t>
    </rPh>
    <rPh sb="54" eb="56">
      <t>ハンソク</t>
    </rPh>
    <rPh sb="56" eb="58">
      <t>ジカン</t>
    </rPh>
    <rPh sb="59" eb="61">
      <t>ヒョウジ</t>
    </rPh>
    <phoneticPr fontId="17"/>
  </si>
  <si>
    <t>　画面縮小時は表示サイズは変更せずにスクロールバー表示する</t>
  </si>
  <si>
    <t>　中止時にはPOSとS&amp;Gにも削除する必要がある</t>
    <rPh sb="1" eb="3">
      <t>チュウシ</t>
    </rPh>
    <rPh sb="3" eb="4">
      <t>ジ</t>
    </rPh>
    <rPh sb="15" eb="17">
      <t>サクジョ</t>
    </rPh>
    <phoneticPr fontId="17"/>
  </si>
  <si>
    <t>‣「先頭行」、「最終行」、「▼次頁」、「▲前頁」を無効にする。上記のボタンの説明は「10_概要機能_画面遷移_00_共通.xlsx」をご参照ください。
 =&gt;説明がない。</t>
    <phoneticPr fontId="17"/>
  </si>
  <si>
    <t>　「特売売価設定」で設定した対象商品を同一プロモーションコードで「特売割引設定」で設定した場合「特売売価設定」で設定した特売は消去される。
　※商品でプロモーションコードでは１件の特売設定（売価・割引）のどちらかしか行えない。</t>
    <rPh sb="10" eb="12">
      <t>セッテイ</t>
    </rPh>
    <rPh sb="14" eb="16">
      <t>タイショウ</t>
    </rPh>
    <rPh sb="16" eb="18">
      <t>ショウヒン</t>
    </rPh>
    <rPh sb="19" eb="21">
      <t>ドウイチ</t>
    </rPh>
    <rPh sb="35" eb="37">
      <t>ワリビキ</t>
    </rPh>
    <rPh sb="41" eb="43">
      <t>セッテイ</t>
    </rPh>
    <rPh sb="45" eb="47">
      <t>バアイ</t>
    </rPh>
    <rPh sb="56" eb="58">
      <t>セッテイ</t>
    </rPh>
    <rPh sb="60" eb="62">
      <t>トクバイ</t>
    </rPh>
    <rPh sb="63" eb="65">
      <t>ショウキョ</t>
    </rPh>
    <rPh sb="72" eb="74">
      <t>ショウヒン</t>
    </rPh>
    <rPh sb="88" eb="89">
      <t>ケン</t>
    </rPh>
    <rPh sb="90" eb="92">
      <t>トクバイ</t>
    </rPh>
    <rPh sb="92" eb="94">
      <t>セッテイ</t>
    </rPh>
    <rPh sb="95" eb="97">
      <t>バイカ</t>
    </rPh>
    <rPh sb="98" eb="100">
      <t>ワリビキ</t>
    </rPh>
    <rPh sb="108" eb="109">
      <t>オコナ</t>
    </rPh>
    <phoneticPr fontId="17"/>
  </si>
  <si>
    <t>機能概要説明</t>
    <phoneticPr fontId="17"/>
  </si>
  <si>
    <t>　特売設定追加、更新、削除の実績作成を行う。（OC向け特売実施実績）</t>
    <rPh sb="1" eb="3">
      <t>トクバイ</t>
    </rPh>
    <rPh sb="3" eb="5">
      <t>セッテイ</t>
    </rPh>
    <rPh sb="5" eb="7">
      <t>ツイカ</t>
    </rPh>
    <rPh sb="8" eb="10">
      <t>コウシン</t>
    </rPh>
    <rPh sb="11" eb="13">
      <t>サクジョ</t>
    </rPh>
    <rPh sb="14" eb="16">
      <t>ジッセキ</t>
    </rPh>
    <rPh sb="16" eb="18">
      <t>サクセイ</t>
    </rPh>
    <rPh sb="19" eb="20">
      <t>オコナ</t>
    </rPh>
    <rPh sb="25" eb="26">
      <t>ム</t>
    </rPh>
    <rPh sb="27" eb="31">
      <t>トクバイジッシ</t>
    </rPh>
    <rPh sb="31" eb="33">
      <t>ジッセキ</t>
    </rPh>
    <phoneticPr fontId="17"/>
  </si>
  <si>
    <t>　ミックスマッチ設定と共有部分あり</t>
    <rPh sb="8" eb="10">
      <t>セッテイ</t>
    </rPh>
    <rPh sb="11" eb="13">
      <t>キョウユウ</t>
    </rPh>
    <rPh sb="13" eb="15">
      <t>ブブン</t>
    </rPh>
    <phoneticPr fontId="17"/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</si>
  <si>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</si>
  <si>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</si>
  <si>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</si>
  <si>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特売マスタ売価設定機能</t>
    </r>
  </si>
  <si>
    <r>
      <rPr>
        <sz val="11"/>
        <color rgb="FF000000"/>
        <rFont val="Meiryo UI"/>
        <family val="2"/>
      </rPr>
      <t>・商品コード、PLU入力を行い、登録情報の閲覧や、特売売価の変更を行う。</t>
    </r>
  </si>
  <si>
    <r>
      <rPr>
        <sz val="11"/>
        <color rgb="FF000000"/>
        <rFont val="Meiryo UI"/>
        <family val="2"/>
      </rPr>
      <t>・商品の特売売価設定または割引設定を行う。</t>
    </r>
  </si>
  <si>
    <r>
      <rPr>
        <sz val="11"/>
        <color rgb="FF000000"/>
        <rFont val="Meiryo UI"/>
        <family val="2"/>
      </rPr>
      <t>・新規作成可能。</t>
    </r>
  </si>
  <si>
    <r>
      <rPr>
        <sz val="11"/>
        <color rgb="FF000000"/>
        <rFont val="Meiryo UI"/>
        <family val="2"/>
      </rPr>
      <t>・以下のように編集可能。</t>
    </r>
  </si>
  <si>
    <r>
      <t>・</t>
    </r>
    <r>
      <rPr>
        <sz val="10"/>
        <color rgb="FF000000"/>
        <rFont val="Meiryo UI"/>
        <family val="2"/>
      </rPr>
      <t>削除許可：夜間バッチを使用して特売売価、過去の特売割引を削除する</t>
    </r>
    <r>
      <rPr>
        <sz val="10"/>
        <color rgb="FF0000FF"/>
        <rFont val="Meiryo UI"/>
        <family val="2"/>
      </rPr>
      <t xml:space="preserve">。中止時にはPOSとS&amp;Gにも削除する必要がある </t>
    </r>
  </si>
  <si>
    <r>
      <rPr>
        <sz val="10"/>
        <color rgb="FF000000"/>
        <rFont val="Meiryo UI"/>
        <family val="2"/>
      </rPr>
      <t>+「組合せ自動削除日数」マスタ項目に従って特売マスタを削除する。</t>
    </r>
  </si>
  <si>
    <r>
      <t>+</t>
    </r>
    <r>
      <rPr>
        <sz val="10"/>
        <color rgb="FF000000"/>
        <rFont val="Meiryo UI"/>
        <family val="2"/>
      </rPr>
      <t>当日の商品情報がない特売マスタを削除する。</t>
    </r>
  </si>
  <si>
    <r>
      <t>+</t>
    </r>
    <r>
      <rPr>
        <sz val="10"/>
        <color rgb="FF000000"/>
        <rFont val="Meiryo UI"/>
        <family val="2"/>
      </rPr>
      <t>当日の商品情報がないプロモーション情報を削除する。</t>
    </r>
  </si>
  <si>
    <r>
      <rPr>
        <sz val="11"/>
        <color rgb="FF000000"/>
        <rFont val="Meiryo UI"/>
        <family val="2"/>
      </rPr>
      <t>・売価・特売の有効期間はプロモーション期間内のみ設定可能。</t>
    </r>
  </si>
  <si>
    <t>・1つの対象商品に対しては、1つのプロモーションで1つの特売割引または1つの特売売価のみを設定可能とする。</t>
  </si>
  <si>
    <t>・特売設定追加、更新、削除の実績作成を行う。（OC向け特売実施実績）</t>
  </si>
  <si>
    <t>・01_商品管理フローにて、特売売価の検索、新規作成、編集、削除機能を再使用する。</t>
  </si>
  <si>
    <r>
      <rPr>
        <sz val="11"/>
        <color rgb="FF000000"/>
        <rFont val="Meiryo UI"/>
        <family val="2"/>
      </rPr>
      <t>■ログイン画面のイメージ</t>
    </r>
  </si>
  <si>
    <t>■画面項目定義</t>
  </si>
  <si>
    <t>画面項目ID</t>
  </si>
  <si>
    <t>項目</t>
  </si>
  <si>
    <t>タイプ</t>
  </si>
  <si>
    <r>
      <rPr>
        <sz val="11"/>
        <color rgb="FF000000"/>
        <rFont val="Meiryo UI"/>
        <family val="2"/>
      </rPr>
      <t>I/O</t>
    </r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</si>
  <si>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</si>
  <si>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</si>
  <si>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</si>
  <si>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</si>
  <si>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</si>
  <si>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</si>
  <si>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</si>
  <si>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</si>
  <si>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r>
      <rPr>
        <sz val="11"/>
        <color rgb="FF000000"/>
        <rFont val="Meiryo UI"/>
        <family val="2"/>
      </rPr>
      <t>必須</t>
    </r>
  </si>
  <si>
    <t>数字</t>
  </si>
  <si>
    <t>桁</t>
  </si>
  <si>
    <t>API名</t>
  </si>
  <si>
    <r>
      <rPr>
        <sz val="11"/>
        <color rgb="FF000000"/>
        <rFont val="Meiryo UI"/>
        <family val="2"/>
      </rPr>
      <t>テキスト</t>
    </r>
  </si>
  <si>
    <t>－</t>
  </si>
  <si>
    <t>●</t>
  </si>
  <si>
    <t>Android POS Control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</si>
  <si>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</si>
  <si>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</si>
  <si>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</si>
  <si>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t>User ID</t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</si>
  <si>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</si>
  <si>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</si>
  <si>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</si>
  <si>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</si>
  <si>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t>Login</t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</si>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</sst>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5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10"/>
      <name val="Meiryo UI"/>
      <family val="2"/>
    </font>
    <font>
      <sz val="11"/>
      <color rgb="FFFF0000"/>
      <name val="Meiryo UI"/>
      <family val="2"/>
    </font>
    <font>
      <sz val="11"/>
      <color theme="5" tint="-0.24994659260841701"/>
      <name val="Meiryo UI"/>
      <family val="2"/>
    </font>
    <font>
      <sz val="10"/>
      <color theme="5" tint="-0.24994659260841701"/>
      <name val="Meiryo UI"/>
      <family val="2"/>
    </font>
    <font>
      <sz val="10"/>
      <color rgb="FF000000"/>
      <name val="Meiryo UI"/>
      <family val="2"/>
    </font>
    <font>
      <sz val="11"/>
      <color rgb="FFC55A11"/>
      <name val="Meiryo UI"/>
      <family val="2"/>
    </font>
    <font>
      <sz val="11"/>
      <name val="Meiryo UI"/>
      <family val="3"/>
      <charset val="128"/>
    </font>
    <font>
      <sz val="11"/>
      <color rgb="FFFFFFFF"/>
      <name val="Meiryo UI"/>
      <family val="2"/>
    </font>
    <font>
      <sz val="11"/>
      <name val="Meiryo UI"/>
      <family val="2"/>
    </font>
    <font>
      <sz val="11"/>
      <color rgb="FF0000FF"/>
      <name val="Meiryo UI"/>
      <family val="2"/>
    </font>
    <font>
      <sz val="11"/>
      <color theme="0"/>
      <name val="Meiryo UI"/>
      <family val="2"/>
    </font>
    <font>
      <sz val="18"/>
      <name val="Meiryo UI"/>
      <family val="2"/>
    </font>
    <font>
      <sz val="10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8" fillId="0" borderId="0">
      <alignment vertical="center"/>
    </xf>
  </cellStyleXfs>
  <cellXfs count="3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8" fillId="0" borderId="0" xfId="6" applyFont="1" applyAlignment="1">
      <alignment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7" fillId="0" borderId="24" xfId="6" applyFont="1" applyBorder="1" applyAlignment="1">
      <alignment vertical="center"/>
    </xf>
    <xf numFmtId="0" fontId="7" fillId="0" borderId="23" xfId="6" applyFont="1" applyBorder="1" applyAlignment="1">
      <alignment vertical="center"/>
    </xf>
    <xf numFmtId="0" fontId="7" fillId="0" borderId="25" xfId="6" applyFont="1" applyBorder="1" applyAlignment="1">
      <alignment horizontal="center" vertical="center"/>
    </xf>
    <xf numFmtId="0" fontId="7" fillId="0" borderId="26" xfId="6" applyFont="1" applyBorder="1" applyAlignment="1">
      <alignment horizontal="center" vertical="center"/>
    </xf>
    <xf numFmtId="0" fontId="7" fillId="0" borderId="26" xfId="6" applyFont="1" applyBorder="1" applyAlignment="1">
      <alignment vertical="center"/>
    </xf>
    <xf numFmtId="0" fontId="18" fillId="0" borderId="1" xfId="7" applyBorder="1">
      <alignment vertical="center"/>
    </xf>
    <xf numFmtId="0" fontId="18" fillId="0" borderId="0" xfId="7">
      <alignment vertical="center"/>
    </xf>
    <xf numFmtId="0" fontId="18" fillId="0" borderId="4" xfId="7" applyBorder="1">
      <alignment vertical="center"/>
    </xf>
    <xf numFmtId="0" fontId="18" fillId="0" borderId="2" xfId="7" applyBorder="1">
      <alignment vertical="center"/>
    </xf>
    <xf numFmtId="0" fontId="18" fillId="0" borderId="3" xfId="7" applyBorder="1">
      <alignment vertical="center"/>
    </xf>
    <xf numFmtId="0" fontId="18" fillId="0" borderId="5" xfId="7" applyBorder="1">
      <alignment vertical="center"/>
    </xf>
    <xf numFmtId="0" fontId="12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4" xfId="0" applyFont="1" applyBorder="1"/>
    <xf numFmtId="0" fontId="7" fillId="0" borderId="1" xfId="0" applyFont="1" applyBorder="1"/>
    <xf numFmtId="0" fontId="14" fillId="0" borderId="0" xfId="0" applyFont="1"/>
    <xf numFmtId="0" fontId="14" fillId="0" borderId="0" xfId="7" applyFont="1">
      <alignment vertical="center"/>
    </xf>
    <xf numFmtId="0" fontId="15" fillId="0" borderId="0" xfId="0" quotePrefix="1" applyFont="1" applyAlignment="1">
      <alignment horizontal="left" vertical="center"/>
    </xf>
    <xf numFmtId="0" fontId="0" fillId="0" borderId="0" xfId="0" quotePrefix="1"/>
    <xf numFmtId="0" fontId="20" fillId="0" borderId="3" xfId="0" applyFont="1" applyBorder="1"/>
    <xf numFmtId="0" fontId="20" fillId="0" borderId="5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2" xfId="0" applyFont="1" applyBorder="1"/>
    <xf numFmtId="0" fontId="7" fillId="0" borderId="31" xfId="0" applyFont="1" applyBorder="1"/>
    <xf numFmtId="0" fontId="7" fillId="0" borderId="29" xfId="0" applyFont="1" applyBorder="1"/>
    <xf numFmtId="0" fontId="7" fillId="0" borderId="30" xfId="0" applyFont="1" applyBorder="1"/>
    <xf numFmtId="0" fontId="0" fillId="0" borderId="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5" xfId="0" applyBorder="1" applyAlignment="1">
      <alignment vertical="center"/>
    </xf>
    <xf numFmtId="0" fontId="20" fillId="0" borderId="0" xfId="0" applyFont="1"/>
    <xf numFmtId="0" fontId="20" fillId="0" borderId="2" xfId="0" applyFont="1" applyBorder="1"/>
    <xf numFmtId="0" fontId="20" fillId="0" borderId="1" xfId="0" applyFont="1" applyBorder="1"/>
    <xf numFmtId="0" fontId="20" fillId="0" borderId="4" xfId="0" applyFont="1" applyBorder="1"/>
    <xf numFmtId="0" fontId="19" fillId="2" borderId="0" xfId="0" applyFont="1" applyFill="1" applyAlignment="1">
      <alignment vertical="center"/>
    </xf>
    <xf numFmtId="0" fontId="22" fillId="2" borderId="16" xfId="0" applyFont="1" applyFill="1" applyBorder="1" applyAlignment="1">
      <alignment vertical="center"/>
    </xf>
    <xf numFmtId="0" fontId="22" fillId="2" borderId="0" xfId="0" applyFont="1" applyFill="1" applyAlignment="1">
      <alignment vertical="center"/>
    </xf>
    <xf numFmtId="0" fontId="22" fillId="2" borderId="17" xfId="0" applyFont="1" applyFill="1" applyBorder="1" applyAlignment="1">
      <alignment vertical="center"/>
    </xf>
    <xf numFmtId="0" fontId="20" fillId="0" borderId="18" xfId="0" applyFont="1" applyBorder="1"/>
    <xf numFmtId="0" fontId="20" fillId="0" borderId="19" xfId="7" applyFont="1" applyBorder="1">
      <alignment vertical="center"/>
    </xf>
    <xf numFmtId="0" fontId="20" fillId="0" borderId="19" xfId="0" applyFont="1" applyBorder="1"/>
    <xf numFmtId="0" fontId="20" fillId="0" borderId="1" xfId="7" applyFont="1" applyBorder="1">
      <alignment vertical="center"/>
    </xf>
    <xf numFmtId="0" fontId="20" fillId="0" borderId="0" xfId="7" applyFont="1">
      <alignment vertical="center"/>
    </xf>
    <xf numFmtId="0" fontId="20" fillId="0" borderId="18" xfId="7" applyFont="1" applyBorder="1">
      <alignment vertical="center"/>
    </xf>
    <xf numFmtId="0" fontId="20" fillId="0" borderId="4" xfId="7" applyFont="1" applyBorder="1">
      <alignment vertical="center"/>
    </xf>
    <xf numFmtId="0" fontId="20" fillId="0" borderId="2" xfId="7" applyFont="1" applyBorder="1">
      <alignment vertical="center"/>
    </xf>
    <xf numFmtId="0" fontId="20" fillId="0" borderId="20" xfId="7" applyFont="1" applyBorder="1">
      <alignment vertical="center"/>
    </xf>
    <xf numFmtId="0" fontId="20" fillId="0" borderId="3" xfId="7" applyFont="1" applyBorder="1">
      <alignment vertical="center"/>
    </xf>
    <xf numFmtId="0" fontId="20" fillId="0" borderId="21" xfId="7" applyFont="1" applyBorder="1">
      <alignment vertical="center"/>
    </xf>
    <xf numFmtId="0" fontId="20" fillId="0" borderId="5" xfId="7" applyFont="1" applyBorder="1">
      <alignment vertical="center"/>
    </xf>
    <xf numFmtId="0" fontId="21" fillId="0" borderId="0" xfId="0" applyFont="1"/>
    <xf numFmtId="0" fontId="24" fillId="0" borderId="0" xfId="0" quotePrefix="1" applyFont="1" applyAlignment="1">
      <alignment horizontal="left" vertical="center"/>
    </xf>
    <xf numFmtId="0" fontId="21" fillId="0" borderId="0" xfId="7" applyFont="1">
      <alignment vertical="center"/>
    </xf>
    <xf numFmtId="0" fontId="20" fillId="0" borderId="0" xfId="6" applyFont="1" applyAlignment="1">
      <alignment vertical="center"/>
    </xf>
    <xf numFmtId="0" fontId="20" fillId="0" borderId="20" xfId="0" applyFont="1" applyBorder="1"/>
    <xf numFmtId="0" fontId="20" fillId="0" borderId="21" xfId="0" applyFont="1" applyBorder="1"/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2" xfId="0" applyBorder="1"/>
    <xf numFmtId="0" fontId="0" fillId="0" borderId="33" xfId="0" applyBorder="1"/>
    <xf numFmtId="0" fontId="0" fillId="0" borderId="34" xfId="0" applyBorder="1"/>
    <xf numFmtId="0" fontId="0" fillId="0" borderId="3" xfId="0" applyBorder="1"/>
    <xf numFmtId="0" fontId="0" fillId="0" borderId="5" xfId="0" applyBorder="1"/>
    <xf numFmtId="0" fontId="0" fillId="0" borderId="32" xfId="0" applyBorder="1"/>
    <xf numFmtId="0" fontId="0" fillId="0" borderId="2" xfId="0" applyBorder="1"/>
    <xf numFmtId="0" fontId="0" fillId="0" borderId="31" xfId="0" applyBorder="1"/>
    <xf numFmtId="0" fontId="0" fillId="0" borderId="29" xfId="0" applyBorder="1"/>
    <xf numFmtId="0" fontId="0" fillId="0" borderId="30" xfId="0" applyBorder="1"/>
    <xf numFmtId="0" fontId="2" fillId="2" borderId="0" xfId="0" applyFont="1" applyFill="1"/>
    <xf numFmtId="14" fontId="7" fillId="0" borderId="32" xfId="0" applyNumberFormat="1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27" xfId="0" applyFont="1" applyBorder="1"/>
    <xf numFmtId="0" fontId="7" fillId="0" borderId="28" xfId="0" applyFont="1" applyBorder="1"/>
    <xf numFmtId="0" fontId="7" fillId="0" borderId="22" xfId="0" applyFont="1" applyBorder="1"/>
    <xf numFmtId="0" fontId="7" fillId="0" borderId="31" xfId="0" applyFont="1" applyBorder="1"/>
    <xf numFmtId="0" fontId="7" fillId="0" borderId="29" xfId="0" applyFont="1" applyBorder="1"/>
    <xf numFmtId="0" fontId="7" fillId="0" borderId="30" xfId="0" applyFont="1" applyBorder="1"/>
    <xf numFmtId="0" fontId="13" fillId="0" borderId="33" xfId="0" applyFont="1" applyBorder="1"/>
    <xf numFmtId="0" fontId="13" fillId="0" borderId="34" xfId="0" applyFont="1" applyBorder="1"/>
    <xf numFmtId="0" fontId="13" fillId="0" borderId="3" xfId="0" applyFont="1" applyBorder="1"/>
    <xf numFmtId="0" fontId="13" fillId="0" borderId="5" xfId="0" applyFont="1" applyBorder="1"/>
    <xf numFmtId="0" fontId="13" fillId="0" borderId="32" xfId="0" applyFont="1" applyBorder="1"/>
    <xf numFmtId="0" fontId="13" fillId="0" borderId="2" xfId="0" applyFont="1" applyBorder="1"/>
    <xf numFmtId="14" fontId="21" fillId="0" borderId="32" xfId="0" applyNumberFormat="1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27" xfId="0" applyFont="1" applyBorder="1"/>
    <xf numFmtId="0" fontId="21" fillId="0" borderId="28" xfId="0" applyFont="1" applyBorder="1"/>
    <xf numFmtId="0" fontId="21" fillId="0" borderId="22" xfId="0" applyFont="1" applyBorder="1"/>
    <xf numFmtId="0" fontId="21" fillId="0" borderId="31" xfId="0" applyFont="1" applyBorder="1"/>
    <xf numFmtId="0" fontId="21" fillId="0" borderId="29" xfId="0" applyFont="1" applyBorder="1"/>
    <xf numFmtId="0" fontId="21" fillId="0" borderId="30" xfId="0" applyFont="1" applyBorder="1"/>
    <xf numFmtId="14" fontId="20" fillId="0" borderId="32" xfId="0" applyNumberFormat="1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27" xfId="0" applyFont="1" applyBorder="1"/>
    <xf numFmtId="0" fontId="20" fillId="0" borderId="28" xfId="0" applyFont="1" applyBorder="1"/>
    <xf numFmtId="0" fontId="20" fillId="0" borderId="22" xfId="0" applyFont="1" applyBorder="1"/>
    <xf numFmtId="0" fontId="8" fillId="0" borderId="2" xfId="0" applyFont="1" applyBorder="1" applyAlignment="1">
      <alignment wrapText="1"/>
    </xf>
    <xf numFmtId="0" fontId="20" fillId="0" borderId="3" xfId="0" applyFont="1" applyBorder="1"/>
    <xf numFmtId="0" fontId="20" fillId="0" borderId="5" xfId="0" applyFont="1" applyBorder="1"/>
    <xf numFmtId="0" fontId="7" fillId="0" borderId="33" xfId="0" applyFont="1" applyBorder="1"/>
    <xf numFmtId="0" fontId="7" fillId="0" borderId="34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32" xfId="0" applyFont="1" applyBorder="1"/>
    <xf numFmtId="0" fontId="7" fillId="0" borderId="2" xfId="0" applyFont="1" applyBorder="1"/>
    <xf numFmtId="0" fontId="20" fillId="0" borderId="38" xfId="0" applyFont="1" applyBorder="1"/>
    <xf numFmtId="0" fontId="20" fillId="0" borderId="39" xfId="0" applyFont="1" applyBorder="1"/>
    <xf numFmtId="0" fontId="20" fillId="0" borderId="40" xfId="0" applyFont="1" applyBorder="1"/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0" fillId="0" borderId="31" xfId="0" applyFont="1" applyBorder="1" applyAlignment="1">
      <alignment wrapText="1"/>
    </xf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2" fillId="2" borderId="35" xfId="0" applyFont="1" applyFill="1" applyBorder="1" applyAlignment="1">
      <alignment horizontal="center" vertical="center"/>
    </xf>
    <xf numFmtId="0" fontId="22" fillId="2" borderId="36" xfId="0" applyFont="1" applyFill="1" applyBorder="1" applyAlignment="1">
      <alignment horizontal="center" vertical="center"/>
    </xf>
    <xf numFmtId="0" fontId="22" fillId="2" borderId="37" xfId="0" applyFont="1" applyFill="1" applyBorder="1" applyAlignment="1">
      <alignment horizontal="center" vertical="center"/>
    </xf>
    <xf numFmtId="14" fontId="20" fillId="0" borderId="33" xfId="0" applyNumberFormat="1" applyFont="1" applyBorder="1" applyAlignment="1">
      <alignment horizontal="center" vertical="center"/>
    </xf>
    <xf numFmtId="14" fontId="20" fillId="0" borderId="34" xfId="0" applyNumberFormat="1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7" fillId="0" borderId="31" xfId="6" applyFont="1" applyBorder="1" applyAlignment="1">
      <alignment horizontal="center" vertical="center"/>
    </xf>
    <xf numFmtId="0" fontId="7" fillId="0" borderId="29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0" borderId="31" xfId="6" applyFont="1" applyBorder="1" applyAlignment="1">
      <alignment horizontal="left" vertical="center"/>
    </xf>
    <xf numFmtId="0" fontId="7" fillId="0" borderId="29" xfId="6" applyFont="1" applyBorder="1" applyAlignment="1">
      <alignment horizontal="left" vertical="center"/>
    </xf>
    <xf numFmtId="0" fontId="7" fillId="0" borderId="30" xfId="6" applyFont="1" applyBorder="1" applyAlignment="1">
      <alignment horizontal="left" vertical="center"/>
    </xf>
    <xf numFmtId="0" fontId="20" fillId="0" borderId="31" xfId="6" applyFont="1" applyBorder="1" applyAlignment="1">
      <alignment vertical="center"/>
    </xf>
    <xf numFmtId="0" fontId="20" fillId="0" borderId="29" xfId="6" applyFont="1" applyBorder="1" applyAlignment="1">
      <alignment vertical="center"/>
    </xf>
    <xf numFmtId="0" fontId="20" fillId="0" borderId="30" xfId="6" applyFont="1" applyBorder="1" applyAlignment="1">
      <alignment vertical="center"/>
    </xf>
    <xf numFmtId="0" fontId="7" fillId="0" borderId="31" xfId="6" quotePrefix="1" applyFont="1" applyBorder="1" applyAlignment="1">
      <alignment vertical="center"/>
    </xf>
    <xf numFmtId="0" fontId="7" fillId="0" borderId="29" xfId="6" quotePrefix="1" applyFont="1" applyBorder="1" applyAlignment="1">
      <alignment vertical="center"/>
    </xf>
    <xf numFmtId="0" fontId="7" fillId="0" borderId="30" xfId="6" quotePrefix="1" applyFont="1" applyBorder="1" applyAlignment="1">
      <alignment vertical="center"/>
    </xf>
    <xf numFmtId="0" fontId="7" fillId="0" borderId="31" xfId="6" applyFont="1" applyBorder="1" applyAlignment="1">
      <alignment vertical="center"/>
    </xf>
    <xf numFmtId="0" fontId="7" fillId="0" borderId="29" xfId="6" applyFont="1" applyBorder="1" applyAlignment="1">
      <alignment vertical="center"/>
    </xf>
    <xf numFmtId="0" fontId="7" fillId="0" borderId="30" xfId="6" applyFont="1" applyBorder="1" applyAlignment="1">
      <alignment vertical="center"/>
    </xf>
    <xf numFmtId="0" fontId="8" fillId="0" borderId="31" xfId="6" quotePrefix="1" applyFont="1" applyBorder="1" applyAlignment="1">
      <alignment horizontal="center" vertical="center"/>
    </xf>
    <xf numFmtId="0" fontId="8" fillId="0" borderId="29" xfId="6" applyFont="1" applyBorder="1" applyAlignment="1">
      <alignment horizontal="center" vertical="center"/>
    </xf>
    <xf numFmtId="0" fontId="8" fillId="0" borderId="30" xfId="6" applyFont="1" applyBorder="1" applyAlignment="1">
      <alignment horizontal="center" vertical="center"/>
    </xf>
    <xf numFmtId="0" fontId="7" fillId="0" borderId="46" xfId="6" quotePrefix="1" applyFont="1" applyBorder="1" applyAlignment="1">
      <alignment horizontal="center" vertical="center"/>
    </xf>
    <xf numFmtId="0" fontId="7" fillId="0" borderId="47" xfId="6" applyFont="1" applyBorder="1" applyAlignment="1">
      <alignment horizontal="center" vertical="center"/>
    </xf>
    <xf numFmtId="0" fontId="7" fillId="0" borderId="48" xfId="6" applyFont="1" applyBorder="1" applyAlignment="1">
      <alignment horizontal="center" vertical="center"/>
    </xf>
    <xf numFmtId="0" fontId="7" fillId="0" borderId="46" xfId="6" applyFont="1" applyBorder="1" applyAlignment="1">
      <alignment horizontal="center" vertical="center"/>
    </xf>
    <xf numFmtId="0" fontId="7" fillId="0" borderId="46" xfId="6" applyFont="1" applyBorder="1" applyAlignment="1">
      <alignment horizontal="left" vertical="center"/>
    </xf>
    <xf numFmtId="0" fontId="7" fillId="0" borderId="47" xfId="6" applyFont="1" applyBorder="1" applyAlignment="1">
      <alignment horizontal="left" vertical="center"/>
    </xf>
    <xf numFmtId="0" fontId="7" fillId="0" borderId="48" xfId="6" applyFont="1" applyBorder="1" applyAlignment="1">
      <alignment horizontal="left" vertical="center"/>
    </xf>
    <xf numFmtId="0" fontId="20" fillId="0" borderId="46" xfId="6" applyFont="1" applyBorder="1" applyAlignment="1">
      <alignment vertical="center"/>
    </xf>
    <xf numFmtId="0" fontId="20" fillId="0" borderId="47" xfId="6" applyFont="1" applyBorder="1" applyAlignment="1">
      <alignment vertical="center"/>
    </xf>
    <xf numFmtId="0" fontId="20" fillId="0" borderId="48" xfId="6" applyFont="1" applyBorder="1" applyAlignment="1">
      <alignment vertical="center"/>
    </xf>
    <xf numFmtId="0" fontId="20" fillId="0" borderId="38" xfId="6" applyFont="1" applyBorder="1" applyAlignment="1">
      <alignment vertical="center"/>
    </xf>
    <xf numFmtId="0" fontId="20" fillId="0" borderId="39" xfId="6" applyFont="1" applyBorder="1" applyAlignment="1">
      <alignment vertical="center"/>
    </xf>
    <xf numFmtId="0" fontId="20" fillId="0" borderId="40" xfId="6" applyFont="1" applyBorder="1" applyAlignment="1">
      <alignment vertical="center"/>
    </xf>
    <xf numFmtId="0" fontId="7" fillId="0" borderId="46" xfId="6" quotePrefix="1" applyFont="1" applyBorder="1" applyAlignment="1">
      <alignment vertical="center" wrapText="1"/>
    </xf>
    <xf numFmtId="0" fontId="7" fillId="0" borderId="47" xfId="6" quotePrefix="1" applyFont="1" applyBorder="1" applyAlignment="1">
      <alignment vertical="center" wrapText="1"/>
    </xf>
    <xf numFmtId="0" fontId="7" fillId="0" borderId="48" xfId="6" quotePrefix="1" applyFont="1" applyBorder="1" applyAlignment="1">
      <alignment vertical="center" wrapText="1"/>
    </xf>
    <xf numFmtId="0" fontId="7" fillId="0" borderId="46" xfId="6" applyFont="1" applyBorder="1" applyAlignment="1">
      <alignment vertical="center"/>
    </xf>
    <xf numFmtId="0" fontId="7" fillId="0" borderId="47" xfId="6" applyFont="1" applyBorder="1" applyAlignment="1">
      <alignment vertical="center"/>
    </xf>
    <xf numFmtId="0" fontId="7" fillId="0" borderId="48" xfId="6" applyFont="1" applyBorder="1" applyAlignment="1">
      <alignment vertical="center"/>
    </xf>
    <xf numFmtId="0" fontId="20" fillId="0" borderId="38" xfId="6" quotePrefix="1" applyFont="1" applyBorder="1" applyAlignment="1">
      <alignment vertical="center"/>
    </xf>
    <xf numFmtId="0" fontId="20" fillId="0" borderId="39" xfId="6" quotePrefix="1" applyFont="1" applyBorder="1" applyAlignment="1">
      <alignment vertical="center"/>
    </xf>
    <xf numFmtId="0" fontId="20" fillId="0" borderId="40" xfId="6" quotePrefix="1" applyFont="1" applyBorder="1" applyAlignment="1">
      <alignment vertical="center"/>
    </xf>
    <xf numFmtId="0" fontId="8" fillId="0" borderId="46" xfId="6" quotePrefix="1" applyFont="1" applyBorder="1" applyAlignment="1">
      <alignment horizontal="center" vertical="center" wrapText="1"/>
    </xf>
    <xf numFmtId="0" fontId="8" fillId="0" borderId="47" xfId="6" applyFont="1" applyBorder="1" applyAlignment="1">
      <alignment horizontal="center" vertical="center" wrapText="1"/>
    </xf>
    <xf numFmtId="0" fontId="8" fillId="0" borderId="48" xfId="6" applyFont="1" applyBorder="1" applyAlignment="1">
      <alignment horizontal="center" vertical="center" wrapText="1"/>
    </xf>
    <xf numFmtId="0" fontId="9" fillId="0" borderId="46" xfId="6" applyFont="1" applyBorder="1" applyAlignment="1">
      <alignment vertical="center" wrapText="1"/>
    </xf>
    <xf numFmtId="0" fontId="8" fillId="0" borderId="46" xfId="6" quotePrefix="1" applyFont="1" applyBorder="1" applyAlignment="1">
      <alignment horizontal="center" vertical="center"/>
    </xf>
    <xf numFmtId="0" fontId="8" fillId="0" borderId="47" xfId="6" applyFont="1" applyBorder="1" applyAlignment="1">
      <alignment horizontal="center" vertical="center"/>
    </xf>
    <xf numFmtId="0" fontId="8" fillId="0" borderId="48" xfId="6" applyFont="1" applyBorder="1" applyAlignment="1">
      <alignment horizontal="center" vertical="center"/>
    </xf>
    <xf numFmtId="0" fontId="8" fillId="0" borderId="46" xfId="6" applyFont="1" applyBorder="1" applyAlignment="1">
      <alignment horizontal="center" vertical="center"/>
    </xf>
    <xf numFmtId="0" fontId="7" fillId="0" borderId="46" xfId="6" quotePrefix="1" applyFont="1" applyBorder="1" applyAlignment="1">
      <alignment vertical="center"/>
    </xf>
    <xf numFmtId="0" fontId="7" fillId="0" borderId="47" xfId="6" quotePrefix="1" applyFont="1" applyBorder="1" applyAlignment="1">
      <alignment vertical="center"/>
    </xf>
    <xf numFmtId="0" fontId="7" fillId="0" borderId="48" xfId="6" quotePrefix="1" applyFont="1" applyBorder="1" applyAlignment="1">
      <alignment vertical="center"/>
    </xf>
    <xf numFmtId="0" fontId="7" fillId="0" borderId="27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7" xfId="6" applyFont="1" applyBorder="1" applyAlignment="1">
      <alignment vertical="center"/>
    </xf>
    <xf numFmtId="0" fontId="7" fillId="0" borderId="28" xfId="6" applyFont="1" applyBorder="1" applyAlignment="1">
      <alignment vertical="center"/>
    </xf>
    <xf numFmtId="0" fontId="7" fillId="0" borderId="22" xfId="6" applyFont="1" applyBorder="1" applyAlignment="1">
      <alignment vertical="center"/>
    </xf>
    <xf numFmtId="0" fontId="8" fillId="0" borderId="27" xfId="6" applyFont="1" applyBorder="1" applyAlignment="1">
      <alignment horizontal="center" vertical="center"/>
    </xf>
    <xf numFmtId="0" fontId="7" fillId="0" borderId="28" xfId="6" applyFont="1" applyBorder="1" applyAlignment="1">
      <alignment horizontal="center" vertical="center"/>
    </xf>
    <xf numFmtId="0" fontId="8" fillId="5" borderId="35" xfId="6" applyFont="1" applyFill="1" applyBorder="1" applyAlignment="1">
      <alignment vertical="center"/>
    </xf>
    <xf numFmtId="0" fontId="7" fillId="5" borderId="36" xfId="6" applyFont="1" applyFill="1" applyBorder="1" applyAlignment="1">
      <alignment vertical="center"/>
    </xf>
    <xf numFmtId="0" fontId="7" fillId="5" borderId="37" xfId="6" applyFont="1" applyFill="1" applyBorder="1" applyAlignment="1">
      <alignment vertical="center"/>
    </xf>
    <xf numFmtId="0" fontId="8" fillId="4" borderId="35" xfId="6" applyFont="1" applyFill="1" applyBorder="1" applyAlignment="1">
      <alignment vertical="center"/>
    </xf>
    <xf numFmtId="0" fontId="7" fillId="4" borderId="36" xfId="6" applyFont="1" applyFill="1" applyBorder="1" applyAlignment="1">
      <alignment vertical="center"/>
    </xf>
    <xf numFmtId="0" fontId="7" fillId="4" borderId="37" xfId="6" applyFont="1" applyFill="1" applyBorder="1" applyAlignment="1">
      <alignment vertical="center"/>
    </xf>
    <xf numFmtId="0" fontId="8" fillId="6" borderId="32" xfId="6" applyFont="1" applyFill="1" applyBorder="1" applyAlignment="1">
      <alignment vertical="center"/>
    </xf>
    <xf numFmtId="0" fontId="7" fillId="6" borderId="33" xfId="6" applyFont="1" applyFill="1" applyBorder="1" applyAlignment="1">
      <alignment vertical="center"/>
    </xf>
    <xf numFmtId="0" fontId="7" fillId="6" borderId="34" xfId="6" applyFont="1" applyFill="1" applyBorder="1" applyAlignment="1">
      <alignment vertical="center"/>
    </xf>
    <xf numFmtId="0" fontId="7" fillId="6" borderId="1" xfId="6" applyFont="1" applyFill="1" applyBorder="1" applyAlignment="1">
      <alignment vertical="center"/>
    </xf>
    <xf numFmtId="0" fontId="7" fillId="6" borderId="0" xfId="6" applyFont="1" applyFill="1" applyAlignment="1">
      <alignment vertical="center"/>
    </xf>
    <xf numFmtId="0" fontId="7" fillId="6" borderId="4" xfId="6" applyFont="1" applyFill="1" applyBorder="1" applyAlignment="1">
      <alignment vertical="center"/>
    </xf>
    <xf numFmtId="0" fontId="7" fillId="6" borderId="2" xfId="6" applyFont="1" applyFill="1" applyBorder="1" applyAlignment="1">
      <alignment vertical="center"/>
    </xf>
    <xf numFmtId="0" fontId="7" fillId="6" borderId="3" xfId="6" applyFont="1" applyFill="1" applyBorder="1" applyAlignment="1">
      <alignment vertical="center"/>
    </xf>
    <xf numFmtId="0" fontId="7" fillId="6" borderId="5" xfId="6" applyFont="1" applyFill="1" applyBorder="1" applyAlignment="1">
      <alignment vertical="center"/>
    </xf>
    <xf numFmtId="0" fontId="8" fillId="5" borderId="35" xfId="6" applyFont="1" applyFill="1" applyBorder="1"/>
    <xf numFmtId="0" fontId="8" fillId="5" borderId="36" xfId="6" applyFont="1" applyFill="1" applyBorder="1"/>
    <xf numFmtId="0" fontId="8" fillId="5" borderId="37" xfId="6" applyFont="1" applyFill="1" applyBorder="1"/>
    <xf numFmtId="0" fontId="8" fillId="5" borderId="32" xfId="6" applyFont="1" applyFill="1" applyBorder="1" applyAlignment="1">
      <alignment vertical="center"/>
    </xf>
    <xf numFmtId="0" fontId="7" fillId="5" borderId="33" xfId="6" applyFont="1" applyFill="1" applyBorder="1" applyAlignment="1">
      <alignment vertical="center"/>
    </xf>
    <xf numFmtId="0" fontId="7" fillId="5" borderId="34" xfId="6" applyFont="1" applyFill="1" applyBorder="1" applyAlignment="1">
      <alignment vertical="center"/>
    </xf>
    <xf numFmtId="0" fontId="7" fillId="5" borderId="2" xfId="6" applyFont="1" applyFill="1" applyBorder="1" applyAlignment="1">
      <alignment vertical="center"/>
    </xf>
    <xf numFmtId="0" fontId="7" fillId="5" borderId="3" xfId="6" applyFont="1" applyFill="1" applyBorder="1" applyAlignment="1">
      <alignment vertical="center"/>
    </xf>
    <xf numFmtId="0" fontId="7" fillId="5" borderId="5" xfId="6" applyFont="1" applyFill="1" applyBorder="1" applyAlignment="1">
      <alignment vertical="center"/>
    </xf>
    <xf numFmtId="0" fontId="7" fillId="4" borderId="32" xfId="6" applyFont="1" applyFill="1" applyBorder="1" applyAlignment="1">
      <alignment vertical="center" wrapText="1"/>
    </xf>
    <xf numFmtId="0" fontId="7" fillId="4" borderId="2" xfId="6" applyFont="1" applyFill="1" applyBorder="1" applyAlignment="1">
      <alignment vertical="center" wrapText="1"/>
    </xf>
    <xf numFmtId="0" fontId="8" fillId="4" borderId="41" xfId="6" applyFont="1" applyFill="1" applyBorder="1" applyAlignment="1">
      <alignment vertical="center" wrapText="1"/>
    </xf>
    <xf numFmtId="0" fontId="8" fillId="4" borderId="43" xfId="6" applyFont="1" applyFill="1" applyBorder="1" applyAlignment="1">
      <alignment vertical="center" wrapText="1"/>
    </xf>
    <xf numFmtId="0" fontId="8" fillId="4" borderId="34" xfId="6" applyFont="1" applyFill="1" applyBorder="1" applyAlignment="1">
      <alignment vertical="center" wrapText="1"/>
    </xf>
    <xf numFmtId="0" fontId="8" fillId="4" borderId="5" xfId="6" applyFont="1" applyFill="1" applyBorder="1" applyAlignment="1">
      <alignment vertical="center" wrapText="1"/>
    </xf>
    <xf numFmtId="0" fontId="8" fillId="0" borderId="27" xfId="6" applyFont="1" applyBorder="1" applyAlignment="1">
      <alignment horizontal="center" vertical="center" wrapText="1"/>
    </xf>
    <xf numFmtId="0" fontId="8" fillId="0" borderId="28" xfId="6" applyFont="1" applyBorder="1" applyAlignment="1">
      <alignment horizontal="center" vertical="center" wrapText="1"/>
    </xf>
    <xf numFmtId="0" fontId="8" fillId="0" borderId="22" xfId="6" applyFont="1" applyBorder="1" applyAlignment="1">
      <alignment horizontal="center" vertical="center" wrapText="1"/>
    </xf>
    <xf numFmtId="0" fontId="7" fillId="0" borderId="27" xfId="6" applyFont="1" applyBorder="1" applyAlignment="1">
      <alignment horizontal="left" vertical="center"/>
    </xf>
    <xf numFmtId="0" fontId="7" fillId="0" borderId="28" xfId="6" applyFont="1" applyBorder="1" applyAlignment="1">
      <alignment horizontal="left" vertical="center"/>
    </xf>
    <xf numFmtId="0" fontId="7" fillId="0" borderId="22" xfId="6" applyFont="1" applyBorder="1" applyAlignment="1">
      <alignment horizontal="left" vertical="center"/>
    </xf>
    <xf numFmtId="0" fontId="20" fillId="0" borderId="27" xfId="6" applyFont="1" applyBorder="1" applyAlignment="1">
      <alignment vertical="center" wrapText="1"/>
    </xf>
    <xf numFmtId="0" fontId="20" fillId="0" borderId="28" xfId="6" applyFont="1" applyBorder="1" applyAlignment="1">
      <alignment vertical="center" wrapText="1"/>
    </xf>
    <xf numFmtId="0" fontId="20" fillId="0" borderId="22" xfId="6" applyFont="1" applyBorder="1" applyAlignment="1">
      <alignment vertical="center" wrapText="1"/>
    </xf>
    <xf numFmtId="0" fontId="22" fillId="2" borderId="35" xfId="6" applyFont="1" applyFill="1" applyBorder="1" applyAlignment="1">
      <alignment horizontal="center" vertical="center"/>
    </xf>
    <xf numFmtId="0" fontId="22" fillId="2" borderId="36" xfId="6" applyFont="1" applyFill="1" applyBorder="1" applyAlignment="1">
      <alignment horizontal="center" vertical="center"/>
    </xf>
    <xf numFmtId="0" fontId="22" fillId="2" borderId="37" xfId="6" applyFont="1" applyFill="1" applyBorder="1" applyAlignment="1">
      <alignment horizontal="center" vertical="center"/>
    </xf>
    <xf numFmtId="0" fontId="7" fillId="0" borderId="35" xfId="6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8" fillId="0" borderId="35" xfId="6" applyFont="1" applyBorder="1" applyAlignment="1">
      <alignment horizontal="center" vertical="center"/>
    </xf>
    <xf numFmtId="0" fontId="8" fillId="3" borderId="32" xfId="6" applyFont="1" applyFill="1" applyBorder="1" applyAlignment="1">
      <alignment vertical="center" wrapText="1"/>
    </xf>
    <xf numFmtId="0" fontId="7" fillId="3" borderId="34" xfId="6" applyFont="1" applyFill="1" applyBorder="1" applyAlignment="1">
      <alignment vertical="center"/>
    </xf>
    <xf numFmtId="0" fontId="7" fillId="3" borderId="1" xfId="6" applyFont="1" applyFill="1" applyBorder="1" applyAlignment="1">
      <alignment vertical="center"/>
    </xf>
    <xf numFmtId="0" fontId="7" fillId="3" borderId="4" xfId="6" applyFont="1" applyFill="1" applyBorder="1" applyAlignment="1">
      <alignment vertical="center"/>
    </xf>
    <xf numFmtId="0" fontId="7" fillId="3" borderId="2" xfId="6" applyFont="1" applyFill="1" applyBorder="1" applyAlignment="1">
      <alignment vertical="center"/>
    </xf>
    <xf numFmtId="0" fontId="7" fillId="3" borderId="5" xfId="6" applyFont="1" applyFill="1" applyBorder="1" applyAlignment="1">
      <alignment vertical="center"/>
    </xf>
    <xf numFmtId="0" fontId="8" fillId="3" borderId="32" xfId="6" applyFont="1" applyFill="1" applyBorder="1" applyAlignment="1">
      <alignment vertical="center"/>
    </xf>
    <xf numFmtId="0" fontId="7" fillId="3" borderId="33" xfId="6" applyFont="1" applyFill="1" applyBorder="1" applyAlignment="1">
      <alignment vertical="center"/>
    </xf>
    <xf numFmtId="0" fontId="7" fillId="3" borderId="0" xfId="6" applyFont="1" applyFill="1" applyAlignment="1">
      <alignment vertical="center"/>
    </xf>
    <xf numFmtId="0" fontId="7" fillId="3" borderId="3" xfId="6" applyFont="1" applyFill="1" applyBorder="1" applyAlignment="1">
      <alignment vertical="center"/>
    </xf>
    <xf numFmtId="0" fontId="7" fillId="3" borderId="41" xfId="6" applyFont="1" applyFill="1" applyBorder="1" applyAlignment="1">
      <alignment vertical="center" shrinkToFit="1"/>
    </xf>
    <xf numFmtId="0" fontId="7" fillId="3" borderId="42" xfId="6" applyFont="1" applyFill="1" applyBorder="1" applyAlignment="1">
      <alignment vertical="center" shrinkToFit="1"/>
    </xf>
    <xf numFmtId="0" fontId="7" fillId="3" borderId="43" xfId="6" applyFont="1" applyFill="1" applyBorder="1" applyAlignment="1">
      <alignment vertical="center" shrinkToFit="1"/>
    </xf>
    <xf numFmtId="0" fontId="8" fillId="3" borderId="41" xfId="6" applyFont="1" applyFill="1" applyBorder="1" applyAlignment="1">
      <alignment vertical="center" wrapText="1"/>
    </xf>
    <xf numFmtId="0" fontId="8" fillId="3" borderId="42" xfId="6" applyFont="1" applyFill="1" applyBorder="1" applyAlignment="1">
      <alignment vertical="center" wrapText="1"/>
    </xf>
    <xf numFmtId="0" fontId="8" fillId="3" borderId="43" xfId="6" applyFont="1" applyFill="1" applyBorder="1" applyAlignment="1">
      <alignment vertical="center" wrapText="1"/>
    </xf>
    <xf numFmtId="0" fontId="7" fillId="4" borderId="44" xfId="6" applyFont="1" applyFill="1" applyBorder="1" applyAlignment="1">
      <alignment vertical="center"/>
    </xf>
    <xf numFmtId="0" fontId="8" fillId="4" borderId="45" xfId="6" applyFont="1" applyFill="1" applyBorder="1" applyAlignment="1">
      <alignment vertical="center"/>
    </xf>
    <xf numFmtId="0" fontId="7" fillId="0" borderId="32" xfId="6" applyFont="1" applyBorder="1" applyAlignment="1">
      <alignment horizontal="center" vertical="center"/>
    </xf>
    <xf numFmtId="0" fontId="7" fillId="0" borderId="33" xfId="6" applyFont="1" applyBorder="1" applyAlignment="1">
      <alignment horizontal="center" vertical="center"/>
    </xf>
    <xf numFmtId="0" fontId="7" fillId="0" borderId="34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23" fillId="0" borderId="32" xfId="6" applyFont="1" applyBorder="1" applyAlignment="1">
      <alignment horizontal="center" vertical="center"/>
    </xf>
    <xf numFmtId="0" fontId="23" fillId="0" borderId="33" xfId="6" applyFont="1" applyBorder="1" applyAlignment="1">
      <alignment horizontal="center" vertical="center"/>
    </xf>
    <xf numFmtId="0" fontId="23" fillId="0" borderId="34" xfId="6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3" fillId="0" borderId="4" xfId="6" applyFont="1" applyBorder="1" applyAlignment="1">
      <alignment horizontal="center" vertical="center"/>
    </xf>
    <xf numFmtId="0" fontId="23" fillId="0" borderId="2" xfId="6" applyFont="1" applyBorder="1" applyAlignment="1">
      <alignment horizontal="center" vertical="center"/>
    </xf>
    <xf numFmtId="0" fontId="23" fillId="0" borderId="3" xfId="6" applyFont="1" applyBorder="1" applyAlignment="1">
      <alignment horizontal="center" vertical="center"/>
    </xf>
    <xf numFmtId="0" fontId="23" fillId="0" borderId="5" xfId="6" applyFont="1" applyBorder="1" applyAlignment="1">
      <alignment horizontal="center" vertical="center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40</xdr:col>
      <xdr:colOff>235323</xdr:colOff>
      <xdr:row>56</xdr:row>
      <xdr:rowOff>0</xdr:rowOff>
    </xdr:from>
    <xdr:to>
      <xdr:col>60</xdr:col>
      <xdr:colOff>235322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10906125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31</xdr:col>
      <xdr:colOff>235323</xdr:colOff>
      <xdr:row>56</xdr:row>
      <xdr:rowOff>0</xdr:rowOff>
    </xdr:from>
    <xdr:to>
      <xdr:col>38</xdr:col>
      <xdr:colOff>449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>
          <a:off x="8505825" y="10782300"/>
          <a:ext cx="162877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30</xdr:row>
      <xdr:rowOff>190498</xdr:rowOff>
    </xdr:from>
    <xdr:to>
      <xdr:col>35</xdr:col>
      <xdr:colOff>122425</xdr:colOff>
      <xdr:row>44</xdr:row>
      <xdr:rowOff>190499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>
          <a:stCxn id="54" idx="2"/>
          <a:endCxn id="2" idx="0"/>
        </xdr:cNvCxnSpPr>
      </xdr:nvCxnSpPr>
      <xdr:spPr>
        <a:xfrm rot="16200000" flipH="1">
          <a:off x="1333500" y="6019800"/>
          <a:ext cx="8124825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235322</xdr:colOff>
      <xdr:row>26</xdr:row>
      <xdr:rowOff>1</xdr:rowOff>
    </xdr:from>
    <xdr:to>
      <xdr:col>60</xdr:col>
      <xdr:colOff>235322</xdr:colOff>
      <xdr:row>95</xdr:row>
      <xdr:rowOff>1</xdr:rowOff>
    </xdr:to>
    <xdr:sp macro="" textlink="" fLocksText="0">
      <xdr:nvSpPr>
        <xdr:cNvPr id="44" name="吹き出し: 線 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10106025" y="5067300"/>
          <a:ext cx="6134100" cy="13144500"/>
        </a:xfrm>
        <a:prstGeom prst="borderCallout1">
          <a:avLst>
            <a:gd name="adj1" fmla="val 6884"/>
            <a:gd name="adj2" fmla="val 56"/>
            <a:gd name="adj3" fmla="val 6874"/>
            <a:gd name="adj4" fmla="val -13051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検索条件エリア：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▪画面を初期化すると、以下のボタンを無効にする。「F12:検索」、「状態反映」、「割引率反映」、「日付反映」、「F04:クリア」、「F09: 確定」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▪「検索」ボタンを有効にし、特売割引設定を行う。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「F12:検索」ボタンをタッチすると、画面で選択した検索項目に従って商品を検索する。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▪「F08:PLUコード切替」ボタン又は「F08:商品コード切替」ボタン：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・初期表示：「F08:商品コード切替」ボタンが表示され、「商品コード」入力欄が無効になる。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 「F08:商品コード切替」ボタンをタッチすると、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+ボタンが「F08:PLUコード切替」に切り替えられる。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+「PLUコード」入力欄が無効になる。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・「F08:PLUコード切替」ボタンをタッチすると、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　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+ボタンが「F08:商品コード切替」に切り替えられる。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  +「商品コード」入力欄が無効になる。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▪特売割引設定または特売売価設定: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・「特売割引設定」ボタンをタッチすると、特売割引設定モードに切り替える。このモードに切り替えると、詳細情報エリアには「特売売価」項目を「割引率」項目に変更する。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・「特売売価設定」ボタンをタッチすると、特売割引設定モードに切り替える。このモードに切り替えると、詳細情報エリアには「割引率」項目を「特売売価」項目に変更する。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・商品は特売売価又は特売割引が設定される。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 状態反映」ボタン: 詳細エリアの全商品の状態を一括反映する。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▪「割引率反映」ボタン: 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・特売割引設定モード時のみ表示される。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・詳細エリアの全商品の割引率を一括反映する。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▪「日付反映」ボタン: 全てのページの詳細エリアで全商品の適用期間を一括反映する。</a:t>
          </a:r>
          <a:r>
            <a:rPr lang="ja-JP" altLang="en-US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デフォルト表示：当日～翌日、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時刻：店舗マスタの店舗設定​​値に従って取得する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。</a:t>
          </a: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ページングボタンをタッチすると、 反映日時が変更されない。【クリア】、【確定】ボタンをタッチした場合にのみデフォルトにリセットする。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一覧表示エリア：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1ページに少なくとも10件のレコードを表示し、画面上の項目の割り当てによってはさらに多くのレコードを表示でき、最大100ページを表示できる。ページングエリアのボタン：「先頭行」、「最終行」、「▲前頁」、「▼次頁」：[10_概要機能_画面遷移_00_共通.xlsx]ファイルの[画面設計書]シートをご参照ください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▪特売割引設定又は特売売価設定の1件又は複数件のを新規作成または編集できる。</a:t>
          </a:r>
          <a:r>
            <a: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「特売売価設定」で設定した対象商品を同一プロモーションコードで「特売割引設定」で設定した場合「特売売価設定」で設定した特売は消去される。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▪S&amp;Gカード、S&amp;Gアプリ、S&amp;Gカードアプリを使用する場合、[現在売価]と[会員価格]の設定情報を表示する。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▪商品を検索するために部門2桁、商品コード6桁、PLUコード13桁入力可能。フォーカスアウト時、ゼロを自動的に補填する。編集モードの場合、これらの3項目の情報は無効になる。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▪PLUコードを入力すると、自動検索を実行する。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・商品がない場合、「データが見つかりませんでした。」テキストが表示される。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・商品が存在している場合、以下の商品情報を埋め込む：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商品コード、PLUコード、商品名称、定番売価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▪特売売価を入力する項目は最大6桁の数字を入力する。変更売価が「0」で入力した場合、「変更売価は0より大きい数字を入力してください。」エラーメッセージが表示される。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▪特売割引設定又は特売売価設定の情報がある場合、以下のボタンが有効になる。「F09: 確定」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▪特売売価更新時、POSとS&amp;Gにも更新する必要がある。中止時にはPOSとS&amp;Gにも削除する必要がある。</a:t>
          </a:r>
        </a:p>
        <a:p>
          <a:pPr>
            <a:defRPr lang="en-US" altLang="ja-JP" sz="1000" b="1" i="0" u="none" baseline="0">
              <a:solidFill>
                <a:schemeClr val="accent2">
                  <a:lumMod val="75000"/>
                </a:schemeClr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※</a:t>
          </a:r>
          <a:r>
            <a:rPr lang="ja-JP" alt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画面縮小時に表示サイズを変更せずにスクロールバーを表示する。</a:t>
          </a:r>
          <a:endParaRPr lang="en-US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15</xdr:row>
      <xdr:rowOff>190499</xdr:rowOff>
    </xdr:from>
    <xdr:to>
      <xdr:col>61</xdr:col>
      <xdr:colOff>1</xdr:colOff>
      <xdr:row>18</xdr:row>
      <xdr:rowOff>0</xdr:rowOff>
    </xdr:to>
    <xdr:sp macro="" textlink="" fLocksText="0">
      <xdr:nvSpPr>
        <xdr:cNvPr id="42" name="吹き出し: 線 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>
          <a:off x="10134600" y="3162300"/>
          <a:ext cx="6134100" cy="381000"/>
        </a:xfrm>
        <a:prstGeom prst="borderCallout1">
          <a:avLst>
            <a:gd name="adj1" fmla="val 49927"/>
            <a:gd name="adj2" fmla="val -182"/>
            <a:gd name="adj3" fmla="val 169428"/>
            <a:gd name="adj4" fmla="val -1361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店舗共通機能を実行する。1つの店舗選択可能。</a:t>
          </a:r>
          <a:endParaRPr lang="vi-VN" altLang="ja-JP" sz="1000" b="0" i="0" u="none" baseline="0"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solidFill>
              <a:srgbClr val="0000FF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19</xdr:row>
      <xdr:rowOff>0</xdr:rowOff>
    </xdr:from>
    <xdr:to>
      <xdr:col>61</xdr:col>
      <xdr:colOff>0</xdr:colOff>
      <xdr:row>24</xdr:row>
      <xdr:rowOff>0</xdr:rowOff>
    </xdr:to>
    <xdr:sp macro="" textlink="" fLocksText="0">
      <xdr:nvSpPr>
        <xdr:cNvPr id="22" name="吹き出し: 線 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>
          <a:off x="10134600" y="3733800"/>
          <a:ext cx="6134100" cy="952500"/>
        </a:xfrm>
        <a:prstGeom prst="borderCallout1">
          <a:avLst>
            <a:gd name="adj1" fmla="val 49927"/>
            <a:gd name="adj2" fmla="val -182"/>
            <a:gd name="adj3" fmla="val 171991"/>
            <a:gd name="adj4" fmla="val -13159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画面には以下の3つのエリアを表示する。</a:t>
          </a:r>
        </a:p>
        <a:p>
          <a:pPr algn="l"/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店舗選択エリア、検索条件エリア、一覧表示エリア</a:t>
          </a:r>
        </a:p>
        <a:p>
          <a:pPr algn="l"/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初期表示：店舗選択エリアのみ操作可能で、その他のエリアが無効になって操作不可。</a:t>
          </a:r>
        </a:p>
        <a:p>
          <a:pPr>
            <a:defRPr lang="en-US" sz="1000" b="0" i="0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検索条件エリア：店舗を選択した場合のみ操作可能。</a:t>
          </a:r>
        </a:p>
      </xdr:txBody>
    </xdr:sp>
    <xdr:clientData/>
  </xdr:twoCellAnchor>
  <xdr:twoCellAnchor>
    <xdr:from>
      <xdr:col>1</xdr:col>
      <xdr:colOff>217714</xdr:colOff>
      <xdr:row>8</xdr:row>
      <xdr:rowOff>0</xdr:rowOff>
    </xdr:from>
    <xdr:to>
      <xdr:col>8</xdr:col>
      <xdr:colOff>16023</xdr:colOff>
      <xdr:row>12</xdr:row>
      <xdr:rowOff>1200</xdr:rowOff>
    </xdr:to>
    <xdr:sp macro="" textlink="" fLocksText="0">
      <xdr:nvSpPr>
        <xdr:cNvPr id="25" name="四角形: 角を丸くする 21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85775" y="1638300"/>
          <a:ext cx="1666875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1</xdr:col>
      <xdr:colOff>217714</xdr:colOff>
      <xdr:row>12</xdr:row>
      <xdr:rowOff>0</xdr:rowOff>
    </xdr:from>
    <xdr:to>
      <xdr:col>8</xdr:col>
      <xdr:colOff>15572</xdr:colOff>
      <xdr:row>14</xdr:row>
      <xdr:rowOff>0</xdr:rowOff>
    </xdr:to>
    <xdr:sp macro="" textlink="" fLocksText="0">
      <xdr:nvSpPr>
        <xdr:cNvPr id="26" name="四角形: 角を丸くする 1101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85775" y="2400300"/>
          <a:ext cx="1666875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03 店舗特売入力</a:t>
          </a:r>
        </a:p>
      </xdr:txBody>
    </xdr:sp>
    <xdr:clientData/>
  </xdr:twoCellAnchor>
  <xdr:twoCellAnchor>
    <xdr:from>
      <xdr:col>4</xdr:col>
      <xdr:colOff>235706</xdr:colOff>
      <xdr:row>14</xdr:row>
      <xdr:rowOff>0</xdr:rowOff>
    </xdr:from>
    <xdr:to>
      <xdr:col>4</xdr:col>
      <xdr:colOff>235706</xdr:colOff>
      <xdr:row>19</xdr:row>
      <xdr:rowOff>13607</xdr:rowOff>
    </xdr:to>
    <xdr:cxnSp macro="">
      <xdr:nvCxnSpPr>
        <xdr:cNvPr id="28" name="直線矢印コネクタ 1010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>
          <a:stCxn id="26" idx="2"/>
          <a:endCxn id="38" idx="0"/>
        </xdr:cNvCxnSpPr>
      </xdr:nvCxnSpPr>
      <xdr:spPr>
        <a:xfrm>
          <a:off x="1304925" y="2781300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224846</xdr:colOff>
      <xdr:row>19</xdr:row>
      <xdr:rowOff>13607</xdr:rowOff>
    </xdr:from>
    <xdr:to>
      <xdr:col>7</xdr:col>
      <xdr:colOff>8441</xdr:colOff>
      <xdr:row>20</xdr:row>
      <xdr:rowOff>0</xdr:rowOff>
    </xdr:to>
    <xdr:sp macro="" textlink="" fLocksText="0">
      <xdr:nvSpPr>
        <xdr:cNvPr id="38" name="四角形: 角を丸くする 1101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>
          <a:off x="762000" y="3743325"/>
          <a:ext cx="1114425" cy="1809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235706</xdr:colOff>
      <xdr:row>20</xdr:row>
      <xdr:rowOff>0</xdr:rowOff>
    </xdr:from>
    <xdr:to>
      <xdr:col>5</xdr:col>
      <xdr:colOff>0</xdr:colOff>
      <xdr:row>27</xdr:row>
      <xdr:rowOff>0</xdr:rowOff>
    </xdr:to>
    <xdr:cxnSp macro="">
      <xdr:nvCxnSpPr>
        <xdr:cNvPr id="41" name="直線矢印コネクタ 101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>
          <a:stCxn id="38" idx="2"/>
          <a:endCxn id="54" idx="0"/>
        </xdr:cNvCxnSpPr>
      </xdr:nvCxnSpPr>
      <xdr:spPr>
        <a:xfrm>
          <a:off x="1304925" y="3924300"/>
          <a:ext cx="28575" cy="1333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64</xdr:row>
      <xdr:rowOff>28575</xdr:rowOff>
    </xdr:from>
    <xdr:to>
      <xdr:col>12</xdr:col>
      <xdr:colOff>238124</xdr:colOff>
      <xdr:row>68</xdr:row>
      <xdr:rowOff>28576</xdr:rowOff>
    </xdr:to>
    <xdr:sp macro="" textlink="" fLocksText="0">
      <xdr:nvSpPr>
        <xdr:cNvPr id="45" name="四角形: 角を丸くする 21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1866900" y="12334875"/>
          <a:ext cx="1571625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FC0104</a:t>
          </a:r>
        </a:p>
        <a:p>
          <a:pPr algn="ctr">
            <a:defRPr lang="en-US" altLang="ja-JP" sz="110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特売売価設定機能（編集）</a:t>
          </a:r>
        </a:p>
      </xdr:txBody>
    </xdr:sp>
    <xdr:clientData/>
  </xdr:twoCellAnchor>
  <xdr:twoCellAnchor>
    <xdr:from>
      <xdr:col>38</xdr:col>
      <xdr:colOff>0</xdr:colOff>
      <xdr:row>97</xdr:row>
      <xdr:rowOff>0</xdr:rowOff>
    </xdr:from>
    <xdr:to>
      <xdr:col>61</xdr:col>
      <xdr:colOff>0</xdr:colOff>
      <xdr:row>98</xdr:row>
      <xdr:rowOff>22414</xdr:rowOff>
    </xdr:to>
    <xdr:sp macro="" textlink="" fLocksText="0">
      <xdr:nvSpPr>
        <xdr:cNvPr id="46" name="吹き出し: 線 2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10134600" y="18592800"/>
          <a:ext cx="6134100" cy="209550"/>
        </a:xfrm>
        <a:prstGeom prst="borderCallout1">
          <a:avLst>
            <a:gd name="adj1" fmla="val 51151"/>
            <a:gd name="adj2" fmla="val 232"/>
            <a:gd name="adj3" fmla="val -2659364"/>
            <a:gd name="adj4" fmla="val -134381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フロー01_商品管理をご参照ください。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10</xdr:col>
      <xdr:colOff>0</xdr:colOff>
      <xdr:row>68</xdr:row>
      <xdr:rowOff>28576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CxnSpPr>
          <a:stCxn id="45" idx="2"/>
          <a:endCxn id="54" idx="1"/>
        </xdr:cNvCxnSpPr>
      </xdr:nvCxnSpPr>
      <xdr:spPr>
        <a:xfrm rot="5400000" flipH="1">
          <a:off x="533400" y="5638800"/>
          <a:ext cx="2133600" cy="7458075"/>
        </a:xfrm>
        <a:prstGeom prst="bentConnector4">
          <a:avLst>
            <a:gd name="adj1" fmla="val -3065"/>
            <a:gd name="adj2" fmla="val 112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27</xdr:row>
      <xdr:rowOff>0</xdr:rowOff>
    </xdr:from>
    <xdr:to>
      <xdr:col>8</xdr:col>
      <xdr:colOff>0</xdr:colOff>
      <xdr:row>30</xdr:row>
      <xdr:rowOff>190499</xdr:rowOff>
    </xdr:to>
    <xdr:sp macro="" textlink="" fLocksText="0">
      <xdr:nvSpPr>
        <xdr:cNvPr id="54" name="正方形/長方形 1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>
          <a:off x="533400" y="5257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SC0104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特売マスタ売価設定画面（編集）</a:t>
          </a:r>
        </a:p>
      </xdr:txBody>
    </xdr:sp>
    <xdr:clientData/>
  </xdr:twoCellAnchor>
  <xdr:twoCellAnchor>
    <xdr:from>
      <xdr:col>6</xdr:col>
      <xdr:colOff>0</xdr:colOff>
      <xdr:row>41</xdr:row>
      <xdr:rowOff>9525</xdr:rowOff>
    </xdr:from>
    <xdr:to>
      <xdr:col>9</xdr:col>
      <xdr:colOff>0</xdr:colOff>
      <xdr:row>42</xdr:row>
      <xdr:rowOff>9525</xdr:rowOff>
    </xdr:to>
    <xdr:sp macro="" textlink="" fLocksText="0">
      <xdr:nvSpPr>
        <xdr:cNvPr id="70" name="四角形: 角を丸くする 1101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1600200" y="7934325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18</xdr:col>
      <xdr:colOff>0</xdr:colOff>
      <xdr:row>45</xdr:row>
      <xdr:rowOff>1</xdr:rowOff>
    </xdr:from>
    <xdr:to>
      <xdr:col>22</xdr:col>
      <xdr:colOff>0</xdr:colOff>
      <xdr:row>48</xdr:row>
      <xdr:rowOff>0</xdr:rowOff>
    </xdr:to>
    <xdr:sp macro="" textlink="" fLocksText="0">
      <xdr:nvSpPr>
        <xdr:cNvPr id="71" name="四角形: 角を丸くする 1101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/>
      </xdr:nvSpPr>
      <xdr:spPr>
        <a:xfrm>
          <a:off x="4800600" y="8686800"/>
          <a:ext cx="10668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状態反映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1</xdr:colOff>
      <xdr:row>45</xdr:row>
      <xdr:rowOff>0</xdr:rowOff>
    </xdr:from>
    <xdr:to>
      <xdr:col>17</xdr:col>
      <xdr:colOff>1</xdr:colOff>
      <xdr:row>48</xdr:row>
      <xdr:rowOff>4483</xdr:rowOff>
    </xdr:to>
    <xdr:sp macro="" textlink="" fLocksText="0">
      <xdr:nvSpPr>
        <xdr:cNvPr id="72" name="四角形: 角を丸くする 110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/>
      </xdr:nvSpPr>
      <xdr:spPr>
        <a:xfrm>
          <a:off x="2933700" y="86868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特売割引設定 </a:t>
          </a:r>
          <a:endParaRPr lang="en-US" altLang="ja-JP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en-US" altLang="ja-JP" sz="9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 </a:t>
          </a:r>
        </a:p>
        <a:p>
          <a:pPr algn="ctr">
            <a:defRPr lang="en-US" altLang="ja-JP" sz="9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特売売価設定</a:t>
          </a:r>
        </a:p>
      </xdr:txBody>
    </xdr:sp>
    <xdr:clientData/>
  </xdr:twoCellAnchor>
  <xdr:twoCellAnchor>
    <xdr:from>
      <xdr:col>28</xdr:col>
      <xdr:colOff>13456</xdr:colOff>
      <xdr:row>45</xdr:row>
      <xdr:rowOff>0</xdr:rowOff>
    </xdr:from>
    <xdr:to>
      <xdr:col>32</xdr:col>
      <xdr:colOff>0</xdr:colOff>
      <xdr:row>47</xdr:row>
      <xdr:rowOff>188257</xdr:rowOff>
    </xdr:to>
    <xdr:sp macro="" textlink="" fLocksText="0">
      <xdr:nvSpPr>
        <xdr:cNvPr id="73" name="四角形: 角を丸くする 1101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/>
      </xdr:nvSpPr>
      <xdr:spPr>
        <a:xfrm>
          <a:off x="7477125" y="8686800"/>
          <a:ext cx="10572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日付反映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238124</xdr:colOff>
      <xdr:row>30</xdr:row>
      <xdr:rowOff>190499</xdr:rowOff>
    </xdr:from>
    <xdr:to>
      <xdr:col>19</xdr:col>
      <xdr:colOff>238124</xdr:colOff>
      <xdr:row>45</xdr:row>
      <xdr:rowOff>1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>
          <a:stCxn id="54" idx="2"/>
          <a:endCxn id="71" idx="0"/>
        </xdr:cNvCxnSpPr>
      </xdr:nvCxnSpPr>
      <xdr:spPr>
        <a:xfrm rot="16200000" flipH="1">
          <a:off x="1304925" y="6019800"/>
          <a:ext cx="4000500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190498</xdr:rowOff>
    </xdr:from>
    <xdr:to>
      <xdr:col>30</xdr:col>
      <xdr:colOff>6728</xdr:colOff>
      <xdr:row>44</xdr:row>
      <xdr:rowOff>190499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CxnSpPr>
          <a:stCxn id="54" idx="2"/>
          <a:endCxn id="73" idx="0"/>
        </xdr:cNvCxnSpPr>
      </xdr:nvCxnSpPr>
      <xdr:spPr>
        <a:xfrm rot="16200000" flipH="1">
          <a:off x="1333500" y="6019800"/>
          <a:ext cx="6677025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30</xdr:row>
      <xdr:rowOff>190498</xdr:rowOff>
    </xdr:from>
    <xdr:to>
      <xdr:col>14</xdr:col>
      <xdr:colOff>2</xdr:colOff>
      <xdr:row>44</xdr:row>
      <xdr:rowOff>190499</xdr:rowOff>
    </xdr:to>
    <xdr:cxnSp macro="">
      <xdr:nvCxnSpPr>
        <xdr:cNvPr id="17" name="Connector: Elbow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>
          <a:stCxn id="54" idx="2"/>
          <a:endCxn id="72" idx="0"/>
        </xdr:cNvCxnSpPr>
      </xdr:nvCxnSpPr>
      <xdr:spPr>
        <a:xfrm rot="16200000" flipH="1">
          <a:off x="1333500" y="6019800"/>
          <a:ext cx="2400300" cy="2667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45</xdr:row>
      <xdr:rowOff>9525</xdr:rowOff>
    </xdr:from>
    <xdr:to>
      <xdr:col>27</xdr:col>
      <xdr:colOff>9525</xdr:colOff>
      <xdr:row>48</xdr:row>
      <xdr:rowOff>0</xdr:rowOff>
    </xdr:to>
    <xdr:sp macro="" textlink="" fLocksText="0">
      <xdr:nvSpPr>
        <xdr:cNvPr id="94" name="四角形: 角を丸くする 1101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/>
      </xdr:nvSpPr>
      <xdr:spPr>
        <a:xfrm>
          <a:off x="6134100" y="8696325"/>
          <a:ext cx="1076325" cy="56197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割引率反映</a:t>
          </a:r>
          <a:endParaRPr lang="ja-JP" altLang="en-US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238124</xdr:colOff>
      <xdr:row>30</xdr:row>
      <xdr:rowOff>190499</xdr:rowOff>
    </xdr:from>
    <xdr:to>
      <xdr:col>25</xdr:col>
      <xdr:colOff>4762</xdr:colOff>
      <xdr:row>45</xdr:row>
      <xdr:rowOff>9525</xdr:rowOff>
    </xdr:to>
    <xdr:cxnSp macro="">
      <xdr:nvCxnSpPr>
        <xdr:cNvPr id="95" name="Connector: Elbow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CxnSpPr>
          <a:stCxn id="54" idx="2"/>
          <a:endCxn id="94" idx="0"/>
        </xdr:cNvCxnSpPr>
      </xdr:nvCxnSpPr>
      <xdr:spPr>
        <a:xfrm rot="16200000" flipH="1">
          <a:off x="1304925" y="6019800"/>
          <a:ext cx="5362575" cy="2676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25</xdr:row>
      <xdr:rowOff>0</xdr:rowOff>
    </xdr:to>
    <xdr:sp macro="" textlink="" fLocksText="0">
      <xdr:nvSpPr>
        <xdr:cNvPr id="7" name="Rectangle: Rounded Corners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266700" y="4686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03</a:t>
          </a:r>
        </a:p>
      </xdr:txBody>
    </xdr:sp>
    <xdr:clientData/>
  </xdr:twoCellAnchor>
  <xdr:twoCellAnchor>
    <xdr:from>
      <xdr:col>3</xdr:col>
      <xdr:colOff>0</xdr:colOff>
      <xdr:row>24</xdr:row>
      <xdr:rowOff>95250</xdr:rowOff>
    </xdr:from>
    <xdr:to>
      <xdr:col>5</xdr:col>
      <xdr:colOff>0</xdr:colOff>
      <xdr:row>27</xdr:row>
      <xdr:rowOff>0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>
          <a:stCxn id="7" idx="3"/>
          <a:endCxn id="54" idx="0"/>
        </xdr:cNvCxnSpPr>
      </xdr:nvCxnSpPr>
      <xdr:spPr>
        <a:xfrm>
          <a:off x="800100" y="4781550"/>
          <a:ext cx="533400" cy="476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57</xdr:row>
      <xdr:rowOff>0</xdr:rowOff>
    </xdr:from>
    <xdr:to>
      <xdr:col>26</xdr:col>
      <xdr:colOff>0</xdr:colOff>
      <xdr:row>58</xdr:row>
      <xdr:rowOff>0</xdr:rowOff>
    </xdr:to>
    <xdr:sp macro="" textlink="" fLocksText="0">
      <xdr:nvSpPr>
        <xdr:cNvPr id="9" name="Rectangle: Rounded Corners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6400800" y="109728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03</a:t>
          </a:r>
        </a:p>
      </xdr:txBody>
    </xdr:sp>
    <xdr:clientData/>
  </xdr:twoCellAnchor>
  <xdr:twoCellAnchor>
    <xdr:from>
      <xdr:col>14</xdr:col>
      <xdr:colOff>2</xdr:colOff>
      <xdr:row>48</xdr:row>
      <xdr:rowOff>4482</xdr:rowOff>
    </xdr:from>
    <xdr:to>
      <xdr:col>25</xdr:col>
      <xdr:colOff>1</xdr:colOff>
      <xdr:row>56</xdr:row>
      <xdr:rowOff>190499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CxnSpPr>
          <a:stCxn id="72" idx="2"/>
          <a:endCxn id="9" idx="0"/>
        </xdr:cNvCxnSpPr>
      </xdr:nvCxnSpPr>
      <xdr:spPr>
        <a:xfrm rot="16200000" flipH="1">
          <a:off x="3733800" y="9258300"/>
          <a:ext cx="2933700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238124</xdr:colOff>
      <xdr:row>48</xdr:row>
      <xdr:rowOff>0</xdr:rowOff>
    </xdr:from>
    <xdr:to>
      <xdr:col>24</xdr:col>
      <xdr:colOff>238124</xdr:colOff>
      <xdr:row>57</xdr:row>
      <xdr:rowOff>0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>
          <a:stCxn id="71" idx="2"/>
          <a:endCxn id="9" idx="0"/>
        </xdr:cNvCxnSpPr>
      </xdr:nvCxnSpPr>
      <xdr:spPr>
        <a:xfrm rot="16200000" flipH="1">
          <a:off x="5305425" y="9258300"/>
          <a:ext cx="1333500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48</xdr:row>
      <xdr:rowOff>1</xdr:rowOff>
    </xdr:from>
    <xdr:to>
      <xdr:col>25</xdr:col>
      <xdr:colOff>4763</xdr:colOff>
      <xdr:row>57</xdr:row>
      <xdr:rowOff>1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>
          <a:stCxn id="94" idx="2"/>
          <a:endCxn id="9" idx="0"/>
        </xdr:cNvCxnSpPr>
      </xdr:nvCxnSpPr>
      <xdr:spPr>
        <a:xfrm rot="5400000">
          <a:off x="6667500" y="9258300"/>
          <a:ext cx="9525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</xdr:colOff>
      <xdr:row>47</xdr:row>
      <xdr:rowOff>188257</xdr:rowOff>
    </xdr:from>
    <xdr:to>
      <xdr:col>30</xdr:col>
      <xdr:colOff>6729</xdr:colOff>
      <xdr:row>57</xdr:row>
      <xdr:rowOff>0</xdr:rowOff>
    </xdr:to>
    <xdr:cxnSp macro="">
      <xdr:nvCxnSpPr>
        <xdr:cNvPr id="20" name="Connector: Elbow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>
          <a:stCxn id="73" idx="2"/>
          <a:endCxn id="9" idx="0"/>
        </xdr:cNvCxnSpPr>
      </xdr:nvCxnSpPr>
      <xdr:spPr>
        <a:xfrm rot="5400000">
          <a:off x="6667500" y="9258300"/>
          <a:ext cx="1343025" cy="1714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6723</xdr:colOff>
      <xdr:row>45</xdr:row>
      <xdr:rowOff>0</xdr:rowOff>
    </xdr:from>
    <xdr:to>
      <xdr:col>38</xdr:col>
      <xdr:colOff>0</xdr:colOff>
      <xdr:row>48</xdr:row>
      <xdr:rowOff>11205</xdr:rowOff>
    </xdr:to>
    <xdr:sp macro="" textlink="" fLocksText="0">
      <xdr:nvSpPr>
        <xdr:cNvPr id="2" name="四角形: 角を丸くする 110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810625" y="8686800"/>
          <a:ext cx="1323975" cy="581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F08:PLU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コード切替 </a:t>
          </a:r>
          <a:endParaRPr lang="en-US" altLang="ja-JP" sz="9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OR </a:t>
          </a:r>
        </a:p>
        <a:p>
          <a:pPr marL="0" indent="0" algn="ctr"/>
          <a:r>
            <a:rPr lang="en-US" altLang="ja-JP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F08:</a:t>
          </a:r>
          <a:r>
            <a:rPr lang="ja-JP" alt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商品コード切替</a:t>
          </a:r>
        </a:p>
      </xdr:txBody>
    </xdr:sp>
    <xdr:clientData/>
  </xdr:twoCellAnchor>
  <xdr:twoCellAnchor>
    <xdr:from>
      <xdr:col>25</xdr:col>
      <xdr:colOff>1</xdr:colOff>
      <xdr:row>48</xdr:row>
      <xdr:rowOff>11204</xdr:rowOff>
    </xdr:from>
    <xdr:to>
      <xdr:col>35</xdr:col>
      <xdr:colOff>122425</xdr:colOff>
      <xdr:row>56</xdr:row>
      <xdr:rowOff>190499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CxnSpPr>
          <a:stCxn id="2" idx="2"/>
          <a:endCxn id="9" idx="0"/>
        </xdr:cNvCxnSpPr>
      </xdr:nvCxnSpPr>
      <xdr:spPr>
        <a:xfrm rot="5400000">
          <a:off x="6667500" y="9267825"/>
          <a:ext cx="2790825" cy="17049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238124</xdr:colOff>
      <xdr:row>30</xdr:row>
      <xdr:rowOff>190499</xdr:rowOff>
    </xdr:from>
    <xdr:to>
      <xdr:col>5</xdr:col>
      <xdr:colOff>238124</xdr:colOff>
      <xdr:row>41</xdr:row>
      <xdr:rowOff>104775</xdr:rowOff>
    </xdr:to>
    <xdr:cxnSp macro="">
      <xdr:nvCxnSpPr>
        <xdr:cNvPr id="164" name="Connector: Elbow 163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CxnSpPr>
          <a:stCxn id="54" idx="2"/>
          <a:endCxn id="70" idx="1"/>
        </xdr:cNvCxnSpPr>
      </xdr:nvCxnSpPr>
      <xdr:spPr>
        <a:xfrm rot="16200000" flipH="1">
          <a:off x="1304925" y="6019800"/>
          <a:ext cx="266700" cy="20097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44</xdr:row>
      <xdr:rowOff>0</xdr:rowOff>
    </xdr:from>
    <xdr:to>
      <xdr:col>9</xdr:col>
      <xdr:colOff>1</xdr:colOff>
      <xdr:row>45</xdr:row>
      <xdr:rowOff>0</xdr:rowOff>
    </xdr:to>
    <xdr:sp macro="" textlink="" fLocksText="0">
      <xdr:nvSpPr>
        <xdr:cNvPr id="167" name="四角形: 角を丸くする 1101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1600200" y="8496300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F09：確定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30</xdr:row>
      <xdr:rowOff>190498</xdr:rowOff>
    </xdr:from>
    <xdr:to>
      <xdr:col>6</xdr:col>
      <xdr:colOff>0</xdr:colOff>
      <xdr:row>44</xdr:row>
      <xdr:rowOff>95249</xdr:rowOff>
    </xdr:to>
    <xdr:cxnSp macro="">
      <xdr:nvCxnSpPr>
        <xdr:cNvPr id="169" name="Connector: Elbow 168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CxnSpPr>
          <a:stCxn id="54" idx="2"/>
          <a:endCxn id="167" idx="1"/>
        </xdr:cNvCxnSpPr>
      </xdr:nvCxnSpPr>
      <xdr:spPr>
        <a:xfrm rot="16200000" flipH="1">
          <a:off x="1333500" y="6019800"/>
          <a:ext cx="266700" cy="2571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41</xdr:row>
      <xdr:rowOff>104775</xdr:rowOff>
    </xdr:from>
    <xdr:to>
      <xdr:col>10</xdr:col>
      <xdr:colOff>0</xdr:colOff>
      <xdr:row>64</xdr:row>
      <xdr:rowOff>28575</xdr:rowOff>
    </xdr:to>
    <xdr:cxnSp macro="">
      <xdr:nvCxnSpPr>
        <xdr:cNvPr id="170" name="Connector: Elbow 169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CxnSpPr>
          <a:stCxn id="70" idx="3"/>
          <a:endCxn id="45" idx="0"/>
        </xdr:cNvCxnSpPr>
      </xdr:nvCxnSpPr>
      <xdr:spPr>
        <a:xfrm>
          <a:off x="2400300" y="8029575"/>
          <a:ext cx="266700" cy="430530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44</xdr:row>
      <xdr:rowOff>95250</xdr:rowOff>
    </xdr:from>
    <xdr:to>
      <xdr:col>10</xdr:col>
      <xdr:colOff>0</xdr:colOff>
      <xdr:row>64</xdr:row>
      <xdr:rowOff>28575</xdr:rowOff>
    </xdr:to>
    <xdr:cxnSp macro="">
      <xdr:nvCxnSpPr>
        <xdr:cNvPr id="187" name="Connector: Elbow 186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CxnSpPr>
          <a:stCxn id="167" idx="3"/>
          <a:endCxn id="45" idx="0"/>
        </xdr:cNvCxnSpPr>
      </xdr:nvCxnSpPr>
      <xdr:spPr>
        <a:xfrm>
          <a:off x="2400300" y="8591550"/>
          <a:ext cx="266700" cy="37433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47</xdr:row>
      <xdr:rowOff>0</xdr:rowOff>
    </xdr:from>
    <xdr:to>
      <xdr:col>8</xdr:col>
      <xdr:colOff>200026</xdr:colOff>
      <xdr:row>48</xdr:row>
      <xdr:rowOff>0</xdr:rowOff>
    </xdr:to>
    <xdr:sp macro="" textlink="" fLocksText="0">
      <xdr:nvSpPr>
        <xdr:cNvPr id="223" name="四角形: 角を丸くする 1101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/>
      </xdr:nvSpPr>
      <xdr:spPr>
        <a:xfrm>
          <a:off x="1533525" y="9067800"/>
          <a:ext cx="8001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クリア</a:t>
          </a:r>
          <a:endParaRPr lang="ja-JP" altLang="en-US" sz="8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30</xdr:row>
      <xdr:rowOff>190498</xdr:rowOff>
    </xdr:from>
    <xdr:to>
      <xdr:col>5</xdr:col>
      <xdr:colOff>200025</xdr:colOff>
      <xdr:row>47</xdr:row>
      <xdr:rowOff>95249</xdr:rowOff>
    </xdr:to>
    <xdr:cxnSp macro="">
      <xdr:nvCxnSpPr>
        <xdr:cNvPr id="224" name="Connector: Elbow 223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CxnSpPr>
          <a:stCxn id="54" idx="2"/>
          <a:endCxn id="223" idx="1"/>
        </xdr:cNvCxnSpPr>
      </xdr:nvCxnSpPr>
      <xdr:spPr>
        <a:xfrm rot="16200000" flipH="1">
          <a:off x="1333500" y="6019800"/>
          <a:ext cx="200025" cy="3143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200026</xdr:colOff>
      <xdr:row>47</xdr:row>
      <xdr:rowOff>95250</xdr:rowOff>
    </xdr:from>
    <xdr:to>
      <xdr:col>10</xdr:col>
      <xdr:colOff>0</xdr:colOff>
      <xdr:row>64</xdr:row>
      <xdr:rowOff>28575</xdr:rowOff>
    </xdr:to>
    <xdr:cxnSp macro="">
      <xdr:nvCxnSpPr>
        <xdr:cNvPr id="227" name="Connector: Elbow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CxnSpPr>
          <a:stCxn id="223" idx="3"/>
          <a:endCxn id="45" idx="0"/>
        </xdr:cNvCxnSpPr>
      </xdr:nvCxnSpPr>
      <xdr:spPr>
        <a:xfrm>
          <a:off x="2333625" y="9163050"/>
          <a:ext cx="333375" cy="31718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54</xdr:row>
      <xdr:rowOff>123825</xdr:rowOff>
    </xdr:from>
    <xdr:to>
      <xdr:col>129</xdr:col>
      <xdr:colOff>179067</xdr:colOff>
      <xdr:row>80</xdr:row>
      <xdr:rowOff>161301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939F0E-5CAF-4DC9-BBB5-7688FD84E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31353" y="10522884"/>
          <a:ext cx="15004449" cy="4990476"/>
        </a:xfrm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26</xdr:row>
      <xdr:rowOff>0</xdr:rowOff>
    </xdr:from>
    <xdr:to>
      <xdr:col>129</xdr:col>
      <xdr:colOff>226696</xdr:colOff>
      <xdr:row>53</xdr:row>
      <xdr:rowOff>27929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4AB8180-3191-4846-8C4C-304601B92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1353" y="5065059"/>
          <a:ext cx="15052078" cy="51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1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00" t="s">
        <v>2</v>
      </c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99" t="s">
        <v>8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9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93" t="str">
        <f>改訂履歴!$H$11</f>
        <v>TuyenNH</v>
      </c>
      <c r="AQ2" s="94"/>
      <c r="AR2" s="94"/>
      <c r="AS2" s="95"/>
      <c r="AT2" s="120">
        <f>改訂履歴!$B$11</f>
        <v>45408</v>
      </c>
      <c r="AU2" s="121"/>
      <c r="AV2" s="121"/>
      <c r="AW2" s="121"/>
      <c r="AX2" s="122"/>
      <c r="AY2" s="93" t="str">
        <f>LOOKUP(2,1/(改訂履歴!H11:H30000&lt;&gt;""),改訂履歴!H11:H30000)</f>
        <v>TinNH</v>
      </c>
      <c r="AZ2" s="94"/>
      <c r="BA2" s="94"/>
      <c r="BB2" s="95"/>
      <c r="BC2" s="120">
        <f>LOOKUP(2,1/(改訂履歴!B11:B30000&lt;&gt;""),改訂履歴!B11:B30000)</f>
        <v>45520</v>
      </c>
      <c r="BD2" s="121"/>
      <c r="BE2" s="121"/>
      <c r="BF2" s="121"/>
      <c r="BG2" s="122"/>
      <c r="BH2" s="114">
        <f>LOOKUP(2,1/(改訂履歴!O11:O30000&lt;&gt;""),改訂履歴!O11:O30000)</f>
        <v>0.4</v>
      </c>
      <c r="BI2" s="115"/>
      <c r="BJ2" s="115"/>
      <c r="BK2" s="116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6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8"/>
      <c r="AP3" s="96"/>
      <c r="AQ3" s="97"/>
      <c r="AR3" s="97"/>
      <c r="AS3" s="98"/>
      <c r="AT3" s="123"/>
      <c r="AU3" s="124"/>
      <c r="AV3" s="124"/>
      <c r="AW3" s="124"/>
      <c r="AX3" s="125"/>
      <c r="AY3" s="96"/>
      <c r="AZ3" s="97"/>
      <c r="BA3" s="97"/>
      <c r="BB3" s="98"/>
      <c r="BC3" s="123"/>
      <c r="BD3" s="124"/>
      <c r="BE3" s="124"/>
      <c r="BF3" s="124"/>
      <c r="BG3" s="125"/>
      <c r="BH3" s="117"/>
      <c r="BI3" s="118"/>
      <c r="BJ3" s="118"/>
      <c r="BK3" s="119"/>
    </row>
    <row r="4" spans="1:63" ht="24.95" customHeight="1" x14ac:dyDescent="0.25">
      <c r="A4" s="90" t="s">
        <v>10</v>
      </c>
      <c r="B4" s="91"/>
      <c r="C4" s="91"/>
      <c r="D4" s="91"/>
      <c r="E4" s="91"/>
      <c r="F4" s="91"/>
      <c r="G4" s="92"/>
      <c r="H4" s="111" t="s">
        <v>11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0" t="s">
        <v>12</v>
      </c>
      <c r="V4" s="91"/>
      <c r="W4" s="91"/>
      <c r="X4" s="91"/>
      <c r="Y4" s="92"/>
      <c r="Z4" s="111" t="s">
        <v>13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1" t="str">
        <f t="array" aca="1" ref="AP4" ca="1">RIGHT(CELL("filename",$A$1),LEN(CELL("filename",$A$1))-FIND("]",CELL("filename",$A$1)))</f>
        <v>表紙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K10" s="4"/>
    </row>
    <row r="11" spans="1:63" ht="15" customHeight="1" x14ac:dyDescent="0.25">
      <c r="A11" s="1"/>
      <c r="BK11" s="4"/>
    </row>
    <row r="12" spans="1:63" ht="15" customHeight="1" x14ac:dyDescent="0.25">
      <c r="A12" s="1"/>
      <c r="BK12" s="4"/>
    </row>
    <row r="13" spans="1:63" ht="15" customHeight="1" x14ac:dyDescent="0.25">
      <c r="A13" s="1"/>
      <c r="BK13" s="4"/>
    </row>
    <row r="14" spans="1:63" ht="15" customHeight="1" thickBot="1" x14ac:dyDescent="0.3">
      <c r="A14" s="1"/>
      <c r="BK14" s="4"/>
    </row>
    <row r="15" spans="1:63" ht="15" customHeight="1" thickTop="1" x14ac:dyDescent="0.25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 x14ac:dyDescent="0.25">
      <c r="A16" s="1"/>
      <c r="K16" s="6"/>
      <c r="L16" s="109" t="s">
        <v>14</v>
      </c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2"/>
      <c r="BK16" s="4"/>
    </row>
    <row r="17" spans="1:63" ht="15" customHeight="1" x14ac:dyDescent="0.25">
      <c r="A17" s="1"/>
      <c r="K17" s="6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2"/>
      <c r="BK17" s="4"/>
    </row>
    <row r="18" spans="1:63" ht="15" customHeight="1" x14ac:dyDescent="0.25">
      <c r="A18" s="1"/>
      <c r="K18" s="6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2"/>
      <c r="BK18" s="4"/>
    </row>
    <row r="19" spans="1:63" ht="15" customHeight="1" x14ac:dyDescent="0.25">
      <c r="A19" s="1"/>
      <c r="K19" s="6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0"/>
      <c r="AP19" s="110"/>
      <c r="AQ19" s="110"/>
      <c r="AR19" s="110"/>
      <c r="AS19" s="110"/>
      <c r="AT19" s="110"/>
      <c r="AU19" s="110"/>
      <c r="AV19" s="110"/>
      <c r="AW19" s="110"/>
      <c r="AX19" s="110"/>
      <c r="AY19" s="110"/>
      <c r="AZ19" s="110"/>
      <c r="BA19" s="12"/>
      <c r="BK19" s="4"/>
    </row>
    <row r="20" spans="1:63" ht="15" customHeight="1" x14ac:dyDescent="0.25">
      <c r="A20" s="1"/>
      <c r="K20" s="6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  <c r="AR20" s="110"/>
      <c r="AS20" s="110"/>
      <c r="AT20" s="110"/>
      <c r="AU20" s="110"/>
      <c r="AV20" s="110"/>
      <c r="AW20" s="110"/>
      <c r="AX20" s="110"/>
      <c r="AY20" s="110"/>
      <c r="AZ20" s="110"/>
      <c r="BA20" s="12"/>
      <c r="BK20" s="4"/>
    </row>
    <row r="21" spans="1:63" ht="15" customHeight="1" x14ac:dyDescent="0.25">
      <c r="A21" s="1"/>
      <c r="K21" s="6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  <c r="AR21" s="110"/>
      <c r="AS21" s="110"/>
      <c r="AT21" s="110"/>
      <c r="AU21" s="110"/>
      <c r="AV21" s="110"/>
      <c r="AW21" s="110"/>
      <c r="AX21" s="110"/>
      <c r="AY21" s="110"/>
      <c r="AZ21" s="110"/>
      <c r="BA21" s="12"/>
      <c r="BK21" s="4"/>
    </row>
    <row r="22" spans="1:63" ht="15" customHeight="1" thickBot="1" x14ac:dyDescent="0.3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 x14ac:dyDescent="0.25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 x14ac:dyDescent="0.25">
      <c r="A24" s="1"/>
      <c r="K24" s="6"/>
      <c r="L24" s="110" t="str">
        <f>K2&amp;"/"&amp;H4&amp;"/"&amp;Z4</f>
        <v>POSサーバ/03_店舗特売入力/概要設計</v>
      </c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2"/>
      <c r="BK24" s="4"/>
    </row>
    <row r="25" spans="1:63" ht="15" customHeight="1" x14ac:dyDescent="0.25">
      <c r="A25" s="1"/>
      <c r="K25" s="6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0"/>
      <c r="AK25" s="110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2"/>
      <c r="BK25" s="4"/>
    </row>
    <row r="26" spans="1:63" ht="15" customHeight="1" x14ac:dyDescent="0.25">
      <c r="A26" s="1"/>
      <c r="K26" s="6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2"/>
      <c r="BK26" s="4"/>
    </row>
    <row r="27" spans="1:63" ht="15" customHeight="1" x14ac:dyDescent="0.25">
      <c r="A27" s="1"/>
      <c r="K27" s="6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2"/>
      <c r="BK27" s="4"/>
    </row>
    <row r="28" spans="1:63" ht="15" customHeight="1" x14ac:dyDescent="0.25">
      <c r="A28" s="1"/>
      <c r="K28" s="6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  <c r="AE28" s="110"/>
      <c r="AF28" s="110"/>
      <c r="AG28" s="110"/>
      <c r="AH28" s="110"/>
      <c r="AI28" s="110"/>
      <c r="AJ28" s="110"/>
      <c r="AK28" s="110"/>
      <c r="AL28" s="110"/>
      <c r="AM28" s="110"/>
      <c r="AN28" s="110"/>
      <c r="AO28" s="110"/>
      <c r="AP28" s="110"/>
      <c r="AQ28" s="110"/>
      <c r="AR28" s="110"/>
      <c r="AS28" s="110"/>
      <c r="AT28" s="110"/>
      <c r="AU28" s="110"/>
      <c r="AV28" s="110"/>
      <c r="AW28" s="110"/>
      <c r="AX28" s="110"/>
      <c r="AY28" s="110"/>
      <c r="AZ28" s="110"/>
      <c r="BA28" s="12"/>
      <c r="BK28" s="4"/>
    </row>
    <row r="29" spans="1:63" ht="15" customHeight="1" x14ac:dyDescent="0.25">
      <c r="A29" s="1"/>
      <c r="K29" s="6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110"/>
      <c r="AL29" s="110"/>
      <c r="AM29" s="110"/>
      <c r="AN29" s="110"/>
      <c r="AO29" s="110"/>
      <c r="AP29" s="110"/>
      <c r="AQ29" s="110"/>
      <c r="AR29" s="110"/>
      <c r="AS29" s="110"/>
      <c r="AT29" s="110"/>
      <c r="AU29" s="110"/>
      <c r="AV29" s="110"/>
      <c r="AW29" s="110"/>
      <c r="AX29" s="110"/>
      <c r="AY29" s="110"/>
      <c r="AZ29" s="110"/>
      <c r="BA29" s="12"/>
      <c r="BK29" s="4"/>
    </row>
    <row r="30" spans="1:63" ht="15" customHeight="1" x14ac:dyDescent="0.25">
      <c r="A30" s="1"/>
      <c r="K30" s="6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110"/>
      <c r="AO30" s="110"/>
      <c r="AP30" s="110"/>
      <c r="AQ30" s="110"/>
      <c r="AR30" s="110"/>
      <c r="AS30" s="110"/>
      <c r="AT30" s="110"/>
      <c r="AU30" s="110"/>
      <c r="AV30" s="110"/>
      <c r="AW30" s="110"/>
      <c r="AX30" s="110"/>
      <c r="AY30" s="110"/>
      <c r="AZ30" s="110"/>
      <c r="BA30" s="12"/>
      <c r="BK30" s="4"/>
    </row>
    <row r="31" spans="1:63" ht="15" customHeight="1" x14ac:dyDescent="0.25">
      <c r="A31" s="1"/>
      <c r="K31" s="6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  <c r="AE31" s="110"/>
      <c r="AF31" s="110"/>
      <c r="AG31" s="110"/>
      <c r="AH31" s="110"/>
      <c r="AI31" s="110"/>
      <c r="AJ31" s="110"/>
      <c r="AK31" s="110"/>
      <c r="AL31" s="110"/>
      <c r="AM31" s="110"/>
      <c r="AN31" s="110"/>
      <c r="AO31" s="110"/>
      <c r="AP31" s="110"/>
      <c r="AQ31" s="110"/>
      <c r="AR31" s="110"/>
      <c r="AS31" s="110"/>
      <c r="AT31" s="110"/>
      <c r="AU31" s="110"/>
      <c r="AV31" s="110"/>
      <c r="AW31" s="110"/>
      <c r="AX31" s="110"/>
      <c r="AY31" s="110"/>
      <c r="AZ31" s="110"/>
      <c r="BA31" s="12"/>
      <c r="BK31" s="4"/>
    </row>
    <row r="32" spans="1:63" ht="15" customHeight="1" x14ac:dyDescent="0.25">
      <c r="A32" s="1"/>
      <c r="K32" s="6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110"/>
      <c r="AO32" s="110"/>
      <c r="AP32" s="110"/>
      <c r="AQ32" s="110"/>
      <c r="AR32" s="110"/>
      <c r="AS32" s="110"/>
      <c r="AT32" s="110"/>
      <c r="AU32" s="110"/>
      <c r="AV32" s="110"/>
      <c r="AW32" s="110"/>
      <c r="AX32" s="110"/>
      <c r="AY32" s="110"/>
      <c r="AZ32" s="110"/>
      <c r="BA32" s="12"/>
      <c r="BK32" s="4"/>
    </row>
    <row r="33" spans="1:63" ht="15" customHeight="1" x14ac:dyDescent="0.25">
      <c r="A33" s="1"/>
      <c r="K33" s="6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2"/>
      <c r="BK33" s="4"/>
    </row>
    <row r="34" spans="1:63" ht="15" customHeight="1" x14ac:dyDescent="0.25">
      <c r="A34" s="1"/>
      <c r="K34" s="6"/>
      <c r="L34" s="110"/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10"/>
      <c r="AZ34" s="110"/>
      <c r="BA34" s="12"/>
      <c r="BK34" s="4"/>
    </row>
    <row r="35" spans="1:63" ht="15" customHeight="1" x14ac:dyDescent="0.25">
      <c r="A35" s="1"/>
      <c r="K35" s="6"/>
      <c r="L35" s="110"/>
      <c r="M35" s="110"/>
      <c r="N35" s="110"/>
      <c r="O35" s="110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10"/>
      <c r="AZ35" s="110"/>
      <c r="BA35" s="12"/>
      <c r="BK35" s="4"/>
    </row>
    <row r="36" spans="1:63" ht="15" customHeight="1" x14ac:dyDescent="0.25">
      <c r="A36" s="1"/>
      <c r="K36" s="6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10"/>
      <c r="AZ36" s="110"/>
      <c r="BA36" s="12"/>
      <c r="BK36" s="4"/>
    </row>
    <row r="37" spans="1:63" ht="15" customHeight="1" thickBot="1" x14ac:dyDescent="0.3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 x14ac:dyDescent="0.25">
      <c r="A38" s="1"/>
      <c r="BK38" s="4"/>
    </row>
    <row r="39" spans="1:63" ht="15" customHeight="1" x14ac:dyDescent="0.25">
      <c r="A39" s="1"/>
      <c r="BK39" s="4"/>
    </row>
    <row r="40" spans="1:63" ht="15" customHeight="1" x14ac:dyDescent="0.25">
      <c r="A40" s="1"/>
      <c r="BK40" s="4"/>
    </row>
    <row r="41" spans="1:63" ht="15" customHeight="1" x14ac:dyDescent="0.25">
      <c r="A41" s="1"/>
      <c r="BK41" s="4"/>
    </row>
    <row r="42" spans="1:63" ht="15" customHeight="1" x14ac:dyDescent="0.25">
      <c r="A42" s="1"/>
      <c r="BK42" s="4"/>
    </row>
    <row r="43" spans="1:63" ht="15" customHeight="1" x14ac:dyDescent="0.25">
      <c r="A43" s="1"/>
      <c r="BK43" s="4"/>
    </row>
    <row r="44" spans="1:63" ht="15" customHeight="1" x14ac:dyDescent="0.25">
      <c r="A44" s="1"/>
      <c r="Q44" s="129" t="s">
        <v>15</v>
      </c>
      <c r="R44" s="130"/>
      <c r="S44" s="130"/>
      <c r="T44" s="130"/>
      <c r="U44" s="130"/>
      <c r="V44" s="130"/>
      <c r="W44" s="130"/>
      <c r="X44" s="130"/>
      <c r="Y44" s="130"/>
      <c r="Z44" s="131"/>
      <c r="AA44" s="129" t="s">
        <v>16</v>
      </c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1"/>
      <c r="AQ44" s="129" t="s">
        <v>7</v>
      </c>
      <c r="AR44" s="130"/>
      <c r="AS44" s="130"/>
      <c r="AT44" s="130"/>
      <c r="AU44" s="131"/>
      <c r="BK44" s="4"/>
    </row>
    <row r="45" spans="1:63" ht="15" customHeight="1" x14ac:dyDescent="0.25">
      <c r="A45" s="1"/>
      <c r="Q45" s="132"/>
      <c r="R45" s="133"/>
      <c r="S45" s="133"/>
      <c r="T45" s="133"/>
      <c r="U45" s="133"/>
      <c r="V45" s="133"/>
      <c r="W45" s="133"/>
      <c r="X45" s="133"/>
      <c r="Y45" s="133"/>
      <c r="Z45" s="134"/>
      <c r="AA45" s="132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133"/>
      <c r="AO45" s="133"/>
      <c r="AP45" s="134"/>
      <c r="AQ45" s="132"/>
      <c r="AR45" s="133"/>
      <c r="AS45" s="133"/>
      <c r="AT45" s="133"/>
      <c r="AU45" s="134"/>
      <c r="BK45" s="4"/>
    </row>
    <row r="46" spans="1:63" ht="15" customHeight="1" x14ac:dyDescent="0.25">
      <c r="A46" s="1"/>
      <c r="Q46" s="93"/>
      <c r="R46" s="94"/>
      <c r="S46" s="94"/>
      <c r="T46" s="94"/>
      <c r="U46" s="94"/>
      <c r="V46" s="94"/>
      <c r="W46" s="94"/>
      <c r="X46" s="94"/>
      <c r="Y46" s="94"/>
      <c r="Z46" s="95"/>
      <c r="AA46" s="93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4"/>
      <c r="AM46" s="94"/>
      <c r="AN46" s="94"/>
      <c r="AO46" s="94"/>
      <c r="AP46" s="95"/>
      <c r="AQ46" s="93"/>
      <c r="AR46" s="94"/>
      <c r="AS46" s="94"/>
      <c r="AT46" s="94"/>
      <c r="AU46" s="95"/>
      <c r="BK46" s="4"/>
    </row>
    <row r="47" spans="1:63" ht="15" customHeight="1" x14ac:dyDescent="0.25">
      <c r="A47" s="1"/>
      <c r="Q47" s="126"/>
      <c r="R47" s="127"/>
      <c r="S47" s="127"/>
      <c r="T47" s="127"/>
      <c r="U47" s="127"/>
      <c r="V47" s="127"/>
      <c r="W47" s="127"/>
      <c r="X47" s="127"/>
      <c r="Y47" s="127"/>
      <c r="Z47" s="128"/>
      <c r="AA47" s="126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8"/>
      <c r="AQ47" s="126"/>
      <c r="AR47" s="127"/>
      <c r="AS47" s="127"/>
      <c r="AT47" s="127"/>
      <c r="AU47" s="128"/>
      <c r="BK47" s="4"/>
    </row>
    <row r="48" spans="1:63" ht="15" customHeight="1" x14ac:dyDescent="0.25">
      <c r="A48" s="1"/>
      <c r="Q48" s="126"/>
      <c r="R48" s="127"/>
      <c r="S48" s="127"/>
      <c r="T48" s="127"/>
      <c r="U48" s="127"/>
      <c r="V48" s="127"/>
      <c r="W48" s="127"/>
      <c r="X48" s="127"/>
      <c r="Y48" s="127"/>
      <c r="Z48" s="128"/>
      <c r="AA48" s="126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  <c r="AN48" s="127"/>
      <c r="AO48" s="127"/>
      <c r="AP48" s="128"/>
      <c r="AQ48" s="126"/>
      <c r="AR48" s="127"/>
      <c r="AS48" s="127"/>
      <c r="AT48" s="127"/>
      <c r="AU48" s="128"/>
      <c r="BK48" s="4"/>
    </row>
    <row r="49" spans="1:63" ht="15" customHeight="1" x14ac:dyDescent="0.25">
      <c r="A49" s="1"/>
      <c r="Q49" s="96"/>
      <c r="R49" s="97"/>
      <c r="S49" s="97"/>
      <c r="T49" s="97"/>
      <c r="U49" s="97"/>
      <c r="V49" s="97"/>
      <c r="W49" s="97"/>
      <c r="X49" s="97"/>
      <c r="Y49" s="97"/>
      <c r="Z49" s="98"/>
      <c r="AA49" s="96"/>
      <c r="AB49" s="97"/>
      <c r="AC49" s="97"/>
      <c r="AD49" s="97"/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8"/>
      <c r="AQ49" s="96"/>
      <c r="AR49" s="97"/>
      <c r="AS49" s="97"/>
      <c r="AT49" s="97"/>
      <c r="AU49" s="98"/>
      <c r="BK49" s="4"/>
    </row>
    <row r="50" spans="1:63" ht="15" customHeight="1" x14ac:dyDescent="0.25">
      <c r="A50" s="1"/>
      <c r="BK50" s="4"/>
    </row>
    <row r="51" spans="1:63" ht="15" customHeight="1" x14ac:dyDescent="0.25">
      <c r="A51" s="1"/>
      <c r="BK51" s="4"/>
    </row>
    <row r="52" spans="1:63" ht="15" customHeight="1" x14ac:dyDescent="0.25">
      <c r="A52" s="1"/>
      <c r="BK52" s="4"/>
    </row>
    <row r="53" spans="1:63" ht="15" customHeight="1" x14ac:dyDescent="0.25">
      <c r="A53" s="1"/>
      <c r="BK53" s="4"/>
    </row>
    <row r="54" spans="1:63" ht="15" customHeight="1" x14ac:dyDescent="0.25">
      <c r="A54" s="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1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00" t="str">
        <f>IF(表紙!W1="","",表紙!W1)</f>
        <v>基本設計書</v>
      </c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93" t="str">
        <f>IF(表紙!AP2="","",表紙!AP2)</f>
        <v>TuyenNH</v>
      </c>
      <c r="AQ2" s="94"/>
      <c r="AR2" s="94"/>
      <c r="AS2" s="95"/>
      <c r="AT2" s="120">
        <f>IF(表紙!AT2="","",表紙!AT2)</f>
        <v>45408</v>
      </c>
      <c r="AU2" s="121"/>
      <c r="AV2" s="121"/>
      <c r="AW2" s="121"/>
      <c r="AX2" s="122"/>
      <c r="AY2" s="93" t="str">
        <f>IF(表紙!AY2="","",表紙!AY2)</f>
        <v>TinNH</v>
      </c>
      <c r="AZ2" s="94"/>
      <c r="BA2" s="94"/>
      <c r="BB2" s="95"/>
      <c r="BC2" s="120">
        <f>IF(表紙!BC2="","",表紙!BC2)</f>
        <v>45520</v>
      </c>
      <c r="BD2" s="121"/>
      <c r="BE2" s="121"/>
      <c r="BF2" s="121"/>
      <c r="BG2" s="122"/>
      <c r="BH2" s="93">
        <f>IF(表紙!BH2="","",表紙!BH2)</f>
        <v>0.4</v>
      </c>
      <c r="BI2" s="94"/>
      <c r="BJ2" s="94"/>
      <c r="BK2" s="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6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8"/>
      <c r="AP3" s="96"/>
      <c r="AQ3" s="97"/>
      <c r="AR3" s="97"/>
      <c r="AS3" s="98"/>
      <c r="AT3" s="123"/>
      <c r="AU3" s="124"/>
      <c r="AV3" s="124"/>
      <c r="AW3" s="124"/>
      <c r="AX3" s="125"/>
      <c r="AY3" s="96"/>
      <c r="AZ3" s="97"/>
      <c r="BA3" s="97"/>
      <c r="BB3" s="98"/>
      <c r="BC3" s="123"/>
      <c r="BD3" s="124"/>
      <c r="BE3" s="124"/>
      <c r="BF3" s="124"/>
      <c r="BG3" s="125"/>
      <c r="BH3" s="96"/>
      <c r="BI3" s="97"/>
      <c r="BJ3" s="97"/>
      <c r="BK3" s="98"/>
    </row>
    <row r="4" spans="1:63" ht="24.95" customHeight="1" x14ac:dyDescent="0.25">
      <c r="A4" s="90" t="s">
        <v>17</v>
      </c>
      <c r="B4" s="91"/>
      <c r="C4" s="91"/>
      <c r="D4" s="91"/>
      <c r="E4" s="91"/>
      <c r="F4" s="91"/>
      <c r="G4" s="92"/>
      <c r="H4" s="111" t="str">
        <f>IF(表紙!H4="","",表紙!H4)</f>
        <v>03_店舗特売入力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0" t="s">
        <v>12</v>
      </c>
      <c r="V4" s="91"/>
      <c r="W4" s="91"/>
      <c r="X4" s="91"/>
      <c r="Y4" s="92"/>
      <c r="Z4" s="111" t="str">
        <f>IF(表紙!Z4="","",表紙!Z4)</f>
        <v>概要設計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1" t="str">
        <f t="array" aca="1" ref="AP4" ca="1">RIGHT(CELL("filename",$A$1),LEN(CELL("filename",$A$1))-FIND("]",CELL("filename",$A$1)))</f>
        <v>改訂履歴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18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47" t="s">
        <v>6</v>
      </c>
      <c r="C10" s="147"/>
      <c r="D10" s="147"/>
      <c r="E10" s="147"/>
      <c r="F10" s="147"/>
      <c r="G10" s="147"/>
      <c r="H10" s="147" t="s">
        <v>5</v>
      </c>
      <c r="I10" s="147"/>
      <c r="J10" s="147"/>
      <c r="K10" s="147"/>
      <c r="L10" s="147"/>
      <c r="M10" s="147"/>
      <c r="N10" s="147"/>
      <c r="O10" s="147" t="s">
        <v>7</v>
      </c>
      <c r="P10" s="147"/>
      <c r="Q10" s="147"/>
      <c r="R10" s="147"/>
      <c r="S10" s="147" t="s">
        <v>19</v>
      </c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 t="s">
        <v>15</v>
      </c>
      <c r="AY10" s="147"/>
      <c r="AZ10" s="147"/>
      <c r="BA10" s="147"/>
      <c r="BB10" s="147"/>
      <c r="BC10" s="147"/>
      <c r="BD10" s="147" t="s">
        <v>16</v>
      </c>
      <c r="BE10" s="147"/>
      <c r="BF10" s="147"/>
      <c r="BG10" s="147"/>
      <c r="BH10" s="147"/>
      <c r="BI10" s="147"/>
      <c r="BJ10" s="147"/>
      <c r="BK10" s="4"/>
    </row>
    <row r="11" spans="1:63" ht="15" customHeight="1" x14ac:dyDescent="0.25">
      <c r="A11" s="1"/>
      <c r="B11" s="120">
        <v>45408</v>
      </c>
      <c r="C11" s="94"/>
      <c r="D11" s="94"/>
      <c r="E11" s="94"/>
      <c r="F11" s="94"/>
      <c r="G11" s="95"/>
      <c r="H11" s="99" t="s">
        <v>20</v>
      </c>
      <c r="I11" s="94"/>
      <c r="J11" s="94"/>
      <c r="K11" s="94"/>
      <c r="L11" s="94"/>
      <c r="M11" s="94"/>
      <c r="N11" s="95"/>
      <c r="O11" s="93">
        <v>0.1</v>
      </c>
      <c r="P11" s="94"/>
      <c r="Q11" s="94"/>
      <c r="R11" s="94"/>
      <c r="S11" s="135" t="s">
        <v>21</v>
      </c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7"/>
      <c r="AX11" s="138"/>
      <c r="AY11" s="138"/>
      <c r="AZ11" s="138"/>
      <c r="BA11" s="138"/>
      <c r="BB11" s="138"/>
      <c r="BC11" s="139"/>
      <c r="BD11" s="142"/>
      <c r="BE11" s="138"/>
      <c r="BF11" s="138"/>
      <c r="BG11" s="138"/>
      <c r="BH11" s="138"/>
      <c r="BI11" s="138"/>
      <c r="BJ11" s="139"/>
      <c r="BK11" s="4"/>
    </row>
    <row r="12" spans="1:63" ht="15" customHeight="1" x14ac:dyDescent="0.25">
      <c r="A12" s="1"/>
      <c r="B12" s="96"/>
      <c r="C12" s="97"/>
      <c r="D12" s="97"/>
      <c r="E12" s="97"/>
      <c r="F12" s="97"/>
      <c r="G12" s="98"/>
      <c r="H12" s="96"/>
      <c r="I12" s="97"/>
      <c r="J12" s="97"/>
      <c r="K12" s="97"/>
      <c r="L12" s="97"/>
      <c r="M12" s="97"/>
      <c r="N12" s="98"/>
      <c r="O12" s="96"/>
      <c r="P12" s="97"/>
      <c r="Q12" s="97"/>
      <c r="R12" s="97"/>
      <c r="S12" s="144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5"/>
      <c r="AM12" s="145"/>
      <c r="AN12" s="145"/>
      <c r="AO12" s="145"/>
      <c r="AP12" s="145"/>
      <c r="AQ12" s="145"/>
      <c r="AR12" s="145"/>
      <c r="AS12" s="145"/>
      <c r="AT12" s="145"/>
      <c r="AU12" s="145"/>
      <c r="AV12" s="145"/>
      <c r="AW12" s="146"/>
      <c r="AX12" s="140"/>
      <c r="AY12" s="140"/>
      <c r="AZ12" s="140"/>
      <c r="BA12" s="140"/>
      <c r="BB12" s="140"/>
      <c r="BC12" s="141"/>
      <c r="BD12" s="143"/>
      <c r="BE12" s="140"/>
      <c r="BF12" s="140"/>
      <c r="BG12" s="140"/>
      <c r="BH12" s="140"/>
      <c r="BI12" s="140"/>
      <c r="BJ12" s="141"/>
      <c r="BK12" s="4"/>
    </row>
    <row r="13" spans="1:63" ht="15" customHeight="1" x14ac:dyDescent="0.25">
      <c r="A13" s="1"/>
      <c r="B13" s="120">
        <v>45426</v>
      </c>
      <c r="C13" s="94"/>
      <c r="D13" s="94"/>
      <c r="E13" s="94"/>
      <c r="F13" s="94"/>
      <c r="G13" s="95"/>
      <c r="H13" s="93" t="s">
        <v>20</v>
      </c>
      <c r="I13" s="94"/>
      <c r="J13" s="94"/>
      <c r="K13" s="94"/>
      <c r="L13" s="94"/>
      <c r="M13" s="94"/>
      <c r="N13" s="95"/>
      <c r="O13" s="93">
        <v>0.2</v>
      </c>
      <c r="P13" s="94"/>
      <c r="Q13" s="94"/>
      <c r="R13" s="94"/>
      <c r="S13" s="135" t="s">
        <v>22</v>
      </c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7"/>
      <c r="AX13" s="138"/>
      <c r="AY13" s="138"/>
      <c r="AZ13" s="138"/>
      <c r="BA13" s="138"/>
      <c r="BB13" s="138"/>
      <c r="BC13" s="139"/>
      <c r="BD13" s="142"/>
      <c r="BE13" s="138"/>
      <c r="BF13" s="138"/>
      <c r="BG13" s="138"/>
      <c r="BH13" s="138"/>
      <c r="BI13" s="138"/>
      <c r="BJ13" s="139"/>
      <c r="BK13" s="4"/>
    </row>
    <row r="14" spans="1:63" ht="15" customHeight="1" x14ac:dyDescent="0.25">
      <c r="A14" s="1"/>
      <c r="B14" s="96"/>
      <c r="C14" s="97"/>
      <c r="D14" s="97"/>
      <c r="E14" s="97"/>
      <c r="F14" s="97"/>
      <c r="G14" s="98"/>
      <c r="H14" s="96"/>
      <c r="I14" s="97"/>
      <c r="J14" s="97"/>
      <c r="K14" s="97"/>
      <c r="L14" s="97"/>
      <c r="M14" s="97"/>
      <c r="N14" s="98"/>
      <c r="O14" s="96"/>
      <c r="P14" s="97"/>
      <c r="Q14" s="97"/>
      <c r="R14" s="97"/>
      <c r="S14" s="144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6"/>
      <c r="AX14" s="140"/>
      <c r="AY14" s="140"/>
      <c r="AZ14" s="140"/>
      <c r="BA14" s="140"/>
      <c r="BB14" s="140"/>
      <c r="BC14" s="141"/>
      <c r="BD14" s="143"/>
      <c r="BE14" s="140"/>
      <c r="BF14" s="140"/>
      <c r="BG14" s="140"/>
      <c r="BH14" s="140"/>
      <c r="BI14" s="140"/>
      <c r="BJ14" s="141"/>
      <c r="BK14" s="4"/>
    </row>
    <row r="15" spans="1:63" ht="15" customHeight="1" x14ac:dyDescent="0.25">
      <c r="A15" s="1"/>
      <c r="B15" s="120">
        <v>45428</v>
      </c>
      <c r="C15" s="94"/>
      <c r="D15" s="94"/>
      <c r="E15" s="94"/>
      <c r="F15" s="94"/>
      <c r="G15" s="95"/>
      <c r="H15" s="93" t="s">
        <v>20</v>
      </c>
      <c r="I15" s="94"/>
      <c r="J15" s="94"/>
      <c r="K15" s="94"/>
      <c r="L15" s="94"/>
      <c r="M15" s="94"/>
      <c r="N15" s="95"/>
      <c r="O15" s="93">
        <v>0.21</v>
      </c>
      <c r="P15" s="94"/>
      <c r="Q15" s="94"/>
      <c r="R15" s="94"/>
      <c r="S15" s="135" t="s">
        <v>23</v>
      </c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7"/>
      <c r="AX15" s="161"/>
      <c r="AY15" s="161"/>
      <c r="AZ15" s="161"/>
      <c r="BA15" s="161"/>
      <c r="BB15" s="161"/>
      <c r="BC15" s="162"/>
      <c r="BD15" s="165"/>
      <c r="BE15" s="161"/>
      <c r="BF15" s="161"/>
      <c r="BG15" s="161"/>
      <c r="BH15" s="161"/>
      <c r="BI15" s="161"/>
      <c r="BJ15" s="162"/>
      <c r="BK15" s="4"/>
    </row>
    <row r="16" spans="1:63" ht="15" customHeight="1" x14ac:dyDescent="0.25">
      <c r="A16" s="1"/>
      <c r="B16" s="96"/>
      <c r="C16" s="97"/>
      <c r="D16" s="97"/>
      <c r="E16" s="97"/>
      <c r="F16" s="97"/>
      <c r="G16" s="98"/>
      <c r="H16" s="96"/>
      <c r="I16" s="97"/>
      <c r="J16" s="97"/>
      <c r="K16" s="97"/>
      <c r="L16" s="97"/>
      <c r="M16" s="97"/>
      <c r="N16" s="98"/>
      <c r="O16" s="96"/>
      <c r="P16" s="97"/>
      <c r="Q16" s="97"/>
      <c r="R16" s="97"/>
      <c r="S16" s="144"/>
      <c r="T16" s="145"/>
      <c r="U16" s="145"/>
      <c r="V16" s="145"/>
      <c r="W16" s="145"/>
      <c r="X16" s="145"/>
      <c r="Y16" s="145"/>
      <c r="Z16" s="145"/>
      <c r="AA16" s="145"/>
      <c r="AB16" s="145"/>
      <c r="AC16" s="145"/>
      <c r="AD16" s="145"/>
      <c r="AE16" s="145"/>
      <c r="AF16" s="145"/>
      <c r="AG16" s="145"/>
      <c r="AH16" s="145"/>
      <c r="AI16" s="145"/>
      <c r="AJ16" s="145"/>
      <c r="AK16" s="145"/>
      <c r="AL16" s="145"/>
      <c r="AM16" s="145"/>
      <c r="AN16" s="145"/>
      <c r="AO16" s="145"/>
      <c r="AP16" s="145"/>
      <c r="AQ16" s="145"/>
      <c r="AR16" s="145"/>
      <c r="AS16" s="145"/>
      <c r="AT16" s="145"/>
      <c r="AU16" s="145"/>
      <c r="AV16" s="145"/>
      <c r="AW16" s="146"/>
      <c r="AX16" s="163"/>
      <c r="AY16" s="163"/>
      <c r="AZ16" s="163"/>
      <c r="BA16" s="163"/>
      <c r="BB16" s="163"/>
      <c r="BC16" s="164"/>
      <c r="BD16" s="166"/>
      <c r="BE16" s="163"/>
      <c r="BF16" s="163"/>
      <c r="BG16" s="163"/>
      <c r="BH16" s="163"/>
      <c r="BI16" s="163"/>
      <c r="BJ16" s="164"/>
      <c r="BK16" s="4"/>
    </row>
    <row r="17" spans="1:63" ht="15" customHeight="1" x14ac:dyDescent="0.25">
      <c r="A17" s="1"/>
      <c r="B17" s="148">
        <v>45490</v>
      </c>
      <c r="C17" s="149"/>
      <c r="D17" s="149"/>
      <c r="E17" s="149"/>
      <c r="F17" s="149"/>
      <c r="G17" s="150"/>
      <c r="H17" s="154" t="s">
        <v>24</v>
      </c>
      <c r="I17" s="149"/>
      <c r="J17" s="149"/>
      <c r="K17" s="149"/>
      <c r="L17" s="149"/>
      <c r="M17" s="149"/>
      <c r="N17" s="150"/>
      <c r="O17" s="154">
        <v>0.3</v>
      </c>
      <c r="P17" s="149"/>
      <c r="Q17" s="149"/>
      <c r="R17" s="149"/>
      <c r="S17" s="155" t="s">
        <v>25</v>
      </c>
      <c r="T17" s="156"/>
      <c r="U17" s="156"/>
      <c r="V17" s="156"/>
      <c r="W17" s="156"/>
      <c r="X17" s="156"/>
      <c r="Y17" s="156"/>
      <c r="Z17" s="156"/>
      <c r="AA17" s="156"/>
      <c r="AB17" s="156"/>
      <c r="AC17" s="156"/>
      <c r="AD17" s="156"/>
      <c r="AE17" s="156"/>
      <c r="AF17" s="156"/>
      <c r="AG17" s="156"/>
      <c r="AH17" s="156"/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7"/>
      <c r="AX17" s="138"/>
      <c r="AY17" s="138"/>
      <c r="AZ17" s="138"/>
      <c r="BA17" s="138"/>
      <c r="BB17" s="138"/>
      <c r="BC17" s="139"/>
      <c r="BD17" s="142"/>
      <c r="BE17" s="138"/>
      <c r="BF17" s="138"/>
      <c r="BG17" s="138"/>
      <c r="BH17" s="138"/>
      <c r="BI17" s="138"/>
      <c r="BJ17" s="139"/>
      <c r="BK17" s="4"/>
    </row>
    <row r="18" spans="1:63" ht="15" customHeight="1" x14ac:dyDescent="0.25">
      <c r="A18" s="1"/>
      <c r="B18" s="151"/>
      <c r="C18" s="152"/>
      <c r="D18" s="152"/>
      <c r="E18" s="152"/>
      <c r="F18" s="152"/>
      <c r="G18" s="153"/>
      <c r="H18" s="151"/>
      <c r="I18" s="152"/>
      <c r="J18" s="152"/>
      <c r="K18" s="152"/>
      <c r="L18" s="152"/>
      <c r="M18" s="152"/>
      <c r="N18" s="153"/>
      <c r="O18" s="151"/>
      <c r="P18" s="152"/>
      <c r="Q18" s="152"/>
      <c r="R18" s="152"/>
      <c r="S18" s="158" t="s">
        <v>26</v>
      </c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60"/>
      <c r="AX18" s="140"/>
      <c r="AY18" s="140"/>
      <c r="AZ18" s="140"/>
      <c r="BA18" s="140"/>
      <c r="BB18" s="140"/>
      <c r="BC18" s="141"/>
      <c r="BD18" s="143"/>
      <c r="BE18" s="140"/>
      <c r="BF18" s="140"/>
      <c r="BG18" s="140"/>
      <c r="BH18" s="140"/>
      <c r="BI18" s="140"/>
      <c r="BJ18" s="141"/>
      <c r="BK18" s="4"/>
    </row>
    <row r="19" spans="1:63" ht="15" customHeight="1" x14ac:dyDescent="0.25">
      <c r="A19" s="1"/>
      <c r="B19" s="167">
        <v>45520</v>
      </c>
      <c r="C19" s="168"/>
      <c r="D19" s="168"/>
      <c r="E19" s="168"/>
      <c r="F19" s="168"/>
      <c r="G19" s="169"/>
      <c r="H19" s="173" t="s">
        <v>24</v>
      </c>
      <c r="I19" s="168"/>
      <c r="J19" s="168"/>
      <c r="K19" s="168"/>
      <c r="L19" s="168"/>
      <c r="M19" s="168"/>
      <c r="N19" s="169"/>
      <c r="O19" s="173">
        <v>0.4</v>
      </c>
      <c r="P19" s="168"/>
      <c r="Q19" s="168"/>
      <c r="R19" s="168"/>
      <c r="S19" s="174" t="s">
        <v>25</v>
      </c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6"/>
      <c r="AX19" s="138"/>
      <c r="AY19" s="138"/>
      <c r="AZ19" s="138"/>
      <c r="BA19" s="138"/>
      <c r="BB19" s="138"/>
      <c r="BC19" s="139"/>
      <c r="BD19" s="142"/>
      <c r="BE19" s="138"/>
      <c r="BF19" s="138"/>
      <c r="BG19" s="138"/>
      <c r="BH19" s="138"/>
      <c r="BI19" s="138"/>
      <c r="BJ19" s="139"/>
      <c r="BK19" s="4"/>
    </row>
    <row r="20" spans="1:63" ht="15" customHeight="1" x14ac:dyDescent="0.25">
      <c r="A20" s="1"/>
      <c r="B20" s="170"/>
      <c r="C20" s="171"/>
      <c r="D20" s="171"/>
      <c r="E20" s="171"/>
      <c r="F20" s="171"/>
      <c r="G20" s="172"/>
      <c r="H20" s="170"/>
      <c r="I20" s="171"/>
      <c r="J20" s="171"/>
      <c r="K20" s="171"/>
      <c r="L20" s="171"/>
      <c r="M20" s="171"/>
      <c r="N20" s="172"/>
      <c r="O20" s="170"/>
      <c r="P20" s="171"/>
      <c r="Q20" s="171"/>
      <c r="R20" s="171"/>
      <c r="S20" s="177" t="s">
        <v>26</v>
      </c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8"/>
      <c r="AM20" s="178"/>
      <c r="AN20" s="178"/>
      <c r="AO20" s="178"/>
      <c r="AP20" s="178"/>
      <c r="AQ20" s="178"/>
      <c r="AR20" s="178"/>
      <c r="AS20" s="178"/>
      <c r="AT20" s="178"/>
      <c r="AU20" s="178"/>
      <c r="AV20" s="178"/>
      <c r="AW20" s="179"/>
      <c r="AX20" s="140"/>
      <c r="AY20" s="140"/>
      <c r="AZ20" s="140"/>
      <c r="BA20" s="140"/>
      <c r="BB20" s="140"/>
      <c r="BC20" s="141"/>
      <c r="BD20" s="143"/>
      <c r="BE20" s="140"/>
      <c r="BF20" s="140"/>
      <c r="BG20" s="140"/>
      <c r="BH20" s="140"/>
      <c r="BI20" s="140"/>
      <c r="BJ20" s="141"/>
      <c r="BK20" s="4"/>
    </row>
    <row r="21" spans="1:63" ht="15" customHeight="1" x14ac:dyDescent="0.25">
      <c r="A21" s="1"/>
      <c r="B21" s="93"/>
      <c r="C21" s="94"/>
      <c r="D21" s="94"/>
      <c r="E21" s="94"/>
      <c r="F21" s="94"/>
      <c r="G21" s="95"/>
      <c r="H21" s="93"/>
      <c r="I21" s="94"/>
      <c r="J21" s="94"/>
      <c r="K21" s="94"/>
      <c r="L21" s="94"/>
      <c r="M21" s="94"/>
      <c r="N21" s="95"/>
      <c r="O21" s="93"/>
      <c r="P21" s="94"/>
      <c r="Q21" s="94"/>
      <c r="R21" s="94"/>
      <c r="S21" s="135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7"/>
      <c r="AX21" s="138"/>
      <c r="AY21" s="138"/>
      <c r="AZ21" s="138"/>
      <c r="BA21" s="138"/>
      <c r="BB21" s="138"/>
      <c r="BC21" s="139"/>
      <c r="BD21" s="142"/>
      <c r="BE21" s="138"/>
      <c r="BF21" s="138"/>
      <c r="BG21" s="138"/>
      <c r="BH21" s="138"/>
      <c r="BI21" s="138"/>
      <c r="BJ21" s="139"/>
      <c r="BK21" s="4"/>
    </row>
    <row r="22" spans="1:63" ht="15" customHeight="1" x14ac:dyDescent="0.25">
      <c r="A22" s="1"/>
      <c r="B22" s="96"/>
      <c r="C22" s="97"/>
      <c r="D22" s="97"/>
      <c r="E22" s="97"/>
      <c r="F22" s="97"/>
      <c r="G22" s="98"/>
      <c r="H22" s="96"/>
      <c r="I22" s="97"/>
      <c r="J22" s="97"/>
      <c r="K22" s="97"/>
      <c r="L22" s="97"/>
      <c r="M22" s="97"/>
      <c r="N22" s="98"/>
      <c r="O22" s="96"/>
      <c r="P22" s="97"/>
      <c r="Q22" s="97"/>
      <c r="R22" s="97"/>
      <c r="S22" s="144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6"/>
      <c r="AX22" s="140"/>
      <c r="AY22" s="140"/>
      <c r="AZ22" s="140"/>
      <c r="BA22" s="140"/>
      <c r="BB22" s="140"/>
      <c r="BC22" s="141"/>
      <c r="BD22" s="143"/>
      <c r="BE22" s="140"/>
      <c r="BF22" s="140"/>
      <c r="BG22" s="140"/>
      <c r="BH22" s="140"/>
      <c r="BI22" s="140"/>
      <c r="BJ22" s="141"/>
      <c r="BK22" s="4"/>
    </row>
    <row r="23" spans="1:63" ht="15" customHeight="1" x14ac:dyDescent="0.25">
      <c r="A23" s="1"/>
      <c r="B23" s="93"/>
      <c r="C23" s="94"/>
      <c r="D23" s="94"/>
      <c r="E23" s="94"/>
      <c r="F23" s="94"/>
      <c r="G23" s="95"/>
      <c r="H23" s="93"/>
      <c r="I23" s="94"/>
      <c r="J23" s="94"/>
      <c r="K23" s="94"/>
      <c r="L23" s="94"/>
      <c r="M23" s="94"/>
      <c r="N23" s="95"/>
      <c r="O23" s="93"/>
      <c r="P23" s="94"/>
      <c r="Q23" s="94"/>
      <c r="R23" s="94"/>
      <c r="S23" s="135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/>
      <c r="AR23" s="136"/>
      <c r="AS23" s="136"/>
      <c r="AT23" s="136"/>
      <c r="AU23" s="136"/>
      <c r="AV23" s="136"/>
      <c r="AW23" s="137"/>
      <c r="AX23" s="138"/>
      <c r="AY23" s="138"/>
      <c r="AZ23" s="138"/>
      <c r="BA23" s="138"/>
      <c r="BB23" s="138"/>
      <c r="BC23" s="139"/>
      <c r="BD23" s="142"/>
      <c r="BE23" s="138"/>
      <c r="BF23" s="138"/>
      <c r="BG23" s="138"/>
      <c r="BH23" s="138"/>
      <c r="BI23" s="138"/>
      <c r="BJ23" s="139"/>
      <c r="BK23" s="4"/>
    </row>
    <row r="24" spans="1:63" ht="15" customHeight="1" x14ac:dyDescent="0.25">
      <c r="A24" s="1"/>
      <c r="B24" s="96"/>
      <c r="C24" s="97"/>
      <c r="D24" s="97"/>
      <c r="E24" s="97"/>
      <c r="F24" s="97"/>
      <c r="G24" s="98"/>
      <c r="H24" s="96"/>
      <c r="I24" s="97"/>
      <c r="J24" s="97"/>
      <c r="K24" s="97"/>
      <c r="L24" s="97"/>
      <c r="M24" s="97"/>
      <c r="N24" s="98"/>
      <c r="O24" s="96"/>
      <c r="P24" s="97"/>
      <c r="Q24" s="97"/>
      <c r="R24" s="97"/>
      <c r="S24" s="144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6"/>
      <c r="AX24" s="140"/>
      <c r="AY24" s="140"/>
      <c r="AZ24" s="140"/>
      <c r="BA24" s="140"/>
      <c r="BB24" s="140"/>
      <c r="BC24" s="141"/>
      <c r="BD24" s="143"/>
      <c r="BE24" s="140"/>
      <c r="BF24" s="140"/>
      <c r="BG24" s="140"/>
      <c r="BH24" s="140"/>
      <c r="BI24" s="140"/>
      <c r="BJ24" s="141"/>
      <c r="BK24" s="4"/>
    </row>
    <row r="25" spans="1:63" ht="15" customHeight="1" x14ac:dyDescent="0.25">
      <c r="A25" s="1"/>
      <c r="B25" s="93"/>
      <c r="C25" s="94"/>
      <c r="D25" s="94"/>
      <c r="E25" s="94"/>
      <c r="F25" s="94"/>
      <c r="G25" s="95"/>
      <c r="H25" s="93"/>
      <c r="I25" s="94"/>
      <c r="J25" s="94"/>
      <c r="K25" s="94"/>
      <c r="L25" s="94"/>
      <c r="M25" s="94"/>
      <c r="N25" s="95"/>
      <c r="O25" s="93"/>
      <c r="P25" s="94"/>
      <c r="Q25" s="94"/>
      <c r="R25" s="94"/>
      <c r="S25" s="135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7"/>
      <c r="AX25" s="138"/>
      <c r="AY25" s="138"/>
      <c r="AZ25" s="138"/>
      <c r="BA25" s="138"/>
      <c r="BB25" s="138"/>
      <c r="BC25" s="139"/>
      <c r="BD25" s="142"/>
      <c r="BE25" s="138"/>
      <c r="BF25" s="138"/>
      <c r="BG25" s="138"/>
      <c r="BH25" s="138"/>
      <c r="BI25" s="138"/>
      <c r="BJ25" s="139"/>
      <c r="BK25" s="4"/>
    </row>
    <row r="26" spans="1:63" ht="15" customHeight="1" x14ac:dyDescent="0.25">
      <c r="A26" s="1"/>
      <c r="B26" s="96"/>
      <c r="C26" s="97"/>
      <c r="D26" s="97"/>
      <c r="E26" s="97"/>
      <c r="F26" s="97"/>
      <c r="G26" s="98"/>
      <c r="H26" s="96"/>
      <c r="I26" s="97"/>
      <c r="J26" s="97"/>
      <c r="K26" s="97"/>
      <c r="L26" s="97"/>
      <c r="M26" s="97"/>
      <c r="N26" s="98"/>
      <c r="O26" s="96"/>
      <c r="P26" s="97"/>
      <c r="Q26" s="97"/>
      <c r="R26" s="97"/>
      <c r="S26" s="144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6"/>
      <c r="AX26" s="140"/>
      <c r="AY26" s="140"/>
      <c r="AZ26" s="140"/>
      <c r="BA26" s="140"/>
      <c r="BB26" s="140"/>
      <c r="BC26" s="141"/>
      <c r="BD26" s="143"/>
      <c r="BE26" s="140"/>
      <c r="BF26" s="140"/>
      <c r="BG26" s="140"/>
      <c r="BH26" s="140"/>
      <c r="BI26" s="140"/>
      <c r="BJ26" s="141"/>
      <c r="BK26" s="4"/>
    </row>
    <row r="27" spans="1:63" ht="15" customHeight="1" x14ac:dyDescent="0.25">
      <c r="A27" s="1"/>
      <c r="B27" s="93"/>
      <c r="C27" s="94"/>
      <c r="D27" s="94"/>
      <c r="E27" s="94"/>
      <c r="F27" s="94"/>
      <c r="G27" s="95"/>
      <c r="H27" s="93"/>
      <c r="I27" s="94"/>
      <c r="J27" s="94"/>
      <c r="K27" s="94"/>
      <c r="L27" s="94"/>
      <c r="M27" s="94"/>
      <c r="N27" s="95"/>
      <c r="O27" s="93"/>
      <c r="P27" s="94"/>
      <c r="Q27" s="94"/>
      <c r="R27" s="94"/>
      <c r="S27" s="135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7"/>
      <c r="AX27" s="138"/>
      <c r="AY27" s="138"/>
      <c r="AZ27" s="138"/>
      <c r="BA27" s="138"/>
      <c r="BB27" s="138"/>
      <c r="BC27" s="139"/>
      <c r="BD27" s="142"/>
      <c r="BE27" s="138"/>
      <c r="BF27" s="138"/>
      <c r="BG27" s="138"/>
      <c r="BH27" s="138"/>
      <c r="BI27" s="138"/>
      <c r="BJ27" s="139"/>
      <c r="BK27" s="4"/>
    </row>
    <row r="28" spans="1:63" ht="15" customHeight="1" x14ac:dyDescent="0.25">
      <c r="A28" s="1"/>
      <c r="B28" s="96"/>
      <c r="C28" s="97"/>
      <c r="D28" s="97"/>
      <c r="E28" s="97"/>
      <c r="F28" s="97"/>
      <c r="G28" s="98"/>
      <c r="H28" s="96"/>
      <c r="I28" s="97"/>
      <c r="J28" s="97"/>
      <c r="K28" s="97"/>
      <c r="L28" s="97"/>
      <c r="M28" s="97"/>
      <c r="N28" s="98"/>
      <c r="O28" s="96"/>
      <c r="P28" s="97"/>
      <c r="Q28" s="97"/>
      <c r="R28" s="97"/>
      <c r="S28" s="144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45"/>
      <c r="AW28" s="146"/>
      <c r="AX28" s="140"/>
      <c r="AY28" s="140"/>
      <c r="AZ28" s="140"/>
      <c r="BA28" s="140"/>
      <c r="BB28" s="140"/>
      <c r="BC28" s="141"/>
      <c r="BD28" s="143"/>
      <c r="BE28" s="140"/>
      <c r="BF28" s="140"/>
      <c r="BG28" s="140"/>
      <c r="BH28" s="140"/>
      <c r="BI28" s="140"/>
      <c r="BJ28" s="141"/>
      <c r="BK28" s="4"/>
    </row>
    <row r="29" spans="1:63" ht="15" customHeight="1" x14ac:dyDescent="0.25">
      <c r="A29" s="1"/>
      <c r="B29" s="93"/>
      <c r="C29" s="94"/>
      <c r="D29" s="94"/>
      <c r="E29" s="94"/>
      <c r="F29" s="94"/>
      <c r="G29" s="95"/>
      <c r="H29" s="93"/>
      <c r="I29" s="94"/>
      <c r="J29" s="94"/>
      <c r="K29" s="94"/>
      <c r="L29" s="94"/>
      <c r="M29" s="94"/>
      <c r="N29" s="95"/>
      <c r="O29" s="93"/>
      <c r="P29" s="94"/>
      <c r="Q29" s="94"/>
      <c r="R29" s="94"/>
      <c r="S29" s="135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7"/>
      <c r="AX29" s="138"/>
      <c r="AY29" s="138"/>
      <c r="AZ29" s="138"/>
      <c r="BA29" s="138"/>
      <c r="BB29" s="138"/>
      <c r="BC29" s="139"/>
      <c r="BD29" s="142"/>
      <c r="BE29" s="138"/>
      <c r="BF29" s="138"/>
      <c r="BG29" s="138"/>
      <c r="BH29" s="138"/>
      <c r="BI29" s="138"/>
      <c r="BJ29" s="139"/>
      <c r="BK29" s="4"/>
    </row>
    <row r="30" spans="1:63" ht="15" customHeight="1" x14ac:dyDescent="0.25">
      <c r="A30" s="1"/>
      <c r="B30" s="96"/>
      <c r="C30" s="97"/>
      <c r="D30" s="97"/>
      <c r="E30" s="97"/>
      <c r="F30" s="97"/>
      <c r="G30" s="98"/>
      <c r="H30" s="96"/>
      <c r="I30" s="97"/>
      <c r="J30" s="97"/>
      <c r="K30" s="97"/>
      <c r="L30" s="97"/>
      <c r="M30" s="97"/>
      <c r="N30" s="98"/>
      <c r="O30" s="96"/>
      <c r="P30" s="97"/>
      <c r="Q30" s="97"/>
      <c r="R30" s="97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0"/>
      <c r="AY30" s="140"/>
      <c r="AZ30" s="140"/>
      <c r="BA30" s="140"/>
      <c r="BB30" s="140"/>
      <c r="BC30" s="141"/>
      <c r="BD30" s="143"/>
      <c r="BE30" s="140"/>
      <c r="BF30" s="140"/>
      <c r="BG30" s="140"/>
      <c r="BH30" s="140"/>
      <c r="BI30" s="140"/>
      <c r="BJ30" s="141"/>
      <c r="BK30" s="4"/>
    </row>
    <row r="31" spans="1:63" ht="15" customHeight="1" x14ac:dyDescent="0.25">
      <c r="A31" s="1"/>
      <c r="B31" s="93"/>
      <c r="C31" s="94"/>
      <c r="D31" s="94"/>
      <c r="E31" s="94"/>
      <c r="F31" s="94"/>
      <c r="G31" s="95"/>
      <c r="H31" s="93"/>
      <c r="I31" s="94"/>
      <c r="J31" s="94"/>
      <c r="K31" s="94"/>
      <c r="L31" s="94"/>
      <c r="M31" s="94"/>
      <c r="N31" s="95"/>
      <c r="O31" s="93"/>
      <c r="P31" s="94"/>
      <c r="Q31" s="94"/>
      <c r="R31" s="94"/>
      <c r="S31" s="135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7"/>
      <c r="AX31" s="138"/>
      <c r="AY31" s="138"/>
      <c r="AZ31" s="138"/>
      <c r="BA31" s="138"/>
      <c r="BB31" s="138"/>
      <c r="BC31" s="139"/>
      <c r="BD31" s="142"/>
      <c r="BE31" s="138"/>
      <c r="BF31" s="138"/>
      <c r="BG31" s="138"/>
      <c r="BH31" s="138"/>
      <c r="BI31" s="138"/>
      <c r="BJ31" s="139"/>
      <c r="BK31" s="4"/>
    </row>
    <row r="32" spans="1:63" ht="15" customHeight="1" x14ac:dyDescent="0.25">
      <c r="A32" s="1"/>
      <c r="B32" s="96"/>
      <c r="C32" s="97"/>
      <c r="D32" s="97"/>
      <c r="E32" s="97"/>
      <c r="F32" s="97"/>
      <c r="G32" s="98"/>
      <c r="H32" s="96"/>
      <c r="I32" s="97"/>
      <c r="J32" s="97"/>
      <c r="K32" s="97"/>
      <c r="L32" s="97"/>
      <c r="M32" s="97"/>
      <c r="N32" s="98"/>
      <c r="O32" s="96"/>
      <c r="P32" s="97"/>
      <c r="Q32" s="97"/>
      <c r="R32" s="97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0"/>
      <c r="AY32" s="140"/>
      <c r="AZ32" s="140"/>
      <c r="BA32" s="140"/>
      <c r="BB32" s="140"/>
      <c r="BC32" s="141"/>
      <c r="BD32" s="143"/>
      <c r="BE32" s="140"/>
      <c r="BF32" s="140"/>
      <c r="BG32" s="140"/>
      <c r="BH32" s="140"/>
      <c r="BI32" s="140"/>
      <c r="BJ32" s="141"/>
      <c r="BK32" s="4"/>
    </row>
    <row r="33" spans="1:63" ht="15" customHeight="1" x14ac:dyDescent="0.25">
      <c r="A33" s="1"/>
      <c r="B33" s="93"/>
      <c r="C33" s="94"/>
      <c r="D33" s="94"/>
      <c r="E33" s="94"/>
      <c r="F33" s="94"/>
      <c r="G33" s="95"/>
      <c r="H33" s="93"/>
      <c r="I33" s="94"/>
      <c r="J33" s="94"/>
      <c r="K33" s="94"/>
      <c r="L33" s="94"/>
      <c r="M33" s="94"/>
      <c r="N33" s="95"/>
      <c r="O33" s="93"/>
      <c r="P33" s="94"/>
      <c r="Q33" s="94"/>
      <c r="R33" s="94"/>
      <c r="S33" s="135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7"/>
      <c r="AX33" s="138"/>
      <c r="AY33" s="138"/>
      <c r="AZ33" s="138"/>
      <c r="BA33" s="138"/>
      <c r="BB33" s="138"/>
      <c r="BC33" s="139"/>
      <c r="BD33" s="142"/>
      <c r="BE33" s="138"/>
      <c r="BF33" s="138"/>
      <c r="BG33" s="138"/>
      <c r="BH33" s="138"/>
      <c r="BI33" s="138"/>
      <c r="BJ33" s="139"/>
      <c r="BK33" s="4"/>
    </row>
    <row r="34" spans="1:63" ht="15" customHeight="1" x14ac:dyDescent="0.25">
      <c r="A34" s="1"/>
      <c r="B34" s="96"/>
      <c r="C34" s="97"/>
      <c r="D34" s="97"/>
      <c r="E34" s="97"/>
      <c r="F34" s="97"/>
      <c r="G34" s="98"/>
      <c r="H34" s="96"/>
      <c r="I34" s="97"/>
      <c r="J34" s="97"/>
      <c r="K34" s="97"/>
      <c r="L34" s="97"/>
      <c r="M34" s="97"/>
      <c r="N34" s="98"/>
      <c r="O34" s="96"/>
      <c r="P34" s="97"/>
      <c r="Q34" s="97"/>
      <c r="R34" s="97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0"/>
      <c r="AY34" s="140"/>
      <c r="AZ34" s="140"/>
      <c r="BA34" s="140"/>
      <c r="BB34" s="140"/>
      <c r="BC34" s="141"/>
      <c r="BD34" s="143"/>
      <c r="BE34" s="140"/>
      <c r="BF34" s="140"/>
      <c r="BG34" s="140"/>
      <c r="BH34" s="140"/>
      <c r="BI34" s="140"/>
      <c r="BJ34" s="141"/>
      <c r="BK34" s="4"/>
    </row>
    <row r="35" spans="1:63" ht="15" customHeight="1" x14ac:dyDescent="0.25">
      <c r="A35" s="1"/>
      <c r="B35" s="93"/>
      <c r="C35" s="94"/>
      <c r="D35" s="94"/>
      <c r="E35" s="94"/>
      <c r="F35" s="94"/>
      <c r="G35" s="95"/>
      <c r="H35" s="93"/>
      <c r="I35" s="94"/>
      <c r="J35" s="94"/>
      <c r="K35" s="94"/>
      <c r="L35" s="94"/>
      <c r="M35" s="94"/>
      <c r="N35" s="95"/>
      <c r="O35" s="93"/>
      <c r="P35" s="94"/>
      <c r="Q35" s="94"/>
      <c r="R35" s="94"/>
      <c r="S35" s="135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7"/>
      <c r="AX35" s="138"/>
      <c r="AY35" s="138"/>
      <c r="AZ35" s="138"/>
      <c r="BA35" s="138"/>
      <c r="BB35" s="138"/>
      <c r="BC35" s="139"/>
      <c r="BD35" s="142"/>
      <c r="BE35" s="138"/>
      <c r="BF35" s="138"/>
      <c r="BG35" s="138"/>
      <c r="BH35" s="138"/>
      <c r="BI35" s="138"/>
      <c r="BJ35" s="139"/>
      <c r="BK35" s="4"/>
    </row>
    <row r="36" spans="1:63" ht="15" customHeight="1" x14ac:dyDescent="0.25">
      <c r="A36" s="1"/>
      <c r="B36" s="96"/>
      <c r="C36" s="97"/>
      <c r="D36" s="97"/>
      <c r="E36" s="97"/>
      <c r="F36" s="97"/>
      <c r="G36" s="98"/>
      <c r="H36" s="96"/>
      <c r="I36" s="97"/>
      <c r="J36" s="97"/>
      <c r="K36" s="97"/>
      <c r="L36" s="97"/>
      <c r="M36" s="97"/>
      <c r="N36" s="98"/>
      <c r="O36" s="96"/>
      <c r="P36" s="97"/>
      <c r="Q36" s="97"/>
      <c r="R36" s="97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0"/>
      <c r="AY36" s="140"/>
      <c r="AZ36" s="140"/>
      <c r="BA36" s="140"/>
      <c r="BB36" s="140"/>
      <c r="BC36" s="141"/>
      <c r="BD36" s="143"/>
      <c r="BE36" s="140"/>
      <c r="BF36" s="140"/>
      <c r="BG36" s="140"/>
      <c r="BH36" s="140"/>
      <c r="BI36" s="140"/>
      <c r="BJ36" s="141"/>
      <c r="BK36" s="4"/>
    </row>
    <row r="37" spans="1:63" ht="15" customHeight="1" x14ac:dyDescent="0.25">
      <c r="A37" s="1"/>
      <c r="B37" s="93"/>
      <c r="C37" s="94"/>
      <c r="D37" s="94"/>
      <c r="E37" s="94"/>
      <c r="F37" s="94"/>
      <c r="G37" s="95"/>
      <c r="H37" s="93"/>
      <c r="I37" s="94"/>
      <c r="J37" s="94"/>
      <c r="K37" s="94"/>
      <c r="L37" s="94"/>
      <c r="M37" s="94"/>
      <c r="N37" s="95"/>
      <c r="O37" s="93"/>
      <c r="P37" s="94"/>
      <c r="Q37" s="94"/>
      <c r="R37" s="94"/>
      <c r="S37" s="135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7"/>
      <c r="AX37" s="138"/>
      <c r="AY37" s="138"/>
      <c r="AZ37" s="138"/>
      <c r="BA37" s="138"/>
      <c r="BB37" s="138"/>
      <c r="BC37" s="139"/>
      <c r="BD37" s="142"/>
      <c r="BE37" s="138"/>
      <c r="BF37" s="138"/>
      <c r="BG37" s="138"/>
      <c r="BH37" s="138"/>
      <c r="BI37" s="138"/>
      <c r="BJ37" s="139"/>
      <c r="BK37" s="4"/>
    </row>
    <row r="38" spans="1:63" ht="15" customHeight="1" x14ac:dyDescent="0.25">
      <c r="A38" s="1"/>
      <c r="B38" s="96"/>
      <c r="C38" s="97"/>
      <c r="D38" s="97"/>
      <c r="E38" s="97"/>
      <c r="F38" s="97"/>
      <c r="G38" s="98"/>
      <c r="H38" s="96"/>
      <c r="I38" s="97"/>
      <c r="J38" s="97"/>
      <c r="K38" s="97"/>
      <c r="L38" s="97"/>
      <c r="M38" s="97"/>
      <c r="N38" s="98"/>
      <c r="O38" s="96"/>
      <c r="P38" s="97"/>
      <c r="Q38" s="97"/>
      <c r="R38" s="97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0"/>
      <c r="AY38" s="140"/>
      <c r="AZ38" s="140"/>
      <c r="BA38" s="140"/>
      <c r="BB38" s="140"/>
      <c r="BC38" s="141"/>
      <c r="BD38" s="143"/>
      <c r="BE38" s="140"/>
      <c r="BF38" s="140"/>
      <c r="BG38" s="140"/>
      <c r="BH38" s="140"/>
      <c r="BI38" s="140"/>
      <c r="BJ38" s="141"/>
      <c r="BK38" s="4"/>
    </row>
    <row r="39" spans="1:63" ht="15" customHeight="1" x14ac:dyDescent="0.25">
      <c r="A39" s="1"/>
      <c r="B39" s="93"/>
      <c r="C39" s="94"/>
      <c r="D39" s="94"/>
      <c r="E39" s="94"/>
      <c r="F39" s="94"/>
      <c r="G39" s="95"/>
      <c r="H39" s="93"/>
      <c r="I39" s="94"/>
      <c r="J39" s="94"/>
      <c r="K39" s="94"/>
      <c r="L39" s="94"/>
      <c r="M39" s="94"/>
      <c r="N39" s="95"/>
      <c r="O39" s="93"/>
      <c r="P39" s="94"/>
      <c r="Q39" s="94"/>
      <c r="R39" s="94"/>
      <c r="S39" s="135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7"/>
      <c r="AX39" s="138"/>
      <c r="AY39" s="138"/>
      <c r="AZ39" s="138"/>
      <c r="BA39" s="138"/>
      <c r="BB39" s="138"/>
      <c r="BC39" s="139"/>
      <c r="BD39" s="142"/>
      <c r="BE39" s="138"/>
      <c r="BF39" s="138"/>
      <c r="BG39" s="138"/>
      <c r="BH39" s="138"/>
      <c r="BI39" s="138"/>
      <c r="BJ39" s="139"/>
      <c r="BK39" s="4"/>
    </row>
    <row r="40" spans="1:63" ht="15" customHeight="1" x14ac:dyDescent="0.25">
      <c r="A40" s="1"/>
      <c r="B40" s="96"/>
      <c r="C40" s="97"/>
      <c r="D40" s="97"/>
      <c r="E40" s="97"/>
      <c r="F40" s="97"/>
      <c r="G40" s="98"/>
      <c r="H40" s="96"/>
      <c r="I40" s="97"/>
      <c r="J40" s="97"/>
      <c r="K40" s="97"/>
      <c r="L40" s="97"/>
      <c r="M40" s="97"/>
      <c r="N40" s="98"/>
      <c r="O40" s="96"/>
      <c r="P40" s="97"/>
      <c r="Q40" s="97"/>
      <c r="R40" s="97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0"/>
      <c r="AY40" s="140"/>
      <c r="AZ40" s="140"/>
      <c r="BA40" s="140"/>
      <c r="BB40" s="140"/>
      <c r="BC40" s="141"/>
      <c r="BD40" s="143"/>
      <c r="BE40" s="140"/>
      <c r="BF40" s="140"/>
      <c r="BG40" s="140"/>
      <c r="BH40" s="140"/>
      <c r="BI40" s="140"/>
      <c r="BJ40" s="141"/>
      <c r="BK40" s="4"/>
    </row>
    <row r="41" spans="1:63" ht="15" customHeight="1" x14ac:dyDescent="0.25">
      <c r="A41" s="1"/>
      <c r="B41" s="93"/>
      <c r="C41" s="94"/>
      <c r="D41" s="94"/>
      <c r="E41" s="94"/>
      <c r="F41" s="94"/>
      <c r="G41" s="95"/>
      <c r="H41" s="93"/>
      <c r="I41" s="94"/>
      <c r="J41" s="94"/>
      <c r="K41" s="94"/>
      <c r="L41" s="94"/>
      <c r="M41" s="94"/>
      <c r="N41" s="95"/>
      <c r="O41" s="93"/>
      <c r="P41" s="94"/>
      <c r="Q41" s="94"/>
      <c r="R41" s="94"/>
      <c r="S41" s="135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7"/>
      <c r="AX41" s="138"/>
      <c r="AY41" s="138"/>
      <c r="AZ41" s="138"/>
      <c r="BA41" s="138"/>
      <c r="BB41" s="138"/>
      <c r="BC41" s="139"/>
      <c r="BD41" s="142"/>
      <c r="BE41" s="138"/>
      <c r="BF41" s="138"/>
      <c r="BG41" s="138"/>
      <c r="BH41" s="138"/>
      <c r="BI41" s="138"/>
      <c r="BJ41" s="139"/>
      <c r="BK41" s="4"/>
    </row>
    <row r="42" spans="1:63" ht="15" customHeight="1" x14ac:dyDescent="0.25">
      <c r="A42" s="1"/>
      <c r="B42" s="96"/>
      <c r="C42" s="97"/>
      <c r="D42" s="97"/>
      <c r="E42" s="97"/>
      <c r="F42" s="97"/>
      <c r="G42" s="98"/>
      <c r="H42" s="96"/>
      <c r="I42" s="97"/>
      <c r="J42" s="97"/>
      <c r="K42" s="97"/>
      <c r="L42" s="97"/>
      <c r="M42" s="97"/>
      <c r="N42" s="98"/>
      <c r="O42" s="96"/>
      <c r="P42" s="97"/>
      <c r="Q42" s="97"/>
      <c r="R42" s="97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0"/>
      <c r="AY42" s="140"/>
      <c r="AZ42" s="140"/>
      <c r="BA42" s="140"/>
      <c r="BB42" s="140"/>
      <c r="BC42" s="141"/>
      <c r="BD42" s="143"/>
      <c r="BE42" s="140"/>
      <c r="BF42" s="140"/>
      <c r="BG42" s="140"/>
      <c r="BH42" s="140"/>
      <c r="BI42" s="140"/>
      <c r="BJ42" s="141"/>
      <c r="BK42" s="4"/>
    </row>
    <row r="43" spans="1:63" ht="15" customHeight="1" x14ac:dyDescent="0.25">
      <c r="A43" s="1"/>
      <c r="B43" s="93"/>
      <c r="C43" s="94"/>
      <c r="D43" s="94"/>
      <c r="E43" s="94"/>
      <c r="F43" s="94"/>
      <c r="G43" s="95"/>
      <c r="H43" s="93"/>
      <c r="I43" s="94"/>
      <c r="J43" s="94"/>
      <c r="K43" s="94"/>
      <c r="L43" s="94"/>
      <c r="M43" s="94"/>
      <c r="N43" s="95"/>
      <c r="O43" s="93"/>
      <c r="P43" s="94"/>
      <c r="Q43" s="94"/>
      <c r="R43" s="94"/>
      <c r="S43" s="135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7"/>
      <c r="AX43" s="138"/>
      <c r="AY43" s="138"/>
      <c r="AZ43" s="138"/>
      <c r="BA43" s="138"/>
      <c r="BB43" s="138"/>
      <c r="BC43" s="139"/>
      <c r="BD43" s="142"/>
      <c r="BE43" s="138"/>
      <c r="BF43" s="138"/>
      <c r="BG43" s="138"/>
      <c r="BH43" s="138"/>
      <c r="BI43" s="138"/>
      <c r="BJ43" s="139"/>
      <c r="BK43" s="4"/>
    </row>
    <row r="44" spans="1:63" ht="15" customHeight="1" x14ac:dyDescent="0.25">
      <c r="A44" s="1"/>
      <c r="B44" s="96"/>
      <c r="C44" s="97"/>
      <c r="D44" s="97"/>
      <c r="E44" s="97"/>
      <c r="F44" s="97"/>
      <c r="G44" s="98"/>
      <c r="H44" s="96"/>
      <c r="I44" s="97"/>
      <c r="J44" s="97"/>
      <c r="K44" s="97"/>
      <c r="L44" s="97"/>
      <c r="M44" s="97"/>
      <c r="N44" s="98"/>
      <c r="O44" s="96"/>
      <c r="P44" s="97"/>
      <c r="Q44" s="97"/>
      <c r="R44" s="97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0"/>
      <c r="AY44" s="140"/>
      <c r="AZ44" s="140"/>
      <c r="BA44" s="140"/>
      <c r="BB44" s="140"/>
      <c r="BC44" s="141"/>
      <c r="BD44" s="143"/>
      <c r="BE44" s="140"/>
      <c r="BF44" s="140"/>
      <c r="BG44" s="140"/>
      <c r="BH44" s="140"/>
      <c r="BI44" s="140"/>
      <c r="BJ44" s="141"/>
      <c r="BK44" s="4"/>
    </row>
    <row r="45" spans="1:63" ht="15" customHeight="1" x14ac:dyDescent="0.25">
      <c r="A45" s="1"/>
      <c r="B45" s="93"/>
      <c r="C45" s="94"/>
      <c r="D45" s="94"/>
      <c r="E45" s="94"/>
      <c r="F45" s="94"/>
      <c r="G45" s="95"/>
      <c r="H45" s="93"/>
      <c r="I45" s="94"/>
      <c r="J45" s="94"/>
      <c r="K45" s="94"/>
      <c r="L45" s="94"/>
      <c r="M45" s="94"/>
      <c r="N45" s="95"/>
      <c r="O45" s="93"/>
      <c r="P45" s="94"/>
      <c r="Q45" s="94"/>
      <c r="R45" s="94"/>
      <c r="S45" s="135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7"/>
      <c r="AX45" s="138"/>
      <c r="AY45" s="138"/>
      <c r="AZ45" s="138"/>
      <c r="BA45" s="138"/>
      <c r="BB45" s="138"/>
      <c r="BC45" s="139"/>
      <c r="BD45" s="142"/>
      <c r="BE45" s="138"/>
      <c r="BF45" s="138"/>
      <c r="BG45" s="138"/>
      <c r="BH45" s="138"/>
      <c r="BI45" s="138"/>
      <c r="BJ45" s="139"/>
      <c r="BK45" s="4"/>
    </row>
    <row r="46" spans="1:63" ht="15" customHeight="1" x14ac:dyDescent="0.25">
      <c r="A46" s="1"/>
      <c r="B46" s="96"/>
      <c r="C46" s="97"/>
      <c r="D46" s="97"/>
      <c r="E46" s="97"/>
      <c r="F46" s="97"/>
      <c r="G46" s="98"/>
      <c r="H46" s="96"/>
      <c r="I46" s="97"/>
      <c r="J46" s="97"/>
      <c r="K46" s="97"/>
      <c r="L46" s="97"/>
      <c r="M46" s="97"/>
      <c r="N46" s="98"/>
      <c r="O46" s="96"/>
      <c r="P46" s="97"/>
      <c r="Q46" s="97"/>
      <c r="R46" s="97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0"/>
      <c r="AY46" s="140"/>
      <c r="AZ46" s="140"/>
      <c r="BA46" s="140"/>
      <c r="BB46" s="140"/>
      <c r="BC46" s="141"/>
      <c r="BD46" s="143"/>
      <c r="BE46" s="140"/>
      <c r="BF46" s="140"/>
      <c r="BG46" s="140"/>
      <c r="BH46" s="140"/>
      <c r="BI46" s="140"/>
      <c r="BJ46" s="141"/>
      <c r="BK46" s="4"/>
    </row>
    <row r="47" spans="1:63" ht="15" customHeight="1" x14ac:dyDescent="0.25">
      <c r="A47" s="1"/>
      <c r="B47" s="93"/>
      <c r="C47" s="94"/>
      <c r="D47" s="94"/>
      <c r="E47" s="94"/>
      <c r="F47" s="94"/>
      <c r="G47" s="95"/>
      <c r="H47" s="93"/>
      <c r="I47" s="94"/>
      <c r="J47" s="94"/>
      <c r="K47" s="94"/>
      <c r="L47" s="94"/>
      <c r="M47" s="94"/>
      <c r="N47" s="95"/>
      <c r="O47" s="93"/>
      <c r="P47" s="94"/>
      <c r="Q47" s="94"/>
      <c r="R47" s="94"/>
      <c r="S47" s="135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7"/>
      <c r="AX47" s="138"/>
      <c r="AY47" s="138"/>
      <c r="AZ47" s="138"/>
      <c r="BA47" s="138"/>
      <c r="BB47" s="138"/>
      <c r="BC47" s="139"/>
      <c r="BD47" s="142"/>
      <c r="BE47" s="138"/>
      <c r="BF47" s="138"/>
      <c r="BG47" s="138"/>
      <c r="BH47" s="138"/>
      <c r="BI47" s="138"/>
      <c r="BJ47" s="139"/>
      <c r="BK47" s="4"/>
    </row>
    <row r="48" spans="1:63" ht="15" customHeight="1" x14ac:dyDescent="0.25">
      <c r="A48" s="1"/>
      <c r="B48" s="96"/>
      <c r="C48" s="97"/>
      <c r="D48" s="97"/>
      <c r="E48" s="97"/>
      <c r="F48" s="97"/>
      <c r="G48" s="98"/>
      <c r="H48" s="96"/>
      <c r="I48" s="97"/>
      <c r="J48" s="97"/>
      <c r="K48" s="97"/>
      <c r="L48" s="97"/>
      <c r="M48" s="97"/>
      <c r="N48" s="98"/>
      <c r="O48" s="96"/>
      <c r="P48" s="97"/>
      <c r="Q48" s="97"/>
      <c r="R48" s="97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0"/>
      <c r="AY48" s="140"/>
      <c r="AZ48" s="140"/>
      <c r="BA48" s="140"/>
      <c r="BB48" s="140"/>
      <c r="BC48" s="141"/>
      <c r="BD48" s="143"/>
      <c r="BE48" s="140"/>
      <c r="BF48" s="140"/>
      <c r="BG48" s="140"/>
      <c r="BH48" s="140"/>
      <c r="BI48" s="140"/>
      <c r="BJ48" s="141"/>
      <c r="BK48" s="4"/>
    </row>
    <row r="49" spans="1:63" ht="15" customHeight="1" x14ac:dyDescent="0.25">
      <c r="A49" s="1"/>
      <c r="B49" s="93"/>
      <c r="C49" s="94"/>
      <c r="D49" s="94"/>
      <c r="E49" s="94"/>
      <c r="F49" s="94"/>
      <c r="G49" s="95"/>
      <c r="H49" s="93"/>
      <c r="I49" s="94"/>
      <c r="J49" s="94"/>
      <c r="K49" s="94"/>
      <c r="L49" s="94"/>
      <c r="M49" s="94"/>
      <c r="N49" s="95"/>
      <c r="O49" s="93"/>
      <c r="P49" s="94"/>
      <c r="Q49" s="94"/>
      <c r="R49" s="94"/>
      <c r="S49" s="135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7"/>
      <c r="AX49" s="138"/>
      <c r="AY49" s="138"/>
      <c r="AZ49" s="138"/>
      <c r="BA49" s="138"/>
      <c r="BB49" s="138"/>
      <c r="BC49" s="139"/>
      <c r="BD49" s="142"/>
      <c r="BE49" s="138"/>
      <c r="BF49" s="138"/>
      <c r="BG49" s="138"/>
      <c r="BH49" s="138"/>
      <c r="BI49" s="138"/>
      <c r="BJ49" s="139"/>
      <c r="BK49" s="4"/>
    </row>
    <row r="50" spans="1:63" ht="15" customHeight="1" x14ac:dyDescent="0.25">
      <c r="A50" s="1"/>
      <c r="B50" s="96"/>
      <c r="C50" s="97"/>
      <c r="D50" s="97"/>
      <c r="E50" s="97"/>
      <c r="F50" s="97"/>
      <c r="G50" s="98"/>
      <c r="H50" s="96"/>
      <c r="I50" s="97"/>
      <c r="J50" s="97"/>
      <c r="K50" s="97"/>
      <c r="L50" s="97"/>
      <c r="M50" s="97"/>
      <c r="N50" s="98"/>
      <c r="O50" s="96"/>
      <c r="P50" s="97"/>
      <c r="Q50" s="97"/>
      <c r="R50" s="97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0"/>
      <c r="AY50" s="140"/>
      <c r="AZ50" s="140"/>
      <c r="BA50" s="140"/>
      <c r="BB50" s="140"/>
      <c r="BC50" s="141"/>
      <c r="BD50" s="143"/>
      <c r="BE50" s="140"/>
      <c r="BF50" s="140"/>
      <c r="BG50" s="140"/>
      <c r="BH50" s="140"/>
      <c r="BI50" s="140"/>
      <c r="BJ50" s="141"/>
      <c r="BK50" s="4"/>
    </row>
    <row r="51" spans="1:63" ht="15" customHeight="1" x14ac:dyDescent="0.25">
      <c r="A51" s="1"/>
      <c r="B51" s="93"/>
      <c r="C51" s="94"/>
      <c r="D51" s="94"/>
      <c r="E51" s="94"/>
      <c r="F51" s="94"/>
      <c r="G51" s="95"/>
      <c r="H51" s="93"/>
      <c r="I51" s="94"/>
      <c r="J51" s="94"/>
      <c r="K51" s="94"/>
      <c r="L51" s="94"/>
      <c r="M51" s="94"/>
      <c r="N51" s="95"/>
      <c r="O51" s="93"/>
      <c r="P51" s="94"/>
      <c r="Q51" s="94"/>
      <c r="R51" s="94"/>
      <c r="S51" s="135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7"/>
      <c r="AX51" s="138"/>
      <c r="AY51" s="138"/>
      <c r="AZ51" s="138"/>
      <c r="BA51" s="138"/>
      <c r="BB51" s="138"/>
      <c r="BC51" s="139"/>
      <c r="BD51" s="142"/>
      <c r="BE51" s="138"/>
      <c r="BF51" s="138"/>
      <c r="BG51" s="138"/>
      <c r="BH51" s="138"/>
      <c r="BI51" s="138"/>
      <c r="BJ51" s="139"/>
      <c r="BK51" s="4"/>
    </row>
    <row r="52" spans="1:63" ht="15" customHeight="1" x14ac:dyDescent="0.25">
      <c r="A52" s="1"/>
      <c r="B52" s="96"/>
      <c r="C52" s="97"/>
      <c r="D52" s="97"/>
      <c r="E52" s="97"/>
      <c r="F52" s="97"/>
      <c r="G52" s="98"/>
      <c r="H52" s="96"/>
      <c r="I52" s="97"/>
      <c r="J52" s="97"/>
      <c r="K52" s="97"/>
      <c r="L52" s="97"/>
      <c r="M52" s="97"/>
      <c r="N52" s="98"/>
      <c r="O52" s="96"/>
      <c r="P52" s="97"/>
      <c r="Q52" s="97"/>
      <c r="R52" s="97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0"/>
      <c r="AY52" s="140"/>
      <c r="AZ52" s="140"/>
      <c r="BA52" s="140"/>
      <c r="BB52" s="140"/>
      <c r="BC52" s="141"/>
      <c r="BD52" s="143"/>
      <c r="BE52" s="140"/>
      <c r="BF52" s="140"/>
      <c r="BG52" s="140"/>
      <c r="BH52" s="140"/>
      <c r="BI52" s="140"/>
      <c r="BJ52" s="141"/>
      <c r="BK52" s="4"/>
    </row>
    <row r="53" spans="1:63" ht="15" customHeight="1" x14ac:dyDescent="0.25">
      <c r="A53" s="1"/>
      <c r="B53" s="93"/>
      <c r="C53" s="94"/>
      <c r="D53" s="94"/>
      <c r="E53" s="94"/>
      <c r="F53" s="94"/>
      <c r="G53" s="95"/>
      <c r="H53" s="93"/>
      <c r="I53" s="94"/>
      <c r="J53" s="94"/>
      <c r="K53" s="94"/>
      <c r="L53" s="94"/>
      <c r="M53" s="94"/>
      <c r="N53" s="95"/>
      <c r="O53" s="93"/>
      <c r="P53" s="94"/>
      <c r="Q53" s="94"/>
      <c r="R53" s="94"/>
      <c r="S53" s="135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7"/>
      <c r="AX53" s="138"/>
      <c r="AY53" s="138"/>
      <c r="AZ53" s="138"/>
      <c r="BA53" s="138"/>
      <c r="BB53" s="138"/>
      <c r="BC53" s="139"/>
      <c r="BD53" s="142"/>
      <c r="BE53" s="138"/>
      <c r="BF53" s="138"/>
      <c r="BG53" s="138"/>
      <c r="BH53" s="138"/>
      <c r="BI53" s="138"/>
      <c r="BJ53" s="139"/>
      <c r="BK53" s="4"/>
    </row>
    <row r="54" spans="1:63" ht="15" customHeight="1" x14ac:dyDescent="0.25">
      <c r="A54" s="1"/>
      <c r="B54" s="96"/>
      <c r="C54" s="97"/>
      <c r="D54" s="97"/>
      <c r="E54" s="97"/>
      <c r="F54" s="97"/>
      <c r="G54" s="98"/>
      <c r="H54" s="96"/>
      <c r="I54" s="97"/>
      <c r="J54" s="97"/>
      <c r="K54" s="97"/>
      <c r="L54" s="97"/>
      <c r="M54" s="97"/>
      <c r="N54" s="98"/>
      <c r="O54" s="96"/>
      <c r="P54" s="97"/>
      <c r="Q54" s="97"/>
      <c r="R54" s="97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0"/>
      <c r="AY54" s="140"/>
      <c r="AZ54" s="140"/>
      <c r="BA54" s="140"/>
      <c r="BB54" s="140"/>
      <c r="BC54" s="141"/>
      <c r="BD54" s="143"/>
      <c r="BE54" s="140"/>
      <c r="BF54" s="140"/>
      <c r="BG54" s="140"/>
      <c r="BH54" s="140"/>
      <c r="BI54" s="140"/>
      <c r="BJ54" s="141"/>
      <c r="BK54" s="4"/>
    </row>
    <row r="55" spans="1:63" ht="1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1CD59-E0EF-4295-97DD-1748B2691815}">
  <sheetPr>
    <pageSetUpPr fitToPage="1"/>
  </sheetPr>
  <dimension ref="A1:BK57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90" t="s">
        <v>27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28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00" t="s">
        <v>29</v>
      </c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90" t="s">
        <v>30</v>
      </c>
      <c r="AQ1" s="91"/>
      <c r="AR1" s="91"/>
      <c r="AS1" s="92"/>
      <c r="AT1" s="90" t="s">
        <v>31</v>
      </c>
      <c r="AU1" s="91"/>
      <c r="AV1" s="91"/>
      <c r="AW1" s="91"/>
      <c r="AX1" s="92"/>
      <c r="AY1" s="90" t="s">
        <v>32</v>
      </c>
      <c r="AZ1" s="91"/>
      <c r="BA1" s="91"/>
      <c r="BB1" s="92"/>
      <c r="BC1" s="90" t="s">
        <v>33</v>
      </c>
      <c r="BD1" s="91"/>
      <c r="BE1" s="91"/>
      <c r="BF1" s="91"/>
      <c r="BG1" s="92"/>
      <c r="BH1" s="90" t="s">
        <v>34</v>
      </c>
      <c r="BI1" s="91"/>
      <c r="BJ1" s="91"/>
      <c r="BK1" s="92"/>
    </row>
    <row r="2" spans="1:63" ht="15" customHeight="1" x14ac:dyDescent="0.25">
      <c r="A2" s="93" t="s">
        <v>35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35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93" t="s">
        <v>36</v>
      </c>
      <c r="AQ2" s="94"/>
      <c r="AR2" s="94"/>
      <c r="AS2" s="95"/>
      <c r="AT2" s="120">
        <v>45481</v>
      </c>
      <c r="AU2" s="121"/>
      <c r="AV2" s="121"/>
      <c r="AW2" s="121"/>
      <c r="AX2" s="122"/>
      <c r="AY2" s="93" t="s">
        <v>37</v>
      </c>
      <c r="AZ2" s="94"/>
      <c r="BA2" s="94"/>
      <c r="BB2" s="95"/>
      <c r="BC2" s="120">
        <v>45481</v>
      </c>
      <c r="BD2" s="121"/>
      <c r="BE2" s="121"/>
      <c r="BF2" s="121"/>
      <c r="BG2" s="122"/>
      <c r="BH2" s="93"/>
      <c r="BI2" s="94"/>
      <c r="BJ2" s="94"/>
      <c r="BK2" s="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6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8"/>
      <c r="AP3" s="96"/>
      <c r="AQ3" s="97"/>
      <c r="AR3" s="97"/>
      <c r="AS3" s="98"/>
      <c r="AT3" s="123"/>
      <c r="AU3" s="124"/>
      <c r="AV3" s="124"/>
      <c r="AW3" s="124"/>
      <c r="AX3" s="125"/>
      <c r="AY3" s="96"/>
      <c r="AZ3" s="97"/>
      <c r="BA3" s="97"/>
      <c r="BB3" s="98"/>
      <c r="BC3" s="123"/>
      <c r="BD3" s="124"/>
      <c r="BE3" s="124"/>
      <c r="BF3" s="124"/>
      <c r="BG3" s="125"/>
      <c r="BH3" s="96"/>
      <c r="BI3" s="97"/>
      <c r="BJ3" s="97"/>
      <c r="BK3" s="98"/>
    </row>
    <row r="4" spans="1:63" ht="24.95" customHeight="1" x14ac:dyDescent="0.25">
      <c r="A4" s="90" t="s">
        <v>38</v>
      </c>
      <c r="B4" s="91"/>
      <c r="C4" s="91"/>
      <c r="D4" s="91"/>
      <c r="E4" s="91"/>
      <c r="F4" s="91"/>
      <c r="G4" s="92"/>
      <c r="H4" s="111" t="s">
        <v>39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0" t="s">
        <v>40</v>
      </c>
      <c r="V4" s="91"/>
      <c r="W4" s="91"/>
      <c r="X4" s="91"/>
      <c r="Y4" s="92"/>
      <c r="Z4" s="111" t="s">
        <v>41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1" t="s">
        <v>42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1"/>
      <c r="BK6" s="4"/>
    </row>
    <row r="7" spans="1:63" ht="15" customHeight="1" x14ac:dyDescent="0.25">
      <c r="A7" s="1"/>
      <c r="BK7" s="4"/>
    </row>
    <row r="8" spans="1:63" ht="15" customHeight="1" x14ac:dyDescent="0.25">
      <c r="A8" s="1"/>
      <c r="B8" t="s">
        <v>18</v>
      </c>
      <c r="BK8" s="4"/>
    </row>
    <row r="9" spans="1:63" ht="15" customHeight="1" x14ac:dyDescent="0.25">
      <c r="A9" s="1"/>
      <c r="BK9" s="4"/>
    </row>
    <row r="10" spans="1:63" ht="15" customHeight="1" x14ac:dyDescent="0.25">
      <c r="A10" s="1"/>
      <c r="B10" s="147" t="s">
        <v>33</v>
      </c>
      <c r="C10" s="147"/>
      <c r="D10" s="147"/>
      <c r="E10" s="147"/>
      <c r="F10" s="147"/>
      <c r="G10" s="147"/>
      <c r="H10" s="147" t="s">
        <v>32</v>
      </c>
      <c r="I10" s="147"/>
      <c r="J10" s="147"/>
      <c r="K10" s="147"/>
      <c r="L10" s="147"/>
      <c r="M10" s="147"/>
      <c r="N10" s="147"/>
      <c r="O10" s="147" t="s">
        <v>34</v>
      </c>
      <c r="P10" s="147"/>
      <c r="Q10" s="147"/>
      <c r="R10" s="147"/>
      <c r="S10" s="147" t="s">
        <v>43</v>
      </c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 t="s">
        <v>44</v>
      </c>
      <c r="AY10" s="147"/>
      <c r="AZ10" s="147"/>
      <c r="BA10" s="147"/>
      <c r="BB10" s="147"/>
      <c r="BC10" s="147"/>
      <c r="BD10" s="147" t="s">
        <v>45</v>
      </c>
      <c r="BE10" s="147"/>
      <c r="BF10" s="147"/>
      <c r="BG10" s="147"/>
      <c r="BH10" s="147"/>
      <c r="BI10" s="147"/>
      <c r="BJ10" s="147"/>
      <c r="BK10" s="4"/>
    </row>
    <row r="11" spans="1:63" ht="15" customHeight="1" x14ac:dyDescent="0.25">
      <c r="A11" s="1"/>
      <c r="B11" s="180">
        <v>45481</v>
      </c>
      <c r="C11" s="181"/>
      <c r="D11" s="181"/>
      <c r="E11" s="181"/>
      <c r="F11" s="181"/>
      <c r="G11" s="182"/>
      <c r="H11" s="99" t="s">
        <v>46</v>
      </c>
      <c r="I11" s="181"/>
      <c r="J11" s="181"/>
      <c r="K11" s="181"/>
      <c r="L11" s="181"/>
      <c r="M11" s="181"/>
      <c r="N11" s="182"/>
      <c r="O11" s="186"/>
      <c r="P11" s="181"/>
      <c r="Q11" s="181"/>
      <c r="R11" s="181"/>
      <c r="S11" s="187" t="s">
        <v>47</v>
      </c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  <c r="AP11" s="188"/>
      <c r="AQ11" s="188"/>
      <c r="AR11" s="188"/>
      <c r="AS11" s="188"/>
      <c r="AT11" s="188"/>
      <c r="AU11" s="188"/>
      <c r="AV11" s="188"/>
      <c r="AW11" s="189"/>
      <c r="AX11" s="138"/>
      <c r="AY11" s="138"/>
      <c r="AZ11" s="138"/>
      <c r="BA11" s="138"/>
      <c r="BB11" s="138"/>
      <c r="BC11" s="139"/>
      <c r="BD11" s="142"/>
      <c r="BE11" s="138"/>
      <c r="BF11" s="138"/>
      <c r="BG11" s="138"/>
      <c r="BH11" s="138"/>
      <c r="BI11" s="138"/>
      <c r="BJ11" s="139"/>
      <c r="BK11" s="4"/>
    </row>
    <row r="12" spans="1:63" ht="15" customHeight="1" x14ac:dyDescent="0.25">
      <c r="A12" s="1"/>
      <c r="B12" s="183"/>
      <c r="C12" s="184"/>
      <c r="D12" s="184"/>
      <c r="E12" s="184"/>
      <c r="F12" s="184"/>
      <c r="G12" s="185"/>
      <c r="H12" s="183"/>
      <c r="I12" s="184"/>
      <c r="J12" s="184"/>
      <c r="K12" s="184"/>
      <c r="L12" s="184"/>
      <c r="M12" s="184"/>
      <c r="N12" s="185"/>
      <c r="O12" s="183"/>
      <c r="P12" s="184"/>
      <c r="Q12" s="184"/>
      <c r="R12" s="184"/>
      <c r="S12" s="190" t="s">
        <v>48</v>
      </c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2"/>
      <c r="AX12" s="140"/>
      <c r="AY12" s="140"/>
      <c r="AZ12" s="140"/>
      <c r="BA12" s="140"/>
      <c r="BB12" s="140"/>
      <c r="BC12" s="141"/>
      <c r="BD12" s="143"/>
      <c r="BE12" s="140"/>
      <c r="BF12" s="140"/>
      <c r="BG12" s="140"/>
      <c r="BH12" s="140"/>
      <c r="BI12" s="140"/>
      <c r="BJ12" s="141"/>
      <c r="BK12" s="4"/>
    </row>
    <row r="13" spans="1:63" s="40" customFormat="1" ht="15" customHeight="1" x14ac:dyDescent="0.25">
      <c r="A13" s="42"/>
      <c r="B13" s="180">
        <v>45481</v>
      </c>
      <c r="C13" s="181"/>
      <c r="D13" s="181"/>
      <c r="E13" s="181"/>
      <c r="F13" s="181"/>
      <c r="G13" s="182"/>
      <c r="H13" s="99" t="s">
        <v>46</v>
      </c>
      <c r="I13" s="181"/>
      <c r="J13" s="181"/>
      <c r="K13" s="181"/>
      <c r="L13" s="181"/>
      <c r="M13" s="181"/>
      <c r="N13" s="182"/>
      <c r="O13" s="154"/>
      <c r="P13" s="149"/>
      <c r="Q13" s="149"/>
      <c r="R13" s="149"/>
      <c r="S13" s="187" t="s">
        <v>47</v>
      </c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8"/>
      <c r="AV13" s="188"/>
      <c r="AW13" s="189"/>
      <c r="AX13" s="193"/>
      <c r="AY13" s="193"/>
      <c r="AZ13" s="193"/>
      <c r="BA13" s="193"/>
      <c r="BB13" s="193"/>
      <c r="BC13" s="194"/>
      <c r="BD13" s="197"/>
      <c r="BE13" s="193"/>
      <c r="BF13" s="193"/>
      <c r="BG13" s="193"/>
      <c r="BH13" s="193"/>
      <c r="BI13" s="193"/>
      <c r="BJ13" s="194"/>
      <c r="BK13" s="41"/>
    </row>
    <row r="14" spans="1:63" s="40" customFormat="1" ht="15" customHeight="1" x14ac:dyDescent="0.25">
      <c r="A14" s="42"/>
      <c r="B14" s="183"/>
      <c r="C14" s="184"/>
      <c r="D14" s="184"/>
      <c r="E14" s="184"/>
      <c r="F14" s="184"/>
      <c r="G14" s="185"/>
      <c r="H14" s="183"/>
      <c r="I14" s="184"/>
      <c r="J14" s="184"/>
      <c r="K14" s="184"/>
      <c r="L14" s="184"/>
      <c r="M14" s="184"/>
      <c r="N14" s="185"/>
      <c r="O14" s="151"/>
      <c r="P14" s="152"/>
      <c r="Q14" s="152"/>
      <c r="R14" s="152"/>
      <c r="S14" s="190" t="s">
        <v>49</v>
      </c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1"/>
      <c r="AF14" s="191"/>
      <c r="AG14" s="191"/>
      <c r="AH14" s="191"/>
      <c r="AI14" s="191"/>
      <c r="AJ14" s="191"/>
      <c r="AK14" s="191"/>
      <c r="AL14" s="191"/>
      <c r="AM14" s="191"/>
      <c r="AN14" s="191"/>
      <c r="AO14" s="191"/>
      <c r="AP14" s="191"/>
      <c r="AQ14" s="191"/>
      <c r="AR14" s="191"/>
      <c r="AS14" s="191"/>
      <c r="AT14" s="191"/>
      <c r="AU14" s="191"/>
      <c r="AV14" s="191"/>
      <c r="AW14" s="192"/>
      <c r="AX14" s="195"/>
      <c r="AY14" s="195"/>
      <c r="AZ14" s="195"/>
      <c r="BA14" s="195"/>
      <c r="BB14" s="195"/>
      <c r="BC14" s="196"/>
      <c r="BD14" s="198"/>
      <c r="BE14" s="195"/>
      <c r="BF14" s="195"/>
      <c r="BG14" s="195"/>
      <c r="BH14" s="195"/>
      <c r="BI14" s="195"/>
      <c r="BJ14" s="196"/>
      <c r="BK14" s="41"/>
    </row>
    <row r="15" spans="1:63" ht="15" customHeight="1" x14ac:dyDescent="0.25">
      <c r="A15" s="1"/>
      <c r="B15" s="180">
        <v>45481</v>
      </c>
      <c r="C15" s="181"/>
      <c r="D15" s="181"/>
      <c r="E15" s="181"/>
      <c r="F15" s="181"/>
      <c r="G15" s="182"/>
      <c r="H15" s="99" t="s">
        <v>46</v>
      </c>
      <c r="I15" s="181"/>
      <c r="J15" s="181"/>
      <c r="K15" s="181"/>
      <c r="L15" s="181"/>
      <c r="M15" s="181"/>
      <c r="N15" s="182"/>
      <c r="O15" s="202"/>
      <c r="P15" s="203"/>
      <c r="Q15" s="203"/>
      <c r="R15" s="203"/>
      <c r="S15" s="187" t="s">
        <v>47</v>
      </c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9"/>
      <c r="AX15" s="138"/>
      <c r="AY15" s="138"/>
      <c r="AZ15" s="138"/>
      <c r="BA15" s="138"/>
      <c r="BB15" s="138"/>
      <c r="BC15" s="139"/>
      <c r="BD15" s="142"/>
      <c r="BE15" s="138"/>
      <c r="BF15" s="138"/>
      <c r="BG15" s="138"/>
      <c r="BH15" s="138"/>
      <c r="BI15" s="138"/>
      <c r="BJ15" s="139"/>
      <c r="BK15" s="4"/>
    </row>
    <row r="16" spans="1:63" ht="39" customHeight="1" x14ac:dyDescent="0.25">
      <c r="A16" s="1"/>
      <c r="B16" s="183"/>
      <c r="C16" s="184"/>
      <c r="D16" s="184"/>
      <c r="E16" s="184"/>
      <c r="F16" s="184"/>
      <c r="G16" s="185"/>
      <c r="H16" s="183"/>
      <c r="I16" s="184"/>
      <c r="J16" s="184"/>
      <c r="K16" s="184"/>
      <c r="L16" s="184"/>
      <c r="M16" s="184"/>
      <c r="N16" s="185"/>
      <c r="O16" s="204"/>
      <c r="P16" s="205"/>
      <c r="Q16" s="205"/>
      <c r="R16" s="205"/>
      <c r="S16" s="190" t="s">
        <v>50</v>
      </c>
      <c r="T16" s="191"/>
      <c r="U16" s="191"/>
      <c r="V16" s="191"/>
      <c r="W16" s="191"/>
      <c r="X16" s="191"/>
      <c r="Y16" s="191"/>
      <c r="Z16" s="191"/>
      <c r="AA16" s="191"/>
      <c r="AB16" s="191"/>
      <c r="AC16" s="191"/>
      <c r="AD16" s="191"/>
      <c r="AE16" s="191"/>
      <c r="AF16" s="191"/>
      <c r="AG16" s="191"/>
      <c r="AH16" s="191"/>
      <c r="AI16" s="191"/>
      <c r="AJ16" s="191"/>
      <c r="AK16" s="191"/>
      <c r="AL16" s="191"/>
      <c r="AM16" s="191"/>
      <c r="AN16" s="191"/>
      <c r="AO16" s="191"/>
      <c r="AP16" s="191"/>
      <c r="AQ16" s="191"/>
      <c r="AR16" s="191"/>
      <c r="AS16" s="191"/>
      <c r="AT16" s="191"/>
      <c r="AU16" s="191"/>
      <c r="AV16" s="191"/>
      <c r="AW16" s="192"/>
      <c r="AX16" s="140"/>
      <c r="AY16" s="140"/>
      <c r="AZ16" s="140"/>
      <c r="BA16" s="140"/>
      <c r="BB16" s="140"/>
      <c r="BC16" s="141"/>
      <c r="BD16" s="143"/>
      <c r="BE16" s="140"/>
      <c r="BF16" s="140"/>
      <c r="BG16" s="140"/>
      <c r="BH16" s="140"/>
      <c r="BI16" s="140"/>
      <c r="BJ16" s="141"/>
      <c r="BK16" s="4"/>
    </row>
    <row r="17" spans="1:63" ht="15" customHeight="1" x14ac:dyDescent="0.25">
      <c r="A17" s="1"/>
      <c r="B17" s="180">
        <v>45481</v>
      </c>
      <c r="C17" s="181"/>
      <c r="D17" s="181"/>
      <c r="E17" s="181"/>
      <c r="F17" s="181"/>
      <c r="G17" s="182"/>
      <c r="H17" s="99" t="s">
        <v>46</v>
      </c>
      <c r="I17" s="181"/>
      <c r="J17" s="181"/>
      <c r="K17" s="181"/>
      <c r="L17" s="181"/>
      <c r="M17" s="181"/>
      <c r="N17" s="182"/>
      <c r="O17" s="186"/>
      <c r="P17" s="181"/>
      <c r="Q17" s="181"/>
      <c r="R17" s="181"/>
      <c r="S17" s="199" t="s">
        <v>47</v>
      </c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1"/>
      <c r="AX17" s="138"/>
      <c r="AY17" s="138"/>
      <c r="AZ17" s="138"/>
      <c r="BA17" s="138"/>
      <c r="BB17" s="138"/>
      <c r="BC17" s="139"/>
      <c r="BD17" s="142"/>
      <c r="BE17" s="138"/>
      <c r="BF17" s="138"/>
      <c r="BG17" s="138"/>
      <c r="BH17" s="138"/>
      <c r="BI17" s="138"/>
      <c r="BJ17" s="139"/>
      <c r="BK17" s="4"/>
    </row>
    <row r="18" spans="1:63" ht="15" customHeight="1" x14ac:dyDescent="0.25">
      <c r="A18" s="1"/>
      <c r="B18" s="183"/>
      <c r="C18" s="184"/>
      <c r="D18" s="184"/>
      <c r="E18" s="184"/>
      <c r="F18" s="184"/>
      <c r="G18" s="185"/>
      <c r="H18" s="183"/>
      <c r="I18" s="184"/>
      <c r="J18" s="184"/>
      <c r="K18" s="184"/>
      <c r="L18" s="184"/>
      <c r="M18" s="184"/>
      <c r="N18" s="185"/>
      <c r="O18" s="183"/>
      <c r="P18" s="184"/>
      <c r="Q18" s="184"/>
      <c r="R18" s="184"/>
      <c r="S18" s="190" t="s">
        <v>51</v>
      </c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2"/>
      <c r="AX18" s="140"/>
      <c r="AY18" s="140"/>
      <c r="AZ18" s="140"/>
      <c r="BA18" s="140"/>
      <c r="BB18" s="140"/>
      <c r="BC18" s="141"/>
      <c r="BD18" s="143"/>
      <c r="BE18" s="140"/>
      <c r="BF18" s="140"/>
      <c r="BG18" s="140"/>
      <c r="BH18" s="140"/>
      <c r="BI18" s="140"/>
      <c r="BJ18" s="141"/>
      <c r="BK18" s="4"/>
    </row>
    <row r="19" spans="1:63" ht="15" customHeight="1" x14ac:dyDescent="0.25">
      <c r="A19" s="1"/>
      <c r="B19" s="180">
        <v>45481</v>
      </c>
      <c r="C19" s="181"/>
      <c r="D19" s="181"/>
      <c r="E19" s="181"/>
      <c r="F19" s="181"/>
      <c r="G19" s="182"/>
      <c r="H19" s="99" t="s">
        <v>46</v>
      </c>
      <c r="I19" s="181"/>
      <c r="J19" s="181"/>
      <c r="K19" s="181"/>
      <c r="L19" s="181"/>
      <c r="M19" s="181"/>
      <c r="N19" s="182"/>
      <c r="O19" s="186"/>
      <c r="P19" s="181"/>
      <c r="Q19" s="181"/>
      <c r="R19" s="181"/>
      <c r="S19" s="199" t="s">
        <v>47</v>
      </c>
      <c r="T19" s="200"/>
      <c r="U19" s="200"/>
      <c r="V19" s="200"/>
      <c r="W19" s="200"/>
      <c r="X19" s="200"/>
      <c r="Y19" s="200"/>
      <c r="Z19" s="200"/>
      <c r="AA19" s="200"/>
      <c r="AB19" s="200"/>
      <c r="AC19" s="200"/>
      <c r="AD19" s="200"/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0"/>
      <c r="AR19" s="200"/>
      <c r="AS19" s="200"/>
      <c r="AT19" s="200"/>
      <c r="AU19" s="200"/>
      <c r="AV19" s="200"/>
      <c r="AW19" s="201"/>
      <c r="AX19" s="138"/>
      <c r="AY19" s="138"/>
      <c r="AZ19" s="138"/>
      <c r="BA19" s="138"/>
      <c r="BB19" s="138"/>
      <c r="BC19" s="139"/>
      <c r="BD19" s="142"/>
      <c r="BE19" s="138"/>
      <c r="BF19" s="138"/>
      <c r="BG19" s="138"/>
      <c r="BH19" s="138"/>
      <c r="BI19" s="138"/>
      <c r="BJ19" s="139"/>
      <c r="BK19" s="4"/>
    </row>
    <row r="20" spans="1:63" ht="15" customHeight="1" x14ac:dyDescent="0.25">
      <c r="A20" s="1"/>
      <c r="B20" s="183"/>
      <c r="C20" s="184"/>
      <c r="D20" s="184"/>
      <c r="E20" s="184"/>
      <c r="F20" s="184"/>
      <c r="G20" s="185"/>
      <c r="H20" s="183"/>
      <c r="I20" s="184"/>
      <c r="J20" s="184"/>
      <c r="K20" s="184"/>
      <c r="L20" s="184"/>
      <c r="M20" s="184"/>
      <c r="N20" s="185"/>
      <c r="O20" s="183"/>
      <c r="P20" s="184"/>
      <c r="Q20" s="184"/>
      <c r="R20" s="184"/>
      <c r="S20" s="190" t="s">
        <v>52</v>
      </c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2"/>
      <c r="AX20" s="140"/>
      <c r="AY20" s="140"/>
      <c r="AZ20" s="140"/>
      <c r="BA20" s="140"/>
      <c r="BB20" s="140"/>
      <c r="BC20" s="141"/>
      <c r="BD20" s="143"/>
      <c r="BE20" s="140"/>
      <c r="BF20" s="140"/>
      <c r="BG20" s="140"/>
      <c r="BH20" s="140"/>
      <c r="BI20" s="140"/>
      <c r="BJ20" s="141"/>
      <c r="BK20" s="4"/>
    </row>
    <row r="21" spans="1:63" ht="15" customHeight="1" x14ac:dyDescent="0.25">
      <c r="A21" s="1"/>
      <c r="B21" s="180">
        <v>45481</v>
      </c>
      <c r="C21" s="181"/>
      <c r="D21" s="181"/>
      <c r="E21" s="181"/>
      <c r="F21" s="181"/>
      <c r="G21" s="182"/>
      <c r="H21" s="99" t="s">
        <v>46</v>
      </c>
      <c r="I21" s="181"/>
      <c r="J21" s="181"/>
      <c r="K21" s="181"/>
      <c r="L21" s="181"/>
      <c r="M21" s="181"/>
      <c r="N21" s="182"/>
      <c r="O21" s="186"/>
      <c r="P21" s="181"/>
      <c r="Q21" s="181"/>
      <c r="R21" s="181"/>
      <c r="S21" s="199" t="s">
        <v>47</v>
      </c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00"/>
      <c r="AU21" s="200"/>
      <c r="AV21" s="200"/>
      <c r="AW21" s="201"/>
      <c r="AX21" s="138"/>
      <c r="AY21" s="138"/>
      <c r="AZ21" s="138"/>
      <c r="BA21" s="138"/>
      <c r="BB21" s="138"/>
      <c r="BC21" s="139"/>
      <c r="BD21" s="142"/>
      <c r="BE21" s="138"/>
      <c r="BF21" s="138"/>
      <c r="BG21" s="138"/>
      <c r="BH21" s="138"/>
      <c r="BI21" s="138"/>
      <c r="BJ21" s="139"/>
      <c r="BK21" s="4"/>
    </row>
    <row r="22" spans="1:63" ht="52.9" customHeight="1" x14ac:dyDescent="0.25">
      <c r="A22" s="1"/>
      <c r="B22" s="183"/>
      <c r="C22" s="184"/>
      <c r="D22" s="184"/>
      <c r="E22" s="184"/>
      <c r="F22" s="184"/>
      <c r="G22" s="185"/>
      <c r="H22" s="183"/>
      <c r="I22" s="184"/>
      <c r="J22" s="184"/>
      <c r="K22" s="184"/>
      <c r="L22" s="184"/>
      <c r="M22" s="184"/>
      <c r="N22" s="185"/>
      <c r="O22" s="183"/>
      <c r="P22" s="184"/>
      <c r="Q22" s="184"/>
      <c r="R22" s="184"/>
      <c r="S22" s="206" t="s">
        <v>53</v>
      </c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7"/>
      <c r="AU22" s="207"/>
      <c r="AV22" s="207"/>
      <c r="AW22" s="208"/>
      <c r="AX22" s="140"/>
      <c r="AY22" s="140"/>
      <c r="AZ22" s="140"/>
      <c r="BA22" s="140"/>
      <c r="BB22" s="140"/>
      <c r="BC22" s="141"/>
      <c r="BD22" s="143"/>
      <c r="BE22" s="140"/>
      <c r="BF22" s="140"/>
      <c r="BG22" s="140"/>
      <c r="BH22" s="140"/>
      <c r="BI22" s="140"/>
      <c r="BJ22" s="141"/>
      <c r="BK22" s="4"/>
    </row>
    <row r="23" spans="1:63" ht="15" customHeight="1" x14ac:dyDescent="0.25">
      <c r="A23" s="1"/>
      <c r="B23" s="180">
        <v>45481</v>
      </c>
      <c r="C23" s="181"/>
      <c r="D23" s="181"/>
      <c r="E23" s="181"/>
      <c r="F23" s="181"/>
      <c r="G23" s="182"/>
      <c r="H23" s="99" t="s">
        <v>46</v>
      </c>
      <c r="I23" s="181"/>
      <c r="J23" s="181"/>
      <c r="K23" s="181"/>
      <c r="L23" s="181"/>
      <c r="M23" s="181"/>
      <c r="N23" s="182"/>
      <c r="O23" s="186"/>
      <c r="P23" s="181"/>
      <c r="Q23" s="181"/>
      <c r="R23" s="181"/>
      <c r="S23" s="199" t="s">
        <v>47</v>
      </c>
      <c r="T23" s="200"/>
      <c r="U23" s="200"/>
      <c r="V23" s="200"/>
      <c r="W23" s="200"/>
      <c r="X23" s="200"/>
      <c r="Y23" s="200"/>
      <c r="Z23" s="200"/>
      <c r="AA23" s="200"/>
      <c r="AB23" s="200"/>
      <c r="AC23" s="200"/>
      <c r="AD23" s="200"/>
      <c r="AE23" s="200"/>
      <c r="AF23" s="200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0"/>
      <c r="AR23" s="200"/>
      <c r="AS23" s="200"/>
      <c r="AT23" s="200"/>
      <c r="AU23" s="200"/>
      <c r="AV23" s="200"/>
      <c r="AW23" s="201"/>
      <c r="AX23" s="138"/>
      <c r="AY23" s="138"/>
      <c r="AZ23" s="138"/>
      <c r="BA23" s="138"/>
      <c r="BB23" s="138"/>
      <c r="BC23" s="139"/>
      <c r="BD23" s="142"/>
      <c r="BE23" s="138"/>
      <c r="BF23" s="138"/>
      <c r="BG23" s="138"/>
      <c r="BH23" s="138"/>
      <c r="BI23" s="138"/>
      <c r="BJ23" s="139"/>
      <c r="BK23" s="4"/>
    </row>
    <row r="24" spans="1:63" ht="68.45" customHeight="1" x14ac:dyDescent="0.25">
      <c r="A24" s="1"/>
      <c r="B24" s="183"/>
      <c r="C24" s="184"/>
      <c r="D24" s="184"/>
      <c r="E24" s="184"/>
      <c r="F24" s="184"/>
      <c r="G24" s="185"/>
      <c r="H24" s="183"/>
      <c r="I24" s="184"/>
      <c r="J24" s="184"/>
      <c r="K24" s="184"/>
      <c r="L24" s="184"/>
      <c r="M24" s="184"/>
      <c r="N24" s="185"/>
      <c r="O24" s="183"/>
      <c r="P24" s="184"/>
      <c r="Q24" s="184"/>
      <c r="R24" s="184"/>
      <c r="S24" s="206" t="s">
        <v>54</v>
      </c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8"/>
      <c r="AX24" s="140"/>
      <c r="AY24" s="140"/>
      <c r="AZ24" s="140"/>
      <c r="BA24" s="140"/>
      <c r="BB24" s="140"/>
      <c r="BC24" s="141"/>
      <c r="BD24" s="143"/>
      <c r="BE24" s="140"/>
      <c r="BF24" s="140"/>
      <c r="BG24" s="140"/>
      <c r="BH24" s="140"/>
      <c r="BI24" s="140"/>
      <c r="BJ24" s="141"/>
      <c r="BK24" s="4"/>
    </row>
    <row r="25" spans="1:63" ht="15" customHeight="1" x14ac:dyDescent="0.25">
      <c r="A25" s="1"/>
      <c r="B25" s="180">
        <v>45481</v>
      </c>
      <c r="C25" s="181"/>
      <c r="D25" s="181"/>
      <c r="E25" s="181"/>
      <c r="F25" s="181"/>
      <c r="G25" s="182"/>
      <c r="H25" s="99" t="s">
        <v>46</v>
      </c>
      <c r="I25" s="181"/>
      <c r="J25" s="181"/>
      <c r="K25" s="181"/>
      <c r="L25" s="181"/>
      <c r="M25" s="181"/>
      <c r="N25" s="182"/>
      <c r="O25" s="186"/>
      <c r="P25" s="181"/>
      <c r="Q25" s="181"/>
      <c r="R25" s="181"/>
      <c r="S25" s="49" t="s">
        <v>55</v>
      </c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1"/>
      <c r="AX25" s="138"/>
      <c r="AY25" s="138"/>
      <c r="AZ25" s="138"/>
      <c r="BA25" s="138"/>
      <c r="BB25" s="138"/>
      <c r="BC25" s="139"/>
      <c r="BD25" s="142"/>
      <c r="BE25" s="138"/>
      <c r="BF25" s="138"/>
      <c r="BG25" s="138"/>
      <c r="BH25" s="138"/>
      <c r="BI25" s="138"/>
      <c r="BJ25" s="139"/>
      <c r="BK25" s="4"/>
    </row>
    <row r="26" spans="1:63" ht="15" customHeight="1" x14ac:dyDescent="0.25">
      <c r="A26" s="1"/>
      <c r="B26" s="183"/>
      <c r="C26" s="184"/>
      <c r="D26" s="184"/>
      <c r="E26" s="184"/>
      <c r="F26" s="184"/>
      <c r="G26" s="185"/>
      <c r="H26" s="183"/>
      <c r="I26" s="184"/>
      <c r="J26" s="184"/>
      <c r="K26" s="184"/>
      <c r="L26" s="184"/>
      <c r="M26" s="184"/>
      <c r="N26" s="185"/>
      <c r="O26" s="183"/>
      <c r="P26" s="184"/>
      <c r="Q26" s="184"/>
      <c r="R26" s="184"/>
      <c r="S26" s="52" t="s">
        <v>56</v>
      </c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4"/>
      <c r="AX26" s="140"/>
      <c r="AY26" s="140"/>
      <c r="AZ26" s="140"/>
      <c r="BA26" s="140"/>
      <c r="BB26" s="140"/>
      <c r="BC26" s="141"/>
      <c r="BD26" s="143"/>
      <c r="BE26" s="140"/>
      <c r="BF26" s="140"/>
      <c r="BG26" s="140"/>
      <c r="BH26" s="140"/>
      <c r="BI26" s="140"/>
      <c r="BJ26" s="141"/>
      <c r="BK26" s="4"/>
    </row>
    <row r="27" spans="1:63" ht="15" customHeight="1" x14ac:dyDescent="0.25">
      <c r="A27" s="1"/>
      <c r="B27" s="180">
        <v>45481</v>
      </c>
      <c r="C27" s="181"/>
      <c r="D27" s="181"/>
      <c r="E27" s="181"/>
      <c r="F27" s="181"/>
      <c r="G27" s="182"/>
      <c r="H27" s="99" t="s">
        <v>46</v>
      </c>
      <c r="I27" s="181"/>
      <c r="J27" s="181"/>
      <c r="K27" s="181"/>
      <c r="L27" s="181"/>
      <c r="M27" s="181"/>
      <c r="N27" s="182"/>
      <c r="O27" s="186"/>
      <c r="P27" s="181"/>
      <c r="Q27" s="181"/>
      <c r="R27" s="181"/>
      <c r="S27" s="187" t="s">
        <v>55</v>
      </c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  <c r="AP27" s="188"/>
      <c r="AQ27" s="188"/>
      <c r="AR27" s="188"/>
      <c r="AS27" s="188"/>
      <c r="AT27" s="188"/>
      <c r="AU27" s="188"/>
      <c r="AV27" s="188"/>
      <c r="AW27" s="189"/>
      <c r="AX27" s="138"/>
      <c r="AY27" s="138"/>
      <c r="AZ27" s="138"/>
      <c r="BA27" s="138"/>
      <c r="BB27" s="138"/>
      <c r="BC27" s="139"/>
      <c r="BD27" s="142"/>
      <c r="BE27" s="138"/>
      <c r="BF27" s="138"/>
      <c r="BG27" s="138"/>
      <c r="BH27" s="138"/>
      <c r="BI27" s="138"/>
      <c r="BJ27" s="139"/>
      <c r="BK27" s="4"/>
    </row>
    <row r="28" spans="1:63" ht="15" customHeight="1" x14ac:dyDescent="0.25">
      <c r="A28" s="1"/>
      <c r="B28" s="183"/>
      <c r="C28" s="184"/>
      <c r="D28" s="184"/>
      <c r="E28" s="184"/>
      <c r="F28" s="184"/>
      <c r="G28" s="185"/>
      <c r="H28" s="183"/>
      <c r="I28" s="184"/>
      <c r="J28" s="184"/>
      <c r="K28" s="184"/>
      <c r="L28" s="184"/>
      <c r="M28" s="184"/>
      <c r="N28" s="185"/>
      <c r="O28" s="183"/>
      <c r="P28" s="184"/>
      <c r="Q28" s="184"/>
      <c r="R28" s="184"/>
      <c r="S28" s="209" t="s">
        <v>57</v>
      </c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8"/>
      <c r="AX28" s="140"/>
      <c r="AY28" s="140"/>
      <c r="AZ28" s="140"/>
      <c r="BA28" s="140"/>
      <c r="BB28" s="140"/>
      <c r="BC28" s="141"/>
      <c r="BD28" s="143"/>
      <c r="BE28" s="140"/>
      <c r="BF28" s="140"/>
      <c r="BG28" s="140"/>
      <c r="BH28" s="140"/>
      <c r="BI28" s="140"/>
      <c r="BJ28" s="141"/>
      <c r="BK28" s="4"/>
    </row>
    <row r="29" spans="1:63" ht="15" customHeight="1" x14ac:dyDescent="0.25">
      <c r="A29" s="1"/>
      <c r="B29" s="93"/>
      <c r="C29" s="94"/>
      <c r="D29" s="94"/>
      <c r="E29" s="94"/>
      <c r="F29" s="94"/>
      <c r="G29" s="95"/>
      <c r="H29" s="93"/>
      <c r="I29" s="94"/>
      <c r="J29" s="94"/>
      <c r="K29" s="94"/>
      <c r="L29" s="94"/>
      <c r="M29" s="94"/>
      <c r="N29" s="95"/>
      <c r="O29" s="93"/>
      <c r="P29" s="94"/>
      <c r="Q29" s="94"/>
      <c r="R29" s="94"/>
      <c r="S29" s="135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7"/>
      <c r="AX29" s="138"/>
      <c r="AY29" s="138"/>
      <c r="AZ29" s="138"/>
      <c r="BA29" s="138"/>
      <c r="BB29" s="138"/>
      <c r="BC29" s="139"/>
      <c r="BD29" s="142"/>
      <c r="BE29" s="138"/>
      <c r="BF29" s="138"/>
      <c r="BG29" s="138"/>
      <c r="BH29" s="138"/>
      <c r="BI29" s="138"/>
      <c r="BJ29" s="139"/>
      <c r="BK29" s="4"/>
    </row>
    <row r="30" spans="1:63" ht="15" customHeight="1" x14ac:dyDescent="0.25">
      <c r="A30" s="1"/>
      <c r="B30" s="96"/>
      <c r="C30" s="97"/>
      <c r="D30" s="97"/>
      <c r="E30" s="97"/>
      <c r="F30" s="97"/>
      <c r="G30" s="98"/>
      <c r="H30" s="96"/>
      <c r="I30" s="97"/>
      <c r="J30" s="97"/>
      <c r="K30" s="97"/>
      <c r="L30" s="97"/>
      <c r="M30" s="97"/>
      <c r="N30" s="98"/>
      <c r="O30" s="96"/>
      <c r="P30" s="97"/>
      <c r="Q30" s="97"/>
      <c r="R30" s="97"/>
      <c r="S30" s="144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45"/>
      <c r="AK30" s="145"/>
      <c r="AL30" s="145"/>
      <c r="AM30" s="145"/>
      <c r="AN30" s="145"/>
      <c r="AO30" s="145"/>
      <c r="AP30" s="145"/>
      <c r="AQ30" s="145"/>
      <c r="AR30" s="145"/>
      <c r="AS30" s="145"/>
      <c r="AT30" s="145"/>
      <c r="AU30" s="145"/>
      <c r="AV30" s="145"/>
      <c r="AW30" s="146"/>
      <c r="AX30" s="140"/>
      <c r="AY30" s="140"/>
      <c r="AZ30" s="140"/>
      <c r="BA30" s="140"/>
      <c r="BB30" s="140"/>
      <c r="BC30" s="141"/>
      <c r="BD30" s="143"/>
      <c r="BE30" s="140"/>
      <c r="BF30" s="140"/>
      <c r="BG30" s="140"/>
      <c r="BH30" s="140"/>
      <c r="BI30" s="140"/>
      <c r="BJ30" s="141"/>
      <c r="BK30" s="4"/>
    </row>
    <row r="31" spans="1:63" ht="15" customHeight="1" x14ac:dyDescent="0.25">
      <c r="A31" s="1"/>
      <c r="B31" s="93"/>
      <c r="C31" s="94"/>
      <c r="D31" s="94"/>
      <c r="E31" s="94"/>
      <c r="F31" s="94"/>
      <c r="G31" s="95"/>
      <c r="H31" s="93"/>
      <c r="I31" s="94"/>
      <c r="J31" s="94"/>
      <c r="K31" s="94"/>
      <c r="L31" s="94"/>
      <c r="M31" s="94"/>
      <c r="N31" s="95"/>
      <c r="O31" s="93"/>
      <c r="P31" s="94"/>
      <c r="Q31" s="94"/>
      <c r="R31" s="94"/>
      <c r="S31" s="135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7"/>
      <c r="AX31" s="138"/>
      <c r="AY31" s="138"/>
      <c r="AZ31" s="138"/>
      <c r="BA31" s="138"/>
      <c r="BB31" s="138"/>
      <c r="BC31" s="139"/>
      <c r="BD31" s="142"/>
      <c r="BE31" s="138"/>
      <c r="BF31" s="138"/>
      <c r="BG31" s="138"/>
      <c r="BH31" s="138"/>
      <c r="BI31" s="138"/>
      <c r="BJ31" s="139"/>
      <c r="BK31" s="4"/>
    </row>
    <row r="32" spans="1:63" ht="15" customHeight="1" x14ac:dyDescent="0.25">
      <c r="A32" s="1"/>
      <c r="B32" s="96"/>
      <c r="C32" s="97"/>
      <c r="D32" s="97"/>
      <c r="E32" s="97"/>
      <c r="F32" s="97"/>
      <c r="G32" s="98"/>
      <c r="H32" s="96"/>
      <c r="I32" s="97"/>
      <c r="J32" s="97"/>
      <c r="K32" s="97"/>
      <c r="L32" s="97"/>
      <c r="M32" s="97"/>
      <c r="N32" s="98"/>
      <c r="O32" s="96"/>
      <c r="P32" s="97"/>
      <c r="Q32" s="97"/>
      <c r="R32" s="97"/>
      <c r="S32" s="144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  <c r="AT32" s="145"/>
      <c r="AU32" s="145"/>
      <c r="AV32" s="145"/>
      <c r="AW32" s="146"/>
      <c r="AX32" s="140"/>
      <c r="AY32" s="140"/>
      <c r="AZ32" s="140"/>
      <c r="BA32" s="140"/>
      <c r="BB32" s="140"/>
      <c r="BC32" s="141"/>
      <c r="BD32" s="143"/>
      <c r="BE32" s="140"/>
      <c r="BF32" s="140"/>
      <c r="BG32" s="140"/>
      <c r="BH32" s="140"/>
      <c r="BI32" s="140"/>
      <c r="BJ32" s="141"/>
      <c r="BK32" s="4"/>
    </row>
    <row r="33" spans="1:63" ht="15" customHeight="1" x14ac:dyDescent="0.25">
      <c r="A33" s="1"/>
      <c r="B33" s="93"/>
      <c r="C33" s="94"/>
      <c r="D33" s="94"/>
      <c r="E33" s="94"/>
      <c r="F33" s="94"/>
      <c r="G33" s="95"/>
      <c r="H33" s="93"/>
      <c r="I33" s="94"/>
      <c r="J33" s="94"/>
      <c r="K33" s="94"/>
      <c r="L33" s="94"/>
      <c r="M33" s="94"/>
      <c r="N33" s="95"/>
      <c r="O33" s="93"/>
      <c r="P33" s="94"/>
      <c r="Q33" s="94"/>
      <c r="R33" s="94"/>
      <c r="S33" s="135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7"/>
      <c r="AX33" s="138"/>
      <c r="AY33" s="138"/>
      <c r="AZ33" s="138"/>
      <c r="BA33" s="138"/>
      <c r="BB33" s="138"/>
      <c r="BC33" s="139"/>
      <c r="BD33" s="142"/>
      <c r="BE33" s="138"/>
      <c r="BF33" s="138"/>
      <c r="BG33" s="138"/>
      <c r="BH33" s="138"/>
      <c r="BI33" s="138"/>
      <c r="BJ33" s="139"/>
      <c r="BK33" s="4"/>
    </row>
    <row r="34" spans="1:63" ht="15" customHeight="1" x14ac:dyDescent="0.25">
      <c r="A34" s="1"/>
      <c r="B34" s="96"/>
      <c r="C34" s="97"/>
      <c r="D34" s="97"/>
      <c r="E34" s="97"/>
      <c r="F34" s="97"/>
      <c r="G34" s="98"/>
      <c r="H34" s="96"/>
      <c r="I34" s="97"/>
      <c r="J34" s="97"/>
      <c r="K34" s="97"/>
      <c r="L34" s="97"/>
      <c r="M34" s="97"/>
      <c r="N34" s="98"/>
      <c r="O34" s="96"/>
      <c r="P34" s="97"/>
      <c r="Q34" s="97"/>
      <c r="R34" s="97"/>
      <c r="S34" s="144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5"/>
      <c r="AM34" s="145"/>
      <c r="AN34" s="145"/>
      <c r="AO34" s="145"/>
      <c r="AP34" s="145"/>
      <c r="AQ34" s="145"/>
      <c r="AR34" s="145"/>
      <c r="AS34" s="145"/>
      <c r="AT34" s="145"/>
      <c r="AU34" s="145"/>
      <c r="AV34" s="145"/>
      <c r="AW34" s="146"/>
      <c r="AX34" s="140"/>
      <c r="AY34" s="140"/>
      <c r="AZ34" s="140"/>
      <c r="BA34" s="140"/>
      <c r="BB34" s="140"/>
      <c r="BC34" s="141"/>
      <c r="BD34" s="143"/>
      <c r="BE34" s="140"/>
      <c r="BF34" s="140"/>
      <c r="BG34" s="140"/>
      <c r="BH34" s="140"/>
      <c r="BI34" s="140"/>
      <c r="BJ34" s="141"/>
      <c r="BK34" s="4"/>
    </row>
    <row r="35" spans="1:63" ht="15" customHeight="1" x14ac:dyDescent="0.25">
      <c r="A35" s="1"/>
      <c r="B35" s="93"/>
      <c r="C35" s="94"/>
      <c r="D35" s="94"/>
      <c r="E35" s="94"/>
      <c r="F35" s="94"/>
      <c r="G35" s="95"/>
      <c r="H35" s="93"/>
      <c r="I35" s="94"/>
      <c r="J35" s="94"/>
      <c r="K35" s="94"/>
      <c r="L35" s="94"/>
      <c r="M35" s="94"/>
      <c r="N35" s="95"/>
      <c r="O35" s="93"/>
      <c r="P35" s="94"/>
      <c r="Q35" s="94"/>
      <c r="R35" s="94"/>
      <c r="S35" s="135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7"/>
      <c r="AX35" s="138"/>
      <c r="AY35" s="138"/>
      <c r="AZ35" s="138"/>
      <c r="BA35" s="138"/>
      <c r="BB35" s="138"/>
      <c r="BC35" s="139"/>
      <c r="BD35" s="142"/>
      <c r="BE35" s="138"/>
      <c r="BF35" s="138"/>
      <c r="BG35" s="138"/>
      <c r="BH35" s="138"/>
      <c r="BI35" s="138"/>
      <c r="BJ35" s="139"/>
      <c r="BK35" s="4"/>
    </row>
    <row r="36" spans="1:63" ht="15" customHeight="1" x14ac:dyDescent="0.25">
      <c r="A36" s="1"/>
      <c r="B36" s="96"/>
      <c r="C36" s="97"/>
      <c r="D36" s="97"/>
      <c r="E36" s="97"/>
      <c r="F36" s="97"/>
      <c r="G36" s="98"/>
      <c r="H36" s="96"/>
      <c r="I36" s="97"/>
      <c r="J36" s="97"/>
      <c r="K36" s="97"/>
      <c r="L36" s="97"/>
      <c r="M36" s="97"/>
      <c r="N36" s="98"/>
      <c r="O36" s="96"/>
      <c r="P36" s="97"/>
      <c r="Q36" s="97"/>
      <c r="R36" s="97"/>
      <c r="S36" s="144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5"/>
      <c r="AT36" s="145"/>
      <c r="AU36" s="145"/>
      <c r="AV36" s="145"/>
      <c r="AW36" s="146"/>
      <c r="AX36" s="140"/>
      <c r="AY36" s="140"/>
      <c r="AZ36" s="140"/>
      <c r="BA36" s="140"/>
      <c r="BB36" s="140"/>
      <c r="BC36" s="141"/>
      <c r="BD36" s="143"/>
      <c r="BE36" s="140"/>
      <c r="BF36" s="140"/>
      <c r="BG36" s="140"/>
      <c r="BH36" s="140"/>
      <c r="BI36" s="140"/>
      <c r="BJ36" s="141"/>
      <c r="BK36" s="4"/>
    </row>
    <row r="37" spans="1:63" ht="15" customHeight="1" x14ac:dyDescent="0.25">
      <c r="A37" s="1"/>
      <c r="B37" s="93"/>
      <c r="C37" s="94"/>
      <c r="D37" s="94"/>
      <c r="E37" s="94"/>
      <c r="F37" s="94"/>
      <c r="G37" s="95"/>
      <c r="H37" s="93"/>
      <c r="I37" s="94"/>
      <c r="J37" s="94"/>
      <c r="K37" s="94"/>
      <c r="L37" s="94"/>
      <c r="M37" s="94"/>
      <c r="N37" s="95"/>
      <c r="O37" s="93"/>
      <c r="P37" s="94"/>
      <c r="Q37" s="94"/>
      <c r="R37" s="94"/>
      <c r="S37" s="135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7"/>
      <c r="AX37" s="138"/>
      <c r="AY37" s="138"/>
      <c r="AZ37" s="138"/>
      <c r="BA37" s="138"/>
      <c r="BB37" s="138"/>
      <c r="BC37" s="139"/>
      <c r="BD37" s="142"/>
      <c r="BE37" s="138"/>
      <c r="BF37" s="138"/>
      <c r="BG37" s="138"/>
      <c r="BH37" s="138"/>
      <c r="BI37" s="138"/>
      <c r="BJ37" s="139"/>
      <c r="BK37" s="4"/>
    </row>
    <row r="38" spans="1:63" ht="15" customHeight="1" x14ac:dyDescent="0.25">
      <c r="A38" s="1"/>
      <c r="B38" s="96"/>
      <c r="C38" s="97"/>
      <c r="D38" s="97"/>
      <c r="E38" s="97"/>
      <c r="F38" s="97"/>
      <c r="G38" s="98"/>
      <c r="H38" s="96"/>
      <c r="I38" s="97"/>
      <c r="J38" s="97"/>
      <c r="K38" s="97"/>
      <c r="L38" s="97"/>
      <c r="M38" s="97"/>
      <c r="N38" s="98"/>
      <c r="O38" s="96"/>
      <c r="P38" s="97"/>
      <c r="Q38" s="97"/>
      <c r="R38" s="97"/>
      <c r="S38" s="144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45"/>
      <c r="AK38" s="145"/>
      <c r="AL38" s="145"/>
      <c r="AM38" s="145"/>
      <c r="AN38" s="145"/>
      <c r="AO38" s="145"/>
      <c r="AP38" s="145"/>
      <c r="AQ38" s="145"/>
      <c r="AR38" s="145"/>
      <c r="AS38" s="145"/>
      <c r="AT38" s="145"/>
      <c r="AU38" s="145"/>
      <c r="AV38" s="145"/>
      <c r="AW38" s="146"/>
      <c r="AX38" s="140"/>
      <c r="AY38" s="140"/>
      <c r="AZ38" s="140"/>
      <c r="BA38" s="140"/>
      <c r="BB38" s="140"/>
      <c r="BC38" s="141"/>
      <c r="BD38" s="143"/>
      <c r="BE38" s="140"/>
      <c r="BF38" s="140"/>
      <c r="BG38" s="140"/>
      <c r="BH38" s="140"/>
      <c r="BI38" s="140"/>
      <c r="BJ38" s="141"/>
      <c r="BK38" s="4"/>
    </row>
    <row r="39" spans="1:63" ht="15" customHeight="1" x14ac:dyDescent="0.25">
      <c r="A39" s="1"/>
      <c r="B39" s="93"/>
      <c r="C39" s="94"/>
      <c r="D39" s="94"/>
      <c r="E39" s="94"/>
      <c r="F39" s="94"/>
      <c r="G39" s="95"/>
      <c r="H39" s="93"/>
      <c r="I39" s="94"/>
      <c r="J39" s="94"/>
      <c r="K39" s="94"/>
      <c r="L39" s="94"/>
      <c r="M39" s="94"/>
      <c r="N39" s="95"/>
      <c r="O39" s="93"/>
      <c r="P39" s="94"/>
      <c r="Q39" s="94"/>
      <c r="R39" s="94"/>
      <c r="S39" s="135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7"/>
      <c r="AX39" s="138"/>
      <c r="AY39" s="138"/>
      <c r="AZ39" s="138"/>
      <c r="BA39" s="138"/>
      <c r="BB39" s="138"/>
      <c r="BC39" s="139"/>
      <c r="BD39" s="142"/>
      <c r="BE39" s="138"/>
      <c r="BF39" s="138"/>
      <c r="BG39" s="138"/>
      <c r="BH39" s="138"/>
      <c r="BI39" s="138"/>
      <c r="BJ39" s="139"/>
      <c r="BK39" s="4"/>
    </row>
    <row r="40" spans="1:63" ht="15" customHeight="1" x14ac:dyDescent="0.25">
      <c r="A40" s="1"/>
      <c r="B40" s="96"/>
      <c r="C40" s="97"/>
      <c r="D40" s="97"/>
      <c r="E40" s="97"/>
      <c r="F40" s="97"/>
      <c r="G40" s="98"/>
      <c r="H40" s="96"/>
      <c r="I40" s="97"/>
      <c r="J40" s="97"/>
      <c r="K40" s="97"/>
      <c r="L40" s="97"/>
      <c r="M40" s="97"/>
      <c r="N40" s="98"/>
      <c r="O40" s="96"/>
      <c r="P40" s="97"/>
      <c r="Q40" s="97"/>
      <c r="R40" s="97"/>
      <c r="S40" s="144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6"/>
      <c r="AX40" s="140"/>
      <c r="AY40" s="140"/>
      <c r="AZ40" s="140"/>
      <c r="BA40" s="140"/>
      <c r="BB40" s="140"/>
      <c r="BC40" s="141"/>
      <c r="BD40" s="143"/>
      <c r="BE40" s="140"/>
      <c r="BF40" s="140"/>
      <c r="BG40" s="140"/>
      <c r="BH40" s="140"/>
      <c r="BI40" s="140"/>
      <c r="BJ40" s="141"/>
      <c r="BK40" s="4"/>
    </row>
    <row r="41" spans="1:63" ht="15" customHeight="1" x14ac:dyDescent="0.25">
      <c r="A41" s="1"/>
      <c r="B41" s="93"/>
      <c r="C41" s="94"/>
      <c r="D41" s="94"/>
      <c r="E41" s="94"/>
      <c r="F41" s="94"/>
      <c r="G41" s="95"/>
      <c r="H41" s="93"/>
      <c r="I41" s="94"/>
      <c r="J41" s="94"/>
      <c r="K41" s="94"/>
      <c r="L41" s="94"/>
      <c r="M41" s="94"/>
      <c r="N41" s="95"/>
      <c r="O41" s="93"/>
      <c r="P41" s="94"/>
      <c r="Q41" s="94"/>
      <c r="R41" s="94"/>
      <c r="S41" s="135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7"/>
      <c r="AX41" s="138"/>
      <c r="AY41" s="138"/>
      <c r="AZ41" s="138"/>
      <c r="BA41" s="138"/>
      <c r="BB41" s="138"/>
      <c r="BC41" s="139"/>
      <c r="BD41" s="142"/>
      <c r="BE41" s="138"/>
      <c r="BF41" s="138"/>
      <c r="BG41" s="138"/>
      <c r="BH41" s="138"/>
      <c r="BI41" s="138"/>
      <c r="BJ41" s="139"/>
      <c r="BK41" s="4"/>
    </row>
    <row r="42" spans="1:63" ht="15" customHeight="1" x14ac:dyDescent="0.25">
      <c r="A42" s="1"/>
      <c r="B42" s="96"/>
      <c r="C42" s="97"/>
      <c r="D42" s="97"/>
      <c r="E42" s="97"/>
      <c r="F42" s="97"/>
      <c r="G42" s="98"/>
      <c r="H42" s="96"/>
      <c r="I42" s="97"/>
      <c r="J42" s="97"/>
      <c r="K42" s="97"/>
      <c r="L42" s="97"/>
      <c r="M42" s="97"/>
      <c r="N42" s="98"/>
      <c r="O42" s="96"/>
      <c r="P42" s="97"/>
      <c r="Q42" s="97"/>
      <c r="R42" s="97"/>
      <c r="S42" s="144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45"/>
      <c r="AK42" s="145"/>
      <c r="AL42" s="145"/>
      <c r="AM42" s="145"/>
      <c r="AN42" s="145"/>
      <c r="AO42" s="145"/>
      <c r="AP42" s="145"/>
      <c r="AQ42" s="145"/>
      <c r="AR42" s="145"/>
      <c r="AS42" s="145"/>
      <c r="AT42" s="145"/>
      <c r="AU42" s="145"/>
      <c r="AV42" s="145"/>
      <c r="AW42" s="146"/>
      <c r="AX42" s="140"/>
      <c r="AY42" s="140"/>
      <c r="AZ42" s="140"/>
      <c r="BA42" s="140"/>
      <c r="BB42" s="140"/>
      <c r="BC42" s="141"/>
      <c r="BD42" s="143"/>
      <c r="BE42" s="140"/>
      <c r="BF42" s="140"/>
      <c r="BG42" s="140"/>
      <c r="BH42" s="140"/>
      <c r="BI42" s="140"/>
      <c r="BJ42" s="141"/>
      <c r="BK42" s="4"/>
    </row>
    <row r="43" spans="1:63" ht="15" customHeight="1" x14ac:dyDescent="0.25">
      <c r="A43" s="1"/>
      <c r="B43" s="93"/>
      <c r="C43" s="94"/>
      <c r="D43" s="94"/>
      <c r="E43" s="94"/>
      <c r="F43" s="94"/>
      <c r="G43" s="95"/>
      <c r="H43" s="93"/>
      <c r="I43" s="94"/>
      <c r="J43" s="94"/>
      <c r="K43" s="94"/>
      <c r="L43" s="94"/>
      <c r="M43" s="94"/>
      <c r="N43" s="95"/>
      <c r="O43" s="93"/>
      <c r="P43" s="94"/>
      <c r="Q43" s="94"/>
      <c r="R43" s="94"/>
      <c r="S43" s="135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7"/>
      <c r="AX43" s="138"/>
      <c r="AY43" s="138"/>
      <c r="AZ43" s="138"/>
      <c r="BA43" s="138"/>
      <c r="BB43" s="138"/>
      <c r="BC43" s="139"/>
      <c r="BD43" s="142"/>
      <c r="BE43" s="138"/>
      <c r="BF43" s="138"/>
      <c r="BG43" s="138"/>
      <c r="BH43" s="138"/>
      <c r="BI43" s="138"/>
      <c r="BJ43" s="139"/>
      <c r="BK43" s="4"/>
    </row>
    <row r="44" spans="1:63" ht="15" customHeight="1" x14ac:dyDescent="0.25">
      <c r="A44" s="1"/>
      <c r="B44" s="96"/>
      <c r="C44" s="97"/>
      <c r="D44" s="97"/>
      <c r="E44" s="97"/>
      <c r="F44" s="97"/>
      <c r="G44" s="98"/>
      <c r="H44" s="96"/>
      <c r="I44" s="97"/>
      <c r="J44" s="97"/>
      <c r="K44" s="97"/>
      <c r="L44" s="97"/>
      <c r="M44" s="97"/>
      <c r="N44" s="98"/>
      <c r="O44" s="96"/>
      <c r="P44" s="97"/>
      <c r="Q44" s="97"/>
      <c r="R44" s="97"/>
      <c r="S44" s="144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45"/>
      <c r="AK44" s="145"/>
      <c r="AL44" s="145"/>
      <c r="AM44" s="145"/>
      <c r="AN44" s="145"/>
      <c r="AO44" s="145"/>
      <c r="AP44" s="145"/>
      <c r="AQ44" s="145"/>
      <c r="AR44" s="145"/>
      <c r="AS44" s="145"/>
      <c r="AT44" s="145"/>
      <c r="AU44" s="145"/>
      <c r="AV44" s="145"/>
      <c r="AW44" s="146"/>
      <c r="AX44" s="140"/>
      <c r="AY44" s="140"/>
      <c r="AZ44" s="140"/>
      <c r="BA44" s="140"/>
      <c r="BB44" s="140"/>
      <c r="BC44" s="141"/>
      <c r="BD44" s="143"/>
      <c r="BE44" s="140"/>
      <c r="BF44" s="140"/>
      <c r="BG44" s="140"/>
      <c r="BH44" s="140"/>
      <c r="BI44" s="140"/>
      <c r="BJ44" s="141"/>
      <c r="BK44" s="4"/>
    </row>
    <row r="45" spans="1:63" ht="15" customHeight="1" x14ac:dyDescent="0.25">
      <c r="A45" s="1"/>
      <c r="B45" s="93"/>
      <c r="C45" s="94"/>
      <c r="D45" s="94"/>
      <c r="E45" s="94"/>
      <c r="F45" s="94"/>
      <c r="G45" s="95"/>
      <c r="H45" s="93"/>
      <c r="I45" s="94"/>
      <c r="J45" s="94"/>
      <c r="K45" s="94"/>
      <c r="L45" s="94"/>
      <c r="M45" s="94"/>
      <c r="N45" s="95"/>
      <c r="O45" s="93"/>
      <c r="P45" s="94"/>
      <c r="Q45" s="94"/>
      <c r="R45" s="94"/>
      <c r="S45" s="135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7"/>
      <c r="AX45" s="138"/>
      <c r="AY45" s="138"/>
      <c r="AZ45" s="138"/>
      <c r="BA45" s="138"/>
      <c r="BB45" s="138"/>
      <c r="BC45" s="139"/>
      <c r="BD45" s="142"/>
      <c r="BE45" s="138"/>
      <c r="BF45" s="138"/>
      <c r="BG45" s="138"/>
      <c r="BH45" s="138"/>
      <c r="BI45" s="138"/>
      <c r="BJ45" s="139"/>
      <c r="BK45" s="4"/>
    </row>
    <row r="46" spans="1:63" ht="15" customHeight="1" x14ac:dyDescent="0.25">
      <c r="A46" s="1"/>
      <c r="B46" s="96"/>
      <c r="C46" s="97"/>
      <c r="D46" s="97"/>
      <c r="E46" s="97"/>
      <c r="F46" s="97"/>
      <c r="G46" s="98"/>
      <c r="H46" s="96"/>
      <c r="I46" s="97"/>
      <c r="J46" s="97"/>
      <c r="K46" s="97"/>
      <c r="L46" s="97"/>
      <c r="M46" s="97"/>
      <c r="N46" s="98"/>
      <c r="O46" s="96"/>
      <c r="P46" s="97"/>
      <c r="Q46" s="97"/>
      <c r="R46" s="97"/>
      <c r="S46" s="144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6"/>
      <c r="AX46" s="140"/>
      <c r="AY46" s="140"/>
      <c r="AZ46" s="140"/>
      <c r="BA46" s="140"/>
      <c r="BB46" s="140"/>
      <c r="BC46" s="141"/>
      <c r="BD46" s="143"/>
      <c r="BE46" s="140"/>
      <c r="BF46" s="140"/>
      <c r="BG46" s="140"/>
      <c r="BH46" s="140"/>
      <c r="BI46" s="140"/>
      <c r="BJ46" s="141"/>
      <c r="BK46" s="4"/>
    </row>
    <row r="47" spans="1:63" ht="15" customHeight="1" x14ac:dyDescent="0.25">
      <c r="A47" s="1"/>
      <c r="B47" s="93"/>
      <c r="C47" s="94"/>
      <c r="D47" s="94"/>
      <c r="E47" s="94"/>
      <c r="F47" s="94"/>
      <c r="G47" s="95"/>
      <c r="H47" s="93"/>
      <c r="I47" s="94"/>
      <c r="J47" s="94"/>
      <c r="K47" s="94"/>
      <c r="L47" s="94"/>
      <c r="M47" s="94"/>
      <c r="N47" s="95"/>
      <c r="O47" s="93"/>
      <c r="P47" s="94"/>
      <c r="Q47" s="94"/>
      <c r="R47" s="94"/>
      <c r="S47" s="135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7"/>
      <c r="AX47" s="138"/>
      <c r="AY47" s="138"/>
      <c r="AZ47" s="138"/>
      <c r="BA47" s="138"/>
      <c r="BB47" s="138"/>
      <c r="BC47" s="139"/>
      <c r="BD47" s="142"/>
      <c r="BE47" s="138"/>
      <c r="BF47" s="138"/>
      <c r="BG47" s="138"/>
      <c r="BH47" s="138"/>
      <c r="BI47" s="138"/>
      <c r="BJ47" s="139"/>
      <c r="BK47" s="4"/>
    </row>
    <row r="48" spans="1:63" ht="15" customHeight="1" x14ac:dyDescent="0.25">
      <c r="A48" s="1"/>
      <c r="B48" s="96"/>
      <c r="C48" s="97"/>
      <c r="D48" s="97"/>
      <c r="E48" s="97"/>
      <c r="F48" s="97"/>
      <c r="G48" s="98"/>
      <c r="H48" s="96"/>
      <c r="I48" s="97"/>
      <c r="J48" s="97"/>
      <c r="K48" s="97"/>
      <c r="L48" s="97"/>
      <c r="M48" s="97"/>
      <c r="N48" s="98"/>
      <c r="O48" s="96"/>
      <c r="P48" s="97"/>
      <c r="Q48" s="97"/>
      <c r="R48" s="97"/>
      <c r="S48" s="144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5"/>
      <c r="AQ48" s="145"/>
      <c r="AR48" s="145"/>
      <c r="AS48" s="145"/>
      <c r="AT48" s="145"/>
      <c r="AU48" s="145"/>
      <c r="AV48" s="145"/>
      <c r="AW48" s="146"/>
      <c r="AX48" s="140"/>
      <c r="AY48" s="140"/>
      <c r="AZ48" s="140"/>
      <c r="BA48" s="140"/>
      <c r="BB48" s="140"/>
      <c r="BC48" s="141"/>
      <c r="BD48" s="143"/>
      <c r="BE48" s="140"/>
      <c r="BF48" s="140"/>
      <c r="BG48" s="140"/>
      <c r="BH48" s="140"/>
      <c r="BI48" s="140"/>
      <c r="BJ48" s="141"/>
      <c r="BK48" s="4"/>
    </row>
    <row r="49" spans="1:63" ht="15" customHeight="1" x14ac:dyDescent="0.25">
      <c r="A49" s="1"/>
      <c r="B49" s="93"/>
      <c r="C49" s="94"/>
      <c r="D49" s="94"/>
      <c r="E49" s="94"/>
      <c r="F49" s="94"/>
      <c r="G49" s="95"/>
      <c r="H49" s="93"/>
      <c r="I49" s="94"/>
      <c r="J49" s="94"/>
      <c r="K49" s="94"/>
      <c r="L49" s="94"/>
      <c r="M49" s="94"/>
      <c r="N49" s="95"/>
      <c r="O49" s="93"/>
      <c r="P49" s="94"/>
      <c r="Q49" s="94"/>
      <c r="R49" s="94"/>
      <c r="S49" s="135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7"/>
      <c r="AX49" s="138"/>
      <c r="AY49" s="138"/>
      <c r="AZ49" s="138"/>
      <c r="BA49" s="138"/>
      <c r="BB49" s="138"/>
      <c r="BC49" s="139"/>
      <c r="BD49" s="142"/>
      <c r="BE49" s="138"/>
      <c r="BF49" s="138"/>
      <c r="BG49" s="138"/>
      <c r="BH49" s="138"/>
      <c r="BI49" s="138"/>
      <c r="BJ49" s="139"/>
      <c r="BK49" s="4"/>
    </row>
    <row r="50" spans="1:63" ht="15" customHeight="1" x14ac:dyDescent="0.25">
      <c r="A50" s="1"/>
      <c r="B50" s="96"/>
      <c r="C50" s="97"/>
      <c r="D50" s="97"/>
      <c r="E50" s="97"/>
      <c r="F50" s="97"/>
      <c r="G50" s="98"/>
      <c r="H50" s="96"/>
      <c r="I50" s="97"/>
      <c r="J50" s="97"/>
      <c r="K50" s="97"/>
      <c r="L50" s="97"/>
      <c r="M50" s="97"/>
      <c r="N50" s="98"/>
      <c r="O50" s="96"/>
      <c r="P50" s="97"/>
      <c r="Q50" s="97"/>
      <c r="R50" s="97"/>
      <c r="S50" s="144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5"/>
      <c r="AP50" s="145"/>
      <c r="AQ50" s="145"/>
      <c r="AR50" s="145"/>
      <c r="AS50" s="145"/>
      <c r="AT50" s="145"/>
      <c r="AU50" s="145"/>
      <c r="AV50" s="145"/>
      <c r="AW50" s="146"/>
      <c r="AX50" s="140"/>
      <c r="AY50" s="140"/>
      <c r="AZ50" s="140"/>
      <c r="BA50" s="140"/>
      <c r="BB50" s="140"/>
      <c r="BC50" s="141"/>
      <c r="BD50" s="143"/>
      <c r="BE50" s="140"/>
      <c r="BF50" s="140"/>
      <c r="BG50" s="140"/>
      <c r="BH50" s="140"/>
      <c r="BI50" s="140"/>
      <c r="BJ50" s="141"/>
      <c r="BK50" s="4"/>
    </row>
    <row r="51" spans="1:63" ht="15" customHeight="1" x14ac:dyDescent="0.25">
      <c r="A51" s="1"/>
      <c r="B51" s="93"/>
      <c r="C51" s="94"/>
      <c r="D51" s="94"/>
      <c r="E51" s="94"/>
      <c r="F51" s="94"/>
      <c r="G51" s="95"/>
      <c r="H51" s="93"/>
      <c r="I51" s="94"/>
      <c r="J51" s="94"/>
      <c r="K51" s="94"/>
      <c r="L51" s="94"/>
      <c r="M51" s="94"/>
      <c r="N51" s="95"/>
      <c r="O51" s="93"/>
      <c r="P51" s="94"/>
      <c r="Q51" s="94"/>
      <c r="R51" s="94"/>
      <c r="S51" s="135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7"/>
      <c r="AX51" s="138"/>
      <c r="AY51" s="138"/>
      <c r="AZ51" s="138"/>
      <c r="BA51" s="138"/>
      <c r="BB51" s="138"/>
      <c r="BC51" s="139"/>
      <c r="BD51" s="142"/>
      <c r="BE51" s="138"/>
      <c r="BF51" s="138"/>
      <c r="BG51" s="138"/>
      <c r="BH51" s="138"/>
      <c r="BI51" s="138"/>
      <c r="BJ51" s="139"/>
      <c r="BK51" s="4"/>
    </row>
    <row r="52" spans="1:63" ht="15" customHeight="1" x14ac:dyDescent="0.25">
      <c r="A52" s="1"/>
      <c r="B52" s="96"/>
      <c r="C52" s="97"/>
      <c r="D52" s="97"/>
      <c r="E52" s="97"/>
      <c r="F52" s="97"/>
      <c r="G52" s="98"/>
      <c r="H52" s="96"/>
      <c r="I52" s="97"/>
      <c r="J52" s="97"/>
      <c r="K52" s="97"/>
      <c r="L52" s="97"/>
      <c r="M52" s="97"/>
      <c r="N52" s="98"/>
      <c r="O52" s="96"/>
      <c r="P52" s="97"/>
      <c r="Q52" s="97"/>
      <c r="R52" s="97"/>
      <c r="S52" s="144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45"/>
      <c r="AK52" s="145"/>
      <c r="AL52" s="145"/>
      <c r="AM52" s="145"/>
      <c r="AN52" s="145"/>
      <c r="AO52" s="145"/>
      <c r="AP52" s="145"/>
      <c r="AQ52" s="145"/>
      <c r="AR52" s="145"/>
      <c r="AS52" s="145"/>
      <c r="AT52" s="145"/>
      <c r="AU52" s="145"/>
      <c r="AV52" s="145"/>
      <c r="AW52" s="146"/>
      <c r="AX52" s="140"/>
      <c r="AY52" s="140"/>
      <c r="AZ52" s="140"/>
      <c r="BA52" s="140"/>
      <c r="BB52" s="140"/>
      <c r="BC52" s="141"/>
      <c r="BD52" s="143"/>
      <c r="BE52" s="140"/>
      <c r="BF52" s="140"/>
      <c r="BG52" s="140"/>
      <c r="BH52" s="140"/>
      <c r="BI52" s="140"/>
      <c r="BJ52" s="141"/>
      <c r="BK52" s="4"/>
    </row>
    <row r="53" spans="1:63" ht="15" customHeight="1" x14ac:dyDescent="0.25">
      <c r="A53" s="1"/>
      <c r="B53" s="93"/>
      <c r="C53" s="94"/>
      <c r="D53" s="94"/>
      <c r="E53" s="94"/>
      <c r="F53" s="94"/>
      <c r="G53" s="95"/>
      <c r="H53" s="93"/>
      <c r="I53" s="94"/>
      <c r="J53" s="94"/>
      <c r="K53" s="94"/>
      <c r="L53" s="94"/>
      <c r="M53" s="94"/>
      <c r="N53" s="95"/>
      <c r="O53" s="93"/>
      <c r="P53" s="94"/>
      <c r="Q53" s="94"/>
      <c r="R53" s="94"/>
      <c r="S53" s="135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7"/>
      <c r="AX53" s="138"/>
      <c r="AY53" s="138"/>
      <c r="AZ53" s="138"/>
      <c r="BA53" s="138"/>
      <c r="BB53" s="138"/>
      <c r="BC53" s="139"/>
      <c r="BD53" s="142"/>
      <c r="BE53" s="138"/>
      <c r="BF53" s="138"/>
      <c r="BG53" s="138"/>
      <c r="BH53" s="138"/>
      <c r="BI53" s="138"/>
      <c r="BJ53" s="139"/>
      <c r="BK53" s="4"/>
    </row>
    <row r="54" spans="1:63" ht="15" customHeight="1" x14ac:dyDescent="0.25">
      <c r="A54" s="1"/>
      <c r="B54" s="96"/>
      <c r="C54" s="97"/>
      <c r="D54" s="97"/>
      <c r="E54" s="97"/>
      <c r="F54" s="97"/>
      <c r="G54" s="98"/>
      <c r="H54" s="96"/>
      <c r="I54" s="97"/>
      <c r="J54" s="97"/>
      <c r="K54" s="97"/>
      <c r="L54" s="97"/>
      <c r="M54" s="97"/>
      <c r="N54" s="98"/>
      <c r="O54" s="96"/>
      <c r="P54" s="97"/>
      <c r="Q54" s="97"/>
      <c r="R54" s="97"/>
      <c r="S54" s="144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6"/>
      <c r="AX54" s="140"/>
      <c r="AY54" s="140"/>
      <c r="AZ54" s="140"/>
      <c r="BA54" s="140"/>
      <c r="BB54" s="140"/>
      <c r="BC54" s="141"/>
      <c r="BD54" s="143"/>
      <c r="BE54" s="140"/>
      <c r="BF54" s="140"/>
      <c r="BG54" s="140"/>
      <c r="BH54" s="140"/>
      <c r="BI54" s="140"/>
      <c r="BJ54" s="141"/>
      <c r="BK54" s="4"/>
    </row>
    <row r="55" spans="1:63" ht="15" customHeight="1" x14ac:dyDescent="0.25">
      <c r="A55" s="1"/>
      <c r="B55" s="93"/>
      <c r="C55" s="94"/>
      <c r="D55" s="94"/>
      <c r="E55" s="94"/>
      <c r="F55" s="94"/>
      <c r="G55" s="95"/>
      <c r="H55" s="93"/>
      <c r="I55" s="94"/>
      <c r="J55" s="94"/>
      <c r="K55" s="94"/>
      <c r="L55" s="94"/>
      <c r="M55" s="94"/>
      <c r="N55" s="95"/>
      <c r="O55" s="93"/>
      <c r="P55" s="94"/>
      <c r="Q55" s="94"/>
      <c r="R55" s="94"/>
      <c r="S55" s="135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7"/>
      <c r="AX55" s="138"/>
      <c r="AY55" s="138"/>
      <c r="AZ55" s="138"/>
      <c r="BA55" s="138"/>
      <c r="BB55" s="138"/>
      <c r="BC55" s="139"/>
      <c r="BD55" s="142"/>
      <c r="BE55" s="138"/>
      <c r="BF55" s="138"/>
      <c r="BG55" s="138"/>
      <c r="BH55" s="138"/>
      <c r="BI55" s="138"/>
      <c r="BJ55" s="139"/>
      <c r="BK55" s="4"/>
    </row>
    <row r="56" spans="1:63" ht="15" customHeight="1" x14ac:dyDescent="0.25">
      <c r="A56" s="1"/>
      <c r="B56" s="96"/>
      <c r="C56" s="97"/>
      <c r="D56" s="97"/>
      <c r="E56" s="97"/>
      <c r="F56" s="97"/>
      <c r="G56" s="98"/>
      <c r="H56" s="96"/>
      <c r="I56" s="97"/>
      <c r="J56" s="97"/>
      <c r="K56" s="97"/>
      <c r="L56" s="97"/>
      <c r="M56" s="97"/>
      <c r="N56" s="98"/>
      <c r="O56" s="96"/>
      <c r="P56" s="97"/>
      <c r="Q56" s="97"/>
      <c r="R56" s="97"/>
      <c r="S56" s="144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5"/>
      <c r="AQ56" s="145"/>
      <c r="AR56" s="145"/>
      <c r="AS56" s="145"/>
      <c r="AT56" s="145"/>
      <c r="AU56" s="145"/>
      <c r="AV56" s="145"/>
      <c r="AW56" s="146"/>
      <c r="AX56" s="140"/>
      <c r="AY56" s="140"/>
      <c r="AZ56" s="140"/>
      <c r="BA56" s="140"/>
      <c r="BB56" s="140"/>
      <c r="BC56" s="141"/>
      <c r="BD56" s="143"/>
      <c r="BE56" s="140"/>
      <c r="BF56" s="140"/>
      <c r="BG56" s="140"/>
      <c r="BH56" s="140"/>
      <c r="BI56" s="140"/>
      <c r="BJ56" s="141"/>
      <c r="BK56" s="4"/>
    </row>
    <row r="57" spans="1:63" ht="15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5"/>
    </row>
  </sheetData>
  <mergeCells count="185">
    <mergeCell ref="B55:G56"/>
    <mergeCell ref="H55:N56"/>
    <mergeCell ref="O55:R56"/>
    <mergeCell ref="S55:AW55"/>
    <mergeCell ref="AX55:BC56"/>
    <mergeCell ref="BD55:BJ56"/>
    <mergeCell ref="S56:AW56"/>
    <mergeCell ref="B23:G24"/>
    <mergeCell ref="H23:N24"/>
    <mergeCell ref="O23:R24"/>
    <mergeCell ref="S23:AW23"/>
    <mergeCell ref="AX23:BC24"/>
    <mergeCell ref="BD23:BJ24"/>
    <mergeCell ref="S24:AW24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25:G26"/>
    <mergeCell ref="H25:N26"/>
    <mergeCell ref="O25:R26"/>
    <mergeCell ref="AX25:BC26"/>
    <mergeCell ref="BD25:BJ2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1:G12"/>
    <mergeCell ref="H11:N12"/>
    <mergeCell ref="O11:R12"/>
    <mergeCell ref="S11:AW11"/>
    <mergeCell ref="AX11:BC12"/>
    <mergeCell ref="BD11:BJ12"/>
    <mergeCell ref="S12:AW12"/>
    <mergeCell ref="B13:G14"/>
    <mergeCell ref="H13:N14"/>
    <mergeCell ref="O13:R14"/>
    <mergeCell ref="S13:AW13"/>
    <mergeCell ref="AX13:BC14"/>
    <mergeCell ref="BD13:BJ14"/>
    <mergeCell ref="S14:AW14"/>
    <mergeCell ref="A4:G4"/>
    <mergeCell ref="H4:T4"/>
    <mergeCell ref="U4:Y4"/>
    <mergeCell ref="Z4:AO4"/>
    <mergeCell ref="AP4:BK4"/>
    <mergeCell ref="B10:G10"/>
    <mergeCell ref="H10:N10"/>
    <mergeCell ref="O10:R10"/>
    <mergeCell ref="S10:AW10"/>
    <mergeCell ref="AX10:BC10"/>
    <mergeCell ref="BD10:BJ10"/>
    <mergeCell ref="K1:V1"/>
    <mergeCell ref="W1:AO3"/>
    <mergeCell ref="AP1:AS1"/>
    <mergeCell ref="AT1:AX1"/>
    <mergeCell ref="AY1:BB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0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dimension ref="A1:BK61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customWidth="1"/>
  </cols>
  <sheetData>
    <row r="1" spans="1:63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1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00" t="str">
        <f>IF(表紙!W1="","",表紙!W1)</f>
        <v>基本設計書</v>
      </c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3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93" t="str">
        <f>IF(表紙!AP2="","",表紙!AP2)</f>
        <v>TuyenNH</v>
      </c>
      <c r="AQ2" s="94"/>
      <c r="AR2" s="94"/>
      <c r="AS2" s="95"/>
      <c r="AT2" s="120">
        <v>45084</v>
      </c>
      <c r="AU2" s="121"/>
      <c r="AV2" s="121"/>
      <c r="AW2" s="121"/>
      <c r="AX2" s="122"/>
      <c r="AY2" s="93" t="str">
        <f>IF(表紙!AY2="","",表紙!AY2)</f>
        <v>TinNH</v>
      </c>
      <c r="AZ2" s="94"/>
      <c r="BA2" s="94"/>
      <c r="BB2" s="95"/>
      <c r="BC2" s="120">
        <f>IF(表紙!BC2="","",表紙!BC2)</f>
        <v>45520</v>
      </c>
      <c r="BD2" s="121"/>
      <c r="BE2" s="121"/>
      <c r="BF2" s="121"/>
      <c r="BG2" s="122"/>
      <c r="BH2" s="93">
        <f>IF(表紙!BH2="","",表紙!BH2)</f>
        <v>0.4</v>
      </c>
      <c r="BI2" s="94"/>
      <c r="BJ2" s="94"/>
      <c r="BK2" s="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6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8"/>
      <c r="AP3" s="96"/>
      <c r="AQ3" s="97"/>
      <c r="AR3" s="97"/>
      <c r="AS3" s="98"/>
      <c r="AT3" s="123"/>
      <c r="AU3" s="124"/>
      <c r="AV3" s="124"/>
      <c r="AW3" s="124"/>
      <c r="AX3" s="125"/>
      <c r="AY3" s="96"/>
      <c r="AZ3" s="97"/>
      <c r="BA3" s="97"/>
      <c r="BB3" s="98"/>
      <c r="BC3" s="123"/>
      <c r="BD3" s="124"/>
      <c r="BE3" s="124"/>
      <c r="BF3" s="124"/>
      <c r="BG3" s="125"/>
      <c r="BH3" s="96"/>
      <c r="BI3" s="97"/>
      <c r="BJ3" s="97"/>
      <c r="BK3" s="98"/>
    </row>
    <row r="4" spans="1:63" ht="24.95" customHeight="1" x14ac:dyDescent="0.25">
      <c r="A4" s="90" t="s">
        <v>17</v>
      </c>
      <c r="B4" s="91"/>
      <c r="C4" s="91"/>
      <c r="D4" s="91"/>
      <c r="E4" s="91"/>
      <c r="F4" s="91"/>
      <c r="G4" s="92"/>
      <c r="H4" s="111" t="str">
        <f>IF(表紙!H4="","",表紙!H4)</f>
        <v>03_店舗特売入力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0" t="s">
        <v>12</v>
      </c>
      <c r="V4" s="91"/>
      <c r="W4" s="91"/>
      <c r="X4" s="91"/>
      <c r="Y4" s="92"/>
      <c r="Z4" s="111" t="str">
        <f>IF(表紙!Z4="","",表紙!Z4)</f>
        <v>概要設計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1" t="str">
        <f t="array" aca="1" ref="AP4" ca="1">RIGHT(CELL("filename",$A$1),LEN(CELL("filename",$A$1))-FIND("]",CELL("filename",$A$1)))</f>
        <v>業務フロー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 x14ac:dyDescent="0.25">
      <c r="A6" s="55"/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8"/>
      <c r="AF6" s="56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8"/>
      <c r="BJ6" s="57"/>
      <c r="BK6" s="59"/>
    </row>
    <row r="7" spans="1:63" ht="15" customHeight="1" x14ac:dyDescent="0.25">
      <c r="A7" s="55"/>
      <c r="B7" s="17" t="s">
        <v>58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8"/>
      <c r="AF7" s="17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/>
      <c r="BJ7" s="16"/>
      <c r="BK7" s="59"/>
    </row>
    <row r="8" spans="1:63" ht="15" customHeight="1" x14ac:dyDescent="0.25">
      <c r="A8" s="55"/>
      <c r="B8" s="56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8"/>
      <c r="AF8" s="56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8"/>
      <c r="BJ8" s="57"/>
      <c r="BK8" s="59"/>
    </row>
    <row r="9" spans="1:63" ht="15" customHeight="1" x14ac:dyDescent="0.25">
      <c r="A9" s="55"/>
      <c r="B9" s="56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8"/>
      <c r="AF9" s="56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8"/>
      <c r="BJ9" s="57"/>
      <c r="BK9" s="59"/>
    </row>
    <row r="10" spans="1:63" ht="15" customHeight="1" x14ac:dyDescent="0.25">
      <c r="A10" s="55"/>
      <c r="B10" s="56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8"/>
      <c r="AF10" s="56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57"/>
      <c r="BF10" s="57"/>
      <c r="BG10" s="57"/>
      <c r="BH10" s="57"/>
      <c r="BI10" s="58"/>
      <c r="BJ10" s="57"/>
      <c r="BK10" s="59"/>
    </row>
    <row r="11" spans="1:63" ht="15" customHeight="1" x14ac:dyDescent="0.25">
      <c r="A11" s="55"/>
      <c r="B11" s="56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8"/>
      <c r="AF11" s="56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8"/>
      <c r="BJ11" s="57"/>
      <c r="BK11" s="59"/>
    </row>
    <row r="12" spans="1:63" ht="15" customHeight="1" x14ac:dyDescent="0.25">
      <c r="A12" s="55"/>
      <c r="B12" s="56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8"/>
      <c r="AF12" s="56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8"/>
      <c r="BJ12" s="57"/>
      <c r="BK12" s="59"/>
    </row>
    <row r="13" spans="1:63" ht="15" customHeight="1" x14ac:dyDescent="0.25">
      <c r="A13" s="55"/>
      <c r="B13" s="56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8"/>
      <c r="AF13" s="56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8"/>
      <c r="BJ13" s="57"/>
      <c r="BK13" s="59"/>
    </row>
    <row r="14" spans="1:63" ht="15" customHeight="1" x14ac:dyDescent="0.25">
      <c r="A14" s="55"/>
      <c r="B14" s="56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8"/>
      <c r="AF14" s="56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8"/>
      <c r="BJ14" s="57"/>
      <c r="BK14" s="59"/>
    </row>
    <row r="15" spans="1:63" ht="15" customHeight="1" x14ac:dyDescent="0.25">
      <c r="A15" s="55"/>
      <c r="B15" s="56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8"/>
      <c r="AF15" s="56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8"/>
      <c r="BJ15" s="57"/>
      <c r="BK15" s="59"/>
    </row>
    <row r="16" spans="1:63" ht="15" customHeight="1" x14ac:dyDescent="0.25">
      <c r="A16" s="55"/>
      <c r="B16" s="56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F16" s="56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8"/>
      <c r="BJ16" s="57"/>
      <c r="BK16" s="59"/>
    </row>
    <row r="17" spans="1:63" ht="15" customHeight="1" x14ac:dyDescent="0.25">
      <c r="A17" s="55"/>
      <c r="B17" s="56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8"/>
      <c r="AF17" s="56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8"/>
      <c r="BJ17" s="57"/>
      <c r="BK17" s="59"/>
    </row>
    <row r="18" spans="1:63" ht="15" customHeight="1" x14ac:dyDescent="0.25">
      <c r="A18" s="55"/>
      <c r="B18" s="56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8"/>
      <c r="AF18" s="56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8"/>
      <c r="BJ18" s="57"/>
      <c r="BK18" s="59"/>
    </row>
    <row r="19" spans="1:63" ht="15" customHeight="1" x14ac:dyDescent="0.25">
      <c r="A19" s="55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8"/>
      <c r="AF19" s="56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8"/>
      <c r="BJ19" s="57"/>
      <c r="BK19" s="59"/>
    </row>
    <row r="20" spans="1:63" ht="15" customHeight="1" x14ac:dyDescent="0.25">
      <c r="A20" s="55"/>
      <c r="B20" s="56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8"/>
      <c r="AF20" s="56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8"/>
      <c r="BJ20" s="57"/>
      <c r="BK20" s="59"/>
    </row>
    <row r="21" spans="1:63" ht="15" customHeight="1" x14ac:dyDescent="0.25">
      <c r="A21" s="55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8"/>
      <c r="AF21" s="56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8"/>
      <c r="BJ21" s="57"/>
      <c r="BK21" s="59"/>
    </row>
    <row r="22" spans="1:63" ht="15" customHeight="1" x14ac:dyDescent="0.25">
      <c r="A22" s="55"/>
      <c r="B22" s="17" t="s">
        <v>59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8"/>
      <c r="AF22" s="17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/>
      <c r="BJ22" s="16"/>
      <c r="BK22" s="59"/>
    </row>
    <row r="23" spans="1:63" ht="15" customHeight="1" x14ac:dyDescent="0.25">
      <c r="A23" s="55"/>
      <c r="B23" s="56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8"/>
      <c r="AF23" s="56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8"/>
      <c r="BJ23" s="57"/>
      <c r="BK23" s="59"/>
    </row>
    <row r="24" spans="1:63" ht="15" customHeight="1" x14ac:dyDescent="0.25">
      <c r="A24" s="55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F24" s="56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8"/>
      <c r="BJ24" s="57"/>
      <c r="BK24" s="59"/>
    </row>
    <row r="25" spans="1:63" ht="15" customHeight="1" x14ac:dyDescent="0.25">
      <c r="A25" s="55"/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8"/>
      <c r="AF25" s="56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8"/>
      <c r="BJ25" s="57"/>
      <c r="BK25" s="59"/>
    </row>
    <row r="26" spans="1:63" ht="15" customHeight="1" x14ac:dyDescent="0.25">
      <c r="A26" s="55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8"/>
      <c r="AF26" s="56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8"/>
      <c r="BJ26" s="57"/>
      <c r="BK26" s="59"/>
    </row>
    <row r="27" spans="1:63" ht="15" customHeight="1" x14ac:dyDescent="0.25">
      <c r="A27" s="55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8"/>
      <c r="AF27" s="56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57"/>
      <c r="BF27" s="57"/>
      <c r="BG27" s="57"/>
      <c r="BH27" s="57"/>
      <c r="BI27" s="58"/>
      <c r="BJ27" s="57"/>
      <c r="BK27" s="59"/>
    </row>
    <row r="28" spans="1:63" ht="15" customHeight="1" x14ac:dyDescent="0.25">
      <c r="A28" s="55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8"/>
      <c r="AF28" s="56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8"/>
      <c r="BJ28" s="57"/>
      <c r="BK28" s="59"/>
    </row>
    <row r="29" spans="1:63" ht="15" customHeight="1" x14ac:dyDescent="0.25">
      <c r="A29" s="55"/>
      <c r="B29" s="56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8"/>
      <c r="AF29" s="56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8"/>
      <c r="BJ29" s="57"/>
      <c r="BK29" s="59"/>
    </row>
    <row r="30" spans="1:63" ht="15" customHeight="1" x14ac:dyDescent="0.25">
      <c r="A30" s="55"/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8"/>
      <c r="AF30" s="56"/>
      <c r="AG30" s="57"/>
      <c r="AH30" s="57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57"/>
      <c r="BI30" s="58"/>
      <c r="BJ30" s="57"/>
      <c r="BK30" s="59"/>
    </row>
    <row r="31" spans="1:63" ht="15" customHeight="1" x14ac:dyDescent="0.25">
      <c r="A31" s="55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8"/>
      <c r="AF31" s="56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57"/>
      <c r="BF31" s="57"/>
      <c r="BG31" s="57"/>
      <c r="BH31" s="57"/>
      <c r="BI31" s="58"/>
      <c r="BJ31" s="57"/>
      <c r="BK31" s="59"/>
    </row>
    <row r="32" spans="1:63" ht="15" customHeight="1" x14ac:dyDescent="0.25">
      <c r="A32" s="55"/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8"/>
      <c r="AF32" s="56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57"/>
      <c r="BF32" s="57"/>
      <c r="BG32" s="57"/>
      <c r="BH32" s="57"/>
      <c r="BI32" s="58"/>
      <c r="BJ32" s="57"/>
      <c r="BK32" s="59"/>
    </row>
    <row r="33" spans="1:63" ht="15" customHeight="1" x14ac:dyDescent="0.25">
      <c r="A33" s="55"/>
      <c r="B33" s="56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F33" s="56"/>
      <c r="AG33" s="57"/>
      <c r="AH33" s="57"/>
      <c r="AI33" s="57"/>
      <c r="AJ33" s="57"/>
      <c r="AK33" s="57"/>
      <c r="AL33" s="57"/>
      <c r="AM33" s="57"/>
      <c r="AN33" s="57"/>
      <c r="AO33" s="57"/>
      <c r="AP33" s="57"/>
      <c r="AQ33" s="57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57"/>
      <c r="BF33" s="57"/>
      <c r="BG33" s="57"/>
      <c r="BH33" s="57"/>
      <c r="BI33" s="58"/>
      <c r="BJ33" s="57"/>
      <c r="BK33" s="59"/>
    </row>
    <row r="34" spans="1:63" ht="15" customHeight="1" x14ac:dyDescent="0.25">
      <c r="A34" s="55"/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8"/>
      <c r="AF34" s="56"/>
      <c r="AG34" s="57"/>
      <c r="AH34" s="57"/>
      <c r="AI34" s="57"/>
      <c r="AJ34" s="57"/>
      <c r="AK34" s="57"/>
      <c r="AL34" s="57"/>
      <c r="AM34" s="57"/>
      <c r="AN34" s="57"/>
      <c r="AO34" s="57"/>
      <c r="AP34" s="57"/>
      <c r="AQ34" s="57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57"/>
      <c r="BF34" s="57"/>
      <c r="BG34" s="57"/>
      <c r="BH34" s="57"/>
      <c r="BI34" s="58"/>
      <c r="BJ34" s="57"/>
      <c r="BK34" s="59"/>
    </row>
    <row r="35" spans="1:63" ht="15" customHeight="1" x14ac:dyDescent="0.25">
      <c r="A35" s="55"/>
      <c r="B35" s="56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8"/>
      <c r="AF35" s="56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8"/>
      <c r="BJ35" s="57"/>
      <c r="BK35" s="59"/>
    </row>
    <row r="36" spans="1:63" ht="15" customHeight="1" x14ac:dyDescent="0.25">
      <c r="A36" s="55"/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8"/>
      <c r="AF36" s="56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8"/>
      <c r="BJ36" s="57"/>
      <c r="BK36" s="59"/>
    </row>
    <row r="37" spans="1:63" ht="15" customHeight="1" x14ac:dyDescent="0.25">
      <c r="A37" s="55"/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6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8"/>
      <c r="BJ37" s="57"/>
      <c r="BK37" s="59"/>
    </row>
    <row r="38" spans="1:63" ht="15" customHeight="1" x14ac:dyDescent="0.25">
      <c r="A38" s="55"/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6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8"/>
      <c r="BJ38" s="57"/>
      <c r="BK38" s="59"/>
    </row>
    <row r="39" spans="1:63" ht="15" customHeight="1" x14ac:dyDescent="0.25">
      <c r="A39" s="55"/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6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8"/>
      <c r="BJ39" s="57"/>
      <c r="BK39" s="59"/>
    </row>
    <row r="40" spans="1:63" ht="15" customHeight="1" x14ac:dyDescent="0.25">
      <c r="A40" s="55"/>
      <c r="B40" s="56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6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8"/>
      <c r="BJ40" s="57"/>
      <c r="BK40" s="59"/>
    </row>
    <row r="41" spans="1:63" ht="15" customHeight="1" x14ac:dyDescent="0.25">
      <c r="A41" s="55"/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6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8"/>
      <c r="BJ41" s="57"/>
      <c r="BK41" s="59"/>
    </row>
    <row r="42" spans="1:63" ht="15" customHeight="1" x14ac:dyDescent="0.25">
      <c r="A42" s="55"/>
      <c r="B42" s="17" t="s">
        <v>60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8"/>
      <c r="AF42" s="17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/>
      <c r="BJ42" s="16"/>
      <c r="BK42" s="59"/>
    </row>
    <row r="43" spans="1:63" ht="15" customHeight="1" x14ac:dyDescent="0.25">
      <c r="A43" s="55"/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8"/>
      <c r="AF43" s="56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8"/>
      <c r="BJ43" s="57"/>
      <c r="BK43" s="59"/>
    </row>
    <row r="44" spans="1:63" ht="15" customHeight="1" x14ac:dyDescent="0.25">
      <c r="A44" s="55"/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8"/>
      <c r="AF44" s="56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8"/>
      <c r="BJ44" s="57"/>
      <c r="BK44" s="59"/>
    </row>
    <row r="45" spans="1:63" ht="15" customHeight="1" x14ac:dyDescent="0.25">
      <c r="A45" s="55"/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8"/>
      <c r="AF45" s="56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8"/>
      <c r="BJ45" s="57"/>
      <c r="BK45" s="59"/>
    </row>
    <row r="46" spans="1:63" ht="15" customHeight="1" x14ac:dyDescent="0.25">
      <c r="A46" s="55"/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8"/>
      <c r="AF46" s="56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8"/>
      <c r="BJ46" s="57"/>
      <c r="BK46" s="59"/>
    </row>
    <row r="47" spans="1:63" ht="15" customHeight="1" x14ac:dyDescent="0.25">
      <c r="A47" s="55"/>
      <c r="B47" s="56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8"/>
      <c r="AF47" s="56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8"/>
      <c r="BJ47" s="57"/>
      <c r="BK47" s="59"/>
    </row>
    <row r="48" spans="1:63" ht="15" customHeight="1" x14ac:dyDescent="0.25">
      <c r="A48" s="55"/>
      <c r="B48" s="56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8"/>
      <c r="AF48" s="56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8"/>
      <c r="BJ48" s="57"/>
      <c r="BK48" s="59"/>
    </row>
    <row r="49" spans="1:63" ht="15" customHeight="1" x14ac:dyDescent="0.25">
      <c r="A49" s="55"/>
      <c r="B49" s="56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6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8"/>
      <c r="BJ49" s="57"/>
      <c r="BK49" s="59"/>
    </row>
    <row r="50" spans="1:63" ht="15" customHeight="1" x14ac:dyDescent="0.25">
      <c r="A50" s="55"/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6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8"/>
      <c r="BJ50" s="57"/>
      <c r="BK50" s="59"/>
    </row>
    <row r="51" spans="1:63" ht="15" customHeight="1" x14ac:dyDescent="0.25">
      <c r="A51" s="55"/>
      <c r="B51" s="56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6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8"/>
      <c r="BJ51" s="57"/>
      <c r="BK51" s="59"/>
    </row>
    <row r="52" spans="1:63" ht="15" customHeight="1" x14ac:dyDescent="0.25">
      <c r="A52" s="55"/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6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8"/>
      <c r="BJ52" s="57"/>
      <c r="BK52" s="59"/>
    </row>
    <row r="53" spans="1:63" ht="15" customHeight="1" x14ac:dyDescent="0.25">
      <c r="A53" s="55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6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8"/>
      <c r="BJ53" s="57"/>
      <c r="BK53" s="59"/>
    </row>
    <row r="54" spans="1:63" ht="15" customHeight="1" x14ac:dyDescent="0.25">
      <c r="A54" s="55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6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8"/>
      <c r="BJ54" s="57"/>
      <c r="BK54" s="59"/>
    </row>
    <row r="55" spans="1:63" ht="15" customHeight="1" x14ac:dyDescent="0.25">
      <c r="A55" s="57"/>
      <c r="B55" s="56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8"/>
      <c r="AF55" s="56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8"/>
      <c r="BJ55" s="57"/>
      <c r="BK55" s="59"/>
    </row>
    <row r="56" spans="1:63" ht="15" customHeight="1" x14ac:dyDescent="0.25">
      <c r="A56" s="57"/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8"/>
      <c r="AF56" s="56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8"/>
      <c r="BJ56" s="57"/>
      <c r="BK56" s="59"/>
    </row>
    <row r="57" spans="1:63" ht="15" customHeight="1" x14ac:dyDescent="0.25">
      <c r="A57" s="57"/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8"/>
      <c r="AF57" s="56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8"/>
      <c r="BJ57" s="57"/>
      <c r="BK57" s="59"/>
    </row>
    <row r="58" spans="1:63" ht="15" customHeight="1" x14ac:dyDescent="0.25">
      <c r="A58" s="57"/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8"/>
      <c r="AF58" s="56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8"/>
      <c r="BJ58" s="57"/>
      <c r="BK58" s="59"/>
    </row>
    <row r="59" spans="1:63" ht="15" customHeight="1" x14ac:dyDescent="0.25">
      <c r="A59" s="57"/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8"/>
      <c r="AF59" s="56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8"/>
      <c r="BJ59" s="57"/>
      <c r="BK59" s="59"/>
    </row>
    <row r="60" spans="1:63" ht="15" customHeight="1" x14ac:dyDescent="0.25">
      <c r="A60" s="57"/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8"/>
      <c r="AF60" s="56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  <c r="AS60" s="57"/>
      <c r="AT60" s="57"/>
      <c r="AU60" s="57"/>
      <c r="AV60" s="57"/>
      <c r="AW60" s="57"/>
      <c r="AX60" s="57"/>
      <c r="AY60" s="57"/>
      <c r="AZ60" s="57"/>
      <c r="BA60" s="57"/>
      <c r="BB60" s="57"/>
      <c r="BC60" s="57"/>
      <c r="BD60" s="57"/>
      <c r="BE60" s="57"/>
      <c r="BF60" s="57"/>
      <c r="BG60" s="57"/>
      <c r="BH60" s="57"/>
      <c r="BI60" s="58"/>
      <c r="BJ60" s="57"/>
      <c r="BK60" s="59"/>
    </row>
    <row r="61" spans="1:63" ht="15" customHeight="1" x14ac:dyDescent="0.25">
      <c r="A61" s="60"/>
      <c r="B61" s="61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2"/>
      <c r="AF61" s="61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2"/>
      <c r="BJ61" s="60"/>
      <c r="BK61" s="6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tabColor rgb="FF0000FF"/>
    <pageSetUpPr fitToPage="1"/>
  </sheetPr>
  <dimension ref="A1:BM57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customWidth="1"/>
  </cols>
  <sheetData>
    <row r="1" spans="1:65" ht="24.95" customHeight="1" x14ac:dyDescent="0.25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2"/>
      <c r="K1" s="90" t="s">
        <v>1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  <c r="W1" s="100" t="str">
        <f>IF(表紙!W1="","",表紙!W1)</f>
        <v>基本設計書</v>
      </c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2"/>
      <c r="AP1" s="90" t="s">
        <v>3</v>
      </c>
      <c r="AQ1" s="91"/>
      <c r="AR1" s="91"/>
      <c r="AS1" s="92"/>
      <c r="AT1" s="90" t="s">
        <v>4</v>
      </c>
      <c r="AU1" s="91"/>
      <c r="AV1" s="91"/>
      <c r="AW1" s="91"/>
      <c r="AX1" s="92"/>
      <c r="AY1" s="90" t="s">
        <v>5</v>
      </c>
      <c r="AZ1" s="91"/>
      <c r="BA1" s="91"/>
      <c r="BB1" s="92"/>
      <c r="BC1" s="90" t="s">
        <v>6</v>
      </c>
      <c r="BD1" s="91"/>
      <c r="BE1" s="91"/>
      <c r="BF1" s="91"/>
      <c r="BG1" s="92"/>
      <c r="BH1" s="90" t="s">
        <v>7</v>
      </c>
      <c r="BI1" s="91"/>
      <c r="BJ1" s="91"/>
      <c r="BK1" s="92"/>
    </row>
    <row r="2" spans="1:65" ht="15" customHeight="1" x14ac:dyDescent="0.25">
      <c r="A2" s="93" t="str">
        <f>IF(表紙!A2="","",表紙!A2)</f>
        <v>POSサーバー</v>
      </c>
      <c r="B2" s="94"/>
      <c r="C2" s="94"/>
      <c r="D2" s="94"/>
      <c r="E2" s="94"/>
      <c r="F2" s="94"/>
      <c r="G2" s="94"/>
      <c r="H2" s="94"/>
      <c r="I2" s="94"/>
      <c r="J2" s="95"/>
      <c r="K2" s="93" t="str">
        <f>IF(表紙!K2="","",表紙!K2)</f>
        <v>POSサーバ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103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5"/>
      <c r="AP2" s="93" t="str">
        <f>IF(表紙!AP2="","",表紙!AP2)</f>
        <v>TuyenNH</v>
      </c>
      <c r="AQ2" s="94"/>
      <c r="AR2" s="94"/>
      <c r="AS2" s="95"/>
      <c r="AT2" s="120">
        <f>IF(表紙!AT2="","",表紙!AT2)</f>
        <v>45408</v>
      </c>
      <c r="AU2" s="121"/>
      <c r="AV2" s="121"/>
      <c r="AW2" s="121"/>
      <c r="AX2" s="122"/>
      <c r="AY2" s="93" t="str">
        <f>IF(表紙!AY2="","",表紙!AY2)</f>
        <v>TinNH</v>
      </c>
      <c r="AZ2" s="94"/>
      <c r="BA2" s="94"/>
      <c r="BB2" s="95"/>
      <c r="BC2" s="120">
        <f>IF(表紙!BC2="","",表紙!BC2)</f>
        <v>45520</v>
      </c>
      <c r="BD2" s="121"/>
      <c r="BE2" s="121"/>
      <c r="BF2" s="121"/>
      <c r="BG2" s="122"/>
      <c r="BH2" s="93">
        <f>IF(表紙!BH2="","",表紙!BH2)</f>
        <v>0.4</v>
      </c>
      <c r="BI2" s="94"/>
      <c r="BJ2" s="94"/>
      <c r="BK2" s="95"/>
    </row>
    <row r="3" spans="1:65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106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8"/>
      <c r="AP3" s="96"/>
      <c r="AQ3" s="97"/>
      <c r="AR3" s="97"/>
      <c r="AS3" s="98"/>
      <c r="AT3" s="123"/>
      <c r="AU3" s="124"/>
      <c r="AV3" s="124"/>
      <c r="AW3" s="124"/>
      <c r="AX3" s="125"/>
      <c r="AY3" s="96"/>
      <c r="AZ3" s="97"/>
      <c r="BA3" s="97"/>
      <c r="BB3" s="98"/>
      <c r="BC3" s="123"/>
      <c r="BD3" s="124"/>
      <c r="BE3" s="124"/>
      <c r="BF3" s="124"/>
      <c r="BG3" s="125"/>
      <c r="BH3" s="96"/>
      <c r="BI3" s="97"/>
      <c r="BJ3" s="97"/>
      <c r="BK3" s="98"/>
    </row>
    <row r="4" spans="1:65" ht="24.95" customHeight="1" x14ac:dyDescent="0.25">
      <c r="A4" s="90" t="s">
        <v>10</v>
      </c>
      <c r="B4" s="91"/>
      <c r="C4" s="91"/>
      <c r="D4" s="91"/>
      <c r="E4" s="91"/>
      <c r="F4" s="91"/>
      <c r="G4" s="92"/>
      <c r="H4" s="111" t="str">
        <f>IF(表紙!H4="","",表紙!H4)</f>
        <v>03_店舗特売入力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3"/>
      <c r="U4" s="90" t="s">
        <v>12</v>
      </c>
      <c r="V4" s="91"/>
      <c r="W4" s="91"/>
      <c r="X4" s="91"/>
      <c r="Y4" s="92"/>
      <c r="Z4" s="111" t="str">
        <f>IF(表紙!Z4="","",表紙!Z4)</f>
        <v>概要設計</v>
      </c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3"/>
      <c r="AP4" s="111" t="str">
        <f t="array" aca="1" ref="AP4" ca="1">RIGHT(CELL("filename",$A$1),LEN(CELL("filename",$A$1))-FIND("]",CELL("filename",$A$1)))</f>
        <v>機能概要説明</v>
      </c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3"/>
    </row>
    <row r="5" spans="1:65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5" ht="15" customHeight="1" x14ac:dyDescent="0.25">
      <c r="A6" s="1"/>
      <c r="BK6" s="4"/>
    </row>
    <row r="7" spans="1:65" ht="15" customHeight="1" x14ac:dyDescent="0.25">
      <c r="A7" s="1"/>
      <c r="C7" t="s">
        <v>61</v>
      </c>
      <c r="K7" s="34"/>
      <c r="BK7" s="4"/>
      <c r="BM7" s="19">
        <f>IF(BM6=50,1,BM6+1)</f>
        <v>1</v>
      </c>
    </row>
    <row r="8" spans="1:65" ht="15" customHeight="1" x14ac:dyDescent="0.25">
      <c r="A8" s="1"/>
      <c r="D8" t="s">
        <v>62</v>
      </c>
      <c r="K8" s="34"/>
      <c r="BK8" s="4"/>
      <c r="BM8" s="19">
        <f t="shared" ref="BM8:BM11" si="0">IF(BM7=50,1,BM7+1)</f>
        <v>2</v>
      </c>
    </row>
    <row r="9" spans="1:65" ht="15" customHeight="1" x14ac:dyDescent="0.25">
      <c r="A9" s="1"/>
      <c r="D9" t="s">
        <v>63</v>
      </c>
      <c r="K9" s="34"/>
      <c r="BK9" s="4"/>
      <c r="BM9" s="19">
        <f t="shared" si="0"/>
        <v>3</v>
      </c>
    </row>
    <row r="10" spans="1:65" ht="15" customHeight="1" x14ac:dyDescent="0.25">
      <c r="A10" s="1"/>
      <c r="C10" s="43"/>
      <c r="D10" s="43"/>
      <c r="E10" s="46" t="s">
        <v>64</v>
      </c>
      <c r="F10" s="43"/>
      <c r="G10" s="43"/>
      <c r="H10" s="43"/>
      <c r="I10" s="43"/>
      <c r="J10" s="43"/>
      <c r="K10" s="44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BK10" s="4"/>
      <c r="BM10" s="19">
        <f t="shared" si="0"/>
        <v>4</v>
      </c>
    </row>
    <row r="11" spans="1:65" s="34" customFormat="1" ht="15" customHeight="1" x14ac:dyDescent="0.25">
      <c r="A11" s="33"/>
      <c r="C11" s="44"/>
      <c r="D11" s="43"/>
      <c r="E11" s="46" t="s">
        <v>65</v>
      </c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BK11" s="35"/>
      <c r="BM11" s="19">
        <f t="shared" si="0"/>
        <v>5</v>
      </c>
    </row>
    <row r="12" spans="1:65" s="34" customFormat="1" ht="15" customHeight="1" x14ac:dyDescent="0.25">
      <c r="A12" s="33"/>
      <c r="C12" s="44"/>
      <c r="D12" s="44"/>
      <c r="E12" s="39" t="s">
        <v>66</v>
      </c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BK12" s="35"/>
      <c r="BM12" s="19">
        <f t="shared" ref="BM12:BM44" si="1">IF(BM11=50,1,BM11+1)</f>
        <v>6</v>
      </c>
    </row>
    <row r="13" spans="1:65" s="34" customFormat="1" ht="15" customHeight="1" x14ac:dyDescent="0.25">
      <c r="A13" s="33"/>
      <c r="C13" s="44"/>
      <c r="D13" s="44"/>
      <c r="E13" s="45"/>
      <c r="F13" s="39" t="s">
        <v>67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BK13" s="35"/>
      <c r="BM13" s="19">
        <f t="shared" si="1"/>
        <v>7</v>
      </c>
    </row>
    <row r="14" spans="1:65" s="34" customFormat="1" ht="15" customHeight="1" x14ac:dyDescent="0.25">
      <c r="A14" s="33"/>
      <c r="C14" s="44"/>
      <c r="D14" s="44"/>
      <c r="E14" s="45"/>
      <c r="F14" s="39" t="s">
        <v>68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BK14" s="35"/>
      <c r="BM14" s="19">
        <f t="shared" si="1"/>
        <v>8</v>
      </c>
    </row>
    <row r="15" spans="1:65" s="34" customFormat="1" ht="15" customHeight="1" x14ac:dyDescent="0.25">
      <c r="A15" s="33"/>
      <c r="C15" s="44"/>
      <c r="D15" s="44"/>
      <c r="E15" s="44"/>
      <c r="F15" s="39" t="s">
        <v>69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BK15" s="35"/>
      <c r="BM15" s="19">
        <f t="shared" si="1"/>
        <v>9</v>
      </c>
    </row>
    <row r="16" spans="1:65" s="34" customFormat="1" ht="15" customHeight="1" x14ac:dyDescent="0.25">
      <c r="A16" s="33"/>
      <c r="C16" s="44"/>
      <c r="D16" t="s">
        <v>70</v>
      </c>
      <c r="E16" s="43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BK16" s="35"/>
      <c r="BM16" s="19">
        <f t="shared" si="1"/>
        <v>10</v>
      </c>
    </row>
    <row r="17" spans="1:65" s="34" customFormat="1" ht="15" customHeight="1" x14ac:dyDescent="0.25">
      <c r="A17" s="33"/>
      <c r="D17" s="84" t="s">
        <v>71</v>
      </c>
      <c r="E17" s="85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BK17" s="35"/>
      <c r="BM17" s="19">
        <f t="shared" si="1"/>
        <v>11</v>
      </c>
    </row>
    <row r="18" spans="1:65" s="34" customFormat="1" ht="15" customHeight="1" x14ac:dyDescent="0.25">
      <c r="A18" s="33"/>
      <c r="D18" s="84" t="s">
        <v>72</v>
      </c>
      <c r="E18" s="85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BK18" s="35"/>
      <c r="BM18" s="19">
        <f t="shared" si="1"/>
        <v>12</v>
      </c>
    </row>
    <row r="19" spans="1:65" s="34" customFormat="1" ht="15" customHeight="1" x14ac:dyDescent="0.25">
      <c r="A19" s="33"/>
      <c r="D19" s="86" t="s">
        <v>73</v>
      </c>
      <c r="E19" s="85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BK19" s="35"/>
      <c r="BM19" s="19">
        <f t="shared" si="1"/>
        <v>13</v>
      </c>
    </row>
    <row r="20" spans="1:65" s="34" customFormat="1" ht="15" customHeight="1" x14ac:dyDescent="0.25">
      <c r="A20" s="33"/>
      <c r="BK20" s="35"/>
      <c r="BM20" s="19">
        <f t="shared" si="1"/>
        <v>14</v>
      </c>
    </row>
    <row r="21" spans="1:65" s="34" customFormat="1" ht="15" customHeight="1" x14ac:dyDescent="0.25">
      <c r="A21" s="33"/>
      <c r="BK21" s="35"/>
      <c r="BM21" s="19">
        <f t="shared" si="1"/>
        <v>15</v>
      </c>
    </row>
    <row r="22" spans="1:65" s="34" customFormat="1" ht="15" customHeight="1" x14ac:dyDescent="0.25">
      <c r="A22" s="33"/>
      <c r="BK22" s="35"/>
      <c r="BM22" s="19">
        <f t="shared" si="1"/>
        <v>16</v>
      </c>
    </row>
    <row r="23" spans="1:65" s="34" customFormat="1" ht="15" customHeight="1" x14ac:dyDescent="0.25">
      <c r="A23" s="33"/>
      <c r="BK23" s="35"/>
      <c r="BM23" s="19">
        <f t="shared" si="1"/>
        <v>17</v>
      </c>
    </row>
    <row r="24" spans="1:65" s="34" customFormat="1" ht="15" customHeight="1" x14ac:dyDescent="0.25">
      <c r="A24" s="33"/>
      <c r="BK24" s="35"/>
      <c r="BM24" s="19">
        <f t="shared" si="1"/>
        <v>18</v>
      </c>
    </row>
    <row r="25" spans="1:65" s="34" customFormat="1" ht="15" customHeight="1" x14ac:dyDescent="0.25">
      <c r="A25" s="33"/>
      <c r="BK25" s="35"/>
      <c r="BM25" s="19">
        <f t="shared" si="1"/>
        <v>19</v>
      </c>
    </row>
    <row r="26" spans="1:65" s="34" customFormat="1" ht="15" customHeight="1" x14ac:dyDescent="0.25">
      <c r="A26" s="33"/>
      <c r="BK26" s="35"/>
      <c r="BM26" s="19">
        <f t="shared" si="1"/>
        <v>20</v>
      </c>
    </row>
    <row r="27" spans="1:65" s="34" customFormat="1" ht="15" customHeight="1" x14ac:dyDescent="0.25">
      <c r="A27" s="33"/>
      <c r="BK27" s="35"/>
      <c r="BM27" s="19">
        <f t="shared" si="1"/>
        <v>21</v>
      </c>
    </row>
    <row r="28" spans="1:65" s="34" customFormat="1" ht="15" customHeight="1" x14ac:dyDescent="0.25">
      <c r="A28" s="33"/>
      <c r="BK28" s="35"/>
      <c r="BM28" s="19">
        <f t="shared" si="1"/>
        <v>22</v>
      </c>
    </row>
    <row r="29" spans="1:65" s="34" customFormat="1" ht="15" customHeight="1" x14ac:dyDescent="0.25">
      <c r="A29" s="33"/>
      <c r="BK29" s="35"/>
      <c r="BM29" s="19">
        <f t="shared" si="1"/>
        <v>23</v>
      </c>
    </row>
    <row r="30" spans="1:65" s="34" customFormat="1" ht="15" customHeight="1" x14ac:dyDescent="0.25">
      <c r="A30" s="33"/>
      <c r="BK30" s="35"/>
      <c r="BM30" s="19">
        <f t="shared" si="1"/>
        <v>24</v>
      </c>
    </row>
    <row r="31" spans="1:65" s="34" customFormat="1" ht="15" customHeight="1" x14ac:dyDescent="0.25">
      <c r="A31" s="33"/>
      <c r="BK31" s="35"/>
      <c r="BM31" s="19">
        <f t="shared" si="1"/>
        <v>25</v>
      </c>
    </row>
    <row r="32" spans="1:65" s="34" customFormat="1" ht="15" customHeight="1" x14ac:dyDescent="0.25">
      <c r="A32" s="33"/>
      <c r="BK32" s="35"/>
      <c r="BM32" s="19">
        <f t="shared" si="1"/>
        <v>26</v>
      </c>
    </row>
    <row r="33" spans="1:65" s="34" customFormat="1" ht="15" customHeight="1" x14ac:dyDescent="0.25">
      <c r="A33" s="33"/>
      <c r="BK33" s="35"/>
      <c r="BM33" s="19">
        <f t="shared" si="1"/>
        <v>27</v>
      </c>
    </row>
    <row r="34" spans="1:65" s="34" customFormat="1" ht="15" customHeight="1" x14ac:dyDescent="0.25">
      <c r="A34" s="33"/>
      <c r="BK34" s="35"/>
      <c r="BM34" s="19">
        <f t="shared" si="1"/>
        <v>28</v>
      </c>
    </row>
    <row r="35" spans="1:65" s="34" customFormat="1" ht="15" customHeight="1" x14ac:dyDescent="0.25">
      <c r="A35" s="33"/>
      <c r="BK35" s="35"/>
      <c r="BM35" s="19">
        <f t="shared" si="1"/>
        <v>29</v>
      </c>
    </row>
    <row r="36" spans="1:65" s="34" customFormat="1" ht="15" customHeight="1" x14ac:dyDescent="0.25">
      <c r="A36" s="33"/>
      <c r="BK36" s="35"/>
      <c r="BM36" s="19">
        <f t="shared" si="1"/>
        <v>30</v>
      </c>
    </row>
    <row r="37" spans="1:65" s="34" customFormat="1" ht="15" customHeight="1" x14ac:dyDescent="0.25">
      <c r="A37" s="33"/>
      <c r="BK37" s="35"/>
      <c r="BM37" s="19">
        <f t="shared" si="1"/>
        <v>31</v>
      </c>
    </row>
    <row r="38" spans="1:65" s="34" customFormat="1" ht="15" customHeight="1" x14ac:dyDescent="0.25">
      <c r="A38" s="33"/>
      <c r="BK38" s="35"/>
      <c r="BM38" s="19">
        <f t="shared" si="1"/>
        <v>32</v>
      </c>
    </row>
    <row r="39" spans="1:65" s="34" customFormat="1" ht="15" customHeight="1" x14ac:dyDescent="0.25">
      <c r="A39" s="33"/>
      <c r="BK39" s="35"/>
      <c r="BM39" s="19">
        <f t="shared" si="1"/>
        <v>33</v>
      </c>
    </row>
    <row r="40" spans="1:65" s="34" customFormat="1" ht="15" customHeight="1" x14ac:dyDescent="0.25">
      <c r="A40" s="33"/>
      <c r="BK40" s="35"/>
      <c r="BM40" s="19">
        <f t="shared" si="1"/>
        <v>34</v>
      </c>
    </row>
    <row r="41" spans="1:65" s="34" customFormat="1" ht="15" customHeight="1" x14ac:dyDescent="0.25">
      <c r="A41" s="33"/>
      <c r="BK41" s="35"/>
      <c r="BM41" s="19">
        <f t="shared" si="1"/>
        <v>35</v>
      </c>
    </row>
    <row r="42" spans="1:65" s="34" customFormat="1" ht="15" customHeight="1" x14ac:dyDescent="0.25">
      <c r="A42" s="33"/>
      <c r="BK42" s="35"/>
      <c r="BM42" s="19">
        <f t="shared" si="1"/>
        <v>36</v>
      </c>
    </row>
    <row r="43" spans="1:65" s="34" customFormat="1" ht="15" customHeight="1" x14ac:dyDescent="0.25">
      <c r="A43" s="33"/>
      <c r="BK43" s="35"/>
      <c r="BM43" s="19">
        <f t="shared" si="1"/>
        <v>37</v>
      </c>
    </row>
    <row r="44" spans="1:65" s="34" customFormat="1" ht="15" customHeight="1" x14ac:dyDescent="0.25">
      <c r="A44" s="33"/>
      <c r="BK44" s="35"/>
      <c r="BM44" s="19">
        <f t="shared" si="1"/>
        <v>38</v>
      </c>
    </row>
    <row r="45" spans="1:65" s="34" customFormat="1" ht="15" customHeight="1" x14ac:dyDescent="0.25">
      <c r="A45" s="33"/>
      <c r="BK45" s="35"/>
      <c r="BM45" s="19">
        <f t="shared" ref="BM45:BM57" si="2">IF(BM44=50,1,BM44+1)</f>
        <v>39</v>
      </c>
    </row>
    <row r="46" spans="1:65" s="34" customFormat="1" ht="15" customHeight="1" x14ac:dyDescent="0.25">
      <c r="A46" s="33"/>
      <c r="BK46" s="35"/>
      <c r="BM46" s="19">
        <f t="shared" si="2"/>
        <v>40</v>
      </c>
    </row>
    <row r="47" spans="1:65" s="34" customFormat="1" ht="15" customHeight="1" x14ac:dyDescent="0.25">
      <c r="A47" s="33"/>
      <c r="BK47" s="35"/>
      <c r="BM47" s="19">
        <f t="shared" si="2"/>
        <v>41</v>
      </c>
    </row>
    <row r="48" spans="1:65" s="34" customFormat="1" ht="15" customHeight="1" x14ac:dyDescent="0.25">
      <c r="A48" s="33"/>
      <c r="BK48" s="35"/>
      <c r="BM48" s="19">
        <f t="shared" si="2"/>
        <v>42</v>
      </c>
    </row>
    <row r="49" spans="1:65" s="34" customFormat="1" ht="15" customHeight="1" x14ac:dyDescent="0.25">
      <c r="A49" s="33"/>
      <c r="BK49" s="35"/>
      <c r="BM49" s="19">
        <f t="shared" si="2"/>
        <v>43</v>
      </c>
    </row>
    <row r="50" spans="1:65" s="34" customFormat="1" ht="15" customHeight="1" x14ac:dyDescent="0.25">
      <c r="A50" s="33"/>
      <c r="BK50" s="35"/>
      <c r="BM50" s="19">
        <f t="shared" si="2"/>
        <v>44</v>
      </c>
    </row>
    <row r="51" spans="1:65" s="34" customFormat="1" ht="15" customHeight="1" x14ac:dyDescent="0.25">
      <c r="A51" s="33"/>
      <c r="BK51" s="35"/>
      <c r="BM51" s="19">
        <f t="shared" si="2"/>
        <v>45</v>
      </c>
    </row>
    <row r="52" spans="1:65" s="34" customFormat="1" ht="15" customHeight="1" x14ac:dyDescent="0.25">
      <c r="A52" s="33"/>
      <c r="BK52" s="35"/>
      <c r="BM52" s="19">
        <f t="shared" si="2"/>
        <v>46</v>
      </c>
    </row>
    <row r="53" spans="1:65" s="34" customFormat="1" ht="15" customHeight="1" x14ac:dyDescent="0.25">
      <c r="A53" s="33"/>
      <c r="BK53" s="35"/>
      <c r="BM53" s="19">
        <f t="shared" si="2"/>
        <v>47</v>
      </c>
    </row>
    <row r="54" spans="1:65" s="34" customFormat="1" ht="15" customHeight="1" x14ac:dyDescent="0.25">
      <c r="A54" s="33"/>
      <c r="BK54" s="35"/>
      <c r="BM54" s="19">
        <f t="shared" si="2"/>
        <v>48</v>
      </c>
    </row>
    <row r="55" spans="1:65" s="34" customFormat="1" ht="15" customHeight="1" x14ac:dyDescent="0.25">
      <c r="A55" s="33"/>
      <c r="BK55" s="35"/>
      <c r="BM55" s="19">
        <f t="shared" si="2"/>
        <v>49</v>
      </c>
    </row>
    <row r="56" spans="1:65" s="34" customFormat="1" ht="15" customHeight="1" x14ac:dyDescent="0.25">
      <c r="A56" s="33"/>
      <c r="BK56" s="35"/>
      <c r="BM56" s="19">
        <f t="shared" si="2"/>
        <v>50</v>
      </c>
    </row>
    <row r="57" spans="1:65" s="34" customFormat="1" ht="15" customHeight="1" x14ac:dyDescent="0.25">
      <c r="A57" s="36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8"/>
      <c r="BM57" s="19">
        <f t="shared" si="2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6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tabColor rgb="FF0000FF"/>
    <pageSetUpPr fitToPage="1"/>
  </sheetPr>
  <dimension ref="A1:BM108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64" customWidth="1"/>
    <col min="66" max="16384" width="2.77734375" style="64"/>
  </cols>
  <sheetData>
    <row r="1" spans="1:65" ht="24.95" customHeight="1" x14ac:dyDescent="0.25">
      <c r="A1" s="210" t="s">
        <v>27</v>
      </c>
      <c r="B1" s="211"/>
      <c r="C1" s="211"/>
      <c r="D1" s="211"/>
      <c r="E1" s="211"/>
      <c r="F1" s="211"/>
      <c r="G1" s="211"/>
      <c r="H1" s="211"/>
      <c r="I1" s="211"/>
      <c r="J1" s="212"/>
      <c r="K1" s="210" t="s">
        <v>28</v>
      </c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2"/>
      <c r="W1" s="218" t="str">
        <f>IF(表紙!W1="","",表紙!W1)</f>
        <v>基本設計書</v>
      </c>
      <c r="X1" s="219"/>
      <c r="Y1" s="219"/>
      <c r="Z1" s="219"/>
      <c r="AA1" s="219"/>
      <c r="AB1" s="219"/>
      <c r="AC1" s="219"/>
      <c r="AD1" s="219"/>
      <c r="AE1" s="219"/>
      <c r="AF1" s="219"/>
      <c r="AG1" s="219"/>
      <c r="AH1" s="219"/>
      <c r="AI1" s="219"/>
      <c r="AJ1" s="219"/>
      <c r="AK1" s="219"/>
      <c r="AL1" s="219"/>
      <c r="AM1" s="219"/>
      <c r="AN1" s="219"/>
      <c r="AO1" s="220"/>
      <c r="AP1" s="210" t="s">
        <v>30</v>
      </c>
      <c r="AQ1" s="211"/>
      <c r="AR1" s="211"/>
      <c r="AS1" s="212"/>
      <c r="AT1" s="210" t="s">
        <v>31</v>
      </c>
      <c r="AU1" s="211"/>
      <c r="AV1" s="211"/>
      <c r="AW1" s="211"/>
      <c r="AX1" s="212"/>
      <c r="AY1" s="210" t="s">
        <v>32</v>
      </c>
      <c r="AZ1" s="211"/>
      <c r="BA1" s="211"/>
      <c r="BB1" s="212"/>
      <c r="BC1" s="210" t="s">
        <v>33</v>
      </c>
      <c r="BD1" s="211"/>
      <c r="BE1" s="211"/>
      <c r="BF1" s="211"/>
      <c r="BG1" s="212"/>
      <c r="BH1" s="210" t="s">
        <v>34</v>
      </c>
      <c r="BI1" s="211"/>
      <c r="BJ1" s="211"/>
      <c r="BK1" s="212"/>
    </row>
    <row r="2" spans="1:65" ht="15" customHeight="1" x14ac:dyDescent="0.25">
      <c r="A2" s="186" t="str">
        <f>IF(表紙!A2="","",表紙!A2)</f>
        <v>POSサーバー</v>
      </c>
      <c r="B2" s="181"/>
      <c r="C2" s="181"/>
      <c r="D2" s="181"/>
      <c r="E2" s="181"/>
      <c r="F2" s="181"/>
      <c r="G2" s="181"/>
      <c r="H2" s="181"/>
      <c r="I2" s="181"/>
      <c r="J2" s="182"/>
      <c r="K2" s="186" t="str">
        <f>IF(表紙!K2="","",表紙!K2)</f>
        <v>POSサーバ</v>
      </c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2"/>
      <c r="W2" s="221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3"/>
      <c r="AP2" s="186" t="str">
        <f>IF(表紙!AP2="","",表紙!AP2)</f>
        <v>TuyenNH</v>
      </c>
      <c r="AQ2" s="181"/>
      <c r="AR2" s="181"/>
      <c r="AS2" s="182"/>
      <c r="AT2" s="180">
        <f>IF(表紙!AT2="","",表紙!AT2)</f>
        <v>45408</v>
      </c>
      <c r="AU2" s="213"/>
      <c r="AV2" s="213"/>
      <c r="AW2" s="213"/>
      <c r="AX2" s="214"/>
      <c r="AY2" s="186" t="str">
        <f>IF(表紙!AY2="","",表紙!AY2)</f>
        <v>TinNH</v>
      </c>
      <c r="AZ2" s="181"/>
      <c r="BA2" s="181"/>
      <c r="BB2" s="182"/>
      <c r="BC2" s="180">
        <f>IF(表紙!BC2="","",表紙!BC2)</f>
        <v>45520</v>
      </c>
      <c r="BD2" s="213"/>
      <c r="BE2" s="213"/>
      <c r="BF2" s="213"/>
      <c r="BG2" s="214"/>
      <c r="BH2" s="186">
        <f>IF(表紙!BH2="","",表紙!BH2)</f>
        <v>0.4</v>
      </c>
      <c r="BI2" s="181"/>
      <c r="BJ2" s="181"/>
      <c r="BK2" s="182"/>
    </row>
    <row r="3" spans="1:65" ht="15" customHeight="1" x14ac:dyDescent="0.25">
      <c r="A3" s="183"/>
      <c r="B3" s="184"/>
      <c r="C3" s="184"/>
      <c r="D3" s="184"/>
      <c r="E3" s="184"/>
      <c r="F3" s="184"/>
      <c r="G3" s="184"/>
      <c r="H3" s="184"/>
      <c r="I3" s="184"/>
      <c r="J3" s="185"/>
      <c r="K3" s="183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5"/>
      <c r="W3" s="224"/>
      <c r="X3" s="225"/>
      <c r="Y3" s="225"/>
      <c r="Z3" s="225"/>
      <c r="AA3" s="225"/>
      <c r="AB3" s="225"/>
      <c r="AC3" s="225"/>
      <c r="AD3" s="225"/>
      <c r="AE3" s="225"/>
      <c r="AF3" s="225"/>
      <c r="AG3" s="225"/>
      <c r="AH3" s="225"/>
      <c r="AI3" s="225"/>
      <c r="AJ3" s="225"/>
      <c r="AK3" s="225"/>
      <c r="AL3" s="225"/>
      <c r="AM3" s="225"/>
      <c r="AN3" s="225"/>
      <c r="AO3" s="226"/>
      <c r="AP3" s="183"/>
      <c r="AQ3" s="184"/>
      <c r="AR3" s="184"/>
      <c r="AS3" s="185"/>
      <c r="AT3" s="215"/>
      <c r="AU3" s="216"/>
      <c r="AV3" s="216"/>
      <c r="AW3" s="216"/>
      <c r="AX3" s="217"/>
      <c r="AY3" s="183"/>
      <c r="AZ3" s="184"/>
      <c r="BA3" s="184"/>
      <c r="BB3" s="185"/>
      <c r="BC3" s="215"/>
      <c r="BD3" s="216"/>
      <c r="BE3" s="216"/>
      <c r="BF3" s="216"/>
      <c r="BG3" s="217"/>
      <c r="BH3" s="183"/>
      <c r="BI3" s="184"/>
      <c r="BJ3" s="184"/>
      <c r="BK3" s="185"/>
    </row>
    <row r="4" spans="1:65" ht="24.95" customHeight="1" x14ac:dyDescent="0.25">
      <c r="A4" s="210" t="s">
        <v>38</v>
      </c>
      <c r="B4" s="211"/>
      <c r="C4" s="211"/>
      <c r="D4" s="211"/>
      <c r="E4" s="211"/>
      <c r="F4" s="211"/>
      <c r="G4" s="212"/>
      <c r="H4" s="227" t="str">
        <f>IF(表紙!H4="","",表紙!H4)</f>
        <v>03_店舗特売入力</v>
      </c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210" t="s">
        <v>40</v>
      </c>
      <c r="V4" s="211"/>
      <c r="W4" s="211"/>
      <c r="X4" s="211"/>
      <c r="Y4" s="212"/>
      <c r="Z4" s="227" t="str">
        <f>IF(表紙!Z4="","",表紙!Z4)</f>
        <v>概要設計</v>
      </c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9"/>
      <c r="AP4" s="227" t="str">
        <f t="array" aca="1" ref="AP4" ca="1">RIGHT(CELL("filename",$A$1),LEN(CELL("filename",$A$1))-FIND("]",CELL("filename",$A$1)))</f>
        <v>機能概要</v>
      </c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9"/>
    </row>
    <row r="5" spans="1:65" ht="5.0999999999999996" customHeight="1" x14ac:dyDescent="0.25">
      <c r="A5" s="65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5" ht="15" customHeight="1" x14ac:dyDescent="0.25">
      <c r="A6" s="66"/>
      <c r="BK6" s="67"/>
    </row>
    <row r="7" spans="1:65" ht="15" customHeight="1" x14ac:dyDescent="0.25">
      <c r="A7" s="66"/>
      <c r="B7" s="68" t="s">
        <v>39</v>
      </c>
      <c r="C7" s="69"/>
      <c r="D7" s="70"/>
      <c r="E7" s="70"/>
      <c r="F7" s="70"/>
      <c r="G7" s="70"/>
      <c r="H7" s="70"/>
      <c r="I7" s="70"/>
      <c r="J7" s="70"/>
      <c r="K7" s="71"/>
      <c r="L7" s="70"/>
      <c r="M7" s="70"/>
      <c r="N7" s="70"/>
      <c r="O7" s="70"/>
      <c r="P7" s="70"/>
      <c r="Q7" s="70"/>
      <c r="R7" s="70"/>
      <c r="S7" s="70"/>
      <c r="T7" s="71"/>
      <c r="U7" s="69"/>
      <c r="V7" s="70"/>
      <c r="W7" s="70"/>
      <c r="X7" s="70"/>
      <c r="Y7" s="70"/>
      <c r="Z7" s="70"/>
      <c r="AA7" s="70"/>
      <c r="AB7" s="70"/>
      <c r="AC7" s="71"/>
      <c r="AD7" s="69"/>
      <c r="AE7" s="70"/>
      <c r="AF7" s="70"/>
      <c r="AG7" s="70"/>
      <c r="AH7" s="70"/>
      <c r="AI7" s="70"/>
      <c r="AJ7" s="70"/>
      <c r="AK7" s="70"/>
      <c r="AL7" s="71"/>
      <c r="AM7" s="69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1"/>
      <c r="BJ7" s="70"/>
      <c r="BK7" s="67"/>
    </row>
    <row r="8" spans="1:65" ht="15" customHeight="1" x14ac:dyDescent="0.25">
      <c r="A8" s="66"/>
      <c r="B8" s="72"/>
      <c r="K8" s="73"/>
      <c r="U8" s="72"/>
      <c r="AD8" s="72"/>
      <c r="AM8" s="72"/>
      <c r="BI8" s="74"/>
      <c r="BK8" s="67"/>
      <c r="BM8" s="19">
        <f t="shared" ref="BM8:BM76" si="0">IF(BM7=50,1,BM7+1)</f>
        <v>1</v>
      </c>
    </row>
    <row r="9" spans="1:65" ht="15" customHeight="1" x14ac:dyDescent="0.25">
      <c r="A9" s="66"/>
      <c r="B9" s="72"/>
      <c r="K9" s="73"/>
      <c r="U9" s="72"/>
      <c r="AD9" s="72"/>
      <c r="AM9" s="72"/>
      <c r="BI9" s="74"/>
      <c r="BK9" s="67"/>
      <c r="BM9" s="19">
        <f t="shared" si="0"/>
        <v>2</v>
      </c>
    </row>
    <row r="10" spans="1:65" ht="15" customHeight="1" x14ac:dyDescent="0.25">
      <c r="A10" s="66"/>
      <c r="B10" s="72"/>
      <c r="K10" s="73"/>
      <c r="U10" s="72"/>
      <c r="AD10" s="72"/>
      <c r="AM10" s="72"/>
      <c r="BI10" s="74"/>
      <c r="BK10" s="67"/>
      <c r="BM10" s="19">
        <f t="shared" si="0"/>
        <v>3</v>
      </c>
    </row>
    <row r="11" spans="1:65" ht="15" customHeight="1" x14ac:dyDescent="0.25">
      <c r="A11" s="66"/>
      <c r="B11" s="72"/>
      <c r="K11" s="73"/>
      <c r="U11" s="72"/>
      <c r="AD11" s="72"/>
      <c r="AM11" s="72"/>
      <c r="BI11" s="74"/>
      <c r="BK11" s="67"/>
      <c r="BM11" s="19">
        <f t="shared" si="0"/>
        <v>4</v>
      </c>
    </row>
    <row r="12" spans="1:65" ht="15" customHeight="1" x14ac:dyDescent="0.25">
      <c r="A12" s="66"/>
      <c r="B12" s="72"/>
      <c r="K12" s="73"/>
      <c r="U12" s="72"/>
      <c r="AD12" s="72"/>
      <c r="AM12" s="72"/>
      <c r="BI12" s="74"/>
      <c r="BK12" s="67"/>
      <c r="BM12" s="19">
        <f t="shared" si="0"/>
        <v>5</v>
      </c>
    </row>
    <row r="13" spans="1:65" ht="15" customHeight="1" x14ac:dyDescent="0.25">
      <c r="A13" s="66"/>
      <c r="B13" s="72"/>
      <c r="K13" s="73"/>
      <c r="U13" s="72"/>
      <c r="AD13" s="72"/>
      <c r="AM13" s="72"/>
      <c r="BI13" s="74"/>
      <c r="BK13" s="67"/>
      <c r="BM13" s="19">
        <f t="shared" si="0"/>
        <v>6</v>
      </c>
    </row>
    <row r="14" spans="1:65" ht="15" customHeight="1" x14ac:dyDescent="0.25">
      <c r="A14" s="66"/>
      <c r="B14" s="72"/>
      <c r="K14" s="73"/>
      <c r="U14" s="72"/>
      <c r="AD14" s="72"/>
      <c r="AM14" s="72"/>
      <c r="BI14" s="74"/>
      <c r="BK14" s="67"/>
      <c r="BM14" s="19">
        <f t="shared" si="0"/>
        <v>7</v>
      </c>
    </row>
    <row r="15" spans="1:65" ht="15" customHeight="1" x14ac:dyDescent="0.25">
      <c r="A15" s="66"/>
      <c r="B15" s="72"/>
      <c r="K15" s="73"/>
      <c r="U15" s="72"/>
      <c r="AD15" s="72"/>
      <c r="AM15" s="72"/>
      <c r="BI15" s="74"/>
      <c r="BK15" s="67"/>
      <c r="BM15" s="19">
        <f t="shared" si="0"/>
        <v>8</v>
      </c>
    </row>
    <row r="16" spans="1:65" ht="15" customHeight="1" x14ac:dyDescent="0.25">
      <c r="A16" s="66"/>
      <c r="B16" s="72"/>
      <c r="K16" s="73"/>
      <c r="U16" s="72"/>
      <c r="AD16" s="72"/>
      <c r="AM16" s="72"/>
      <c r="BI16" s="74"/>
      <c r="BK16" s="67"/>
      <c r="BM16" s="19">
        <f t="shared" si="0"/>
        <v>9</v>
      </c>
    </row>
    <row r="17" spans="1:65" ht="15" customHeight="1" x14ac:dyDescent="0.25">
      <c r="A17" s="66"/>
      <c r="B17" s="72"/>
      <c r="K17" s="73"/>
      <c r="U17" s="72"/>
      <c r="AD17" s="72"/>
      <c r="AM17" s="72"/>
      <c r="BI17" s="74"/>
      <c r="BK17" s="67"/>
      <c r="BM17" s="19">
        <f t="shared" si="0"/>
        <v>10</v>
      </c>
    </row>
    <row r="18" spans="1:65" s="76" customFormat="1" ht="15" customHeight="1" x14ac:dyDescent="0.25">
      <c r="A18" s="75"/>
      <c r="B18" s="72"/>
      <c r="K18" s="73"/>
      <c r="L18" s="77"/>
      <c r="T18" s="73"/>
      <c r="U18" s="77"/>
      <c r="AC18" s="73"/>
      <c r="AD18" s="77"/>
      <c r="AL18" s="73"/>
      <c r="AM18" s="77"/>
      <c r="BI18" s="73"/>
      <c r="BK18" s="78"/>
      <c r="BM18" s="19">
        <f t="shared" si="0"/>
        <v>11</v>
      </c>
    </row>
    <row r="19" spans="1:65" s="76" customFormat="1" ht="15" customHeight="1" x14ac:dyDescent="0.25">
      <c r="A19" s="75"/>
      <c r="B19" s="72"/>
      <c r="K19" s="73"/>
      <c r="L19" s="77"/>
      <c r="T19" s="73"/>
      <c r="U19" s="77"/>
      <c r="AC19" s="73"/>
      <c r="AD19" s="77"/>
      <c r="AL19" s="73"/>
      <c r="AM19" s="77"/>
      <c r="BI19" s="73"/>
      <c r="BK19" s="78"/>
      <c r="BM19" s="19">
        <f t="shared" si="0"/>
        <v>12</v>
      </c>
    </row>
    <row r="20" spans="1:65" s="76" customFormat="1" ht="15" customHeight="1" x14ac:dyDescent="0.25">
      <c r="A20" s="75"/>
      <c r="B20" s="72"/>
      <c r="K20" s="73"/>
      <c r="L20" s="77"/>
      <c r="T20" s="73"/>
      <c r="U20" s="77"/>
      <c r="AC20" s="73"/>
      <c r="AD20" s="77"/>
      <c r="AL20" s="73"/>
      <c r="AM20" s="77"/>
      <c r="BI20" s="73"/>
      <c r="BK20" s="78"/>
      <c r="BM20" s="19">
        <f t="shared" si="0"/>
        <v>13</v>
      </c>
    </row>
    <row r="21" spans="1:65" s="76" customFormat="1" ht="15" customHeight="1" x14ac:dyDescent="0.25">
      <c r="A21" s="75"/>
      <c r="B21" s="72"/>
      <c r="K21" s="73"/>
      <c r="L21" s="77"/>
      <c r="T21" s="73"/>
      <c r="U21" s="77"/>
      <c r="AC21" s="73"/>
      <c r="AD21" s="77"/>
      <c r="AL21" s="73"/>
      <c r="AM21" s="77"/>
      <c r="BI21" s="73"/>
      <c r="BK21" s="78"/>
      <c r="BM21" s="19">
        <f t="shared" si="0"/>
        <v>14</v>
      </c>
    </row>
    <row r="22" spans="1:65" s="76" customFormat="1" ht="15" customHeight="1" x14ac:dyDescent="0.25">
      <c r="A22" s="75"/>
      <c r="B22" s="72"/>
      <c r="K22" s="73"/>
      <c r="L22" s="77"/>
      <c r="T22" s="73"/>
      <c r="U22" s="77"/>
      <c r="AC22" s="73"/>
      <c r="AD22" s="77"/>
      <c r="AL22" s="73"/>
      <c r="AM22" s="77"/>
      <c r="BI22" s="73"/>
      <c r="BK22" s="78"/>
      <c r="BM22" s="19">
        <f t="shared" si="0"/>
        <v>15</v>
      </c>
    </row>
    <row r="23" spans="1:65" s="76" customFormat="1" ht="15" customHeight="1" x14ac:dyDescent="0.25">
      <c r="A23" s="75"/>
      <c r="B23" s="72"/>
      <c r="K23" s="73"/>
      <c r="L23" s="77"/>
      <c r="T23" s="73"/>
      <c r="U23" s="77"/>
      <c r="AC23" s="73"/>
      <c r="AD23" s="77"/>
      <c r="AL23" s="73"/>
      <c r="AM23" s="77"/>
      <c r="BI23" s="73"/>
      <c r="BK23" s="78"/>
      <c r="BM23" s="19">
        <f t="shared" si="0"/>
        <v>16</v>
      </c>
    </row>
    <row r="24" spans="1:65" s="76" customFormat="1" ht="15" customHeight="1" x14ac:dyDescent="0.25">
      <c r="A24" s="75"/>
      <c r="B24" s="72"/>
      <c r="K24" s="73"/>
      <c r="L24" s="77"/>
      <c r="T24" s="73"/>
      <c r="U24" s="77"/>
      <c r="AC24" s="73"/>
      <c r="AD24" s="77"/>
      <c r="AL24" s="73"/>
      <c r="AM24" s="77"/>
      <c r="BI24" s="73"/>
      <c r="BK24" s="78"/>
      <c r="BM24" s="19">
        <f t="shared" si="0"/>
        <v>17</v>
      </c>
    </row>
    <row r="25" spans="1:65" s="76" customFormat="1" ht="15" customHeight="1" x14ac:dyDescent="0.25">
      <c r="A25" s="75"/>
      <c r="B25" s="72"/>
      <c r="K25" s="73"/>
      <c r="L25" s="77"/>
      <c r="T25" s="73"/>
      <c r="U25" s="77"/>
      <c r="AC25" s="73"/>
      <c r="AD25" s="77"/>
      <c r="AL25" s="73"/>
      <c r="AM25" s="77"/>
      <c r="BI25" s="73"/>
      <c r="BK25" s="78"/>
      <c r="BM25" s="19">
        <f t="shared" si="0"/>
        <v>18</v>
      </c>
    </row>
    <row r="26" spans="1:65" s="76" customFormat="1" ht="15" customHeight="1" x14ac:dyDescent="0.25">
      <c r="A26" s="75"/>
      <c r="B26" s="72"/>
      <c r="K26" s="73"/>
      <c r="L26" s="77"/>
      <c r="T26" s="73"/>
      <c r="U26" s="77"/>
      <c r="AC26" s="73"/>
      <c r="AD26" s="77"/>
      <c r="AL26" s="73"/>
      <c r="AM26" s="77"/>
      <c r="BI26" s="73"/>
      <c r="BK26" s="78"/>
      <c r="BM26" s="19">
        <f t="shared" si="0"/>
        <v>19</v>
      </c>
    </row>
    <row r="27" spans="1:65" s="76" customFormat="1" ht="15" customHeight="1" x14ac:dyDescent="0.25">
      <c r="A27" s="75"/>
      <c r="B27" s="72"/>
      <c r="K27" s="73"/>
      <c r="L27" s="77"/>
      <c r="T27" s="73"/>
      <c r="U27" s="77"/>
      <c r="AC27" s="73"/>
      <c r="AD27" s="77"/>
      <c r="AL27" s="73"/>
      <c r="AM27" s="77"/>
      <c r="BI27" s="73"/>
      <c r="BK27" s="78"/>
      <c r="BM27" s="19">
        <f t="shared" si="0"/>
        <v>20</v>
      </c>
    </row>
    <row r="28" spans="1:65" s="76" customFormat="1" ht="15" customHeight="1" x14ac:dyDescent="0.25">
      <c r="A28" s="75"/>
      <c r="B28" s="72"/>
      <c r="K28" s="73"/>
      <c r="L28" s="77"/>
      <c r="T28" s="73"/>
      <c r="U28" s="77"/>
      <c r="AC28" s="73"/>
      <c r="AD28" s="77"/>
      <c r="AL28" s="73"/>
      <c r="AM28" s="77"/>
      <c r="BI28" s="73"/>
      <c r="BK28" s="78"/>
      <c r="BM28" s="19">
        <f t="shared" si="0"/>
        <v>21</v>
      </c>
    </row>
    <row r="29" spans="1:65" s="76" customFormat="1" ht="15" customHeight="1" x14ac:dyDescent="0.25">
      <c r="A29" s="75"/>
      <c r="B29" s="72"/>
      <c r="K29" s="73"/>
      <c r="L29" s="77"/>
      <c r="T29" s="73"/>
      <c r="U29" s="77"/>
      <c r="AC29" s="73"/>
      <c r="AD29" s="77"/>
      <c r="AL29" s="73"/>
      <c r="AM29" s="77"/>
      <c r="BI29" s="73"/>
      <c r="BK29" s="78"/>
      <c r="BM29" s="19">
        <f t="shared" si="0"/>
        <v>22</v>
      </c>
    </row>
    <row r="30" spans="1:65" s="76" customFormat="1" ht="15" customHeight="1" x14ac:dyDescent="0.25">
      <c r="A30" s="75"/>
      <c r="B30" s="72"/>
      <c r="K30" s="73"/>
      <c r="L30" s="77"/>
      <c r="T30" s="73"/>
      <c r="U30" s="77"/>
      <c r="AC30" s="73"/>
      <c r="AD30" s="77"/>
      <c r="AL30" s="73"/>
      <c r="AM30" s="77"/>
      <c r="BI30" s="73"/>
      <c r="BK30" s="78"/>
      <c r="BM30" s="19">
        <f t="shared" si="0"/>
        <v>23</v>
      </c>
    </row>
    <row r="31" spans="1:65" s="76" customFormat="1" ht="15" customHeight="1" x14ac:dyDescent="0.25">
      <c r="A31" s="75"/>
      <c r="B31" s="72"/>
      <c r="K31" s="73"/>
      <c r="L31" s="77"/>
      <c r="T31" s="73"/>
      <c r="U31" s="77"/>
      <c r="AC31" s="73"/>
      <c r="AD31" s="77"/>
      <c r="AL31" s="73"/>
      <c r="AM31" s="77"/>
      <c r="BI31" s="73"/>
      <c r="BK31" s="78"/>
      <c r="BM31" s="19">
        <f t="shared" si="0"/>
        <v>24</v>
      </c>
    </row>
    <row r="32" spans="1:65" s="76" customFormat="1" ht="15" customHeight="1" x14ac:dyDescent="0.25">
      <c r="A32" s="75"/>
      <c r="B32" s="72"/>
      <c r="K32" s="73"/>
      <c r="L32" s="77"/>
      <c r="T32" s="73"/>
      <c r="U32" s="77"/>
      <c r="AC32" s="73"/>
      <c r="AD32" s="77"/>
      <c r="AL32" s="73"/>
      <c r="AM32" s="77"/>
      <c r="BI32" s="73"/>
      <c r="BK32" s="78"/>
      <c r="BM32" s="19">
        <f t="shared" si="0"/>
        <v>25</v>
      </c>
    </row>
    <row r="33" spans="1:65" s="76" customFormat="1" ht="15" customHeight="1" x14ac:dyDescent="0.25">
      <c r="A33" s="75"/>
      <c r="B33" s="72"/>
      <c r="K33" s="73"/>
      <c r="L33" s="77"/>
      <c r="T33" s="73"/>
      <c r="U33" s="77"/>
      <c r="AC33" s="73"/>
      <c r="AD33" s="77"/>
      <c r="AL33" s="73"/>
      <c r="AM33" s="77"/>
      <c r="BI33" s="73"/>
      <c r="BK33" s="78"/>
      <c r="BM33" s="19">
        <f t="shared" si="0"/>
        <v>26</v>
      </c>
    </row>
    <row r="34" spans="1:65" s="76" customFormat="1" ht="15" customHeight="1" x14ac:dyDescent="0.25">
      <c r="A34" s="75"/>
      <c r="B34" s="72"/>
      <c r="K34" s="73"/>
      <c r="L34" s="77"/>
      <c r="T34" s="73"/>
      <c r="U34" s="77"/>
      <c r="AC34" s="73"/>
      <c r="AD34" s="77"/>
      <c r="AL34" s="73"/>
      <c r="AM34" s="77"/>
      <c r="BI34" s="73"/>
      <c r="BK34" s="78"/>
      <c r="BM34" s="19">
        <f t="shared" si="0"/>
        <v>27</v>
      </c>
    </row>
    <row r="35" spans="1:65" s="76" customFormat="1" ht="15" customHeight="1" x14ac:dyDescent="0.25">
      <c r="A35" s="75"/>
      <c r="B35" s="72"/>
      <c r="K35" s="73"/>
      <c r="L35" s="77"/>
      <c r="T35" s="73"/>
      <c r="U35" s="77"/>
      <c r="AC35" s="73"/>
      <c r="AD35" s="77"/>
      <c r="AL35" s="73"/>
      <c r="AM35" s="77"/>
      <c r="BI35" s="73"/>
      <c r="BK35" s="78"/>
      <c r="BM35" s="19">
        <f t="shared" si="0"/>
        <v>28</v>
      </c>
    </row>
    <row r="36" spans="1:65" s="76" customFormat="1" ht="15" customHeight="1" x14ac:dyDescent="0.25">
      <c r="A36" s="75"/>
      <c r="B36" s="72"/>
      <c r="K36" s="73"/>
      <c r="L36" s="77"/>
      <c r="T36" s="73"/>
      <c r="U36" s="77"/>
      <c r="AC36" s="73"/>
      <c r="AD36" s="77"/>
      <c r="AL36" s="73"/>
      <c r="AM36" s="77"/>
      <c r="BI36" s="73"/>
      <c r="BK36" s="78"/>
      <c r="BM36" s="19">
        <f t="shared" si="0"/>
        <v>29</v>
      </c>
    </row>
    <row r="37" spans="1:65" s="76" customFormat="1" ht="15" customHeight="1" x14ac:dyDescent="0.25">
      <c r="A37" s="75"/>
      <c r="B37" s="72"/>
      <c r="K37" s="73"/>
      <c r="L37" s="77"/>
      <c r="T37" s="73"/>
      <c r="U37" s="77"/>
      <c r="AC37" s="73"/>
      <c r="AD37" s="77"/>
      <c r="AL37" s="73"/>
      <c r="AM37" s="77"/>
      <c r="BI37" s="73"/>
      <c r="BK37" s="78"/>
      <c r="BM37" s="19">
        <f t="shared" si="0"/>
        <v>30</v>
      </c>
    </row>
    <row r="38" spans="1:65" s="76" customFormat="1" ht="15" customHeight="1" x14ac:dyDescent="0.25">
      <c r="A38" s="75"/>
      <c r="B38" s="72"/>
      <c r="K38" s="73"/>
      <c r="L38" s="77"/>
      <c r="T38" s="73"/>
      <c r="U38" s="77"/>
      <c r="AC38" s="73"/>
      <c r="AD38" s="77"/>
      <c r="AL38" s="73"/>
      <c r="AM38" s="77"/>
      <c r="BI38" s="73"/>
      <c r="BK38" s="78"/>
      <c r="BM38" s="19">
        <f t="shared" si="0"/>
        <v>31</v>
      </c>
    </row>
    <row r="39" spans="1:65" s="76" customFormat="1" ht="15" customHeight="1" x14ac:dyDescent="0.25">
      <c r="A39" s="75"/>
      <c r="B39" s="72"/>
      <c r="K39" s="73"/>
      <c r="L39" s="77"/>
      <c r="T39" s="73"/>
      <c r="U39" s="77"/>
      <c r="AC39" s="73"/>
      <c r="AD39" s="77"/>
      <c r="AL39" s="73"/>
      <c r="AM39" s="77"/>
      <c r="BI39" s="73"/>
      <c r="BK39" s="78"/>
      <c r="BM39" s="19">
        <f t="shared" si="0"/>
        <v>32</v>
      </c>
    </row>
    <row r="40" spans="1:65" s="76" customFormat="1" ht="15" customHeight="1" x14ac:dyDescent="0.25">
      <c r="A40" s="75"/>
      <c r="B40" s="72"/>
      <c r="K40" s="73"/>
      <c r="L40" s="77"/>
      <c r="T40" s="73"/>
      <c r="U40" s="77"/>
      <c r="AC40" s="73"/>
      <c r="AD40" s="77"/>
      <c r="AL40" s="73"/>
      <c r="AM40" s="77"/>
      <c r="BI40" s="73"/>
      <c r="BK40" s="78"/>
      <c r="BM40" s="19">
        <f t="shared" si="0"/>
        <v>33</v>
      </c>
    </row>
    <row r="41" spans="1:65" s="76" customFormat="1" ht="15" customHeight="1" x14ac:dyDescent="0.25">
      <c r="A41" s="75"/>
      <c r="B41" s="77"/>
      <c r="K41" s="73"/>
      <c r="L41" s="77"/>
      <c r="T41" s="73"/>
      <c r="U41" s="77"/>
      <c r="AC41" s="73"/>
      <c r="AD41" s="77"/>
      <c r="AL41" s="73"/>
      <c r="AM41" s="77"/>
      <c r="BI41" s="73"/>
      <c r="BK41" s="78"/>
      <c r="BM41" s="19">
        <f t="shared" si="0"/>
        <v>34</v>
      </c>
    </row>
    <row r="42" spans="1:65" s="76" customFormat="1" ht="15" customHeight="1" x14ac:dyDescent="0.25">
      <c r="A42" s="75"/>
      <c r="B42" s="77"/>
      <c r="K42" s="73"/>
      <c r="L42" s="77"/>
      <c r="T42" s="73"/>
      <c r="U42" s="77"/>
      <c r="AC42" s="73"/>
      <c r="AD42" s="77"/>
      <c r="AL42" s="73"/>
      <c r="AM42" s="77"/>
      <c r="BI42" s="73"/>
      <c r="BK42" s="78"/>
      <c r="BM42" s="19">
        <f t="shared" si="0"/>
        <v>35</v>
      </c>
    </row>
    <row r="43" spans="1:65" s="76" customFormat="1" ht="15" customHeight="1" x14ac:dyDescent="0.25">
      <c r="A43" s="75"/>
      <c r="B43" s="77"/>
      <c r="K43" s="73"/>
      <c r="L43" s="77"/>
      <c r="T43" s="73"/>
      <c r="U43" s="77"/>
      <c r="AC43" s="73"/>
      <c r="AL43" s="73"/>
      <c r="AM43" s="77"/>
      <c r="BI43" s="73"/>
      <c r="BK43" s="78"/>
      <c r="BM43" s="19">
        <f t="shared" si="0"/>
        <v>36</v>
      </c>
    </row>
    <row r="44" spans="1:65" s="76" customFormat="1" ht="15" customHeight="1" x14ac:dyDescent="0.25">
      <c r="A44" s="75"/>
      <c r="B44" s="77"/>
      <c r="K44" s="73"/>
      <c r="L44" s="77"/>
      <c r="T44" s="73"/>
      <c r="U44" s="77"/>
      <c r="AC44" s="73"/>
      <c r="AD44" s="77"/>
      <c r="AL44" s="73"/>
      <c r="AM44" s="77"/>
      <c r="BI44" s="73"/>
      <c r="BK44" s="78"/>
      <c r="BM44" s="19">
        <f t="shared" si="0"/>
        <v>37</v>
      </c>
    </row>
    <row r="45" spans="1:65" s="76" customFormat="1" ht="15" customHeight="1" x14ac:dyDescent="0.25">
      <c r="A45" s="75"/>
      <c r="B45" s="77"/>
      <c r="K45" s="73"/>
      <c r="L45" s="77"/>
      <c r="T45" s="73"/>
      <c r="U45" s="77"/>
      <c r="AC45" s="73"/>
      <c r="AD45" s="77"/>
      <c r="AL45" s="73"/>
      <c r="AM45" s="77"/>
      <c r="BI45" s="73"/>
      <c r="BK45" s="78"/>
      <c r="BM45" s="19">
        <f t="shared" si="0"/>
        <v>38</v>
      </c>
    </row>
    <row r="46" spans="1:65" s="76" customFormat="1" ht="15" customHeight="1" x14ac:dyDescent="0.25">
      <c r="A46" s="75"/>
      <c r="B46" s="77"/>
      <c r="K46" s="73"/>
      <c r="L46" s="77"/>
      <c r="T46" s="73"/>
      <c r="U46" s="77"/>
      <c r="AC46" s="73"/>
      <c r="AD46" s="77"/>
      <c r="AL46" s="73"/>
      <c r="AM46" s="77"/>
      <c r="BI46" s="73"/>
      <c r="BK46" s="78"/>
      <c r="BM46" s="19">
        <f t="shared" si="0"/>
        <v>39</v>
      </c>
    </row>
    <row r="47" spans="1:65" s="76" customFormat="1" ht="15" customHeight="1" x14ac:dyDescent="0.25">
      <c r="A47" s="75"/>
      <c r="B47" s="77"/>
      <c r="K47" s="73"/>
      <c r="L47" s="77"/>
      <c r="T47" s="73"/>
      <c r="U47" s="77"/>
      <c r="AC47" s="73"/>
      <c r="AD47" s="77"/>
      <c r="AL47" s="73"/>
      <c r="AM47" s="77"/>
      <c r="BI47" s="73"/>
      <c r="BK47" s="78"/>
      <c r="BM47" s="19">
        <f t="shared" si="0"/>
        <v>40</v>
      </c>
    </row>
    <row r="48" spans="1:65" s="76" customFormat="1" ht="15" customHeight="1" x14ac:dyDescent="0.25">
      <c r="A48" s="75"/>
      <c r="B48" s="77"/>
      <c r="K48" s="73"/>
      <c r="L48" s="77"/>
      <c r="T48" s="73"/>
      <c r="U48" s="77"/>
      <c r="AC48" s="73"/>
      <c r="AD48" s="77"/>
      <c r="AL48" s="73"/>
      <c r="AM48" s="77"/>
      <c r="BI48" s="73"/>
      <c r="BK48" s="78"/>
      <c r="BM48" s="19">
        <f t="shared" si="0"/>
        <v>41</v>
      </c>
    </row>
    <row r="49" spans="1:65" s="76" customFormat="1" ht="15" customHeight="1" x14ac:dyDescent="0.25">
      <c r="A49" s="75"/>
      <c r="B49" s="77"/>
      <c r="K49" s="73"/>
      <c r="L49" s="77"/>
      <c r="T49" s="73"/>
      <c r="U49" s="77"/>
      <c r="AC49" s="73"/>
      <c r="AD49" s="77"/>
      <c r="AL49" s="73"/>
      <c r="AM49" s="77"/>
      <c r="BI49" s="73"/>
      <c r="BK49" s="78"/>
      <c r="BM49" s="19">
        <f t="shared" si="0"/>
        <v>42</v>
      </c>
    </row>
    <row r="50" spans="1:65" s="76" customFormat="1" ht="15" customHeight="1" x14ac:dyDescent="0.25">
      <c r="A50" s="75"/>
      <c r="B50" s="77"/>
      <c r="K50" s="73"/>
      <c r="L50" s="77"/>
      <c r="T50" s="73"/>
      <c r="U50" s="77"/>
      <c r="AC50" s="73"/>
      <c r="AD50" s="77"/>
      <c r="AL50" s="73"/>
      <c r="AM50" s="77"/>
      <c r="BI50" s="73"/>
      <c r="BK50" s="78"/>
      <c r="BM50" s="19">
        <f t="shared" si="0"/>
        <v>43</v>
      </c>
    </row>
    <row r="51" spans="1:65" s="76" customFormat="1" ht="15" customHeight="1" x14ac:dyDescent="0.25">
      <c r="A51" s="75"/>
      <c r="B51" s="77"/>
      <c r="K51" s="73"/>
      <c r="L51" s="77"/>
      <c r="T51" s="73"/>
      <c r="U51" s="77"/>
      <c r="AC51" s="73"/>
      <c r="AD51" s="77"/>
      <c r="AL51" s="73"/>
      <c r="AM51" s="77"/>
      <c r="BI51" s="73"/>
      <c r="BK51" s="78"/>
      <c r="BM51" s="19">
        <f t="shared" si="0"/>
        <v>44</v>
      </c>
    </row>
    <row r="52" spans="1:65" s="76" customFormat="1" ht="15" customHeight="1" x14ac:dyDescent="0.25">
      <c r="A52" s="75"/>
      <c r="B52" s="77"/>
      <c r="K52" s="73"/>
      <c r="L52" s="77"/>
      <c r="T52" s="73"/>
      <c r="U52" s="77"/>
      <c r="AC52" s="73"/>
      <c r="AD52" s="77"/>
      <c r="AL52" s="73"/>
      <c r="AM52" s="77"/>
      <c r="BI52" s="73"/>
      <c r="BK52" s="78"/>
      <c r="BM52" s="19">
        <f t="shared" si="0"/>
        <v>45</v>
      </c>
    </row>
    <row r="53" spans="1:65" s="76" customFormat="1" ht="15" customHeight="1" x14ac:dyDescent="0.25">
      <c r="A53" s="75"/>
      <c r="B53" s="77"/>
      <c r="K53" s="73"/>
      <c r="L53" s="77"/>
      <c r="T53" s="73"/>
      <c r="U53" s="77"/>
      <c r="AC53" s="73"/>
      <c r="AD53" s="77"/>
      <c r="AL53" s="73"/>
      <c r="AM53" s="77"/>
      <c r="BI53" s="73"/>
      <c r="BK53" s="78"/>
      <c r="BM53" s="19">
        <f t="shared" si="0"/>
        <v>46</v>
      </c>
    </row>
    <row r="54" spans="1:65" s="76" customFormat="1" ht="15" customHeight="1" x14ac:dyDescent="0.25">
      <c r="A54" s="75"/>
      <c r="B54" s="77"/>
      <c r="K54" s="73"/>
      <c r="L54" s="77"/>
      <c r="T54" s="73"/>
      <c r="U54" s="77"/>
      <c r="AC54" s="73"/>
      <c r="AD54" s="77"/>
      <c r="AL54" s="73"/>
      <c r="AM54" s="77"/>
      <c r="BI54" s="73"/>
      <c r="BK54" s="78"/>
      <c r="BM54" s="19">
        <f t="shared" si="0"/>
        <v>47</v>
      </c>
    </row>
    <row r="55" spans="1:65" s="76" customFormat="1" ht="15" customHeight="1" x14ac:dyDescent="0.25">
      <c r="A55" s="75"/>
      <c r="B55" s="77"/>
      <c r="K55" s="73"/>
      <c r="L55" s="77"/>
      <c r="T55" s="73"/>
      <c r="U55" s="77"/>
      <c r="AC55" s="73"/>
      <c r="AD55" s="77"/>
      <c r="AL55" s="73"/>
      <c r="AM55" s="77"/>
      <c r="BI55" s="73"/>
      <c r="BK55" s="78"/>
      <c r="BM55" s="19">
        <f t="shared" si="0"/>
        <v>48</v>
      </c>
    </row>
    <row r="56" spans="1:65" s="76" customFormat="1" ht="15" customHeight="1" x14ac:dyDescent="0.25">
      <c r="A56" s="75"/>
      <c r="B56" s="77"/>
      <c r="K56" s="73"/>
      <c r="L56" s="77"/>
      <c r="T56" s="73"/>
      <c r="U56" s="77"/>
      <c r="AC56" s="73"/>
      <c r="AD56" s="77"/>
      <c r="AL56" s="73"/>
      <c r="AM56" s="77"/>
      <c r="BI56" s="73"/>
      <c r="BK56" s="78"/>
      <c r="BM56" s="19">
        <f t="shared" si="0"/>
        <v>49</v>
      </c>
    </row>
    <row r="57" spans="1:65" s="76" customFormat="1" ht="15" customHeight="1" x14ac:dyDescent="0.25">
      <c r="A57" s="75"/>
      <c r="B57" s="77"/>
      <c r="K57" s="73"/>
      <c r="L57" s="77"/>
      <c r="T57" s="73"/>
      <c r="U57" s="77"/>
      <c r="AC57" s="73"/>
      <c r="AD57" s="77"/>
      <c r="AL57" s="73"/>
      <c r="AM57" s="77"/>
      <c r="BI57" s="73"/>
      <c r="BK57" s="78"/>
      <c r="BM57" s="19">
        <f t="shared" si="0"/>
        <v>50</v>
      </c>
    </row>
    <row r="58" spans="1:65" s="76" customFormat="1" ht="15" customHeight="1" x14ac:dyDescent="0.25">
      <c r="A58" s="75"/>
      <c r="B58" s="77"/>
      <c r="K58" s="73"/>
      <c r="L58" s="77"/>
      <c r="T58" s="73"/>
      <c r="U58" s="77"/>
      <c r="AC58" s="73"/>
      <c r="AD58" s="77"/>
      <c r="AL58" s="73"/>
      <c r="AM58" s="77"/>
      <c r="BI58" s="73"/>
      <c r="BK58" s="78"/>
      <c r="BM58" s="19">
        <f t="shared" si="0"/>
        <v>1</v>
      </c>
    </row>
    <row r="59" spans="1:65" s="76" customFormat="1" ht="15" customHeight="1" x14ac:dyDescent="0.25">
      <c r="A59" s="75"/>
      <c r="B59" s="77"/>
      <c r="K59" s="73"/>
      <c r="L59" s="77"/>
      <c r="T59" s="73"/>
      <c r="U59" s="77"/>
      <c r="AC59" s="73"/>
      <c r="AD59" s="77"/>
      <c r="AL59" s="73"/>
      <c r="AM59" s="77"/>
      <c r="BI59" s="73"/>
      <c r="BK59" s="78"/>
      <c r="BM59" s="19">
        <f t="shared" si="0"/>
        <v>2</v>
      </c>
    </row>
    <row r="60" spans="1:65" s="76" customFormat="1" ht="15" customHeight="1" x14ac:dyDescent="0.25">
      <c r="A60" s="75"/>
      <c r="B60" s="77"/>
      <c r="K60" s="73"/>
      <c r="L60" s="77"/>
      <c r="T60" s="73"/>
      <c r="U60" s="77"/>
      <c r="AC60" s="73"/>
      <c r="AD60" s="77"/>
      <c r="AL60" s="73"/>
      <c r="AM60" s="77"/>
      <c r="BI60" s="73"/>
      <c r="BK60" s="78"/>
      <c r="BM60" s="19">
        <f t="shared" si="0"/>
        <v>3</v>
      </c>
    </row>
    <row r="61" spans="1:65" s="76" customFormat="1" ht="15" customHeight="1" x14ac:dyDescent="0.25">
      <c r="A61" s="75"/>
      <c r="B61" s="77"/>
      <c r="K61" s="73"/>
      <c r="L61" s="77"/>
      <c r="T61" s="73"/>
      <c r="U61" s="77"/>
      <c r="AC61" s="73"/>
      <c r="AD61" s="77"/>
      <c r="AL61" s="73"/>
      <c r="AM61" s="77"/>
      <c r="BI61" s="73"/>
      <c r="BK61" s="78"/>
      <c r="BM61" s="19">
        <f t="shared" si="0"/>
        <v>4</v>
      </c>
    </row>
    <row r="62" spans="1:65" s="76" customFormat="1" ht="15" customHeight="1" x14ac:dyDescent="0.25">
      <c r="A62" s="75"/>
      <c r="B62" s="77"/>
      <c r="K62" s="73"/>
      <c r="L62" s="77"/>
      <c r="T62" s="73"/>
      <c r="U62" s="77"/>
      <c r="AC62" s="73"/>
      <c r="AD62" s="77"/>
      <c r="AL62" s="73"/>
      <c r="AM62" s="77"/>
      <c r="BI62" s="73"/>
      <c r="BK62" s="78"/>
      <c r="BM62" s="19">
        <f t="shared" si="0"/>
        <v>5</v>
      </c>
    </row>
    <row r="63" spans="1:65" s="76" customFormat="1" ht="15" customHeight="1" x14ac:dyDescent="0.25">
      <c r="A63" s="75"/>
      <c r="B63" s="77"/>
      <c r="K63" s="73"/>
      <c r="L63" s="77"/>
      <c r="T63" s="73"/>
      <c r="U63" s="77"/>
      <c r="AC63" s="73"/>
      <c r="AD63" s="77"/>
      <c r="AL63" s="73"/>
      <c r="AM63" s="77"/>
      <c r="BI63" s="73"/>
      <c r="BK63" s="78"/>
      <c r="BM63" s="19">
        <f t="shared" si="0"/>
        <v>6</v>
      </c>
    </row>
    <row r="64" spans="1:65" s="76" customFormat="1" ht="15" customHeight="1" x14ac:dyDescent="0.25">
      <c r="A64" s="75"/>
      <c r="B64" s="77"/>
      <c r="K64" s="73"/>
      <c r="L64" s="77"/>
      <c r="T64" s="73"/>
      <c r="U64" s="77"/>
      <c r="AC64" s="73"/>
      <c r="AD64" s="77"/>
      <c r="AL64" s="73"/>
      <c r="AM64" s="77"/>
      <c r="BI64" s="73"/>
      <c r="BK64" s="78"/>
      <c r="BM64" s="19">
        <f t="shared" si="0"/>
        <v>7</v>
      </c>
    </row>
    <row r="65" spans="1:65" s="76" customFormat="1" ht="15" customHeight="1" x14ac:dyDescent="0.25">
      <c r="A65" s="75"/>
      <c r="B65" s="77"/>
      <c r="K65" s="73"/>
      <c r="L65" s="77"/>
      <c r="T65" s="73"/>
      <c r="U65" s="77"/>
      <c r="AC65" s="73"/>
      <c r="AD65" s="77"/>
      <c r="AL65" s="73"/>
      <c r="AM65" s="77"/>
      <c r="BI65" s="73"/>
      <c r="BK65" s="78"/>
      <c r="BM65" s="19">
        <f t="shared" si="0"/>
        <v>8</v>
      </c>
    </row>
    <row r="66" spans="1:65" s="76" customFormat="1" ht="15" customHeight="1" x14ac:dyDescent="0.25">
      <c r="A66" s="75"/>
      <c r="B66" s="77"/>
      <c r="K66" s="73"/>
      <c r="L66" s="77"/>
      <c r="T66" s="73"/>
      <c r="U66" s="77"/>
      <c r="AC66" s="73"/>
      <c r="AD66" s="77"/>
      <c r="AL66" s="73"/>
      <c r="AM66" s="77"/>
      <c r="BI66" s="73"/>
      <c r="BK66" s="78"/>
      <c r="BM66" s="19">
        <f t="shared" si="0"/>
        <v>9</v>
      </c>
    </row>
    <row r="67" spans="1:65" s="76" customFormat="1" ht="15" customHeight="1" x14ac:dyDescent="0.25">
      <c r="A67" s="75"/>
      <c r="B67" s="77"/>
      <c r="K67" s="73"/>
      <c r="L67" s="77"/>
      <c r="T67" s="73"/>
      <c r="U67" s="77"/>
      <c r="AC67" s="73"/>
      <c r="AD67" s="77"/>
      <c r="AL67" s="73"/>
      <c r="AM67" s="77"/>
      <c r="BI67" s="73"/>
      <c r="BK67" s="78"/>
      <c r="BM67" s="19">
        <f t="shared" si="0"/>
        <v>10</v>
      </c>
    </row>
    <row r="68" spans="1:65" ht="15" customHeight="1" x14ac:dyDescent="0.25">
      <c r="A68" s="75"/>
      <c r="B68" s="77"/>
      <c r="C68" s="76"/>
      <c r="D68" s="76"/>
      <c r="E68" s="76"/>
      <c r="F68" s="76"/>
      <c r="G68" s="76"/>
      <c r="H68" s="76"/>
      <c r="I68" s="76"/>
      <c r="J68" s="76"/>
      <c r="K68" s="73"/>
      <c r="L68" s="77"/>
      <c r="M68" s="76"/>
      <c r="N68" s="76"/>
      <c r="O68" s="76"/>
      <c r="P68" s="76"/>
      <c r="Q68" s="76"/>
      <c r="R68" s="76"/>
      <c r="S68" s="76"/>
      <c r="T68" s="73"/>
      <c r="U68" s="77"/>
      <c r="V68" s="76"/>
      <c r="W68" s="76"/>
      <c r="X68" s="76"/>
      <c r="Y68" s="76"/>
      <c r="Z68" s="76"/>
      <c r="AA68" s="76"/>
      <c r="AB68" s="76"/>
      <c r="AC68" s="73"/>
      <c r="AD68" s="77"/>
      <c r="AE68" s="76"/>
      <c r="AF68" s="76"/>
      <c r="AG68" s="76"/>
      <c r="AH68" s="76"/>
      <c r="AI68" s="76"/>
      <c r="AJ68" s="76"/>
      <c r="AK68" s="76"/>
      <c r="AL68" s="73"/>
      <c r="AM68" s="77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  <c r="BC68" s="76"/>
      <c r="BD68" s="76"/>
      <c r="BE68" s="76"/>
      <c r="BF68" s="76"/>
      <c r="BG68" s="76"/>
      <c r="BH68" s="76"/>
      <c r="BI68" s="73"/>
      <c r="BJ68" s="76"/>
      <c r="BK68" s="78"/>
      <c r="BM68" s="19">
        <f t="shared" si="0"/>
        <v>11</v>
      </c>
    </row>
    <row r="69" spans="1:65" ht="15" customHeight="1" x14ac:dyDescent="0.25">
      <c r="A69" s="75"/>
      <c r="B69" s="77"/>
      <c r="C69" s="76"/>
      <c r="D69" s="76"/>
      <c r="E69" s="76"/>
      <c r="F69" s="76"/>
      <c r="G69" s="76"/>
      <c r="H69" s="76"/>
      <c r="I69" s="76"/>
      <c r="J69" s="76"/>
      <c r="K69" s="73"/>
      <c r="L69" s="77"/>
      <c r="M69" s="76"/>
      <c r="N69" s="76"/>
      <c r="O69" s="76"/>
      <c r="P69" s="76"/>
      <c r="Q69" s="76"/>
      <c r="R69" s="76"/>
      <c r="S69" s="76"/>
      <c r="T69" s="73"/>
      <c r="U69" s="77"/>
      <c r="V69" s="76"/>
      <c r="W69" s="76"/>
      <c r="X69" s="76"/>
      <c r="Y69" s="76"/>
      <c r="Z69" s="76"/>
      <c r="AA69" s="76"/>
      <c r="AB69" s="76"/>
      <c r="AC69" s="73"/>
      <c r="AD69" s="77"/>
      <c r="AE69" s="76"/>
      <c r="AF69" s="76"/>
      <c r="AG69" s="76"/>
      <c r="AH69" s="76"/>
      <c r="AI69" s="76"/>
      <c r="AJ69" s="76"/>
      <c r="AK69" s="76"/>
      <c r="AL69" s="73"/>
      <c r="AM69" s="77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  <c r="BC69" s="76"/>
      <c r="BD69" s="76"/>
      <c r="BE69" s="76"/>
      <c r="BF69" s="76"/>
      <c r="BG69" s="76"/>
      <c r="BH69" s="76"/>
      <c r="BI69" s="73"/>
      <c r="BJ69" s="76"/>
      <c r="BK69" s="78"/>
      <c r="BM69" s="19">
        <f t="shared" si="0"/>
        <v>12</v>
      </c>
    </row>
    <row r="70" spans="1:65" ht="15" customHeight="1" x14ac:dyDescent="0.25">
      <c r="A70" s="75"/>
      <c r="B70" s="77"/>
      <c r="C70" s="76"/>
      <c r="D70" s="76"/>
      <c r="E70" s="76"/>
      <c r="F70" s="76"/>
      <c r="G70" s="76"/>
      <c r="H70" s="76"/>
      <c r="I70" s="76"/>
      <c r="J70" s="76"/>
      <c r="K70" s="73"/>
      <c r="L70" s="77"/>
      <c r="M70" s="76"/>
      <c r="N70" s="76"/>
      <c r="O70" s="76"/>
      <c r="P70" s="76"/>
      <c r="Q70" s="76"/>
      <c r="R70" s="76"/>
      <c r="S70" s="76"/>
      <c r="T70" s="73"/>
      <c r="U70" s="77"/>
      <c r="V70" s="76"/>
      <c r="W70" s="76"/>
      <c r="X70" s="76"/>
      <c r="Y70" s="76"/>
      <c r="Z70" s="76"/>
      <c r="AA70" s="76"/>
      <c r="AB70" s="76"/>
      <c r="AC70" s="73"/>
      <c r="AD70" s="77"/>
      <c r="AE70" s="76"/>
      <c r="AF70" s="76"/>
      <c r="AG70" s="76"/>
      <c r="AH70" s="76"/>
      <c r="AI70" s="76"/>
      <c r="AJ70" s="76"/>
      <c r="AK70" s="76"/>
      <c r="AL70" s="73"/>
      <c r="AM70" s="77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  <c r="BC70" s="76"/>
      <c r="BD70" s="76"/>
      <c r="BE70" s="76"/>
      <c r="BF70" s="76"/>
      <c r="BG70" s="76"/>
      <c r="BH70" s="76"/>
      <c r="BI70" s="73"/>
      <c r="BJ70" s="76"/>
      <c r="BK70" s="78"/>
      <c r="BM70" s="19">
        <f t="shared" si="0"/>
        <v>13</v>
      </c>
    </row>
    <row r="71" spans="1:65" ht="15" customHeight="1" x14ac:dyDescent="0.25">
      <c r="A71" s="75"/>
      <c r="B71" s="77"/>
      <c r="C71" s="76"/>
      <c r="D71" s="76"/>
      <c r="E71" s="76"/>
      <c r="F71" s="76"/>
      <c r="G71" s="76"/>
      <c r="H71" s="76"/>
      <c r="I71" s="76"/>
      <c r="J71" s="76"/>
      <c r="K71" s="73"/>
      <c r="L71" s="77"/>
      <c r="M71" s="76"/>
      <c r="N71" s="76"/>
      <c r="O71" s="76"/>
      <c r="P71" s="76"/>
      <c r="Q71" s="76"/>
      <c r="R71" s="76"/>
      <c r="S71" s="76"/>
      <c r="T71" s="73"/>
      <c r="U71" s="77"/>
      <c r="V71" s="76"/>
      <c r="W71" s="76"/>
      <c r="X71" s="76"/>
      <c r="Y71" s="76"/>
      <c r="Z71" s="76"/>
      <c r="AA71" s="76"/>
      <c r="AB71" s="76"/>
      <c r="AC71" s="73"/>
      <c r="AD71" s="77"/>
      <c r="AE71" s="76"/>
      <c r="AF71" s="76"/>
      <c r="AG71" s="76"/>
      <c r="AH71" s="76"/>
      <c r="AI71" s="76"/>
      <c r="AJ71" s="76"/>
      <c r="AK71" s="76"/>
      <c r="AL71" s="73"/>
      <c r="AM71" s="77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  <c r="BC71" s="76"/>
      <c r="BD71" s="76"/>
      <c r="BE71" s="76"/>
      <c r="BF71" s="76"/>
      <c r="BG71" s="76"/>
      <c r="BH71" s="76"/>
      <c r="BI71" s="73"/>
      <c r="BJ71" s="76"/>
      <c r="BK71" s="78"/>
      <c r="BM71" s="19">
        <f t="shared" si="0"/>
        <v>14</v>
      </c>
    </row>
    <row r="72" spans="1:65" ht="15" customHeight="1" x14ac:dyDescent="0.25">
      <c r="A72" s="75"/>
      <c r="B72" s="77"/>
      <c r="C72" s="76"/>
      <c r="D72" s="76"/>
      <c r="E72" s="76"/>
      <c r="F72" s="76"/>
      <c r="G72" s="76"/>
      <c r="H72" s="76"/>
      <c r="I72" s="76"/>
      <c r="J72" s="76"/>
      <c r="K72" s="73"/>
      <c r="L72" s="77"/>
      <c r="M72" s="76"/>
      <c r="N72" s="76"/>
      <c r="O72" s="76"/>
      <c r="P72" s="76"/>
      <c r="Q72" s="76"/>
      <c r="R72" s="76"/>
      <c r="S72" s="76"/>
      <c r="T72" s="73"/>
      <c r="U72" s="77"/>
      <c r="V72" s="76"/>
      <c r="W72" s="76"/>
      <c r="X72" s="76"/>
      <c r="Y72" s="76"/>
      <c r="Z72" s="76"/>
      <c r="AA72" s="76"/>
      <c r="AB72" s="76"/>
      <c r="AC72" s="73"/>
      <c r="AD72" s="77"/>
      <c r="AE72" s="76"/>
      <c r="AF72" s="76"/>
      <c r="AG72" s="76"/>
      <c r="AH72" s="76"/>
      <c r="AI72" s="76"/>
      <c r="AJ72" s="76"/>
      <c r="AK72" s="76"/>
      <c r="AL72" s="73"/>
      <c r="AM72" s="77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3"/>
      <c r="BJ72" s="76"/>
      <c r="BK72" s="78"/>
      <c r="BM72" s="19">
        <f t="shared" si="0"/>
        <v>15</v>
      </c>
    </row>
    <row r="73" spans="1:65" ht="15" customHeight="1" x14ac:dyDescent="0.25">
      <c r="A73" s="75"/>
      <c r="B73" s="77"/>
      <c r="C73" s="76"/>
      <c r="D73" s="76"/>
      <c r="E73" s="76"/>
      <c r="F73" s="76"/>
      <c r="G73" s="76"/>
      <c r="H73" s="76"/>
      <c r="I73" s="76"/>
      <c r="J73" s="76"/>
      <c r="K73" s="73"/>
      <c r="L73" s="77"/>
      <c r="M73" s="76"/>
      <c r="N73" s="76"/>
      <c r="O73" s="76"/>
      <c r="P73" s="76"/>
      <c r="Q73" s="76"/>
      <c r="R73" s="76"/>
      <c r="S73" s="76"/>
      <c r="T73" s="73"/>
      <c r="U73" s="77"/>
      <c r="V73" s="76"/>
      <c r="W73" s="76"/>
      <c r="X73" s="76"/>
      <c r="Y73" s="76"/>
      <c r="Z73" s="76"/>
      <c r="AA73" s="76"/>
      <c r="AB73" s="76"/>
      <c r="AC73" s="73"/>
      <c r="AD73" s="77"/>
      <c r="AE73" s="76"/>
      <c r="AF73" s="76"/>
      <c r="AG73" s="76"/>
      <c r="AH73" s="76"/>
      <c r="AI73" s="76"/>
      <c r="AJ73" s="76"/>
      <c r="AK73" s="76"/>
      <c r="AL73" s="73"/>
      <c r="AM73" s="77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  <c r="BC73" s="76"/>
      <c r="BD73" s="76"/>
      <c r="BE73" s="76"/>
      <c r="BF73" s="76"/>
      <c r="BG73" s="76"/>
      <c r="BH73" s="76"/>
      <c r="BI73" s="73"/>
      <c r="BJ73" s="76"/>
      <c r="BK73" s="78"/>
      <c r="BM73" s="19">
        <f t="shared" si="0"/>
        <v>16</v>
      </c>
    </row>
    <row r="74" spans="1:65" ht="15" customHeight="1" x14ac:dyDescent="0.25">
      <c r="A74" s="75"/>
      <c r="B74" s="77"/>
      <c r="C74" s="76"/>
      <c r="D74" s="76"/>
      <c r="E74" s="76"/>
      <c r="F74" s="76"/>
      <c r="G74" s="76"/>
      <c r="H74" s="76"/>
      <c r="I74" s="76"/>
      <c r="J74" s="76"/>
      <c r="K74" s="73"/>
      <c r="L74" s="77"/>
      <c r="M74" s="76"/>
      <c r="N74" s="76"/>
      <c r="O74" s="76"/>
      <c r="P74" s="76"/>
      <c r="Q74" s="76"/>
      <c r="R74" s="76"/>
      <c r="S74" s="76"/>
      <c r="T74" s="73"/>
      <c r="U74" s="77"/>
      <c r="V74" s="76"/>
      <c r="W74" s="76"/>
      <c r="X74" s="76"/>
      <c r="Y74" s="76"/>
      <c r="Z74" s="76"/>
      <c r="AA74" s="76"/>
      <c r="AB74" s="76"/>
      <c r="AC74" s="73"/>
      <c r="AD74" s="77"/>
      <c r="AE74" s="76"/>
      <c r="AF74" s="76"/>
      <c r="AG74" s="76"/>
      <c r="AH74" s="76"/>
      <c r="AI74" s="76"/>
      <c r="AJ74" s="76"/>
      <c r="AK74" s="76"/>
      <c r="AL74" s="73"/>
      <c r="AM74" s="77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  <c r="BC74" s="76"/>
      <c r="BD74" s="76"/>
      <c r="BE74" s="76"/>
      <c r="BF74" s="76"/>
      <c r="BG74" s="76"/>
      <c r="BH74" s="76"/>
      <c r="BI74" s="73"/>
      <c r="BJ74" s="76"/>
      <c r="BK74" s="78"/>
      <c r="BM74" s="19">
        <f t="shared" si="0"/>
        <v>17</v>
      </c>
    </row>
    <row r="75" spans="1:65" ht="15" customHeight="1" x14ac:dyDescent="0.25">
      <c r="A75" s="75"/>
      <c r="B75" s="77"/>
      <c r="C75" s="76"/>
      <c r="D75" s="76"/>
      <c r="E75" s="76"/>
      <c r="F75" s="76"/>
      <c r="G75" s="76"/>
      <c r="H75" s="76"/>
      <c r="I75" s="76"/>
      <c r="J75" s="76"/>
      <c r="K75" s="73"/>
      <c r="L75" s="77"/>
      <c r="M75" s="76"/>
      <c r="N75" s="76"/>
      <c r="O75" s="76"/>
      <c r="P75" s="76"/>
      <c r="Q75" s="76"/>
      <c r="R75" s="76"/>
      <c r="S75" s="76"/>
      <c r="T75" s="73"/>
      <c r="U75" s="77"/>
      <c r="V75" s="76"/>
      <c r="W75" s="76"/>
      <c r="X75" s="76"/>
      <c r="Y75" s="76"/>
      <c r="Z75" s="76"/>
      <c r="AA75" s="76"/>
      <c r="AB75" s="76"/>
      <c r="AC75" s="73"/>
      <c r="AD75" s="77"/>
      <c r="AE75" s="76"/>
      <c r="AF75" s="76"/>
      <c r="AG75" s="76"/>
      <c r="AH75" s="76"/>
      <c r="AI75" s="76"/>
      <c r="AJ75" s="76"/>
      <c r="AK75" s="76"/>
      <c r="AL75" s="73"/>
      <c r="AM75" s="77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  <c r="BC75" s="76"/>
      <c r="BD75" s="76"/>
      <c r="BE75" s="76"/>
      <c r="BF75" s="76"/>
      <c r="BG75" s="76"/>
      <c r="BH75" s="76"/>
      <c r="BI75" s="73"/>
      <c r="BJ75" s="76"/>
      <c r="BK75" s="78"/>
      <c r="BM75" s="19">
        <f t="shared" si="0"/>
        <v>18</v>
      </c>
    </row>
    <row r="76" spans="1:65" ht="15" customHeight="1" x14ac:dyDescent="0.25">
      <c r="A76" s="75"/>
      <c r="B76" s="77"/>
      <c r="C76" s="76"/>
      <c r="D76" s="76"/>
      <c r="E76" s="76"/>
      <c r="F76" s="76"/>
      <c r="G76" s="76"/>
      <c r="H76" s="76"/>
      <c r="I76" s="76"/>
      <c r="J76" s="76"/>
      <c r="K76" s="73"/>
      <c r="L76" s="77"/>
      <c r="M76" s="76"/>
      <c r="N76" s="76"/>
      <c r="O76" s="76"/>
      <c r="P76" s="76"/>
      <c r="Q76" s="76"/>
      <c r="R76" s="76"/>
      <c r="S76" s="76"/>
      <c r="T76" s="73"/>
      <c r="U76" s="77"/>
      <c r="V76" s="76"/>
      <c r="W76" s="76"/>
      <c r="X76" s="76"/>
      <c r="Y76" s="76"/>
      <c r="Z76" s="76"/>
      <c r="AA76" s="76"/>
      <c r="AB76" s="76"/>
      <c r="AC76" s="73"/>
      <c r="AD76" s="77"/>
      <c r="AE76" s="76"/>
      <c r="AF76" s="76"/>
      <c r="AG76" s="76"/>
      <c r="AH76" s="76"/>
      <c r="AI76" s="76"/>
      <c r="AJ76" s="76"/>
      <c r="AK76" s="76"/>
      <c r="AL76" s="73"/>
      <c r="AM76" s="77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  <c r="BC76" s="76"/>
      <c r="BD76" s="76"/>
      <c r="BE76" s="76"/>
      <c r="BF76" s="76"/>
      <c r="BG76" s="76"/>
      <c r="BH76" s="76"/>
      <c r="BI76" s="73"/>
      <c r="BJ76" s="76"/>
      <c r="BK76" s="78"/>
      <c r="BM76" s="19">
        <f t="shared" si="0"/>
        <v>19</v>
      </c>
    </row>
    <row r="77" spans="1:65" ht="15" customHeight="1" x14ac:dyDescent="0.25">
      <c r="A77" s="75"/>
      <c r="B77" s="77"/>
      <c r="C77" s="76"/>
      <c r="D77" s="76"/>
      <c r="E77" s="76"/>
      <c r="F77" s="76"/>
      <c r="G77" s="76"/>
      <c r="H77" s="76"/>
      <c r="I77" s="76"/>
      <c r="J77" s="76"/>
      <c r="K77" s="73"/>
      <c r="L77" s="77"/>
      <c r="M77" s="76"/>
      <c r="N77" s="76"/>
      <c r="O77" s="76"/>
      <c r="P77" s="76"/>
      <c r="Q77" s="76"/>
      <c r="R77" s="76"/>
      <c r="S77" s="76"/>
      <c r="T77" s="73"/>
      <c r="U77" s="77"/>
      <c r="V77" s="76"/>
      <c r="W77" s="76"/>
      <c r="X77" s="76"/>
      <c r="Y77" s="76"/>
      <c r="Z77" s="76"/>
      <c r="AA77" s="76"/>
      <c r="AB77" s="76"/>
      <c r="AC77" s="73"/>
      <c r="AD77" s="77"/>
      <c r="AE77" s="76"/>
      <c r="AF77" s="76"/>
      <c r="AG77" s="76"/>
      <c r="AH77" s="76"/>
      <c r="AI77" s="76"/>
      <c r="AJ77" s="76"/>
      <c r="AK77" s="76"/>
      <c r="AL77" s="73"/>
      <c r="AM77" s="77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  <c r="BC77" s="76"/>
      <c r="BD77" s="76"/>
      <c r="BE77" s="76"/>
      <c r="BF77" s="76"/>
      <c r="BG77" s="76"/>
      <c r="BH77" s="76"/>
      <c r="BI77" s="73"/>
      <c r="BJ77" s="76"/>
      <c r="BK77" s="78"/>
      <c r="BM77" s="19">
        <f t="shared" ref="BM77:BM108" si="1">IF(BM76=50,1,BM76+1)</f>
        <v>20</v>
      </c>
    </row>
    <row r="78" spans="1:65" ht="15" customHeight="1" x14ac:dyDescent="0.25">
      <c r="A78" s="75"/>
      <c r="B78" s="77"/>
      <c r="C78" s="76"/>
      <c r="D78" s="76"/>
      <c r="E78" s="76"/>
      <c r="F78" s="76"/>
      <c r="G78" s="76"/>
      <c r="H78" s="76"/>
      <c r="I78" s="76"/>
      <c r="J78" s="76"/>
      <c r="K78" s="73"/>
      <c r="L78" s="77"/>
      <c r="M78" s="76"/>
      <c r="N78" s="76"/>
      <c r="O78" s="76"/>
      <c r="P78" s="76"/>
      <c r="Q78" s="76"/>
      <c r="R78" s="76"/>
      <c r="S78" s="76"/>
      <c r="T78" s="73"/>
      <c r="U78" s="77"/>
      <c r="V78" s="76"/>
      <c r="W78" s="76"/>
      <c r="X78" s="76"/>
      <c r="Y78" s="76"/>
      <c r="Z78" s="76"/>
      <c r="AA78" s="76"/>
      <c r="AB78" s="76"/>
      <c r="AC78" s="73"/>
      <c r="AD78" s="77"/>
      <c r="AE78" s="76"/>
      <c r="AF78" s="76"/>
      <c r="AG78" s="76"/>
      <c r="AH78" s="76"/>
      <c r="AI78" s="76"/>
      <c r="AJ78" s="76"/>
      <c r="AK78" s="76"/>
      <c r="AL78" s="73"/>
      <c r="AM78" s="77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  <c r="BC78" s="76"/>
      <c r="BD78" s="76"/>
      <c r="BE78" s="76"/>
      <c r="BF78" s="76"/>
      <c r="BG78" s="76"/>
      <c r="BH78" s="76"/>
      <c r="BI78" s="73"/>
      <c r="BJ78" s="76"/>
      <c r="BK78" s="78"/>
      <c r="BM78" s="19">
        <f t="shared" si="1"/>
        <v>21</v>
      </c>
    </row>
    <row r="79" spans="1:65" ht="15" customHeight="1" x14ac:dyDescent="0.25">
      <c r="A79" s="75"/>
      <c r="B79" s="77"/>
      <c r="C79" s="76"/>
      <c r="D79" s="76"/>
      <c r="E79" s="76"/>
      <c r="F79" s="76"/>
      <c r="G79" s="76"/>
      <c r="H79" s="76"/>
      <c r="I79" s="76"/>
      <c r="J79" s="76"/>
      <c r="K79" s="73"/>
      <c r="L79" s="77"/>
      <c r="M79" s="76"/>
      <c r="N79" s="76"/>
      <c r="O79" s="76"/>
      <c r="P79" s="76"/>
      <c r="Q79" s="76"/>
      <c r="R79" s="76"/>
      <c r="S79" s="76"/>
      <c r="T79" s="73"/>
      <c r="U79" s="77"/>
      <c r="V79" s="76"/>
      <c r="W79" s="76"/>
      <c r="X79" s="76"/>
      <c r="Y79" s="76"/>
      <c r="Z79" s="76"/>
      <c r="AA79" s="76"/>
      <c r="AB79" s="76"/>
      <c r="AC79" s="73"/>
      <c r="AD79" s="77"/>
      <c r="AE79" s="76"/>
      <c r="AF79" s="76"/>
      <c r="AG79" s="76"/>
      <c r="AH79" s="76"/>
      <c r="AI79" s="76"/>
      <c r="AJ79" s="76"/>
      <c r="AK79" s="76"/>
      <c r="AL79" s="73"/>
      <c r="AM79" s="77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 s="76"/>
      <c r="BH79" s="76"/>
      <c r="BI79" s="73"/>
      <c r="BJ79" s="76"/>
      <c r="BK79" s="78"/>
      <c r="BM79" s="19">
        <f t="shared" si="1"/>
        <v>22</v>
      </c>
    </row>
    <row r="80" spans="1:65" ht="15" customHeight="1" x14ac:dyDescent="0.25">
      <c r="A80" s="75"/>
      <c r="B80" s="77"/>
      <c r="C80" s="76"/>
      <c r="D80" s="76"/>
      <c r="E80" s="76"/>
      <c r="F80" s="76"/>
      <c r="G80" s="76"/>
      <c r="H80" s="76"/>
      <c r="I80" s="76"/>
      <c r="J80" s="76"/>
      <c r="K80" s="73"/>
      <c r="L80" s="77"/>
      <c r="M80" s="76"/>
      <c r="N80" s="76"/>
      <c r="O80" s="76"/>
      <c r="P80" s="76"/>
      <c r="Q80" s="76"/>
      <c r="R80" s="76"/>
      <c r="S80" s="76"/>
      <c r="T80" s="73"/>
      <c r="U80" s="77"/>
      <c r="V80" s="76"/>
      <c r="W80" s="76"/>
      <c r="X80" s="76"/>
      <c r="Y80" s="76"/>
      <c r="Z80" s="76"/>
      <c r="AA80" s="76"/>
      <c r="AB80" s="76"/>
      <c r="AC80" s="73"/>
      <c r="AD80" s="77"/>
      <c r="AE80" s="76"/>
      <c r="AF80" s="76"/>
      <c r="AG80" s="76"/>
      <c r="AH80" s="76"/>
      <c r="AI80" s="76"/>
      <c r="AJ80" s="76"/>
      <c r="AK80" s="76"/>
      <c r="AL80" s="73"/>
      <c r="AM80" s="77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  <c r="BC80" s="76"/>
      <c r="BD80" s="76"/>
      <c r="BE80" s="76"/>
      <c r="BF80" s="76"/>
      <c r="BG80" s="76"/>
      <c r="BH80" s="76"/>
      <c r="BI80" s="73"/>
      <c r="BJ80" s="76"/>
      <c r="BK80" s="78"/>
      <c r="BM80" s="19">
        <f t="shared" si="1"/>
        <v>23</v>
      </c>
    </row>
    <row r="81" spans="1:65" ht="15" customHeight="1" x14ac:dyDescent="0.25">
      <c r="A81" s="75"/>
      <c r="B81" s="77"/>
      <c r="C81" s="76"/>
      <c r="D81" s="76"/>
      <c r="E81" s="76"/>
      <c r="F81" s="76"/>
      <c r="G81" s="76"/>
      <c r="H81" s="76"/>
      <c r="I81" s="76"/>
      <c r="J81" s="76"/>
      <c r="K81" s="73"/>
      <c r="L81" s="77"/>
      <c r="M81" s="76"/>
      <c r="N81" s="76"/>
      <c r="O81" s="76"/>
      <c r="P81" s="76"/>
      <c r="Q81" s="76"/>
      <c r="R81" s="76"/>
      <c r="S81" s="76"/>
      <c r="T81" s="73"/>
      <c r="U81" s="77"/>
      <c r="V81" s="76"/>
      <c r="W81" s="76"/>
      <c r="X81" s="76"/>
      <c r="Y81" s="76"/>
      <c r="Z81" s="76"/>
      <c r="AA81" s="76"/>
      <c r="AB81" s="76"/>
      <c r="AC81" s="73"/>
      <c r="AD81" s="77"/>
      <c r="AE81" s="76"/>
      <c r="AF81" s="76"/>
      <c r="AG81" s="76"/>
      <c r="AH81" s="76"/>
      <c r="AI81" s="76"/>
      <c r="AJ81" s="76"/>
      <c r="AK81" s="76"/>
      <c r="AL81" s="73"/>
      <c r="AM81" s="77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  <c r="BC81" s="76"/>
      <c r="BD81" s="76"/>
      <c r="BE81" s="76"/>
      <c r="BF81" s="76"/>
      <c r="BG81" s="76"/>
      <c r="BH81" s="76"/>
      <c r="BI81" s="73"/>
      <c r="BJ81" s="76"/>
      <c r="BK81" s="78"/>
      <c r="BM81" s="19">
        <f t="shared" si="1"/>
        <v>24</v>
      </c>
    </row>
    <row r="82" spans="1:65" ht="15" customHeight="1" x14ac:dyDescent="0.25">
      <c r="A82" s="75"/>
      <c r="B82" s="77"/>
      <c r="C82" s="76"/>
      <c r="D82" s="76"/>
      <c r="E82" s="76"/>
      <c r="F82" s="76"/>
      <c r="G82" s="76"/>
      <c r="H82" s="76"/>
      <c r="I82" s="76"/>
      <c r="J82" s="76"/>
      <c r="K82" s="73"/>
      <c r="L82" s="77"/>
      <c r="M82" s="76"/>
      <c r="N82" s="76"/>
      <c r="O82" s="76"/>
      <c r="P82" s="76"/>
      <c r="Q82" s="76"/>
      <c r="R82" s="76"/>
      <c r="S82" s="76"/>
      <c r="T82" s="73"/>
      <c r="U82" s="77"/>
      <c r="V82" s="76"/>
      <c r="W82" s="76"/>
      <c r="X82" s="76"/>
      <c r="Y82" s="76"/>
      <c r="Z82" s="76"/>
      <c r="AA82" s="76"/>
      <c r="AB82" s="76"/>
      <c r="AC82" s="73"/>
      <c r="AD82" s="77"/>
      <c r="AE82" s="76"/>
      <c r="AF82" s="76"/>
      <c r="AG82" s="76"/>
      <c r="AH82" s="76"/>
      <c r="AI82" s="76"/>
      <c r="AJ82" s="76"/>
      <c r="AK82" s="76"/>
      <c r="AL82" s="73"/>
      <c r="AM82" s="77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  <c r="BC82" s="76"/>
      <c r="BD82" s="76"/>
      <c r="BE82" s="76"/>
      <c r="BF82" s="76"/>
      <c r="BG82" s="76"/>
      <c r="BH82" s="76"/>
      <c r="BI82" s="73"/>
      <c r="BJ82" s="76"/>
      <c r="BK82" s="78"/>
      <c r="BM82" s="19">
        <f t="shared" si="1"/>
        <v>25</v>
      </c>
    </row>
    <row r="83" spans="1:65" ht="15" customHeight="1" x14ac:dyDescent="0.25">
      <c r="A83" s="75"/>
      <c r="B83" s="77"/>
      <c r="C83" s="76"/>
      <c r="D83" s="76"/>
      <c r="E83" s="76"/>
      <c r="F83" s="76"/>
      <c r="G83" s="76"/>
      <c r="H83" s="76"/>
      <c r="I83" s="76"/>
      <c r="J83" s="76"/>
      <c r="K83" s="73"/>
      <c r="L83" s="77"/>
      <c r="M83" s="76"/>
      <c r="N83" s="76"/>
      <c r="O83" s="76"/>
      <c r="P83" s="76"/>
      <c r="Q83" s="76"/>
      <c r="R83" s="76"/>
      <c r="S83" s="76"/>
      <c r="T83" s="73"/>
      <c r="U83" s="77"/>
      <c r="V83" s="76"/>
      <c r="W83" s="76"/>
      <c r="X83" s="76"/>
      <c r="Y83" s="76"/>
      <c r="Z83" s="76"/>
      <c r="AA83" s="76"/>
      <c r="AB83" s="76"/>
      <c r="AC83" s="73"/>
      <c r="AD83" s="77"/>
      <c r="AE83" s="76"/>
      <c r="AF83" s="76"/>
      <c r="AG83" s="76"/>
      <c r="AH83" s="76"/>
      <c r="AI83" s="76"/>
      <c r="AJ83" s="76"/>
      <c r="AK83" s="76"/>
      <c r="AL83" s="73"/>
      <c r="AM83" s="77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  <c r="BC83" s="76"/>
      <c r="BD83" s="76"/>
      <c r="BE83" s="76"/>
      <c r="BF83" s="76"/>
      <c r="BG83" s="76"/>
      <c r="BH83" s="76"/>
      <c r="BI83" s="73"/>
      <c r="BJ83" s="76"/>
      <c r="BK83" s="78"/>
      <c r="BM83" s="19">
        <f t="shared" si="1"/>
        <v>26</v>
      </c>
    </row>
    <row r="84" spans="1:65" ht="15" customHeight="1" x14ac:dyDescent="0.25">
      <c r="A84" s="75"/>
      <c r="B84" s="77"/>
      <c r="C84" s="76"/>
      <c r="D84" s="76"/>
      <c r="E84" s="76"/>
      <c r="F84" s="76"/>
      <c r="G84" s="76"/>
      <c r="H84" s="76"/>
      <c r="I84" s="76"/>
      <c r="J84" s="76"/>
      <c r="K84" s="73"/>
      <c r="L84" s="77"/>
      <c r="M84" s="76"/>
      <c r="N84" s="76"/>
      <c r="O84" s="76"/>
      <c r="P84" s="76"/>
      <c r="Q84" s="76"/>
      <c r="R84" s="76"/>
      <c r="S84" s="76"/>
      <c r="T84" s="73"/>
      <c r="U84" s="77"/>
      <c r="V84" s="76"/>
      <c r="W84" s="76"/>
      <c r="X84" s="76"/>
      <c r="Y84" s="76"/>
      <c r="Z84" s="76"/>
      <c r="AA84" s="76"/>
      <c r="AB84" s="76"/>
      <c r="AC84" s="73"/>
      <c r="AD84" s="77"/>
      <c r="AE84" s="76"/>
      <c r="AF84" s="76"/>
      <c r="AG84" s="76"/>
      <c r="AH84" s="76"/>
      <c r="AI84" s="76"/>
      <c r="AJ84" s="76"/>
      <c r="AK84" s="76"/>
      <c r="AL84" s="73"/>
      <c r="AM84" s="77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  <c r="BC84" s="76"/>
      <c r="BD84" s="76"/>
      <c r="BE84" s="76"/>
      <c r="BF84" s="76"/>
      <c r="BG84" s="76"/>
      <c r="BH84" s="76"/>
      <c r="BI84" s="73"/>
      <c r="BJ84" s="76"/>
      <c r="BK84" s="78"/>
      <c r="BM84" s="19">
        <f t="shared" si="1"/>
        <v>27</v>
      </c>
    </row>
    <row r="85" spans="1:65" ht="15" customHeight="1" x14ac:dyDescent="0.25">
      <c r="A85" s="75"/>
      <c r="B85" s="77"/>
      <c r="C85" s="76"/>
      <c r="D85" s="76"/>
      <c r="E85" s="76"/>
      <c r="F85" s="76"/>
      <c r="G85" s="76"/>
      <c r="H85" s="76"/>
      <c r="I85" s="76"/>
      <c r="J85" s="76"/>
      <c r="K85" s="73"/>
      <c r="L85" s="77"/>
      <c r="M85" s="76"/>
      <c r="N85" s="76"/>
      <c r="O85" s="76"/>
      <c r="P85" s="76"/>
      <c r="Q85" s="76"/>
      <c r="R85" s="76"/>
      <c r="S85" s="76"/>
      <c r="T85" s="73"/>
      <c r="U85" s="77"/>
      <c r="V85" s="76"/>
      <c r="W85" s="76"/>
      <c r="X85" s="76"/>
      <c r="Y85" s="76"/>
      <c r="Z85" s="76"/>
      <c r="AA85" s="76"/>
      <c r="AB85" s="76"/>
      <c r="AC85" s="73"/>
      <c r="AD85" s="77"/>
      <c r="AE85" s="76"/>
      <c r="AF85" s="76"/>
      <c r="AG85" s="76"/>
      <c r="AH85" s="76"/>
      <c r="AI85" s="76"/>
      <c r="AJ85" s="76"/>
      <c r="AK85" s="76"/>
      <c r="AL85" s="73"/>
      <c r="AM85" s="77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  <c r="BC85" s="76"/>
      <c r="BD85" s="76"/>
      <c r="BE85" s="76"/>
      <c r="BF85" s="76"/>
      <c r="BG85" s="76"/>
      <c r="BH85" s="76"/>
      <c r="BI85" s="73"/>
      <c r="BJ85" s="76"/>
      <c r="BK85" s="78"/>
      <c r="BM85" s="19">
        <f t="shared" si="1"/>
        <v>28</v>
      </c>
    </row>
    <row r="86" spans="1:65" ht="15" customHeight="1" x14ac:dyDescent="0.25">
      <c r="A86" s="75"/>
      <c r="B86" s="77"/>
      <c r="C86" s="76"/>
      <c r="D86" s="76"/>
      <c r="E86" s="76"/>
      <c r="F86" s="76"/>
      <c r="G86" s="76"/>
      <c r="H86" s="76"/>
      <c r="I86" s="76"/>
      <c r="J86" s="76"/>
      <c r="K86" s="73"/>
      <c r="L86" s="77"/>
      <c r="M86" s="76"/>
      <c r="N86" s="76"/>
      <c r="O86" s="76"/>
      <c r="P86" s="76"/>
      <c r="Q86" s="76"/>
      <c r="R86" s="76"/>
      <c r="S86" s="76"/>
      <c r="T86" s="73"/>
      <c r="U86" s="77"/>
      <c r="V86" s="76"/>
      <c r="W86" s="76"/>
      <c r="X86" s="76"/>
      <c r="Y86" s="76"/>
      <c r="Z86" s="76"/>
      <c r="AA86" s="76"/>
      <c r="AB86" s="76"/>
      <c r="AC86" s="73"/>
      <c r="AD86" s="77"/>
      <c r="AE86" s="76"/>
      <c r="AF86" s="76"/>
      <c r="AG86" s="76"/>
      <c r="AH86" s="76"/>
      <c r="AI86" s="76"/>
      <c r="AJ86" s="76"/>
      <c r="AK86" s="76"/>
      <c r="AL86" s="73"/>
      <c r="AM86" s="77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  <c r="BC86" s="76"/>
      <c r="BD86" s="76"/>
      <c r="BE86" s="76"/>
      <c r="BF86" s="76"/>
      <c r="BG86" s="76"/>
      <c r="BH86" s="76"/>
      <c r="BI86" s="73"/>
      <c r="BJ86" s="76"/>
      <c r="BK86" s="78"/>
      <c r="BM86" s="19">
        <f t="shared" si="1"/>
        <v>29</v>
      </c>
    </row>
    <row r="87" spans="1:65" ht="15" customHeight="1" x14ac:dyDescent="0.25">
      <c r="A87" s="75"/>
      <c r="B87" s="77"/>
      <c r="C87" s="76"/>
      <c r="D87" s="76"/>
      <c r="E87" s="76"/>
      <c r="F87" s="76"/>
      <c r="G87" s="76"/>
      <c r="H87" s="76"/>
      <c r="I87" s="76"/>
      <c r="J87" s="76"/>
      <c r="K87" s="73"/>
      <c r="L87" s="77"/>
      <c r="M87" s="76"/>
      <c r="N87" s="76"/>
      <c r="O87" s="76"/>
      <c r="P87" s="76"/>
      <c r="Q87" s="76"/>
      <c r="R87" s="76"/>
      <c r="S87" s="76"/>
      <c r="T87" s="73"/>
      <c r="U87" s="77"/>
      <c r="V87" s="76"/>
      <c r="W87" s="76"/>
      <c r="X87" s="76"/>
      <c r="Y87" s="76"/>
      <c r="Z87" s="76"/>
      <c r="AA87" s="76"/>
      <c r="AB87" s="76"/>
      <c r="AC87" s="73"/>
      <c r="AD87" s="77"/>
      <c r="AE87" s="76"/>
      <c r="AF87" s="76"/>
      <c r="AG87" s="76"/>
      <c r="AH87" s="76"/>
      <c r="AI87" s="76"/>
      <c r="AJ87" s="76"/>
      <c r="AK87" s="76"/>
      <c r="AL87" s="73"/>
      <c r="AM87" s="77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  <c r="BC87" s="76"/>
      <c r="BD87" s="76"/>
      <c r="BE87" s="76"/>
      <c r="BF87" s="76"/>
      <c r="BG87" s="76"/>
      <c r="BH87" s="76"/>
      <c r="BI87" s="73"/>
      <c r="BJ87" s="76"/>
      <c r="BK87" s="78"/>
      <c r="BM87" s="19">
        <f t="shared" si="1"/>
        <v>30</v>
      </c>
    </row>
    <row r="88" spans="1:65" ht="15" customHeight="1" x14ac:dyDescent="0.25">
      <c r="A88" s="75"/>
      <c r="B88" s="77"/>
      <c r="C88" s="76"/>
      <c r="D88" s="76"/>
      <c r="E88" s="76"/>
      <c r="F88" s="76"/>
      <c r="G88" s="76"/>
      <c r="H88" s="76"/>
      <c r="I88" s="76"/>
      <c r="J88" s="76"/>
      <c r="K88" s="73"/>
      <c r="L88" s="77"/>
      <c r="M88" s="76"/>
      <c r="N88" s="76"/>
      <c r="O88" s="76"/>
      <c r="P88" s="76"/>
      <c r="Q88" s="76"/>
      <c r="R88" s="76"/>
      <c r="S88" s="76"/>
      <c r="T88" s="73"/>
      <c r="U88" s="77"/>
      <c r="V88" s="76"/>
      <c r="W88" s="76"/>
      <c r="X88" s="76"/>
      <c r="Y88" s="76"/>
      <c r="Z88" s="76"/>
      <c r="AA88" s="76"/>
      <c r="AB88" s="76"/>
      <c r="AC88" s="73"/>
      <c r="AD88" s="77"/>
      <c r="AE88" s="76"/>
      <c r="AF88" s="76"/>
      <c r="AG88" s="76"/>
      <c r="AH88" s="76"/>
      <c r="AI88" s="76"/>
      <c r="AJ88" s="76"/>
      <c r="AK88" s="76"/>
      <c r="AL88" s="73"/>
      <c r="AM88" s="77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  <c r="BC88" s="76"/>
      <c r="BD88" s="76"/>
      <c r="BE88" s="76"/>
      <c r="BF88" s="76"/>
      <c r="BG88" s="76"/>
      <c r="BH88" s="76"/>
      <c r="BI88" s="73"/>
      <c r="BJ88" s="76"/>
      <c r="BK88" s="78"/>
      <c r="BM88" s="19">
        <f t="shared" si="1"/>
        <v>31</v>
      </c>
    </row>
    <row r="89" spans="1:65" ht="15" customHeight="1" x14ac:dyDescent="0.25">
      <c r="A89" s="75"/>
      <c r="B89" s="77"/>
      <c r="C89" s="76"/>
      <c r="D89" s="76"/>
      <c r="E89" s="76"/>
      <c r="F89" s="76"/>
      <c r="G89" s="76"/>
      <c r="H89" s="76"/>
      <c r="I89" s="76"/>
      <c r="J89" s="76"/>
      <c r="K89" s="73"/>
      <c r="L89" s="77"/>
      <c r="M89" s="76"/>
      <c r="N89" s="76"/>
      <c r="O89" s="76"/>
      <c r="P89" s="76"/>
      <c r="Q89" s="76"/>
      <c r="R89" s="76"/>
      <c r="S89" s="76"/>
      <c r="T89" s="73"/>
      <c r="U89" s="77"/>
      <c r="V89" s="76"/>
      <c r="W89" s="76"/>
      <c r="X89" s="76"/>
      <c r="Y89" s="76"/>
      <c r="Z89" s="76"/>
      <c r="AA89" s="76"/>
      <c r="AB89" s="76"/>
      <c r="AC89" s="73"/>
      <c r="AD89" s="77"/>
      <c r="AE89" s="76"/>
      <c r="AF89" s="76"/>
      <c r="AG89" s="76"/>
      <c r="AH89" s="76"/>
      <c r="AI89" s="76"/>
      <c r="AJ89" s="76"/>
      <c r="AK89" s="76"/>
      <c r="AL89" s="73"/>
      <c r="AM89" s="77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  <c r="BC89" s="76"/>
      <c r="BD89" s="76"/>
      <c r="BE89" s="76"/>
      <c r="BF89" s="76"/>
      <c r="BG89" s="76"/>
      <c r="BH89" s="76"/>
      <c r="BI89" s="73"/>
      <c r="BJ89" s="76"/>
      <c r="BK89" s="78"/>
      <c r="BM89" s="19">
        <f t="shared" si="1"/>
        <v>32</v>
      </c>
    </row>
    <row r="90" spans="1:65" ht="15" customHeight="1" x14ac:dyDescent="0.25">
      <c r="A90" s="75"/>
      <c r="B90" s="77"/>
      <c r="C90" s="76"/>
      <c r="D90" s="76"/>
      <c r="E90" s="76"/>
      <c r="F90" s="76"/>
      <c r="G90" s="76"/>
      <c r="H90" s="76"/>
      <c r="I90" s="76"/>
      <c r="J90" s="76"/>
      <c r="K90" s="73"/>
      <c r="L90" s="77"/>
      <c r="M90" s="76"/>
      <c r="N90" s="76"/>
      <c r="O90" s="76"/>
      <c r="P90" s="76"/>
      <c r="Q90" s="76"/>
      <c r="R90" s="76"/>
      <c r="S90" s="76"/>
      <c r="T90" s="73"/>
      <c r="U90" s="77"/>
      <c r="V90" s="76"/>
      <c r="W90" s="76"/>
      <c r="X90" s="76"/>
      <c r="Y90" s="76"/>
      <c r="Z90" s="76"/>
      <c r="AA90" s="76"/>
      <c r="AB90" s="76"/>
      <c r="AC90" s="73"/>
      <c r="AD90" s="77"/>
      <c r="AE90" s="76"/>
      <c r="AF90" s="76"/>
      <c r="AG90" s="76"/>
      <c r="AH90" s="76"/>
      <c r="AI90" s="76"/>
      <c r="AJ90" s="76"/>
      <c r="AK90" s="76"/>
      <c r="AL90" s="73"/>
      <c r="AM90" s="77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  <c r="BC90" s="76"/>
      <c r="BD90" s="76"/>
      <c r="BE90" s="76"/>
      <c r="BF90" s="76"/>
      <c r="BG90" s="76"/>
      <c r="BH90" s="76"/>
      <c r="BI90" s="73"/>
      <c r="BJ90" s="76"/>
      <c r="BK90" s="78"/>
      <c r="BM90" s="19">
        <f t="shared" si="1"/>
        <v>33</v>
      </c>
    </row>
    <row r="91" spans="1:65" ht="15" customHeight="1" x14ac:dyDescent="0.25">
      <c r="A91" s="75"/>
      <c r="B91" s="77"/>
      <c r="C91" s="76"/>
      <c r="D91" s="76"/>
      <c r="E91" s="76"/>
      <c r="F91" s="76"/>
      <c r="G91" s="76"/>
      <c r="H91" s="76"/>
      <c r="I91" s="76"/>
      <c r="J91" s="76"/>
      <c r="K91" s="73"/>
      <c r="L91" s="77"/>
      <c r="M91" s="76"/>
      <c r="N91" s="76"/>
      <c r="O91" s="76"/>
      <c r="P91" s="76"/>
      <c r="Q91" s="76"/>
      <c r="R91" s="76"/>
      <c r="S91" s="76"/>
      <c r="T91" s="73"/>
      <c r="U91" s="77"/>
      <c r="V91" s="76"/>
      <c r="W91" s="76"/>
      <c r="X91" s="76"/>
      <c r="Y91" s="76"/>
      <c r="Z91" s="76"/>
      <c r="AA91" s="76"/>
      <c r="AB91" s="76"/>
      <c r="AC91" s="73"/>
      <c r="AD91" s="77"/>
      <c r="AE91" s="76"/>
      <c r="AF91" s="76"/>
      <c r="AG91" s="76"/>
      <c r="AH91" s="76"/>
      <c r="AI91" s="76"/>
      <c r="AJ91" s="76"/>
      <c r="AK91" s="76"/>
      <c r="AL91" s="73"/>
      <c r="AM91" s="77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  <c r="BC91" s="76"/>
      <c r="BD91" s="76"/>
      <c r="BE91" s="76"/>
      <c r="BF91" s="76"/>
      <c r="BG91" s="76"/>
      <c r="BH91" s="76"/>
      <c r="BI91" s="73"/>
      <c r="BJ91" s="76"/>
      <c r="BK91" s="78"/>
      <c r="BM91" s="19">
        <f t="shared" si="1"/>
        <v>34</v>
      </c>
    </row>
    <row r="92" spans="1:65" ht="15" customHeight="1" x14ac:dyDescent="0.25">
      <c r="A92" s="75"/>
      <c r="B92" s="77"/>
      <c r="C92" s="76"/>
      <c r="D92" s="76"/>
      <c r="E92" s="76"/>
      <c r="F92" s="76"/>
      <c r="G92" s="76"/>
      <c r="H92" s="76"/>
      <c r="I92" s="76"/>
      <c r="J92" s="76"/>
      <c r="K92" s="73"/>
      <c r="L92" s="77"/>
      <c r="M92" s="76"/>
      <c r="N92" s="76"/>
      <c r="O92" s="76"/>
      <c r="P92" s="76"/>
      <c r="Q92" s="76"/>
      <c r="R92" s="76"/>
      <c r="S92" s="76"/>
      <c r="T92" s="73"/>
      <c r="U92" s="77"/>
      <c r="V92" s="76"/>
      <c r="W92" s="76"/>
      <c r="X92" s="76"/>
      <c r="Y92" s="76"/>
      <c r="Z92" s="76"/>
      <c r="AA92" s="76"/>
      <c r="AB92" s="76"/>
      <c r="AC92" s="73"/>
      <c r="AD92" s="77"/>
      <c r="AE92" s="76"/>
      <c r="AF92" s="76"/>
      <c r="AG92" s="76"/>
      <c r="AH92" s="76"/>
      <c r="AI92" s="76"/>
      <c r="AJ92" s="76"/>
      <c r="AK92" s="76"/>
      <c r="AL92" s="73"/>
      <c r="AM92" s="77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  <c r="BC92" s="76"/>
      <c r="BD92" s="76"/>
      <c r="BE92" s="76"/>
      <c r="BF92" s="76"/>
      <c r="BG92" s="76"/>
      <c r="BH92" s="76"/>
      <c r="BI92" s="73"/>
      <c r="BJ92" s="76"/>
      <c r="BK92" s="78"/>
      <c r="BM92" s="19">
        <f t="shared" si="1"/>
        <v>35</v>
      </c>
    </row>
    <row r="93" spans="1:65" ht="15" customHeight="1" x14ac:dyDescent="0.25">
      <c r="A93" s="75"/>
      <c r="B93" s="77"/>
      <c r="C93" s="76"/>
      <c r="D93" s="76"/>
      <c r="E93" s="76"/>
      <c r="F93" s="76"/>
      <c r="G93" s="76"/>
      <c r="H93" s="76"/>
      <c r="I93" s="76"/>
      <c r="J93" s="76"/>
      <c r="K93" s="73"/>
      <c r="L93" s="77"/>
      <c r="M93" s="76"/>
      <c r="N93" s="76"/>
      <c r="O93" s="76"/>
      <c r="P93" s="76"/>
      <c r="Q93" s="76"/>
      <c r="R93" s="76"/>
      <c r="S93" s="76"/>
      <c r="T93" s="73"/>
      <c r="U93" s="77"/>
      <c r="V93" s="76"/>
      <c r="W93" s="76"/>
      <c r="X93" s="76"/>
      <c r="Y93" s="76"/>
      <c r="Z93" s="76"/>
      <c r="AA93" s="76"/>
      <c r="AB93" s="76"/>
      <c r="AC93" s="73"/>
      <c r="AD93" s="77"/>
      <c r="AE93" s="76"/>
      <c r="AF93" s="76"/>
      <c r="AG93" s="76"/>
      <c r="AH93" s="76"/>
      <c r="AI93" s="76"/>
      <c r="AJ93" s="76"/>
      <c r="AK93" s="76"/>
      <c r="AL93" s="73"/>
      <c r="AM93" s="77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  <c r="BC93" s="76"/>
      <c r="BD93" s="76"/>
      <c r="BE93" s="76"/>
      <c r="BF93" s="76"/>
      <c r="BG93" s="76"/>
      <c r="BH93" s="76"/>
      <c r="BI93" s="73"/>
      <c r="BJ93" s="76"/>
      <c r="BK93" s="78"/>
      <c r="BM93" s="19">
        <f t="shared" si="1"/>
        <v>36</v>
      </c>
    </row>
    <row r="94" spans="1:65" ht="15" customHeight="1" x14ac:dyDescent="0.25">
      <c r="A94" s="75"/>
      <c r="B94" s="77"/>
      <c r="C94" s="76"/>
      <c r="D94" s="76"/>
      <c r="E94" s="76"/>
      <c r="F94" s="76"/>
      <c r="G94" s="76"/>
      <c r="H94" s="76"/>
      <c r="I94" s="76"/>
      <c r="J94" s="76"/>
      <c r="K94" s="73"/>
      <c r="L94" s="77"/>
      <c r="M94" s="76"/>
      <c r="N94" s="76"/>
      <c r="O94" s="76"/>
      <c r="P94" s="76"/>
      <c r="Q94" s="76"/>
      <c r="R94" s="76"/>
      <c r="S94" s="76"/>
      <c r="T94" s="73"/>
      <c r="U94" s="77"/>
      <c r="V94" s="76"/>
      <c r="W94" s="76"/>
      <c r="X94" s="76"/>
      <c r="Y94" s="76"/>
      <c r="Z94" s="76"/>
      <c r="AA94" s="76"/>
      <c r="AB94" s="76"/>
      <c r="AC94" s="73"/>
      <c r="AD94" s="77"/>
      <c r="AE94" s="76"/>
      <c r="AF94" s="76"/>
      <c r="AG94" s="76"/>
      <c r="AH94" s="76"/>
      <c r="AI94" s="76"/>
      <c r="AJ94" s="76"/>
      <c r="AK94" s="76"/>
      <c r="AL94" s="73"/>
      <c r="AM94" s="77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  <c r="BC94" s="76"/>
      <c r="BD94" s="76"/>
      <c r="BE94" s="76"/>
      <c r="BF94" s="76"/>
      <c r="BG94" s="76"/>
      <c r="BH94" s="76"/>
      <c r="BI94" s="73"/>
      <c r="BJ94" s="76"/>
      <c r="BK94" s="78"/>
      <c r="BM94" s="19">
        <f t="shared" si="1"/>
        <v>37</v>
      </c>
    </row>
    <row r="95" spans="1:65" ht="15" customHeight="1" x14ac:dyDescent="0.25">
      <c r="A95" s="75"/>
      <c r="B95" s="77"/>
      <c r="C95" s="76"/>
      <c r="D95" s="76"/>
      <c r="E95" s="76"/>
      <c r="F95" s="76"/>
      <c r="G95" s="76"/>
      <c r="H95" s="76"/>
      <c r="I95" s="76"/>
      <c r="J95" s="76"/>
      <c r="K95" s="73"/>
      <c r="L95" s="77"/>
      <c r="M95" s="76"/>
      <c r="N95" s="76"/>
      <c r="O95" s="76"/>
      <c r="P95" s="76"/>
      <c r="Q95" s="76"/>
      <c r="R95" s="76"/>
      <c r="S95" s="76"/>
      <c r="T95" s="73"/>
      <c r="U95" s="77"/>
      <c r="V95" s="76"/>
      <c r="W95" s="76"/>
      <c r="X95" s="76"/>
      <c r="Y95" s="76"/>
      <c r="Z95" s="76"/>
      <c r="AA95" s="76"/>
      <c r="AB95" s="76"/>
      <c r="AC95" s="73"/>
      <c r="AD95" s="77"/>
      <c r="AE95" s="76"/>
      <c r="AF95" s="76"/>
      <c r="AG95" s="76"/>
      <c r="AH95" s="76"/>
      <c r="AI95" s="76"/>
      <c r="AJ95" s="76"/>
      <c r="AK95" s="76"/>
      <c r="AL95" s="73"/>
      <c r="AM95" s="77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  <c r="BC95" s="76"/>
      <c r="BD95" s="76"/>
      <c r="BE95" s="76"/>
      <c r="BF95" s="76"/>
      <c r="BG95" s="76"/>
      <c r="BH95" s="76"/>
      <c r="BI95" s="73"/>
      <c r="BJ95" s="76"/>
      <c r="BK95" s="78"/>
      <c r="BM95" s="19">
        <f t="shared" si="1"/>
        <v>38</v>
      </c>
    </row>
    <row r="96" spans="1:65" ht="15" customHeight="1" x14ac:dyDescent="0.25">
      <c r="A96" s="75"/>
      <c r="B96" s="77"/>
      <c r="C96" s="76"/>
      <c r="D96" s="76"/>
      <c r="E96" s="76"/>
      <c r="F96" s="76"/>
      <c r="G96" s="76"/>
      <c r="H96" s="76"/>
      <c r="I96" s="76"/>
      <c r="J96" s="76"/>
      <c r="K96" s="73"/>
      <c r="L96" s="77"/>
      <c r="M96" s="76"/>
      <c r="N96" s="76"/>
      <c r="O96" s="76"/>
      <c r="P96" s="76"/>
      <c r="Q96" s="76"/>
      <c r="R96" s="76"/>
      <c r="S96" s="76"/>
      <c r="T96" s="73"/>
      <c r="U96" s="77"/>
      <c r="V96" s="76"/>
      <c r="W96" s="76"/>
      <c r="X96" s="76"/>
      <c r="Y96" s="76"/>
      <c r="Z96" s="76"/>
      <c r="AA96" s="76"/>
      <c r="AB96" s="76"/>
      <c r="AC96" s="73"/>
      <c r="AD96" s="77"/>
      <c r="AE96" s="76"/>
      <c r="AF96" s="76"/>
      <c r="AG96" s="76"/>
      <c r="AH96" s="76"/>
      <c r="AI96" s="76"/>
      <c r="AJ96" s="76"/>
      <c r="AK96" s="76"/>
      <c r="AL96" s="73"/>
      <c r="AM96" s="77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  <c r="BC96" s="76"/>
      <c r="BD96" s="76"/>
      <c r="BE96" s="76"/>
      <c r="BF96" s="76"/>
      <c r="BG96" s="76"/>
      <c r="BH96" s="76"/>
      <c r="BI96" s="73"/>
      <c r="BJ96" s="76"/>
      <c r="BK96" s="78"/>
      <c r="BM96" s="19">
        <f t="shared" si="1"/>
        <v>39</v>
      </c>
    </row>
    <row r="97" spans="1:65" ht="15" customHeight="1" x14ac:dyDescent="0.25">
      <c r="A97" s="75"/>
      <c r="B97" s="77"/>
      <c r="C97" s="76"/>
      <c r="D97" s="76"/>
      <c r="E97" s="76"/>
      <c r="F97" s="76"/>
      <c r="G97" s="76"/>
      <c r="H97" s="76"/>
      <c r="I97" s="76"/>
      <c r="J97" s="76"/>
      <c r="K97" s="73"/>
      <c r="L97" s="77"/>
      <c r="M97" s="76"/>
      <c r="N97" s="76"/>
      <c r="O97" s="76"/>
      <c r="P97" s="76"/>
      <c r="Q97" s="76"/>
      <c r="R97" s="76"/>
      <c r="S97" s="76"/>
      <c r="T97" s="73"/>
      <c r="U97" s="77"/>
      <c r="V97" s="76"/>
      <c r="W97" s="76"/>
      <c r="X97" s="76"/>
      <c r="Y97" s="76"/>
      <c r="Z97" s="76"/>
      <c r="AA97" s="76"/>
      <c r="AB97" s="76"/>
      <c r="AC97" s="73"/>
      <c r="AD97" s="77"/>
      <c r="AE97" s="76"/>
      <c r="AF97" s="76"/>
      <c r="AG97" s="76"/>
      <c r="AH97" s="76"/>
      <c r="AI97" s="76"/>
      <c r="AJ97" s="76"/>
      <c r="AK97" s="76"/>
      <c r="AL97" s="73"/>
      <c r="AM97" s="77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/>
      <c r="BE97" s="76"/>
      <c r="BF97" s="76"/>
      <c r="BG97" s="76"/>
      <c r="BH97" s="76"/>
      <c r="BI97" s="73"/>
      <c r="BJ97" s="76"/>
      <c r="BK97" s="78"/>
      <c r="BM97" s="19">
        <f t="shared" si="1"/>
        <v>40</v>
      </c>
    </row>
    <row r="98" spans="1:65" ht="15" customHeight="1" x14ac:dyDescent="0.25">
      <c r="A98" s="75"/>
      <c r="B98" s="77"/>
      <c r="C98" s="76"/>
      <c r="D98" s="76"/>
      <c r="E98" s="76"/>
      <c r="F98" s="76"/>
      <c r="G98" s="76"/>
      <c r="H98" s="76"/>
      <c r="I98" s="76"/>
      <c r="J98" s="76"/>
      <c r="K98" s="73"/>
      <c r="L98" s="77"/>
      <c r="M98" s="76"/>
      <c r="N98" s="76"/>
      <c r="O98" s="76"/>
      <c r="P98" s="76"/>
      <c r="Q98" s="76"/>
      <c r="R98" s="76"/>
      <c r="S98" s="76"/>
      <c r="T98" s="73"/>
      <c r="U98" s="77"/>
      <c r="V98" s="76"/>
      <c r="W98" s="76"/>
      <c r="X98" s="76"/>
      <c r="Y98" s="76"/>
      <c r="Z98" s="76"/>
      <c r="AA98" s="76"/>
      <c r="AB98" s="76"/>
      <c r="AC98" s="73"/>
      <c r="AD98" s="77"/>
      <c r="AE98" s="76"/>
      <c r="AF98" s="76"/>
      <c r="AG98" s="76"/>
      <c r="AH98" s="76"/>
      <c r="AI98" s="76"/>
      <c r="AJ98" s="76"/>
      <c r="AK98" s="76"/>
      <c r="AL98" s="73"/>
      <c r="AM98" s="77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6"/>
      <c r="BE98" s="76"/>
      <c r="BF98" s="76"/>
      <c r="BG98" s="76"/>
      <c r="BH98" s="76"/>
      <c r="BI98" s="73"/>
      <c r="BJ98" s="76"/>
      <c r="BK98" s="78"/>
      <c r="BM98" s="19">
        <f t="shared" si="1"/>
        <v>41</v>
      </c>
    </row>
    <row r="99" spans="1:65" ht="15" customHeight="1" x14ac:dyDescent="0.25">
      <c r="A99" s="75"/>
      <c r="B99" s="77"/>
      <c r="C99" s="76"/>
      <c r="D99" s="76"/>
      <c r="E99" s="76"/>
      <c r="F99" s="76"/>
      <c r="G99" s="76"/>
      <c r="H99" s="76"/>
      <c r="I99" s="76"/>
      <c r="J99" s="76"/>
      <c r="K99" s="73"/>
      <c r="L99" s="77"/>
      <c r="M99" s="76"/>
      <c r="N99" s="76"/>
      <c r="O99" s="76"/>
      <c r="P99" s="76"/>
      <c r="Q99" s="76"/>
      <c r="R99" s="76"/>
      <c r="S99" s="76"/>
      <c r="T99" s="73"/>
      <c r="U99" s="77"/>
      <c r="V99" s="76"/>
      <c r="W99" s="76"/>
      <c r="X99" s="76"/>
      <c r="Y99" s="76"/>
      <c r="Z99" s="76"/>
      <c r="AA99" s="76"/>
      <c r="AB99" s="76"/>
      <c r="AC99" s="73"/>
      <c r="AD99" s="77"/>
      <c r="AE99" s="76"/>
      <c r="AF99" s="76"/>
      <c r="AG99" s="76"/>
      <c r="AH99" s="76"/>
      <c r="AI99" s="76"/>
      <c r="AJ99" s="76"/>
      <c r="AK99" s="76"/>
      <c r="AL99" s="73"/>
      <c r="AM99" s="77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  <c r="BC99" s="76"/>
      <c r="BD99" s="76"/>
      <c r="BE99" s="76"/>
      <c r="BF99" s="76"/>
      <c r="BG99" s="76"/>
      <c r="BH99" s="76"/>
      <c r="BI99" s="73"/>
      <c r="BJ99" s="76"/>
      <c r="BK99" s="78"/>
      <c r="BM99" s="19">
        <f t="shared" si="1"/>
        <v>42</v>
      </c>
    </row>
    <row r="100" spans="1:65" ht="15" customHeight="1" x14ac:dyDescent="0.25">
      <c r="A100" s="75"/>
      <c r="B100" s="77"/>
      <c r="C100" s="76"/>
      <c r="D100" s="76"/>
      <c r="E100" s="76"/>
      <c r="F100" s="76"/>
      <c r="G100" s="76"/>
      <c r="H100" s="76"/>
      <c r="I100" s="76"/>
      <c r="J100" s="76"/>
      <c r="K100" s="73"/>
      <c r="L100" s="77"/>
      <c r="M100" s="76"/>
      <c r="N100" s="76"/>
      <c r="O100" s="76"/>
      <c r="P100" s="76"/>
      <c r="Q100" s="76"/>
      <c r="R100" s="76"/>
      <c r="S100" s="76"/>
      <c r="T100" s="73"/>
      <c r="U100" s="77"/>
      <c r="V100" s="76"/>
      <c r="W100" s="76"/>
      <c r="X100" s="76"/>
      <c r="Y100" s="76"/>
      <c r="Z100" s="76"/>
      <c r="AA100" s="76"/>
      <c r="AB100" s="76"/>
      <c r="AC100" s="73"/>
      <c r="AD100" s="77"/>
      <c r="AE100" s="76"/>
      <c r="AF100" s="76"/>
      <c r="AG100" s="76"/>
      <c r="AH100" s="76"/>
      <c r="AI100" s="76"/>
      <c r="AJ100" s="76"/>
      <c r="AK100" s="76"/>
      <c r="AL100" s="73"/>
      <c r="AM100" s="77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  <c r="BC100" s="76"/>
      <c r="BD100" s="76"/>
      <c r="BE100" s="76"/>
      <c r="BF100" s="76"/>
      <c r="BG100" s="76"/>
      <c r="BH100" s="76"/>
      <c r="BI100" s="73"/>
      <c r="BJ100" s="76"/>
      <c r="BK100" s="78"/>
      <c r="BM100" s="19">
        <f t="shared" si="1"/>
        <v>43</v>
      </c>
    </row>
    <row r="101" spans="1:65" ht="15" customHeight="1" x14ac:dyDescent="0.25">
      <c r="A101" s="75"/>
      <c r="B101" s="77"/>
      <c r="C101" s="76"/>
      <c r="D101" s="76"/>
      <c r="E101" s="76"/>
      <c r="F101" s="76"/>
      <c r="G101" s="76"/>
      <c r="H101" s="76"/>
      <c r="I101" s="76"/>
      <c r="J101" s="76"/>
      <c r="K101" s="73"/>
      <c r="L101" s="77"/>
      <c r="M101" s="76"/>
      <c r="N101" s="76"/>
      <c r="O101" s="76"/>
      <c r="P101" s="76"/>
      <c r="Q101" s="76"/>
      <c r="R101" s="76"/>
      <c r="S101" s="76"/>
      <c r="T101" s="73"/>
      <c r="U101" s="77"/>
      <c r="V101" s="76"/>
      <c r="W101" s="76"/>
      <c r="X101" s="76"/>
      <c r="Y101" s="76"/>
      <c r="Z101" s="76"/>
      <c r="AA101" s="76"/>
      <c r="AB101" s="76"/>
      <c r="AC101" s="73"/>
      <c r="AD101" s="77"/>
      <c r="AE101" s="76"/>
      <c r="AF101" s="76"/>
      <c r="AG101" s="76"/>
      <c r="AH101" s="76"/>
      <c r="AI101" s="76"/>
      <c r="AJ101" s="76"/>
      <c r="AK101" s="76"/>
      <c r="AL101" s="73"/>
      <c r="AM101" s="77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  <c r="BC101" s="76"/>
      <c r="BD101" s="76"/>
      <c r="BE101" s="76"/>
      <c r="BF101" s="76"/>
      <c r="BG101" s="76"/>
      <c r="BH101" s="76"/>
      <c r="BI101" s="73"/>
      <c r="BJ101" s="76"/>
      <c r="BK101" s="78"/>
      <c r="BM101" s="19">
        <f t="shared" si="1"/>
        <v>44</v>
      </c>
    </row>
    <row r="102" spans="1:65" ht="15" customHeight="1" x14ac:dyDescent="0.25">
      <c r="A102" s="75"/>
      <c r="B102" s="77"/>
      <c r="C102" s="76"/>
      <c r="D102" s="76"/>
      <c r="E102" s="76"/>
      <c r="F102" s="76"/>
      <c r="G102" s="76"/>
      <c r="H102" s="76"/>
      <c r="I102" s="76"/>
      <c r="J102" s="76"/>
      <c r="K102" s="73"/>
      <c r="L102" s="77"/>
      <c r="M102" s="76"/>
      <c r="N102" s="76"/>
      <c r="O102" s="76"/>
      <c r="P102" s="76"/>
      <c r="Q102" s="76"/>
      <c r="R102" s="76"/>
      <c r="S102" s="76"/>
      <c r="T102" s="73"/>
      <c r="U102" s="77"/>
      <c r="V102" s="76"/>
      <c r="W102" s="76"/>
      <c r="X102" s="76"/>
      <c r="Y102" s="76"/>
      <c r="Z102" s="76"/>
      <c r="AA102" s="76"/>
      <c r="AB102" s="76"/>
      <c r="AC102" s="73"/>
      <c r="AD102" s="77"/>
      <c r="AE102" s="76"/>
      <c r="AF102" s="76"/>
      <c r="AG102" s="76"/>
      <c r="AH102" s="76"/>
      <c r="AI102" s="76"/>
      <c r="AJ102" s="76"/>
      <c r="AK102" s="76"/>
      <c r="AL102" s="73"/>
      <c r="AM102" s="77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  <c r="BC102" s="76"/>
      <c r="BD102" s="76"/>
      <c r="BE102" s="76"/>
      <c r="BF102" s="76"/>
      <c r="BG102" s="76"/>
      <c r="BH102" s="76"/>
      <c r="BI102" s="73"/>
      <c r="BJ102" s="76"/>
      <c r="BK102" s="78"/>
      <c r="BM102" s="19">
        <f t="shared" si="1"/>
        <v>45</v>
      </c>
    </row>
    <row r="103" spans="1:65" ht="15" customHeight="1" x14ac:dyDescent="0.25">
      <c r="A103" s="75"/>
      <c r="B103" s="77"/>
      <c r="C103" s="76"/>
      <c r="D103" s="76"/>
      <c r="E103" s="76"/>
      <c r="F103" s="76"/>
      <c r="G103" s="76"/>
      <c r="H103" s="76"/>
      <c r="I103" s="76"/>
      <c r="J103" s="76"/>
      <c r="K103" s="73"/>
      <c r="L103" s="77"/>
      <c r="M103" s="76"/>
      <c r="N103" s="76"/>
      <c r="O103" s="76"/>
      <c r="P103" s="76"/>
      <c r="Q103" s="76"/>
      <c r="R103" s="76"/>
      <c r="S103" s="76"/>
      <c r="T103" s="73"/>
      <c r="U103" s="77"/>
      <c r="V103" s="76"/>
      <c r="W103" s="76"/>
      <c r="X103" s="76"/>
      <c r="Y103" s="76"/>
      <c r="Z103" s="76"/>
      <c r="AA103" s="76"/>
      <c r="AB103" s="76"/>
      <c r="AC103" s="73"/>
      <c r="AD103" s="77"/>
      <c r="AE103" s="76"/>
      <c r="AF103" s="76"/>
      <c r="AG103" s="76"/>
      <c r="AH103" s="76"/>
      <c r="AI103" s="76"/>
      <c r="AJ103" s="76"/>
      <c r="AK103" s="76"/>
      <c r="AL103" s="73"/>
      <c r="AM103" s="77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  <c r="BC103" s="76"/>
      <c r="BD103" s="76"/>
      <c r="BE103" s="76"/>
      <c r="BF103" s="76"/>
      <c r="BG103" s="76"/>
      <c r="BH103" s="76"/>
      <c r="BI103" s="73"/>
      <c r="BJ103" s="76"/>
      <c r="BK103" s="78"/>
      <c r="BM103" s="19">
        <f t="shared" si="1"/>
        <v>46</v>
      </c>
    </row>
    <row r="104" spans="1:65" ht="15" customHeight="1" x14ac:dyDescent="0.25">
      <c r="A104" s="75"/>
      <c r="B104" s="77"/>
      <c r="C104" s="76"/>
      <c r="D104" s="76"/>
      <c r="E104" s="76"/>
      <c r="F104" s="76"/>
      <c r="G104" s="76"/>
      <c r="H104" s="76"/>
      <c r="I104" s="76"/>
      <c r="J104" s="76"/>
      <c r="K104" s="73"/>
      <c r="L104" s="77"/>
      <c r="M104" s="76"/>
      <c r="N104" s="76"/>
      <c r="O104" s="76"/>
      <c r="P104" s="76"/>
      <c r="Q104" s="76"/>
      <c r="R104" s="76"/>
      <c r="S104" s="76"/>
      <c r="T104" s="73"/>
      <c r="U104" s="77"/>
      <c r="V104" s="76"/>
      <c r="W104" s="76"/>
      <c r="X104" s="76"/>
      <c r="Y104" s="76"/>
      <c r="Z104" s="76"/>
      <c r="AA104" s="76"/>
      <c r="AB104" s="76"/>
      <c r="AC104" s="73"/>
      <c r="AD104" s="77"/>
      <c r="AE104" s="76"/>
      <c r="AF104" s="76"/>
      <c r="AG104" s="76"/>
      <c r="AH104" s="76"/>
      <c r="AI104" s="76"/>
      <c r="AJ104" s="76"/>
      <c r="AK104" s="76"/>
      <c r="AL104" s="73"/>
      <c r="AM104" s="77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  <c r="BC104" s="76"/>
      <c r="BD104" s="76"/>
      <c r="BE104" s="76"/>
      <c r="BF104" s="76"/>
      <c r="BG104" s="76"/>
      <c r="BH104" s="76"/>
      <c r="BI104" s="73"/>
      <c r="BJ104" s="76"/>
      <c r="BK104" s="78"/>
      <c r="BM104" s="19">
        <f t="shared" si="1"/>
        <v>47</v>
      </c>
    </row>
    <row r="105" spans="1:65" ht="15" customHeight="1" x14ac:dyDescent="0.25">
      <c r="A105" s="75"/>
      <c r="B105" s="77"/>
      <c r="C105" s="76"/>
      <c r="D105" s="76"/>
      <c r="E105" s="76"/>
      <c r="F105" s="76"/>
      <c r="G105" s="76"/>
      <c r="H105" s="76"/>
      <c r="I105" s="76"/>
      <c r="J105" s="76"/>
      <c r="K105" s="73"/>
      <c r="L105" s="77"/>
      <c r="M105" s="76"/>
      <c r="N105" s="76"/>
      <c r="O105" s="76"/>
      <c r="P105" s="76"/>
      <c r="Q105" s="76"/>
      <c r="R105" s="76"/>
      <c r="S105" s="76"/>
      <c r="T105" s="73"/>
      <c r="U105" s="77"/>
      <c r="V105" s="76"/>
      <c r="W105" s="76"/>
      <c r="X105" s="76"/>
      <c r="Y105" s="76"/>
      <c r="Z105" s="76"/>
      <c r="AA105" s="76"/>
      <c r="AB105" s="76"/>
      <c r="AC105" s="73"/>
      <c r="AD105" s="77"/>
      <c r="AE105" s="76"/>
      <c r="AF105" s="76"/>
      <c r="AG105" s="76"/>
      <c r="AH105" s="76"/>
      <c r="AI105" s="76"/>
      <c r="AJ105" s="76"/>
      <c r="AK105" s="76"/>
      <c r="AL105" s="73"/>
      <c r="AM105" s="77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  <c r="BC105" s="76"/>
      <c r="BD105" s="76"/>
      <c r="BE105" s="76"/>
      <c r="BF105" s="76"/>
      <c r="BG105" s="76"/>
      <c r="BH105" s="76"/>
      <c r="BI105" s="73"/>
      <c r="BJ105" s="76"/>
      <c r="BK105" s="78"/>
      <c r="BM105" s="19">
        <f t="shared" si="1"/>
        <v>48</v>
      </c>
    </row>
    <row r="106" spans="1:65" ht="15" customHeight="1" x14ac:dyDescent="0.25">
      <c r="A106" s="75"/>
      <c r="B106" s="77"/>
      <c r="C106" s="76"/>
      <c r="D106" s="76"/>
      <c r="E106" s="76"/>
      <c r="F106" s="76"/>
      <c r="G106" s="76"/>
      <c r="H106" s="76"/>
      <c r="I106" s="76"/>
      <c r="J106" s="76"/>
      <c r="K106" s="73"/>
      <c r="L106" s="77"/>
      <c r="M106" s="76"/>
      <c r="N106" s="76"/>
      <c r="O106" s="76"/>
      <c r="P106" s="76"/>
      <c r="Q106" s="76"/>
      <c r="R106" s="76"/>
      <c r="S106" s="76"/>
      <c r="T106" s="73"/>
      <c r="U106" s="77"/>
      <c r="V106" s="76"/>
      <c r="W106" s="76"/>
      <c r="X106" s="76"/>
      <c r="Y106" s="76"/>
      <c r="Z106" s="76"/>
      <c r="AA106" s="76"/>
      <c r="AB106" s="76"/>
      <c r="AC106" s="73"/>
      <c r="AD106" s="77"/>
      <c r="AE106" s="76"/>
      <c r="AF106" s="76"/>
      <c r="AG106" s="76"/>
      <c r="AH106" s="76"/>
      <c r="AI106" s="76"/>
      <c r="AJ106" s="76"/>
      <c r="AK106" s="76"/>
      <c r="AL106" s="73"/>
      <c r="AM106" s="77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  <c r="BC106" s="76"/>
      <c r="BD106" s="76"/>
      <c r="BE106" s="76"/>
      <c r="BF106" s="76"/>
      <c r="BG106" s="76"/>
      <c r="BH106" s="76"/>
      <c r="BI106" s="73"/>
      <c r="BJ106" s="76"/>
      <c r="BK106" s="78"/>
      <c r="BM106" s="19">
        <f t="shared" si="1"/>
        <v>49</v>
      </c>
    </row>
    <row r="107" spans="1:65" ht="15" customHeight="1" x14ac:dyDescent="0.25">
      <c r="A107" s="75"/>
      <c r="B107" s="77"/>
      <c r="C107" s="76"/>
      <c r="D107" s="76"/>
      <c r="E107" s="76"/>
      <c r="F107" s="76"/>
      <c r="G107" s="76"/>
      <c r="H107" s="76"/>
      <c r="I107" s="76"/>
      <c r="J107" s="76"/>
      <c r="K107" s="73"/>
      <c r="L107" s="77"/>
      <c r="M107" s="76"/>
      <c r="N107" s="76"/>
      <c r="O107" s="76"/>
      <c r="P107" s="76"/>
      <c r="Q107" s="76"/>
      <c r="R107" s="76"/>
      <c r="S107" s="76"/>
      <c r="T107" s="73"/>
      <c r="U107" s="77"/>
      <c r="V107" s="76"/>
      <c r="W107" s="76"/>
      <c r="X107" s="76"/>
      <c r="Y107" s="76"/>
      <c r="Z107" s="76"/>
      <c r="AA107" s="76"/>
      <c r="AB107" s="76"/>
      <c r="AC107" s="73"/>
      <c r="AD107" s="77"/>
      <c r="AE107" s="76"/>
      <c r="AF107" s="76"/>
      <c r="AG107" s="76"/>
      <c r="AH107" s="76"/>
      <c r="AI107" s="76"/>
      <c r="AJ107" s="76"/>
      <c r="AK107" s="76"/>
      <c r="AL107" s="73"/>
      <c r="AM107" s="77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  <c r="BC107" s="76"/>
      <c r="BD107" s="76"/>
      <c r="BE107" s="76"/>
      <c r="BF107" s="76"/>
      <c r="BG107" s="76"/>
      <c r="BH107" s="76"/>
      <c r="BI107" s="73"/>
      <c r="BJ107" s="76"/>
      <c r="BK107" s="78"/>
      <c r="BM107" s="19">
        <f t="shared" si="1"/>
        <v>50</v>
      </c>
    </row>
    <row r="108" spans="1:65" ht="15" customHeight="1" x14ac:dyDescent="0.25">
      <c r="A108" s="79"/>
      <c r="B108" s="80"/>
      <c r="C108" s="81"/>
      <c r="D108" s="81"/>
      <c r="E108" s="81"/>
      <c r="F108" s="81"/>
      <c r="G108" s="81"/>
      <c r="H108" s="81"/>
      <c r="I108" s="81"/>
      <c r="J108" s="81"/>
      <c r="K108" s="82"/>
      <c r="L108" s="80"/>
      <c r="M108" s="81"/>
      <c r="N108" s="81"/>
      <c r="O108" s="81"/>
      <c r="P108" s="81"/>
      <c r="Q108" s="81"/>
      <c r="R108" s="81"/>
      <c r="S108" s="81"/>
      <c r="T108" s="82"/>
      <c r="U108" s="80"/>
      <c r="V108" s="81"/>
      <c r="W108" s="81"/>
      <c r="X108" s="81"/>
      <c r="Y108" s="81"/>
      <c r="Z108" s="81"/>
      <c r="AA108" s="81"/>
      <c r="AB108" s="81"/>
      <c r="AC108" s="82"/>
      <c r="AD108" s="80"/>
      <c r="AE108" s="81"/>
      <c r="AF108" s="81"/>
      <c r="AG108" s="81"/>
      <c r="AH108" s="81"/>
      <c r="AI108" s="81"/>
      <c r="AJ108" s="81"/>
      <c r="AK108" s="81"/>
      <c r="AL108" s="82"/>
      <c r="AM108" s="80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2"/>
      <c r="BJ108" s="81"/>
      <c r="BK108" s="83"/>
      <c r="BM108" s="19">
        <f t="shared" si="1"/>
        <v>1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31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9" customWidth="1"/>
    <col min="64" max="16384" width="10.109375" style="19"/>
  </cols>
  <sheetData>
    <row r="1" spans="1:63" ht="24.95" customHeight="1" x14ac:dyDescent="0.25">
      <c r="A1" s="327" t="s">
        <v>27</v>
      </c>
      <c r="B1" s="328"/>
      <c r="C1" s="328"/>
      <c r="D1" s="328"/>
      <c r="E1" s="328"/>
      <c r="F1" s="328"/>
      <c r="G1" s="328"/>
      <c r="H1" s="328"/>
      <c r="I1" s="328"/>
      <c r="J1" s="329"/>
      <c r="K1" s="327" t="s">
        <v>28</v>
      </c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9"/>
      <c r="W1" s="358" t="str">
        <f>IF(表紙!W1="","",表紙!W1)</f>
        <v>基本設計書</v>
      </c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  <c r="AN1" s="359"/>
      <c r="AO1" s="360"/>
      <c r="AP1" s="210" t="s">
        <v>30</v>
      </c>
      <c r="AQ1" s="211"/>
      <c r="AR1" s="211"/>
      <c r="AS1" s="212"/>
      <c r="AT1" s="210" t="s">
        <v>31</v>
      </c>
      <c r="AU1" s="211"/>
      <c r="AV1" s="211"/>
      <c r="AW1" s="211"/>
      <c r="AX1" s="212"/>
      <c r="AY1" s="210" t="s">
        <v>32</v>
      </c>
      <c r="AZ1" s="211"/>
      <c r="BA1" s="211"/>
      <c r="BB1" s="212"/>
      <c r="BC1" s="210" t="s">
        <v>33</v>
      </c>
      <c r="BD1" s="211"/>
      <c r="BE1" s="211"/>
      <c r="BF1" s="211"/>
      <c r="BG1" s="212"/>
      <c r="BH1" s="210" t="s">
        <v>34</v>
      </c>
      <c r="BI1" s="211"/>
      <c r="BJ1" s="211"/>
      <c r="BK1" s="212"/>
    </row>
    <row r="2" spans="1:63" ht="15" customHeight="1" x14ac:dyDescent="0.25">
      <c r="A2" s="352" t="str">
        <f>IF(表紙!A2="","",表紙!A2)</f>
        <v>POSサーバー</v>
      </c>
      <c r="B2" s="353"/>
      <c r="C2" s="353"/>
      <c r="D2" s="353"/>
      <c r="E2" s="353"/>
      <c r="F2" s="353"/>
      <c r="G2" s="353"/>
      <c r="H2" s="353"/>
      <c r="I2" s="353"/>
      <c r="J2" s="354"/>
      <c r="K2" s="352" t="str">
        <f>IF(表紙!K2="","",表紙!K2)</f>
        <v>POSサーバ</v>
      </c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4"/>
      <c r="W2" s="361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3"/>
      <c r="AP2" s="186" t="str">
        <f>IF(表紙!AP2="","",表紙!AP2)</f>
        <v>TuyenNH</v>
      </c>
      <c r="AQ2" s="181"/>
      <c r="AR2" s="181"/>
      <c r="AS2" s="182"/>
      <c r="AT2" s="180">
        <f>IF(表紙!AT2="","",表紙!AT2)</f>
        <v>45408</v>
      </c>
      <c r="AU2" s="213"/>
      <c r="AV2" s="213"/>
      <c r="AW2" s="213"/>
      <c r="AX2" s="214"/>
      <c r="AY2" s="186" t="str">
        <f>IF(表紙!AY2="","",表紙!AY2)</f>
        <v>TinNH</v>
      </c>
      <c r="AZ2" s="181"/>
      <c r="BA2" s="181"/>
      <c r="BB2" s="182"/>
      <c r="BC2" s="180">
        <f>IF(表紙!BC2="","",表紙!BC2)</f>
        <v>45520</v>
      </c>
      <c r="BD2" s="213"/>
      <c r="BE2" s="213"/>
      <c r="BF2" s="213"/>
      <c r="BG2" s="214"/>
      <c r="BH2" s="186">
        <f>IF(表紙!BH2="","",表紙!BH2)</f>
        <v>0.4</v>
      </c>
      <c r="BI2" s="181"/>
      <c r="BJ2" s="181"/>
      <c r="BK2" s="182"/>
    </row>
    <row r="3" spans="1:63" ht="15" customHeight="1" x14ac:dyDescent="0.25">
      <c r="A3" s="355"/>
      <c r="B3" s="356"/>
      <c r="C3" s="356"/>
      <c r="D3" s="356"/>
      <c r="E3" s="356"/>
      <c r="F3" s="356"/>
      <c r="G3" s="356"/>
      <c r="H3" s="356"/>
      <c r="I3" s="356"/>
      <c r="J3" s="357"/>
      <c r="K3" s="355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7"/>
      <c r="W3" s="364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6"/>
      <c r="AP3" s="183"/>
      <c r="AQ3" s="184"/>
      <c r="AR3" s="184"/>
      <c r="AS3" s="185"/>
      <c r="AT3" s="215"/>
      <c r="AU3" s="216"/>
      <c r="AV3" s="216"/>
      <c r="AW3" s="216"/>
      <c r="AX3" s="217"/>
      <c r="AY3" s="183"/>
      <c r="AZ3" s="184"/>
      <c r="BA3" s="184"/>
      <c r="BB3" s="185"/>
      <c r="BC3" s="215"/>
      <c r="BD3" s="216"/>
      <c r="BE3" s="216"/>
      <c r="BF3" s="216"/>
      <c r="BG3" s="217"/>
      <c r="BH3" s="183"/>
      <c r="BI3" s="184"/>
      <c r="BJ3" s="184"/>
      <c r="BK3" s="185"/>
    </row>
    <row r="4" spans="1:63" ht="24.95" customHeight="1" x14ac:dyDescent="0.25">
      <c r="A4" s="327" t="s">
        <v>38</v>
      </c>
      <c r="B4" s="328"/>
      <c r="C4" s="328"/>
      <c r="D4" s="328"/>
      <c r="E4" s="328"/>
      <c r="F4" s="328"/>
      <c r="G4" s="329"/>
      <c r="H4" s="330" t="str">
        <f>IF(表紙!H4="","",表紙!H4)</f>
        <v>03_店舗特売入力</v>
      </c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2"/>
      <c r="U4" s="327" t="s">
        <v>40</v>
      </c>
      <c r="V4" s="328"/>
      <c r="W4" s="328"/>
      <c r="X4" s="328"/>
      <c r="Y4" s="329"/>
      <c r="Z4" s="330" t="str">
        <f>IF(表紙!Z4="","",表紙!Z4)</f>
        <v>概要設計</v>
      </c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2"/>
      <c r="AP4" s="333" t="str">
        <f ca="1">MID(CELL("filename",A1),FIND("]",CELL("filename",A1))+1,255)</f>
        <v>画面設計書</v>
      </c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2"/>
    </row>
    <row r="5" spans="1:63" ht="5.0999999999999996" customHeight="1" x14ac:dyDescent="0.25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2"/>
    </row>
    <row r="6" spans="1:63" ht="15" customHeight="1" x14ac:dyDescent="0.25">
      <c r="A6" s="23"/>
      <c r="BK6" s="24"/>
    </row>
    <row r="7" spans="1:63" ht="15" customHeight="1" x14ac:dyDescent="0.25">
      <c r="A7" s="23"/>
      <c r="B7" s="87" t="s">
        <v>74</v>
      </c>
      <c r="C7" s="87"/>
      <c r="D7" s="87"/>
      <c r="E7" s="87"/>
      <c r="F7" s="87"/>
      <c r="G7" s="87"/>
      <c r="H7" s="87"/>
      <c r="I7" s="87"/>
      <c r="J7" s="87"/>
      <c r="AE7" s="25"/>
      <c r="BK7" s="24"/>
    </row>
    <row r="8" spans="1:63" ht="15" customHeight="1" x14ac:dyDescent="0.25">
      <c r="A8" s="23"/>
      <c r="BK8" s="24"/>
    </row>
    <row r="9" spans="1:63" ht="15" customHeight="1" x14ac:dyDescent="0.25">
      <c r="A9" s="23"/>
      <c r="BK9" s="24"/>
    </row>
    <row r="10" spans="1:63" ht="15" customHeight="1" x14ac:dyDescent="0.25">
      <c r="A10" s="23"/>
      <c r="BK10" s="24"/>
    </row>
    <row r="11" spans="1:63" ht="15" customHeight="1" x14ac:dyDescent="0.25">
      <c r="A11" s="23"/>
      <c r="BK11" s="24"/>
    </row>
    <row r="12" spans="1:63" ht="15" customHeight="1" x14ac:dyDescent="0.25">
      <c r="A12" s="23"/>
      <c r="BK12" s="24"/>
    </row>
    <row r="13" spans="1:63" ht="15" customHeight="1" x14ac:dyDescent="0.25">
      <c r="A13" s="23"/>
      <c r="BK13" s="24"/>
    </row>
    <row r="14" spans="1:63" ht="15" customHeight="1" x14ac:dyDescent="0.25">
      <c r="A14" s="23"/>
      <c r="BK14" s="24"/>
    </row>
    <row r="15" spans="1:63" ht="15" customHeight="1" x14ac:dyDescent="0.25">
      <c r="A15" s="23"/>
      <c r="BK15" s="24"/>
    </row>
    <row r="16" spans="1:63" ht="15" customHeight="1" x14ac:dyDescent="0.25">
      <c r="A16" s="23"/>
      <c r="BK16" s="24"/>
    </row>
    <row r="17" spans="1:63" ht="15" customHeight="1" x14ac:dyDescent="0.25">
      <c r="A17" s="23"/>
      <c r="BK17" s="24"/>
    </row>
    <row r="18" spans="1:63" ht="15" customHeight="1" x14ac:dyDescent="0.25">
      <c r="A18" s="23"/>
      <c r="BK18" s="24"/>
    </row>
    <row r="19" spans="1:63" ht="15" customHeight="1" x14ac:dyDescent="0.25">
      <c r="A19" s="23"/>
      <c r="BK19" s="24"/>
    </row>
    <row r="20" spans="1:63" ht="15" customHeight="1" x14ac:dyDescent="0.25">
      <c r="A20" s="23"/>
      <c r="BK20" s="24"/>
    </row>
    <row r="21" spans="1:63" ht="15" customHeight="1" x14ac:dyDescent="0.25">
      <c r="A21" s="23"/>
      <c r="BK21" s="24"/>
    </row>
    <row r="22" spans="1:63" ht="15" customHeight="1" x14ac:dyDescent="0.25">
      <c r="A22" s="23"/>
      <c r="BK22" s="24"/>
    </row>
    <row r="23" spans="1:63" ht="15" customHeight="1" x14ac:dyDescent="0.25">
      <c r="A23" s="23"/>
      <c r="BK23" s="24"/>
    </row>
    <row r="24" spans="1:63" ht="15" customHeight="1" x14ac:dyDescent="0.25">
      <c r="A24" s="23"/>
      <c r="BK24" s="24"/>
    </row>
    <row r="25" spans="1:63" ht="14.25" customHeight="1" x14ac:dyDescent="0.25">
      <c r="A25" s="23"/>
      <c r="BK25" s="24"/>
    </row>
    <row r="26" spans="1:63" ht="15" customHeight="1" x14ac:dyDescent="0.25">
      <c r="A26" s="23"/>
      <c r="BK26" s="24"/>
    </row>
    <row r="27" spans="1:63" ht="15" customHeight="1" x14ac:dyDescent="0.25">
      <c r="A27" s="23"/>
      <c r="BK27" s="24"/>
    </row>
    <row r="28" spans="1:63" x14ac:dyDescent="0.25">
      <c r="BK28" s="24"/>
    </row>
    <row r="29" spans="1:63" x14ac:dyDescent="0.25">
      <c r="BK29" s="24"/>
    </row>
    <row r="30" spans="1:63" x14ac:dyDescent="0.25">
      <c r="BK30" s="24"/>
    </row>
    <row r="31" spans="1:63" x14ac:dyDescent="0.25">
      <c r="BK31" s="24"/>
    </row>
    <row r="32" spans="1:63" x14ac:dyDescent="0.25">
      <c r="BK32" s="24"/>
    </row>
    <row r="33" spans="1:63" x14ac:dyDescent="0.25">
      <c r="BK33" s="24"/>
    </row>
    <row r="34" spans="1:63" x14ac:dyDescent="0.25">
      <c r="BK34" s="24"/>
    </row>
    <row r="35" spans="1:63" ht="15" customHeight="1" x14ac:dyDescent="0.25">
      <c r="A35" s="23"/>
      <c r="B35" s="25" t="s">
        <v>75</v>
      </c>
      <c r="BK35" s="24"/>
    </row>
    <row r="36" spans="1:63" x14ac:dyDescent="0.25">
      <c r="BK36" s="24"/>
    </row>
    <row r="37" spans="1:63" ht="15.75" customHeight="1" x14ac:dyDescent="0.25">
      <c r="B37" s="334" t="s">
        <v>76</v>
      </c>
      <c r="C37" s="335"/>
      <c r="D37" s="340" t="s">
        <v>77</v>
      </c>
      <c r="E37" s="341"/>
      <c r="F37" s="341"/>
      <c r="G37" s="341"/>
      <c r="H37" s="341"/>
      <c r="I37" s="341"/>
      <c r="J37" s="335"/>
      <c r="K37" s="340" t="s">
        <v>78</v>
      </c>
      <c r="L37" s="341"/>
      <c r="M37" s="335"/>
      <c r="N37" s="344" t="s">
        <v>79</v>
      </c>
      <c r="O37" s="347" t="s">
        <v>80</v>
      </c>
      <c r="P37" s="288" t="s">
        <v>81</v>
      </c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90"/>
      <c r="AR37" s="291" t="s">
        <v>82</v>
      </c>
      <c r="AS37" s="292"/>
      <c r="AT37" s="292"/>
      <c r="AU37" s="292"/>
      <c r="AV37" s="292"/>
      <c r="AW37" s="292"/>
      <c r="AX37" s="292"/>
      <c r="AY37" s="292"/>
      <c r="AZ37" s="292"/>
      <c r="BA37" s="292"/>
      <c r="BB37" s="293"/>
      <c r="BC37" s="294" t="s">
        <v>83</v>
      </c>
      <c r="BD37" s="295"/>
      <c r="BE37" s="295"/>
      <c r="BF37" s="295"/>
      <c r="BG37" s="295"/>
      <c r="BH37" s="295"/>
      <c r="BI37" s="295"/>
      <c r="BJ37" s="296"/>
      <c r="BK37" s="24"/>
    </row>
    <row r="38" spans="1:63" ht="15.75" customHeight="1" x14ac:dyDescent="0.25">
      <c r="B38" s="336"/>
      <c r="C38" s="337"/>
      <c r="D38" s="336"/>
      <c r="E38" s="342"/>
      <c r="F38" s="342"/>
      <c r="G38" s="342"/>
      <c r="H38" s="342"/>
      <c r="I38" s="342"/>
      <c r="J38" s="337"/>
      <c r="K38" s="336"/>
      <c r="L38" s="342"/>
      <c r="M38" s="337"/>
      <c r="N38" s="345"/>
      <c r="O38" s="348"/>
      <c r="P38" s="303" t="s">
        <v>84</v>
      </c>
      <c r="Q38" s="304"/>
      <c r="R38" s="304"/>
      <c r="S38" s="304"/>
      <c r="T38" s="304"/>
      <c r="U38" s="304"/>
      <c r="V38" s="304"/>
      <c r="W38" s="305"/>
      <c r="X38" s="306" t="s">
        <v>85</v>
      </c>
      <c r="Y38" s="307"/>
      <c r="Z38" s="308"/>
      <c r="AA38" s="306" t="s">
        <v>86</v>
      </c>
      <c r="AB38" s="307"/>
      <c r="AC38" s="307"/>
      <c r="AD38" s="307"/>
      <c r="AE38" s="307"/>
      <c r="AF38" s="307"/>
      <c r="AG38" s="307"/>
      <c r="AH38" s="308"/>
      <c r="AI38" s="306" t="s">
        <v>87</v>
      </c>
      <c r="AJ38" s="307"/>
      <c r="AK38" s="307"/>
      <c r="AL38" s="307"/>
      <c r="AM38" s="307"/>
      <c r="AN38" s="307"/>
      <c r="AO38" s="307"/>
      <c r="AP38" s="307"/>
      <c r="AQ38" s="308"/>
      <c r="AR38" s="312" t="s">
        <v>88</v>
      </c>
      <c r="AS38" s="314" t="s">
        <v>89</v>
      </c>
      <c r="AT38" s="316" t="s">
        <v>90</v>
      </c>
      <c r="AU38" s="291" t="s">
        <v>84</v>
      </c>
      <c r="AV38" s="292"/>
      <c r="AW38" s="292"/>
      <c r="AX38" s="292"/>
      <c r="AY38" s="292"/>
      <c r="AZ38" s="292"/>
      <c r="BA38" s="292"/>
      <c r="BB38" s="293"/>
      <c r="BC38" s="297"/>
      <c r="BD38" s="298"/>
      <c r="BE38" s="298"/>
      <c r="BF38" s="298"/>
      <c r="BG38" s="298"/>
      <c r="BH38" s="298"/>
      <c r="BI38" s="298"/>
      <c r="BJ38" s="299"/>
      <c r="BK38" s="24"/>
    </row>
    <row r="39" spans="1:63" x14ac:dyDescent="0.25">
      <c r="B39" s="338"/>
      <c r="C39" s="339"/>
      <c r="D39" s="338"/>
      <c r="E39" s="343"/>
      <c r="F39" s="343"/>
      <c r="G39" s="343"/>
      <c r="H39" s="343"/>
      <c r="I39" s="343"/>
      <c r="J39" s="339"/>
      <c r="K39" s="338"/>
      <c r="L39" s="343"/>
      <c r="M39" s="339"/>
      <c r="N39" s="346"/>
      <c r="O39" s="349"/>
      <c r="P39" s="288" t="s">
        <v>91</v>
      </c>
      <c r="Q39" s="289"/>
      <c r="R39" s="289"/>
      <c r="S39" s="290"/>
      <c r="T39" s="288" t="s">
        <v>77</v>
      </c>
      <c r="U39" s="289"/>
      <c r="V39" s="289"/>
      <c r="W39" s="290"/>
      <c r="X39" s="309"/>
      <c r="Y39" s="310"/>
      <c r="Z39" s="311"/>
      <c r="AA39" s="309"/>
      <c r="AB39" s="310"/>
      <c r="AC39" s="310"/>
      <c r="AD39" s="310"/>
      <c r="AE39" s="310"/>
      <c r="AF39" s="310"/>
      <c r="AG39" s="310"/>
      <c r="AH39" s="311"/>
      <c r="AI39" s="309"/>
      <c r="AJ39" s="310"/>
      <c r="AK39" s="310"/>
      <c r="AL39" s="310"/>
      <c r="AM39" s="310"/>
      <c r="AN39" s="310"/>
      <c r="AO39" s="310"/>
      <c r="AP39" s="310"/>
      <c r="AQ39" s="311"/>
      <c r="AR39" s="313"/>
      <c r="AS39" s="315"/>
      <c r="AT39" s="317"/>
      <c r="AU39" s="291" t="s">
        <v>91</v>
      </c>
      <c r="AV39" s="292"/>
      <c r="AW39" s="292"/>
      <c r="AX39" s="350"/>
      <c r="AY39" s="351" t="s">
        <v>77</v>
      </c>
      <c r="AZ39" s="292"/>
      <c r="BA39" s="292"/>
      <c r="BB39" s="293"/>
      <c r="BC39" s="300"/>
      <c r="BD39" s="301"/>
      <c r="BE39" s="301"/>
      <c r="BF39" s="301"/>
      <c r="BG39" s="301"/>
      <c r="BH39" s="301"/>
      <c r="BI39" s="301"/>
      <c r="BJ39" s="302"/>
      <c r="BK39" s="24"/>
    </row>
    <row r="40" spans="1:63" ht="15.75" customHeight="1" x14ac:dyDescent="0.25">
      <c r="B40" s="281">
        <v>1</v>
      </c>
      <c r="C40" s="282"/>
      <c r="D40" s="283"/>
      <c r="E40" s="284"/>
      <c r="F40" s="284"/>
      <c r="G40" s="284"/>
      <c r="H40" s="284"/>
      <c r="I40" s="284"/>
      <c r="J40" s="285"/>
      <c r="K40" s="264" t="s">
        <v>92</v>
      </c>
      <c r="L40" s="265"/>
      <c r="M40" s="266"/>
      <c r="N40" s="26" t="s">
        <v>93</v>
      </c>
      <c r="O40" s="27" t="s">
        <v>94</v>
      </c>
      <c r="P40" s="286" t="s">
        <v>93</v>
      </c>
      <c r="Q40" s="287"/>
      <c r="R40" s="287"/>
      <c r="S40" s="282"/>
      <c r="T40" s="286" t="s">
        <v>93</v>
      </c>
      <c r="U40" s="287"/>
      <c r="V40" s="287"/>
      <c r="W40" s="282"/>
      <c r="X40" s="318" t="s">
        <v>95</v>
      </c>
      <c r="Y40" s="319"/>
      <c r="Z40" s="320"/>
      <c r="AA40" s="281" t="s">
        <v>96</v>
      </c>
      <c r="AB40" s="287"/>
      <c r="AC40" s="287"/>
      <c r="AD40" s="287"/>
      <c r="AE40" s="287"/>
      <c r="AF40" s="287"/>
      <c r="AG40" s="287"/>
      <c r="AH40" s="282"/>
      <c r="AI40" s="321" t="s">
        <v>93</v>
      </c>
      <c r="AJ40" s="322"/>
      <c r="AK40" s="322"/>
      <c r="AL40" s="322"/>
      <c r="AM40" s="322"/>
      <c r="AN40" s="322"/>
      <c r="AO40" s="322"/>
      <c r="AP40" s="322"/>
      <c r="AQ40" s="323"/>
      <c r="AR40" s="28" t="s">
        <v>93</v>
      </c>
      <c r="AS40" s="28" t="s">
        <v>96</v>
      </c>
      <c r="AT40" s="28" t="s">
        <v>96</v>
      </c>
      <c r="AU40" s="281" t="s">
        <v>97</v>
      </c>
      <c r="AV40" s="287"/>
      <c r="AW40" s="287"/>
      <c r="AX40" s="282"/>
      <c r="AY40" s="281" t="s">
        <v>96</v>
      </c>
      <c r="AZ40" s="287"/>
      <c r="BA40" s="287"/>
      <c r="BB40" s="282"/>
      <c r="BC40" s="324"/>
      <c r="BD40" s="325"/>
      <c r="BE40" s="325"/>
      <c r="BF40" s="325"/>
      <c r="BG40" s="325"/>
      <c r="BH40" s="325"/>
      <c r="BI40" s="325"/>
      <c r="BJ40" s="326"/>
      <c r="BK40" s="24"/>
    </row>
    <row r="41" spans="1:63" x14ac:dyDescent="0.25">
      <c r="B41" s="251">
        <v>2</v>
      </c>
      <c r="C41" s="250"/>
      <c r="D41" s="278"/>
      <c r="E41" s="279"/>
      <c r="F41" s="279"/>
      <c r="G41" s="279"/>
      <c r="H41" s="279"/>
      <c r="I41" s="279"/>
      <c r="J41" s="280"/>
      <c r="K41" s="264" t="s">
        <v>92</v>
      </c>
      <c r="L41" s="265"/>
      <c r="M41" s="266"/>
      <c r="N41" s="27" t="s">
        <v>98</v>
      </c>
      <c r="O41" s="27" t="s">
        <v>94</v>
      </c>
      <c r="P41" s="251" t="s">
        <v>97</v>
      </c>
      <c r="Q41" s="249"/>
      <c r="R41" s="249"/>
      <c r="S41" s="250"/>
      <c r="T41" s="251" t="s">
        <v>97</v>
      </c>
      <c r="U41" s="249"/>
      <c r="V41" s="249"/>
      <c r="W41" s="250"/>
      <c r="X41" s="274" t="s">
        <v>99</v>
      </c>
      <c r="Y41" s="275"/>
      <c r="Z41" s="276"/>
      <c r="AA41" s="251" t="s">
        <v>96</v>
      </c>
      <c r="AB41" s="249"/>
      <c r="AC41" s="249"/>
      <c r="AD41" s="249"/>
      <c r="AE41" s="249"/>
      <c r="AF41" s="249"/>
      <c r="AG41" s="249"/>
      <c r="AH41" s="250"/>
      <c r="AI41" s="252" t="s">
        <v>96</v>
      </c>
      <c r="AJ41" s="253"/>
      <c r="AK41" s="253"/>
      <c r="AL41" s="253"/>
      <c r="AM41" s="253"/>
      <c r="AN41" s="253"/>
      <c r="AO41" s="253"/>
      <c r="AP41" s="253"/>
      <c r="AQ41" s="254"/>
      <c r="AR41" s="29" t="s">
        <v>93</v>
      </c>
      <c r="AS41" s="29" t="s">
        <v>96</v>
      </c>
      <c r="AT41" s="29" t="s">
        <v>96</v>
      </c>
      <c r="AU41" s="251" t="s">
        <v>97</v>
      </c>
      <c r="AV41" s="249"/>
      <c r="AW41" s="249"/>
      <c r="AX41" s="250"/>
      <c r="AY41" s="251" t="s">
        <v>96</v>
      </c>
      <c r="AZ41" s="249"/>
      <c r="BA41" s="249"/>
      <c r="BB41" s="250"/>
      <c r="BC41" s="273"/>
      <c r="BD41" s="256"/>
      <c r="BE41" s="256"/>
      <c r="BF41" s="256"/>
      <c r="BG41" s="256"/>
      <c r="BH41" s="256"/>
      <c r="BI41" s="256"/>
      <c r="BJ41" s="257"/>
      <c r="BK41" s="24"/>
    </row>
    <row r="42" spans="1:63" x14ac:dyDescent="0.25">
      <c r="B42" s="251">
        <v>3</v>
      </c>
      <c r="C42" s="250"/>
      <c r="D42" s="261"/>
      <c r="E42" s="262"/>
      <c r="F42" s="262"/>
      <c r="G42" s="262"/>
      <c r="H42" s="262"/>
      <c r="I42" s="262"/>
      <c r="J42" s="263"/>
      <c r="K42" s="264" t="s">
        <v>92</v>
      </c>
      <c r="L42" s="265"/>
      <c r="M42" s="266"/>
      <c r="N42" s="27" t="s">
        <v>100</v>
      </c>
      <c r="O42" s="27" t="s">
        <v>93</v>
      </c>
      <c r="P42" s="277" t="s">
        <v>93</v>
      </c>
      <c r="Q42" s="249"/>
      <c r="R42" s="249"/>
      <c r="S42" s="250"/>
      <c r="T42" s="251"/>
      <c r="U42" s="249"/>
      <c r="V42" s="249"/>
      <c r="W42" s="250"/>
      <c r="X42" s="270" t="s">
        <v>93</v>
      </c>
      <c r="Y42" s="271"/>
      <c r="Z42" s="272"/>
      <c r="AA42" s="251" t="s">
        <v>96</v>
      </c>
      <c r="AB42" s="249"/>
      <c r="AC42" s="249"/>
      <c r="AD42" s="249"/>
      <c r="AE42" s="249"/>
      <c r="AF42" s="249"/>
      <c r="AG42" s="249"/>
      <c r="AH42" s="250"/>
      <c r="AI42" s="252" t="s">
        <v>96</v>
      </c>
      <c r="AJ42" s="253"/>
      <c r="AK42" s="253"/>
      <c r="AL42" s="253"/>
      <c r="AM42" s="253"/>
      <c r="AN42" s="253"/>
      <c r="AO42" s="253"/>
      <c r="AP42" s="253"/>
      <c r="AQ42" s="254"/>
      <c r="AR42" s="29" t="s">
        <v>93</v>
      </c>
      <c r="AS42" s="29" t="s">
        <v>96</v>
      </c>
      <c r="AT42" s="29" t="s">
        <v>96</v>
      </c>
      <c r="AU42" s="251" t="s">
        <v>97</v>
      </c>
      <c r="AV42" s="249"/>
      <c r="AW42" s="249"/>
      <c r="AX42" s="250"/>
      <c r="AY42" s="251" t="s">
        <v>96</v>
      </c>
      <c r="AZ42" s="249"/>
      <c r="BA42" s="249"/>
      <c r="BB42" s="250"/>
      <c r="BC42" s="255"/>
      <c r="BD42" s="256"/>
      <c r="BE42" s="256"/>
      <c r="BF42" s="256"/>
      <c r="BG42" s="256"/>
      <c r="BH42" s="256"/>
      <c r="BI42" s="256"/>
      <c r="BJ42" s="257"/>
      <c r="BK42" s="24"/>
    </row>
    <row r="43" spans="1:63" x14ac:dyDescent="0.25">
      <c r="B43" s="251">
        <v>4</v>
      </c>
      <c r="C43" s="250"/>
      <c r="D43" s="267"/>
      <c r="E43" s="268"/>
      <c r="F43" s="268"/>
      <c r="G43" s="268"/>
      <c r="H43" s="268"/>
      <c r="I43" s="268"/>
      <c r="J43" s="269"/>
      <c r="K43" s="264" t="s">
        <v>92</v>
      </c>
      <c r="L43" s="265"/>
      <c r="M43" s="266"/>
      <c r="N43" s="30" t="s">
        <v>98</v>
      </c>
      <c r="O43" s="27" t="s">
        <v>94</v>
      </c>
      <c r="P43" s="251" t="s">
        <v>97</v>
      </c>
      <c r="Q43" s="249"/>
      <c r="R43" s="249"/>
      <c r="S43" s="250"/>
      <c r="T43" s="251" t="s">
        <v>97</v>
      </c>
      <c r="U43" s="249"/>
      <c r="V43" s="249"/>
      <c r="W43" s="250"/>
      <c r="X43" s="248" t="s">
        <v>101</v>
      </c>
      <c r="Y43" s="249"/>
      <c r="Z43" s="250"/>
      <c r="AA43" s="251" t="s">
        <v>96</v>
      </c>
      <c r="AB43" s="249"/>
      <c r="AC43" s="249"/>
      <c r="AD43" s="249"/>
      <c r="AE43" s="249"/>
      <c r="AF43" s="249"/>
      <c r="AG43" s="249"/>
      <c r="AH43" s="250"/>
      <c r="AI43" s="252" t="s">
        <v>96</v>
      </c>
      <c r="AJ43" s="253"/>
      <c r="AK43" s="253"/>
      <c r="AL43" s="253"/>
      <c r="AM43" s="253"/>
      <c r="AN43" s="253"/>
      <c r="AO43" s="253"/>
      <c r="AP43" s="253"/>
      <c r="AQ43" s="254"/>
      <c r="AR43" s="29" t="s">
        <v>93</v>
      </c>
      <c r="AS43" s="29" t="s">
        <v>96</v>
      </c>
      <c r="AT43" s="29" t="s">
        <v>96</v>
      </c>
      <c r="AU43" s="251" t="s">
        <v>97</v>
      </c>
      <c r="AV43" s="249"/>
      <c r="AW43" s="249"/>
      <c r="AX43" s="250"/>
      <c r="AY43" s="251" t="s">
        <v>96</v>
      </c>
      <c r="AZ43" s="249"/>
      <c r="BA43" s="249"/>
      <c r="BB43" s="250"/>
      <c r="BC43" s="258"/>
      <c r="BD43" s="259"/>
      <c r="BE43" s="259"/>
      <c r="BF43" s="259"/>
      <c r="BG43" s="259"/>
      <c r="BH43" s="259"/>
      <c r="BI43" s="259"/>
      <c r="BJ43" s="260"/>
      <c r="BK43" s="24"/>
    </row>
    <row r="44" spans="1:63" x14ac:dyDescent="0.25">
      <c r="B44" s="251">
        <v>5</v>
      </c>
      <c r="C44" s="250"/>
      <c r="D44" s="261"/>
      <c r="E44" s="262"/>
      <c r="F44" s="262"/>
      <c r="G44" s="262"/>
      <c r="H44" s="262"/>
      <c r="I44" s="262"/>
      <c r="J44" s="263"/>
      <c r="K44" s="264" t="s">
        <v>102</v>
      </c>
      <c r="L44" s="265"/>
      <c r="M44" s="266"/>
      <c r="N44" s="30" t="s">
        <v>100</v>
      </c>
      <c r="O44" s="27" t="s">
        <v>93</v>
      </c>
      <c r="P44" s="251" t="s">
        <v>97</v>
      </c>
      <c r="Q44" s="249"/>
      <c r="R44" s="249"/>
      <c r="S44" s="250"/>
      <c r="T44" s="251" t="s">
        <v>97</v>
      </c>
      <c r="U44" s="249"/>
      <c r="V44" s="249"/>
      <c r="W44" s="250"/>
      <c r="X44" s="248" t="s">
        <v>93</v>
      </c>
      <c r="Y44" s="249"/>
      <c r="Z44" s="250"/>
      <c r="AA44" s="251" t="s">
        <v>96</v>
      </c>
      <c r="AB44" s="249"/>
      <c r="AC44" s="249"/>
      <c r="AD44" s="249"/>
      <c r="AE44" s="249"/>
      <c r="AF44" s="249"/>
      <c r="AG44" s="249"/>
      <c r="AH44" s="250"/>
      <c r="AI44" s="252" t="s">
        <v>96</v>
      </c>
      <c r="AJ44" s="253"/>
      <c r="AK44" s="253"/>
      <c r="AL44" s="253"/>
      <c r="AM44" s="253"/>
      <c r="AN44" s="253"/>
      <c r="AO44" s="253"/>
      <c r="AP44" s="253"/>
      <c r="AQ44" s="254"/>
      <c r="AR44" s="29" t="s">
        <v>93</v>
      </c>
      <c r="AS44" s="29" t="s">
        <v>96</v>
      </c>
      <c r="AT44" s="29" t="s">
        <v>96</v>
      </c>
      <c r="AU44" s="251" t="s">
        <v>97</v>
      </c>
      <c r="AV44" s="249"/>
      <c r="AW44" s="249"/>
      <c r="AX44" s="250"/>
      <c r="AY44" s="251" t="s">
        <v>96</v>
      </c>
      <c r="AZ44" s="249"/>
      <c r="BA44" s="249"/>
      <c r="BB44" s="250"/>
      <c r="BC44" s="255"/>
      <c r="BD44" s="256"/>
      <c r="BE44" s="256"/>
      <c r="BF44" s="256"/>
      <c r="BG44" s="256"/>
      <c r="BH44" s="256"/>
      <c r="BI44" s="256"/>
      <c r="BJ44" s="257"/>
      <c r="BK44" s="24"/>
    </row>
    <row r="45" spans="1:63" x14ac:dyDescent="0.25">
      <c r="B45" s="230">
        <v>6</v>
      </c>
      <c r="C45" s="232"/>
      <c r="D45" s="239"/>
      <c r="E45" s="240"/>
      <c r="F45" s="240"/>
      <c r="G45" s="240"/>
      <c r="H45" s="240"/>
      <c r="I45" s="240"/>
      <c r="J45" s="241"/>
      <c r="K45" s="242" t="s">
        <v>103</v>
      </c>
      <c r="L45" s="243"/>
      <c r="M45" s="244"/>
      <c r="N45" s="31" t="s">
        <v>100</v>
      </c>
      <c r="O45" s="31" t="s">
        <v>94</v>
      </c>
      <c r="P45" s="230" t="s">
        <v>97</v>
      </c>
      <c r="Q45" s="231"/>
      <c r="R45" s="231"/>
      <c r="S45" s="232"/>
      <c r="T45" s="230" t="s">
        <v>97</v>
      </c>
      <c r="U45" s="231"/>
      <c r="V45" s="231"/>
      <c r="W45" s="232"/>
      <c r="X45" s="245" t="s">
        <v>104</v>
      </c>
      <c r="Y45" s="246"/>
      <c r="Z45" s="247"/>
      <c r="AA45" s="230" t="s">
        <v>96</v>
      </c>
      <c r="AB45" s="231"/>
      <c r="AC45" s="231"/>
      <c r="AD45" s="231"/>
      <c r="AE45" s="231"/>
      <c r="AF45" s="231"/>
      <c r="AG45" s="231"/>
      <c r="AH45" s="232"/>
      <c r="AI45" s="233" t="s">
        <v>105</v>
      </c>
      <c r="AJ45" s="234"/>
      <c r="AK45" s="234"/>
      <c r="AL45" s="234"/>
      <c r="AM45" s="234"/>
      <c r="AN45" s="234"/>
      <c r="AO45" s="234"/>
      <c r="AP45" s="234"/>
      <c r="AQ45" s="235"/>
      <c r="AR45" s="32" t="s">
        <v>93</v>
      </c>
      <c r="AS45" s="32" t="s">
        <v>96</v>
      </c>
      <c r="AT45" s="32" t="s">
        <v>96</v>
      </c>
      <c r="AU45" s="230" t="s">
        <v>97</v>
      </c>
      <c r="AV45" s="231"/>
      <c r="AW45" s="231"/>
      <c r="AX45" s="232"/>
      <c r="AY45" s="230" t="s">
        <v>96</v>
      </c>
      <c r="AZ45" s="231"/>
      <c r="BA45" s="231"/>
      <c r="BB45" s="232"/>
      <c r="BC45" s="236" t="s">
        <v>106</v>
      </c>
      <c r="BD45" s="237"/>
      <c r="BE45" s="237"/>
      <c r="BF45" s="237"/>
      <c r="BG45" s="237"/>
      <c r="BH45" s="237"/>
      <c r="BI45" s="237"/>
      <c r="BJ45" s="238"/>
      <c r="BK45" s="24"/>
    </row>
    <row r="46" spans="1:63" x14ac:dyDescent="0.25">
      <c r="BK46" s="24"/>
    </row>
    <row r="47" spans="1:63" x14ac:dyDescent="0.25">
      <c r="BK47" s="24"/>
    </row>
    <row r="48" spans="1:63" x14ac:dyDescent="0.25">
      <c r="BK48" s="24"/>
    </row>
    <row r="49" spans="1:63" x14ac:dyDescent="0.25">
      <c r="BK49" s="24"/>
    </row>
    <row r="50" spans="1:63" x14ac:dyDescent="0.25">
      <c r="BK50" s="24"/>
    </row>
    <row r="51" spans="1:63" x14ac:dyDescent="0.25">
      <c r="BK51" s="24"/>
    </row>
    <row r="52" spans="1:63" x14ac:dyDescent="0.25">
      <c r="BK52" s="24"/>
    </row>
    <row r="53" spans="1:63" x14ac:dyDescent="0.25">
      <c r="BK53" s="24"/>
    </row>
    <row r="54" spans="1:63" x14ac:dyDescent="0.25">
      <c r="BK54" s="24"/>
    </row>
    <row r="55" spans="1:63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2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6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64" customWidth="1"/>
    <col min="61" max="16384" width="2.77734375" style="64"/>
  </cols>
  <sheetData>
    <row r="1" spans="1:63" ht="24.95" customHeight="1" x14ac:dyDescent="0.25">
      <c r="A1" s="327" t="s">
        <v>27</v>
      </c>
      <c r="B1" s="328"/>
      <c r="C1" s="328"/>
      <c r="D1" s="328"/>
      <c r="E1" s="328"/>
      <c r="F1" s="328"/>
      <c r="G1" s="328"/>
      <c r="H1" s="328"/>
      <c r="I1" s="328"/>
      <c r="J1" s="329"/>
      <c r="K1" s="327" t="s">
        <v>28</v>
      </c>
      <c r="L1" s="328"/>
      <c r="M1" s="328"/>
      <c r="N1" s="328"/>
      <c r="O1" s="328"/>
      <c r="P1" s="328"/>
      <c r="Q1" s="328"/>
      <c r="R1" s="328"/>
      <c r="S1" s="328"/>
      <c r="T1" s="328"/>
      <c r="U1" s="328"/>
      <c r="V1" s="329"/>
      <c r="W1" s="358" t="str">
        <f>IF(表紙!W1="","",表紙!W1)</f>
        <v>基本設計書</v>
      </c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  <c r="AN1" s="359"/>
      <c r="AO1" s="360"/>
      <c r="AP1" s="210" t="s">
        <v>30</v>
      </c>
      <c r="AQ1" s="211"/>
      <c r="AR1" s="211"/>
      <c r="AS1" s="212"/>
      <c r="AT1" s="210" t="s">
        <v>31</v>
      </c>
      <c r="AU1" s="211"/>
      <c r="AV1" s="211"/>
      <c r="AW1" s="211"/>
      <c r="AX1" s="212"/>
      <c r="AY1" s="210" t="s">
        <v>32</v>
      </c>
      <c r="AZ1" s="211"/>
      <c r="BA1" s="211"/>
      <c r="BB1" s="212"/>
      <c r="BC1" s="210" t="s">
        <v>33</v>
      </c>
      <c r="BD1" s="211"/>
      <c r="BE1" s="211"/>
      <c r="BF1" s="211"/>
      <c r="BG1" s="212"/>
      <c r="BH1" s="210" t="s">
        <v>34</v>
      </c>
      <c r="BI1" s="211"/>
      <c r="BJ1" s="211"/>
      <c r="BK1" s="212"/>
    </row>
    <row r="2" spans="1:63" ht="15" customHeight="1" x14ac:dyDescent="0.25">
      <c r="A2" s="352" t="str">
        <f>IF(表紙!A2="","",表紙!A2)</f>
        <v>POSサーバー</v>
      </c>
      <c r="B2" s="353"/>
      <c r="C2" s="353"/>
      <c r="D2" s="353"/>
      <c r="E2" s="353"/>
      <c r="F2" s="353"/>
      <c r="G2" s="353"/>
      <c r="H2" s="353"/>
      <c r="I2" s="353"/>
      <c r="J2" s="354"/>
      <c r="K2" s="352" t="str">
        <f>IF(表紙!K2="","",表紙!K2)</f>
        <v>POSサーバ</v>
      </c>
      <c r="L2" s="353"/>
      <c r="M2" s="353"/>
      <c r="N2" s="353"/>
      <c r="O2" s="353"/>
      <c r="P2" s="353"/>
      <c r="Q2" s="353"/>
      <c r="R2" s="353"/>
      <c r="S2" s="353"/>
      <c r="T2" s="353"/>
      <c r="U2" s="353"/>
      <c r="V2" s="354"/>
      <c r="W2" s="361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2"/>
      <c r="AO2" s="363"/>
      <c r="AP2" s="186" t="str">
        <f>IF(表紙!AP2="","",表紙!AP2)</f>
        <v>TuyenNH</v>
      </c>
      <c r="AQ2" s="181"/>
      <c r="AR2" s="181"/>
      <c r="AS2" s="182"/>
      <c r="AT2" s="180">
        <f>IF(表紙!AT2="","",表紙!AT2)</f>
        <v>45408</v>
      </c>
      <c r="AU2" s="213"/>
      <c r="AV2" s="213"/>
      <c r="AW2" s="213"/>
      <c r="AX2" s="214"/>
      <c r="AY2" s="186" t="str">
        <f>IF(表紙!AY2="","",表紙!AY2)</f>
        <v>TinNH</v>
      </c>
      <c r="AZ2" s="181"/>
      <c r="BA2" s="181"/>
      <c r="BB2" s="182"/>
      <c r="BC2" s="180">
        <f>IF(表紙!BC2="","",表紙!BC2)</f>
        <v>45520</v>
      </c>
      <c r="BD2" s="213"/>
      <c r="BE2" s="213"/>
      <c r="BF2" s="213"/>
      <c r="BG2" s="214"/>
      <c r="BH2" s="186">
        <f>IF(表紙!BH2="","",表紙!BH2)</f>
        <v>0.4</v>
      </c>
      <c r="BI2" s="181"/>
      <c r="BJ2" s="181"/>
      <c r="BK2" s="182"/>
    </row>
    <row r="3" spans="1:63" ht="15" customHeight="1" x14ac:dyDescent="0.25">
      <c r="A3" s="355"/>
      <c r="B3" s="356"/>
      <c r="C3" s="356"/>
      <c r="D3" s="356"/>
      <c r="E3" s="356"/>
      <c r="F3" s="356"/>
      <c r="G3" s="356"/>
      <c r="H3" s="356"/>
      <c r="I3" s="356"/>
      <c r="J3" s="357"/>
      <c r="K3" s="355"/>
      <c r="L3" s="356"/>
      <c r="M3" s="356"/>
      <c r="N3" s="356"/>
      <c r="O3" s="356"/>
      <c r="P3" s="356"/>
      <c r="Q3" s="356"/>
      <c r="R3" s="356"/>
      <c r="S3" s="356"/>
      <c r="T3" s="356"/>
      <c r="U3" s="356"/>
      <c r="V3" s="357"/>
      <c r="W3" s="364"/>
      <c r="X3" s="365"/>
      <c r="Y3" s="365"/>
      <c r="Z3" s="365"/>
      <c r="AA3" s="365"/>
      <c r="AB3" s="365"/>
      <c r="AC3" s="365"/>
      <c r="AD3" s="365"/>
      <c r="AE3" s="365"/>
      <c r="AF3" s="365"/>
      <c r="AG3" s="365"/>
      <c r="AH3" s="365"/>
      <c r="AI3" s="365"/>
      <c r="AJ3" s="365"/>
      <c r="AK3" s="365"/>
      <c r="AL3" s="365"/>
      <c r="AM3" s="365"/>
      <c r="AN3" s="365"/>
      <c r="AO3" s="366"/>
      <c r="AP3" s="183"/>
      <c r="AQ3" s="184"/>
      <c r="AR3" s="184"/>
      <c r="AS3" s="185"/>
      <c r="AT3" s="215"/>
      <c r="AU3" s="216"/>
      <c r="AV3" s="216"/>
      <c r="AW3" s="216"/>
      <c r="AX3" s="217"/>
      <c r="AY3" s="183"/>
      <c r="AZ3" s="184"/>
      <c r="BA3" s="184"/>
      <c r="BB3" s="185"/>
      <c r="BC3" s="215"/>
      <c r="BD3" s="216"/>
      <c r="BE3" s="216"/>
      <c r="BF3" s="216"/>
      <c r="BG3" s="217"/>
      <c r="BH3" s="183"/>
      <c r="BI3" s="184"/>
      <c r="BJ3" s="184"/>
      <c r="BK3" s="185"/>
    </row>
    <row r="4" spans="1:63" ht="24.95" customHeight="1" x14ac:dyDescent="0.25">
      <c r="A4" s="327" t="s">
        <v>38</v>
      </c>
      <c r="B4" s="328"/>
      <c r="C4" s="328"/>
      <c r="D4" s="328"/>
      <c r="E4" s="328"/>
      <c r="F4" s="328"/>
      <c r="G4" s="329"/>
      <c r="H4" s="330" t="str">
        <f>IF(表紙!H4="","",表紙!H4)</f>
        <v>03_店舗特売入力</v>
      </c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2"/>
      <c r="U4" s="327" t="s">
        <v>40</v>
      </c>
      <c r="V4" s="328"/>
      <c r="W4" s="328"/>
      <c r="X4" s="328"/>
      <c r="Y4" s="329"/>
      <c r="Z4" s="330" t="str">
        <f>IF(表紙!Z4="","",表紙!Z4)</f>
        <v>概要設計</v>
      </c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2"/>
      <c r="AP4" s="333" t="str">
        <f ca="1">MID(CELL("filename",A1),FIND("]",CELL("filename",A1))+1,255)</f>
        <v>テンプレート</v>
      </c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2"/>
    </row>
    <row r="5" spans="1:63" ht="5.0999999999999996" customHeight="1" x14ac:dyDescent="0.25">
      <c r="A5" s="65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8"/>
    </row>
    <row r="6" spans="1:63" ht="15" customHeight="1" x14ac:dyDescent="0.25">
      <c r="A6" s="66"/>
      <c r="BK6" s="67"/>
    </row>
    <row r="7" spans="1:63" ht="15" customHeight="1" x14ac:dyDescent="0.25">
      <c r="A7" s="66"/>
      <c r="B7" s="68"/>
      <c r="C7" s="69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1"/>
      <c r="U7" s="69"/>
      <c r="V7" s="70"/>
      <c r="W7" s="70"/>
      <c r="X7" s="70"/>
      <c r="Y7" s="70"/>
      <c r="Z7" s="70"/>
      <c r="AA7" s="70"/>
      <c r="AB7" s="70"/>
      <c r="AC7" s="71"/>
      <c r="AD7" s="69"/>
      <c r="AE7" s="70"/>
      <c r="AF7" s="70"/>
      <c r="AG7" s="70"/>
      <c r="AH7" s="70"/>
      <c r="AI7" s="70"/>
      <c r="AJ7" s="70"/>
      <c r="AK7" s="70"/>
      <c r="AL7" s="71"/>
      <c r="AM7" s="69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1"/>
      <c r="BJ7" s="70"/>
      <c r="BK7" s="67"/>
    </row>
    <row r="8" spans="1:63" ht="15" customHeight="1" x14ac:dyDescent="0.25">
      <c r="A8" s="66"/>
      <c r="C8" s="72"/>
      <c r="U8" s="72"/>
      <c r="AD8" s="72"/>
      <c r="AM8" s="72"/>
      <c r="BI8" s="74"/>
    </row>
    <row r="9" spans="1:63" ht="15" customHeight="1" x14ac:dyDescent="0.25">
      <c r="A9" s="66"/>
      <c r="C9" s="72"/>
      <c r="U9" s="72"/>
      <c r="AD9" s="72"/>
      <c r="AM9" s="72"/>
      <c r="BI9" s="74"/>
    </row>
    <row r="10" spans="1:63" ht="15" customHeight="1" x14ac:dyDescent="0.25">
      <c r="A10" s="66"/>
      <c r="C10" s="72"/>
      <c r="U10" s="72"/>
      <c r="AD10" s="72"/>
      <c r="AM10" s="72"/>
      <c r="BI10" s="74"/>
    </row>
    <row r="11" spans="1:63" ht="15" customHeight="1" x14ac:dyDescent="0.25">
      <c r="A11" s="66"/>
      <c r="C11" s="72"/>
      <c r="U11" s="72"/>
      <c r="AD11" s="72"/>
      <c r="AM11" s="72"/>
      <c r="BI11" s="74"/>
    </row>
    <row r="12" spans="1:63" ht="15" customHeight="1" x14ac:dyDescent="0.25">
      <c r="A12" s="66"/>
      <c r="C12" s="72"/>
      <c r="U12" s="72"/>
      <c r="AD12" s="72"/>
      <c r="AM12" s="72"/>
      <c r="AX12" s="64" t="s">
        <v>107</v>
      </c>
      <c r="BI12" s="74"/>
    </row>
    <row r="13" spans="1:63" ht="15" customHeight="1" x14ac:dyDescent="0.25">
      <c r="A13" s="66"/>
      <c r="C13" s="72"/>
      <c r="U13" s="72"/>
      <c r="AD13" s="72"/>
      <c r="AM13" s="72"/>
      <c r="BI13" s="74"/>
    </row>
    <row r="14" spans="1:63" ht="15" customHeight="1" x14ac:dyDescent="0.25">
      <c r="A14" s="66"/>
      <c r="C14" s="72"/>
      <c r="U14" s="72"/>
      <c r="AD14" s="72"/>
      <c r="AM14" s="72"/>
      <c r="BI14" s="74"/>
    </row>
    <row r="15" spans="1:63" ht="15" customHeight="1" x14ac:dyDescent="0.25">
      <c r="A15" s="66"/>
      <c r="C15" s="72"/>
      <c r="U15" s="72"/>
      <c r="AD15" s="72"/>
      <c r="AM15" s="72"/>
      <c r="BI15" s="74"/>
    </row>
    <row r="16" spans="1:63" ht="15" customHeight="1" x14ac:dyDescent="0.25">
      <c r="A16" s="66"/>
      <c r="C16" s="72"/>
      <c r="U16" s="72"/>
      <c r="AD16" s="72"/>
      <c r="AM16" s="72"/>
      <c r="BI16" s="74"/>
    </row>
    <row r="17" spans="1:61" ht="15" customHeight="1" x14ac:dyDescent="0.25">
      <c r="A17" s="66"/>
      <c r="C17" s="72"/>
      <c r="U17" s="72"/>
      <c r="AD17" s="72"/>
      <c r="AM17" s="72"/>
      <c r="BI17" s="74"/>
    </row>
    <row r="18" spans="1:61" ht="15" customHeight="1" x14ac:dyDescent="0.25">
      <c r="A18" s="66"/>
      <c r="C18" s="72"/>
      <c r="U18" s="72"/>
      <c r="AD18" s="72"/>
      <c r="AM18" s="72"/>
      <c r="BI18" s="74"/>
    </row>
    <row r="19" spans="1:61" ht="15" customHeight="1" x14ac:dyDescent="0.25">
      <c r="A19" s="66"/>
      <c r="C19" s="72"/>
      <c r="U19" s="72"/>
      <c r="AD19" s="72"/>
      <c r="AM19" s="72"/>
      <c r="BI19" s="74"/>
    </row>
    <row r="20" spans="1:61" ht="15" customHeight="1" x14ac:dyDescent="0.25">
      <c r="A20" s="66"/>
      <c r="C20" s="72"/>
      <c r="U20" s="72"/>
      <c r="AD20" s="72"/>
      <c r="AM20" s="72"/>
      <c r="BI20" s="74"/>
    </row>
    <row r="21" spans="1:61" ht="15" customHeight="1" x14ac:dyDescent="0.25">
      <c r="A21" s="66"/>
      <c r="C21" s="72"/>
      <c r="U21" s="72"/>
      <c r="AD21" s="72"/>
      <c r="AM21" s="72"/>
      <c r="BI21" s="74"/>
    </row>
    <row r="22" spans="1:61" ht="15" customHeight="1" x14ac:dyDescent="0.25">
      <c r="A22" s="66"/>
      <c r="C22" s="72"/>
      <c r="U22" s="72"/>
      <c r="AD22" s="72"/>
      <c r="AM22" s="72"/>
      <c r="BI22" s="74"/>
    </row>
    <row r="23" spans="1:61" ht="15" customHeight="1" x14ac:dyDescent="0.25">
      <c r="A23" s="66"/>
      <c r="C23" s="72"/>
      <c r="U23" s="72"/>
      <c r="AD23" s="72"/>
      <c r="AM23" s="72"/>
      <c r="BI23" s="74"/>
    </row>
    <row r="24" spans="1:61" ht="15" customHeight="1" x14ac:dyDescent="0.25">
      <c r="A24" s="66"/>
      <c r="C24" s="72"/>
      <c r="U24" s="72"/>
      <c r="AD24" s="72"/>
      <c r="AM24" s="72"/>
      <c r="BI24" s="74"/>
    </row>
    <row r="25" spans="1:61" ht="15" customHeight="1" x14ac:dyDescent="0.25">
      <c r="A25" s="66"/>
      <c r="C25" s="72"/>
      <c r="U25" s="72"/>
      <c r="AD25" s="72"/>
      <c r="AM25" s="72"/>
      <c r="BI25" s="74"/>
    </row>
    <row r="26" spans="1:61" ht="15" customHeight="1" x14ac:dyDescent="0.25">
      <c r="A26" s="66"/>
      <c r="C26" s="72"/>
      <c r="U26" s="72"/>
      <c r="AD26" s="72"/>
      <c r="AM26" s="72"/>
      <c r="BI26" s="74"/>
    </row>
    <row r="27" spans="1:61" ht="15" customHeight="1" x14ac:dyDescent="0.25">
      <c r="A27" s="66"/>
      <c r="C27" s="72"/>
      <c r="U27" s="72"/>
      <c r="AD27" s="72"/>
      <c r="AM27" s="72"/>
      <c r="BI27" s="74"/>
    </row>
    <row r="28" spans="1:61" ht="15" customHeight="1" x14ac:dyDescent="0.25">
      <c r="A28" s="66"/>
      <c r="C28" s="72"/>
      <c r="U28" s="72"/>
      <c r="AD28" s="72"/>
      <c r="AM28" s="72"/>
      <c r="BI28" s="74"/>
    </row>
    <row r="29" spans="1:61" ht="15" customHeight="1" x14ac:dyDescent="0.25">
      <c r="A29" s="66"/>
      <c r="C29" s="72"/>
      <c r="U29" s="72"/>
      <c r="AD29" s="72"/>
      <c r="AM29" s="72"/>
      <c r="BI29" s="74"/>
    </row>
    <row r="30" spans="1:61" ht="15" customHeight="1" x14ac:dyDescent="0.25">
      <c r="A30" s="66"/>
      <c r="C30" s="72"/>
      <c r="U30" s="72"/>
      <c r="AD30" s="72"/>
      <c r="AM30" s="72"/>
      <c r="BI30" s="74"/>
    </row>
    <row r="31" spans="1:61" ht="15" customHeight="1" x14ac:dyDescent="0.25">
      <c r="A31" s="66"/>
      <c r="C31" s="72"/>
      <c r="U31" s="72"/>
      <c r="AD31" s="72"/>
      <c r="AM31" s="72"/>
      <c r="BI31" s="74"/>
    </row>
    <row r="32" spans="1:61" ht="15" customHeight="1" x14ac:dyDescent="0.25">
      <c r="A32" s="66"/>
      <c r="C32" s="72"/>
      <c r="U32" s="72"/>
      <c r="AD32" s="72"/>
      <c r="AM32" s="72"/>
      <c r="BI32" s="74"/>
    </row>
    <row r="33" spans="1:61" ht="15" customHeight="1" x14ac:dyDescent="0.25">
      <c r="A33" s="66"/>
      <c r="C33" s="72"/>
      <c r="U33" s="72"/>
      <c r="AD33" s="72"/>
      <c r="AM33" s="72"/>
      <c r="BI33" s="74"/>
    </row>
    <row r="34" spans="1:61" ht="15" customHeight="1" x14ac:dyDescent="0.25">
      <c r="A34" s="66"/>
      <c r="C34" s="72"/>
      <c r="U34" s="72"/>
      <c r="AD34" s="72"/>
      <c r="AM34" s="72"/>
      <c r="BI34" s="74"/>
    </row>
    <row r="35" spans="1:61" ht="15" customHeight="1" x14ac:dyDescent="0.25">
      <c r="A35" s="66"/>
      <c r="C35" s="72"/>
      <c r="U35" s="72"/>
      <c r="AD35" s="72"/>
      <c r="AM35" s="72"/>
      <c r="BI35" s="74"/>
    </row>
    <row r="36" spans="1:61" ht="15" customHeight="1" x14ac:dyDescent="0.25">
      <c r="A36" s="66"/>
      <c r="C36" s="72"/>
      <c r="U36" s="72"/>
      <c r="AD36" s="72"/>
      <c r="AM36" s="72"/>
      <c r="BI36" s="74"/>
    </row>
    <row r="37" spans="1:61" ht="15" customHeight="1" x14ac:dyDescent="0.25">
      <c r="A37" s="66"/>
      <c r="C37" s="72"/>
      <c r="U37" s="72"/>
      <c r="AD37" s="72"/>
      <c r="AM37" s="72"/>
      <c r="BI37" s="74"/>
    </row>
    <row r="38" spans="1:61" ht="15" customHeight="1" x14ac:dyDescent="0.25">
      <c r="A38" s="66"/>
      <c r="C38" s="72"/>
      <c r="U38" s="72"/>
      <c r="AD38" s="72"/>
      <c r="AM38" s="72"/>
      <c r="BI38" s="74"/>
    </row>
    <row r="39" spans="1:61" ht="15" customHeight="1" x14ac:dyDescent="0.25">
      <c r="A39" s="66"/>
      <c r="C39" s="72"/>
      <c r="U39" s="72"/>
      <c r="AD39" s="72"/>
      <c r="AM39" s="72"/>
      <c r="BI39" s="74"/>
    </row>
    <row r="40" spans="1:61" ht="15" customHeight="1" x14ac:dyDescent="0.25">
      <c r="A40" s="66"/>
      <c r="C40" s="72"/>
      <c r="U40" s="72"/>
      <c r="AD40" s="72"/>
      <c r="AM40" s="72"/>
      <c r="BI40" s="74"/>
    </row>
    <row r="41" spans="1:61" ht="15" customHeight="1" x14ac:dyDescent="0.25">
      <c r="A41" s="66"/>
      <c r="C41" s="72"/>
      <c r="U41" s="72"/>
      <c r="AD41" s="72"/>
      <c r="AM41" s="72"/>
      <c r="BI41" s="74"/>
    </row>
    <row r="42" spans="1:61" ht="15" customHeight="1" x14ac:dyDescent="0.25">
      <c r="A42" s="66"/>
      <c r="C42" s="72"/>
      <c r="U42" s="72"/>
      <c r="AD42" s="72"/>
      <c r="AM42" s="72"/>
      <c r="BI42" s="74"/>
    </row>
    <row r="43" spans="1:61" ht="15" customHeight="1" x14ac:dyDescent="0.25">
      <c r="A43" s="66"/>
      <c r="C43" s="72"/>
      <c r="U43" s="72"/>
      <c r="AD43" s="72"/>
      <c r="AM43" s="72"/>
      <c r="BI43" s="74"/>
    </row>
    <row r="44" spans="1:61" ht="15" customHeight="1" x14ac:dyDescent="0.25">
      <c r="A44" s="66"/>
      <c r="C44" s="72"/>
      <c r="U44" s="72"/>
      <c r="AD44" s="72"/>
      <c r="AM44" s="72"/>
      <c r="BI44" s="74"/>
    </row>
    <row r="45" spans="1:61" ht="15" customHeight="1" x14ac:dyDescent="0.25">
      <c r="A45" s="66"/>
      <c r="C45" s="72"/>
      <c r="U45" s="72"/>
      <c r="AD45" s="72"/>
      <c r="AM45" s="72"/>
      <c r="BI45" s="74"/>
    </row>
    <row r="46" spans="1:61" ht="15" customHeight="1" x14ac:dyDescent="0.25">
      <c r="A46" s="66"/>
      <c r="C46" s="72"/>
      <c r="U46" s="72"/>
      <c r="AD46" s="72"/>
      <c r="AM46" s="72"/>
      <c r="BI46" s="74"/>
    </row>
    <row r="47" spans="1:61" ht="15" customHeight="1" x14ac:dyDescent="0.25">
      <c r="A47" s="66"/>
      <c r="C47" s="72"/>
      <c r="U47" s="72"/>
      <c r="AD47" s="72"/>
      <c r="AM47" s="72"/>
      <c r="BI47" s="74"/>
    </row>
    <row r="48" spans="1:61" ht="15" customHeight="1" x14ac:dyDescent="0.25">
      <c r="A48" s="66"/>
      <c r="C48" s="72"/>
      <c r="U48" s="72"/>
      <c r="AD48" s="72"/>
      <c r="AM48" s="72"/>
      <c r="BI48" s="74"/>
    </row>
    <row r="49" spans="1:63" ht="15" customHeight="1" x14ac:dyDescent="0.25">
      <c r="A49" s="66"/>
      <c r="C49" s="72"/>
      <c r="U49" s="72"/>
      <c r="AD49" s="72"/>
      <c r="AM49" s="72"/>
      <c r="BI49" s="74"/>
    </row>
    <row r="50" spans="1:63" ht="15" customHeight="1" x14ac:dyDescent="0.25">
      <c r="A50" s="66"/>
      <c r="C50" s="72"/>
      <c r="U50" s="72"/>
      <c r="AD50" s="72"/>
      <c r="AM50" s="72"/>
      <c r="BI50" s="74"/>
    </row>
    <row r="51" spans="1:63" ht="15" customHeight="1" x14ac:dyDescent="0.25">
      <c r="A51" s="66"/>
      <c r="C51" s="72"/>
      <c r="U51" s="72"/>
      <c r="AD51" s="72"/>
      <c r="AM51" s="72"/>
      <c r="BI51" s="74"/>
    </row>
    <row r="52" spans="1:63" ht="15" customHeight="1" x14ac:dyDescent="0.25">
      <c r="A52" s="66"/>
      <c r="C52" s="72"/>
      <c r="U52" s="72"/>
      <c r="AD52" s="72"/>
      <c r="AM52" s="72"/>
      <c r="BI52" s="74"/>
    </row>
    <row r="53" spans="1:63" ht="15" customHeight="1" x14ac:dyDescent="0.25">
      <c r="A53" s="66"/>
      <c r="C53" s="72"/>
      <c r="U53" s="72"/>
      <c r="AD53" s="72"/>
      <c r="AM53" s="72"/>
      <c r="BI53" s="74"/>
    </row>
    <row r="54" spans="1:63" ht="15" customHeight="1" x14ac:dyDescent="0.25">
      <c r="A54" s="66"/>
      <c r="C54" s="72"/>
      <c r="U54" s="72"/>
      <c r="AD54" s="72"/>
      <c r="AM54" s="72"/>
      <c r="BI54" s="74"/>
    </row>
    <row r="55" spans="1:63" ht="15" customHeight="1" x14ac:dyDescent="0.25">
      <c r="A55" s="65"/>
      <c r="B55" s="88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88"/>
      <c r="V55" s="47"/>
      <c r="W55" s="47"/>
      <c r="X55" s="47"/>
      <c r="Y55" s="47"/>
      <c r="Z55" s="47"/>
      <c r="AA55" s="47"/>
      <c r="AB55" s="47"/>
      <c r="AC55" s="47"/>
      <c r="AD55" s="88"/>
      <c r="AE55" s="47"/>
      <c r="AF55" s="47"/>
      <c r="AG55" s="47"/>
      <c r="AH55" s="47"/>
      <c r="AI55" s="47"/>
      <c r="AJ55" s="47"/>
      <c r="AK55" s="47"/>
      <c r="AL55" s="47"/>
      <c r="AM55" s="88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89"/>
      <c r="BJ55" s="47"/>
      <c r="BK55" s="48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1A9778B95955B468B907ACFDC6C24AA" ma:contentTypeVersion="12" ma:contentTypeDescription="新しいドキュメントを作成します。" ma:contentTypeScope="" ma:versionID="726537ecfb063646cd688700d616079b">
  <xsd:schema xmlns:xsd="http://www.w3.org/2001/XMLSchema" xmlns:xs="http://www.w3.org/2001/XMLSchema" xmlns:p="http://schemas.microsoft.com/office/2006/metadata/properties" xmlns:ns2="c25985f6-738a-4fbb-ade1-fdbe81c9268b" xmlns:ns3="2dd5972e-fc8f-47aa-916d-ced3529f73a8" targetNamespace="http://schemas.microsoft.com/office/2006/metadata/properties" ma:root="true" ma:fieldsID="f7f884ee00b5d4c00816d2be8aa57e92" ns2:_="" ns3:_="">
    <xsd:import namespace="c25985f6-738a-4fbb-ade1-fdbe81c9268b"/>
    <xsd:import namespace="2dd5972e-fc8f-47aa-916d-ced3529f7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985f6-738a-4fbb-ade1-fdbe81c926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d5972e-fc8f-47aa-916d-ced3529f73a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5465f8c-49d0-4f7c-88a6-833fad5fd184}" ma:internalName="TaxCatchAll" ma:showField="CatchAllData" ma:web="2dd5972e-fc8f-47aa-916d-ced3529f7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81EEE-B1B2-44E3-BFFA-F5CC97F30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5985f6-738a-4fbb-ade1-fdbe81c9268b"/>
    <ds:schemaRef ds:uri="2dd5972e-fc8f-47aa-916d-ced3529f73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546B59-F975-44D4-8331-29764306AC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表紙</vt:lpstr>
      <vt:lpstr>改訂履歴</vt:lpstr>
      <vt:lpstr>指摘履歴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指摘履歴!Print_Area</vt:lpstr>
      <vt:lpstr>改訂履歴!Print_Area</vt:lpstr>
      <vt:lpstr>業務フロー!Print_Area</vt:lpstr>
      <vt:lpstr>機能概要!Print_Area</vt:lpstr>
      <vt:lpstr>機能概要説明!Print_Area</vt:lpstr>
      <vt:lpstr>表紙!Print_Area</vt:lpstr>
      <vt:lpstr>テンプレート!Print_Titles</vt:lpstr>
      <vt:lpstr>指摘履歴!Print_Titles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cp:revision/>
  <dcterms:created xsi:type="dcterms:W3CDTF">2015-06-05T18:19:34Z</dcterms:created>
  <dcterms:modified xsi:type="dcterms:W3CDTF">2024-09-12T10:42:42Z</dcterms:modified>
  <cp:category/>
  <cp:contentStatus/>
</cp:coreProperties>
</file>