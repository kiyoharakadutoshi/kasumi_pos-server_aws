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os system\10_機能概要_画面遷移\"/>
    </mc:Choice>
  </mc:AlternateContent>
  <xr:revisionPtr revIDLastSave="0" documentId="13_ncr:1_{0480613C-305B-46ED-8CB9-27325EF7DF1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指摘履歴" sheetId="10" r:id="rId3"/>
    <sheet name="業務フロー" sheetId="9" r:id="rId4"/>
    <sheet name="機能概要説明" sheetId="8" r:id="rId5"/>
    <sheet name="機能概要" sheetId="5" r:id="rId6"/>
    <sheet name="画面設計書" sheetId="7" r:id="rId7"/>
    <sheet name="テンプレート" sheetId="2" r:id="rId8"/>
  </sheets>
  <definedNames>
    <definedName name="_xlnm.Print_Area" localSheetId="7">テンプレート!$A$1:$BK$55</definedName>
    <definedName name="_xlnm.Print_Area" localSheetId="2">指摘履歴!$A$1:$BK$51</definedName>
    <definedName name="_xlnm.Print_Area" localSheetId="1">改訂履歴!$A$1:$BK$53</definedName>
    <definedName name="_xlnm.Print_Area" localSheetId="5">機能概要!$A$1:$BK$144</definedName>
    <definedName name="_xlnm.Print_Area" localSheetId="4">機能概要説明!$A$1:$BK$57</definedName>
    <definedName name="_xlnm.Print_Area" localSheetId="0">表紙!$A$1:$BK$55</definedName>
    <definedName name="_xlnm.Print_Titles" localSheetId="7">テンプレート!$1:$5</definedName>
    <definedName name="_xlnm.Print_Titles" localSheetId="2">指摘履歴!$1:$5</definedName>
    <definedName name="_xlnm.Print_Titles" localSheetId="1">改訂履歴!$1:$5</definedName>
    <definedName name="_xlnm.Print_Titles" localSheetId="3">業務フロー!$1:$5</definedName>
    <definedName name="_xlnm.Print_Titles" localSheetId="5">機能概要!$1:$5</definedName>
    <definedName name="_xlnm.Print_Titles" localSheetId="4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BH2" i="2"/>
  <c r="AT2" i="2"/>
  <c r="AP2" i="2"/>
  <c r="K2" i="2"/>
  <c r="A2" i="2"/>
  <c r="W1" i="2"/>
  <c r="AP4" i="7"/>
  <c r="Z4" i="7"/>
  <c r="H4" i="7"/>
  <c r="BH2" i="7"/>
  <c r="AT2" i="7"/>
  <c r="AP2" i="7"/>
  <c r="K2" i="7"/>
  <c r="A2" i="7"/>
  <c r="W1" i="7"/>
  <c r="BM9" i="5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BM124" i="5" s="1"/>
  <c r="BM125" i="5" s="1"/>
  <c r="BM126" i="5" s="1"/>
  <c r="BM127" i="5" s="1"/>
  <c r="BM128" i="5" s="1"/>
  <c r="BM129" i="5" s="1"/>
  <c r="BM130" i="5" s="1"/>
  <c r="BM131" i="5" s="1"/>
  <c r="BM132" i="5" s="1"/>
  <c r="BM133" i="5" s="1"/>
  <c r="BM134" i="5" s="1"/>
  <c r="BM135" i="5" s="1"/>
  <c r="BM136" i="5" s="1"/>
  <c r="BM137" i="5" s="1"/>
  <c r="BM138" i="5" s="1"/>
  <c r="BM139" i="5" s="1"/>
  <c r="BM140" i="5" s="1"/>
  <c r="BM141" i="5" s="1"/>
  <c r="BM142" i="5" s="1"/>
  <c r="BM143" i="5" s="1"/>
  <c r="BM144" i="5" s="1"/>
  <c r="BM8" i="5"/>
  <c r="AP4" i="5" a="1"/>
  <c r="AP4" i="5" s="1"/>
  <c r="Z4" i="5"/>
  <c r="H4" i="5"/>
  <c r="BH2" i="5"/>
  <c r="AT2" i="5"/>
  <c r="AP2" i="5"/>
  <c r="K2" i="5"/>
  <c r="A2" i="5"/>
  <c r="W1" i="5"/>
  <c r="BM7" i="8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AP4" i="8" a="1"/>
  <c r="AP4" i="8" s="1"/>
  <c r="Z4" i="8"/>
  <c r="H4" i="8"/>
  <c r="BH2" i="8"/>
  <c r="AT2" i="8"/>
  <c r="AP2" i="8"/>
  <c r="K2" i="8"/>
  <c r="A2" i="8"/>
  <c r="W1" i="8"/>
  <c r="AP4" i="9" a="1"/>
  <c r="AP4" i="9" s="1"/>
  <c r="Z4" i="9"/>
  <c r="H4" i="9"/>
  <c r="BH2" i="9"/>
  <c r="AT2" i="9"/>
  <c r="AP2" i="9"/>
  <c r="K2" i="9"/>
  <c r="A2" i="9"/>
  <c r="AP4" i="3" a="1"/>
  <c r="AP4" i="3" s="1"/>
  <c r="Z4" i="3"/>
  <c r="H4" i="3"/>
  <c r="BH2" i="3"/>
  <c r="AT2" i="3"/>
  <c r="AP2" i="3"/>
  <c r="K2" i="3"/>
  <c r="A2" i="3"/>
  <c r="W1" i="3"/>
  <c r="L24" i="4"/>
  <c r="AP4" i="4" a="1"/>
  <c r="AP4" i="4" s="1"/>
  <c r="BH2" i="4"/>
  <c r="BC2" i="4"/>
  <c r="BC2" i="2" s="1"/>
  <c r="AY2" i="4"/>
  <c r="AY2" i="7" s="1"/>
  <c r="AT2" i="4"/>
  <c r="AP2" i="4"/>
  <c r="AY2" i="9" l="1"/>
  <c r="BC2" i="5"/>
  <c r="AY2" i="5"/>
  <c r="BC2" i="7"/>
  <c r="AY2" i="8"/>
  <c r="AY2" i="3"/>
  <c r="BC2" i="9"/>
  <c r="BC2" i="8"/>
  <c r="AY2" i="2"/>
  <c r="BC2" i="3"/>
</calcChain>
</file>

<file path=xl/sharedStrings.xml><?xml version="1.0" encoding="utf-8"?>
<sst xmlns="http://schemas.openxmlformats.org/spreadsheetml/2006/main" count="271" uniqueCount="126">
  <si>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</si>
  <si>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</si>
  <si>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</si>
  <si>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</si>
  <si>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</si>
  <si>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</si>
  <si>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</si>
  <si>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</si>
  <si>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</si>
  <si>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</si>
  <si>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</si>
  <si>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</si>
  <si>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</si>
  <si>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8"/>
        <color rgb="FF000000"/>
        <rFont val="Meiryo UI"/>
        <family val="3"/>
      </rPr>
      <t>基本設計書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</si>
  <si>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</si>
  <si>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</si>
  <si>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</si>
  <si>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</si>
  <si>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</si>
  <si>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</si>
  <si>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</si>
  <si>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</si>
  <si>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</si>
  <si>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</si>
  <si>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</si>
  <si>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</si>
  <si>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</si>
  <si>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</si>
  <si>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</si>
  <si>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</si>
  <si>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</si>
  <si>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POSサーバー</t>
    </r>
  </si>
  <si>
    <t>`</t>
  </si>
  <si>
    <r>
      <rPr>
        <sz val="24"/>
        <color rgb="FF000000"/>
        <rFont val="Meiryo UI"/>
        <family val="3"/>
      </rPr>
      <t>POSサーバーの基本設計書</t>
    </r>
  </si>
  <si>
    <r>
      <rPr>
        <sz val="11"/>
        <color rgb="FF000000"/>
        <rFont val="Meiryo UI"/>
        <family val="2"/>
      </rPr>
      <t>LoiLV</t>
    </r>
  </si>
  <si>
    <r>
      <rPr>
        <sz val="11"/>
        <color rgb="FF000000"/>
        <rFont val="Meiryo UI"/>
        <family val="2"/>
      </rPr>
      <t>1, 7, 8 定番変更機能により次のことが可能になる。</t>
    </r>
  </si>
  <si>
    <r>
      <rPr>
        <sz val="11"/>
        <color rgb="FF000000"/>
        <rFont val="Meiryo UI"/>
        <family val="2"/>
      </rPr>
      <t>SC0601_1, 7, 8 定番変更画面（初期）</t>
    </r>
  </si>
  <si>
    <r>
      <rPr>
        <sz val="11"/>
        <color rgb="FF000000"/>
        <rFont val="Meiryo UI"/>
        <family val="2"/>
      </rPr>
      <t>・定番売価変更履歴を日付・部門別に検索する。</t>
    </r>
  </si>
  <si>
    <r>
      <rPr>
        <sz val="11"/>
        <color rgb="FF000000"/>
        <rFont val="Meiryo UI"/>
        <family val="2"/>
      </rPr>
      <t>・1、7、8部門の各商品の定番売価を毎日変更する。売価は当日以降のみ変更可能。</t>
    </r>
  </si>
  <si>
    <r>
      <rPr>
        <sz val="11"/>
        <color rgb="FF000000"/>
        <rFont val="Meiryo UI"/>
        <family val="2"/>
      </rPr>
      <t>・毎日バッチを実行して定番売価を更新する。</t>
    </r>
  </si>
  <si>
    <r>
      <rPr>
        <sz val="11"/>
        <color rgb="FF000000"/>
        <rFont val="Meiryo UI"/>
        <family val="2"/>
      </rPr>
      <t>レビューによる更新</t>
    </r>
  </si>
  <si>
    <r>
      <rPr>
        <sz val="11"/>
        <color rgb="FF000000"/>
        <rFont val="Meiryo UI"/>
        <family val="2"/>
      </rPr>
      <t>・売価変更金額は当日のみ有効、売価変更が最優先になる。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</si>
  <si>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</si>
  <si>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2024年05月10日のコメントによる更新</t>
    </r>
  </si>
  <si>
    <r>
      <rPr>
        <sz val="11"/>
        <color rgb="FF000000"/>
        <rFont val="Meiryo UI"/>
        <family val="2"/>
      </rPr>
      <t>2024年05月15日のコメントによる更新</t>
    </r>
  </si>
  <si>
    <r>
      <rPr>
        <sz val="11"/>
        <color rgb="FF000000"/>
        <rFont val="Meiryo UI"/>
        <family val="2"/>
      </rPr>
      <t>2024年5月20日のコメントによる更新</t>
    </r>
  </si>
  <si>
    <r>
      <rPr>
        <sz val="11"/>
        <color rgb="FF000000"/>
        <rFont val="Meiryo UI"/>
        <family val="2"/>
      </rPr>
      <t>KSM</t>
    </r>
  </si>
  <si>
    <r>
      <rPr>
        <sz val="11"/>
        <color rgb="FF000000"/>
        <rFont val="Meiryo UI"/>
        <family val="2"/>
      </rPr>
      <t>コメントによる更新</t>
    </r>
  </si>
  <si>
    <r>
      <rPr>
        <sz val="11"/>
        <color rgb="FF000000"/>
        <rFont val="Meiryo UI"/>
        <family val="2"/>
      </rPr>
      <t>2024年06月04日のコメントによる更新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</si>
  <si>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</si>
  <si>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2024年06月26日のコメントによる更新</t>
    </r>
  </si>
  <si>
    <t>カスミ　佐々木</t>
    <rPh sb="4" eb="7">
      <t>ササキ</t>
    </rPh>
    <phoneticPr fontId="0"/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</si>
  <si>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</si>
  <si>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</si>
  <si>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</si>
  <si>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</si>
  <si>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指摘履歴</t>
    </r>
  </si>
  <si>
    <r>
      <rPr>
        <sz val="11"/>
        <color rgb="FF000000"/>
        <rFont val="Meiryo UI"/>
        <family val="2"/>
      </rPr>
      <t>佐々木</t>
    </r>
  </si>
  <si>
    <r>
      <rPr>
        <sz val="11"/>
        <color rgb="FF000000"/>
        <rFont val="Meiryo UI"/>
        <family val="2"/>
      </rPr>
      <t>カスミ</t>
    </r>
  </si>
  <si>
    <r>
      <rPr>
        <sz val="11"/>
        <color rgb="FF000000"/>
        <rFont val="Meiryo UI"/>
        <family val="2"/>
      </rPr>
      <t>TinNH</t>
    </r>
  </si>
  <si>
    <r>
      <rPr>
        <sz val="18"/>
        <color rgb="FF000000"/>
        <rFont val="Meiryo UI"/>
        <family val="3"/>
      </rPr>
      <t>基本設計書</t>
    </r>
  </si>
  <si>
    <r>
      <rPr>
        <sz val="11"/>
        <color rgb="FF000000"/>
        <rFont val="Meiryo UI"/>
        <family val="2"/>
      </rPr>
      <t>POS server</t>
    </r>
  </si>
  <si>
    <r>
      <rPr>
        <sz val="11"/>
        <color rgb="FF000000"/>
        <rFont val="Meiryo UI"/>
        <family val="2"/>
      </rPr>
      <t>06_1, 7, 8 定番変更</t>
    </r>
  </si>
  <si>
    <r>
      <rPr>
        <sz val="11"/>
        <color rgb="FF000000"/>
        <rFont val="Meiryo UI"/>
        <family val="2"/>
      </rPr>
      <t>概要設計書</t>
    </r>
  </si>
  <si>
    <t>佐々木</t>
  </si>
  <si>
    <r>
      <rPr>
        <sz val="11"/>
        <color rgb="FF000000"/>
        <rFont val="Meiryo UI"/>
        <family val="2"/>
      </rPr>
      <t>・削除チェックボックス機能内容を追加</t>
    </r>
  </si>
  <si>
    <r>
      <rPr>
        <sz val="11"/>
        <color rgb="FF000000"/>
        <rFont val="Meiryo UI"/>
        <family val="2"/>
      </rPr>
      <t>POS server</t>
    </r>
  </si>
  <si>
    <t>機能概要</t>
  </si>
  <si>
    <t>・変更売価０円はエラー
・商品名称は漢字(全角)２５文字
・②売価変更履歴を予約日付と部門コードで検索する（必須ではない）
＝＞予約日付は必須</t>
  </si>
  <si>
    <t>・商品名称は漢字(全角)２５文字</t>
  </si>
  <si>
    <t>未反映</t>
  </si>
  <si>
    <t>検索時に【削除】チェックを有効として、【削除】チェックありで【確定】した場合定番売価を登録前の定番売価に戻す。</t>
    <rPh sb="0" eb="2">
      <t>ケンサク</t>
    </rPh>
    <rPh sb="2" eb="3">
      <t>ジ</t>
    </rPh>
    <rPh sb="5" eb="7">
      <t>サクジョ</t>
    </rPh>
    <rPh sb="13" eb="15">
      <t>ユウコウ</t>
    </rPh>
    <rPh sb="20" eb="22">
      <t>サクジョ</t>
    </rPh>
    <rPh sb="31" eb="33">
      <t>カクテイ</t>
    </rPh>
    <rPh sb="36" eb="38">
      <t>バアイ</t>
    </rPh>
    <rPh sb="38" eb="40">
      <t>テイバン</t>
    </rPh>
    <rPh sb="40" eb="42">
      <t>バイカ</t>
    </rPh>
    <rPh sb="43" eb="45">
      <t>トウロク</t>
    </rPh>
    <rPh sb="45" eb="46">
      <t>マエ</t>
    </rPh>
    <rPh sb="47" eb="49">
      <t>テイバン</t>
    </rPh>
    <rPh sb="49" eb="51">
      <t>バイカ</t>
    </rPh>
    <rPh sb="52" eb="53">
      <t>モド</t>
    </rPh>
    <phoneticPr fontId="0"/>
  </si>
  <si>
    <t>　【×】押下でメニュー画面表示　更新画面で更新情報がある場合は【編集情報が失われますがよろしいですか？】表示</t>
    <rPh sb="4" eb="6">
      <t>オウカ</t>
    </rPh>
    <rPh sb="11" eb="13">
      <t>ガメン</t>
    </rPh>
    <rPh sb="13" eb="15">
      <t>ヒョウジ</t>
    </rPh>
    <rPh sb="16" eb="18">
      <t>コウシン</t>
    </rPh>
    <rPh sb="18" eb="20">
      <t>ガメン</t>
    </rPh>
    <rPh sb="21" eb="23">
      <t>コウシン</t>
    </rPh>
    <rPh sb="23" eb="25">
      <t>ジョウホウ</t>
    </rPh>
    <rPh sb="28" eb="30">
      <t>バアイ</t>
    </rPh>
    <rPh sb="32" eb="34">
      <t>ヘンシュウ</t>
    </rPh>
    <rPh sb="34" eb="36">
      <t>ジョウホウ</t>
    </rPh>
    <rPh sb="37" eb="38">
      <t>ウシナ</t>
    </rPh>
    <rPh sb="52" eb="54">
      <t>ヒョウジ</t>
    </rPh>
    <phoneticPr fontId="0"/>
  </si>
  <si>
    <t>　【ESC】押下でメニュー画面表示　更新画面で更新情報がある場合は【編集情報が失われますがよろしいですか？】表示</t>
  </si>
  <si>
    <t>以下の記載が反映されていません。 検索時に【削除】チェックを有効として、【削除】チェックありで【確定】した場合定番売価を登録前の定番売価に戻す。</t>
  </si>
  <si>
    <t>ver0.8の更新部分に色を付ける。</t>
  </si>
  <si>
    <t>DuNT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</si>
  <si>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</si>
  <si>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</si>
  <si>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</si>
  <si>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</si>
  <si>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</si>
  <si>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</si>
  <si>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</si>
  <si>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</si>
  <si>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</si>
  <si>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</si>
  <si>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</si>
  <si>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</si>
  <si>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000000"/>
        <rFont val="Meiryo UI"/>
        <family val="2"/>
      </rPr>
      <t xml:space="preserve">コメントによる更新 </t>
    </r>
  </si>
  <si>
    <t>・・変更売価が「0」の場合、「変更売価は0より大きい数字を入力してください。」メッセージがあるモダールが表示される。「はい」をタッチすると、  モダールが閉じてエラーが発生した変更売価入力項目にフォーカスされる。
・上記以外の場合（未入力の場合は「変更なし」とみなされる）＝＞未入力のっ場合はエラーとする。</t>
  </si>
  <si>
    <r>
      <rPr>
        <sz val="11"/>
        <color rgb="FFFFFFFF"/>
        <rFont val="Meiryo UI"/>
        <family val="3"/>
      </rPr>
      <t>システム名</t>
    </r>
  </si>
  <si>
    <r>
      <rPr>
        <sz val="11"/>
        <color rgb="FFFFFFFF"/>
        <rFont val="Meiryo UI"/>
        <family val="3"/>
      </rPr>
      <t>システム種別</t>
    </r>
  </si>
  <si>
    <r>
      <rPr>
        <sz val="11"/>
        <color rgb="FFFFFFFF"/>
        <rFont val="Meiryo UI"/>
        <family val="3"/>
      </rPr>
      <t>作成者</t>
    </r>
  </si>
  <si>
    <r>
      <rPr>
        <sz val="11"/>
        <color rgb="FFFFFFFF"/>
        <rFont val="Meiryo UI"/>
        <family val="3"/>
      </rPr>
      <t>作成日</t>
    </r>
  </si>
  <si>
    <r>
      <rPr>
        <sz val="11"/>
        <color rgb="FFFFFFFF"/>
        <rFont val="Meiryo UI"/>
        <family val="3"/>
      </rPr>
      <t>更新者</t>
    </r>
  </si>
  <si>
    <r>
      <rPr>
        <sz val="11"/>
        <color rgb="FFFFFFFF"/>
        <rFont val="Meiryo UI"/>
        <family val="3"/>
      </rPr>
      <t>更新日</t>
    </r>
  </si>
  <si>
    <r>
      <rPr>
        <sz val="11"/>
        <color rgb="FFFFFFFF"/>
        <rFont val="Meiryo UI"/>
        <family val="3"/>
      </rPr>
      <t>版数</t>
    </r>
  </si>
  <si>
    <r>
      <rPr>
        <sz val="11"/>
        <color rgb="FFFFFFFF"/>
        <rFont val="Meiryo UI"/>
        <family val="3"/>
      </rPr>
      <t>機能カテゴリー</t>
    </r>
  </si>
  <si>
    <r>
      <rPr>
        <sz val="11"/>
        <color rgb="FFFFFFFF"/>
        <rFont val="Meiryo UI"/>
        <family val="3"/>
      </rPr>
      <t>項目</t>
    </r>
  </si>
  <si>
    <r>
      <rPr>
        <sz val="11"/>
        <color rgb="FFFFFFFF"/>
        <rFont val="Meiryo UI"/>
        <family val="3"/>
      </rPr>
      <t>●1_自動釣銭機</t>
    </r>
  </si>
  <si>
    <r>
      <rPr>
        <sz val="11"/>
        <color rgb="FFFFFFFF"/>
        <rFont val="Meiryo UI"/>
        <family val="3"/>
      </rPr>
      <t>●1_レジ周辺機器</t>
    </r>
  </si>
  <si>
    <r>
      <rPr>
        <sz val="11"/>
        <color rgb="FFFFFFFF"/>
        <rFont val="Meiryo UI"/>
        <family val="3"/>
      </rPr>
      <t>●外部連携</t>
    </r>
  </si>
  <si>
    <r>
      <rPr>
        <sz val="11"/>
        <color rgb="FFFFFFFF"/>
        <rFont val="Meiryo UI"/>
        <family val="2"/>
      </rPr>
      <t>機能カテゴリ</t>
    </r>
  </si>
  <si>
    <t>06_1, 7, 8 定番変更</t>
  </si>
  <si>
    <r>
      <rPr>
        <sz val="11"/>
        <color rgb="FF000000"/>
        <rFont val="Meiryo UI"/>
        <family val="2"/>
      </rPr>
      <t xml:space="preserve"> PR0601_定番売価変更一覧の印刷帳票</t>
    </r>
  </si>
  <si>
    <t>SC0601_1, 7, 8 定番変更画面（結果）</t>
  </si>
  <si>
    <t>SC0601_1, 7, 8 定番変更画面（商品コード切替）</t>
  </si>
  <si>
    <t>Android POS Control</t>
  </si>
  <si>
    <t>■画面項目定義</t>
  </si>
  <si>
    <t>画面項目ID</t>
  </si>
  <si>
    <t>項目</t>
  </si>
  <si>
    <t>タイプ</t>
  </si>
  <si>
    <t>多言語対象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</si>
  <si>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</si>
  <si>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</si>
  <si>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</si>
  <si>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</si>
  <si>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</si>
  <si>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</si>
  <si>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</si>
  <si>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</si>
  <si>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</si>
  <si>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</si>
  <si>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User ID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</si>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</sst>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9" x14ac:knownFonts="1">
    <font>
      <sz val="11"/>
      <name val="Meiryo UI"/>
      <family val="3"/>
      <charset val="128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1"/>
      <color rgb="FFFF0000"/>
      <name val="Meiryo UI"/>
      <family val="2"/>
    </font>
    <font>
      <sz val="11"/>
      <color rgb="FF7030A0"/>
      <name val="Meiryo UI"/>
      <family val="2"/>
    </font>
    <font>
      <sz val="11"/>
      <color rgb="FF0000FF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11"/>
      <color rgb="FF0070C0"/>
      <name val="Meiryo UI"/>
      <family val="2"/>
    </font>
    <font>
      <sz val="11"/>
      <color theme="7" tint="-0.24994659260841701"/>
      <name val="Meiryo UI"/>
      <family val="2"/>
    </font>
    <font>
      <sz val="11"/>
      <color theme="5" tint="-0.24994659260841701"/>
      <name val="Meiryo UI"/>
      <family val="2"/>
    </font>
    <font>
      <sz val="11"/>
      <color theme="0"/>
      <name val="Meiryo UI"/>
      <family val="3"/>
    </font>
    <font>
      <sz val="11"/>
      <color rgb="FFFFFFFF"/>
      <name val="Meiryo UI"/>
      <family val="3"/>
    </font>
    <font>
      <sz val="18"/>
      <name val="Meiryo UI"/>
      <family val="3"/>
    </font>
    <font>
      <sz val="11"/>
      <name val="Meiryo UI"/>
      <family val="3"/>
    </font>
    <font>
      <sz val="11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16" fillId="0" borderId="0">
      <alignment vertical="center"/>
    </xf>
    <xf numFmtId="0" fontId="1" fillId="0" borderId="0"/>
  </cellStyleXfs>
  <cellXfs count="3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8" fillId="0" borderId="0" xfId="6" applyFont="1" applyAlignment="1">
      <alignment vertical="center"/>
    </xf>
    <xf numFmtId="0" fontId="8" fillId="0" borderId="2" xfId="6" applyFont="1" applyBorder="1" applyAlignment="1">
      <alignment vertical="center"/>
    </xf>
    <xf numFmtId="0" fontId="8" fillId="0" borderId="3" xfId="6" applyFont="1" applyBorder="1" applyAlignment="1">
      <alignment vertical="center"/>
    </xf>
    <xf numFmtId="0" fontId="8" fillId="0" borderId="5" xfId="6" applyFont="1" applyBorder="1" applyAlignment="1">
      <alignment vertical="center"/>
    </xf>
    <xf numFmtId="0" fontId="8" fillId="0" borderId="1" xfId="6" applyFont="1" applyBorder="1" applyAlignment="1">
      <alignment vertical="center"/>
    </xf>
    <xf numFmtId="0" fontId="8" fillId="0" borderId="4" xfId="6" applyFont="1" applyBorder="1" applyAlignment="1">
      <alignment vertical="center"/>
    </xf>
    <xf numFmtId="0" fontId="9" fillId="0" borderId="0" xfId="6" applyFont="1" applyAlignment="1">
      <alignment vertical="center"/>
    </xf>
    <xf numFmtId="0" fontId="8" fillId="0" borderId="22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8" fillId="0" borderId="24" xfId="6" applyFont="1" applyBorder="1" applyAlignment="1">
      <alignment vertical="center"/>
    </xf>
    <xf numFmtId="0" fontId="8" fillId="0" borderId="23" xfId="6" applyFont="1" applyBorder="1" applyAlignment="1">
      <alignment vertical="center"/>
    </xf>
    <xf numFmtId="0" fontId="8" fillId="0" borderId="25" xfId="6" applyFont="1" applyBorder="1" applyAlignment="1">
      <alignment horizontal="center" vertical="center"/>
    </xf>
    <xf numFmtId="0" fontId="8" fillId="0" borderId="26" xfId="6" applyFont="1" applyBorder="1" applyAlignment="1">
      <alignment horizontal="center" vertical="center"/>
    </xf>
    <xf numFmtId="0" fontId="8" fillId="0" borderId="26" xfId="6" applyFont="1" applyBorder="1" applyAlignment="1">
      <alignment vertical="center"/>
    </xf>
    <xf numFmtId="0" fontId="20" fillId="0" borderId="0" xfId="0" applyFont="1"/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7" fillId="0" borderId="0" xfId="0" applyFont="1"/>
    <xf numFmtId="0" fontId="27" fillId="0" borderId="2" xfId="0" applyFont="1" applyBorder="1"/>
    <xf numFmtId="0" fontId="27" fillId="0" borderId="3" xfId="0" applyFont="1" applyBorder="1"/>
    <xf numFmtId="0" fontId="27" fillId="0" borderId="5" xfId="0" applyFont="1" applyBorder="1"/>
    <xf numFmtId="0" fontId="27" fillId="0" borderId="1" xfId="0" applyFont="1" applyBorder="1" applyAlignment="1">
      <alignment vertical="center"/>
    </xf>
    <xf numFmtId="0" fontId="27" fillId="0" borderId="18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19" xfId="0" applyFont="1" applyBorder="1" applyAlignment="1">
      <alignment vertical="center"/>
    </xf>
    <xf numFmtId="0" fontId="27" fillId="0" borderId="4" xfId="0" applyFont="1" applyBorder="1" applyAlignment="1">
      <alignment vertical="center"/>
    </xf>
    <xf numFmtId="0" fontId="24" fillId="2" borderId="18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4" fillId="2" borderId="19" xfId="0" applyFont="1" applyFill="1" applyBorder="1" applyAlignment="1">
      <alignment vertical="center"/>
    </xf>
    <xf numFmtId="0" fontId="27" fillId="0" borderId="3" xfId="0" applyFont="1" applyBorder="1" applyAlignment="1">
      <alignment vertical="center"/>
    </xf>
    <xf numFmtId="0" fontId="27" fillId="0" borderId="20" xfId="0" applyFont="1" applyBorder="1" applyAlignment="1">
      <alignment vertical="center"/>
    </xf>
    <xf numFmtId="0" fontId="27" fillId="0" borderId="21" xfId="0" applyFont="1" applyBorder="1" applyAlignment="1">
      <alignment vertical="center"/>
    </xf>
    <xf numFmtId="0" fontId="27" fillId="0" borderId="5" xfId="0" applyFont="1" applyBorder="1" applyAlignment="1">
      <alignment vertical="center"/>
    </xf>
    <xf numFmtId="0" fontId="20" fillId="0" borderId="0" xfId="7" applyFont="1">
      <alignment vertical="center"/>
    </xf>
    <xf numFmtId="0" fontId="20" fillId="0" borderId="1" xfId="7" applyFont="1" applyBorder="1">
      <alignment vertical="center"/>
    </xf>
    <xf numFmtId="0" fontId="20" fillId="0" borderId="4" xfId="7" applyFont="1" applyBorder="1">
      <alignment vertical="center"/>
    </xf>
    <xf numFmtId="0" fontId="20" fillId="0" borderId="2" xfId="7" applyFont="1" applyBorder="1">
      <alignment vertical="center"/>
    </xf>
    <xf numFmtId="0" fontId="20" fillId="0" borderId="3" xfId="7" applyFont="1" applyBorder="1">
      <alignment vertical="center"/>
    </xf>
    <xf numFmtId="0" fontId="20" fillId="0" borderId="5" xfId="7" applyFont="1" applyBorder="1">
      <alignment vertical="center"/>
    </xf>
    <xf numFmtId="0" fontId="18" fillId="2" borderId="0" xfId="0" applyFont="1" applyFill="1" applyAlignment="1">
      <alignment vertical="center"/>
    </xf>
    <xf numFmtId="0" fontId="17" fillId="2" borderId="16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17" xfId="0" applyFont="1" applyFill="1" applyBorder="1" applyAlignment="1">
      <alignment vertical="center"/>
    </xf>
    <xf numFmtId="0" fontId="20" fillId="0" borderId="18" xfId="0" applyFont="1" applyBorder="1"/>
    <xf numFmtId="0" fontId="20" fillId="0" borderId="19" xfId="0" applyFont="1" applyBorder="1"/>
    <xf numFmtId="0" fontId="20" fillId="0" borderId="20" xfId="0" applyFont="1" applyBorder="1"/>
    <xf numFmtId="0" fontId="20" fillId="0" borderId="21" xfId="0" applyFont="1" applyBorder="1"/>
    <xf numFmtId="0" fontId="20" fillId="0" borderId="19" xfId="7" applyFont="1" applyBorder="1">
      <alignment vertical="center"/>
    </xf>
    <xf numFmtId="0" fontId="20" fillId="0" borderId="18" xfId="7" applyFont="1" applyBorder="1">
      <alignment vertical="center"/>
    </xf>
    <xf numFmtId="0" fontId="17" fillId="0" borderId="0" xfId="7" applyFont="1">
      <alignment vertical="center"/>
    </xf>
    <xf numFmtId="0" fontId="20" fillId="0" borderId="27" xfId="7" applyFont="1" applyBorder="1">
      <alignment vertical="center"/>
    </xf>
    <xf numFmtId="0" fontId="8" fillId="0" borderId="0" xfId="0" applyFont="1"/>
    <xf numFmtId="0" fontId="8" fillId="0" borderId="0" xfId="7" applyFont="1">
      <alignment vertical="center"/>
    </xf>
    <xf numFmtId="0" fontId="20" fillId="0" borderId="0" xfId="6" applyFont="1" applyAlignment="1">
      <alignment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4" fontId="20" fillId="0" borderId="31" xfId="0" applyNumberFormat="1" applyFont="1" applyBorder="1" applyAlignment="1">
      <alignment horizontal="center" vertical="center"/>
    </xf>
    <xf numFmtId="14" fontId="20" fillId="0" borderId="32" xfId="0" applyNumberFormat="1" applyFont="1" applyBorder="1" applyAlignment="1">
      <alignment horizontal="center" vertical="center"/>
    </xf>
    <xf numFmtId="14" fontId="20" fillId="0" borderId="33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20" fillId="0" borderId="34" xfId="0" applyFont="1" applyBorder="1"/>
    <xf numFmtId="0" fontId="20" fillId="0" borderId="35" xfId="0" applyFont="1" applyBorder="1"/>
    <xf numFmtId="0" fontId="20" fillId="0" borderId="22" xfId="0" applyFont="1" applyBorder="1"/>
    <xf numFmtId="0" fontId="20" fillId="0" borderId="32" xfId="0" applyFont="1" applyBorder="1"/>
    <xf numFmtId="0" fontId="20" fillId="0" borderId="33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31" xfId="0" applyFont="1" applyBorder="1"/>
    <xf numFmtId="0" fontId="20" fillId="0" borderId="2" xfId="0" applyFont="1" applyBorder="1"/>
    <xf numFmtId="0" fontId="20" fillId="0" borderId="36" xfId="0" applyFont="1" applyBorder="1"/>
    <xf numFmtId="0" fontId="20" fillId="0" borderId="37" xfId="0" applyFont="1" applyBorder="1"/>
    <xf numFmtId="0" fontId="20" fillId="0" borderId="38" xfId="0" applyFont="1" applyBorder="1"/>
    <xf numFmtId="0" fontId="17" fillId="2" borderId="0" xfId="0" applyFont="1" applyFill="1"/>
    <xf numFmtId="0" fontId="22" fillId="0" borderId="32" xfId="0" applyFont="1" applyBorder="1"/>
    <xf numFmtId="0" fontId="22" fillId="0" borderId="33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31" xfId="0" applyFont="1" applyBorder="1"/>
    <xf numFmtId="0" fontId="22" fillId="0" borderId="2" xfId="0" applyFont="1" applyBorder="1"/>
    <xf numFmtId="0" fontId="13" fillId="0" borderId="32" xfId="0" applyFont="1" applyBorder="1"/>
    <xf numFmtId="0" fontId="13" fillId="0" borderId="33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31" xfId="0" applyFont="1" applyBorder="1"/>
    <xf numFmtId="0" fontId="13" fillId="0" borderId="2" xfId="0" applyFont="1" applyBorder="1"/>
    <xf numFmtId="0" fontId="20" fillId="0" borderId="36" xfId="0" quotePrefix="1" applyFont="1" applyBorder="1"/>
    <xf numFmtId="14" fontId="15" fillId="0" borderId="31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4" xfId="0" applyFont="1" applyBorder="1"/>
    <xf numFmtId="0" fontId="15" fillId="0" borderId="35" xfId="0" applyFont="1" applyBorder="1"/>
    <xf numFmtId="0" fontId="15" fillId="0" borderId="22" xfId="0" applyFont="1" applyBorder="1"/>
    <xf numFmtId="0" fontId="15" fillId="0" borderId="36" xfId="0" applyFont="1" applyBorder="1"/>
    <xf numFmtId="0" fontId="15" fillId="0" borderId="37" xfId="0" applyFont="1" applyBorder="1"/>
    <xf numFmtId="0" fontId="15" fillId="0" borderId="38" xfId="0" applyFont="1" applyBorder="1"/>
    <xf numFmtId="0" fontId="20" fillId="0" borderId="52" xfId="0" applyFont="1" applyBorder="1"/>
    <xf numFmtId="14" fontId="20" fillId="0" borderId="32" xfId="0" applyNumberFormat="1" applyFont="1" applyBorder="1"/>
    <xf numFmtId="0" fontId="9" fillId="0" borderId="53" xfId="0" applyFont="1" applyBorder="1" applyAlignment="1">
      <alignment wrapText="1"/>
    </xf>
    <xf numFmtId="0" fontId="20" fillId="0" borderId="53" xfId="0" applyFont="1" applyBorder="1"/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8" fillId="0" borderId="53" xfId="0" applyFont="1" applyBorder="1"/>
    <xf numFmtId="0" fontId="28" fillId="0" borderId="53" xfId="0" applyFont="1" applyBorder="1"/>
    <xf numFmtId="0" fontId="0" fillId="0" borderId="34" xfId="0" applyBorder="1"/>
    <xf numFmtId="0" fontId="0" fillId="0" borderId="35" xfId="0" applyBorder="1"/>
    <xf numFmtId="0" fontId="0" fillId="0" borderId="22" xfId="0" applyBorder="1"/>
    <xf numFmtId="0" fontId="0" fillId="0" borderId="32" xfId="0" applyBorder="1"/>
    <xf numFmtId="0" fontId="0" fillId="0" borderId="33" xfId="0" applyBorder="1"/>
    <xf numFmtId="0" fontId="0" fillId="0" borderId="3" xfId="0" applyBorder="1"/>
    <xf numFmtId="0" fontId="0" fillId="0" borderId="5" xfId="0" applyBorder="1"/>
    <xf numFmtId="0" fontId="0" fillId="0" borderId="31" xfId="0" applyBorder="1"/>
    <xf numFmtId="0" fontId="0" fillId="0" borderId="2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15" fillId="0" borderId="44" xfId="0" applyFont="1" applyBorder="1" applyAlignment="1">
      <alignment vertical="top"/>
    </xf>
    <xf numFmtId="0" fontId="15" fillId="0" borderId="45" xfId="0" applyFont="1" applyBorder="1" applyAlignment="1">
      <alignment vertical="top"/>
    </xf>
    <xf numFmtId="0" fontId="15" fillId="0" borderId="46" xfId="0" applyFont="1" applyBorder="1" applyAlignment="1">
      <alignment vertical="top"/>
    </xf>
    <xf numFmtId="0" fontId="23" fillId="0" borderId="3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8" fillId="0" borderId="53" xfId="0" applyFont="1" applyBorder="1" applyAlignment="1">
      <alignment wrapText="1"/>
    </xf>
    <xf numFmtId="0" fontId="9" fillId="0" borderId="53" xfId="0" applyFont="1" applyBorder="1" applyAlignment="1">
      <alignment vertical="top" wrapText="1"/>
    </xf>
    <xf numFmtId="0" fontId="20" fillId="0" borderId="53" xfId="0" applyFont="1" applyBorder="1" applyAlignment="1">
      <alignment vertical="top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0" borderId="39" xfId="0" applyFont="1" applyBorder="1"/>
    <xf numFmtId="0" fontId="22" fillId="0" borderId="40" xfId="0" applyFont="1" applyBorder="1"/>
    <xf numFmtId="0" fontId="3" fillId="2" borderId="0" xfId="0" applyFont="1" applyFill="1"/>
    <xf numFmtId="0" fontId="24" fillId="2" borderId="28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14" fontId="27" fillId="0" borderId="31" xfId="0" applyNumberFormat="1" applyFont="1" applyBorder="1" applyAlignment="1">
      <alignment horizontal="center" vertical="center"/>
    </xf>
    <xf numFmtId="14" fontId="27" fillId="0" borderId="32" xfId="0" applyNumberFormat="1" applyFont="1" applyBorder="1" applyAlignment="1">
      <alignment horizontal="center" vertical="center"/>
    </xf>
    <xf numFmtId="14" fontId="27" fillId="0" borderId="33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14" fontId="27" fillId="0" borderId="5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8" fillId="0" borderId="36" xfId="6" applyFont="1" applyBorder="1" applyAlignment="1">
      <alignment horizontal="center" vertical="center"/>
    </xf>
    <xf numFmtId="0" fontId="8" fillId="0" borderId="37" xfId="6" applyFont="1" applyBorder="1" applyAlignment="1">
      <alignment horizontal="center" vertical="center"/>
    </xf>
    <xf numFmtId="0" fontId="8" fillId="0" borderId="38" xfId="6" applyFont="1" applyBorder="1" applyAlignment="1">
      <alignment horizontal="center" vertical="center"/>
    </xf>
    <xf numFmtId="0" fontId="8" fillId="0" borderId="36" xfId="6" applyFont="1" applyBorder="1" applyAlignment="1">
      <alignment horizontal="left" vertical="center"/>
    </xf>
    <xf numFmtId="0" fontId="8" fillId="0" borderId="37" xfId="6" applyFont="1" applyBorder="1" applyAlignment="1">
      <alignment horizontal="left" vertical="center"/>
    </xf>
    <xf numFmtId="0" fontId="8" fillId="0" borderId="38" xfId="6" applyFont="1" applyBorder="1" applyAlignment="1">
      <alignment horizontal="left" vertical="center"/>
    </xf>
    <xf numFmtId="0" fontId="20" fillId="0" borderId="36" xfId="6" applyFont="1" applyBorder="1" applyAlignment="1">
      <alignment vertical="center"/>
    </xf>
    <xf numFmtId="0" fontId="20" fillId="0" borderId="37" xfId="6" applyFont="1" applyBorder="1" applyAlignment="1">
      <alignment vertical="center"/>
    </xf>
    <xf numFmtId="0" fontId="20" fillId="0" borderId="38" xfId="6" applyFont="1" applyBorder="1" applyAlignment="1">
      <alignment vertical="center"/>
    </xf>
    <xf numFmtId="0" fontId="8" fillId="0" borderId="36" xfId="6" quotePrefix="1" applyFont="1" applyBorder="1" applyAlignment="1">
      <alignment vertical="center"/>
    </xf>
    <xf numFmtId="0" fontId="8" fillId="0" borderId="37" xfId="6" quotePrefix="1" applyFont="1" applyBorder="1" applyAlignment="1">
      <alignment vertical="center"/>
    </xf>
    <xf numFmtId="0" fontId="8" fillId="0" borderId="38" xfId="6" quotePrefix="1" applyFont="1" applyBorder="1" applyAlignment="1">
      <alignment vertical="center"/>
    </xf>
    <xf numFmtId="0" fontId="8" fillId="0" borderId="36" xfId="6" applyFont="1" applyBorder="1" applyAlignment="1">
      <alignment vertical="center"/>
    </xf>
    <xf numFmtId="0" fontId="8" fillId="0" borderId="37" xfId="6" applyFont="1" applyBorder="1" applyAlignment="1">
      <alignment vertical="center"/>
    </xf>
    <xf numFmtId="0" fontId="8" fillId="0" borderId="38" xfId="6" applyFont="1" applyBorder="1" applyAlignment="1">
      <alignment vertical="center"/>
    </xf>
    <xf numFmtId="0" fontId="9" fillId="0" borderId="36" xfId="8" quotePrefix="1" applyFont="1" applyBorder="1" applyAlignment="1">
      <alignment horizontal="center" vertical="center"/>
    </xf>
    <xf numFmtId="0" fontId="9" fillId="0" borderId="37" xfId="8" applyFont="1" applyBorder="1" applyAlignment="1">
      <alignment horizontal="center" vertical="center"/>
    </xf>
    <xf numFmtId="0" fontId="9" fillId="0" borderId="38" xfId="8" applyFont="1" applyBorder="1" applyAlignment="1">
      <alignment horizontal="center" vertical="center"/>
    </xf>
    <xf numFmtId="0" fontId="8" fillId="0" borderId="41" xfId="8" quotePrefix="1" applyFont="1" applyBorder="1" applyAlignment="1">
      <alignment horizontal="center" vertical="center"/>
    </xf>
    <xf numFmtId="0" fontId="8" fillId="0" borderId="42" xfId="8" applyFont="1" applyBorder="1" applyAlignment="1">
      <alignment horizontal="center" vertical="center"/>
    </xf>
    <xf numFmtId="0" fontId="8" fillId="0" borderId="43" xfId="8" applyFont="1" applyBorder="1" applyAlignment="1">
      <alignment horizontal="center" vertical="center"/>
    </xf>
    <xf numFmtId="0" fontId="8" fillId="0" borderId="41" xfId="6" applyFont="1" applyBorder="1" applyAlignment="1">
      <alignment horizontal="center" vertical="center"/>
    </xf>
    <xf numFmtId="0" fontId="8" fillId="0" borderId="42" xfId="6" applyFont="1" applyBorder="1" applyAlignment="1">
      <alignment horizontal="center" vertical="center"/>
    </xf>
    <xf numFmtId="0" fontId="8" fillId="0" borderId="43" xfId="6" applyFont="1" applyBorder="1" applyAlignment="1">
      <alignment horizontal="center" vertical="center"/>
    </xf>
    <xf numFmtId="0" fontId="8" fillId="0" borderId="41" xfId="6" applyFont="1" applyBorder="1" applyAlignment="1">
      <alignment horizontal="left" vertical="center"/>
    </xf>
    <xf numFmtId="0" fontId="8" fillId="0" borderId="42" xfId="6" applyFont="1" applyBorder="1" applyAlignment="1">
      <alignment horizontal="left" vertical="center"/>
    </xf>
    <xf numFmtId="0" fontId="8" fillId="0" borderId="43" xfId="6" applyFont="1" applyBorder="1" applyAlignment="1">
      <alignment horizontal="left" vertical="center"/>
    </xf>
    <xf numFmtId="0" fontId="20" fillId="0" borderId="41" xfId="6" applyFont="1" applyBorder="1" applyAlignment="1">
      <alignment vertical="center"/>
    </xf>
    <xf numFmtId="0" fontId="20" fillId="0" borderId="42" xfId="6" applyFont="1" applyBorder="1" applyAlignment="1">
      <alignment vertical="center"/>
    </xf>
    <xf numFmtId="0" fontId="20" fillId="0" borderId="43" xfId="6" applyFont="1" applyBorder="1" applyAlignment="1">
      <alignment vertical="center"/>
    </xf>
    <xf numFmtId="0" fontId="20" fillId="0" borderId="44" xfId="6" applyFont="1" applyBorder="1" applyAlignment="1">
      <alignment vertical="center"/>
    </xf>
    <xf numFmtId="0" fontId="20" fillId="0" borderId="45" xfId="6" applyFont="1" applyBorder="1" applyAlignment="1">
      <alignment vertical="center"/>
    </xf>
    <xf numFmtId="0" fontId="20" fillId="0" borderId="46" xfId="6" applyFont="1" applyBorder="1" applyAlignment="1">
      <alignment vertical="center"/>
    </xf>
    <xf numFmtId="0" fontId="8" fillId="0" borderId="41" xfId="6" quotePrefix="1" applyFont="1" applyBorder="1" applyAlignment="1">
      <alignment vertical="center" wrapText="1"/>
    </xf>
    <xf numFmtId="0" fontId="8" fillId="0" borderId="42" xfId="6" quotePrefix="1" applyFont="1" applyBorder="1" applyAlignment="1">
      <alignment vertical="center" wrapText="1"/>
    </xf>
    <xf numFmtId="0" fontId="8" fillId="0" borderId="43" xfId="6" quotePrefix="1" applyFont="1" applyBorder="1" applyAlignment="1">
      <alignment vertical="center" wrapText="1"/>
    </xf>
    <xf numFmtId="0" fontId="8" fillId="0" borderId="41" xfId="6" applyFont="1" applyBorder="1" applyAlignment="1">
      <alignment vertical="center"/>
    </xf>
    <xf numFmtId="0" fontId="8" fillId="0" borderId="42" xfId="6" applyFont="1" applyBorder="1" applyAlignment="1">
      <alignment vertical="center"/>
    </xf>
    <xf numFmtId="0" fontId="8" fillId="0" borderId="43" xfId="6" applyFont="1" applyBorder="1" applyAlignment="1">
      <alignment vertical="center"/>
    </xf>
    <xf numFmtId="0" fontId="20" fillId="0" borderId="44" xfId="6" quotePrefix="1" applyFont="1" applyBorder="1" applyAlignment="1">
      <alignment vertical="center"/>
    </xf>
    <xf numFmtId="0" fontId="20" fillId="0" borderId="45" xfId="6" quotePrefix="1" applyFont="1" applyBorder="1" applyAlignment="1">
      <alignment vertical="center"/>
    </xf>
    <xf numFmtId="0" fontId="20" fillId="0" borderId="46" xfId="6" quotePrefix="1" applyFont="1" applyBorder="1" applyAlignment="1">
      <alignment vertical="center"/>
    </xf>
    <xf numFmtId="0" fontId="9" fillId="0" borderId="41" xfId="8" quotePrefix="1" applyFont="1" applyBorder="1" applyAlignment="1">
      <alignment horizontal="center" vertical="center" wrapText="1"/>
    </xf>
    <xf numFmtId="0" fontId="9" fillId="0" borderId="42" xfId="8" applyFont="1" applyBorder="1" applyAlignment="1">
      <alignment horizontal="center" vertical="center" wrapText="1"/>
    </xf>
    <xf numFmtId="0" fontId="9" fillId="0" borderId="43" xfId="8" applyFont="1" applyBorder="1" applyAlignment="1">
      <alignment horizontal="center" vertical="center" wrapText="1"/>
    </xf>
    <xf numFmtId="0" fontId="10" fillId="0" borderId="41" xfId="6" applyFont="1" applyBorder="1" applyAlignment="1">
      <alignment vertical="center" wrapText="1"/>
    </xf>
    <xf numFmtId="0" fontId="9" fillId="0" borderId="41" xfId="8" quotePrefix="1" applyFont="1" applyBorder="1" applyAlignment="1">
      <alignment horizontal="center" vertical="center"/>
    </xf>
    <xf numFmtId="0" fontId="9" fillId="0" borderId="42" xfId="8" applyFont="1" applyBorder="1" applyAlignment="1">
      <alignment horizontal="center" vertical="center"/>
    </xf>
    <xf numFmtId="0" fontId="9" fillId="0" borderId="43" xfId="8" applyFont="1" applyBorder="1" applyAlignment="1">
      <alignment horizontal="center" vertical="center"/>
    </xf>
    <xf numFmtId="0" fontId="9" fillId="0" borderId="41" xfId="6" applyFont="1" applyBorder="1" applyAlignment="1">
      <alignment horizontal="center" vertical="center"/>
    </xf>
    <xf numFmtId="0" fontId="8" fillId="0" borderId="41" xfId="6" quotePrefix="1" applyFont="1" applyBorder="1" applyAlignment="1">
      <alignment vertical="center"/>
    </xf>
    <xf numFmtId="0" fontId="8" fillId="0" borderId="42" xfId="6" quotePrefix="1" applyFont="1" applyBorder="1" applyAlignment="1">
      <alignment vertical="center"/>
    </xf>
    <xf numFmtId="0" fontId="8" fillId="0" borderId="43" xfId="6" quotePrefix="1" applyFont="1" applyBorder="1" applyAlignment="1">
      <alignment vertical="center"/>
    </xf>
    <xf numFmtId="0" fontId="8" fillId="0" borderId="34" xfId="6" applyFont="1" applyBorder="1" applyAlignment="1">
      <alignment horizontal="center" vertical="center"/>
    </xf>
    <xf numFmtId="0" fontId="8" fillId="0" borderId="22" xfId="6" applyFont="1" applyBorder="1" applyAlignment="1">
      <alignment horizontal="center" vertical="center"/>
    </xf>
    <xf numFmtId="0" fontId="8" fillId="0" borderId="34" xfId="6" applyFont="1" applyBorder="1" applyAlignment="1">
      <alignment vertical="center"/>
    </xf>
    <xf numFmtId="0" fontId="8" fillId="0" borderId="35" xfId="6" applyFont="1" applyBorder="1" applyAlignment="1">
      <alignment vertical="center"/>
    </xf>
    <xf numFmtId="0" fontId="8" fillId="0" borderId="22" xfId="6" applyFont="1" applyBorder="1" applyAlignment="1">
      <alignment vertical="center"/>
    </xf>
    <xf numFmtId="0" fontId="9" fillId="0" borderId="34" xfId="6" applyFont="1" applyBorder="1" applyAlignment="1">
      <alignment horizontal="center" vertical="center"/>
    </xf>
    <xf numFmtId="0" fontId="8" fillId="0" borderId="35" xfId="6" applyFont="1" applyBorder="1" applyAlignment="1">
      <alignment horizontal="center" vertical="center"/>
    </xf>
    <xf numFmtId="0" fontId="9" fillId="3" borderId="28" xfId="6" applyFont="1" applyFill="1" applyBorder="1" applyAlignment="1">
      <alignment vertical="center"/>
    </xf>
    <xf numFmtId="0" fontId="8" fillId="3" borderId="29" xfId="6" applyFont="1" applyFill="1" applyBorder="1" applyAlignment="1">
      <alignment vertical="center"/>
    </xf>
    <xf numFmtId="0" fontId="8" fillId="3" borderId="30" xfId="6" applyFont="1" applyFill="1" applyBorder="1" applyAlignment="1">
      <alignment vertical="center"/>
    </xf>
    <xf numFmtId="0" fontId="9" fillId="4" borderId="28" xfId="6" applyFont="1" applyFill="1" applyBorder="1" applyAlignment="1">
      <alignment vertical="center"/>
    </xf>
    <xf numFmtId="0" fontId="8" fillId="4" borderId="29" xfId="6" applyFont="1" applyFill="1" applyBorder="1" applyAlignment="1">
      <alignment vertical="center"/>
    </xf>
    <xf numFmtId="0" fontId="8" fillId="4" borderId="30" xfId="6" applyFont="1" applyFill="1" applyBorder="1" applyAlignment="1">
      <alignment vertical="center"/>
    </xf>
    <xf numFmtId="0" fontId="9" fillId="5" borderId="31" xfId="6" applyFont="1" applyFill="1" applyBorder="1" applyAlignment="1">
      <alignment vertical="center"/>
    </xf>
    <xf numFmtId="0" fontId="8" fillId="5" borderId="32" xfId="6" applyFont="1" applyFill="1" applyBorder="1" applyAlignment="1">
      <alignment vertical="center"/>
    </xf>
    <xf numFmtId="0" fontId="8" fillId="5" borderId="33" xfId="6" applyFont="1" applyFill="1" applyBorder="1" applyAlignment="1">
      <alignment vertical="center"/>
    </xf>
    <xf numFmtId="0" fontId="8" fillId="5" borderId="1" xfId="6" applyFont="1" applyFill="1" applyBorder="1" applyAlignment="1">
      <alignment vertical="center"/>
    </xf>
    <xf numFmtId="0" fontId="8" fillId="5" borderId="0" xfId="6" applyFont="1" applyFill="1" applyAlignment="1">
      <alignment vertical="center"/>
    </xf>
    <xf numFmtId="0" fontId="8" fillId="5" borderId="4" xfId="6" applyFont="1" applyFill="1" applyBorder="1" applyAlignment="1">
      <alignment vertical="center"/>
    </xf>
    <xf numFmtId="0" fontId="8" fillId="5" borderId="2" xfId="6" applyFont="1" applyFill="1" applyBorder="1" applyAlignment="1">
      <alignment vertical="center"/>
    </xf>
    <xf numFmtId="0" fontId="8" fillId="5" borderId="3" xfId="6" applyFont="1" applyFill="1" applyBorder="1" applyAlignment="1">
      <alignment vertical="center"/>
    </xf>
    <xf numFmtId="0" fontId="8" fillId="5" borderId="5" xfId="6" applyFont="1" applyFill="1" applyBorder="1" applyAlignment="1">
      <alignment vertical="center"/>
    </xf>
    <xf numFmtId="0" fontId="9" fillId="3" borderId="28" xfId="6" applyFont="1" applyFill="1" applyBorder="1"/>
    <xf numFmtId="0" fontId="9" fillId="3" borderId="29" xfId="6" applyFont="1" applyFill="1" applyBorder="1"/>
    <xf numFmtId="0" fontId="9" fillId="3" borderId="30" xfId="6" applyFont="1" applyFill="1" applyBorder="1"/>
    <xf numFmtId="0" fontId="9" fillId="3" borderId="31" xfId="6" applyFont="1" applyFill="1" applyBorder="1" applyAlignment="1">
      <alignment vertical="center"/>
    </xf>
    <xf numFmtId="0" fontId="8" fillId="3" borderId="32" xfId="6" applyFont="1" applyFill="1" applyBorder="1" applyAlignment="1">
      <alignment vertical="center"/>
    </xf>
    <xf numFmtId="0" fontId="8" fillId="3" borderId="33" xfId="6" applyFont="1" applyFill="1" applyBorder="1" applyAlignment="1">
      <alignment vertical="center"/>
    </xf>
    <xf numFmtId="0" fontId="8" fillId="3" borderId="2" xfId="6" applyFont="1" applyFill="1" applyBorder="1" applyAlignment="1">
      <alignment vertical="center"/>
    </xf>
    <xf numFmtId="0" fontId="8" fillId="3" borderId="3" xfId="6" applyFont="1" applyFill="1" applyBorder="1" applyAlignment="1">
      <alignment vertical="center"/>
    </xf>
    <xf numFmtId="0" fontId="8" fillId="3" borderId="5" xfId="6" applyFont="1" applyFill="1" applyBorder="1" applyAlignment="1">
      <alignment vertical="center"/>
    </xf>
    <xf numFmtId="0" fontId="8" fillId="4" borderId="31" xfId="6" applyFont="1" applyFill="1" applyBorder="1" applyAlignment="1">
      <alignment vertical="center" wrapText="1"/>
    </xf>
    <xf numFmtId="0" fontId="8" fillId="4" borderId="2" xfId="6" applyFont="1" applyFill="1" applyBorder="1" applyAlignment="1">
      <alignment vertical="center" wrapText="1"/>
    </xf>
    <xf numFmtId="0" fontId="9" fillId="4" borderId="47" xfId="6" applyFont="1" applyFill="1" applyBorder="1" applyAlignment="1">
      <alignment vertical="center" wrapText="1"/>
    </xf>
    <xf numFmtId="0" fontId="9" fillId="4" borderId="48" xfId="6" applyFont="1" applyFill="1" applyBorder="1" applyAlignment="1">
      <alignment vertical="center" wrapText="1"/>
    </xf>
    <xf numFmtId="0" fontId="9" fillId="4" borderId="33" xfId="6" applyFont="1" applyFill="1" applyBorder="1" applyAlignment="1">
      <alignment vertical="center" wrapText="1"/>
    </xf>
    <xf numFmtId="0" fontId="9" fillId="4" borderId="5" xfId="6" applyFont="1" applyFill="1" applyBorder="1" applyAlignment="1">
      <alignment vertical="center" wrapText="1"/>
    </xf>
    <xf numFmtId="0" fontId="9" fillId="0" borderId="34" xfId="8" applyFont="1" applyBorder="1" applyAlignment="1">
      <alignment horizontal="center" vertical="center" wrapText="1"/>
    </xf>
    <xf numFmtId="0" fontId="9" fillId="0" borderId="35" xfId="8" applyFont="1" applyBorder="1" applyAlignment="1">
      <alignment horizontal="center" vertical="center" wrapText="1"/>
    </xf>
    <xf numFmtId="0" fontId="9" fillId="0" borderId="22" xfId="8" applyFont="1" applyBorder="1" applyAlignment="1">
      <alignment horizontal="center" vertical="center" wrapText="1"/>
    </xf>
    <xf numFmtId="0" fontId="8" fillId="0" borderId="34" xfId="6" applyFont="1" applyBorder="1" applyAlignment="1">
      <alignment horizontal="left" vertical="center"/>
    </xf>
    <xf numFmtId="0" fontId="8" fillId="0" borderId="35" xfId="6" applyFont="1" applyBorder="1" applyAlignment="1">
      <alignment horizontal="left" vertical="center"/>
    </xf>
    <xf numFmtId="0" fontId="8" fillId="0" borderId="22" xfId="6" applyFont="1" applyBorder="1" applyAlignment="1">
      <alignment horizontal="left" vertical="center"/>
    </xf>
    <xf numFmtId="0" fontId="20" fillId="0" borderId="34" xfId="6" applyFont="1" applyBorder="1" applyAlignment="1">
      <alignment vertical="center" wrapText="1"/>
    </xf>
    <xf numFmtId="0" fontId="20" fillId="0" borderId="35" xfId="6" applyFont="1" applyBorder="1" applyAlignment="1">
      <alignment vertical="center" wrapText="1"/>
    </xf>
    <xf numFmtId="0" fontId="20" fillId="0" borderId="22" xfId="6" applyFont="1" applyBorder="1" applyAlignment="1">
      <alignment vertical="center" wrapText="1"/>
    </xf>
    <xf numFmtId="0" fontId="17" fillId="2" borderId="28" xfId="6" applyFont="1" applyFill="1" applyBorder="1" applyAlignment="1">
      <alignment horizontal="center" vertical="center"/>
    </xf>
    <xf numFmtId="0" fontId="17" fillId="2" borderId="29" xfId="6" applyFont="1" applyFill="1" applyBorder="1" applyAlignment="1">
      <alignment horizontal="center" vertical="center"/>
    </xf>
    <xf numFmtId="0" fontId="17" fillId="2" borderId="30" xfId="6" applyFont="1" applyFill="1" applyBorder="1" applyAlignment="1">
      <alignment horizontal="center" vertical="center"/>
    </xf>
    <xf numFmtId="0" fontId="8" fillId="0" borderId="28" xfId="6" applyFont="1" applyBorder="1" applyAlignment="1">
      <alignment horizontal="center" vertical="center"/>
    </xf>
    <xf numFmtId="0" fontId="8" fillId="0" borderId="29" xfId="6" applyFont="1" applyBorder="1" applyAlignment="1">
      <alignment horizontal="center" vertical="center"/>
    </xf>
    <xf numFmtId="0" fontId="8" fillId="0" borderId="30" xfId="6" applyFont="1" applyBorder="1" applyAlignment="1">
      <alignment horizontal="center" vertical="center"/>
    </xf>
    <xf numFmtId="0" fontId="9" fillId="0" borderId="28" xfId="6" applyFont="1" applyBorder="1" applyAlignment="1">
      <alignment horizontal="center" vertical="center"/>
    </xf>
    <xf numFmtId="0" fontId="9" fillId="6" borderId="31" xfId="6" applyFont="1" applyFill="1" applyBorder="1" applyAlignment="1">
      <alignment vertical="center" wrapText="1"/>
    </xf>
    <xf numFmtId="0" fontId="8" fillId="6" borderId="33" xfId="6" applyFont="1" applyFill="1" applyBorder="1" applyAlignment="1">
      <alignment vertical="center"/>
    </xf>
    <xf numFmtId="0" fontId="8" fillId="6" borderId="1" xfId="6" applyFont="1" applyFill="1" applyBorder="1" applyAlignment="1">
      <alignment vertical="center"/>
    </xf>
    <xf numFmtId="0" fontId="8" fillId="6" borderId="4" xfId="6" applyFont="1" applyFill="1" applyBorder="1" applyAlignment="1">
      <alignment vertical="center"/>
    </xf>
    <xf numFmtId="0" fontId="8" fillId="6" borderId="2" xfId="6" applyFont="1" applyFill="1" applyBorder="1" applyAlignment="1">
      <alignment vertical="center"/>
    </xf>
    <xf numFmtId="0" fontId="8" fillId="6" borderId="5" xfId="6" applyFont="1" applyFill="1" applyBorder="1" applyAlignment="1">
      <alignment vertical="center"/>
    </xf>
    <xf numFmtId="0" fontId="9" fillId="6" borderId="31" xfId="6" applyFont="1" applyFill="1" applyBorder="1" applyAlignment="1">
      <alignment vertical="center"/>
    </xf>
    <xf numFmtId="0" fontId="8" fillId="6" borderId="32" xfId="6" applyFont="1" applyFill="1" applyBorder="1" applyAlignment="1">
      <alignment vertical="center"/>
    </xf>
    <xf numFmtId="0" fontId="8" fillId="6" borderId="0" xfId="6" applyFont="1" applyFill="1" applyAlignment="1">
      <alignment vertical="center"/>
    </xf>
    <xf numFmtId="0" fontId="8" fillId="6" borderId="3" xfId="6" applyFont="1" applyFill="1" applyBorder="1" applyAlignment="1">
      <alignment vertical="center"/>
    </xf>
    <xf numFmtId="0" fontId="8" fillId="6" borderId="47" xfId="6" applyFont="1" applyFill="1" applyBorder="1" applyAlignment="1">
      <alignment vertical="center" shrinkToFit="1"/>
    </xf>
    <xf numFmtId="0" fontId="8" fillId="6" borderId="49" xfId="6" applyFont="1" applyFill="1" applyBorder="1" applyAlignment="1">
      <alignment vertical="center" shrinkToFit="1"/>
    </xf>
    <xf numFmtId="0" fontId="8" fillId="6" borderId="48" xfId="6" applyFont="1" applyFill="1" applyBorder="1" applyAlignment="1">
      <alignment vertical="center" shrinkToFit="1"/>
    </xf>
    <xf numFmtId="0" fontId="9" fillId="6" borderId="47" xfId="6" applyFont="1" applyFill="1" applyBorder="1" applyAlignment="1">
      <alignment vertical="center" wrapText="1"/>
    </xf>
    <xf numFmtId="0" fontId="9" fillId="6" borderId="49" xfId="6" applyFont="1" applyFill="1" applyBorder="1" applyAlignment="1">
      <alignment vertical="center" wrapText="1"/>
    </xf>
    <xf numFmtId="0" fontId="9" fillId="6" borderId="48" xfId="6" applyFont="1" applyFill="1" applyBorder="1" applyAlignment="1">
      <alignment vertical="center" wrapText="1"/>
    </xf>
    <xf numFmtId="0" fontId="8" fillId="4" borderId="50" xfId="6" applyFont="1" applyFill="1" applyBorder="1" applyAlignment="1">
      <alignment vertical="center"/>
    </xf>
    <xf numFmtId="0" fontId="9" fillId="4" borderId="51" xfId="6" applyFont="1" applyFill="1" applyBorder="1" applyAlignment="1">
      <alignment vertical="center"/>
    </xf>
    <xf numFmtId="0" fontId="8" fillId="0" borderId="31" xfId="6" applyFont="1" applyBorder="1" applyAlignment="1">
      <alignment horizontal="center" vertical="center"/>
    </xf>
    <xf numFmtId="0" fontId="8" fillId="0" borderId="32" xfId="6" applyFont="1" applyBorder="1" applyAlignment="1">
      <alignment horizontal="center" vertical="center"/>
    </xf>
    <xf numFmtId="0" fontId="8" fillId="0" borderId="33" xfId="6" applyFont="1" applyBorder="1" applyAlignment="1">
      <alignment horizontal="center" vertical="center"/>
    </xf>
    <xf numFmtId="0" fontId="8" fillId="0" borderId="2" xfId="6" applyFont="1" applyBorder="1" applyAlignment="1">
      <alignment horizontal="center" vertical="center"/>
    </xf>
    <xf numFmtId="0" fontId="8" fillId="0" borderId="3" xfId="6" applyFont="1" applyBorder="1" applyAlignment="1">
      <alignment horizontal="center" vertical="center"/>
    </xf>
    <xf numFmtId="0" fontId="8" fillId="0" borderId="5" xfId="6" applyFont="1" applyBorder="1" applyAlignment="1">
      <alignment horizontal="center" vertical="center"/>
    </xf>
    <xf numFmtId="0" fontId="19" fillId="0" borderId="31" xfId="6" applyFont="1" applyBorder="1" applyAlignment="1">
      <alignment horizontal="center" vertical="center"/>
    </xf>
    <xf numFmtId="0" fontId="19" fillId="0" borderId="32" xfId="6" applyFont="1" applyBorder="1" applyAlignment="1">
      <alignment horizontal="center" vertical="center"/>
    </xf>
    <xf numFmtId="0" fontId="19" fillId="0" borderId="33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  <cellStyle name="標準 2 2" xfId="8" xr:uid="{F1999A38-2B4C-4C14-B3C5-47ABAD5C9F84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115</xdr:row>
      <xdr:rowOff>22422</xdr:rowOff>
    </xdr:from>
    <xdr:to>
      <xdr:col>61</xdr:col>
      <xdr:colOff>0</xdr:colOff>
      <xdr:row>130</xdr:row>
      <xdr:rowOff>22418</xdr:rowOff>
    </xdr:to>
    <xdr:sp macro="" textlink="" fLocksText="0">
      <xdr:nvSpPr>
        <xdr:cNvPr id="199" name="吹き出し: 線 2">
          <a:extLst>
            <a:ext uri="{FF2B5EF4-FFF2-40B4-BE49-F238E27FC236}">
              <a16:creationId xmlns:a16="http://schemas.microsoft.com/office/drawing/2014/main" id="{00000000-0008-0000-0500-0000C7000000}"/>
            </a:ext>
          </a:extLst>
        </xdr:cNvPr>
        <xdr:cNvSpPr/>
      </xdr:nvSpPr>
      <xdr:spPr>
        <a:xfrm>
          <a:off x="10134600" y="22040850"/>
          <a:ext cx="6134100" cy="2857500"/>
        </a:xfrm>
        <a:prstGeom prst="borderCallout1">
          <a:avLst>
            <a:gd name="adj1" fmla="val 24681"/>
            <a:gd name="adj2" fmla="val 1299"/>
            <a:gd name="adj3" fmla="val -80281"/>
            <a:gd name="adj4" fmla="val -13320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変更売価を入力し、「確定」ボタンをタッチしてバリデーションチェックを行う。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変更売価が「0」の場合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、エラーモーダルを表示する（メッセージ：変更売価は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より大きい数字を入力してください。）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。「はい」をタッチすると、モダールが閉じて、エラーが発生した変更売価入力項目にフォーカスされる。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変更売価が入力されていない場合、エラーモーダルを表示する（メッセージ：変更売価を入力してください）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「はい」をタッチすると、モダールが閉じて、エラーが発生した変更売価入力項目にフォーカスされる。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上記以外の場合（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価格変更あり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）、KN0603_定番売価変更機能を実行して商品マスターを更新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する。</a:t>
          </a:r>
          <a:endParaRPr lang="en-US" altLang="ja-JP" sz="1000" b="0" i="0" u="none" baseline="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価格変更が成功した場合、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SC0601_1, 7, 8定番変更画面の表示データをクリアする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（初期状態に戻る）</a:t>
          </a:r>
          <a:endParaRPr lang="en-US" altLang="ja-JP" sz="1000" b="0" i="0" u="none" baseline="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価格変更が失敗した場合、エラーモーダルを表示する。</a:t>
          </a:r>
          <a:endParaRPr lang="en-US" altLang="ja-JP" sz="1000" b="0" i="0" u="none" baseline="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行には削除チェックボックスが選択されている場合、定番売価（Scan&amp;Go から取得した定番売価）として保存する。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売価を更新する時には、POSとS&amp;Gにも更新する必要がある。</a:t>
          </a:r>
        </a:p>
      </xdr:txBody>
    </xdr:sp>
    <xdr:clientData/>
  </xdr:twoCellAnchor>
  <xdr:twoCellAnchor>
    <xdr:from>
      <xdr:col>38</xdr:col>
      <xdr:colOff>0</xdr:colOff>
      <xdr:row>96</xdr:row>
      <xdr:rowOff>11216</xdr:rowOff>
    </xdr:from>
    <xdr:to>
      <xdr:col>61</xdr:col>
      <xdr:colOff>0</xdr:colOff>
      <xdr:row>114</xdr:row>
      <xdr:rowOff>11216</xdr:rowOff>
    </xdr:to>
    <xdr:sp macro="" textlink="" fLocksText="0">
      <xdr:nvSpPr>
        <xdr:cNvPr id="162" name="吹き出し: 線 2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10134600" y="18411825"/>
          <a:ext cx="6134100" cy="3429000"/>
        </a:xfrm>
        <a:prstGeom prst="borderCallout1">
          <a:avLst>
            <a:gd name="adj1" fmla="val 24681"/>
            <a:gd name="adj2" fmla="val 1299"/>
            <a:gd name="adj3" fmla="val -77503"/>
            <a:gd name="adj4" fmla="val -13266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・予約日付と部門コードにより売価変更履歴を検索する（必須ではない）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検索条件で売価変更がない場合、「該当データが存在しません。」エラーメッセージがあるモダールが表示される。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エラーモダールで「はい」をタッチすると、データクリアされず、カーソルのフォーカスも停止する。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‣存在している場合は、SC0601_1、7、8定番変更 (結果) に検索結果一覧を表示し、検索部分の部門名称項目に部門名称表示し、削除チェックボックスを有効にし、クリアボタンと確定ボタンを有効にし、予約日付、部門コード、商品コード、PLU コードを選択する項目を無効にする。最初のレコードの変更売価項目にフォーカスが当たる。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・1ページに少なくとも10件のレコードを表示し、画面上の項目の割り当てによってはさらに多くのレコードを表示でき、最大100ページを表示できる。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ページングエリアのボタン：「先頭行」、「最終行」、「▲前頁」、「▼次頁」：[10_概要機能_画面遷移_00_共通.xlsx]の共通仕様をご参照ください。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+削除チェックボックスにチェックを入れると、定番売価を選択する項目が無効になる。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変更売価を入力して確定可能。</a:t>
          </a:r>
        </a:p>
      </xdr:txBody>
    </xdr:sp>
    <xdr:clientData/>
  </xdr:twoCellAnchor>
  <xdr:twoCellAnchor>
    <xdr:from>
      <xdr:col>38</xdr:col>
      <xdr:colOff>0</xdr:colOff>
      <xdr:row>131</xdr:row>
      <xdr:rowOff>33626</xdr:rowOff>
    </xdr:from>
    <xdr:to>
      <xdr:col>61</xdr:col>
      <xdr:colOff>0</xdr:colOff>
      <xdr:row>135</xdr:row>
      <xdr:rowOff>33626</xdr:rowOff>
    </xdr:to>
    <xdr:sp macro="" textlink="" fLocksText="0">
      <xdr:nvSpPr>
        <xdr:cNvPr id="98" name="吹き出し: 線 2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/>
      </xdr:nvSpPr>
      <xdr:spPr>
        <a:xfrm>
          <a:off x="10134600" y="25107900"/>
          <a:ext cx="6134100" cy="762000"/>
        </a:xfrm>
        <a:prstGeom prst="borderCallout1">
          <a:avLst>
            <a:gd name="adj1" fmla="val 56664"/>
            <a:gd name="adj2" fmla="val 212"/>
            <a:gd name="adj3" fmla="val -119168"/>
            <a:gd name="adj4" fmla="val -13408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suggest groupのAPIを実行する。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・成功の場合、部門名称項目に部門名称が表示される。 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・エラーの場合、「有効な部門コードを入力してください。」エラーモダールが表示される。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11209</xdr:colOff>
      <xdr:row>7</xdr:row>
      <xdr:rowOff>190500</xdr:rowOff>
    </xdr:from>
    <xdr:to>
      <xdr:col>8</xdr:col>
      <xdr:colOff>0</xdr:colOff>
      <xdr:row>12</xdr:row>
      <xdr:rowOff>1200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42925" y="1638300"/>
          <a:ext cx="15906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1</xdr:colOff>
      <xdr:row>11</xdr:row>
      <xdr:rowOff>190500</xdr:rowOff>
    </xdr:from>
    <xdr:to>
      <xdr:col>8</xdr:col>
      <xdr:colOff>0</xdr:colOff>
      <xdr:row>14</xdr:row>
      <xdr:rowOff>190500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33400" y="24003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06 1, 7, 8 定番変更</a:t>
          </a:r>
        </a:p>
      </xdr:txBody>
    </xdr:sp>
    <xdr:clientData/>
  </xdr:twoCellAnchor>
  <xdr:twoCellAnchor>
    <xdr:from>
      <xdr:col>2</xdr:col>
      <xdr:colOff>0</xdr:colOff>
      <xdr:row>17</xdr:row>
      <xdr:rowOff>190500</xdr:rowOff>
    </xdr:from>
    <xdr:to>
      <xdr:col>8</xdr:col>
      <xdr:colOff>0</xdr:colOff>
      <xdr:row>21</xdr:row>
      <xdr:rowOff>190500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SC0601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1, 7, 8 定番変更画面</a:t>
          </a:r>
        </a:p>
      </xdr:txBody>
    </xdr:sp>
    <xdr:clientData/>
  </xdr:twoCellAnchor>
  <xdr:twoCellAnchor>
    <xdr:from>
      <xdr:col>5</xdr:col>
      <xdr:colOff>0</xdr:colOff>
      <xdr:row>14</xdr:row>
      <xdr:rowOff>190500</xdr:rowOff>
    </xdr:from>
    <xdr:to>
      <xdr:col>5</xdr:col>
      <xdr:colOff>1</xdr:colOff>
      <xdr:row>17</xdr:row>
      <xdr:rowOff>190500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>
          <a:stCxn id="3" idx="2"/>
          <a:endCxn id="4" idx="0"/>
        </xdr:cNvCxnSpPr>
      </xdr:nvCxnSpPr>
      <xdr:spPr>
        <a:xfrm flipH="1">
          <a:off x="1333500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</xdr:row>
      <xdr:rowOff>0</xdr:rowOff>
    </xdr:from>
    <xdr:to>
      <xdr:col>7</xdr:col>
      <xdr:colOff>0</xdr:colOff>
      <xdr:row>26</xdr:row>
      <xdr:rowOff>0</xdr:rowOff>
    </xdr:to>
    <xdr:sp macro="" textlink="" fLocksText="0">
      <xdr:nvSpPr>
        <xdr:cNvPr id="13" name="四角形: 角を丸くする 110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800100" y="4876800"/>
          <a:ext cx="10668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6350</xdr:rowOff>
    </xdr:to>
    <xdr:sp macro="" textlink="" fLocksText="0">
      <xdr:nvSpPr>
        <xdr:cNvPr id="17" name="正方形/長方形 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533400" y="8305800"/>
          <a:ext cx="1600200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SC0601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1, 7, 8 定番変更画面（初期）</a:t>
          </a:r>
        </a:p>
      </xdr:txBody>
    </xdr:sp>
    <xdr:clientData/>
  </xdr:twoCellAnchor>
  <xdr:twoCellAnchor>
    <xdr:from>
      <xdr:col>5</xdr:col>
      <xdr:colOff>0</xdr:colOff>
      <xdr:row>26</xdr:row>
      <xdr:rowOff>0</xdr:rowOff>
    </xdr:from>
    <xdr:to>
      <xdr:col>5</xdr:col>
      <xdr:colOff>0</xdr:colOff>
      <xdr:row>40</xdr:row>
      <xdr:rowOff>0</xdr:rowOff>
    </xdr:to>
    <xdr:cxnSp macro="">
      <xdr:nvCxnSpPr>
        <xdr:cNvPr id="18" name="直線矢印コネクタ 1010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>
          <a:stCxn id="13" idx="2"/>
          <a:endCxn id="124" idx="0"/>
        </xdr:cNvCxnSpPr>
      </xdr:nvCxnSpPr>
      <xdr:spPr>
        <a:xfrm>
          <a:off x="1333500" y="5067300"/>
          <a:ext cx="0" cy="2667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22</xdr:row>
      <xdr:rowOff>0</xdr:rowOff>
    </xdr:from>
    <xdr:to>
      <xdr:col>5</xdr:col>
      <xdr:colOff>0</xdr:colOff>
      <xdr:row>25</xdr:row>
      <xdr:rowOff>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>
          <a:stCxn id="4" idx="2"/>
          <a:endCxn id="13" idx="0"/>
        </xdr:cNvCxnSpPr>
      </xdr:nvCxnSpPr>
      <xdr:spPr>
        <a:xfrm>
          <a:off x="1333500" y="4305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235322</xdr:colOff>
      <xdr:row>30</xdr:row>
      <xdr:rowOff>0</xdr:rowOff>
    </xdr:from>
    <xdr:to>
      <xdr:col>60</xdr:col>
      <xdr:colOff>235322</xdr:colOff>
      <xdr:row>33</xdr:row>
      <xdr:rowOff>0</xdr:rowOff>
    </xdr:to>
    <xdr:sp macro="" textlink="" fLocksText="0">
      <xdr:nvSpPr>
        <xdr:cNvPr id="65" name="吹き出し: 線 2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/>
      </xdr:nvSpPr>
      <xdr:spPr>
        <a:xfrm>
          <a:off x="10106025" y="5829300"/>
          <a:ext cx="6134100" cy="571500"/>
        </a:xfrm>
        <a:prstGeom prst="borderCallout1">
          <a:avLst>
            <a:gd name="adj1" fmla="val 48210"/>
            <a:gd name="adj2" fmla="val 884"/>
            <a:gd name="adj3" fmla="val -147121"/>
            <a:gd name="adj4" fmla="val -1346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ページングエリアは以下のファイルのページング共通をご参照ください。</a:t>
          </a:r>
        </a:p>
        <a:p>
          <a:pPr algn="l"/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10_概要機能_画面遷移_00_共通.xlsx</a:t>
          </a:r>
          <a:endParaRPr lang="vi-VN" altLang="ja-JP" sz="1000" b="0" i="0" u="none" baseline="0">
            <a:solidFill>
              <a:srgbClr val="0000FF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39</xdr:row>
      <xdr:rowOff>0</xdr:rowOff>
    </xdr:from>
    <xdr:to>
      <xdr:col>61</xdr:col>
      <xdr:colOff>0</xdr:colOff>
      <xdr:row>95</xdr:row>
      <xdr:rowOff>0</xdr:rowOff>
    </xdr:to>
    <xdr:sp macro="" textlink="" fLocksText="0">
      <xdr:nvSpPr>
        <xdr:cNvPr id="67" name="吹き出し: 線 2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/>
      </xdr:nvSpPr>
      <xdr:spPr>
        <a:xfrm>
          <a:off x="10134600" y="7543800"/>
          <a:ext cx="6134100" cy="10668000"/>
        </a:xfrm>
        <a:prstGeom prst="borderCallout1">
          <a:avLst>
            <a:gd name="adj1" fmla="val 9217"/>
            <a:gd name="adj2" fmla="val 471"/>
            <a:gd name="adj3" fmla="val 13346"/>
            <a:gd name="adj4" fmla="val -1307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・画面初期化の場合：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予約日付 (必須)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：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翌営業日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を表示する。過去日付を選択すると、エラーモーダルを表示する（メッセージ：過去日付は利用できません。）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商品コード切替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+部門コード（画面表示時の空白）を最大2桁で入力し、部門別検索を有効にし、入力時に部門を自動提案する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フォーカスアウト時の1桁を入力すると、前ゼロを自動補填する。入力しないと、前ゼロを補填しない。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+以下のように10 行を含む一覧を表示する。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・削除チェックボックス：有効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・商品コード入力ボックス （画面表示時の空白）：部門コード2桁+商品コード6桁まで入力可能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　　　　　　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フォーカスアウトすると前ゼロを自動補填する)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・PLUコード入力ボックス（画面表示時の空白）： 最大13桁入力可能。フォーカスアウトすると前ゼロを自動補填する。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・商品名称：最大全角25文字表示可能。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・定番売価： 最大6桁表示可能。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定番売価を表示する。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・現在売価：最大6桁表示可能。現在売価を表示する。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・変更売価入力ボックス：  最大6桁入力可能。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+「F04：クリア」ボタン：商品がある場合、有効にする。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+[F09: 確定]: デフォルトで無効。変更売価と現在売価の変更があった場合、「F09:確定」ボタンを有効にする。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+「先頭行」、「最終行」、「▼次頁」、「▲前頁」を無効にする。上記のボタンの説明は「10_概要機能_画面遷移_00_共通.xlsx」をご参照ください。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① PLUコードと商品コードを入力すると、自動的に検索する。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+商品が存在しない場合は、商品名称に「未登録の商品です」という赤いエラーテキストを表示する。商品が部門1, 7, 8に属していない場合、「有効な部門コードを入力してください」エラーメッセージを表示する。カーソルのフォーカスを停止する。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+商品がある場合、該当欄に情報を埋め込み、部門コードと検索バーの検索ボタンを無効にし、削除チェックボックスを無効にする。変更売価項目にフォーカスが当たる。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+PLUコードを入力すると、親のYANコードに従って自動的に検索する。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②売価変更履歴を予約日付（必須）と部門コード（必須ではない）で検索する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③「クリア」をタッチすると、検索ボタンと部門コード入力ボックスを有効にし、クリアボタンと確定ボタンを無効にする。予約日付には翌営業日を表示する。他の項目にはブランクを表示する。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④1, 7, 8 定番売価変更一覧を印刷する。 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⑤ 「確定」ボタンをクリックすると、予約日付の変更売価一覧を保存する。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+PLUコード入力欄を有効にし、[商品コード]入力欄を無効にする。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+保存されたレコードが【削除】チェックボックスにチェックを入れた場合、確定時に定番売価を登録前の定番売価をロールバックする。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ボタン・アクション：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・[PLUコード切替]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+タッチすると、[商品コード]欄を無効にし、[PLUコード]欄を有効にする。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[PLUコード切替]ボタンを[商品コード切替]ボタンに切り替える。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・[商品コード切替]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タッチすると、[PLUコード]欄を無効にし、「商品コード」欄を有効にする。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+[商品コード切替]ボタンを[PLUコード切替]ボタンに切り替える。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・最終行を入力後、[F09:確定]ボタンを指す。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・[×]をタッチするか、キーボードの[Esc]を押してメニュー画面に戻る。画面に更新情報がある場合は、【編集情報が失われますがよろしいですか？】を表示する。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50</xdr:row>
      <xdr:rowOff>67234</xdr:rowOff>
    </xdr:from>
    <xdr:to>
      <xdr:col>7</xdr:col>
      <xdr:colOff>0</xdr:colOff>
      <xdr:row>52</xdr:row>
      <xdr:rowOff>67235</xdr:rowOff>
    </xdr:to>
    <xdr:sp macro="" textlink="" fLocksText="0">
      <xdr:nvSpPr>
        <xdr:cNvPr id="69" name="四角形: 角を丸くする 1101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/>
      </xdr:nvSpPr>
      <xdr:spPr>
        <a:xfrm>
          <a:off x="800100" y="9705975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PLUコード/商品コード</a:t>
          </a:r>
        </a:p>
      </xdr:txBody>
    </xdr:sp>
    <xdr:clientData/>
  </xdr:twoCellAnchor>
  <xdr:twoCellAnchor>
    <xdr:from>
      <xdr:col>5</xdr:col>
      <xdr:colOff>0</xdr:colOff>
      <xdr:row>47</xdr:row>
      <xdr:rowOff>6350</xdr:rowOff>
    </xdr:from>
    <xdr:to>
      <xdr:col>5</xdr:col>
      <xdr:colOff>0</xdr:colOff>
      <xdr:row>50</xdr:row>
      <xdr:rowOff>67234</xdr:rowOff>
    </xdr:to>
    <xdr:cxnSp macro="">
      <xdr:nvCxnSpPr>
        <xdr:cNvPr id="71" name="Connector: Elbow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CxnSpPr>
          <a:stCxn id="17" idx="2"/>
          <a:endCxn id="69" idx="0"/>
        </xdr:cNvCxnSpPr>
      </xdr:nvCxnSpPr>
      <xdr:spPr>
        <a:xfrm>
          <a:off x="1333500" y="9077325"/>
          <a:ext cx="0" cy="6286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41</xdr:row>
      <xdr:rowOff>11206</xdr:rowOff>
    </xdr:from>
    <xdr:to>
      <xdr:col>15</xdr:col>
      <xdr:colOff>0</xdr:colOff>
      <xdr:row>43</xdr:row>
      <xdr:rowOff>11206</xdr:rowOff>
    </xdr:to>
    <xdr:sp macro="" textlink="" fLocksText="0">
      <xdr:nvSpPr>
        <xdr:cNvPr id="72" name="四角形: 角を丸くする 110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/>
      </xdr:nvSpPr>
      <xdr:spPr>
        <a:xfrm>
          <a:off x="2933700" y="7934325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F12:検索</a:t>
          </a:r>
        </a:p>
      </xdr:txBody>
    </xdr:sp>
    <xdr:clientData/>
  </xdr:twoCellAnchor>
  <xdr:twoCellAnchor>
    <xdr:from>
      <xdr:col>11</xdr:col>
      <xdr:colOff>0</xdr:colOff>
      <xdr:row>44</xdr:row>
      <xdr:rowOff>0</xdr:rowOff>
    </xdr:from>
    <xdr:to>
      <xdr:col>15</xdr:col>
      <xdr:colOff>0</xdr:colOff>
      <xdr:row>46</xdr:row>
      <xdr:rowOff>0</xdr:rowOff>
    </xdr:to>
    <xdr:sp macro="" textlink="" fLocksText="0">
      <xdr:nvSpPr>
        <xdr:cNvPr id="73" name="四角形: 角を丸くする 1101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/>
      </xdr:nvSpPr>
      <xdr:spPr>
        <a:xfrm>
          <a:off x="2933700" y="8496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000" b="0" i="0" u="none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F04:クリア</a:t>
          </a:r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15</xdr:col>
      <xdr:colOff>0</xdr:colOff>
      <xdr:row>49</xdr:row>
      <xdr:rowOff>0</xdr:rowOff>
    </xdr:to>
    <xdr:sp macro="" textlink="" fLocksText="0">
      <xdr:nvSpPr>
        <xdr:cNvPr id="74" name="四角形: 角を丸くする 1101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/>
      </xdr:nvSpPr>
      <xdr:spPr>
        <a:xfrm>
          <a:off x="2933700" y="9067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000" b="0" i="0" u="none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F07:印刷</a:t>
          </a: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15</xdr:col>
      <xdr:colOff>0</xdr:colOff>
      <xdr:row>52</xdr:row>
      <xdr:rowOff>0</xdr:rowOff>
    </xdr:to>
    <xdr:sp macro="" textlink="" fLocksText="0">
      <xdr:nvSpPr>
        <xdr:cNvPr id="75" name="四角形: 角を丸くする 1101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/>
      </xdr:nvSpPr>
      <xdr:spPr>
        <a:xfrm>
          <a:off x="2933700" y="9639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000" b="0" i="0" u="none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F09:確定</a:t>
          </a:r>
        </a:p>
      </xdr:txBody>
    </xdr:sp>
    <xdr:clientData/>
  </xdr:twoCellAnchor>
  <xdr:twoCellAnchor>
    <xdr:from>
      <xdr:col>8</xdr:col>
      <xdr:colOff>0</xdr:colOff>
      <xdr:row>42</xdr:row>
      <xdr:rowOff>11206</xdr:rowOff>
    </xdr:from>
    <xdr:to>
      <xdr:col>11</xdr:col>
      <xdr:colOff>0</xdr:colOff>
      <xdr:row>45</xdr:row>
      <xdr:rowOff>3175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CxnSpPr>
          <a:stCxn id="17" idx="3"/>
          <a:endCxn id="72" idx="1"/>
        </xdr:cNvCxnSpPr>
      </xdr:nvCxnSpPr>
      <xdr:spPr>
        <a:xfrm flipV="1">
          <a:off x="2133600" y="8124825"/>
          <a:ext cx="80010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45</xdr:row>
      <xdr:rowOff>0</xdr:rowOff>
    </xdr:from>
    <xdr:to>
      <xdr:col>11</xdr:col>
      <xdr:colOff>0</xdr:colOff>
      <xdr:row>45</xdr:row>
      <xdr:rowOff>3175</xdr:rowOff>
    </xdr:to>
    <xdr:cxnSp macro="">
      <xdr:nvCxnSpPr>
        <xdr:cNvPr id="79" name="Connector: Elbow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CxnSpPr>
          <a:stCxn id="17" idx="3"/>
          <a:endCxn id="73" idx="1"/>
        </xdr:cNvCxnSpPr>
      </xdr:nvCxnSpPr>
      <xdr:spPr>
        <a:xfrm flipV="1">
          <a:off x="2133600" y="8686800"/>
          <a:ext cx="800100" cy="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45</xdr:row>
      <xdr:rowOff>3175</xdr:rowOff>
    </xdr:from>
    <xdr:to>
      <xdr:col>11</xdr:col>
      <xdr:colOff>0</xdr:colOff>
      <xdr:row>48</xdr:row>
      <xdr:rowOff>0</xdr:rowOff>
    </xdr:to>
    <xdr:cxnSp macro="">
      <xdr:nvCxnSpPr>
        <xdr:cNvPr id="81" name="Connector: Elbow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CxnSpPr>
          <a:stCxn id="17" idx="3"/>
          <a:endCxn id="74" idx="1"/>
        </xdr:cNvCxnSpPr>
      </xdr:nvCxnSpPr>
      <xdr:spPr>
        <a:xfrm>
          <a:off x="2133600" y="8686800"/>
          <a:ext cx="80010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45</xdr:row>
      <xdr:rowOff>3175</xdr:rowOff>
    </xdr:from>
    <xdr:to>
      <xdr:col>11</xdr:col>
      <xdr:colOff>0</xdr:colOff>
      <xdr:row>51</xdr:row>
      <xdr:rowOff>0</xdr:rowOff>
    </xdr:to>
    <xdr:cxnSp macro="">
      <xdr:nvCxnSpPr>
        <xdr:cNvPr id="83" name="Connector: Elbow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CxnSpPr>
          <a:stCxn id="17" idx="3"/>
          <a:endCxn id="75" idx="1"/>
        </xdr:cNvCxnSpPr>
      </xdr:nvCxnSpPr>
      <xdr:spPr>
        <a:xfrm>
          <a:off x="2133600" y="8686800"/>
          <a:ext cx="8001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64</xdr:row>
      <xdr:rowOff>0</xdr:rowOff>
    </xdr:from>
    <xdr:to>
      <xdr:col>5</xdr:col>
      <xdr:colOff>0</xdr:colOff>
      <xdr:row>65</xdr:row>
      <xdr:rowOff>0</xdr:rowOff>
    </xdr:to>
    <xdr:sp macro="" textlink="" fLocksText="0">
      <xdr:nvSpPr>
        <xdr:cNvPr id="84" name="Rectangle: Rounded Corners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/>
      </xdr:nvSpPr>
      <xdr:spPr>
        <a:xfrm>
          <a:off x="800100" y="12306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1.1</a:t>
          </a:r>
        </a:p>
      </xdr:txBody>
    </xdr:sp>
    <xdr:clientData/>
  </xdr:twoCellAnchor>
  <xdr:twoCellAnchor>
    <xdr:from>
      <xdr:col>5</xdr:col>
      <xdr:colOff>0</xdr:colOff>
      <xdr:row>52</xdr:row>
      <xdr:rowOff>67235</xdr:rowOff>
    </xdr:from>
    <xdr:to>
      <xdr:col>5</xdr:col>
      <xdr:colOff>1</xdr:colOff>
      <xdr:row>63</xdr:row>
      <xdr:rowOff>0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CxnSpPr>
          <a:stCxn id="69" idx="2"/>
          <a:endCxn id="91" idx="0"/>
        </xdr:cNvCxnSpPr>
      </xdr:nvCxnSpPr>
      <xdr:spPr>
        <a:xfrm rot="5400000">
          <a:off x="1333500" y="10086975"/>
          <a:ext cx="0" cy="20288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41</xdr:row>
      <xdr:rowOff>100853</xdr:rowOff>
    </xdr:from>
    <xdr:to>
      <xdr:col>20</xdr:col>
      <xdr:colOff>0</xdr:colOff>
      <xdr:row>42</xdr:row>
      <xdr:rowOff>112059</xdr:rowOff>
    </xdr:to>
    <xdr:sp macro="" textlink="" fLocksText="0">
      <xdr:nvSpPr>
        <xdr:cNvPr id="87" name="Rectangle: Rounded Corners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/>
      </xdr:nvSpPr>
      <xdr:spPr>
        <a:xfrm>
          <a:off x="4800600" y="8029575"/>
          <a:ext cx="5334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1.2</a:t>
          </a:r>
        </a:p>
      </xdr:txBody>
    </xdr:sp>
    <xdr:clientData/>
  </xdr:twoCellAnchor>
  <xdr:twoCellAnchor>
    <xdr:from>
      <xdr:col>18</xdr:col>
      <xdr:colOff>0</xdr:colOff>
      <xdr:row>50</xdr:row>
      <xdr:rowOff>95250</xdr:rowOff>
    </xdr:from>
    <xdr:to>
      <xdr:col>20</xdr:col>
      <xdr:colOff>0</xdr:colOff>
      <xdr:row>51</xdr:row>
      <xdr:rowOff>95250</xdr:rowOff>
    </xdr:to>
    <xdr:sp macro="" textlink="" fLocksText="0">
      <xdr:nvSpPr>
        <xdr:cNvPr id="90" name="Rectangle: Rounded Corners 8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/>
      </xdr:nvSpPr>
      <xdr:spPr>
        <a:xfrm>
          <a:off x="4800600" y="973455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1.3</a:t>
          </a:r>
        </a:p>
      </xdr:txBody>
    </xdr:sp>
    <xdr:clientData/>
  </xdr:twoCellAnchor>
  <xdr:twoCellAnchor>
    <xdr:from>
      <xdr:col>1</xdr:col>
      <xdr:colOff>235322</xdr:colOff>
      <xdr:row>63</xdr:row>
      <xdr:rowOff>0</xdr:rowOff>
    </xdr:from>
    <xdr:to>
      <xdr:col>7</xdr:col>
      <xdr:colOff>235322</xdr:colOff>
      <xdr:row>67</xdr:row>
      <xdr:rowOff>0</xdr:rowOff>
    </xdr:to>
    <xdr:sp macro="" textlink="" fLocksText="0">
      <xdr:nvSpPr>
        <xdr:cNvPr id="91" name="四角形: 角を丸くする 3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/>
      </xdr:nvSpPr>
      <xdr:spPr>
        <a:xfrm>
          <a:off x="504825" y="12115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KN1505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商品提案機能</a:t>
          </a:r>
        </a:p>
      </xdr:txBody>
    </xdr:sp>
    <xdr:clientData/>
  </xdr:twoCellAnchor>
  <xdr:twoCellAnchor>
    <xdr:from>
      <xdr:col>15</xdr:col>
      <xdr:colOff>0</xdr:colOff>
      <xdr:row>42</xdr:row>
      <xdr:rowOff>11206</xdr:rowOff>
    </xdr:from>
    <xdr:to>
      <xdr:col>18</xdr:col>
      <xdr:colOff>0</xdr:colOff>
      <xdr:row>42</xdr:row>
      <xdr:rowOff>11206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CxnSpPr>
          <a:stCxn id="72" idx="3"/>
          <a:endCxn id="87" idx="1"/>
        </xdr:cNvCxnSpPr>
      </xdr:nvCxnSpPr>
      <xdr:spPr>
        <a:xfrm>
          <a:off x="4000500" y="8124825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51</xdr:row>
      <xdr:rowOff>0</xdr:rowOff>
    </xdr:from>
    <xdr:to>
      <xdr:col>18</xdr:col>
      <xdr:colOff>0</xdr:colOff>
      <xdr:row>51</xdr:row>
      <xdr:rowOff>0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CxnSpPr>
          <a:stCxn id="75" idx="3"/>
          <a:endCxn id="90" idx="1"/>
        </xdr:cNvCxnSpPr>
      </xdr:nvCxnSpPr>
      <xdr:spPr>
        <a:xfrm>
          <a:off x="4000500" y="98298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63</xdr:row>
      <xdr:rowOff>0</xdr:rowOff>
    </xdr:from>
    <xdr:to>
      <xdr:col>35</xdr:col>
      <xdr:colOff>0</xdr:colOff>
      <xdr:row>67</xdr:row>
      <xdr:rowOff>0</xdr:rowOff>
    </xdr:to>
    <xdr:sp macro="" textlink="" fLocksText="0">
      <xdr:nvSpPr>
        <xdr:cNvPr id="100" name="フローチャート: 磁気ディスク 194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/>
      </xdr:nvSpPr>
      <xdr:spPr>
        <a:xfrm>
          <a:off x="7734300" y="1211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AP1506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product/suggest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235322</xdr:colOff>
      <xdr:row>65</xdr:row>
      <xdr:rowOff>0</xdr:rowOff>
    </xdr:from>
    <xdr:to>
      <xdr:col>29</xdr:col>
      <xdr:colOff>0</xdr:colOff>
      <xdr:row>65</xdr:row>
      <xdr:rowOff>0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CxnSpPr>
          <a:stCxn id="91" idx="3"/>
          <a:endCxn id="100" idx="2"/>
        </xdr:cNvCxnSpPr>
      </xdr:nvCxnSpPr>
      <xdr:spPr>
        <a:xfrm>
          <a:off x="2105025" y="12496800"/>
          <a:ext cx="562927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76</xdr:row>
      <xdr:rowOff>0</xdr:rowOff>
    </xdr:from>
    <xdr:to>
      <xdr:col>6</xdr:col>
      <xdr:colOff>0</xdr:colOff>
      <xdr:row>77</xdr:row>
      <xdr:rowOff>0</xdr:rowOff>
    </xdr:to>
    <xdr:sp macro="" textlink="" fLocksText="0">
      <xdr:nvSpPr>
        <xdr:cNvPr id="105" name="Rectangle: Rounded Corners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/>
      </xdr:nvSpPr>
      <xdr:spPr>
        <a:xfrm>
          <a:off x="1066800" y="14592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1.2</a:t>
          </a:r>
        </a:p>
      </xdr:txBody>
    </xdr:sp>
    <xdr:clientData/>
  </xdr:twoCellAnchor>
  <xdr:twoCellAnchor>
    <xdr:from>
      <xdr:col>2</xdr:col>
      <xdr:colOff>1</xdr:colOff>
      <xdr:row>79</xdr:row>
      <xdr:rowOff>0</xdr:rowOff>
    </xdr:from>
    <xdr:to>
      <xdr:col>8</xdr:col>
      <xdr:colOff>0</xdr:colOff>
      <xdr:row>83</xdr:row>
      <xdr:rowOff>0</xdr:rowOff>
    </xdr:to>
    <xdr:sp macro="" textlink="" fLocksText="0">
      <xdr:nvSpPr>
        <xdr:cNvPr id="106" name="四角形: 角を丸くする 3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/>
      </xdr:nvSpPr>
      <xdr:spPr>
        <a:xfrm>
          <a:off x="533400" y="15163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KN0601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売価変更一覧取得機能</a:t>
          </a:r>
        </a:p>
      </xdr:txBody>
    </xdr:sp>
    <xdr:clientData/>
  </xdr:twoCellAnchor>
  <xdr:twoCellAnchor>
    <xdr:from>
      <xdr:col>5</xdr:col>
      <xdr:colOff>0</xdr:colOff>
      <xdr:row>77</xdr:row>
      <xdr:rowOff>0</xdr:rowOff>
    </xdr:from>
    <xdr:to>
      <xdr:col>5</xdr:col>
      <xdr:colOff>1</xdr:colOff>
      <xdr:row>79</xdr:row>
      <xdr:rowOff>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CxnSpPr>
          <a:stCxn id="105" idx="2"/>
          <a:endCxn id="106" idx="0"/>
        </xdr:cNvCxnSpPr>
      </xdr:nvCxnSpPr>
      <xdr:spPr>
        <a:xfrm>
          <a:off x="1333500" y="14782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79</xdr:row>
      <xdr:rowOff>0</xdr:rowOff>
    </xdr:from>
    <xdr:to>
      <xdr:col>35</xdr:col>
      <xdr:colOff>0</xdr:colOff>
      <xdr:row>83</xdr:row>
      <xdr:rowOff>0</xdr:rowOff>
    </xdr:to>
    <xdr:sp macro="" textlink="" fLocksText="0">
      <xdr:nvSpPr>
        <xdr:cNvPr id="109" name="フローチャート: 磁気ディスク 194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/>
      </xdr:nvSpPr>
      <xdr:spPr>
        <a:xfrm>
          <a:off x="7734300" y="15163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AP0601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1, 7, 8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定番売価変更一覧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marL="0" indent="0" algn="ctr"/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29</xdr:col>
      <xdr:colOff>0</xdr:colOff>
      <xdr:row>81</xdr:row>
      <xdr:rowOff>0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CxnSpPr>
          <a:stCxn id="106" idx="3"/>
          <a:endCxn id="109" idx="2"/>
        </xdr:cNvCxnSpPr>
      </xdr:nvCxnSpPr>
      <xdr:spPr>
        <a:xfrm>
          <a:off x="2133600" y="15544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97</xdr:row>
      <xdr:rowOff>0</xdr:rowOff>
    </xdr:from>
    <xdr:to>
      <xdr:col>6</xdr:col>
      <xdr:colOff>0</xdr:colOff>
      <xdr:row>98</xdr:row>
      <xdr:rowOff>0</xdr:rowOff>
    </xdr:to>
    <xdr:sp macro="" textlink="" fLocksText="0">
      <xdr:nvSpPr>
        <xdr:cNvPr id="113" name="Rectangle: Rounded Corners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/>
      </xdr:nvSpPr>
      <xdr:spPr>
        <a:xfrm>
          <a:off x="1066800" y="18592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1.3</a:t>
          </a:r>
        </a:p>
      </xdr:txBody>
    </xdr:sp>
    <xdr:clientData/>
  </xdr:twoCellAnchor>
  <xdr:twoCellAnchor>
    <xdr:from>
      <xdr:col>2</xdr:col>
      <xdr:colOff>1</xdr:colOff>
      <xdr:row>110</xdr:row>
      <xdr:rowOff>0</xdr:rowOff>
    </xdr:from>
    <xdr:to>
      <xdr:col>8</xdr:col>
      <xdr:colOff>0</xdr:colOff>
      <xdr:row>114</xdr:row>
      <xdr:rowOff>0</xdr:rowOff>
    </xdr:to>
    <xdr:sp macro="" textlink="" fLocksText="0">
      <xdr:nvSpPr>
        <xdr:cNvPr id="114" name="四角形: 角を丸くする 3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/>
      </xdr:nvSpPr>
      <xdr:spPr>
        <a:xfrm>
          <a:off x="533400" y="21069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KN0603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定番売価変更機能</a:t>
          </a:r>
        </a:p>
      </xdr:txBody>
    </xdr:sp>
    <xdr:clientData/>
  </xdr:twoCellAnchor>
  <xdr:twoCellAnchor>
    <xdr:from>
      <xdr:col>5</xdr:col>
      <xdr:colOff>0</xdr:colOff>
      <xdr:row>98</xdr:row>
      <xdr:rowOff>0</xdr:rowOff>
    </xdr:from>
    <xdr:to>
      <xdr:col>5</xdr:col>
      <xdr:colOff>1</xdr:colOff>
      <xdr:row>99</xdr:row>
      <xdr:rowOff>0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CxnSpPr>
          <a:stCxn id="113" idx="2"/>
          <a:endCxn id="173" idx="0"/>
        </xdr:cNvCxnSpPr>
      </xdr:nvCxnSpPr>
      <xdr:spPr>
        <a:xfrm>
          <a:off x="1333500" y="18783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110</xdr:row>
      <xdr:rowOff>0</xdr:rowOff>
    </xdr:from>
    <xdr:to>
      <xdr:col>35</xdr:col>
      <xdr:colOff>0</xdr:colOff>
      <xdr:row>114</xdr:row>
      <xdr:rowOff>0</xdr:rowOff>
    </xdr:to>
    <xdr:sp macro="" textlink="" fLocksText="0">
      <xdr:nvSpPr>
        <xdr:cNvPr id="116" name="フローチャート: 磁気ディスク 194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/>
      </xdr:nvSpPr>
      <xdr:spPr>
        <a:xfrm>
          <a:off x="7734300" y="21069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AP0602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product/update standard price 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112</xdr:row>
      <xdr:rowOff>0</xdr:rowOff>
    </xdr:from>
    <xdr:to>
      <xdr:col>29</xdr:col>
      <xdr:colOff>0</xdr:colOff>
      <xdr:row>112</xdr:row>
      <xdr:rowOff>0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CxnSpPr>
          <a:stCxn id="114" idx="3"/>
          <a:endCxn id="116" idx="2"/>
        </xdr:cNvCxnSpPr>
      </xdr:nvCxnSpPr>
      <xdr:spPr>
        <a:xfrm>
          <a:off x="2133600" y="21450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85</xdr:row>
      <xdr:rowOff>0</xdr:rowOff>
    </xdr:from>
    <xdr:to>
      <xdr:col>7</xdr:col>
      <xdr:colOff>0</xdr:colOff>
      <xdr:row>86</xdr:row>
      <xdr:rowOff>0</xdr:rowOff>
    </xdr:to>
    <xdr:sp macro="" textlink="" fLocksText="0">
      <xdr:nvSpPr>
        <xdr:cNvPr id="118" name="Rectangle: Rounded Corners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/>
      </xdr:nvSpPr>
      <xdr:spPr>
        <a:xfrm>
          <a:off x="800100" y="16306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存在</a:t>
          </a:r>
        </a:p>
      </xdr:txBody>
    </xdr:sp>
    <xdr:clientData/>
  </xdr:twoCellAnchor>
  <xdr:twoCellAnchor>
    <xdr:from>
      <xdr:col>12</xdr:col>
      <xdr:colOff>0</xdr:colOff>
      <xdr:row>85</xdr:row>
      <xdr:rowOff>0</xdr:rowOff>
    </xdr:from>
    <xdr:to>
      <xdr:col>16</xdr:col>
      <xdr:colOff>0</xdr:colOff>
      <xdr:row>86</xdr:row>
      <xdr:rowOff>0</xdr:rowOff>
    </xdr:to>
    <xdr:sp macro="" textlink="" fLocksText="0">
      <xdr:nvSpPr>
        <xdr:cNvPr id="119" name="Rectangle: Rounded Corners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/>
      </xdr:nvSpPr>
      <xdr:spPr>
        <a:xfrm>
          <a:off x="3200400" y="16306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不在</a:t>
          </a:r>
        </a:p>
      </xdr:txBody>
    </xdr:sp>
    <xdr:clientData/>
  </xdr:twoCellAnchor>
  <xdr:twoCellAnchor>
    <xdr:from>
      <xdr:col>5</xdr:col>
      <xdr:colOff>0</xdr:colOff>
      <xdr:row>83</xdr:row>
      <xdr:rowOff>0</xdr:rowOff>
    </xdr:from>
    <xdr:to>
      <xdr:col>5</xdr:col>
      <xdr:colOff>1</xdr:colOff>
      <xdr:row>85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CxnSpPr>
          <a:stCxn id="106" idx="2"/>
          <a:endCxn id="118" idx="0"/>
        </xdr:cNvCxnSpPr>
      </xdr:nvCxnSpPr>
      <xdr:spPr>
        <a:xfrm flipH="1">
          <a:off x="1333500" y="1592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83</xdr:row>
      <xdr:rowOff>0</xdr:rowOff>
    </xdr:from>
    <xdr:to>
      <xdr:col>13</xdr:col>
      <xdr:colOff>240630</xdr:colOff>
      <xdr:row>85</xdr:row>
      <xdr:rowOff>0</xdr:rowOff>
    </xdr:to>
    <xdr:cxnSp macro="">
      <xdr:nvCxnSpPr>
        <xdr:cNvPr id="123" name="Connector: Elbow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CxnSpPr>
          <a:stCxn id="106" idx="2"/>
          <a:endCxn id="119" idx="0"/>
        </xdr:cNvCxnSpPr>
      </xdr:nvCxnSpPr>
      <xdr:spPr>
        <a:xfrm rot="16200000" flipH="1">
          <a:off x="1333500" y="15925800"/>
          <a:ext cx="2371725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41</xdr:row>
      <xdr:rowOff>0</xdr:rowOff>
    </xdr:to>
    <xdr:sp macro="" textlink="" fLocksText="0">
      <xdr:nvSpPr>
        <xdr:cNvPr id="124" name="Rectangle: Rounded Corners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SpPr/>
      </xdr:nvSpPr>
      <xdr:spPr>
        <a:xfrm>
          <a:off x="1066800" y="7734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01</a:t>
          </a:r>
        </a:p>
      </xdr:txBody>
    </xdr:sp>
    <xdr:clientData/>
  </xdr:twoCellAnchor>
  <xdr:twoCellAnchor>
    <xdr:from>
      <xdr:col>5</xdr:col>
      <xdr:colOff>0</xdr:colOff>
      <xdr:row>41</xdr:row>
      <xdr:rowOff>0</xdr:rowOff>
    </xdr:from>
    <xdr:to>
      <xdr:col>5</xdr:col>
      <xdr:colOff>0</xdr:colOff>
      <xdr:row>43</xdr:row>
      <xdr:rowOff>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CxnSpPr>
          <a:stCxn id="124" idx="2"/>
          <a:endCxn id="17" idx="0"/>
        </xdr:cNvCxnSpPr>
      </xdr:nvCxnSpPr>
      <xdr:spPr>
        <a:xfrm>
          <a:off x="1333500" y="7924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68</xdr:row>
      <xdr:rowOff>0</xdr:rowOff>
    </xdr:from>
    <xdr:to>
      <xdr:col>6</xdr:col>
      <xdr:colOff>0</xdr:colOff>
      <xdr:row>69</xdr:row>
      <xdr:rowOff>0</xdr:rowOff>
    </xdr:to>
    <xdr:sp macro="" textlink="" fLocksText="0">
      <xdr:nvSpPr>
        <xdr:cNvPr id="128" name="Rectangle: Rounded Corners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/>
      </xdr:nvSpPr>
      <xdr:spPr>
        <a:xfrm>
          <a:off x="1066800" y="13068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02</a:t>
          </a:r>
        </a:p>
      </xdr:txBody>
    </xdr:sp>
    <xdr:clientData/>
  </xdr:twoCellAnchor>
  <xdr:twoCellAnchor>
    <xdr:from>
      <xdr:col>4</xdr:col>
      <xdr:colOff>235323</xdr:colOff>
      <xdr:row>67</xdr:row>
      <xdr:rowOff>0</xdr:rowOff>
    </xdr:from>
    <xdr:to>
      <xdr:col>5</xdr:col>
      <xdr:colOff>0</xdr:colOff>
      <xdr:row>68</xdr:row>
      <xdr:rowOff>0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CxnSpPr>
          <a:stCxn id="91" idx="2"/>
          <a:endCxn id="128" idx="0"/>
        </xdr:cNvCxnSpPr>
      </xdr:nvCxnSpPr>
      <xdr:spPr>
        <a:xfrm>
          <a:off x="1304925" y="12877800"/>
          <a:ext cx="28575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88</xdr:row>
      <xdr:rowOff>0</xdr:rowOff>
    </xdr:from>
    <xdr:to>
      <xdr:col>6</xdr:col>
      <xdr:colOff>0</xdr:colOff>
      <xdr:row>89</xdr:row>
      <xdr:rowOff>0</xdr:rowOff>
    </xdr:to>
    <xdr:sp macro="" textlink="" fLocksText="0">
      <xdr:nvSpPr>
        <xdr:cNvPr id="131" name="Rectangle: Rounded Corners 13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1066800" y="16878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02</a:t>
          </a:r>
        </a:p>
      </xdr:txBody>
    </xdr:sp>
    <xdr:clientData/>
  </xdr:twoCellAnchor>
  <xdr:twoCellAnchor>
    <xdr:from>
      <xdr:col>5</xdr:col>
      <xdr:colOff>0</xdr:colOff>
      <xdr:row>86</xdr:row>
      <xdr:rowOff>0</xdr:rowOff>
    </xdr:from>
    <xdr:to>
      <xdr:col>5</xdr:col>
      <xdr:colOff>0</xdr:colOff>
      <xdr:row>88</xdr:row>
      <xdr:rowOff>0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CxnSpPr>
          <a:stCxn id="118" idx="2"/>
          <a:endCxn id="131" idx="0"/>
        </xdr:cNvCxnSpPr>
      </xdr:nvCxnSpPr>
      <xdr:spPr>
        <a:xfrm>
          <a:off x="1333500" y="16497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87</xdr:row>
      <xdr:rowOff>0</xdr:rowOff>
    </xdr:from>
    <xdr:to>
      <xdr:col>17</xdr:col>
      <xdr:colOff>0</xdr:colOff>
      <xdr:row>91</xdr:row>
      <xdr:rowOff>0</xdr:rowOff>
    </xdr:to>
    <xdr:sp macro="" textlink="" fLocksText="0">
      <xdr:nvSpPr>
        <xdr:cNvPr id="134" name="正方形/長方形 19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2933700" y="16687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データがない</a:t>
          </a:r>
        </a:p>
      </xdr:txBody>
    </xdr:sp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1</xdr:colOff>
      <xdr:row>87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CxnSpPr>
          <a:stCxn id="119" idx="2"/>
          <a:endCxn id="134" idx="0"/>
        </xdr:cNvCxnSpPr>
      </xdr:nvCxnSpPr>
      <xdr:spPr>
        <a:xfrm>
          <a:off x="3733800" y="16497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91</xdr:row>
      <xdr:rowOff>0</xdr:rowOff>
    </xdr:from>
    <xdr:to>
      <xdr:col>15</xdr:col>
      <xdr:colOff>0</xdr:colOff>
      <xdr:row>92</xdr:row>
      <xdr:rowOff>0</xdr:rowOff>
    </xdr:to>
    <xdr:sp macro="" textlink="" fLocksText="0">
      <xdr:nvSpPr>
        <xdr:cNvPr id="138" name="四角形: 角を丸くする 294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3467100" y="174498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93</xdr:row>
      <xdr:rowOff>0</xdr:rowOff>
    </xdr:from>
    <xdr:to>
      <xdr:col>15</xdr:col>
      <xdr:colOff>0</xdr:colOff>
      <xdr:row>94</xdr:row>
      <xdr:rowOff>0</xdr:rowOff>
    </xdr:to>
    <xdr:sp macro="" textlink="" fLocksText="0">
      <xdr:nvSpPr>
        <xdr:cNvPr id="139" name="Rectangle: Rounded Corners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/>
      </xdr:nvSpPr>
      <xdr:spPr>
        <a:xfrm>
          <a:off x="3467100" y="17830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01</a:t>
          </a:r>
        </a:p>
      </xdr:txBody>
    </xdr:sp>
    <xdr:clientData/>
  </xdr:twoCellAnchor>
  <xdr:twoCellAnchor>
    <xdr:from>
      <xdr:col>14</xdr:col>
      <xdr:colOff>1</xdr:colOff>
      <xdr:row>92</xdr:row>
      <xdr:rowOff>0</xdr:rowOff>
    </xdr:from>
    <xdr:to>
      <xdr:col>14</xdr:col>
      <xdr:colOff>1</xdr:colOff>
      <xdr:row>93</xdr:row>
      <xdr:rowOff>0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CxnSpPr>
          <a:stCxn id="138" idx="2"/>
          <a:endCxn id="139" idx="0"/>
        </xdr:cNvCxnSpPr>
      </xdr:nvCxnSpPr>
      <xdr:spPr>
        <a:xfrm>
          <a:off x="3733800" y="17640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115</xdr:row>
      <xdr:rowOff>0</xdr:rowOff>
    </xdr:from>
    <xdr:to>
      <xdr:col>6</xdr:col>
      <xdr:colOff>0</xdr:colOff>
      <xdr:row>116</xdr:row>
      <xdr:rowOff>0</xdr:rowOff>
    </xdr:to>
    <xdr:sp macro="" textlink="" fLocksText="0">
      <xdr:nvSpPr>
        <xdr:cNvPr id="142" name="Rectangle: Rounded Corners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/>
      </xdr:nvSpPr>
      <xdr:spPr>
        <a:xfrm>
          <a:off x="1066800" y="2202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01</a:t>
          </a:r>
        </a:p>
      </xdr:txBody>
    </xdr:sp>
    <xdr:clientData/>
  </xdr:twoCellAnchor>
  <xdr:twoCellAnchor>
    <xdr:from>
      <xdr:col>5</xdr:col>
      <xdr:colOff>0</xdr:colOff>
      <xdr:row>114</xdr:row>
      <xdr:rowOff>0</xdr:rowOff>
    </xdr:from>
    <xdr:to>
      <xdr:col>5</xdr:col>
      <xdr:colOff>1</xdr:colOff>
      <xdr:row>115</xdr:row>
      <xdr:rowOff>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CxnSpPr>
          <a:stCxn id="114" idx="2"/>
          <a:endCxn id="142" idx="0"/>
        </xdr:cNvCxnSpPr>
      </xdr:nvCxnSpPr>
      <xdr:spPr>
        <a:xfrm flipH="1">
          <a:off x="1333500" y="21831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70</xdr:row>
      <xdr:rowOff>0</xdr:rowOff>
    </xdr:from>
    <xdr:to>
      <xdr:col>8</xdr:col>
      <xdr:colOff>0</xdr:colOff>
      <xdr:row>74</xdr:row>
      <xdr:rowOff>0</xdr:rowOff>
    </xdr:to>
    <xdr:sp macro="" textlink="" fLocksText="0">
      <xdr:nvSpPr>
        <xdr:cNvPr id="156" name="正方形/長方形 1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533400" y="13449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SC0601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1, 7, 8 定番変更画面（結果）</a:t>
          </a:r>
        </a:p>
      </xdr:txBody>
    </xdr:sp>
    <xdr:clientData/>
  </xdr:twoCellAnchor>
  <xdr:twoCellAnchor>
    <xdr:from>
      <xdr:col>5</xdr:col>
      <xdr:colOff>0</xdr:colOff>
      <xdr:row>69</xdr:row>
      <xdr:rowOff>0</xdr:rowOff>
    </xdr:from>
    <xdr:to>
      <xdr:col>5</xdr:col>
      <xdr:colOff>1</xdr:colOff>
      <xdr:row>70</xdr:row>
      <xdr:rowOff>0</xdr:rowOff>
    </xdr:to>
    <xdr:cxnSp macro="">
      <xdr:nvCxnSpPr>
        <xdr:cNvPr id="158" name="Straight Arrow Connector 15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CxnSpPr>
          <a:stCxn id="128" idx="2"/>
          <a:endCxn id="156" idx="0"/>
        </xdr:cNvCxnSpPr>
      </xdr:nvCxnSpPr>
      <xdr:spPr>
        <a:xfrm>
          <a:off x="1333500" y="132588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44</xdr:row>
      <xdr:rowOff>95250</xdr:rowOff>
    </xdr:from>
    <xdr:to>
      <xdr:col>20</xdr:col>
      <xdr:colOff>0</xdr:colOff>
      <xdr:row>45</xdr:row>
      <xdr:rowOff>95250</xdr:rowOff>
    </xdr:to>
    <xdr:sp macro="" textlink="" fLocksText="0">
      <xdr:nvSpPr>
        <xdr:cNvPr id="159" name="Rectangle: Rounded Corners 158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800600" y="859155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01</a:t>
          </a: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18</xdr:col>
      <xdr:colOff>0</xdr:colOff>
      <xdr:row>45</xdr:row>
      <xdr:rowOff>0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CxnSpPr>
          <a:stCxn id="73" idx="3"/>
          <a:endCxn id="159" idx="1"/>
        </xdr:cNvCxnSpPr>
      </xdr:nvCxnSpPr>
      <xdr:spPr>
        <a:xfrm>
          <a:off x="4000500" y="86868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99</xdr:row>
      <xdr:rowOff>0</xdr:rowOff>
    </xdr:from>
    <xdr:to>
      <xdr:col>8</xdr:col>
      <xdr:colOff>0</xdr:colOff>
      <xdr:row>103</xdr:row>
      <xdr:rowOff>0</xdr:rowOff>
    </xdr:to>
    <xdr:sp macro="" textlink="" fLocksText="0">
      <xdr:nvSpPr>
        <xdr:cNvPr id="173" name="四角形: 角を丸くする 3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533400" y="18973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KN0602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変更売価バリデーションチェック機能</a:t>
          </a:r>
        </a:p>
      </xdr:txBody>
    </xdr:sp>
    <xdr:clientData/>
  </xdr:twoCellAnchor>
  <xdr:twoCellAnchor>
    <xdr:from>
      <xdr:col>3</xdr:col>
      <xdr:colOff>0</xdr:colOff>
      <xdr:row>105</xdr:row>
      <xdr:rowOff>0</xdr:rowOff>
    </xdr:from>
    <xdr:to>
      <xdr:col>7</xdr:col>
      <xdr:colOff>0</xdr:colOff>
      <xdr:row>106</xdr:row>
      <xdr:rowOff>0</xdr:rowOff>
    </xdr:to>
    <xdr:sp macro="" textlink="" fLocksText="0">
      <xdr:nvSpPr>
        <xdr:cNvPr id="184" name="Rectangle: Rounded Corners 183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800100" y="20116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1~999999</a:t>
          </a:r>
        </a:p>
      </xdr:txBody>
    </xdr:sp>
    <xdr:clientData/>
  </xdr:twoCellAnchor>
  <xdr:twoCellAnchor>
    <xdr:from>
      <xdr:col>5</xdr:col>
      <xdr:colOff>0</xdr:colOff>
      <xdr:row>103</xdr:row>
      <xdr:rowOff>0</xdr:rowOff>
    </xdr:from>
    <xdr:to>
      <xdr:col>5</xdr:col>
      <xdr:colOff>1</xdr:colOff>
      <xdr:row>105</xdr:row>
      <xdr:rowOff>0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CxnSpPr>
          <a:stCxn id="173" idx="2"/>
          <a:endCxn id="184" idx="0"/>
        </xdr:cNvCxnSpPr>
      </xdr:nvCxnSpPr>
      <xdr:spPr>
        <a:xfrm flipH="1">
          <a:off x="1333500" y="1973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105</xdr:row>
      <xdr:rowOff>0</xdr:rowOff>
    </xdr:from>
    <xdr:to>
      <xdr:col>16</xdr:col>
      <xdr:colOff>0</xdr:colOff>
      <xdr:row>106</xdr:row>
      <xdr:rowOff>0</xdr:rowOff>
    </xdr:to>
    <xdr:sp macro="" textlink="" fLocksText="0">
      <xdr:nvSpPr>
        <xdr:cNvPr id="187" name="Rectangle: Rounded Corners 186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3200400" y="20116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&lt;= 0</a:t>
          </a:r>
        </a:p>
      </xdr:txBody>
    </xdr:sp>
    <xdr:clientData/>
  </xdr:twoCellAnchor>
  <xdr:twoCellAnchor>
    <xdr:from>
      <xdr:col>5</xdr:col>
      <xdr:colOff>0</xdr:colOff>
      <xdr:row>103</xdr:row>
      <xdr:rowOff>0</xdr:rowOff>
    </xdr:from>
    <xdr:to>
      <xdr:col>13</xdr:col>
      <xdr:colOff>240630</xdr:colOff>
      <xdr:row>105</xdr:row>
      <xdr:rowOff>0</xdr:rowOff>
    </xdr:to>
    <xdr:cxnSp macro="">
      <xdr:nvCxnSpPr>
        <xdr:cNvPr id="189" name="Connector: Elbow 188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CxnSpPr>
          <a:stCxn id="173" idx="2"/>
          <a:endCxn id="187" idx="0"/>
        </xdr:cNvCxnSpPr>
      </xdr:nvCxnSpPr>
      <xdr:spPr>
        <a:xfrm rot="16200000" flipH="1">
          <a:off x="1333500" y="19735800"/>
          <a:ext cx="2371725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106</xdr:row>
      <xdr:rowOff>0</xdr:rowOff>
    </xdr:from>
    <xdr:to>
      <xdr:col>5</xdr:col>
      <xdr:colOff>1</xdr:colOff>
      <xdr:row>110</xdr:row>
      <xdr:rowOff>0</xdr:rowOff>
    </xdr:to>
    <xdr:cxnSp macro="">
      <xdr:nvCxnSpPr>
        <xdr:cNvPr id="191" name="Straight Arrow Connector 190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CxnSpPr>
          <a:stCxn id="184" idx="2"/>
          <a:endCxn id="114" idx="0"/>
        </xdr:cNvCxnSpPr>
      </xdr:nvCxnSpPr>
      <xdr:spPr>
        <a:xfrm>
          <a:off x="1333500" y="20307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107</xdr:row>
      <xdr:rowOff>0</xdr:rowOff>
    </xdr:from>
    <xdr:to>
      <xdr:col>17</xdr:col>
      <xdr:colOff>0</xdr:colOff>
      <xdr:row>111</xdr:row>
      <xdr:rowOff>0</xdr:rowOff>
    </xdr:to>
    <xdr:sp macro="" textlink="" fLocksText="0">
      <xdr:nvSpPr>
        <xdr:cNvPr id="192" name="正方形/長方形 19">
          <a:extLst>
            <a:ext uri="{FF2B5EF4-FFF2-40B4-BE49-F238E27FC236}">
              <a16:creationId xmlns:a16="http://schemas.microsoft.com/office/drawing/2014/main" id="{00000000-0008-0000-0500-0000C0000000}"/>
            </a:ext>
          </a:extLst>
        </xdr:cNvPr>
        <xdr:cNvSpPr/>
      </xdr:nvSpPr>
      <xdr:spPr>
        <a:xfrm>
          <a:off x="2933700" y="20497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0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変更売価は0より大きい数字を入力してください。</a:t>
          </a:r>
        </a:p>
      </xdr:txBody>
    </xdr:sp>
    <xdr:clientData/>
  </xdr:twoCellAnchor>
  <xdr:twoCellAnchor>
    <xdr:from>
      <xdr:col>13</xdr:col>
      <xdr:colOff>0</xdr:colOff>
      <xdr:row>111</xdr:row>
      <xdr:rowOff>0</xdr:rowOff>
    </xdr:from>
    <xdr:to>
      <xdr:col>15</xdr:col>
      <xdr:colOff>0</xdr:colOff>
      <xdr:row>112</xdr:row>
      <xdr:rowOff>0</xdr:rowOff>
    </xdr:to>
    <xdr:sp macro="" textlink="" fLocksText="0">
      <xdr:nvSpPr>
        <xdr:cNvPr id="193" name="四角形: 角を丸くする 294">
          <a:extLst>
            <a:ext uri="{FF2B5EF4-FFF2-40B4-BE49-F238E27FC236}">
              <a16:creationId xmlns:a16="http://schemas.microsoft.com/office/drawing/2014/main" id="{00000000-0008-0000-0500-0000C1000000}"/>
            </a:ext>
          </a:extLst>
        </xdr:cNvPr>
        <xdr:cNvSpPr/>
      </xdr:nvSpPr>
      <xdr:spPr>
        <a:xfrm>
          <a:off x="3467100" y="212598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113</xdr:row>
      <xdr:rowOff>0</xdr:rowOff>
    </xdr:from>
    <xdr:to>
      <xdr:col>15</xdr:col>
      <xdr:colOff>0</xdr:colOff>
      <xdr:row>114</xdr:row>
      <xdr:rowOff>0</xdr:rowOff>
    </xdr:to>
    <xdr:sp macro="" textlink="" fLocksText="0">
      <xdr:nvSpPr>
        <xdr:cNvPr id="194" name="Rectangle: Rounded Corners 193">
          <a:extLst>
            <a:ext uri="{FF2B5EF4-FFF2-40B4-BE49-F238E27FC236}">
              <a16:creationId xmlns:a16="http://schemas.microsoft.com/office/drawing/2014/main" id="{00000000-0008-0000-0500-0000C2000000}"/>
            </a:ext>
          </a:extLst>
        </xdr:cNvPr>
        <xdr:cNvSpPr/>
      </xdr:nvSpPr>
      <xdr:spPr>
        <a:xfrm>
          <a:off x="3467100" y="21640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02</a:t>
          </a:r>
        </a:p>
      </xdr:txBody>
    </xdr:sp>
    <xdr:clientData/>
  </xdr:twoCellAnchor>
  <xdr:twoCellAnchor>
    <xdr:from>
      <xdr:col>14</xdr:col>
      <xdr:colOff>1</xdr:colOff>
      <xdr:row>112</xdr:row>
      <xdr:rowOff>0</xdr:rowOff>
    </xdr:from>
    <xdr:to>
      <xdr:col>14</xdr:col>
      <xdr:colOff>1</xdr:colOff>
      <xdr:row>113</xdr:row>
      <xdr:rowOff>0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00000000-0008-0000-0500-0000C3000000}"/>
            </a:ext>
          </a:extLst>
        </xdr:cNvPr>
        <xdr:cNvCxnSpPr>
          <a:stCxn id="193" idx="2"/>
          <a:endCxn id="194" idx="0"/>
        </xdr:cNvCxnSpPr>
      </xdr:nvCxnSpPr>
      <xdr:spPr>
        <a:xfrm>
          <a:off x="3733800" y="21450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106</xdr:row>
      <xdr:rowOff>0</xdr:rowOff>
    </xdr:from>
    <xdr:to>
      <xdr:col>14</xdr:col>
      <xdr:colOff>1</xdr:colOff>
      <xdr:row>107</xdr:row>
      <xdr:rowOff>0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00000000-0008-0000-0500-0000C5000000}"/>
            </a:ext>
          </a:extLst>
        </xdr:cNvPr>
        <xdr:cNvCxnSpPr>
          <a:stCxn id="187" idx="2"/>
          <a:endCxn id="192" idx="0"/>
        </xdr:cNvCxnSpPr>
      </xdr:nvCxnSpPr>
      <xdr:spPr>
        <a:xfrm>
          <a:off x="3733800" y="20307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0</xdr:colOff>
      <xdr:row>101</xdr:row>
      <xdr:rowOff>0</xdr:rowOff>
    </xdr:from>
    <xdr:to>
      <xdr:col>96</xdr:col>
      <xdr:colOff>0</xdr:colOff>
      <xdr:row>110</xdr:row>
      <xdr:rowOff>31008</xdr:rowOff>
    </xdr:to>
    <xdr:pic>
      <xdr:nvPicPr>
        <xdr:cNvPr id="200" name="図 9">
          <a:extLst>
            <a:ext uri="{FF2B5EF4-FFF2-40B4-BE49-F238E27FC236}">
              <a16:creationId xmlns:a16="http://schemas.microsoft.com/office/drawing/2014/main" id="{00000000-0008-0000-05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0" y="19354800"/>
          <a:ext cx="8001000" cy="17430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11</xdr:col>
      <xdr:colOff>0</xdr:colOff>
      <xdr:row>53</xdr:row>
      <xdr:rowOff>0</xdr:rowOff>
    </xdr:from>
    <xdr:to>
      <xdr:col>15</xdr:col>
      <xdr:colOff>0</xdr:colOff>
      <xdr:row>55</xdr:row>
      <xdr:rowOff>0</xdr:rowOff>
    </xdr:to>
    <xdr:sp macro="" textlink="" fLocksText="0">
      <xdr:nvSpPr>
        <xdr:cNvPr id="48" name="四角形: 角を丸くする 1101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2933700" y="10210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部門コード入力</a:t>
          </a:r>
        </a:p>
      </xdr:txBody>
    </xdr:sp>
    <xdr:clientData/>
  </xdr:twoCellAnchor>
  <xdr:twoCellAnchor>
    <xdr:from>
      <xdr:col>18</xdr:col>
      <xdr:colOff>0</xdr:colOff>
      <xdr:row>53</xdr:row>
      <xdr:rowOff>95250</xdr:rowOff>
    </xdr:from>
    <xdr:to>
      <xdr:col>20</xdr:col>
      <xdr:colOff>0</xdr:colOff>
      <xdr:row>54</xdr:row>
      <xdr:rowOff>95250</xdr:rowOff>
    </xdr:to>
    <xdr:sp macro="" textlink="" fLocksText="0">
      <xdr:nvSpPr>
        <xdr:cNvPr id="49" name="Rectangle: Rounded Corners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800600" y="1030605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1.4</a:t>
          </a:r>
        </a:p>
      </xdr:txBody>
    </xdr:sp>
    <xdr:clientData/>
  </xdr:twoCellAnchor>
  <xdr:twoCellAnchor>
    <xdr:from>
      <xdr:col>15</xdr:col>
      <xdr:colOff>0</xdr:colOff>
      <xdr:row>54</xdr:row>
      <xdr:rowOff>0</xdr:rowOff>
    </xdr:from>
    <xdr:to>
      <xdr:col>18</xdr:col>
      <xdr:colOff>0</xdr:colOff>
      <xdr:row>54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CxnSpPr>
          <a:stCxn id="48" idx="3"/>
          <a:endCxn id="49" idx="1"/>
        </xdr:cNvCxnSpPr>
      </xdr:nvCxnSpPr>
      <xdr:spPr>
        <a:xfrm>
          <a:off x="4000500" y="104013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45</xdr:row>
      <xdr:rowOff>3175</xdr:rowOff>
    </xdr:from>
    <xdr:to>
      <xdr:col>11</xdr:col>
      <xdr:colOff>0</xdr:colOff>
      <xdr:row>54</xdr:row>
      <xdr:rowOff>0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CxnSpPr>
          <a:stCxn id="17" idx="3"/>
          <a:endCxn id="48" idx="1"/>
        </xdr:cNvCxnSpPr>
      </xdr:nvCxnSpPr>
      <xdr:spPr>
        <a:xfrm>
          <a:off x="2133600" y="8686800"/>
          <a:ext cx="800100" cy="1714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120</xdr:row>
      <xdr:rowOff>0</xdr:rowOff>
    </xdr:from>
    <xdr:to>
      <xdr:col>6</xdr:col>
      <xdr:colOff>0</xdr:colOff>
      <xdr:row>121</xdr:row>
      <xdr:rowOff>0</xdr:rowOff>
    </xdr:to>
    <xdr:sp macro="" textlink="" fLocksText="0">
      <xdr:nvSpPr>
        <xdr:cNvPr id="64" name="Rectangle: Rounded Corners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/>
      </xdr:nvSpPr>
      <xdr:spPr>
        <a:xfrm>
          <a:off x="1066800" y="22974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1.4</a:t>
          </a:r>
        </a:p>
      </xdr:txBody>
    </xdr:sp>
    <xdr:clientData/>
  </xdr:twoCellAnchor>
  <xdr:twoCellAnchor>
    <xdr:from>
      <xdr:col>2</xdr:col>
      <xdr:colOff>1</xdr:colOff>
      <xdr:row>123</xdr:row>
      <xdr:rowOff>0</xdr:rowOff>
    </xdr:from>
    <xdr:to>
      <xdr:col>8</xdr:col>
      <xdr:colOff>0</xdr:colOff>
      <xdr:row>127</xdr:row>
      <xdr:rowOff>0</xdr:rowOff>
    </xdr:to>
    <xdr:sp macro="" textlink="" fLocksText="0">
      <xdr:nvSpPr>
        <xdr:cNvPr id="68" name="四角形: 角を丸くする 3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/>
      </xdr:nvSpPr>
      <xdr:spPr>
        <a:xfrm>
          <a:off x="533400" y="23545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KN1201部門提案機能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121</xdr:row>
      <xdr:rowOff>0</xdr:rowOff>
    </xdr:from>
    <xdr:to>
      <xdr:col>5</xdr:col>
      <xdr:colOff>1</xdr:colOff>
      <xdr:row>123</xdr:row>
      <xdr:rowOff>0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CxnSpPr>
          <a:stCxn id="64" idx="2"/>
          <a:endCxn id="68" idx="0"/>
        </xdr:cNvCxnSpPr>
      </xdr:nvCxnSpPr>
      <xdr:spPr>
        <a:xfrm>
          <a:off x="1333500" y="23164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123</xdr:row>
      <xdr:rowOff>0</xdr:rowOff>
    </xdr:from>
    <xdr:to>
      <xdr:col>35</xdr:col>
      <xdr:colOff>0</xdr:colOff>
      <xdr:row>127</xdr:row>
      <xdr:rowOff>0</xdr:rowOff>
    </xdr:to>
    <xdr:sp macro="" textlink="" fLocksText="0">
      <xdr:nvSpPr>
        <xdr:cNvPr id="88" name="フローチャート: 磁気ディスク 194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/>
      </xdr:nvSpPr>
      <xdr:spPr>
        <a:xfrm>
          <a:off x="7734300" y="2354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AP1201 group/suggest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125</xdr:row>
      <xdr:rowOff>0</xdr:rowOff>
    </xdr:from>
    <xdr:to>
      <xdr:col>29</xdr:col>
      <xdr:colOff>0</xdr:colOff>
      <xdr:row>125</xdr:row>
      <xdr:rowOff>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CxnSpPr>
          <a:stCxn id="68" idx="3"/>
          <a:endCxn id="88" idx="2"/>
        </xdr:cNvCxnSpPr>
      </xdr:nvCxnSpPr>
      <xdr:spPr>
        <a:xfrm>
          <a:off x="2133600" y="23926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138</xdr:row>
      <xdr:rowOff>0</xdr:rowOff>
    </xdr:from>
    <xdr:to>
      <xdr:col>6</xdr:col>
      <xdr:colOff>0</xdr:colOff>
      <xdr:row>139</xdr:row>
      <xdr:rowOff>0</xdr:rowOff>
    </xdr:to>
    <xdr:sp macro="" textlink="" fLocksText="0">
      <xdr:nvSpPr>
        <xdr:cNvPr id="94" name="Rectangle: Rounded Corners 93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/>
      </xdr:nvSpPr>
      <xdr:spPr>
        <a:xfrm>
          <a:off x="1066800" y="26403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01</a:t>
          </a:r>
        </a:p>
      </xdr:txBody>
    </xdr:sp>
    <xdr:clientData/>
  </xdr:twoCellAnchor>
  <xdr:twoCellAnchor>
    <xdr:from>
      <xdr:col>5</xdr:col>
      <xdr:colOff>0</xdr:colOff>
      <xdr:row>127</xdr:row>
      <xdr:rowOff>0</xdr:rowOff>
    </xdr:from>
    <xdr:to>
      <xdr:col>5</xdr:col>
      <xdr:colOff>0</xdr:colOff>
      <xdr:row>129</xdr:row>
      <xdr:rowOff>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CxnSpPr>
          <a:stCxn id="68" idx="2"/>
          <a:endCxn id="21" idx="0"/>
        </xdr:cNvCxnSpPr>
      </xdr:nvCxnSpPr>
      <xdr:spPr>
        <a:xfrm>
          <a:off x="1333500" y="24307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132</xdr:row>
      <xdr:rowOff>0</xdr:rowOff>
    </xdr:from>
    <xdr:to>
      <xdr:col>8</xdr:col>
      <xdr:colOff>0</xdr:colOff>
      <xdr:row>136</xdr:row>
      <xdr:rowOff>0</xdr:rowOff>
    </xdr:to>
    <xdr:sp macro="" textlink="" fLocksText="0">
      <xdr:nvSpPr>
        <xdr:cNvPr id="9" name="正方形/長方形 1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533400" y="25260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有効な部門入力</a:t>
          </a:r>
        </a:p>
      </xdr:txBody>
    </xdr:sp>
    <xdr:clientData/>
  </xdr:twoCellAnchor>
  <xdr:twoCellAnchor>
    <xdr:from>
      <xdr:col>3</xdr:col>
      <xdr:colOff>0</xdr:colOff>
      <xdr:row>129</xdr:row>
      <xdr:rowOff>0</xdr:rowOff>
    </xdr:from>
    <xdr:to>
      <xdr:col>7</xdr:col>
      <xdr:colOff>0</xdr:colOff>
      <xdr:row>130</xdr:row>
      <xdr:rowOff>0</xdr:rowOff>
    </xdr:to>
    <xdr:sp macro="" textlink="" fLocksText="0">
      <xdr:nvSpPr>
        <xdr:cNvPr id="21" name="Rectangle: Rounded Corners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800100" y="24688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無効</a:t>
          </a:r>
        </a:p>
      </xdr:txBody>
    </xdr:sp>
    <xdr:clientData/>
  </xdr:twoCellAnchor>
  <xdr:twoCellAnchor>
    <xdr:from>
      <xdr:col>9</xdr:col>
      <xdr:colOff>0</xdr:colOff>
      <xdr:row>129</xdr:row>
      <xdr:rowOff>0</xdr:rowOff>
    </xdr:from>
    <xdr:to>
      <xdr:col>13</xdr:col>
      <xdr:colOff>0</xdr:colOff>
      <xdr:row>130</xdr:row>
      <xdr:rowOff>0</xdr:rowOff>
    </xdr:to>
    <xdr:sp macro="" textlink="" fLocksText="0">
      <xdr:nvSpPr>
        <xdr:cNvPr id="23" name="Rectangle: Rounded Corners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2400300" y="24688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有効</a:t>
          </a:r>
        </a:p>
      </xdr:txBody>
    </xdr:sp>
    <xdr:clientData/>
  </xdr:twoCellAnchor>
  <xdr:twoCellAnchor>
    <xdr:from>
      <xdr:col>4</xdr:col>
      <xdr:colOff>235323</xdr:colOff>
      <xdr:row>127</xdr:row>
      <xdr:rowOff>0</xdr:rowOff>
    </xdr:from>
    <xdr:to>
      <xdr:col>10</xdr:col>
      <xdr:colOff>235323</xdr:colOff>
      <xdr:row>129</xdr:row>
      <xdr:rowOff>0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CxnSpPr>
          <a:stCxn id="68" idx="2"/>
          <a:endCxn id="23" idx="0"/>
        </xdr:cNvCxnSpPr>
      </xdr:nvCxnSpPr>
      <xdr:spPr>
        <a:xfrm rot="16200000" flipH="1">
          <a:off x="1304925" y="24307800"/>
          <a:ext cx="16002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CxnSpPr>
          <a:stCxn id="21" idx="2"/>
          <a:endCxn id="9" idx="0"/>
        </xdr:cNvCxnSpPr>
      </xdr:nvCxnSpPr>
      <xdr:spPr>
        <a:xfrm>
          <a:off x="1333500" y="24879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CxnSpPr>
          <a:stCxn id="9" idx="2"/>
          <a:endCxn id="94" idx="0"/>
        </xdr:cNvCxnSpPr>
      </xdr:nvCxnSpPr>
      <xdr:spPr>
        <a:xfrm>
          <a:off x="1333500" y="26022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130</xdr:row>
      <xdr:rowOff>1</xdr:rowOff>
    </xdr:from>
    <xdr:to>
      <xdr:col>11</xdr:col>
      <xdr:colOff>0</xdr:colOff>
      <xdr:row>138</xdr:row>
      <xdr:rowOff>1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>
          <a:stCxn id="23" idx="2"/>
          <a:endCxn id="94" idx="0"/>
        </xdr:cNvCxnSpPr>
      </xdr:nvCxnSpPr>
      <xdr:spPr>
        <a:xfrm rot="5400000">
          <a:off x="1333500" y="24879300"/>
          <a:ext cx="1600200" cy="1524000"/>
        </a:xfrm>
        <a:prstGeom prst="bentConnector3">
          <a:avLst>
            <a:gd name="adj1" fmla="val 875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59</xdr:row>
      <xdr:rowOff>0</xdr:rowOff>
    </xdr:from>
    <xdr:to>
      <xdr:col>15</xdr:col>
      <xdr:colOff>0</xdr:colOff>
      <xdr:row>61</xdr:row>
      <xdr:rowOff>0</xdr:rowOff>
    </xdr:to>
    <xdr:sp macro="" textlink="" fLocksText="0">
      <xdr:nvSpPr>
        <xdr:cNvPr id="19" name="四角形: 角を丸くする 110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2933700" y="11353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商品コード切替</a:t>
          </a:r>
          <a:endParaRPr lang="en-US" altLang="ja-JP" sz="1000" b="0" i="0" u="none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15</xdr:col>
      <xdr:colOff>0</xdr:colOff>
      <xdr:row>58</xdr:row>
      <xdr:rowOff>0</xdr:rowOff>
    </xdr:to>
    <xdr:sp macro="" textlink="" fLocksText="0">
      <xdr:nvSpPr>
        <xdr:cNvPr id="20" name="四角形: 角を丸くする 1101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2933700" y="10782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PLU</a:t>
          </a:r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コード切替</a:t>
          </a:r>
          <a:endParaRPr lang="en-US" altLang="ja-JP" sz="1000" b="0" i="0" u="none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45</xdr:row>
      <xdr:rowOff>3175</xdr:rowOff>
    </xdr:from>
    <xdr:to>
      <xdr:col>11</xdr:col>
      <xdr:colOff>0</xdr:colOff>
      <xdr:row>57</xdr:row>
      <xdr:rowOff>0</xdr:rowOff>
    </xdr:to>
    <xdr:cxnSp macro="">
      <xdr:nvCxnSpPr>
        <xdr:cNvPr id="219" name="Connector: Elbow 218">
          <a:extLst>
            <a:ext uri="{FF2B5EF4-FFF2-40B4-BE49-F238E27FC236}">
              <a16:creationId xmlns:a16="http://schemas.microsoft.com/office/drawing/2014/main" id="{00000000-0008-0000-0500-0000DB000000}"/>
            </a:ext>
          </a:extLst>
        </xdr:cNvPr>
        <xdr:cNvCxnSpPr>
          <a:stCxn id="17" idx="3"/>
          <a:endCxn id="20" idx="1"/>
        </xdr:cNvCxnSpPr>
      </xdr:nvCxnSpPr>
      <xdr:spPr>
        <a:xfrm>
          <a:off x="2133600" y="8686800"/>
          <a:ext cx="800100" cy="2286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45</xdr:row>
      <xdr:rowOff>3175</xdr:rowOff>
    </xdr:from>
    <xdr:to>
      <xdr:col>11</xdr:col>
      <xdr:colOff>0</xdr:colOff>
      <xdr:row>60</xdr:row>
      <xdr:rowOff>0</xdr:rowOff>
    </xdr:to>
    <xdr:cxnSp macro="">
      <xdr:nvCxnSpPr>
        <xdr:cNvPr id="222" name="Connector: Elbow 221">
          <a:extLst>
            <a:ext uri="{FF2B5EF4-FFF2-40B4-BE49-F238E27FC236}">
              <a16:creationId xmlns:a16="http://schemas.microsoft.com/office/drawing/2014/main" id="{00000000-0008-0000-0500-0000DE000000}"/>
            </a:ext>
          </a:extLst>
        </xdr:cNvPr>
        <xdr:cNvCxnSpPr>
          <a:stCxn id="17" idx="3"/>
          <a:endCxn id="19" idx="1"/>
        </xdr:cNvCxnSpPr>
      </xdr:nvCxnSpPr>
      <xdr:spPr>
        <a:xfrm>
          <a:off x="2133600" y="8686800"/>
          <a:ext cx="800100" cy="2857500"/>
        </a:xfrm>
        <a:prstGeom prst="bentConnector3">
          <a:avLst>
            <a:gd name="adj1" fmla="val 5000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56</xdr:row>
      <xdr:rowOff>95250</xdr:rowOff>
    </xdr:from>
    <xdr:to>
      <xdr:col>20</xdr:col>
      <xdr:colOff>0</xdr:colOff>
      <xdr:row>57</xdr:row>
      <xdr:rowOff>95250</xdr:rowOff>
    </xdr:to>
    <xdr:sp macro="" textlink="" fLocksText="0">
      <xdr:nvSpPr>
        <xdr:cNvPr id="226" name="Rectangle: Rounded Corners 225">
          <a:extLst>
            <a:ext uri="{FF2B5EF4-FFF2-40B4-BE49-F238E27FC236}">
              <a16:creationId xmlns:a16="http://schemas.microsoft.com/office/drawing/2014/main" id="{00000000-0008-0000-0500-0000E2000000}"/>
            </a:ext>
          </a:extLst>
        </xdr:cNvPr>
        <xdr:cNvSpPr/>
      </xdr:nvSpPr>
      <xdr:spPr>
        <a:xfrm>
          <a:off x="4800600" y="1087755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01</a:t>
          </a:r>
        </a:p>
      </xdr:txBody>
    </xdr:sp>
    <xdr:clientData/>
  </xdr:twoCellAnchor>
  <xdr:twoCellAnchor>
    <xdr:from>
      <xdr:col>15</xdr:col>
      <xdr:colOff>0</xdr:colOff>
      <xdr:row>57</xdr:row>
      <xdr:rowOff>0</xdr:rowOff>
    </xdr:from>
    <xdr:to>
      <xdr:col>18</xdr:col>
      <xdr:colOff>0</xdr:colOff>
      <xdr:row>57</xdr:row>
      <xdr:rowOff>0</xdr:rowOff>
    </xdr:to>
    <xdr:cxnSp macro="">
      <xdr:nvCxnSpPr>
        <xdr:cNvPr id="227" name="Straight Arrow Connector 226">
          <a:extLst>
            <a:ext uri="{FF2B5EF4-FFF2-40B4-BE49-F238E27FC236}">
              <a16:creationId xmlns:a16="http://schemas.microsoft.com/office/drawing/2014/main" id="{00000000-0008-0000-0500-0000E3000000}"/>
            </a:ext>
          </a:extLst>
        </xdr:cNvPr>
        <xdr:cNvCxnSpPr>
          <a:stCxn id="20" idx="3"/>
          <a:endCxn id="226" idx="1"/>
        </xdr:cNvCxnSpPr>
      </xdr:nvCxnSpPr>
      <xdr:spPr>
        <a:xfrm>
          <a:off x="4000500" y="109728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59</xdr:row>
      <xdr:rowOff>95250</xdr:rowOff>
    </xdr:from>
    <xdr:to>
      <xdr:col>20</xdr:col>
      <xdr:colOff>0</xdr:colOff>
      <xdr:row>60</xdr:row>
      <xdr:rowOff>95250</xdr:rowOff>
    </xdr:to>
    <xdr:sp macro="" textlink="" fLocksText="0">
      <xdr:nvSpPr>
        <xdr:cNvPr id="231" name="Rectangle: Rounded Corners 230">
          <a:extLst>
            <a:ext uri="{FF2B5EF4-FFF2-40B4-BE49-F238E27FC236}">
              <a16:creationId xmlns:a16="http://schemas.microsoft.com/office/drawing/2014/main" id="{00000000-0008-0000-0500-0000E7000000}"/>
            </a:ext>
          </a:extLst>
        </xdr:cNvPr>
        <xdr:cNvSpPr/>
      </xdr:nvSpPr>
      <xdr:spPr>
        <a:xfrm>
          <a:off x="4800600" y="1144905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01</a:t>
          </a:r>
        </a:p>
      </xdr:txBody>
    </xdr:sp>
    <xdr:clientData/>
  </xdr:twoCellAnchor>
  <xdr:twoCellAnchor>
    <xdr:from>
      <xdr:col>15</xdr:col>
      <xdr:colOff>0</xdr:colOff>
      <xdr:row>60</xdr:row>
      <xdr:rowOff>0</xdr:rowOff>
    </xdr:from>
    <xdr:to>
      <xdr:col>18</xdr:col>
      <xdr:colOff>0</xdr:colOff>
      <xdr:row>60</xdr:row>
      <xdr:rowOff>0</xdr:rowOff>
    </xdr:to>
    <xdr:cxnSp macro="">
      <xdr:nvCxnSpPr>
        <xdr:cNvPr id="232" name="Straight Arrow Connector 231">
          <a:extLst>
            <a:ext uri="{FF2B5EF4-FFF2-40B4-BE49-F238E27FC236}">
              <a16:creationId xmlns:a16="http://schemas.microsoft.com/office/drawing/2014/main" id="{00000000-0008-0000-0500-0000E8000000}"/>
            </a:ext>
          </a:extLst>
        </xdr:cNvPr>
        <xdr:cNvCxnSpPr>
          <a:stCxn id="19" idx="3"/>
          <a:endCxn id="231" idx="1"/>
        </xdr:cNvCxnSpPr>
      </xdr:nvCxnSpPr>
      <xdr:spPr>
        <a:xfrm>
          <a:off x="4000500" y="115443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1</xdr:colOff>
      <xdr:row>31</xdr:row>
      <xdr:rowOff>136530</xdr:rowOff>
    </xdr:from>
    <xdr:to>
      <xdr:col>96</xdr:col>
      <xdr:colOff>1</xdr:colOff>
      <xdr:row>50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21250" y="6153150"/>
          <a:ext cx="8001000" cy="3486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74</xdr:row>
      <xdr:rowOff>0</xdr:rowOff>
    </xdr:from>
    <xdr:to>
      <xdr:col>38</xdr:col>
      <xdr:colOff>66675</xdr:colOff>
      <xdr:row>75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9867900" y="14211300"/>
          <a:ext cx="333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35</xdr:col>
      <xdr:colOff>0</xdr:colOff>
      <xdr:row>74</xdr:row>
      <xdr:rowOff>0</xdr:rowOff>
    </xdr:from>
    <xdr:to>
      <xdr:col>36</xdr:col>
      <xdr:colOff>66675</xdr:colOff>
      <xdr:row>75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00000000-0008-0000-05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9334500" y="14211300"/>
          <a:ext cx="333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66</xdr:col>
      <xdr:colOff>1</xdr:colOff>
      <xdr:row>55</xdr:row>
      <xdr:rowOff>0</xdr:rowOff>
    </xdr:from>
    <xdr:to>
      <xdr:col>96</xdr:col>
      <xdr:colOff>1</xdr:colOff>
      <xdr:row>73</xdr:row>
      <xdr:rowOff>103604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21250" y="10591800"/>
          <a:ext cx="8001000" cy="3533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77</xdr:row>
      <xdr:rowOff>0</xdr:rowOff>
    </xdr:from>
    <xdr:to>
      <xdr:col>96</xdr:col>
      <xdr:colOff>0</xdr:colOff>
      <xdr:row>94</xdr:row>
      <xdr:rowOff>91159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21250" y="14782800"/>
          <a:ext cx="8001000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0</xdr:colOff>
      <xdr:row>20</xdr:row>
      <xdr:rowOff>0</xdr:rowOff>
    </xdr:from>
    <xdr:to>
      <xdr:col>61</xdr:col>
      <xdr:colOff>0</xdr:colOff>
      <xdr:row>26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10134600" y="3924300"/>
          <a:ext cx="6134100" cy="1143000"/>
        </a:xfrm>
        <a:prstGeom prst="borderCallout1">
          <a:avLst>
            <a:gd name="adj1" fmla="val 49927"/>
            <a:gd name="adj2" fmla="val -182"/>
            <a:gd name="adj3" fmla="val 8266"/>
            <a:gd name="adj4" fmla="val -13553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店舗共通機能を実行する。1つの店舗選択可能。</a:t>
          </a:r>
        </a:p>
        <a:p>
          <a:pPr>
            <a:defRPr lang="en-US" sz="1000" b="0" i="0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画面には以下の3つのエリアを表示する。店舗選択エリア、検索条件エリア、一覧表示エリア。初期表示：店舗選択エリアのみ操作可能で、その他のエリアが無効になって操作不可。</a:t>
          </a:r>
        </a:p>
        <a:p>
          <a:pPr>
            <a:defRPr lang="en-US" sz="1000" b="0" i="0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検索条件エリア：店舗を選択した場合のみ操作可能。</a:t>
          </a:r>
        </a:p>
      </xdr:txBody>
    </xdr:sp>
    <xdr:clientData/>
  </xdr:twoCellAnchor>
  <xdr:twoCellAnchor>
    <xdr:from>
      <xdr:col>15</xdr:col>
      <xdr:colOff>33618</xdr:colOff>
      <xdr:row>48</xdr:row>
      <xdr:rowOff>11206</xdr:rowOff>
    </xdr:from>
    <xdr:to>
      <xdr:col>21</xdr:col>
      <xdr:colOff>33618</xdr:colOff>
      <xdr:row>48</xdr:row>
      <xdr:rowOff>11206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CB33688-EAB6-432F-B96F-F4432F233F41}"/>
            </a:ext>
          </a:extLst>
        </xdr:cNvPr>
        <xdr:cNvCxnSpPr/>
      </xdr:nvCxnSpPr>
      <xdr:spPr>
        <a:xfrm>
          <a:off x="3563471" y="9267265"/>
          <a:ext cx="141194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22413</xdr:colOff>
      <xdr:row>46</xdr:row>
      <xdr:rowOff>22412</xdr:rowOff>
    </xdr:from>
    <xdr:to>
      <xdr:col>27</xdr:col>
      <xdr:colOff>22413</xdr:colOff>
      <xdr:row>50</xdr:row>
      <xdr:rowOff>22412</xdr:rowOff>
    </xdr:to>
    <xdr:sp macro="" textlink="" fLocksText="0">
      <xdr:nvSpPr>
        <xdr:cNvPr id="11" name="四角形: 角を丸くする 3">
          <a:extLst>
            <a:ext uri="{FF2B5EF4-FFF2-40B4-BE49-F238E27FC236}">
              <a16:creationId xmlns:a16="http://schemas.microsoft.com/office/drawing/2014/main" id="{B3953A88-64A6-4614-89D5-A1ABE872435A}"/>
            </a:ext>
          </a:extLst>
        </xdr:cNvPr>
        <xdr:cNvSpPr/>
      </xdr:nvSpPr>
      <xdr:spPr>
        <a:xfrm>
          <a:off x="4964207" y="8897471"/>
          <a:ext cx="1411941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KN0604</a:t>
          </a:r>
          <a:b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</a:b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定番売価変更印刷票作成機能</a:t>
          </a:r>
          <a:endParaRPr lang="en-US" altLang="ja-JP" sz="10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27</xdr:col>
      <xdr:colOff>0</xdr:colOff>
      <xdr:row>48</xdr:row>
      <xdr:rowOff>0</xdr:rowOff>
    </xdr:from>
    <xdr:to>
      <xdr:col>29</xdr:col>
      <xdr:colOff>0</xdr:colOff>
      <xdr:row>48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EF8898F-05D1-4867-A659-8D96C3E6A8F7}"/>
            </a:ext>
          </a:extLst>
        </xdr:cNvPr>
        <xdr:cNvCxnSpPr/>
      </xdr:nvCxnSpPr>
      <xdr:spPr>
        <a:xfrm>
          <a:off x="6353735" y="9256059"/>
          <a:ext cx="470647" cy="0"/>
        </a:xfrm>
        <a:prstGeom prst="straightConnector1">
          <a:avLst/>
        </a:prstGeom>
        <a:ln>
          <a:prstDash val="lgDash"/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11207</xdr:colOff>
      <xdr:row>46</xdr:row>
      <xdr:rowOff>11206</xdr:rowOff>
    </xdr:from>
    <xdr:to>
      <xdr:col>35</xdr:col>
      <xdr:colOff>11207</xdr:colOff>
      <xdr:row>50</xdr:row>
      <xdr:rowOff>11206</xdr:rowOff>
    </xdr:to>
    <xdr:sp macro="" textlink="" fLocksText="0">
      <xdr:nvSpPr>
        <xdr:cNvPr id="15" name="フローチャート: 磁気ディスク 194">
          <a:extLst>
            <a:ext uri="{FF2B5EF4-FFF2-40B4-BE49-F238E27FC236}">
              <a16:creationId xmlns:a16="http://schemas.microsoft.com/office/drawing/2014/main" id="{07739AB3-DFA8-41AB-8558-D4BB3278FDCA}"/>
            </a:ext>
          </a:extLst>
        </xdr:cNvPr>
        <xdr:cNvSpPr/>
      </xdr:nvSpPr>
      <xdr:spPr>
        <a:xfrm>
          <a:off x="6835589" y="8886265"/>
          <a:ext cx="1411942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AP0603</a:t>
          </a:r>
          <a:b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</a:b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1, 7, 8</a:t>
          </a: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定番売価変更一覧出力</a:t>
          </a:r>
        </a:p>
        <a:p>
          <a:pPr marL="0" indent="0" algn="ctr"/>
          <a:endParaRPr lang="ja-JP" altLang="en-US" sz="1000" b="0" i="0" u="none" baseline="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24</xdr:col>
      <xdr:colOff>0</xdr:colOff>
      <xdr:row>50</xdr:row>
      <xdr:rowOff>33618</xdr:rowOff>
    </xdr:from>
    <xdr:to>
      <xdr:col>24</xdr:col>
      <xdr:colOff>0</xdr:colOff>
      <xdr:row>52</xdr:row>
      <xdr:rowOff>33618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25593DF8-DA16-41D2-89AF-119F665856DF}"/>
            </a:ext>
          </a:extLst>
        </xdr:cNvPr>
        <xdr:cNvCxnSpPr/>
      </xdr:nvCxnSpPr>
      <xdr:spPr>
        <a:xfrm>
          <a:off x="5647765" y="9670677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56029</xdr:colOff>
      <xdr:row>52</xdr:row>
      <xdr:rowOff>22412</xdr:rowOff>
    </xdr:from>
    <xdr:to>
      <xdr:col>27</xdr:col>
      <xdr:colOff>56029</xdr:colOff>
      <xdr:row>56</xdr:row>
      <xdr:rowOff>22412</xdr:rowOff>
    </xdr:to>
    <xdr:sp macro="" textlink="" fLocksText="0">
      <xdr:nvSpPr>
        <xdr:cNvPr id="22" name="フローチャート: 書類 11">
          <a:extLst>
            <a:ext uri="{FF2B5EF4-FFF2-40B4-BE49-F238E27FC236}">
              <a16:creationId xmlns:a16="http://schemas.microsoft.com/office/drawing/2014/main" id="{16E02F77-076D-4A21-B3A4-2F0BEF512D4F}"/>
            </a:ext>
          </a:extLst>
        </xdr:cNvPr>
        <xdr:cNvSpPr/>
      </xdr:nvSpPr>
      <xdr:spPr>
        <a:xfrm>
          <a:off x="4997823" y="10040471"/>
          <a:ext cx="1411941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PR0601</a:t>
          </a:r>
          <a:b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</a:b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定番売価変更一覧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2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83" t="s">
        <v>13</v>
      </c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ht="15" customHeight="1" x14ac:dyDescent="0.25">
      <c r="A2" s="82" t="s">
        <v>31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12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86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8"/>
      <c r="AP2" s="76" t="str">
        <f>改訂履歴!$H$11</f>
        <v>LoiLV</v>
      </c>
      <c r="AQ2" s="77"/>
      <c r="AR2" s="77"/>
      <c r="AS2" s="78"/>
      <c r="AT2" s="103">
        <f>改訂履歴!$B$11</f>
        <v>45415</v>
      </c>
      <c r="AU2" s="104"/>
      <c r="AV2" s="104"/>
      <c r="AW2" s="104"/>
      <c r="AX2" s="105"/>
      <c r="AY2" s="76" t="str">
        <f>LOOKUP(2,1/(改訂履歴!H11:H29998&lt;&gt;""),改訂履歴!H11:H29998)</f>
        <v>DuNT</v>
      </c>
      <c r="AZ2" s="77"/>
      <c r="BA2" s="77"/>
      <c r="BB2" s="78"/>
      <c r="BC2" s="103">
        <f>LOOKUP(2,1/(改訂履歴!B11:B29998&lt;&gt;""),改訂履歴!B11:B29998)</f>
        <v>45546</v>
      </c>
      <c r="BD2" s="104"/>
      <c r="BE2" s="104"/>
      <c r="BF2" s="104"/>
      <c r="BG2" s="105"/>
      <c r="BH2" s="97">
        <f>LOOKUP(2,1/(改訂履歴!O11:O29998&lt;&gt;""),改訂履歴!O11:O29998)</f>
        <v>0.81</v>
      </c>
      <c r="BI2" s="98"/>
      <c r="BJ2" s="98"/>
      <c r="BK2" s="99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89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1"/>
      <c r="AP3" s="79"/>
      <c r="AQ3" s="80"/>
      <c r="AR3" s="80"/>
      <c r="AS3" s="81"/>
      <c r="AT3" s="106"/>
      <c r="AU3" s="107"/>
      <c r="AV3" s="107"/>
      <c r="AW3" s="107"/>
      <c r="AX3" s="108"/>
      <c r="AY3" s="79"/>
      <c r="AZ3" s="80"/>
      <c r="BA3" s="80"/>
      <c r="BB3" s="81"/>
      <c r="BC3" s="106"/>
      <c r="BD3" s="107"/>
      <c r="BE3" s="107"/>
      <c r="BF3" s="107"/>
      <c r="BG3" s="108"/>
      <c r="BH3" s="100"/>
      <c r="BI3" s="101"/>
      <c r="BJ3" s="101"/>
      <c r="BK3" s="102"/>
    </row>
    <row r="4" spans="1:63" ht="24.95" customHeight="1" x14ac:dyDescent="0.25">
      <c r="A4" s="73" t="s">
        <v>1</v>
      </c>
      <c r="B4" s="74"/>
      <c r="C4" s="74"/>
      <c r="D4" s="74"/>
      <c r="E4" s="74"/>
      <c r="F4" s="74"/>
      <c r="G4" s="75"/>
      <c r="H4" s="94" t="s">
        <v>62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73" t="s">
        <v>8</v>
      </c>
      <c r="V4" s="74"/>
      <c r="W4" s="74"/>
      <c r="X4" s="74"/>
      <c r="Y4" s="75"/>
      <c r="Z4" s="94" t="s">
        <v>14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表紙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92" t="s">
        <v>33</v>
      </c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12"/>
      <c r="BK16" s="4"/>
    </row>
    <row r="17" spans="1:63" ht="15" customHeight="1" x14ac:dyDescent="0.25">
      <c r="A17" s="1"/>
      <c r="K17" s="6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12"/>
      <c r="BK17" s="4"/>
    </row>
    <row r="18" spans="1:63" ht="15" customHeight="1" x14ac:dyDescent="0.25">
      <c r="A18" s="1"/>
      <c r="K18" s="6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12"/>
      <c r="BK18" s="4"/>
    </row>
    <row r="19" spans="1:63" ht="15" customHeight="1" x14ac:dyDescent="0.25">
      <c r="A19" s="1"/>
      <c r="K19" s="6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12"/>
      <c r="BK19" s="4"/>
    </row>
    <row r="20" spans="1:63" ht="15" customHeight="1" x14ac:dyDescent="0.25">
      <c r="A20" s="1"/>
      <c r="K20" s="6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12"/>
      <c r="BK20" s="4"/>
    </row>
    <row r="21" spans="1:63" ht="15" customHeight="1" x14ac:dyDescent="0.25">
      <c r="A21" s="1"/>
      <c r="K21" s="6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93" t="str">
        <f>K2&amp;"/"&amp;H4&amp;"/"&amp;Z4</f>
        <v>POSサーバ/06_1, 7, 8 定番変更/概要設計</v>
      </c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12"/>
      <c r="BK24" s="4"/>
    </row>
    <row r="25" spans="1:63" ht="15" customHeight="1" x14ac:dyDescent="0.25">
      <c r="A25" s="1"/>
      <c r="K25" s="6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12"/>
      <c r="BK25" s="4"/>
    </row>
    <row r="26" spans="1:63" ht="15" customHeight="1" x14ac:dyDescent="0.25">
      <c r="A26" s="1"/>
      <c r="K26" s="6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12"/>
      <c r="BK26" s="4"/>
    </row>
    <row r="27" spans="1:63" ht="15" customHeight="1" x14ac:dyDescent="0.25">
      <c r="A27" s="1"/>
      <c r="K27" s="6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12"/>
      <c r="BK27" s="4"/>
    </row>
    <row r="28" spans="1:63" ht="15" customHeight="1" x14ac:dyDescent="0.25">
      <c r="A28" s="1"/>
      <c r="K28" s="6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12"/>
      <c r="BK28" s="4"/>
    </row>
    <row r="29" spans="1:63" ht="15" customHeight="1" x14ac:dyDescent="0.25">
      <c r="A29" s="1"/>
      <c r="K29" s="6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12"/>
      <c r="BK29" s="4"/>
    </row>
    <row r="30" spans="1:63" ht="15" customHeight="1" x14ac:dyDescent="0.25">
      <c r="A30" s="1"/>
      <c r="K30" s="6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12"/>
      <c r="BK30" s="4"/>
    </row>
    <row r="31" spans="1:63" ht="15" customHeight="1" x14ac:dyDescent="0.25">
      <c r="A31" s="1"/>
      <c r="K31" s="6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12"/>
      <c r="BK31" s="4"/>
    </row>
    <row r="32" spans="1:63" ht="15" customHeight="1" x14ac:dyDescent="0.25">
      <c r="A32" s="1"/>
      <c r="K32" s="6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12"/>
      <c r="BK32" s="4"/>
    </row>
    <row r="33" spans="1:63" ht="15" customHeight="1" x14ac:dyDescent="0.25">
      <c r="A33" s="1"/>
      <c r="K33" s="6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12"/>
      <c r="BK33" s="4"/>
    </row>
    <row r="34" spans="1:63" ht="15" customHeight="1" x14ac:dyDescent="0.25">
      <c r="A34" s="1"/>
      <c r="K34" s="6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12"/>
      <c r="BK34" s="4"/>
    </row>
    <row r="35" spans="1:63" ht="15" customHeight="1" x14ac:dyDescent="0.25">
      <c r="A35" s="1"/>
      <c r="K35" s="6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12"/>
      <c r="BK35" s="4"/>
    </row>
    <row r="36" spans="1:63" ht="15" customHeight="1" x14ac:dyDescent="0.25">
      <c r="A36" s="1"/>
      <c r="K36" s="6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112" t="s">
        <v>10</v>
      </c>
      <c r="R44" s="113"/>
      <c r="S44" s="113"/>
      <c r="T44" s="113"/>
      <c r="U44" s="113"/>
      <c r="V44" s="113"/>
      <c r="W44" s="113"/>
      <c r="X44" s="113"/>
      <c r="Y44" s="113"/>
      <c r="Z44" s="114"/>
      <c r="AA44" s="112" t="s">
        <v>11</v>
      </c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4"/>
      <c r="AQ44" s="112" t="s">
        <v>7</v>
      </c>
      <c r="AR44" s="113"/>
      <c r="AS44" s="113"/>
      <c r="AT44" s="113"/>
      <c r="AU44" s="114"/>
      <c r="BK44" s="4"/>
    </row>
    <row r="45" spans="1:63" ht="15" customHeight="1" x14ac:dyDescent="0.25">
      <c r="A45" s="1"/>
      <c r="Q45" s="115"/>
      <c r="R45" s="116"/>
      <c r="S45" s="116"/>
      <c r="T45" s="116"/>
      <c r="U45" s="116"/>
      <c r="V45" s="116"/>
      <c r="W45" s="116"/>
      <c r="X45" s="116"/>
      <c r="Y45" s="116"/>
      <c r="Z45" s="117"/>
      <c r="AA45" s="115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7"/>
      <c r="AQ45" s="115"/>
      <c r="AR45" s="116"/>
      <c r="AS45" s="116"/>
      <c r="AT45" s="116"/>
      <c r="AU45" s="117"/>
      <c r="BK45" s="4"/>
    </row>
    <row r="46" spans="1:63" ht="15" customHeight="1" x14ac:dyDescent="0.25">
      <c r="A46" s="1"/>
      <c r="Q46" s="76"/>
      <c r="R46" s="77"/>
      <c r="S46" s="77"/>
      <c r="T46" s="77"/>
      <c r="U46" s="77"/>
      <c r="V46" s="77"/>
      <c r="W46" s="77"/>
      <c r="X46" s="77"/>
      <c r="Y46" s="77"/>
      <c r="Z46" s="78"/>
      <c r="AA46" s="76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8"/>
      <c r="AQ46" s="76"/>
      <c r="AR46" s="77"/>
      <c r="AS46" s="77"/>
      <c r="AT46" s="77"/>
      <c r="AU46" s="78"/>
      <c r="BK46" s="4"/>
    </row>
    <row r="47" spans="1:63" ht="15" customHeight="1" x14ac:dyDescent="0.25">
      <c r="A47" s="1"/>
      <c r="Q47" s="109"/>
      <c r="R47" s="110"/>
      <c r="S47" s="110"/>
      <c r="T47" s="110"/>
      <c r="U47" s="110"/>
      <c r="V47" s="110"/>
      <c r="W47" s="110"/>
      <c r="X47" s="110"/>
      <c r="Y47" s="110"/>
      <c r="Z47" s="111"/>
      <c r="AA47" s="109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1"/>
      <c r="AQ47" s="109"/>
      <c r="AR47" s="110"/>
      <c r="AS47" s="110"/>
      <c r="AT47" s="110"/>
      <c r="AU47" s="111"/>
      <c r="BK47" s="4"/>
    </row>
    <row r="48" spans="1:63" ht="15" customHeight="1" x14ac:dyDescent="0.25">
      <c r="A48" s="1"/>
      <c r="Q48" s="109"/>
      <c r="R48" s="110"/>
      <c r="S48" s="110"/>
      <c r="T48" s="110"/>
      <c r="U48" s="110"/>
      <c r="V48" s="110"/>
      <c r="W48" s="110"/>
      <c r="X48" s="110"/>
      <c r="Y48" s="110"/>
      <c r="Z48" s="111"/>
      <c r="AA48" s="109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1"/>
      <c r="AQ48" s="109"/>
      <c r="AR48" s="110"/>
      <c r="AS48" s="110"/>
      <c r="AT48" s="110"/>
      <c r="AU48" s="111"/>
      <c r="BK48" s="4"/>
    </row>
    <row r="49" spans="1:63" ht="15" customHeight="1" x14ac:dyDescent="0.25">
      <c r="A49" s="1"/>
      <c r="Q49" s="79"/>
      <c r="R49" s="80"/>
      <c r="S49" s="80"/>
      <c r="T49" s="80"/>
      <c r="U49" s="80"/>
      <c r="V49" s="80"/>
      <c r="W49" s="80"/>
      <c r="X49" s="80"/>
      <c r="Y49" s="80"/>
      <c r="Z49" s="81"/>
      <c r="AA49" s="79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1"/>
      <c r="AQ49" s="79"/>
      <c r="AR49" s="80"/>
      <c r="AS49" s="80"/>
      <c r="AT49" s="80"/>
      <c r="AU49" s="81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3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30" customWidth="1"/>
    <col min="61" max="16384" width="2.77734375" style="30"/>
  </cols>
  <sheetData>
    <row r="1" spans="1:63" ht="24.95" customHeight="1" x14ac:dyDescent="0.25">
      <c r="A1" s="118" t="s">
        <v>77</v>
      </c>
      <c r="B1" s="119"/>
      <c r="C1" s="119"/>
      <c r="D1" s="119"/>
      <c r="E1" s="119"/>
      <c r="F1" s="119"/>
      <c r="G1" s="119"/>
      <c r="H1" s="119"/>
      <c r="I1" s="119"/>
      <c r="J1" s="120"/>
      <c r="K1" s="118" t="s">
        <v>78</v>
      </c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1" t="str">
        <f>IF(表紙!W1="","",表紙!W1)</f>
        <v>基本設計書</v>
      </c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3"/>
      <c r="AP1" s="118" t="s">
        <v>79</v>
      </c>
      <c r="AQ1" s="119"/>
      <c r="AR1" s="119"/>
      <c r="AS1" s="120"/>
      <c r="AT1" s="118" t="s">
        <v>80</v>
      </c>
      <c r="AU1" s="119"/>
      <c r="AV1" s="119"/>
      <c r="AW1" s="119"/>
      <c r="AX1" s="120"/>
      <c r="AY1" s="118" t="s">
        <v>81</v>
      </c>
      <c r="AZ1" s="119"/>
      <c r="BA1" s="119"/>
      <c r="BB1" s="120"/>
      <c r="BC1" s="118" t="s">
        <v>82</v>
      </c>
      <c r="BD1" s="119"/>
      <c r="BE1" s="119"/>
      <c r="BF1" s="119"/>
      <c r="BG1" s="120"/>
      <c r="BH1" s="118" t="s">
        <v>83</v>
      </c>
      <c r="BI1" s="119"/>
      <c r="BJ1" s="119"/>
      <c r="BK1" s="120"/>
    </row>
    <row r="2" spans="1:63" ht="15" customHeight="1" x14ac:dyDescent="0.25">
      <c r="A2" s="133" t="str">
        <f>IF(表紙!A2="","",表紙!A2)</f>
        <v>POSサーバー</v>
      </c>
      <c r="B2" s="134"/>
      <c r="C2" s="134"/>
      <c r="D2" s="134"/>
      <c r="E2" s="134"/>
      <c r="F2" s="134"/>
      <c r="G2" s="134"/>
      <c r="H2" s="134"/>
      <c r="I2" s="134"/>
      <c r="J2" s="135"/>
      <c r="K2" s="133" t="str">
        <f>IF(表紙!K2="","",表紙!K2)</f>
        <v>POSサーバ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5"/>
      <c r="W2" s="124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6"/>
      <c r="AP2" s="133" t="str">
        <f>IF(表紙!AP2="","",表紙!AP2)</f>
        <v>LoiLV</v>
      </c>
      <c r="AQ2" s="134"/>
      <c r="AR2" s="134"/>
      <c r="AS2" s="135"/>
      <c r="AT2" s="139">
        <f>IF(表紙!AT2="","",表紙!AT2)</f>
        <v>45415</v>
      </c>
      <c r="AU2" s="140"/>
      <c r="AV2" s="140"/>
      <c r="AW2" s="140"/>
      <c r="AX2" s="141"/>
      <c r="AY2" s="133" t="str">
        <f>IF(表紙!AY2="","",表紙!AY2)</f>
        <v>DuNT</v>
      </c>
      <c r="AZ2" s="134"/>
      <c r="BA2" s="134"/>
      <c r="BB2" s="135"/>
      <c r="BC2" s="139">
        <f>IF(表紙!BC2="","",表紙!BC2)</f>
        <v>45546</v>
      </c>
      <c r="BD2" s="140"/>
      <c r="BE2" s="140"/>
      <c r="BF2" s="140"/>
      <c r="BG2" s="141"/>
      <c r="BH2" s="133">
        <f>IF(表紙!BH2="","",表紙!BH2)</f>
        <v>0.81</v>
      </c>
      <c r="BI2" s="134"/>
      <c r="BJ2" s="134"/>
      <c r="BK2" s="135"/>
    </row>
    <row r="3" spans="1:63" ht="15" customHeight="1" x14ac:dyDescent="0.25">
      <c r="A3" s="136"/>
      <c r="B3" s="137"/>
      <c r="C3" s="137"/>
      <c r="D3" s="137"/>
      <c r="E3" s="137"/>
      <c r="F3" s="137"/>
      <c r="G3" s="137"/>
      <c r="H3" s="137"/>
      <c r="I3" s="137"/>
      <c r="J3" s="138"/>
      <c r="K3" s="136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8"/>
      <c r="W3" s="127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9"/>
      <c r="AP3" s="136"/>
      <c r="AQ3" s="137"/>
      <c r="AR3" s="137"/>
      <c r="AS3" s="138"/>
      <c r="AT3" s="142"/>
      <c r="AU3" s="143"/>
      <c r="AV3" s="143"/>
      <c r="AW3" s="143"/>
      <c r="AX3" s="144"/>
      <c r="AY3" s="136"/>
      <c r="AZ3" s="137"/>
      <c r="BA3" s="137"/>
      <c r="BB3" s="138"/>
      <c r="BC3" s="142"/>
      <c r="BD3" s="143"/>
      <c r="BE3" s="143"/>
      <c r="BF3" s="143"/>
      <c r="BG3" s="144"/>
      <c r="BH3" s="136"/>
      <c r="BI3" s="137"/>
      <c r="BJ3" s="137"/>
      <c r="BK3" s="138"/>
    </row>
    <row r="4" spans="1:63" ht="24.95" customHeight="1" x14ac:dyDescent="0.25">
      <c r="A4" s="118" t="s">
        <v>84</v>
      </c>
      <c r="B4" s="119"/>
      <c r="C4" s="119"/>
      <c r="D4" s="119"/>
      <c r="E4" s="119"/>
      <c r="F4" s="119"/>
      <c r="G4" s="120"/>
      <c r="H4" s="130" t="str">
        <f>IF(表紙!H4="","",表紙!H4)</f>
        <v>06_1, 7, 8 定番変更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18" t="s">
        <v>85</v>
      </c>
      <c r="V4" s="119"/>
      <c r="W4" s="119"/>
      <c r="X4" s="119"/>
      <c r="Y4" s="120"/>
      <c r="Z4" s="130" t="str">
        <f>IF(表紙!Z4="","",表紙!Z4)</f>
        <v>概要設計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0" t="str">
        <f t="array" aca="1" ref="AP4" ca="1">RIGHT(CELL("filename",$A$1),LEN(CELL("filename",$A$1))-FIND("]",CELL("filename",$A$1)))</f>
        <v>改訂履歴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4"/>
      <c r="BK6" s="35"/>
    </row>
    <row r="7" spans="1:63" ht="15" customHeight="1" x14ac:dyDescent="0.25">
      <c r="A7" s="34"/>
      <c r="BK7" s="35"/>
    </row>
    <row r="8" spans="1:63" ht="15" customHeight="1" x14ac:dyDescent="0.25">
      <c r="A8" s="34"/>
      <c r="B8" s="30" t="s">
        <v>9</v>
      </c>
      <c r="BK8" s="35"/>
    </row>
    <row r="9" spans="1:63" ht="15" customHeight="1" x14ac:dyDescent="0.25">
      <c r="A9" s="34"/>
      <c r="BK9" s="35"/>
    </row>
    <row r="10" spans="1:63" ht="15" customHeight="1" x14ac:dyDescent="0.25">
      <c r="A10" s="34"/>
      <c r="B10" s="157" t="s">
        <v>82</v>
      </c>
      <c r="C10" s="157"/>
      <c r="D10" s="157"/>
      <c r="E10" s="157"/>
      <c r="F10" s="157"/>
      <c r="G10" s="157"/>
      <c r="H10" s="157" t="s">
        <v>81</v>
      </c>
      <c r="I10" s="157"/>
      <c r="J10" s="157"/>
      <c r="K10" s="157"/>
      <c r="L10" s="157"/>
      <c r="M10" s="157"/>
      <c r="N10" s="157"/>
      <c r="O10" s="157" t="s">
        <v>83</v>
      </c>
      <c r="P10" s="157"/>
      <c r="Q10" s="157"/>
      <c r="R10" s="157"/>
      <c r="S10" s="157" t="s">
        <v>86</v>
      </c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 t="s">
        <v>87</v>
      </c>
      <c r="AY10" s="157"/>
      <c r="AZ10" s="157"/>
      <c r="BA10" s="157"/>
      <c r="BB10" s="157"/>
      <c r="BC10" s="157"/>
      <c r="BD10" s="157" t="s">
        <v>88</v>
      </c>
      <c r="BE10" s="157"/>
      <c r="BF10" s="157"/>
      <c r="BG10" s="157"/>
      <c r="BH10" s="157"/>
      <c r="BI10" s="157"/>
      <c r="BJ10" s="157"/>
      <c r="BK10" s="35"/>
    </row>
    <row r="11" spans="1:63" ht="15" customHeight="1" x14ac:dyDescent="0.25">
      <c r="A11" s="34"/>
      <c r="B11" s="139">
        <v>45415</v>
      </c>
      <c r="C11" s="134"/>
      <c r="D11" s="134"/>
      <c r="E11" s="134"/>
      <c r="F11" s="134"/>
      <c r="G11" s="135"/>
      <c r="H11" s="133" t="s">
        <v>34</v>
      </c>
      <c r="I11" s="134"/>
      <c r="J11" s="134"/>
      <c r="K11" s="134"/>
      <c r="L11" s="134"/>
      <c r="M11" s="134"/>
      <c r="N11" s="135"/>
      <c r="O11" s="133">
        <v>0.1</v>
      </c>
      <c r="P11" s="134"/>
      <c r="Q11" s="134"/>
      <c r="R11" s="134"/>
      <c r="S11" s="145" t="s">
        <v>15</v>
      </c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7"/>
      <c r="AX11" s="148"/>
      <c r="AY11" s="148"/>
      <c r="AZ11" s="148"/>
      <c r="BA11" s="148"/>
      <c r="BB11" s="148"/>
      <c r="BC11" s="149"/>
      <c r="BD11" s="152"/>
      <c r="BE11" s="148"/>
      <c r="BF11" s="148"/>
      <c r="BG11" s="148"/>
      <c r="BH11" s="148"/>
      <c r="BI11" s="148"/>
      <c r="BJ11" s="149"/>
      <c r="BK11" s="35"/>
    </row>
    <row r="12" spans="1:63" ht="15" customHeight="1" x14ac:dyDescent="0.25">
      <c r="A12" s="34"/>
      <c r="B12" s="136"/>
      <c r="C12" s="137"/>
      <c r="D12" s="137"/>
      <c r="E12" s="137"/>
      <c r="F12" s="137"/>
      <c r="G12" s="138"/>
      <c r="H12" s="136"/>
      <c r="I12" s="137"/>
      <c r="J12" s="137"/>
      <c r="K12" s="137"/>
      <c r="L12" s="137"/>
      <c r="M12" s="137"/>
      <c r="N12" s="138"/>
      <c r="O12" s="136"/>
      <c r="P12" s="137"/>
      <c r="Q12" s="137"/>
      <c r="R12" s="137"/>
      <c r="S12" s="154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6"/>
      <c r="AX12" s="150"/>
      <c r="AY12" s="150"/>
      <c r="AZ12" s="150"/>
      <c r="BA12" s="150"/>
      <c r="BB12" s="150"/>
      <c r="BC12" s="151"/>
      <c r="BD12" s="153"/>
      <c r="BE12" s="150"/>
      <c r="BF12" s="150"/>
      <c r="BG12" s="150"/>
      <c r="BH12" s="150"/>
      <c r="BI12" s="150"/>
      <c r="BJ12" s="151"/>
      <c r="BK12" s="35"/>
    </row>
    <row r="13" spans="1:63" ht="15" customHeight="1" x14ac:dyDescent="0.25">
      <c r="A13" s="34"/>
      <c r="B13" s="139">
        <v>45421</v>
      </c>
      <c r="C13" s="134"/>
      <c r="D13" s="134"/>
      <c r="E13" s="134"/>
      <c r="F13" s="134"/>
      <c r="G13" s="135"/>
      <c r="H13" s="133" t="s">
        <v>34</v>
      </c>
      <c r="I13" s="134"/>
      <c r="J13" s="134"/>
      <c r="K13" s="134"/>
      <c r="L13" s="134"/>
      <c r="M13" s="134"/>
      <c r="N13" s="135"/>
      <c r="O13" s="133">
        <v>0.2</v>
      </c>
      <c r="P13" s="134"/>
      <c r="Q13" s="134"/>
      <c r="R13" s="134"/>
      <c r="S13" s="145" t="s">
        <v>40</v>
      </c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7"/>
      <c r="AX13" s="148"/>
      <c r="AY13" s="148"/>
      <c r="AZ13" s="148"/>
      <c r="BA13" s="148"/>
      <c r="BB13" s="148"/>
      <c r="BC13" s="149"/>
      <c r="BD13" s="152"/>
      <c r="BE13" s="148"/>
      <c r="BF13" s="148"/>
      <c r="BG13" s="148"/>
      <c r="BH13" s="148"/>
      <c r="BI13" s="148"/>
      <c r="BJ13" s="149"/>
      <c r="BK13" s="35"/>
    </row>
    <row r="14" spans="1:63" ht="15" customHeight="1" x14ac:dyDescent="0.25">
      <c r="A14" s="34"/>
      <c r="B14" s="136"/>
      <c r="C14" s="137"/>
      <c r="D14" s="137"/>
      <c r="E14" s="137"/>
      <c r="F14" s="137"/>
      <c r="G14" s="138"/>
      <c r="H14" s="136"/>
      <c r="I14" s="137"/>
      <c r="J14" s="137"/>
      <c r="K14" s="137"/>
      <c r="L14" s="137"/>
      <c r="M14" s="137"/>
      <c r="N14" s="138"/>
      <c r="O14" s="136"/>
      <c r="P14" s="137"/>
      <c r="Q14" s="137"/>
      <c r="R14" s="137"/>
      <c r="S14" s="154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6"/>
      <c r="AX14" s="150"/>
      <c r="AY14" s="150"/>
      <c r="AZ14" s="150"/>
      <c r="BA14" s="150"/>
      <c r="BB14" s="150"/>
      <c r="BC14" s="151"/>
      <c r="BD14" s="153"/>
      <c r="BE14" s="150"/>
      <c r="BF14" s="150"/>
      <c r="BG14" s="150"/>
      <c r="BH14" s="150"/>
      <c r="BI14" s="150"/>
      <c r="BJ14" s="151"/>
      <c r="BK14" s="35"/>
    </row>
    <row r="15" spans="1:63" ht="15" customHeight="1" x14ac:dyDescent="0.25">
      <c r="A15" s="34"/>
      <c r="B15" s="139">
        <v>45425</v>
      </c>
      <c r="C15" s="134"/>
      <c r="D15" s="134"/>
      <c r="E15" s="134"/>
      <c r="F15" s="134"/>
      <c r="G15" s="135"/>
      <c r="H15" s="133" t="s">
        <v>42</v>
      </c>
      <c r="I15" s="134"/>
      <c r="J15" s="134"/>
      <c r="K15" s="134"/>
      <c r="L15" s="134"/>
      <c r="M15" s="134"/>
      <c r="N15" s="135"/>
      <c r="O15" s="133">
        <v>0.3</v>
      </c>
      <c r="P15" s="134"/>
      <c r="Q15" s="134"/>
      <c r="R15" s="134"/>
      <c r="S15" s="145" t="s">
        <v>43</v>
      </c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7"/>
      <c r="AX15" s="148"/>
      <c r="AY15" s="148"/>
      <c r="AZ15" s="148"/>
      <c r="BA15" s="148"/>
      <c r="BB15" s="148"/>
      <c r="BC15" s="149"/>
      <c r="BD15" s="152"/>
      <c r="BE15" s="148"/>
      <c r="BF15" s="148"/>
      <c r="BG15" s="148"/>
      <c r="BH15" s="148"/>
      <c r="BI15" s="148"/>
      <c r="BJ15" s="149"/>
      <c r="BK15" s="35"/>
    </row>
    <row r="16" spans="1:63" ht="15" customHeight="1" x14ac:dyDescent="0.25">
      <c r="A16" s="34"/>
      <c r="B16" s="136"/>
      <c r="C16" s="137"/>
      <c r="D16" s="137"/>
      <c r="E16" s="137"/>
      <c r="F16" s="137"/>
      <c r="G16" s="138"/>
      <c r="H16" s="136"/>
      <c r="I16" s="137"/>
      <c r="J16" s="137"/>
      <c r="K16" s="137"/>
      <c r="L16" s="137"/>
      <c r="M16" s="137"/>
      <c r="N16" s="138"/>
      <c r="O16" s="136"/>
      <c r="P16" s="137"/>
      <c r="Q16" s="137"/>
      <c r="R16" s="137"/>
      <c r="S16" s="154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6"/>
      <c r="AX16" s="150"/>
      <c r="AY16" s="150"/>
      <c r="AZ16" s="150"/>
      <c r="BA16" s="150"/>
      <c r="BB16" s="150"/>
      <c r="BC16" s="151"/>
      <c r="BD16" s="153"/>
      <c r="BE16" s="150"/>
      <c r="BF16" s="150"/>
      <c r="BG16" s="150"/>
      <c r="BH16" s="150"/>
      <c r="BI16" s="150"/>
      <c r="BJ16" s="151"/>
      <c r="BK16" s="35"/>
    </row>
    <row r="17" spans="1:63" ht="15" customHeight="1" x14ac:dyDescent="0.25">
      <c r="A17" s="34"/>
      <c r="B17" s="139">
        <v>45428</v>
      </c>
      <c r="C17" s="134"/>
      <c r="D17" s="134"/>
      <c r="E17" s="134"/>
      <c r="F17" s="134"/>
      <c r="G17" s="135"/>
      <c r="H17" s="133" t="s">
        <v>34</v>
      </c>
      <c r="I17" s="134"/>
      <c r="J17" s="134"/>
      <c r="K17" s="134"/>
      <c r="L17" s="134"/>
      <c r="M17" s="134"/>
      <c r="N17" s="135"/>
      <c r="O17" s="133">
        <v>0.4</v>
      </c>
      <c r="P17" s="134"/>
      <c r="Q17" s="134"/>
      <c r="R17" s="134"/>
      <c r="S17" s="145" t="s">
        <v>44</v>
      </c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7"/>
      <c r="AX17" s="158"/>
      <c r="AY17" s="158"/>
      <c r="AZ17" s="158"/>
      <c r="BA17" s="158"/>
      <c r="BB17" s="158"/>
      <c r="BC17" s="159"/>
      <c r="BD17" s="162"/>
      <c r="BE17" s="158"/>
      <c r="BF17" s="158"/>
      <c r="BG17" s="158"/>
      <c r="BH17" s="158"/>
      <c r="BI17" s="158"/>
      <c r="BJ17" s="159"/>
      <c r="BK17" s="35"/>
    </row>
    <row r="18" spans="1:63" ht="15" customHeight="1" x14ac:dyDescent="0.25">
      <c r="A18" s="34"/>
      <c r="B18" s="136"/>
      <c r="C18" s="137"/>
      <c r="D18" s="137"/>
      <c r="E18" s="137"/>
      <c r="F18" s="137"/>
      <c r="G18" s="138"/>
      <c r="H18" s="136"/>
      <c r="I18" s="137"/>
      <c r="J18" s="137"/>
      <c r="K18" s="137"/>
      <c r="L18" s="137"/>
      <c r="M18" s="137"/>
      <c r="N18" s="138"/>
      <c r="O18" s="136"/>
      <c r="P18" s="137"/>
      <c r="Q18" s="137"/>
      <c r="R18" s="137"/>
      <c r="S18" s="154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6"/>
      <c r="AX18" s="160"/>
      <c r="AY18" s="160"/>
      <c r="AZ18" s="160"/>
      <c r="BA18" s="160"/>
      <c r="BB18" s="160"/>
      <c r="BC18" s="161"/>
      <c r="BD18" s="163"/>
      <c r="BE18" s="160"/>
      <c r="BF18" s="160"/>
      <c r="BG18" s="160"/>
      <c r="BH18" s="160"/>
      <c r="BI18" s="160"/>
      <c r="BJ18" s="161"/>
      <c r="BK18" s="35"/>
    </row>
    <row r="19" spans="1:63" ht="15" customHeight="1" x14ac:dyDescent="0.25">
      <c r="A19" s="34"/>
      <c r="B19" s="139">
        <v>45434</v>
      </c>
      <c r="C19" s="134"/>
      <c r="D19" s="134"/>
      <c r="E19" s="134"/>
      <c r="F19" s="134"/>
      <c r="G19" s="135"/>
      <c r="H19" s="133" t="s">
        <v>34</v>
      </c>
      <c r="I19" s="134"/>
      <c r="J19" s="134"/>
      <c r="K19" s="134"/>
      <c r="L19" s="134"/>
      <c r="M19" s="134"/>
      <c r="N19" s="135"/>
      <c r="O19" s="133">
        <v>0.5</v>
      </c>
      <c r="P19" s="134"/>
      <c r="Q19" s="134"/>
      <c r="R19" s="134"/>
      <c r="S19" s="145" t="s">
        <v>45</v>
      </c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7"/>
      <c r="AX19" s="148"/>
      <c r="AY19" s="148"/>
      <c r="AZ19" s="148"/>
      <c r="BA19" s="148"/>
      <c r="BB19" s="148"/>
      <c r="BC19" s="149"/>
      <c r="BD19" s="152"/>
      <c r="BE19" s="148"/>
      <c r="BF19" s="148"/>
      <c r="BG19" s="148"/>
      <c r="BH19" s="148"/>
      <c r="BI19" s="148"/>
      <c r="BJ19" s="149"/>
      <c r="BK19" s="35"/>
    </row>
    <row r="20" spans="1:63" ht="15" customHeight="1" x14ac:dyDescent="0.25">
      <c r="A20" s="34"/>
      <c r="B20" s="136"/>
      <c r="C20" s="137"/>
      <c r="D20" s="137"/>
      <c r="E20" s="137"/>
      <c r="F20" s="137"/>
      <c r="G20" s="138"/>
      <c r="H20" s="136"/>
      <c r="I20" s="137"/>
      <c r="J20" s="137"/>
      <c r="K20" s="137"/>
      <c r="L20" s="137"/>
      <c r="M20" s="137"/>
      <c r="N20" s="138"/>
      <c r="O20" s="136"/>
      <c r="P20" s="137"/>
      <c r="Q20" s="137"/>
      <c r="R20" s="137"/>
      <c r="S20" s="154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6"/>
      <c r="AX20" s="150"/>
      <c r="AY20" s="150"/>
      <c r="AZ20" s="150"/>
      <c r="BA20" s="150"/>
      <c r="BB20" s="150"/>
      <c r="BC20" s="151"/>
      <c r="BD20" s="153"/>
      <c r="BE20" s="150"/>
      <c r="BF20" s="150"/>
      <c r="BG20" s="150"/>
      <c r="BH20" s="150"/>
      <c r="BI20" s="150"/>
      <c r="BJ20" s="151"/>
      <c r="BK20" s="35"/>
    </row>
    <row r="21" spans="1:63" ht="15" customHeight="1" x14ac:dyDescent="0.25">
      <c r="A21" s="34"/>
      <c r="B21" s="139">
        <v>45447</v>
      </c>
      <c r="C21" s="134"/>
      <c r="D21" s="134"/>
      <c r="E21" s="134"/>
      <c r="F21" s="134"/>
      <c r="G21" s="135"/>
      <c r="H21" s="133" t="s">
        <v>46</v>
      </c>
      <c r="I21" s="134"/>
      <c r="J21" s="134"/>
      <c r="K21" s="134"/>
      <c r="L21" s="134"/>
      <c r="M21" s="134"/>
      <c r="N21" s="135"/>
      <c r="O21" s="133">
        <v>0.6</v>
      </c>
      <c r="P21" s="134"/>
      <c r="Q21" s="134"/>
      <c r="R21" s="134"/>
      <c r="S21" s="145" t="s">
        <v>47</v>
      </c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6"/>
      <c r="AW21" s="147"/>
      <c r="AX21" s="148"/>
      <c r="AY21" s="148"/>
      <c r="AZ21" s="148"/>
      <c r="BA21" s="148"/>
      <c r="BB21" s="148"/>
      <c r="BC21" s="149"/>
      <c r="BD21" s="152"/>
      <c r="BE21" s="148"/>
      <c r="BF21" s="148"/>
      <c r="BG21" s="148"/>
      <c r="BH21" s="148"/>
      <c r="BI21" s="148"/>
      <c r="BJ21" s="149"/>
      <c r="BK21" s="35"/>
    </row>
    <row r="22" spans="1:63" ht="15" customHeight="1" x14ac:dyDescent="0.25">
      <c r="A22" s="34"/>
      <c r="B22" s="136"/>
      <c r="C22" s="137"/>
      <c r="D22" s="137"/>
      <c r="E22" s="137"/>
      <c r="F22" s="137"/>
      <c r="G22" s="138"/>
      <c r="H22" s="136"/>
      <c r="I22" s="137"/>
      <c r="J22" s="137"/>
      <c r="K22" s="137"/>
      <c r="L22" s="137"/>
      <c r="M22" s="137"/>
      <c r="N22" s="138"/>
      <c r="O22" s="136"/>
      <c r="P22" s="137"/>
      <c r="Q22" s="137"/>
      <c r="R22" s="137"/>
      <c r="S22" s="154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6"/>
      <c r="AX22" s="150"/>
      <c r="AY22" s="150"/>
      <c r="AZ22" s="150"/>
      <c r="BA22" s="150"/>
      <c r="BB22" s="150"/>
      <c r="BC22" s="151"/>
      <c r="BD22" s="153"/>
      <c r="BE22" s="150"/>
      <c r="BF22" s="150"/>
      <c r="BG22" s="150"/>
      <c r="BH22" s="150"/>
      <c r="BI22" s="150"/>
      <c r="BJ22" s="151"/>
      <c r="BK22" s="35"/>
    </row>
    <row r="23" spans="1:63" ht="15" customHeight="1" x14ac:dyDescent="0.25">
      <c r="A23" s="34"/>
      <c r="B23" s="139">
        <v>45453</v>
      </c>
      <c r="C23" s="134"/>
      <c r="D23" s="134"/>
      <c r="E23" s="134"/>
      <c r="F23" s="134"/>
      <c r="G23" s="135"/>
      <c r="H23" s="133" t="s">
        <v>34</v>
      </c>
      <c r="I23" s="134"/>
      <c r="J23" s="134"/>
      <c r="K23" s="134"/>
      <c r="L23" s="134"/>
      <c r="M23" s="134"/>
      <c r="N23" s="135"/>
      <c r="O23" s="133">
        <v>0.61</v>
      </c>
      <c r="P23" s="134"/>
      <c r="Q23" s="134"/>
      <c r="R23" s="134"/>
      <c r="S23" s="145" t="s">
        <v>48</v>
      </c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7"/>
      <c r="AX23" s="148"/>
      <c r="AY23" s="148"/>
      <c r="AZ23" s="148"/>
      <c r="BA23" s="148"/>
      <c r="BB23" s="148"/>
      <c r="BC23" s="149"/>
      <c r="BD23" s="152"/>
      <c r="BE23" s="148"/>
      <c r="BF23" s="148"/>
      <c r="BG23" s="148"/>
      <c r="BH23" s="148"/>
      <c r="BI23" s="148"/>
      <c r="BJ23" s="149"/>
      <c r="BK23" s="35"/>
    </row>
    <row r="24" spans="1:63" ht="15" customHeight="1" x14ac:dyDescent="0.25">
      <c r="A24" s="34"/>
      <c r="B24" s="136"/>
      <c r="C24" s="137"/>
      <c r="D24" s="137"/>
      <c r="E24" s="137"/>
      <c r="F24" s="137"/>
      <c r="G24" s="138"/>
      <c r="H24" s="136"/>
      <c r="I24" s="137"/>
      <c r="J24" s="137"/>
      <c r="K24" s="137"/>
      <c r="L24" s="137"/>
      <c r="M24" s="137"/>
      <c r="N24" s="138"/>
      <c r="O24" s="136"/>
      <c r="P24" s="137"/>
      <c r="Q24" s="137"/>
      <c r="R24" s="137"/>
      <c r="S24" s="154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6"/>
      <c r="AX24" s="150"/>
      <c r="AY24" s="150"/>
      <c r="AZ24" s="150"/>
      <c r="BA24" s="150"/>
      <c r="BB24" s="150"/>
      <c r="BC24" s="151"/>
      <c r="BD24" s="153"/>
      <c r="BE24" s="150"/>
      <c r="BF24" s="150"/>
      <c r="BG24" s="150"/>
      <c r="BH24" s="150"/>
      <c r="BI24" s="150"/>
      <c r="BJ24" s="151"/>
      <c r="BK24" s="35"/>
    </row>
    <row r="25" spans="1:63" ht="15" customHeight="1" x14ac:dyDescent="0.25">
      <c r="A25" s="34"/>
      <c r="B25" s="139">
        <v>45428</v>
      </c>
      <c r="C25" s="134"/>
      <c r="D25" s="134"/>
      <c r="E25" s="134"/>
      <c r="F25" s="134"/>
      <c r="G25" s="135"/>
      <c r="H25" s="133" t="s">
        <v>49</v>
      </c>
      <c r="I25" s="134"/>
      <c r="J25" s="134"/>
      <c r="K25" s="134"/>
      <c r="L25" s="134"/>
      <c r="M25" s="134"/>
      <c r="N25" s="135"/>
      <c r="O25" s="133">
        <v>0.62</v>
      </c>
      <c r="P25" s="134"/>
      <c r="Q25" s="134"/>
      <c r="R25" s="134"/>
      <c r="S25" s="145" t="s">
        <v>50</v>
      </c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7"/>
      <c r="AX25" s="164"/>
      <c r="AY25" s="164"/>
      <c r="AZ25" s="164"/>
      <c r="BA25" s="164"/>
      <c r="BB25" s="164"/>
      <c r="BC25" s="165"/>
      <c r="BD25" s="168"/>
      <c r="BE25" s="164"/>
      <c r="BF25" s="164"/>
      <c r="BG25" s="164"/>
      <c r="BH25" s="164"/>
      <c r="BI25" s="164"/>
      <c r="BJ25" s="165"/>
      <c r="BK25" s="35"/>
    </row>
    <row r="26" spans="1:63" ht="15" customHeight="1" x14ac:dyDescent="0.25">
      <c r="A26" s="34"/>
      <c r="B26" s="136"/>
      <c r="C26" s="137"/>
      <c r="D26" s="137"/>
      <c r="E26" s="137"/>
      <c r="F26" s="137"/>
      <c r="G26" s="138"/>
      <c r="H26" s="136"/>
      <c r="I26" s="137"/>
      <c r="J26" s="137"/>
      <c r="K26" s="137"/>
      <c r="L26" s="137"/>
      <c r="M26" s="137"/>
      <c r="N26" s="138"/>
      <c r="O26" s="136"/>
      <c r="P26" s="137"/>
      <c r="Q26" s="137"/>
      <c r="R26" s="137"/>
      <c r="S26" s="154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6"/>
      <c r="AX26" s="166"/>
      <c r="AY26" s="166"/>
      <c r="AZ26" s="166"/>
      <c r="BA26" s="166"/>
      <c r="BB26" s="166"/>
      <c r="BC26" s="167"/>
      <c r="BD26" s="169"/>
      <c r="BE26" s="166"/>
      <c r="BF26" s="166"/>
      <c r="BG26" s="166"/>
      <c r="BH26" s="166"/>
      <c r="BI26" s="166"/>
      <c r="BJ26" s="167"/>
      <c r="BK26" s="35"/>
    </row>
    <row r="27" spans="1:63" ht="15" customHeight="1" x14ac:dyDescent="0.25">
      <c r="A27" s="34"/>
      <c r="B27" s="139">
        <v>45490</v>
      </c>
      <c r="C27" s="134"/>
      <c r="D27" s="134"/>
      <c r="E27" s="134"/>
      <c r="F27" s="134"/>
      <c r="G27" s="135"/>
      <c r="H27" s="133" t="s">
        <v>59</v>
      </c>
      <c r="I27" s="134"/>
      <c r="J27" s="134"/>
      <c r="K27" s="134"/>
      <c r="L27" s="134"/>
      <c r="M27" s="134"/>
      <c r="N27" s="135"/>
      <c r="O27" s="133">
        <v>0.7</v>
      </c>
      <c r="P27" s="134"/>
      <c r="Q27" s="134"/>
      <c r="R27" s="134"/>
      <c r="S27" s="145" t="s">
        <v>89</v>
      </c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7"/>
      <c r="AX27" s="148"/>
      <c r="AY27" s="148"/>
      <c r="AZ27" s="148"/>
      <c r="BA27" s="148"/>
      <c r="BB27" s="148"/>
      <c r="BC27" s="149"/>
      <c r="BD27" s="152"/>
      <c r="BE27" s="148"/>
      <c r="BF27" s="148"/>
      <c r="BG27" s="148"/>
      <c r="BH27" s="148"/>
      <c r="BI27" s="148"/>
      <c r="BJ27" s="149"/>
      <c r="BK27" s="35"/>
    </row>
    <row r="28" spans="1:63" ht="15" customHeight="1" x14ac:dyDescent="0.25">
      <c r="A28" s="34"/>
      <c r="B28" s="136"/>
      <c r="C28" s="137"/>
      <c r="D28" s="137"/>
      <c r="E28" s="137"/>
      <c r="F28" s="137"/>
      <c r="G28" s="138"/>
      <c r="H28" s="136"/>
      <c r="I28" s="137"/>
      <c r="J28" s="137"/>
      <c r="K28" s="137"/>
      <c r="L28" s="137"/>
      <c r="M28" s="137"/>
      <c r="N28" s="138"/>
      <c r="O28" s="136"/>
      <c r="P28" s="137"/>
      <c r="Q28" s="137"/>
      <c r="R28" s="137"/>
      <c r="S28" s="154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6"/>
      <c r="AX28" s="150"/>
      <c r="AY28" s="150"/>
      <c r="AZ28" s="150"/>
      <c r="BA28" s="150"/>
      <c r="BB28" s="150"/>
      <c r="BC28" s="151"/>
      <c r="BD28" s="153"/>
      <c r="BE28" s="150"/>
      <c r="BF28" s="150"/>
      <c r="BG28" s="150"/>
      <c r="BH28" s="150"/>
      <c r="BI28" s="150"/>
      <c r="BJ28" s="151"/>
      <c r="BK28" s="35"/>
    </row>
    <row r="29" spans="1:63" ht="15" customHeight="1" x14ac:dyDescent="0.25">
      <c r="A29" s="34"/>
      <c r="B29" s="139">
        <v>45504</v>
      </c>
      <c r="C29" s="134"/>
      <c r="D29" s="134"/>
      <c r="E29" s="134"/>
      <c r="F29" s="134"/>
      <c r="G29" s="135"/>
      <c r="H29" s="133" t="s">
        <v>59</v>
      </c>
      <c r="I29" s="134"/>
      <c r="J29" s="134"/>
      <c r="K29" s="134"/>
      <c r="L29" s="134"/>
      <c r="M29" s="134"/>
      <c r="N29" s="135"/>
      <c r="O29" s="133">
        <v>0.8</v>
      </c>
      <c r="P29" s="134"/>
      <c r="Q29" s="134"/>
      <c r="R29" s="134"/>
      <c r="S29" s="145" t="s">
        <v>89</v>
      </c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7"/>
      <c r="AX29" s="148"/>
      <c r="AY29" s="148"/>
      <c r="AZ29" s="148"/>
      <c r="BA29" s="148"/>
      <c r="BB29" s="148"/>
      <c r="BC29" s="149"/>
      <c r="BD29" s="152"/>
      <c r="BE29" s="148"/>
      <c r="BF29" s="148"/>
      <c r="BG29" s="148"/>
      <c r="BH29" s="148"/>
      <c r="BI29" s="148"/>
      <c r="BJ29" s="149"/>
      <c r="BK29" s="35"/>
    </row>
    <row r="30" spans="1:63" ht="15" customHeight="1" x14ac:dyDescent="0.25">
      <c r="A30" s="34"/>
      <c r="B30" s="136"/>
      <c r="C30" s="137"/>
      <c r="D30" s="137"/>
      <c r="E30" s="137"/>
      <c r="F30" s="137"/>
      <c r="G30" s="138"/>
      <c r="H30" s="136"/>
      <c r="I30" s="137"/>
      <c r="J30" s="137"/>
      <c r="K30" s="137"/>
      <c r="L30" s="137"/>
      <c r="M30" s="137"/>
      <c r="N30" s="138"/>
      <c r="O30" s="136"/>
      <c r="P30" s="137"/>
      <c r="Q30" s="137"/>
      <c r="R30" s="137"/>
      <c r="S30" s="170" t="s">
        <v>65</v>
      </c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6"/>
      <c r="AX30" s="150"/>
      <c r="AY30" s="150"/>
      <c r="AZ30" s="150"/>
      <c r="BA30" s="150"/>
      <c r="BB30" s="150"/>
      <c r="BC30" s="151"/>
      <c r="BD30" s="153"/>
      <c r="BE30" s="150"/>
      <c r="BF30" s="150"/>
      <c r="BG30" s="150"/>
      <c r="BH30" s="150"/>
      <c r="BI30" s="150"/>
      <c r="BJ30" s="151"/>
      <c r="BK30" s="35"/>
    </row>
    <row r="31" spans="1:63" ht="15" customHeight="1" x14ac:dyDescent="0.25">
      <c r="A31" s="34"/>
      <c r="B31" s="171">
        <v>45546</v>
      </c>
      <c r="C31" s="172"/>
      <c r="D31" s="172"/>
      <c r="E31" s="172"/>
      <c r="F31" s="172"/>
      <c r="G31" s="173"/>
      <c r="H31" s="177" t="s">
        <v>76</v>
      </c>
      <c r="I31" s="172"/>
      <c r="J31" s="172"/>
      <c r="K31" s="172"/>
      <c r="L31" s="172"/>
      <c r="M31" s="172"/>
      <c r="N31" s="173"/>
      <c r="O31" s="177">
        <v>0.81</v>
      </c>
      <c r="P31" s="172"/>
      <c r="Q31" s="172"/>
      <c r="R31" s="172"/>
      <c r="S31" s="178" t="s">
        <v>67</v>
      </c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79"/>
      <c r="AK31" s="179"/>
      <c r="AL31" s="179"/>
      <c r="AM31" s="179"/>
      <c r="AN31" s="179"/>
      <c r="AO31" s="179"/>
      <c r="AP31" s="179"/>
      <c r="AQ31" s="179"/>
      <c r="AR31" s="179"/>
      <c r="AS31" s="179"/>
      <c r="AT31" s="179"/>
      <c r="AU31" s="179"/>
      <c r="AV31" s="179"/>
      <c r="AW31" s="180"/>
      <c r="AX31" s="148"/>
      <c r="AY31" s="148"/>
      <c r="AZ31" s="148"/>
      <c r="BA31" s="148"/>
      <c r="BB31" s="148"/>
      <c r="BC31" s="149"/>
      <c r="BD31" s="152"/>
      <c r="BE31" s="148"/>
      <c r="BF31" s="148"/>
      <c r="BG31" s="148"/>
      <c r="BH31" s="148"/>
      <c r="BI31" s="148"/>
      <c r="BJ31" s="149"/>
      <c r="BK31" s="35"/>
    </row>
    <row r="32" spans="1:63" ht="15" customHeight="1" x14ac:dyDescent="0.25">
      <c r="A32" s="34"/>
      <c r="B32" s="174"/>
      <c r="C32" s="175"/>
      <c r="D32" s="175"/>
      <c r="E32" s="175"/>
      <c r="F32" s="175"/>
      <c r="G32" s="176"/>
      <c r="H32" s="174"/>
      <c r="I32" s="175"/>
      <c r="J32" s="175"/>
      <c r="K32" s="175"/>
      <c r="L32" s="175"/>
      <c r="M32" s="175"/>
      <c r="N32" s="176"/>
      <c r="O32" s="174"/>
      <c r="P32" s="175"/>
      <c r="Q32" s="175"/>
      <c r="R32" s="175"/>
      <c r="S32" s="181" t="s">
        <v>75</v>
      </c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3"/>
      <c r="AX32" s="150"/>
      <c r="AY32" s="150"/>
      <c r="AZ32" s="150"/>
      <c r="BA32" s="150"/>
      <c r="BB32" s="150"/>
      <c r="BC32" s="151"/>
      <c r="BD32" s="153"/>
      <c r="BE32" s="150"/>
      <c r="BF32" s="150"/>
      <c r="BG32" s="150"/>
      <c r="BH32" s="150"/>
      <c r="BI32" s="150"/>
      <c r="BJ32" s="151"/>
      <c r="BK32" s="35"/>
    </row>
    <row r="33" spans="1:63" ht="15" customHeight="1" x14ac:dyDescent="0.25">
      <c r="A33" s="34"/>
      <c r="B33" s="133"/>
      <c r="C33" s="134"/>
      <c r="D33" s="134"/>
      <c r="E33" s="134"/>
      <c r="F33" s="134"/>
      <c r="G33" s="135"/>
      <c r="H33" s="133"/>
      <c r="I33" s="134"/>
      <c r="J33" s="134"/>
      <c r="K33" s="134"/>
      <c r="L33" s="134"/>
      <c r="M33" s="134"/>
      <c r="N33" s="135"/>
      <c r="O33" s="133"/>
      <c r="P33" s="134"/>
      <c r="Q33" s="134"/>
      <c r="R33" s="134"/>
      <c r="S33" s="145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7"/>
      <c r="AX33" s="148"/>
      <c r="AY33" s="148"/>
      <c r="AZ33" s="148"/>
      <c r="BA33" s="148"/>
      <c r="BB33" s="148"/>
      <c r="BC33" s="149"/>
      <c r="BD33" s="152"/>
      <c r="BE33" s="148"/>
      <c r="BF33" s="148"/>
      <c r="BG33" s="148"/>
      <c r="BH33" s="148"/>
      <c r="BI33" s="148"/>
      <c r="BJ33" s="149"/>
      <c r="BK33" s="35"/>
    </row>
    <row r="34" spans="1:63" ht="15" customHeight="1" x14ac:dyDescent="0.25">
      <c r="A34" s="34"/>
      <c r="B34" s="136"/>
      <c r="C34" s="137"/>
      <c r="D34" s="137"/>
      <c r="E34" s="137"/>
      <c r="F34" s="137"/>
      <c r="G34" s="138"/>
      <c r="H34" s="136"/>
      <c r="I34" s="137"/>
      <c r="J34" s="137"/>
      <c r="K34" s="137"/>
      <c r="L34" s="137"/>
      <c r="M34" s="137"/>
      <c r="N34" s="138"/>
      <c r="O34" s="136"/>
      <c r="P34" s="137"/>
      <c r="Q34" s="137"/>
      <c r="R34" s="137"/>
      <c r="S34" s="154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6"/>
      <c r="AX34" s="150"/>
      <c r="AY34" s="150"/>
      <c r="AZ34" s="150"/>
      <c r="BA34" s="150"/>
      <c r="BB34" s="150"/>
      <c r="BC34" s="151"/>
      <c r="BD34" s="153"/>
      <c r="BE34" s="150"/>
      <c r="BF34" s="150"/>
      <c r="BG34" s="150"/>
      <c r="BH34" s="150"/>
      <c r="BI34" s="150"/>
      <c r="BJ34" s="151"/>
      <c r="BK34" s="35"/>
    </row>
    <row r="35" spans="1:63" ht="15" customHeight="1" x14ac:dyDescent="0.25">
      <c r="A35" s="34"/>
      <c r="B35" s="133"/>
      <c r="C35" s="134"/>
      <c r="D35" s="134"/>
      <c r="E35" s="134"/>
      <c r="F35" s="134"/>
      <c r="G35" s="135"/>
      <c r="H35" s="133"/>
      <c r="I35" s="134"/>
      <c r="J35" s="134"/>
      <c r="K35" s="134"/>
      <c r="L35" s="134"/>
      <c r="M35" s="134"/>
      <c r="N35" s="135"/>
      <c r="O35" s="133"/>
      <c r="P35" s="134"/>
      <c r="Q35" s="134"/>
      <c r="R35" s="134"/>
      <c r="S35" s="145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7"/>
      <c r="AX35" s="148"/>
      <c r="AY35" s="148"/>
      <c r="AZ35" s="148"/>
      <c r="BA35" s="148"/>
      <c r="BB35" s="148"/>
      <c r="BC35" s="149"/>
      <c r="BD35" s="152"/>
      <c r="BE35" s="148"/>
      <c r="BF35" s="148"/>
      <c r="BG35" s="148"/>
      <c r="BH35" s="148"/>
      <c r="BI35" s="148"/>
      <c r="BJ35" s="149"/>
      <c r="BK35" s="35"/>
    </row>
    <row r="36" spans="1:63" ht="15" customHeight="1" x14ac:dyDescent="0.25">
      <c r="A36" s="34"/>
      <c r="B36" s="136"/>
      <c r="C36" s="137"/>
      <c r="D36" s="137"/>
      <c r="E36" s="137"/>
      <c r="F36" s="137"/>
      <c r="G36" s="138"/>
      <c r="H36" s="136"/>
      <c r="I36" s="137"/>
      <c r="J36" s="137"/>
      <c r="K36" s="137"/>
      <c r="L36" s="137"/>
      <c r="M36" s="137"/>
      <c r="N36" s="138"/>
      <c r="O36" s="136"/>
      <c r="P36" s="137"/>
      <c r="Q36" s="137"/>
      <c r="R36" s="137"/>
      <c r="S36" s="154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6"/>
      <c r="AX36" s="150"/>
      <c r="AY36" s="150"/>
      <c r="AZ36" s="150"/>
      <c r="BA36" s="150"/>
      <c r="BB36" s="150"/>
      <c r="BC36" s="151"/>
      <c r="BD36" s="153"/>
      <c r="BE36" s="150"/>
      <c r="BF36" s="150"/>
      <c r="BG36" s="150"/>
      <c r="BH36" s="150"/>
      <c r="BI36" s="150"/>
      <c r="BJ36" s="151"/>
      <c r="BK36" s="35"/>
    </row>
    <row r="37" spans="1:63" ht="15" customHeight="1" x14ac:dyDescent="0.25">
      <c r="A37" s="34"/>
      <c r="B37" s="133"/>
      <c r="C37" s="134"/>
      <c r="D37" s="134"/>
      <c r="E37" s="134"/>
      <c r="F37" s="134"/>
      <c r="G37" s="135"/>
      <c r="H37" s="133"/>
      <c r="I37" s="134"/>
      <c r="J37" s="134"/>
      <c r="K37" s="134"/>
      <c r="L37" s="134"/>
      <c r="M37" s="134"/>
      <c r="N37" s="135"/>
      <c r="O37" s="133"/>
      <c r="P37" s="134"/>
      <c r="Q37" s="134"/>
      <c r="R37" s="134"/>
      <c r="S37" s="145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7"/>
      <c r="AX37" s="148"/>
      <c r="AY37" s="148"/>
      <c r="AZ37" s="148"/>
      <c r="BA37" s="148"/>
      <c r="BB37" s="148"/>
      <c r="BC37" s="149"/>
      <c r="BD37" s="152"/>
      <c r="BE37" s="148"/>
      <c r="BF37" s="148"/>
      <c r="BG37" s="148"/>
      <c r="BH37" s="148"/>
      <c r="BI37" s="148"/>
      <c r="BJ37" s="149"/>
      <c r="BK37" s="35"/>
    </row>
    <row r="38" spans="1:63" ht="15" customHeight="1" x14ac:dyDescent="0.25">
      <c r="A38" s="34"/>
      <c r="B38" s="136"/>
      <c r="C38" s="137"/>
      <c r="D38" s="137"/>
      <c r="E38" s="137"/>
      <c r="F38" s="137"/>
      <c r="G38" s="138"/>
      <c r="H38" s="136"/>
      <c r="I38" s="137"/>
      <c r="J38" s="137"/>
      <c r="K38" s="137"/>
      <c r="L38" s="137"/>
      <c r="M38" s="137"/>
      <c r="N38" s="138"/>
      <c r="O38" s="136"/>
      <c r="P38" s="137"/>
      <c r="Q38" s="137"/>
      <c r="R38" s="137"/>
      <c r="S38" s="154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6"/>
      <c r="AX38" s="150"/>
      <c r="AY38" s="150"/>
      <c r="AZ38" s="150"/>
      <c r="BA38" s="150"/>
      <c r="BB38" s="150"/>
      <c r="BC38" s="151"/>
      <c r="BD38" s="153"/>
      <c r="BE38" s="150"/>
      <c r="BF38" s="150"/>
      <c r="BG38" s="150"/>
      <c r="BH38" s="150"/>
      <c r="BI38" s="150"/>
      <c r="BJ38" s="151"/>
      <c r="BK38" s="35"/>
    </row>
    <row r="39" spans="1:63" ht="15" customHeight="1" x14ac:dyDescent="0.25">
      <c r="A39" s="34"/>
      <c r="B39" s="133"/>
      <c r="C39" s="134"/>
      <c r="D39" s="134"/>
      <c r="E39" s="134"/>
      <c r="F39" s="134"/>
      <c r="G39" s="135"/>
      <c r="H39" s="133"/>
      <c r="I39" s="134"/>
      <c r="J39" s="134"/>
      <c r="K39" s="134"/>
      <c r="L39" s="134"/>
      <c r="M39" s="134"/>
      <c r="N39" s="135"/>
      <c r="O39" s="133"/>
      <c r="P39" s="134"/>
      <c r="Q39" s="134"/>
      <c r="R39" s="134"/>
      <c r="S39" s="145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7"/>
      <c r="AX39" s="148"/>
      <c r="AY39" s="148"/>
      <c r="AZ39" s="148"/>
      <c r="BA39" s="148"/>
      <c r="BB39" s="148"/>
      <c r="BC39" s="149"/>
      <c r="BD39" s="152"/>
      <c r="BE39" s="148"/>
      <c r="BF39" s="148"/>
      <c r="BG39" s="148"/>
      <c r="BH39" s="148"/>
      <c r="BI39" s="148"/>
      <c r="BJ39" s="149"/>
      <c r="BK39" s="35"/>
    </row>
    <row r="40" spans="1:63" ht="15" customHeight="1" x14ac:dyDescent="0.25">
      <c r="A40" s="34"/>
      <c r="B40" s="136"/>
      <c r="C40" s="137"/>
      <c r="D40" s="137"/>
      <c r="E40" s="137"/>
      <c r="F40" s="137"/>
      <c r="G40" s="138"/>
      <c r="H40" s="136"/>
      <c r="I40" s="137"/>
      <c r="J40" s="137"/>
      <c r="K40" s="137"/>
      <c r="L40" s="137"/>
      <c r="M40" s="137"/>
      <c r="N40" s="138"/>
      <c r="O40" s="136"/>
      <c r="P40" s="137"/>
      <c r="Q40" s="137"/>
      <c r="R40" s="137"/>
      <c r="S40" s="154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6"/>
      <c r="AX40" s="150"/>
      <c r="AY40" s="150"/>
      <c r="AZ40" s="150"/>
      <c r="BA40" s="150"/>
      <c r="BB40" s="150"/>
      <c r="BC40" s="151"/>
      <c r="BD40" s="153"/>
      <c r="BE40" s="150"/>
      <c r="BF40" s="150"/>
      <c r="BG40" s="150"/>
      <c r="BH40" s="150"/>
      <c r="BI40" s="150"/>
      <c r="BJ40" s="151"/>
      <c r="BK40" s="35"/>
    </row>
    <row r="41" spans="1:63" ht="15" customHeight="1" x14ac:dyDescent="0.25">
      <c r="A41" s="34"/>
      <c r="B41" s="133"/>
      <c r="C41" s="134"/>
      <c r="D41" s="134"/>
      <c r="E41" s="134"/>
      <c r="F41" s="134"/>
      <c r="G41" s="135"/>
      <c r="H41" s="133"/>
      <c r="I41" s="134"/>
      <c r="J41" s="134"/>
      <c r="K41" s="134"/>
      <c r="L41" s="134"/>
      <c r="M41" s="134"/>
      <c r="N41" s="135"/>
      <c r="O41" s="133"/>
      <c r="P41" s="134"/>
      <c r="Q41" s="134"/>
      <c r="R41" s="134"/>
      <c r="S41" s="145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7"/>
      <c r="AX41" s="148"/>
      <c r="AY41" s="148"/>
      <c r="AZ41" s="148"/>
      <c r="BA41" s="148"/>
      <c r="BB41" s="148"/>
      <c r="BC41" s="149"/>
      <c r="BD41" s="152"/>
      <c r="BE41" s="148"/>
      <c r="BF41" s="148"/>
      <c r="BG41" s="148"/>
      <c r="BH41" s="148"/>
      <c r="BI41" s="148"/>
      <c r="BJ41" s="149"/>
      <c r="BK41" s="35"/>
    </row>
    <row r="42" spans="1:63" ht="15" customHeight="1" x14ac:dyDescent="0.25">
      <c r="A42" s="34"/>
      <c r="B42" s="136"/>
      <c r="C42" s="137"/>
      <c r="D42" s="137"/>
      <c r="E42" s="137"/>
      <c r="F42" s="137"/>
      <c r="G42" s="138"/>
      <c r="H42" s="136"/>
      <c r="I42" s="137"/>
      <c r="J42" s="137"/>
      <c r="K42" s="137"/>
      <c r="L42" s="137"/>
      <c r="M42" s="137"/>
      <c r="N42" s="138"/>
      <c r="O42" s="136"/>
      <c r="P42" s="137"/>
      <c r="Q42" s="137"/>
      <c r="R42" s="137"/>
      <c r="S42" s="154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6"/>
      <c r="AX42" s="150"/>
      <c r="AY42" s="150"/>
      <c r="AZ42" s="150"/>
      <c r="BA42" s="150"/>
      <c r="BB42" s="150"/>
      <c r="BC42" s="151"/>
      <c r="BD42" s="153"/>
      <c r="BE42" s="150"/>
      <c r="BF42" s="150"/>
      <c r="BG42" s="150"/>
      <c r="BH42" s="150"/>
      <c r="BI42" s="150"/>
      <c r="BJ42" s="151"/>
      <c r="BK42" s="35"/>
    </row>
    <row r="43" spans="1:63" ht="15" customHeight="1" x14ac:dyDescent="0.25">
      <c r="A43" s="34"/>
      <c r="B43" s="133"/>
      <c r="C43" s="134"/>
      <c r="D43" s="134"/>
      <c r="E43" s="134"/>
      <c r="F43" s="134"/>
      <c r="G43" s="135"/>
      <c r="H43" s="133"/>
      <c r="I43" s="134"/>
      <c r="J43" s="134"/>
      <c r="K43" s="134"/>
      <c r="L43" s="134"/>
      <c r="M43" s="134"/>
      <c r="N43" s="135"/>
      <c r="O43" s="133"/>
      <c r="P43" s="134"/>
      <c r="Q43" s="134"/>
      <c r="R43" s="134"/>
      <c r="S43" s="145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7"/>
      <c r="AX43" s="148"/>
      <c r="AY43" s="148"/>
      <c r="AZ43" s="148"/>
      <c r="BA43" s="148"/>
      <c r="BB43" s="148"/>
      <c r="BC43" s="149"/>
      <c r="BD43" s="152"/>
      <c r="BE43" s="148"/>
      <c r="BF43" s="148"/>
      <c r="BG43" s="148"/>
      <c r="BH43" s="148"/>
      <c r="BI43" s="148"/>
      <c r="BJ43" s="149"/>
      <c r="BK43" s="35"/>
    </row>
    <row r="44" spans="1:63" ht="15" customHeight="1" x14ac:dyDescent="0.25">
      <c r="A44" s="34"/>
      <c r="B44" s="136"/>
      <c r="C44" s="137"/>
      <c r="D44" s="137"/>
      <c r="E44" s="137"/>
      <c r="F44" s="137"/>
      <c r="G44" s="138"/>
      <c r="H44" s="136"/>
      <c r="I44" s="137"/>
      <c r="J44" s="137"/>
      <c r="K44" s="137"/>
      <c r="L44" s="137"/>
      <c r="M44" s="137"/>
      <c r="N44" s="138"/>
      <c r="O44" s="136"/>
      <c r="P44" s="137"/>
      <c r="Q44" s="137"/>
      <c r="R44" s="137"/>
      <c r="S44" s="154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6"/>
      <c r="AX44" s="150"/>
      <c r="AY44" s="150"/>
      <c r="AZ44" s="150"/>
      <c r="BA44" s="150"/>
      <c r="BB44" s="150"/>
      <c r="BC44" s="151"/>
      <c r="BD44" s="153"/>
      <c r="BE44" s="150"/>
      <c r="BF44" s="150"/>
      <c r="BG44" s="150"/>
      <c r="BH44" s="150"/>
      <c r="BI44" s="150"/>
      <c r="BJ44" s="151"/>
      <c r="BK44" s="35"/>
    </row>
    <row r="45" spans="1:63" ht="15" customHeight="1" x14ac:dyDescent="0.25">
      <c r="A45" s="34"/>
      <c r="B45" s="133"/>
      <c r="C45" s="134"/>
      <c r="D45" s="134"/>
      <c r="E45" s="134"/>
      <c r="F45" s="134"/>
      <c r="G45" s="135"/>
      <c r="H45" s="133"/>
      <c r="I45" s="134"/>
      <c r="J45" s="134"/>
      <c r="K45" s="134"/>
      <c r="L45" s="134"/>
      <c r="M45" s="134"/>
      <c r="N45" s="135"/>
      <c r="O45" s="133"/>
      <c r="P45" s="134"/>
      <c r="Q45" s="134"/>
      <c r="R45" s="134"/>
      <c r="S45" s="145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7"/>
      <c r="AX45" s="148"/>
      <c r="AY45" s="148"/>
      <c r="AZ45" s="148"/>
      <c r="BA45" s="148"/>
      <c r="BB45" s="148"/>
      <c r="BC45" s="149"/>
      <c r="BD45" s="152"/>
      <c r="BE45" s="148"/>
      <c r="BF45" s="148"/>
      <c r="BG45" s="148"/>
      <c r="BH45" s="148"/>
      <c r="BI45" s="148"/>
      <c r="BJ45" s="149"/>
      <c r="BK45" s="35"/>
    </row>
    <row r="46" spans="1:63" ht="15" customHeight="1" x14ac:dyDescent="0.25">
      <c r="A46" s="34"/>
      <c r="B46" s="136"/>
      <c r="C46" s="137"/>
      <c r="D46" s="137"/>
      <c r="E46" s="137"/>
      <c r="F46" s="137"/>
      <c r="G46" s="138"/>
      <c r="H46" s="136"/>
      <c r="I46" s="137"/>
      <c r="J46" s="137"/>
      <c r="K46" s="137"/>
      <c r="L46" s="137"/>
      <c r="M46" s="137"/>
      <c r="N46" s="138"/>
      <c r="O46" s="136"/>
      <c r="P46" s="137"/>
      <c r="Q46" s="137"/>
      <c r="R46" s="137"/>
      <c r="S46" s="154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6"/>
      <c r="AX46" s="150"/>
      <c r="AY46" s="150"/>
      <c r="AZ46" s="150"/>
      <c r="BA46" s="150"/>
      <c r="BB46" s="150"/>
      <c r="BC46" s="151"/>
      <c r="BD46" s="153"/>
      <c r="BE46" s="150"/>
      <c r="BF46" s="150"/>
      <c r="BG46" s="150"/>
      <c r="BH46" s="150"/>
      <c r="BI46" s="150"/>
      <c r="BJ46" s="151"/>
      <c r="BK46" s="35"/>
    </row>
    <row r="47" spans="1:63" ht="15" customHeight="1" x14ac:dyDescent="0.25">
      <c r="A47" s="34"/>
      <c r="B47" s="133"/>
      <c r="C47" s="134"/>
      <c r="D47" s="134"/>
      <c r="E47" s="134"/>
      <c r="F47" s="134"/>
      <c r="G47" s="135"/>
      <c r="H47" s="133"/>
      <c r="I47" s="134"/>
      <c r="J47" s="134"/>
      <c r="K47" s="134"/>
      <c r="L47" s="134"/>
      <c r="M47" s="134"/>
      <c r="N47" s="135"/>
      <c r="O47" s="133"/>
      <c r="P47" s="134"/>
      <c r="Q47" s="134"/>
      <c r="R47" s="134"/>
      <c r="S47" s="145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7"/>
      <c r="AX47" s="148"/>
      <c r="AY47" s="148"/>
      <c r="AZ47" s="148"/>
      <c r="BA47" s="148"/>
      <c r="BB47" s="148"/>
      <c r="BC47" s="149"/>
      <c r="BD47" s="152"/>
      <c r="BE47" s="148"/>
      <c r="BF47" s="148"/>
      <c r="BG47" s="148"/>
      <c r="BH47" s="148"/>
      <c r="BI47" s="148"/>
      <c r="BJ47" s="149"/>
      <c r="BK47" s="35"/>
    </row>
    <row r="48" spans="1:63" ht="15" customHeight="1" x14ac:dyDescent="0.25">
      <c r="A48" s="34"/>
      <c r="B48" s="136"/>
      <c r="C48" s="137"/>
      <c r="D48" s="137"/>
      <c r="E48" s="137"/>
      <c r="F48" s="137"/>
      <c r="G48" s="138"/>
      <c r="H48" s="136"/>
      <c r="I48" s="137"/>
      <c r="J48" s="137"/>
      <c r="K48" s="137"/>
      <c r="L48" s="137"/>
      <c r="M48" s="137"/>
      <c r="N48" s="138"/>
      <c r="O48" s="136"/>
      <c r="P48" s="137"/>
      <c r="Q48" s="137"/>
      <c r="R48" s="137"/>
      <c r="S48" s="154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6"/>
      <c r="AX48" s="150"/>
      <c r="AY48" s="150"/>
      <c r="AZ48" s="150"/>
      <c r="BA48" s="150"/>
      <c r="BB48" s="150"/>
      <c r="BC48" s="151"/>
      <c r="BD48" s="153"/>
      <c r="BE48" s="150"/>
      <c r="BF48" s="150"/>
      <c r="BG48" s="150"/>
      <c r="BH48" s="150"/>
      <c r="BI48" s="150"/>
      <c r="BJ48" s="151"/>
      <c r="BK48" s="35"/>
    </row>
    <row r="49" spans="1:63" ht="15" customHeight="1" x14ac:dyDescent="0.25">
      <c r="A49" s="34"/>
      <c r="B49" s="133"/>
      <c r="C49" s="134"/>
      <c r="D49" s="134"/>
      <c r="E49" s="134"/>
      <c r="F49" s="134"/>
      <c r="G49" s="135"/>
      <c r="H49" s="133"/>
      <c r="I49" s="134"/>
      <c r="J49" s="134"/>
      <c r="K49" s="134"/>
      <c r="L49" s="134"/>
      <c r="M49" s="134"/>
      <c r="N49" s="135"/>
      <c r="O49" s="133"/>
      <c r="P49" s="134"/>
      <c r="Q49" s="134"/>
      <c r="R49" s="134"/>
      <c r="S49" s="145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7"/>
      <c r="AX49" s="148"/>
      <c r="AY49" s="148"/>
      <c r="AZ49" s="148"/>
      <c r="BA49" s="148"/>
      <c r="BB49" s="148"/>
      <c r="BC49" s="149"/>
      <c r="BD49" s="152"/>
      <c r="BE49" s="148"/>
      <c r="BF49" s="148"/>
      <c r="BG49" s="148"/>
      <c r="BH49" s="148"/>
      <c r="BI49" s="148"/>
      <c r="BJ49" s="149"/>
      <c r="BK49" s="35"/>
    </row>
    <row r="50" spans="1:63" ht="15" customHeight="1" x14ac:dyDescent="0.25">
      <c r="A50" s="34"/>
      <c r="B50" s="136"/>
      <c r="C50" s="137"/>
      <c r="D50" s="137"/>
      <c r="E50" s="137"/>
      <c r="F50" s="137"/>
      <c r="G50" s="138"/>
      <c r="H50" s="136"/>
      <c r="I50" s="137"/>
      <c r="J50" s="137"/>
      <c r="K50" s="137"/>
      <c r="L50" s="137"/>
      <c r="M50" s="137"/>
      <c r="N50" s="138"/>
      <c r="O50" s="136"/>
      <c r="P50" s="137"/>
      <c r="Q50" s="137"/>
      <c r="R50" s="137"/>
      <c r="S50" s="154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6"/>
      <c r="AX50" s="150"/>
      <c r="AY50" s="150"/>
      <c r="AZ50" s="150"/>
      <c r="BA50" s="150"/>
      <c r="BB50" s="150"/>
      <c r="BC50" s="151"/>
      <c r="BD50" s="153"/>
      <c r="BE50" s="150"/>
      <c r="BF50" s="150"/>
      <c r="BG50" s="150"/>
      <c r="BH50" s="150"/>
      <c r="BI50" s="150"/>
      <c r="BJ50" s="151"/>
      <c r="BK50" s="35"/>
    </row>
    <row r="51" spans="1:63" ht="15" customHeight="1" x14ac:dyDescent="0.25">
      <c r="A51" s="34"/>
      <c r="B51" s="133"/>
      <c r="C51" s="134"/>
      <c r="D51" s="134"/>
      <c r="E51" s="134"/>
      <c r="F51" s="134"/>
      <c r="G51" s="135"/>
      <c r="H51" s="133"/>
      <c r="I51" s="134"/>
      <c r="J51" s="134"/>
      <c r="K51" s="134"/>
      <c r="L51" s="134"/>
      <c r="M51" s="134"/>
      <c r="N51" s="135"/>
      <c r="O51" s="133"/>
      <c r="P51" s="134"/>
      <c r="Q51" s="134"/>
      <c r="R51" s="134"/>
      <c r="S51" s="145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7"/>
      <c r="AX51" s="148"/>
      <c r="AY51" s="148"/>
      <c r="AZ51" s="148"/>
      <c r="BA51" s="148"/>
      <c r="BB51" s="148"/>
      <c r="BC51" s="149"/>
      <c r="BD51" s="152"/>
      <c r="BE51" s="148"/>
      <c r="BF51" s="148"/>
      <c r="BG51" s="148"/>
      <c r="BH51" s="148"/>
      <c r="BI51" s="148"/>
      <c r="BJ51" s="149"/>
      <c r="BK51" s="35"/>
    </row>
    <row r="52" spans="1:63" ht="15" customHeight="1" x14ac:dyDescent="0.25">
      <c r="A52" s="34"/>
      <c r="B52" s="136"/>
      <c r="C52" s="137"/>
      <c r="D52" s="137"/>
      <c r="E52" s="137"/>
      <c r="F52" s="137"/>
      <c r="G52" s="138"/>
      <c r="H52" s="136"/>
      <c r="I52" s="137"/>
      <c r="J52" s="137"/>
      <c r="K52" s="137"/>
      <c r="L52" s="137"/>
      <c r="M52" s="137"/>
      <c r="N52" s="138"/>
      <c r="O52" s="136"/>
      <c r="P52" s="137"/>
      <c r="Q52" s="137"/>
      <c r="R52" s="137"/>
      <c r="S52" s="154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5"/>
      <c r="AW52" s="156"/>
      <c r="AX52" s="150"/>
      <c r="AY52" s="150"/>
      <c r="AZ52" s="150"/>
      <c r="BA52" s="150"/>
      <c r="BB52" s="150"/>
      <c r="BC52" s="151"/>
      <c r="BD52" s="153"/>
      <c r="BE52" s="150"/>
      <c r="BF52" s="150"/>
      <c r="BG52" s="150"/>
      <c r="BH52" s="150"/>
      <c r="BI52" s="150"/>
      <c r="BJ52" s="151"/>
      <c r="BK52" s="35"/>
    </row>
    <row r="53" spans="1:63" ht="15" customHeight="1" x14ac:dyDescent="0.25">
      <c r="A53" s="31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3"/>
    </row>
  </sheetData>
  <mergeCells count="173"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39:G40"/>
    <mergeCell ref="H39:N40"/>
    <mergeCell ref="O39:R40"/>
    <mergeCell ref="S39:AW39"/>
    <mergeCell ref="AX39:BC40"/>
    <mergeCell ref="BD39:BJ40"/>
    <mergeCell ref="S40:AW40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6D417-E82B-4F3B-B8CD-26CB2F52F7E4}">
  <sheetPr>
    <pageSetUpPr fitToPage="1"/>
  </sheetPr>
  <dimension ref="A1:BK51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2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83" t="s">
        <v>60</v>
      </c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ht="15" customHeight="1" x14ac:dyDescent="0.25">
      <c r="A2" s="76" t="s">
        <v>66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61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86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8"/>
      <c r="AP2" s="76" t="s">
        <v>58</v>
      </c>
      <c r="AQ2" s="77"/>
      <c r="AR2" s="77"/>
      <c r="AS2" s="78"/>
      <c r="AT2" s="103">
        <v>45481</v>
      </c>
      <c r="AU2" s="104"/>
      <c r="AV2" s="104"/>
      <c r="AW2" s="104"/>
      <c r="AX2" s="105"/>
      <c r="AY2" s="76" t="s">
        <v>57</v>
      </c>
      <c r="AZ2" s="77"/>
      <c r="BA2" s="77"/>
      <c r="BB2" s="78"/>
      <c r="BC2" s="103">
        <v>45481</v>
      </c>
      <c r="BD2" s="104"/>
      <c r="BE2" s="104"/>
      <c r="BF2" s="104"/>
      <c r="BG2" s="105"/>
      <c r="BH2" s="76"/>
      <c r="BI2" s="77"/>
      <c r="BJ2" s="77"/>
      <c r="BK2" s="78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89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1"/>
      <c r="AP3" s="79"/>
      <c r="AQ3" s="80"/>
      <c r="AR3" s="80"/>
      <c r="AS3" s="81"/>
      <c r="AT3" s="106"/>
      <c r="AU3" s="107"/>
      <c r="AV3" s="107"/>
      <c r="AW3" s="107"/>
      <c r="AX3" s="108"/>
      <c r="AY3" s="79"/>
      <c r="AZ3" s="80"/>
      <c r="BA3" s="80"/>
      <c r="BB3" s="81"/>
      <c r="BC3" s="106"/>
      <c r="BD3" s="107"/>
      <c r="BE3" s="107"/>
      <c r="BF3" s="107"/>
      <c r="BG3" s="108"/>
      <c r="BH3" s="79"/>
      <c r="BI3" s="80"/>
      <c r="BJ3" s="80"/>
      <c r="BK3" s="81"/>
    </row>
    <row r="4" spans="1:63" ht="24.95" customHeight="1" x14ac:dyDescent="0.25">
      <c r="A4" s="73" t="s">
        <v>1</v>
      </c>
      <c r="B4" s="74"/>
      <c r="C4" s="74"/>
      <c r="D4" s="74"/>
      <c r="E4" s="74"/>
      <c r="F4" s="74"/>
      <c r="G4" s="75"/>
      <c r="H4" s="94" t="s">
        <v>62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73" t="s">
        <v>8</v>
      </c>
      <c r="V4" s="74"/>
      <c r="W4" s="74"/>
      <c r="X4" s="74"/>
      <c r="Y4" s="75"/>
      <c r="Z4" s="94" t="s">
        <v>63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">
        <v>56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55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222" t="s">
        <v>6</v>
      </c>
      <c r="C10" s="222"/>
      <c r="D10" s="222"/>
      <c r="E10" s="222"/>
      <c r="F10" s="222"/>
      <c r="G10" s="222"/>
      <c r="H10" s="222" t="s">
        <v>5</v>
      </c>
      <c r="I10" s="222"/>
      <c r="J10" s="222"/>
      <c r="K10" s="222"/>
      <c r="L10" s="222"/>
      <c r="M10" s="222"/>
      <c r="N10" s="222"/>
      <c r="O10" s="222" t="s">
        <v>7</v>
      </c>
      <c r="P10" s="222"/>
      <c r="Q10" s="222"/>
      <c r="R10" s="222"/>
      <c r="S10" s="222" t="s">
        <v>54</v>
      </c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 t="s">
        <v>53</v>
      </c>
      <c r="AY10" s="222"/>
      <c r="AZ10" s="222"/>
      <c r="BA10" s="222"/>
      <c r="BB10" s="222"/>
      <c r="BC10" s="222"/>
      <c r="BD10" s="222" t="s">
        <v>52</v>
      </c>
      <c r="BE10" s="222"/>
      <c r="BF10" s="222"/>
      <c r="BG10" s="222"/>
      <c r="BH10" s="222"/>
      <c r="BI10" s="222"/>
      <c r="BJ10" s="222"/>
      <c r="BK10" s="4"/>
    </row>
    <row r="11" spans="1:63" ht="15" customHeight="1" x14ac:dyDescent="0.25">
      <c r="A11" s="1"/>
      <c r="B11" s="139">
        <v>45481</v>
      </c>
      <c r="C11" s="134"/>
      <c r="D11" s="134"/>
      <c r="E11" s="134"/>
      <c r="F11" s="134"/>
      <c r="G11" s="135"/>
      <c r="H11" s="82" t="s">
        <v>51</v>
      </c>
      <c r="I11" s="134"/>
      <c r="J11" s="134"/>
      <c r="K11" s="134"/>
      <c r="L11" s="134"/>
      <c r="M11" s="134"/>
      <c r="N11" s="135"/>
      <c r="O11" s="133"/>
      <c r="P11" s="134"/>
      <c r="Q11" s="134"/>
      <c r="R11" s="134"/>
      <c r="S11" s="184" t="s">
        <v>67</v>
      </c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5">
        <v>45518</v>
      </c>
      <c r="AY11" s="148"/>
      <c r="AZ11" s="148"/>
      <c r="BA11" s="148"/>
      <c r="BB11" s="148"/>
      <c r="BC11" s="149"/>
      <c r="BD11" s="152" t="s">
        <v>64</v>
      </c>
      <c r="BE11" s="148"/>
      <c r="BF11" s="148"/>
      <c r="BG11" s="148"/>
      <c r="BH11" s="148"/>
      <c r="BI11" s="148"/>
      <c r="BJ11" s="149"/>
      <c r="BK11" s="4"/>
    </row>
    <row r="12" spans="1:63" ht="78" customHeight="1" x14ac:dyDescent="0.25">
      <c r="A12" s="1"/>
      <c r="B12" s="136"/>
      <c r="C12" s="137"/>
      <c r="D12" s="137"/>
      <c r="E12" s="137"/>
      <c r="F12" s="137"/>
      <c r="G12" s="138"/>
      <c r="H12" s="136"/>
      <c r="I12" s="137"/>
      <c r="J12" s="137"/>
      <c r="K12" s="137"/>
      <c r="L12" s="137"/>
      <c r="M12" s="137"/>
      <c r="N12" s="138"/>
      <c r="O12" s="136"/>
      <c r="P12" s="137"/>
      <c r="Q12" s="137"/>
      <c r="R12" s="137"/>
      <c r="S12" s="214" t="s">
        <v>68</v>
      </c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  <c r="AL12" s="215"/>
      <c r="AM12" s="215"/>
      <c r="AN12" s="215"/>
      <c r="AO12" s="215"/>
      <c r="AP12" s="215"/>
      <c r="AQ12" s="215"/>
      <c r="AR12" s="215"/>
      <c r="AS12" s="215"/>
      <c r="AT12" s="215"/>
      <c r="AU12" s="215"/>
      <c r="AV12" s="215"/>
      <c r="AW12" s="215"/>
      <c r="AX12" s="150"/>
      <c r="AY12" s="150"/>
      <c r="AZ12" s="150"/>
      <c r="BA12" s="150"/>
      <c r="BB12" s="150"/>
      <c r="BC12" s="151"/>
      <c r="BD12" s="153"/>
      <c r="BE12" s="150"/>
      <c r="BF12" s="150"/>
      <c r="BG12" s="150"/>
      <c r="BH12" s="150"/>
      <c r="BI12" s="150"/>
      <c r="BJ12" s="151"/>
      <c r="BK12" s="4"/>
    </row>
    <row r="13" spans="1:63" ht="15" customHeight="1" x14ac:dyDescent="0.25">
      <c r="A13" s="1"/>
      <c r="B13" s="139">
        <v>45481</v>
      </c>
      <c r="C13" s="134"/>
      <c r="D13" s="134"/>
      <c r="E13" s="134"/>
      <c r="F13" s="134"/>
      <c r="G13" s="135"/>
      <c r="H13" s="82" t="s">
        <v>51</v>
      </c>
      <c r="I13" s="134"/>
      <c r="J13" s="134"/>
      <c r="K13" s="134"/>
      <c r="L13" s="134"/>
      <c r="M13" s="134"/>
      <c r="N13" s="135"/>
      <c r="O13" s="133"/>
      <c r="P13" s="134"/>
      <c r="Q13" s="134"/>
      <c r="R13" s="134"/>
      <c r="S13" s="184" t="s">
        <v>67</v>
      </c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84"/>
      <c r="AS13" s="184"/>
      <c r="AT13" s="184"/>
      <c r="AU13" s="184"/>
      <c r="AV13" s="184"/>
      <c r="AW13" s="184"/>
      <c r="AX13" s="185">
        <v>45518</v>
      </c>
      <c r="AY13" s="148"/>
      <c r="AZ13" s="148"/>
      <c r="BA13" s="148"/>
      <c r="BB13" s="148"/>
      <c r="BC13" s="149"/>
      <c r="BD13" s="152" t="s">
        <v>64</v>
      </c>
      <c r="BE13" s="148"/>
      <c r="BF13" s="148"/>
      <c r="BG13" s="148"/>
      <c r="BH13" s="148"/>
      <c r="BI13" s="148"/>
      <c r="BJ13" s="149"/>
      <c r="BK13" s="4"/>
    </row>
    <row r="14" spans="1:63" ht="15" customHeight="1" x14ac:dyDescent="0.25">
      <c r="A14" s="1"/>
      <c r="B14" s="136"/>
      <c r="C14" s="137"/>
      <c r="D14" s="137"/>
      <c r="E14" s="137"/>
      <c r="F14" s="137"/>
      <c r="G14" s="138"/>
      <c r="H14" s="136"/>
      <c r="I14" s="137"/>
      <c r="J14" s="137"/>
      <c r="K14" s="137"/>
      <c r="L14" s="137"/>
      <c r="M14" s="137"/>
      <c r="N14" s="138"/>
      <c r="O14" s="136"/>
      <c r="P14" s="137"/>
      <c r="Q14" s="137"/>
      <c r="R14" s="137"/>
      <c r="S14" s="187" t="s">
        <v>69</v>
      </c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AX14" s="150"/>
      <c r="AY14" s="150"/>
      <c r="AZ14" s="150"/>
      <c r="BA14" s="150"/>
      <c r="BB14" s="150"/>
      <c r="BC14" s="151"/>
      <c r="BD14" s="153"/>
      <c r="BE14" s="150"/>
      <c r="BF14" s="150"/>
      <c r="BG14" s="150"/>
      <c r="BH14" s="150"/>
      <c r="BI14" s="150"/>
      <c r="BJ14" s="151"/>
      <c r="BK14" s="4"/>
    </row>
    <row r="15" spans="1:63" x14ac:dyDescent="0.25">
      <c r="A15" s="1"/>
      <c r="B15" s="139">
        <v>45481</v>
      </c>
      <c r="C15" s="134"/>
      <c r="D15" s="134"/>
      <c r="E15" s="134"/>
      <c r="F15" s="134"/>
      <c r="G15" s="135"/>
      <c r="H15" s="82" t="s">
        <v>51</v>
      </c>
      <c r="I15" s="134"/>
      <c r="J15" s="134"/>
      <c r="K15" s="134"/>
      <c r="L15" s="134"/>
      <c r="M15" s="134"/>
      <c r="N15" s="135"/>
      <c r="O15" s="216"/>
      <c r="P15" s="217"/>
      <c r="Q15" s="217"/>
      <c r="R15" s="217"/>
      <c r="S15" s="184" t="s">
        <v>67</v>
      </c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  <c r="AT15" s="184"/>
      <c r="AU15" s="184"/>
      <c r="AV15" s="184"/>
      <c r="AW15" s="184"/>
      <c r="AX15" s="220" t="s">
        <v>70</v>
      </c>
      <c r="AY15" s="158"/>
      <c r="AZ15" s="158"/>
      <c r="BA15" s="158"/>
      <c r="BB15" s="158"/>
      <c r="BC15" s="159"/>
      <c r="BD15" s="152" t="s">
        <v>64</v>
      </c>
      <c r="BE15" s="148"/>
      <c r="BF15" s="148"/>
      <c r="BG15" s="148"/>
      <c r="BH15" s="148"/>
      <c r="BI15" s="148"/>
      <c r="BJ15" s="149"/>
      <c r="BK15" s="4"/>
    </row>
    <row r="16" spans="1:63" ht="66" customHeight="1" x14ac:dyDescent="0.25">
      <c r="A16" s="1"/>
      <c r="B16" s="136"/>
      <c r="C16" s="137"/>
      <c r="D16" s="137"/>
      <c r="E16" s="137"/>
      <c r="F16" s="137"/>
      <c r="G16" s="138"/>
      <c r="H16" s="136"/>
      <c r="I16" s="137"/>
      <c r="J16" s="137"/>
      <c r="K16" s="137"/>
      <c r="L16" s="137"/>
      <c r="M16" s="137"/>
      <c r="N16" s="138"/>
      <c r="O16" s="218"/>
      <c r="P16" s="219"/>
      <c r="Q16" s="219"/>
      <c r="R16" s="219"/>
      <c r="S16" s="213" t="s">
        <v>90</v>
      </c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221"/>
      <c r="AY16" s="160"/>
      <c r="AZ16" s="160"/>
      <c r="BA16" s="160"/>
      <c r="BB16" s="160"/>
      <c r="BC16" s="161"/>
      <c r="BD16" s="153"/>
      <c r="BE16" s="150"/>
      <c r="BF16" s="150"/>
      <c r="BG16" s="150"/>
      <c r="BH16" s="150"/>
      <c r="BI16" s="150"/>
      <c r="BJ16" s="151"/>
      <c r="BK16" s="4"/>
    </row>
    <row r="17" spans="1:63" ht="15" customHeight="1" x14ac:dyDescent="0.25">
      <c r="A17" s="1"/>
      <c r="B17" s="139">
        <v>45481</v>
      </c>
      <c r="C17" s="134"/>
      <c r="D17" s="134"/>
      <c r="E17" s="134"/>
      <c r="F17" s="134"/>
      <c r="G17" s="135"/>
      <c r="H17" s="82" t="s">
        <v>51</v>
      </c>
      <c r="I17" s="134"/>
      <c r="J17" s="134"/>
      <c r="K17" s="134"/>
      <c r="L17" s="134"/>
      <c r="M17" s="134"/>
      <c r="N17" s="135"/>
      <c r="O17" s="188"/>
      <c r="P17" s="189"/>
      <c r="Q17" s="189"/>
      <c r="R17" s="189"/>
      <c r="S17" s="184" t="s">
        <v>67</v>
      </c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  <c r="AX17" s="185">
        <v>45518</v>
      </c>
      <c r="AY17" s="148"/>
      <c r="AZ17" s="148"/>
      <c r="BA17" s="148"/>
      <c r="BB17" s="148"/>
      <c r="BC17" s="149"/>
      <c r="BD17" s="152" t="s">
        <v>64</v>
      </c>
      <c r="BE17" s="148"/>
      <c r="BF17" s="148"/>
      <c r="BG17" s="148"/>
      <c r="BH17" s="148"/>
      <c r="BI17" s="148"/>
      <c r="BJ17" s="149"/>
      <c r="BK17" s="4"/>
    </row>
    <row r="18" spans="1:63" ht="15" customHeight="1" x14ac:dyDescent="0.25">
      <c r="A18" s="1"/>
      <c r="B18" s="136"/>
      <c r="C18" s="137"/>
      <c r="D18" s="137"/>
      <c r="E18" s="137"/>
      <c r="F18" s="137"/>
      <c r="G18" s="138"/>
      <c r="H18" s="136"/>
      <c r="I18" s="137"/>
      <c r="J18" s="137"/>
      <c r="K18" s="137"/>
      <c r="L18" s="137"/>
      <c r="M18" s="137"/>
      <c r="N18" s="138"/>
      <c r="O18" s="190"/>
      <c r="P18" s="191"/>
      <c r="Q18" s="191"/>
      <c r="R18" s="191"/>
      <c r="S18" s="192" t="s">
        <v>71</v>
      </c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  <c r="AW18" s="193"/>
      <c r="AX18" s="150"/>
      <c r="AY18" s="150"/>
      <c r="AZ18" s="150"/>
      <c r="BA18" s="150"/>
      <c r="BB18" s="150"/>
      <c r="BC18" s="151"/>
      <c r="BD18" s="153"/>
      <c r="BE18" s="150"/>
      <c r="BF18" s="150"/>
      <c r="BG18" s="150"/>
      <c r="BH18" s="150"/>
      <c r="BI18" s="150"/>
      <c r="BJ18" s="151"/>
      <c r="BK18" s="4"/>
    </row>
    <row r="19" spans="1:63" ht="15" customHeight="1" x14ac:dyDescent="0.25">
      <c r="A19" s="1"/>
      <c r="B19" s="139">
        <v>45481</v>
      </c>
      <c r="C19" s="134"/>
      <c r="D19" s="134"/>
      <c r="E19" s="134"/>
      <c r="F19" s="134"/>
      <c r="G19" s="135"/>
      <c r="H19" s="82" t="s">
        <v>51</v>
      </c>
      <c r="I19" s="134"/>
      <c r="J19" s="134"/>
      <c r="K19" s="134"/>
      <c r="L19" s="134"/>
      <c r="M19" s="134"/>
      <c r="N19" s="135"/>
      <c r="O19" s="133"/>
      <c r="P19" s="134"/>
      <c r="Q19" s="134"/>
      <c r="R19" s="134"/>
      <c r="S19" s="184" t="s">
        <v>67</v>
      </c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5">
        <v>45518</v>
      </c>
      <c r="AY19" s="148"/>
      <c r="AZ19" s="148"/>
      <c r="BA19" s="148"/>
      <c r="BB19" s="148"/>
      <c r="BC19" s="149"/>
      <c r="BD19" s="152" t="s">
        <v>64</v>
      </c>
      <c r="BE19" s="148"/>
      <c r="BF19" s="148"/>
      <c r="BG19" s="148"/>
      <c r="BH19" s="148"/>
      <c r="BI19" s="148"/>
      <c r="BJ19" s="149"/>
      <c r="BK19" s="4"/>
    </row>
    <row r="20" spans="1:63" ht="24.75" customHeight="1" x14ac:dyDescent="0.25">
      <c r="A20" s="1"/>
      <c r="B20" s="136"/>
      <c r="C20" s="137"/>
      <c r="D20" s="137"/>
      <c r="E20" s="137"/>
      <c r="F20" s="137"/>
      <c r="G20" s="138"/>
      <c r="H20" s="136"/>
      <c r="I20" s="137"/>
      <c r="J20" s="137"/>
      <c r="K20" s="137"/>
      <c r="L20" s="137"/>
      <c r="M20" s="137"/>
      <c r="N20" s="138"/>
      <c r="O20" s="136"/>
      <c r="P20" s="137"/>
      <c r="Q20" s="137"/>
      <c r="R20" s="137"/>
      <c r="S20" s="186" t="s">
        <v>72</v>
      </c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7"/>
      <c r="AT20" s="187"/>
      <c r="AU20" s="187"/>
      <c r="AV20" s="187"/>
      <c r="AW20" s="187"/>
      <c r="AX20" s="150"/>
      <c r="AY20" s="150"/>
      <c r="AZ20" s="150"/>
      <c r="BA20" s="150"/>
      <c r="BB20" s="150"/>
      <c r="BC20" s="151"/>
      <c r="BD20" s="153"/>
      <c r="BE20" s="150"/>
      <c r="BF20" s="150"/>
      <c r="BG20" s="150"/>
      <c r="BH20" s="150"/>
      <c r="BI20" s="150"/>
      <c r="BJ20" s="151"/>
      <c r="BK20" s="4"/>
    </row>
    <row r="21" spans="1:63" ht="15" customHeight="1" x14ac:dyDescent="0.25">
      <c r="A21" s="1"/>
      <c r="B21" s="139">
        <v>45481</v>
      </c>
      <c r="C21" s="134"/>
      <c r="D21" s="134"/>
      <c r="E21" s="134"/>
      <c r="F21" s="134"/>
      <c r="G21" s="135"/>
      <c r="H21" s="82" t="s">
        <v>51</v>
      </c>
      <c r="I21" s="134"/>
      <c r="J21" s="134"/>
      <c r="K21" s="134"/>
      <c r="L21" s="134"/>
      <c r="M21" s="134"/>
      <c r="N21" s="135"/>
      <c r="O21" s="209"/>
      <c r="P21" s="210"/>
      <c r="Q21" s="210"/>
      <c r="R21" s="210"/>
      <c r="S21" s="184" t="s">
        <v>67</v>
      </c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5">
        <v>45518</v>
      </c>
      <c r="AY21" s="148"/>
      <c r="AZ21" s="148"/>
      <c r="BA21" s="148"/>
      <c r="BB21" s="148"/>
      <c r="BC21" s="149"/>
      <c r="BD21" s="152" t="s">
        <v>64</v>
      </c>
      <c r="BE21" s="148"/>
      <c r="BF21" s="148"/>
      <c r="BG21" s="148"/>
      <c r="BH21" s="148"/>
      <c r="BI21" s="148"/>
      <c r="BJ21" s="149"/>
      <c r="BK21" s="4"/>
    </row>
    <row r="22" spans="1:63" ht="22.5" customHeight="1" x14ac:dyDescent="0.25">
      <c r="A22" s="1"/>
      <c r="B22" s="136"/>
      <c r="C22" s="137"/>
      <c r="D22" s="137"/>
      <c r="E22" s="137"/>
      <c r="F22" s="137"/>
      <c r="G22" s="138"/>
      <c r="H22" s="136"/>
      <c r="I22" s="137"/>
      <c r="J22" s="137"/>
      <c r="K22" s="137"/>
      <c r="L22" s="137"/>
      <c r="M22" s="137"/>
      <c r="N22" s="138"/>
      <c r="O22" s="211"/>
      <c r="P22" s="212"/>
      <c r="Q22" s="212"/>
      <c r="R22" s="212"/>
      <c r="S22" s="186" t="s">
        <v>73</v>
      </c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50"/>
      <c r="AY22" s="150"/>
      <c r="AZ22" s="150"/>
      <c r="BA22" s="150"/>
      <c r="BB22" s="150"/>
      <c r="BC22" s="151"/>
      <c r="BD22" s="153"/>
      <c r="BE22" s="150"/>
      <c r="BF22" s="150"/>
      <c r="BG22" s="150"/>
      <c r="BH22" s="150"/>
      <c r="BI22" s="150"/>
      <c r="BJ22" s="151"/>
      <c r="BK22" s="4"/>
    </row>
    <row r="23" spans="1:63" ht="27.75" customHeight="1" x14ac:dyDescent="0.25">
      <c r="A23" s="1"/>
      <c r="B23" s="171">
        <v>45503</v>
      </c>
      <c r="C23" s="172"/>
      <c r="D23" s="172"/>
      <c r="E23" s="172"/>
      <c r="F23" s="172"/>
      <c r="G23" s="173"/>
      <c r="H23" s="177" t="s">
        <v>51</v>
      </c>
      <c r="I23" s="172"/>
      <c r="J23" s="172"/>
      <c r="K23" s="172"/>
      <c r="L23" s="172"/>
      <c r="M23" s="172"/>
      <c r="N23" s="173"/>
      <c r="O23" s="177"/>
      <c r="P23" s="172"/>
      <c r="Q23" s="172"/>
      <c r="R23" s="172"/>
      <c r="S23" s="206" t="s">
        <v>67</v>
      </c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8"/>
      <c r="AX23" s="185">
        <v>45518</v>
      </c>
      <c r="AY23" s="148"/>
      <c r="AZ23" s="148"/>
      <c r="BA23" s="148"/>
      <c r="BB23" s="148"/>
      <c r="BC23" s="149"/>
      <c r="BD23" s="152" t="s">
        <v>64</v>
      </c>
      <c r="BE23" s="148"/>
      <c r="BF23" s="148"/>
      <c r="BG23" s="148"/>
      <c r="BH23" s="148"/>
      <c r="BI23" s="148"/>
      <c r="BJ23" s="149"/>
      <c r="BK23" s="4"/>
    </row>
    <row r="24" spans="1:63" ht="15" customHeight="1" x14ac:dyDescent="0.25">
      <c r="A24" s="1"/>
      <c r="B24" s="174"/>
      <c r="C24" s="175"/>
      <c r="D24" s="175"/>
      <c r="E24" s="175"/>
      <c r="F24" s="175"/>
      <c r="G24" s="176"/>
      <c r="H24" s="174"/>
      <c r="I24" s="175"/>
      <c r="J24" s="175"/>
      <c r="K24" s="175"/>
      <c r="L24" s="175"/>
      <c r="M24" s="175"/>
      <c r="N24" s="176"/>
      <c r="O24" s="174"/>
      <c r="P24" s="175"/>
      <c r="Q24" s="175"/>
      <c r="R24" s="175"/>
      <c r="S24" s="181" t="s">
        <v>74</v>
      </c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3"/>
      <c r="AX24" s="150"/>
      <c r="AY24" s="150"/>
      <c r="AZ24" s="150"/>
      <c r="BA24" s="150"/>
      <c r="BB24" s="150"/>
      <c r="BC24" s="151"/>
      <c r="BD24" s="153"/>
      <c r="BE24" s="150"/>
      <c r="BF24" s="150"/>
      <c r="BG24" s="150"/>
      <c r="BH24" s="150"/>
      <c r="BI24" s="150"/>
      <c r="BJ24" s="151"/>
      <c r="BK24" s="4"/>
    </row>
    <row r="25" spans="1:63" ht="15" customHeight="1" x14ac:dyDescent="0.25">
      <c r="A25" s="1"/>
      <c r="B25" s="76"/>
      <c r="C25" s="77"/>
      <c r="D25" s="77"/>
      <c r="E25" s="77"/>
      <c r="F25" s="77"/>
      <c r="G25" s="78"/>
      <c r="H25" s="76"/>
      <c r="I25" s="77"/>
      <c r="J25" s="77"/>
      <c r="K25" s="77"/>
      <c r="L25" s="77"/>
      <c r="M25" s="77"/>
      <c r="N25" s="78"/>
      <c r="O25" s="76"/>
      <c r="P25" s="77"/>
      <c r="Q25" s="77"/>
      <c r="R25" s="77"/>
      <c r="S25" s="194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6"/>
      <c r="AX25" s="197"/>
      <c r="AY25" s="197"/>
      <c r="AZ25" s="197"/>
      <c r="BA25" s="197"/>
      <c r="BB25" s="197"/>
      <c r="BC25" s="198"/>
      <c r="BD25" s="201"/>
      <c r="BE25" s="197"/>
      <c r="BF25" s="197"/>
      <c r="BG25" s="197"/>
      <c r="BH25" s="197"/>
      <c r="BI25" s="197"/>
      <c r="BJ25" s="198"/>
      <c r="BK25" s="4"/>
    </row>
    <row r="26" spans="1:63" ht="15" customHeight="1" x14ac:dyDescent="0.25">
      <c r="A26" s="1"/>
      <c r="B26" s="79"/>
      <c r="C26" s="80"/>
      <c r="D26" s="80"/>
      <c r="E26" s="80"/>
      <c r="F26" s="80"/>
      <c r="G26" s="81"/>
      <c r="H26" s="79"/>
      <c r="I26" s="80"/>
      <c r="J26" s="80"/>
      <c r="K26" s="80"/>
      <c r="L26" s="80"/>
      <c r="M26" s="80"/>
      <c r="N26" s="81"/>
      <c r="O26" s="79"/>
      <c r="P26" s="80"/>
      <c r="Q26" s="80"/>
      <c r="R26" s="80"/>
      <c r="S26" s="203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4"/>
      <c r="AI26" s="204"/>
      <c r="AJ26" s="204"/>
      <c r="AK26" s="204"/>
      <c r="AL26" s="204"/>
      <c r="AM26" s="204"/>
      <c r="AN26" s="204"/>
      <c r="AO26" s="204"/>
      <c r="AP26" s="204"/>
      <c r="AQ26" s="204"/>
      <c r="AR26" s="204"/>
      <c r="AS26" s="204"/>
      <c r="AT26" s="204"/>
      <c r="AU26" s="204"/>
      <c r="AV26" s="204"/>
      <c r="AW26" s="205"/>
      <c r="AX26" s="199"/>
      <c r="AY26" s="199"/>
      <c r="AZ26" s="199"/>
      <c r="BA26" s="199"/>
      <c r="BB26" s="199"/>
      <c r="BC26" s="200"/>
      <c r="BD26" s="202"/>
      <c r="BE26" s="199"/>
      <c r="BF26" s="199"/>
      <c r="BG26" s="199"/>
      <c r="BH26" s="199"/>
      <c r="BI26" s="199"/>
      <c r="BJ26" s="200"/>
      <c r="BK26" s="4"/>
    </row>
    <row r="27" spans="1:63" ht="15" customHeight="1" x14ac:dyDescent="0.25">
      <c r="A27" s="1"/>
      <c r="B27" s="76"/>
      <c r="C27" s="77"/>
      <c r="D27" s="77"/>
      <c r="E27" s="77"/>
      <c r="F27" s="77"/>
      <c r="G27" s="78"/>
      <c r="H27" s="76"/>
      <c r="I27" s="77"/>
      <c r="J27" s="77"/>
      <c r="K27" s="77"/>
      <c r="L27" s="77"/>
      <c r="M27" s="77"/>
      <c r="N27" s="78"/>
      <c r="O27" s="76"/>
      <c r="P27" s="77"/>
      <c r="Q27" s="77"/>
      <c r="R27" s="77"/>
      <c r="S27" s="194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6"/>
      <c r="AX27" s="197"/>
      <c r="AY27" s="197"/>
      <c r="AZ27" s="197"/>
      <c r="BA27" s="197"/>
      <c r="BB27" s="197"/>
      <c r="BC27" s="198"/>
      <c r="BD27" s="201"/>
      <c r="BE27" s="197"/>
      <c r="BF27" s="197"/>
      <c r="BG27" s="197"/>
      <c r="BH27" s="197"/>
      <c r="BI27" s="197"/>
      <c r="BJ27" s="198"/>
      <c r="BK27" s="4"/>
    </row>
    <row r="28" spans="1:63" ht="15" customHeight="1" x14ac:dyDescent="0.25">
      <c r="A28" s="1"/>
      <c r="B28" s="79"/>
      <c r="C28" s="80"/>
      <c r="D28" s="80"/>
      <c r="E28" s="80"/>
      <c r="F28" s="80"/>
      <c r="G28" s="81"/>
      <c r="H28" s="79"/>
      <c r="I28" s="80"/>
      <c r="J28" s="80"/>
      <c r="K28" s="80"/>
      <c r="L28" s="80"/>
      <c r="M28" s="80"/>
      <c r="N28" s="81"/>
      <c r="O28" s="79"/>
      <c r="P28" s="80"/>
      <c r="Q28" s="80"/>
      <c r="R28" s="80"/>
      <c r="S28" s="203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4"/>
      <c r="AM28" s="204"/>
      <c r="AN28" s="204"/>
      <c r="AO28" s="204"/>
      <c r="AP28" s="204"/>
      <c r="AQ28" s="204"/>
      <c r="AR28" s="204"/>
      <c r="AS28" s="204"/>
      <c r="AT28" s="204"/>
      <c r="AU28" s="204"/>
      <c r="AV28" s="204"/>
      <c r="AW28" s="205"/>
      <c r="AX28" s="199"/>
      <c r="AY28" s="199"/>
      <c r="AZ28" s="199"/>
      <c r="BA28" s="199"/>
      <c r="BB28" s="199"/>
      <c r="BC28" s="200"/>
      <c r="BD28" s="202"/>
      <c r="BE28" s="199"/>
      <c r="BF28" s="199"/>
      <c r="BG28" s="199"/>
      <c r="BH28" s="199"/>
      <c r="BI28" s="199"/>
      <c r="BJ28" s="200"/>
      <c r="BK28" s="4"/>
    </row>
    <row r="29" spans="1:63" ht="15" customHeight="1" x14ac:dyDescent="0.25">
      <c r="A29" s="1"/>
      <c r="B29" s="76"/>
      <c r="C29" s="77"/>
      <c r="D29" s="77"/>
      <c r="E29" s="77"/>
      <c r="F29" s="77"/>
      <c r="G29" s="78"/>
      <c r="H29" s="76"/>
      <c r="I29" s="77"/>
      <c r="J29" s="77"/>
      <c r="K29" s="77"/>
      <c r="L29" s="77"/>
      <c r="M29" s="77"/>
      <c r="N29" s="78"/>
      <c r="O29" s="76"/>
      <c r="P29" s="77"/>
      <c r="Q29" s="77"/>
      <c r="R29" s="77"/>
      <c r="S29" s="194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5"/>
      <c r="AT29" s="195"/>
      <c r="AU29" s="195"/>
      <c r="AV29" s="195"/>
      <c r="AW29" s="196"/>
      <c r="AX29" s="197"/>
      <c r="AY29" s="197"/>
      <c r="AZ29" s="197"/>
      <c r="BA29" s="197"/>
      <c r="BB29" s="197"/>
      <c r="BC29" s="198"/>
      <c r="BD29" s="201"/>
      <c r="BE29" s="197"/>
      <c r="BF29" s="197"/>
      <c r="BG29" s="197"/>
      <c r="BH29" s="197"/>
      <c r="BI29" s="197"/>
      <c r="BJ29" s="198"/>
      <c r="BK29" s="4"/>
    </row>
    <row r="30" spans="1:63" ht="15" customHeight="1" x14ac:dyDescent="0.25">
      <c r="A30" s="1"/>
      <c r="B30" s="79"/>
      <c r="C30" s="80"/>
      <c r="D30" s="80"/>
      <c r="E30" s="80"/>
      <c r="F30" s="80"/>
      <c r="G30" s="81"/>
      <c r="H30" s="79"/>
      <c r="I30" s="80"/>
      <c r="J30" s="80"/>
      <c r="K30" s="80"/>
      <c r="L30" s="80"/>
      <c r="M30" s="80"/>
      <c r="N30" s="81"/>
      <c r="O30" s="79"/>
      <c r="P30" s="80"/>
      <c r="Q30" s="80"/>
      <c r="R30" s="80"/>
      <c r="S30" s="203"/>
      <c r="T30" s="204"/>
      <c r="U30" s="204"/>
      <c r="V30" s="204"/>
      <c r="W30" s="204"/>
      <c r="X30" s="204"/>
      <c r="Y30" s="204"/>
      <c r="Z30" s="204"/>
      <c r="AA30" s="204"/>
      <c r="AB30" s="204"/>
      <c r="AC30" s="204"/>
      <c r="AD30" s="204"/>
      <c r="AE30" s="204"/>
      <c r="AF30" s="204"/>
      <c r="AG30" s="204"/>
      <c r="AH30" s="204"/>
      <c r="AI30" s="204"/>
      <c r="AJ30" s="204"/>
      <c r="AK30" s="204"/>
      <c r="AL30" s="204"/>
      <c r="AM30" s="204"/>
      <c r="AN30" s="204"/>
      <c r="AO30" s="204"/>
      <c r="AP30" s="204"/>
      <c r="AQ30" s="204"/>
      <c r="AR30" s="204"/>
      <c r="AS30" s="204"/>
      <c r="AT30" s="204"/>
      <c r="AU30" s="204"/>
      <c r="AV30" s="204"/>
      <c r="AW30" s="205"/>
      <c r="AX30" s="199"/>
      <c r="AY30" s="199"/>
      <c r="AZ30" s="199"/>
      <c r="BA30" s="199"/>
      <c r="BB30" s="199"/>
      <c r="BC30" s="200"/>
      <c r="BD30" s="202"/>
      <c r="BE30" s="199"/>
      <c r="BF30" s="199"/>
      <c r="BG30" s="199"/>
      <c r="BH30" s="199"/>
      <c r="BI30" s="199"/>
      <c r="BJ30" s="200"/>
      <c r="BK30" s="4"/>
    </row>
    <row r="31" spans="1:63" ht="15" customHeight="1" x14ac:dyDescent="0.25">
      <c r="A31" s="1"/>
      <c r="B31" s="76"/>
      <c r="C31" s="77"/>
      <c r="D31" s="77"/>
      <c r="E31" s="77"/>
      <c r="F31" s="77"/>
      <c r="G31" s="78"/>
      <c r="H31" s="76"/>
      <c r="I31" s="77"/>
      <c r="J31" s="77"/>
      <c r="K31" s="77"/>
      <c r="L31" s="77"/>
      <c r="M31" s="77"/>
      <c r="N31" s="78"/>
      <c r="O31" s="76"/>
      <c r="P31" s="77"/>
      <c r="Q31" s="77"/>
      <c r="R31" s="77"/>
      <c r="S31" s="194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6"/>
      <c r="AX31" s="197"/>
      <c r="AY31" s="197"/>
      <c r="AZ31" s="197"/>
      <c r="BA31" s="197"/>
      <c r="BB31" s="197"/>
      <c r="BC31" s="198"/>
      <c r="BD31" s="201"/>
      <c r="BE31" s="197"/>
      <c r="BF31" s="197"/>
      <c r="BG31" s="197"/>
      <c r="BH31" s="197"/>
      <c r="BI31" s="197"/>
      <c r="BJ31" s="198"/>
      <c r="BK31" s="4"/>
    </row>
    <row r="32" spans="1:63" ht="15" customHeight="1" x14ac:dyDescent="0.25">
      <c r="A32" s="1"/>
      <c r="B32" s="79"/>
      <c r="C32" s="80"/>
      <c r="D32" s="80"/>
      <c r="E32" s="80"/>
      <c r="F32" s="80"/>
      <c r="G32" s="81"/>
      <c r="H32" s="79"/>
      <c r="I32" s="80"/>
      <c r="J32" s="80"/>
      <c r="K32" s="80"/>
      <c r="L32" s="80"/>
      <c r="M32" s="80"/>
      <c r="N32" s="81"/>
      <c r="O32" s="79"/>
      <c r="P32" s="80"/>
      <c r="Q32" s="80"/>
      <c r="R32" s="80"/>
      <c r="S32" s="203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4"/>
      <c r="AI32" s="204"/>
      <c r="AJ32" s="204"/>
      <c r="AK32" s="204"/>
      <c r="AL32" s="204"/>
      <c r="AM32" s="204"/>
      <c r="AN32" s="204"/>
      <c r="AO32" s="204"/>
      <c r="AP32" s="204"/>
      <c r="AQ32" s="204"/>
      <c r="AR32" s="204"/>
      <c r="AS32" s="204"/>
      <c r="AT32" s="204"/>
      <c r="AU32" s="204"/>
      <c r="AV32" s="204"/>
      <c r="AW32" s="205"/>
      <c r="AX32" s="199"/>
      <c r="AY32" s="199"/>
      <c r="AZ32" s="199"/>
      <c r="BA32" s="199"/>
      <c r="BB32" s="199"/>
      <c r="BC32" s="200"/>
      <c r="BD32" s="202"/>
      <c r="BE32" s="199"/>
      <c r="BF32" s="199"/>
      <c r="BG32" s="199"/>
      <c r="BH32" s="199"/>
      <c r="BI32" s="199"/>
      <c r="BJ32" s="200"/>
      <c r="BK32" s="4"/>
    </row>
    <row r="33" spans="1:63" ht="15" customHeight="1" x14ac:dyDescent="0.25">
      <c r="A33" s="1"/>
      <c r="B33" s="76"/>
      <c r="C33" s="77"/>
      <c r="D33" s="77"/>
      <c r="E33" s="77"/>
      <c r="F33" s="77"/>
      <c r="G33" s="78"/>
      <c r="H33" s="76"/>
      <c r="I33" s="77"/>
      <c r="J33" s="77"/>
      <c r="K33" s="77"/>
      <c r="L33" s="77"/>
      <c r="M33" s="77"/>
      <c r="N33" s="78"/>
      <c r="O33" s="76"/>
      <c r="P33" s="77"/>
      <c r="Q33" s="77"/>
      <c r="R33" s="77"/>
      <c r="S33" s="194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6"/>
      <c r="AX33" s="197"/>
      <c r="AY33" s="197"/>
      <c r="AZ33" s="197"/>
      <c r="BA33" s="197"/>
      <c r="BB33" s="197"/>
      <c r="BC33" s="198"/>
      <c r="BD33" s="201"/>
      <c r="BE33" s="197"/>
      <c r="BF33" s="197"/>
      <c r="BG33" s="197"/>
      <c r="BH33" s="197"/>
      <c r="BI33" s="197"/>
      <c r="BJ33" s="198"/>
      <c r="BK33" s="4"/>
    </row>
    <row r="34" spans="1:63" ht="15" customHeight="1" x14ac:dyDescent="0.25">
      <c r="A34" s="1"/>
      <c r="B34" s="79"/>
      <c r="C34" s="80"/>
      <c r="D34" s="80"/>
      <c r="E34" s="80"/>
      <c r="F34" s="80"/>
      <c r="G34" s="81"/>
      <c r="H34" s="79"/>
      <c r="I34" s="80"/>
      <c r="J34" s="80"/>
      <c r="K34" s="80"/>
      <c r="L34" s="80"/>
      <c r="M34" s="80"/>
      <c r="N34" s="81"/>
      <c r="O34" s="79"/>
      <c r="P34" s="80"/>
      <c r="Q34" s="80"/>
      <c r="R34" s="80"/>
      <c r="S34" s="203"/>
      <c r="T34" s="204"/>
      <c r="U34" s="204"/>
      <c r="V34" s="204"/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  <c r="AJ34" s="204"/>
      <c r="AK34" s="204"/>
      <c r="AL34" s="204"/>
      <c r="AM34" s="204"/>
      <c r="AN34" s="204"/>
      <c r="AO34" s="204"/>
      <c r="AP34" s="204"/>
      <c r="AQ34" s="204"/>
      <c r="AR34" s="204"/>
      <c r="AS34" s="204"/>
      <c r="AT34" s="204"/>
      <c r="AU34" s="204"/>
      <c r="AV34" s="204"/>
      <c r="AW34" s="205"/>
      <c r="AX34" s="199"/>
      <c r="AY34" s="199"/>
      <c r="AZ34" s="199"/>
      <c r="BA34" s="199"/>
      <c r="BB34" s="199"/>
      <c r="BC34" s="200"/>
      <c r="BD34" s="202"/>
      <c r="BE34" s="199"/>
      <c r="BF34" s="199"/>
      <c r="BG34" s="199"/>
      <c r="BH34" s="199"/>
      <c r="BI34" s="199"/>
      <c r="BJ34" s="200"/>
      <c r="BK34" s="4"/>
    </row>
    <row r="35" spans="1:63" ht="15" customHeight="1" x14ac:dyDescent="0.25">
      <c r="A35" s="1"/>
      <c r="B35" s="76"/>
      <c r="C35" s="77"/>
      <c r="D35" s="77"/>
      <c r="E35" s="77"/>
      <c r="F35" s="77"/>
      <c r="G35" s="78"/>
      <c r="H35" s="76"/>
      <c r="I35" s="77"/>
      <c r="J35" s="77"/>
      <c r="K35" s="77"/>
      <c r="L35" s="77"/>
      <c r="M35" s="77"/>
      <c r="N35" s="78"/>
      <c r="O35" s="76"/>
      <c r="P35" s="77"/>
      <c r="Q35" s="77"/>
      <c r="R35" s="77"/>
      <c r="S35" s="194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  <c r="AQ35" s="195"/>
      <c r="AR35" s="195"/>
      <c r="AS35" s="195"/>
      <c r="AT35" s="195"/>
      <c r="AU35" s="195"/>
      <c r="AV35" s="195"/>
      <c r="AW35" s="196"/>
      <c r="AX35" s="197"/>
      <c r="AY35" s="197"/>
      <c r="AZ35" s="197"/>
      <c r="BA35" s="197"/>
      <c r="BB35" s="197"/>
      <c r="BC35" s="198"/>
      <c r="BD35" s="201"/>
      <c r="BE35" s="197"/>
      <c r="BF35" s="197"/>
      <c r="BG35" s="197"/>
      <c r="BH35" s="197"/>
      <c r="BI35" s="197"/>
      <c r="BJ35" s="198"/>
      <c r="BK35" s="4"/>
    </row>
    <row r="36" spans="1:63" ht="15" customHeight="1" x14ac:dyDescent="0.25">
      <c r="A36" s="1"/>
      <c r="B36" s="79"/>
      <c r="C36" s="80"/>
      <c r="D36" s="80"/>
      <c r="E36" s="80"/>
      <c r="F36" s="80"/>
      <c r="G36" s="81"/>
      <c r="H36" s="79"/>
      <c r="I36" s="80"/>
      <c r="J36" s="80"/>
      <c r="K36" s="80"/>
      <c r="L36" s="80"/>
      <c r="M36" s="80"/>
      <c r="N36" s="81"/>
      <c r="O36" s="79"/>
      <c r="P36" s="80"/>
      <c r="Q36" s="80"/>
      <c r="R36" s="80"/>
      <c r="S36" s="203"/>
      <c r="T36" s="204"/>
      <c r="U36" s="204"/>
      <c r="V36" s="204"/>
      <c r="W36" s="204"/>
      <c r="X36" s="204"/>
      <c r="Y36" s="204"/>
      <c r="Z36" s="204"/>
      <c r="AA36" s="204"/>
      <c r="AB36" s="204"/>
      <c r="AC36" s="204"/>
      <c r="AD36" s="204"/>
      <c r="AE36" s="204"/>
      <c r="AF36" s="204"/>
      <c r="AG36" s="204"/>
      <c r="AH36" s="204"/>
      <c r="AI36" s="204"/>
      <c r="AJ36" s="204"/>
      <c r="AK36" s="204"/>
      <c r="AL36" s="204"/>
      <c r="AM36" s="204"/>
      <c r="AN36" s="204"/>
      <c r="AO36" s="204"/>
      <c r="AP36" s="204"/>
      <c r="AQ36" s="204"/>
      <c r="AR36" s="204"/>
      <c r="AS36" s="204"/>
      <c r="AT36" s="204"/>
      <c r="AU36" s="204"/>
      <c r="AV36" s="204"/>
      <c r="AW36" s="205"/>
      <c r="AX36" s="199"/>
      <c r="AY36" s="199"/>
      <c r="AZ36" s="199"/>
      <c r="BA36" s="199"/>
      <c r="BB36" s="199"/>
      <c r="BC36" s="200"/>
      <c r="BD36" s="202"/>
      <c r="BE36" s="199"/>
      <c r="BF36" s="199"/>
      <c r="BG36" s="199"/>
      <c r="BH36" s="199"/>
      <c r="BI36" s="199"/>
      <c r="BJ36" s="200"/>
      <c r="BK36" s="4"/>
    </row>
    <row r="37" spans="1:63" ht="15" customHeight="1" x14ac:dyDescent="0.25">
      <c r="A37" s="1"/>
      <c r="B37" s="76"/>
      <c r="C37" s="77"/>
      <c r="D37" s="77"/>
      <c r="E37" s="77"/>
      <c r="F37" s="77"/>
      <c r="G37" s="78"/>
      <c r="H37" s="76"/>
      <c r="I37" s="77"/>
      <c r="J37" s="77"/>
      <c r="K37" s="77"/>
      <c r="L37" s="77"/>
      <c r="M37" s="77"/>
      <c r="N37" s="78"/>
      <c r="O37" s="76"/>
      <c r="P37" s="77"/>
      <c r="Q37" s="77"/>
      <c r="R37" s="77"/>
      <c r="S37" s="194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6"/>
      <c r="AX37" s="197"/>
      <c r="AY37" s="197"/>
      <c r="AZ37" s="197"/>
      <c r="BA37" s="197"/>
      <c r="BB37" s="197"/>
      <c r="BC37" s="198"/>
      <c r="BD37" s="201"/>
      <c r="BE37" s="197"/>
      <c r="BF37" s="197"/>
      <c r="BG37" s="197"/>
      <c r="BH37" s="197"/>
      <c r="BI37" s="197"/>
      <c r="BJ37" s="198"/>
      <c r="BK37" s="4"/>
    </row>
    <row r="38" spans="1:63" ht="15" customHeight="1" x14ac:dyDescent="0.25">
      <c r="A38" s="1"/>
      <c r="B38" s="79"/>
      <c r="C38" s="80"/>
      <c r="D38" s="80"/>
      <c r="E38" s="80"/>
      <c r="F38" s="80"/>
      <c r="G38" s="81"/>
      <c r="H38" s="79"/>
      <c r="I38" s="80"/>
      <c r="J38" s="80"/>
      <c r="K38" s="80"/>
      <c r="L38" s="80"/>
      <c r="M38" s="80"/>
      <c r="N38" s="81"/>
      <c r="O38" s="79"/>
      <c r="P38" s="80"/>
      <c r="Q38" s="80"/>
      <c r="R38" s="80"/>
      <c r="S38" s="203"/>
      <c r="T38" s="204"/>
      <c r="U38" s="204"/>
      <c r="V38" s="204"/>
      <c r="W38" s="204"/>
      <c r="X38" s="204"/>
      <c r="Y38" s="204"/>
      <c r="Z38" s="204"/>
      <c r="AA38" s="204"/>
      <c r="AB38" s="204"/>
      <c r="AC38" s="204"/>
      <c r="AD38" s="204"/>
      <c r="AE38" s="204"/>
      <c r="AF38" s="204"/>
      <c r="AG38" s="204"/>
      <c r="AH38" s="204"/>
      <c r="AI38" s="204"/>
      <c r="AJ38" s="204"/>
      <c r="AK38" s="204"/>
      <c r="AL38" s="204"/>
      <c r="AM38" s="204"/>
      <c r="AN38" s="204"/>
      <c r="AO38" s="204"/>
      <c r="AP38" s="204"/>
      <c r="AQ38" s="204"/>
      <c r="AR38" s="204"/>
      <c r="AS38" s="204"/>
      <c r="AT38" s="204"/>
      <c r="AU38" s="204"/>
      <c r="AV38" s="204"/>
      <c r="AW38" s="205"/>
      <c r="AX38" s="199"/>
      <c r="AY38" s="199"/>
      <c r="AZ38" s="199"/>
      <c r="BA38" s="199"/>
      <c r="BB38" s="199"/>
      <c r="BC38" s="200"/>
      <c r="BD38" s="202"/>
      <c r="BE38" s="199"/>
      <c r="BF38" s="199"/>
      <c r="BG38" s="199"/>
      <c r="BH38" s="199"/>
      <c r="BI38" s="199"/>
      <c r="BJ38" s="200"/>
      <c r="BK38" s="4"/>
    </row>
    <row r="39" spans="1:63" ht="15" customHeight="1" x14ac:dyDescent="0.25">
      <c r="A39" s="1"/>
      <c r="B39" s="76"/>
      <c r="C39" s="77"/>
      <c r="D39" s="77"/>
      <c r="E39" s="77"/>
      <c r="F39" s="77"/>
      <c r="G39" s="78"/>
      <c r="H39" s="76"/>
      <c r="I39" s="77"/>
      <c r="J39" s="77"/>
      <c r="K39" s="77"/>
      <c r="L39" s="77"/>
      <c r="M39" s="77"/>
      <c r="N39" s="78"/>
      <c r="O39" s="76"/>
      <c r="P39" s="77"/>
      <c r="Q39" s="77"/>
      <c r="R39" s="77"/>
      <c r="S39" s="194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6"/>
      <c r="AX39" s="197"/>
      <c r="AY39" s="197"/>
      <c r="AZ39" s="197"/>
      <c r="BA39" s="197"/>
      <c r="BB39" s="197"/>
      <c r="BC39" s="198"/>
      <c r="BD39" s="201"/>
      <c r="BE39" s="197"/>
      <c r="BF39" s="197"/>
      <c r="BG39" s="197"/>
      <c r="BH39" s="197"/>
      <c r="BI39" s="197"/>
      <c r="BJ39" s="198"/>
      <c r="BK39" s="4"/>
    </row>
    <row r="40" spans="1:63" ht="15" customHeight="1" x14ac:dyDescent="0.25">
      <c r="A40" s="1"/>
      <c r="B40" s="79"/>
      <c r="C40" s="80"/>
      <c r="D40" s="80"/>
      <c r="E40" s="80"/>
      <c r="F40" s="80"/>
      <c r="G40" s="81"/>
      <c r="H40" s="79"/>
      <c r="I40" s="80"/>
      <c r="J40" s="80"/>
      <c r="K40" s="80"/>
      <c r="L40" s="80"/>
      <c r="M40" s="80"/>
      <c r="N40" s="81"/>
      <c r="O40" s="79"/>
      <c r="P40" s="80"/>
      <c r="Q40" s="80"/>
      <c r="R40" s="80"/>
      <c r="S40" s="203"/>
      <c r="T40" s="204"/>
      <c r="U40" s="204"/>
      <c r="V40" s="204"/>
      <c r="W40" s="204"/>
      <c r="X40" s="204"/>
      <c r="Y40" s="204"/>
      <c r="Z40" s="204"/>
      <c r="AA40" s="204"/>
      <c r="AB40" s="204"/>
      <c r="AC40" s="204"/>
      <c r="AD40" s="204"/>
      <c r="AE40" s="204"/>
      <c r="AF40" s="204"/>
      <c r="AG40" s="204"/>
      <c r="AH40" s="204"/>
      <c r="AI40" s="204"/>
      <c r="AJ40" s="204"/>
      <c r="AK40" s="204"/>
      <c r="AL40" s="204"/>
      <c r="AM40" s="204"/>
      <c r="AN40" s="204"/>
      <c r="AO40" s="204"/>
      <c r="AP40" s="204"/>
      <c r="AQ40" s="204"/>
      <c r="AR40" s="204"/>
      <c r="AS40" s="204"/>
      <c r="AT40" s="204"/>
      <c r="AU40" s="204"/>
      <c r="AV40" s="204"/>
      <c r="AW40" s="205"/>
      <c r="AX40" s="199"/>
      <c r="AY40" s="199"/>
      <c r="AZ40" s="199"/>
      <c r="BA40" s="199"/>
      <c r="BB40" s="199"/>
      <c r="BC40" s="200"/>
      <c r="BD40" s="202"/>
      <c r="BE40" s="199"/>
      <c r="BF40" s="199"/>
      <c r="BG40" s="199"/>
      <c r="BH40" s="199"/>
      <c r="BI40" s="199"/>
      <c r="BJ40" s="200"/>
      <c r="BK40" s="4"/>
    </row>
    <row r="41" spans="1:63" ht="15" customHeight="1" x14ac:dyDescent="0.25">
      <c r="A41" s="1"/>
      <c r="B41" s="76"/>
      <c r="C41" s="77"/>
      <c r="D41" s="77"/>
      <c r="E41" s="77"/>
      <c r="F41" s="77"/>
      <c r="G41" s="78"/>
      <c r="H41" s="76"/>
      <c r="I41" s="77"/>
      <c r="J41" s="77"/>
      <c r="K41" s="77"/>
      <c r="L41" s="77"/>
      <c r="M41" s="77"/>
      <c r="N41" s="78"/>
      <c r="O41" s="76"/>
      <c r="P41" s="77"/>
      <c r="Q41" s="77"/>
      <c r="R41" s="77"/>
      <c r="S41" s="194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6"/>
      <c r="AX41" s="197"/>
      <c r="AY41" s="197"/>
      <c r="AZ41" s="197"/>
      <c r="BA41" s="197"/>
      <c r="BB41" s="197"/>
      <c r="BC41" s="198"/>
      <c r="BD41" s="201"/>
      <c r="BE41" s="197"/>
      <c r="BF41" s="197"/>
      <c r="BG41" s="197"/>
      <c r="BH41" s="197"/>
      <c r="BI41" s="197"/>
      <c r="BJ41" s="198"/>
      <c r="BK41" s="4"/>
    </row>
    <row r="42" spans="1:63" ht="15" customHeight="1" x14ac:dyDescent="0.25">
      <c r="A42" s="1"/>
      <c r="B42" s="79"/>
      <c r="C42" s="80"/>
      <c r="D42" s="80"/>
      <c r="E42" s="80"/>
      <c r="F42" s="80"/>
      <c r="G42" s="81"/>
      <c r="H42" s="79"/>
      <c r="I42" s="80"/>
      <c r="J42" s="80"/>
      <c r="K42" s="80"/>
      <c r="L42" s="80"/>
      <c r="M42" s="80"/>
      <c r="N42" s="81"/>
      <c r="O42" s="79"/>
      <c r="P42" s="80"/>
      <c r="Q42" s="80"/>
      <c r="R42" s="80"/>
      <c r="S42" s="203"/>
      <c r="T42" s="204"/>
      <c r="U42" s="204"/>
      <c r="V42" s="204"/>
      <c r="W42" s="204"/>
      <c r="X42" s="204"/>
      <c r="Y42" s="204"/>
      <c r="Z42" s="204"/>
      <c r="AA42" s="204"/>
      <c r="AB42" s="204"/>
      <c r="AC42" s="204"/>
      <c r="AD42" s="204"/>
      <c r="AE42" s="204"/>
      <c r="AF42" s="204"/>
      <c r="AG42" s="204"/>
      <c r="AH42" s="204"/>
      <c r="AI42" s="204"/>
      <c r="AJ42" s="204"/>
      <c r="AK42" s="204"/>
      <c r="AL42" s="204"/>
      <c r="AM42" s="204"/>
      <c r="AN42" s="204"/>
      <c r="AO42" s="204"/>
      <c r="AP42" s="204"/>
      <c r="AQ42" s="204"/>
      <c r="AR42" s="204"/>
      <c r="AS42" s="204"/>
      <c r="AT42" s="204"/>
      <c r="AU42" s="204"/>
      <c r="AV42" s="204"/>
      <c r="AW42" s="205"/>
      <c r="AX42" s="199"/>
      <c r="AY42" s="199"/>
      <c r="AZ42" s="199"/>
      <c r="BA42" s="199"/>
      <c r="BB42" s="199"/>
      <c r="BC42" s="200"/>
      <c r="BD42" s="202"/>
      <c r="BE42" s="199"/>
      <c r="BF42" s="199"/>
      <c r="BG42" s="199"/>
      <c r="BH42" s="199"/>
      <c r="BI42" s="199"/>
      <c r="BJ42" s="200"/>
      <c r="BK42" s="4"/>
    </row>
    <row r="43" spans="1:63" ht="15" customHeight="1" x14ac:dyDescent="0.25">
      <c r="A43" s="1"/>
      <c r="B43" s="76"/>
      <c r="C43" s="77"/>
      <c r="D43" s="77"/>
      <c r="E43" s="77"/>
      <c r="F43" s="77"/>
      <c r="G43" s="78"/>
      <c r="H43" s="76"/>
      <c r="I43" s="77"/>
      <c r="J43" s="77"/>
      <c r="K43" s="77"/>
      <c r="L43" s="77"/>
      <c r="M43" s="77"/>
      <c r="N43" s="78"/>
      <c r="O43" s="76"/>
      <c r="P43" s="77"/>
      <c r="Q43" s="77"/>
      <c r="R43" s="77"/>
      <c r="S43" s="194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6"/>
      <c r="AX43" s="197"/>
      <c r="AY43" s="197"/>
      <c r="AZ43" s="197"/>
      <c r="BA43" s="197"/>
      <c r="BB43" s="197"/>
      <c r="BC43" s="198"/>
      <c r="BD43" s="201"/>
      <c r="BE43" s="197"/>
      <c r="BF43" s="197"/>
      <c r="BG43" s="197"/>
      <c r="BH43" s="197"/>
      <c r="BI43" s="197"/>
      <c r="BJ43" s="198"/>
      <c r="BK43" s="4"/>
    </row>
    <row r="44" spans="1:63" ht="15" customHeight="1" x14ac:dyDescent="0.25">
      <c r="A44" s="1"/>
      <c r="B44" s="79"/>
      <c r="C44" s="80"/>
      <c r="D44" s="80"/>
      <c r="E44" s="80"/>
      <c r="F44" s="80"/>
      <c r="G44" s="81"/>
      <c r="H44" s="79"/>
      <c r="I44" s="80"/>
      <c r="J44" s="80"/>
      <c r="K44" s="80"/>
      <c r="L44" s="80"/>
      <c r="M44" s="80"/>
      <c r="N44" s="81"/>
      <c r="O44" s="79"/>
      <c r="P44" s="80"/>
      <c r="Q44" s="80"/>
      <c r="R44" s="80"/>
      <c r="S44" s="203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204"/>
      <c r="AG44" s="204"/>
      <c r="AH44" s="204"/>
      <c r="AI44" s="204"/>
      <c r="AJ44" s="204"/>
      <c r="AK44" s="204"/>
      <c r="AL44" s="204"/>
      <c r="AM44" s="204"/>
      <c r="AN44" s="204"/>
      <c r="AO44" s="204"/>
      <c r="AP44" s="204"/>
      <c r="AQ44" s="204"/>
      <c r="AR44" s="204"/>
      <c r="AS44" s="204"/>
      <c r="AT44" s="204"/>
      <c r="AU44" s="204"/>
      <c r="AV44" s="204"/>
      <c r="AW44" s="205"/>
      <c r="AX44" s="199"/>
      <c r="AY44" s="199"/>
      <c r="AZ44" s="199"/>
      <c r="BA44" s="199"/>
      <c r="BB44" s="199"/>
      <c r="BC44" s="200"/>
      <c r="BD44" s="202"/>
      <c r="BE44" s="199"/>
      <c r="BF44" s="199"/>
      <c r="BG44" s="199"/>
      <c r="BH44" s="199"/>
      <c r="BI44" s="199"/>
      <c r="BJ44" s="200"/>
      <c r="BK44" s="4"/>
    </row>
    <row r="45" spans="1:63" ht="15" customHeight="1" x14ac:dyDescent="0.25">
      <c r="A45" s="1"/>
      <c r="B45" s="76"/>
      <c r="C45" s="77"/>
      <c r="D45" s="77"/>
      <c r="E45" s="77"/>
      <c r="F45" s="77"/>
      <c r="G45" s="78"/>
      <c r="H45" s="76"/>
      <c r="I45" s="77"/>
      <c r="J45" s="77"/>
      <c r="K45" s="77"/>
      <c r="L45" s="77"/>
      <c r="M45" s="77"/>
      <c r="N45" s="78"/>
      <c r="O45" s="76"/>
      <c r="P45" s="77"/>
      <c r="Q45" s="77"/>
      <c r="R45" s="77"/>
      <c r="S45" s="194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6"/>
      <c r="AX45" s="197"/>
      <c r="AY45" s="197"/>
      <c r="AZ45" s="197"/>
      <c r="BA45" s="197"/>
      <c r="BB45" s="197"/>
      <c r="BC45" s="198"/>
      <c r="BD45" s="201"/>
      <c r="BE45" s="197"/>
      <c r="BF45" s="197"/>
      <c r="BG45" s="197"/>
      <c r="BH45" s="197"/>
      <c r="BI45" s="197"/>
      <c r="BJ45" s="198"/>
      <c r="BK45" s="4"/>
    </row>
    <row r="46" spans="1:63" ht="15" customHeight="1" x14ac:dyDescent="0.25">
      <c r="A46" s="1"/>
      <c r="B46" s="79"/>
      <c r="C46" s="80"/>
      <c r="D46" s="80"/>
      <c r="E46" s="80"/>
      <c r="F46" s="80"/>
      <c r="G46" s="81"/>
      <c r="H46" s="79"/>
      <c r="I46" s="80"/>
      <c r="J46" s="80"/>
      <c r="K46" s="80"/>
      <c r="L46" s="80"/>
      <c r="M46" s="80"/>
      <c r="N46" s="81"/>
      <c r="O46" s="79"/>
      <c r="P46" s="80"/>
      <c r="Q46" s="80"/>
      <c r="R46" s="80"/>
      <c r="S46" s="203"/>
      <c r="T46" s="204"/>
      <c r="U46" s="204"/>
      <c r="V46" s="204"/>
      <c r="W46" s="204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  <c r="AI46" s="204"/>
      <c r="AJ46" s="204"/>
      <c r="AK46" s="204"/>
      <c r="AL46" s="204"/>
      <c r="AM46" s="204"/>
      <c r="AN46" s="204"/>
      <c r="AO46" s="204"/>
      <c r="AP46" s="204"/>
      <c r="AQ46" s="204"/>
      <c r="AR46" s="204"/>
      <c r="AS46" s="204"/>
      <c r="AT46" s="204"/>
      <c r="AU46" s="204"/>
      <c r="AV46" s="204"/>
      <c r="AW46" s="205"/>
      <c r="AX46" s="199"/>
      <c r="AY46" s="199"/>
      <c r="AZ46" s="199"/>
      <c r="BA46" s="199"/>
      <c r="BB46" s="199"/>
      <c r="BC46" s="200"/>
      <c r="BD46" s="202"/>
      <c r="BE46" s="199"/>
      <c r="BF46" s="199"/>
      <c r="BG46" s="199"/>
      <c r="BH46" s="199"/>
      <c r="BI46" s="199"/>
      <c r="BJ46" s="200"/>
      <c r="BK46" s="4"/>
    </row>
    <row r="47" spans="1:63" ht="15" customHeight="1" x14ac:dyDescent="0.25">
      <c r="A47" s="1"/>
      <c r="B47" s="76"/>
      <c r="C47" s="77"/>
      <c r="D47" s="77"/>
      <c r="E47" s="77"/>
      <c r="F47" s="77"/>
      <c r="G47" s="78"/>
      <c r="H47" s="76"/>
      <c r="I47" s="77"/>
      <c r="J47" s="77"/>
      <c r="K47" s="77"/>
      <c r="L47" s="77"/>
      <c r="M47" s="77"/>
      <c r="N47" s="78"/>
      <c r="O47" s="76"/>
      <c r="P47" s="77"/>
      <c r="Q47" s="77"/>
      <c r="R47" s="77"/>
      <c r="S47" s="194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6"/>
      <c r="AX47" s="197"/>
      <c r="AY47" s="197"/>
      <c r="AZ47" s="197"/>
      <c r="BA47" s="197"/>
      <c r="BB47" s="197"/>
      <c r="BC47" s="198"/>
      <c r="BD47" s="201"/>
      <c r="BE47" s="197"/>
      <c r="BF47" s="197"/>
      <c r="BG47" s="197"/>
      <c r="BH47" s="197"/>
      <c r="BI47" s="197"/>
      <c r="BJ47" s="198"/>
      <c r="BK47" s="4"/>
    </row>
    <row r="48" spans="1:63" ht="15" customHeight="1" x14ac:dyDescent="0.25">
      <c r="A48" s="1"/>
      <c r="B48" s="79"/>
      <c r="C48" s="80"/>
      <c r="D48" s="80"/>
      <c r="E48" s="80"/>
      <c r="F48" s="80"/>
      <c r="G48" s="81"/>
      <c r="H48" s="79"/>
      <c r="I48" s="80"/>
      <c r="J48" s="80"/>
      <c r="K48" s="80"/>
      <c r="L48" s="80"/>
      <c r="M48" s="80"/>
      <c r="N48" s="81"/>
      <c r="O48" s="79"/>
      <c r="P48" s="80"/>
      <c r="Q48" s="80"/>
      <c r="R48" s="80"/>
      <c r="S48" s="203"/>
      <c r="T48" s="204"/>
      <c r="U48" s="204"/>
      <c r="V48" s="204"/>
      <c r="W48" s="204"/>
      <c r="X48" s="204"/>
      <c r="Y48" s="204"/>
      <c r="Z48" s="204"/>
      <c r="AA48" s="204"/>
      <c r="AB48" s="204"/>
      <c r="AC48" s="204"/>
      <c r="AD48" s="204"/>
      <c r="AE48" s="204"/>
      <c r="AF48" s="204"/>
      <c r="AG48" s="204"/>
      <c r="AH48" s="204"/>
      <c r="AI48" s="204"/>
      <c r="AJ48" s="204"/>
      <c r="AK48" s="204"/>
      <c r="AL48" s="204"/>
      <c r="AM48" s="204"/>
      <c r="AN48" s="204"/>
      <c r="AO48" s="204"/>
      <c r="AP48" s="204"/>
      <c r="AQ48" s="204"/>
      <c r="AR48" s="204"/>
      <c r="AS48" s="204"/>
      <c r="AT48" s="204"/>
      <c r="AU48" s="204"/>
      <c r="AV48" s="204"/>
      <c r="AW48" s="205"/>
      <c r="AX48" s="199"/>
      <c r="AY48" s="199"/>
      <c r="AZ48" s="199"/>
      <c r="BA48" s="199"/>
      <c r="BB48" s="199"/>
      <c r="BC48" s="200"/>
      <c r="BD48" s="202"/>
      <c r="BE48" s="199"/>
      <c r="BF48" s="199"/>
      <c r="BG48" s="199"/>
      <c r="BH48" s="199"/>
      <c r="BI48" s="199"/>
      <c r="BJ48" s="200"/>
      <c r="BK48" s="4"/>
    </row>
    <row r="49" spans="1:63" ht="15" customHeight="1" x14ac:dyDescent="0.25">
      <c r="A49" s="1"/>
      <c r="B49" s="76"/>
      <c r="C49" s="77"/>
      <c r="D49" s="77"/>
      <c r="E49" s="77"/>
      <c r="F49" s="77"/>
      <c r="G49" s="78"/>
      <c r="H49" s="76"/>
      <c r="I49" s="77"/>
      <c r="J49" s="77"/>
      <c r="K49" s="77"/>
      <c r="L49" s="77"/>
      <c r="M49" s="77"/>
      <c r="N49" s="78"/>
      <c r="O49" s="76"/>
      <c r="P49" s="77"/>
      <c r="Q49" s="77"/>
      <c r="R49" s="77"/>
      <c r="S49" s="194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6"/>
      <c r="AX49" s="197"/>
      <c r="AY49" s="197"/>
      <c r="AZ49" s="197"/>
      <c r="BA49" s="197"/>
      <c r="BB49" s="197"/>
      <c r="BC49" s="198"/>
      <c r="BD49" s="201"/>
      <c r="BE49" s="197"/>
      <c r="BF49" s="197"/>
      <c r="BG49" s="197"/>
      <c r="BH49" s="197"/>
      <c r="BI49" s="197"/>
      <c r="BJ49" s="198"/>
      <c r="BK49" s="4"/>
    </row>
    <row r="50" spans="1:63" ht="15" customHeight="1" x14ac:dyDescent="0.25">
      <c r="A50" s="1"/>
      <c r="B50" s="79"/>
      <c r="C50" s="80"/>
      <c r="D50" s="80"/>
      <c r="E50" s="80"/>
      <c r="F50" s="80"/>
      <c r="G50" s="81"/>
      <c r="H50" s="79"/>
      <c r="I50" s="80"/>
      <c r="J50" s="80"/>
      <c r="K50" s="80"/>
      <c r="L50" s="80"/>
      <c r="M50" s="80"/>
      <c r="N50" s="81"/>
      <c r="O50" s="79"/>
      <c r="P50" s="80"/>
      <c r="Q50" s="80"/>
      <c r="R50" s="80"/>
      <c r="S50" s="203"/>
      <c r="T50" s="204"/>
      <c r="U50" s="204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204"/>
      <c r="AG50" s="204"/>
      <c r="AH50" s="204"/>
      <c r="AI50" s="204"/>
      <c r="AJ50" s="204"/>
      <c r="AK50" s="204"/>
      <c r="AL50" s="204"/>
      <c r="AM50" s="204"/>
      <c r="AN50" s="204"/>
      <c r="AO50" s="204"/>
      <c r="AP50" s="204"/>
      <c r="AQ50" s="204"/>
      <c r="AR50" s="204"/>
      <c r="AS50" s="204"/>
      <c r="AT50" s="204"/>
      <c r="AU50" s="204"/>
      <c r="AV50" s="204"/>
      <c r="AW50" s="205"/>
      <c r="AX50" s="199"/>
      <c r="AY50" s="199"/>
      <c r="AZ50" s="199"/>
      <c r="BA50" s="199"/>
      <c r="BB50" s="199"/>
      <c r="BC50" s="200"/>
      <c r="BD50" s="202"/>
      <c r="BE50" s="199"/>
      <c r="BF50" s="199"/>
      <c r="BG50" s="199"/>
      <c r="BH50" s="199"/>
      <c r="BI50" s="199"/>
      <c r="BJ50" s="200"/>
      <c r="BK50" s="4"/>
    </row>
    <row r="51" spans="1:63" ht="15" customHeight="1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5"/>
    </row>
  </sheetData>
  <mergeCells count="166">
    <mergeCell ref="K1:V1"/>
    <mergeCell ref="W1:AO3"/>
    <mergeCell ref="AP1:AS1"/>
    <mergeCell ref="AT1:AX1"/>
    <mergeCell ref="AY1:BB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A4:G4"/>
    <mergeCell ref="H4:T4"/>
    <mergeCell ref="U4:Y4"/>
    <mergeCell ref="Z4:AO4"/>
    <mergeCell ref="AP4:BK4"/>
    <mergeCell ref="B10:G10"/>
    <mergeCell ref="H10:N10"/>
    <mergeCell ref="O10:R10"/>
    <mergeCell ref="S10:AW10"/>
    <mergeCell ref="AX10:BC10"/>
    <mergeCell ref="BD10:BJ10"/>
    <mergeCell ref="S16:AW16"/>
    <mergeCell ref="B13:G14"/>
    <mergeCell ref="H13:N14"/>
    <mergeCell ref="O13:R14"/>
    <mergeCell ref="S13:AW13"/>
    <mergeCell ref="AX13:BC14"/>
    <mergeCell ref="BD13:BJ14"/>
    <mergeCell ref="S14:AW14"/>
    <mergeCell ref="B11:G12"/>
    <mergeCell ref="H11:N12"/>
    <mergeCell ref="O11:R12"/>
    <mergeCell ref="S11:AW11"/>
    <mergeCell ref="AX11:BC12"/>
    <mergeCell ref="BD11:BJ12"/>
    <mergeCell ref="S12:AW12"/>
    <mergeCell ref="B15:G16"/>
    <mergeCell ref="H15:N16"/>
    <mergeCell ref="O15:R16"/>
    <mergeCell ref="S15:AW15"/>
    <mergeCell ref="AX15:BC16"/>
    <mergeCell ref="BD15:BJ16"/>
    <mergeCell ref="B25:G26"/>
    <mergeCell ref="H25:N26"/>
    <mergeCell ref="O25:R26"/>
    <mergeCell ref="S25:AW25"/>
    <mergeCell ref="AX25:BC26"/>
    <mergeCell ref="BD25:BJ26"/>
    <mergeCell ref="S26:AW26"/>
    <mergeCell ref="B21:G22"/>
    <mergeCell ref="H21:N22"/>
    <mergeCell ref="O21:R22"/>
    <mergeCell ref="S21:AW21"/>
    <mergeCell ref="AX21:BC22"/>
    <mergeCell ref="BD21:BJ22"/>
    <mergeCell ref="S22:AW22"/>
    <mergeCell ref="B27:G28"/>
    <mergeCell ref="H27:N28"/>
    <mergeCell ref="O27:R28"/>
    <mergeCell ref="S27:AW27"/>
    <mergeCell ref="AX27:BC28"/>
    <mergeCell ref="BD27:BJ28"/>
    <mergeCell ref="S28:AW28"/>
    <mergeCell ref="B29:G30"/>
    <mergeCell ref="H29:N30"/>
    <mergeCell ref="O29:R30"/>
    <mergeCell ref="S29:AW29"/>
    <mergeCell ref="AX29:BC30"/>
    <mergeCell ref="BD29:BJ30"/>
    <mergeCell ref="S30:AW30"/>
    <mergeCell ref="B31:G32"/>
    <mergeCell ref="H31:N32"/>
    <mergeCell ref="O31:R32"/>
    <mergeCell ref="S31:AW31"/>
    <mergeCell ref="AX31:BC32"/>
    <mergeCell ref="BD31:BJ32"/>
    <mergeCell ref="S32:AW32"/>
    <mergeCell ref="B33:G34"/>
    <mergeCell ref="H33:N34"/>
    <mergeCell ref="O33:R34"/>
    <mergeCell ref="S33:AW33"/>
    <mergeCell ref="AX33:BC34"/>
    <mergeCell ref="BD33:BJ34"/>
    <mergeCell ref="S34:AW34"/>
    <mergeCell ref="S41:AW41"/>
    <mergeCell ref="AX41:BC42"/>
    <mergeCell ref="BD41:BJ42"/>
    <mergeCell ref="S42:AW42"/>
    <mergeCell ref="B35:G36"/>
    <mergeCell ref="H35:N36"/>
    <mergeCell ref="O35:R36"/>
    <mergeCell ref="S35:AW35"/>
    <mergeCell ref="AX35:BC36"/>
    <mergeCell ref="BD35:BJ36"/>
    <mergeCell ref="S36:AW36"/>
    <mergeCell ref="B37:G38"/>
    <mergeCell ref="H37:N38"/>
    <mergeCell ref="O37:R38"/>
    <mergeCell ref="S37:AW37"/>
    <mergeCell ref="AX37:BC38"/>
    <mergeCell ref="BD37:BJ38"/>
    <mergeCell ref="S38:AW38"/>
    <mergeCell ref="B49:G50"/>
    <mergeCell ref="H49:N50"/>
    <mergeCell ref="O49:R50"/>
    <mergeCell ref="S49:AW49"/>
    <mergeCell ref="AX49:BC50"/>
    <mergeCell ref="BD49:BJ50"/>
    <mergeCell ref="S50:AW50"/>
    <mergeCell ref="B45:G46"/>
    <mergeCell ref="H45:N46"/>
    <mergeCell ref="O45:R46"/>
    <mergeCell ref="S45:AW45"/>
    <mergeCell ref="AX45:BC46"/>
    <mergeCell ref="BD45:BJ46"/>
    <mergeCell ref="S46:AW46"/>
    <mergeCell ref="B47:G48"/>
    <mergeCell ref="H47:N48"/>
    <mergeCell ref="O47:R48"/>
    <mergeCell ref="S47:AW47"/>
    <mergeCell ref="AX47:BC48"/>
    <mergeCell ref="BD47:BJ48"/>
    <mergeCell ref="S48:AW48"/>
    <mergeCell ref="B43:G44"/>
    <mergeCell ref="H43:N44"/>
    <mergeCell ref="O43:R44"/>
    <mergeCell ref="S43:AW43"/>
    <mergeCell ref="AX43:BC44"/>
    <mergeCell ref="BD43:BJ44"/>
    <mergeCell ref="S44:AW44"/>
    <mergeCell ref="B23:G24"/>
    <mergeCell ref="H23:N24"/>
    <mergeCell ref="O23:R24"/>
    <mergeCell ref="S23:AW23"/>
    <mergeCell ref="AX23:BC24"/>
    <mergeCell ref="BD23:BJ24"/>
    <mergeCell ref="S24:AW24"/>
    <mergeCell ref="B39:G40"/>
    <mergeCell ref="H39:N40"/>
    <mergeCell ref="O39:R40"/>
    <mergeCell ref="S39:AW39"/>
    <mergeCell ref="AX39:BC40"/>
    <mergeCell ref="BD39:BJ40"/>
    <mergeCell ref="S40:AW40"/>
    <mergeCell ref="B41:G42"/>
    <mergeCell ref="H41:N42"/>
    <mergeCell ref="O41:R42"/>
    <mergeCell ref="S19:AW19"/>
    <mergeCell ref="AX19:BC20"/>
    <mergeCell ref="BD19:BJ20"/>
    <mergeCell ref="S20:AW20"/>
    <mergeCell ref="B17:G18"/>
    <mergeCell ref="H17:N18"/>
    <mergeCell ref="O17:R18"/>
    <mergeCell ref="S17:AW17"/>
    <mergeCell ref="AX17:BC18"/>
    <mergeCell ref="BD17:BJ18"/>
    <mergeCell ref="S18:AW18"/>
    <mergeCell ref="B19:G20"/>
    <mergeCell ref="H19:N20"/>
    <mergeCell ref="O19:R20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3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1303-3001-4456-816F-425D090207A1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36" customWidth="1"/>
    <col min="64" max="16384" width="8.88671875" style="36"/>
  </cols>
  <sheetData>
    <row r="1" spans="1:63" ht="24.95" customHeight="1" x14ac:dyDescent="0.25">
      <c r="A1" s="223" t="s">
        <v>91</v>
      </c>
      <c r="B1" s="224"/>
      <c r="C1" s="224"/>
      <c r="D1" s="224"/>
      <c r="E1" s="224"/>
      <c r="F1" s="224"/>
      <c r="G1" s="224"/>
      <c r="H1" s="224"/>
      <c r="I1" s="224"/>
      <c r="J1" s="225"/>
      <c r="K1" s="223" t="s">
        <v>92</v>
      </c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5"/>
      <c r="W1" s="238" t="s">
        <v>13</v>
      </c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40"/>
      <c r="AP1" s="223" t="s">
        <v>93</v>
      </c>
      <c r="AQ1" s="224"/>
      <c r="AR1" s="224"/>
      <c r="AS1" s="225"/>
      <c r="AT1" s="223" t="s">
        <v>94</v>
      </c>
      <c r="AU1" s="224"/>
      <c r="AV1" s="224"/>
      <c r="AW1" s="224"/>
      <c r="AX1" s="225"/>
      <c r="AY1" s="223" t="s">
        <v>95</v>
      </c>
      <c r="AZ1" s="224"/>
      <c r="BA1" s="224"/>
      <c r="BB1" s="225"/>
      <c r="BC1" s="223" t="s">
        <v>96</v>
      </c>
      <c r="BD1" s="224"/>
      <c r="BE1" s="224"/>
      <c r="BF1" s="224"/>
      <c r="BG1" s="225"/>
      <c r="BH1" s="223" t="s">
        <v>97</v>
      </c>
      <c r="BI1" s="224"/>
      <c r="BJ1" s="224"/>
      <c r="BK1" s="225"/>
    </row>
    <row r="2" spans="1:63" ht="15" customHeight="1" x14ac:dyDescent="0.25">
      <c r="A2" s="226" t="str">
        <f>IF(表紙!A2="","",表紙!A2)</f>
        <v>POSサーバー</v>
      </c>
      <c r="B2" s="227"/>
      <c r="C2" s="227"/>
      <c r="D2" s="227"/>
      <c r="E2" s="227"/>
      <c r="F2" s="227"/>
      <c r="G2" s="227"/>
      <c r="H2" s="227"/>
      <c r="I2" s="227"/>
      <c r="J2" s="228"/>
      <c r="K2" s="226" t="str">
        <f>IF(表紙!K2="","",表紙!K2)</f>
        <v>POSサーバ</v>
      </c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8"/>
      <c r="W2" s="241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3"/>
      <c r="AP2" s="226" t="str">
        <f>IF(表紙!AP2="","",表紙!AP2)</f>
        <v>LoiLV</v>
      </c>
      <c r="AQ2" s="227"/>
      <c r="AR2" s="227"/>
      <c r="AS2" s="228"/>
      <c r="AT2" s="232">
        <f>IF(表紙!AT2="","",表紙!AT2)</f>
        <v>45415</v>
      </c>
      <c r="AU2" s="233"/>
      <c r="AV2" s="233"/>
      <c r="AW2" s="233"/>
      <c r="AX2" s="234"/>
      <c r="AY2" s="226" t="str">
        <f>IF(表紙!AY2="","",表紙!AY2)</f>
        <v>DuNT</v>
      </c>
      <c r="AZ2" s="227"/>
      <c r="BA2" s="227"/>
      <c r="BB2" s="228"/>
      <c r="BC2" s="232">
        <f>IF(表紙!BC2="","",表紙!BC2)</f>
        <v>45546</v>
      </c>
      <c r="BD2" s="233"/>
      <c r="BE2" s="233"/>
      <c r="BF2" s="233"/>
      <c r="BG2" s="234"/>
      <c r="BH2" s="226">
        <f>IF(表紙!BH2="","",表紙!BH2)</f>
        <v>0.81</v>
      </c>
      <c r="BI2" s="227"/>
      <c r="BJ2" s="227"/>
      <c r="BK2" s="228"/>
    </row>
    <row r="3" spans="1:63" ht="15" customHeight="1" x14ac:dyDescent="0.25">
      <c r="A3" s="229"/>
      <c r="B3" s="230"/>
      <c r="C3" s="230"/>
      <c r="D3" s="230"/>
      <c r="E3" s="230"/>
      <c r="F3" s="230"/>
      <c r="G3" s="230"/>
      <c r="H3" s="230"/>
      <c r="I3" s="230"/>
      <c r="J3" s="231"/>
      <c r="K3" s="229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1"/>
      <c r="W3" s="244"/>
      <c r="X3" s="245"/>
      <c r="Y3" s="245"/>
      <c r="Z3" s="245"/>
      <c r="AA3" s="245"/>
      <c r="AB3" s="245"/>
      <c r="AC3" s="245"/>
      <c r="AD3" s="245"/>
      <c r="AE3" s="245"/>
      <c r="AF3" s="245"/>
      <c r="AG3" s="245"/>
      <c r="AH3" s="245"/>
      <c r="AI3" s="245"/>
      <c r="AJ3" s="245"/>
      <c r="AK3" s="245"/>
      <c r="AL3" s="245"/>
      <c r="AM3" s="245"/>
      <c r="AN3" s="245"/>
      <c r="AO3" s="246"/>
      <c r="AP3" s="229"/>
      <c r="AQ3" s="230"/>
      <c r="AR3" s="230"/>
      <c r="AS3" s="231"/>
      <c r="AT3" s="235"/>
      <c r="AU3" s="236"/>
      <c r="AV3" s="236"/>
      <c r="AW3" s="236"/>
      <c r="AX3" s="237"/>
      <c r="AY3" s="229"/>
      <c r="AZ3" s="230"/>
      <c r="BA3" s="230"/>
      <c r="BB3" s="231"/>
      <c r="BC3" s="235"/>
      <c r="BD3" s="236"/>
      <c r="BE3" s="236"/>
      <c r="BF3" s="236"/>
      <c r="BG3" s="237"/>
      <c r="BH3" s="229"/>
      <c r="BI3" s="230"/>
      <c r="BJ3" s="230"/>
      <c r="BK3" s="231"/>
    </row>
    <row r="4" spans="1:63" ht="24.95" customHeight="1" x14ac:dyDescent="0.25">
      <c r="A4" s="223" t="s">
        <v>98</v>
      </c>
      <c r="B4" s="224"/>
      <c r="C4" s="224"/>
      <c r="D4" s="224"/>
      <c r="E4" s="224"/>
      <c r="F4" s="224"/>
      <c r="G4" s="225"/>
      <c r="H4" s="247" t="str">
        <f>IF(表紙!H4="","",表紙!H4)</f>
        <v>06_1, 7, 8 定番変更</v>
      </c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23" t="s">
        <v>99</v>
      </c>
      <c r="V4" s="224"/>
      <c r="W4" s="224"/>
      <c r="X4" s="224"/>
      <c r="Y4" s="225"/>
      <c r="Z4" s="247" t="str">
        <f>IF(表紙!Z4="","",表紙!Z4)</f>
        <v>概要設計</v>
      </c>
      <c r="AA4" s="248"/>
      <c r="AB4" s="248"/>
      <c r="AC4" s="248"/>
      <c r="AD4" s="248"/>
      <c r="AE4" s="248"/>
      <c r="AF4" s="248"/>
      <c r="AG4" s="248"/>
      <c r="AH4" s="248"/>
      <c r="AI4" s="248"/>
      <c r="AJ4" s="248"/>
      <c r="AK4" s="248"/>
      <c r="AL4" s="248"/>
      <c r="AM4" s="248"/>
      <c r="AN4" s="248"/>
      <c r="AO4" s="249"/>
      <c r="AP4" s="247" t="str">
        <f t="array" aca="1" ref="AP4" ca="1">RIGHT(CELL("filename",$A$1),LEN(CELL("filename",$A$1))-FIND("]",CELL("filename",$A$1)))</f>
        <v>業務フロー</v>
      </c>
      <c r="AQ4" s="248"/>
      <c r="AR4" s="248"/>
      <c r="AS4" s="248"/>
      <c r="AT4" s="248"/>
      <c r="AU4" s="248"/>
      <c r="AV4" s="248"/>
      <c r="AW4" s="248"/>
      <c r="AX4" s="248"/>
      <c r="AY4" s="248"/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49"/>
    </row>
    <row r="5" spans="1:63" ht="5.0999999999999996" customHeight="1" x14ac:dyDescent="0.25">
      <c r="A5" s="37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9"/>
    </row>
    <row r="6" spans="1:63" ht="15" customHeight="1" x14ac:dyDescent="0.25">
      <c r="A6" s="40"/>
      <c r="B6" s="41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3"/>
      <c r="AF6" s="41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3"/>
      <c r="BJ6" s="42"/>
      <c r="BK6" s="44"/>
    </row>
    <row r="7" spans="1:63" ht="15" customHeight="1" x14ac:dyDescent="0.25">
      <c r="A7" s="40"/>
      <c r="B7" s="45" t="s">
        <v>100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7"/>
      <c r="AF7" s="45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7"/>
      <c r="BJ7" s="46"/>
      <c r="BK7" s="44"/>
    </row>
    <row r="8" spans="1:63" ht="15" customHeight="1" x14ac:dyDescent="0.25">
      <c r="A8" s="40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3"/>
      <c r="AF8" s="41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3"/>
      <c r="BJ8" s="42"/>
      <c r="BK8" s="44"/>
    </row>
    <row r="9" spans="1:63" ht="15" customHeight="1" x14ac:dyDescent="0.25">
      <c r="A9" s="40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3"/>
      <c r="AF9" s="41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3"/>
      <c r="BJ9" s="42"/>
      <c r="BK9" s="44"/>
    </row>
    <row r="10" spans="1:63" ht="15" customHeight="1" x14ac:dyDescent="0.25">
      <c r="A10" s="40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3"/>
      <c r="AF10" s="41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3"/>
      <c r="BJ10" s="42"/>
      <c r="BK10" s="44"/>
    </row>
    <row r="11" spans="1:63" ht="15" customHeight="1" x14ac:dyDescent="0.25">
      <c r="A11" s="40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3"/>
      <c r="AF11" s="41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3"/>
      <c r="BJ11" s="42"/>
      <c r="BK11" s="44"/>
    </row>
    <row r="12" spans="1:63" ht="15" customHeight="1" x14ac:dyDescent="0.25">
      <c r="A12" s="40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3"/>
      <c r="AF12" s="41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3"/>
      <c r="BJ12" s="42"/>
      <c r="BK12" s="44"/>
    </row>
    <row r="13" spans="1:63" ht="15" customHeight="1" x14ac:dyDescent="0.25">
      <c r="A13" s="40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3"/>
      <c r="AF13" s="41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3"/>
      <c r="BJ13" s="42"/>
      <c r="BK13" s="44"/>
    </row>
    <row r="14" spans="1:63" ht="15" customHeight="1" x14ac:dyDescent="0.25">
      <c r="A14" s="40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3"/>
      <c r="AF14" s="41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3"/>
      <c r="BJ14" s="42"/>
      <c r="BK14" s="44"/>
    </row>
    <row r="15" spans="1:63" ht="15" customHeight="1" x14ac:dyDescent="0.25">
      <c r="A15" s="40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3"/>
      <c r="AF15" s="41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3"/>
      <c r="BJ15" s="42"/>
      <c r="BK15" s="44"/>
    </row>
    <row r="16" spans="1:63" ht="15" customHeight="1" x14ac:dyDescent="0.25">
      <c r="A16" s="40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3"/>
      <c r="AF16" s="41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3"/>
      <c r="BJ16" s="42"/>
      <c r="BK16" s="44"/>
    </row>
    <row r="17" spans="1:63" ht="15" customHeight="1" x14ac:dyDescent="0.25">
      <c r="A17" s="40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3"/>
      <c r="AF17" s="41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3"/>
      <c r="BJ17" s="42"/>
      <c r="BK17" s="44"/>
    </row>
    <row r="18" spans="1:63" ht="15" customHeight="1" x14ac:dyDescent="0.25">
      <c r="A18" s="40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3"/>
      <c r="AF18" s="41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3"/>
      <c r="BJ18" s="42"/>
      <c r="BK18" s="44"/>
    </row>
    <row r="19" spans="1:63" ht="15" customHeight="1" x14ac:dyDescent="0.25">
      <c r="A19" s="40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3"/>
      <c r="AF19" s="41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3"/>
      <c r="BJ19" s="42"/>
      <c r="BK19" s="44"/>
    </row>
    <row r="20" spans="1:63" ht="15" customHeight="1" x14ac:dyDescent="0.25">
      <c r="A20" s="40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3"/>
      <c r="AF20" s="41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3"/>
      <c r="BJ20" s="42"/>
      <c r="BK20" s="44"/>
    </row>
    <row r="21" spans="1:63" ht="15" customHeight="1" x14ac:dyDescent="0.25">
      <c r="A21" s="40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3"/>
      <c r="AF21" s="41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3"/>
      <c r="BJ21" s="42"/>
      <c r="BK21" s="44"/>
    </row>
    <row r="22" spans="1:63" ht="15" customHeight="1" x14ac:dyDescent="0.25">
      <c r="A22" s="40"/>
      <c r="B22" s="45" t="s">
        <v>101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7"/>
      <c r="AF22" s="45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7"/>
      <c r="BJ22" s="46"/>
      <c r="BK22" s="44"/>
    </row>
    <row r="23" spans="1:63" ht="15" customHeight="1" x14ac:dyDescent="0.25">
      <c r="A23" s="40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3"/>
      <c r="AF23" s="41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3"/>
      <c r="BJ23" s="42"/>
      <c r="BK23" s="44"/>
    </row>
    <row r="24" spans="1:63" ht="15" customHeight="1" x14ac:dyDescent="0.25">
      <c r="A24" s="40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3"/>
      <c r="AF24" s="41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3"/>
      <c r="BJ24" s="42"/>
      <c r="BK24" s="44"/>
    </row>
    <row r="25" spans="1:63" ht="15" customHeight="1" x14ac:dyDescent="0.25">
      <c r="A25" s="40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3"/>
      <c r="AF25" s="41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3"/>
      <c r="BJ25" s="42"/>
      <c r="BK25" s="44"/>
    </row>
    <row r="26" spans="1:63" ht="15" customHeight="1" x14ac:dyDescent="0.25">
      <c r="A26" s="40"/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3"/>
      <c r="AF26" s="41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3"/>
      <c r="BJ26" s="42"/>
      <c r="BK26" s="44"/>
    </row>
    <row r="27" spans="1:63" ht="15" customHeight="1" x14ac:dyDescent="0.25">
      <c r="A27" s="4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3"/>
      <c r="AF27" s="41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3"/>
      <c r="BJ27" s="42"/>
      <c r="BK27" s="44"/>
    </row>
    <row r="28" spans="1:63" ht="15" customHeight="1" x14ac:dyDescent="0.25">
      <c r="A28" s="40"/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3"/>
      <c r="AF28" s="41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3"/>
      <c r="BJ28" s="42"/>
      <c r="BK28" s="44"/>
    </row>
    <row r="29" spans="1:63" ht="15" customHeight="1" x14ac:dyDescent="0.25">
      <c r="A29" s="4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3"/>
      <c r="AF29" s="41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3"/>
      <c r="BJ29" s="42"/>
      <c r="BK29" s="44"/>
    </row>
    <row r="30" spans="1:63" ht="15" customHeight="1" x14ac:dyDescent="0.25">
      <c r="A30" s="40"/>
      <c r="B30" s="41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3"/>
      <c r="AF30" s="41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3"/>
      <c r="BJ30" s="42"/>
      <c r="BK30" s="44"/>
    </row>
    <row r="31" spans="1:63" ht="15" customHeight="1" x14ac:dyDescent="0.25">
      <c r="A31" s="40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3"/>
      <c r="AF31" s="41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3"/>
      <c r="BJ31" s="42"/>
      <c r="BK31" s="44"/>
    </row>
    <row r="32" spans="1:63" ht="15" customHeight="1" x14ac:dyDescent="0.25">
      <c r="A32" s="40"/>
      <c r="B32" s="41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3"/>
      <c r="AF32" s="41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3"/>
      <c r="BJ32" s="42"/>
      <c r="BK32" s="44"/>
    </row>
    <row r="33" spans="1:63" ht="15" customHeight="1" x14ac:dyDescent="0.25">
      <c r="A33" s="40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3"/>
      <c r="AF33" s="41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3"/>
      <c r="BJ33" s="42"/>
      <c r="BK33" s="44"/>
    </row>
    <row r="34" spans="1:63" ht="15" customHeight="1" x14ac:dyDescent="0.25">
      <c r="A34" s="40"/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3"/>
      <c r="AF34" s="41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3"/>
      <c r="BJ34" s="42"/>
      <c r="BK34" s="44"/>
    </row>
    <row r="35" spans="1:63" ht="15" customHeight="1" x14ac:dyDescent="0.25">
      <c r="A35" s="40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3"/>
      <c r="AF35" s="41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3"/>
      <c r="BJ35" s="42"/>
      <c r="BK35" s="44"/>
    </row>
    <row r="36" spans="1:63" ht="15" customHeight="1" x14ac:dyDescent="0.25">
      <c r="A36" s="40"/>
      <c r="B36" s="41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3"/>
      <c r="AF36" s="41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3"/>
      <c r="BJ36" s="42"/>
      <c r="BK36" s="44"/>
    </row>
    <row r="37" spans="1:63" ht="15" customHeight="1" x14ac:dyDescent="0.25">
      <c r="A37" s="4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1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3"/>
      <c r="BJ37" s="42"/>
      <c r="BK37" s="44"/>
    </row>
    <row r="38" spans="1:63" ht="15" customHeight="1" x14ac:dyDescent="0.25">
      <c r="A38" s="40"/>
      <c r="B38" s="41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1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3"/>
      <c r="BJ38" s="42"/>
      <c r="BK38" s="44"/>
    </row>
    <row r="39" spans="1:63" ht="15" customHeight="1" x14ac:dyDescent="0.25">
      <c r="A39" s="40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1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3"/>
      <c r="BJ39" s="42"/>
      <c r="BK39" s="44"/>
    </row>
    <row r="40" spans="1:63" ht="15" customHeight="1" x14ac:dyDescent="0.25">
      <c r="A40" s="40"/>
      <c r="B40" s="41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1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3"/>
      <c r="BJ40" s="42"/>
      <c r="BK40" s="44"/>
    </row>
    <row r="41" spans="1:63" ht="15" customHeight="1" x14ac:dyDescent="0.25">
      <c r="A41" s="40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1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3"/>
      <c r="BJ41" s="42"/>
      <c r="BK41" s="44"/>
    </row>
    <row r="42" spans="1:63" ht="15" customHeight="1" x14ac:dyDescent="0.25">
      <c r="A42" s="40"/>
      <c r="B42" s="45" t="s">
        <v>102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7"/>
      <c r="AF42" s="45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7"/>
      <c r="BJ42" s="46"/>
      <c r="BK42" s="44"/>
    </row>
    <row r="43" spans="1:63" ht="15" customHeight="1" x14ac:dyDescent="0.25">
      <c r="A43" s="4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3"/>
      <c r="AF43" s="41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3"/>
      <c r="BJ43" s="42"/>
      <c r="BK43" s="44"/>
    </row>
    <row r="44" spans="1:63" ht="15" customHeight="1" x14ac:dyDescent="0.25">
      <c r="A44" s="40"/>
      <c r="B44" s="41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3"/>
      <c r="AF44" s="41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3"/>
      <c r="BJ44" s="42"/>
      <c r="BK44" s="44"/>
    </row>
    <row r="45" spans="1:63" ht="15" customHeight="1" x14ac:dyDescent="0.25">
      <c r="A45" s="40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3"/>
      <c r="AF45" s="41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3"/>
      <c r="BJ45" s="42"/>
      <c r="BK45" s="44"/>
    </row>
    <row r="46" spans="1:63" ht="15" customHeight="1" x14ac:dyDescent="0.25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3"/>
      <c r="AF46" s="41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3"/>
      <c r="BJ46" s="42"/>
      <c r="BK46" s="44"/>
    </row>
    <row r="47" spans="1:63" ht="15" customHeight="1" x14ac:dyDescent="0.25">
      <c r="A47" s="4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3"/>
      <c r="AF47" s="41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3"/>
      <c r="BJ47" s="42"/>
      <c r="BK47" s="44"/>
    </row>
    <row r="48" spans="1:63" ht="15" customHeight="1" x14ac:dyDescent="0.25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3"/>
      <c r="AF48" s="41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3"/>
      <c r="BJ48" s="42"/>
      <c r="BK48" s="44"/>
    </row>
    <row r="49" spans="1:63" ht="15" customHeight="1" x14ac:dyDescent="0.25">
      <c r="A49" s="40"/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1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3"/>
      <c r="BJ49" s="42"/>
      <c r="BK49" s="44"/>
    </row>
    <row r="50" spans="1:63" ht="15" customHeight="1" x14ac:dyDescent="0.25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1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3"/>
      <c r="BJ50" s="42"/>
      <c r="BK50" s="44"/>
    </row>
    <row r="51" spans="1:63" ht="15" customHeight="1" x14ac:dyDescent="0.25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1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3"/>
      <c r="BJ51" s="42"/>
      <c r="BK51" s="44"/>
    </row>
    <row r="52" spans="1:63" ht="15" customHeight="1" x14ac:dyDescent="0.25">
      <c r="A52" s="40"/>
      <c r="B52" s="41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1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3"/>
      <c r="BJ52" s="42"/>
      <c r="BK52" s="44"/>
    </row>
    <row r="53" spans="1:63" ht="15" customHeight="1" x14ac:dyDescent="0.25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1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3"/>
      <c r="BJ53" s="42"/>
      <c r="BK53" s="44"/>
    </row>
    <row r="54" spans="1:63" ht="15" customHeight="1" x14ac:dyDescent="0.25">
      <c r="A54" s="40"/>
      <c r="B54" s="41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1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3"/>
      <c r="BJ54" s="42"/>
      <c r="BK54" s="44"/>
    </row>
    <row r="55" spans="1:63" ht="15" customHeight="1" x14ac:dyDescent="0.25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1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3"/>
      <c r="BJ55" s="42"/>
      <c r="BK55" s="44"/>
    </row>
    <row r="56" spans="1:63" ht="15" customHeight="1" x14ac:dyDescent="0.25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1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3"/>
      <c r="BJ56" s="42"/>
      <c r="BK56" s="44"/>
    </row>
    <row r="57" spans="1:63" ht="15" customHeight="1" x14ac:dyDescent="0.25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1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3"/>
      <c r="BJ57" s="42"/>
      <c r="BK57" s="44"/>
    </row>
    <row r="58" spans="1:63" ht="15" customHeight="1" x14ac:dyDescent="0.25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1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3"/>
      <c r="BJ58" s="42"/>
      <c r="BK58" s="44"/>
    </row>
    <row r="59" spans="1:63" ht="15" customHeight="1" x14ac:dyDescent="0.25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1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3"/>
      <c r="BJ59" s="42"/>
      <c r="BK59" s="44"/>
    </row>
    <row r="60" spans="1:63" ht="15" customHeight="1" x14ac:dyDescent="0.25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1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3"/>
      <c r="BJ60" s="42"/>
      <c r="BK60" s="44"/>
    </row>
    <row r="61" spans="1:63" ht="15" customHeight="1" x14ac:dyDescent="0.25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1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3"/>
      <c r="BJ61" s="42"/>
      <c r="BK61" s="44"/>
    </row>
    <row r="62" spans="1:63" ht="15" customHeight="1" x14ac:dyDescent="0.25">
      <c r="A62" s="48"/>
      <c r="B62" s="49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50"/>
      <c r="AF62" s="49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50"/>
      <c r="BJ62" s="48"/>
      <c r="BK62" s="51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30" customWidth="1"/>
    <col min="66" max="16384" width="2.77734375" style="30"/>
  </cols>
  <sheetData>
    <row r="1" spans="1:65" ht="24.95" customHeight="1" x14ac:dyDescent="0.25">
      <c r="A1" s="118" t="s">
        <v>77</v>
      </c>
      <c r="B1" s="119"/>
      <c r="C1" s="119"/>
      <c r="D1" s="119"/>
      <c r="E1" s="119"/>
      <c r="F1" s="119"/>
      <c r="G1" s="119"/>
      <c r="H1" s="119"/>
      <c r="I1" s="119"/>
      <c r="J1" s="120"/>
      <c r="K1" s="118" t="s">
        <v>78</v>
      </c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1" t="str">
        <f>IF(表紙!W1="","",表紙!W1)</f>
        <v>基本設計書</v>
      </c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3"/>
      <c r="AP1" s="118" t="s">
        <v>79</v>
      </c>
      <c r="AQ1" s="119"/>
      <c r="AR1" s="119"/>
      <c r="AS1" s="120"/>
      <c r="AT1" s="118" t="s">
        <v>80</v>
      </c>
      <c r="AU1" s="119"/>
      <c r="AV1" s="119"/>
      <c r="AW1" s="119"/>
      <c r="AX1" s="120"/>
      <c r="AY1" s="118" t="s">
        <v>81</v>
      </c>
      <c r="AZ1" s="119"/>
      <c r="BA1" s="119"/>
      <c r="BB1" s="120"/>
      <c r="BC1" s="118" t="s">
        <v>82</v>
      </c>
      <c r="BD1" s="119"/>
      <c r="BE1" s="119"/>
      <c r="BF1" s="119"/>
      <c r="BG1" s="120"/>
      <c r="BH1" s="118" t="s">
        <v>83</v>
      </c>
      <c r="BI1" s="119"/>
      <c r="BJ1" s="119"/>
      <c r="BK1" s="120"/>
    </row>
    <row r="2" spans="1:65" ht="15" customHeight="1" x14ac:dyDescent="0.25">
      <c r="A2" s="133" t="str">
        <f>IF(表紙!A2="","",表紙!A2)</f>
        <v>POSサーバー</v>
      </c>
      <c r="B2" s="134"/>
      <c r="C2" s="134"/>
      <c r="D2" s="134"/>
      <c r="E2" s="134"/>
      <c r="F2" s="134"/>
      <c r="G2" s="134"/>
      <c r="H2" s="134"/>
      <c r="I2" s="134"/>
      <c r="J2" s="135"/>
      <c r="K2" s="133" t="str">
        <f>IF(表紙!K2="","",表紙!K2)</f>
        <v>POSサーバ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5"/>
      <c r="W2" s="124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6"/>
      <c r="AP2" s="133" t="str">
        <f>IF(表紙!AP2="","",表紙!AP2)</f>
        <v>LoiLV</v>
      </c>
      <c r="AQ2" s="134"/>
      <c r="AR2" s="134"/>
      <c r="AS2" s="135"/>
      <c r="AT2" s="139">
        <f>IF(表紙!AT2="","",表紙!AT2)</f>
        <v>45415</v>
      </c>
      <c r="AU2" s="140"/>
      <c r="AV2" s="140"/>
      <c r="AW2" s="140"/>
      <c r="AX2" s="141"/>
      <c r="AY2" s="133" t="str">
        <f>IF(表紙!AY2="","",表紙!AY2)</f>
        <v>DuNT</v>
      </c>
      <c r="AZ2" s="134"/>
      <c r="BA2" s="134"/>
      <c r="BB2" s="135"/>
      <c r="BC2" s="139">
        <f>IF(表紙!BC2="","",表紙!BC2)</f>
        <v>45546</v>
      </c>
      <c r="BD2" s="140"/>
      <c r="BE2" s="140"/>
      <c r="BF2" s="140"/>
      <c r="BG2" s="141"/>
      <c r="BH2" s="133">
        <f>IF(表紙!BH2="","",表紙!BH2)</f>
        <v>0.81</v>
      </c>
      <c r="BI2" s="134"/>
      <c r="BJ2" s="134"/>
      <c r="BK2" s="135"/>
    </row>
    <row r="3" spans="1:65" ht="15" customHeight="1" x14ac:dyDescent="0.25">
      <c r="A3" s="136"/>
      <c r="B3" s="137"/>
      <c r="C3" s="137"/>
      <c r="D3" s="137"/>
      <c r="E3" s="137"/>
      <c r="F3" s="137"/>
      <c r="G3" s="137"/>
      <c r="H3" s="137"/>
      <c r="I3" s="137"/>
      <c r="J3" s="138"/>
      <c r="K3" s="136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8"/>
      <c r="W3" s="127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9"/>
      <c r="AP3" s="136"/>
      <c r="AQ3" s="137"/>
      <c r="AR3" s="137"/>
      <c r="AS3" s="138"/>
      <c r="AT3" s="142"/>
      <c r="AU3" s="143"/>
      <c r="AV3" s="143"/>
      <c r="AW3" s="143"/>
      <c r="AX3" s="144"/>
      <c r="AY3" s="136"/>
      <c r="AZ3" s="137"/>
      <c r="BA3" s="137"/>
      <c r="BB3" s="138"/>
      <c r="BC3" s="142"/>
      <c r="BD3" s="143"/>
      <c r="BE3" s="143"/>
      <c r="BF3" s="143"/>
      <c r="BG3" s="144"/>
      <c r="BH3" s="136"/>
      <c r="BI3" s="137"/>
      <c r="BJ3" s="137"/>
      <c r="BK3" s="138"/>
    </row>
    <row r="4" spans="1:65" ht="24.95" customHeight="1" x14ac:dyDescent="0.25">
      <c r="A4" s="118" t="s">
        <v>103</v>
      </c>
      <c r="B4" s="119"/>
      <c r="C4" s="119"/>
      <c r="D4" s="119"/>
      <c r="E4" s="119"/>
      <c r="F4" s="119"/>
      <c r="G4" s="120"/>
      <c r="H4" s="130" t="str">
        <f>IF(表紙!H4="","",表紙!H4)</f>
        <v>06_1, 7, 8 定番変更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18" t="s">
        <v>85</v>
      </c>
      <c r="V4" s="119"/>
      <c r="W4" s="119"/>
      <c r="X4" s="119"/>
      <c r="Y4" s="120"/>
      <c r="Z4" s="130" t="str">
        <f>IF(表紙!Z4="","",表紙!Z4)</f>
        <v>概要設計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0" t="str">
        <f t="array" aca="1" ref="AP4" ca="1">RIGHT(CELL("filename",$A$1),LEN(CELL("filename",$A$1))-FIND("]",CELL("filename",$A$1)))</f>
        <v>機能概要説明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5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5" ht="15" customHeight="1" x14ac:dyDescent="0.25">
      <c r="A6" s="34"/>
      <c r="BK6" s="35"/>
    </row>
    <row r="7" spans="1:65" ht="15" customHeight="1" x14ac:dyDescent="0.25">
      <c r="A7" s="34"/>
      <c r="C7" s="30" t="s">
        <v>35</v>
      </c>
      <c r="K7" s="52"/>
      <c r="BK7" s="35"/>
      <c r="BM7" s="16">
        <f t="shared" ref="BM7:BM11" si="0">IF(BM6=50,1,BM6+1)</f>
        <v>1</v>
      </c>
    </row>
    <row r="8" spans="1:65" ht="15" customHeight="1" x14ac:dyDescent="0.25">
      <c r="A8" s="34"/>
      <c r="D8" s="30" t="s">
        <v>38</v>
      </c>
      <c r="K8" s="52"/>
      <c r="BK8" s="35"/>
      <c r="BM8" s="16">
        <f t="shared" si="0"/>
        <v>2</v>
      </c>
    </row>
    <row r="9" spans="1:65" ht="15" customHeight="1" x14ac:dyDescent="0.25">
      <c r="A9" s="34"/>
      <c r="D9" s="30" t="s">
        <v>37</v>
      </c>
      <c r="K9" s="52"/>
      <c r="BK9" s="35"/>
      <c r="BM9" s="16">
        <f>IF(BM8=50,1,BM8+1)</f>
        <v>3</v>
      </c>
    </row>
    <row r="10" spans="1:65" ht="15" customHeight="1" x14ac:dyDescent="0.25">
      <c r="A10" s="34"/>
      <c r="D10" s="30" t="s">
        <v>41</v>
      </c>
      <c r="K10" s="52"/>
      <c r="BK10" s="35"/>
      <c r="BM10" s="16">
        <f t="shared" si="0"/>
        <v>4</v>
      </c>
    </row>
    <row r="11" spans="1:65" s="52" customFormat="1" ht="15" customHeight="1" x14ac:dyDescent="0.25">
      <c r="A11" s="53"/>
      <c r="D11" s="52" t="s">
        <v>39</v>
      </c>
      <c r="BK11" s="54"/>
      <c r="BM11" s="16">
        <f t="shared" si="0"/>
        <v>5</v>
      </c>
    </row>
    <row r="12" spans="1:65" s="52" customFormat="1" ht="15" customHeight="1" x14ac:dyDescent="0.25">
      <c r="A12" s="53"/>
      <c r="BK12" s="54"/>
      <c r="BM12" s="16">
        <f t="shared" ref="BM12:BM44" si="1">IF(BM11=50,1,BM11+1)</f>
        <v>6</v>
      </c>
    </row>
    <row r="13" spans="1:65" s="52" customFormat="1" ht="15" customHeight="1" x14ac:dyDescent="0.25">
      <c r="A13" s="53"/>
      <c r="BK13" s="54"/>
      <c r="BM13" s="16">
        <f t="shared" si="1"/>
        <v>7</v>
      </c>
    </row>
    <row r="14" spans="1:65" s="52" customFormat="1" ht="15" customHeight="1" x14ac:dyDescent="0.25">
      <c r="A14" s="53"/>
      <c r="BK14" s="54"/>
      <c r="BM14" s="16">
        <f t="shared" si="1"/>
        <v>8</v>
      </c>
    </row>
    <row r="15" spans="1:65" s="52" customFormat="1" ht="15" customHeight="1" x14ac:dyDescent="0.25">
      <c r="A15" s="53"/>
      <c r="BK15" s="54"/>
      <c r="BM15" s="16">
        <f t="shared" si="1"/>
        <v>9</v>
      </c>
    </row>
    <row r="16" spans="1:65" s="52" customFormat="1" ht="15" customHeight="1" x14ac:dyDescent="0.25">
      <c r="A16" s="53"/>
      <c r="BK16" s="54"/>
      <c r="BM16" s="16">
        <f t="shared" si="1"/>
        <v>10</v>
      </c>
    </row>
    <row r="17" spans="1:65" s="52" customFormat="1" ht="15" customHeight="1" x14ac:dyDescent="0.25">
      <c r="A17" s="53"/>
      <c r="BK17" s="54"/>
      <c r="BM17" s="16">
        <f t="shared" si="1"/>
        <v>11</v>
      </c>
    </row>
    <row r="18" spans="1:65" s="52" customFormat="1" ht="15" customHeight="1" x14ac:dyDescent="0.25">
      <c r="A18" s="53"/>
      <c r="BK18" s="54"/>
      <c r="BM18" s="16">
        <f t="shared" si="1"/>
        <v>12</v>
      </c>
    </row>
    <row r="19" spans="1:65" s="52" customFormat="1" ht="15" customHeight="1" x14ac:dyDescent="0.25">
      <c r="A19" s="53"/>
      <c r="BK19" s="54"/>
      <c r="BM19" s="16">
        <f t="shared" si="1"/>
        <v>13</v>
      </c>
    </row>
    <row r="20" spans="1:65" s="52" customFormat="1" ht="15" customHeight="1" x14ac:dyDescent="0.25">
      <c r="A20" s="53"/>
      <c r="BK20" s="54"/>
      <c r="BM20" s="16">
        <f t="shared" si="1"/>
        <v>14</v>
      </c>
    </row>
    <row r="21" spans="1:65" s="52" customFormat="1" ht="15" customHeight="1" x14ac:dyDescent="0.25">
      <c r="A21" s="53"/>
      <c r="BK21" s="54"/>
      <c r="BM21" s="16">
        <f t="shared" si="1"/>
        <v>15</v>
      </c>
    </row>
    <row r="22" spans="1:65" s="52" customFormat="1" ht="15" customHeight="1" x14ac:dyDescent="0.25">
      <c r="A22" s="53"/>
      <c r="BK22" s="54"/>
      <c r="BM22" s="16">
        <f t="shared" si="1"/>
        <v>16</v>
      </c>
    </row>
    <row r="23" spans="1:65" s="52" customFormat="1" ht="15" customHeight="1" x14ac:dyDescent="0.25">
      <c r="A23" s="53"/>
      <c r="BK23" s="54"/>
      <c r="BM23" s="16">
        <f t="shared" si="1"/>
        <v>17</v>
      </c>
    </row>
    <row r="24" spans="1:65" s="52" customFormat="1" ht="15" customHeight="1" x14ac:dyDescent="0.25">
      <c r="A24" s="53"/>
      <c r="BK24" s="54"/>
      <c r="BM24" s="16">
        <f t="shared" si="1"/>
        <v>18</v>
      </c>
    </row>
    <row r="25" spans="1:65" s="52" customFormat="1" ht="15" customHeight="1" x14ac:dyDescent="0.25">
      <c r="A25" s="53"/>
      <c r="BK25" s="54"/>
      <c r="BM25" s="16">
        <f t="shared" si="1"/>
        <v>19</v>
      </c>
    </row>
    <row r="26" spans="1:65" s="52" customFormat="1" ht="15" customHeight="1" x14ac:dyDescent="0.25">
      <c r="A26" s="53"/>
      <c r="BK26" s="54"/>
      <c r="BM26" s="16">
        <f t="shared" si="1"/>
        <v>20</v>
      </c>
    </row>
    <row r="27" spans="1:65" s="52" customFormat="1" ht="15" customHeight="1" x14ac:dyDescent="0.25">
      <c r="A27" s="53"/>
      <c r="BK27" s="54"/>
      <c r="BM27" s="16">
        <f t="shared" si="1"/>
        <v>21</v>
      </c>
    </row>
    <row r="28" spans="1:65" s="52" customFormat="1" ht="15" customHeight="1" x14ac:dyDescent="0.25">
      <c r="A28" s="53"/>
      <c r="BK28" s="54"/>
      <c r="BM28" s="16">
        <f t="shared" si="1"/>
        <v>22</v>
      </c>
    </row>
    <row r="29" spans="1:65" s="52" customFormat="1" ht="15" customHeight="1" x14ac:dyDescent="0.25">
      <c r="A29" s="53"/>
      <c r="BK29" s="54"/>
      <c r="BM29" s="16">
        <f t="shared" si="1"/>
        <v>23</v>
      </c>
    </row>
    <row r="30" spans="1:65" s="52" customFormat="1" ht="15" customHeight="1" x14ac:dyDescent="0.25">
      <c r="A30" s="53"/>
      <c r="BK30" s="54"/>
      <c r="BM30" s="16">
        <f t="shared" si="1"/>
        <v>24</v>
      </c>
    </row>
    <row r="31" spans="1:65" s="52" customFormat="1" ht="15" customHeight="1" x14ac:dyDescent="0.25">
      <c r="A31" s="53"/>
      <c r="BK31" s="54"/>
      <c r="BM31" s="16">
        <f t="shared" si="1"/>
        <v>25</v>
      </c>
    </row>
    <row r="32" spans="1:65" s="52" customFormat="1" ht="15" customHeight="1" x14ac:dyDescent="0.25">
      <c r="A32" s="53"/>
      <c r="BK32" s="54"/>
      <c r="BM32" s="16">
        <f t="shared" si="1"/>
        <v>26</v>
      </c>
    </row>
    <row r="33" spans="1:65" s="52" customFormat="1" ht="15" customHeight="1" x14ac:dyDescent="0.25">
      <c r="A33" s="53"/>
      <c r="BK33" s="54"/>
      <c r="BM33" s="16">
        <f t="shared" si="1"/>
        <v>27</v>
      </c>
    </row>
    <row r="34" spans="1:65" s="52" customFormat="1" ht="15" customHeight="1" x14ac:dyDescent="0.25">
      <c r="A34" s="53"/>
      <c r="BK34" s="54"/>
      <c r="BM34" s="16">
        <f t="shared" si="1"/>
        <v>28</v>
      </c>
    </row>
    <row r="35" spans="1:65" s="52" customFormat="1" ht="15" customHeight="1" x14ac:dyDescent="0.25">
      <c r="A35" s="53"/>
      <c r="BK35" s="54"/>
      <c r="BM35" s="16">
        <f t="shared" si="1"/>
        <v>29</v>
      </c>
    </row>
    <row r="36" spans="1:65" s="52" customFormat="1" ht="15" customHeight="1" x14ac:dyDescent="0.25">
      <c r="A36" s="53"/>
      <c r="BK36" s="54"/>
      <c r="BM36" s="16">
        <f t="shared" si="1"/>
        <v>30</v>
      </c>
    </row>
    <row r="37" spans="1:65" s="52" customFormat="1" ht="15" customHeight="1" x14ac:dyDescent="0.25">
      <c r="A37" s="53"/>
      <c r="BK37" s="54"/>
      <c r="BM37" s="16">
        <f t="shared" si="1"/>
        <v>31</v>
      </c>
    </row>
    <row r="38" spans="1:65" s="52" customFormat="1" ht="15" customHeight="1" x14ac:dyDescent="0.25">
      <c r="A38" s="53"/>
      <c r="BK38" s="54"/>
      <c r="BM38" s="16">
        <f t="shared" si="1"/>
        <v>32</v>
      </c>
    </row>
    <row r="39" spans="1:65" s="52" customFormat="1" ht="15" customHeight="1" x14ac:dyDescent="0.25">
      <c r="A39" s="53"/>
      <c r="BK39" s="54"/>
      <c r="BM39" s="16">
        <f t="shared" si="1"/>
        <v>33</v>
      </c>
    </row>
    <row r="40" spans="1:65" s="52" customFormat="1" ht="15" customHeight="1" x14ac:dyDescent="0.25">
      <c r="A40" s="53"/>
      <c r="BK40" s="54"/>
      <c r="BM40" s="16">
        <f t="shared" si="1"/>
        <v>34</v>
      </c>
    </row>
    <row r="41" spans="1:65" s="52" customFormat="1" ht="15" customHeight="1" x14ac:dyDescent="0.25">
      <c r="A41" s="53"/>
      <c r="BK41" s="54"/>
      <c r="BM41" s="16">
        <f t="shared" si="1"/>
        <v>35</v>
      </c>
    </row>
    <row r="42" spans="1:65" s="52" customFormat="1" ht="15" customHeight="1" x14ac:dyDescent="0.25">
      <c r="A42" s="53"/>
      <c r="BK42" s="54"/>
      <c r="BM42" s="16">
        <f t="shared" si="1"/>
        <v>36</v>
      </c>
    </row>
    <row r="43" spans="1:65" s="52" customFormat="1" ht="15" customHeight="1" x14ac:dyDescent="0.25">
      <c r="A43" s="53"/>
      <c r="BK43" s="54"/>
      <c r="BM43" s="16">
        <f t="shared" si="1"/>
        <v>37</v>
      </c>
    </row>
    <row r="44" spans="1:65" s="52" customFormat="1" ht="15" customHeight="1" x14ac:dyDescent="0.25">
      <c r="A44" s="53"/>
      <c r="BK44" s="54"/>
      <c r="BM44" s="16">
        <f t="shared" si="1"/>
        <v>38</v>
      </c>
    </row>
    <row r="45" spans="1:65" s="52" customFormat="1" ht="15" customHeight="1" x14ac:dyDescent="0.25">
      <c r="A45" s="53"/>
      <c r="BK45" s="54"/>
      <c r="BM45" s="16">
        <f t="shared" ref="BM45:BM57" si="2">IF(BM44=50,1,BM44+1)</f>
        <v>39</v>
      </c>
    </row>
    <row r="46" spans="1:65" s="52" customFormat="1" ht="15" customHeight="1" x14ac:dyDescent="0.25">
      <c r="A46" s="53"/>
      <c r="BK46" s="54"/>
      <c r="BM46" s="16">
        <f t="shared" si="2"/>
        <v>40</v>
      </c>
    </row>
    <row r="47" spans="1:65" s="52" customFormat="1" ht="15" customHeight="1" x14ac:dyDescent="0.25">
      <c r="A47" s="53"/>
      <c r="BK47" s="54"/>
      <c r="BM47" s="16">
        <f t="shared" si="2"/>
        <v>41</v>
      </c>
    </row>
    <row r="48" spans="1:65" s="52" customFormat="1" ht="15" customHeight="1" x14ac:dyDescent="0.25">
      <c r="A48" s="53"/>
      <c r="BK48" s="54"/>
      <c r="BM48" s="16">
        <f t="shared" si="2"/>
        <v>42</v>
      </c>
    </row>
    <row r="49" spans="1:65" s="52" customFormat="1" ht="15" customHeight="1" x14ac:dyDescent="0.25">
      <c r="A49" s="53"/>
      <c r="BK49" s="54"/>
      <c r="BM49" s="16">
        <f t="shared" si="2"/>
        <v>43</v>
      </c>
    </row>
    <row r="50" spans="1:65" s="52" customFormat="1" ht="15" customHeight="1" x14ac:dyDescent="0.25">
      <c r="A50" s="53"/>
      <c r="BK50" s="54"/>
      <c r="BM50" s="16">
        <f t="shared" si="2"/>
        <v>44</v>
      </c>
    </row>
    <row r="51" spans="1:65" s="52" customFormat="1" ht="15" customHeight="1" x14ac:dyDescent="0.25">
      <c r="A51" s="53"/>
      <c r="BK51" s="54"/>
      <c r="BM51" s="16">
        <f t="shared" si="2"/>
        <v>45</v>
      </c>
    </row>
    <row r="52" spans="1:65" s="52" customFormat="1" ht="15" customHeight="1" x14ac:dyDescent="0.25">
      <c r="A52" s="53"/>
      <c r="BK52" s="54"/>
      <c r="BM52" s="16">
        <f t="shared" si="2"/>
        <v>46</v>
      </c>
    </row>
    <row r="53" spans="1:65" s="52" customFormat="1" ht="15" customHeight="1" x14ac:dyDescent="0.25">
      <c r="A53" s="53"/>
      <c r="BK53" s="54"/>
      <c r="BM53" s="16">
        <f t="shared" si="2"/>
        <v>47</v>
      </c>
    </row>
    <row r="54" spans="1:65" s="52" customFormat="1" ht="15" customHeight="1" x14ac:dyDescent="0.25">
      <c r="A54" s="53"/>
      <c r="BK54" s="54"/>
      <c r="BM54" s="16">
        <f t="shared" si="2"/>
        <v>48</v>
      </c>
    </row>
    <row r="55" spans="1:65" s="52" customFormat="1" ht="15" customHeight="1" x14ac:dyDescent="0.25">
      <c r="A55" s="53"/>
      <c r="BK55" s="54"/>
      <c r="BM55" s="16">
        <f t="shared" si="2"/>
        <v>49</v>
      </c>
    </row>
    <row r="56" spans="1:65" s="52" customFormat="1" ht="15" customHeight="1" x14ac:dyDescent="0.25">
      <c r="A56" s="53"/>
      <c r="BK56" s="54"/>
      <c r="BM56" s="16">
        <f t="shared" si="2"/>
        <v>50</v>
      </c>
    </row>
    <row r="57" spans="1:65" s="52" customFormat="1" ht="15" customHeight="1" x14ac:dyDescent="0.25">
      <c r="A57" s="55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7"/>
      <c r="BM57" s="16">
        <f t="shared" si="2"/>
        <v>1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CB144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4" width="2.77734375" style="30" customWidth="1"/>
    <col min="65" max="65" width="3" style="30" bestFit="1" customWidth="1"/>
    <col min="66" max="67" width="2.77734375" style="30" customWidth="1"/>
    <col min="68" max="16384" width="2.77734375" style="30"/>
  </cols>
  <sheetData>
    <row r="1" spans="1:65" ht="24.95" customHeight="1" x14ac:dyDescent="0.25">
      <c r="A1" s="118" t="s">
        <v>77</v>
      </c>
      <c r="B1" s="119"/>
      <c r="C1" s="119"/>
      <c r="D1" s="119"/>
      <c r="E1" s="119"/>
      <c r="F1" s="119"/>
      <c r="G1" s="119"/>
      <c r="H1" s="119"/>
      <c r="I1" s="119"/>
      <c r="J1" s="120"/>
      <c r="K1" s="118" t="s">
        <v>78</v>
      </c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1" t="str">
        <f>IF(表紙!W1="","",表紙!W1)</f>
        <v>基本設計書</v>
      </c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3"/>
      <c r="AP1" s="118" t="s">
        <v>79</v>
      </c>
      <c r="AQ1" s="119"/>
      <c r="AR1" s="119"/>
      <c r="AS1" s="120"/>
      <c r="AT1" s="118" t="s">
        <v>80</v>
      </c>
      <c r="AU1" s="119"/>
      <c r="AV1" s="119"/>
      <c r="AW1" s="119"/>
      <c r="AX1" s="120"/>
      <c r="AY1" s="118" t="s">
        <v>81</v>
      </c>
      <c r="AZ1" s="119"/>
      <c r="BA1" s="119"/>
      <c r="BB1" s="120"/>
      <c r="BC1" s="118" t="s">
        <v>82</v>
      </c>
      <c r="BD1" s="119"/>
      <c r="BE1" s="119"/>
      <c r="BF1" s="119"/>
      <c r="BG1" s="120"/>
      <c r="BH1" s="118" t="s">
        <v>83</v>
      </c>
      <c r="BI1" s="119"/>
      <c r="BJ1" s="119"/>
      <c r="BK1" s="120"/>
    </row>
    <row r="2" spans="1:65" ht="15" customHeight="1" x14ac:dyDescent="0.25">
      <c r="A2" s="133" t="str">
        <f>IF(表紙!A2="","",表紙!A2)</f>
        <v>POSサーバー</v>
      </c>
      <c r="B2" s="134"/>
      <c r="C2" s="134"/>
      <c r="D2" s="134"/>
      <c r="E2" s="134"/>
      <c r="F2" s="134"/>
      <c r="G2" s="134"/>
      <c r="H2" s="134"/>
      <c r="I2" s="134"/>
      <c r="J2" s="135"/>
      <c r="K2" s="133" t="str">
        <f>IF(表紙!K2="","",表紙!K2)</f>
        <v>POSサーバ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5"/>
      <c r="W2" s="124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6"/>
      <c r="AP2" s="133" t="str">
        <f>IF(表紙!AP2="","",表紙!AP2)</f>
        <v>LoiLV</v>
      </c>
      <c r="AQ2" s="134"/>
      <c r="AR2" s="134"/>
      <c r="AS2" s="135"/>
      <c r="AT2" s="139">
        <f>IF(表紙!AT2="","",表紙!AT2)</f>
        <v>45415</v>
      </c>
      <c r="AU2" s="140"/>
      <c r="AV2" s="140"/>
      <c r="AW2" s="140"/>
      <c r="AX2" s="141"/>
      <c r="AY2" s="133" t="str">
        <f>IF(表紙!AY2="","",表紙!AY2)</f>
        <v>DuNT</v>
      </c>
      <c r="AZ2" s="134"/>
      <c r="BA2" s="134"/>
      <c r="BB2" s="135"/>
      <c r="BC2" s="139">
        <f>IF(表紙!BC2="","",表紙!BC2)</f>
        <v>45546</v>
      </c>
      <c r="BD2" s="140"/>
      <c r="BE2" s="140"/>
      <c r="BF2" s="140"/>
      <c r="BG2" s="141"/>
      <c r="BH2" s="133">
        <f>IF(表紙!BH2="","",表紙!BH2)</f>
        <v>0.81</v>
      </c>
      <c r="BI2" s="134"/>
      <c r="BJ2" s="134"/>
      <c r="BK2" s="135"/>
    </row>
    <row r="3" spans="1:65" ht="15" customHeight="1" x14ac:dyDescent="0.25">
      <c r="A3" s="136"/>
      <c r="B3" s="137"/>
      <c r="C3" s="137"/>
      <c r="D3" s="137"/>
      <c r="E3" s="137"/>
      <c r="F3" s="137"/>
      <c r="G3" s="137"/>
      <c r="H3" s="137"/>
      <c r="I3" s="137"/>
      <c r="J3" s="138"/>
      <c r="K3" s="136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8"/>
      <c r="W3" s="127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9"/>
      <c r="AP3" s="136"/>
      <c r="AQ3" s="137"/>
      <c r="AR3" s="137"/>
      <c r="AS3" s="138"/>
      <c r="AT3" s="142"/>
      <c r="AU3" s="143"/>
      <c r="AV3" s="143"/>
      <c r="AW3" s="143"/>
      <c r="AX3" s="144"/>
      <c r="AY3" s="136"/>
      <c r="AZ3" s="137"/>
      <c r="BA3" s="137"/>
      <c r="BB3" s="138"/>
      <c r="BC3" s="142"/>
      <c r="BD3" s="143"/>
      <c r="BE3" s="143"/>
      <c r="BF3" s="143"/>
      <c r="BG3" s="144"/>
      <c r="BH3" s="136"/>
      <c r="BI3" s="137"/>
      <c r="BJ3" s="137"/>
      <c r="BK3" s="138"/>
    </row>
    <row r="4" spans="1:65" ht="24.95" customHeight="1" x14ac:dyDescent="0.25">
      <c r="A4" s="118" t="s">
        <v>103</v>
      </c>
      <c r="B4" s="119"/>
      <c r="C4" s="119"/>
      <c r="D4" s="119"/>
      <c r="E4" s="119"/>
      <c r="F4" s="119"/>
      <c r="G4" s="120"/>
      <c r="H4" s="130" t="str">
        <f>IF(表紙!H4="","",表紙!H4)</f>
        <v>06_1, 7, 8 定番変更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18" t="s">
        <v>85</v>
      </c>
      <c r="V4" s="119"/>
      <c r="W4" s="119"/>
      <c r="X4" s="119"/>
      <c r="Y4" s="120"/>
      <c r="Z4" s="130" t="str">
        <f>IF(表紙!Z4="","",表紙!Z4)</f>
        <v>概要設計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0" t="str">
        <f t="array" aca="1" ref="AP4" ca="1">RIGHT(CELL("filename",$A$1),LEN(CELL("filename",$A$1))-FIND("]",CELL("filename",$A$1)))</f>
        <v>機能概要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5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5" ht="15" customHeight="1" x14ac:dyDescent="0.25">
      <c r="A6" s="34"/>
      <c r="BK6" s="35"/>
    </row>
    <row r="7" spans="1:65" ht="15" customHeight="1" x14ac:dyDescent="0.25">
      <c r="A7" s="34"/>
      <c r="B7" s="58" t="s">
        <v>104</v>
      </c>
      <c r="C7" s="59"/>
      <c r="D7" s="60"/>
      <c r="E7" s="60"/>
      <c r="F7" s="60"/>
      <c r="G7" s="60"/>
      <c r="H7" s="60"/>
      <c r="I7" s="60"/>
      <c r="J7" s="60"/>
      <c r="K7" s="61"/>
      <c r="L7" s="60"/>
      <c r="M7" s="60"/>
      <c r="N7" s="60"/>
      <c r="O7" s="60"/>
      <c r="P7" s="60"/>
      <c r="Q7" s="60"/>
      <c r="R7" s="60"/>
      <c r="S7" s="60"/>
      <c r="T7" s="61"/>
      <c r="U7" s="59"/>
      <c r="V7" s="60"/>
      <c r="W7" s="60"/>
      <c r="X7" s="60"/>
      <c r="Y7" s="60"/>
      <c r="Z7" s="60"/>
      <c r="AA7" s="60"/>
      <c r="AB7" s="60"/>
      <c r="AC7" s="61"/>
      <c r="AD7" s="59"/>
      <c r="AE7" s="60"/>
      <c r="AF7" s="60"/>
      <c r="AG7" s="60"/>
      <c r="AH7" s="60"/>
      <c r="AI7" s="60"/>
      <c r="AJ7" s="60"/>
      <c r="AK7" s="60"/>
      <c r="AL7" s="61"/>
      <c r="AM7" s="59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1"/>
      <c r="BJ7" s="60"/>
      <c r="BK7" s="35"/>
    </row>
    <row r="8" spans="1:65" ht="15" customHeight="1" x14ac:dyDescent="0.25">
      <c r="A8" s="34"/>
      <c r="B8" s="62"/>
      <c r="K8" s="66"/>
      <c r="U8" s="62"/>
      <c r="AD8" s="62"/>
      <c r="AM8" s="62"/>
      <c r="BI8" s="63"/>
      <c r="BK8" s="35"/>
      <c r="BM8" s="16">
        <f t="shared" ref="BM8:BM21" si="0">IF(BM7=50,1,BM7+1)</f>
        <v>1</v>
      </c>
    </row>
    <row r="9" spans="1:65" ht="15" customHeight="1" x14ac:dyDescent="0.25">
      <c r="A9" s="34"/>
      <c r="B9" s="62"/>
      <c r="K9" s="66"/>
      <c r="U9" s="62"/>
      <c r="AD9" s="62"/>
      <c r="AM9" s="62"/>
      <c r="BI9" s="63"/>
      <c r="BK9" s="35"/>
      <c r="BM9" s="16">
        <f t="shared" si="0"/>
        <v>2</v>
      </c>
    </row>
    <row r="10" spans="1:65" ht="15" customHeight="1" x14ac:dyDescent="0.25">
      <c r="A10" s="34"/>
      <c r="B10" s="62"/>
      <c r="K10" s="66"/>
      <c r="U10" s="62"/>
      <c r="AD10" s="62"/>
      <c r="AM10" s="62"/>
      <c r="BI10" s="63"/>
      <c r="BK10" s="35"/>
      <c r="BM10" s="16">
        <f t="shared" si="0"/>
        <v>3</v>
      </c>
    </row>
    <row r="11" spans="1:65" ht="15" customHeight="1" x14ac:dyDescent="0.25">
      <c r="A11" s="34"/>
      <c r="B11" s="62"/>
      <c r="K11" s="66"/>
      <c r="U11" s="62"/>
      <c r="AD11" s="62"/>
      <c r="AM11" s="62"/>
      <c r="BI11" s="63"/>
      <c r="BK11" s="35"/>
      <c r="BM11" s="16">
        <f t="shared" si="0"/>
        <v>4</v>
      </c>
    </row>
    <row r="12" spans="1:65" ht="15" customHeight="1" x14ac:dyDescent="0.25">
      <c r="A12" s="34"/>
      <c r="B12" s="62"/>
      <c r="K12" s="66"/>
      <c r="U12" s="62"/>
      <c r="AD12" s="62"/>
      <c r="AM12" s="62"/>
      <c r="BI12" s="63"/>
      <c r="BK12" s="35"/>
      <c r="BM12" s="16">
        <f t="shared" si="0"/>
        <v>5</v>
      </c>
    </row>
    <row r="13" spans="1:65" ht="15" customHeight="1" x14ac:dyDescent="0.25">
      <c r="A13" s="34"/>
      <c r="B13" s="62"/>
      <c r="K13" s="66"/>
      <c r="U13" s="62"/>
      <c r="AD13" s="62"/>
      <c r="AM13" s="62"/>
      <c r="BI13" s="63"/>
      <c r="BK13" s="35"/>
      <c r="BM13" s="16">
        <f t="shared" si="0"/>
        <v>6</v>
      </c>
    </row>
    <row r="14" spans="1:65" ht="15" customHeight="1" x14ac:dyDescent="0.25">
      <c r="A14" s="34"/>
      <c r="B14" s="62"/>
      <c r="K14" s="66"/>
      <c r="U14" s="62"/>
      <c r="AD14" s="62"/>
      <c r="AM14" s="62"/>
      <c r="BI14" s="63"/>
      <c r="BK14" s="35"/>
      <c r="BM14" s="16">
        <f t="shared" si="0"/>
        <v>7</v>
      </c>
    </row>
    <row r="15" spans="1:65" ht="15" customHeight="1" x14ac:dyDescent="0.25">
      <c r="A15" s="34"/>
      <c r="B15" s="62"/>
      <c r="K15" s="66"/>
      <c r="U15" s="62"/>
      <c r="AD15" s="62"/>
      <c r="AM15" s="62"/>
      <c r="BI15" s="63"/>
      <c r="BK15" s="35"/>
      <c r="BM15" s="16">
        <f t="shared" si="0"/>
        <v>8</v>
      </c>
    </row>
    <row r="16" spans="1:65" ht="15" customHeight="1" x14ac:dyDescent="0.25">
      <c r="A16" s="34"/>
      <c r="B16" s="62"/>
      <c r="K16" s="66"/>
      <c r="U16" s="62"/>
      <c r="AD16" s="62"/>
      <c r="AM16" s="62"/>
      <c r="BI16" s="63"/>
      <c r="BK16" s="35"/>
      <c r="BM16" s="16">
        <f t="shared" si="0"/>
        <v>9</v>
      </c>
    </row>
    <row r="17" spans="1:67" ht="15" customHeight="1" x14ac:dyDescent="0.25">
      <c r="A17" s="34"/>
      <c r="B17" s="62"/>
      <c r="K17" s="66"/>
      <c r="U17" s="62"/>
      <c r="AD17" s="62"/>
      <c r="AM17" s="62"/>
      <c r="BI17" s="63"/>
      <c r="BK17" s="35"/>
      <c r="BM17" s="16">
        <f t="shared" si="0"/>
        <v>10</v>
      </c>
    </row>
    <row r="18" spans="1:67" ht="15" customHeight="1" x14ac:dyDescent="0.25">
      <c r="A18" s="34"/>
      <c r="B18" s="62"/>
      <c r="K18" s="66"/>
      <c r="U18" s="62"/>
      <c r="AD18" s="62"/>
      <c r="AM18" s="62"/>
      <c r="BI18" s="63"/>
      <c r="BK18" s="35"/>
      <c r="BM18" s="16">
        <f t="shared" si="0"/>
        <v>11</v>
      </c>
    </row>
    <row r="19" spans="1:67" ht="15" customHeight="1" x14ac:dyDescent="0.25">
      <c r="A19" s="34"/>
      <c r="B19" s="62"/>
      <c r="K19" s="66"/>
      <c r="U19" s="62"/>
      <c r="AD19" s="62"/>
      <c r="AM19" s="62"/>
      <c r="BI19" s="63"/>
      <c r="BK19" s="35"/>
      <c r="BM19" s="16">
        <f t="shared" si="0"/>
        <v>12</v>
      </c>
    </row>
    <row r="20" spans="1:67" ht="15" customHeight="1" x14ac:dyDescent="0.25">
      <c r="A20" s="34"/>
      <c r="B20" s="62"/>
      <c r="K20" s="66"/>
      <c r="U20" s="62"/>
      <c r="AD20" s="62"/>
      <c r="AM20" s="62"/>
      <c r="BI20" s="63"/>
      <c r="BK20" s="35"/>
      <c r="BM20" s="16">
        <f t="shared" si="0"/>
        <v>13</v>
      </c>
    </row>
    <row r="21" spans="1:67" ht="15" customHeight="1" x14ac:dyDescent="0.25">
      <c r="A21" s="34"/>
      <c r="B21" s="62"/>
      <c r="K21" s="66"/>
      <c r="U21" s="62"/>
      <c r="AD21" s="62"/>
      <c r="AM21" s="62"/>
      <c r="BI21" s="63"/>
      <c r="BK21" s="35"/>
      <c r="BM21" s="16">
        <f t="shared" si="0"/>
        <v>14</v>
      </c>
    </row>
    <row r="22" spans="1:67" s="52" customFormat="1" ht="15" customHeight="1" x14ac:dyDescent="0.25">
      <c r="A22" s="53"/>
      <c r="B22" s="62"/>
      <c r="K22" s="66"/>
      <c r="L22" s="67"/>
      <c r="T22" s="66"/>
      <c r="U22" s="67"/>
      <c r="AC22" s="66"/>
      <c r="AD22" s="67"/>
      <c r="AL22" s="66"/>
      <c r="AM22" s="67"/>
      <c r="BI22" s="66"/>
      <c r="BK22" s="54"/>
      <c r="BM22" s="16">
        <f t="shared" ref="BM22:BM85" si="1">IF(BM21=50,1,BM21+1)</f>
        <v>15</v>
      </c>
    </row>
    <row r="23" spans="1:67" s="52" customFormat="1" ht="15" customHeight="1" x14ac:dyDescent="0.25">
      <c r="A23" s="53"/>
      <c r="B23" s="62"/>
      <c r="K23" s="66"/>
      <c r="L23" s="67"/>
      <c r="T23" s="66"/>
      <c r="U23" s="67"/>
      <c r="AC23" s="66"/>
      <c r="AD23" s="67"/>
      <c r="AL23" s="66"/>
      <c r="AM23" s="67"/>
      <c r="BI23" s="66"/>
      <c r="BK23" s="54"/>
      <c r="BM23" s="16">
        <f t="shared" si="1"/>
        <v>16</v>
      </c>
    </row>
    <row r="24" spans="1:67" s="52" customFormat="1" ht="15" customHeight="1" x14ac:dyDescent="0.25">
      <c r="A24" s="53"/>
      <c r="B24" s="62"/>
      <c r="K24" s="66"/>
      <c r="L24" s="67"/>
      <c r="T24" s="66"/>
      <c r="U24" s="67"/>
      <c r="AC24" s="66"/>
      <c r="AD24" s="67"/>
      <c r="AL24" s="66"/>
      <c r="AM24" s="67"/>
      <c r="BI24" s="66"/>
      <c r="BK24" s="54"/>
      <c r="BM24" s="16">
        <f t="shared" si="1"/>
        <v>17</v>
      </c>
    </row>
    <row r="25" spans="1:67" s="52" customFormat="1" ht="15" customHeight="1" x14ac:dyDescent="0.25">
      <c r="A25" s="53"/>
      <c r="B25" s="62"/>
      <c r="K25" s="66"/>
      <c r="L25" s="67"/>
      <c r="T25" s="66"/>
      <c r="U25" s="67"/>
      <c r="AC25" s="66"/>
      <c r="AD25" s="67"/>
      <c r="AL25" s="66"/>
      <c r="AM25" s="67"/>
      <c r="BI25" s="66"/>
      <c r="BK25" s="54"/>
      <c r="BM25" s="16">
        <f t="shared" si="1"/>
        <v>18</v>
      </c>
    </row>
    <row r="26" spans="1:67" s="52" customFormat="1" ht="15" customHeight="1" x14ac:dyDescent="0.25">
      <c r="A26" s="53"/>
      <c r="B26" s="62"/>
      <c r="K26" s="66"/>
      <c r="L26" s="67"/>
      <c r="T26" s="66"/>
      <c r="U26" s="67"/>
      <c r="AC26" s="66"/>
      <c r="AD26" s="67"/>
      <c r="AL26" s="66"/>
      <c r="AM26" s="67"/>
      <c r="BI26" s="66"/>
      <c r="BK26" s="54"/>
      <c r="BM26" s="16">
        <f t="shared" si="1"/>
        <v>19</v>
      </c>
    </row>
    <row r="27" spans="1:67" s="52" customFormat="1" ht="15" customHeight="1" x14ac:dyDescent="0.25">
      <c r="A27" s="53"/>
      <c r="B27" s="62"/>
      <c r="K27" s="66"/>
      <c r="L27" s="67"/>
      <c r="T27" s="66"/>
      <c r="U27" s="67"/>
      <c r="AC27" s="66"/>
      <c r="AD27" s="67"/>
      <c r="AL27" s="66"/>
      <c r="AM27" s="67"/>
      <c r="BI27" s="66"/>
      <c r="BK27" s="54"/>
      <c r="BM27" s="16">
        <f t="shared" si="1"/>
        <v>20</v>
      </c>
    </row>
    <row r="28" spans="1:67" s="52" customFormat="1" ht="15" customHeight="1" x14ac:dyDescent="0.25">
      <c r="A28" s="53"/>
      <c r="B28" s="62"/>
      <c r="K28" s="66"/>
      <c r="L28" s="67"/>
      <c r="T28" s="66"/>
      <c r="U28" s="67"/>
      <c r="AC28" s="66"/>
      <c r="AD28" s="67"/>
      <c r="AL28" s="66"/>
      <c r="AM28" s="67"/>
      <c r="BI28" s="66"/>
      <c r="BK28" s="54"/>
      <c r="BM28" s="16">
        <f t="shared" si="1"/>
        <v>21</v>
      </c>
    </row>
    <row r="29" spans="1:67" s="52" customFormat="1" ht="15" customHeight="1" x14ac:dyDescent="0.25">
      <c r="A29" s="53"/>
      <c r="B29" s="62"/>
      <c r="K29" s="66"/>
      <c r="L29" s="67"/>
      <c r="T29" s="66"/>
      <c r="U29" s="67"/>
      <c r="AC29" s="66"/>
      <c r="AD29" s="67"/>
      <c r="AL29" s="66"/>
      <c r="AM29" s="67"/>
      <c r="BI29" s="66"/>
      <c r="BK29" s="54"/>
      <c r="BM29" s="16">
        <f t="shared" si="1"/>
        <v>22</v>
      </c>
    </row>
    <row r="30" spans="1:67" s="52" customFormat="1" ht="15" customHeight="1" x14ac:dyDescent="0.25">
      <c r="A30" s="53"/>
      <c r="B30" s="62"/>
      <c r="K30" s="66"/>
      <c r="L30" s="67"/>
      <c r="T30" s="66"/>
      <c r="U30" s="67"/>
      <c r="AC30" s="66"/>
      <c r="AD30" s="67"/>
      <c r="AL30" s="66"/>
      <c r="AM30" s="67"/>
      <c r="BI30" s="66"/>
      <c r="BK30" s="54"/>
      <c r="BM30" s="16">
        <f t="shared" si="1"/>
        <v>23</v>
      </c>
    </row>
    <row r="31" spans="1:67" s="52" customFormat="1" ht="15" customHeight="1" x14ac:dyDescent="0.25">
      <c r="A31" s="53"/>
      <c r="B31" s="62"/>
      <c r="K31" s="66"/>
      <c r="L31" s="67"/>
      <c r="T31" s="66"/>
      <c r="U31" s="67"/>
      <c r="AC31" s="66"/>
      <c r="AD31" s="67"/>
      <c r="AL31" s="66"/>
      <c r="AM31" s="67"/>
      <c r="BI31" s="66"/>
      <c r="BK31" s="54"/>
      <c r="BM31" s="16">
        <f t="shared" si="1"/>
        <v>24</v>
      </c>
      <c r="BO31" s="52" t="s">
        <v>36</v>
      </c>
    </row>
    <row r="32" spans="1:67" s="52" customFormat="1" ht="15" customHeight="1" x14ac:dyDescent="0.25">
      <c r="A32" s="53"/>
      <c r="B32" s="62"/>
      <c r="K32" s="66"/>
      <c r="L32" s="67"/>
      <c r="T32" s="66"/>
      <c r="U32" s="67"/>
      <c r="AC32" s="66"/>
      <c r="AD32" s="67"/>
      <c r="AL32" s="66"/>
      <c r="AM32" s="67"/>
      <c r="BI32" s="66"/>
      <c r="BK32" s="54"/>
      <c r="BM32" s="16">
        <f t="shared" si="1"/>
        <v>25</v>
      </c>
      <c r="BO32" s="30"/>
    </row>
    <row r="33" spans="1:65" s="52" customFormat="1" ht="15" customHeight="1" x14ac:dyDescent="0.25">
      <c r="A33" s="53"/>
      <c r="B33" s="62"/>
      <c r="K33" s="66"/>
      <c r="L33" s="67"/>
      <c r="T33" s="66"/>
      <c r="U33" s="67"/>
      <c r="AC33" s="66"/>
      <c r="AD33" s="67"/>
      <c r="AL33" s="66"/>
      <c r="AM33" s="67"/>
      <c r="BI33" s="66"/>
      <c r="BK33" s="54"/>
      <c r="BM33" s="16">
        <f t="shared" si="1"/>
        <v>26</v>
      </c>
    </row>
    <row r="34" spans="1:65" s="52" customFormat="1" ht="15" customHeight="1" x14ac:dyDescent="0.25">
      <c r="A34" s="53"/>
      <c r="B34" s="62"/>
      <c r="K34" s="66"/>
      <c r="L34" s="67"/>
      <c r="T34" s="66"/>
      <c r="U34" s="67"/>
      <c r="AC34" s="66"/>
      <c r="AD34" s="67"/>
      <c r="AL34" s="66"/>
      <c r="AM34" s="67"/>
      <c r="BI34" s="66"/>
      <c r="BK34" s="54"/>
      <c r="BM34" s="16">
        <f t="shared" si="1"/>
        <v>27</v>
      </c>
    </row>
    <row r="35" spans="1:65" s="52" customFormat="1" ht="15" customHeight="1" x14ac:dyDescent="0.25">
      <c r="A35" s="53"/>
      <c r="B35" s="62"/>
      <c r="K35" s="66"/>
      <c r="L35" s="67"/>
      <c r="T35" s="66"/>
      <c r="U35" s="67"/>
      <c r="AC35" s="66"/>
      <c r="AD35" s="67"/>
      <c r="AL35" s="66"/>
      <c r="AM35" s="67"/>
      <c r="BI35" s="66"/>
      <c r="BK35" s="54"/>
      <c r="BM35" s="16">
        <f t="shared" si="1"/>
        <v>28</v>
      </c>
    </row>
    <row r="36" spans="1:65" s="52" customFormat="1" ht="15" customHeight="1" x14ac:dyDescent="0.25">
      <c r="A36" s="53"/>
      <c r="B36" s="62"/>
      <c r="K36" s="66"/>
      <c r="L36" s="67"/>
      <c r="T36" s="66"/>
      <c r="U36" s="67"/>
      <c r="AC36" s="66"/>
      <c r="AD36" s="67"/>
      <c r="AL36" s="66"/>
      <c r="AM36" s="67"/>
      <c r="BI36" s="66"/>
      <c r="BK36" s="54"/>
      <c r="BM36" s="16">
        <f t="shared" si="1"/>
        <v>29</v>
      </c>
    </row>
    <row r="37" spans="1:65" s="52" customFormat="1" ht="15" customHeight="1" x14ac:dyDescent="0.25">
      <c r="A37" s="53"/>
      <c r="B37" s="62"/>
      <c r="K37" s="66"/>
      <c r="L37" s="67"/>
      <c r="T37" s="66"/>
      <c r="U37" s="67"/>
      <c r="AC37" s="66"/>
      <c r="AD37" s="67"/>
      <c r="AL37" s="66"/>
      <c r="AM37" s="67"/>
      <c r="BI37" s="66"/>
      <c r="BK37" s="54"/>
      <c r="BM37" s="16">
        <f t="shared" si="1"/>
        <v>30</v>
      </c>
    </row>
    <row r="38" spans="1:65" s="52" customFormat="1" ht="15" customHeight="1" x14ac:dyDescent="0.25">
      <c r="A38" s="53"/>
      <c r="B38" s="62"/>
      <c r="K38" s="66"/>
      <c r="L38" s="67"/>
      <c r="T38" s="66"/>
      <c r="U38" s="67"/>
      <c r="AC38" s="66"/>
      <c r="AD38" s="67"/>
      <c r="AL38" s="66"/>
      <c r="AM38" s="67"/>
      <c r="BI38" s="66"/>
      <c r="BK38" s="54"/>
      <c r="BM38" s="16">
        <f t="shared" si="1"/>
        <v>31</v>
      </c>
    </row>
    <row r="39" spans="1:65" s="52" customFormat="1" ht="15" customHeight="1" x14ac:dyDescent="0.25">
      <c r="A39" s="53"/>
      <c r="B39" s="62"/>
      <c r="K39" s="66"/>
      <c r="L39" s="67"/>
      <c r="T39" s="66"/>
      <c r="U39" s="67"/>
      <c r="W39" s="68"/>
      <c r="AC39" s="66"/>
      <c r="AD39" s="67"/>
      <c r="AL39" s="66"/>
      <c r="AM39" s="67"/>
      <c r="BI39" s="66"/>
      <c r="BK39" s="54"/>
      <c r="BM39" s="16">
        <f t="shared" si="1"/>
        <v>32</v>
      </c>
    </row>
    <row r="40" spans="1:65" s="52" customFormat="1" ht="15" customHeight="1" x14ac:dyDescent="0.25">
      <c r="A40" s="53"/>
      <c r="B40" s="62"/>
      <c r="K40" s="66"/>
      <c r="L40" s="67"/>
      <c r="T40" s="66"/>
      <c r="U40" s="67"/>
      <c r="AC40" s="66"/>
      <c r="AD40" s="67"/>
      <c r="AL40" s="66"/>
      <c r="AM40" s="67"/>
      <c r="BI40" s="66"/>
      <c r="BK40" s="54"/>
      <c r="BM40" s="16">
        <f t="shared" si="1"/>
        <v>33</v>
      </c>
    </row>
    <row r="41" spans="1:65" s="52" customFormat="1" ht="15" customHeight="1" x14ac:dyDescent="0.25">
      <c r="A41" s="53"/>
      <c r="B41" s="62"/>
      <c r="K41" s="66"/>
      <c r="L41" s="67"/>
      <c r="T41" s="66"/>
      <c r="U41" s="67"/>
      <c r="AC41" s="66"/>
      <c r="AD41" s="67"/>
      <c r="AL41" s="66"/>
      <c r="AM41" s="67"/>
      <c r="BI41" s="66"/>
      <c r="BK41" s="54"/>
      <c r="BM41" s="16">
        <f t="shared" si="1"/>
        <v>34</v>
      </c>
    </row>
    <row r="42" spans="1:65" s="52" customFormat="1" ht="15" customHeight="1" x14ac:dyDescent="0.25">
      <c r="A42" s="53"/>
      <c r="B42" s="62"/>
      <c r="K42" s="66"/>
      <c r="L42" s="67"/>
      <c r="T42" s="66"/>
      <c r="U42" s="67"/>
      <c r="AC42" s="66"/>
      <c r="AD42" s="67"/>
      <c r="AL42" s="66"/>
      <c r="AM42" s="67"/>
      <c r="BI42" s="66"/>
      <c r="BK42" s="54"/>
      <c r="BM42" s="16">
        <f t="shared" si="1"/>
        <v>35</v>
      </c>
    </row>
    <row r="43" spans="1:65" s="52" customFormat="1" ht="15" customHeight="1" x14ac:dyDescent="0.25">
      <c r="A43" s="53"/>
      <c r="B43" s="67"/>
      <c r="K43" s="66"/>
      <c r="L43" s="67"/>
      <c r="T43" s="66"/>
      <c r="U43" s="67"/>
      <c r="AC43" s="66"/>
      <c r="AD43" s="67"/>
      <c r="AL43" s="66"/>
      <c r="AM43" s="67"/>
      <c r="BI43" s="66"/>
      <c r="BK43" s="54"/>
      <c r="BM43" s="16">
        <f t="shared" si="1"/>
        <v>36</v>
      </c>
    </row>
    <row r="44" spans="1:65" s="52" customFormat="1" ht="15" customHeight="1" x14ac:dyDescent="0.25">
      <c r="A44" s="53"/>
      <c r="B44" s="67"/>
      <c r="K44" s="66"/>
      <c r="L44" s="67"/>
      <c r="T44" s="66"/>
      <c r="U44" s="67"/>
      <c r="AC44" s="66"/>
      <c r="AD44" s="67"/>
      <c r="AL44" s="66"/>
      <c r="AM44" s="67"/>
      <c r="BI44" s="66"/>
      <c r="BK44" s="54"/>
      <c r="BM44" s="16">
        <f t="shared" si="1"/>
        <v>37</v>
      </c>
    </row>
    <row r="45" spans="1:65" s="52" customFormat="1" ht="15" customHeight="1" x14ac:dyDescent="0.25">
      <c r="A45" s="53"/>
      <c r="B45" s="67"/>
      <c r="K45" s="66"/>
      <c r="L45" s="67"/>
      <c r="T45" s="66"/>
      <c r="U45" s="67"/>
      <c r="AC45" s="66"/>
      <c r="AL45" s="66"/>
      <c r="AM45" s="67"/>
      <c r="BI45" s="66"/>
      <c r="BK45" s="54"/>
      <c r="BM45" s="16">
        <f t="shared" si="1"/>
        <v>38</v>
      </c>
    </row>
    <row r="46" spans="1:65" s="52" customFormat="1" ht="15" customHeight="1" x14ac:dyDescent="0.25">
      <c r="A46" s="53"/>
      <c r="B46" s="67"/>
      <c r="K46" s="66"/>
      <c r="L46" s="67"/>
      <c r="T46" s="66"/>
      <c r="U46" s="67"/>
      <c r="AC46" s="66"/>
      <c r="AD46" s="67"/>
      <c r="AL46" s="66"/>
      <c r="AM46" s="67"/>
      <c r="BI46" s="66"/>
      <c r="BK46" s="54"/>
      <c r="BM46" s="16">
        <f t="shared" si="1"/>
        <v>39</v>
      </c>
    </row>
    <row r="47" spans="1:65" s="52" customFormat="1" ht="15" customHeight="1" x14ac:dyDescent="0.25">
      <c r="A47" s="53"/>
      <c r="B47" s="67"/>
      <c r="K47" s="66"/>
      <c r="L47" s="67"/>
      <c r="T47" s="66"/>
      <c r="U47" s="67"/>
      <c r="AC47" s="66"/>
      <c r="AD47" s="67"/>
      <c r="AL47" s="66"/>
      <c r="AM47" s="67"/>
      <c r="BI47" s="66"/>
      <c r="BK47" s="54"/>
      <c r="BM47" s="16">
        <f t="shared" si="1"/>
        <v>40</v>
      </c>
    </row>
    <row r="48" spans="1:65" s="52" customFormat="1" ht="15" customHeight="1" x14ac:dyDescent="0.25">
      <c r="A48" s="53"/>
      <c r="B48" s="67"/>
      <c r="K48" s="66"/>
      <c r="L48" s="67"/>
      <c r="T48" s="66"/>
      <c r="U48" s="67"/>
      <c r="AC48" s="66"/>
      <c r="AD48" s="67"/>
      <c r="AL48" s="66"/>
      <c r="AM48" s="67"/>
      <c r="BI48" s="66"/>
      <c r="BK48" s="54"/>
      <c r="BM48" s="16">
        <f t="shared" si="1"/>
        <v>41</v>
      </c>
    </row>
    <row r="49" spans="1:80" s="52" customFormat="1" ht="15" customHeight="1" x14ac:dyDescent="0.25">
      <c r="A49" s="53"/>
      <c r="B49" s="67"/>
      <c r="K49" s="66"/>
      <c r="L49" s="67"/>
      <c r="T49" s="66"/>
      <c r="U49" s="67"/>
      <c r="AC49" s="66"/>
      <c r="AD49" s="67"/>
      <c r="AL49" s="66"/>
      <c r="AM49" s="67"/>
      <c r="BI49" s="66"/>
      <c r="BK49" s="54"/>
      <c r="BM49" s="16">
        <f t="shared" si="1"/>
        <v>42</v>
      </c>
    </row>
    <row r="50" spans="1:80" s="52" customFormat="1" ht="15" customHeight="1" x14ac:dyDescent="0.25">
      <c r="A50" s="53"/>
      <c r="B50" s="67"/>
      <c r="K50" s="66"/>
      <c r="L50" s="67"/>
      <c r="T50" s="66"/>
      <c r="U50" s="67"/>
      <c r="AC50" s="66"/>
      <c r="AD50" s="67"/>
      <c r="AL50" s="66"/>
      <c r="AM50" s="67"/>
      <c r="BI50" s="66"/>
      <c r="BK50" s="54"/>
      <c r="BM50" s="16">
        <f t="shared" si="1"/>
        <v>43</v>
      </c>
    </row>
    <row r="51" spans="1:80" s="52" customFormat="1" ht="15" customHeight="1" x14ac:dyDescent="0.25">
      <c r="A51" s="53"/>
      <c r="B51" s="67"/>
      <c r="K51" s="66"/>
      <c r="L51" s="67"/>
      <c r="T51" s="66"/>
      <c r="U51" s="67"/>
      <c r="AC51" s="66"/>
      <c r="AD51" s="67"/>
      <c r="AL51" s="66"/>
      <c r="AM51" s="67"/>
      <c r="BI51" s="66"/>
      <c r="BK51" s="54"/>
      <c r="BM51" s="16">
        <f t="shared" si="1"/>
        <v>44</v>
      </c>
    </row>
    <row r="52" spans="1:80" s="52" customFormat="1" ht="15" customHeight="1" x14ac:dyDescent="0.25">
      <c r="A52" s="53"/>
      <c r="B52" s="67"/>
      <c r="K52" s="66"/>
      <c r="L52" s="67"/>
      <c r="T52" s="66"/>
      <c r="U52" s="67"/>
      <c r="AC52" s="66"/>
      <c r="AD52" s="67"/>
      <c r="AL52" s="66"/>
      <c r="AM52" s="67"/>
      <c r="BI52" s="66"/>
      <c r="BK52" s="54"/>
      <c r="BM52" s="16">
        <f t="shared" si="1"/>
        <v>45</v>
      </c>
    </row>
    <row r="53" spans="1:80" s="52" customFormat="1" ht="15" customHeight="1" x14ac:dyDescent="0.25">
      <c r="A53" s="53"/>
      <c r="B53" s="67"/>
      <c r="K53" s="66"/>
      <c r="L53" s="67"/>
      <c r="T53" s="66"/>
      <c r="U53" s="67"/>
      <c r="AC53" s="66"/>
      <c r="AD53" s="67"/>
      <c r="AL53" s="66"/>
      <c r="AM53" s="67"/>
      <c r="BI53" s="66"/>
      <c r="BK53" s="54"/>
      <c r="BM53" s="16">
        <f t="shared" si="1"/>
        <v>46</v>
      </c>
    </row>
    <row r="54" spans="1:80" s="52" customFormat="1" ht="15" customHeight="1" x14ac:dyDescent="0.25">
      <c r="A54" s="53"/>
      <c r="B54" s="67"/>
      <c r="K54" s="66"/>
      <c r="L54" s="67"/>
      <c r="T54" s="66"/>
      <c r="U54" s="67"/>
      <c r="AC54" s="66"/>
      <c r="AD54" s="67"/>
      <c r="AL54" s="66"/>
      <c r="AM54" s="67"/>
      <c r="BI54" s="66"/>
      <c r="BK54" s="54"/>
      <c r="BM54" s="16">
        <f t="shared" si="1"/>
        <v>47</v>
      </c>
      <c r="BO54" s="71" t="s">
        <v>107</v>
      </c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</row>
    <row r="55" spans="1:80" s="52" customFormat="1" ht="15" customHeight="1" x14ac:dyDescent="0.25">
      <c r="A55" s="53"/>
      <c r="B55" s="67"/>
      <c r="K55" s="66"/>
      <c r="L55" s="67"/>
      <c r="T55" s="66"/>
      <c r="U55" s="67"/>
      <c r="AC55" s="66"/>
      <c r="AD55" s="67"/>
      <c r="AL55" s="66"/>
      <c r="AM55" s="67"/>
      <c r="BI55" s="66"/>
      <c r="BK55" s="54"/>
      <c r="BM55" s="16">
        <f t="shared" si="1"/>
        <v>48</v>
      </c>
    </row>
    <row r="56" spans="1:80" s="52" customFormat="1" ht="15" customHeight="1" x14ac:dyDescent="0.25">
      <c r="A56" s="53"/>
      <c r="B56" s="67"/>
      <c r="K56" s="66"/>
      <c r="L56" s="67"/>
      <c r="T56" s="66"/>
      <c r="U56" s="67"/>
      <c r="AC56" s="66"/>
      <c r="AD56" s="67"/>
      <c r="AL56" s="66"/>
      <c r="AM56" s="67"/>
      <c r="BI56" s="66"/>
      <c r="BK56" s="54"/>
      <c r="BM56" s="16">
        <f t="shared" si="1"/>
        <v>49</v>
      </c>
      <c r="BO56" s="30"/>
    </row>
    <row r="57" spans="1:80" s="52" customFormat="1" ht="15" customHeight="1" x14ac:dyDescent="0.25">
      <c r="A57" s="53"/>
      <c r="B57" s="67"/>
      <c r="K57" s="66"/>
      <c r="L57" s="67"/>
      <c r="T57" s="66"/>
      <c r="U57" s="67"/>
      <c r="AC57" s="66"/>
      <c r="AD57" s="67"/>
      <c r="AL57" s="66"/>
      <c r="AM57" s="67"/>
      <c r="BI57" s="66"/>
      <c r="BK57" s="54"/>
      <c r="BM57" s="16">
        <f t="shared" si="1"/>
        <v>50</v>
      </c>
    </row>
    <row r="58" spans="1:80" s="52" customFormat="1" ht="15" customHeight="1" x14ac:dyDescent="0.25">
      <c r="A58" s="53"/>
      <c r="B58" s="67"/>
      <c r="K58" s="66"/>
      <c r="L58" s="67"/>
      <c r="T58" s="66"/>
      <c r="U58" s="67"/>
      <c r="AC58" s="66"/>
      <c r="AD58" s="67"/>
      <c r="AL58" s="66"/>
      <c r="AM58" s="67"/>
      <c r="BI58" s="66"/>
      <c r="BK58" s="54"/>
      <c r="BM58" s="16">
        <f t="shared" si="1"/>
        <v>1</v>
      </c>
    </row>
    <row r="59" spans="1:80" s="52" customFormat="1" ht="15" customHeight="1" x14ac:dyDescent="0.25">
      <c r="A59" s="53"/>
      <c r="B59" s="67"/>
      <c r="K59" s="66"/>
      <c r="L59" s="67"/>
      <c r="T59" s="66"/>
      <c r="U59" s="67"/>
      <c r="AC59" s="66"/>
      <c r="AD59" s="67"/>
      <c r="AL59" s="66"/>
      <c r="AM59" s="67"/>
      <c r="BI59" s="66"/>
      <c r="BK59" s="54"/>
      <c r="BM59" s="16">
        <f t="shared" si="1"/>
        <v>2</v>
      </c>
    </row>
    <row r="60" spans="1:80" s="52" customFormat="1" ht="15" customHeight="1" x14ac:dyDescent="0.25">
      <c r="A60" s="53"/>
      <c r="B60" s="67"/>
      <c r="K60" s="66"/>
      <c r="L60" s="67"/>
      <c r="T60" s="66"/>
      <c r="U60" s="67"/>
      <c r="AC60" s="66"/>
      <c r="AD60" s="67"/>
      <c r="AL60" s="66"/>
      <c r="AM60" s="67"/>
      <c r="BI60" s="66"/>
      <c r="BK60" s="54"/>
      <c r="BM60" s="16">
        <f t="shared" si="1"/>
        <v>3</v>
      </c>
    </row>
    <row r="61" spans="1:80" s="52" customFormat="1" ht="15" customHeight="1" x14ac:dyDescent="0.25">
      <c r="A61" s="53"/>
      <c r="B61" s="67"/>
      <c r="K61" s="66"/>
      <c r="L61" s="67"/>
      <c r="T61" s="66"/>
      <c r="U61" s="67"/>
      <c r="AC61" s="66"/>
      <c r="AD61" s="67"/>
      <c r="AL61" s="66"/>
      <c r="AM61" s="67"/>
      <c r="BI61" s="66"/>
      <c r="BK61" s="54"/>
      <c r="BM61" s="16">
        <f t="shared" si="1"/>
        <v>4</v>
      </c>
    </row>
    <row r="62" spans="1:80" s="52" customFormat="1" ht="15" customHeight="1" x14ac:dyDescent="0.25">
      <c r="A62" s="53"/>
      <c r="B62" s="67"/>
      <c r="K62" s="66"/>
      <c r="L62" s="67"/>
      <c r="T62" s="66"/>
      <c r="U62" s="67"/>
      <c r="AC62" s="66"/>
      <c r="AD62" s="67"/>
      <c r="AL62" s="66"/>
      <c r="AM62" s="67"/>
      <c r="BI62" s="66"/>
      <c r="BK62" s="54"/>
      <c r="BM62" s="16">
        <f t="shared" si="1"/>
        <v>5</v>
      </c>
    </row>
    <row r="63" spans="1:80" s="52" customFormat="1" ht="15" customHeight="1" x14ac:dyDescent="0.25">
      <c r="A63" s="53"/>
      <c r="B63" s="67"/>
      <c r="K63" s="66"/>
      <c r="L63" s="67"/>
      <c r="T63" s="66"/>
      <c r="U63" s="67"/>
      <c r="AC63" s="66"/>
      <c r="AD63" s="67"/>
      <c r="AL63" s="66"/>
      <c r="AM63" s="67"/>
      <c r="BI63" s="66"/>
      <c r="BK63" s="54"/>
      <c r="BM63" s="16">
        <f t="shared" si="1"/>
        <v>6</v>
      </c>
    </row>
    <row r="64" spans="1:80" s="52" customFormat="1" ht="15" customHeight="1" x14ac:dyDescent="0.25">
      <c r="A64" s="69"/>
      <c r="B64" s="67"/>
      <c r="K64" s="66"/>
      <c r="L64" s="67"/>
      <c r="T64" s="66"/>
      <c r="U64" s="67"/>
      <c r="AC64" s="66"/>
      <c r="AD64" s="67"/>
      <c r="AL64" s="66"/>
      <c r="AM64" s="67"/>
      <c r="BI64" s="66"/>
      <c r="BK64" s="54"/>
      <c r="BM64" s="16">
        <f t="shared" si="1"/>
        <v>7</v>
      </c>
    </row>
    <row r="65" spans="1:78" ht="15" customHeight="1" x14ac:dyDescent="0.25">
      <c r="A65" s="63"/>
      <c r="B65" s="62"/>
      <c r="K65" s="66"/>
      <c r="T65" s="66"/>
      <c r="AC65" s="66"/>
      <c r="AL65" s="66"/>
      <c r="BI65" s="66"/>
      <c r="BM65" s="16">
        <f t="shared" si="1"/>
        <v>8</v>
      </c>
    </row>
    <row r="66" spans="1:78" ht="15" customHeight="1" x14ac:dyDescent="0.25">
      <c r="A66" s="63"/>
      <c r="B66" s="62"/>
      <c r="K66" s="66"/>
      <c r="T66" s="66"/>
      <c r="AC66" s="66"/>
      <c r="AL66" s="66"/>
      <c r="BI66" s="66"/>
      <c r="BM66" s="16">
        <f t="shared" si="1"/>
        <v>9</v>
      </c>
    </row>
    <row r="67" spans="1:78" ht="15" customHeight="1" x14ac:dyDescent="0.25">
      <c r="A67" s="63"/>
      <c r="B67" s="62"/>
      <c r="K67" s="66"/>
      <c r="T67" s="66"/>
      <c r="AC67" s="66"/>
      <c r="AL67" s="66"/>
      <c r="BI67" s="66"/>
      <c r="BM67" s="16">
        <f t="shared" si="1"/>
        <v>10</v>
      </c>
    </row>
    <row r="68" spans="1:78" ht="15" customHeight="1" x14ac:dyDescent="0.25">
      <c r="A68" s="63"/>
      <c r="B68" s="62"/>
      <c r="K68" s="66"/>
      <c r="T68" s="66"/>
      <c r="AC68" s="66"/>
      <c r="AL68" s="66"/>
      <c r="BI68" s="66"/>
      <c r="BM68" s="16">
        <f t="shared" si="1"/>
        <v>11</v>
      </c>
    </row>
    <row r="69" spans="1:78" ht="15" customHeight="1" x14ac:dyDescent="0.25">
      <c r="A69" s="63"/>
      <c r="B69" s="62"/>
      <c r="K69" s="66"/>
      <c r="T69" s="66"/>
      <c r="AC69" s="66"/>
      <c r="AL69" s="66"/>
      <c r="BI69" s="66"/>
      <c r="BM69" s="16">
        <f t="shared" si="1"/>
        <v>12</v>
      </c>
    </row>
    <row r="70" spans="1:78" ht="15" customHeight="1" x14ac:dyDescent="0.25">
      <c r="A70" s="63"/>
      <c r="B70" s="62"/>
      <c r="K70" s="66"/>
      <c r="T70" s="66"/>
      <c r="AC70" s="66"/>
      <c r="AL70" s="66"/>
      <c r="BI70" s="66"/>
      <c r="BM70" s="16">
        <f t="shared" si="1"/>
        <v>13</v>
      </c>
    </row>
    <row r="71" spans="1:78" ht="15" customHeight="1" x14ac:dyDescent="0.25">
      <c r="A71" s="63"/>
      <c r="B71" s="62"/>
      <c r="K71" s="66"/>
      <c r="T71" s="66"/>
      <c r="AC71" s="66"/>
      <c r="AL71" s="66"/>
      <c r="BI71" s="66"/>
      <c r="BM71" s="16">
        <f t="shared" si="1"/>
        <v>14</v>
      </c>
    </row>
    <row r="72" spans="1:78" ht="15" customHeight="1" x14ac:dyDescent="0.25">
      <c r="A72" s="63"/>
      <c r="B72" s="62"/>
      <c r="K72" s="66"/>
      <c r="T72" s="66"/>
      <c r="AC72" s="66"/>
      <c r="AL72" s="66"/>
      <c r="BI72" s="66"/>
      <c r="BM72" s="16">
        <f t="shared" si="1"/>
        <v>15</v>
      </c>
    </row>
    <row r="73" spans="1:78" ht="15" customHeight="1" x14ac:dyDescent="0.25">
      <c r="A73" s="63"/>
      <c r="B73" s="62"/>
      <c r="K73" s="66"/>
      <c r="T73" s="66"/>
      <c r="AC73" s="66"/>
      <c r="AL73" s="66"/>
      <c r="BI73" s="66"/>
      <c r="BM73" s="16">
        <f t="shared" si="1"/>
        <v>16</v>
      </c>
    </row>
    <row r="74" spans="1:78" ht="15" customHeight="1" x14ac:dyDescent="0.25">
      <c r="A74" s="63"/>
      <c r="B74" s="62"/>
      <c r="K74" s="66"/>
      <c r="T74" s="66"/>
      <c r="AC74" s="66"/>
      <c r="AL74" s="66"/>
      <c r="BI74" s="66"/>
      <c r="BM74" s="16">
        <f t="shared" si="1"/>
        <v>17</v>
      </c>
    </row>
    <row r="75" spans="1:78" ht="15" customHeight="1" x14ac:dyDescent="0.25">
      <c r="A75" s="63"/>
      <c r="B75" s="62"/>
      <c r="K75" s="66"/>
      <c r="T75" s="66"/>
      <c r="AC75" s="66"/>
      <c r="BI75" s="66"/>
      <c r="BM75" s="16">
        <f t="shared" si="1"/>
        <v>18</v>
      </c>
    </row>
    <row r="76" spans="1:78" ht="15" customHeight="1" x14ac:dyDescent="0.25">
      <c r="A76" s="63"/>
      <c r="B76" s="62"/>
      <c r="K76" s="66"/>
      <c r="T76" s="66"/>
      <c r="AC76" s="66"/>
      <c r="AL76" s="66"/>
      <c r="BI76" s="66"/>
      <c r="BM76" s="16">
        <f t="shared" si="1"/>
        <v>19</v>
      </c>
      <c r="BO76" s="70" t="s">
        <v>106</v>
      </c>
      <c r="BP76" s="70"/>
      <c r="BQ76" s="70"/>
      <c r="BR76" s="70"/>
      <c r="BS76" s="70"/>
      <c r="BT76" s="70"/>
      <c r="BU76" s="70"/>
      <c r="BV76" s="70"/>
      <c r="BW76" s="70"/>
      <c r="BX76" s="70"/>
      <c r="BY76" s="70"/>
      <c r="BZ76" s="70"/>
    </row>
    <row r="77" spans="1:78" ht="15" customHeight="1" x14ac:dyDescent="0.25">
      <c r="A77" s="63"/>
      <c r="B77" s="62"/>
      <c r="K77" s="66"/>
      <c r="T77" s="66"/>
      <c r="AC77" s="66"/>
      <c r="AL77" s="66"/>
      <c r="BI77" s="66"/>
      <c r="BM77" s="16">
        <f t="shared" si="1"/>
        <v>20</v>
      </c>
    </row>
    <row r="78" spans="1:78" ht="15" customHeight="1" x14ac:dyDescent="0.25">
      <c r="A78" s="63"/>
      <c r="B78" s="62"/>
      <c r="K78" s="66"/>
      <c r="T78" s="66"/>
      <c r="AC78" s="66"/>
      <c r="AL78" s="66"/>
      <c r="BI78" s="66"/>
      <c r="BM78" s="16">
        <f t="shared" si="1"/>
        <v>21</v>
      </c>
    </row>
    <row r="79" spans="1:78" ht="15" customHeight="1" x14ac:dyDescent="0.25">
      <c r="A79" s="63"/>
      <c r="B79" s="62"/>
      <c r="K79" s="66"/>
      <c r="T79" s="66"/>
      <c r="AC79" s="66"/>
      <c r="AL79" s="66"/>
      <c r="BI79" s="66"/>
      <c r="BM79" s="16">
        <f t="shared" si="1"/>
        <v>22</v>
      </c>
    </row>
    <row r="80" spans="1:78" ht="15" customHeight="1" x14ac:dyDescent="0.25">
      <c r="A80" s="63"/>
      <c r="B80" s="62"/>
      <c r="K80" s="66"/>
      <c r="T80" s="66"/>
      <c r="AC80" s="66"/>
      <c r="AL80" s="66"/>
      <c r="BI80" s="66"/>
      <c r="BM80" s="16">
        <f t="shared" si="1"/>
        <v>23</v>
      </c>
    </row>
    <row r="81" spans="1:65" ht="15" customHeight="1" x14ac:dyDescent="0.25">
      <c r="A81" s="63"/>
      <c r="B81" s="62"/>
      <c r="K81" s="66"/>
      <c r="T81" s="66"/>
      <c r="AC81" s="66"/>
      <c r="AL81" s="66"/>
      <c r="BI81" s="66"/>
      <c r="BM81" s="16">
        <f t="shared" si="1"/>
        <v>24</v>
      </c>
    </row>
    <row r="82" spans="1:65" ht="15" customHeight="1" x14ac:dyDescent="0.25">
      <c r="A82" s="63"/>
      <c r="B82" s="62"/>
      <c r="K82" s="66"/>
      <c r="T82" s="66"/>
      <c r="AC82" s="66"/>
      <c r="AL82" s="66"/>
      <c r="BI82" s="66"/>
      <c r="BM82" s="16">
        <f t="shared" si="1"/>
        <v>25</v>
      </c>
    </row>
    <row r="83" spans="1:65" ht="15" customHeight="1" x14ac:dyDescent="0.25">
      <c r="A83" s="63"/>
      <c r="B83" s="62"/>
      <c r="K83" s="66"/>
      <c r="T83" s="66"/>
      <c r="AC83" s="66"/>
      <c r="AL83" s="66"/>
      <c r="BI83" s="66"/>
      <c r="BM83" s="16">
        <f t="shared" si="1"/>
        <v>26</v>
      </c>
    </row>
    <row r="84" spans="1:65" ht="15" customHeight="1" x14ac:dyDescent="0.25">
      <c r="A84" s="63"/>
      <c r="B84" s="62"/>
      <c r="K84" s="66"/>
      <c r="T84" s="66"/>
      <c r="AC84" s="66"/>
      <c r="AL84" s="66"/>
      <c r="BI84" s="66"/>
      <c r="BM84" s="16">
        <f t="shared" si="1"/>
        <v>27</v>
      </c>
    </row>
    <row r="85" spans="1:65" ht="15" customHeight="1" x14ac:dyDescent="0.25">
      <c r="A85" s="63"/>
      <c r="B85" s="62"/>
      <c r="K85" s="66"/>
      <c r="T85" s="66"/>
      <c r="AC85" s="66"/>
      <c r="AL85" s="66"/>
      <c r="BI85" s="66"/>
      <c r="BM85" s="16">
        <f t="shared" si="1"/>
        <v>28</v>
      </c>
    </row>
    <row r="86" spans="1:65" ht="15" customHeight="1" x14ac:dyDescent="0.25">
      <c r="A86" s="63"/>
      <c r="B86" s="62"/>
      <c r="K86" s="66"/>
      <c r="T86" s="66"/>
      <c r="AC86" s="66"/>
      <c r="AL86" s="66"/>
      <c r="BI86" s="66"/>
      <c r="BM86" s="16">
        <f t="shared" ref="BM86:BM144" si="2">IF(BM85=50,1,BM85+1)</f>
        <v>29</v>
      </c>
    </row>
    <row r="87" spans="1:65" ht="15" customHeight="1" x14ac:dyDescent="0.25">
      <c r="A87" s="63"/>
      <c r="B87" s="62"/>
      <c r="K87" s="66"/>
      <c r="T87" s="66"/>
      <c r="AC87" s="66"/>
      <c r="AL87" s="66"/>
      <c r="BI87" s="66"/>
      <c r="BM87" s="16">
        <f t="shared" si="2"/>
        <v>30</v>
      </c>
    </row>
    <row r="88" spans="1:65" ht="15" customHeight="1" x14ac:dyDescent="0.25">
      <c r="A88" s="63"/>
      <c r="B88" s="62"/>
      <c r="K88" s="66"/>
      <c r="T88" s="66"/>
      <c r="AC88" s="66"/>
      <c r="AL88" s="66"/>
      <c r="BI88" s="66"/>
      <c r="BM88" s="16">
        <f t="shared" si="2"/>
        <v>31</v>
      </c>
    </row>
    <row r="89" spans="1:65" ht="15" customHeight="1" x14ac:dyDescent="0.25">
      <c r="A89" s="63"/>
      <c r="B89" s="62"/>
      <c r="K89" s="66"/>
      <c r="T89" s="66"/>
      <c r="AC89" s="66"/>
      <c r="AL89" s="66"/>
      <c r="BI89" s="66"/>
      <c r="BM89" s="16">
        <f t="shared" si="2"/>
        <v>32</v>
      </c>
    </row>
    <row r="90" spans="1:65" ht="15" customHeight="1" x14ac:dyDescent="0.25">
      <c r="A90" s="63"/>
      <c r="B90" s="62"/>
      <c r="K90" s="66"/>
      <c r="T90" s="66"/>
      <c r="AC90" s="66"/>
      <c r="AL90" s="66"/>
      <c r="BI90" s="66"/>
      <c r="BM90" s="16">
        <f t="shared" si="2"/>
        <v>33</v>
      </c>
    </row>
    <row r="91" spans="1:65" ht="15" customHeight="1" x14ac:dyDescent="0.25">
      <c r="A91" s="63"/>
      <c r="B91" s="62"/>
      <c r="K91" s="66"/>
      <c r="T91" s="66"/>
      <c r="AC91" s="66"/>
      <c r="AL91" s="66"/>
      <c r="BI91" s="66"/>
      <c r="BM91" s="16">
        <f t="shared" si="2"/>
        <v>34</v>
      </c>
    </row>
    <row r="92" spans="1:65" ht="15" customHeight="1" x14ac:dyDescent="0.25">
      <c r="A92" s="63"/>
      <c r="B92" s="62"/>
      <c r="K92" s="66"/>
      <c r="T92" s="66"/>
      <c r="AC92" s="66"/>
      <c r="AL92" s="66"/>
      <c r="BI92" s="66"/>
      <c r="BM92" s="16">
        <f t="shared" si="2"/>
        <v>35</v>
      </c>
    </row>
    <row r="93" spans="1:65" ht="15" customHeight="1" x14ac:dyDescent="0.25">
      <c r="A93" s="63"/>
      <c r="B93" s="62"/>
      <c r="K93" s="66"/>
      <c r="T93" s="66"/>
      <c r="AC93" s="66"/>
      <c r="AL93" s="66"/>
      <c r="BI93" s="66"/>
      <c r="BM93" s="16">
        <f t="shared" si="2"/>
        <v>36</v>
      </c>
    </row>
    <row r="94" spans="1:65" ht="15" customHeight="1" x14ac:dyDescent="0.25">
      <c r="A94" s="63"/>
      <c r="B94" s="62"/>
      <c r="K94" s="66"/>
      <c r="T94" s="66"/>
      <c r="AC94" s="66"/>
      <c r="AL94" s="66"/>
      <c r="BI94" s="66"/>
      <c r="BM94" s="16">
        <f t="shared" si="2"/>
        <v>37</v>
      </c>
    </row>
    <row r="95" spans="1:65" ht="15" customHeight="1" x14ac:dyDescent="0.25">
      <c r="A95" s="63"/>
      <c r="B95" s="62"/>
      <c r="K95" s="66"/>
      <c r="T95" s="66"/>
      <c r="AC95" s="66"/>
      <c r="AL95" s="66"/>
      <c r="BI95" s="66"/>
      <c r="BM95" s="16"/>
    </row>
    <row r="96" spans="1:65" ht="15" customHeight="1" x14ac:dyDescent="0.25">
      <c r="A96" s="63"/>
      <c r="B96" s="62"/>
      <c r="K96" s="66"/>
      <c r="T96" s="66"/>
      <c r="AC96" s="66"/>
      <c r="AL96" s="66"/>
      <c r="BI96" s="66"/>
      <c r="BM96" s="16"/>
    </row>
    <row r="97" spans="1:67" ht="15" customHeight="1" x14ac:dyDescent="0.25">
      <c r="A97" s="63"/>
      <c r="B97" s="62"/>
      <c r="K97" s="66"/>
      <c r="T97" s="66"/>
      <c r="AC97" s="66"/>
      <c r="AL97" s="66"/>
      <c r="BI97" s="66"/>
      <c r="BM97" s="16">
        <f>IF(BM94=50,1,BM94+1)</f>
        <v>38</v>
      </c>
    </row>
    <row r="98" spans="1:67" ht="15" customHeight="1" x14ac:dyDescent="0.25">
      <c r="A98" s="63"/>
      <c r="B98" s="62"/>
      <c r="K98" s="66"/>
      <c r="T98" s="66"/>
      <c r="AC98" s="66"/>
      <c r="AL98" s="66"/>
      <c r="BI98" s="66"/>
      <c r="BM98" s="16">
        <f t="shared" si="2"/>
        <v>39</v>
      </c>
    </row>
    <row r="99" spans="1:67" ht="15" customHeight="1" x14ac:dyDescent="0.25">
      <c r="A99" s="63"/>
      <c r="B99" s="62"/>
      <c r="K99" s="66"/>
      <c r="T99" s="66"/>
      <c r="AC99" s="66"/>
      <c r="AL99" s="66"/>
      <c r="BI99" s="66"/>
      <c r="BM99" s="16">
        <f t="shared" si="2"/>
        <v>40</v>
      </c>
    </row>
    <row r="100" spans="1:67" ht="15" customHeight="1" x14ac:dyDescent="0.25">
      <c r="A100" s="63"/>
      <c r="B100" s="62"/>
      <c r="K100" s="66"/>
      <c r="T100" s="66"/>
      <c r="AC100" s="66"/>
      <c r="AL100" s="66"/>
      <c r="BI100" s="66"/>
      <c r="BM100" s="16">
        <f t="shared" si="2"/>
        <v>41</v>
      </c>
      <c r="BO100" s="30" t="s">
        <v>105</v>
      </c>
    </row>
    <row r="101" spans="1:67" ht="15" customHeight="1" x14ac:dyDescent="0.25">
      <c r="A101" s="63"/>
      <c r="B101" s="62"/>
      <c r="K101" s="66"/>
      <c r="T101" s="66"/>
      <c r="AC101" s="66"/>
      <c r="AL101" s="66"/>
      <c r="BI101" s="66"/>
      <c r="BM101" s="16">
        <f t="shared" si="2"/>
        <v>42</v>
      </c>
    </row>
    <row r="102" spans="1:67" ht="15" customHeight="1" x14ac:dyDescent="0.25">
      <c r="A102" s="63"/>
      <c r="B102" s="62"/>
      <c r="K102" s="66"/>
      <c r="T102" s="66"/>
      <c r="AC102" s="66"/>
      <c r="AL102" s="66"/>
      <c r="BI102" s="66"/>
      <c r="BM102" s="16">
        <f t="shared" si="2"/>
        <v>43</v>
      </c>
    </row>
    <row r="103" spans="1:67" ht="15" customHeight="1" x14ac:dyDescent="0.25">
      <c r="A103" s="63"/>
      <c r="B103" s="62"/>
      <c r="K103" s="66"/>
      <c r="T103" s="66"/>
      <c r="AC103" s="66"/>
      <c r="AL103" s="66"/>
      <c r="BI103" s="66"/>
      <c r="BM103" s="16">
        <f t="shared" si="2"/>
        <v>44</v>
      </c>
    </row>
    <row r="104" spans="1:67" ht="15" customHeight="1" x14ac:dyDescent="0.25">
      <c r="A104" s="63"/>
      <c r="B104" s="62"/>
      <c r="K104" s="66"/>
      <c r="T104" s="66"/>
      <c r="AC104" s="66"/>
      <c r="AL104" s="66"/>
      <c r="BI104" s="66"/>
      <c r="BM104" s="16">
        <f t="shared" si="2"/>
        <v>45</v>
      </c>
    </row>
    <row r="105" spans="1:67" ht="15" customHeight="1" x14ac:dyDescent="0.25">
      <c r="A105" s="63"/>
      <c r="B105" s="62"/>
      <c r="K105" s="66"/>
      <c r="T105" s="66"/>
      <c r="AC105" s="66"/>
      <c r="AL105" s="66"/>
      <c r="BI105" s="66"/>
      <c r="BM105" s="16">
        <f t="shared" si="2"/>
        <v>46</v>
      </c>
    </row>
    <row r="106" spans="1:67" ht="15" customHeight="1" x14ac:dyDescent="0.25">
      <c r="A106" s="63"/>
      <c r="B106" s="62"/>
      <c r="K106" s="66"/>
      <c r="T106" s="66"/>
      <c r="AC106" s="66"/>
      <c r="AL106" s="66"/>
      <c r="BI106" s="66"/>
      <c r="BM106" s="16">
        <f t="shared" si="2"/>
        <v>47</v>
      </c>
    </row>
    <row r="107" spans="1:67" ht="15" customHeight="1" x14ac:dyDescent="0.25">
      <c r="A107" s="63"/>
      <c r="B107" s="62"/>
      <c r="K107" s="66"/>
      <c r="T107" s="66"/>
      <c r="AC107" s="66"/>
      <c r="AL107" s="66"/>
      <c r="BI107" s="66"/>
      <c r="BM107" s="16">
        <f t="shared" si="2"/>
        <v>48</v>
      </c>
    </row>
    <row r="108" spans="1:67" ht="15" customHeight="1" x14ac:dyDescent="0.25">
      <c r="A108" s="63"/>
      <c r="B108" s="62"/>
      <c r="K108" s="66"/>
      <c r="T108" s="66"/>
      <c r="AC108" s="66"/>
      <c r="AL108" s="66"/>
      <c r="BI108" s="66"/>
      <c r="BM108" s="16">
        <f t="shared" si="2"/>
        <v>49</v>
      </c>
    </row>
    <row r="109" spans="1:67" ht="15" customHeight="1" x14ac:dyDescent="0.25">
      <c r="A109" s="63"/>
      <c r="B109" s="62"/>
      <c r="K109" s="66"/>
      <c r="T109" s="66"/>
      <c r="AC109" s="66"/>
      <c r="AL109" s="66"/>
      <c r="BI109" s="66"/>
      <c r="BM109" s="16">
        <f t="shared" si="2"/>
        <v>50</v>
      </c>
    </row>
    <row r="110" spans="1:67" ht="15" customHeight="1" x14ac:dyDescent="0.25">
      <c r="A110" s="63"/>
      <c r="B110" s="62"/>
      <c r="K110" s="66"/>
      <c r="T110" s="66"/>
      <c r="AC110" s="66"/>
      <c r="AL110" s="66"/>
      <c r="BI110" s="66"/>
      <c r="BM110" s="16">
        <f t="shared" si="2"/>
        <v>1</v>
      </c>
    </row>
    <row r="111" spans="1:67" ht="15" customHeight="1" x14ac:dyDescent="0.25">
      <c r="A111" s="63"/>
      <c r="B111" s="62"/>
      <c r="K111" s="66"/>
      <c r="T111" s="66"/>
      <c r="AC111" s="66"/>
      <c r="AL111" s="66"/>
      <c r="BI111" s="66"/>
      <c r="BM111" s="16">
        <f t="shared" si="2"/>
        <v>2</v>
      </c>
    </row>
    <row r="112" spans="1:67" ht="15" customHeight="1" x14ac:dyDescent="0.25">
      <c r="A112" s="63"/>
      <c r="B112" s="62"/>
      <c r="K112" s="66"/>
      <c r="T112" s="66"/>
      <c r="AC112" s="66"/>
      <c r="AL112" s="66"/>
      <c r="BI112" s="66"/>
      <c r="BM112" s="16">
        <f t="shared" si="2"/>
        <v>3</v>
      </c>
    </row>
    <row r="113" spans="1:65" ht="15" customHeight="1" x14ac:dyDescent="0.25">
      <c r="A113" s="63"/>
      <c r="B113" s="62"/>
      <c r="K113" s="66"/>
      <c r="T113" s="66"/>
      <c r="AC113" s="66"/>
      <c r="AL113" s="66"/>
      <c r="BI113" s="66"/>
      <c r="BM113" s="16">
        <f t="shared" si="2"/>
        <v>4</v>
      </c>
    </row>
    <row r="114" spans="1:65" ht="15" customHeight="1" x14ac:dyDescent="0.25">
      <c r="A114" s="63"/>
      <c r="B114" s="62"/>
      <c r="K114" s="66"/>
      <c r="T114" s="66"/>
      <c r="AC114" s="66"/>
      <c r="AL114" s="66"/>
      <c r="BI114" s="66"/>
      <c r="BM114" s="16">
        <f t="shared" si="2"/>
        <v>5</v>
      </c>
    </row>
    <row r="115" spans="1:65" ht="15" customHeight="1" x14ac:dyDescent="0.25">
      <c r="A115" s="66"/>
      <c r="B115" s="62"/>
      <c r="K115" s="66"/>
      <c r="T115" s="66"/>
      <c r="AC115" s="66"/>
      <c r="AL115" s="66"/>
      <c r="BI115" s="66"/>
      <c r="BM115" s="16">
        <f t="shared" si="2"/>
        <v>6</v>
      </c>
    </row>
    <row r="116" spans="1:65" ht="15" customHeight="1" x14ac:dyDescent="0.25">
      <c r="A116" s="66"/>
      <c r="K116" s="66"/>
      <c r="T116" s="66"/>
      <c r="AC116" s="66"/>
      <c r="AL116" s="66"/>
      <c r="BI116" s="66"/>
      <c r="BM116" s="16">
        <f t="shared" si="2"/>
        <v>7</v>
      </c>
    </row>
    <row r="117" spans="1:65" ht="15" customHeight="1" x14ac:dyDescent="0.25">
      <c r="A117" s="66"/>
      <c r="K117" s="66"/>
      <c r="T117" s="66"/>
      <c r="AC117" s="66"/>
      <c r="AL117" s="66"/>
      <c r="BI117" s="66"/>
      <c r="BM117" s="16">
        <f t="shared" si="2"/>
        <v>8</v>
      </c>
    </row>
    <row r="118" spans="1:65" ht="15" customHeight="1" x14ac:dyDescent="0.25">
      <c r="A118" s="63"/>
      <c r="B118" s="62"/>
      <c r="K118" s="63"/>
      <c r="L118" s="62"/>
      <c r="T118" s="63"/>
      <c r="U118" s="62"/>
      <c r="AC118" s="63"/>
      <c r="AD118" s="62"/>
      <c r="AL118" s="63"/>
      <c r="AM118" s="62"/>
      <c r="BI118" s="63"/>
      <c r="BJ118" s="62"/>
      <c r="BM118" s="16">
        <f t="shared" si="2"/>
        <v>9</v>
      </c>
    </row>
    <row r="119" spans="1:65" ht="15" customHeight="1" x14ac:dyDescent="0.25">
      <c r="A119" s="63"/>
      <c r="B119" s="62"/>
      <c r="K119" s="63"/>
      <c r="L119" s="62"/>
      <c r="T119" s="63"/>
      <c r="U119" s="62"/>
      <c r="AC119" s="63"/>
      <c r="AD119" s="62"/>
      <c r="AL119" s="63"/>
      <c r="AM119" s="62"/>
      <c r="BI119" s="63"/>
      <c r="BJ119" s="62"/>
      <c r="BM119" s="16">
        <f t="shared" si="2"/>
        <v>10</v>
      </c>
    </row>
    <row r="120" spans="1:65" ht="15" customHeight="1" x14ac:dyDescent="0.25">
      <c r="A120" s="63"/>
      <c r="B120" s="62"/>
      <c r="K120" s="63"/>
      <c r="L120" s="62"/>
      <c r="T120" s="63"/>
      <c r="U120" s="62"/>
      <c r="AC120" s="63"/>
      <c r="AD120" s="62"/>
      <c r="AL120" s="63"/>
      <c r="AM120" s="62"/>
      <c r="BI120" s="63"/>
      <c r="BJ120" s="62"/>
      <c r="BM120" s="16">
        <f t="shared" si="2"/>
        <v>11</v>
      </c>
    </row>
    <row r="121" spans="1:65" ht="15" customHeight="1" x14ac:dyDescent="0.25">
      <c r="A121" s="63"/>
      <c r="B121" s="62"/>
      <c r="K121" s="63"/>
      <c r="L121" s="62"/>
      <c r="T121" s="63"/>
      <c r="U121" s="62"/>
      <c r="AC121" s="63"/>
      <c r="AD121" s="62"/>
      <c r="AL121" s="63"/>
      <c r="AM121" s="62"/>
      <c r="BI121" s="63"/>
      <c r="BJ121" s="62"/>
      <c r="BM121" s="16">
        <f t="shared" si="2"/>
        <v>12</v>
      </c>
    </row>
    <row r="122" spans="1:65" ht="15" customHeight="1" x14ac:dyDescent="0.25">
      <c r="A122" s="63"/>
      <c r="B122" s="62"/>
      <c r="K122" s="63"/>
      <c r="L122" s="62"/>
      <c r="T122" s="63"/>
      <c r="U122" s="62"/>
      <c r="AC122" s="63"/>
      <c r="AD122" s="62"/>
      <c r="AL122" s="63"/>
      <c r="AM122" s="62"/>
      <c r="BI122" s="63"/>
      <c r="BJ122" s="62"/>
      <c r="BM122" s="16">
        <f t="shared" si="2"/>
        <v>13</v>
      </c>
    </row>
    <row r="123" spans="1:65" ht="15" customHeight="1" x14ac:dyDescent="0.25">
      <c r="A123" s="63"/>
      <c r="B123" s="62"/>
      <c r="K123" s="63"/>
      <c r="L123" s="62"/>
      <c r="T123" s="63"/>
      <c r="U123" s="62"/>
      <c r="AC123" s="63"/>
      <c r="AD123" s="62"/>
      <c r="AL123" s="63"/>
      <c r="AM123" s="62"/>
      <c r="BI123" s="63"/>
      <c r="BJ123" s="62"/>
      <c r="BM123" s="16">
        <f t="shared" si="2"/>
        <v>14</v>
      </c>
    </row>
    <row r="124" spans="1:65" ht="15" customHeight="1" x14ac:dyDescent="0.25">
      <c r="A124" s="63"/>
      <c r="B124" s="62"/>
      <c r="K124" s="63"/>
      <c r="L124" s="62"/>
      <c r="T124" s="63"/>
      <c r="U124" s="62"/>
      <c r="AC124" s="63"/>
      <c r="AD124" s="62"/>
      <c r="AL124" s="63"/>
      <c r="AM124" s="62"/>
      <c r="BI124" s="63"/>
      <c r="BJ124" s="62"/>
      <c r="BM124" s="16">
        <f t="shared" si="2"/>
        <v>15</v>
      </c>
    </row>
    <row r="125" spans="1:65" ht="15" customHeight="1" x14ac:dyDescent="0.25">
      <c r="A125" s="63"/>
      <c r="B125" s="62"/>
      <c r="K125" s="63"/>
      <c r="L125" s="62"/>
      <c r="T125" s="63"/>
      <c r="U125" s="62"/>
      <c r="AC125" s="63"/>
      <c r="AD125" s="62"/>
      <c r="AL125" s="63"/>
      <c r="AM125" s="62"/>
      <c r="BI125" s="63"/>
      <c r="BJ125" s="62"/>
      <c r="BM125" s="16">
        <f t="shared" si="2"/>
        <v>16</v>
      </c>
    </row>
    <row r="126" spans="1:65" ht="15" customHeight="1" x14ac:dyDescent="0.25">
      <c r="A126" s="63"/>
      <c r="B126" s="62"/>
      <c r="K126" s="63"/>
      <c r="L126" s="62"/>
      <c r="T126" s="63"/>
      <c r="U126" s="62"/>
      <c r="AC126" s="63"/>
      <c r="AD126" s="62"/>
      <c r="AL126" s="63"/>
      <c r="AM126" s="62"/>
      <c r="BI126" s="63"/>
      <c r="BJ126" s="62"/>
      <c r="BM126" s="16">
        <f t="shared" si="2"/>
        <v>17</v>
      </c>
    </row>
    <row r="127" spans="1:65" ht="15" customHeight="1" x14ac:dyDescent="0.25">
      <c r="A127" s="63"/>
      <c r="B127" s="62"/>
      <c r="K127" s="63"/>
      <c r="L127" s="62"/>
      <c r="T127" s="63"/>
      <c r="U127" s="62"/>
      <c r="AC127" s="63"/>
      <c r="AD127" s="62"/>
      <c r="AL127" s="63"/>
      <c r="AM127" s="62"/>
      <c r="BI127" s="63"/>
      <c r="BJ127" s="62"/>
      <c r="BM127" s="16">
        <f t="shared" si="2"/>
        <v>18</v>
      </c>
    </row>
    <row r="128" spans="1:65" ht="15" customHeight="1" x14ac:dyDescent="0.25">
      <c r="A128" s="63"/>
      <c r="B128" s="62"/>
      <c r="K128" s="63"/>
      <c r="L128" s="62"/>
      <c r="T128" s="63"/>
      <c r="U128" s="62"/>
      <c r="AC128" s="63"/>
      <c r="AD128" s="62"/>
      <c r="AL128" s="63"/>
      <c r="AM128" s="62"/>
      <c r="BI128" s="63"/>
      <c r="BJ128" s="62"/>
      <c r="BM128" s="16">
        <f t="shared" si="2"/>
        <v>19</v>
      </c>
    </row>
    <row r="129" spans="1:65" ht="15" customHeight="1" x14ac:dyDescent="0.25">
      <c r="A129" s="63"/>
      <c r="B129" s="62"/>
      <c r="K129" s="63"/>
      <c r="L129" s="62"/>
      <c r="T129" s="63"/>
      <c r="U129" s="62"/>
      <c r="AC129" s="63"/>
      <c r="AD129" s="62"/>
      <c r="AL129" s="63"/>
      <c r="AM129" s="62"/>
      <c r="BI129" s="63"/>
      <c r="BJ129" s="62"/>
      <c r="BM129" s="16">
        <f t="shared" si="2"/>
        <v>20</v>
      </c>
    </row>
    <row r="130" spans="1:65" ht="15" customHeight="1" x14ac:dyDescent="0.25">
      <c r="A130" s="63"/>
      <c r="B130" s="62"/>
      <c r="K130" s="63"/>
      <c r="L130" s="62"/>
      <c r="T130" s="63"/>
      <c r="U130" s="62"/>
      <c r="AC130" s="63"/>
      <c r="AD130" s="62"/>
      <c r="AL130" s="63"/>
      <c r="AM130" s="62"/>
      <c r="BI130" s="63"/>
      <c r="BJ130" s="62"/>
      <c r="BM130" s="16">
        <f t="shared" si="2"/>
        <v>21</v>
      </c>
    </row>
    <row r="131" spans="1:65" ht="15" customHeight="1" x14ac:dyDescent="0.25">
      <c r="A131" s="63"/>
      <c r="B131" s="62"/>
      <c r="K131" s="63"/>
      <c r="L131" s="62"/>
      <c r="T131" s="63"/>
      <c r="U131" s="62"/>
      <c r="AC131" s="63"/>
      <c r="AD131" s="62"/>
      <c r="AL131" s="63"/>
      <c r="AM131" s="62"/>
      <c r="BI131" s="63"/>
      <c r="BJ131" s="62"/>
      <c r="BM131" s="16">
        <f t="shared" si="2"/>
        <v>22</v>
      </c>
    </row>
    <row r="132" spans="1:65" ht="15" customHeight="1" x14ac:dyDescent="0.25">
      <c r="A132" s="63"/>
      <c r="B132" s="62"/>
      <c r="K132" s="63"/>
      <c r="L132" s="62"/>
      <c r="T132" s="63"/>
      <c r="U132" s="62"/>
      <c r="AC132" s="63"/>
      <c r="AD132" s="62"/>
      <c r="AL132" s="63"/>
      <c r="AM132" s="62"/>
      <c r="BI132" s="63"/>
      <c r="BJ132" s="62"/>
      <c r="BM132" s="16">
        <f t="shared" si="2"/>
        <v>23</v>
      </c>
    </row>
    <row r="133" spans="1:65" ht="15" customHeight="1" x14ac:dyDescent="0.25">
      <c r="A133" s="63"/>
      <c r="B133" s="62"/>
      <c r="K133" s="63"/>
      <c r="L133" s="62"/>
      <c r="T133" s="63"/>
      <c r="U133" s="62"/>
      <c r="AC133" s="63"/>
      <c r="AD133" s="62"/>
      <c r="AL133" s="63"/>
      <c r="AM133" s="62"/>
      <c r="BI133" s="63"/>
      <c r="BJ133" s="62"/>
      <c r="BM133" s="16">
        <f t="shared" si="2"/>
        <v>24</v>
      </c>
    </row>
    <row r="134" spans="1:65" ht="15" customHeight="1" x14ac:dyDescent="0.25">
      <c r="A134" s="63"/>
      <c r="B134" s="62"/>
      <c r="K134" s="63"/>
      <c r="L134" s="62"/>
      <c r="T134" s="63"/>
      <c r="U134" s="62"/>
      <c r="AC134" s="63"/>
      <c r="AD134" s="62"/>
      <c r="AL134" s="63"/>
      <c r="AM134" s="62"/>
      <c r="BI134" s="63"/>
      <c r="BJ134" s="62"/>
      <c r="BM134" s="16">
        <f t="shared" si="2"/>
        <v>25</v>
      </c>
    </row>
    <row r="135" spans="1:65" ht="15" customHeight="1" x14ac:dyDescent="0.25">
      <c r="A135" s="63"/>
      <c r="B135" s="62"/>
      <c r="K135" s="63"/>
      <c r="L135" s="62"/>
      <c r="T135" s="63"/>
      <c r="U135" s="62"/>
      <c r="AC135" s="63"/>
      <c r="AD135" s="62"/>
      <c r="AL135" s="63"/>
      <c r="AM135" s="62"/>
      <c r="BI135" s="63"/>
      <c r="BJ135" s="62"/>
      <c r="BM135" s="16">
        <f t="shared" si="2"/>
        <v>26</v>
      </c>
    </row>
    <row r="136" spans="1:65" ht="15" customHeight="1" x14ac:dyDescent="0.25">
      <c r="A136" s="63"/>
      <c r="B136" s="62"/>
      <c r="K136" s="63"/>
      <c r="L136" s="62"/>
      <c r="T136" s="63"/>
      <c r="U136" s="62"/>
      <c r="AC136" s="63"/>
      <c r="AD136" s="62"/>
      <c r="AL136" s="63"/>
      <c r="AM136" s="62"/>
      <c r="BI136" s="63"/>
      <c r="BJ136" s="62"/>
      <c r="BM136" s="16">
        <f t="shared" si="2"/>
        <v>27</v>
      </c>
    </row>
    <row r="137" spans="1:65" ht="15" customHeight="1" x14ac:dyDescent="0.25">
      <c r="A137" s="63"/>
      <c r="B137" s="62"/>
      <c r="K137" s="63"/>
      <c r="L137" s="62"/>
      <c r="T137" s="63"/>
      <c r="U137" s="62"/>
      <c r="AC137" s="63"/>
      <c r="AD137" s="62"/>
      <c r="AL137" s="63"/>
      <c r="AM137" s="62"/>
      <c r="BI137" s="63"/>
      <c r="BJ137" s="62"/>
      <c r="BM137" s="16">
        <f t="shared" si="2"/>
        <v>28</v>
      </c>
    </row>
    <row r="138" spans="1:65" ht="15" customHeight="1" x14ac:dyDescent="0.25">
      <c r="A138" s="63"/>
      <c r="B138" s="62"/>
      <c r="K138" s="63"/>
      <c r="L138" s="62"/>
      <c r="T138" s="63"/>
      <c r="U138" s="62"/>
      <c r="AC138" s="63"/>
      <c r="AD138" s="62"/>
      <c r="AL138" s="63"/>
      <c r="AM138" s="62"/>
      <c r="BI138" s="63"/>
      <c r="BJ138" s="62"/>
      <c r="BM138" s="16">
        <f t="shared" si="2"/>
        <v>29</v>
      </c>
    </row>
    <row r="139" spans="1:65" ht="15" customHeight="1" x14ac:dyDescent="0.25">
      <c r="A139" s="63"/>
      <c r="B139" s="62"/>
      <c r="K139" s="63"/>
      <c r="L139" s="62"/>
      <c r="T139" s="63"/>
      <c r="U139" s="62"/>
      <c r="AC139" s="63"/>
      <c r="AD139" s="62"/>
      <c r="AL139" s="63"/>
      <c r="AM139" s="62"/>
      <c r="BI139" s="63"/>
      <c r="BJ139" s="62"/>
      <c r="BM139" s="16">
        <f t="shared" si="2"/>
        <v>30</v>
      </c>
    </row>
    <row r="140" spans="1:65" ht="15" customHeight="1" x14ac:dyDescent="0.25">
      <c r="A140" s="63"/>
      <c r="B140" s="62"/>
      <c r="K140" s="63"/>
      <c r="L140" s="62"/>
      <c r="T140" s="63"/>
      <c r="U140" s="62"/>
      <c r="AC140" s="63"/>
      <c r="AD140" s="62"/>
      <c r="AL140" s="63"/>
      <c r="AM140" s="62"/>
      <c r="BI140" s="63"/>
      <c r="BJ140" s="62"/>
      <c r="BM140" s="16">
        <f t="shared" si="2"/>
        <v>31</v>
      </c>
    </row>
    <row r="141" spans="1:65" ht="15" customHeight="1" x14ac:dyDescent="0.25">
      <c r="A141" s="63"/>
      <c r="B141" s="62"/>
      <c r="K141" s="63"/>
      <c r="L141" s="62"/>
      <c r="T141" s="63"/>
      <c r="U141" s="62"/>
      <c r="AC141" s="63"/>
      <c r="AD141" s="62"/>
      <c r="AL141" s="63"/>
      <c r="AM141" s="62"/>
      <c r="BI141" s="63"/>
      <c r="BJ141" s="62"/>
      <c r="BM141" s="16">
        <f t="shared" si="2"/>
        <v>32</v>
      </c>
    </row>
    <row r="142" spans="1:65" ht="15" customHeight="1" x14ac:dyDescent="0.25">
      <c r="A142" s="63"/>
      <c r="B142" s="62"/>
      <c r="K142" s="63"/>
      <c r="L142" s="62"/>
      <c r="T142" s="63"/>
      <c r="U142" s="62"/>
      <c r="AC142" s="63"/>
      <c r="AD142" s="62"/>
      <c r="AL142" s="63"/>
      <c r="AM142" s="62"/>
      <c r="BI142" s="63"/>
      <c r="BJ142" s="62"/>
      <c r="BM142" s="16">
        <f t="shared" si="2"/>
        <v>33</v>
      </c>
    </row>
    <row r="143" spans="1:65" ht="15" customHeight="1" x14ac:dyDescent="0.25">
      <c r="A143" s="63"/>
      <c r="B143" s="62"/>
      <c r="K143" s="63"/>
      <c r="L143" s="62"/>
      <c r="T143" s="63"/>
      <c r="U143" s="62"/>
      <c r="AC143" s="63"/>
      <c r="AD143" s="62"/>
      <c r="AL143" s="63"/>
      <c r="AM143" s="62"/>
      <c r="BI143" s="63"/>
      <c r="BJ143" s="62"/>
      <c r="BM143" s="16">
        <f t="shared" si="2"/>
        <v>34</v>
      </c>
    </row>
    <row r="144" spans="1:65" ht="15" customHeight="1" x14ac:dyDescent="0.25">
      <c r="A144" s="65"/>
      <c r="B144" s="64"/>
      <c r="C144" s="32"/>
      <c r="D144" s="32"/>
      <c r="E144" s="32"/>
      <c r="F144" s="32"/>
      <c r="G144" s="32"/>
      <c r="H144" s="32"/>
      <c r="I144" s="32"/>
      <c r="J144" s="32"/>
      <c r="K144" s="65"/>
      <c r="L144" s="64"/>
      <c r="M144" s="32"/>
      <c r="N144" s="32"/>
      <c r="O144" s="32"/>
      <c r="P144" s="32"/>
      <c r="Q144" s="32"/>
      <c r="R144" s="32"/>
      <c r="S144" s="32"/>
      <c r="T144" s="65"/>
      <c r="U144" s="64"/>
      <c r="V144" s="32"/>
      <c r="W144" s="32"/>
      <c r="X144" s="32"/>
      <c r="Y144" s="32"/>
      <c r="Z144" s="32"/>
      <c r="AA144" s="32"/>
      <c r="AB144" s="32"/>
      <c r="AC144" s="65"/>
      <c r="AD144" s="64"/>
      <c r="AE144" s="32"/>
      <c r="AF144" s="32"/>
      <c r="AG144" s="32"/>
      <c r="AH144" s="32"/>
      <c r="AI144" s="32"/>
      <c r="AJ144" s="32"/>
      <c r="AK144" s="32"/>
      <c r="AL144" s="65"/>
      <c r="AM144" s="64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65"/>
      <c r="BJ144" s="64"/>
      <c r="BK144" s="32"/>
      <c r="BM144" s="16">
        <f t="shared" si="2"/>
        <v>35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3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16" customWidth="1"/>
    <col min="64" max="16384" width="10.109375" style="16"/>
  </cols>
  <sheetData>
    <row r="1" spans="1:63" ht="24.95" customHeight="1" x14ac:dyDescent="0.25">
      <c r="A1" s="349" t="s">
        <v>77</v>
      </c>
      <c r="B1" s="350"/>
      <c r="C1" s="350"/>
      <c r="D1" s="350"/>
      <c r="E1" s="350"/>
      <c r="F1" s="350"/>
      <c r="G1" s="350"/>
      <c r="H1" s="350"/>
      <c r="I1" s="350"/>
      <c r="J1" s="351"/>
      <c r="K1" s="349" t="s">
        <v>78</v>
      </c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1"/>
      <c r="W1" s="380" t="str">
        <f>IF(表紙!W1="","",表紙!W1)</f>
        <v>基本設計書</v>
      </c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81"/>
      <c r="AO1" s="382"/>
      <c r="AP1" s="118" t="s">
        <v>79</v>
      </c>
      <c r="AQ1" s="119"/>
      <c r="AR1" s="119"/>
      <c r="AS1" s="120"/>
      <c r="AT1" s="118" t="s">
        <v>80</v>
      </c>
      <c r="AU1" s="119"/>
      <c r="AV1" s="119"/>
      <c r="AW1" s="119"/>
      <c r="AX1" s="120"/>
      <c r="AY1" s="118" t="s">
        <v>81</v>
      </c>
      <c r="AZ1" s="119"/>
      <c r="BA1" s="119"/>
      <c r="BB1" s="120"/>
      <c r="BC1" s="118" t="s">
        <v>82</v>
      </c>
      <c r="BD1" s="119"/>
      <c r="BE1" s="119"/>
      <c r="BF1" s="119"/>
      <c r="BG1" s="120"/>
      <c r="BH1" s="118" t="s">
        <v>83</v>
      </c>
      <c r="BI1" s="119"/>
      <c r="BJ1" s="119"/>
      <c r="BK1" s="120"/>
    </row>
    <row r="2" spans="1:63" ht="15" customHeight="1" x14ac:dyDescent="0.25">
      <c r="A2" s="374" t="str">
        <f>IF(表紙!A2="","",表紙!A2)</f>
        <v>POSサーバー</v>
      </c>
      <c r="B2" s="375"/>
      <c r="C2" s="375"/>
      <c r="D2" s="375"/>
      <c r="E2" s="375"/>
      <c r="F2" s="375"/>
      <c r="G2" s="375"/>
      <c r="H2" s="375"/>
      <c r="I2" s="375"/>
      <c r="J2" s="376"/>
      <c r="K2" s="374" t="str">
        <f>IF(表紙!K2="","",表紙!K2)</f>
        <v>POSサーバ</v>
      </c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6"/>
      <c r="W2" s="383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4"/>
      <c r="AI2" s="384"/>
      <c r="AJ2" s="384"/>
      <c r="AK2" s="384"/>
      <c r="AL2" s="384"/>
      <c r="AM2" s="384"/>
      <c r="AN2" s="384"/>
      <c r="AO2" s="385"/>
      <c r="AP2" s="133" t="str">
        <f>IF(表紙!AP2="","",表紙!AP2)</f>
        <v>LoiLV</v>
      </c>
      <c r="AQ2" s="134"/>
      <c r="AR2" s="134"/>
      <c r="AS2" s="135"/>
      <c r="AT2" s="139">
        <f>IF(表紙!AT2="","",表紙!AT2)</f>
        <v>45415</v>
      </c>
      <c r="AU2" s="140"/>
      <c r="AV2" s="140"/>
      <c r="AW2" s="140"/>
      <c r="AX2" s="141"/>
      <c r="AY2" s="133" t="str">
        <f>IF(表紙!AY2="","",表紙!AY2)</f>
        <v>DuNT</v>
      </c>
      <c r="AZ2" s="134"/>
      <c r="BA2" s="134"/>
      <c r="BB2" s="135"/>
      <c r="BC2" s="139">
        <f>IF(表紙!BC2="","",表紙!BC2)</f>
        <v>45546</v>
      </c>
      <c r="BD2" s="140"/>
      <c r="BE2" s="140"/>
      <c r="BF2" s="140"/>
      <c r="BG2" s="141"/>
      <c r="BH2" s="133">
        <f>IF(表紙!BH2="","",表紙!BH2)</f>
        <v>0.81</v>
      </c>
      <c r="BI2" s="134"/>
      <c r="BJ2" s="134"/>
      <c r="BK2" s="135"/>
    </row>
    <row r="3" spans="1:63" ht="15" customHeight="1" x14ac:dyDescent="0.25">
      <c r="A3" s="377"/>
      <c r="B3" s="378"/>
      <c r="C3" s="378"/>
      <c r="D3" s="378"/>
      <c r="E3" s="378"/>
      <c r="F3" s="378"/>
      <c r="G3" s="378"/>
      <c r="H3" s="378"/>
      <c r="I3" s="378"/>
      <c r="J3" s="379"/>
      <c r="K3" s="377"/>
      <c r="L3" s="378"/>
      <c r="M3" s="378"/>
      <c r="N3" s="378"/>
      <c r="O3" s="378"/>
      <c r="P3" s="378"/>
      <c r="Q3" s="378"/>
      <c r="R3" s="378"/>
      <c r="S3" s="378"/>
      <c r="T3" s="378"/>
      <c r="U3" s="378"/>
      <c r="V3" s="379"/>
      <c r="W3" s="386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  <c r="AM3" s="387"/>
      <c r="AN3" s="387"/>
      <c r="AO3" s="388"/>
      <c r="AP3" s="136"/>
      <c r="AQ3" s="137"/>
      <c r="AR3" s="137"/>
      <c r="AS3" s="138"/>
      <c r="AT3" s="142"/>
      <c r="AU3" s="143"/>
      <c r="AV3" s="143"/>
      <c r="AW3" s="143"/>
      <c r="AX3" s="144"/>
      <c r="AY3" s="136"/>
      <c r="AZ3" s="137"/>
      <c r="BA3" s="137"/>
      <c r="BB3" s="138"/>
      <c r="BC3" s="142"/>
      <c r="BD3" s="143"/>
      <c r="BE3" s="143"/>
      <c r="BF3" s="143"/>
      <c r="BG3" s="144"/>
      <c r="BH3" s="136"/>
      <c r="BI3" s="137"/>
      <c r="BJ3" s="137"/>
      <c r="BK3" s="138"/>
    </row>
    <row r="4" spans="1:63" ht="24.95" customHeight="1" x14ac:dyDescent="0.25">
      <c r="A4" s="349" t="s">
        <v>103</v>
      </c>
      <c r="B4" s="350"/>
      <c r="C4" s="350"/>
      <c r="D4" s="350"/>
      <c r="E4" s="350"/>
      <c r="F4" s="350"/>
      <c r="G4" s="351"/>
      <c r="H4" s="352" t="str">
        <f>IF(表紙!H4="","",表紙!H4)</f>
        <v>06_1, 7, 8 定番変更</v>
      </c>
      <c r="I4" s="353"/>
      <c r="J4" s="353"/>
      <c r="K4" s="353"/>
      <c r="L4" s="353"/>
      <c r="M4" s="353"/>
      <c r="N4" s="353"/>
      <c r="O4" s="353"/>
      <c r="P4" s="353"/>
      <c r="Q4" s="353"/>
      <c r="R4" s="353"/>
      <c r="S4" s="353"/>
      <c r="T4" s="354"/>
      <c r="U4" s="349" t="s">
        <v>85</v>
      </c>
      <c r="V4" s="350"/>
      <c r="W4" s="350"/>
      <c r="X4" s="350"/>
      <c r="Y4" s="351"/>
      <c r="Z4" s="352" t="str">
        <f>IF(表紙!Z4="","",表紙!Z4)</f>
        <v>概要設計</v>
      </c>
      <c r="AA4" s="353"/>
      <c r="AB4" s="353"/>
      <c r="AC4" s="353"/>
      <c r="AD4" s="353"/>
      <c r="AE4" s="353"/>
      <c r="AF4" s="353"/>
      <c r="AG4" s="353"/>
      <c r="AH4" s="353"/>
      <c r="AI4" s="353"/>
      <c r="AJ4" s="353"/>
      <c r="AK4" s="353"/>
      <c r="AL4" s="353"/>
      <c r="AM4" s="353"/>
      <c r="AN4" s="353"/>
      <c r="AO4" s="354"/>
      <c r="AP4" s="355" t="str">
        <f ca="1">MID(CELL("filename",A1),FIND("]",CELL("filename",A1))+1,255)</f>
        <v>画面設計書</v>
      </c>
      <c r="AQ4" s="353"/>
      <c r="AR4" s="353"/>
      <c r="AS4" s="353"/>
      <c r="AT4" s="353"/>
      <c r="AU4" s="353"/>
      <c r="AV4" s="353"/>
      <c r="AW4" s="353"/>
      <c r="AX4" s="353"/>
      <c r="AY4" s="353"/>
      <c r="AZ4" s="353"/>
      <c r="BA4" s="353"/>
      <c r="BB4" s="353"/>
      <c r="BC4" s="353"/>
      <c r="BD4" s="353"/>
      <c r="BE4" s="353"/>
      <c r="BF4" s="353"/>
      <c r="BG4" s="353"/>
      <c r="BH4" s="353"/>
      <c r="BI4" s="353"/>
      <c r="BJ4" s="353"/>
      <c r="BK4" s="354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0"/>
      <c r="BK6" s="21"/>
    </row>
    <row r="7" spans="1:63" ht="15" customHeight="1" x14ac:dyDescent="0.25">
      <c r="A7" s="20"/>
      <c r="B7" s="72" t="s">
        <v>16</v>
      </c>
      <c r="C7" s="72"/>
      <c r="D7" s="72"/>
      <c r="E7" s="72"/>
      <c r="F7" s="72"/>
      <c r="G7" s="72"/>
      <c r="H7" s="72"/>
      <c r="I7" s="72"/>
      <c r="J7" s="72"/>
      <c r="AE7" s="22"/>
      <c r="BK7" s="21"/>
    </row>
    <row r="8" spans="1:63" ht="15" customHeight="1" x14ac:dyDescent="0.25">
      <c r="A8" s="20"/>
      <c r="BK8" s="21"/>
    </row>
    <row r="9" spans="1:63" ht="15" customHeight="1" x14ac:dyDescent="0.25">
      <c r="A9" s="20"/>
      <c r="BK9" s="21"/>
    </row>
    <row r="10" spans="1:63" ht="15" customHeight="1" x14ac:dyDescent="0.25">
      <c r="A10" s="20"/>
      <c r="BK10" s="21"/>
    </row>
    <row r="11" spans="1:63" ht="15" customHeight="1" x14ac:dyDescent="0.25">
      <c r="A11" s="20"/>
      <c r="BK11" s="21"/>
    </row>
    <row r="12" spans="1:63" ht="15" customHeight="1" x14ac:dyDescent="0.25">
      <c r="A12" s="20"/>
      <c r="BK12" s="21"/>
    </row>
    <row r="13" spans="1:63" ht="15" customHeight="1" x14ac:dyDescent="0.25">
      <c r="A13" s="20"/>
      <c r="BK13" s="21"/>
    </row>
    <row r="14" spans="1:63" ht="15" customHeight="1" x14ac:dyDescent="0.25">
      <c r="A14" s="20"/>
      <c r="BK14" s="21"/>
    </row>
    <row r="15" spans="1:63" ht="15" customHeight="1" x14ac:dyDescent="0.25">
      <c r="A15" s="20"/>
      <c r="BK15" s="21"/>
    </row>
    <row r="16" spans="1:63" ht="15" customHeight="1" x14ac:dyDescent="0.25">
      <c r="A16" s="20"/>
      <c r="BK16" s="21"/>
    </row>
    <row r="17" spans="1:63" ht="15" customHeight="1" x14ac:dyDescent="0.25">
      <c r="A17" s="20"/>
      <c r="BK17" s="21"/>
    </row>
    <row r="18" spans="1:63" ht="15" customHeight="1" x14ac:dyDescent="0.25">
      <c r="A18" s="20"/>
      <c r="BK18" s="21"/>
    </row>
    <row r="19" spans="1:63" ht="15" customHeight="1" x14ac:dyDescent="0.25">
      <c r="A19" s="20"/>
      <c r="BK19" s="21"/>
    </row>
    <row r="20" spans="1:63" ht="15" customHeight="1" x14ac:dyDescent="0.25">
      <c r="A20" s="20"/>
      <c r="BK20" s="21"/>
    </row>
    <row r="21" spans="1:63" ht="15" customHeight="1" x14ac:dyDescent="0.25">
      <c r="A21" s="20"/>
      <c r="BK21" s="21"/>
    </row>
    <row r="22" spans="1:63" ht="15" customHeight="1" x14ac:dyDescent="0.25">
      <c r="A22" s="20"/>
      <c r="BK22" s="21"/>
    </row>
    <row r="23" spans="1:63" ht="15" customHeight="1" x14ac:dyDescent="0.25">
      <c r="A23" s="20"/>
      <c r="BK23" s="21"/>
    </row>
    <row r="24" spans="1:63" ht="15" customHeight="1" x14ac:dyDescent="0.25">
      <c r="A24" s="20"/>
      <c r="BK24" s="21"/>
    </row>
    <row r="25" spans="1:63" ht="14.25" customHeight="1" x14ac:dyDescent="0.25">
      <c r="A25" s="20"/>
      <c r="BK25" s="21"/>
    </row>
    <row r="26" spans="1:63" ht="15" customHeight="1" x14ac:dyDescent="0.25">
      <c r="A26" s="20"/>
      <c r="BK26" s="21"/>
    </row>
    <row r="27" spans="1:63" ht="15" customHeight="1" x14ac:dyDescent="0.25">
      <c r="A27" s="20"/>
      <c r="BK27" s="21"/>
    </row>
    <row r="28" spans="1:63" x14ac:dyDescent="0.25">
      <c r="BK28" s="21"/>
    </row>
    <row r="29" spans="1:63" x14ac:dyDescent="0.25">
      <c r="BK29" s="21"/>
    </row>
    <row r="30" spans="1:63" x14ac:dyDescent="0.25">
      <c r="BK30" s="21"/>
    </row>
    <row r="31" spans="1:63" x14ac:dyDescent="0.25">
      <c r="BK31" s="21"/>
    </row>
    <row r="32" spans="1:63" x14ac:dyDescent="0.25">
      <c r="BK32" s="21"/>
    </row>
    <row r="33" spans="1:63" x14ac:dyDescent="0.25">
      <c r="BK33" s="21"/>
    </row>
    <row r="34" spans="1:63" x14ac:dyDescent="0.25">
      <c r="BK34" s="21"/>
    </row>
    <row r="35" spans="1:63" ht="15" customHeight="1" x14ac:dyDescent="0.25">
      <c r="A35" s="20"/>
      <c r="B35" s="22" t="s">
        <v>109</v>
      </c>
      <c r="BK35" s="21"/>
    </row>
    <row r="36" spans="1:63" x14ac:dyDescent="0.25">
      <c r="BK36" s="21"/>
    </row>
    <row r="37" spans="1:63" ht="15.75" customHeight="1" x14ac:dyDescent="0.25">
      <c r="B37" s="356" t="s">
        <v>110</v>
      </c>
      <c r="C37" s="357"/>
      <c r="D37" s="362" t="s">
        <v>111</v>
      </c>
      <c r="E37" s="363"/>
      <c r="F37" s="363"/>
      <c r="G37" s="363"/>
      <c r="H37" s="363"/>
      <c r="I37" s="363"/>
      <c r="J37" s="357"/>
      <c r="K37" s="362" t="s">
        <v>112</v>
      </c>
      <c r="L37" s="363"/>
      <c r="M37" s="357"/>
      <c r="N37" s="366" t="s">
        <v>17</v>
      </c>
      <c r="O37" s="369" t="s">
        <v>113</v>
      </c>
      <c r="P37" s="310" t="s">
        <v>114</v>
      </c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311"/>
      <c r="AB37" s="311"/>
      <c r="AC37" s="311"/>
      <c r="AD37" s="311"/>
      <c r="AE37" s="311"/>
      <c r="AF37" s="311"/>
      <c r="AG37" s="311"/>
      <c r="AH37" s="311"/>
      <c r="AI37" s="311"/>
      <c r="AJ37" s="311"/>
      <c r="AK37" s="311"/>
      <c r="AL37" s="311"/>
      <c r="AM37" s="311"/>
      <c r="AN37" s="311"/>
      <c r="AO37" s="311"/>
      <c r="AP37" s="311"/>
      <c r="AQ37" s="312"/>
      <c r="AR37" s="313" t="s">
        <v>115</v>
      </c>
      <c r="AS37" s="314"/>
      <c r="AT37" s="314"/>
      <c r="AU37" s="314"/>
      <c r="AV37" s="314"/>
      <c r="AW37" s="314"/>
      <c r="AX37" s="314"/>
      <c r="AY37" s="314"/>
      <c r="AZ37" s="314"/>
      <c r="BA37" s="314"/>
      <c r="BB37" s="315"/>
      <c r="BC37" s="316" t="s">
        <v>116</v>
      </c>
      <c r="BD37" s="317"/>
      <c r="BE37" s="317"/>
      <c r="BF37" s="317"/>
      <c r="BG37" s="317"/>
      <c r="BH37" s="317"/>
      <c r="BI37" s="317"/>
      <c r="BJ37" s="318"/>
      <c r="BK37" s="21"/>
    </row>
    <row r="38" spans="1:63" ht="15.75" customHeight="1" x14ac:dyDescent="0.25">
      <c r="B38" s="358"/>
      <c r="C38" s="359"/>
      <c r="D38" s="358"/>
      <c r="E38" s="364"/>
      <c r="F38" s="364"/>
      <c r="G38" s="364"/>
      <c r="H38" s="364"/>
      <c r="I38" s="364"/>
      <c r="J38" s="359"/>
      <c r="K38" s="358"/>
      <c r="L38" s="364"/>
      <c r="M38" s="359"/>
      <c r="N38" s="367"/>
      <c r="O38" s="370"/>
      <c r="P38" s="325" t="s">
        <v>117</v>
      </c>
      <c r="Q38" s="326"/>
      <c r="R38" s="326"/>
      <c r="S38" s="326"/>
      <c r="T38" s="326"/>
      <c r="U38" s="326"/>
      <c r="V38" s="326"/>
      <c r="W38" s="327"/>
      <c r="X38" s="328" t="s">
        <v>118</v>
      </c>
      <c r="Y38" s="329"/>
      <c r="Z38" s="330"/>
      <c r="AA38" s="328" t="s">
        <v>119</v>
      </c>
      <c r="AB38" s="329"/>
      <c r="AC38" s="329"/>
      <c r="AD38" s="329"/>
      <c r="AE38" s="329"/>
      <c r="AF38" s="329"/>
      <c r="AG38" s="329"/>
      <c r="AH38" s="330"/>
      <c r="AI38" s="328" t="s">
        <v>120</v>
      </c>
      <c r="AJ38" s="329"/>
      <c r="AK38" s="329"/>
      <c r="AL38" s="329"/>
      <c r="AM38" s="329"/>
      <c r="AN38" s="329"/>
      <c r="AO38" s="329"/>
      <c r="AP38" s="329"/>
      <c r="AQ38" s="330"/>
      <c r="AR38" s="334" t="s">
        <v>18</v>
      </c>
      <c r="AS38" s="336" t="s">
        <v>121</v>
      </c>
      <c r="AT38" s="338" t="s">
        <v>122</v>
      </c>
      <c r="AU38" s="313" t="s">
        <v>117</v>
      </c>
      <c r="AV38" s="314"/>
      <c r="AW38" s="314"/>
      <c r="AX38" s="314"/>
      <c r="AY38" s="314"/>
      <c r="AZ38" s="314"/>
      <c r="BA38" s="314"/>
      <c r="BB38" s="315"/>
      <c r="BC38" s="319"/>
      <c r="BD38" s="320"/>
      <c r="BE38" s="320"/>
      <c r="BF38" s="320"/>
      <c r="BG38" s="320"/>
      <c r="BH38" s="320"/>
      <c r="BI38" s="320"/>
      <c r="BJ38" s="321"/>
      <c r="BK38" s="21"/>
    </row>
    <row r="39" spans="1:63" x14ac:dyDescent="0.25">
      <c r="B39" s="360"/>
      <c r="C39" s="361"/>
      <c r="D39" s="360"/>
      <c r="E39" s="365"/>
      <c r="F39" s="365"/>
      <c r="G39" s="365"/>
      <c r="H39" s="365"/>
      <c r="I39" s="365"/>
      <c r="J39" s="361"/>
      <c r="K39" s="360"/>
      <c r="L39" s="365"/>
      <c r="M39" s="361"/>
      <c r="N39" s="368"/>
      <c r="O39" s="371"/>
      <c r="P39" s="310" t="s">
        <v>123</v>
      </c>
      <c r="Q39" s="311"/>
      <c r="R39" s="311"/>
      <c r="S39" s="312"/>
      <c r="T39" s="310" t="s">
        <v>111</v>
      </c>
      <c r="U39" s="311"/>
      <c r="V39" s="311"/>
      <c r="W39" s="312"/>
      <c r="X39" s="331"/>
      <c r="Y39" s="332"/>
      <c r="Z39" s="333"/>
      <c r="AA39" s="331"/>
      <c r="AB39" s="332"/>
      <c r="AC39" s="332"/>
      <c r="AD39" s="332"/>
      <c r="AE39" s="332"/>
      <c r="AF39" s="332"/>
      <c r="AG39" s="332"/>
      <c r="AH39" s="333"/>
      <c r="AI39" s="331"/>
      <c r="AJ39" s="332"/>
      <c r="AK39" s="332"/>
      <c r="AL39" s="332"/>
      <c r="AM39" s="332"/>
      <c r="AN39" s="332"/>
      <c r="AO39" s="332"/>
      <c r="AP39" s="332"/>
      <c r="AQ39" s="333"/>
      <c r="AR39" s="335"/>
      <c r="AS39" s="337"/>
      <c r="AT39" s="339"/>
      <c r="AU39" s="313" t="s">
        <v>123</v>
      </c>
      <c r="AV39" s="314"/>
      <c r="AW39" s="314"/>
      <c r="AX39" s="372"/>
      <c r="AY39" s="373" t="s">
        <v>111</v>
      </c>
      <c r="AZ39" s="314"/>
      <c r="BA39" s="314"/>
      <c r="BB39" s="315"/>
      <c r="BC39" s="322"/>
      <c r="BD39" s="323"/>
      <c r="BE39" s="323"/>
      <c r="BF39" s="323"/>
      <c r="BG39" s="323"/>
      <c r="BH39" s="323"/>
      <c r="BI39" s="323"/>
      <c r="BJ39" s="324"/>
      <c r="BK39" s="21"/>
    </row>
    <row r="40" spans="1:63" ht="15.75" customHeight="1" x14ac:dyDescent="0.25">
      <c r="B40" s="303">
        <v>1</v>
      </c>
      <c r="C40" s="304"/>
      <c r="D40" s="305"/>
      <c r="E40" s="306"/>
      <c r="F40" s="306"/>
      <c r="G40" s="306"/>
      <c r="H40" s="306"/>
      <c r="I40" s="306"/>
      <c r="J40" s="307"/>
      <c r="K40" s="286" t="s">
        <v>19</v>
      </c>
      <c r="L40" s="287"/>
      <c r="M40" s="288"/>
      <c r="N40" s="23" t="s">
        <v>20</v>
      </c>
      <c r="O40" s="24" t="s">
        <v>21</v>
      </c>
      <c r="P40" s="308" t="s">
        <v>20</v>
      </c>
      <c r="Q40" s="309"/>
      <c r="R40" s="309"/>
      <c r="S40" s="304"/>
      <c r="T40" s="308" t="s">
        <v>20</v>
      </c>
      <c r="U40" s="309"/>
      <c r="V40" s="309"/>
      <c r="W40" s="304"/>
      <c r="X40" s="340" t="s">
        <v>108</v>
      </c>
      <c r="Y40" s="341"/>
      <c r="Z40" s="342"/>
      <c r="AA40" s="303" t="s">
        <v>22</v>
      </c>
      <c r="AB40" s="309"/>
      <c r="AC40" s="309"/>
      <c r="AD40" s="309"/>
      <c r="AE40" s="309"/>
      <c r="AF40" s="309"/>
      <c r="AG40" s="309"/>
      <c r="AH40" s="304"/>
      <c r="AI40" s="343" t="s">
        <v>20</v>
      </c>
      <c r="AJ40" s="344"/>
      <c r="AK40" s="344"/>
      <c r="AL40" s="344"/>
      <c r="AM40" s="344"/>
      <c r="AN40" s="344"/>
      <c r="AO40" s="344"/>
      <c r="AP40" s="344"/>
      <c r="AQ40" s="345"/>
      <c r="AR40" s="25" t="s">
        <v>20</v>
      </c>
      <c r="AS40" s="25" t="s">
        <v>22</v>
      </c>
      <c r="AT40" s="25" t="s">
        <v>22</v>
      </c>
      <c r="AU40" s="303" t="s">
        <v>23</v>
      </c>
      <c r="AV40" s="309"/>
      <c r="AW40" s="309"/>
      <c r="AX40" s="304"/>
      <c r="AY40" s="303" t="s">
        <v>22</v>
      </c>
      <c r="AZ40" s="309"/>
      <c r="BA40" s="309"/>
      <c r="BB40" s="304"/>
      <c r="BC40" s="346"/>
      <c r="BD40" s="347"/>
      <c r="BE40" s="347"/>
      <c r="BF40" s="347"/>
      <c r="BG40" s="347"/>
      <c r="BH40" s="347"/>
      <c r="BI40" s="347"/>
      <c r="BJ40" s="348"/>
      <c r="BK40" s="21"/>
    </row>
    <row r="41" spans="1:63" x14ac:dyDescent="0.25">
      <c r="B41" s="271">
        <v>2</v>
      </c>
      <c r="C41" s="273"/>
      <c r="D41" s="300"/>
      <c r="E41" s="301"/>
      <c r="F41" s="301"/>
      <c r="G41" s="301"/>
      <c r="H41" s="301"/>
      <c r="I41" s="301"/>
      <c r="J41" s="302"/>
      <c r="K41" s="286" t="s">
        <v>19</v>
      </c>
      <c r="L41" s="287"/>
      <c r="M41" s="288"/>
      <c r="N41" s="24" t="s">
        <v>24</v>
      </c>
      <c r="O41" s="24" t="s">
        <v>21</v>
      </c>
      <c r="P41" s="271" t="s">
        <v>23</v>
      </c>
      <c r="Q41" s="272"/>
      <c r="R41" s="272"/>
      <c r="S41" s="273"/>
      <c r="T41" s="271" t="s">
        <v>23</v>
      </c>
      <c r="U41" s="272"/>
      <c r="V41" s="272"/>
      <c r="W41" s="273"/>
      <c r="X41" s="296" t="s">
        <v>124</v>
      </c>
      <c r="Y41" s="297"/>
      <c r="Z41" s="298"/>
      <c r="AA41" s="271" t="s">
        <v>22</v>
      </c>
      <c r="AB41" s="272"/>
      <c r="AC41" s="272"/>
      <c r="AD41" s="272"/>
      <c r="AE41" s="272"/>
      <c r="AF41" s="272"/>
      <c r="AG41" s="272"/>
      <c r="AH41" s="273"/>
      <c r="AI41" s="274" t="s">
        <v>22</v>
      </c>
      <c r="AJ41" s="275"/>
      <c r="AK41" s="275"/>
      <c r="AL41" s="275"/>
      <c r="AM41" s="275"/>
      <c r="AN41" s="275"/>
      <c r="AO41" s="275"/>
      <c r="AP41" s="275"/>
      <c r="AQ41" s="276"/>
      <c r="AR41" s="26" t="s">
        <v>20</v>
      </c>
      <c r="AS41" s="26" t="s">
        <v>22</v>
      </c>
      <c r="AT41" s="26" t="s">
        <v>22</v>
      </c>
      <c r="AU41" s="271" t="s">
        <v>23</v>
      </c>
      <c r="AV41" s="272"/>
      <c r="AW41" s="272"/>
      <c r="AX41" s="273"/>
      <c r="AY41" s="271" t="s">
        <v>22</v>
      </c>
      <c r="AZ41" s="272"/>
      <c r="BA41" s="272"/>
      <c r="BB41" s="273"/>
      <c r="BC41" s="295"/>
      <c r="BD41" s="278"/>
      <c r="BE41" s="278"/>
      <c r="BF41" s="278"/>
      <c r="BG41" s="278"/>
      <c r="BH41" s="278"/>
      <c r="BI41" s="278"/>
      <c r="BJ41" s="279"/>
      <c r="BK41" s="21"/>
    </row>
    <row r="42" spans="1:63" x14ac:dyDescent="0.25">
      <c r="B42" s="271">
        <v>3</v>
      </c>
      <c r="C42" s="273"/>
      <c r="D42" s="283"/>
      <c r="E42" s="284"/>
      <c r="F42" s="284"/>
      <c r="G42" s="284"/>
      <c r="H42" s="284"/>
      <c r="I42" s="284"/>
      <c r="J42" s="285"/>
      <c r="K42" s="286" t="s">
        <v>19</v>
      </c>
      <c r="L42" s="287"/>
      <c r="M42" s="288"/>
      <c r="N42" s="24" t="s">
        <v>25</v>
      </c>
      <c r="O42" s="24" t="s">
        <v>20</v>
      </c>
      <c r="P42" s="299" t="s">
        <v>20</v>
      </c>
      <c r="Q42" s="272"/>
      <c r="R42" s="272"/>
      <c r="S42" s="273"/>
      <c r="T42" s="271"/>
      <c r="U42" s="272"/>
      <c r="V42" s="272"/>
      <c r="W42" s="273"/>
      <c r="X42" s="292" t="s">
        <v>20</v>
      </c>
      <c r="Y42" s="293"/>
      <c r="Z42" s="294"/>
      <c r="AA42" s="271" t="s">
        <v>22</v>
      </c>
      <c r="AB42" s="272"/>
      <c r="AC42" s="272"/>
      <c r="AD42" s="272"/>
      <c r="AE42" s="272"/>
      <c r="AF42" s="272"/>
      <c r="AG42" s="272"/>
      <c r="AH42" s="273"/>
      <c r="AI42" s="274" t="s">
        <v>22</v>
      </c>
      <c r="AJ42" s="275"/>
      <c r="AK42" s="275"/>
      <c r="AL42" s="275"/>
      <c r="AM42" s="275"/>
      <c r="AN42" s="275"/>
      <c r="AO42" s="275"/>
      <c r="AP42" s="275"/>
      <c r="AQ42" s="276"/>
      <c r="AR42" s="26" t="s">
        <v>20</v>
      </c>
      <c r="AS42" s="26" t="s">
        <v>22</v>
      </c>
      <c r="AT42" s="26" t="s">
        <v>22</v>
      </c>
      <c r="AU42" s="271" t="s">
        <v>23</v>
      </c>
      <c r="AV42" s="272"/>
      <c r="AW42" s="272"/>
      <c r="AX42" s="273"/>
      <c r="AY42" s="271" t="s">
        <v>22</v>
      </c>
      <c r="AZ42" s="272"/>
      <c r="BA42" s="272"/>
      <c r="BB42" s="273"/>
      <c r="BC42" s="277"/>
      <c r="BD42" s="278"/>
      <c r="BE42" s="278"/>
      <c r="BF42" s="278"/>
      <c r="BG42" s="278"/>
      <c r="BH42" s="278"/>
      <c r="BI42" s="278"/>
      <c r="BJ42" s="279"/>
      <c r="BK42" s="21"/>
    </row>
    <row r="43" spans="1:63" x14ac:dyDescent="0.25">
      <c r="B43" s="271">
        <v>4</v>
      </c>
      <c r="C43" s="273"/>
      <c r="D43" s="289"/>
      <c r="E43" s="290"/>
      <c r="F43" s="290"/>
      <c r="G43" s="290"/>
      <c r="H43" s="290"/>
      <c r="I43" s="290"/>
      <c r="J43" s="291"/>
      <c r="K43" s="286" t="s">
        <v>19</v>
      </c>
      <c r="L43" s="287"/>
      <c r="M43" s="288"/>
      <c r="N43" s="27" t="s">
        <v>24</v>
      </c>
      <c r="O43" s="24" t="s">
        <v>21</v>
      </c>
      <c r="P43" s="271" t="s">
        <v>23</v>
      </c>
      <c r="Q43" s="272"/>
      <c r="R43" s="272"/>
      <c r="S43" s="273"/>
      <c r="T43" s="271" t="s">
        <v>23</v>
      </c>
      <c r="U43" s="272"/>
      <c r="V43" s="272"/>
      <c r="W43" s="273"/>
      <c r="X43" s="268" t="s">
        <v>26</v>
      </c>
      <c r="Y43" s="269"/>
      <c r="Z43" s="270"/>
      <c r="AA43" s="271" t="s">
        <v>22</v>
      </c>
      <c r="AB43" s="272"/>
      <c r="AC43" s="272"/>
      <c r="AD43" s="272"/>
      <c r="AE43" s="272"/>
      <c r="AF43" s="272"/>
      <c r="AG43" s="272"/>
      <c r="AH43" s="273"/>
      <c r="AI43" s="274" t="s">
        <v>22</v>
      </c>
      <c r="AJ43" s="275"/>
      <c r="AK43" s="275"/>
      <c r="AL43" s="275"/>
      <c r="AM43" s="275"/>
      <c r="AN43" s="275"/>
      <c r="AO43" s="275"/>
      <c r="AP43" s="275"/>
      <c r="AQ43" s="276"/>
      <c r="AR43" s="26" t="s">
        <v>20</v>
      </c>
      <c r="AS43" s="26" t="s">
        <v>22</v>
      </c>
      <c r="AT43" s="26" t="s">
        <v>22</v>
      </c>
      <c r="AU43" s="271" t="s">
        <v>23</v>
      </c>
      <c r="AV43" s="272"/>
      <c r="AW43" s="272"/>
      <c r="AX43" s="273"/>
      <c r="AY43" s="271" t="s">
        <v>22</v>
      </c>
      <c r="AZ43" s="272"/>
      <c r="BA43" s="272"/>
      <c r="BB43" s="273"/>
      <c r="BC43" s="280"/>
      <c r="BD43" s="281"/>
      <c r="BE43" s="281"/>
      <c r="BF43" s="281"/>
      <c r="BG43" s="281"/>
      <c r="BH43" s="281"/>
      <c r="BI43" s="281"/>
      <c r="BJ43" s="282"/>
      <c r="BK43" s="21"/>
    </row>
    <row r="44" spans="1:63" x14ac:dyDescent="0.25">
      <c r="B44" s="271">
        <v>5</v>
      </c>
      <c r="C44" s="273"/>
      <c r="D44" s="283"/>
      <c r="E44" s="284"/>
      <c r="F44" s="284"/>
      <c r="G44" s="284"/>
      <c r="H44" s="284"/>
      <c r="I44" s="284"/>
      <c r="J44" s="285"/>
      <c r="K44" s="286" t="s">
        <v>27</v>
      </c>
      <c r="L44" s="287"/>
      <c r="M44" s="288"/>
      <c r="N44" s="27" t="s">
        <v>25</v>
      </c>
      <c r="O44" s="24" t="s">
        <v>20</v>
      </c>
      <c r="P44" s="271" t="s">
        <v>23</v>
      </c>
      <c r="Q44" s="272"/>
      <c r="R44" s="272"/>
      <c r="S44" s="273"/>
      <c r="T44" s="271" t="s">
        <v>23</v>
      </c>
      <c r="U44" s="272"/>
      <c r="V44" s="272"/>
      <c r="W44" s="273"/>
      <c r="X44" s="268" t="s">
        <v>20</v>
      </c>
      <c r="Y44" s="269"/>
      <c r="Z44" s="270"/>
      <c r="AA44" s="271" t="s">
        <v>22</v>
      </c>
      <c r="AB44" s="272"/>
      <c r="AC44" s="272"/>
      <c r="AD44" s="272"/>
      <c r="AE44" s="272"/>
      <c r="AF44" s="272"/>
      <c r="AG44" s="272"/>
      <c r="AH44" s="273"/>
      <c r="AI44" s="274" t="s">
        <v>22</v>
      </c>
      <c r="AJ44" s="275"/>
      <c r="AK44" s="275"/>
      <c r="AL44" s="275"/>
      <c r="AM44" s="275"/>
      <c r="AN44" s="275"/>
      <c r="AO44" s="275"/>
      <c r="AP44" s="275"/>
      <c r="AQ44" s="276"/>
      <c r="AR44" s="26" t="s">
        <v>20</v>
      </c>
      <c r="AS44" s="26" t="s">
        <v>22</v>
      </c>
      <c r="AT44" s="26" t="s">
        <v>22</v>
      </c>
      <c r="AU44" s="271" t="s">
        <v>23</v>
      </c>
      <c r="AV44" s="272"/>
      <c r="AW44" s="272"/>
      <c r="AX44" s="273"/>
      <c r="AY44" s="271" t="s">
        <v>22</v>
      </c>
      <c r="AZ44" s="272"/>
      <c r="BA44" s="272"/>
      <c r="BB44" s="273"/>
      <c r="BC44" s="277"/>
      <c r="BD44" s="278"/>
      <c r="BE44" s="278"/>
      <c r="BF44" s="278"/>
      <c r="BG44" s="278"/>
      <c r="BH44" s="278"/>
      <c r="BI44" s="278"/>
      <c r="BJ44" s="279"/>
      <c r="BK44" s="21"/>
    </row>
    <row r="45" spans="1:63" x14ac:dyDescent="0.25">
      <c r="B45" s="250">
        <v>6</v>
      </c>
      <c r="C45" s="252"/>
      <c r="D45" s="259"/>
      <c r="E45" s="260"/>
      <c r="F45" s="260"/>
      <c r="G45" s="260"/>
      <c r="H45" s="260"/>
      <c r="I45" s="260"/>
      <c r="J45" s="261"/>
      <c r="K45" s="262" t="s">
        <v>28</v>
      </c>
      <c r="L45" s="263"/>
      <c r="M45" s="264"/>
      <c r="N45" s="28" t="s">
        <v>25</v>
      </c>
      <c r="O45" s="28" t="s">
        <v>21</v>
      </c>
      <c r="P45" s="250" t="s">
        <v>23</v>
      </c>
      <c r="Q45" s="251"/>
      <c r="R45" s="251"/>
      <c r="S45" s="252"/>
      <c r="T45" s="250" t="s">
        <v>23</v>
      </c>
      <c r="U45" s="251"/>
      <c r="V45" s="251"/>
      <c r="W45" s="252"/>
      <c r="X45" s="265" t="s">
        <v>125</v>
      </c>
      <c r="Y45" s="266"/>
      <c r="Z45" s="267"/>
      <c r="AA45" s="250" t="s">
        <v>22</v>
      </c>
      <c r="AB45" s="251"/>
      <c r="AC45" s="251"/>
      <c r="AD45" s="251"/>
      <c r="AE45" s="251"/>
      <c r="AF45" s="251"/>
      <c r="AG45" s="251"/>
      <c r="AH45" s="252"/>
      <c r="AI45" s="253" t="s">
        <v>29</v>
      </c>
      <c r="AJ45" s="254"/>
      <c r="AK45" s="254"/>
      <c r="AL45" s="254"/>
      <c r="AM45" s="254"/>
      <c r="AN45" s="254"/>
      <c r="AO45" s="254"/>
      <c r="AP45" s="254"/>
      <c r="AQ45" s="255"/>
      <c r="AR45" s="29" t="s">
        <v>20</v>
      </c>
      <c r="AS45" s="29" t="s">
        <v>22</v>
      </c>
      <c r="AT45" s="29" t="s">
        <v>22</v>
      </c>
      <c r="AU45" s="250" t="s">
        <v>23</v>
      </c>
      <c r="AV45" s="251"/>
      <c r="AW45" s="251"/>
      <c r="AX45" s="252"/>
      <c r="AY45" s="250" t="s">
        <v>22</v>
      </c>
      <c r="AZ45" s="251"/>
      <c r="BA45" s="251"/>
      <c r="BB45" s="252"/>
      <c r="BC45" s="256" t="s">
        <v>30</v>
      </c>
      <c r="BD45" s="257"/>
      <c r="BE45" s="257"/>
      <c r="BF45" s="257"/>
      <c r="BG45" s="257"/>
      <c r="BH45" s="257"/>
      <c r="BI45" s="257"/>
      <c r="BJ45" s="258"/>
      <c r="BK45" s="21"/>
    </row>
    <row r="46" spans="1:63" x14ac:dyDescent="0.25">
      <c r="BK46" s="21"/>
    </row>
    <row r="47" spans="1:63" x14ac:dyDescent="0.25">
      <c r="BK47" s="21"/>
    </row>
    <row r="48" spans="1:63" x14ac:dyDescent="0.25">
      <c r="BK48" s="21"/>
    </row>
    <row r="49" spans="1:63" x14ac:dyDescent="0.25">
      <c r="BK49" s="21"/>
    </row>
    <row r="50" spans="1:63" x14ac:dyDescent="0.25">
      <c r="BK50" s="21"/>
    </row>
    <row r="51" spans="1:63" x14ac:dyDescent="0.25">
      <c r="BK51" s="21"/>
    </row>
    <row r="52" spans="1:63" x14ac:dyDescent="0.25">
      <c r="BK52" s="21"/>
    </row>
    <row r="53" spans="1:63" x14ac:dyDescent="0.25">
      <c r="BK53" s="21"/>
    </row>
    <row r="54" spans="1:63" x14ac:dyDescent="0.25">
      <c r="BK54" s="21"/>
    </row>
    <row r="55" spans="1:63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9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6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30" customWidth="1"/>
    <col min="61" max="16384" width="2.77734375" style="30"/>
  </cols>
  <sheetData>
    <row r="1" spans="1:63" ht="24.95" customHeight="1" x14ac:dyDescent="0.25">
      <c r="A1" s="349" t="s">
        <v>77</v>
      </c>
      <c r="B1" s="350"/>
      <c r="C1" s="350"/>
      <c r="D1" s="350"/>
      <c r="E1" s="350"/>
      <c r="F1" s="350"/>
      <c r="G1" s="350"/>
      <c r="H1" s="350"/>
      <c r="I1" s="350"/>
      <c r="J1" s="351"/>
      <c r="K1" s="349" t="s">
        <v>78</v>
      </c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1"/>
      <c r="W1" s="380" t="str">
        <f>IF(表紙!W1="","",表紙!W1)</f>
        <v>基本設計書</v>
      </c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81"/>
      <c r="AO1" s="382"/>
      <c r="AP1" s="118" t="s">
        <v>79</v>
      </c>
      <c r="AQ1" s="119"/>
      <c r="AR1" s="119"/>
      <c r="AS1" s="120"/>
      <c r="AT1" s="118" t="s">
        <v>80</v>
      </c>
      <c r="AU1" s="119"/>
      <c r="AV1" s="119"/>
      <c r="AW1" s="119"/>
      <c r="AX1" s="120"/>
      <c r="AY1" s="118" t="s">
        <v>81</v>
      </c>
      <c r="AZ1" s="119"/>
      <c r="BA1" s="119"/>
      <c r="BB1" s="120"/>
      <c r="BC1" s="118" t="s">
        <v>82</v>
      </c>
      <c r="BD1" s="119"/>
      <c r="BE1" s="119"/>
      <c r="BF1" s="119"/>
      <c r="BG1" s="120"/>
      <c r="BH1" s="118" t="s">
        <v>83</v>
      </c>
      <c r="BI1" s="119"/>
      <c r="BJ1" s="119"/>
      <c r="BK1" s="120"/>
    </row>
    <row r="2" spans="1:63" ht="15" customHeight="1" x14ac:dyDescent="0.25">
      <c r="A2" s="374" t="str">
        <f>IF(表紙!A2="","",表紙!A2)</f>
        <v>POSサーバー</v>
      </c>
      <c r="B2" s="375"/>
      <c r="C2" s="375"/>
      <c r="D2" s="375"/>
      <c r="E2" s="375"/>
      <c r="F2" s="375"/>
      <c r="G2" s="375"/>
      <c r="H2" s="375"/>
      <c r="I2" s="375"/>
      <c r="J2" s="376"/>
      <c r="K2" s="374" t="str">
        <f>IF(表紙!K2="","",表紙!K2)</f>
        <v>POSサーバ</v>
      </c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6"/>
      <c r="W2" s="383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4"/>
      <c r="AI2" s="384"/>
      <c r="AJ2" s="384"/>
      <c r="AK2" s="384"/>
      <c r="AL2" s="384"/>
      <c r="AM2" s="384"/>
      <c r="AN2" s="384"/>
      <c r="AO2" s="385"/>
      <c r="AP2" s="133" t="str">
        <f>IF(表紙!AP2="","",表紙!AP2)</f>
        <v>LoiLV</v>
      </c>
      <c r="AQ2" s="134"/>
      <c r="AR2" s="134"/>
      <c r="AS2" s="135"/>
      <c r="AT2" s="139">
        <f>IF(表紙!AT2="","",表紙!AT2)</f>
        <v>45415</v>
      </c>
      <c r="AU2" s="140"/>
      <c r="AV2" s="140"/>
      <c r="AW2" s="140"/>
      <c r="AX2" s="141"/>
      <c r="AY2" s="133" t="str">
        <f>IF(表紙!AY2="","",表紙!AY2)</f>
        <v>DuNT</v>
      </c>
      <c r="AZ2" s="134"/>
      <c r="BA2" s="134"/>
      <c r="BB2" s="135"/>
      <c r="BC2" s="139">
        <f>IF(表紙!BC2="","",表紙!BC2)</f>
        <v>45546</v>
      </c>
      <c r="BD2" s="140"/>
      <c r="BE2" s="140"/>
      <c r="BF2" s="140"/>
      <c r="BG2" s="141"/>
      <c r="BH2" s="133">
        <f>IF(表紙!BH2="","",表紙!BH2)</f>
        <v>0.81</v>
      </c>
      <c r="BI2" s="134"/>
      <c r="BJ2" s="134"/>
      <c r="BK2" s="135"/>
    </row>
    <row r="3" spans="1:63" ht="15" customHeight="1" x14ac:dyDescent="0.25">
      <c r="A3" s="377"/>
      <c r="B3" s="378"/>
      <c r="C3" s="378"/>
      <c r="D3" s="378"/>
      <c r="E3" s="378"/>
      <c r="F3" s="378"/>
      <c r="G3" s="378"/>
      <c r="H3" s="378"/>
      <c r="I3" s="378"/>
      <c r="J3" s="379"/>
      <c r="K3" s="377"/>
      <c r="L3" s="378"/>
      <c r="M3" s="378"/>
      <c r="N3" s="378"/>
      <c r="O3" s="378"/>
      <c r="P3" s="378"/>
      <c r="Q3" s="378"/>
      <c r="R3" s="378"/>
      <c r="S3" s="378"/>
      <c r="T3" s="378"/>
      <c r="U3" s="378"/>
      <c r="V3" s="379"/>
      <c r="W3" s="386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  <c r="AM3" s="387"/>
      <c r="AN3" s="387"/>
      <c r="AO3" s="388"/>
      <c r="AP3" s="136"/>
      <c r="AQ3" s="137"/>
      <c r="AR3" s="137"/>
      <c r="AS3" s="138"/>
      <c r="AT3" s="142"/>
      <c r="AU3" s="143"/>
      <c r="AV3" s="143"/>
      <c r="AW3" s="143"/>
      <c r="AX3" s="144"/>
      <c r="AY3" s="136"/>
      <c r="AZ3" s="137"/>
      <c r="BA3" s="137"/>
      <c r="BB3" s="138"/>
      <c r="BC3" s="142"/>
      <c r="BD3" s="143"/>
      <c r="BE3" s="143"/>
      <c r="BF3" s="143"/>
      <c r="BG3" s="144"/>
      <c r="BH3" s="136"/>
      <c r="BI3" s="137"/>
      <c r="BJ3" s="137"/>
      <c r="BK3" s="138"/>
    </row>
    <row r="4" spans="1:63" ht="24.95" customHeight="1" x14ac:dyDescent="0.25">
      <c r="A4" s="349" t="s">
        <v>103</v>
      </c>
      <c r="B4" s="350"/>
      <c r="C4" s="350"/>
      <c r="D4" s="350"/>
      <c r="E4" s="350"/>
      <c r="F4" s="350"/>
      <c r="G4" s="351"/>
      <c r="H4" s="352" t="str">
        <f>IF(表紙!H4="","",表紙!H4)</f>
        <v>06_1, 7, 8 定番変更</v>
      </c>
      <c r="I4" s="353"/>
      <c r="J4" s="353"/>
      <c r="K4" s="353"/>
      <c r="L4" s="353"/>
      <c r="M4" s="353"/>
      <c r="N4" s="353"/>
      <c r="O4" s="353"/>
      <c r="P4" s="353"/>
      <c r="Q4" s="353"/>
      <c r="R4" s="353"/>
      <c r="S4" s="353"/>
      <c r="T4" s="354"/>
      <c r="U4" s="349" t="s">
        <v>85</v>
      </c>
      <c r="V4" s="350"/>
      <c r="W4" s="350"/>
      <c r="X4" s="350"/>
      <c r="Y4" s="351"/>
      <c r="Z4" s="352" t="str">
        <f>IF(表紙!Z4="","",表紙!Z4)</f>
        <v>概要設計</v>
      </c>
      <c r="AA4" s="353"/>
      <c r="AB4" s="353"/>
      <c r="AC4" s="353"/>
      <c r="AD4" s="353"/>
      <c r="AE4" s="353"/>
      <c r="AF4" s="353"/>
      <c r="AG4" s="353"/>
      <c r="AH4" s="353"/>
      <c r="AI4" s="353"/>
      <c r="AJ4" s="353"/>
      <c r="AK4" s="353"/>
      <c r="AL4" s="353"/>
      <c r="AM4" s="353"/>
      <c r="AN4" s="353"/>
      <c r="AO4" s="354"/>
      <c r="AP4" s="355" t="str">
        <f ca="1">MID(CELL("filename",A1),FIND("]",CELL("filename",A1))+1,255)</f>
        <v>テンプレート</v>
      </c>
      <c r="AQ4" s="353"/>
      <c r="AR4" s="353"/>
      <c r="AS4" s="353"/>
      <c r="AT4" s="353"/>
      <c r="AU4" s="353"/>
      <c r="AV4" s="353"/>
      <c r="AW4" s="353"/>
      <c r="AX4" s="353"/>
      <c r="AY4" s="353"/>
      <c r="AZ4" s="353"/>
      <c r="BA4" s="353"/>
      <c r="BB4" s="353"/>
      <c r="BC4" s="353"/>
      <c r="BD4" s="353"/>
      <c r="BE4" s="353"/>
      <c r="BF4" s="353"/>
      <c r="BG4" s="353"/>
      <c r="BH4" s="353"/>
      <c r="BI4" s="353"/>
      <c r="BJ4" s="353"/>
      <c r="BK4" s="354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4"/>
      <c r="BK6" s="35"/>
    </row>
    <row r="7" spans="1:63" ht="15" customHeight="1" x14ac:dyDescent="0.25">
      <c r="A7" s="34"/>
      <c r="B7" s="58"/>
      <c r="C7" s="59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1"/>
      <c r="U7" s="59"/>
      <c r="V7" s="60"/>
      <c r="W7" s="60"/>
      <c r="X7" s="60"/>
      <c r="Y7" s="60"/>
      <c r="Z7" s="60"/>
      <c r="AA7" s="60"/>
      <c r="AB7" s="60"/>
      <c r="AC7" s="61"/>
      <c r="AD7" s="59"/>
      <c r="AE7" s="60"/>
      <c r="AF7" s="60"/>
      <c r="AG7" s="60"/>
      <c r="AH7" s="60"/>
      <c r="AI7" s="60"/>
      <c r="AJ7" s="60"/>
      <c r="AK7" s="60"/>
      <c r="AL7" s="61"/>
      <c r="AM7" s="59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1"/>
      <c r="BJ7" s="60"/>
      <c r="BK7" s="35"/>
    </row>
    <row r="8" spans="1:63" ht="15" customHeight="1" x14ac:dyDescent="0.25">
      <c r="A8" s="34"/>
      <c r="C8" s="62"/>
      <c r="U8" s="62"/>
      <c r="AD8" s="62"/>
      <c r="AM8" s="62"/>
      <c r="BI8" s="63"/>
    </row>
    <row r="9" spans="1:63" ht="15" customHeight="1" x14ac:dyDescent="0.25">
      <c r="A9" s="34"/>
      <c r="C9" s="62"/>
      <c r="U9" s="62"/>
      <c r="AD9" s="62"/>
      <c r="AM9" s="62"/>
      <c r="BI9" s="63"/>
    </row>
    <row r="10" spans="1:63" ht="15" customHeight="1" x14ac:dyDescent="0.25">
      <c r="A10" s="34"/>
      <c r="C10" s="62"/>
      <c r="U10" s="62"/>
      <c r="AD10" s="62"/>
      <c r="AM10" s="62"/>
      <c r="BI10" s="63"/>
    </row>
    <row r="11" spans="1:63" ht="15" customHeight="1" x14ac:dyDescent="0.25">
      <c r="A11" s="34"/>
      <c r="C11" s="62"/>
      <c r="U11" s="62"/>
      <c r="AD11" s="62"/>
      <c r="AM11" s="62"/>
      <c r="BI11" s="63"/>
    </row>
    <row r="12" spans="1:63" ht="15" customHeight="1" x14ac:dyDescent="0.25">
      <c r="A12" s="34"/>
      <c r="C12" s="62"/>
      <c r="U12" s="62"/>
      <c r="AD12" s="62"/>
      <c r="AM12" s="62"/>
      <c r="AX12" s="30" t="s">
        <v>32</v>
      </c>
      <c r="BI12" s="63"/>
    </row>
    <row r="13" spans="1:63" ht="15" customHeight="1" x14ac:dyDescent="0.25">
      <c r="A13" s="34"/>
      <c r="C13" s="62"/>
      <c r="U13" s="62"/>
      <c r="AD13" s="62"/>
      <c r="AM13" s="62"/>
      <c r="BI13" s="63"/>
    </row>
    <row r="14" spans="1:63" ht="15" customHeight="1" x14ac:dyDescent="0.25">
      <c r="A14" s="34"/>
      <c r="C14" s="62"/>
      <c r="U14" s="62"/>
      <c r="AD14" s="62"/>
      <c r="AM14" s="62"/>
      <c r="BI14" s="63"/>
    </row>
    <row r="15" spans="1:63" ht="15" customHeight="1" x14ac:dyDescent="0.25">
      <c r="A15" s="34"/>
      <c r="C15" s="62"/>
      <c r="U15" s="62"/>
      <c r="AD15" s="62"/>
      <c r="AM15" s="62"/>
      <c r="BI15" s="63"/>
    </row>
    <row r="16" spans="1:63" ht="15" customHeight="1" x14ac:dyDescent="0.25">
      <c r="A16" s="34"/>
      <c r="C16" s="62"/>
      <c r="U16" s="62"/>
      <c r="AD16" s="62"/>
      <c r="AM16" s="62"/>
      <c r="BI16" s="63"/>
    </row>
    <row r="17" spans="1:61" ht="15" customHeight="1" x14ac:dyDescent="0.25">
      <c r="A17" s="34"/>
      <c r="C17" s="62"/>
      <c r="U17" s="62"/>
      <c r="AD17" s="62"/>
      <c r="AM17" s="62"/>
      <c r="BI17" s="63"/>
    </row>
    <row r="18" spans="1:61" ht="15" customHeight="1" x14ac:dyDescent="0.25">
      <c r="A18" s="34"/>
      <c r="C18" s="62"/>
      <c r="U18" s="62"/>
      <c r="AD18" s="62"/>
      <c r="AM18" s="62"/>
      <c r="BI18" s="63"/>
    </row>
    <row r="19" spans="1:61" ht="15" customHeight="1" x14ac:dyDescent="0.25">
      <c r="A19" s="34"/>
      <c r="C19" s="62"/>
      <c r="U19" s="62"/>
      <c r="AD19" s="62"/>
      <c r="AM19" s="62"/>
      <c r="BI19" s="63"/>
    </row>
    <row r="20" spans="1:61" ht="15" customHeight="1" x14ac:dyDescent="0.25">
      <c r="A20" s="34"/>
      <c r="C20" s="62"/>
      <c r="U20" s="62"/>
      <c r="AD20" s="62"/>
      <c r="AM20" s="62"/>
      <c r="BI20" s="63"/>
    </row>
    <row r="21" spans="1:61" ht="15" customHeight="1" x14ac:dyDescent="0.25">
      <c r="A21" s="34"/>
      <c r="C21" s="62"/>
      <c r="U21" s="62"/>
      <c r="AD21" s="62"/>
      <c r="AM21" s="62"/>
      <c r="BI21" s="63"/>
    </row>
    <row r="22" spans="1:61" ht="15" customHeight="1" x14ac:dyDescent="0.25">
      <c r="A22" s="34"/>
      <c r="C22" s="62"/>
      <c r="U22" s="62"/>
      <c r="AD22" s="62"/>
      <c r="AM22" s="62"/>
      <c r="BI22" s="63"/>
    </row>
    <row r="23" spans="1:61" ht="15" customHeight="1" x14ac:dyDescent="0.25">
      <c r="A23" s="34"/>
      <c r="C23" s="62"/>
      <c r="U23" s="62"/>
      <c r="AD23" s="62"/>
      <c r="AM23" s="62"/>
      <c r="BI23" s="63"/>
    </row>
    <row r="24" spans="1:61" ht="15" customHeight="1" x14ac:dyDescent="0.25">
      <c r="A24" s="34"/>
      <c r="C24" s="62"/>
      <c r="U24" s="62"/>
      <c r="AD24" s="62"/>
      <c r="AM24" s="62"/>
      <c r="BI24" s="63"/>
    </row>
    <row r="25" spans="1:61" ht="15" customHeight="1" x14ac:dyDescent="0.25">
      <c r="A25" s="34"/>
      <c r="C25" s="62"/>
      <c r="U25" s="62"/>
      <c r="AD25" s="62"/>
      <c r="AM25" s="62"/>
      <c r="BI25" s="63"/>
    </row>
    <row r="26" spans="1:61" ht="15" customHeight="1" x14ac:dyDescent="0.25">
      <c r="A26" s="34"/>
      <c r="C26" s="62"/>
      <c r="U26" s="62"/>
      <c r="AD26" s="62"/>
      <c r="AM26" s="62"/>
      <c r="BI26" s="63"/>
    </row>
    <row r="27" spans="1:61" ht="15" customHeight="1" x14ac:dyDescent="0.25">
      <c r="A27" s="34"/>
      <c r="C27" s="62"/>
      <c r="U27" s="62"/>
      <c r="AD27" s="62"/>
      <c r="AM27" s="62"/>
      <c r="BI27" s="63"/>
    </row>
    <row r="28" spans="1:61" ht="15" customHeight="1" x14ac:dyDescent="0.25">
      <c r="A28" s="34"/>
      <c r="C28" s="62"/>
      <c r="U28" s="62"/>
      <c r="AD28" s="62"/>
      <c r="AM28" s="62"/>
      <c r="BI28" s="63"/>
    </row>
    <row r="29" spans="1:61" ht="15" customHeight="1" x14ac:dyDescent="0.25">
      <c r="A29" s="34"/>
      <c r="C29" s="62"/>
      <c r="U29" s="62"/>
      <c r="AD29" s="62"/>
      <c r="AM29" s="62"/>
      <c r="BI29" s="63"/>
    </row>
    <row r="30" spans="1:61" ht="15" customHeight="1" x14ac:dyDescent="0.25">
      <c r="A30" s="34"/>
      <c r="C30" s="62"/>
      <c r="U30" s="62"/>
      <c r="AD30" s="62"/>
      <c r="AM30" s="62"/>
      <c r="BI30" s="63"/>
    </row>
    <row r="31" spans="1:61" ht="15" customHeight="1" x14ac:dyDescent="0.25">
      <c r="A31" s="34"/>
      <c r="C31" s="62"/>
      <c r="U31" s="62"/>
      <c r="AD31" s="62"/>
      <c r="AM31" s="62"/>
      <c r="BI31" s="63"/>
    </row>
    <row r="32" spans="1:61" ht="15" customHeight="1" x14ac:dyDescent="0.25">
      <c r="A32" s="34"/>
      <c r="C32" s="62"/>
      <c r="U32" s="62"/>
      <c r="AD32" s="62"/>
      <c r="AM32" s="62"/>
      <c r="BI32" s="63"/>
    </row>
    <row r="33" spans="1:61" ht="15" customHeight="1" x14ac:dyDescent="0.25">
      <c r="A33" s="34"/>
      <c r="C33" s="62"/>
      <c r="U33" s="62"/>
      <c r="AD33" s="62"/>
      <c r="AM33" s="62"/>
      <c r="BI33" s="63"/>
    </row>
    <row r="34" spans="1:61" ht="15" customHeight="1" x14ac:dyDescent="0.25">
      <c r="A34" s="34"/>
      <c r="C34" s="62"/>
      <c r="U34" s="62"/>
      <c r="AD34" s="62"/>
      <c r="AM34" s="62"/>
      <c r="BI34" s="63"/>
    </row>
    <row r="35" spans="1:61" ht="15" customHeight="1" x14ac:dyDescent="0.25">
      <c r="A35" s="34"/>
      <c r="C35" s="62"/>
      <c r="U35" s="62"/>
      <c r="AD35" s="62"/>
      <c r="AM35" s="62"/>
      <c r="BI35" s="63"/>
    </row>
    <row r="36" spans="1:61" ht="15" customHeight="1" x14ac:dyDescent="0.25">
      <c r="A36" s="34"/>
      <c r="C36" s="62"/>
      <c r="U36" s="62"/>
      <c r="AD36" s="62"/>
      <c r="AM36" s="62"/>
      <c r="BI36" s="63"/>
    </row>
    <row r="37" spans="1:61" ht="15" customHeight="1" x14ac:dyDescent="0.25">
      <c r="A37" s="34"/>
      <c r="C37" s="62"/>
      <c r="U37" s="62"/>
      <c r="AD37" s="62"/>
      <c r="AM37" s="62"/>
      <c r="BI37" s="63"/>
    </row>
    <row r="38" spans="1:61" ht="15" customHeight="1" x14ac:dyDescent="0.25">
      <c r="A38" s="34"/>
      <c r="C38" s="62"/>
      <c r="U38" s="62"/>
      <c r="AD38" s="62"/>
      <c r="AM38" s="62"/>
      <c r="BI38" s="63"/>
    </row>
    <row r="39" spans="1:61" ht="15" customHeight="1" x14ac:dyDescent="0.25">
      <c r="A39" s="34"/>
      <c r="C39" s="62"/>
      <c r="U39" s="62"/>
      <c r="AD39" s="62"/>
      <c r="AM39" s="62"/>
      <c r="BI39" s="63"/>
    </row>
    <row r="40" spans="1:61" ht="15" customHeight="1" x14ac:dyDescent="0.25">
      <c r="A40" s="34"/>
      <c r="C40" s="62"/>
      <c r="U40" s="62"/>
      <c r="AD40" s="62"/>
      <c r="AM40" s="62"/>
      <c r="BI40" s="63"/>
    </row>
    <row r="41" spans="1:61" ht="15" customHeight="1" x14ac:dyDescent="0.25">
      <c r="A41" s="34"/>
      <c r="C41" s="62"/>
      <c r="U41" s="62"/>
      <c r="AD41" s="62"/>
      <c r="AM41" s="62"/>
      <c r="BI41" s="63"/>
    </row>
    <row r="42" spans="1:61" ht="15" customHeight="1" x14ac:dyDescent="0.25">
      <c r="A42" s="34"/>
      <c r="C42" s="62"/>
      <c r="U42" s="62"/>
      <c r="AD42" s="62"/>
      <c r="AM42" s="62"/>
      <c r="BI42" s="63"/>
    </row>
    <row r="43" spans="1:61" ht="15" customHeight="1" x14ac:dyDescent="0.25">
      <c r="A43" s="34"/>
      <c r="C43" s="62"/>
      <c r="U43" s="62"/>
      <c r="AD43" s="62"/>
      <c r="AM43" s="62"/>
      <c r="BI43" s="63"/>
    </row>
    <row r="44" spans="1:61" ht="15" customHeight="1" x14ac:dyDescent="0.25">
      <c r="A44" s="34"/>
      <c r="C44" s="62"/>
      <c r="U44" s="62"/>
      <c r="AD44" s="62"/>
      <c r="AM44" s="62"/>
      <c r="BI44" s="63"/>
    </row>
    <row r="45" spans="1:61" ht="15" customHeight="1" x14ac:dyDescent="0.25">
      <c r="A45" s="34"/>
      <c r="C45" s="62"/>
      <c r="U45" s="62"/>
      <c r="AD45" s="62"/>
      <c r="AM45" s="62"/>
      <c r="BI45" s="63"/>
    </row>
    <row r="46" spans="1:61" ht="15" customHeight="1" x14ac:dyDescent="0.25">
      <c r="A46" s="34"/>
      <c r="C46" s="62"/>
      <c r="U46" s="62"/>
      <c r="AD46" s="62"/>
      <c r="AM46" s="62"/>
      <c r="BI46" s="63"/>
    </row>
    <row r="47" spans="1:61" ht="15" customHeight="1" x14ac:dyDescent="0.25">
      <c r="A47" s="34"/>
      <c r="C47" s="62"/>
      <c r="U47" s="62"/>
      <c r="AD47" s="62"/>
      <c r="AM47" s="62"/>
      <c r="BI47" s="63"/>
    </row>
    <row r="48" spans="1:61" ht="15" customHeight="1" x14ac:dyDescent="0.25">
      <c r="A48" s="34"/>
      <c r="C48" s="62"/>
      <c r="U48" s="62"/>
      <c r="AD48" s="62"/>
      <c r="AM48" s="62"/>
      <c r="BI48" s="63"/>
    </row>
    <row r="49" spans="1:63" ht="15" customHeight="1" x14ac:dyDescent="0.25">
      <c r="A49" s="34"/>
      <c r="C49" s="62"/>
      <c r="U49" s="62"/>
      <c r="AD49" s="62"/>
      <c r="AM49" s="62"/>
      <c r="BI49" s="63"/>
    </row>
    <row r="50" spans="1:63" ht="15" customHeight="1" x14ac:dyDescent="0.25">
      <c r="A50" s="34"/>
      <c r="C50" s="62"/>
      <c r="U50" s="62"/>
      <c r="AD50" s="62"/>
      <c r="AM50" s="62"/>
      <c r="BI50" s="63"/>
    </row>
    <row r="51" spans="1:63" ht="15" customHeight="1" x14ac:dyDescent="0.25">
      <c r="A51" s="34"/>
      <c r="C51" s="62"/>
      <c r="U51" s="62"/>
      <c r="AD51" s="62"/>
      <c r="AM51" s="62"/>
      <c r="BI51" s="63"/>
    </row>
    <row r="52" spans="1:63" ht="15" customHeight="1" x14ac:dyDescent="0.25">
      <c r="A52" s="34"/>
      <c r="C52" s="62"/>
      <c r="U52" s="62"/>
      <c r="AD52" s="62"/>
      <c r="AM52" s="62"/>
      <c r="BI52" s="63"/>
    </row>
    <row r="53" spans="1:63" ht="15" customHeight="1" x14ac:dyDescent="0.25">
      <c r="A53" s="34"/>
      <c r="C53" s="62"/>
      <c r="U53" s="62"/>
      <c r="AD53" s="62"/>
      <c r="AM53" s="62"/>
      <c r="BI53" s="63"/>
    </row>
    <row r="54" spans="1:63" ht="15" customHeight="1" x14ac:dyDescent="0.25">
      <c r="A54" s="34"/>
      <c r="C54" s="62"/>
      <c r="U54" s="62"/>
      <c r="AD54" s="62"/>
      <c r="AM54" s="62"/>
      <c r="BI54" s="63"/>
    </row>
    <row r="55" spans="1:63" ht="15" customHeight="1" x14ac:dyDescent="0.25">
      <c r="A55" s="31"/>
      <c r="B55" s="64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64"/>
      <c r="V55" s="32"/>
      <c r="W55" s="32"/>
      <c r="X55" s="32"/>
      <c r="Y55" s="32"/>
      <c r="Z55" s="32"/>
      <c r="AA55" s="32"/>
      <c r="AB55" s="32"/>
      <c r="AC55" s="32"/>
      <c r="AD55" s="64"/>
      <c r="AE55" s="32"/>
      <c r="AF55" s="32"/>
      <c r="AG55" s="32"/>
      <c r="AH55" s="32"/>
      <c r="AI55" s="32"/>
      <c r="AJ55" s="32"/>
      <c r="AK55" s="32"/>
      <c r="AL55" s="32"/>
      <c r="AM55" s="64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65"/>
      <c r="BJ55" s="32"/>
      <c r="BK55" s="33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表紙</vt:lpstr>
      <vt:lpstr>改訂履歴</vt:lpstr>
      <vt:lpstr>指摘履歴</vt:lpstr>
      <vt:lpstr>業務フロー</vt:lpstr>
      <vt:lpstr>機能概要説明</vt:lpstr>
      <vt:lpstr>機能概要</vt:lpstr>
      <vt:lpstr>画面設計書</vt:lpstr>
      <vt:lpstr>テンプレート</vt:lpstr>
      <vt:lpstr>テンプレート!Print_Area</vt:lpstr>
      <vt:lpstr>指摘履歴!Print_Area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指摘履歴!Print_Titles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2024-10-01T02:41:33Z</dcterms:modified>
  <cp:category/>
  <cp:contentStatus/>
</cp:coreProperties>
</file>