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61F6CB82-5065-4519-8F44-6FA6A483C9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機能概要!$A$1:$BK$217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AP4" i="5" a="1"/>
  <c r="AP4" i="5" s="1"/>
  <c r="Z4" i="5"/>
  <c r="H4" i="5"/>
  <c r="K2" i="5"/>
  <c r="A2" i="5"/>
  <c r="W1" i="5"/>
  <c r="BM9" i="8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7" i="8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BC2" i="3" l="1"/>
  <c r="BH2" i="6"/>
  <c r="AP2" i="8"/>
  <c r="BH2" i="8"/>
  <c r="AT2" i="5"/>
  <c r="BC2" i="7"/>
  <c r="AP2" i="2"/>
  <c r="BH2" i="2"/>
  <c r="AP2" i="3"/>
  <c r="BH2" i="3"/>
  <c r="AP2" i="6"/>
  <c r="AT2" i="8"/>
  <c r="AY2" i="5"/>
  <c r="AP2" i="7"/>
  <c r="BH2" i="7"/>
  <c r="AT2" i="2"/>
  <c r="AT2" i="3"/>
  <c r="AY2" i="6"/>
  <c r="AY2" i="8"/>
  <c r="BC2" i="5"/>
  <c r="AY2" i="2"/>
  <c r="AY2" i="3"/>
  <c r="BC2" i="6"/>
  <c r="BC2" i="8"/>
</calcChain>
</file>

<file path=xl/sharedStrings.xml><?xml version="1.0" encoding="utf-8"?>
<sst xmlns="http://schemas.openxmlformats.org/spreadsheetml/2006/main" count="198" uniqueCount="79">
  <si>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</si>
  <si>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</si>
  <si>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</si>
  <si>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</si>
  <si>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</si>
  <si>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</si>
  <si>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</si>
  <si>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</si>
  <si>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</si>
  <si>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</si>
  <si>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</si>
  <si>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</si>
  <si>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</si>
  <si>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</si>
  <si>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</si>
  <si>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</si>
  <si>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</si>
  <si>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</si>
  <si>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</si>
  <si>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</si>
  <si>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</si>
  <si>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</si>
  <si>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</si>
  <si>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</si>
  <si>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</si>
  <si>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</si>
  <si>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</si>
  <si>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</si>
  <si>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</si>
  <si>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</si>
  <si>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</si>
  <si>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FC0801_カテゴリ値引/割引設定編集機能</t>
    </r>
  </si>
  <si>
    <r>
      <rPr>
        <sz val="11"/>
        <color rgb="FF000000"/>
        <rFont val="Meiryo UI"/>
        <family val="2"/>
      </rPr>
      <t>カテゴリ値引/割引設定機能によりカテゴリ値引・割引の新規作成・更新・削除が可能</t>
    </r>
  </si>
  <si>
    <r>
      <rPr>
        <sz val="11"/>
        <color rgb="FF000000"/>
        <rFont val="Meiryo UI"/>
        <family val="2"/>
      </rPr>
      <t>01:部門</t>
    </r>
  </si>
  <si>
    <r>
      <rPr>
        <sz val="11"/>
        <color rgb="FF000000"/>
        <rFont val="Meiryo UI"/>
        <family val="2"/>
      </rPr>
      <t>02.品群</t>
    </r>
  </si>
  <si>
    <r>
      <rPr>
        <sz val="11"/>
        <color rgb="FF000000"/>
        <rFont val="Meiryo UI"/>
        <family val="2"/>
      </rPr>
      <t>03.品種</t>
    </r>
  </si>
  <si>
    <r>
      <rPr>
        <sz val="11"/>
        <color rgb="FF000000"/>
        <rFont val="Meiryo UI"/>
        <family val="2"/>
      </rPr>
      <t>04.分類</t>
    </r>
  </si>
  <si>
    <r>
      <rPr>
        <sz val="11"/>
        <color rgb="FF000000"/>
        <rFont val="Meiryo UI"/>
        <family val="2"/>
      </rPr>
      <t>カテゴリ階層は次の通りである。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</si>
  <si>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</si>
  <si>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</si>
  <si>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</si>
  <si>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</si>
  <si>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</si>
  <si>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</si>
  <si>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</si>
  <si>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</si>
  <si>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</si>
  <si>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</si>
  <si>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000000"/>
        <rFont val="Meiryo UI"/>
        <family val="2"/>
      </rPr>
      <t xml:space="preserve">08_カテゴリ値引/割引設定 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</si>
  <si>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</si>
  <si>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</si>
  <si>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</si>
  <si>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</si>
  <si>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</si>
  <si>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</si>
  <si>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08_カテゴリ値引/割引設定 </t>
  </si>
  <si>
    <t>値引額/割引率変更保存機能</t>
  </si>
  <si>
    <t>FC0802_カテゴリ値引/割引設定新規作成機能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</si>
  <si>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</si>
  <si>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</si>
  <si>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</si>
  <si>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</si>
  <si>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</si>
  <si>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</si>
  <si>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</si>
  <si>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</si>
  <si>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</si>
  <si>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</si>
  <si>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</si>
  <si>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</si>
  <si>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</si>
  <si>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</si>
  <si>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</si>
  <si>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</si>
  <si>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</si>
  <si>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</si>
  <si>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</si>
  <si>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機能概要</t>
  </si>
  <si>
    <t>店舗選択部分を削除し、「検索」・「新規作成」ボタンの有効化・無効化条件を修正する。
開始・終了時間を更新する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</si>
</sst>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0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7" fillId="3" borderId="18" xfId="7" applyFont="1" applyFill="1" applyBorder="1">
      <alignment vertical="center"/>
    </xf>
    <xf numFmtId="0" fontId="7" fillId="4" borderId="18" xfId="7" applyFont="1" applyFill="1" applyBorder="1">
      <alignment vertical="center"/>
    </xf>
    <xf numFmtId="0" fontId="9" fillId="0" borderId="0" xfId="7" applyFo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7" applyFont="1">
      <alignment vertical="center"/>
    </xf>
    <xf numFmtId="0" fontId="15" fillId="0" borderId="1" xfId="7" applyFont="1" applyBorder="1">
      <alignment vertical="center"/>
    </xf>
    <xf numFmtId="0" fontId="15" fillId="0" borderId="4" xfId="7" applyFont="1" applyBorder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8" xfId="7" applyFont="1" applyBorder="1">
      <alignment vertical="center"/>
    </xf>
    <xf numFmtId="0" fontId="15" fillId="3" borderId="18" xfId="7" applyFont="1" applyFill="1" applyBorder="1">
      <alignment vertical="center"/>
    </xf>
    <xf numFmtId="0" fontId="15" fillId="3" borderId="0" xfId="7" applyFont="1" applyFill="1">
      <alignment vertical="center"/>
    </xf>
    <xf numFmtId="0" fontId="15" fillId="3" borderId="19" xfId="7" applyFont="1" applyFill="1" applyBorder="1">
      <alignment vertical="center"/>
    </xf>
    <xf numFmtId="0" fontId="15" fillId="4" borderId="0" xfId="7" applyFont="1" applyFill="1">
      <alignment vertical="center"/>
    </xf>
    <xf numFmtId="0" fontId="15" fillId="4" borderId="19" xfId="7" applyFont="1" applyFill="1" applyBorder="1">
      <alignment vertical="center"/>
    </xf>
    <xf numFmtId="0" fontId="15" fillId="4" borderId="18" xfId="7" applyFont="1" applyFill="1" applyBorder="1">
      <alignment vertical="center"/>
    </xf>
    <xf numFmtId="0" fontId="15" fillId="0" borderId="20" xfId="7" applyFont="1" applyBorder="1">
      <alignment vertical="center"/>
    </xf>
    <xf numFmtId="0" fontId="15" fillId="0" borderId="21" xfId="7" applyFont="1" applyBorder="1">
      <alignment vertical="center"/>
    </xf>
    <xf numFmtId="0" fontId="15" fillId="0" borderId="0" xfId="6" applyFont="1" applyAlignment="1">
      <alignment vertical="center"/>
    </xf>
    <xf numFmtId="0" fontId="15" fillId="0" borderId="20" xfId="0" applyFont="1" applyBorder="1"/>
    <xf numFmtId="0" fontId="15" fillId="0" borderId="21" xfId="0" applyFont="1" applyBorder="1"/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2" fontId="15" fillId="0" borderId="30" xfId="0" applyNumberFormat="1" applyFont="1" applyBorder="1" applyAlignment="1">
      <alignment horizontal="center" vertical="center"/>
    </xf>
    <xf numFmtId="2" fontId="15" fillId="0" borderId="31" xfId="0" applyNumberFormat="1" applyFont="1" applyBorder="1" applyAlignment="1">
      <alignment horizontal="center" vertical="center"/>
    </xf>
    <xf numFmtId="2" fontId="15" fillId="0" borderId="32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4" fontId="15" fillId="0" borderId="31" xfId="0" applyNumberFormat="1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5" fillId="0" borderId="33" xfId="0" applyFont="1" applyBorder="1"/>
    <xf numFmtId="0" fontId="15" fillId="0" borderId="34" xfId="0" applyFont="1" applyBorder="1"/>
    <xf numFmtId="0" fontId="15" fillId="0" borderId="22" xfId="0" applyFont="1" applyBorder="1"/>
    <xf numFmtId="0" fontId="15" fillId="0" borderId="31" xfId="0" applyFont="1" applyBorder="1"/>
    <xf numFmtId="0" fontId="15" fillId="0" borderId="3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30" xfId="0" applyFont="1" applyBorder="1"/>
    <xf numFmtId="0" fontId="15" fillId="0" borderId="2" xfId="0" applyFont="1" applyBorder="1"/>
    <xf numFmtId="0" fontId="15" fillId="0" borderId="35" xfId="0" applyFont="1" applyBorder="1"/>
    <xf numFmtId="0" fontId="15" fillId="0" borderId="36" xfId="0" applyFont="1" applyBorder="1"/>
    <xf numFmtId="0" fontId="15" fillId="0" borderId="37" xfId="0" applyFont="1" applyBorder="1"/>
    <xf numFmtId="0" fontId="11" fillId="2" borderId="0" xfId="0" applyFont="1" applyFill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5" fillId="0" borderId="35" xfId="6" applyFont="1" applyBorder="1" applyAlignment="1">
      <alignment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38" xfId="6" quotePrefix="1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5" fillId="0" borderId="38" xfId="6" applyFont="1" applyBorder="1" applyAlignment="1">
      <alignment vertical="center"/>
    </xf>
    <xf numFmtId="0" fontId="15" fillId="0" borderId="39" xfId="6" applyFont="1" applyBorder="1" applyAlignment="1">
      <alignment vertical="center"/>
    </xf>
    <xf numFmtId="0" fontId="15" fillId="0" borderId="40" xfId="6" applyFont="1" applyBorder="1" applyAlignment="1">
      <alignment vertical="center"/>
    </xf>
    <xf numFmtId="0" fontId="15" fillId="0" borderId="41" xfId="6" applyFont="1" applyBorder="1" applyAlignment="1">
      <alignment vertical="center"/>
    </xf>
    <xf numFmtId="0" fontId="15" fillId="0" borderId="42" xfId="6" applyFont="1" applyBorder="1" applyAlignment="1">
      <alignment vertical="center"/>
    </xf>
    <xf numFmtId="0" fontId="15" fillId="0" borderId="43" xfId="6" applyFont="1" applyBorder="1" applyAlignment="1">
      <alignment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15" fillId="0" borderId="41" xfId="6" quotePrefix="1" applyFont="1" applyBorder="1" applyAlignment="1">
      <alignment vertical="center"/>
    </xf>
    <xf numFmtId="0" fontId="15" fillId="0" borderId="42" xfId="6" quotePrefix="1" applyFont="1" applyBorder="1" applyAlignment="1">
      <alignment vertical="center"/>
    </xf>
    <xf numFmtId="0" fontId="15" fillId="0" borderId="43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5" borderId="27" xfId="6" applyFont="1" applyFill="1" applyBorder="1"/>
    <xf numFmtId="0" fontId="7" fillId="5" borderId="28" xfId="6" applyFont="1" applyFill="1" applyBorder="1"/>
    <xf numFmtId="0" fontId="7" fillId="5" borderId="29" xfId="6" applyFont="1" applyFill="1" applyBorder="1"/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6" borderId="30" xfId="6" applyFont="1" applyFill="1" applyBorder="1" applyAlignment="1">
      <alignment vertical="center" wrapText="1"/>
    </xf>
    <xf numFmtId="0" fontId="6" fillId="6" borderId="2" xfId="6" applyFont="1" applyFill="1" applyBorder="1" applyAlignment="1">
      <alignment vertical="center" wrapText="1"/>
    </xf>
    <xf numFmtId="0" fontId="7" fillId="6" borderId="44" xfId="6" applyFont="1" applyFill="1" applyBorder="1" applyAlignment="1">
      <alignment vertical="center" wrapText="1"/>
    </xf>
    <xf numFmtId="0" fontId="7" fillId="6" borderId="45" xfId="6" applyFont="1" applyFill="1" applyBorder="1" applyAlignment="1">
      <alignment vertical="center" wrapText="1"/>
    </xf>
    <xf numFmtId="0" fontId="7" fillId="6" borderId="32" xfId="6" applyFont="1" applyFill="1" applyBorder="1" applyAlignment="1">
      <alignment vertical="center" wrapText="1"/>
    </xf>
    <xf numFmtId="0" fontId="7" fillId="6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5" fillId="0" borderId="33" xfId="6" applyFont="1" applyBorder="1" applyAlignment="1">
      <alignment vertical="center" wrapText="1"/>
    </xf>
    <xf numFmtId="0" fontId="15" fillId="0" borderId="34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11" fillId="2" borderId="27" xfId="6" applyFont="1" applyFill="1" applyBorder="1" applyAlignment="1">
      <alignment horizontal="center" vertical="center"/>
    </xf>
    <xf numFmtId="0" fontId="11" fillId="2" borderId="28" xfId="6" applyFont="1" applyFill="1" applyBorder="1" applyAlignment="1">
      <alignment horizontal="center" vertical="center"/>
    </xf>
    <xf numFmtId="0" fontId="11" fillId="2" borderId="29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8" borderId="30" xfId="6" applyFont="1" applyFill="1" applyBorder="1" applyAlignment="1">
      <alignment vertical="center" wrapText="1"/>
    </xf>
    <xf numFmtId="0" fontId="6" fillId="8" borderId="32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8" borderId="30" xfId="6" applyFont="1" applyFill="1" applyBorder="1" applyAlignment="1">
      <alignment vertical="center"/>
    </xf>
    <xf numFmtId="0" fontId="6" fillId="8" borderId="3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44" xfId="6" applyFont="1" applyFill="1" applyBorder="1" applyAlignment="1">
      <alignment vertical="center" shrinkToFit="1"/>
    </xf>
    <xf numFmtId="0" fontId="6" fillId="8" borderId="46" xfId="6" applyFont="1" applyFill="1" applyBorder="1" applyAlignment="1">
      <alignment vertical="center" shrinkToFit="1"/>
    </xf>
    <xf numFmtId="0" fontId="6" fillId="8" borderId="45" xfId="6" applyFont="1" applyFill="1" applyBorder="1" applyAlignment="1">
      <alignment vertical="center" shrinkToFit="1"/>
    </xf>
    <xf numFmtId="0" fontId="7" fillId="8" borderId="44" xfId="6" applyFont="1" applyFill="1" applyBorder="1" applyAlignment="1">
      <alignment vertical="center" wrapText="1"/>
    </xf>
    <xf numFmtId="0" fontId="7" fillId="8" borderId="46" xfId="6" applyFont="1" applyFill="1" applyBorder="1" applyAlignment="1">
      <alignment vertical="center" wrapText="1"/>
    </xf>
    <xf numFmtId="0" fontId="7" fillId="8" borderId="45" xfId="6" applyFont="1" applyFill="1" applyBorder="1" applyAlignment="1">
      <alignment vertical="center" wrapText="1"/>
    </xf>
    <xf numFmtId="0" fontId="6" fillId="6" borderId="47" xfId="6" applyFont="1" applyFill="1" applyBorder="1" applyAlignment="1">
      <alignment vertical="center"/>
    </xf>
    <xf numFmtId="0" fontId="7" fillId="6" borderId="48" xfId="6" applyFont="1" applyFill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3" fillId="0" borderId="30" xfId="6" applyFont="1" applyBorder="1" applyAlignment="1">
      <alignment horizontal="center" vertical="center"/>
    </xf>
    <xf numFmtId="0" fontId="13" fillId="0" borderId="31" xfId="6" applyFont="1" applyBorder="1" applyAlignment="1">
      <alignment horizontal="center" vertical="center"/>
    </xf>
    <xf numFmtId="0" fontId="13" fillId="0" borderId="32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14" fontId="18" fillId="0" borderId="30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3" xfId="0" applyFont="1" applyBorder="1"/>
    <xf numFmtId="0" fontId="18" fillId="0" borderId="34" xfId="0" applyFont="1" applyBorder="1"/>
    <xf numFmtId="0" fontId="18" fillId="0" borderId="22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6" xfId="0" applyFont="1" applyBorder="1" applyAlignment="1">
      <alignment vertical="top"/>
    </xf>
    <xf numFmtId="0" fontId="18" fillId="0" borderId="37" xfId="0" applyFont="1" applyBorder="1" applyAlignment="1">
      <alignment vertical="top"/>
    </xf>
    <xf numFmtId="0" fontId="18" fillId="0" borderId="35" xfId="0" applyFont="1" applyBorder="1" applyAlignment="1">
      <alignment vertical="top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0</xdr:colOff>
      <xdr:row>60</xdr:row>
      <xdr:rowOff>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72</xdr:row>
      <xdr:rowOff>0</xdr:rowOff>
    </xdr:from>
    <xdr:to>
      <xdr:col>60</xdr:col>
      <xdr:colOff>235322</xdr:colOff>
      <xdr:row>74</xdr:row>
      <xdr:rowOff>0</xdr:rowOff>
    </xdr:to>
    <xdr:sp macro="" textlink="" fLocksText="0">
      <xdr:nvSpPr>
        <xdr:cNvPr id="71" name="吹き出し: 線 12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10134600" y="13830300"/>
          <a:ext cx="6105525" cy="381000"/>
        </a:xfrm>
        <a:prstGeom prst="borderCallout1">
          <a:avLst>
            <a:gd name="adj1" fmla="val 38651"/>
            <a:gd name="adj2" fmla="val 263"/>
            <a:gd name="adj3" fmla="val 253808"/>
            <a:gd name="adj4" fmla="val -13439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カテゴリ自動値引額/割引率一覧を取得する。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451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08_カテゴリ値引/割引設定 </a:t>
          </a:r>
        </a:p>
      </xdr:txBody>
    </xdr:sp>
    <xdr:clientData/>
  </xdr:twoCellAnchor>
  <xdr:twoCellAnchor>
    <xdr:from>
      <xdr:col>2</xdr:col>
      <xdr:colOff>1</xdr:colOff>
      <xdr:row>17</xdr:row>
      <xdr:rowOff>0</xdr:rowOff>
    </xdr:from>
    <xdr:to>
      <xdr:col>8</xdr:col>
      <xdr:colOff>0</xdr:colOff>
      <xdr:row>21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352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_「カテゴリ値引/割引設定」画面 </a:t>
          </a: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0</xdr:colOff>
      <xdr:row>17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278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5</xdr:col>
      <xdr:colOff>0</xdr:colOff>
      <xdr:row>23</xdr:row>
      <xdr:rowOff>13607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4" idx="2"/>
          <a:endCxn id="15" idx="0"/>
        </xdr:cNvCxnSpPr>
      </xdr:nvCxnSpPr>
      <xdr:spPr>
        <a:xfrm>
          <a:off x="1333500" y="411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13607</xdr:rowOff>
    </xdr:from>
    <xdr:to>
      <xdr:col>7</xdr:col>
      <xdr:colOff>0</xdr:colOff>
      <xdr:row>24</xdr:row>
      <xdr:rowOff>0</xdr:rowOff>
    </xdr:to>
    <xdr:sp macro="" textlink="" fLocksText="0">
      <xdr:nvSpPr>
        <xdr:cNvPr id="15" name="四角形: 角を丸くする 1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00100" y="45053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2803</xdr:colOff>
      <xdr:row>39</xdr:row>
      <xdr:rowOff>0</xdr:rowOff>
    </xdr:from>
    <xdr:to>
      <xdr:col>8</xdr:col>
      <xdr:colOff>0</xdr:colOff>
      <xdr:row>43</xdr:row>
      <xdr:rowOff>0</xdr:rowOff>
    </xdr:to>
    <xdr:sp macro="" textlink="" fLocksText="0">
      <xdr:nvSpPr>
        <xdr:cNvPr id="25" name="正方形/長方形 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33400" y="754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「カテゴリ値引/割引設定」画面（初期化） 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7</xdr:col>
      <xdr:colOff>0</xdr:colOff>
      <xdr:row>46</xdr:row>
      <xdr:rowOff>0</xdr:rowOff>
    </xdr:to>
    <xdr:sp macro="" textlink="" fLocksText="0">
      <xdr:nvSpPr>
        <xdr:cNvPr id="27" name="四角形: 角を丸くする 110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00100" y="8686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 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15</xdr:col>
      <xdr:colOff>0</xdr:colOff>
      <xdr:row>46</xdr:row>
      <xdr:rowOff>0</xdr:rowOff>
    </xdr:to>
    <xdr:sp macro="" textlink="" fLocksText="0">
      <xdr:nvSpPr>
        <xdr:cNvPr id="28" name="四角形: 角を丸くする 110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2933700" y="8686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1402</xdr:colOff>
      <xdr:row>45</xdr:row>
      <xdr:rowOff>0</xdr:rowOff>
    </xdr:to>
    <xdr:cxnSp macro="">
      <xdr:nvCxnSpPr>
        <xdr:cNvPr id="29" name="直線矢印コネクタ 1010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25" idx="2"/>
          <a:endCxn id="27" idx="0"/>
        </xdr:cNvCxnSpPr>
      </xdr:nvCxnSpPr>
      <xdr:spPr>
        <a:xfrm flipH="1">
          <a:off x="1333500" y="830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1402</xdr:colOff>
      <xdr:row>43</xdr:row>
      <xdr:rowOff>0</xdr:rowOff>
    </xdr:from>
    <xdr:to>
      <xdr:col>13</xdr:col>
      <xdr:colOff>0</xdr:colOff>
      <xdr:row>45</xdr:row>
      <xdr:rowOff>0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5" idx="2"/>
          <a:endCxn id="28" idx="0"/>
        </xdr:cNvCxnSpPr>
      </xdr:nvCxnSpPr>
      <xdr:spPr>
        <a:xfrm rot="16200000" flipH="1">
          <a:off x="1333500" y="83058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228601</xdr:colOff>
      <xdr:row>39</xdr:row>
      <xdr:rowOff>9525</xdr:rowOff>
    </xdr:from>
    <xdr:to>
      <xdr:col>61</xdr:col>
      <xdr:colOff>9525</xdr:colOff>
      <xdr:row>70</xdr:row>
      <xdr:rowOff>0</xdr:rowOff>
    </xdr:to>
    <xdr:sp macro="" textlink="" fLocksText="0">
      <xdr:nvSpPr>
        <xdr:cNvPr id="47" name="吹き出し: 線 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0096500" y="7553325"/>
          <a:ext cx="6181725" cy="5895975"/>
        </a:xfrm>
        <a:prstGeom prst="borderCallout1">
          <a:avLst>
            <a:gd name="adj1" fmla="val 27189"/>
            <a:gd name="adj2" fmla="val 1057"/>
            <a:gd name="adj3" fmla="val 7663"/>
            <a:gd name="adj4" fmla="val -13119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000" b="1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「新規作成」ボタンをタッチした後、または検索して</a:t>
          </a:r>
          <a:r>
            <a:rPr lang="en-US" altLang="ja-JP" sz="1000" b="1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  <a:r>
            <a:rPr lang="ja-JP" altLang="en-US" sz="1000" b="1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つのカテゴリを選択した後の状態</a:t>
          </a:r>
          <a:r>
            <a:rPr lang="en-US" altLang="ja-JP" sz="1000" b="1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: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カテゴリ値引/割引情報 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▪「新規作成」ボタン：無効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▪「検索」ボタン：無効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▪期間:開始日 (デフォルト値：今日)、終了日 (デフォルト値：明日) 。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店舗の開始・終了時間は、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StoreMaster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の対象店舗の設定に従う。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▪タイムサービスチェックボックス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▪割引率：2文字。単位：%。無効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▪値引額: 最大9文字。単位：円。無効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▪対象店舗がカードで支払う場合、以下のように表示する。 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・カード会員割引率: 最大2文字。単位：%。無効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・カード会員値引額: 最大9文字。単位：円。無効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▪対象店舗がアプリ会員をサポートしている場合、以下のように表示する。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・アプリ会員割引率：最大2文字。単位：%。無効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・アプリ会員値引額: 最大9文字。単位：円。無効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▪対象店舗が会員観客（メンバーシップ）をサポートしている場合、以下のように表示する。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・会員割引率: 最大2文字。単位：%。無効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・会員値引額: 最大9文字。単位：円。無効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▪部門：最大2文字。無効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▪「階層表示」ボタン：無効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イベント：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▪「検索」ボタンをタッチすると、FC0801_カテゴリ値引/割引設定編集機能を実行する。同時に、「検索」ボタンと「新規」ボタンを無効にする。</a:t>
          </a:r>
        </a:p>
        <a:p>
          <a:pPr>
            <a:defRPr lang="en-US" altLang="ja-JP" sz="1000" b="1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▪「新規」ボタンをタッチすると、FC0802_カテゴリ値引/割引設定新規作成機能を実行する。同時に、「検索」ボタンと「新規」ボタンを無効にする。</a:t>
          </a:r>
        </a:p>
      </xdr:txBody>
    </xdr:sp>
    <xdr:clientData/>
  </xdr:twoCellAnchor>
  <xdr:twoCellAnchor>
    <xdr:from>
      <xdr:col>4</xdr:col>
      <xdr:colOff>0</xdr:colOff>
      <xdr:row>48</xdr:row>
      <xdr:rowOff>0</xdr:rowOff>
    </xdr:from>
    <xdr:to>
      <xdr:col>6</xdr:col>
      <xdr:colOff>0</xdr:colOff>
      <xdr:row>49</xdr:row>
      <xdr:rowOff>0</xdr:rowOff>
    </xdr:to>
    <xdr:sp macro="" textlink="" fLocksText="0">
      <xdr:nvSpPr>
        <xdr:cNvPr id="48" name="四角形: 角を丸くする 294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066800" y="925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48</xdr:row>
      <xdr:rowOff>0</xdr:rowOff>
    </xdr:from>
    <xdr:to>
      <xdr:col>14</xdr:col>
      <xdr:colOff>0</xdr:colOff>
      <xdr:row>49</xdr:row>
      <xdr:rowOff>0</xdr:rowOff>
    </xdr:to>
    <xdr:sp macro="" textlink="" fLocksText="0">
      <xdr:nvSpPr>
        <xdr:cNvPr id="49" name="四角形: 角を丸くする 294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3200400" y="925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8.2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5</xdr:col>
      <xdr:colOff>0</xdr:colOff>
      <xdr:row>48</xdr:row>
      <xdr:rowOff>0</xdr:rowOff>
    </xdr:to>
    <xdr:cxnSp macro="">
      <xdr:nvCxnSpPr>
        <xdr:cNvPr id="50" name="直線矢印コネクタ 1010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27" idx="2"/>
          <a:endCxn id="48" idx="0"/>
        </xdr:cNvCxnSpPr>
      </xdr:nvCxnSpPr>
      <xdr:spPr>
        <a:xfrm>
          <a:off x="1333500" y="887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0</xdr:colOff>
      <xdr:row>48</xdr:row>
      <xdr:rowOff>0</xdr:rowOff>
    </xdr:to>
    <xdr:cxnSp macro="">
      <xdr:nvCxnSpPr>
        <xdr:cNvPr id="53" name="直線矢印コネクタ 101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28" idx="2"/>
          <a:endCxn id="49" idx="0"/>
        </xdr:cNvCxnSpPr>
      </xdr:nvCxnSpPr>
      <xdr:spPr>
        <a:xfrm>
          <a:off x="3467100" y="887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75</xdr:row>
      <xdr:rowOff>0</xdr:rowOff>
    </xdr:from>
    <xdr:to>
      <xdr:col>61</xdr:col>
      <xdr:colOff>0</xdr:colOff>
      <xdr:row>94</xdr:row>
      <xdr:rowOff>11206</xdr:rowOff>
    </xdr:to>
    <xdr:sp macro="" textlink="" fLocksText="0">
      <xdr:nvSpPr>
        <xdr:cNvPr id="57" name="吹き出し: 線 2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10134600" y="14401800"/>
          <a:ext cx="6134100" cy="3629025"/>
        </a:xfrm>
        <a:prstGeom prst="borderCallout1">
          <a:avLst>
            <a:gd name="adj1" fmla="val 48210"/>
            <a:gd name="adj2" fmla="val 884"/>
            <a:gd name="adj3" fmla="val 44183"/>
            <a:gd name="adj4" fmla="val -1305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自動割引一覧を表示する表には以下の欄が含まれている。</a:t>
          </a:r>
        </a:p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▪「選択」欄：選択ボタン（デフォルト：有効）を含む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▪「種類」欄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▪「コードと名称」欄：「種類コード：種類名称」形式で表示する。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▪「タイムサービス」欄：表示：0又は1 (0: 通常 - 開始日時から終了日時まで連続で実行する。1: タイムサービス - 開始日時と終了日時の開始時間と終了時間の間で実行する)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▪「開始日時」欄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▪「終了日時」欄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▪「値引種類と金額」欄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割引情報を「割引種類：金額+円/割引率+％」形式で表示する。例: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割引率:15%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カード会員割引率:10円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「戻る」ボタンをタッチすると、ダイアログを閉じる。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「選択」ボタンをタッチすると、割引詳細を取得して、同時に選択されている割引の商品部門一覧を取得して、カテゴリ値引・割引設定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（編集）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74</xdr:row>
      <xdr:rowOff>0</xdr:rowOff>
    </xdr:to>
    <xdr:sp macro="" textlink="" fLocksText="0">
      <xdr:nvSpPr>
        <xdr:cNvPr id="58" name="四角形: 角を丸くする 294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1066800" y="1402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5</xdr:col>
      <xdr:colOff>0</xdr:colOff>
      <xdr:row>76</xdr:row>
      <xdr:rowOff>0</xdr:rowOff>
    </xdr:to>
    <xdr:cxnSp macro="">
      <xdr:nvCxnSpPr>
        <xdr:cNvPr id="59" name="直線矢印コネクタ 1010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58" idx="2"/>
          <a:endCxn id="69" idx="0"/>
        </xdr:cNvCxnSpPr>
      </xdr:nvCxnSpPr>
      <xdr:spPr>
        <a:xfrm>
          <a:off x="1333500" y="1421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8</xdr:col>
      <xdr:colOff>0</xdr:colOff>
      <xdr:row>86</xdr:row>
      <xdr:rowOff>0</xdr:rowOff>
    </xdr:to>
    <xdr:sp macro="" textlink="" fLocksText="0">
      <xdr:nvSpPr>
        <xdr:cNvPr id="64" name="正方形/長方形 19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533400" y="1573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MD0801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自動割引一覧モダール</a:t>
          </a:r>
        </a:p>
      </xdr:txBody>
    </xdr:sp>
    <xdr:clientData/>
  </xdr:twoCellAnchor>
  <xdr:twoCellAnchor>
    <xdr:from>
      <xdr:col>29</xdr:col>
      <xdr:colOff>0</xdr:colOff>
      <xdr:row>76</xdr:row>
      <xdr:rowOff>0</xdr:rowOff>
    </xdr:from>
    <xdr:to>
      <xdr:col>35</xdr:col>
      <xdr:colOff>0</xdr:colOff>
      <xdr:row>80</xdr:row>
      <xdr:rowOff>0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734300" y="1459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AP0801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カテゴリ値引額/割引率の一覧取得</a:t>
          </a: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8</xdr:col>
      <xdr:colOff>0</xdr:colOff>
      <xdr:row>80</xdr:row>
      <xdr:rowOff>0</xdr:rowOff>
    </xdr:to>
    <xdr:sp macro="" textlink="" fLocksText="0">
      <xdr:nvSpPr>
        <xdr:cNvPr id="69" name="四角形: 角を丸くする 3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533400" y="1459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KN0801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自動割引一覧取得機能</a:t>
          </a:r>
        </a:p>
      </xdr:txBody>
    </xdr:sp>
    <xdr:clientData/>
  </xdr:twoCellAnchor>
  <xdr:twoCellAnchor>
    <xdr:from>
      <xdr:col>8</xdr:col>
      <xdr:colOff>0</xdr:colOff>
      <xdr:row>78</xdr:row>
      <xdr:rowOff>0</xdr:rowOff>
    </xdr:from>
    <xdr:to>
      <xdr:col>29</xdr:col>
      <xdr:colOff>0</xdr:colOff>
      <xdr:row>78</xdr:row>
      <xdr:rowOff>0</xdr:rowOff>
    </xdr:to>
    <xdr:cxnSp macro="">
      <xdr:nvCxnSpPr>
        <xdr:cNvPr id="70" name="直線矢印コネクタ 196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69" idx="3"/>
          <a:endCxn id="68" idx="2"/>
        </xdr:cNvCxnSpPr>
      </xdr:nvCxnSpPr>
      <xdr:spPr>
        <a:xfrm>
          <a:off x="2133600" y="14973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80</xdr:row>
      <xdr:rowOff>0</xdr:rowOff>
    </xdr:from>
    <xdr:to>
      <xdr:col>5</xdr:col>
      <xdr:colOff>0</xdr:colOff>
      <xdr:row>82</xdr:row>
      <xdr:rowOff>0</xdr:rowOff>
    </xdr:to>
    <xdr:cxnSp macro="">
      <xdr:nvCxnSpPr>
        <xdr:cNvPr id="76" name="直線矢印コネクタ 1010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69" idx="2"/>
          <a:endCxn id="64" idx="0"/>
        </xdr:cNvCxnSpPr>
      </xdr:nvCxnSpPr>
      <xdr:spPr>
        <a:xfrm>
          <a:off x="1333500" y="1535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88</xdr:row>
      <xdr:rowOff>0</xdr:rowOff>
    </xdr:from>
    <xdr:to>
      <xdr:col>7</xdr:col>
      <xdr:colOff>0</xdr:colOff>
      <xdr:row>89</xdr:row>
      <xdr:rowOff>0</xdr:rowOff>
    </xdr:to>
    <xdr:sp macro="" textlink="" fLocksText="0">
      <xdr:nvSpPr>
        <xdr:cNvPr id="79" name="四角形: 角を丸くする 110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800100" y="16878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1</xdr:colOff>
      <xdr:row>105</xdr:row>
      <xdr:rowOff>0</xdr:rowOff>
    </xdr:from>
    <xdr:to>
      <xdr:col>8</xdr:col>
      <xdr:colOff>0</xdr:colOff>
      <xdr:row>109</xdr:row>
      <xdr:rowOff>0</xdr:rowOff>
    </xdr:to>
    <xdr:sp macro="" textlink="" fLocksText="0">
      <xdr:nvSpPr>
        <xdr:cNvPr id="80" name="正方形/長方形 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533400" y="20116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カテゴリ値引/割引設定（編集）画面</a:t>
          </a:r>
        </a:p>
      </xdr:txBody>
    </xdr:sp>
    <xdr:clientData/>
  </xdr:twoCellAnchor>
  <xdr:twoCellAnchor>
    <xdr:from>
      <xdr:col>5</xdr:col>
      <xdr:colOff>0</xdr:colOff>
      <xdr:row>89</xdr:row>
      <xdr:rowOff>0</xdr:rowOff>
    </xdr:from>
    <xdr:to>
      <xdr:col>5</xdr:col>
      <xdr:colOff>1</xdr:colOff>
      <xdr:row>92</xdr:row>
      <xdr:rowOff>0</xdr:rowOff>
    </xdr:to>
    <xdr:cxnSp macro="">
      <xdr:nvCxnSpPr>
        <xdr:cNvPr id="81" name="直線矢印コネクタ 101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79" idx="2"/>
          <a:endCxn id="88" idx="0"/>
        </xdr:cNvCxnSpPr>
      </xdr:nvCxnSpPr>
      <xdr:spPr>
        <a:xfrm flipH="1">
          <a:off x="1333500" y="17068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95</xdr:row>
      <xdr:rowOff>0</xdr:rowOff>
    </xdr:from>
    <xdr:to>
      <xdr:col>61</xdr:col>
      <xdr:colOff>0</xdr:colOff>
      <xdr:row>133</xdr:row>
      <xdr:rowOff>0</xdr:rowOff>
    </xdr:to>
    <xdr:sp macro="" textlink="" fLocksText="0">
      <xdr:nvSpPr>
        <xdr:cNvPr id="84" name="吹き出し: 線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134600" y="18211800"/>
          <a:ext cx="6134100" cy="7239000"/>
        </a:xfrm>
        <a:prstGeom prst="borderCallout1">
          <a:avLst>
            <a:gd name="adj1" fmla="val 23809"/>
            <a:gd name="adj2" fmla="val 677"/>
            <a:gd name="adj3" fmla="val 33731"/>
            <a:gd name="adj4" fmla="val -13237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画面のヘッダーに編集モードが表示される。(共通ヘッダーをご参照ください。)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画面項目に割引詳細を表示し、項目を有効にして割引情報を変更可能。 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・部門の階層一覧表には以下の情報が含まれている。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+「品群」欄:品群コードを表示する。 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+「品種」欄: 品種コードを表示する。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+「分類」欄: 分類コードを表示する。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「名称」欄: 名称を表示する。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+「選択」欄: 部門割引適用をマークするチェックボックス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この表では、「-」又は「+」記号をタッチしてレベルを折りたたんだり展開したりできる。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より高い階層のアイテムを選択または選択解除すると、デフォルトでは、より低い階層の全てのアイテムが選択または選択解除される。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より低い階層をすべて選択又は選択解除すると、より高い階層も自動的に選択又は選択解除される。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編集モードでは、確定ボタンを除く画面上の全てのボタンを有効にする。割引情報に変更があった場合のみに「確定」ボタンを有効にする。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▪「F04:クリア」ボタンをタッチすると、画面上の入力項目をクリアし、SC0801_カテゴリ値引/割引設定画面を初期モードで表示する。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▪「F08: 削除」をタッチすると、現在の画面で選択されている割引がすぐに削除される。▪「階層表示」ボタンをタッチすると、画面に入力されている部門の階層一覧を取得する。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[F09：確定]ボタンをタッチすると、バリデーションチェックを行う。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+[割引率]と[割引額]の両方を入力した場合、「割引率、値引額のどちらかを入力してください。」エラーダイアログを表示する。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+[カード会員割引率]と[カード会員値引額]の両方を入力した場合、「カード会員割引率、カード会員値引額のどちらかを入力してください。」エラーダイアログを表示する。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+[アプリ会員割引率]と[カード会員値引額]の両方を入力した場合、「アプリ会員割引率、アプリ会員値引額のどちらかを入力してください。」エラーダイアログを表示する。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+[会員割引率]と[会員値引額]の両方を入力した場合、「会員割引率、会員値引額のどちらかを入力してください。」エラーダイアログを表示する。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+バリデーションチェックが成功した場合、値引/割引更新情報を保存する。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92</xdr:row>
      <xdr:rowOff>0</xdr:rowOff>
    </xdr:from>
    <xdr:to>
      <xdr:col>35</xdr:col>
      <xdr:colOff>0</xdr:colOff>
      <xdr:row>96</xdr:row>
      <xdr:rowOff>0</xdr:rowOff>
    </xdr:to>
    <xdr:sp macro="" textlink="" fLocksText="0">
      <xdr:nvSpPr>
        <xdr:cNvPr id="87" name="フローチャート: 磁気ディスク 19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7734300" y="17640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AP0802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詳細割引取得</a:t>
          </a:r>
        </a:p>
      </xdr:txBody>
    </xdr:sp>
    <xdr:clientData/>
  </xdr:twoCellAnchor>
  <xdr:twoCellAnchor>
    <xdr:from>
      <xdr:col>2</xdr:col>
      <xdr:colOff>0</xdr:colOff>
      <xdr:row>92</xdr:row>
      <xdr:rowOff>0</xdr:rowOff>
    </xdr:from>
    <xdr:to>
      <xdr:col>8</xdr:col>
      <xdr:colOff>0</xdr:colOff>
      <xdr:row>96</xdr:row>
      <xdr:rowOff>0</xdr:rowOff>
    </xdr:to>
    <xdr:sp macro="" textlink="" fLocksText="0">
      <xdr:nvSpPr>
        <xdr:cNvPr id="88" name="四角形: 角を丸くする 3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533400" y="17640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KN0802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自動割引詳細取得機能</a:t>
          </a:r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29</xdr:col>
      <xdr:colOff>0</xdr:colOff>
      <xdr:row>94</xdr:row>
      <xdr:rowOff>0</xdr:rowOff>
    </xdr:to>
    <xdr:cxnSp macro="">
      <xdr:nvCxnSpPr>
        <xdr:cNvPr id="92" name="直線矢印コネクタ 196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8" idx="3"/>
          <a:endCxn id="87" idx="2"/>
        </xdr:cNvCxnSpPr>
      </xdr:nvCxnSpPr>
      <xdr:spPr>
        <a:xfrm>
          <a:off x="2133600" y="18021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96</xdr:row>
      <xdr:rowOff>0</xdr:rowOff>
    </xdr:from>
    <xdr:to>
      <xdr:col>5</xdr:col>
      <xdr:colOff>0</xdr:colOff>
      <xdr:row>98</xdr:row>
      <xdr:rowOff>0</xdr:rowOff>
    </xdr:to>
    <xdr:cxnSp macro="">
      <xdr:nvCxnSpPr>
        <xdr:cNvPr id="95" name="直線矢印コネクタ 1010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CxnSpPr>
          <a:stCxn id="88" idx="2"/>
          <a:endCxn id="143" idx="0"/>
        </xdr:cNvCxnSpPr>
      </xdr:nvCxnSpPr>
      <xdr:spPr>
        <a:xfrm>
          <a:off x="1333500" y="1840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112</xdr:row>
      <xdr:rowOff>0</xdr:rowOff>
    </xdr:from>
    <xdr:to>
      <xdr:col>7</xdr:col>
      <xdr:colOff>0</xdr:colOff>
      <xdr:row>112</xdr:row>
      <xdr:rowOff>179294</xdr:rowOff>
    </xdr:to>
    <xdr:sp macro="" textlink="" fLocksText="0">
      <xdr:nvSpPr>
        <xdr:cNvPr id="98" name="四角形: 角を丸くする 110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800100" y="21450300"/>
          <a:ext cx="10668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 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224118</xdr:colOff>
      <xdr:row>112</xdr:row>
      <xdr:rowOff>0</xdr:rowOff>
    </xdr:from>
    <xdr:to>
      <xdr:col>24</xdr:col>
      <xdr:colOff>0</xdr:colOff>
      <xdr:row>113</xdr:row>
      <xdr:rowOff>0</xdr:rowOff>
    </xdr:to>
    <xdr:sp macro="" textlink="" fLocksText="0">
      <xdr:nvSpPr>
        <xdr:cNvPr id="99" name="四角形: 角を丸くする 110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5295900" y="21450300"/>
          <a:ext cx="11049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階層表示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800" b="0" i="0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</a:p>
      </xdr:txBody>
    </xdr:sp>
    <xdr:clientData/>
  </xdr:twoCellAnchor>
  <xdr:twoCellAnchor>
    <xdr:from>
      <xdr:col>14</xdr:col>
      <xdr:colOff>0</xdr:colOff>
      <xdr:row>112</xdr:row>
      <xdr:rowOff>0</xdr:rowOff>
    </xdr:from>
    <xdr:to>
      <xdr:col>18</xdr:col>
      <xdr:colOff>0</xdr:colOff>
      <xdr:row>113</xdr:row>
      <xdr:rowOff>0</xdr:rowOff>
    </xdr:to>
    <xdr:sp macro="" textlink="" fLocksText="0">
      <xdr:nvSpPr>
        <xdr:cNvPr id="100" name="四角形: 角を丸くする 110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3733800" y="2145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 削除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5</xdr:col>
      <xdr:colOff>0</xdr:colOff>
      <xdr:row>112</xdr:row>
      <xdr:rowOff>0</xdr:rowOff>
    </xdr:to>
    <xdr:cxnSp macro="">
      <xdr:nvCxnSpPr>
        <xdr:cNvPr id="117" name="直線矢印コネクタ 1010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CxnSpPr>
          <a:stCxn id="80" idx="2"/>
          <a:endCxn id="98" idx="0"/>
        </xdr:cNvCxnSpPr>
      </xdr:nvCxnSpPr>
      <xdr:spPr>
        <a:xfrm>
          <a:off x="1333500" y="20878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112</xdr:row>
      <xdr:rowOff>0</xdr:rowOff>
    </xdr:from>
    <xdr:to>
      <xdr:col>13</xdr:col>
      <xdr:colOff>0</xdr:colOff>
      <xdr:row>113</xdr:row>
      <xdr:rowOff>0</xdr:rowOff>
    </xdr:to>
    <xdr:sp macro="" textlink="" fLocksText="0">
      <xdr:nvSpPr>
        <xdr:cNvPr id="120" name="四角形: 角を丸くする 110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133600" y="21450300"/>
          <a:ext cx="13335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新規作成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109</xdr:row>
      <xdr:rowOff>0</xdr:rowOff>
    </xdr:from>
    <xdr:to>
      <xdr:col>21</xdr:col>
      <xdr:colOff>229720</xdr:colOff>
      <xdr:row>112</xdr:row>
      <xdr:rowOff>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80" idx="2"/>
          <a:endCxn id="99" idx="0"/>
        </xdr:cNvCxnSpPr>
      </xdr:nvCxnSpPr>
      <xdr:spPr>
        <a:xfrm rot="16200000" flipH="1">
          <a:off x="1304925" y="20878800"/>
          <a:ext cx="4524375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109</xdr:row>
      <xdr:rowOff>0</xdr:rowOff>
    </xdr:from>
    <xdr:to>
      <xdr:col>16</xdr:col>
      <xdr:colOff>0</xdr:colOff>
      <xdr:row>112</xdr:row>
      <xdr:rowOff>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80" idx="2"/>
          <a:endCxn id="100" idx="0"/>
        </xdr:cNvCxnSpPr>
      </xdr:nvCxnSpPr>
      <xdr:spPr>
        <a:xfrm rot="16200000" flipH="1">
          <a:off x="1304925" y="20878800"/>
          <a:ext cx="2962275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109</xdr:row>
      <xdr:rowOff>0</xdr:rowOff>
    </xdr:from>
    <xdr:to>
      <xdr:col>10</xdr:col>
      <xdr:colOff>117661</xdr:colOff>
      <xdr:row>112</xdr:row>
      <xdr:rowOff>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80" idx="2"/>
          <a:endCxn id="120" idx="0"/>
        </xdr:cNvCxnSpPr>
      </xdr:nvCxnSpPr>
      <xdr:spPr>
        <a:xfrm rot="16200000" flipH="1">
          <a:off x="1304925" y="20878800"/>
          <a:ext cx="1476375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112</xdr:row>
      <xdr:rowOff>0</xdr:rowOff>
    </xdr:from>
    <xdr:to>
      <xdr:col>29</xdr:col>
      <xdr:colOff>0</xdr:colOff>
      <xdr:row>113</xdr:row>
      <xdr:rowOff>0</xdr:rowOff>
    </xdr:to>
    <xdr:sp macro="" textlink="" fLocksText="0">
      <xdr:nvSpPr>
        <xdr:cNvPr id="55" name="四角形: 角を丸くする 110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6667500" y="21450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 確定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109</xdr:row>
      <xdr:rowOff>0</xdr:rowOff>
    </xdr:from>
    <xdr:to>
      <xdr:col>26</xdr:col>
      <xdr:colOff>235322</xdr:colOff>
      <xdr:row>112</xdr:row>
      <xdr:rowOff>0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80" idx="2"/>
          <a:endCxn id="55" idx="0"/>
        </xdr:cNvCxnSpPr>
      </xdr:nvCxnSpPr>
      <xdr:spPr>
        <a:xfrm rot="16200000" flipH="1">
          <a:off x="1304925" y="20878800"/>
          <a:ext cx="58674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115</xdr:row>
      <xdr:rowOff>0</xdr:rowOff>
    </xdr:from>
    <xdr:to>
      <xdr:col>28</xdr:col>
      <xdr:colOff>0</xdr:colOff>
      <xdr:row>116</xdr:row>
      <xdr:rowOff>0</xdr:rowOff>
    </xdr:to>
    <xdr:sp macro="" textlink="" fLocksText="0">
      <xdr:nvSpPr>
        <xdr:cNvPr id="72" name="四角形: 角を丸くする 294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6934200" y="2202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8.1.1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113</xdr:row>
      <xdr:rowOff>0</xdr:rowOff>
    </xdr:from>
    <xdr:to>
      <xdr:col>27</xdr:col>
      <xdr:colOff>1</xdr:colOff>
      <xdr:row>115</xdr:row>
      <xdr:rowOff>0</xdr:rowOff>
    </xdr:to>
    <xdr:cxnSp macro="">
      <xdr:nvCxnSpPr>
        <xdr:cNvPr id="83" name="直線矢印コネクタ 1010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55" idx="2"/>
          <a:endCxn id="72" idx="0"/>
        </xdr:cNvCxnSpPr>
      </xdr:nvCxnSpPr>
      <xdr:spPr>
        <a:xfrm>
          <a:off x="7200900" y="2164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135</xdr:row>
      <xdr:rowOff>0</xdr:rowOff>
    </xdr:from>
    <xdr:to>
      <xdr:col>35</xdr:col>
      <xdr:colOff>0</xdr:colOff>
      <xdr:row>139</xdr:row>
      <xdr:rowOff>0</xdr:rowOff>
    </xdr:to>
    <xdr:sp macro="" textlink="" fLocksText="0">
      <xdr:nvSpPr>
        <xdr:cNvPr id="93" name="フローチャート: 磁気ディスク 194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7734300" y="25831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AP0803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所属コード一覧取得 </a:t>
          </a:r>
        </a:p>
      </xdr:txBody>
    </xdr:sp>
    <xdr:clientData/>
  </xdr:twoCellAnchor>
  <xdr:twoCellAnchor>
    <xdr:from>
      <xdr:col>2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sp macro="" textlink="" fLocksText="0">
      <xdr:nvSpPr>
        <xdr:cNvPr id="110" name="四角形: 角を丸くする 294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533400" y="296418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8.1.1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125</xdr:row>
      <xdr:rowOff>11206</xdr:rowOff>
    </xdr:from>
    <xdr:to>
      <xdr:col>35</xdr:col>
      <xdr:colOff>0</xdr:colOff>
      <xdr:row>129</xdr:row>
      <xdr:rowOff>11206</xdr:rowOff>
    </xdr:to>
    <xdr:sp macro="" textlink="" fLocksText="0">
      <xdr:nvSpPr>
        <xdr:cNvPr id="111" name="フローチャート: 磁気ディスク 194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7734300" y="2393632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AP0804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割引削除</a:t>
          </a:r>
        </a:p>
      </xdr:txBody>
    </xdr:sp>
    <xdr:clientData/>
  </xdr:twoCellAnchor>
  <xdr:twoCellAnchor>
    <xdr:from>
      <xdr:col>13</xdr:col>
      <xdr:colOff>0</xdr:colOff>
      <xdr:row>125</xdr:row>
      <xdr:rowOff>0</xdr:rowOff>
    </xdr:from>
    <xdr:to>
      <xdr:col>19</xdr:col>
      <xdr:colOff>0</xdr:colOff>
      <xdr:row>129</xdr:row>
      <xdr:rowOff>0</xdr:rowOff>
    </xdr:to>
    <xdr:sp macro="" textlink="" fLocksText="0">
      <xdr:nvSpPr>
        <xdr:cNvPr id="112" name="四角形: 角を丸くする 3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3059206" y="23924559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KN0804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即時削除機能</a:t>
          </a:r>
        </a:p>
      </xdr:txBody>
    </xdr:sp>
    <xdr:clientData/>
  </xdr:twoCellAnchor>
  <xdr:twoCellAnchor>
    <xdr:from>
      <xdr:col>19</xdr:col>
      <xdr:colOff>0</xdr:colOff>
      <xdr:row>127</xdr:row>
      <xdr:rowOff>0</xdr:rowOff>
    </xdr:from>
    <xdr:to>
      <xdr:col>29</xdr:col>
      <xdr:colOff>0</xdr:colOff>
      <xdr:row>127</xdr:row>
      <xdr:rowOff>11206</xdr:rowOff>
    </xdr:to>
    <xdr:cxnSp macro="">
      <xdr:nvCxnSpPr>
        <xdr:cNvPr id="113" name="直線矢印コネクタ 196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12" idx="3"/>
          <a:endCxn id="111" idx="2"/>
        </xdr:cNvCxnSpPr>
      </xdr:nvCxnSpPr>
      <xdr:spPr>
        <a:xfrm>
          <a:off x="5067300" y="24307800"/>
          <a:ext cx="26670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121</xdr:row>
      <xdr:rowOff>11206</xdr:rowOff>
    </xdr:from>
    <xdr:to>
      <xdr:col>16</xdr:col>
      <xdr:colOff>1</xdr:colOff>
      <xdr:row>125</xdr:row>
      <xdr:rowOff>0</xdr:rowOff>
    </xdr:to>
    <xdr:cxnSp macro="">
      <xdr:nvCxnSpPr>
        <xdr:cNvPr id="115" name="直線矢印コネクタ 1010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151" idx="2"/>
          <a:endCxn id="112" idx="0"/>
        </xdr:cNvCxnSpPr>
      </xdr:nvCxnSpPr>
      <xdr:spPr>
        <a:xfrm>
          <a:off x="4267200" y="23174325"/>
          <a:ext cx="0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115</xdr:row>
      <xdr:rowOff>0</xdr:rowOff>
    </xdr:from>
    <xdr:to>
      <xdr:col>12</xdr:col>
      <xdr:colOff>0</xdr:colOff>
      <xdr:row>116</xdr:row>
      <xdr:rowOff>0</xdr:rowOff>
    </xdr:to>
    <xdr:sp macro="" textlink="" fLocksText="0">
      <xdr:nvSpPr>
        <xdr:cNvPr id="74" name="四角形: 角を丸くする 29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2400300" y="22021800"/>
          <a:ext cx="8001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8.2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117662</xdr:colOff>
      <xdr:row>113</xdr:row>
      <xdr:rowOff>0</xdr:rowOff>
    </xdr:from>
    <xdr:to>
      <xdr:col>10</xdr:col>
      <xdr:colOff>117662</xdr:colOff>
      <xdr:row>115</xdr:row>
      <xdr:rowOff>0</xdr:rowOff>
    </xdr:to>
    <xdr:cxnSp macro="">
      <xdr:nvCxnSpPr>
        <xdr:cNvPr id="77" name="直線矢印コネクタ 1010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120" idx="2"/>
          <a:endCxn id="74" idx="0"/>
        </xdr:cNvCxnSpPr>
      </xdr:nvCxnSpPr>
      <xdr:spPr>
        <a:xfrm>
          <a:off x="2781300" y="2164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158</xdr:row>
      <xdr:rowOff>0</xdr:rowOff>
    </xdr:from>
    <xdr:to>
      <xdr:col>7</xdr:col>
      <xdr:colOff>0</xdr:colOff>
      <xdr:row>162</xdr:row>
      <xdr:rowOff>0</xdr:rowOff>
    </xdr:to>
    <xdr:sp macro="" textlink="" fLocksText="0">
      <xdr:nvSpPr>
        <xdr:cNvPr id="85" name="四角形: 角を丸くする 3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66700" y="3021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KN0806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値引額/割引率変更保存機能</a:t>
          </a:r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4</xdr:col>
      <xdr:colOff>1</xdr:colOff>
      <xdr:row>158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110" idx="2"/>
          <a:endCxn id="85" idx="0"/>
        </xdr:cNvCxnSpPr>
      </xdr:nvCxnSpPr>
      <xdr:spPr>
        <a:xfrm>
          <a:off x="1066800" y="2983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160</xdr:row>
      <xdr:rowOff>0</xdr:rowOff>
    </xdr:from>
    <xdr:to>
      <xdr:col>61</xdr:col>
      <xdr:colOff>0</xdr:colOff>
      <xdr:row>161</xdr:row>
      <xdr:rowOff>179294</xdr:rowOff>
    </xdr:to>
    <xdr:sp macro="" textlink="" fLocksText="0">
      <xdr:nvSpPr>
        <xdr:cNvPr id="102" name="吹き出し: 線 2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10134600" y="30594300"/>
          <a:ext cx="6134100" cy="371475"/>
        </a:xfrm>
        <a:prstGeom prst="borderCallout1">
          <a:avLst>
            <a:gd name="adj1" fmla="val 49471"/>
            <a:gd name="adj2" fmla="val 470"/>
            <a:gd name="adj3" fmla="val 42905"/>
            <a:gd name="adj4" fmla="val -13772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以下の変更を保存する。値引額/割引率の新規追加、削除、更新</a:t>
          </a:r>
        </a:p>
      </xdr:txBody>
    </xdr:sp>
    <xdr:clientData/>
  </xdr:twoCellAnchor>
  <xdr:twoCellAnchor>
    <xdr:from>
      <xdr:col>2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sp macro="" textlink="" fLocksText="0">
      <xdr:nvSpPr>
        <xdr:cNvPr id="129" name="四角形: 角を丸くする 294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533400" y="31356300"/>
          <a:ext cx="10668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1</xdr:colOff>
      <xdr:row>164</xdr:row>
      <xdr:rowOff>0</xdr:rowOff>
    </xdr:to>
    <xdr:cxnSp macro="">
      <xdr:nvCxnSpPr>
        <xdr:cNvPr id="130" name="直線矢印コネクタ 1010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>
          <a:stCxn id="85" idx="2"/>
          <a:endCxn id="129" idx="0"/>
        </xdr:cNvCxnSpPr>
      </xdr:nvCxnSpPr>
      <xdr:spPr>
        <a:xfrm flipH="1">
          <a:off x="1066800" y="3097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158</xdr:row>
      <xdr:rowOff>0</xdr:rowOff>
    </xdr:from>
    <xdr:to>
      <xdr:col>35</xdr:col>
      <xdr:colOff>0</xdr:colOff>
      <xdr:row>162</xdr:row>
      <xdr:rowOff>0</xdr:rowOff>
    </xdr:to>
    <xdr:sp macro="" textlink="" fLocksText="0">
      <xdr:nvSpPr>
        <xdr:cNvPr id="134" name="フローチャート: 磁気ディスク 194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7734300" y="3021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AP0805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割引保存</a:t>
          </a:r>
        </a:p>
      </xdr:txBody>
    </xdr:sp>
    <xdr:clientData/>
  </xdr:twoCellAnchor>
  <xdr:twoCellAnchor>
    <xdr:from>
      <xdr:col>7</xdr:col>
      <xdr:colOff>0</xdr:colOff>
      <xdr:row>160</xdr:row>
      <xdr:rowOff>0</xdr:rowOff>
    </xdr:from>
    <xdr:to>
      <xdr:col>29</xdr:col>
      <xdr:colOff>0</xdr:colOff>
      <xdr:row>160</xdr:row>
      <xdr:rowOff>0</xdr:rowOff>
    </xdr:to>
    <xdr:cxnSp macro="">
      <xdr:nvCxnSpPr>
        <xdr:cNvPr id="135" name="直線矢印コネクタ 196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stCxn id="85" idx="3"/>
          <a:endCxn id="134" idx="2"/>
        </xdr:cNvCxnSpPr>
      </xdr:nvCxnSpPr>
      <xdr:spPr>
        <a:xfrm>
          <a:off x="1866900" y="30594300"/>
          <a:ext cx="5867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169</xdr:row>
      <xdr:rowOff>0</xdr:rowOff>
    </xdr:from>
    <xdr:to>
      <xdr:col>6</xdr:col>
      <xdr:colOff>235323</xdr:colOff>
      <xdr:row>173</xdr:row>
      <xdr:rowOff>0</xdr:rowOff>
    </xdr:to>
    <xdr:sp macro="" textlink="" fLocksText="0">
      <xdr:nvSpPr>
        <xdr:cNvPr id="158" name="正方形/長方形 1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266700" y="323088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「カテゴリ値引/割引設定」画面（初期化） </a:t>
          </a:r>
        </a:p>
      </xdr:txBody>
    </xdr:sp>
    <xdr:clientData/>
  </xdr:twoCellAnchor>
  <xdr:twoCellAnchor>
    <xdr:from>
      <xdr:col>4</xdr:col>
      <xdr:colOff>0</xdr:colOff>
      <xdr:row>165</xdr:row>
      <xdr:rowOff>0</xdr:rowOff>
    </xdr:from>
    <xdr:to>
      <xdr:col>4</xdr:col>
      <xdr:colOff>0</xdr:colOff>
      <xdr:row>169</xdr:row>
      <xdr:rowOff>0</xdr:rowOff>
    </xdr:to>
    <xdr:cxnSp macro="">
      <xdr:nvCxnSpPr>
        <xdr:cNvPr id="159" name="直線矢印コネクタ 1010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stCxn id="129" idx="2"/>
          <a:endCxn id="158" idx="0"/>
        </xdr:cNvCxnSpPr>
      </xdr:nvCxnSpPr>
      <xdr:spPr>
        <a:xfrm>
          <a:off x="1066800" y="31546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168</xdr:row>
      <xdr:rowOff>0</xdr:rowOff>
    </xdr:from>
    <xdr:to>
      <xdr:col>61</xdr:col>
      <xdr:colOff>0</xdr:colOff>
      <xdr:row>171</xdr:row>
      <xdr:rowOff>0</xdr:rowOff>
    </xdr:to>
    <xdr:sp macro="" textlink="" fLocksText="0">
      <xdr:nvSpPr>
        <xdr:cNvPr id="162" name="吹き出し: 線 2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10134600" y="32118300"/>
          <a:ext cx="6134100" cy="571500"/>
        </a:xfrm>
        <a:prstGeom prst="borderCallout1">
          <a:avLst>
            <a:gd name="adj1" fmla="val 49471"/>
            <a:gd name="adj2" fmla="val 470"/>
            <a:gd name="adj3" fmla="val 97272"/>
            <a:gd name="adj4" fmla="val -1352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画面のデータを全てクリアし、SC0801_カテゴリ値引/割引設定画面が初期化モードで表示する。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177</xdr:row>
      <xdr:rowOff>0</xdr:rowOff>
    </xdr:from>
    <xdr:to>
      <xdr:col>5</xdr:col>
      <xdr:colOff>0</xdr:colOff>
      <xdr:row>178</xdr:row>
      <xdr:rowOff>0</xdr:rowOff>
    </xdr:to>
    <xdr:sp macro="" textlink="" fLocksText="0">
      <xdr:nvSpPr>
        <xdr:cNvPr id="165" name="四角形: 角を丸くする 29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800100" y="33832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8.2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181</xdr:row>
      <xdr:rowOff>0</xdr:rowOff>
    </xdr:from>
    <xdr:to>
      <xdr:col>6</xdr:col>
      <xdr:colOff>235323</xdr:colOff>
      <xdr:row>185</xdr:row>
      <xdr:rowOff>0</xdr:rowOff>
    </xdr:to>
    <xdr:sp macro="" textlink="" fLocksText="0">
      <xdr:nvSpPr>
        <xdr:cNvPr id="170" name="正方形/長方形 1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/>
      </xdr:nvSpPr>
      <xdr:spPr>
        <a:xfrm>
          <a:off x="266700" y="345948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SC0801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カテゴリ値引/割引設定画面（新規作成）</a:t>
          </a:r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4</xdr:col>
      <xdr:colOff>1</xdr:colOff>
      <xdr:row>181</xdr:row>
      <xdr:rowOff>0</xdr:rowOff>
    </xdr:to>
    <xdr:cxnSp macro="">
      <xdr:nvCxnSpPr>
        <xdr:cNvPr id="171" name="直線矢印コネクタ 1010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CxnSpPr>
          <a:stCxn id="165" idx="2"/>
          <a:endCxn id="170" idx="0"/>
        </xdr:cNvCxnSpPr>
      </xdr:nvCxnSpPr>
      <xdr:spPr>
        <a:xfrm flipH="1">
          <a:off x="1066800" y="34023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180</xdr:row>
      <xdr:rowOff>0</xdr:rowOff>
    </xdr:from>
    <xdr:to>
      <xdr:col>61</xdr:col>
      <xdr:colOff>0</xdr:colOff>
      <xdr:row>197</xdr:row>
      <xdr:rowOff>0</xdr:rowOff>
    </xdr:to>
    <xdr:sp macro="" textlink="" fLocksText="0">
      <xdr:nvSpPr>
        <xdr:cNvPr id="174" name="吹き出し: 線 2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/>
      </xdr:nvSpPr>
      <xdr:spPr>
        <a:xfrm>
          <a:off x="10134600" y="34404300"/>
          <a:ext cx="6134100" cy="3238500"/>
        </a:xfrm>
        <a:prstGeom prst="borderCallout1">
          <a:avLst>
            <a:gd name="adj1" fmla="val 49471"/>
            <a:gd name="adj2" fmla="val 470"/>
            <a:gd name="adj3" fmla="val 24120"/>
            <a:gd name="adj4" fmla="val -13545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SC0801_カテゴリ値引/割引設定（初期化）画面の項目を有効にしてユーザーが値引額/割引率を入力できる。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イベント：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▪部門コードを入力できる。enter (フォーカスアウト)又は「階層表示」をタッチすると、階層一覧を取得してSC0801画面に表示する。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カテゴリ値引/割引設定（新規作成）画面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▪「F09:確定」をタッチすると、値引/割引を作成する。 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▪「F04:クリア」をタッチすると、画面上の入力項目をクリアし、SC0801_カテゴリ値引/割引設定画面を初期モードで表示する。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▪一覧の全てアイテムが選択されていないと、「全選択」ボタンを表示する。「全選択」ボタンをタッチすると、階層一覧の全てアイテムを選択する。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▪一覧の全てアイテムが選択されていると、「全解除」を表示する。「全解除」ボタンをタッチすると、階層一覧の全てアイテムを選択解除する。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▪「選択対象のみ表示」をタッチすると、一覧で選択されたアイテムのみを画面に表示する。</a:t>
          </a: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117</xdr:row>
      <xdr:rowOff>0</xdr:rowOff>
    </xdr:from>
    <xdr:to>
      <xdr:col>19</xdr:col>
      <xdr:colOff>0</xdr:colOff>
      <xdr:row>121</xdr:row>
      <xdr:rowOff>11206</xdr:rowOff>
    </xdr:to>
    <xdr:sp macro="" textlink="" fLocksText="0">
      <xdr:nvSpPr>
        <xdr:cNvPr id="151" name="正方形/長方形 19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3059205" y="22400559"/>
          <a:ext cx="1411942" cy="77320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MD_CONFIRM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削除確定モダール</a:t>
          </a:r>
        </a:p>
      </xdr:txBody>
    </xdr:sp>
    <xdr:clientData/>
  </xdr:twoCellAnchor>
  <xdr:twoCellAnchor>
    <xdr:from>
      <xdr:col>16</xdr:col>
      <xdr:colOff>0</xdr:colOff>
      <xdr:row>113</xdr:row>
      <xdr:rowOff>0</xdr:rowOff>
    </xdr:from>
    <xdr:to>
      <xdr:col>16</xdr:col>
      <xdr:colOff>1</xdr:colOff>
      <xdr:row>117</xdr:row>
      <xdr:rowOff>0</xdr:rowOff>
    </xdr:to>
    <xdr:cxnSp macro="">
      <xdr:nvCxnSpPr>
        <xdr:cNvPr id="153" name="直線矢印コネクタ 1010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100" idx="2"/>
          <a:endCxn id="151" idx="0"/>
        </xdr:cNvCxnSpPr>
      </xdr:nvCxnSpPr>
      <xdr:spPr>
        <a:xfrm flipH="1">
          <a:off x="4267200" y="21640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88</xdr:row>
      <xdr:rowOff>0</xdr:rowOff>
    </xdr:from>
    <xdr:to>
      <xdr:col>14</xdr:col>
      <xdr:colOff>238124</xdr:colOff>
      <xdr:row>89</xdr:row>
      <xdr:rowOff>0</xdr:rowOff>
    </xdr:to>
    <xdr:sp macro="" textlink="" fLocksText="0">
      <xdr:nvSpPr>
        <xdr:cNvPr id="133" name="四角形: 角を丸くする 1101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2933700" y="16878300"/>
          <a:ext cx="10382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戻る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86</xdr:row>
      <xdr:rowOff>0</xdr:rowOff>
    </xdr:from>
    <xdr:to>
      <xdr:col>5</xdr:col>
      <xdr:colOff>1</xdr:colOff>
      <xdr:row>88</xdr:row>
      <xdr:rowOff>0</xdr:rowOff>
    </xdr:to>
    <xdr:cxnSp macro="">
      <xdr:nvCxnSpPr>
        <xdr:cNvPr id="136" name="直線矢印コネクタ 1010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64" idx="2"/>
          <a:endCxn id="79" idx="0"/>
        </xdr:cNvCxnSpPr>
      </xdr:nvCxnSpPr>
      <xdr:spPr>
        <a:xfrm>
          <a:off x="1333500" y="1649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86</xdr:row>
      <xdr:rowOff>0</xdr:rowOff>
    </xdr:from>
    <xdr:to>
      <xdr:col>13</xdr:col>
      <xdr:colOff>0</xdr:colOff>
      <xdr:row>88</xdr:row>
      <xdr:rowOff>0</xdr:rowOff>
    </xdr:to>
    <xdr:cxnSp macro="">
      <xdr:nvCxnSpPr>
        <xdr:cNvPr id="140" name="Connector: Elbow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CxnSpPr>
          <a:stCxn id="64" idx="2"/>
          <a:endCxn id="133" idx="0"/>
        </xdr:cNvCxnSpPr>
      </xdr:nvCxnSpPr>
      <xdr:spPr>
        <a:xfrm rot="16200000" flipH="1">
          <a:off x="1333500" y="16497300"/>
          <a:ext cx="21336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98</xdr:row>
      <xdr:rowOff>0</xdr:rowOff>
    </xdr:from>
    <xdr:to>
      <xdr:col>35</xdr:col>
      <xdr:colOff>0</xdr:colOff>
      <xdr:row>102</xdr:row>
      <xdr:rowOff>0</xdr:rowOff>
    </xdr:to>
    <xdr:sp macro="" textlink="" fLocksText="0">
      <xdr:nvSpPr>
        <xdr:cNvPr id="142" name="フローチャート: 磁気ディスク 194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7734300" y="1878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AP2501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分類一覧取得</a:t>
          </a:r>
        </a:p>
      </xdr:txBody>
    </xdr:sp>
    <xdr:clientData/>
  </xdr:twoCellAnchor>
  <xdr:twoCellAnchor>
    <xdr:from>
      <xdr:col>2</xdr:col>
      <xdr:colOff>0</xdr:colOff>
      <xdr:row>98</xdr:row>
      <xdr:rowOff>0</xdr:rowOff>
    </xdr:from>
    <xdr:to>
      <xdr:col>8</xdr:col>
      <xdr:colOff>0</xdr:colOff>
      <xdr:row>102</xdr:row>
      <xdr:rowOff>0</xdr:rowOff>
    </xdr:to>
    <xdr:sp macro="" textlink="" fLocksText="0">
      <xdr:nvSpPr>
        <xdr:cNvPr id="143" name="四角形: 角を丸くする 3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533400" y="1878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KN2501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商品部門一覧取得機能</a:t>
          </a:r>
        </a:p>
      </xdr:txBody>
    </xdr:sp>
    <xdr:clientData/>
  </xdr:twoCellAnchor>
  <xdr:twoCellAnchor>
    <xdr:from>
      <xdr:col>8</xdr:col>
      <xdr:colOff>0</xdr:colOff>
      <xdr:row>100</xdr:row>
      <xdr:rowOff>0</xdr:rowOff>
    </xdr:from>
    <xdr:to>
      <xdr:col>29</xdr:col>
      <xdr:colOff>0</xdr:colOff>
      <xdr:row>100</xdr:row>
      <xdr:rowOff>0</xdr:rowOff>
    </xdr:to>
    <xdr:cxnSp macro="">
      <xdr:nvCxnSpPr>
        <xdr:cNvPr id="144" name="直線矢印コネクタ 196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143" idx="3"/>
          <a:endCxn id="142" idx="2"/>
        </xdr:cNvCxnSpPr>
      </xdr:nvCxnSpPr>
      <xdr:spPr>
        <a:xfrm>
          <a:off x="2133600" y="1916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102</xdr:row>
      <xdr:rowOff>0</xdr:rowOff>
    </xdr:from>
    <xdr:to>
      <xdr:col>5</xdr:col>
      <xdr:colOff>0</xdr:colOff>
      <xdr:row>105</xdr:row>
      <xdr:rowOff>0</xdr:rowOff>
    </xdr:to>
    <xdr:cxnSp macro="">
      <xdr:nvCxnSpPr>
        <xdr:cNvPr id="147" name="直線矢印コネクタ 1010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143" idx="2"/>
          <a:endCxn id="80" idx="0"/>
        </xdr:cNvCxnSpPr>
      </xdr:nvCxnSpPr>
      <xdr:spPr>
        <a:xfrm>
          <a:off x="1333500" y="19545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sp macro="" textlink="" fLocksText="0">
      <xdr:nvSpPr>
        <xdr:cNvPr id="177" name="四角形: 角を丸くする 294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1066800" y="2202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112</xdr:row>
      <xdr:rowOff>179294</xdr:rowOff>
    </xdr:from>
    <xdr:to>
      <xdr:col>5</xdr:col>
      <xdr:colOff>0</xdr:colOff>
      <xdr:row>115</xdr:row>
      <xdr:rowOff>0</xdr:rowOff>
    </xdr:to>
    <xdr:cxnSp macro="">
      <xdr:nvCxnSpPr>
        <xdr:cNvPr id="181" name="直線矢印コネクタ 1010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CxnSpPr>
          <a:stCxn id="98" idx="2"/>
          <a:endCxn id="177" idx="0"/>
        </xdr:cNvCxnSpPr>
      </xdr:nvCxnSpPr>
      <xdr:spPr>
        <a:xfrm>
          <a:off x="1333500" y="216312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112</xdr:row>
      <xdr:rowOff>0</xdr:rowOff>
    </xdr:from>
    <xdr:to>
      <xdr:col>34</xdr:col>
      <xdr:colOff>1</xdr:colOff>
      <xdr:row>113</xdr:row>
      <xdr:rowOff>0</xdr:rowOff>
    </xdr:to>
    <xdr:sp macro="" textlink="" fLocksText="0">
      <xdr:nvSpPr>
        <xdr:cNvPr id="204" name="四角形: 角を丸くする 1101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8267700" y="21450300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 クリア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109</xdr:row>
      <xdr:rowOff>0</xdr:rowOff>
    </xdr:from>
    <xdr:to>
      <xdr:col>32</xdr:col>
      <xdr:colOff>117661</xdr:colOff>
      <xdr:row>112</xdr:row>
      <xdr:rowOff>0</xdr:rowOff>
    </xdr:to>
    <xdr:cxnSp macro="">
      <xdr:nvCxnSpPr>
        <xdr:cNvPr id="205" name="Connector: Elbow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CxnSpPr>
          <a:stCxn id="80" idx="2"/>
          <a:endCxn id="204" idx="0"/>
        </xdr:cNvCxnSpPr>
      </xdr:nvCxnSpPr>
      <xdr:spPr>
        <a:xfrm rot="16200000" flipH="1">
          <a:off x="1304925" y="20878800"/>
          <a:ext cx="7343775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25</xdr:col>
      <xdr:colOff>0</xdr:colOff>
      <xdr:row>139</xdr:row>
      <xdr:rowOff>0</xdr:rowOff>
    </xdr:to>
    <xdr:sp macro="" textlink="" fLocksText="0">
      <xdr:nvSpPr>
        <xdr:cNvPr id="225" name="四角形: 角を丸くする 3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/>
      </xdr:nvSpPr>
      <xdr:spPr>
        <a:xfrm>
          <a:off x="5067300" y="25831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KN2501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商品部門一覧取得機能</a:t>
          </a:r>
        </a:p>
      </xdr:txBody>
    </xdr:sp>
    <xdr:clientData/>
  </xdr:twoCellAnchor>
  <xdr:twoCellAnchor>
    <xdr:from>
      <xdr:col>22</xdr:col>
      <xdr:colOff>0</xdr:colOff>
      <xdr:row>116</xdr:row>
      <xdr:rowOff>0</xdr:rowOff>
    </xdr:from>
    <xdr:to>
      <xdr:col>22</xdr:col>
      <xdr:colOff>0</xdr:colOff>
      <xdr:row>135</xdr:row>
      <xdr:rowOff>0</xdr:rowOff>
    </xdr:to>
    <xdr:cxnSp macro="">
      <xdr:nvCxnSpPr>
        <xdr:cNvPr id="226" name="直線矢印コネクタ 1010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CxnSpPr>
          <a:stCxn id="256" idx="2"/>
          <a:endCxn id="225" idx="0"/>
        </xdr:cNvCxnSpPr>
      </xdr:nvCxnSpPr>
      <xdr:spPr>
        <a:xfrm>
          <a:off x="5867400" y="22212300"/>
          <a:ext cx="0" cy="3619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137</xdr:row>
      <xdr:rowOff>0</xdr:rowOff>
    </xdr:from>
    <xdr:to>
      <xdr:col>29</xdr:col>
      <xdr:colOff>0</xdr:colOff>
      <xdr:row>137</xdr:row>
      <xdr:rowOff>0</xdr:rowOff>
    </xdr:to>
    <xdr:cxnSp macro="">
      <xdr:nvCxnSpPr>
        <xdr:cNvPr id="234" name="直線矢印コネクタ 196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CxnSpPr>
          <a:stCxn id="225" idx="3"/>
          <a:endCxn id="93" idx="2"/>
        </xdr:cNvCxnSpPr>
      </xdr:nvCxnSpPr>
      <xdr:spPr>
        <a:xfrm>
          <a:off x="6667500" y="26212800"/>
          <a:ext cx="10668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</xdr:colOff>
      <xdr:row>139</xdr:row>
      <xdr:rowOff>1</xdr:rowOff>
    </xdr:from>
    <xdr:to>
      <xdr:col>22</xdr:col>
      <xdr:colOff>0</xdr:colOff>
      <xdr:row>145</xdr:row>
      <xdr:rowOff>1</xdr:rowOff>
    </xdr:to>
    <xdr:cxnSp macro="">
      <xdr:nvCxnSpPr>
        <xdr:cNvPr id="238" name="Connector: Elbow 237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CxnSpPr>
          <a:stCxn id="225" idx="2"/>
          <a:endCxn id="243" idx="0"/>
        </xdr:cNvCxnSpPr>
      </xdr:nvCxnSpPr>
      <xdr:spPr>
        <a:xfrm rot="5400000">
          <a:off x="4267200" y="26593800"/>
          <a:ext cx="16002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0</xdr:rowOff>
    </xdr:from>
    <xdr:to>
      <xdr:col>3</xdr:col>
      <xdr:colOff>0</xdr:colOff>
      <xdr:row>16</xdr:row>
      <xdr:rowOff>0</xdr:rowOff>
    </xdr:to>
    <xdr:sp macro="" textlink="" fLocksText="0">
      <xdr:nvSpPr>
        <xdr:cNvPr id="239" name="四角形: 角を丸くする 294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/>
      </xdr:nvSpPr>
      <xdr:spPr>
        <a:xfrm>
          <a:off x="266700" y="297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08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15</xdr:row>
      <xdr:rowOff>95250</xdr:rowOff>
    </xdr:from>
    <xdr:to>
      <xdr:col>5</xdr:col>
      <xdr:colOff>0</xdr:colOff>
      <xdr:row>17</xdr:row>
      <xdr:rowOff>0</xdr:rowOff>
    </xdr:to>
    <xdr:cxnSp macro="">
      <xdr:nvCxnSpPr>
        <xdr:cNvPr id="241" name="Connector: Elbow 240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CxnSpPr>
          <a:stCxn id="239" idx="3"/>
          <a:endCxn id="4" idx="0"/>
        </xdr:cNvCxnSpPr>
      </xdr:nvCxnSpPr>
      <xdr:spPr>
        <a:xfrm>
          <a:off x="800100" y="30670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145</xdr:row>
      <xdr:rowOff>0</xdr:rowOff>
    </xdr:from>
    <xdr:to>
      <xdr:col>17</xdr:col>
      <xdr:colOff>0</xdr:colOff>
      <xdr:row>146</xdr:row>
      <xdr:rowOff>0</xdr:rowOff>
    </xdr:to>
    <xdr:sp macro="" textlink="" fLocksText="0">
      <xdr:nvSpPr>
        <xdr:cNvPr id="243" name="四角形: 角を丸くする 294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/>
      </xdr:nvSpPr>
      <xdr:spPr>
        <a:xfrm>
          <a:off x="4000500" y="2773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08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129</xdr:row>
      <xdr:rowOff>0</xdr:rowOff>
    </xdr:from>
    <xdr:to>
      <xdr:col>16</xdr:col>
      <xdr:colOff>1</xdr:colOff>
      <xdr:row>145</xdr:row>
      <xdr:rowOff>0</xdr:rowOff>
    </xdr:to>
    <xdr:cxnSp macro="">
      <xdr:nvCxnSpPr>
        <xdr:cNvPr id="245" name="直線矢印コネクタ 1010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CxnSpPr>
          <a:stCxn id="112" idx="2"/>
          <a:endCxn id="243" idx="0"/>
        </xdr:cNvCxnSpPr>
      </xdr:nvCxnSpPr>
      <xdr:spPr>
        <a:xfrm>
          <a:off x="4267200" y="24688800"/>
          <a:ext cx="0" cy="3048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187</xdr:row>
      <xdr:rowOff>0</xdr:rowOff>
    </xdr:from>
    <xdr:to>
      <xdr:col>6</xdr:col>
      <xdr:colOff>0</xdr:colOff>
      <xdr:row>187</xdr:row>
      <xdr:rowOff>179294</xdr:rowOff>
    </xdr:to>
    <xdr:sp macro="" textlink="" fLocksText="0">
      <xdr:nvSpPr>
        <xdr:cNvPr id="251" name="四角形: 角を丸くする 1101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/>
      </xdr:nvSpPr>
      <xdr:spPr>
        <a:xfrm>
          <a:off x="533400" y="35737800"/>
          <a:ext cx="10668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階層表示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4</xdr:col>
      <xdr:colOff>0</xdr:colOff>
      <xdr:row>187</xdr:row>
      <xdr:rowOff>0</xdr:rowOff>
    </xdr:to>
    <xdr:cxnSp macro="">
      <xdr:nvCxnSpPr>
        <xdr:cNvPr id="252" name="直線矢印コネクタ 1010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CxnSpPr>
          <a:stCxn id="170" idx="2"/>
          <a:endCxn id="251" idx="0"/>
        </xdr:cNvCxnSpPr>
      </xdr:nvCxnSpPr>
      <xdr:spPr>
        <a:xfrm>
          <a:off x="1066800" y="35356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115</xdr:row>
      <xdr:rowOff>0</xdr:rowOff>
    </xdr:from>
    <xdr:to>
      <xdr:col>23</xdr:col>
      <xdr:colOff>0</xdr:colOff>
      <xdr:row>116</xdr:row>
      <xdr:rowOff>0</xdr:rowOff>
    </xdr:to>
    <xdr:sp macro="" textlink="" fLocksText="0">
      <xdr:nvSpPr>
        <xdr:cNvPr id="256" name="四角形: 角を丸くする 294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/>
      </xdr:nvSpPr>
      <xdr:spPr>
        <a:xfrm>
          <a:off x="5600700" y="2202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8.3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229721</xdr:colOff>
      <xdr:row>113</xdr:row>
      <xdr:rowOff>0</xdr:rowOff>
    </xdr:from>
    <xdr:to>
      <xdr:col>22</xdr:col>
      <xdr:colOff>0</xdr:colOff>
      <xdr:row>115</xdr:row>
      <xdr:rowOff>0</xdr:rowOff>
    </xdr:to>
    <xdr:cxnSp macro="">
      <xdr:nvCxnSpPr>
        <xdr:cNvPr id="258" name="直線矢印コネクタ 1010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CxnSpPr>
          <a:stCxn id="99" idx="2"/>
          <a:endCxn id="256" idx="0"/>
        </xdr:cNvCxnSpPr>
      </xdr:nvCxnSpPr>
      <xdr:spPr>
        <a:xfrm>
          <a:off x="5829300" y="216408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190</xdr:row>
      <xdr:rowOff>0</xdr:rowOff>
    </xdr:from>
    <xdr:to>
      <xdr:col>5</xdr:col>
      <xdr:colOff>0</xdr:colOff>
      <xdr:row>191</xdr:row>
      <xdr:rowOff>0</xdr:rowOff>
    </xdr:to>
    <xdr:sp macro="" textlink="" fLocksText="0">
      <xdr:nvSpPr>
        <xdr:cNvPr id="263" name="四角形: 角を丸くする 294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/>
      </xdr:nvSpPr>
      <xdr:spPr>
        <a:xfrm>
          <a:off x="800100" y="3630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8.3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187</xdr:row>
      <xdr:rowOff>179294</xdr:rowOff>
    </xdr:from>
    <xdr:to>
      <xdr:col>4</xdr:col>
      <xdr:colOff>1</xdr:colOff>
      <xdr:row>190</xdr:row>
      <xdr:rowOff>0</xdr:rowOff>
    </xdr:to>
    <xdr:cxnSp macro="">
      <xdr:nvCxnSpPr>
        <xdr:cNvPr id="264" name="直線矢印コネクタ 1010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CxnSpPr>
          <a:stCxn id="251" idx="2"/>
          <a:endCxn id="263" idx="0"/>
        </xdr:cNvCxnSpPr>
      </xdr:nvCxnSpPr>
      <xdr:spPr>
        <a:xfrm>
          <a:off x="1066800" y="3591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12</xdr:col>
      <xdr:colOff>0</xdr:colOff>
      <xdr:row>188</xdr:row>
      <xdr:rowOff>0</xdr:rowOff>
    </xdr:to>
    <xdr:sp macro="" textlink="" fLocksText="0">
      <xdr:nvSpPr>
        <xdr:cNvPr id="266" name="四角形: 角を丸くする 1101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/>
      </xdr:nvSpPr>
      <xdr:spPr>
        <a:xfrm>
          <a:off x="2133600" y="357378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 確定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190</xdr:row>
      <xdr:rowOff>0</xdr:rowOff>
    </xdr:from>
    <xdr:to>
      <xdr:col>11</xdr:col>
      <xdr:colOff>0</xdr:colOff>
      <xdr:row>191</xdr:row>
      <xdr:rowOff>0</xdr:rowOff>
    </xdr:to>
    <xdr:sp macro="" textlink="" fLocksText="0">
      <xdr:nvSpPr>
        <xdr:cNvPr id="267" name="四角形: 角を丸くする 294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/>
      </xdr:nvSpPr>
      <xdr:spPr>
        <a:xfrm>
          <a:off x="2400300" y="3630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8.1.1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188</xdr:row>
      <xdr:rowOff>0</xdr:rowOff>
    </xdr:from>
    <xdr:to>
      <xdr:col>10</xdr:col>
      <xdr:colOff>1</xdr:colOff>
      <xdr:row>190</xdr:row>
      <xdr:rowOff>0</xdr:rowOff>
    </xdr:to>
    <xdr:cxnSp macro="">
      <xdr:nvCxnSpPr>
        <xdr:cNvPr id="268" name="直線矢印コネクタ 1010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CxnSpPr>
          <a:stCxn id="266" idx="2"/>
          <a:endCxn id="267" idx="0"/>
        </xdr:cNvCxnSpPr>
      </xdr:nvCxnSpPr>
      <xdr:spPr>
        <a:xfrm>
          <a:off x="2667000" y="3592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17</xdr:col>
      <xdr:colOff>1</xdr:colOff>
      <xdr:row>188</xdr:row>
      <xdr:rowOff>0</xdr:rowOff>
    </xdr:to>
    <xdr:sp macro="" textlink="" fLocksText="0">
      <xdr:nvSpPr>
        <xdr:cNvPr id="269" name="四角形: 角を丸くする 1101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/>
      </xdr:nvSpPr>
      <xdr:spPr>
        <a:xfrm>
          <a:off x="3733800" y="35737800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</a:t>
          </a: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: クリア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235322</xdr:colOff>
      <xdr:row>185</xdr:row>
      <xdr:rowOff>0</xdr:rowOff>
    </xdr:from>
    <xdr:to>
      <xdr:col>9</xdr:col>
      <xdr:colOff>235322</xdr:colOff>
      <xdr:row>187</xdr:row>
      <xdr:rowOff>0</xdr:rowOff>
    </xdr:to>
    <xdr:cxnSp macro="">
      <xdr:nvCxnSpPr>
        <xdr:cNvPr id="271" name="Connector: Elbow 270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CxnSpPr>
          <a:stCxn id="170" idx="2"/>
          <a:endCxn id="266" idx="0"/>
        </xdr:cNvCxnSpPr>
      </xdr:nvCxnSpPr>
      <xdr:spPr>
        <a:xfrm rot="16200000" flipH="1">
          <a:off x="1038225" y="35356800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185</xdr:row>
      <xdr:rowOff>0</xdr:rowOff>
    </xdr:from>
    <xdr:to>
      <xdr:col>15</xdr:col>
      <xdr:colOff>117661</xdr:colOff>
      <xdr:row>187</xdr:row>
      <xdr:rowOff>0</xdr:rowOff>
    </xdr:to>
    <xdr:cxnSp macro="">
      <xdr:nvCxnSpPr>
        <xdr:cNvPr id="273" name="Connector: Elbow 27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CxnSpPr>
          <a:stCxn id="170" idx="2"/>
          <a:endCxn id="269" idx="0"/>
        </xdr:cNvCxnSpPr>
      </xdr:nvCxnSpPr>
      <xdr:spPr>
        <a:xfrm rot="16200000" flipH="1">
          <a:off x="1038225" y="35356800"/>
          <a:ext cx="3076575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187</xdr:row>
      <xdr:rowOff>0</xdr:rowOff>
    </xdr:from>
    <xdr:to>
      <xdr:col>23</xdr:col>
      <xdr:colOff>0</xdr:colOff>
      <xdr:row>189</xdr:row>
      <xdr:rowOff>0</xdr:rowOff>
    </xdr:to>
    <xdr:sp macro="" textlink="" fLocksText="0">
      <xdr:nvSpPr>
        <xdr:cNvPr id="274" name="四角形: 角を丸くする 1101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5067300" y="35737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全選択/全解除</a:t>
          </a:r>
          <a:endParaRPr lang="en-US" sz="900" b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26</xdr:col>
      <xdr:colOff>0</xdr:colOff>
      <xdr:row>187</xdr:row>
      <xdr:rowOff>0</xdr:rowOff>
    </xdr:from>
    <xdr:to>
      <xdr:col>30</xdr:col>
      <xdr:colOff>0</xdr:colOff>
      <xdr:row>189</xdr:row>
      <xdr:rowOff>0</xdr:rowOff>
    </xdr:to>
    <xdr:sp macro="" textlink="" fLocksText="0">
      <xdr:nvSpPr>
        <xdr:cNvPr id="275" name="四角形: 角を丸くする 1101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/>
      </xdr:nvSpPr>
      <xdr:spPr>
        <a:xfrm>
          <a:off x="6934200" y="35737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選択対象のみ表示</a:t>
          </a:r>
          <a:endParaRPr lang="en-US" sz="900" b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185</xdr:row>
      <xdr:rowOff>0</xdr:rowOff>
    </xdr:from>
    <xdr:to>
      <xdr:col>21</xdr:col>
      <xdr:colOff>0</xdr:colOff>
      <xdr:row>187</xdr:row>
      <xdr:rowOff>0</xdr:rowOff>
    </xdr:to>
    <xdr:cxnSp macro="">
      <xdr:nvCxnSpPr>
        <xdr:cNvPr id="277" name="Connector: Elbow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CxnSpPr>
          <a:stCxn id="170" idx="2"/>
          <a:endCxn id="274" idx="0"/>
        </xdr:cNvCxnSpPr>
      </xdr:nvCxnSpPr>
      <xdr:spPr>
        <a:xfrm rot="16200000" flipH="1">
          <a:off x="1066800" y="35356800"/>
          <a:ext cx="45339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185</xdr:row>
      <xdr:rowOff>0</xdr:rowOff>
    </xdr:from>
    <xdr:to>
      <xdr:col>27</xdr:col>
      <xdr:colOff>235323</xdr:colOff>
      <xdr:row>187</xdr:row>
      <xdr:rowOff>0</xdr:rowOff>
    </xdr:to>
    <xdr:cxnSp macro="">
      <xdr:nvCxnSpPr>
        <xdr:cNvPr id="279" name="Connector: Elbow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CxnSpPr>
          <a:stCxn id="170" idx="2"/>
          <a:endCxn id="275" idx="0"/>
        </xdr:cNvCxnSpPr>
      </xdr:nvCxnSpPr>
      <xdr:spPr>
        <a:xfrm rot="16200000" flipH="1">
          <a:off x="1038225" y="35356800"/>
          <a:ext cx="64008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22412</xdr:rowOff>
    </xdr:from>
    <xdr:to>
      <xdr:col>5</xdr:col>
      <xdr:colOff>1401</xdr:colOff>
      <xdr:row>39</xdr:row>
      <xdr:rowOff>22412</xdr:rowOff>
    </xdr:to>
    <xdr:cxnSp macro="">
      <xdr:nvCxnSpPr>
        <xdr:cNvPr id="22" name="直線矢印コネクタ 1010">
          <a:extLst>
            <a:ext uri="{FF2B5EF4-FFF2-40B4-BE49-F238E27FC236}">
              <a16:creationId xmlns:a16="http://schemas.microsoft.com/office/drawing/2014/main" id="{0429D0FA-242A-4D31-966C-6C873BC557AA}"/>
            </a:ext>
          </a:extLst>
        </xdr:cNvPr>
        <xdr:cNvCxnSpPr>
          <a:cxnSpLocks/>
        </xdr:cNvCxnSpPr>
      </xdr:nvCxnSpPr>
      <xdr:spPr>
        <a:xfrm>
          <a:off x="1176618" y="4706471"/>
          <a:ext cx="1401" cy="2857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20</xdr:row>
      <xdr:rowOff>0</xdr:rowOff>
    </xdr:from>
    <xdr:to>
      <xdr:col>61</xdr:col>
      <xdr:colOff>0</xdr:colOff>
      <xdr:row>27</xdr:row>
      <xdr:rowOff>179294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F8C2BCA4-737A-4163-80F2-46C8AE4DB34B}"/>
            </a:ext>
          </a:extLst>
        </xdr:cNvPr>
        <xdr:cNvSpPr/>
      </xdr:nvSpPr>
      <xdr:spPr>
        <a:xfrm>
          <a:off x="8942294" y="3922059"/>
          <a:ext cx="5412441" cy="1512794"/>
        </a:xfrm>
        <a:prstGeom prst="borderCallout1">
          <a:avLst>
            <a:gd name="adj1" fmla="val 51887"/>
            <a:gd name="adj2" fmla="val 470"/>
            <a:gd name="adj3" fmla="val 46315"/>
            <a:gd name="adj4" fmla="val -13614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00_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共通のフローをご参照ください。</a:t>
          </a:r>
          <a:br>
            <a:rPr lang="vi-VN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つの店舗のみ選択可能。</a:t>
          </a:r>
          <a:b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ja-JP" altLang="en-US" sz="1000" b="1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画面初期状態：</a:t>
          </a:r>
          <a:endParaRPr lang="en-US" altLang="ja-JP" sz="1000" b="1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カテゴリ値引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/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割引情報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「新規作成」ボタン：無効。店舗が選択された場合、有効にする。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「検索」ボタン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: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無効。店舗が選択された場合、有効にする。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画面上の他の全ての項目：無効</a:t>
          </a:r>
          <a:endParaRPr lang="vi-VN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66</xdr:col>
      <xdr:colOff>0</xdr:colOff>
      <xdr:row>26</xdr:row>
      <xdr:rowOff>0</xdr:rowOff>
    </xdr:from>
    <xdr:to>
      <xdr:col>97</xdr:col>
      <xdr:colOff>101259</xdr:colOff>
      <xdr:row>44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7043B14-9C7D-4367-8464-703D4F94B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353" y="5065059"/>
          <a:ext cx="7396288" cy="35433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71</xdr:row>
      <xdr:rowOff>0</xdr:rowOff>
    </xdr:from>
    <xdr:to>
      <xdr:col>93</xdr:col>
      <xdr:colOff>228045</xdr:colOff>
      <xdr:row>88</xdr:row>
      <xdr:rowOff>124438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8A70FA2-43B3-4981-B285-CEEF30E7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1353" y="13637559"/>
          <a:ext cx="6581780" cy="3362938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93</xdr:row>
      <xdr:rowOff>0</xdr:rowOff>
    </xdr:from>
    <xdr:to>
      <xdr:col>106</xdr:col>
      <xdr:colOff>180863</xdr:colOff>
      <xdr:row>122</xdr:row>
      <xdr:rowOff>61045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3406FB2-46BC-42E0-8929-45A69A753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31353" y="17828559"/>
          <a:ext cx="9593804" cy="558554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177</xdr:row>
      <xdr:rowOff>0</xdr:rowOff>
    </xdr:from>
    <xdr:to>
      <xdr:col>113</xdr:col>
      <xdr:colOff>180863</xdr:colOff>
      <xdr:row>203</xdr:row>
      <xdr:rowOff>115007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8786929-8C99-4A0D-8551-F99226B84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31353" y="33830559"/>
          <a:ext cx="11241069" cy="5068007"/>
        </a:xfrm>
        <a:prstGeom prst="rect">
          <a:avLst/>
        </a:prstGeom>
      </xdr:spPr>
    </xdr:pic>
    <xdr:clientData/>
  </xdr:twoCellAnchor>
  <xdr:twoCellAnchor editAs="oneCell">
    <xdr:from>
      <xdr:col>66</xdr:col>
      <xdr:colOff>1</xdr:colOff>
      <xdr:row>206</xdr:row>
      <xdr:rowOff>0</xdr:rowOff>
    </xdr:from>
    <xdr:to>
      <xdr:col>113</xdr:col>
      <xdr:colOff>1</xdr:colOff>
      <xdr:row>232</xdr:row>
      <xdr:rowOff>24093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3C7E378-E29B-4C0B-82EE-154105CD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31354" y="39355059"/>
          <a:ext cx="11060206" cy="4977093"/>
        </a:xfrm>
        <a:prstGeom prst="rect">
          <a:avLst/>
        </a:prstGeom>
      </xdr:spPr>
    </xdr:pic>
    <xdr:clientData/>
  </xdr:twoCellAnchor>
  <xdr:twoCellAnchor editAs="oneCell">
    <xdr:from>
      <xdr:col>114</xdr:col>
      <xdr:colOff>67235</xdr:colOff>
      <xdr:row>206</xdr:row>
      <xdr:rowOff>0</xdr:rowOff>
    </xdr:from>
    <xdr:to>
      <xdr:col>151</xdr:col>
      <xdr:colOff>6032</xdr:colOff>
      <xdr:row>232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80CEC1F-CE8D-417F-80E0-48121AB60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894117" y="39355059"/>
          <a:ext cx="8645768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1" customWidth="1"/>
    <col min="61" max="16384" width="2.77734375" style="21"/>
  </cols>
  <sheetData>
    <row r="1" spans="1:63" ht="24.95" customHeight="1" x14ac:dyDescent="0.25">
      <c r="A1" s="74" t="s">
        <v>38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39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">
        <v>40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41</v>
      </c>
      <c r="AQ1" s="75"/>
      <c r="AR1" s="75"/>
      <c r="AS1" s="76"/>
      <c r="AT1" s="74" t="s">
        <v>42</v>
      </c>
      <c r="AU1" s="75"/>
      <c r="AV1" s="75"/>
      <c r="AW1" s="75"/>
      <c r="AX1" s="76"/>
      <c r="AY1" s="74" t="s">
        <v>43</v>
      </c>
      <c r="AZ1" s="75"/>
      <c r="BA1" s="75"/>
      <c r="BB1" s="76"/>
      <c r="BC1" s="74" t="s">
        <v>44</v>
      </c>
      <c r="BD1" s="75"/>
      <c r="BE1" s="75"/>
      <c r="BF1" s="75"/>
      <c r="BG1" s="76"/>
      <c r="BH1" s="74" t="s">
        <v>45</v>
      </c>
      <c r="BI1" s="75"/>
      <c r="BJ1" s="75"/>
      <c r="BK1" s="76"/>
    </row>
    <row r="2" spans="1:63" ht="15" customHeight="1" x14ac:dyDescent="0.25">
      <c r="A2" s="83" t="s">
        <v>46</v>
      </c>
      <c r="B2" s="78"/>
      <c r="C2" s="78"/>
      <c r="D2" s="78"/>
      <c r="E2" s="78"/>
      <c r="F2" s="78"/>
      <c r="G2" s="78"/>
      <c r="H2" s="78"/>
      <c r="I2" s="78"/>
      <c r="J2" s="79"/>
      <c r="K2" s="77" t="s">
        <v>10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改訂履歴!$H$11</f>
        <v>DuNT</v>
      </c>
      <c r="AQ2" s="78"/>
      <c r="AR2" s="78"/>
      <c r="AS2" s="79"/>
      <c r="AT2" s="104">
        <f>改訂履歴!$B$11</f>
        <v>45416</v>
      </c>
      <c r="AU2" s="105"/>
      <c r="AV2" s="105"/>
      <c r="AW2" s="105"/>
      <c r="AX2" s="106"/>
      <c r="AY2" s="77" t="str">
        <f>LOOKUP(2,1/(改訂履歴!H11:H30000&lt;&gt;""),改訂履歴!H11:H30000)</f>
        <v>DuNT</v>
      </c>
      <c r="AZ2" s="78"/>
      <c r="BA2" s="78"/>
      <c r="BB2" s="79"/>
      <c r="BC2" s="104">
        <f>LOOKUP(2,1/(改訂履歴!B11:B30000&lt;&gt;""),改訂履歴!B11:B30000)</f>
        <v>45531</v>
      </c>
      <c r="BD2" s="105"/>
      <c r="BE2" s="105"/>
      <c r="BF2" s="105"/>
      <c r="BG2" s="106"/>
      <c r="BH2" s="98">
        <f>LOOKUP(2,1/(改訂履歴!O11:O30000&lt;&gt;""),改訂履歴!O11:O30000)</f>
        <v>0.2</v>
      </c>
      <c r="BI2" s="99"/>
      <c r="BJ2" s="99"/>
      <c r="BK2" s="100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74" t="s">
        <v>47</v>
      </c>
      <c r="B4" s="75"/>
      <c r="C4" s="75"/>
      <c r="D4" s="75"/>
      <c r="E4" s="75"/>
      <c r="F4" s="75"/>
      <c r="G4" s="76"/>
      <c r="H4" s="95" t="s">
        <v>48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49</v>
      </c>
      <c r="V4" s="75"/>
      <c r="W4" s="75"/>
      <c r="X4" s="75"/>
      <c r="Y4" s="76"/>
      <c r="Z4" s="95" t="s">
        <v>11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4"/>
    </row>
    <row r="6" spans="1:63" ht="15" customHeight="1" x14ac:dyDescent="0.25">
      <c r="A6" s="25"/>
      <c r="BK6" s="26"/>
    </row>
    <row r="7" spans="1:63" ht="15" customHeight="1" x14ac:dyDescent="0.25">
      <c r="A7" s="25"/>
      <c r="BK7" s="26"/>
    </row>
    <row r="8" spans="1:63" ht="15" customHeight="1" x14ac:dyDescent="0.25">
      <c r="A8" s="25"/>
      <c r="BK8" s="26"/>
    </row>
    <row r="9" spans="1:63" ht="15" customHeight="1" x14ac:dyDescent="0.25">
      <c r="A9" s="25"/>
      <c r="BK9" s="26"/>
    </row>
    <row r="10" spans="1:63" ht="15" customHeight="1" x14ac:dyDescent="0.25">
      <c r="A10" s="25"/>
      <c r="BK10" s="26"/>
    </row>
    <row r="11" spans="1:63" ht="15" customHeight="1" x14ac:dyDescent="0.25">
      <c r="A11" s="25"/>
      <c r="BK11" s="26"/>
    </row>
    <row r="12" spans="1:63" ht="15" customHeight="1" x14ac:dyDescent="0.25">
      <c r="A12" s="25"/>
      <c r="BK12" s="26"/>
    </row>
    <row r="13" spans="1:63" ht="15" customHeight="1" x14ac:dyDescent="0.25">
      <c r="A13" s="25"/>
      <c r="BK13" s="26"/>
    </row>
    <row r="14" spans="1:63" ht="15" customHeight="1" thickBot="1" x14ac:dyDescent="0.3">
      <c r="A14" s="25"/>
      <c r="BK14" s="26"/>
    </row>
    <row r="15" spans="1:63" ht="15" customHeight="1" thickTop="1" x14ac:dyDescent="0.25">
      <c r="A15" s="25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9"/>
      <c r="BK15" s="26"/>
    </row>
    <row r="16" spans="1:63" ht="15" customHeight="1" x14ac:dyDescent="0.25">
      <c r="A16" s="25"/>
      <c r="K16" s="30"/>
      <c r="L16" s="93" t="s">
        <v>50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31"/>
      <c r="BK16" s="26"/>
    </row>
    <row r="17" spans="1:63" ht="15" customHeight="1" x14ac:dyDescent="0.25">
      <c r="A17" s="25"/>
      <c r="K17" s="30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31"/>
      <c r="BK17" s="26"/>
    </row>
    <row r="18" spans="1:63" ht="15" customHeight="1" x14ac:dyDescent="0.25">
      <c r="A18" s="25"/>
      <c r="K18" s="30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31"/>
      <c r="BK18" s="26"/>
    </row>
    <row r="19" spans="1:63" ht="15" customHeight="1" x14ac:dyDescent="0.25">
      <c r="A19" s="25"/>
      <c r="K19" s="30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31"/>
      <c r="BK19" s="26"/>
    </row>
    <row r="20" spans="1:63" ht="15" customHeight="1" x14ac:dyDescent="0.25">
      <c r="A20" s="25"/>
      <c r="K20" s="30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31"/>
      <c r="BK20" s="26"/>
    </row>
    <row r="21" spans="1:63" ht="15" customHeight="1" x14ac:dyDescent="0.25">
      <c r="A21" s="25"/>
      <c r="K21" s="30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31"/>
      <c r="BK21" s="26"/>
    </row>
    <row r="22" spans="1:63" ht="15" customHeight="1" thickBot="1" x14ac:dyDescent="0.3">
      <c r="A22" s="25"/>
      <c r="K22" s="30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1"/>
      <c r="BK22" s="26"/>
    </row>
    <row r="23" spans="1:63" ht="15" customHeight="1" x14ac:dyDescent="0.25">
      <c r="A23" s="25"/>
      <c r="K23" s="30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1"/>
      <c r="BK23" s="26"/>
    </row>
    <row r="24" spans="1:63" ht="15" customHeight="1" x14ac:dyDescent="0.25">
      <c r="A24" s="25"/>
      <c r="K24" s="30"/>
      <c r="L24" s="94" t="str">
        <f>K2&amp;"/"&amp;H4&amp;"/"&amp;Z4</f>
        <v>POSサーバー/08_カテゴリ値引/割引設定 /概要設計書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31"/>
      <c r="BK24" s="26"/>
    </row>
    <row r="25" spans="1:63" ht="15" customHeight="1" x14ac:dyDescent="0.25">
      <c r="A25" s="25"/>
      <c r="K25" s="30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31"/>
      <c r="BK25" s="26"/>
    </row>
    <row r="26" spans="1:63" ht="15" customHeight="1" x14ac:dyDescent="0.25">
      <c r="A26" s="25"/>
      <c r="K26" s="30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31"/>
      <c r="BK26" s="26"/>
    </row>
    <row r="27" spans="1:63" ht="15" customHeight="1" x14ac:dyDescent="0.25">
      <c r="A27" s="25"/>
      <c r="K27" s="30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31"/>
      <c r="BK27" s="26"/>
    </row>
    <row r="28" spans="1:63" ht="15" customHeight="1" x14ac:dyDescent="0.25">
      <c r="A28" s="25"/>
      <c r="K28" s="30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31"/>
      <c r="BK28" s="26"/>
    </row>
    <row r="29" spans="1:63" ht="15" customHeight="1" x14ac:dyDescent="0.25">
      <c r="A29" s="25"/>
      <c r="K29" s="30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31"/>
      <c r="BK29" s="26"/>
    </row>
    <row r="30" spans="1:63" ht="15" customHeight="1" x14ac:dyDescent="0.25">
      <c r="A30" s="25"/>
      <c r="K30" s="30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31"/>
      <c r="BK30" s="26"/>
    </row>
    <row r="31" spans="1:63" ht="15" customHeight="1" x14ac:dyDescent="0.25">
      <c r="A31" s="25"/>
      <c r="K31" s="30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31"/>
      <c r="BK31" s="26"/>
    </row>
    <row r="32" spans="1:63" ht="15" customHeight="1" x14ac:dyDescent="0.25">
      <c r="A32" s="25"/>
      <c r="K32" s="30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31"/>
      <c r="BK32" s="26"/>
    </row>
    <row r="33" spans="1:63" ht="15" customHeight="1" x14ac:dyDescent="0.25">
      <c r="A33" s="25"/>
      <c r="K33" s="30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31"/>
      <c r="BK33" s="26"/>
    </row>
    <row r="34" spans="1:63" ht="15" customHeight="1" x14ac:dyDescent="0.25">
      <c r="A34" s="25"/>
      <c r="K34" s="30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31"/>
      <c r="BK34" s="26"/>
    </row>
    <row r="35" spans="1:63" ht="15" customHeight="1" x14ac:dyDescent="0.25">
      <c r="A35" s="25"/>
      <c r="K35" s="30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31"/>
      <c r="BK35" s="26"/>
    </row>
    <row r="36" spans="1:63" ht="15" customHeight="1" x14ac:dyDescent="0.25">
      <c r="A36" s="25"/>
      <c r="K36" s="30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31"/>
      <c r="BK36" s="26"/>
    </row>
    <row r="37" spans="1:63" ht="15" customHeight="1" thickBot="1" x14ac:dyDescent="0.3">
      <c r="A37" s="25"/>
      <c r="K37" s="34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6"/>
      <c r="BK37" s="26"/>
    </row>
    <row r="38" spans="1:63" ht="15" customHeight="1" thickTop="1" x14ac:dyDescent="0.25">
      <c r="A38" s="25"/>
      <c r="BK38" s="26"/>
    </row>
    <row r="39" spans="1:63" ht="15" customHeight="1" x14ac:dyDescent="0.25">
      <c r="A39" s="25"/>
      <c r="BK39" s="26"/>
    </row>
    <row r="40" spans="1:63" ht="15" customHeight="1" x14ac:dyDescent="0.25">
      <c r="A40" s="25"/>
      <c r="BK40" s="26"/>
    </row>
    <row r="41" spans="1:63" ht="15" customHeight="1" x14ac:dyDescent="0.25">
      <c r="A41" s="25"/>
      <c r="BK41" s="26"/>
    </row>
    <row r="42" spans="1:63" ht="15" customHeight="1" x14ac:dyDescent="0.25">
      <c r="A42" s="25"/>
      <c r="BK42" s="26"/>
    </row>
    <row r="43" spans="1:63" ht="15" customHeight="1" x14ac:dyDescent="0.25">
      <c r="A43" s="25"/>
      <c r="BK43" s="26"/>
    </row>
    <row r="44" spans="1:63" ht="15" customHeight="1" x14ac:dyDescent="0.25">
      <c r="A44" s="25"/>
      <c r="Q44" s="113" t="s">
        <v>51</v>
      </c>
      <c r="R44" s="114"/>
      <c r="S44" s="114"/>
      <c r="T44" s="114"/>
      <c r="U44" s="114"/>
      <c r="V44" s="114"/>
      <c r="W44" s="114"/>
      <c r="X44" s="114"/>
      <c r="Y44" s="114"/>
      <c r="Z44" s="115"/>
      <c r="AA44" s="113" t="s">
        <v>52</v>
      </c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113" t="s">
        <v>45</v>
      </c>
      <c r="AR44" s="114"/>
      <c r="AS44" s="114"/>
      <c r="AT44" s="114"/>
      <c r="AU44" s="115"/>
      <c r="BK44" s="26"/>
    </row>
    <row r="45" spans="1:63" ht="15" customHeight="1" x14ac:dyDescent="0.25">
      <c r="A45" s="25"/>
      <c r="Q45" s="116"/>
      <c r="R45" s="117"/>
      <c r="S45" s="117"/>
      <c r="T45" s="117"/>
      <c r="U45" s="117"/>
      <c r="V45" s="117"/>
      <c r="W45" s="117"/>
      <c r="X45" s="117"/>
      <c r="Y45" s="117"/>
      <c r="Z45" s="118"/>
      <c r="AA45" s="116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8"/>
      <c r="AQ45" s="116"/>
      <c r="AR45" s="117"/>
      <c r="AS45" s="117"/>
      <c r="AT45" s="117"/>
      <c r="AU45" s="118"/>
      <c r="BK45" s="26"/>
    </row>
    <row r="46" spans="1:63" ht="15" customHeight="1" x14ac:dyDescent="0.25">
      <c r="A46" s="25"/>
      <c r="Q46" s="77"/>
      <c r="R46" s="78"/>
      <c r="S46" s="78"/>
      <c r="T46" s="78"/>
      <c r="U46" s="78"/>
      <c r="V46" s="78"/>
      <c r="W46" s="78"/>
      <c r="X46" s="78"/>
      <c r="Y46" s="78"/>
      <c r="Z46" s="79"/>
      <c r="AA46" s="77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9"/>
      <c r="AQ46" s="77"/>
      <c r="AR46" s="78"/>
      <c r="AS46" s="78"/>
      <c r="AT46" s="78"/>
      <c r="AU46" s="79"/>
      <c r="BK46" s="26"/>
    </row>
    <row r="47" spans="1:63" ht="15" customHeight="1" x14ac:dyDescent="0.25">
      <c r="A47" s="25"/>
      <c r="Q47" s="110"/>
      <c r="R47" s="111"/>
      <c r="S47" s="111"/>
      <c r="T47" s="111"/>
      <c r="U47" s="111"/>
      <c r="V47" s="111"/>
      <c r="W47" s="111"/>
      <c r="X47" s="111"/>
      <c r="Y47" s="111"/>
      <c r="Z47" s="112"/>
      <c r="AA47" s="110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2"/>
      <c r="AQ47" s="110"/>
      <c r="AR47" s="111"/>
      <c r="AS47" s="111"/>
      <c r="AT47" s="111"/>
      <c r="AU47" s="112"/>
      <c r="BK47" s="26"/>
    </row>
    <row r="48" spans="1:63" ht="15" customHeight="1" x14ac:dyDescent="0.25">
      <c r="A48" s="25"/>
      <c r="Q48" s="110"/>
      <c r="R48" s="111"/>
      <c r="S48" s="111"/>
      <c r="T48" s="111"/>
      <c r="U48" s="111"/>
      <c r="V48" s="111"/>
      <c r="W48" s="111"/>
      <c r="X48" s="111"/>
      <c r="Y48" s="111"/>
      <c r="Z48" s="112"/>
      <c r="AA48" s="110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2"/>
      <c r="AQ48" s="110"/>
      <c r="AR48" s="111"/>
      <c r="AS48" s="111"/>
      <c r="AT48" s="111"/>
      <c r="AU48" s="112"/>
      <c r="BK48" s="26"/>
    </row>
    <row r="49" spans="1:63" ht="15" customHeight="1" x14ac:dyDescent="0.25">
      <c r="A49" s="25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26"/>
    </row>
    <row r="50" spans="1:63" ht="15" customHeight="1" x14ac:dyDescent="0.25">
      <c r="A50" s="25"/>
      <c r="BK50" s="26"/>
    </row>
    <row r="51" spans="1:63" ht="15" customHeight="1" x14ac:dyDescent="0.25">
      <c r="A51" s="25"/>
      <c r="BK51" s="26"/>
    </row>
    <row r="52" spans="1:63" ht="15" customHeight="1" x14ac:dyDescent="0.25">
      <c r="A52" s="25"/>
      <c r="BK52" s="26"/>
    </row>
    <row r="53" spans="1:63" ht="15" customHeight="1" x14ac:dyDescent="0.25">
      <c r="A53" s="25"/>
      <c r="BK53" s="26"/>
    </row>
    <row r="54" spans="1:63" ht="15" customHeight="1" x14ac:dyDescent="0.25">
      <c r="A54" s="25"/>
      <c r="BK54" s="26"/>
    </row>
    <row r="55" spans="1:63" ht="15" customHeight="1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4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activeCell="S14" sqref="S14:AW14"/>
    </sheetView>
  </sheetViews>
  <sheetFormatPr defaultColWidth="2.77734375" defaultRowHeight="15.75" customHeight="1" x14ac:dyDescent="0.25"/>
  <cols>
    <col min="1" max="60" width="2.77734375" style="21" customWidth="1"/>
    <col min="61" max="16384" width="2.77734375" style="21"/>
  </cols>
  <sheetData>
    <row r="1" spans="1:63" ht="24.95" customHeight="1" x14ac:dyDescent="0.25">
      <c r="A1" s="74" t="s">
        <v>38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39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41</v>
      </c>
      <c r="AQ1" s="75"/>
      <c r="AR1" s="75"/>
      <c r="AS1" s="76"/>
      <c r="AT1" s="74" t="s">
        <v>42</v>
      </c>
      <c r="AU1" s="75"/>
      <c r="AV1" s="75"/>
      <c r="AW1" s="75"/>
      <c r="AX1" s="76"/>
      <c r="AY1" s="74" t="s">
        <v>43</v>
      </c>
      <c r="AZ1" s="75"/>
      <c r="BA1" s="75"/>
      <c r="BB1" s="76"/>
      <c r="BC1" s="74" t="s">
        <v>44</v>
      </c>
      <c r="BD1" s="75"/>
      <c r="BE1" s="75"/>
      <c r="BF1" s="75"/>
      <c r="BG1" s="76"/>
      <c r="BH1" s="74" t="s">
        <v>45</v>
      </c>
      <c r="BI1" s="75"/>
      <c r="BJ1" s="75"/>
      <c r="BK1" s="76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DuNT</v>
      </c>
      <c r="AQ2" s="78"/>
      <c r="AR2" s="78"/>
      <c r="AS2" s="79"/>
      <c r="AT2" s="104">
        <f>IF(表紙!AT2="","",表紙!AT2)</f>
        <v>45416</v>
      </c>
      <c r="AU2" s="105"/>
      <c r="AV2" s="105"/>
      <c r="AW2" s="105"/>
      <c r="AX2" s="106"/>
      <c r="AY2" s="77" t="str">
        <f>IF(表紙!AY2="","",表紙!AY2)</f>
        <v>DuNT</v>
      </c>
      <c r="AZ2" s="78"/>
      <c r="BA2" s="78"/>
      <c r="BB2" s="79"/>
      <c r="BC2" s="104">
        <f>IF(表紙!BC2="","",表紙!BC2)</f>
        <v>45531</v>
      </c>
      <c r="BD2" s="105"/>
      <c r="BE2" s="105"/>
      <c r="BF2" s="105"/>
      <c r="BG2" s="106"/>
      <c r="BH2" s="77">
        <f>IF(表紙!BH2="","",表紙!BH2)</f>
        <v>0.2</v>
      </c>
      <c r="BI2" s="78"/>
      <c r="BJ2" s="78"/>
      <c r="BK2" s="79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74" t="s">
        <v>47</v>
      </c>
      <c r="B4" s="75"/>
      <c r="C4" s="75"/>
      <c r="D4" s="75"/>
      <c r="E4" s="75"/>
      <c r="F4" s="75"/>
      <c r="G4" s="76"/>
      <c r="H4" s="95" t="str">
        <f>IF(表紙!H4="","",表紙!H4)</f>
        <v xml:space="preserve">08_カテゴリ値引/割引設定 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49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改訂履歴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4"/>
    </row>
    <row r="6" spans="1:63" ht="15" customHeight="1" x14ac:dyDescent="0.25">
      <c r="A6" s="25"/>
      <c r="BK6" s="26"/>
    </row>
    <row r="7" spans="1:63" ht="15" customHeight="1" x14ac:dyDescent="0.25">
      <c r="A7" s="25"/>
      <c r="BK7" s="26"/>
    </row>
    <row r="8" spans="1:63" ht="15" customHeight="1" x14ac:dyDescent="0.25">
      <c r="A8" s="25"/>
      <c r="B8" s="21" t="s">
        <v>9</v>
      </c>
      <c r="BK8" s="26"/>
    </row>
    <row r="9" spans="1:63" ht="15" customHeight="1" x14ac:dyDescent="0.25">
      <c r="A9" s="25"/>
      <c r="BK9" s="26"/>
    </row>
    <row r="10" spans="1:63" ht="15" customHeight="1" x14ac:dyDescent="0.25">
      <c r="A10" s="25"/>
      <c r="B10" s="131" t="s">
        <v>44</v>
      </c>
      <c r="C10" s="131"/>
      <c r="D10" s="131"/>
      <c r="E10" s="131"/>
      <c r="F10" s="131"/>
      <c r="G10" s="131"/>
      <c r="H10" s="131" t="s">
        <v>43</v>
      </c>
      <c r="I10" s="131"/>
      <c r="J10" s="131"/>
      <c r="K10" s="131"/>
      <c r="L10" s="131"/>
      <c r="M10" s="131"/>
      <c r="N10" s="131"/>
      <c r="O10" s="131" t="s">
        <v>45</v>
      </c>
      <c r="P10" s="131"/>
      <c r="Q10" s="131"/>
      <c r="R10" s="131"/>
      <c r="S10" s="131" t="s">
        <v>53</v>
      </c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 t="s">
        <v>51</v>
      </c>
      <c r="AY10" s="131"/>
      <c r="AZ10" s="131"/>
      <c r="BA10" s="131"/>
      <c r="BB10" s="131"/>
      <c r="BC10" s="131"/>
      <c r="BD10" s="131" t="s">
        <v>52</v>
      </c>
      <c r="BE10" s="131"/>
      <c r="BF10" s="131"/>
      <c r="BG10" s="131"/>
      <c r="BH10" s="131"/>
      <c r="BI10" s="131"/>
      <c r="BJ10" s="131"/>
      <c r="BK10" s="26"/>
    </row>
    <row r="11" spans="1:63" ht="15" customHeight="1" x14ac:dyDescent="0.25">
      <c r="A11" s="25"/>
      <c r="B11" s="104">
        <v>45416</v>
      </c>
      <c r="C11" s="78"/>
      <c r="D11" s="78"/>
      <c r="E11" s="78"/>
      <c r="F11" s="78"/>
      <c r="G11" s="79"/>
      <c r="H11" s="83" t="s">
        <v>54</v>
      </c>
      <c r="I11" s="78"/>
      <c r="J11" s="78"/>
      <c r="K11" s="78"/>
      <c r="L11" s="78"/>
      <c r="M11" s="78"/>
      <c r="N11" s="79"/>
      <c r="O11" s="77">
        <v>0.1</v>
      </c>
      <c r="P11" s="78"/>
      <c r="Q11" s="78"/>
      <c r="R11" s="78"/>
      <c r="S11" s="119" t="s">
        <v>15</v>
      </c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1"/>
      <c r="AX11" s="122"/>
      <c r="AY11" s="122"/>
      <c r="AZ11" s="122"/>
      <c r="BA11" s="122"/>
      <c r="BB11" s="122"/>
      <c r="BC11" s="123"/>
      <c r="BD11" s="126"/>
      <c r="BE11" s="122"/>
      <c r="BF11" s="122"/>
      <c r="BG11" s="122"/>
      <c r="BH11" s="122"/>
      <c r="BI11" s="122"/>
      <c r="BJ11" s="123"/>
      <c r="BK11" s="26"/>
    </row>
    <row r="12" spans="1:63" ht="15" customHeight="1" x14ac:dyDescent="0.25">
      <c r="A12" s="25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8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30"/>
      <c r="AX12" s="124"/>
      <c r="AY12" s="124"/>
      <c r="AZ12" s="124"/>
      <c r="BA12" s="124"/>
      <c r="BB12" s="124"/>
      <c r="BC12" s="125"/>
      <c r="BD12" s="127"/>
      <c r="BE12" s="124"/>
      <c r="BF12" s="124"/>
      <c r="BG12" s="124"/>
      <c r="BH12" s="124"/>
      <c r="BI12" s="124"/>
      <c r="BJ12" s="125"/>
      <c r="BK12" s="26"/>
    </row>
    <row r="13" spans="1:63" ht="15" customHeight="1" x14ac:dyDescent="0.25">
      <c r="A13" s="25"/>
      <c r="B13" s="296">
        <v>45531</v>
      </c>
      <c r="C13" s="297"/>
      <c r="D13" s="297"/>
      <c r="E13" s="297"/>
      <c r="F13" s="297"/>
      <c r="G13" s="298"/>
      <c r="H13" s="299" t="s">
        <v>54</v>
      </c>
      <c r="I13" s="297"/>
      <c r="J13" s="297"/>
      <c r="K13" s="297"/>
      <c r="L13" s="297"/>
      <c r="M13" s="297"/>
      <c r="N13" s="298"/>
      <c r="O13" s="299">
        <v>0.2</v>
      </c>
      <c r="P13" s="297"/>
      <c r="Q13" s="297"/>
      <c r="R13" s="297"/>
      <c r="S13" s="300" t="s">
        <v>77</v>
      </c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1"/>
      <c r="AS13" s="301"/>
      <c r="AT13" s="301"/>
      <c r="AU13" s="301"/>
      <c r="AV13" s="301"/>
      <c r="AW13" s="302"/>
      <c r="AX13" s="122"/>
      <c r="AY13" s="122"/>
      <c r="AZ13" s="122"/>
      <c r="BA13" s="122"/>
      <c r="BB13" s="122"/>
      <c r="BC13" s="123"/>
      <c r="BD13" s="126"/>
      <c r="BE13" s="122"/>
      <c r="BF13" s="122"/>
      <c r="BG13" s="122"/>
      <c r="BH13" s="122"/>
      <c r="BI13" s="122"/>
      <c r="BJ13" s="123"/>
      <c r="BK13" s="26"/>
    </row>
    <row r="14" spans="1:63" ht="35.25" customHeight="1" x14ac:dyDescent="0.25">
      <c r="A14" s="25"/>
      <c r="B14" s="303"/>
      <c r="C14" s="304"/>
      <c r="D14" s="304"/>
      <c r="E14" s="304"/>
      <c r="F14" s="304"/>
      <c r="G14" s="305"/>
      <c r="H14" s="303"/>
      <c r="I14" s="304"/>
      <c r="J14" s="304"/>
      <c r="K14" s="304"/>
      <c r="L14" s="304"/>
      <c r="M14" s="304"/>
      <c r="N14" s="305"/>
      <c r="O14" s="303"/>
      <c r="P14" s="304"/>
      <c r="Q14" s="304"/>
      <c r="R14" s="304"/>
      <c r="S14" s="308" t="s">
        <v>78</v>
      </c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  <c r="AM14" s="306"/>
      <c r="AN14" s="306"/>
      <c r="AO14" s="306"/>
      <c r="AP14" s="306"/>
      <c r="AQ14" s="306"/>
      <c r="AR14" s="306"/>
      <c r="AS14" s="306"/>
      <c r="AT14" s="306"/>
      <c r="AU14" s="306"/>
      <c r="AV14" s="306"/>
      <c r="AW14" s="307"/>
      <c r="AX14" s="124"/>
      <c r="AY14" s="124"/>
      <c r="AZ14" s="124"/>
      <c r="BA14" s="124"/>
      <c r="BB14" s="124"/>
      <c r="BC14" s="125"/>
      <c r="BD14" s="127"/>
      <c r="BE14" s="124"/>
      <c r="BF14" s="124"/>
      <c r="BG14" s="124"/>
      <c r="BH14" s="124"/>
      <c r="BI14" s="124"/>
      <c r="BJ14" s="125"/>
      <c r="BK14" s="26"/>
    </row>
    <row r="15" spans="1:63" ht="15" customHeight="1" x14ac:dyDescent="0.25">
      <c r="A15" s="25"/>
      <c r="B15" s="77"/>
      <c r="C15" s="78"/>
      <c r="D15" s="78"/>
      <c r="E15" s="78"/>
      <c r="F15" s="78"/>
      <c r="G15" s="79"/>
      <c r="H15" s="77"/>
      <c r="I15" s="78"/>
      <c r="J15" s="78"/>
      <c r="K15" s="78"/>
      <c r="L15" s="78"/>
      <c r="M15" s="78"/>
      <c r="N15" s="79"/>
      <c r="O15" s="77"/>
      <c r="P15" s="78"/>
      <c r="Q15" s="78"/>
      <c r="R15" s="78"/>
      <c r="S15" s="119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1"/>
      <c r="AX15" s="122"/>
      <c r="AY15" s="122"/>
      <c r="AZ15" s="122"/>
      <c r="BA15" s="122"/>
      <c r="BB15" s="122"/>
      <c r="BC15" s="123"/>
      <c r="BD15" s="126"/>
      <c r="BE15" s="122"/>
      <c r="BF15" s="122"/>
      <c r="BG15" s="122"/>
      <c r="BH15" s="122"/>
      <c r="BI15" s="122"/>
      <c r="BJ15" s="123"/>
      <c r="BK15" s="26"/>
    </row>
    <row r="16" spans="1:63" ht="15" customHeight="1" x14ac:dyDescent="0.25">
      <c r="A16" s="25"/>
      <c r="B16" s="80"/>
      <c r="C16" s="81"/>
      <c r="D16" s="81"/>
      <c r="E16" s="81"/>
      <c r="F16" s="81"/>
      <c r="G16" s="82"/>
      <c r="H16" s="80"/>
      <c r="I16" s="81"/>
      <c r="J16" s="81"/>
      <c r="K16" s="81"/>
      <c r="L16" s="81"/>
      <c r="M16" s="81"/>
      <c r="N16" s="82"/>
      <c r="O16" s="80"/>
      <c r="P16" s="81"/>
      <c r="Q16" s="81"/>
      <c r="R16" s="81"/>
      <c r="S16" s="128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0"/>
      <c r="AX16" s="124"/>
      <c r="AY16" s="124"/>
      <c r="AZ16" s="124"/>
      <c r="BA16" s="124"/>
      <c r="BB16" s="124"/>
      <c r="BC16" s="125"/>
      <c r="BD16" s="127"/>
      <c r="BE16" s="124"/>
      <c r="BF16" s="124"/>
      <c r="BG16" s="124"/>
      <c r="BH16" s="124"/>
      <c r="BI16" s="124"/>
      <c r="BJ16" s="125"/>
      <c r="BK16" s="26"/>
    </row>
    <row r="17" spans="1:63" ht="15" customHeight="1" x14ac:dyDescent="0.25">
      <c r="A17" s="25"/>
      <c r="B17" s="77"/>
      <c r="C17" s="78"/>
      <c r="D17" s="78"/>
      <c r="E17" s="78"/>
      <c r="F17" s="78"/>
      <c r="G17" s="79"/>
      <c r="H17" s="77"/>
      <c r="I17" s="78"/>
      <c r="J17" s="78"/>
      <c r="K17" s="78"/>
      <c r="L17" s="78"/>
      <c r="M17" s="78"/>
      <c r="N17" s="79"/>
      <c r="O17" s="77"/>
      <c r="P17" s="78"/>
      <c r="Q17" s="78"/>
      <c r="R17" s="78"/>
      <c r="S17" s="119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1"/>
      <c r="AX17" s="122"/>
      <c r="AY17" s="122"/>
      <c r="AZ17" s="122"/>
      <c r="BA17" s="122"/>
      <c r="BB17" s="122"/>
      <c r="BC17" s="123"/>
      <c r="BD17" s="126"/>
      <c r="BE17" s="122"/>
      <c r="BF17" s="122"/>
      <c r="BG17" s="122"/>
      <c r="BH17" s="122"/>
      <c r="BI17" s="122"/>
      <c r="BJ17" s="123"/>
      <c r="BK17" s="26"/>
    </row>
    <row r="18" spans="1:63" ht="15" customHeight="1" x14ac:dyDescent="0.25">
      <c r="A18" s="25"/>
      <c r="B18" s="80"/>
      <c r="C18" s="81"/>
      <c r="D18" s="81"/>
      <c r="E18" s="81"/>
      <c r="F18" s="81"/>
      <c r="G18" s="82"/>
      <c r="H18" s="80"/>
      <c r="I18" s="81"/>
      <c r="J18" s="81"/>
      <c r="K18" s="81"/>
      <c r="L18" s="81"/>
      <c r="M18" s="81"/>
      <c r="N18" s="82"/>
      <c r="O18" s="80"/>
      <c r="P18" s="81"/>
      <c r="Q18" s="81"/>
      <c r="R18" s="81"/>
      <c r="S18" s="128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30"/>
      <c r="AX18" s="124"/>
      <c r="AY18" s="124"/>
      <c r="AZ18" s="124"/>
      <c r="BA18" s="124"/>
      <c r="BB18" s="124"/>
      <c r="BC18" s="125"/>
      <c r="BD18" s="127"/>
      <c r="BE18" s="124"/>
      <c r="BF18" s="124"/>
      <c r="BG18" s="124"/>
      <c r="BH18" s="124"/>
      <c r="BI18" s="124"/>
      <c r="BJ18" s="125"/>
      <c r="BK18" s="26"/>
    </row>
    <row r="19" spans="1:63" ht="15" customHeight="1" x14ac:dyDescent="0.25">
      <c r="A19" s="25"/>
      <c r="B19" s="77"/>
      <c r="C19" s="78"/>
      <c r="D19" s="78"/>
      <c r="E19" s="78"/>
      <c r="F19" s="78"/>
      <c r="G19" s="79"/>
      <c r="H19" s="77"/>
      <c r="I19" s="78"/>
      <c r="J19" s="78"/>
      <c r="K19" s="78"/>
      <c r="L19" s="78"/>
      <c r="M19" s="78"/>
      <c r="N19" s="79"/>
      <c r="O19" s="77"/>
      <c r="P19" s="78"/>
      <c r="Q19" s="78"/>
      <c r="R19" s="78"/>
      <c r="S19" s="119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1"/>
      <c r="AX19" s="122"/>
      <c r="AY19" s="122"/>
      <c r="AZ19" s="122"/>
      <c r="BA19" s="122"/>
      <c r="BB19" s="122"/>
      <c r="BC19" s="123"/>
      <c r="BD19" s="126"/>
      <c r="BE19" s="122"/>
      <c r="BF19" s="122"/>
      <c r="BG19" s="122"/>
      <c r="BH19" s="122"/>
      <c r="BI19" s="122"/>
      <c r="BJ19" s="123"/>
      <c r="BK19" s="26"/>
    </row>
    <row r="20" spans="1:63" ht="15" customHeight="1" x14ac:dyDescent="0.25">
      <c r="A20" s="25"/>
      <c r="B20" s="80"/>
      <c r="C20" s="81"/>
      <c r="D20" s="81"/>
      <c r="E20" s="81"/>
      <c r="F20" s="81"/>
      <c r="G20" s="82"/>
      <c r="H20" s="80"/>
      <c r="I20" s="81"/>
      <c r="J20" s="81"/>
      <c r="K20" s="81"/>
      <c r="L20" s="81"/>
      <c r="M20" s="81"/>
      <c r="N20" s="82"/>
      <c r="O20" s="80"/>
      <c r="P20" s="81"/>
      <c r="Q20" s="81"/>
      <c r="R20" s="81"/>
      <c r="S20" s="128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30"/>
      <c r="AX20" s="124"/>
      <c r="AY20" s="124"/>
      <c r="AZ20" s="124"/>
      <c r="BA20" s="124"/>
      <c r="BB20" s="124"/>
      <c r="BC20" s="125"/>
      <c r="BD20" s="127"/>
      <c r="BE20" s="124"/>
      <c r="BF20" s="124"/>
      <c r="BG20" s="124"/>
      <c r="BH20" s="124"/>
      <c r="BI20" s="124"/>
      <c r="BJ20" s="125"/>
      <c r="BK20" s="26"/>
    </row>
    <row r="21" spans="1:63" ht="15" customHeight="1" x14ac:dyDescent="0.25">
      <c r="A21" s="25"/>
      <c r="B21" s="77"/>
      <c r="C21" s="78"/>
      <c r="D21" s="78"/>
      <c r="E21" s="78"/>
      <c r="F21" s="78"/>
      <c r="G21" s="79"/>
      <c r="H21" s="77"/>
      <c r="I21" s="78"/>
      <c r="J21" s="78"/>
      <c r="K21" s="78"/>
      <c r="L21" s="78"/>
      <c r="M21" s="78"/>
      <c r="N21" s="79"/>
      <c r="O21" s="77"/>
      <c r="P21" s="78"/>
      <c r="Q21" s="78"/>
      <c r="R21" s="78"/>
      <c r="S21" s="119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1"/>
      <c r="AX21" s="122"/>
      <c r="AY21" s="122"/>
      <c r="AZ21" s="122"/>
      <c r="BA21" s="122"/>
      <c r="BB21" s="122"/>
      <c r="BC21" s="123"/>
      <c r="BD21" s="126"/>
      <c r="BE21" s="122"/>
      <c r="BF21" s="122"/>
      <c r="BG21" s="122"/>
      <c r="BH21" s="122"/>
      <c r="BI21" s="122"/>
      <c r="BJ21" s="123"/>
      <c r="BK21" s="26"/>
    </row>
    <row r="22" spans="1:63" ht="15" customHeight="1" x14ac:dyDescent="0.25">
      <c r="A22" s="25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128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30"/>
      <c r="AX22" s="124"/>
      <c r="AY22" s="124"/>
      <c r="AZ22" s="124"/>
      <c r="BA22" s="124"/>
      <c r="BB22" s="124"/>
      <c r="BC22" s="125"/>
      <c r="BD22" s="127"/>
      <c r="BE22" s="124"/>
      <c r="BF22" s="124"/>
      <c r="BG22" s="124"/>
      <c r="BH22" s="124"/>
      <c r="BI22" s="124"/>
      <c r="BJ22" s="125"/>
      <c r="BK22" s="26"/>
    </row>
    <row r="23" spans="1:63" ht="15" customHeight="1" x14ac:dyDescent="0.25">
      <c r="A23" s="25"/>
      <c r="B23" s="77"/>
      <c r="C23" s="78"/>
      <c r="D23" s="78"/>
      <c r="E23" s="78"/>
      <c r="F23" s="78"/>
      <c r="G23" s="79"/>
      <c r="H23" s="77"/>
      <c r="I23" s="78"/>
      <c r="J23" s="78"/>
      <c r="K23" s="78"/>
      <c r="L23" s="78"/>
      <c r="M23" s="78"/>
      <c r="N23" s="79"/>
      <c r="O23" s="77"/>
      <c r="P23" s="78"/>
      <c r="Q23" s="78"/>
      <c r="R23" s="78"/>
      <c r="S23" s="119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1"/>
      <c r="AX23" s="122"/>
      <c r="AY23" s="122"/>
      <c r="AZ23" s="122"/>
      <c r="BA23" s="122"/>
      <c r="BB23" s="122"/>
      <c r="BC23" s="123"/>
      <c r="BD23" s="126"/>
      <c r="BE23" s="122"/>
      <c r="BF23" s="122"/>
      <c r="BG23" s="122"/>
      <c r="BH23" s="122"/>
      <c r="BI23" s="122"/>
      <c r="BJ23" s="123"/>
      <c r="BK23" s="26"/>
    </row>
    <row r="24" spans="1:63" ht="15" customHeight="1" x14ac:dyDescent="0.25">
      <c r="A24" s="25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128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30"/>
      <c r="AX24" s="124"/>
      <c r="AY24" s="124"/>
      <c r="AZ24" s="124"/>
      <c r="BA24" s="124"/>
      <c r="BB24" s="124"/>
      <c r="BC24" s="125"/>
      <c r="BD24" s="127"/>
      <c r="BE24" s="124"/>
      <c r="BF24" s="124"/>
      <c r="BG24" s="124"/>
      <c r="BH24" s="124"/>
      <c r="BI24" s="124"/>
      <c r="BJ24" s="125"/>
      <c r="BK24" s="26"/>
    </row>
    <row r="25" spans="1:63" ht="15" customHeight="1" x14ac:dyDescent="0.25">
      <c r="A25" s="25"/>
      <c r="B25" s="77"/>
      <c r="C25" s="78"/>
      <c r="D25" s="78"/>
      <c r="E25" s="78"/>
      <c r="F25" s="78"/>
      <c r="G25" s="79"/>
      <c r="H25" s="77"/>
      <c r="I25" s="78"/>
      <c r="J25" s="78"/>
      <c r="K25" s="78"/>
      <c r="L25" s="78"/>
      <c r="M25" s="78"/>
      <c r="N25" s="79"/>
      <c r="O25" s="77"/>
      <c r="P25" s="78"/>
      <c r="Q25" s="78"/>
      <c r="R25" s="78"/>
      <c r="S25" s="119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1"/>
      <c r="AX25" s="122"/>
      <c r="AY25" s="122"/>
      <c r="AZ25" s="122"/>
      <c r="BA25" s="122"/>
      <c r="BB25" s="122"/>
      <c r="BC25" s="123"/>
      <c r="BD25" s="126"/>
      <c r="BE25" s="122"/>
      <c r="BF25" s="122"/>
      <c r="BG25" s="122"/>
      <c r="BH25" s="122"/>
      <c r="BI25" s="122"/>
      <c r="BJ25" s="123"/>
      <c r="BK25" s="26"/>
    </row>
    <row r="26" spans="1:63" ht="15" customHeight="1" x14ac:dyDescent="0.25">
      <c r="A26" s="25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8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30"/>
      <c r="AX26" s="124"/>
      <c r="AY26" s="124"/>
      <c r="AZ26" s="124"/>
      <c r="BA26" s="124"/>
      <c r="BB26" s="124"/>
      <c r="BC26" s="125"/>
      <c r="BD26" s="127"/>
      <c r="BE26" s="124"/>
      <c r="BF26" s="124"/>
      <c r="BG26" s="124"/>
      <c r="BH26" s="124"/>
      <c r="BI26" s="124"/>
      <c r="BJ26" s="125"/>
      <c r="BK26" s="26"/>
    </row>
    <row r="27" spans="1:63" ht="15" customHeight="1" x14ac:dyDescent="0.25">
      <c r="A27" s="25"/>
      <c r="B27" s="77"/>
      <c r="C27" s="78"/>
      <c r="D27" s="78"/>
      <c r="E27" s="78"/>
      <c r="F27" s="78"/>
      <c r="G27" s="79"/>
      <c r="H27" s="77"/>
      <c r="I27" s="78"/>
      <c r="J27" s="78"/>
      <c r="K27" s="78"/>
      <c r="L27" s="78"/>
      <c r="M27" s="78"/>
      <c r="N27" s="79"/>
      <c r="O27" s="77"/>
      <c r="P27" s="78"/>
      <c r="Q27" s="78"/>
      <c r="R27" s="78"/>
      <c r="S27" s="119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1"/>
      <c r="AX27" s="122"/>
      <c r="AY27" s="122"/>
      <c r="AZ27" s="122"/>
      <c r="BA27" s="122"/>
      <c r="BB27" s="122"/>
      <c r="BC27" s="123"/>
      <c r="BD27" s="126"/>
      <c r="BE27" s="122"/>
      <c r="BF27" s="122"/>
      <c r="BG27" s="122"/>
      <c r="BH27" s="122"/>
      <c r="BI27" s="122"/>
      <c r="BJ27" s="123"/>
      <c r="BK27" s="26"/>
    </row>
    <row r="28" spans="1:63" ht="15" customHeight="1" x14ac:dyDescent="0.25">
      <c r="A28" s="25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8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30"/>
      <c r="AX28" s="124"/>
      <c r="AY28" s="124"/>
      <c r="AZ28" s="124"/>
      <c r="BA28" s="124"/>
      <c r="BB28" s="124"/>
      <c r="BC28" s="125"/>
      <c r="BD28" s="127"/>
      <c r="BE28" s="124"/>
      <c r="BF28" s="124"/>
      <c r="BG28" s="124"/>
      <c r="BH28" s="124"/>
      <c r="BI28" s="124"/>
      <c r="BJ28" s="125"/>
      <c r="BK28" s="26"/>
    </row>
    <row r="29" spans="1:63" ht="15" customHeight="1" x14ac:dyDescent="0.25">
      <c r="A29" s="25"/>
      <c r="B29" s="77"/>
      <c r="C29" s="78"/>
      <c r="D29" s="78"/>
      <c r="E29" s="78"/>
      <c r="F29" s="78"/>
      <c r="G29" s="79"/>
      <c r="H29" s="77"/>
      <c r="I29" s="78"/>
      <c r="J29" s="78"/>
      <c r="K29" s="78"/>
      <c r="L29" s="78"/>
      <c r="M29" s="78"/>
      <c r="N29" s="79"/>
      <c r="O29" s="77"/>
      <c r="P29" s="78"/>
      <c r="Q29" s="78"/>
      <c r="R29" s="78"/>
      <c r="S29" s="119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1"/>
      <c r="AX29" s="122"/>
      <c r="AY29" s="122"/>
      <c r="AZ29" s="122"/>
      <c r="BA29" s="122"/>
      <c r="BB29" s="122"/>
      <c r="BC29" s="123"/>
      <c r="BD29" s="126"/>
      <c r="BE29" s="122"/>
      <c r="BF29" s="122"/>
      <c r="BG29" s="122"/>
      <c r="BH29" s="122"/>
      <c r="BI29" s="122"/>
      <c r="BJ29" s="123"/>
      <c r="BK29" s="26"/>
    </row>
    <row r="30" spans="1:63" ht="15" customHeight="1" x14ac:dyDescent="0.25">
      <c r="A30" s="25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8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30"/>
      <c r="AX30" s="124"/>
      <c r="AY30" s="124"/>
      <c r="AZ30" s="124"/>
      <c r="BA30" s="124"/>
      <c r="BB30" s="124"/>
      <c r="BC30" s="125"/>
      <c r="BD30" s="127"/>
      <c r="BE30" s="124"/>
      <c r="BF30" s="124"/>
      <c r="BG30" s="124"/>
      <c r="BH30" s="124"/>
      <c r="BI30" s="124"/>
      <c r="BJ30" s="125"/>
      <c r="BK30" s="26"/>
    </row>
    <row r="31" spans="1:63" ht="15" customHeight="1" x14ac:dyDescent="0.25">
      <c r="A31" s="25"/>
      <c r="B31" s="77"/>
      <c r="C31" s="78"/>
      <c r="D31" s="78"/>
      <c r="E31" s="78"/>
      <c r="F31" s="78"/>
      <c r="G31" s="79"/>
      <c r="H31" s="77"/>
      <c r="I31" s="78"/>
      <c r="J31" s="78"/>
      <c r="K31" s="78"/>
      <c r="L31" s="78"/>
      <c r="M31" s="78"/>
      <c r="N31" s="79"/>
      <c r="O31" s="77"/>
      <c r="P31" s="78"/>
      <c r="Q31" s="78"/>
      <c r="R31" s="78"/>
      <c r="S31" s="119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1"/>
      <c r="AX31" s="122"/>
      <c r="AY31" s="122"/>
      <c r="AZ31" s="122"/>
      <c r="BA31" s="122"/>
      <c r="BB31" s="122"/>
      <c r="BC31" s="123"/>
      <c r="BD31" s="126"/>
      <c r="BE31" s="122"/>
      <c r="BF31" s="122"/>
      <c r="BG31" s="122"/>
      <c r="BH31" s="122"/>
      <c r="BI31" s="122"/>
      <c r="BJ31" s="123"/>
      <c r="BK31" s="26"/>
    </row>
    <row r="32" spans="1:63" ht="15" customHeight="1" x14ac:dyDescent="0.25">
      <c r="A32" s="25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8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30"/>
      <c r="AX32" s="124"/>
      <c r="AY32" s="124"/>
      <c r="AZ32" s="124"/>
      <c r="BA32" s="124"/>
      <c r="BB32" s="124"/>
      <c r="BC32" s="125"/>
      <c r="BD32" s="127"/>
      <c r="BE32" s="124"/>
      <c r="BF32" s="124"/>
      <c r="BG32" s="124"/>
      <c r="BH32" s="124"/>
      <c r="BI32" s="124"/>
      <c r="BJ32" s="125"/>
      <c r="BK32" s="26"/>
    </row>
    <row r="33" spans="1:63" ht="15" customHeight="1" x14ac:dyDescent="0.25">
      <c r="A33" s="25"/>
      <c r="B33" s="77"/>
      <c r="C33" s="78"/>
      <c r="D33" s="78"/>
      <c r="E33" s="78"/>
      <c r="F33" s="78"/>
      <c r="G33" s="79"/>
      <c r="H33" s="77"/>
      <c r="I33" s="78"/>
      <c r="J33" s="78"/>
      <c r="K33" s="78"/>
      <c r="L33" s="78"/>
      <c r="M33" s="78"/>
      <c r="N33" s="79"/>
      <c r="O33" s="77"/>
      <c r="P33" s="78"/>
      <c r="Q33" s="78"/>
      <c r="R33" s="78"/>
      <c r="S33" s="119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1"/>
      <c r="AX33" s="122"/>
      <c r="AY33" s="122"/>
      <c r="AZ33" s="122"/>
      <c r="BA33" s="122"/>
      <c r="BB33" s="122"/>
      <c r="BC33" s="123"/>
      <c r="BD33" s="126"/>
      <c r="BE33" s="122"/>
      <c r="BF33" s="122"/>
      <c r="BG33" s="122"/>
      <c r="BH33" s="122"/>
      <c r="BI33" s="122"/>
      <c r="BJ33" s="123"/>
      <c r="BK33" s="26"/>
    </row>
    <row r="34" spans="1:63" ht="15" customHeight="1" x14ac:dyDescent="0.25">
      <c r="A34" s="25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8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30"/>
      <c r="AX34" s="124"/>
      <c r="AY34" s="124"/>
      <c r="AZ34" s="124"/>
      <c r="BA34" s="124"/>
      <c r="BB34" s="124"/>
      <c r="BC34" s="125"/>
      <c r="BD34" s="127"/>
      <c r="BE34" s="124"/>
      <c r="BF34" s="124"/>
      <c r="BG34" s="124"/>
      <c r="BH34" s="124"/>
      <c r="BI34" s="124"/>
      <c r="BJ34" s="125"/>
      <c r="BK34" s="26"/>
    </row>
    <row r="35" spans="1:63" ht="15" customHeight="1" x14ac:dyDescent="0.25">
      <c r="A35" s="25"/>
      <c r="B35" s="77"/>
      <c r="C35" s="78"/>
      <c r="D35" s="78"/>
      <c r="E35" s="78"/>
      <c r="F35" s="78"/>
      <c r="G35" s="79"/>
      <c r="H35" s="77"/>
      <c r="I35" s="78"/>
      <c r="J35" s="78"/>
      <c r="K35" s="78"/>
      <c r="L35" s="78"/>
      <c r="M35" s="78"/>
      <c r="N35" s="79"/>
      <c r="O35" s="77"/>
      <c r="P35" s="78"/>
      <c r="Q35" s="78"/>
      <c r="R35" s="78"/>
      <c r="S35" s="119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1"/>
      <c r="AX35" s="122"/>
      <c r="AY35" s="122"/>
      <c r="AZ35" s="122"/>
      <c r="BA35" s="122"/>
      <c r="BB35" s="122"/>
      <c r="BC35" s="123"/>
      <c r="BD35" s="126"/>
      <c r="BE35" s="122"/>
      <c r="BF35" s="122"/>
      <c r="BG35" s="122"/>
      <c r="BH35" s="122"/>
      <c r="BI35" s="122"/>
      <c r="BJ35" s="123"/>
      <c r="BK35" s="26"/>
    </row>
    <row r="36" spans="1:63" ht="15" customHeight="1" x14ac:dyDescent="0.25">
      <c r="A36" s="25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8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30"/>
      <c r="AX36" s="124"/>
      <c r="AY36" s="124"/>
      <c r="AZ36" s="124"/>
      <c r="BA36" s="124"/>
      <c r="BB36" s="124"/>
      <c r="BC36" s="125"/>
      <c r="BD36" s="127"/>
      <c r="BE36" s="124"/>
      <c r="BF36" s="124"/>
      <c r="BG36" s="124"/>
      <c r="BH36" s="124"/>
      <c r="BI36" s="124"/>
      <c r="BJ36" s="125"/>
      <c r="BK36" s="26"/>
    </row>
    <row r="37" spans="1:63" ht="15" customHeight="1" x14ac:dyDescent="0.25">
      <c r="A37" s="25"/>
      <c r="B37" s="77"/>
      <c r="C37" s="78"/>
      <c r="D37" s="78"/>
      <c r="E37" s="78"/>
      <c r="F37" s="78"/>
      <c r="G37" s="79"/>
      <c r="H37" s="77"/>
      <c r="I37" s="78"/>
      <c r="J37" s="78"/>
      <c r="K37" s="78"/>
      <c r="L37" s="78"/>
      <c r="M37" s="78"/>
      <c r="N37" s="79"/>
      <c r="O37" s="77"/>
      <c r="P37" s="78"/>
      <c r="Q37" s="78"/>
      <c r="R37" s="78"/>
      <c r="S37" s="119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120"/>
      <c r="AU37" s="120"/>
      <c r="AV37" s="120"/>
      <c r="AW37" s="121"/>
      <c r="AX37" s="122"/>
      <c r="AY37" s="122"/>
      <c r="AZ37" s="122"/>
      <c r="BA37" s="122"/>
      <c r="BB37" s="122"/>
      <c r="BC37" s="123"/>
      <c r="BD37" s="126"/>
      <c r="BE37" s="122"/>
      <c r="BF37" s="122"/>
      <c r="BG37" s="122"/>
      <c r="BH37" s="122"/>
      <c r="BI37" s="122"/>
      <c r="BJ37" s="123"/>
      <c r="BK37" s="26"/>
    </row>
    <row r="38" spans="1:63" ht="15" customHeight="1" x14ac:dyDescent="0.25">
      <c r="A38" s="25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8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30"/>
      <c r="AX38" s="124"/>
      <c r="AY38" s="124"/>
      <c r="AZ38" s="124"/>
      <c r="BA38" s="124"/>
      <c r="BB38" s="124"/>
      <c r="BC38" s="125"/>
      <c r="BD38" s="127"/>
      <c r="BE38" s="124"/>
      <c r="BF38" s="124"/>
      <c r="BG38" s="124"/>
      <c r="BH38" s="124"/>
      <c r="BI38" s="124"/>
      <c r="BJ38" s="125"/>
      <c r="BK38" s="26"/>
    </row>
    <row r="39" spans="1:63" ht="15" customHeight="1" x14ac:dyDescent="0.25">
      <c r="A39" s="25"/>
      <c r="B39" s="77"/>
      <c r="C39" s="78"/>
      <c r="D39" s="78"/>
      <c r="E39" s="78"/>
      <c r="F39" s="78"/>
      <c r="G39" s="79"/>
      <c r="H39" s="77"/>
      <c r="I39" s="78"/>
      <c r="J39" s="78"/>
      <c r="K39" s="78"/>
      <c r="L39" s="78"/>
      <c r="M39" s="78"/>
      <c r="N39" s="79"/>
      <c r="O39" s="77"/>
      <c r="P39" s="78"/>
      <c r="Q39" s="78"/>
      <c r="R39" s="78"/>
      <c r="S39" s="119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1"/>
      <c r="AX39" s="122"/>
      <c r="AY39" s="122"/>
      <c r="AZ39" s="122"/>
      <c r="BA39" s="122"/>
      <c r="BB39" s="122"/>
      <c r="BC39" s="123"/>
      <c r="BD39" s="126"/>
      <c r="BE39" s="122"/>
      <c r="BF39" s="122"/>
      <c r="BG39" s="122"/>
      <c r="BH39" s="122"/>
      <c r="BI39" s="122"/>
      <c r="BJ39" s="123"/>
      <c r="BK39" s="26"/>
    </row>
    <row r="40" spans="1:63" ht="15" customHeight="1" x14ac:dyDescent="0.25">
      <c r="A40" s="25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8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30"/>
      <c r="AX40" s="124"/>
      <c r="AY40" s="124"/>
      <c r="AZ40" s="124"/>
      <c r="BA40" s="124"/>
      <c r="BB40" s="124"/>
      <c r="BC40" s="125"/>
      <c r="BD40" s="127"/>
      <c r="BE40" s="124"/>
      <c r="BF40" s="124"/>
      <c r="BG40" s="124"/>
      <c r="BH40" s="124"/>
      <c r="BI40" s="124"/>
      <c r="BJ40" s="125"/>
      <c r="BK40" s="26"/>
    </row>
    <row r="41" spans="1:63" ht="15" customHeight="1" x14ac:dyDescent="0.25">
      <c r="A41" s="25"/>
      <c r="B41" s="77"/>
      <c r="C41" s="78"/>
      <c r="D41" s="78"/>
      <c r="E41" s="78"/>
      <c r="F41" s="78"/>
      <c r="G41" s="79"/>
      <c r="H41" s="77"/>
      <c r="I41" s="78"/>
      <c r="J41" s="78"/>
      <c r="K41" s="78"/>
      <c r="L41" s="78"/>
      <c r="M41" s="78"/>
      <c r="N41" s="79"/>
      <c r="O41" s="77"/>
      <c r="P41" s="78"/>
      <c r="Q41" s="78"/>
      <c r="R41" s="78"/>
      <c r="S41" s="119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1"/>
      <c r="AX41" s="122"/>
      <c r="AY41" s="122"/>
      <c r="AZ41" s="122"/>
      <c r="BA41" s="122"/>
      <c r="BB41" s="122"/>
      <c r="BC41" s="123"/>
      <c r="BD41" s="126"/>
      <c r="BE41" s="122"/>
      <c r="BF41" s="122"/>
      <c r="BG41" s="122"/>
      <c r="BH41" s="122"/>
      <c r="BI41" s="122"/>
      <c r="BJ41" s="123"/>
      <c r="BK41" s="26"/>
    </row>
    <row r="42" spans="1:63" ht="15" customHeight="1" x14ac:dyDescent="0.25">
      <c r="A42" s="25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8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30"/>
      <c r="AX42" s="124"/>
      <c r="AY42" s="124"/>
      <c r="AZ42" s="124"/>
      <c r="BA42" s="124"/>
      <c r="BB42" s="124"/>
      <c r="BC42" s="125"/>
      <c r="BD42" s="127"/>
      <c r="BE42" s="124"/>
      <c r="BF42" s="124"/>
      <c r="BG42" s="124"/>
      <c r="BH42" s="124"/>
      <c r="BI42" s="124"/>
      <c r="BJ42" s="125"/>
      <c r="BK42" s="26"/>
    </row>
    <row r="43" spans="1:63" ht="15" customHeight="1" x14ac:dyDescent="0.25">
      <c r="A43" s="25"/>
      <c r="B43" s="77"/>
      <c r="C43" s="78"/>
      <c r="D43" s="78"/>
      <c r="E43" s="78"/>
      <c r="F43" s="78"/>
      <c r="G43" s="79"/>
      <c r="H43" s="77"/>
      <c r="I43" s="78"/>
      <c r="J43" s="78"/>
      <c r="K43" s="78"/>
      <c r="L43" s="78"/>
      <c r="M43" s="78"/>
      <c r="N43" s="79"/>
      <c r="O43" s="77"/>
      <c r="P43" s="78"/>
      <c r="Q43" s="78"/>
      <c r="R43" s="78"/>
      <c r="S43" s="119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1"/>
      <c r="AX43" s="122"/>
      <c r="AY43" s="122"/>
      <c r="AZ43" s="122"/>
      <c r="BA43" s="122"/>
      <c r="BB43" s="122"/>
      <c r="BC43" s="123"/>
      <c r="BD43" s="126"/>
      <c r="BE43" s="122"/>
      <c r="BF43" s="122"/>
      <c r="BG43" s="122"/>
      <c r="BH43" s="122"/>
      <c r="BI43" s="122"/>
      <c r="BJ43" s="123"/>
      <c r="BK43" s="26"/>
    </row>
    <row r="44" spans="1:63" ht="15" customHeight="1" x14ac:dyDescent="0.25">
      <c r="A44" s="25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8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30"/>
      <c r="AX44" s="124"/>
      <c r="AY44" s="124"/>
      <c r="AZ44" s="124"/>
      <c r="BA44" s="124"/>
      <c r="BB44" s="124"/>
      <c r="BC44" s="125"/>
      <c r="BD44" s="127"/>
      <c r="BE44" s="124"/>
      <c r="BF44" s="124"/>
      <c r="BG44" s="124"/>
      <c r="BH44" s="124"/>
      <c r="BI44" s="124"/>
      <c r="BJ44" s="125"/>
      <c r="BK44" s="26"/>
    </row>
    <row r="45" spans="1:63" ht="15" customHeight="1" x14ac:dyDescent="0.25">
      <c r="A45" s="25"/>
      <c r="B45" s="77"/>
      <c r="C45" s="78"/>
      <c r="D45" s="78"/>
      <c r="E45" s="78"/>
      <c r="F45" s="78"/>
      <c r="G45" s="79"/>
      <c r="H45" s="77"/>
      <c r="I45" s="78"/>
      <c r="J45" s="78"/>
      <c r="K45" s="78"/>
      <c r="L45" s="78"/>
      <c r="M45" s="78"/>
      <c r="N45" s="79"/>
      <c r="O45" s="77"/>
      <c r="P45" s="78"/>
      <c r="Q45" s="78"/>
      <c r="R45" s="78"/>
      <c r="S45" s="119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  <c r="AR45" s="120"/>
      <c r="AS45" s="120"/>
      <c r="AT45" s="120"/>
      <c r="AU45" s="120"/>
      <c r="AV45" s="120"/>
      <c r="AW45" s="121"/>
      <c r="AX45" s="122"/>
      <c r="AY45" s="122"/>
      <c r="AZ45" s="122"/>
      <c r="BA45" s="122"/>
      <c r="BB45" s="122"/>
      <c r="BC45" s="123"/>
      <c r="BD45" s="126"/>
      <c r="BE45" s="122"/>
      <c r="BF45" s="122"/>
      <c r="BG45" s="122"/>
      <c r="BH45" s="122"/>
      <c r="BI45" s="122"/>
      <c r="BJ45" s="123"/>
      <c r="BK45" s="26"/>
    </row>
    <row r="46" spans="1:63" ht="15" customHeight="1" x14ac:dyDescent="0.25">
      <c r="A46" s="25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8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30"/>
      <c r="AX46" s="124"/>
      <c r="AY46" s="124"/>
      <c r="AZ46" s="124"/>
      <c r="BA46" s="124"/>
      <c r="BB46" s="124"/>
      <c r="BC46" s="125"/>
      <c r="BD46" s="127"/>
      <c r="BE46" s="124"/>
      <c r="BF46" s="124"/>
      <c r="BG46" s="124"/>
      <c r="BH46" s="124"/>
      <c r="BI46" s="124"/>
      <c r="BJ46" s="125"/>
      <c r="BK46" s="26"/>
    </row>
    <row r="47" spans="1:63" ht="15" customHeight="1" x14ac:dyDescent="0.25">
      <c r="A47" s="25"/>
      <c r="B47" s="77"/>
      <c r="C47" s="78"/>
      <c r="D47" s="78"/>
      <c r="E47" s="78"/>
      <c r="F47" s="78"/>
      <c r="G47" s="79"/>
      <c r="H47" s="77"/>
      <c r="I47" s="78"/>
      <c r="J47" s="78"/>
      <c r="K47" s="78"/>
      <c r="L47" s="78"/>
      <c r="M47" s="78"/>
      <c r="N47" s="79"/>
      <c r="O47" s="77"/>
      <c r="P47" s="78"/>
      <c r="Q47" s="78"/>
      <c r="R47" s="78"/>
      <c r="S47" s="119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1"/>
      <c r="AX47" s="122"/>
      <c r="AY47" s="122"/>
      <c r="AZ47" s="122"/>
      <c r="BA47" s="122"/>
      <c r="BB47" s="122"/>
      <c r="BC47" s="123"/>
      <c r="BD47" s="126"/>
      <c r="BE47" s="122"/>
      <c r="BF47" s="122"/>
      <c r="BG47" s="122"/>
      <c r="BH47" s="122"/>
      <c r="BI47" s="122"/>
      <c r="BJ47" s="123"/>
      <c r="BK47" s="26"/>
    </row>
    <row r="48" spans="1:63" ht="15" customHeight="1" x14ac:dyDescent="0.25">
      <c r="A48" s="25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8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30"/>
      <c r="AX48" s="124"/>
      <c r="AY48" s="124"/>
      <c r="AZ48" s="124"/>
      <c r="BA48" s="124"/>
      <c r="BB48" s="124"/>
      <c r="BC48" s="125"/>
      <c r="BD48" s="127"/>
      <c r="BE48" s="124"/>
      <c r="BF48" s="124"/>
      <c r="BG48" s="124"/>
      <c r="BH48" s="124"/>
      <c r="BI48" s="124"/>
      <c r="BJ48" s="125"/>
      <c r="BK48" s="26"/>
    </row>
    <row r="49" spans="1:63" ht="15" customHeight="1" x14ac:dyDescent="0.25">
      <c r="A49" s="25"/>
      <c r="B49" s="77"/>
      <c r="C49" s="78"/>
      <c r="D49" s="78"/>
      <c r="E49" s="78"/>
      <c r="F49" s="78"/>
      <c r="G49" s="79"/>
      <c r="H49" s="77"/>
      <c r="I49" s="78"/>
      <c r="J49" s="78"/>
      <c r="K49" s="78"/>
      <c r="L49" s="78"/>
      <c r="M49" s="78"/>
      <c r="N49" s="79"/>
      <c r="O49" s="77"/>
      <c r="P49" s="78"/>
      <c r="Q49" s="78"/>
      <c r="R49" s="78"/>
      <c r="S49" s="119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1"/>
      <c r="AX49" s="122"/>
      <c r="AY49" s="122"/>
      <c r="AZ49" s="122"/>
      <c r="BA49" s="122"/>
      <c r="BB49" s="122"/>
      <c r="BC49" s="123"/>
      <c r="BD49" s="126"/>
      <c r="BE49" s="122"/>
      <c r="BF49" s="122"/>
      <c r="BG49" s="122"/>
      <c r="BH49" s="122"/>
      <c r="BI49" s="122"/>
      <c r="BJ49" s="123"/>
      <c r="BK49" s="26"/>
    </row>
    <row r="50" spans="1:63" ht="15" customHeight="1" x14ac:dyDescent="0.25">
      <c r="A50" s="25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8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30"/>
      <c r="AX50" s="124"/>
      <c r="AY50" s="124"/>
      <c r="AZ50" s="124"/>
      <c r="BA50" s="124"/>
      <c r="BB50" s="124"/>
      <c r="BC50" s="125"/>
      <c r="BD50" s="127"/>
      <c r="BE50" s="124"/>
      <c r="BF50" s="124"/>
      <c r="BG50" s="124"/>
      <c r="BH50" s="124"/>
      <c r="BI50" s="124"/>
      <c r="BJ50" s="125"/>
      <c r="BK50" s="26"/>
    </row>
    <row r="51" spans="1:63" ht="15" customHeight="1" x14ac:dyDescent="0.25">
      <c r="A51" s="25"/>
      <c r="B51" s="77"/>
      <c r="C51" s="78"/>
      <c r="D51" s="78"/>
      <c r="E51" s="78"/>
      <c r="F51" s="78"/>
      <c r="G51" s="79"/>
      <c r="H51" s="77"/>
      <c r="I51" s="78"/>
      <c r="J51" s="78"/>
      <c r="K51" s="78"/>
      <c r="L51" s="78"/>
      <c r="M51" s="78"/>
      <c r="N51" s="79"/>
      <c r="O51" s="77"/>
      <c r="P51" s="78"/>
      <c r="Q51" s="78"/>
      <c r="R51" s="78"/>
      <c r="S51" s="119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1"/>
      <c r="AX51" s="122"/>
      <c r="AY51" s="122"/>
      <c r="AZ51" s="122"/>
      <c r="BA51" s="122"/>
      <c r="BB51" s="122"/>
      <c r="BC51" s="123"/>
      <c r="BD51" s="126"/>
      <c r="BE51" s="122"/>
      <c r="BF51" s="122"/>
      <c r="BG51" s="122"/>
      <c r="BH51" s="122"/>
      <c r="BI51" s="122"/>
      <c r="BJ51" s="123"/>
      <c r="BK51" s="26"/>
    </row>
    <row r="52" spans="1:63" ht="15" customHeight="1" x14ac:dyDescent="0.25">
      <c r="A52" s="25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8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30"/>
      <c r="AX52" s="124"/>
      <c r="AY52" s="124"/>
      <c r="AZ52" s="124"/>
      <c r="BA52" s="124"/>
      <c r="BB52" s="124"/>
      <c r="BC52" s="125"/>
      <c r="BD52" s="127"/>
      <c r="BE52" s="124"/>
      <c r="BF52" s="124"/>
      <c r="BG52" s="124"/>
      <c r="BH52" s="124"/>
      <c r="BI52" s="124"/>
      <c r="BJ52" s="125"/>
      <c r="BK52" s="26"/>
    </row>
    <row r="53" spans="1:63" ht="15" customHeight="1" x14ac:dyDescent="0.25">
      <c r="A53" s="25"/>
      <c r="B53" s="77"/>
      <c r="C53" s="78"/>
      <c r="D53" s="78"/>
      <c r="E53" s="78"/>
      <c r="F53" s="78"/>
      <c r="G53" s="79"/>
      <c r="H53" s="77"/>
      <c r="I53" s="78"/>
      <c r="J53" s="78"/>
      <c r="K53" s="78"/>
      <c r="L53" s="78"/>
      <c r="M53" s="78"/>
      <c r="N53" s="79"/>
      <c r="O53" s="77"/>
      <c r="P53" s="78"/>
      <c r="Q53" s="78"/>
      <c r="R53" s="78"/>
      <c r="S53" s="119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1"/>
      <c r="AX53" s="122"/>
      <c r="AY53" s="122"/>
      <c r="AZ53" s="122"/>
      <c r="BA53" s="122"/>
      <c r="BB53" s="122"/>
      <c r="BC53" s="123"/>
      <c r="BD53" s="126"/>
      <c r="BE53" s="122"/>
      <c r="BF53" s="122"/>
      <c r="BG53" s="122"/>
      <c r="BH53" s="122"/>
      <c r="BI53" s="122"/>
      <c r="BJ53" s="123"/>
      <c r="BK53" s="26"/>
    </row>
    <row r="54" spans="1:63" ht="15" customHeight="1" x14ac:dyDescent="0.25">
      <c r="A54" s="25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8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30"/>
      <c r="AX54" s="124"/>
      <c r="AY54" s="124"/>
      <c r="AZ54" s="124"/>
      <c r="BA54" s="124"/>
      <c r="BB54" s="124"/>
      <c r="BC54" s="125"/>
      <c r="BD54" s="127"/>
      <c r="BE54" s="124"/>
      <c r="BF54" s="124"/>
      <c r="BG54" s="124"/>
      <c r="BH54" s="124"/>
      <c r="BI54" s="124"/>
      <c r="BJ54" s="125"/>
      <c r="BK54" s="26"/>
    </row>
    <row r="55" spans="1:63" ht="15" customHeight="1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32" t="s">
        <v>2</v>
      </c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4"/>
      <c r="W1" s="150" t="str">
        <f>IF(表紙!W1="","",表紙!W1)</f>
        <v>基本設計書</v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32" t="s">
        <v>3</v>
      </c>
      <c r="AQ1" s="133"/>
      <c r="AR1" s="133"/>
      <c r="AS1" s="134"/>
      <c r="AT1" s="132" t="s">
        <v>4</v>
      </c>
      <c r="AU1" s="133"/>
      <c r="AV1" s="133"/>
      <c r="AW1" s="133"/>
      <c r="AX1" s="134"/>
      <c r="AY1" s="132" t="s">
        <v>5</v>
      </c>
      <c r="AZ1" s="133"/>
      <c r="BA1" s="133"/>
      <c r="BB1" s="134"/>
      <c r="BC1" s="132" t="s">
        <v>6</v>
      </c>
      <c r="BD1" s="133"/>
      <c r="BE1" s="133"/>
      <c r="BF1" s="133"/>
      <c r="BG1" s="134"/>
      <c r="BH1" s="132" t="s">
        <v>7</v>
      </c>
      <c r="BI1" s="133"/>
      <c r="BJ1" s="133"/>
      <c r="BK1" s="134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138" t="str">
        <f>IF(表紙!AP2="","",表紙!AP2)</f>
        <v>DuNT</v>
      </c>
      <c r="AQ2" s="139"/>
      <c r="AR2" s="139"/>
      <c r="AS2" s="140"/>
      <c r="AT2" s="144">
        <v>45084</v>
      </c>
      <c r="AU2" s="145"/>
      <c r="AV2" s="145"/>
      <c r="AW2" s="145"/>
      <c r="AX2" s="146"/>
      <c r="AY2" s="138" t="str">
        <f>IF(表紙!AY2="","",表紙!AY2)</f>
        <v>DuNT</v>
      </c>
      <c r="AZ2" s="139"/>
      <c r="BA2" s="139"/>
      <c r="BB2" s="140"/>
      <c r="BC2" s="144">
        <f>IF(表紙!BC2="","",表紙!BC2)</f>
        <v>45531</v>
      </c>
      <c r="BD2" s="145"/>
      <c r="BE2" s="145"/>
      <c r="BF2" s="145"/>
      <c r="BG2" s="146"/>
      <c r="BH2" s="138">
        <f>IF(表紙!BH2="","",表紙!BH2)</f>
        <v>0.2</v>
      </c>
      <c r="BI2" s="139"/>
      <c r="BJ2" s="139"/>
      <c r="BK2" s="140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141"/>
      <c r="AQ3" s="142"/>
      <c r="AR3" s="142"/>
      <c r="AS3" s="143"/>
      <c r="AT3" s="147"/>
      <c r="AU3" s="148"/>
      <c r="AV3" s="148"/>
      <c r="AW3" s="148"/>
      <c r="AX3" s="149"/>
      <c r="AY3" s="141"/>
      <c r="AZ3" s="142"/>
      <c r="BA3" s="142"/>
      <c r="BB3" s="143"/>
      <c r="BC3" s="147"/>
      <c r="BD3" s="148"/>
      <c r="BE3" s="148"/>
      <c r="BF3" s="148"/>
      <c r="BG3" s="149"/>
      <c r="BH3" s="141"/>
      <c r="BI3" s="142"/>
      <c r="BJ3" s="142"/>
      <c r="BK3" s="143"/>
    </row>
    <row r="4" spans="1:63" ht="24.95" customHeight="1" x14ac:dyDescent="0.25">
      <c r="A4" s="132" t="s">
        <v>1</v>
      </c>
      <c r="B4" s="133"/>
      <c r="C4" s="133"/>
      <c r="D4" s="133"/>
      <c r="E4" s="133"/>
      <c r="F4" s="133"/>
      <c r="G4" s="134"/>
      <c r="H4" s="135" t="str">
        <f>IF(表紙!H4="","",表紙!H4)</f>
        <v xml:space="preserve">08_カテゴリ値引/割引設定 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32" t="s">
        <v>8</v>
      </c>
      <c r="V4" s="133"/>
      <c r="W4" s="133"/>
      <c r="X4" s="133"/>
      <c r="Y4" s="134"/>
      <c r="Z4" s="135" t="str">
        <f>IF(表紙!Z4="","",表紙!Z4)</f>
        <v>概要設計書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5" t="str">
        <f t="array" aca="1" ref="AP4" ca="1">RIGHT(CELL("filename",$A$1),LEN(CELL("filename",$A$1))-FIND("]",CELL("filename",$A$1)))</f>
        <v>業務フロー凡例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37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9"/>
    </row>
    <row r="6" spans="1:63" ht="15" customHeight="1" x14ac:dyDescent="0.25">
      <c r="A6" s="40"/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3"/>
      <c r="AF6" s="41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3"/>
      <c r="BJ6" s="42"/>
      <c r="BK6" s="44"/>
    </row>
    <row r="7" spans="1:63" ht="15" customHeight="1" x14ac:dyDescent="0.25">
      <c r="A7" s="40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4"/>
    </row>
    <row r="8" spans="1:63" ht="15" customHeight="1" x14ac:dyDescent="0.25">
      <c r="A8" s="40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3"/>
      <c r="AF8" s="41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3"/>
      <c r="BJ8" s="42"/>
      <c r="BK8" s="44"/>
    </row>
    <row r="9" spans="1:63" ht="15" customHeight="1" x14ac:dyDescent="0.25">
      <c r="A9" s="40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3"/>
      <c r="AF9" s="41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3"/>
      <c r="BJ9" s="42"/>
      <c r="BK9" s="44"/>
    </row>
    <row r="10" spans="1:63" ht="15" customHeight="1" x14ac:dyDescent="0.25">
      <c r="A10" s="40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3"/>
      <c r="AF10" s="41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3"/>
      <c r="BJ10" s="42"/>
      <c r="BK10" s="44"/>
    </row>
    <row r="11" spans="1:63" ht="15" customHeight="1" x14ac:dyDescent="0.25">
      <c r="A11" s="40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3"/>
      <c r="AF11" s="41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3"/>
      <c r="BJ11" s="42"/>
      <c r="BK11" s="44"/>
    </row>
    <row r="12" spans="1:63" ht="15" customHeight="1" x14ac:dyDescent="0.25">
      <c r="A12" s="40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3"/>
      <c r="AF12" s="41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3"/>
      <c r="BJ12" s="42"/>
      <c r="BK12" s="44"/>
    </row>
    <row r="13" spans="1:63" ht="15" customHeight="1" x14ac:dyDescent="0.25">
      <c r="A13" s="40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3"/>
      <c r="AF13" s="41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3"/>
      <c r="BJ13" s="42"/>
      <c r="BK13" s="44"/>
    </row>
    <row r="14" spans="1:63" ht="15" customHeight="1" x14ac:dyDescent="0.25">
      <c r="A14" s="40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3"/>
      <c r="AF14" s="41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3"/>
      <c r="BJ14" s="42"/>
      <c r="BK14" s="44"/>
    </row>
    <row r="15" spans="1:63" ht="15" customHeight="1" x14ac:dyDescent="0.25">
      <c r="A15" s="40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3"/>
      <c r="AF15" s="41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3"/>
      <c r="BJ15" s="42"/>
      <c r="BK15" s="44"/>
    </row>
    <row r="16" spans="1:63" ht="15" customHeight="1" x14ac:dyDescent="0.25">
      <c r="A16" s="40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3"/>
      <c r="AF16" s="41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3"/>
      <c r="BJ16" s="42"/>
      <c r="BK16" s="44"/>
    </row>
    <row r="17" spans="1:63" ht="15" customHeight="1" x14ac:dyDescent="0.25">
      <c r="A17" s="4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3"/>
      <c r="AF17" s="41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3"/>
      <c r="BJ17" s="42"/>
      <c r="BK17" s="44"/>
    </row>
    <row r="18" spans="1:63" ht="15" customHeight="1" x14ac:dyDescent="0.25">
      <c r="A18" s="40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3"/>
      <c r="AF18" s="41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3"/>
      <c r="BJ18" s="42"/>
      <c r="BK18" s="44"/>
    </row>
    <row r="19" spans="1:63" ht="15" customHeight="1" x14ac:dyDescent="0.25">
      <c r="A19" s="40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3"/>
      <c r="AF19" s="41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3"/>
      <c r="BJ19" s="42"/>
      <c r="BK19" s="44"/>
    </row>
    <row r="20" spans="1:63" ht="15" customHeight="1" x14ac:dyDescent="0.25">
      <c r="A20" s="40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3"/>
      <c r="AF20" s="41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3"/>
      <c r="BJ20" s="42"/>
      <c r="BK20" s="44"/>
    </row>
    <row r="21" spans="1:63" ht="15" customHeight="1" x14ac:dyDescent="0.25">
      <c r="A21" s="40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3"/>
      <c r="AF21" s="41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3"/>
      <c r="BJ21" s="42"/>
      <c r="BK21" s="44"/>
    </row>
    <row r="22" spans="1:63" ht="15" customHeight="1" x14ac:dyDescent="0.25">
      <c r="A22" s="40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4"/>
    </row>
    <row r="23" spans="1:63" ht="15" customHeight="1" x14ac:dyDescent="0.25">
      <c r="A23" s="40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3"/>
      <c r="AF23" s="41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3"/>
      <c r="BJ23" s="42"/>
      <c r="BK23" s="44"/>
    </row>
    <row r="24" spans="1:63" ht="15" customHeight="1" x14ac:dyDescent="0.25">
      <c r="A24" s="40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3"/>
      <c r="AF24" s="41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3"/>
      <c r="BJ24" s="42"/>
      <c r="BK24" s="44"/>
    </row>
    <row r="25" spans="1:63" ht="15" customHeight="1" x14ac:dyDescent="0.25">
      <c r="A25" s="40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3"/>
      <c r="AF25" s="41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3"/>
      <c r="BJ25" s="42"/>
      <c r="BK25" s="44"/>
    </row>
    <row r="26" spans="1:63" ht="15" customHeight="1" x14ac:dyDescent="0.25">
      <c r="A26" s="40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3"/>
      <c r="AF26" s="41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3"/>
      <c r="BJ26" s="42"/>
      <c r="BK26" s="44"/>
    </row>
    <row r="27" spans="1:63" ht="15" customHeight="1" x14ac:dyDescent="0.25">
      <c r="A27" s="40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3"/>
      <c r="AF27" s="41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3"/>
      <c r="BJ27" s="42"/>
      <c r="BK27" s="44"/>
    </row>
    <row r="28" spans="1:63" ht="15" customHeight="1" x14ac:dyDescent="0.25">
      <c r="A28" s="40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3"/>
      <c r="AF28" s="41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3"/>
      <c r="BJ28" s="42"/>
      <c r="BK28" s="44"/>
    </row>
    <row r="29" spans="1:63" ht="15" customHeight="1" x14ac:dyDescent="0.25">
      <c r="A29" s="4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3"/>
      <c r="AF29" s="41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3"/>
      <c r="BJ29" s="42"/>
      <c r="BK29" s="44"/>
    </row>
    <row r="30" spans="1:63" ht="15" customHeight="1" x14ac:dyDescent="0.25">
      <c r="A30" s="40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3"/>
      <c r="AF30" s="41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3"/>
      <c r="BJ30" s="42"/>
      <c r="BK30" s="44"/>
    </row>
    <row r="31" spans="1:63" ht="15" customHeight="1" x14ac:dyDescent="0.25">
      <c r="A31" s="4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3"/>
      <c r="AF31" s="41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3"/>
      <c r="BJ31" s="42"/>
      <c r="BK31" s="44"/>
    </row>
    <row r="32" spans="1:63" ht="15" customHeight="1" x14ac:dyDescent="0.25">
      <c r="A32" s="40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3"/>
      <c r="AF32" s="41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3"/>
      <c r="BJ32" s="42"/>
      <c r="BK32" s="44"/>
    </row>
    <row r="33" spans="1:63" ht="15" customHeight="1" x14ac:dyDescent="0.25">
      <c r="A33" s="4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3"/>
      <c r="AF33" s="41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3"/>
      <c r="BJ33" s="42"/>
      <c r="BK33" s="44"/>
    </row>
    <row r="34" spans="1:63" ht="15" customHeight="1" x14ac:dyDescent="0.25">
      <c r="A34" s="40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3"/>
      <c r="AF34" s="41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3"/>
      <c r="BJ34" s="42"/>
      <c r="BK34" s="44"/>
    </row>
    <row r="35" spans="1:63" ht="15" customHeight="1" x14ac:dyDescent="0.25">
      <c r="A35" s="40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3"/>
      <c r="AF35" s="41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3"/>
      <c r="BJ35" s="42"/>
      <c r="BK35" s="44"/>
    </row>
    <row r="36" spans="1:63" ht="15" customHeight="1" x14ac:dyDescent="0.25">
      <c r="A36" s="40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3"/>
      <c r="AF36" s="41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3"/>
      <c r="BJ36" s="42"/>
      <c r="BK36" s="44"/>
    </row>
    <row r="37" spans="1:63" ht="15" customHeight="1" x14ac:dyDescent="0.25">
      <c r="A37" s="40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1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3"/>
      <c r="BJ37" s="42"/>
      <c r="BK37" s="44"/>
    </row>
    <row r="38" spans="1:63" ht="15" customHeight="1" x14ac:dyDescent="0.25">
      <c r="A38" s="40"/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1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3"/>
      <c r="BJ38" s="42"/>
      <c r="BK38" s="44"/>
    </row>
    <row r="39" spans="1:63" ht="15" customHeight="1" x14ac:dyDescent="0.25">
      <c r="A39" s="40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1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3"/>
      <c r="BJ39" s="42"/>
      <c r="BK39" s="44"/>
    </row>
    <row r="40" spans="1:63" ht="15" customHeight="1" x14ac:dyDescent="0.25">
      <c r="A40" s="40"/>
      <c r="B40" s="41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1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3"/>
      <c r="BJ40" s="42"/>
      <c r="BK40" s="44"/>
    </row>
    <row r="41" spans="1:63" ht="15" customHeight="1" x14ac:dyDescent="0.25">
      <c r="A41" s="40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1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3"/>
      <c r="BJ41" s="42"/>
      <c r="BK41" s="44"/>
    </row>
    <row r="42" spans="1:63" ht="15" customHeight="1" x14ac:dyDescent="0.25">
      <c r="A42" s="40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4"/>
    </row>
    <row r="43" spans="1:63" ht="15" customHeight="1" x14ac:dyDescent="0.25">
      <c r="A43" s="40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3"/>
      <c r="AF43" s="41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3"/>
      <c r="BJ43" s="42"/>
      <c r="BK43" s="44"/>
    </row>
    <row r="44" spans="1:63" ht="15" customHeight="1" x14ac:dyDescent="0.25">
      <c r="A44" s="40"/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3"/>
      <c r="AF44" s="41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3"/>
      <c r="BJ44" s="42"/>
      <c r="BK44" s="44"/>
    </row>
    <row r="45" spans="1:63" ht="15" customHeight="1" x14ac:dyDescent="0.25">
      <c r="A45" s="40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3"/>
      <c r="AF45" s="41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3"/>
      <c r="BJ45" s="42"/>
      <c r="BK45" s="44"/>
    </row>
    <row r="46" spans="1:63" ht="15" customHeight="1" x14ac:dyDescent="0.25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3"/>
      <c r="AF46" s="41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3"/>
      <c r="BJ46" s="42"/>
      <c r="BK46" s="44"/>
    </row>
    <row r="47" spans="1:63" ht="15" customHeight="1" x14ac:dyDescent="0.25">
      <c r="A47" s="40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3"/>
      <c r="AF47" s="41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3"/>
      <c r="BJ47" s="42"/>
      <c r="BK47" s="44"/>
    </row>
    <row r="48" spans="1:63" ht="15" customHeight="1" x14ac:dyDescent="0.25">
      <c r="A48" s="40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3"/>
      <c r="AF48" s="41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3"/>
      <c r="BJ48" s="42"/>
      <c r="BK48" s="44"/>
    </row>
    <row r="49" spans="1:63" ht="15" customHeight="1" x14ac:dyDescent="0.25">
      <c r="A49" s="40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1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3"/>
      <c r="BJ49" s="42"/>
      <c r="BK49" s="44"/>
    </row>
    <row r="50" spans="1:63" ht="15" customHeight="1" x14ac:dyDescent="0.25">
      <c r="A50" s="40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1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3"/>
      <c r="BJ50" s="42"/>
      <c r="BK50" s="44"/>
    </row>
    <row r="51" spans="1:63" ht="15" customHeight="1" x14ac:dyDescent="0.25">
      <c r="A51" s="40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1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3"/>
      <c r="BJ51" s="42"/>
      <c r="BK51" s="44"/>
    </row>
    <row r="52" spans="1:63" ht="15" customHeight="1" x14ac:dyDescent="0.25">
      <c r="A52" s="40"/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1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3"/>
      <c r="BJ52" s="42"/>
      <c r="BK52" s="44"/>
    </row>
    <row r="53" spans="1:63" ht="15" customHeight="1" x14ac:dyDescent="0.25">
      <c r="A53" s="40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1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3"/>
      <c r="BJ53" s="42"/>
      <c r="BK53" s="44"/>
    </row>
    <row r="54" spans="1:63" ht="15" customHeight="1" x14ac:dyDescent="0.25">
      <c r="A54" s="40"/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1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3"/>
      <c r="BJ54" s="42"/>
      <c r="BK54" s="44"/>
    </row>
    <row r="55" spans="1:63" ht="15" customHeight="1" x14ac:dyDescent="0.25">
      <c r="A55" s="40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1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3"/>
      <c r="BJ55" s="42"/>
      <c r="BK55" s="44"/>
    </row>
    <row r="56" spans="1:63" ht="15" customHeight="1" x14ac:dyDescent="0.25">
      <c r="A56" s="40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1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3"/>
      <c r="BJ56" s="42"/>
      <c r="BK56" s="44"/>
    </row>
    <row r="57" spans="1:63" ht="15" customHeight="1" x14ac:dyDescent="0.25">
      <c r="A57" s="40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1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3"/>
      <c r="BJ57" s="42"/>
      <c r="BK57" s="44"/>
    </row>
    <row r="58" spans="1:63" ht="15" customHeight="1" x14ac:dyDescent="0.25">
      <c r="A58" s="40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1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3"/>
      <c r="BJ58" s="42"/>
      <c r="BK58" s="44"/>
    </row>
    <row r="59" spans="1:63" ht="15" customHeight="1" x14ac:dyDescent="0.25">
      <c r="A59" s="40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1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3"/>
      <c r="BJ59" s="42"/>
      <c r="BK59" s="44"/>
    </row>
    <row r="60" spans="1:63" ht="15" customHeight="1" x14ac:dyDescent="0.25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1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3"/>
      <c r="BJ60" s="42"/>
      <c r="BK60" s="44"/>
    </row>
    <row r="61" spans="1:63" ht="15" customHeight="1" x14ac:dyDescent="0.25">
      <c r="A61" s="42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1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3"/>
      <c r="BJ61" s="42"/>
      <c r="BK61" s="44"/>
    </row>
    <row r="62" spans="1:63" ht="15" customHeight="1" x14ac:dyDescent="0.25">
      <c r="A62" s="45"/>
      <c r="B62" s="46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7"/>
      <c r="AF62" s="46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7"/>
      <c r="BJ62" s="45"/>
      <c r="BK62" s="4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1" customWidth="1"/>
    <col min="66" max="16384" width="2.77734375" style="21"/>
  </cols>
  <sheetData>
    <row r="1" spans="1:65" ht="24.95" customHeight="1" x14ac:dyDescent="0.25">
      <c r="A1" s="74" t="s">
        <v>38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39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41</v>
      </c>
      <c r="AQ1" s="75"/>
      <c r="AR1" s="75"/>
      <c r="AS1" s="76"/>
      <c r="AT1" s="74" t="s">
        <v>42</v>
      </c>
      <c r="AU1" s="75"/>
      <c r="AV1" s="75"/>
      <c r="AW1" s="75"/>
      <c r="AX1" s="76"/>
      <c r="AY1" s="74" t="s">
        <v>43</v>
      </c>
      <c r="AZ1" s="75"/>
      <c r="BA1" s="75"/>
      <c r="BB1" s="76"/>
      <c r="BC1" s="74" t="s">
        <v>44</v>
      </c>
      <c r="BD1" s="75"/>
      <c r="BE1" s="75"/>
      <c r="BF1" s="75"/>
      <c r="BG1" s="76"/>
      <c r="BH1" s="74" t="s">
        <v>45</v>
      </c>
      <c r="BI1" s="75"/>
      <c r="BJ1" s="75"/>
      <c r="BK1" s="76"/>
    </row>
    <row r="2" spans="1:65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DuNT</v>
      </c>
      <c r="AQ2" s="78"/>
      <c r="AR2" s="78"/>
      <c r="AS2" s="79"/>
      <c r="AT2" s="104">
        <f>IF(表紙!AT2="","",表紙!AT2)</f>
        <v>45416</v>
      </c>
      <c r="AU2" s="105"/>
      <c r="AV2" s="105"/>
      <c r="AW2" s="105"/>
      <c r="AX2" s="106"/>
      <c r="AY2" s="77" t="str">
        <f>IF(表紙!AY2="","",表紙!AY2)</f>
        <v>DuNT</v>
      </c>
      <c r="AZ2" s="78"/>
      <c r="BA2" s="78"/>
      <c r="BB2" s="79"/>
      <c r="BC2" s="104">
        <f>IF(表紙!BC2="","",表紙!BC2)</f>
        <v>45531</v>
      </c>
      <c r="BD2" s="105"/>
      <c r="BE2" s="105"/>
      <c r="BF2" s="105"/>
      <c r="BG2" s="106"/>
      <c r="BH2" s="77">
        <f>IF(表紙!BH2="","",表紙!BH2)</f>
        <v>0.2</v>
      </c>
      <c r="BI2" s="78"/>
      <c r="BJ2" s="78"/>
      <c r="BK2" s="79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5" ht="24.95" customHeight="1" x14ac:dyDescent="0.25">
      <c r="A4" s="74" t="s">
        <v>47</v>
      </c>
      <c r="B4" s="75"/>
      <c r="C4" s="75"/>
      <c r="D4" s="75"/>
      <c r="E4" s="75"/>
      <c r="F4" s="75"/>
      <c r="G4" s="76"/>
      <c r="H4" s="95" t="str">
        <f>IF(表紙!H4="","",表紙!H4)</f>
        <v xml:space="preserve">08_カテゴリ値引/割引設定 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49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機能概要説明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4"/>
    </row>
    <row r="6" spans="1:65" ht="15" customHeight="1" x14ac:dyDescent="0.25">
      <c r="A6" s="25"/>
      <c r="BK6" s="26"/>
    </row>
    <row r="7" spans="1:65" ht="15" customHeight="1" x14ac:dyDescent="0.25">
      <c r="A7" s="25"/>
      <c r="K7" s="49"/>
      <c r="BK7" s="26"/>
      <c r="BM7" s="4">
        <f t="shared" ref="BM7:BM11" si="0">IF(BM6=50,1,BM6+1)</f>
        <v>1</v>
      </c>
    </row>
    <row r="8" spans="1:65" ht="15" customHeight="1" x14ac:dyDescent="0.25">
      <c r="A8" s="25"/>
      <c r="C8" s="21" t="s">
        <v>32</v>
      </c>
      <c r="K8" s="49"/>
      <c r="BK8" s="26"/>
      <c r="BM8" s="4">
        <f t="shared" si="0"/>
        <v>2</v>
      </c>
    </row>
    <row r="9" spans="1:65" ht="15" customHeight="1" x14ac:dyDescent="0.25">
      <c r="A9" s="25"/>
      <c r="C9" s="21" t="s">
        <v>37</v>
      </c>
      <c r="K9" s="49"/>
      <c r="BK9" s="26"/>
      <c r="BM9" s="4">
        <f t="shared" si="0"/>
        <v>3</v>
      </c>
    </row>
    <row r="10" spans="1:65" ht="15" customHeight="1" x14ac:dyDescent="0.25">
      <c r="A10" s="25"/>
      <c r="D10" s="21" t="s">
        <v>33</v>
      </c>
      <c r="K10" s="49"/>
      <c r="BK10" s="26"/>
      <c r="BM10" s="4">
        <f t="shared" si="0"/>
        <v>4</v>
      </c>
    </row>
    <row r="11" spans="1:65" s="49" customFormat="1" ht="15" customHeight="1" x14ac:dyDescent="0.25">
      <c r="A11" s="50"/>
      <c r="E11" s="49" t="s">
        <v>34</v>
      </c>
      <c r="BK11" s="51"/>
      <c r="BM11" s="4">
        <f t="shared" si="0"/>
        <v>5</v>
      </c>
    </row>
    <row r="12" spans="1:65" s="49" customFormat="1" ht="15" customHeight="1" x14ac:dyDescent="0.25">
      <c r="A12" s="50"/>
      <c r="F12" s="49" t="s">
        <v>35</v>
      </c>
      <c r="BK12" s="51"/>
      <c r="BM12" s="4">
        <f t="shared" ref="BM12:BM44" si="1">IF(BM11=50,1,BM11+1)</f>
        <v>6</v>
      </c>
    </row>
    <row r="13" spans="1:65" s="49" customFormat="1" ht="15" customHeight="1" x14ac:dyDescent="0.25">
      <c r="A13" s="50"/>
      <c r="G13" s="49" t="s">
        <v>36</v>
      </c>
      <c r="BK13" s="51"/>
      <c r="BM13" s="4">
        <f t="shared" si="1"/>
        <v>7</v>
      </c>
    </row>
    <row r="14" spans="1:65" s="49" customFormat="1" ht="15" customHeight="1" x14ac:dyDescent="0.25">
      <c r="A14" s="50"/>
      <c r="BK14" s="51"/>
      <c r="BM14" s="4">
        <f t="shared" si="1"/>
        <v>8</v>
      </c>
    </row>
    <row r="15" spans="1:65" s="49" customFormat="1" ht="15" customHeight="1" x14ac:dyDescent="0.25">
      <c r="A15" s="50"/>
      <c r="BK15" s="51"/>
      <c r="BM15" s="4">
        <f t="shared" si="1"/>
        <v>9</v>
      </c>
    </row>
    <row r="16" spans="1:65" s="49" customFormat="1" ht="15" customHeight="1" x14ac:dyDescent="0.25">
      <c r="A16" s="50"/>
      <c r="BK16" s="51"/>
      <c r="BM16" s="4">
        <f t="shared" si="1"/>
        <v>10</v>
      </c>
    </row>
    <row r="17" spans="1:65" s="49" customFormat="1" ht="15" customHeight="1" x14ac:dyDescent="0.25">
      <c r="A17" s="50"/>
      <c r="BK17" s="51"/>
      <c r="BM17" s="4">
        <f t="shared" si="1"/>
        <v>11</v>
      </c>
    </row>
    <row r="18" spans="1:65" s="49" customFormat="1" ht="15" customHeight="1" x14ac:dyDescent="0.25">
      <c r="A18" s="50"/>
      <c r="BK18" s="51"/>
      <c r="BM18" s="4">
        <f t="shared" si="1"/>
        <v>12</v>
      </c>
    </row>
    <row r="19" spans="1:65" s="49" customFormat="1" ht="15" customHeight="1" x14ac:dyDescent="0.25">
      <c r="A19" s="50"/>
      <c r="BK19" s="51"/>
      <c r="BM19" s="4">
        <f t="shared" si="1"/>
        <v>13</v>
      </c>
    </row>
    <row r="20" spans="1:65" s="49" customFormat="1" ht="15" customHeight="1" x14ac:dyDescent="0.25">
      <c r="A20" s="50"/>
      <c r="BK20" s="51"/>
      <c r="BM20" s="4">
        <f t="shared" si="1"/>
        <v>14</v>
      </c>
    </row>
    <row r="21" spans="1:65" s="49" customFormat="1" ht="15" customHeight="1" x14ac:dyDescent="0.25">
      <c r="A21" s="50"/>
      <c r="BK21" s="51"/>
      <c r="BM21" s="4">
        <f t="shared" si="1"/>
        <v>15</v>
      </c>
    </row>
    <row r="22" spans="1:65" s="49" customFormat="1" ht="15" customHeight="1" x14ac:dyDescent="0.25">
      <c r="A22" s="50"/>
      <c r="BK22" s="51"/>
      <c r="BM22" s="4">
        <f t="shared" si="1"/>
        <v>16</v>
      </c>
    </row>
    <row r="23" spans="1:65" s="49" customFormat="1" ht="15" customHeight="1" x14ac:dyDescent="0.25">
      <c r="A23" s="50"/>
      <c r="BK23" s="51"/>
      <c r="BM23" s="4">
        <f t="shared" si="1"/>
        <v>17</v>
      </c>
    </row>
    <row r="24" spans="1:65" s="49" customFormat="1" ht="15" customHeight="1" x14ac:dyDescent="0.25">
      <c r="A24" s="50"/>
      <c r="BK24" s="51"/>
      <c r="BM24" s="4">
        <f t="shared" si="1"/>
        <v>18</v>
      </c>
    </row>
    <row r="25" spans="1:65" s="49" customFormat="1" ht="15" customHeight="1" x14ac:dyDescent="0.25">
      <c r="A25" s="50"/>
      <c r="BK25" s="51"/>
      <c r="BM25" s="4">
        <f t="shared" si="1"/>
        <v>19</v>
      </c>
    </row>
    <row r="26" spans="1:65" s="49" customFormat="1" ht="15" customHeight="1" x14ac:dyDescent="0.25">
      <c r="A26" s="50"/>
      <c r="BK26" s="51"/>
      <c r="BM26" s="4">
        <f t="shared" si="1"/>
        <v>20</v>
      </c>
    </row>
    <row r="27" spans="1:65" s="49" customFormat="1" ht="15" customHeight="1" x14ac:dyDescent="0.25">
      <c r="A27" s="50"/>
      <c r="BK27" s="51"/>
      <c r="BM27" s="4">
        <f t="shared" si="1"/>
        <v>21</v>
      </c>
    </row>
    <row r="28" spans="1:65" s="49" customFormat="1" ht="15" customHeight="1" x14ac:dyDescent="0.25">
      <c r="A28" s="50"/>
      <c r="BK28" s="51"/>
      <c r="BM28" s="4">
        <f t="shared" si="1"/>
        <v>22</v>
      </c>
    </row>
    <row r="29" spans="1:65" s="49" customFormat="1" ht="15" customHeight="1" x14ac:dyDescent="0.25">
      <c r="A29" s="50"/>
      <c r="BK29" s="51"/>
      <c r="BM29" s="4">
        <f t="shared" si="1"/>
        <v>23</v>
      </c>
    </row>
    <row r="30" spans="1:65" s="49" customFormat="1" ht="15" customHeight="1" x14ac:dyDescent="0.25">
      <c r="A30" s="50"/>
      <c r="BK30" s="51"/>
      <c r="BM30" s="4">
        <f t="shared" si="1"/>
        <v>24</v>
      </c>
    </row>
    <row r="31" spans="1:65" s="49" customFormat="1" ht="15" customHeight="1" x14ac:dyDescent="0.25">
      <c r="A31" s="50"/>
      <c r="BK31" s="51"/>
      <c r="BM31" s="4">
        <f t="shared" si="1"/>
        <v>25</v>
      </c>
    </row>
    <row r="32" spans="1:65" s="49" customFormat="1" ht="15" customHeight="1" x14ac:dyDescent="0.25">
      <c r="A32" s="50"/>
      <c r="BK32" s="51"/>
      <c r="BM32" s="4">
        <f t="shared" si="1"/>
        <v>26</v>
      </c>
    </row>
    <row r="33" spans="1:65" s="49" customFormat="1" ht="15" customHeight="1" x14ac:dyDescent="0.25">
      <c r="A33" s="50"/>
      <c r="BK33" s="51"/>
      <c r="BM33" s="4">
        <f t="shared" si="1"/>
        <v>27</v>
      </c>
    </row>
    <row r="34" spans="1:65" s="49" customFormat="1" ht="15" customHeight="1" x14ac:dyDescent="0.25">
      <c r="A34" s="50"/>
      <c r="BK34" s="51"/>
      <c r="BM34" s="4">
        <f t="shared" si="1"/>
        <v>28</v>
      </c>
    </row>
    <row r="35" spans="1:65" s="49" customFormat="1" ht="15" customHeight="1" x14ac:dyDescent="0.25">
      <c r="A35" s="50"/>
      <c r="BK35" s="51"/>
      <c r="BM35" s="4">
        <f t="shared" si="1"/>
        <v>29</v>
      </c>
    </row>
    <row r="36" spans="1:65" s="49" customFormat="1" ht="15" customHeight="1" x14ac:dyDescent="0.25">
      <c r="A36" s="50"/>
      <c r="BK36" s="51"/>
      <c r="BM36" s="4">
        <f t="shared" si="1"/>
        <v>30</v>
      </c>
    </row>
    <row r="37" spans="1:65" s="49" customFormat="1" ht="15" customHeight="1" x14ac:dyDescent="0.25">
      <c r="A37" s="50"/>
      <c r="BK37" s="51"/>
      <c r="BM37" s="4">
        <f t="shared" si="1"/>
        <v>31</v>
      </c>
    </row>
    <row r="38" spans="1:65" s="49" customFormat="1" ht="15" customHeight="1" x14ac:dyDescent="0.25">
      <c r="A38" s="50"/>
      <c r="BK38" s="51"/>
      <c r="BM38" s="4">
        <f t="shared" si="1"/>
        <v>32</v>
      </c>
    </row>
    <row r="39" spans="1:65" s="49" customFormat="1" ht="15" customHeight="1" x14ac:dyDescent="0.25">
      <c r="A39" s="50"/>
      <c r="BK39" s="51"/>
      <c r="BM39" s="4">
        <f t="shared" si="1"/>
        <v>33</v>
      </c>
    </row>
    <row r="40" spans="1:65" s="49" customFormat="1" ht="15" customHeight="1" x14ac:dyDescent="0.25">
      <c r="A40" s="50"/>
      <c r="BK40" s="51"/>
      <c r="BM40" s="4">
        <f t="shared" si="1"/>
        <v>34</v>
      </c>
    </row>
    <row r="41" spans="1:65" s="49" customFormat="1" ht="15" customHeight="1" x14ac:dyDescent="0.25">
      <c r="A41" s="50"/>
      <c r="BK41" s="51"/>
      <c r="BM41" s="4">
        <f t="shared" si="1"/>
        <v>35</v>
      </c>
    </row>
    <row r="42" spans="1:65" s="49" customFormat="1" ht="15" customHeight="1" x14ac:dyDescent="0.25">
      <c r="A42" s="50"/>
      <c r="BK42" s="51"/>
      <c r="BM42" s="4">
        <f t="shared" si="1"/>
        <v>36</v>
      </c>
    </row>
    <row r="43" spans="1:65" s="49" customFormat="1" ht="15" customHeight="1" x14ac:dyDescent="0.25">
      <c r="A43" s="50"/>
      <c r="BK43" s="51"/>
      <c r="BM43" s="4">
        <f t="shared" si="1"/>
        <v>37</v>
      </c>
    </row>
    <row r="44" spans="1:65" s="49" customFormat="1" ht="15" customHeight="1" x14ac:dyDescent="0.25">
      <c r="A44" s="50"/>
      <c r="BK44" s="51"/>
      <c r="BM44" s="4">
        <f t="shared" si="1"/>
        <v>38</v>
      </c>
    </row>
    <row r="45" spans="1:65" s="49" customFormat="1" ht="15" customHeight="1" x14ac:dyDescent="0.25">
      <c r="A45" s="50"/>
      <c r="BK45" s="51"/>
      <c r="BM45" s="4">
        <f t="shared" ref="BM45:BM57" si="2">IF(BM44=50,1,BM44+1)</f>
        <v>39</v>
      </c>
    </row>
    <row r="46" spans="1:65" s="49" customFormat="1" ht="15" customHeight="1" x14ac:dyDescent="0.25">
      <c r="A46" s="50"/>
      <c r="BK46" s="51"/>
      <c r="BM46" s="4">
        <f t="shared" si="2"/>
        <v>40</v>
      </c>
    </row>
    <row r="47" spans="1:65" s="49" customFormat="1" ht="15" customHeight="1" x14ac:dyDescent="0.25">
      <c r="A47" s="50"/>
      <c r="BK47" s="51"/>
      <c r="BM47" s="4">
        <f t="shared" si="2"/>
        <v>41</v>
      </c>
    </row>
    <row r="48" spans="1:65" s="49" customFormat="1" ht="15" customHeight="1" x14ac:dyDescent="0.25">
      <c r="A48" s="50"/>
      <c r="BK48" s="51"/>
      <c r="BM48" s="4">
        <f t="shared" si="2"/>
        <v>42</v>
      </c>
    </row>
    <row r="49" spans="1:65" s="49" customFormat="1" ht="15" customHeight="1" x14ac:dyDescent="0.25">
      <c r="A49" s="50"/>
      <c r="BK49" s="51"/>
      <c r="BM49" s="4">
        <f t="shared" si="2"/>
        <v>43</v>
      </c>
    </row>
    <row r="50" spans="1:65" s="49" customFormat="1" ht="15" customHeight="1" x14ac:dyDescent="0.25">
      <c r="A50" s="50"/>
      <c r="BK50" s="51"/>
      <c r="BM50" s="4">
        <f t="shared" si="2"/>
        <v>44</v>
      </c>
    </row>
    <row r="51" spans="1:65" s="49" customFormat="1" ht="15" customHeight="1" x14ac:dyDescent="0.25">
      <c r="A51" s="50"/>
      <c r="BK51" s="51"/>
      <c r="BM51" s="4">
        <f t="shared" si="2"/>
        <v>45</v>
      </c>
    </row>
    <row r="52" spans="1:65" s="49" customFormat="1" ht="15" customHeight="1" x14ac:dyDescent="0.25">
      <c r="A52" s="50"/>
      <c r="BK52" s="51"/>
      <c r="BM52" s="4">
        <f t="shared" si="2"/>
        <v>46</v>
      </c>
    </row>
    <row r="53" spans="1:65" s="49" customFormat="1" ht="15" customHeight="1" x14ac:dyDescent="0.25">
      <c r="A53" s="50"/>
      <c r="BK53" s="51"/>
      <c r="BM53" s="4">
        <f t="shared" si="2"/>
        <v>47</v>
      </c>
    </row>
    <row r="54" spans="1:65" s="49" customFormat="1" ht="15" customHeight="1" x14ac:dyDescent="0.25">
      <c r="A54" s="50"/>
      <c r="BK54" s="51"/>
      <c r="BM54" s="4">
        <f t="shared" si="2"/>
        <v>48</v>
      </c>
    </row>
    <row r="55" spans="1:65" s="49" customFormat="1" ht="15" customHeight="1" x14ac:dyDescent="0.25">
      <c r="A55" s="50"/>
      <c r="BK55" s="51"/>
      <c r="BM55" s="4">
        <f t="shared" si="2"/>
        <v>49</v>
      </c>
    </row>
    <row r="56" spans="1:65" s="49" customFormat="1" ht="15" customHeight="1" x14ac:dyDescent="0.25">
      <c r="A56" s="50"/>
      <c r="BK56" s="51"/>
      <c r="BM56" s="4">
        <f t="shared" si="2"/>
        <v>50</v>
      </c>
    </row>
    <row r="57" spans="1:65" s="49" customFormat="1" ht="15" customHeight="1" x14ac:dyDescent="0.25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4"/>
      <c r="BM57" s="4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EM21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1" customWidth="1"/>
    <col min="66" max="16384" width="2.77734375" style="21"/>
  </cols>
  <sheetData>
    <row r="1" spans="1:65" ht="24.95" customHeight="1" x14ac:dyDescent="0.25">
      <c r="A1" s="74" t="s">
        <v>38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39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41</v>
      </c>
      <c r="AQ1" s="75"/>
      <c r="AR1" s="75"/>
      <c r="AS1" s="76"/>
      <c r="AT1" s="74" t="s">
        <v>42</v>
      </c>
      <c r="AU1" s="75"/>
      <c r="AV1" s="75"/>
      <c r="AW1" s="75"/>
      <c r="AX1" s="76"/>
      <c r="AY1" s="74" t="s">
        <v>43</v>
      </c>
      <c r="AZ1" s="75"/>
      <c r="BA1" s="75"/>
      <c r="BB1" s="76"/>
      <c r="BC1" s="74" t="s">
        <v>44</v>
      </c>
      <c r="BD1" s="75"/>
      <c r="BE1" s="75"/>
      <c r="BF1" s="75"/>
      <c r="BG1" s="76"/>
      <c r="BH1" s="74" t="s">
        <v>45</v>
      </c>
      <c r="BI1" s="75"/>
      <c r="BJ1" s="75"/>
      <c r="BK1" s="76"/>
    </row>
    <row r="2" spans="1:65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DuNT</v>
      </c>
      <c r="AQ2" s="78"/>
      <c r="AR2" s="78"/>
      <c r="AS2" s="79"/>
      <c r="AT2" s="104">
        <f>IF(表紙!AT2="","",表紙!AT2)</f>
        <v>45416</v>
      </c>
      <c r="AU2" s="105"/>
      <c r="AV2" s="105"/>
      <c r="AW2" s="105"/>
      <c r="AX2" s="106"/>
      <c r="AY2" s="77" t="str">
        <f>IF(表紙!AY2="","",表紙!AY2)</f>
        <v>DuNT</v>
      </c>
      <c r="AZ2" s="78"/>
      <c r="BA2" s="78"/>
      <c r="BB2" s="79"/>
      <c r="BC2" s="104">
        <f>IF(表紙!BC2="","",表紙!BC2)</f>
        <v>45531</v>
      </c>
      <c r="BD2" s="105"/>
      <c r="BE2" s="105"/>
      <c r="BF2" s="105"/>
      <c r="BG2" s="106"/>
      <c r="BH2" s="77">
        <f>IF(表紙!BH2="","",表紙!BH2)</f>
        <v>0.2</v>
      </c>
      <c r="BI2" s="78"/>
      <c r="BJ2" s="78"/>
      <c r="BK2" s="79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5" ht="24.95" customHeight="1" x14ac:dyDescent="0.25">
      <c r="A4" s="74" t="s">
        <v>47</v>
      </c>
      <c r="B4" s="75"/>
      <c r="C4" s="75"/>
      <c r="D4" s="75"/>
      <c r="E4" s="75"/>
      <c r="F4" s="75"/>
      <c r="G4" s="76"/>
      <c r="H4" s="95" t="str">
        <f>IF(表紙!H4="","",表紙!H4)</f>
        <v xml:space="preserve">08_カテゴリ値引/割引設定 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49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4"/>
    </row>
    <row r="6" spans="1:65" ht="15" customHeight="1" x14ac:dyDescent="0.25">
      <c r="A6" s="25"/>
      <c r="BK6" s="26"/>
    </row>
    <row r="7" spans="1:65" ht="15" customHeight="1" x14ac:dyDescent="0.25">
      <c r="A7" s="25"/>
      <c r="B7" s="55" t="s">
        <v>55</v>
      </c>
      <c r="C7" s="56"/>
      <c r="D7" s="57"/>
      <c r="E7" s="57"/>
      <c r="F7" s="57"/>
      <c r="G7" s="57"/>
      <c r="H7" s="57"/>
      <c r="I7" s="57"/>
      <c r="J7" s="57"/>
      <c r="K7" s="58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6"/>
    </row>
    <row r="8" spans="1:65" ht="15" customHeight="1" x14ac:dyDescent="0.25">
      <c r="A8" s="25"/>
      <c r="B8" s="59"/>
      <c r="K8" s="60"/>
      <c r="U8" s="59"/>
      <c r="AD8" s="59"/>
      <c r="AM8" s="59"/>
      <c r="BI8" s="61"/>
      <c r="BK8" s="26"/>
      <c r="BM8" s="4">
        <f t="shared" ref="BM8:BM37" si="0">IF(BM7=50,1,BM7+1)</f>
        <v>1</v>
      </c>
    </row>
    <row r="9" spans="1:65" ht="15" customHeight="1" x14ac:dyDescent="0.25">
      <c r="A9" s="25"/>
      <c r="B9" s="59"/>
      <c r="K9" s="60"/>
      <c r="U9" s="59"/>
      <c r="AD9" s="59"/>
      <c r="AM9" s="59"/>
      <c r="BI9" s="61"/>
      <c r="BK9" s="26"/>
      <c r="BM9" s="4">
        <f t="shared" si="0"/>
        <v>2</v>
      </c>
    </row>
    <row r="10" spans="1:65" ht="15" customHeight="1" x14ac:dyDescent="0.25">
      <c r="A10" s="25"/>
      <c r="B10" s="59"/>
      <c r="K10" s="60"/>
      <c r="U10" s="59"/>
      <c r="AD10" s="59"/>
      <c r="AM10" s="59"/>
      <c r="BI10" s="61"/>
      <c r="BK10" s="26"/>
      <c r="BM10" s="4">
        <f t="shared" si="0"/>
        <v>3</v>
      </c>
    </row>
    <row r="11" spans="1:65" ht="15" customHeight="1" x14ac:dyDescent="0.25">
      <c r="A11" s="25"/>
      <c r="B11" s="59"/>
      <c r="K11" s="60"/>
      <c r="U11" s="59"/>
      <c r="AD11" s="59"/>
      <c r="AM11" s="59"/>
      <c r="BI11" s="61"/>
      <c r="BK11" s="26"/>
      <c r="BM11" s="4">
        <f t="shared" si="0"/>
        <v>4</v>
      </c>
    </row>
    <row r="12" spans="1:65" ht="15" customHeight="1" x14ac:dyDescent="0.25">
      <c r="A12" s="25"/>
      <c r="B12" s="59"/>
      <c r="K12" s="60"/>
      <c r="U12" s="59"/>
      <c r="AD12" s="59"/>
      <c r="AM12" s="59"/>
      <c r="BI12" s="61"/>
      <c r="BK12" s="26"/>
      <c r="BM12" s="4">
        <f t="shared" si="0"/>
        <v>5</v>
      </c>
    </row>
    <row r="13" spans="1:65" ht="15" customHeight="1" x14ac:dyDescent="0.25">
      <c r="A13" s="25"/>
      <c r="B13" s="59"/>
      <c r="K13" s="60"/>
      <c r="U13" s="59"/>
      <c r="AD13" s="59"/>
      <c r="AM13" s="59"/>
      <c r="BI13" s="61"/>
      <c r="BK13" s="26"/>
      <c r="BM13" s="4">
        <f t="shared" si="0"/>
        <v>6</v>
      </c>
    </row>
    <row r="14" spans="1:65" ht="15" customHeight="1" x14ac:dyDescent="0.25">
      <c r="A14" s="25"/>
      <c r="B14" s="59"/>
      <c r="K14" s="60"/>
      <c r="U14" s="59"/>
      <c r="AD14" s="59"/>
      <c r="AM14" s="59"/>
      <c r="BI14" s="61"/>
      <c r="BK14" s="26"/>
      <c r="BM14" s="4">
        <f t="shared" si="0"/>
        <v>7</v>
      </c>
    </row>
    <row r="15" spans="1:65" ht="15" customHeight="1" x14ac:dyDescent="0.25">
      <c r="A15" s="25"/>
      <c r="B15" s="59"/>
      <c r="K15" s="60"/>
      <c r="U15" s="59"/>
      <c r="AD15" s="59"/>
      <c r="AM15" s="59"/>
      <c r="BI15" s="61"/>
      <c r="BK15" s="26"/>
      <c r="BM15" s="4">
        <f t="shared" si="0"/>
        <v>8</v>
      </c>
    </row>
    <row r="16" spans="1:65" ht="15" customHeight="1" x14ac:dyDescent="0.25">
      <c r="A16" s="25"/>
      <c r="B16" s="59"/>
      <c r="K16" s="60"/>
      <c r="U16" s="59"/>
      <c r="AD16" s="59"/>
      <c r="AM16" s="59"/>
      <c r="BI16" s="61"/>
      <c r="BK16" s="26"/>
      <c r="BM16" s="4">
        <f t="shared" si="0"/>
        <v>9</v>
      </c>
    </row>
    <row r="17" spans="1:65" ht="15" customHeight="1" x14ac:dyDescent="0.25">
      <c r="A17" s="25"/>
      <c r="B17" s="59"/>
      <c r="K17" s="60"/>
      <c r="U17" s="59"/>
      <c r="AD17" s="59"/>
      <c r="AM17" s="59"/>
      <c r="BI17" s="61"/>
      <c r="BK17" s="26"/>
      <c r="BM17" s="4">
        <f t="shared" si="0"/>
        <v>10</v>
      </c>
    </row>
    <row r="18" spans="1:65" ht="15" customHeight="1" x14ac:dyDescent="0.25">
      <c r="A18" s="25"/>
      <c r="B18" s="59"/>
      <c r="K18" s="60"/>
      <c r="U18" s="59"/>
      <c r="AD18" s="59"/>
      <c r="AM18" s="59"/>
      <c r="BI18" s="61"/>
      <c r="BK18" s="26"/>
      <c r="BM18" s="4">
        <f t="shared" si="0"/>
        <v>11</v>
      </c>
    </row>
    <row r="19" spans="1:65" ht="15" customHeight="1" x14ac:dyDescent="0.25">
      <c r="A19" s="25"/>
      <c r="B19" s="59"/>
      <c r="K19" s="60"/>
      <c r="U19" s="59"/>
      <c r="AD19" s="59"/>
      <c r="AM19" s="59"/>
      <c r="BI19" s="61"/>
      <c r="BK19" s="26"/>
      <c r="BM19" s="4">
        <f t="shared" si="0"/>
        <v>12</v>
      </c>
    </row>
    <row r="20" spans="1:65" ht="15" customHeight="1" x14ac:dyDescent="0.25">
      <c r="A20" s="25"/>
      <c r="B20" s="59"/>
      <c r="K20" s="60"/>
      <c r="U20" s="59"/>
      <c r="AD20" s="59"/>
      <c r="AM20" s="59"/>
      <c r="BI20" s="61"/>
      <c r="BK20" s="26"/>
      <c r="BM20" s="4">
        <f t="shared" si="0"/>
        <v>13</v>
      </c>
    </row>
    <row r="21" spans="1:65" ht="15" customHeight="1" x14ac:dyDescent="0.25">
      <c r="A21" s="25"/>
      <c r="B21" s="59"/>
      <c r="K21" s="60"/>
      <c r="U21" s="59"/>
      <c r="AD21" s="59"/>
      <c r="AM21" s="59"/>
      <c r="BI21" s="61"/>
      <c r="BK21" s="26"/>
      <c r="BM21" s="4">
        <f t="shared" si="0"/>
        <v>14</v>
      </c>
    </row>
    <row r="22" spans="1:65" s="49" customFormat="1" ht="15" customHeight="1" x14ac:dyDescent="0.25">
      <c r="A22" s="50"/>
      <c r="B22" s="59"/>
      <c r="K22" s="60"/>
      <c r="L22" s="62"/>
      <c r="T22" s="60"/>
      <c r="U22" s="62"/>
      <c r="AC22" s="60"/>
      <c r="AD22" s="62"/>
      <c r="AL22" s="60"/>
      <c r="AM22" s="62"/>
      <c r="BI22" s="60"/>
      <c r="BK22" s="51"/>
      <c r="BM22" s="4">
        <f t="shared" si="0"/>
        <v>15</v>
      </c>
    </row>
    <row r="23" spans="1:65" s="49" customFormat="1" ht="15" customHeight="1" x14ac:dyDescent="0.25">
      <c r="A23" s="50"/>
      <c r="B23" s="59"/>
      <c r="K23" s="60"/>
      <c r="L23" s="62"/>
      <c r="T23" s="60"/>
      <c r="U23" s="62"/>
      <c r="AC23" s="60"/>
      <c r="AD23" s="62"/>
      <c r="AL23" s="60"/>
      <c r="AM23" s="62"/>
      <c r="BI23" s="60"/>
      <c r="BK23" s="51"/>
      <c r="BM23" s="4">
        <f t="shared" si="0"/>
        <v>16</v>
      </c>
    </row>
    <row r="24" spans="1:65" s="49" customFormat="1" ht="15" customHeight="1" x14ac:dyDescent="0.25">
      <c r="A24" s="50"/>
      <c r="B24" s="59"/>
      <c r="K24" s="60"/>
      <c r="L24" s="62"/>
      <c r="T24" s="60"/>
      <c r="U24" s="62"/>
      <c r="AC24" s="60"/>
      <c r="AD24" s="62"/>
      <c r="AL24" s="60"/>
      <c r="AM24" s="62"/>
      <c r="BI24" s="60"/>
      <c r="BK24" s="51"/>
      <c r="BM24" s="4">
        <f t="shared" si="0"/>
        <v>17</v>
      </c>
    </row>
    <row r="25" spans="1:65" s="49" customFormat="1" ht="15" customHeight="1" x14ac:dyDescent="0.25">
      <c r="A25" s="50"/>
      <c r="B25" s="59"/>
      <c r="K25" s="60"/>
      <c r="L25" s="62"/>
      <c r="T25" s="60"/>
      <c r="U25" s="62"/>
      <c r="AC25" s="60"/>
      <c r="AD25" s="62"/>
      <c r="AL25" s="60"/>
      <c r="AM25" s="62"/>
      <c r="BI25" s="60"/>
      <c r="BK25" s="51"/>
      <c r="BM25" s="4">
        <f t="shared" si="0"/>
        <v>18</v>
      </c>
    </row>
    <row r="26" spans="1:65" s="49" customFormat="1" ht="15" customHeight="1" x14ac:dyDescent="0.25">
      <c r="A26" s="50"/>
      <c r="B26" s="59"/>
      <c r="K26" s="60"/>
      <c r="L26" s="62"/>
      <c r="T26" s="60"/>
      <c r="U26" s="62"/>
      <c r="AC26" s="60"/>
      <c r="AD26" s="62"/>
      <c r="AL26" s="60"/>
      <c r="AM26" s="62"/>
      <c r="BI26" s="60"/>
      <c r="BK26" s="51"/>
      <c r="BM26" s="4">
        <f t="shared" si="0"/>
        <v>19</v>
      </c>
    </row>
    <row r="27" spans="1:65" s="49" customFormat="1" ht="15" customHeight="1" x14ac:dyDescent="0.25">
      <c r="A27" s="50"/>
      <c r="B27" s="59"/>
      <c r="K27" s="60"/>
      <c r="L27" s="62"/>
      <c r="T27" s="60"/>
      <c r="U27" s="62"/>
      <c r="AC27" s="60"/>
      <c r="AD27" s="62"/>
      <c r="AL27" s="60"/>
      <c r="AM27" s="62"/>
      <c r="BI27" s="60"/>
      <c r="BK27" s="51"/>
      <c r="BM27" s="4">
        <f t="shared" si="0"/>
        <v>20</v>
      </c>
    </row>
    <row r="28" spans="1:65" s="49" customFormat="1" ht="15" customHeight="1" x14ac:dyDescent="0.25">
      <c r="A28" s="50"/>
      <c r="B28" s="59"/>
      <c r="K28" s="60"/>
      <c r="L28" s="62"/>
      <c r="T28" s="60"/>
      <c r="U28" s="62"/>
      <c r="AC28" s="60"/>
      <c r="AD28" s="62"/>
      <c r="AL28" s="60"/>
      <c r="AM28" s="62"/>
      <c r="BI28" s="60"/>
      <c r="BK28" s="51"/>
      <c r="BM28" s="4">
        <f t="shared" si="0"/>
        <v>21</v>
      </c>
    </row>
    <row r="29" spans="1:65" s="49" customFormat="1" ht="15" customHeight="1" x14ac:dyDescent="0.25">
      <c r="A29" s="50"/>
      <c r="B29" s="59"/>
      <c r="K29" s="60"/>
      <c r="L29" s="62"/>
      <c r="T29" s="60"/>
      <c r="U29" s="62"/>
      <c r="AC29" s="60"/>
      <c r="AD29" s="62"/>
      <c r="AL29" s="60"/>
      <c r="AM29" s="62"/>
      <c r="BI29" s="60"/>
      <c r="BK29" s="51"/>
      <c r="BM29" s="4">
        <f t="shared" si="0"/>
        <v>22</v>
      </c>
    </row>
    <row r="30" spans="1:65" s="49" customFormat="1" ht="15" customHeight="1" x14ac:dyDescent="0.25">
      <c r="A30" s="50"/>
      <c r="B30" s="59"/>
      <c r="K30" s="60"/>
      <c r="L30" s="62"/>
      <c r="T30" s="60"/>
      <c r="U30" s="62"/>
      <c r="AC30" s="60"/>
      <c r="AD30" s="62"/>
      <c r="AL30" s="60"/>
      <c r="AM30" s="62"/>
      <c r="BI30" s="60"/>
      <c r="BK30" s="51"/>
      <c r="BM30" s="4">
        <f t="shared" si="0"/>
        <v>23</v>
      </c>
    </row>
    <row r="31" spans="1:65" s="49" customFormat="1" ht="15" customHeight="1" x14ac:dyDescent="0.25">
      <c r="A31" s="50"/>
      <c r="B31" s="59"/>
      <c r="K31" s="60"/>
      <c r="L31" s="62"/>
      <c r="T31" s="60"/>
      <c r="U31" s="62"/>
      <c r="AC31" s="60"/>
      <c r="AD31" s="62"/>
      <c r="AL31" s="60"/>
      <c r="AM31" s="62"/>
      <c r="BI31" s="60"/>
      <c r="BK31" s="51"/>
      <c r="BM31" s="4">
        <f t="shared" si="0"/>
        <v>24</v>
      </c>
    </row>
    <row r="32" spans="1:65" s="49" customFormat="1" ht="15" customHeight="1" x14ac:dyDescent="0.25">
      <c r="A32" s="50"/>
      <c r="B32" s="59"/>
      <c r="K32" s="60"/>
      <c r="L32" s="62"/>
      <c r="T32" s="60"/>
      <c r="U32" s="62"/>
      <c r="AC32" s="60"/>
      <c r="AD32" s="62"/>
      <c r="AL32" s="60"/>
      <c r="AM32" s="62"/>
      <c r="BI32" s="60"/>
      <c r="BK32" s="51"/>
      <c r="BM32" s="4">
        <f t="shared" si="0"/>
        <v>25</v>
      </c>
    </row>
    <row r="33" spans="1:65" s="49" customFormat="1" ht="15" customHeight="1" x14ac:dyDescent="0.25">
      <c r="A33" s="50"/>
      <c r="B33" s="59"/>
      <c r="K33" s="60"/>
      <c r="L33" s="62"/>
      <c r="T33" s="60"/>
      <c r="U33" s="62"/>
      <c r="AC33" s="60"/>
      <c r="AD33" s="62"/>
      <c r="AL33" s="60"/>
      <c r="AM33" s="62"/>
      <c r="BI33" s="60"/>
      <c r="BK33" s="51"/>
      <c r="BM33" s="4">
        <f t="shared" si="0"/>
        <v>26</v>
      </c>
    </row>
    <row r="34" spans="1:65" s="49" customFormat="1" ht="15" customHeight="1" x14ac:dyDescent="0.25">
      <c r="A34" s="50"/>
      <c r="B34" s="59"/>
      <c r="K34" s="60"/>
      <c r="L34" s="62"/>
      <c r="T34" s="60"/>
      <c r="U34" s="62"/>
      <c r="AC34" s="60"/>
      <c r="AD34" s="62"/>
      <c r="AL34" s="60"/>
      <c r="AM34" s="62"/>
      <c r="BI34" s="60"/>
      <c r="BK34" s="51"/>
      <c r="BM34" s="4">
        <f t="shared" si="0"/>
        <v>27</v>
      </c>
    </row>
    <row r="35" spans="1:65" s="49" customFormat="1" ht="15" customHeight="1" x14ac:dyDescent="0.25">
      <c r="A35" s="50"/>
      <c r="B35" s="59"/>
      <c r="K35" s="60"/>
      <c r="L35" s="62"/>
      <c r="T35" s="60"/>
      <c r="U35" s="62"/>
      <c r="AC35" s="60"/>
      <c r="AD35" s="62"/>
      <c r="AL35" s="60"/>
      <c r="AM35" s="62"/>
      <c r="BI35" s="60"/>
      <c r="BK35" s="51"/>
      <c r="BM35" s="4">
        <f t="shared" si="0"/>
        <v>28</v>
      </c>
    </row>
    <row r="36" spans="1:65" s="49" customFormat="1" ht="15" customHeight="1" x14ac:dyDescent="0.25">
      <c r="A36" s="50"/>
      <c r="B36" s="59"/>
      <c r="K36" s="60"/>
      <c r="L36" s="62"/>
      <c r="T36" s="60"/>
      <c r="U36" s="62"/>
      <c r="AC36" s="60"/>
      <c r="AD36" s="62"/>
      <c r="AL36" s="60"/>
      <c r="AM36" s="62"/>
      <c r="BI36" s="60"/>
      <c r="BK36" s="51"/>
      <c r="BM36" s="4">
        <f t="shared" si="0"/>
        <v>29</v>
      </c>
    </row>
    <row r="37" spans="1:65" s="49" customFormat="1" ht="15" customHeight="1" x14ac:dyDescent="0.25">
      <c r="A37" s="50"/>
      <c r="B37" s="59"/>
      <c r="K37" s="60"/>
      <c r="L37" s="62"/>
      <c r="T37" s="60"/>
      <c r="U37" s="62"/>
      <c r="AC37" s="60"/>
      <c r="AD37" s="62"/>
      <c r="AL37" s="60"/>
      <c r="AM37" s="62"/>
      <c r="BI37" s="60"/>
      <c r="BK37" s="51"/>
      <c r="BM37" s="4">
        <f t="shared" si="0"/>
        <v>30</v>
      </c>
    </row>
    <row r="38" spans="1:65" s="49" customFormat="1" ht="15" customHeight="1" x14ac:dyDescent="0.25">
      <c r="A38" s="50"/>
      <c r="B38" s="59"/>
      <c r="K38" s="60"/>
      <c r="L38" s="62"/>
      <c r="T38" s="60"/>
      <c r="U38" s="62"/>
      <c r="AC38" s="60"/>
      <c r="AD38" s="62"/>
      <c r="AL38" s="60"/>
      <c r="AM38" s="62"/>
      <c r="BI38" s="60"/>
      <c r="BK38" s="51"/>
      <c r="BM38" s="4">
        <f>IF(BM37=50,1,BM37+1)</f>
        <v>31</v>
      </c>
    </row>
    <row r="39" spans="1:65" s="49" customFormat="1" ht="15" customHeight="1" x14ac:dyDescent="0.25">
      <c r="A39" s="50"/>
      <c r="B39" s="59"/>
      <c r="K39" s="60"/>
      <c r="L39" s="62"/>
      <c r="T39" s="60"/>
      <c r="U39" s="62"/>
      <c r="AC39" s="60"/>
      <c r="AD39" s="62"/>
      <c r="AL39" s="60"/>
      <c r="AM39" s="62"/>
      <c r="BI39" s="60"/>
      <c r="BK39" s="51"/>
      <c r="BM39" s="4">
        <f t="shared" ref="BM39:BM108" si="1">IF(BM38=50,1,BM38+1)</f>
        <v>32</v>
      </c>
    </row>
    <row r="40" spans="1:65" s="49" customFormat="1" ht="15" customHeight="1" x14ac:dyDescent="0.25">
      <c r="A40" s="50"/>
      <c r="B40" s="59"/>
      <c r="K40" s="60"/>
      <c r="L40" s="62"/>
      <c r="T40" s="60"/>
      <c r="U40" s="62"/>
      <c r="AC40" s="60"/>
      <c r="AD40" s="62"/>
      <c r="AL40" s="60"/>
      <c r="AM40" s="62"/>
      <c r="BI40" s="60"/>
      <c r="BK40" s="51"/>
      <c r="BM40" s="4">
        <f t="shared" si="1"/>
        <v>33</v>
      </c>
    </row>
    <row r="41" spans="1:65" s="49" customFormat="1" ht="15" customHeight="1" x14ac:dyDescent="0.25">
      <c r="A41" s="50"/>
      <c r="B41" s="59"/>
      <c r="K41" s="60"/>
      <c r="L41" s="62"/>
      <c r="T41" s="60"/>
      <c r="U41" s="62"/>
      <c r="AC41" s="60"/>
      <c r="AD41" s="62"/>
      <c r="AL41" s="60"/>
      <c r="AM41" s="62"/>
      <c r="BI41" s="60"/>
      <c r="BK41" s="51"/>
      <c r="BM41" s="4">
        <f t="shared" si="1"/>
        <v>34</v>
      </c>
    </row>
    <row r="42" spans="1:65" s="49" customFormat="1" ht="15" customHeight="1" x14ac:dyDescent="0.25">
      <c r="A42" s="50"/>
      <c r="B42" s="59"/>
      <c r="K42" s="60"/>
      <c r="L42" s="62"/>
      <c r="T42" s="60"/>
      <c r="U42" s="62"/>
      <c r="AC42" s="60"/>
      <c r="AD42" s="62"/>
      <c r="AL42" s="60"/>
      <c r="AM42" s="62"/>
      <c r="BI42" s="60"/>
      <c r="BK42" s="51"/>
      <c r="BM42" s="4">
        <f t="shared" si="1"/>
        <v>35</v>
      </c>
    </row>
    <row r="43" spans="1:65" s="49" customFormat="1" ht="15" customHeight="1" x14ac:dyDescent="0.25">
      <c r="A43" s="50"/>
      <c r="B43" s="59"/>
      <c r="K43" s="60"/>
      <c r="L43" s="62"/>
      <c r="T43" s="60"/>
      <c r="U43" s="62"/>
      <c r="AC43" s="60"/>
      <c r="AD43" s="62"/>
      <c r="AL43" s="60"/>
      <c r="AM43" s="62"/>
      <c r="BI43" s="60"/>
      <c r="BK43" s="51"/>
      <c r="BM43" s="4">
        <f t="shared" si="1"/>
        <v>36</v>
      </c>
    </row>
    <row r="44" spans="1:65" s="49" customFormat="1" ht="15" customHeight="1" x14ac:dyDescent="0.25">
      <c r="A44" s="50"/>
      <c r="B44" s="59"/>
      <c r="K44" s="60"/>
      <c r="L44" s="62"/>
      <c r="T44" s="60"/>
      <c r="U44" s="62"/>
      <c r="AC44" s="60"/>
      <c r="AD44" s="62"/>
      <c r="AL44" s="60"/>
      <c r="AM44" s="62"/>
      <c r="BI44" s="60"/>
      <c r="BK44" s="51"/>
      <c r="BM44" s="4">
        <f t="shared" si="1"/>
        <v>37</v>
      </c>
    </row>
    <row r="45" spans="1:65" s="49" customFormat="1" ht="15" customHeight="1" x14ac:dyDescent="0.25">
      <c r="A45" s="50"/>
      <c r="B45" s="59"/>
      <c r="K45" s="60"/>
      <c r="L45" s="62"/>
      <c r="T45" s="60"/>
      <c r="U45" s="62"/>
      <c r="AC45" s="60"/>
      <c r="AD45" s="62"/>
      <c r="AL45" s="60"/>
      <c r="AM45" s="62"/>
      <c r="BI45" s="60"/>
      <c r="BK45" s="51"/>
      <c r="BM45" s="4">
        <f t="shared" si="1"/>
        <v>38</v>
      </c>
    </row>
    <row r="46" spans="1:65" s="49" customFormat="1" ht="15" customHeight="1" x14ac:dyDescent="0.25">
      <c r="A46" s="50"/>
      <c r="B46" s="59"/>
      <c r="K46" s="60"/>
      <c r="L46" s="62"/>
      <c r="T46" s="60"/>
      <c r="U46" s="62"/>
      <c r="AC46" s="60"/>
      <c r="AD46" s="62"/>
      <c r="AL46" s="60"/>
      <c r="AM46" s="62"/>
      <c r="BI46" s="60"/>
      <c r="BK46" s="51"/>
      <c r="BM46" s="4">
        <f t="shared" si="1"/>
        <v>39</v>
      </c>
    </row>
    <row r="47" spans="1:65" s="49" customFormat="1" ht="15" customHeight="1" x14ac:dyDescent="0.25">
      <c r="A47" s="50"/>
      <c r="B47" s="59"/>
      <c r="K47" s="60"/>
      <c r="L47" s="62"/>
      <c r="T47" s="60"/>
      <c r="U47" s="62"/>
      <c r="AC47" s="60"/>
      <c r="AD47" s="62"/>
      <c r="AL47" s="60"/>
      <c r="AM47" s="62"/>
      <c r="BI47" s="60"/>
      <c r="BK47" s="51"/>
      <c r="BM47" s="4">
        <f t="shared" si="1"/>
        <v>40</v>
      </c>
    </row>
    <row r="48" spans="1:65" s="49" customFormat="1" ht="15" customHeight="1" x14ac:dyDescent="0.25">
      <c r="A48" s="50"/>
      <c r="B48" s="59"/>
      <c r="K48" s="60"/>
      <c r="L48" s="62"/>
      <c r="T48" s="60"/>
      <c r="U48" s="62"/>
      <c r="AC48" s="60"/>
      <c r="AD48" s="62"/>
      <c r="AL48" s="60"/>
      <c r="AM48" s="62"/>
      <c r="BI48" s="60"/>
      <c r="BK48" s="51"/>
      <c r="BM48" s="4">
        <f t="shared" si="1"/>
        <v>41</v>
      </c>
    </row>
    <row r="49" spans="1:65" s="49" customFormat="1" ht="15" customHeight="1" x14ac:dyDescent="0.25">
      <c r="A49" s="50"/>
      <c r="B49" s="59"/>
      <c r="K49" s="60"/>
      <c r="L49" s="62"/>
      <c r="T49" s="60"/>
      <c r="U49" s="62"/>
      <c r="AC49" s="60"/>
      <c r="AD49" s="62"/>
      <c r="AL49" s="60"/>
      <c r="AM49" s="62"/>
      <c r="BI49" s="60"/>
      <c r="BK49" s="51"/>
      <c r="BM49" s="4">
        <f t="shared" si="1"/>
        <v>42</v>
      </c>
    </row>
    <row r="50" spans="1:65" s="49" customFormat="1" ht="15" customHeight="1" x14ac:dyDescent="0.25">
      <c r="A50" s="50"/>
      <c r="B50" s="59"/>
      <c r="K50" s="60"/>
      <c r="L50" s="62"/>
      <c r="T50" s="60"/>
      <c r="U50" s="62"/>
      <c r="AC50" s="60"/>
      <c r="AD50" s="62"/>
      <c r="AL50" s="60"/>
      <c r="AM50" s="62"/>
      <c r="BI50" s="60"/>
      <c r="BK50" s="51"/>
      <c r="BM50" s="4">
        <f t="shared" si="1"/>
        <v>43</v>
      </c>
    </row>
    <row r="51" spans="1:65" s="49" customFormat="1" ht="15" customHeight="1" x14ac:dyDescent="0.25">
      <c r="A51" s="50"/>
      <c r="B51" s="59"/>
      <c r="K51" s="60"/>
      <c r="L51" s="62"/>
      <c r="T51" s="60"/>
      <c r="U51" s="62"/>
      <c r="AC51" s="60"/>
      <c r="AD51" s="62"/>
      <c r="AL51" s="60"/>
      <c r="AM51" s="62"/>
      <c r="BI51" s="60"/>
      <c r="BK51" s="51"/>
      <c r="BM51" s="4">
        <f t="shared" si="1"/>
        <v>44</v>
      </c>
    </row>
    <row r="52" spans="1:65" s="49" customFormat="1" ht="15" customHeight="1" x14ac:dyDescent="0.25">
      <c r="A52" s="50"/>
      <c r="B52" s="59"/>
      <c r="K52" s="60"/>
      <c r="L52" s="62"/>
      <c r="T52" s="60"/>
      <c r="U52" s="62"/>
      <c r="AC52" s="60"/>
      <c r="AD52" s="62"/>
      <c r="AL52" s="60"/>
      <c r="AM52" s="62"/>
      <c r="BI52" s="60"/>
      <c r="BK52" s="51"/>
      <c r="BM52" s="4">
        <f t="shared" si="1"/>
        <v>45</v>
      </c>
    </row>
    <row r="53" spans="1:65" s="49" customFormat="1" ht="15" customHeight="1" x14ac:dyDescent="0.25">
      <c r="A53" s="50"/>
      <c r="B53" s="59"/>
      <c r="K53" s="60"/>
      <c r="L53" s="62"/>
      <c r="T53" s="60"/>
      <c r="U53" s="62"/>
      <c r="AC53" s="60"/>
      <c r="AD53" s="62"/>
      <c r="AL53" s="60"/>
      <c r="AM53" s="62"/>
      <c r="BI53" s="60"/>
      <c r="BK53" s="51"/>
      <c r="BM53" s="4">
        <f t="shared" si="1"/>
        <v>46</v>
      </c>
    </row>
    <row r="54" spans="1:65" s="49" customFormat="1" ht="15" customHeight="1" x14ac:dyDescent="0.25">
      <c r="A54" s="50"/>
      <c r="B54" s="62"/>
      <c r="K54" s="60"/>
      <c r="L54" s="62"/>
      <c r="T54" s="60"/>
      <c r="U54" s="62"/>
      <c r="AC54" s="60"/>
      <c r="AL54" s="60"/>
      <c r="AM54" s="62"/>
      <c r="BI54" s="60"/>
      <c r="BK54" s="51"/>
      <c r="BM54" s="4">
        <f t="shared" si="1"/>
        <v>47</v>
      </c>
    </row>
    <row r="55" spans="1:65" s="49" customFormat="1" ht="15" customHeight="1" x14ac:dyDescent="0.25">
      <c r="A55" s="50"/>
      <c r="B55" s="62"/>
      <c r="K55" s="60"/>
      <c r="L55" s="62"/>
      <c r="T55" s="60"/>
      <c r="U55" s="62"/>
      <c r="AC55" s="60"/>
      <c r="AD55" s="62"/>
      <c r="AL55" s="60"/>
      <c r="AM55" s="62"/>
      <c r="BI55" s="60"/>
      <c r="BK55" s="51"/>
      <c r="BM55" s="4">
        <f t="shared" si="1"/>
        <v>48</v>
      </c>
    </row>
    <row r="56" spans="1:65" ht="15" customHeight="1" x14ac:dyDescent="0.25">
      <c r="A56" s="25"/>
      <c r="B56" s="59"/>
      <c r="K56" s="60"/>
      <c r="U56" s="59"/>
      <c r="AD56" s="59"/>
      <c r="AM56" s="59"/>
      <c r="BI56" s="61"/>
      <c r="BK56" s="26"/>
      <c r="BM56" s="4">
        <f t="shared" si="1"/>
        <v>49</v>
      </c>
    </row>
    <row r="57" spans="1:65" ht="15" customHeight="1" x14ac:dyDescent="0.25">
      <c r="A57" s="25"/>
      <c r="B57" s="59"/>
      <c r="K57" s="60"/>
      <c r="U57" s="59"/>
      <c r="AD57" s="59"/>
      <c r="AM57" s="59"/>
      <c r="BI57" s="61"/>
      <c r="BK57" s="26"/>
      <c r="BM57" s="4">
        <f t="shared" si="1"/>
        <v>50</v>
      </c>
    </row>
    <row r="58" spans="1:65" ht="15" customHeight="1" x14ac:dyDescent="0.25">
      <c r="A58" s="25"/>
      <c r="B58" s="59"/>
      <c r="K58" s="60"/>
      <c r="U58" s="59"/>
      <c r="AD58" s="59"/>
      <c r="AM58" s="59"/>
      <c r="BI58" s="61"/>
      <c r="BK58" s="26"/>
      <c r="BM58" s="4">
        <f t="shared" si="1"/>
        <v>1</v>
      </c>
    </row>
    <row r="59" spans="1:65" ht="15" customHeight="1" x14ac:dyDescent="0.25">
      <c r="A59" s="25"/>
      <c r="B59" s="59"/>
      <c r="K59" s="60"/>
      <c r="U59" s="59"/>
      <c r="AD59" s="59"/>
      <c r="AM59" s="59"/>
      <c r="BI59" s="61"/>
      <c r="BK59" s="26"/>
      <c r="BM59" s="4">
        <f t="shared" si="1"/>
        <v>2</v>
      </c>
    </row>
    <row r="60" spans="1:65" ht="15" customHeight="1" x14ac:dyDescent="0.25">
      <c r="A60" s="25"/>
      <c r="B60" s="59"/>
      <c r="K60" s="60"/>
      <c r="U60" s="59"/>
      <c r="AD60" s="59"/>
      <c r="AM60" s="59"/>
      <c r="BI60" s="61"/>
      <c r="BK60" s="26"/>
      <c r="BM60" s="4">
        <f t="shared" si="1"/>
        <v>3</v>
      </c>
    </row>
    <row r="61" spans="1:65" ht="15" customHeight="1" x14ac:dyDescent="0.25">
      <c r="A61" s="25"/>
      <c r="B61" s="59"/>
      <c r="K61" s="60"/>
      <c r="U61" s="59"/>
      <c r="AD61" s="59"/>
      <c r="AM61" s="59"/>
      <c r="BI61" s="61"/>
      <c r="BK61" s="26"/>
      <c r="BM61" s="4">
        <f t="shared" si="1"/>
        <v>4</v>
      </c>
    </row>
    <row r="62" spans="1:65" ht="15" customHeight="1" x14ac:dyDescent="0.25">
      <c r="A62" s="25"/>
      <c r="B62" s="59"/>
      <c r="K62" s="60"/>
      <c r="U62" s="59"/>
      <c r="AD62" s="59"/>
      <c r="AM62" s="59"/>
      <c r="BI62" s="61"/>
      <c r="BK62" s="26"/>
      <c r="BM62" s="4">
        <f t="shared" si="1"/>
        <v>5</v>
      </c>
    </row>
    <row r="63" spans="1:65" ht="15" customHeight="1" x14ac:dyDescent="0.25">
      <c r="A63" s="25"/>
      <c r="B63" s="59"/>
      <c r="K63" s="60"/>
      <c r="U63" s="59"/>
      <c r="AD63" s="59"/>
      <c r="AM63" s="59"/>
      <c r="BI63" s="61"/>
      <c r="BK63" s="26"/>
      <c r="BM63" s="4">
        <f t="shared" si="1"/>
        <v>6</v>
      </c>
    </row>
    <row r="64" spans="1:65" ht="15" customHeight="1" x14ac:dyDescent="0.25">
      <c r="A64" s="25"/>
      <c r="B64" s="59"/>
      <c r="K64" s="60"/>
      <c r="U64" s="59"/>
      <c r="AD64" s="59"/>
      <c r="AM64" s="59"/>
      <c r="BI64" s="61"/>
      <c r="BK64" s="26"/>
      <c r="BM64" s="4">
        <f t="shared" si="1"/>
        <v>7</v>
      </c>
    </row>
    <row r="65" spans="1:65" ht="15" customHeight="1" x14ac:dyDescent="0.25">
      <c r="A65" s="25"/>
      <c r="B65" s="59"/>
      <c r="K65" s="60"/>
      <c r="U65" s="59"/>
      <c r="AD65" s="59"/>
      <c r="AM65" s="59"/>
      <c r="BI65" s="61"/>
      <c r="BK65" s="26"/>
      <c r="BM65" s="4">
        <f t="shared" si="1"/>
        <v>8</v>
      </c>
    </row>
    <row r="66" spans="1:65" ht="15" customHeight="1" x14ac:dyDescent="0.25">
      <c r="A66" s="25"/>
      <c r="B66" s="59"/>
      <c r="K66" s="60"/>
      <c r="U66" s="59"/>
      <c r="AD66" s="59"/>
      <c r="AM66" s="59"/>
      <c r="BI66" s="61"/>
      <c r="BK66" s="26"/>
      <c r="BM66" s="4">
        <f t="shared" si="1"/>
        <v>9</v>
      </c>
    </row>
    <row r="67" spans="1:65" ht="15" customHeight="1" x14ac:dyDescent="0.25">
      <c r="A67" s="25"/>
      <c r="B67" s="59"/>
      <c r="K67" s="60"/>
      <c r="U67" s="59"/>
      <c r="AD67" s="59"/>
      <c r="AM67" s="59"/>
      <c r="BI67" s="61"/>
      <c r="BK67" s="26"/>
      <c r="BM67" s="4">
        <f t="shared" si="1"/>
        <v>10</v>
      </c>
    </row>
    <row r="68" spans="1:65" s="49" customFormat="1" ht="15" customHeight="1" x14ac:dyDescent="0.25">
      <c r="A68" s="50"/>
      <c r="B68" s="59"/>
      <c r="K68" s="60"/>
      <c r="L68" s="62"/>
      <c r="T68" s="60"/>
      <c r="U68" s="62"/>
      <c r="AC68" s="60"/>
      <c r="AD68" s="62"/>
      <c r="AL68" s="60"/>
      <c r="AM68" s="62"/>
      <c r="BI68" s="60"/>
      <c r="BK68" s="51"/>
      <c r="BM68" s="4">
        <f t="shared" si="1"/>
        <v>11</v>
      </c>
    </row>
    <row r="69" spans="1:65" s="49" customFormat="1" ht="15" customHeight="1" x14ac:dyDescent="0.25">
      <c r="A69" s="50"/>
      <c r="B69" s="59"/>
      <c r="K69" s="60"/>
      <c r="L69" s="62"/>
      <c r="T69" s="60"/>
      <c r="U69" s="62"/>
      <c r="AC69" s="60"/>
      <c r="AD69" s="62"/>
      <c r="AL69" s="60"/>
      <c r="AM69" s="62"/>
      <c r="BI69" s="60"/>
      <c r="BK69" s="51"/>
      <c r="BM69" s="4">
        <f t="shared" si="1"/>
        <v>12</v>
      </c>
    </row>
    <row r="70" spans="1:65" s="49" customFormat="1" ht="15" customHeight="1" x14ac:dyDescent="0.25">
      <c r="A70" s="50"/>
      <c r="B70" s="59"/>
      <c r="K70" s="60"/>
      <c r="L70" s="62"/>
      <c r="T70" s="60"/>
      <c r="U70" s="62"/>
      <c r="AC70" s="60"/>
      <c r="AD70" s="62"/>
      <c r="AL70" s="60"/>
      <c r="AM70" s="62"/>
      <c r="BI70" s="60"/>
      <c r="BK70" s="51"/>
      <c r="BM70" s="4">
        <f t="shared" si="1"/>
        <v>13</v>
      </c>
    </row>
    <row r="71" spans="1:65" s="49" customFormat="1" ht="15" customHeight="1" x14ac:dyDescent="0.25">
      <c r="A71" s="50"/>
      <c r="B71" s="59"/>
      <c r="K71" s="60"/>
      <c r="L71" s="62"/>
      <c r="T71" s="60"/>
      <c r="U71" s="62"/>
      <c r="AC71" s="60"/>
      <c r="AD71" s="62"/>
      <c r="AL71" s="60"/>
      <c r="AM71" s="62"/>
      <c r="BI71" s="60"/>
      <c r="BK71" s="51"/>
      <c r="BM71" s="4">
        <f t="shared" si="1"/>
        <v>14</v>
      </c>
    </row>
    <row r="72" spans="1:65" s="49" customFormat="1" ht="15" customHeight="1" x14ac:dyDescent="0.25">
      <c r="A72" s="50"/>
      <c r="B72" s="63" t="s">
        <v>31</v>
      </c>
      <c r="C72" s="64"/>
      <c r="D72" s="64"/>
      <c r="E72" s="64"/>
      <c r="F72" s="64"/>
      <c r="G72" s="64"/>
      <c r="H72" s="64"/>
      <c r="I72" s="64"/>
      <c r="J72" s="64"/>
      <c r="K72" s="65"/>
      <c r="L72" s="63"/>
      <c r="M72" s="64"/>
      <c r="N72" s="64"/>
      <c r="O72" s="64"/>
      <c r="P72" s="64"/>
      <c r="Q72" s="64"/>
      <c r="R72" s="64"/>
      <c r="S72" s="64"/>
      <c r="T72" s="65"/>
      <c r="U72" s="63"/>
      <c r="V72" s="64"/>
      <c r="W72" s="64"/>
      <c r="X72" s="64"/>
      <c r="Y72" s="64"/>
      <c r="Z72" s="64"/>
      <c r="AA72" s="64"/>
      <c r="AB72" s="64"/>
      <c r="AC72" s="65"/>
      <c r="AD72" s="63"/>
      <c r="AE72" s="64"/>
      <c r="AF72" s="64"/>
      <c r="AG72" s="64"/>
      <c r="AH72" s="64"/>
      <c r="AI72" s="64"/>
      <c r="AJ72" s="64"/>
      <c r="AK72" s="64"/>
      <c r="AL72" s="65"/>
      <c r="AM72" s="63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5"/>
      <c r="BJ72" s="64"/>
      <c r="BK72" s="51"/>
      <c r="BM72" s="4">
        <f t="shared" si="1"/>
        <v>15</v>
      </c>
    </row>
    <row r="73" spans="1:65" s="49" customFormat="1" ht="15" customHeight="1" x14ac:dyDescent="0.25">
      <c r="A73" s="50"/>
      <c r="B73" s="59"/>
      <c r="K73" s="60"/>
      <c r="L73" s="62"/>
      <c r="T73" s="60"/>
      <c r="U73" s="62"/>
      <c r="AC73" s="60"/>
      <c r="AD73" s="62"/>
      <c r="AL73" s="60"/>
      <c r="AM73" s="62"/>
      <c r="BI73" s="60"/>
      <c r="BK73" s="51"/>
      <c r="BM73" s="4">
        <f t="shared" si="1"/>
        <v>16</v>
      </c>
    </row>
    <row r="74" spans="1:65" s="49" customFormat="1" ht="15" customHeight="1" x14ac:dyDescent="0.25">
      <c r="A74" s="50"/>
      <c r="B74" s="59"/>
      <c r="K74" s="60"/>
      <c r="L74" s="62"/>
      <c r="T74" s="60"/>
      <c r="U74" s="62"/>
      <c r="AC74" s="60"/>
      <c r="AD74" s="62"/>
      <c r="AL74" s="60"/>
      <c r="AM74" s="62"/>
      <c r="BI74" s="60"/>
      <c r="BK74" s="51"/>
      <c r="BM74" s="4">
        <f t="shared" si="1"/>
        <v>17</v>
      </c>
    </row>
    <row r="75" spans="1:65" s="49" customFormat="1" ht="15" customHeight="1" x14ac:dyDescent="0.25">
      <c r="A75" s="50"/>
      <c r="B75" s="59"/>
      <c r="K75" s="60"/>
      <c r="L75" s="62"/>
      <c r="T75" s="60"/>
      <c r="U75" s="62"/>
      <c r="AC75" s="60"/>
      <c r="AD75" s="62"/>
      <c r="AL75" s="60"/>
      <c r="AM75" s="62"/>
      <c r="BI75" s="60"/>
      <c r="BK75" s="51"/>
      <c r="BM75" s="4">
        <f t="shared" si="1"/>
        <v>18</v>
      </c>
    </row>
    <row r="76" spans="1:65" s="49" customFormat="1" ht="15" customHeight="1" x14ac:dyDescent="0.25">
      <c r="A76" s="50"/>
      <c r="B76" s="62"/>
      <c r="K76" s="60"/>
      <c r="L76" s="62"/>
      <c r="T76" s="60"/>
      <c r="U76" s="62"/>
      <c r="AC76" s="60"/>
      <c r="AD76" s="62"/>
      <c r="AL76" s="60"/>
      <c r="AM76" s="62"/>
      <c r="BI76" s="60"/>
      <c r="BK76" s="51"/>
      <c r="BM76" s="4">
        <f t="shared" si="1"/>
        <v>19</v>
      </c>
    </row>
    <row r="77" spans="1:65" s="49" customFormat="1" ht="15" customHeight="1" x14ac:dyDescent="0.25">
      <c r="A77" s="50"/>
      <c r="B77" s="62"/>
      <c r="K77" s="60"/>
      <c r="L77" s="62"/>
      <c r="T77" s="60"/>
      <c r="U77" s="62"/>
      <c r="AC77" s="60"/>
      <c r="AD77" s="62"/>
      <c r="AL77" s="60"/>
      <c r="AM77" s="62"/>
      <c r="BI77" s="60"/>
      <c r="BK77" s="51"/>
      <c r="BM77" s="4">
        <f t="shared" si="1"/>
        <v>20</v>
      </c>
    </row>
    <row r="78" spans="1:65" s="49" customFormat="1" ht="15" customHeight="1" x14ac:dyDescent="0.25">
      <c r="A78" s="50"/>
      <c r="B78" s="62"/>
      <c r="K78" s="60"/>
      <c r="L78" s="62"/>
      <c r="T78" s="60"/>
      <c r="U78" s="62"/>
      <c r="AC78" s="60"/>
      <c r="AD78" s="62"/>
      <c r="AL78" s="60"/>
      <c r="AM78" s="62"/>
      <c r="BI78" s="60"/>
      <c r="BK78" s="51"/>
      <c r="BM78" s="4">
        <f t="shared" si="1"/>
        <v>21</v>
      </c>
    </row>
    <row r="79" spans="1:65" s="49" customFormat="1" ht="15" customHeight="1" x14ac:dyDescent="0.25">
      <c r="A79" s="50"/>
      <c r="B79" s="62"/>
      <c r="K79" s="60"/>
      <c r="L79" s="62"/>
      <c r="T79" s="60"/>
      <c r="U79" s="62"/>
      <c r="AC79" s="60"/>
      <c r="AD79" s="62"/>
      <c r="AL79" s="60"/>
      <c r="AM79" s="62"/>
      <c r="BI79" s="60"/>
      <c r="BK79" s="51"/>
      <c r="BM79" s="4">
        <f t="shared" si="1"/>
        <v>22</v>
      </c>
    </row>
    <row r="80" spans="1:65" s="49" customFormat="1" ht="15" customHeight="1" x14ac:dyDescent="0.25">
      <c r="A80" s="50"/>
      <c r="B80" s="59"/>
      <c r="K80" s="60"/>
      <c r="L80" s="62"/>
      <c r="T80" s="60"/>
      <c r="U80" s="62"/>
      <c r="AC80" s="60"/>
      <c r="AD80" s="62"/>
      <c r="AL80" s="60"/>
      <c r="AM80" s="62"/>
      <c r="BI80" s="60"/>
      <c r="BK80" s="51"/>
      <c r="BM80" s="4">
        <f t="shared" si="1"/>
        <v>23</v>
      </c>
    </row>
    <row r="81" spans="1:94" s="49" customFormat="1" ht="15" customHeight="1" x14ac:dyDescent="0.25">
      <c r="A81" s="50"/>
      <c r="B81" s="59"/>
      <c r="K81" s="60"/>
      <c r="L81" s="62"/>
      <c r="T81" s="60"/>
      <c r="U81" s="62"/>
      <c r="AC81" s="60"/>
      <c r="AD81" s="62"/>
      <c r="AL81" s="60"/>
      <c r="AM81" s="62"/>
      <c r="BI81" s="60"/>
      <c r="BK81" s="51"/>
      <c r="BM81" s="4">
        <f t="shared" si="1"/>
        <v>24</v>
      </c>
    </row>
    <row r="82" spans="1:94" s="49" customFormat="1" ht="15" customHeight="1" x14ac:dyDescent="0.25">
      <c r="A82" s="50"/>
      <c r="B82" s="59"/>
      <c r="K82" s="60"/>
      <c r="L82" s="62"/>
      <c r="T82" s="60"/>
      <c r="U82" s="62"/>
      <c r="AC82" s="60"/>
      <c r="AD82" s="62"/>
      <c r="AL82" s="60"/>
      <c r="AM82" s="62"/>
      <c r="BI82" s="60"/>
      <c r="BK82" s="51"/>
      <c r="BM82" s="4">
        <f t="shared" si="1"/>
        <v>25</v>
      </c>
    </row>
    <row r="83" spans="1:94" s="49" customFormat="1" ht="15" customHeight="1" x14ac:dyDescent="0.25">
      <c r="A83" s="50"/>
      <c r="B83" s="59"/>
      <c r="K83" s="60"/>
      <c r="L83" s="62"/>
      <c r="T83" s="60"/>
      <c r="U83" s="62"/>
      <c r="AC83" s="60"/>
      <c r="AD83" s="62"/>
      <c r="AL83" s="60"/>
      <c r="AM83" s="62"/>
      <c r="BI83" s="60"/>
      <c r="BK83" s="51"/>
      <c r="BM83" s="4">
        <f t="shared" si="1"/>
        <v>26</v>
      </c>
    </row>
    <row r="84" spans="1:94" s="49" customFormat="1" ht="15" customHeight="1" x14ac:dyDescent="0.25">
      <c r="A84" s="50"/>
      <c r="B84" s="59"/>
      <c r="K84" s="60"/>
      <c r="L84" s="62"/>
      <c r="T84" s="60"/>
      <c r="U84" s="62"/>
      <c r="AC84" s="60"/>
      <c r="AD84" s="62"/>
      <c r="AL84" s="60"/>
      <c r="AM84" s="62"/>
      <c r="BI84" s="60"/>
      <c r="BK84" s="51"/>
      <c r="BM84" s="4">
        <f t="shared" si="1"/>
        <v>27</v>
      </c>
    </row>
    <row r="85" spans="1:94" s="49" customFormat="1" ht="15" customHeight="1" x14ac:dyDescent="0.25">
      <c r="A85" s="50"/>
      <c r="B85" s="59"/>
      <c r="K85" s="60"/>
      <c r="L85" s="62"/>
      <c r="T85" s="60"/>
      <c r="U85" s="62"/>
      <c r="AC85" s="60"/>
      <c r="AD85" s="62"/>
      <c r="AL85" s="60"/>
      <c r="AM85" s="62"/>
      <c r="BI85" s="60"/>
      <c r="BK85" s="51"/>
      <c r="BM85" s="4">
        <f t="shared" si="1"/>
        <v>28</v>
      </c>
    </row>
    <row r="86" spans="1:94" s="49" customFormat="1" ht="15" customHeight="1" x14ac:dyDescent="0.25">
      <c r="A86" s="50"/>
      <c r="B86" s="59"/>
      <c r="K86" s="60"/>
      <c r="L86" s="62"/>
      <c r="T86" s="60"/>
      <c r="U86" s="62"/>
      <c r="AC86" s="60"/>
      <c r="AD86" s="62"/>
      <c r="AL86" s="60"/>
      <c r="AM86" s="62"/>
      <c r="BI86" s="60"/>
      <c r="BK86" s="51"/>
      <c r="BM86" s="4">
        <f t="shared" si="1"/>
        <v>29</v>
      </c>
    </row>
    <row r="87" spans="1:94" s="49" customFormat="1" ht="15" customHeight="1" x14ac:dyDescent="0.25">
      <c r="A87" s="50"/>
      <c r="B87" s="59"/>
      <c r="K87" s="60"/>
      <c r="L87" s="62"/>
      <c r="T87" s="60"/>
      <c r="U87" s="62"/>
      <c r="AC87" s="60"/>
      <c r="AD87" s="62"/>
      <c r="AL87" s="60"/>
      <c r="AM87" s="62"/>
      <c r="BI87" s="60"/>
      <c r="BK87" s="51"/>
      <c r="BM87" s="4">
        <f t="shared" si="1"/>
        <v>30</v>
      </c>
    </row>
    <row r="88" spans="1:94" s="49" customFormat="1" ht="15" customHeight="1" x14ac:dyDescent="0.25">
      <c r="A88" s="50"/>
      <c r="B88" s="59"/>
      <c r="K88" s="60"/>
      <c r="L88" s="62"/>
      <c r="T88" s="60"/>
      <c r="U88" s="62"/>
      <c r="AC88" s="60"/>
      <c r="AD88" s="62"/>
      <c r="AL88" s="60"/>
      <c r="AM88" s="62"/>
      <c r="BI88" s="60"/>
      <c r="BK88" s="51"/>
      <c r="BM88" s="4">
        <f t="shared" si="1"/>
        <v>31</v>
      </c>
    </row>
    <row r="89" spans="1:94" s="49" customFormat="1" ht="15" customHeight="1" x14ac:dyDescent="0.25">
      <c r="A89" s="50"/>
      <c r="B89" s="59"/>
      <c r="K89" s="60"/>
      <c r="L89" s="62"/>
      <c r="T89" s="60"/>
      <c r="U89" s="62"/>
      <c r="AC89" s="60"/>
      <c r="AD89" s="62"/>
      <c r="AL89" s="60"/>
      <c r="AM89" s="62"/>
      <c r="BI89" s="60"/>
      <c r="BK89" s="51"/>
      <c r="BM89" s="4">
        <f t="shared" si="1"/>
        <v>32</v>
      </c>
    </row>
    <row r="90" spans="1:94" s="49" customFormat="1" ht="15" customHeight="1" x14ac:dyDescent="0.25">
      <c r="A90" s="50"/>
      <c r="B90" s="59"/>
      <c r="K90" s="60"/>
      <c r="L90" s="62"/>
      <c r="T90" s="60"/>
      <c r="U90" s="62"/>
      <c r="AC90" s="60"/>
      <c r="AD90" s="62"/>
      <c r="AL90" s="60"/>
      <c r="AM90" s="62"/>
      <c r="BI90" s="60"/>
      <c r="BK90" s="51"/>
      <c r="BM90" s="4">
        <f t="shared" si="1"/>
        <v>33</v>
      </c>
    </row>
    <row r="91" spans="1:94" s="49" customFormat="1" ht="15" customHeight="1" x14ac:dyDescent="0.25">
      <c r="A91" s="50"/>
      <c r="B91" s="59"/>
      <c r="K91" s="60"/>
      <c r="L91" s="62"/>
      <c r="T91" s="60"/>
      <c r="U91" s="62"/>
      <c r="AC91" s="60"/>
      <c r="AD91" s="62"/>
      <c r="AL91" s="60"/>
      <c r="AM91" s="62"/>
      <c r="BI91" s="60"/>
      <c r="BK91" s="51"/>
      <c r="BM91" s="4">
        <f t="shared" si="1"/>
        <v>34</v>
      </c>
    </row>
    <row r="92" spans="1:94" s="49" customFormat="1" ht="15" customHeight="1" x14ac:dyDescent="0.25">
      <c r="A92" s="50"/>
      <c r="B92" s="59"/>
      <c r="K92" s="60"/>
      <c r="L92" s="62"/>
      <c r="T92" s="60"/>
      <c r="U92" s="62"/>
      <c r="AC92" s="60"/>
      <c r="AD92" s="62"/>
      <c r="AL92" s="60"/>
      <c r="AM92" s="62"/>
      <c r="BI92" s="60"/>
      <c r="BK92" s="51"/>
      <c r="BM92" s="4">
        <f t="shared" si="1"/>
        <v>35</v>
      </c>
      <c r="CP92" s="21"/>
    </row>
    <row r="93" spans="1:94" s="49" customFormat="1" ht="15" customHeight="1" x14ac:dyDescent="0.25">
      <c r="A93" s="50"/>
      <c r="B93" s="59"/>
      <c r="K93" s="60"/>
      <c r="L93" s="62"/>
      <c r="T93" s="60"/>
      <c r="U93" s="62"/>
      <c r="AC93" s="60"/>
      <c r="AD93" s="62"/>
      <c r="AL93" s="60"/>
      <c r="AM93" s="62"/>
      <c r="BI93" s="60"/>
      <c r="BK93" s="51"/>
      <c r="BM93" s="4">
        <f t="shared" si="1"/>
        <v>36</v>
      </c>
    </row>
    <row r="94" spans="1:94" s="49" customFormat="1" ht="15" customHeight="1" x14ac:dyDescent="0.25">
      <c r="A94" s="50"/>
      <c r="B94" s="59"/>
      <c r="K94" s="60"/>
      <c r="L94" s="62"/>
      <c r="T94" s="60"/>
      <c r="U94" s="62"/>
      <c r="AC94" s="60"/>
      <c r="AD94" s="62"/>
      <c r="AL94" s="60"/>
      <c r="AM94" s="62"/>
      <c r="BI94" s="60"/>
      <c r="BK94" s="51"/>
      <c r="BM94" s="4">
        <f t="shared" si="1"/>
        <v>37</v>
      </c>
    </row>
    <row r="95" spans="1:94" s="49" customFormat="1" ht="15" customHeight="1" x14ac:dyDescent="0.25">
      <c r="A95" s="50"/>
      <c r="B95" s="59"/>
      <c r="K95" s="60"/>
      <c r="L95" s="62"/>
      <c r="T95" s="60"/>
      <c r="U95" s="62"/>
      <c r="AC95" s="60"/>
      <c r="AD95" s="62"/>
      <c r="AL95" s="60"/>
      <c r="AM95" s="62"/>
      <c r="BI95" s="60"/>
      <c r="BK95" s="51"/>
      <c r="BM95" s="4">
        <f t="shared" si="1"/>
        <v>38</v>
      </c>
    </row>
    <row r="96" spans="1:94" s="49" customFormat="1" ht="15" customHeight="1" x14ac:dyDescent="0.25">
      <c r="A96" s="50"/>
      <c r="B96" s="62"/>
      <c r="K96" s="60"/>
      <c r="L96" s="62"/>
      <c r="T96" s="60"/>
      <c r="U96" s="62"/>
      <c r="AC96" s="60"/>
      <c r="AD96" s="62"/>
      <c r="AL96" s="60"/>
      <c r="AM96" s="62"/>
      <c r="BI96" s="60"/>
      <c r="BK96" s="51"/>
      <c r="BM96" s="4">
        <f t="shared" si="1"/>
        <v>39</v>
      </c>
    </row>
    <row r="97" spans="1:65" s="49" customFormat="1" ht="15" customHeight="1" x14ac:dyDescent="0.25">
      <c r="A97" s="50"/>
      <c r="B97" s="62"/>
      <c r="K97" s="60"/>
      <c r="L97" s="62"/>
      <c r="T97" s="60"/>
      <c r="U97" s="62"/>
      <c r="AC97" s="60"/>
      <c r="AD97" s="62"/>
      <c r="AL97" s="60"/>
      <c r="AM97" s="62"/>
      <c r="BI97" s="60"/>
      <c r="BK97" s="51"/>
      <c r="BM97" s="4">
        <f t="shared" si="1"/>
        <v>40</v>
      </c>
    </row>
    <row r="98" spans="1:65" s="49" customFormat="1" ht="15" customHeight="1" x14ac:dyDescent="0.25">
      <c r="A98" s="50"/>
      <c r="B98" s="62"/>
      <c r="K98" s="60"/>
      <c r="L98" s="62"/>
      <c r="T98" s="60"/>
      <c r="U98" s="62"/>
      <c r="AC98" s="60"/>
      <c r="AD98" s="62"/>
      <c r="AL98" s="60"/>
      <c r="AM98" s="62"/>
      <c r="BI98" s="60"/>
      <c r="BK98" s="51"/>
      <c r="BM98" s="4">
        <f t="shared" si="1"/>
        <v>41</v>
      </c>
    </row>
    <row r="99" spans="1:65" s="49" customFormat="1" ht="15" customHeight="1" x14ac:dyDescent="0.25">
      <c r="A99" s="50"/>
      <c r="B99" s="59"/>
      <c r="K99" s="60"/>
      <c r="L99" s="62"/>
      <c r="T99" s="60"/>
      <c r="U99" s="62"/>
      <c r="AC99" s="60"/>
      <c r="AD99" s="62"/>
      <c r="AL99" s="60"/>
      <c r="AM99" s="62"/>
      <c r="BI99" s="60"/>
      <c r="BK99" s="51"/>
      <c r="BM99" s="4">
        <f t="shared" si="1"/>
        <v>42</v>
      </c>
    </row>
    <row r="100" spans="1:65" s="49" customFormat="1" ht="15" customHeight="1" x14ac:dyDescent="0.25">
      <c r="A100" s="50"/>
      <c r="B100" s="59"/>
      <c r="K100" s="60"/>
      <c r="L100" s="62"/>
      <c r="T100" s="60"/>
      <c r="U100" s="62"/>
      <c r="AC100" s="60"/>
      <c r="AD100" s="62"/>
      <c r="AL100" s="60"/>
      <c r="AM100" s="62"/>
      <c r="BI100" s="60"/>
      <c r="BK100" s="51"/>
      <c r="BM100" s="4">
        <f t="shared" si="1"/>
        <v>43</v>
      </c>
    </row>
    <row r="101" spans="1:65" s="49" customFormat="1" ht="15" customHeight="1" x14ac:dyDescent="0.25">
      <c r="A101" s="50"/>
      <c r="B101" s="59"/>
      <c r="K101" s="60"/>
      <c r="L101" s="62"/>
      <c r="T101" s="60"/>
      <c r="U101" s="62"/>
      <c r="AC101" s="60"/>
      <c r="AD101" s="62"/>
      <c r="AL101" s="60"/>
      <c r="AM101" s="62"/>
      <c r="BI101" s="60"/>
      <c r="BK101" s="51"/>
      <c r="BM101" s="4">
        <f t="shared" si="1"/>
        <v>44</v>
      </c>
    </row>
    <row r="102" spans="1:65" s="49" customFormat="1" ht="15" customHeight="1" x14ac:dyDescent="0.25">
      <c r="A102" s="50"/>
      <c r="B102" s="62"/>
      <c r="K102" s="60"/>
      <c r="L102" s="62"/>
      <c r="T102" s="60"/>
      <c r="U102" s="62"/>
      <c r="AC102" s="60"/>
      <c r="AD102" s="62"/>
      <c r="AL102" s="60"/>
      <c r="AM102" s="62"/>
      <c r="BI102" s="60"/>
      <c r="BK102" s="51"/>
      <c r="BM102" s="4">
        <f t="shared" si="1"/>
        <v>45</v>
      </c>
    </row>
    <row r="103" spans="1:65" s="49" customFormat="1" ht="15" customHeight="1" x14ac:dyDescent="0.25">
      <c r="A103" s="50"/>
      <c r="B103" s="62"/>
      <c r="K103" s="60"/>
      <c r="L103" s="62"/>
      <c r="T103" s="60"/>
      <c r="U103" s="62"/>
      <c r="AC103" s="60"/>
      <c r="AD103" s="62"/>
      <c r="AL103" s="60"/>
      <c r="AM103" s="62"/>
      <c r="BI103" s="60"/>
      <c r="BK103" s="51"/>
      <c r="BM103" s="4">
        <f t="shared" si="1"/>
        <v>46</v>
      </c>
    </row>
    <row r="104" spans="1:65" s="49" customFormat="1" ht="15" customHeight="1" x14ac:dyDescent="0.25">
      <c r="A104" s="50"/>
      <c r="B104" s="62"/>
      <c r="K104" s="60"/>
      <c r="L104" s="62"/>
      <c r="T104" s="60"/>
      <c r="U104" s="62"/>
      <c r="AC104" s="60"/>
      <c r="AL104" s="60"/>
      <c r="AM104" s="62"/>
      <c r="BI104" s="60"/>
      <c r="BK104" s="51"/>
      <c r="BM104" s="4">
        <f t="shared" si="1"/>
        <v>47</v>
      </c>
    </row>
    <row r="105" spans="1:65" s="49" customFormat="1" ht="15" customHeight="1" x14ac:dyDescent="0.25">
      <c r="A105" s="50"/>
      <c r="B105" s="62"/>
      <c r="K105" s="60"/>
      <c r="L105" s="62"/>
      <c r="T105" s="60"/>
      <c r="U105" s="62"/>
      <c r="AC105" s="60"/>
      <c r="AD105" s="62"/>
      <c r="AL105" s="60"/>
      <c r="AM105" s="62"/>
      <c r="BI105" s="60"/>
      <c r="BK105" s="51"/>
      <c r="BM105" s="4">
        <f t="shared" si="1"/>
        <v>48</v>
      </c>
    </row>
    <row r="106" spans="1:65" s="49" customFormat="1" ht="15" customHeight="1" x14ac:dyDescent="0.25">
      <c r="A106" s="50"/>
      <c r="B106" s="62"/>
      <c r="K106" s="60"/>
      <c r="L106" s="62"/>
      <c r="T106" s="60"/>
      <c r="U106" s="62"/>
      <c r="AC106" s="60"/>
      <c r="AD106" s="62"/>
      <c r="AL106" s="60"/>
      <c r="AM106" s="62"/>
      <c r="BI106" s="60"/>
      <c r="BK106" s="51"/>
      <c r="BM106" s="4">
        <f t="shared" si="1"/>
        <v>49</v>
      </c>
    </row>
    <row r="107" spans="1:65" s="49" customFormat="1" ht="15" customHeight="1" x14ac:dyDescent="0.25">
      <c r="A107" s="50"/>
      <c r="B107" s="62"/>
      <c r="K107" s="60"/>
      <c r="L107" s="62"/>
      <c r="T107" s="60"/>
      <c r="U107" s="62"/>
      <c r="AC107" s="60"/>
      <c r="AD107" s="62"/>
      <c r="AL107" s="60"/>
      <c r="AM107" s="62"/>
      <c r="BI107" s="60"/>
      <c r="BK107" s="51"/>
      <c r="BM107" s="4">
        <f t="shared" si="1"/>
        <v>50</v>
      </c>
    </row>
    <row r="108" spans="1:65" s="49" customFormat="1" ht="15" customHeight="1" x14ac:dyDescent="0.25">
      <c r="A108" s="50"/>
      <c r="B108" s="62"/>
      <c r="K108" s="60"/>
      <c r="L108" s="62"/>
      <c r="T108" s="60"/>
      <c r="U108" s="62"/>
      <c r="AC108" s="60"/>
      <c r="AD108" s="62"/>
      <c r="AL108" s="60"/>
      <c r="AM108" s="62"/>
      <c r="BI108" s="60"/>
      <c r="BK108" s="51"/>
      <c r="BM108" s="4">
        <f t="shared" si="1"/>
        <v>1</v>
      </c>
    </row>
    <row r="109" spans="1:65" s="49" customFormat="1" ht="15" customHeight="1" x14ac:dyDescent="0.25">
      <c r="A109" s="50"/>
      <c r="B109" s="62"/>
      <c r="K109" s="60"/>
      <c r="L109" s="62"/>
      <c r="T109" s="60"/>
      <c r="U109" s="62"/>
      <c r="AC109" s="60"/>
      <c r="AD109" s="62"/>
      <c r="AL109" s="60"/>
      <c r="AM109" s="62"/>
      <c r="BI109" s="60"/>
      <c r="BK109" s="51"/>
      <c r="BM109" s="4">
        <f t="shared" ref="BM109:BM121" si="2">IF(BM108=50,1,BM108+1)</f>
        <v>2</v>
      </c>
    </row>
    <row r="110" spans="1:65" s="49" customFormat="1" ht="15" customHeight="1" x14ac:dyDescent="0.25">
      <c r="A110" s="50"/>
      <c r="B110" s="62"/>
      <c r="K110" s="60"/>
      <c r="L110" s="62"/>
      <c r="T110" s="60"/>
      <c r="U110" s="62"/>
      <c r="AC110" s="60"/>
      <c r="AD110" s="62"/>
      <c r="AL110" s="60"/>
      <c r="AM110" s="62"/>
      <c r="BI110" s="60"/>
      <c r="BK110" s="51"/>
      <c r="BM110" s="4">
        <f t="shared" si="2"/>
        <v>3</v>
      </c>
    </row>
    <row r="111" spans="1:65" s="49" customFormat="1" ht="15" customHeight="1" x14ac:dyDescent="0.25">
      <c r="A111" s="50"/>
      <c r="B111" s="62"/>
      <c r="K111" s="60"/>
      <c r="L111" s="62"/>
      <c r="T111" s="60"/>
      <c r="U111" s="62"/>
      <c r="AC111" s="60"/>
      <c r="AD111" s="62"/>
      <c r="AL111" s="60"/>
      <c r="AM111" s="62"/>
      <c r="BI111" s="60"/>
      <c r="BK111" s="51"/>
      <c r="BM111" s="4">
        <f t="shared" si="2"/>
        <v>4</v>
      </c>
    </row>
    <row r="112" spans="1:65" s="49" customFormat="1" ht="15" customHeight="1" x14ac:dyDescent="0.25">
      <c r="A112" s="50"/>
      <c r="B112" s="62"/>
      <c r="K112" s="60"/>
      <c r="L112" s="62"/>
      <c r="T112" s="60"/>
      <c r="U112" s="62"/>
      <c r="AC112" s="60"/>
      <c r="AD112" s="62"/>
      <c r="AL112" s="60"/>
      <c r="AM112" s="62"/>
      <c r="BI112" s="60"/>
      <c r="BK112" s="51"/>
      <c r="BM112" s="4">
        <f t="shared" si="2"/>
        <v>5</v>
      </c>
    </row>
    <row r="113" spans="1:134" s="49" customFormat="1" ht="15" customHeight="1" x14ac:dyDescent="0.25">
      <c r="A113" s="50"/>
      <c r="B113" s="62"/>
      <c r="K113" s="60"/>
      <c r="L113" s="62"/>
      <c r="T113" s="60"/>
      <c r="U113" s="62"/>
      <c r="AC113" s="60"/>
      <c r="AD113" s="62"/>
      <c r="AL113" s="60"/>
      <c r="AM113" s="62"/>
      <c r="BI113" s="60"/>
      <c r="BK113" s="51"/>
      <c r="BM113" s="4">
        <f t="shared" si="2"/>
        <v>6</v>
      </c>
    </row>
    <row r="114" spans="1:134" s="49" customFormat="1" ht="15" customHeight="1" x14ac:dyDescent="0.25">
      <c r="A114" s="50"/>
      <c r="B114" s="62"/>
      <c r="K114" s="60"/>
      <c r="L114" s="62"/>
      <c r="T114" s="60"/>
      <c r="U114" s="62"/>
      <c r="AC114" s="60"/>
      <c r="AD114" s="62"/>
      <c r="AL114" s="60"/>
      <c r="AM114" s="62"/>
      <c r="BI114" s="60"/>
      <c r="BK114" s="51"/>
      <c r="BM114" s="4">
        <f t="shared" si="2"/>
        <v>7</v>
      </c>
    </row>
    <row r="115" spans="1:134" s="49" customFormat="1" ht="15" customHeight="1" x14ac:dyDescent="0.25">
      <c r="A115" s="50"/>
      <c r="B115" s="62"/>
      <c r="K115" s="60"/>
      <c r="L115" s="62"/>
      <c r="T115" s="60"/>
      <c r="U115" s="62"/>
      <c r="AC115" s="60"/>
      <c r="AD115" s="62"/>
      <c r="AL115" s="60"/>
      <c r="AM115" s="62"/>
      <c r="BI115" s="60"/>
      <c r="BK115" s="51"/>
      <c r="BM115" s="4">
        <f t="shared" si="2"/>
        <v>8</v>
      </c>
    </row>
    <row r="116" spans="1:134" s="49" customFormat="1" ht="15" customHeight="1" x14ac:dyDescent="0.25">
      <c r="A116" s="50"/>
      <c r="B116" s="62"/>
      <c r="K116" s="60"/>
      <c r="L116" s="62"/>
      <c r="T116" s="60"/>
      <c r="U116" s="62"/>
      <c r="AC116" s="60"/>
      <c r="AD116" s="62"/>
      <c r="AL116" s="60"/>
      <c r="AM116" s="62"/>
      <c r="BI116" s="60"/>
      <c r="BK116" s="51"/>
      <c r="BM116" s="4">
        <f t="shared" si="2"/>
        <v>9</v>
      </c>
    </row>
    <row r="117" spans="1:134" s="49" customFormat="1" ht="15" customHeight="1" x14ac:dyDescent="0.25">
      <c r="A117" s="50"/>
      <c r="B117" s="62"/>
      <c r="K117" s="60"/>
      <c r="L117" s="62"/>
      <c r="T117" s="60"/>
      <c r="U117" s="62"/>
      <c r="AC117" s="60"/>
      <c r="AD117" s="62"/>
      <c r="AL117" s="60"/>
      <c r="AM117" s="62"/>
      <c r="BI117" s="60"/>
      <c r="BK117" s="51"/>
      <c r="BM117" s="4">
        <f t="shared" si="2"/>
        <v>10</v>
      </c>
    </row>
    <row r="118" spans="1:134" s="49" customFormat="1" ht="15" customHeight="1" x14ac:dyDescent="0.25">
      <c r="A118" s="50"/>
      <c r="B118" s="62"/>
      <c r="K118" s="60"/>
      <c r="L118" s="62"/>
      <c r="T118" s="60"/>
      <c r="U118" s="62"/>
      <c r="AC118" s="60"/>
      <c r="AD118" s="62"/>
      <c r="AL118" s="60"/>
      <c r="AM118" s="62"/>
      <c r="BI118" s="60"/>
      <c r="BK118" s="51"/>
      <c r="BM118" s="4">
        <f t="shared" si="2"/>
        <v>11</v>
      </c>
    </row>
    <row r="119" spans="1:134" s="49" customFormat="1" ht="15" customHeight="1" x14ac:dyDescent="0.25">
      <c r="A119" s="50"/>
      <c r="B119" s="62"/>
      <c r="K119" s="60"/>
      <c r="L119" s="62"/>
      <c r="T119" s="60"/>
      <c r="U119" s="62"/>
      <c r="AC119" s="60"/>
      <c r="AD119" s="62"/>
      <c r="AL119" s="60"/>
      <c r="AM119" s="62"/>
      <c r="BI119" s="60"/>
      <c r="BK119" s="51"/>
      <c r="BM119" s="4">
        <f t="shared" si="2"/>
        <v>12</v>
      </c>
    </row>
    <row r="120" spans="1:134" s="49" customFormat="1" ht="15" customHeight="1" x14ac:dyDescent="0.25">
      <c r="A120" s="50"/>
      <c r="B120" s="62"/>
      <c r="K120" s="60"/>
      <c r="L120" s="62"/>
      <c r="T120" s="60"/>
      <c r="U120" s="62"/>
      <c r="AC120" s="60"/>
      <c r="AD120" s="62"/>
      <c r="AL120" s="60"/>
      <c r="AM120" s="62"/>
      <c r="BI120" s="60"/>
      <c r="BK120" s="51"/>
      <c r="BM120" s="4">
        <f t="shared" si="2"/>
        <v>13</v>
      </c>
    </row>
    <row r="121" spans="1:134" s="49" customFormat="1" ht="15" customHeight="1" x14ac:dyDescent="0.25">
      <c r="A121" s="50"/>
      <c r="B121" s="62"/>
      <c r="K121" s="60"/>
      <c r="L121" s="62"/>
      <c r="T121" s="60"/>
      <c r="U121" s="62"/>
      <c r="AC121" s="60"/>
      <c r="AD121" s="62"/>
      <c r="AL121" s="60"/>
      <c r="AM121" s="62"/>
      <c r="BI121" s="60"/>
      <c r="BK121" s="51"/>
      <c r="BM121" s="4">
        <f t="shared" si="2"/>
        <v>14</v>
      </c>
    </row>
    <row r="122" spans="1:134" s="49" customFormat="1" ht="15" customHeight="1" x14ac:dyDescent="0.25">
      <c r="A122" s="50"/>
      <c r="B122" s="62"/>
      <c r="K122" s="60"/>
      <c r="L122" s="62"/>
      <c r="T122" s="60"/>
      <c r="U122" s="62"/>
      <c r="AC122" s="60"/>
      <c r="AD122" s="62"/>
      <c r="AL122" s="60"/>
      <c r="AM122" s="62"/>
      <c r="BI122" s="60"/>
      <c r="BK122" s="51"/>
      <c r="BM122" s="4">
        <f t="shared" ref="BM122:BM172" si="3">IF(BM121=50,1,BM121+1)</f>
        <v>15</v>
      </c>
    </row>
    <row r="123" spans="1:134" s="49" customFormat="1" ht="15" customHeight="1" x14ac:dyDescent="0.25">
      <c r="A123" s="50"/>
      <c r="B123" s="62"/>
      <c r="K123" s="60"/>
      <c r="L123" s="62"/>
      <c r="T123" s="60"/>
      <c r="U123" s="62"/>
      <c r="AC123" s="60"/>
      <c r="AD123" s="62"/>
      <c r="AL123" s="60"/>
      <c r="AM123" s="62"/>
      <c r="BI123" s="60"/>
      <c r="BK123" s="51"/>
      <c r="BM123" s="4">
        <f t="shared" si="3"/>
        <v>16</v>
      </c>
    </row>
    <row r="124" spans="1:134" s="49" customFormat="1" ht="15" customHeight="1" x14ac:dyDescent="0.25">
      <c r="A124" s="50"/>
      <c r="B124" s="62"/>
      <c r="K124" s="60"/>
      <c r="L124" s="62"/>
      <c r="N124" s="20"/>
      <c r="T124" s="60"/>
      <c r="U124" s="62"/>
      <c r="AC124" s="60"/>
      <c r="AD124" s="62"/>
      <c r="AL124" s="60"/>
      <c r="AM124" s="62"/>
      <c r="BI124" s="60"/>
      <c r="BK124" s="51"/>
      <c r="BM124" s="4">
        <f t="shared" si="3"/>
        <v>17</v>
      </c>
    </row>
    <row r="125" spans="1:134" s="49" customFormat="1" ht="15" customHeight="1" x14ac:dyDescent="0.25">
      <c r="A125" s="50"/>
      <c r="B125" s="62"/>
      <c r="K125" s="60"/>
      <c r="L125" s="62"/>
      <c r="T125" s="60"/>
      <c r="U125" s="62"/>
      <c r="AC125" s="60"/>
      <c r="AD125" s="62"/>
      <c r="AL125" s="60"/>
      <c r="AM125" s="62"/>
      <c r="BI125" s="60"/>
      <c r="BK125" s="51"/>
      <c r="BM125" s="4">
        <f t="shared" si="3"/>
        <v>18</v>
      </c>
    </row>
    <row r="126" spans="1:134" s="49" customFormat="1" ht="15" customHeight="1" x14ac:dyDescent="0.25">
      <c r="A126" s="50"/>
      <c r="B126" s="62"/>
      <c r="K126" s="60"/>
      <c r="L126" s="62"/>
      <c r="T126" s="60"/>
      <c r="U126" s="62"/>
      <c r="AC126" s="60"/>
      <c r="AD126" s="62"/>
      <c r="AL126" s="60"/>
      <c r="AM126" s="62"/>
      <c r="BI126" s="60"/>
      <c r="BK126" s="51"/>
      <c r="BM126" s="4">
        <f t="shared" si="3"/>
        <v>19</v>
      </c>
      <c r="ED126" s="21"/>
    </row>
    <row r="127" spans="1:134" s="49" customFormat="1" ht="15" customHeight="1" x14ac:dyDescent="0.25">
      <c r="A127" s="50"/>
      <c r="B127" s="62"/>
      <c r="K127" s="60"/>
      <c r="L127" s="62"/>
      <c r="T127" s="60"/>
      <c r="U127" s="62"/>
      <c r="AC127" s="60"/>
      <c r="AD127" s="62"/>
      <c r="AL127" s="60"/>
      <c r="AM127" s="62"/>
      <c r="BI127" s="60"/>
      <c r="BK127" s="51"/>
      <c r="BM127" s="4">
        <f t="shared" si="3"/>
        <v>20</v>
      </c>
    </row>
    <row r="128" spans="1:134" s="49" customFormat="1" ht="15" customHeight="1" x14ac:dyDescent="0.25">
      <c r="A128" s="50"/>
      <c r="B128" s="62"/>
      <c r="K128" s="60"/>
      <c r="L128" s="62"/>
      <c r="T128" s="60"/>
      <c r="U128" s="62"/>
      <c r="AC128" s="60"/>
      <c r="AD128" s="62"/>
      <c r="AL128" s="60"/>
      <c r="AM128" s="62"/>
      <c r="BI128" s="60"/>
      <c r="BK128" s="51"/>
      <c r="BM128" s="4">
        <f t="shared" si="3"/>
        <v>21</v>
      </c>
    </row>
    <row r="129" spans="1:143" s="49" customFormat="1" ht="15" customHeight="1" x14ac:dyDescent="0.25">
      <c r="A129" s="50"/>
      <c r="B129" s="62"/>
      <c r="K129" s="60"/>
      <c r="L129" s="62"/>
      <c r="T129" s="60"/>
      <c r="U129" s="62"/>
      <c r="AC129" s="60"/>
      <c r="AD129" s="62"/>
      <c r="AL129" s="60"/>
      <c r="AM129" s="62"/>
      <c r="BI129" s="60"/>
      <c r="BK129" s="51"/>
      <c r="BM129" s="4">
        <f t="shared" si="3"/>
        <v>22</v>
      </c>
    </row>
    <row r="130" spans="1:143" s="49" customFormat="1" ht="15" customHeight="1" x14ac:dyDescent="0.25">
      <c r="A130" s="50"/>
      <c r="B130" s="62"/>
      <c r="K130" s="60"/>
      <c r="L130" s="62"/>
      <c r="T130" s="60"/>
      <c r="U130" s="62"/>
      <c r="AC130" s="60"/>
      <c r="AD130" s="62"/>
      <c r="AL130" s="60"/>
      <c r="AM130" s="62"/>
      <c r="BI130" s="60"/>
      <c r="BK130" s="51"/>
      <c r="BM130" s="4">
        <f t="shared" si="3"/>
        <v>23</v>
      </c>
    </row>
    <row r="131" spans="1:143" s="49" customFormat="1" ht="15" customHeight="1" x14ac:dyDescent="0.25">
      <c r="A131" s="50"/>
      <c r="B131" s="62"/>
      <c r="K131" s="60"/>
      <c r="L131" s="62"/>
      <c r="T131" s="60"/>
      <c r="U131" s="62"/>
      <c r="AC131" s="60"/>
      <c r="AD131" s="62"/>
      <c r="AL131" s="60"/>
      <c r="AM131" s="62"/>
      <c r="BI131" s="60"/>
      <c r="BK131" s="51"/>
      <c r="BM131" s="4">
        <f t="shared" si="3"/>
        <v>24</v>
      </c>
    </row>
    <row r="132" spans="1:143" s="49" customFormat="1" ht="15" customHeight="1" x14ac:dyDescent="0.25">
      <c r="A132" s="50"/>
      <c r="B132" s="62"/>
      <c r="K132" s="60"/>
      <c r="L132" s="62"/>
      <c r="T132" s="60"/>
      <c r="U132" s="62"/>
      <c r="AC132" s="60"/>
      <c r="AD132" s="62"/>
      <c r="AL132" s="60"/>
      <c r="AM132" s="62"/>
      <c r="BI132" s="60"/>
      <c r="BK132" s="51"/>
      <c r="BM132" s="4">
        <f t="shared" si="3"/>
        <v>25</v>
      </c>
    </row>
    <row r="133" spans="1:143" s="49" customFormat="1" ht="15" customHeight="1" x14ac:dyDescent="0.25">
      <c r="A133" s="50"/>
      <c r="B133" s="62"/>
      <c r="K133" s="60"/>
      <c r="L133" s="62"/>
      <c r="T133" s="60"/>
      <c r="U133" s="62"/>
      <c r="AC133" s="60"/>
      <c r="AD133" s="62"/>
      <c r="AL133" s="60"/>
      <c r="AM133" s="62"/>
      <c r="BI133" s="60"/>
      <c r="BK133" s="51"/>
      <c r="BM133" s="4">
        <f t="shared" si="3"/>
        <v>26</v>
      </c>
    </row>
    <row r="134" spans="1:143" s="49" customFormat="1" ht="15" customHeight="1" x14ac:dyDescent="0.25">
      <c r="A134" s="50"/>
      <c r="B134" s="62"/>
      <c r="K134" s="60"/>
      <c r="L134" s="62"/>
      <c r="T134" s="60"/>
      <c r="U134" s="62"/>
      <c r="AC134" s="60"/>
      <c r="AD134" s="62"/>
      <c r="AL134" s="60"/>
      <c r="AM134" s="62"/>
      <c r="BI134" s="60"/>
      <c r="BK134" s="51"/>
      <c r="BM134" s="4">
        <f t="shared" si="3"/>
        <v>27</v>
      </c>
    </row>
    <row r="135" spans="1:143" s="49" customFormat="1" ht="15" customHeight="1" x14ac:dyDescent="0.25">
      <c r="A135" s="50"/>
      <c r="B135" s="62"/>
      <c r="K135" s="60"/>
      <c r="L135" s="62"/>
      <c r="T135" s="60"/>
      <c r="U135" s="62"/>
      <c r="AC135" s="60"/>
      <c r="AD135" s="62"/>
      <c r="AL135" s="60"/>
      <c r="AM135" s="62"/>
      <c r="BI135" s="60"/>
      <c r="BK135" s="51"/>
      <c r="BM135" s="4">
        <f t="shared" si="3"/>
        <v>28</v>
      </c>
    </row>
    <row r="136" spans="1:143" s="49" customFormat="1" ht="15" customHeight="1" x14ac:dyDescent="0.25">
      <c r="A136" s="50"/>
      <c r="B136" s="62"/>
      <c r="K136" s="60"/>
      <c r="L136" s="62"/>
      <c r="T136" s="60"/>
      <c r="U136" s="62"/>
      <c r="AC136" s="60"/>
      <c r="AD136" s="62"/>
      <c r="AL136" s="60"/>
      <c r="AM136" s="62"/>
      <c r="BI136" s="60"/>
      <c r="BK136" s="51"/>
      <c r="BM136" s="4">
        <f t="shared" si="3"/>
        <v>29</v>
      </c>
    </row>
    <row r="137" spans="1:143" s="49" customFormat="1" ht="15" customHeight="1" x14ac:dyDescent="0.25">
      <c r="A137" s="50"/>
      <c r="B137" s="62"/>
      <c r="K137" s="60"/>
      <c r="L137" s="62"/>
      <c r="T137" s="60"/>
      <c r="U137" s="62"/>
      <c r="AC137" s="60"/>
      <c r="AD137" s="62"/>
      <c r="AL137" s="60"/>
      <c r="AM137" s="62"/>
      <c r="BI137" s="60"/>
      <c r="BK137" s="51"/>
      <c r="BM137" s="4">
        <f t="shared" si="3"/>
        <v>30</v>
      </c>
    </row>
    <row r="138" spans="1:143" s="49" customFormat="1" ht="15" customHeight="1" x14ac:dyDescent="0.25">
      <c r="A138" s="50"/>
      <c r="B138" s="62"/>
      <c r="K138" s="60"/>
      <c r="L138" s="62"/>
      <c r="T138" s="60"/>
      <c r="U138" s="62"/>
      <c r="AC138" s="60"/>
      <c r="AD138" s="62"/>
      <c r="AL138" s="60"/>
      <c r="AM138" s="62"/>
      <c r="BI138" s="60"/>
      <c r="BK138" s="51"/>
      <c r="BM138" s="4">
        <f t="shared" si="3"/>
        <v>31</v>
      </c>
    </row>
    <row r="139" spans="1:143" s="49" customFormat="1" ht="15" customHeight="1" x14ac:dyDescent="0.25">
      <c r="A139" s="50"/>
      <c r="B139" s="62"/>
      <c r="K139" s="60"/>
      <c r="L139" s="62"/>
      <c r="T139" s="60"/>
      <c r="U139" s="62"/>
      <c r="AC139" s="60"/>
      <c r="AD139" s="62"/>
      <c r="AL139" s="60"/>
      <c r="AM139" s="62"/>
      <c r="BI139" s="60"/>
      <c r="BK139" s="51"/>
      <c r="BM139" s="4">
        <f t="shared" si="3"/>
        <v>32</v>
      </c>
      <c r="EM139" s="21"/>
    </row>
    <row r="140" spans="1:143" s="49" customFormat="1" ht="15" customHeight="1" x14ac:dyDescent="0.25">
      <c r="A140" s="50"/>
      <c r="B140" s="62"/>
      <c r="K140" s="60"/>
      <c r="L140" s="62"/>
      <c r="T140" s="60"/>
      <c r="U140" s="62"/>
      <c r="AC140" s="60"/>
      <c r="AD140" s="62"/>
      <c r="AL140" s="60"/>
      <c r="AM140" s="62"/>
      <c r="BI140" s="60"/>
      <c r="BK140" s="51"/>
      <c r="BM140" s="4">
        <f t="shared" si="3"/>
        <v>33</v>
      </c>
    </row>
    <row r="141" spans="1:143" s="49" customFormat="1" ht="15" customHeight="1" x14ac:dyDescent="0.25">
      <c r="A141" s="50"/>
      <c r="B141" s="62"/>
      <c r="K141" s="60"/>
      <c r="L141" s="62"/>
      <c r="T141" s="60"/>
      <c r="U141" s="62"/>
      <c r="AC141" s="60"/>
      <c r="AD141" s="62"/>
      <c r="AL141" s="60"/>
      <c r="AM141" s="62"/>
      <c r="BI141" s="60"/>
      <c r="BK141" s="51"/>
      <c r="BM141" s="4">
        <f t="shared" si="3"/>
        <v>34</v>
      </c>
    </row>
    <row r="142" spans="1:143" s="49" customFormat="1" ht="15" customHeight="1" x14ac:dyDescent="0.25">
      <c r="A142" s="50"/>
      <c r="B142" s="62"/>
      <c r="K142" s="60"/>
      <c r="L142" s="62"/>
      <c r="T142" s="60"/>
      <c r="U142" s="62"/>
      <c r="AC142" s="60"/>
      <c r="AD142" s="62"/>
      <c r="AL142" s="60"/>
      <c r="AM142" s="62"/>
      <c r="BI142" s="60"/>
      <c r="BK142" s="51"/>
      <c r="BM142" s="4">
        <f t="shared" si="3"/>
        <v>35</v>
      </c>
    </row>
    <row r="143" spans="1:143" s="49" customFormat="1" ht="15" customHeight="1" x14ac:dyDescent="0.25">
      <c r="A143" s="50"/>
      <c r="B143" s="62"/>
      <c r="K143" s="60"/>
      <c r="L143" s="62"/>
      <c r="T143" s="60"/>
      <c r="U143" s="62"/>
      <c r="AC143" s="60"/>
      <c r="AD143" s="62"/>
      <c r="AL143" s="60"/>
      <c r="AM143" s="62"/>
      <c r="BI143" s="60"/>
      <c r="BK143" s="51"/>
      <c r="BM143" s="4">
        <f t="shared" si="3"/>
        <v>36</v>
      </c>
    </row>
    <row r="144" spans="1:143" s="49" customFormat="1" ht="15" customHeight="1" x14ac:dyDescent="0.25">
      <c r="A144" s="50"/>
      <c r="B144" s="62"/>
      <c r="K144" s="60"/>
      <c r="L144" s="62"/>
      <c r="T144" s="60"/>
      <c r="U144" s="62"/>
      <c r="AC144" s="60"/>
      <c r="AD144" s="62"/>
      <c r="AL144" s="60"/>
      <c r="AM144" s="62"/>
      <c r="BI144" s="60"/>
      <c r="BK144" s="51"/>
      <c r="BM144" s="4">
        <f t="shared" si="3"/>
        <v>37</v>
      </c>
    </row>
    <row r="145" spans="1:65" s="49" customFormat="1" ht="15" customHeight="1" x14ac:dyDescent="0.25">
      <c r="A145" s="50"/>
      <c r="B145" s="62"/>
      <c r="K145" s="60"/>
      <c r="L145" s="62"/>
      <c r="T145" s="60"/>
      <c r="U145" s="62"/>
      <c r="AC145" s="60"/>
      <c r="AD145" s="62"/>
      <c r="AL145" s="60"/>
      <c r="AM145" s="62"/>
      <c r="BI145" s="60"/>
      <c r="BK145" s="51"/>
      <c r="BM145" s="4">
        <f t="shared" si="3"/>
        <v>38</v>
      </c>
    </row>
    <row r="146" spans="1:65" s="49" customFormat="1" ht="15" customHeight="1" x14ac:dyDescent="0.25">
      <c r="A146" s="50"/>
      <c r="B146" s="62"/>
      <c r="K146" s="60"/>
      <c r="L146" s="62"/>
      <c r="T146" s="60"/>
      <c r="U146" s="62"/>
      <c r="AC146" s="60"/>
      <c r="AD146" s="62"/>
      <c r="AL146" s="60"/>
      <c r="AM146" s="62"/>
      <c r="BI146" s="60"/>
      <c r="BK146" s="51"/>
      <c r="BM146" s="4">
        <f t="shared" si="3"/>
        <v>39</v>
      </c>
    </row>
    <row r="147" spans="1:65" s="49" customFormat="1" ht="15" customHeight="1" x14ac:dyDescent="0.25">
      <c r="A147" s="50"/>
      <c r="B147" s="62"/>
      <c r="K147" s="60"/>
      <c r="L147" s="62"/>
      <c r="T147" s="60"/>
      <c r="U147" s="62"/>
      <c r="AC147" s="60"/>
      <c r="AD147" s="62"/>
      <c r="AL147" s="60"/>
      <c r="AM147" s="62"/>
      <c r="BI147" s="60"/>
      <c r="BK147" s="51"/>
      <c r="BM147" s="4">
        <f t="shared" si="3"/>
        <v>40</v>
      </c>
    </row>
    <row r="148" spans="1:65" s="49" customFormat="1" ht="15" customHeight="1" x14ac:dyDescent="0.25">
      <c r="A148" s="50"/>
      <c r="B148" s="62"/>
      <c r="K148" s="60"/>
      <c r="L148" s="62"/>
      <c r="T148" s="60"/>
      <c r="U148" s="62"/>
      <c r="AC148" s="60"/>
      <c r="AD148" s="62"/>
      <c r="AL148" s="60"/>
      <c r="AM148" s="62"/>
      <c r="BI148" s="60"/>
      <c r="BK148" s="51"/>
      <c r="BM148" s="4">
        <f t="shared" si="3"/>
        <v>41</v>
      </c>
    </row>
    <row r="149" spans="1:65" s="49" customFormat="1" ht="15" customHeight="1" x14ac:dyDescent="0.25">
      <c r="A149" s="50"/>
      <c r="B149" s="62"/>
      <c r="K149" s="60"/>
      <c r="L149" s="62"/>
      <c r="T149" s="60"/>
      <c r="U149" s="62"/>
      <c r="AC149" s="60"/>
      <c r="AD149" s="62"/>
      <c r="AL149" s="60"/>
      <c r="AM149" s="62"/>
      <c r="BI149" s="60"/>
      <c r="BK149" s="51"/>
      <c r="BM149" s="4">
        <f t="shared" si="3"/>
        <v>42</v>
      </c>
    </row>
    <row r="150" spans="1:65" s="49" customFormat="1" ht="15" customHeight="1" x14ac:dyDescent="0.25">
      <c r="A150" s="50"/>
      <c r="B150" s="62"/>
      <c r="K150" s="60"/>
      <c r="L150" s="62"/>
      <c r="T150" s="60"/>
      <c r="U150" s="62"/>
      <c r="AC150" s="60"/>
      <c r="AD150" s="62"/>
      <c r="AL150" s="60"/>
      <c r="AM150" s="62"/>
      <c r="BI150" s="60"/>
      <c r="BK150" s="51"/>
      <c r="BM150" s="4">
        <f t="shared" si="3"/>
        <v>43</v>
      </c>
    </row>
    <row r="151" spans="1:65" s="49" customFormat="1" ht="15" customHeight="1" x14ac:dyDescent="0.25">
      <c r="A151" s="50"/>
      <c r="B151" s="62"/>
      <c r="K151" s="60"/>
      <c r="L151" s="62"/>
      <c r="T151" s="60"/>
      <c r="U151" s="62"/>
      <c r="AC151" s="60"/>
      <c r="AD151" s="62"/>
      <c r="AL151" s="60"/>
      <c r="AM151" s="62"/>
      <c r="BI151" s="60"/>
      <c r="BK151" s="51"/>
      <c r="BM151" s="4">
        <f t="shared" si="3"/>
        <v>44</v>
      </c>
    </row>
    <row r="152" spans="1:65" s="49" customFormat="1" ht="15" customHeight="1" x14ac:dyDescent="0.25">
      <c r="A152" s="50"/>
      <c r="B152" s="62"/>
      <c r="K152" s="60"/>
      <c r="L152" s="62"/>
      <c r="T152" s="60"/>
      <c r="U152" s="62"/>
      <c r="AC152" s="60"/>
      <c r="AD152" s="62"/>
      <c r="AL152" s="60"/>
      <c r="AM152" s="62"/>
      <c r="BI152" s="60"/>
      <c r="BK152" s="51"/>
      <c r="BM152" s="4">
        <f t="shared" si="3"/>
        <v>45</v>
      </c>
    </row>
    <row r="153" spans="1:65" s="49" customFormat="1" ht="15" customHeight="1" x14ac:dyDescent="0.25">
      <c r="A153" s="50"/>
      <c r="B153" s="62"/>
      <c r="K153" s="60"/>
      <c r="L153" s="62"/>
      <c r="T153" s="60"/>
      <c r="U153" s="62"/>
      <c r="AC153" s="60"/>
      <c r="AD153" s="62"/>
      <c r="AL153" s="60"/>
      <c r="AM153" s="62"/>
      <c r="BI153" s="60"/>
      <c r="BK153" s="51"/>
      <c r="BM153" s="4">
        <f t="shared" si="3"/>
        <v>46</v>
      </c>
    </row>
    <row r="154" spans="1:65" s="49" customFormat="1" ht="15" customHeight="1" x14ac:dyDescent="0.25">
      <c r="A154" s="50"/>
      <c r="B154" s="19" t="s">
        <v>56</v>
      </c>
      <c r="C154" s="66"/>
      <c r="D154" s="66"/>
      <c r="E154" s="66"/>
      <c r="F154" s="66"/>
      <c r="G154" s="66"/>
      <c r="H154" s="66"/>
      <c r="I154" s="66"/>
      <c r="J154" s="66"/>
      <c r="K154" s="67"/>
      <c r="L154" s="68"/>
      <c r="M154" s="66"/>
      <c r="N154" s="66"/>
      <c r="O154" s="66"/>
      <c r="P154" s="66"/>
      <c r="Q154" s="66"/>
      <c r="R154" s="66"/>
      <c r="S154" s="66"/>
      <c r="T154" s="67"/>
      <c r="U154" s="68"/>
      <c r="V154" s="66"/>
      <c r="W154" s="66"/>
      <c r="X154" s="66"/>
      <c r="Y154" s="66"/>
      <c r="Z154" s="66"/>
      <c r="AA154" s="66"/>
      <c r="AB154" s="66"/>
      <c r="AC154" s="67"/>
      <c r="AD154" s="68"/>
      <c r="AE154" s="66"/>
      <c r="AF154" s="66"/>
      <c r="AG154" s="66"/>
      <c r="AH154" s="66"/>
      <c r="AI154" s="66"/>
      <c r="AJ154" s="66"/>
      <c r="AK154" s="66"/>
      <c r="AL154" s="67"/>
      <c r="AM154" s="68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7"/>
      <c r="BJ154" s="66"/>
      <c r="BK154" s="51"/>
      <c r="BM154" s="4">
        <f t="shared" si="3"/>
        <v>47</v>
      </c>
    </row>
    <row r="155" spans="1:65" s="49" customFormat="1" ht="15" customHeight="1" x14ac:dyDescent="0.25">
      <c r="A155" s="50"/>
      <c r="B155" s="62"/>
      <c r="K155" s="60"/>
      <c r="L155" s="62"/>
      <c r="T155" s="60"/>
      <c r="U155" s="62"/>
      <c r="AC155" s="60"/>
      <c r="AD155" s="62"/>
      <c r="AL155" s="60"/>
      <c r="AM155" s="62"/>
      <c r="BI155" s="60"/>
      <c r="BK155" s="51"/>
      <c r="BM155" s="4">
        <f t="shared" si="3"/>
        <v>48</v>
      </c>
    </row>
    <row r="156" spans="1:65" s="49" customFormat="1" ht="15" customHeight="1" x14ac:dyDescent="0.25">
      <c r="A156" s="50"/>
      <c r="B156" s="62"/>
      <c r="K156" s="60"/>
      <c r="L156" s="62"/>
      <c r="T156" s="60"/>
      <c r="U156" s="62"/>
      <c r="AC156" s="60"/>
      <c r="AD156" s="62"/>
      <c r="AL156" s="60"/>
      <c r="AM156" s="62"/>
      <c r="BI156" s="60"/>
      <c r="BK156" s="51"/>
      <c r="BM156" s="4">
        <f t="shared" si="3"/>
        <v>49</v>
      </c>
    </row>
    <row r="157" spans="1:65" s="49" customFormat="1" ht="15" customHeight="1" x14ac:dyDescent="0.25">
      <c r="A157" s="50"/>
      <c r="B157" s="62"/>
      <c r="K157" s="60"/>
      <c r="L157" s="62"/>
      <c r="T157" s="60"/>
      <c r="U157" s="62"/>
      <c r="AC157" s="60"/>
      <c r="AD157" s="62"/>
      <c r="AL157" s="60"/>
      <c r="AM157" s="62"/>
      <c r="BI157" s="60"/>
      <c r="BK157" s="51"/>
      <c r="BM157" s="4">
        <f t="shared" si="3"/>
        <v>50</v>
      </c>
    </row>
    <row r="158" spans="1:65" s="49" customFormat="1" ht="15" customHeight="1" x14ac:dyDescent="0.25">
      <c r="A158" s="50"/>
      <c r="B158" s="62"/>
      <c r="K158" s="60"/>
      <c r="L158" s="62"/>
      <c r="T158" s="60"/>
      <c r="U158" s="62"/>
      <c r="AC158" s="60"/>
      <c r="AD158" s="62"/>
      <c r="AL158" s="60"/>
      <c r="AM158" s="62"/>
      <c r="BI158" s="60"/>
      <c r="BK158" s="51"/>
      <c r="BM158" s="4">
        <f t="shared" si="3"/>
        <v>1</v>
      </c>
    </row>
    <row r="159" spans="1:65" s="49" customFormat="1" ht="15" customHeight="1" x14ac:dyDescent="0.25">
      <c r="A159" s="50"/>
      <c r="B159" s="62"/>
      <c r="K159" s="60"/>
      <c r="L159" s="62"/>
      <c r="T159" s="60"/>
      <c r="U159" s="62"/>
      <c r="AC159" s="60"/>
      <c r="AD159" s="62"/>
      <c r="AL159" s="60"/>
      <c r="AM159" s="62"/>
      <c r="BI159" s="60"/>
      <c r="BK159" s="51"/>
      <c r="BM159" s="4">
        <f t="shared" si="3"/>
        <v>2</v>
      </c>
    </row>
    <row r="160" spans="1:65" s="49" customFormat="1" ht="15" customHeight="1" x14ac:dyDescent="0.25">
      <c r="A160" s="50"/>
      <c r="B160" s="62"/>
      <c r="K160" s="60"/>
      <c r="L160" s="62"/>
      <c r="T160" s="60"/>
      <c r="U160" s="62"/>
      <c r="AC160" s="60"/>
      <c r="AD160" s="62"/>
      <c r="AL160" s="60"/>
      <c r="AM160" s="62"/>
      <c r="BI160" s="60"/>
      <c r="BK160" s="51"/>
      <c r="BM160" s="4">
        <f t="shared" si="3"/>
        <v>3</v>
      </c>
    </row>
    <row r="161" spans="1:65" s="49" customFormat="1" ht="15" customHeight="1" x14ac:dyDescent="0.25">
      <c r="A161" s="50"/>
      <c r="B161" s="62"/>
      <c r="K161" s="60"/>
      <c r="L161" s="62"/>
      <c r="T161" s="60"/>
      <c r="U161" s="62"/>
      <c r="AC161" s="60"/>
      <c r="AD161" s="62"/>
      <c r="AL161" s="60"/>
      <c r="AM161" s="62"/>
      <c r="BI161" s="60"/>
      <c r="BK161" s="51"/>
      <c r="BM161" s="4">
        <f t="shared" si="3"/>
        <v>4</v>
      </c>
    </row>
    <row r="162" spans="1:65" s="49" customFormat="1" ht="15" customHeight="1" x14ac:dyDescent="0.25">
      <c r="A162" s="50"/>
      <c r="B162" s="62"/>
      <c r="K162" s="60"/>
      <c r="L162" s="62"/>
      <c r="T162" s="60"/>
      <c r="U162" s="62"/>
      <c r="AC162" s="60"/>
      <c r="AD162" s="62"/>
      <c r="AL162" s="60"/>
      <c r="AM162" s="62"/>
      <c r="BI162" s="60"/>
      <c r="BK162" s="51"/>
      <c r="BM162" s="4">
        <f t="shared" si="3"/>
        <v>5</v>
      </c>
    </row>
    <row r="163" spans="1:65" s="49" customFormat="1" ht="15" customHeight="1" x14ac:dyDescent="0.25">
      <c r="A163" s="50"/>
      <c r="B163" s="62"/>
      <c r="K163" s="60"/>
      <c r="L163" s="62"/>
      <c r="T163" s="60"/>
      <c r="U163" s="62"/>
      <c r="AC163" s="60"/>
      <c r="AD163" s="62"/>
      <c r="AL163" s="60"/>
      <c r="AM163" s="62"/>
      <c r="BI163" s="60"/>
      <c r="BK163" s="51"/>
      <c r="BM163" s="4">
        <f t="shared" si="3"/>
        <v>6</v>
      </c>
    </row>
    <row r="164" spans="1:65" s="49" customFormat="1" ht="15" customHeight="1" x14ac:dyDescent="0.25">
      <c r="A164" s="50"/>
      <c r="B164" s="62"/>
      <c r="K164" s="60"/>
      <c r="L164" s="62"/>
      <c r="T164" s="60"/>
      <c r="U164" s="62"/>
      <c r="AC164" s="60"/>
      <c r="AD164" s="62"/>
      <c r="AL164" s="60"/>
      <c r="AM164" s="62"/>
      <c r="BI164" s="60"/>
      <c r="BK164" s="51"/>
      <c r="BM164" s="4">
        <f t="shared" si="3"/>
        <v>7</v>
      </c>
    </row>
    <row r="165" spans="1:65" s="49" customFormat="1" ht="15" customHeight="1" x14ac:dyDescent="0.25">
      <c r="A165" s="50"/>
      <c r="B165" s="62"/>
      <c r="K165" s="60"/>
      <c r="L165" s="62"/>
      <c r="T165" s="60"/>
      <c r="U165" s="62"/>
      <c r="AC165" s="60"/>
      <c r="AD165" s="62"/>
      <c r="AL165" s="60"/>
      <c r="AM165" s="62"/>
      <c r="BI165" s="60"/>
      <c r="BK165" s="51"/>
      <c r="BM165" s="4">
        <f t="shared" si="3"/>
        <v>8</v>
      </c>
    </row>
    <row r="166" spans="1:65" s="49" customFormat="1" ht="15" customHeight="1" x14ac:dyDescent="0.25">
      <c r="A166" s="50"/>
      <c r="B166" s="62"/>
      <c r="K166" s="60"/>
      <c r="L166" s="62"/>
      <c r="T166" s="60"/>
      <c r="U166" s="62"/>
      <c r="AC166" s="60"/>
      <c r="AD166" s="62"/>
      <c r="AL166" s="60"/>
      <c r="AM166" s="62"/>
      <c r="BI166" s="60"/>
      <c r="BK166" s="51"/>
      <c r="BM166" s="4">
        <f t="shared" si="3"/>
        <v>9</v>
      </c>
    </row>
    <row r="167" spans="1:65" s="49" customFormat="1" ht="15" customHeight="1" x14ac:dyDescent="0.25">
      <c r="A167" s="50"/>
      <c r="B167" s="62"/>
      <c r="K167" s="60"/>
      <c r="L167" s="62"/>
      <c r="T167" s="60"/>
      <c r="U167" s="62"/>
      <c r="AC167" s="60"/>
      <c r="AD167" s="62"/>
      <c r="AL167" s="60"/>
      <c r="AM167" s="62"/>
      <c r="BI167" s="60"/>
      <c r="BK167" s="51"/>
      <c r="BM167" s="4">
        <f t="shared" si="3"/>
        <v>10</v>
      </c>
    </row>
    <row r="168" spans="1:65" s="49" customFormat="1" ht="15" customHeight="1" x14ac:dyDescent="0.25">
      <c r="A168" s="50"/>
      <c r="B168" s="62"/>
      <c r="K168" s="60"/>
      <c r="L168" s="62"/>
      <c r="T168" s="60"/>
      <c r="U168" s="62"/>
      <c r="AC168" s="60"/>
      <c r="AD168" s="62"/>
      <c r="AL168" s="60"/>
      <c r="AM168" s="62"/>
      <c r="BI168" s="60"/>
      <c r="BK168" s="51"/>
      <c r="BM168" s="4">
        <f t="shared" si="3"/>
        <v>11</v>
      </c>
    </row>
    <row r="169" spans="1:65" s="49" customFormat="1" ht="15" customHeight="1" x14ac:dyDescent="0.25">
      <c r="A169" s="50"/>
      <c r="B169" s="62"/>
      <c r="K169" s="60"/>
      <c r="L169" s="62"/>
      <c r="T169" s="60"/>
      <c r="U169" s="62"/>
      <c r="AC169" s="60"/>
      <c r="AD169" s="62"/>
      <c r="AL169" s="60"/>
      <c r="AM169" s="62"/>
      <c r="BI169" s="60"/>
      <c r="BK169" s="51"/>
      <c r="BM169" s="4">
        <f t="shared" si="3"/>
        <v>12</v>
      </c>
    </row>
    <row r="170" spans="1:65" s="49" customFormat="1" ht="15" customHeight="1" x14ac:dyDescent="0.25">
      <c r="A170" s="50"/>
      <c r="B170" s="62"/>
      <c r="K170" s="60"/>
      <c r="L170" s="62"/>
      <c r="T170" s="60"/>
      <c r="U170" s="62"/>
      <c r="AC170" s="60"/>
      <c r="AD170" s="62"/>
      <c r="AL170" s="60"/>
      <c r="AM170" s="62"/>
      <c r="BI170" s="60"/>
      <c r="BK170" s="51"/>
      <c r="BM170" s="4">
        <f t="shared" si="3"/>
        <v>13</v>
      </c>
    </row>
    <row r="171" spans="1:65" s="49" customFormat="1" ht="15" customHeight="1" x14ac:dyDescent="0.25">
      <c r="A171" s="50"/>
      <c r="B171" s="62"/>
      <c r="K171" s="60"/>
      <c r="L171" s="62"/>
      <c r="T171" s="60"/>
      <c r="U171" s="62"/>
      <c r="AC171" s="60"/>
      <c r="AD171" s="62"/>
      <c r="AL171" s="60"/>
      <c r="AM171" s="62"/>
      <c r="BI171" s="60"/>
      <c r="BK171" s="51"/>
      <c r="BM171" s="4">
        <f t="shared" si="3"/>
        <v>14</v>
      </c>
    </row>
    <row r="172" spans="1:65" s="49" customFormat="1" ht="15" customHeight="1" x14ac:dyDescent="0.25">
      <c r="A172" s="50"/>
      <c r="B172" s="62"/>
      <c r="K172" s="60"/>
      <c r="L172" s="62"/>
      <c r="T172" s="60"/>
      <c r="U172" s="62"/>
      <c r="AC172" s="60"/>
      <c r="AD172" s="62"/>
      <c r="AL172" s="60"/>
      <c r="AM172" s="62"/>
      <c r="BI172" s="60"/>
      <c r="BK172" s="51"/>
      <c r="BM172" s="4">
        <f t="shared" si="3"/>
        <v>15</v>
      </c>
    </row>
    <row r="173" spans="1:65" s="49" customFormat="1" ht="15" customHeight="1" x14ac:dyDescent="0.25">
      <c r="A173" s="50"/>
      <c r="B173" s="62"/>
      <c r="K173" s="60"/>
      <c r="L173" s="62"/>
      <c r="T173" s="60"/>
      <c r="U173" s="62"/>
      <c r="AC173" s="60"/>
      <c r="AD173" s="62"/>
      <c r="AL173" s="60"/>
      <c r="AM173" s="62"/>
      <c r="BI173" s="60"/>
      <c r="BK173" s="51"/>
      <c r="BM173" s="4">
        <f t="shared" ref="BM173:BM197" si="4">IF(BM172=50,1,BM172+1)</f>
        <v>16</v>
      </c>
    </row>
    <row r="174" spans="1:65" s="49" customFormat="1" ht="15" customHeight="1" x14ac:dyDescent="0.25">
      <c r="A174" s="50"/>
      <c r="B174" s="62"/>
      <c r="K174" s="60"/>
      <c r="L174" s="62"/>
      <c r="T174" s="60"/>
      <c r="U174" s="62"/>
      <c r="AC174" s="60"/>
      <c r="AD174" s="62"/>
      <c r="AL174" s="60"/>
      <c r="AM174" s="62"/>
      <c r="BI174" s="60"/>
      <c r="BK174" s="51"/>
      <c r="BM174" s="4">
        <f t="shared" si="4"/>
        <v>17</v>
      </c>
    </row>
    <row r="175" spans="1:65" s="49" customFormat="1" ht="15" customHeight="1" x14ac:dyDescent="0.25">
      <c r="A175" s="50"/>
      <c r="B175" s="62"/>
      <c r="K175" s="60"/>
      <c r="L175" s="62"/>
      <c r="T175" s="60"/>
      <c r="U175" s="62"/>
      <c r="AC175" s="60"/>
      <c r="AD175" s="62"/>
      <c r="AL175" s="60"/>
      <c r="AM175" s="62"/>
      <c r="BI175" s="60"/>
      <c r="BK175" s="51"/>
      <c r="BM175" s="4">
        <f t="shared" si="4"/>
        <v>18</v>
      </c>
    </row>
    <row r="176" spans="1:65" s="49" customFormat="1" ht="15" customHeight="1" x14ac:dyDescent="0.25">
      <c r="A176" s="50"/>
      <c r="B176" s="18" t="s">
        <v>57</v>
      </c>
      <c r="C176" s="64"/>
      <c r="D176" s="64"/>
      <c r="E176" s="64"/>
      <c r="F176" s="64"/>
      <c r="G176" s="64"/>
      <c r="H176" s="64"/>
      <c r="I176" s="64"/>
      <c r="J176" s="64"/>
      <c r="K176" s="65"/>
      <c r="L176" s="63"/>
      <c r="M176" s="64"/>
      <c r="N176" s="64"/>
      <c r="O176" s="64"/>
      <c r="P176" s="64"/>
      <c r="Q176" s="64"/>
      <c r="R176" s="64"/>
      <c r="S176" s="64"/>
      <c r="T176" s="65"/>
      <c r="U176" s="63"/>
      <c r="V176" s="64"/>
      <c r="W176" s="64"/>
      <c r="X176" s="64"/>
      <c r="Y176" s="64"/>
      <c r="Z176" s="64"/>
      <c r="AA176" s="64"/>
      <c r="AB176" s="64"/>
      <c r="AC176" s="65"/>
      <c r="AD176" s="63"/>
      <c r="AE176" s="64"/>
      <c r="AF176" s="64"/>
      <c r="AG176" s="64"/>
      <c r="AH176" s="64"/>
      <c r="AI176" s="64"/>
      <c r="AJ176" s="64"/>
      <c r="AK176" s="64"/>
      <c r="AL176" s="65"/>
      <c r="AM176" s="63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5"/>
      <c r="BJ176" s="64"/>
      <c r="BK176" s="51"/>
      <c r="BM176" s="4">
        <f t="shared" si="4"/>
        <v>19</v>
      </c>
    </row>
    <row r="177" spans="1:65" s="49" customFormat="1" ht="15" customHeight="1" x14ac:dyDescent="0.25">
      <c r="A177" s="50"/>
      <c r="B177" s="62"/>
      <c r="K177" s="60"/>
      <c r="L177" s="62"/>
      <c r="T177" s="60"/>
      <c r="U177" s="62"/>
      <c r="AC177" s="60"/>
      <c r="AD177" s="62"/>
      <c r="AL177" s="60"/>
      <c r="AM177" s="62"/>
      <c r="BI177" s="60"/>
      <c r="BK177" s="51"/>
      <c r="BM177" s="4">
        <f t="shared" si="4"/>
        <v>20</v>
      </c>
    </row>
    <row r="178" spans="1:65" s="49" customFormat="1" ht="15" customHeight="1" x14ac:dyDescent="0.25">
      <c r="A178" s="50"/>
      <c r="B178" s="62"/>
      <c r="K178" s="60"/>
      <c r="L178" s="62"/>
      <c r="T178" s="60"/>
      <c r="U178" s="62"/>
      <c r="AC178" s="60"/>
      <c r="AD178" s="62"/>
      <c r="AL178" s="60"/>
      <c r="AM178" s="62"/>
      <c r="BI178" s="60"/>
      <c r="BK178" s="51"/>
      <c r="BM178" s="4">
        <f t="shared" si="4"/>
        <v>21</v>
      </c>
    </row>
    <row r="179" spans="1:65" s="49" customFormat="1" ht="15" customHeight="1" x14ac:dyDescent="0.25">
      <c r="A179" s="50"/>
      <c r="B179" s="62"/>
      <c r="K179" s="60"/>
      <c r="L179" s="62"/>
      <c r="T179" s="60"/>
      <c r="U179" s="62"/>
      <c r="AC179" s="60"/>
      <c r="AD179" s="62"/>
      <c r="AL179" s="60"/>
      <c r="AM179" s="62"/>
      <c r="BI179" s="60"/>
      <c r="BK179" s="51"/>
      <c r="BM179" s="4">
        <f t="shared" si="4"/>
        <v>22</v>
      </c>
    </row>
    <row r="180" spans="1:65" s="49" customFormat="1" ht="15" customHeight="1" x14ac:dyDescent="0.25">
      <c r="A180" s="50"/>
      <c r="B180" s="62"/>
      <c r="K180" s="60"/>
      <c r="L180" s="62"/>
      <c r="T180" s="60"/>
      <c r="U180" s="62"/>
      <c r="AC180" s="60"/>
      <c r="AD180" s="62"/>
      <c r="AL180" s="60"/>
      <c r="AM180" s="62"/>
      <c r="BI180" s="60"/>
      <c r="BK180" s="51"/>
      <c r="BM180" s="4">
        <f t="shared" si="4"/>
        <v>23</v>
      </c>
    </row>
    <row r="181" spans="1:65" s="49" customFormat="1" ht="15" customHeight="1" x14ac:dyDescent="0.25">
      <c r="A181" s="50"/>
      <c r="B181" s="62"/>
      <c r="K181" s="60"/>
      <c r="L181" s="62"/>
      <c r="T181" s="60"/>
      <c r="U181" s="62"/>
      <c r="AC181" s="60"/>
      <c r="AD181" s="62"/>
      <c r="AL181" s="60"/>
      <c r="AM181" s="62"/>
      <c r="BI181" s="60"/>
      <c r="BK181" s="51"/>
      <c r="BM181" s="4">
        <f t="shared" si="4"/>
        <v>24</v>
      </c>
    </row>
    <row r="182" spans="1:65" s="49" customFormat="1" ht="15" customHeight="1" x14ac:dyDescent="0.25">
      <c r="A182" s="50"/>
      <c r="B182" s="62"/>
      <c r="K182" s="60"/>
      <c r="L182" s="62"/>
      <c r="T182" s="60"/>
      <c r="U182" s="62"/>
      <c r="AC182" s="60"/>
      <c r="AD182" s="62"/>
      <c r="AL182" s="60"/>
      <c r="AM182" s="62"/>
      <c r="BI182" s="60"/>
      <c r="BK182" s="51"/>
      <c r="BM182" s="4">
        <f t="shared" si="4"/>
        <v>25</v>
      </c>
    </row>
    <row r="183" spans="1:65" s="49" customFormat="1" ht="15" customHeight="1" x14ac:dyDescent="0.25">
      <c r="A183" s="50"/>
      <c r="B183" s="62"/>
      <c r="K183" s="60"/>
      <c r="L183" s="62"/>
      <c r="T183" s="60"/>
      <c r="U183" s="62"/>
      <c r="AC183" s="60"/>
      <c r="AD183" s="62"/>
      <c r="AL183" s="60"/>
      <c r="AM183" s="62"/>
      <c r="BI183" s="60"/>
      <c r="BK183" s="51"/>
      <c r="BM183" s="4">
        <f t="shared" si="4"/>
        <v>26</v>
      </c>
    </row>
    <row r="184" spans="1:65" s="49" customFormat="1" ht="15" customHeight="1" x14ac:dyDescent="0.25">
      <c r="A184" s="50"/>
      <c r="B184" s="62"/>
      <c r="K184" s="60"/>
      <c r="L184" s="62"/>
      <c r="T184" s="60"/>
      <c r="U184" s="62"/>
      <c r="AC184" s="60"/>
      <c r="AD184" s="62"/>
      <c r="AL184" s="60"/>
      <c r="AM184" s="62"/>
      <c r="BI184" s="60"/>
      <c r="BK184" s="51"/>
      <c r="BM184" s="4">
        <f t="shared" si="4"/>
        <v>27</v>
      </c>
    </row>
    <row r="185" spans="1:65" s="49" customFormat="1" ht="15" customHeight="1" x14ac:dyDescent="0.25">
      <c r="A185" s="50"/>
      <c r="B185" s="62"/>
      <c r="K185" s="60"/>
      <c r="L185" s="62"/>
      <c r="T185" s="60"/>
      <c r="U185" s="62"/>
      <c r="AC185" s="60"/>
      <c r="AD185" s="62"/>
      <c r="AL185" s="60"/>
      <c r="AM185" s="62"/>
      <c r="BI185" s="60"/>
      <c r="BK185" s="51"/>
      <c r="BM185" s="4">
        <f t="shared" si="4"/>
        <v>28</v>
      </c>
    </row>
    <row r="186" spans="1:65" s="49" customFormat="1" ht="15" customHeight="1" x14ac:dyDescent="0.25">
      <c r="A186" s="50"/>
      <c r="B186" s="62"/>
      <c r="K186" s="60"/>
      <c r="L186" s="62"/>
      <c r="T186" s="60"/>
      <c r="U186" s="62"/>
      <c r="AC186" s="60"/>
      <c r="AD186" s="62"/>
      <c r="AL186" s="60"/>
      <c r="AM186" s="62"/>
      <c r="BI186" s="60"/>
      <c r="BK186" s="51"/>
      <c r="BM186" s="4">
        <f t="shared" si="4"/>
        <v>29</v>
      </c>
    </row>
    <row r="187" spans="1:65" s="49" customFormat="1" ht="15" customHeight="1" x14ac:dyDescent="0.25">
      <c r="A187" s="50"/>
      <c r="B187" s="62"/>
      <c r="K187" s="60"/>
      <c r="L187" s="62"/>
      <c r="T187" s="60"/>
      <c r="U187" s="62"/>
      <c r="AC187" s="60"/>
      <c r="AD187" s="62"/>
      <c r="AL187" s="60"/>
      <c r="AM187" s="62"/>
      <c r="BI187" s="60"/>
      <c r="BK187" s="51"/>
      <c r="BM187" s="4">
        <f t="shared" si="4"/>
        <v>30</v>
      </c>
    </row>
    <row r="188" spans="1:65" s="49" customFormat="1" ht="15" customHeight="1" x14ac:dyDescent="0.25">
      <c r="A188" s="50"/>
      <c r="B188" s="62"/>
      <c r="K188" s="60"/>
      <c r="L188" s="62"/>
      <c r="T188" s="60"/>
      <c r="U188" s="62"/>
      <c r="AC188" s="60"/>
      <c r="AD188" s="62"/>
      <c r="AL188" s="60"/>
      <c r="AM188" s="62"/>
      <c r="BI188" s="60"/>
      <c r="BK188" s="51"/>
      <c r="BM188" s="4">
        <f t="shared" si="4"/>
        <v>31</v>
      </c>
    </row>
    <row r="189" spans="1:65" s="49" customFormat="1" ht="15" customHeight="1" x14ac:dyDescent="0.25">
      <c r="A189" s="50"/>
      <c r="B189" s="62"/>
      <c r="K189" s="60"/>
      <c r="L189" s="62"/>
      <c r="T189" s="60"/>
      <c r="U189" s="62"/>
      <c r="AC189" s="60"/>
      <c r="AD189" s="62"/>
      <c r="AL189" s="60"/>
      <c r="AM189" s="62"/>
      <c r="BI189" s="60"/>
      <c r="BK189" s="51"/>
      <c r="BM189" s="4">
        <f t="shared" si="4"/>
        <v>32</v>
      </c>
    </row>
    <row r="190" spans="1:65" s="49" customFormat="1" ht="15" customHeight="1" x14ac:dyDescent="0.25">
      <c r="A190" s="50"/>
      <c r="B190" s="62"/>
      <c r="K190" s="60"/>
      <c r="L190" s="62"/>
      <c r="T190" s="60"/>
      <c r="U190" s="62"/>
      <c r="AC190" s="60"/>
      <c r="AD190" s="62"/>
      <c r="AL190" s="60"/>
      <c r="AM190" s="62"/>
      <c r="BI190" s="60"/>
      <c r="BK190" s="51"/>
      <c r="BM190" s="4">
        <f t="shared" si="4"/>
        <v>33</v>
      </c>
    </row>
    <row r="191" spans="1:65" s="49" customFormat="1" ht="15" customHeight="1" x14ac:dyDescent="0.25">
      <c r="A191" s="50"/>
      <c r="B191" s="62"/>
      <c r="K191" s="60"/>
      <c r="L191" s="62"/>
      <c r="T191" s="60"/>
      <c r="U191" s="62"/>
      <c r="AC191" s="60"/>
      <c r="AD191" s="62"/>
      <c r="AL191" s="60"/>
      <c r="AM191" s="62"/>
      <c r="BI191" s="60"/>
      <c r="BK191" s="51"/>
      <c r="BM191" s="4">
        <f t="shared" si="4"/>
        <v>34</v>
      </c>
    </row>
    <row r="192" spans="1:65" s="49" customFormat="1" ht="15" customHeight="1" x14ac:dyDescent="0.25">
      <c r="A192" s="50"/>
      <c r="B192" s="62"/>
      <c r="K192" s="60"/>
      <c r="L192" s="62"/>
      <c r="T192" s="60"/>
      <c r="U192" s="62"/>
      <c r="AC192" s="60"/>
      <c r="AD192" s="62"/>
      <c r="AL192" s="60"/>
      <c r="AM192" s="62"/>
      <c r="BI192" s="60"/>
      <c r="BK192" s="51"/>
      <c r="BM192" s="4">
        <f t="shared" si="4"/>
        <v>35</v>
      </c>
    </row>
    <row r="193" spans="1:65" s="49" customFormat="1" ht="15" customHeight="1" x14ac:dyDescent="0.25">
      <c r="A193" s="50"/>
      <c r="B193" s="62"/>
      <c r="K193" s="60"/>
      <c r="L193" s="62"/>
      <c r="T193" s="60"/>
      <c r="U193" s="62"/>
      <c r="AC193" s="60"/>
      <c r="AD193" s="62"/>
      <c r="AL193" s="60"/>
      <c r="AM193" s="62"/>
      <c r="BI193" s="60"/>
      <c r="BK193" s="51"/>
      <c r="BM193" s="4">
        <f t="shared" si="4"/>
        <v>36</v>
      </c>
    </row>
    <row r="194" spans="1:65" s="49" customFormat="1" ht="15" customHeight="1" x14ac:dyDescent="0.25">
      <c r="A194" s="50"/>
      <c r="B194" s="62"/>
      <c r="K194" s="60"/>
      <c r="L194" s="62"/>
      <c r="T194" s="60"/>
      <c r="U194" s="62"/>
      <c r="AC194" s="60"/>
      <c r="AD194" s="62"/>
      <c r="AL194" s="60"/>
      <c r="AM194" s="62"/>
      <c r="BI194" s="60"/>
      <c r="BK194" s="51"/>
      <c r="BM194" s="4">
        <f t="shared" si="4"/>
        <v>37</v>
      </c>
    </row>
    <row r="195" spans="1:65" s="49" customFormat="1" ht="15" customHeight="1" x14ac:dyDescent="0.25">
      <c r="A195" s="50"/>
      <c r="B195" s="62"/>
      <c r="K195" s="60"/>
      <c r="L195" s="62"/>
      <c r="T195" s="60"/>
      <c r="U195" s="62"/>
      <c r="AC195" s="60"/>
      <c r="AD195" s="62"/>
      <c r="AL195" s="60"/>
      <c r="AM195" s="62"/>
      <c r="BI195" s="60"/>
      <c r="BK195" s="51"/>
      <c r="BM195" s="4">
        <f t="shared" si="4"/>
        <v>38</v>
      </c>
    </row>
    <row r="196" spans="1:65" s="49" customFormat="1" ht="15" customHeight="1" x14ac:dyDescent="0.25">
      <c r="A196" s="50"/>
      <c r="B196" s="62"/>
      <c r="K196" s="60"/>
      <c r="L196" s="62"/>
      <c r="T196" s="60"/>
      <c r="U196" s="62"/>
      <c r="AC196" s="60"/>
      <c r="AD196" s="62"/>
      <c r="AL196" s="60"/>
      <c r="AM196" s="62"/>
      <c r="BI196" s="60"/>
      <c r="BK196" s="51"/>
      <c r="BM196" s="4">
        <f t="shared" si="4"/>
        <v>39</v>
      </c>
    </row>
    <row r="197" spans="1:65" s="49" customFormat="1" ht="15" customHeight="1" x14ac:dyDescent="0.25">
      <c r="A197" s="50"/>
      <c r="B197" s="62"/>
      <c r="K197" s="60"/>
      <c r="L197" s="62"/>
      <c r="T197" s="60"/>
      <c r="U197" s="62"/>
      <c r="AC197" s="60"/>
      <c r="AD197" s="62"/>
      <c r="AL197" s="60"/>
      <c r="AM197" s="62"/>
      <c r="BI197" s="60"/>
      <c r="BK197" s="51"/>
      <c r="BM197" s="4">
        <f t="shared" si="4"/>
        <v>40</v>
      </c>
    </row>
    <row r="198" spans="1:65" s="49" customFormat="1" ht="15" customHeight="1" x14ac:dyDescent="0.25">
      <c r="A198" s="50"/>
      <c r="B198" s="62"/>
      <c r="K198" s="60"/>
      <c r="L198" s="62"/>
      <c r="T198" s="60"/>
      <c r="U198" s="62"/>
      <c r="AC198" s="60"/>
      <c r="AD198" s="62"/>
      <c r="AL198" s="60"/>
      <c r="AM198" s="62"/>
      <c r="BI198" s="60"/>
      <c r="BK198" s="51"/>
      <c r="BM198" s="4">
        <f t="shared" ref="BM198:BM200" si="5">IF(BM197=50,1,BM197+1)</f>
        <v>41</v>
      </c>
    </row>
    <row r="199" spans="1:65" s="49" customFormat="1" ht="15" customHeight="1" x14ac:dyDescent="0.25">
      <c r="A199" s="50"/>
      <c r="B199" s="62"/>
      <c r="K199" s="60"/>
      <c r="L199" s="62"/>
      <c r="T199" s="60"/>
      <c r="U199" s="62"/>
      <c r="AC199" s="60"/>
      <c r="AD199" s="62"/>
      <c r="AL199" s="60"/>
      <c r="AM199" s="62"/>
      <c r="BI199" s="60"/>
      <c r="BK199" s="51"/>
      <c r="BM199" s="4">
        <f t="shared" si="5"/>
        <v>42</v>
      </c>
    </row>
    <row r="200" spans="1:65" s="49" customFormat="1" ht="15" customHeight="1" x14ac:dyDescent="0.25">
      <c r="A200" s="50"/>
      <c r="B200" s="62"/>
      <c r="K200" s="60"/>
      <c r="L200" s="62"/>
      <c r="T200" s="60"/>
      <c r="U200" s="62"/>
      <c r="AC200" s="60"/>
      <c r="AD200" s="62"/>
      <c r="AL200" s="60"/>
      <c r="AM200" s="62"/>
      <c r="BI200" s="60"/>
      <c r="BK200" s="51"/>
      <c r="BM200" s="4">
        <f t="shared" si="5"/>
        <v>43</v>
      </c>
    </row>
    <row r="201" spans="1:65" s="49" customFormat="1" ht="15" customHeight="1" x14ac:dyDescent="0.25">
      <c r="A201" s="50"/>
      <c r="B201" s="62"/>
      <c r="K201" s="60"/>
      <c r="L201" s="62"/>
      <c r="T201" s="60"/>
      <c r="U201" s="62"/>
      <c r="AC201" s="60"/>
      <c r="AD201" s="62"/>
      <c r="AL201" s="60"/>
      <c r="AM201" s="62"/>
      <c r="BI201" s="60"/>
      <c r="BK201" s="51"/>
      <c r="BM201" s="4">
        <f t="shared" ref="BM201:BM217" si="6">IF(BM200=50,1,BM200+1)</f>
        <v>44</v>
      </c>
    </row>
    <row r="202" spans="1:65" s="49" customFormat="1" ht="15" customHeight="1" x14ac:dyDescent="0.25">
      <c r="A202" s="50"/>
      <c r="B202" s="62"/>
      <c r="K202" s="60"/>
      <c r="L202" s="62"/>
      <c r="T202" s="60"/>
      <c r="U202" s="62"/>
      <c r="AC202" s="60"/>
      <c r="AD202" s="62"/>
      <c r="AL202" s="60"/>
      <c r="AM202" s="62"/>
      <c r="BI202" s="60"/>
      <c r="BK202" s="51"/>
      <c r="BM202" s="4">
        <f t="shared" si="6"/>
        <v>45</v>
      </c>
    </row>
    <row r="203" spans="1:65" s="49" customFormat="1" ht="15" customHeight="1" x14ac:dyDescent="0.25">
      <c r="A203" s="50"/>
      <c r="B203" s="62"/>
      <c r="K203" s="60"/>
      <c r="L203" s="62"/>
      <c r="T203" s="60"/>
      <c r="U203" s="62"/>
      <c r="AC203" s="60"/>
      <c r="AD203" s="62"/>
      <c r="AL203" s="60"/>
      <c r="AM203" s="62"/>
      <c r="BI203" s="60"/>
      <c r="BK203" s="51"/>
      <c r="BM203" s="4">
        <f t="shared" si="6"/>
        <v>46</v>
      </c>
    </row>
    <row r="204" spans="1:65" s="49" customFormat="1" ht="15" customHeight="1" x14ac:dyDescent="0.25">
      <c r="A204" s="50"/>
      <c r="B204" s="62"/>
      <c r="K204" s="60"/>
      <c r="L204" s="62"/>
      <c r="T204" s="60"/>
      <c r="U204" s="62"/>
      <c r="AC204" s="60"/>
      <c r="AD204" s="62"/>
      <c r="AL204" s="60"/>
      <c r="AM204" s="62"/>
      <c r="BI204" s="60"/>
      <c r="BK204" s="51"/>
      <c r="BM204" s="4">
        <f t="shared" si="6"/>
        <v>47</v>
      </c>
    </row>
    <row r="205" spans="1:65" s="49" customFormat="1" ht="15" customHeight="1" x14ac:dyDescent="0.25">
      <c r="A205" s="50"/>
      <c r="B205" s="62"/>
      <c r="K205" s="60"/>
      <c r="L205" s="62"/>
      <c r="T205" s="60"/>
      <c r="U205" s="62"/>
      <c r="AC205" s="60"/>
      <c r="AD205" s="62"/>
      <c r="AL205" s="60"/>
      <c r="AM205" s="62"/>
      <c r="BI205" s="60"/>
      <c r="BK205" s="51"/>
      <c r="BM205" s="4">
        <f t="shared" si="6"/>
        <v>48</v>
      </c>
    </row>
    <row r="206" spans="1:65" s="49" customFormat="1" ht="15" customHeight="1" x14ac:dyDescent="0.25">
      <c r="A206" s="50"/>
      <c r="B206" s="62"/>
      <c r="K206" s="60"/>
      <c r="L206" s="62"/>
      <c r="T206" s="60"/>
      <c r="U206" s="62"/>
      <c r="AC206" s="60"/>
      <c r="AD206" s="62"/>
      <c r="AL206" s="60"/>
      <c r="AM206" s="62"/>
      <c r="BI206" s="60"/>
      <c r="BK206" s="51"/>
      <c r="BM206" s="4">
        <f t="shared" si="6"/>
        <v>49</v>
      </c>
    </row>
    <row r="207" spans="1:65" s="49" customFormat="1" ht="15" customHeight="1" x14ac:dyDescent="0.25">
      <c r="A207" s="50"/>
      <c r="B207" s="62"/>
      <c r="K207" s="60"/>
      <c r="L207" s="62"/>
      <c r="T207" s="60"/>
      <c r="U207" s="62"/>
      <c r="AC207" s="60"/>
      <c r="AD207" s="62"/>
      <c r="AL207" s="60"/>
      <c r="AM207" s="62"/>
      <c r="BI207" s="60"/>
      <c r="BK207" s="51"/>
      <c r="BM207" s="4">
        <f t="shared" si="6"/>
        <v>50</v>
      </c>
    </row>
    <row r="208" spans="1:65" s="49" customFormat="1" ht="15" customHeight="1" x14ac:dyDescent="0.25">
      <c r="A208" s="50"/>
      <c r="B208" s="62"/>
      <c r="K208" s="60"/>
      <c r="L208" s="62"/>
      <c r="T208" s="60"/>
      <c r="U208" s="62"/>
      <c r="AC208" s="60"/>
      <c r="AD208" s="62"/>
      <c r="AL208" s="60"/>
      <c r="AM208" s="62"/>
      <c r="BI208" s="60"/>
      <c r="BK208" s="51"/>
      <c r="BM208" s="4">
        <f t="shared" si="6"/>
        <v>1</v>
      </c>
    </row>
    <row r="209" spans="1:65" s="49" customFormat="1" ht="15" customHeight="1" x14ac:dyDescent="0.25">
      <c r="A209" s="50"/>
      <c r="B209" s="62"/>
      <c r="K209" s="60"/>
      <c r="L209" s="62"/>
      <c r="T209" s="60"/>
      <c r="U209" s="62"/>
      <c r="AC209" s="60"/>
      <c r="AD209" s="62"/>
      <c r="AL209" s="60"/>
      <c r="AM209" s="62"/>
      <c r="BI209" s="60"/>
      <c r="BK209" s="51"/>
      <c r="BM209" s="4">
        <f t="shared" si="6"/>
        <v>2</v>
      </c>
    </row>
    <row r="210" spans="1:65" s="49" customFormat="1" ht="15" customHeight="1" x14ac:dyDescent="0.25">
      <c r="A210" s="50"/>
      <c r="B210" s="62"/>
      <c r="K210" s="60"/>
      <c r="L210" s="62"/>
      <c r="T210" s="60"/>
      <c r="U210" s="62"/>
      <c r="AC210" s="60"/>
      <c r="AD210" s="62"/>
      <c r="AL210" s="60"/>
      <c r="AM210" s="62"/>
      <c r="BI210" s="60"/>
      <c r="BK210" s="51"/>
      <c r="BM210" s="4">
        <f t="shared" si="6"/>
        <v>3</v>
      </c>
    </row>
    <row r="211" spans="1:65" s="49" customFormat="1" ht="15" customHeight="1" x14ac:dyDescent="0.25">
      <c r="A211" s="50"/>
      <c r="B211" s="62"/>
      <c r="K211" s="60"/>
      <c r="L211" s="62"/>
      <c r="T211" s="60"/>
      <c r="U211" s="62"/>
      <c r="AC211" s="60"/>
      <c r="AD211" s="62"/>
      <c r="AL211" s="60"/>
      <c r="AM211" s="62"/>
      <c r="BI211" s="60"/>
      <c r="BK211" s="51"/>
      <c r="BM211" s="4">
        <f t="shared" si="6"/>
        <v>4</v>
      </c>
    </row>
    <row r="212" spans="1:65" s="49" customFormat="1" ht="15" customHeight="1" x14ac:dyDescent="0.25">
      <c r="A212" s="50"/>
      <c r="B212" s="62"/>
      <c r="K212" s="60"/>
      <c r="L212" s="62"/>
      <c r="T212" s="60"/>
      <c r="U212" s="62"/>
      <c r="AC212" s="60"/>
      <c r="AD212" s="62"/>
      <c r="AL212" s="60"/>
      <c r="AM212" s="62"/>
      <c r="BI212" s="60"/>
      <c r="BK212" s="51"/>
      <c r="BM212" s="4">
        <f t="shared" si="6"/>
        <v>5</v>
      </c>
    </row>
    <row r="213" spans="1:65" s="49" customFormat="1" ht="15" customHeight="1" x14ac:dyDescent="0.25">
      <c r="A213" s="50"/>
      <c r="B213" s="62"/>
      <c r="K213" s="60"/>
      <c r="L213" s="62"/>
      <c r="T213" s="60"/>
      <c r="U213" s="62"/>
      <c r="AC213" s="60"/>
      <c r="AD213" s="62"/>
      <c r="AL213" s="60"/>
      <c r="AM213" s="62"/>
      <c r="BI213" s="60"/>
      <c r="BK213" s="51"/>
      <c r="BM213" s="4">
        <f t="shared" si="6"/>
        <v>6</v>
      </c>
    </row>
    <row r="214" spans="1:65" s="49" customFormat="1" ht="15" customHeight="1" x14ac:dyDescent="0.25">
      <c r="A214" s="50"/>
      <c r="B214" s="62"/>
      <c r="K214" s="60"/>
      <c r="L214" s="62"/>
      <c r="T214" s="60"/>
      <c r="U214" s="62"/>
      <c r="AC214" s="60"/>
      <c r="AD214" s="62"/>
      <c r="AL214" s="60"/>
      <c r="AM214" s="62"/>
      <c r="BI214" s="60"/>
      <c r="BK214" s="51"/>
      <c r="BM214" s="4">
        <f t="shared" si="6"/>
        <v>7</v>
      </c>
    </row>
    <row r="215" spans="1:65" s="49" customFormat="1" ht="15" customHeight="1" x14ac:dyDescent="0.25">
      <c r="A215" s="50"/>
      <c r="B215" s="62"/>
      <c r="K215" s="60"/>
      <c r="L215" s="62"/>
      <c r="T215" s="60"/>
      <c r="U215" s="62"/>
      <c r="AC215" s="60"/>
      <c r="AD215" s="62"/>
      <c r="AL215" s="60"/>
      <c r="AM215" s="62"/>
      <c r="BI215" s="60"/>
      <c r="BK215" s="51"/>
      <c r="BM215" s="4">
        <f t="shared" si="6"/>
        <v>8</v>
      </c>
    </row>
    <row r="216" spans="1:65" s="49" customFormat="1" ht="15" customHeight="1" x14ac:dyDescent="0.25">
      <c r="A216" s="50"/>
      <c r="B216" s="62"/>
      <c r="K216" s="60"/>
      <c r="L216" s="62"/>
      <c r="T216" s="60"/>
      <c r="U216" s="62"/>
      <c r="AC216" s="60"/>
      <c r="AD216" s="62"/>
      <c r="AL216" s="60"/>
      <c r="AM216" s="62"/>
      <c r="BI216" s="60"/>
      <c r="BK216" s="51"/>
      <c r="BM216" s="4">
        <f t="shared" si="6"/>
        <v>9</v>
      </c>
    </row>
    <row r="217" spans="1:65" s="49" customFormat="1" ht="15" customHeight="1" x14ac:dyDescent="0.25">
      <c r="A217" s="52"/>
      <c r="B217" s="69"/>
      <c r="C217" s="53"/>
      <c r="D217" s="53"/>
      <c r="E217" s="53"/>
      <c r="F217" s="53"/>
      <c r="G217" s="53"/>
      <c r="H217" s="53"/>
      <c r="I217" s="53"/>
      <c r="J217" s="53"/>
      <c r="K217" s="70"/>
      <c r="L217" s="69"/>
      <c r="M217" s="53"/>
      <c r="N217" s="53"/>
      <c r="O217" s="53"/>
      <c r="P217" s="53"/>
      <c r="Q217" s="53"/>
      <c r="R217" s="53"/>
      <c r="S217" s="53"/>
      <c r="T217" s="70"/>
      <c r="U217" s="69"/>
      <c r="V217" s="53"/>
      <c r="W217" s="53"/>
      <c r="X217" s="53"/>
      <c r="Y217" s="53"/>
      <c r="Z217" s="53"/>
      <c r="AA217" s="53"/>
      <c r="AB217" s="53"/>
      <c r="AC217" s="70"/>
      <c r="AD217" s="69"/>
      <c r="AE217" s="53"/>
      <c r="AF217" s="53"/>
      <c r="AG217" s="53"/>
      <c r="AH217" s="53"/>
      <c r="AI217" s="53"/>
      <c r="AJ217" s="53"/>
      <c r="AK217" s="53"/>
      <c r="AL217" s="70"/>
      <c r="AM217" s="69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70"/>
      <c r="BJ217" s="53"/>
      <c r="BK217" s="54"/>
      <c r="BM217" s="4">
        <f t="shared" si="6"/>
        <v>10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6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56" t="s">
        <v>38</v>
      </c>
      <c r="B1" s="257"/>
      <c r="C1" s="257"/>
      <c r="D1" s="257"/>
      <c r="E1" s="257"/>
      <c r="F1" s="257"/>
      <c r="G1" s="257"/>
      <c r="H1" s="257"/>
      <c r="I1" s="257"/>
      <c r="J1" s="258"/>
      <c r="K1" s="256" t="s">
        <v>39</v>
      </c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8"/>
      <c r="W1" s="287" t="str">
        <f>IF(表紙!W1="","",表紙!W1)</f>
        <v>基本設計書</v>
      </c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9"/>
      <c r="AP1" s="74" t="s">
        <v>41</v>
      </c>
      <c r="AQ1" s="75"/>
      <c r="AR1" s="75"/>
      <c r="AS1" s="76"/>
      <c r="AT1" s="74" t="s">
        <v>42</v>
      </c>
      <c r="AU1" s="75"/>
      <c r="AV1" s="75"/>
      <c r="AW1" s="75"/>
      <c r="AX1" s="76"/>
      <c r="AY1" s="74" t="s">
        <v>43</v>
      </c>
      <c r="AZ1" s="75"/>
      <c r="BA1" s="75"/>
      <c r="BB1" s="76"/>
      <c r="BC1" s="74" t="s">
        <v>44</v>
      </c>
      <c r="BD1" s="75"/>
      <c r="BE1" s="75"/>
      <c r="BF1" s="75"/>
      <c r="BG1" s="76"/>
      <c r="BH1" s="74" t="s">
        <v>45</v>
      </c>
      <c r="BI1" s="75"/>
      <c r="BJ1" s="75"/>
      <c r="BK1" s="76"/>
    </row>
    <row r="2" spans="1:63" ht="15" customHeight="1" x14ac:dyDescent="0.25">
      <c r="A2" s="281" t="str">
        <f>IF(表紙!A2="","",表紙!A2)</f>
        <v>POSサーバー</v>
      </c>
      <c r="B2" s="282"/>
      <c r="C2" s="282"/>
      <c r="D2" s="282"/>
      <c r="E2" s="282"/>
      <c r="F2" s="282"/>
      <c r="G2" s="282"/>
      <c r="H2" s="282"/>
      <c r="I2" s="282"/>
      <c r="J2" s="283"/>
      <c r="K2" s="281" t="str">
        <f>IF(表紙!K2="","",表紙!K2)</f>
        <v>POSサーバー</v>
      </c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3"/>
      <c r="W2" s="290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2"/>
      <c r="AP2" s="77" t="str">
        <f>IF(表紙!AP2="","",表紙!AP2)</f>
        <v>DuNT</v>
      </c>
      <c r="AQ2" s="78"/>
      <c r="AR2" s="78"/>
      <c r="AS2" s="79"/>
      <c r="AT2" s="104">
        <f>IF(表紙!AT2="","",表紙!AT2)</f>
        <v>45416</v>
      </c>
      <c r="AU2" s="105"/>
      <c r="AV2" s="105"/>
      <c r="AW2" s="105"/>
      <c r="AX2" s="106"/>
      <c r="AY2" s="77" t="str">
        <f>IF(表紙!AY2="","",表紙!AY2)</f>
        <v>DuNT</v>
      </c>
      <c r="AZ2" s="78"/>
      <c r="BA2" s="78"/>
      <c r="BB2" s="79"/>
      <c r="BC2" s="104">
        <f>IF(表紙!BC2="","",表紙!BC2)</f>
        <v>45531</v>
      </c>
      <c r="BD2" s="105"/>
      <c r="BE2" s="105"/>
      <c r="BF2" s="105"/>
      <c r="BG2" s="106"/>
      <c r="BH2" s="77">
        <f>IF(表紙!BH2="","",表紙!BH2)</f>
        <v>0.2</v>
      </c>
      <c r="BI2" s="78"/>
      <c r="BJ2" s="78"/>
      <c r="BK2" s="79"/>
    </row>
    <row r="3" spans="1:63" ht="15" customHeight="1" x14ac:dyDescent="0.25">
      <c r="A3" s="284"/>
      <c r="B3" s="285"/>
      <c r="C3" s="285"/>
      <c r="D3" s="285"/>
      <c r="E3" s="285"/>
      <c r="F3" s="285"/>
      <c r="G3" s="285"/>
      <c r="H3" s="285"/>
      <c r="I3" s="285"/>
      <c r="J3" s="286"/>
      <c r="K3" s="284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6"/>
      <c r="W3" s="293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5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56" t="s">
        <v>47</v>
      </c>
      <c r="B4" s="257"/>
      <c r="C4" s="257"/>
      <c r="D4" s="257"/>
      <c r="E4" s="257"/>
      <c r="F4" s="257"/>
      <c r="G4" s="258"/>
      <c r="H4" s="259" t="str">
        <f>IF(表紙!H4="","",表紙!H4)</f>
        <v xml:space="preserve">08_カテゴリ値引/割引設定 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1"/>
      <c r="U4" s="256" t="s">
        <v>49</v>
      </c>
      <c r="V4" s="257"/>
      <c r="W4" s="257"/>
      <c r="X4" s="257"/>
      <c r="Y4" s="258"/>
      <c r="Z4" s="259" t="str">
        <f>IF(表紙!Z4="","",表紙!Z4)</f>
        <v>概要設計書</v>
      </c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1"/>
      <c r="AP4" s="262" t="str">
        <f ca="1">MID(CELL("filename",A1),FIND("]",CELL("filename",A1))+1,255)</f>
        <v>画面設計書</v>
      </c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1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71" t="s">
        <v>16</v>
      </c>
      <c r="C7" s="71"/>
      <c r="D7" s="71"/>
      <c r="E7" s="71"/>
      <c r="F7" s="71"/>
      <c r="G7" s="71"/>
      <c r="H7" s="71"/>
      <c r="I7" s="71"/>
      <c r="J7" s="71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60</v>
      </c>
      <c r="BK35" s="9"/>
    </row>
    <row r="36" spans="1:63" x14ac:dyDescent="0.25">
      <c r="BK36" s="9"/>
    </row>
    <row r="37" spans="1:63" ht="15.75" customHeight="1" x14ac:dyDescent="0.25">
      <c r="B37" s="263" t="s">
        <v>61</v>
      </c>
      <c r="C37" s="264"/>
      <c r="D37" s="269" t="s">
        <v>62</v>
      </c>
      <c r="E37" s="270"/>
      <c r="F37" s="270"/>
      <c r="G37" s="270"/>
      <c r="H37" s="270"/>
      <c r="I37" s="270"/>
      <c r="J37" s="264"/>
      <c r="K37" s="269" t="s">
        <v>63</v>
      </c>
      <c r="L37" s="270"/>
      <c r="M37" s="264"/>
      <c r="N37" s="273" t="s">
        <v>17</v>
      </c>
      <c r="O37" s="276" t="s">
        <v>64</v>
      </c>
      <c r="P37" s="217" t="s">
        <v>65</v>
      </c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9"/>
      <c r="AR37" s="220" t="s">
        <v>66</v>
      </c>
      <c r="AS37" s="221"/>
      <c r="AT37" s="221"/>
      <c r="AU37" s="221"/>
      <c r="AV37" s="221"/>
      <c r="AW37" s="221"/>
      <c r="AX37" s="221"/>
      <c r="AY37" s="221"/>
      <c r="AZ37" s="221"/>
      <c r="BA37" s="221"/>
      <c r="BB37" s="222"/>
      <c r="BC37" s="223" t="s">
        <v>67</v>
      </c>
      <c r="BD37" s="224"/>
      <c r="BE37" s="224"/>
      <c r="BF37" s="224"/>
      <c r="BG37" s="224"/>
      <c r="BH37" s="224"/>
      <c r="BI37" s="224"/>
      <c r="BJ37" s="225"/>
      <c r="BK37" s="9"/>
    </row>
    <row r="38" spans="1:63" ht="15.75" customHeight="1" x14ac:dyDescent="0.25">
      <c r="B38" s="265"/>
      <c r="C38" s="266"/>
      <c r="D38" s="265"/>
      <c r="E38" s="271"/>
      <c r="F38" s="271"/>
      <c r="G38" s="271"/>
      <c r="H38" s="271"/>
      <c r="I38" s="271"/>
      <c r="J38" s="266"/>
      <c r="K38" s="265"/>
      <c r="L38" s="271"/>
      <c r="M38" s="266"/>
      <c r="N38" s="274"/>
      <c r="O38" s="277"/>
      <c r="P38" s="232" t="s">
        <v>68</v>
      </c>
      <c r="Q38" s="233"/>
      <c r="R38" s="233"/>
      <c r="S38" s="233"/>
      <c r="T38" s="233"/>
      <c r="U38" s="233"/>
      <c r="V38" s="233"/>
      <c r="W38" s="234"/>
      <c r="X38" s="235" t="s">
        <v>69</v>
      </c>
      <c r="Y38" s="236"/>
      <c r="Z38" s="237"/>
      <c r="AA38" s="235" t="s">
        <v>70</v>
      </c>
      <c r="AB38" s="236"/>
      <c r="AC38" s="236"/>
      <c r="AD38" s="236"/>
      <c r="AE38" s="236"/>
      <c r="AF38" s="236"/>
      <c r="AG38" s="236"/>
      <c r="AH38" s="237"/>
      <c r="AI38" s="235" t="s">
        <v>71</v>
      </c>
      <c r="AJ38" s="236"/>
      <c r="AK38" s="236"/>
      <c r="AL38" s="236"/>
      <c r="AM38" s="236"/>
      <c r="AN38" s="236"/>
      <c r="AO38" s="236"/>
      <c r="AP38" s="236"/>
      <c r="AQ38" s="237"/>
      <c r="AR38" s="241" t="s">
        <v>18</v>
      </c>
      <c r="AS38" s="243" t="s">
        <v>72</v>
      </c>
      <c r="AT38" s="245" t="s">
        <v>73</v>
      </c>
      <c r="AU38" s="220" t="s">
        <v>68</v>
      </c>
      <c r="AV38" s="221"/>
      <c r="AW38" s="221"/>
      <c r="AX38" s="221"/>
      <c r="AY38" s="221"/>
      <c r="AZ38" s="221"/>
      <c r="BA38" s="221"/>
      <c r="BB38" s="222"/>
      <c r="BC38" s="226"/>
      <c r="BD38" s="227"/>
      <c r="BE38" s="227"/>
      <c r="BF38" s="227"/>
      <c r="BG38" s="227"/>
      <c r="BH38" s="227"/>
      <c r="BI38" s="227"/>
      <c r="BJ38" s="228"/>
      <c r="BK38" s="9"/>
    </row>
    <row r="39" spans="1:63" x14ac:dyDescent="0.25">
      <c r="B39" s="267"/>
      <c r="C39" s="268"/>
      <c r="D39" s="267"/>
      <c r="E39" s="272"/>
      <c r="F39" s="272"/>
      <c r="G39" s="272"/>
      <c r="H39" s="272"/>
      <c r="I39" s="272"/>
      <c r="J39" s="268"/>
      <c r="K39" s="267"/>
      <c r="L39" s="272"/>
      <c r="M39" s="268"/>
      <c r="N39" s="275"/>
      <c r="O39" s="278"/>
      <c r="P39" s="217" t="s">
        <v>74</v>
      </c>
      <c r="Q39" s="218"/>
      <c r="R39" s="218"/>
      <c r="S39" s="219"/>
      <c r="T39" s="217" t="s">
        <v>62</v>
      </c>
      <c r="U39" s="218"/>
      <c r="V39" s="218"/>
      <c r="W39" s="219"/>
      <c r="X39" s="238"/>
      <c r="Y39" s="239"/>
      <c r="Z39" s="240"/>
      <c r="AA39" s="238"/>
      <c r="AB39" s="239"/>
      <c r="AC39" s="239"/>
      <c r="AD39" s="239"/>
      <c r="AE39" s="239"/>
      <c r="AF39" s="239"/>
      <c r="AG39" s="239"/>
      <c r="AH39" s="240"/>
      <c r="AI39" s="238"/>
      <c r="AJ39" s="239"/>
      <c r="AK39" s="239"/>
      <c r="AL39" s="239"/>
      <c r="AM39" s="239"/>
      <c r="AN39" s="239"/>
      <c r="AO39" s="239"/>
      <c r="AP39" s="239"/>
      <c r="AQ39" s="240"/>
      <c r="AR39" s="242"/>
      <c r="AS39" s="244"/>
      <c r="AT39" s="246"/>
      <c r="AU39" s="220" t="s">
        <v>74</v>
      </c>
      <c r="AV39" s="221"/>
      <c r="AW39" s="221"/>
      <c r="AX39" s="279"/>
      <c r="AY39" s="280" t="s">
        <v>62</v>
      </c>
      <c r="AZ39" s="221"/>
      <c r="BA39" s="221"/>
      <c r="BB39" s="222"/>
      <c r="BC39" s="229"/>
      <c r="BD39" s="230"/>
      <c r="BE39" s="230"/>
      <c r="BF39" s="230"/>
      <c r="BG39" s="230"/>
      <c r="BH39" s="230"/>
      <c r="BI39" s="230"/>
      <c r="BJ39" s="231"/>
      <c r="BK39" s="9"/>
    </row>
    <row r="40" spans="1:63" ht="15.75" customHeight="1" x14ac:dyDescent="0.25">
      <c r="B40" s="210">
        <v>1</v>
      </c>
      <c r="C40" s="211"/>
      <c r="D40" s="212"/>
      <c r="E40" s="213"/>
      <c r="F40" s="213"/>
      <c r="G40" s="213"/>
      <c r="H40" s="213"/>
      <c r="I40" s="213"/>
      <c r="J40" s="214"/>
      <c r="K40" s="193" t="s">
        <v>19</v>
      </c>
      <c r="L40" s="194"/>
      <c r="M40" s="195"/>
      <c r="N40" s="11" t="s">
        <v>20</v>
      </c>
      <c r="O40" s="12" t="s">
        <v>21</v>
      </c>
      <c r="P40" s="215" t="s">
        <v>20</v>
      </c>
      <c r="Q40" s="216"/>
      <c r="R40" s="216"/>
      <c r="S40" s="211"/>
      <c r="T40" s="215" t="s">
        <v>20</v>
      </c>
      <c r="U40" s="216"/>
      <c r="V40" s="216"/>
      <c r="W40" s="211"/>
      <c r="X40" s="247" t="s">
        <v>58</v>
      </c>
      <c r="Y40" s="248"/>
      <c r="Z40" s="249"/>
      <c r="AA40" s="210" t="s">
        <v>22</v>
      </c>
      <c r="AB40" s="216"/>
      <c r="AC40" s="216"/>
      <c r="AD40" s="216"/>
      <c r="AE40" s="216"/>
      <c r="AF40" s="216"/>
      <c r="AG40" s="216"/>
      <c r="AH40" s="211"/>
      <c r="AI40" s="250" t="s">
        <v>20</v>
      </c>
      <c r="AJ40" s="251"/>
      <c r="AK40" s="251"/>
      <c r="AL40" s="251"/>
      <c r="AM40" s="251"/>
      <c r="AN40" s="251"/>
      <c r="AO40" s="251"/>
      <c r="AP40" s="251"/>
      <c r="AQ40" s="252"/>
      <c r="AR40" s="13" t="s">
        <v>20</v>
      </c>
      <c r="AS40" s="13" t="s">
        <v>22</v>
      </c>
      <c r="AT40" s="13" t="s">
        <v>22</v>
      </c>
      <c r="AU40" s="210" t="s">
        <v>23</v>
      </c>
      <c r="AV40" s="216"/>
      <c r="AW40" s="216"/>
      <c r="AX40" s="211"/>
      <c r="AY40" s="210" t="s">
        <v>22</v>
      </c>
      <c r="AZ40" s="216"/>
      <c r="BA40" s="216"/>
      <c r="BB40" s="211"/>
      <c r="BC40" s="253"/>
      <c r="BD40" s="254"/>
      <c r="BE40" s="254"/>
      <c r="BF40" s="254"/>
      <c r="BG40" s="254"/>
      <c r="BH40" s="254"/>
      <c r="BI40" s="254"/>
      <c r="BJ40" s="255"/>
      <c r="BK40" s="9"/>
    </row>
    <row r="41" spans="1:63" x14ac:dyDescent="0.25">
      <c r="B41" s="180">
        <v>2</v>
      </c>
      <c r="C41" s="179"/>
      <c r="D41" s="207"/>
      <c r="E41" s="208"/>
      <c r="F41" s="208"/>
      <c r="G41" s="208"/>
      <c r="H41" s="208"/>
      <c r="I41" s="208"/>
      <c r="J41" s="209"/>
      <c r="K41" s="193" t="s">
        <v>19</v>
      </c>
      <c r="L41" s="194"/>
      <c r="M41" s="195"/>
      <c r="N41" s="12" t="s">
        <v>24</v>
      </c>
      <c r="O41" s="12" t="s">
        <v>21</v>
      </c>
      <c r="P41" s="180" t="s">
        <v>23</v>
      </c>
      <c r="Q41" s="178"/>
      <c r="R41" s="178"/>
      <c r="S41" s="179"/>
      <c r="T41" s="180" t="s">
        <v>23</v>
      </c>
      <c r="U41" s="178"/>
      <c r="V41" s="178"/>
      <c r="W41" s="179"/>
      <c r="X41" s="203" t="s">
        <v>75</v>
      </c>
      <c r="Y41" s="204"/>
      <c r="Z41" s="205"/>
      <c r="AA41" s="180" t="s">
        <v>22</v>
      </c>
      <c r="AB41" s="178"/>
      <c r="AC41" s="178"/>
      <c r="AD41" s="178"/>
      <c r="AE41" s="178"/>
      <c r="AF41" s="178"/>
      <c r="AG41" s="178"/>
      <c r="AH41" s="179"/>
      <c r="AI41" s="181" t="s">
        <v>22</v>
      </c>
      <c r="AJ41" s="182"/>
      <c r="AK41" s="182"/>
      <c r="AL41" s="182"/>
      <c r="AM41" s="182"/>
      <c r="AN41" s="182"/>
      <c r="AO41" s="182"/>
      <c r="AP41" s="182"/>
      <c r="AQ41" s="183"/>
      <c r="AR41" s="14" t="s">
        <v>20</v>
      </c>
      <c r="AS41" s="14" t="s">
        <v>22</v>
      </c>
      <c r="AT41" s="14" t="s">
        <v>22</v>
      </c>
      <c r="AU41" s="180" t="s">
        <v>23</v>
      </c>
      <c r="AV41" s="178"/>
      <c r="AW41" s="178"/>
      <c r="AX41" s="179"/>
      <c r="AY41" s="180" t="s">
        <v>22</v>
      </c>
      <c r="AZ41" s="178"/>
      <c r="BA41" s="178"/>
      <c r="BB41" s="179"/>
      <c r="BC41" s="202"/>
      <c r="BD41" s="185"/>
      <c r="BE41" s="185"/>
      <c r="BF41" s="185"/>
      <c r="BG41" s="185"/>
      <c r="BH41" s="185"/>
      <c r="BI41" s="185"/>
      <c r="BJ41" s="186"/>
      <c r="BK41" s="9"/>
    </row>
    <row r="42" spans="1:63" x14ac:dyDescent="0.25">
      <c r="B42" s="180">
        <v>3</v>
      </c>
      <c r="C42" s="179"/>
      <c r="D42" s="190"/>
      <c r="E42" s="191"/>
      <c r="F42" s="191"/>
      <c r="G42" s="191"/>
      <c r="H42" s="191"/>
      <c r="I42" s="191"/>
      <c r="J42" s="192"/>
      <c r="K42" s="193" t="s">
        <v>19</v>
      </c>
      <c r="L42" s="194"/>
      <c r="M42" s="195"/>
      <c r="N42" s="12" t="s">
        <v>25</v>
      </c>
      <c r="O42" s="12" t="s">
        <v>20</v>
      </c>
      <c r="P42" s="206" t="s">
        <v>20</v>
      </c>
      <c r="Q42" s="178"/>
      <c r="R42" s="178"/>
      <c r="S42" s="179"/>
      <c r="T42" s="180"/>
      <c r="U42" s="178"/>
      <c r="V42" s="178"/>
      <c r="W42" s="179"/>
      <c r="X42" s="199" t="s">
        <v>20</v>
      </c>
      <c r="Y42" s="200"/>
      <c r="Z42" s="201"/>
      <c r="AA42" s="180" t="s">
        <v>22</v>
      </c>
      <c r="AB42" s="178"/>
      <c r="AC42" s="178"/>
      <c r="AD42" s="178"/>
      <c r="AE42" s="178"/>
      <c r="AF42" s="178"/>
      <c r="AG42" s="178"/>
      <c r="AH42" s="179"/>
      <c r="AI42" s="181" t="s">
        <v>22</v>
      </c>
      <c r="AJ42" s="182"/>
      <c r="AK42" s="182"/>
      <c r="AL42" s="182"/>
      <c r="AM42" s="182"/>
      <c r="AN42" s="182"/>
      <c r="AO42" s="182"/>
      <c r="AP42" s="182"/>
      <c r="AQ42" s="183"/>
      <c r="AR42" s="14" t="s">
        <v>20</v>
      </c>
      <c r="AS42" s="14" t="s">
        <v>22</v>
      </c>
      <c r="AT42" s="14" t="s">
        <v>22</v>
      </c>
      <c r="AU42" s="180" t="s">
        <v>23</v>
      </c>
      <c r="AV42" s="178"/>
      <c r="AW42" s="178"/>
      <c r="AX42" s="179"/>
      <c r="AY42" s="180" t="s">
        <v>22</v>
      </c>
      <c r="AZ42" s="178"/>
      <c r="BA42" s="178"/>
      <c r="BB42" s="179"/>
      <c r="BC42" s="184"/>
      <c r="BD42" s="185"/>
      <c r="BE42" s="185"/>
      <c r="BF42" s="185"/>
      <c r="BG42" s="185"/>
      <c r="BH42" s="185"/>
      <c r="BI42" s="185"/>
      <c r="BJ42" s="186"/>
      <c r="BK42" s="9"/>
    </row>
    <row r="43" spans="1:63" x14ac:dyDescent="0.25">
      <c r="B43" s="180">
        <v>4</v>
      </c>
      <c r="C43" s="179"/>
      <c r="D43" s="196"/>
      <c r="E43" s="197"/>
      <c r="F43" s="197"/>
      <c r="G43" s="197"/>
      <c r="H43" s="197"/>
      <c r="I43" s="197"/>
      <c r="J43" s="198"/>
      <c r="K43" s="193" t="s">
        <v>19</v>
      </c>
      <c r="L43" s="194"/>
      <c r="M43" s="195"/>
      <c r="N43" s="15" t="s">
        <v>24</v>
      </c>
      <c r="O43" s="12" t="s">
        <v>21</v>
      </c>
      <c r="P43" s="180" t="s">
        <v>23</v>
      </c>
      <c r="Q43" s="178"/>
      <c r="R43" s="178"/>
      <c r="S43" s="179"/>
      <c r="T43" s="180" t="s">
        <v>23</v>
      </c>
      <c r="U43" s="178"/>
      <c r="V43" s="178"/>
      <c r="W43" s="179"/>
      <c r="X43" s="177" t="s">
        <v>59</v>
      </c>
      <c r="Y43" s="178"/>
      <c r="Z43" s="179"/>
      <c r="AA43" s="180" t="s">
        <v>22</v>
      </c>
      <c r="AB43" s="178"/>
      <c r="AC43" s="178"/>
      <c r="AD43" s="178"/>
      <c r="AE43" s="178"/>
      <c r="AF43" s="178"/>
      <c r="AG43" s="178"/>
      <c r="AH43" s="179"/>
      <c r="AI43" s="181" t="s">
        <v>22</v>
      </c>
      <c r="AJ43" s="182"/>
      <c r="AK43" s="182"/>
      <c r="AL43" s="182"/>
      <c r="AM43" s="182"/>
      <c r="AN43" s="182"/>
      <c r="AO43" s="182"/>
      <c r="AP43" s="182"/>
      <c r="AQ43" s="183"/>
      <c r="AR43" s="14" t="s">
        <v>20</v>
      </c>
      <c r="AS43" s="14" t="s">
        <v>22</v>
      </c>
      <c r="AT43" s="14" t="s">
        <v>22</v>
      </c>
      <c r="AU43" s="180" t="s">
        <v>23</v>
      </c>
      <c r="AV43" s="178"/>
      <c r="AW43" s="178"/>
      <c r="AX43" s="179"/>
      <c r="AY43" s="180" t="s">
        <v>22</v>
      </c>
      <c r="AZ43" s="178"/>
      <c r="BA43" s="178"/>
      <c r="BB43" s="179"/>
      <c r="BC43" s="187"/>
      <c r="BD43" s="188"/>
      <c r="BE43" s="188"/>
      <c r="BF43" s="188"/>
      <c r="BG43" s="188"/>
      <c r="BH43" s="188"/>
      <c r="BI43" s="188"/>
      <c r="BJ43" s="189"/>
      <c r="BK43" s="9"/>
    </row>
    <row r="44" spans="1:63" x14ac:dyDescent="0.25">
      <c r="B44" s="180">
        <v>5</v>
      </c>
      <c r="C44" s="179"/>
      <c r="D44" s="190"/>
      <c r="E44" s="191"/>
      <c r="F44" s="191"/>
      <c r="G44" s="191"/>
      <c r="H44" s="191"/>
      <c r="I44" s="191"/>
      <c r="J44" s="192"/>
      <c r="K44" s="193" t="s">
        <v>26</v>
      </c>
      <c r="L44" s="194"/>
      <c r="M44" s="195"/>
      <c r="N44" s="15" t="s">
        <v>25</v>
      </c>
      <c r="O44" s="12" t="s">
        <v>20</v>
      </c>
      <c r="P44" s="180" t="s">
        <v>23</v>
      </c>
      <c r="Q44" s="178"/>
      <c r="R44" s="178"/>
      <c r="S44" s="179"/>
      <c r="T44" s="180" t="s">
        <v>23</v>
      </c>
      <c r="U44" s="178"/>
      <c r="V44" s="178"/>
      <c r="W44" s="179"/>
      <c r="X44" s="177" t="s">
        <v>20</v>
      </c>
      <c r="Y44" s="178"/>
      <c r="Z44" s="179"/>
      <c r="AA44" s="180" t="s">
        <v>22</v>
      </c>
      <c r="AB44" s="178"/>
      <c r="AC44" s="178"/>
      <c r="AD44" s="178"/>
      <c r="AE44" s="178"/>
      <c r="AF44" s="178"/>
      <c r="AG44" s="178"/>
      <c r="AH44" s="179"/>
      <c r="AI44" s="181" t="s">
        <v>22</v>
      </c>
      <c r="AJ44" s="182"/>
      <c r="AK44" s="182"/>
      <c r="AL44" s="182"/>
      <c r="AM44" s="182"/>
      <c r="AN44" s="182"/>
      <c r="AO44" s="182"/>
      <c r="AP44" s="182"/>
      <c r="AQ44" s="183"/>
      <c r="AR44" s="14" t="s">
        <v>20</v>
      </c>
      <c r="AS44" s="14" t="s">
        <v>22</v>
      </c>
      <c r="AT44" s="14" t="s">
        <v>22</v>
      </c>
      <c r="AU44" s="180" t="s">
        <v>23</v>
      </c>
      <c r="AV44" s="178"/>
      <c r="AW44" s="178"/>
      <c r="AX44" s="179"/>
      <c r="AY44" s="180" t="s">
        <v>22</v>
      </c>
      <c r="AZ44" s="178"/>
      <c r="BA44" s="178"/>
      <c r="BB44" s="179"/>
      <c r="BC44" s="184"/>
      <c r="BD44" s="185"/>
      <c r="BE44" s="185"/>
      <c r="BF44" s="185"/>
      <c r="BG44" s="185"/>
      <c r="BH44" s="185"/>
      <c r="BI44" s="185"/>
      <c r="BJ44" s="186"/>
      <c r="BK44" s="9"/>
    </row>
    <row r="45" spans="1:63" x14ac:dyDescent="0.25">
      <c r="B45" s="159">
        <v>6</v>
      </c>
      <c r="C45" s="161"/>
      <c r="D45" s="168"/>
      <c r="E45" s="169"/>
      <c r="F45" s="169"/>
      <c r="G45" s="169"/>
      <c r="H45" s="169"/>
      <c r="I45" s="169"/>
      <c r="J45" s="170"/>
      <c r="K45" s="171" t="s">
        <v>27</v>
      </c>
      <c r="L45" s="172"/>
      <c r="M45" s="173"/>
      <c r="N45" s="16" t="s">
        <v>25</v>
      </c>
      <c r="O45" s="16" t="s">
        <v>21</v>
      </c>
      <c r="P45" s="159" t="s">
        <v>23</v>
      </c>
      <c r="Q45" s="160"/>
      <c r="R45" s="160"/>
      <c r="S45" s="161"/>
      <c r="T45" s="159" t="s">
        <v>23</v>
      </c>
      <c r="U45" s="160"/>
      <c r="V45" s="160"/>
      <c r="W45" s="161"/>
      <c r="X45" s="174" t="s">
        <v>76</v>
      </c>
      <c r="Y45" s="175"/>
      <c r="Z45" s="176"/>
      <c r="AA45" s="159" t="s">
        <v>22</v>
      </c>
      <c r="AB45" s="160"/>
      <c r="AC45" s="160"/>
      <c r="AD45" s="160"/>
      <c r="AE45" s="160"/>
      <c r="AF45" s="160"/>
      <c r="AG45" s="160"/>
      <c r="AH45" s="161"/>
      <c r="AI45" s="162" t="s">
        <v>28</v>
      </c>
      <c r="AJ45" s="163"/>
      <c r="AK45" s="163"/>
      <c r="AL45" s="163"/>
      <c r="AM45" s="163"/>
      <c r="AN45" s="163"/>
      <c r="AO45" s="163"/>
      <c r="AP45" s="163"/>
      <c r="AQ45" s="164"/>
      <c r="AR45" s="17" t="s">
        <v>20</v>
      </c>
      <c r="AS45" s="17" t="s">
        <v>22</v>
      </c>
      <c r="AT45" s="17" t="s">
        <v>22</v>
      </c>
      <c r="AU45" s="159" t="s">
        <v>23</v>
      </c>
      <c r="AV45" s="160"/>
      <c r="AW45" s="160"/>
      <c r="AX45" s="161"/>
      <c r="AY45" s="159" t="s">
        <v>22</v>
      </c>
      <c r="AZ45" s="160"/>
      <c r="BA45" s="160"/>
      <c r="BB45" s="161"/>
      <c r="BC45" s="165" t="s">
        <v>29</v>
      </c>
      <c r="BD45" s="166"/>
      <c r="BE45" s="166"/>
      <c r="BF45" s="166"/>
      <c r="BG45" s="166"/>
      <c r="BH45" s="166"/>
      <c r="BI45" s="166"/>
      <c r="BJ45" s="167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1" customWidth="1"/>
    <col min="61" max="16384" width="2.77734375" style="21"/>
  </cols>
  <sheetData>
    <row r="1" spans="1:63" ht="24.95" customHeight="1" x14ac:dyDescent="0.25">
      <c r="A1" s="256" t="s">
        <v>38</v>
      </c>
      <c r="B1" s="257"/>
      <c r="C1" s="257"/>
      <c r="D1" s="257"/>
      <c r="E1" s="257"/>
      <c r="F1" s="257"/>
      <c r="G1" s="257"/>
      <c r="H1" s="257"/>
      <c r="I1" s="257"/>
      <c r="J1" s="258"/>
      <c r="K1" s="256" t="s">
        <v>39</v>
      </c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8"/>
      <c r="W1" s="287" t="str">
        <f>IF(表紙!W1="","",表紙!W1)</f>
        <v>基本設計書</v>
      </c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9"/>
      <c r="AP1" s="74" t="s">
        <v>41</v>
      </c>
      <c r="AQ1" s="75"/>
      <c r="AR1" s="75"/>
      <c r="AS1" s="76"/>
      <c r="AT1" s="74" t="s">
        <v>42</v>
      </c>
      <c r="AU1" s="75"/>
      <c r="AV1" s="75"/>
      <c r="AW1" s="75"/>
      <c r="AX1" s="76"/>
      <c r="AY1" s="74" t="s">
        <v>43</v>
      </c>
      <c r="AZ1" s="75"/>
      <c r="BA1" s="75"/>
      <c r="BB1" s="76"/>
      <c r="BC1" s="74" t="s">
        <v>44</v>
      </c>
      <c r="BD1" s="75"/>
      <c r="BE1" s="75"/>
      <c r="BF1" s="75"/>
      <c r="BG1" s="76"/>
      <c r="BH1" s="74" t="s">
        <v>45</v>
      </c>
      <c r="BI1" s="75"/>
      <c r="BJ1" s="75"/>
      <c r="BK1" s="76"/>
    </row>
    <row r="2" spans="1:63" ht="15" customHeight="1" x14ac:dyDescent="0.25">
      <c r="A2" s="281" t="str">
        <f>IF(表紙!A2="","",表紙!A2)</f>
        <v>POSサーバー</v>
      </c>
      <c r="B2" s="282"/>
      <c r="C2" s="282"/>
      <c r="D2" s="282"/>
      <c r="E2" s="282"/>
      <c r="F2" s="282"/>
      <c r="G2" s="282"/>
      <c r="H2" s="282"/>
      <c r="I2" s="282"/>
      <c r="J2" s="283"/>
      <c r="K2" s="281" t="str">
        <f>IF(表紙!K2="","",表紙!K2)</f>
        <v>POSサーバー</v>
      </c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3"/>
      <c r="W2" s="290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1"/>
      <c r="AO2" s="292"/>
      <c r="AP2" s="77" t="str">
        <f>IF(表紙!AP2="","",表紙!AP2)</f>
        <v>DuNT</v>
      </c>
      <c r="AQ2" s="78"/>
      <c r="AR2" s="78"/>
      <c r="AS2" s="79"/>
      <c r="AT2" s="104">
        <f>IF(表紙!AT2="","",表紙!AT2)</f>
        <v>45416</v>
      </c>
      <c r="AU2" s="105"/>
      <c r="AV2" s="105"/>
      <c r="AW2" s="105"/>
      <c r="AX2" s="106"/>
      <c r="AY2" s="77" t="str">
        <f>IF(表紙!AY2="","",表紙!AY2)</f>
        <v>DuNT</v>
      </c>
      <c r="AZ2" s="78"/>
      <c r="BA2" s="78"/>
      <c r="BB2" s="79"/>
      <c r="BC2" s="104">
        <f>IF(表紙!BC2="","",表紙!BC2)</f>
        <v>45531</v>
      </c>
      <c r="BD2" s="105"/>
      <c r="BE2" s="105"/>
      <c r="BF2" s="105"/>
      <c r="BG2" s="106"/>
      <c r="BH2" s="77">
        <f>IF(表紙!BH2="","",表紙!BH2)</f>
        <v>0.2</v>
      </c>
      <c r="BI2" s="78"/>
      <c r="BJ2" s="78"/>
      <c r="BK2" s="79"/>
    </row>
    <row r="3" spans="1:63" ht="15" customHeight="1" x14ac:dyDescent="0.25">
      <c r="A3" s="284"/>
      <c r="B3" s="285"/>
      <c r="C3" s="285"/>
      <c r="D3" s="285"/>
      <c r="E3" s="285"/>
      <c r="F3" s="285"/>
      <c r="G3" s="285"/>
      <c r="H3" s="285"/>
      <c r="I3" s="285"/>
      <c r="J3" s="286"/>
      <c r="K3" s="284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6"/>
      <c r="W3" s="293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5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56" t="s">
        <v>47</v>
      </c>
      <c r="B4" s="257"/>
      <c r="C4" s="257"/>
      <c r="D4" s="257"/>
      <c r="E4" s="257"/>
      <c r="F4" s="257"/>
      <c r="G4" s="258"/>
      <c r="H4" s="259" t="str">
        <f>IF(表紙!H4="","",表紙!H4)</f>
        <v xml:space="preserve">08_カテゴリ値引/割引設定 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1"/>
      <c r="U4" s="256" t="s">
        <v>49</v>
      </c>
      <c r="V4" s="257"/>
      <c r="W4" s="257"/>
      <c r="X4" s="257"/>
      <c r="Y4" s="258"/>
      <c r="Z4" s="259" t="str">
        <f>IF(表紙!Z4="","",表紙!Z4)</f>
        <v>概要設計書</v>
      </c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1"/>
      <c r="AP4" s="262" t="str">
        <f ca="1">MID(CELL("filename",A1),FIND("]",CELL("filename",A1))+1,255)</f>
        <v>テンプレート</v>
      </c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1"/>
    </row>
    <row r="5" spans="1:63" ht="5.0999999999999996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4"/>
    </row>
    <row r="6" spans="1:63" ht="15" customHeight="1" x14ac:dyDescent="0.25">
      <c r="A6" s="25"/>
      <c r="BK6" s="26"/>
    </row>
    <row r="7" spans="1:63" ht="15" customHeight="1" x14ac:dyDescent="0.25">
      <c r="A7" s="25"/>
      <c r="B7" s="55"/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6"/>
    </row>
    <row r="8" spans="1:63" ht="15" customHeight="1" x14ac:dyDescent="0.25">
      <c r="A8" s="25"/>
      <c r="C8" s="59"/>
      <c r="U8" s="59"/>
      <c r="AD8" s="59"/>
      <c r="AM8" s="59"/>
      <c r="BI8" s="61"/>
    </row>
    <row r="9" spans="1:63" ht="15" customHeight="1" x14ac:dyDescent="0.25">
      <c r="A9" s="25"/>
      <c r="C9" s="59"/>
      <c r="U9" s="59"/>
      <c r="AD9" s="59"/>
      <c r="AM9" s="59"/>
      <c r="BI9" s="61"/>
    </row>
    <row r="10" spans="1:63" ht="15" customHeight="1" x14ac:dyDescent="0.25">
      <c r="A10" s="25"/>
      <c r="C10" s="59"/>
      <c r="U10" s="59"/>
      <c r="AD10" s="59"/>
      <c r="AM10" s="59"/>
      <c r="BI10" s="61"/>
    </row>
    <row r="11" spans="1:63" ht="15" customHeight="1" x14ac:dyDescent="0.25">
      <c r="A11" s="25"/>
      <c r="C11" s="59"/>
      <c r="U11" s="59"/>
      <c r="AD11" s="59"/>
      <c r="AM11" s="59"/>
      <c r="BI11" s="61"/>
    </row>
    <row r="12" spans="1:63" ht="15" customHeight="1" x14ac:dyDescent="0.25">
      <c r="A12" s="25"/>
      <c r="C12" s="59"/>
      <c r="U12" s="59"/>
      <c r="AD12" s="59"/>
      <c r="AM12" s="59"/>
      <c r="AX12" s="21" t="s">
        <v>30</v>
      </c>
      <c r="BI12" s="61"/>
    </row>
    <row r="13" spans="1:63" ht="15" customHeight="1" x14ac:dyDescent="0.25">
      <c r="A13" s="25"/>
      <c r="C13" s="59"/>
      <c r="U13" s="59"/>
      <c r="AD13" s="59"/>
      <c r="AM13" s="59"/>
      <c r="BI13" s="61"/>
    </row>
    <row r="14" spans="1:63" ht="15" customHeight="1" x14ac:dyDescent="0.25">
      <c r="A14" s="25"/>
      <c r="C14" s="59"/>
      <c r="U14" s="59"/>
      <c r="AD14" s="59"/>
      <c r="AM14" s="59"/>
      <c r="BI14" s="61"/>
    </row>
    <row r="15" spans="1:63" ht="15" customHeight="1" x14ac:dyDescent="0.25">
      <c r="A15" s="25"/>
      <c r="C15" s="59"/>
      <c r="U15" s="59"/>
      <c r="AD15" s="59"/>
      <c r="AM15" s="59"/>
      <c r="BI15" s="61"/>
    </row>
    <row r="16" spans="1:63" ht="15" customHeight="1" x14ac:dyDescent="0.25">
      <c r="A16" s="25"/>
      <c r="C16" s="59"/>
      <c r="U16" s="59"/>
      <c r="AD16" s="59"/>
      <c r="AM16" s="59"/>
      <c r="BI16" s="61"/>
    </row>
    <row r="17" spans="1:61" ht="15" customHeight="1" x14ac:dyDescent="0.25">
      <c r="A17" s="25"/>
      <c r="C17" s="59"/>
      <c r="U17" s="59"/>
      <c r="AD17" s="59"/>
      <c r="AM17" s="59"/>
      <c r="BI17" s="61"/>
    </row>
    <row r="18" spans="1:61" ht="15" customHeight="1" x14ac:dyDescent="0.25">
      <c r="A18" s="25"/>
      <c r="C18" s="59"/>
      <c r="U18" s="59"/>
      <c r="AD18" s="59"/>
      <c r="AM18" s="59"/>
      <c r="BI18" s="61"/>
    </row>
    <row r="19" spans="1:61" ht="15" customHeight="1" x14ac:dyDescent="0.25">
      <c r="A19" s="25"/>
      <c r="C19" s="59"/>
      <c r="U19" s="59"/>
      <c r="AD19" s="59"/>
      <c r="AM19" s="59"/>
      <c r="BI19" s="61"/>
    </row>
    <row r="20" spans="1:61" ht="15" customHeight="1" x14ac:dyDescent="0.25">
      <c r="A20" s="25"/>
      <c r="C20" s="59"/>
      <c r="U20" s="59"/>
      <c r="AD20" s="59"/>
      <c r="AM20" s="59"/>
      <c r="BI20" s="61"/>
    </row>
    <row r="21" spans="1:61" ht="15" customHeight="1" x14ac:dyDescent="0.25">
      <c r="A21" s="25"/>
      <c r="C21" s="59"/>
      <c r="U21" s="59"/>
      <c r="AD21" s="59"/>
      <c r="AM21" s="59"/>
      <c r="BI21" s="61"/>
    </row>
    <row r="22" spans="1:61" ht="15" customHeight="1" x14ac:dyDescent="0.25">
      <c r="A22" s="25"/>
      <c r="C22" s="59"/>
      <c r="U22" s="59"/>
      <c r="AD22" s="59"/>
      <c r="AM22" s="59"/>
      <c r="BI22" s="61"/>
    </row>
    <row r="23" spans="1:61" ht="15" customHeight="1" x14ac:dyDescent="0.25">
      <c r="A23" s="25"/>
      <c r="C23" s="59"/>
      <c r="U23" s="59"/>
      <c r="AD23" s="59"/>
      <c r="AM23" s="59"/>
      <c r="BI23" s="61"/>
    </row>
    <row r="24" spans="1:61" ht="15" customHeight="1" x14ac:dyDescent="0.25">
      <c r="A24" s="25"/>
      <c r="C24" s="59"/>
      <c r="U24" s="59"/>
      <c r="AD24" s="59"/>
      <c r="AM24" s="59"/>
      <c r="BI24" s="61"/>
    </row>
    <row r="25" spans="1:61" ht="15" customHeight="1" x14ac:dyDescent="0.25">
      <c r="A25" s="25"/>
      <c r="C25" s="59"/>
      <c r="U25" s="59"/>
      <c r="AD25" s="59"/>
      <c r="AM25" s="59"/>
      <c r="BI25" s="61"/>
    </row>
    <row r="26" spans="1:61" ht="15" customHeight="1" x14ac:dyDescent="0.25">
      <c r="A26" s="25"/>
      <c r="C26" s="59"/>
      <c r="U26" s="59"/>
      <c r="AD26" s="59"/>
      <c r="AM26" s="59"/>
      <c r="BI26" s="61"/>
    </row>
    <row r="27" spans="1:61" ht="15" customHeight="1" x14ac:dyDescent="0.25">
      <c r="A27" s="25"/>
      <c r="C27" s="59"/>
      <c r="U27" s="59"/>
      <c r="AD27" s="59"/>
      <c r="AM27" s="59"/>
      <c r="BI27" s="61"/>
    </row>
    <row r="28" spans="1:61" ht="15" customHeight="1" x14ac:dyDescent="0.25">
      <c r="A28" s="25"/>
      <c r="C28" s="59"/>
      <c r="U28" s="59"/>
      <c r="AD28" s="59"/>
      <c r="AM28" s="59"/>
      <c r="BI28" s="61"/>
    </row>
    <row r="29" spans="1:61" ht="15" customHeight="1" x14ac:dyDescent="0.25">
      <c r="A29" s="25"/>
      <c r="C29" s="59"/>
      <c r="U29" s="59"/>
      <c r="AD29" s="59"/>
      <c r="AM29" s="59"/>
      <c r="BI29" s="61"/>
    </row>
    <row r="30" spans="1:61" ht="15" customHeight="1" x14ac:dyDescent="0.25">
      <c r="A30" s="25"/>
      <c r="C30" s="59"/>
      <c r="U30" s="59"/>
      <c r="AD30" s="59"/>
      <c r="AM30" s="59"/>
      <c r="BI30" s="61"/>
    </row>
    <row r="31" spans="1:61" ht="15" customHeight="1" x14ac:dyDescent="0.25">
      <c r="A31" s="25"/>
      <c r="C31" s="59"/>
      <c r="U31" s="59"/>
      <c r="AD31" s="59"/>
      <c r="AM31" s="59"/>
      <c r="BI31" s="61"/>
    </row>
    <row r="32" spans="1:61" ht="15" customHeight="1" x14ac:dyDescent="0.25">
      <c r="A32" s="25"/>
      <c r="C32" s="59"/>
      <c r="U32" s="59"/>
      <c r="AD32" s="59"/>
      <c r="AM32" s="59"/>
      <c r="BI32" s="61"/>
    </row>
    <row r="33" spans="1:61" ht="15" customHeight="1" x14ac:dyDescent="0.25">
      <c r="A33" s="25"/>
      <c r="C33" s="59"/>
      <c r="U33" s="59"/>
      <c r="AD33" s="59"/>
      <c r="AM33" s="59"/>
      <c r="BI33" s="61"/>
    </row>
    <row r="34" spans="1:61" ht="15" customHeight="1" x14ac:dyDescent="0.25">
      <c r="A34" s="25"/>
      <c r="C34" s="59"/>
      <c r="U34" s="59"/>
      <c r="AD34" s="59"/>
      <c r="AM34" s="59"/>
      <c r="BI34" s="61"/>
    </row>
    <row r="35" spans="1:61" ht="15" customHeight="1" x14ac:dyDescent="0.25">
      <c r="A35" s="25"/>
      <c r="C35" s="59"/>
      <c r="U35" s="59"/>
      <c r="AD35" s="59"/>
      <c r="AM35" s="59"/>
      <c r="BI35" s="61"/>
    </row>
    <row r="36" spans="1:61" ht="15" customHeight="1" x14ac:dyDescent="0.25">
      <c r="A36" s="25"/>
      <c r="C36" s="59"/>
      <c r="U36" s="59"/>
      <c r="AD36" s="59"/>
      <c r="AM36" s="59"/>
      <c r="BI36" s="61"/>
    </row>
    <row r="37" spans="1:61" ht="15" customHeight="1" x14ac:dyDescent="0.25">
      <c r="A37" s="25"/>
      <c r="C37" s="59"/>
      <c r="U37" s="59"/>
      <c r="AD37" s="59"/>
      <c r="AM37" s="59"/>
      <c r="BI37" s="61"/>
    </row>
    <row r="38" spans="1:61" ht="15" customHeight="1" x14ac:dyDescent="0.25">
      <c r="A38" s="25"/>
      <c r="C38" s="59"/>
      <c r="U38" s="59"/>
      <c r="AD38" s="59"/>
      <c r="AM38" s="59"/>
      <c r="BI38" s="61"/>
    </row>
    <row r="39" spans="1:61" ht="15" customHeight="1" x14ac:dyDescent="0.25">
      <c r="A39" s="25"/>
      <c r="C39" s="59"/>
      <c r="U39" s="59"/>
      <c r="AD39" s="59"/>
      <c r="AM39" s="59"/>
      <c r="BI39" s="61"/>
    </row>
    <row r="40" spans="1:61" ht="15" customHeight="1" x14ac:dyDescent="0.25">
      <c r="A40" s="25"/>
      <c r="C40" s="59"/>
      <c r="U40" s="59"/>
      <c r="AD40" s="59"/>
      <c r="AM40" s="59"/>
      <c r="BI40" s="61"/>
    </row>
    <row r="41" spans="1:61" ht="15" customHeight="1" x14ac:dyDescent="0.25">
      <c r="A41" s="25"/>
      <c r="C41" s="59"/>
      <c r="U41" s="59"/>
      <c r="AD41" s="59"/>
      <c r="AM41" s="59"/>
      <c r="BI41" s="61"/>
    </row>
    <row r="42" spans="1:61" ht="15" customHeight="1" x14ac:dyDescent="0.25">
      <c r="A42" s="25"/>
      <c r="C42" s="59"/>
      <c r="U42" s="59"/>
      <c r="AD42" s="59"/>
      <c r="AM42" s="59"/>
      <c r="BI42" s="61"/>
    </row>
    <row r="43" spans="1:61" ht="15" customHeight="1" x14ac:dyDescent="0.25">
      <c r="A43" s="25"/>
      <c r="C43" s="59"/>
      <c r="U43" s="59"/>
      <c r="AD43" s="59"/>
      <c r="AM43" s="59"/>
      <c r="BI43" s="61"/>
    </row>
    <row r="44" spans="1:61" ht="15" customHeight="1" x14ac:dyDescent="0.25">
      <c r="A44" s="25"/>
      <c r="C44" s="59"/>
      <c r="U44" s="59"/>
      <c r="AD44" s="59"/>
      <c r="AM44" s="59"/>
      <c r="BI44" s="61"/>
    </row>
    <row r="45" spans="1:61" ht="15" customHeight="1" x14ac:dyDescent="0.25">
      <c r="A45" s="25"/>
      <c r="C45" s="59"/>
      <c r="U45" s="59"/>
      <c r="AD45" s="59"/>
      <c r="AM45" s="59"/>
      <c r="BI45" s="61"/>
    </row>
    <row r="46" spans="1:61" ht="15" customHeight="1" x14ac:dyDescent="0.25">
      <c r="A46" s="25"/>
      <c r="C46" s="59"/>
      <c r="U46" s="59"/>
      <c r="AD46" s="59"/>
      <c r="AM46" s="59"/>
      <c r="BI46" s="61"/>
    </row>
    <row r="47" spans="1:61" ht="15" customHeight="1" x14ac:dyDescent="0.25">
      <c r="A47" s="25"/>
      <c r="C47" s="59"/>
      <c r="U47" s="59"/>
      <c r="AD47" s="59"/>
      <c r="AM47" s="59"/>
      <c r="BI47" s="61"/>
    </row>
    <row r="48" spans="1:61" ht="15" customHeight="1" x14ac:dyDescent="0.25">
      <c r="A48" s="25"/>
      <c r="C48" s="59"/>
      <c r="U48" s="59"/>
      <c r="AD48" s="59"/>
      <c r="AM48" s="59"/>
      <c r="BI48" s="61"/>
    </row>
    <row r="49" spans="1:63" ht="15" customHeight="1" x14ac:dyDescent="0.25">
      <c r="A49" s="25"/>
      <c r="C49" s="59"/>
      <c r="U49" s="59"/>
      <c r="AD49" s="59"/>
      <c r="AM49" s="59"/>
      <c r="BI49" s="61"/>
    </row>
    <row r="50" spans="1:63" ht="15" customHeight="1" x14ac:dyDescent="0.25">
      <c r="A50" s="25"/>
      <c r="C50" s="59"/>
      <c r="U50" s="59"/>
      <c r="AD50" s="59"/>
      <c r="AM50" s="59"/>
      <c r="BI50" s="61"/>
    </row>
    <row r="51" spans="1:63" ht="15" customHeight="1" x14ac:dyDescent="0.25">
      <c r="A51" s="25"/>
      <c r="C51" s="59"/>
      <c r="U51" s="59"/>
      <c r="AD51" s="59"/>
      <c r="AM51" s="59"/>
      <c r="BI51" s="61"/>
    </row>
    <row r="52" spans="1:63" ht="15" customHeight="1" x14ac:dyDescent="0.25">
      <c r="A52" s="25"/>
      <c r="C52" s="59"/>
      <c r="U52" s="59"/>
      <c r="AD52" s="59"/>
      <c r="AM52" s="59"/>
      <c r="BI52" s="61"/>
    </row>
    <row r="53" spans="1:63" ht="15" customHeight="1" x14ac:dyDescent="0.25">
      <c r="A53" s="25"/>
      <c r="C53" s="59"/>
      <c r="U53" s="59"/>
      <c r="AD53" s="59"/>
      <c r="AM53" s="59"/>
      <c r="BI53" s="61"/>
    </row>
    <row r="54" spans="1:63" ht="15" customHeight="1" x14ac:dyDescent="0.25">
      <c r="A54" s="25"/>
      <c r="C54" s="59"/>
      <c r="U54" s="59"/>
      <c r="AD54" s="59"/>
      <c r="AM54" s="59"/>
      <c r="BI54" s="61"/>
    </row>
    <row r="55" spans="1:63" ht="15" customHeight="1" x14ac:dyDescent="0.25">
      <c r="A55" s="22"/>
      <c r="B55" s="7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72"/>
      <c r="V55" s="23"/>
      <c r="W55" s="23"/>
      <c r="X55" s="23"/>
      <c r="Y55" s="23"/>
      <c r="Z55" s="23"/>
      <c r="AA55" s="23"/>
      <c r="AB55" s="23"/>
      <c r="AC55" s="23"/>
      <c r="AD55" s="72"/>
      <c r="AE55" s="23"/>
      <c r="AF55" s="23"/>
      <c r="AG55" s="23"/>
      <c r="AH55" s="23"/>
      <c r="AI55" s="23"/>
      <c r="AJ55" s="23"/>
      <c r="AK55" s="23"/>
      <c r="AL55" s="23"/>
      <c r="AM55" s="72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73"/>
      <c r="BJ55" s="23"/>
      <c r="BK55" s="24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309857-4135-4642-B739-D0049C8451E1}"/>
</file>

<file path=customXml/itemProps2.xml><?xml version="1.0" encoding="utf-8"?>
<ds:datastoreItem xmlns:ds="http://schemas.openxmlformats.org/officeDocument/2006/customXml" ds:itemID="{DFCD0EC0-44D2-4045-A3E6-90A92B0B7896}"/>
</file>

<file path=customXml/itemProps3.xml><?xml version="1.0" encoding="utf-8"?>
<ds:datastoreItem xmlns:ds="http://schemas.openxmlformats.org/officeDocument/2006/customXml" ds:itemID="{DB753F38-934C-465A-9F5A-7EC70025787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2024-08-29T03:28:25Z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