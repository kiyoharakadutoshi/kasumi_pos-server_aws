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B4AE424-0656-4815-8205-0ECBDF1D91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機能概要!$A$1:$BK$90</definedName>
    <definedName name="_xlnm.Print_Area" localSheetId="3">機能概要説明!$A$1:$BK$26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AP4" i="5" a="1"/>
  <c r="AP4" i="5" s="1"/>
  <c r="Z4" i="5"/>
  <c r="H4" i="5"/>
  <c r="AT2" i="5"/>
  <c r="K2" i="5"/>
  <c r="A2" i="5"/>
  <c r="W1" i="5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5" s="1"/>
  <c r="BC2" i="4"/>
  <c r="BC2" i="2" s="1"/>
  <c r="AY2" i="4"/>
  <c r="AY2" i="2" s="1"/>
  <c r="AT2" i="4"/>
  <c r="AT2" i="7" s="1"/>
  <c r="AP2" i="4"/>
  <c r="AP2" i="5" s="1"/>
  <c r="AT2" i="3" l="1"/>
  <c r="AY2" i="6"/>
  <c r="AY2" i="8"/>
  <c r="AY2" i="5"/>
  <c r="BC2" i="7"/>
  <c r="AP2" i="2"/>
  <c r="BH2" i="2"/>
  <c r="BH2" i="3"/>
  <c r="AY2" i="7"/>
  <c r="AY2" i="3"/>
  <c r="BC2" i="6"/>
  <c r="BC2" i="8"/>
  <c r="BC2" i="5"/>
  <c r="AP2" i="7"/>
  <c r="BH2" i="7"/>
  <c r="AT2" i="2"/>
  <c r="BC2" i="3"/>
  <c r="BH2" i="6"/>
  <c r="AP2" i="8"/>
  <c r="BH2" i="8"/>
</calcChain>
</file>

<file path=xl/sharedStrings.xml><?xml version="1.0" encoding="utf-8"?>
<sst xmlns="http://schemas.openxmlformats.org/spreadsheetml/2006/main" count="189" uniqueCount="83">
  <si>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</si>
  <si>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</si>
  <si>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</si>
  <si>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</si>
  <si>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</si>
  <si>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</si>
  <si>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</si>
  <si>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</si>
  <si>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</si>
  <si>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</si>
  <si>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</si>
  <si>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</si>
  <si>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</si>
  <si>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</si>
  <si>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</si>
  <si>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</si>
  <si>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</si>
  <si>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</si>
  <si>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</si>
  <si>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</si>
  <si>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</si>
  <si>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</si>
  <si>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</si>
  <si>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アウトプット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</si>
  <si>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</si>
  <si>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</si>
  <si>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</si>
  <si>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</si>
  <si>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</si>
  <si>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</si>
  <si>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</si>
  <si>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</si>
  <si>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文字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</si>
  <si>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</si>
  <si>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</si>
  <si>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</si>
  <si>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</si>
  <si>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</si>
  <si>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</si>
  <si>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</si>
  <si>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</si>
  <si>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</si>
  <si>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</si>
  <si>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Login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</si>
  <si>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</si>
  <si>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</si>
  <si>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</si>
  <si>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</si>
  <si>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</si>
  <si>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</si>
  <si>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</si>
  <si>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</si>
  <si>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</si>
  <si>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</si>
  <si>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t>`</t>
  </si>
  <si>
    <r>
      <rPr>
        <sz val="11"/>
        <color rgb="FF000000"/>
        <rFont val="Meiryo UI"/>
        <family val="2"/>
      </rPr>
      <t>AnhNM</t>
    </r>
  </si>
  <si>
    <r>
      <rPr>
        <sz val="11"/>
        <color rgb="FF000000"/>
        <rFont val="Meiryo UI"/>
        <family val="2"/>
      </rPr>
      <t>部門別売上速報機能により次のことが可能になる。</t>
    </r>
  </si>
  <si>
    <r>
      <rPr>
        <sz val="11"/>
        <color rgb="FF000000"/>
        <rFont val="Meiryo UI"/>
        <family val="2"/>
      </rPr>
      <t>・部門、時間帯別速報を閲覧する。</t>
    </r>
  </si>
  <si>
    <r>
      <rPr>
        <sz val="11"/>
        <color rgb="FF000000"/>
        <rFont val="Meiryo UI"/>
        <family val="2"/>
      </rPr>
      <t>・部門、時間帯別速報により領収書を印刷できる。</t>
    </r>
  </si>
  <si>
    <r>
      <rPr>
        <sz val="11"/>
        <color rgb="FF000000"/>
        <rFont val="Meiryo UI"/>
        <family val="2"/>
      </rPr>
      <t>11_部門別売上速報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</si>
  <si>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</si>
  <si>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</si>
  <si>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</si>
  <si>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</si>
  <si>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</si>
  <si>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</si>
  <si>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</si>
  <si>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</si>
  <si>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</si>
  <si>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</si>
  <si>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</si>
  <si>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</si>
  <si>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</si>
  <si>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</si>
  <si>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</si>
  <si>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</si>
  <si>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</si>
  <si>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</si>
  <si>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</si>
  <si>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11_部門別売上速報</t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</si>
  <si>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</si>
  <si>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</si>
  <si>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Password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</si>
</sst>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0" fillId="0" borderId="43" xfId="6" applyFont="1" applyBorder="1" applyAlignment="1">
      <alignment vertical="center"/>
    </xf>
    <xf numFmtId="0" fontId="0" fillId="0" borderId="44" xfId="6" applyFont="1" applyBorder="1" applyAlignment="1">
      <alignment vertical="center"/>
    </xf>
    <xf numFmtId="0" fontId="0" fillId="0" borderId="45" xfId="6" applyFont="1" applyBorder="1" applyAlignment="1">
      <alignment vertical="center"/>
    </xf>
    <xf numFmtId="0" fontId="0" fillId="0" borderId="46" xfId="6" applyFont="1" applyBorder="1" applyAlignment="1">
      <alignment vertical="center"/>
    </xf>
    <xf numFmtId="0" fontId="0" fillId="0" borderId="47" xfId="6" applyFont="1" applyBorder="1" applyAlignment="1">
      <alignment vertical="center"/>
    </xf>
    <xf numFmtId="0" fontId="0" fillId="0" borderId="48" xfId="6" applyFont="1" applyBorder="1" applyAlignment="1">
      <alignment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0" fillId="0" borderId="46" xfId="6" quotePrefix="1" applyFont="1" applyBorder="1" applyAlignment="1">
      <alignment vertical="center"/>
    </xf>
    <xf numFmtId="0" fontId="0" fillId="0" borderId="47" xfId="6" quotePrefix="1" applyFont="1" applyBorder="1" applyAlignment="1">
      <alignment vertical="center"/>
    </xf>
    <xf numFmtId="0" fontId="0" fillId="0" borderId="48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2" fillId="2" borderId="30" xfId="6" applyFont="1" applyFill="1" applyBorder="1" applyAlignment="1">
      <alignment horizontal="center" vertical="center"/>
    </xf>
    <xf numFmtId="0" fontId="2" fillId="2" borderId="31" xfId="6" applyFont="1" applyFill="1" applyBorder="1" applyAlignment="1">
      <alignment horizontal="center" vertical="center"/>
    </xf>
    <xf numFmtId="0" fontId="2" fillId="2" borderId="32" xfId="6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1" xfId="7" applyFont="1" applyBorder="1">
      <alignment vertical="center"/>
    </xf>
    <xf numFmtId="0" fontId="14" fillId="0" borderId="0" xfId="7" applyFont="1">
      <alignment vertical="center"/>
    </xf>
    <xf numFmtId="0" fontId="14" fillId="0" borderId="4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20" xfId="0" applyFont="1" applyBorder="1"/>
    <xf numFmtId="0" fontId="14" fillId="0" borderId="21" xfId="7" applyFont="1" applyBorder="1">
      <alignment vertical="center"/>
    </xf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451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11_部門別売上速報</a:t>
          </a:r>
        </a:p>
      </xdr:txBody>
    </xdr:sp>
    <xdr:clientData/>
  </xdr:twoCellAnchor>
  <xdr:twoCellAnchor>
    <xdr:from>
      <xdr:col>4</xdr:col>
      <xdr:colOff>236724</xdr:colOff>
      <xdr:row>14</xdr:row>
      <xdr:rowOff>0</xdr:rowOff>
    </xdr:from>
    <xdr:to>
      <xdr:col>5</xdr:col>
      <xdr:colOff>0</xdr:colOff>
      <xdr:row>17</xdr:row>
      <xdr:rowOff>0</xdr:rowOff>
    </xdr:to>
    <xdr:cxnSp macro="">
      <xdr:nvCxnSpPr>
        <xdr:cNvPr id="4" name="直線矢印コネクタ 1010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304925" y="2781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7</xdr:col>
      <xdr:colOff>235322</xdr:colOff>
      <xdr:row>21</xdr:row>
      <xdr:rowOff>0</xdr:rowOff>
    </xdr:to>
    <xdr:sp macro="" textlink="" fLocksText="0">
      <xdr:nvSpPr>
        <xdr:cNvPr id="5" name="正方形/長方形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3400" y="3352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SC1101</a:t>
          </a:r>
        </a:p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/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21</xdr:row>
      <xdr:rowOff>0</xdr:rowOff>
    </xdr:from>
    <xdr:to>
      <xdr:col>5</xdr:col>
      <xdr:colOff>0</xdr:colOff>
      <xdr:row>23</xdr:row>
      <xdr:rowOff>13607</xdr:rowOff>
    </xdr:to>
    <xdr:cxnSp macro="">
      <xdr:nvCxnSpPr>
        <xdr:cNvPr id="6" name="直線矢印コネクタ 10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2"/>
          <a:endCxn id="8" idx="0"/>
        </xdr:cNvCxnSpPr>
      </xdr:nvCxnSpPr>
      <xdr:spPr>
        <a:xfrm>
          <a:off x="1304925" y="4114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23</xdr:row>
      <xdr:rowOff>1</xdr:rowOff>
    </xdr:from>
    <xdr:to>
      <xdr:col>13</xdr:col>
      <xdr:colOff>0</xdr:colOff>
      <xdr:row>25</xdr:row>
      <xdr:rowOff>0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400300" y="449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23</xdr:row>
      <xdr:rowOff>13607</xdr:rowOff>
    </xdr:from>
    <xdr:to>
      <xdr:col>7</xdr:col>
      <xdr:colOff>0</xdr:colOff>
      <xdr:row>24</xdr:row>
      <xdr:rowOff>0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505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20</xdr:row>
      <xdr:rowOff>190499</xdr:rowOff>
    </xdr:from>
    <xdr:to>
      <xdr:col>11</xdr:col>
      <xdr:colOff>1</xdr:colOff>
      <xdr:row>23</xdr:row>
      <xdr:rowOff>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7" idx="0"/>
        </xdr:cNvCxnSpPr>
      </xdr:nvCxnSpPr>
      <xdr:spPr>
        <a:xfrm rot="16200000" flipH="1">
          <a:off x="1304925" y="4114800"/>
          <a:ext cx="16287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11</xdr:col>
      <xdr:colOff>1</xdr:colOff>
      <xdr:row>29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7" idx="2"/>
          <a:endCxn id="13" idx="0"/>
        </xdr:cNvCxnSpPr>
      </xdr:nvCxnSpPr>
      <xdr:spPr>
        <a:xfrm rot="5400000">
          <a:off x="1333500" y="4876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0</xdr:colOff>
      <xdr:row>29</xdr:row>
      <xdr:rowOff>0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13" idx="0"/>
        </xdr:cNvCxnSpPr>
      </xdr:nvCxnSpPr>
      <xdr:spPr>
        <a:xfrm>
          <a:off x="1333500" y="468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20</xdr:row>
      <xdr:rowOff>0</xdr:rowOff>
    </xdr:from>
    <xdr:to>
      <xdr:col>61</xdr:col>
      <xdr:colOff>0</xdr:colOff>
      <xdr:row>24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134600" y="3924300"/>
          <a:ext cx="6134100" cy="762000"/>
        </a:xfrm>
        <a:prstGeom prst="borderCallout1">
          <a:avLst>
            <a:gd name="adj1" fmla="val 51887"/>
            <a:gd name="adj2" fmla="val 470"/>
            <a:gd name="adj3" fmla="val 102369"/>
            <a:gd name="adj4" fmla="val -1090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店舗情報をクリックすると、共通機能を実行する。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ログインしているアカウントのユーザーロールに基づいて、操作可能店舗一覧を取得する。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13" name="正方形/長方形 1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6</xdr:col>
      <xdr:colOff>0</xdr:colOff>
      <xdr:row>37</xdr:row>
      <xdr:rowOff>0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066800" y="6781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13</xdr:col>
      <xdr:colOff>0</xdr:colOff>
      <xdr:row>37</xdr:row>
      <xdr:rowOff>0</xdr:rowOff>
    </xdr:to>
    <xdr:sp macro="" textlink="" fLocksText="0">
      <xdr:nvSpPr>
        <xdr:cNvPr id="15" name="四角形: 角を丸くする 1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933700" y="6781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0</xdr:colOff>
      <xdr:row>35</xdr:row>
      <xdr:rowOff>0</xdr:rowOff>
    </xdr:to>
    <xdr:cxnSp macro="">
      <xdr:nvCxnSpPr>
        <xdr:cNvPr id="16" name="直線矢印コネクタ 101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3" idx="2"/>
          <a:endCxn id="14" idx="0"/>
        </xdr:cNvCxnSpPr>
      </xdr:nvCxnSpPr>
      <xdr:spPr>
        <a:xfrm>
          <a:off x="1333500" y="640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33</xdr:row>
      <xdr:rowOff>0</xdr:rowOff>
    </xdr:from>
    <xdr:to>
      <xdr:col>12</xdr:col>
      <xdr:colOff>0</xdr:colOff>
      <xdr:row>35</xdr:row>
      <xdr:rowOff>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3" idx="2"/>
          <a:endCxn id="15" idx="0"/>
        </xdr:cNvCxnSpPr>
      </xdr:nvCxnSpPr>
      <xdr:spPr>
        <a:xfrm rot="16200000" flipH="1">
          <a:off x="1304925" y="64008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33</xdr:row>
      <xdr:rowOff>0</xdr:rowOff>
    </xdr:from>
    <xdr:to>
      <xdr:col>61</xdr:col>
      <xdr:colOff>0</xdr:colOff>
      <xdr:row>37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0134600" y="6400800"/>
          <a:ext cx="6134100" cy="762000"/>
        </a:xfrm>
        <a:prstGeom prst="borderCallout1">
          <a:avLst>
            <a:gd name="adj1" fmla="val 48210"/>
            <a:gd name="adj2" fmla="val 884"/>
            <a:gd name="adj3" fmla="val 74448"/>
            <a:gd name="adj4" fmla="val -1408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・決定ボタン：MD0101_店舗一覧モダールでユーザーが選択したstoreIdを使用してKN1101_部門別売上速報一覧取得機能を実行する。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5</xdr:col>
      <xdr:colOff>1681</xdr:colOff>
      <xdr:row>46</xdr:row>
      <xdr:rowOff>3362</xdr:rowOff>
    </xdr:from>
    <xdr:to>
      <xdr:col>5</xdr:col>
      <xdr:colOff>1682</xdr:colOff>
      <xdr:row>49</xdr:row>
      <xdr:rowOff>3362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 flipH="1">
          <a:off x="1333500" y="8877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3363</xdr:colOff>
      <xdr:row>49</xdr:row>
      <xdr:rowOff>0</xdr:rowOff>
    </xdr:from>
    <xdr:to>
      <xdr:col>8</xdr:col>
      <xdr:colOff>0</xdr:colOff>
      <xdr:row>53</xdr:row>
      <xdr:rowOff>9525</xdr:rowOff>
    </xdr:to>
    <xdr:sp macro="" textlink="" fLocksText="0">
      <xdr:nvSpPr>
        <xdr:cNvPr id="23" name="正方形/長方形 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33400" y="9448800"/>
          <a:ext cx="16002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SC1101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「部門別売上速報/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日報」画面</a:t>
          </a:r>
        </a:p>
      </xdr:txBody>
    </xdr:sp>
    <xdr:clientData/>
  </xdr:twoCellAnchor>
  <xdr:twoCellAnchor>
    <xdr:from>
      <xdr:col>37</xdr:col>
      <xdr:colOff>235322</xdr:colOff>
      <xdr:row>47</xdr:row>
      <xdr:rowOff>19050</xdr:rowOff>
    </xdr:from>
    <xdr:to>
      <xdr:col>60</xdr:col>
      <xdr:colOff>235322</xdr:colOff>
      <xdr:row>71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0106025" y="9086850"/>
          <a:ext cx="6134100" cy="4552950"/>
        </a:xfrm>
        <a:prstGeom prst="borderCallout1">
          <a:avLst>
            <a:gd name="adj1" fmla="val 48210"/>
            <a:gd name="adj2" fmla="val 884"/>
            <a:gd name="adj3" fmla="val 22506"/>
            <a:gd name="adj4" fmla="val -1302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画面初期化時の状態：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・部門別売上速報一覧が表示される。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・【出力種別】項目には「速報」モードが表示され、「日報」モードが無効になる。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・【対象日】項目：現在日が自動選択され、編集できない。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・【出力単位】項目: 「1：部門」が自動選択され、編集できない。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ボタンの状態：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・【F12：検索】ボタン：無効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・【↓下階層】ボタン：有効、【↑上階層】ボタン：無効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速報一覧で詳細行を選択し、【↓下階層】ボタンをクリックすると、次の出力単位に該当する速報一覧詳細が表示される。【↑上階層】ボタンが有効になる。このボタンをクリックすると、前の画面に戻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以下の4つの出力単位がある：　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部門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品群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品種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分類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‣データがない詳細行を選択した場合、【データが見つまりません。】エラーメッセージが表示される。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詳細行を選択せずに【↓階層】ボタン又は【↑階層】ボタンをクリックした場合、【明細行を選択してください。】エラーメッセージが表示される。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・【時間帯別】ボタンを有効にし、【時間帯別】をクリックすると、時間帯別速報が表示される。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224119</xdr:colOff>
      <xdr:row>37</xdr:row>
      <xdr:rowOff>11206</xdr:rowOff>
    </xdr:from>
    <xdr:to>
      <xdr:col>4</xdr:col>
      <xdr:colOff>231121</xdr:colOff>
      <xdr:row>41</xdr:row>
      <xdr:rowOff>168088</xdr:rowOff>
    </xdr:to>
    <xdr:cxnSp macro="">
      <xdr:nvCxnSpPr>
        <xdr:cNvPr id="26" name="直線矢印コネクタ 1010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endCxn id="27" idx="0"/>
        </xdr:cNvCxnSpPr>
      </xdr:nvCxnSpPr>
      <xdr:spPr>
        <a:xfrm>
          <a:off x="1295400" y="7172325"/>
          <a:ext cx="0" cy="9239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224117</xdr:colOff>
      <xdr:row>41</xdr:row>
      <xdr:rowOff>168088</xdr:rowOff>
    </xdr:from>
    <xdr:to>
      <xdr:col>8</xdr:col>
      <xdr:colOff>0</xdr:colOff>
      <xdr:row>46</xdr:row>
      <xdr:rowOff>0</xdr:rowOff>
    </xdr:to>
    <xdr:sp macro="" textlink="" fLocksText="0">
      <xdr:nvSpPr>
        <xdr:cNvPr id="27" name="四角形: 角を丸くする 3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95300" y="8096250"/>
          <a:ext cx="1638300" cy="7810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部門別売上速報一覧取得 </a:t>
          </a:r>
        </a:p>
      </xdr:txBody>
    </xdr:sp>
    <xdr:clientData/>
  </xdr:twoCellAnchor>
  <xdr:twoCellAnchor>
    <xdr:from>
      <xdr:col>7</xdr:col>
      <xdr:colOff>214592</xdr:colOff>
      <xdr:row>44</xdr:row>
      <xdr:rowOff>1681</xdr:rowOff>
    </xdr:from>
    <xdr:to>
      <xdr:col>28</xdr:col>
      <xdr:colOff>214592</xdr:colOff>
      <xdr:row>44</xdr:row>
      <xdr:rowOff>1681</xdr:rowOff>
    </xdr:to>
    <xdr:cxnSp macro="">
      <xdr:nvCxnSpPr>
        <xdr:cNvPr id="29" name="直線矢印コネクタ 74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>
          <a:off x="2085975" y="8496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154080</xdr:rowOff>
    </xdr:from>
    <xdr:to>
      <xdr:col>35</xdr:col>
      <xdr:colOff>0</xdr:colOff>
      <xdr:row>45</xdr:row>
      <xdr:rowOff>190499</xdr:rowOff>
    </xdr:to>
    <xdr:sp macro="" textlink="" fLocksText="0">
      <xdr:nvSpPr>
        <xdr:cNvPr id="32" name="フローチャート: 磁気ディスク 23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734300" y="8077200"/>
          <a:ext cx="1600200" cy="8001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AP1101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レポート取得API</a:t>
          </a:r>
        </a:p>
      </xdr:txBody>
    </xdr:sp>
    <xdr:clientData/>
  </xdr:twoCellAnchor>
  <xdr:twoCellAnchor>
    <xdr:from>
      <xdr:col>38</xdr:col>
      <xdr:colOff>9525</xdr:colOff>
      <xdr:row>42</xdr:row>
      <xdr:rowOff>19050</xdr:rowOff>
    </xdr:from>
    <xdr:to>
      <xdr:col>61</xdr:col>
      <xdr:colOff>9525</xdr:colOff>
      <xdr:row>44</xdr:row>
      <xdr:rowOff>19050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144125" y="8134350"/>
          <a:ext cx="6134100" cy="381000"/>
        </a:xfrm>
        <a:prstGeom prst="borderCallout1">
          <a:avLst>
            <a:gd name="adj1" fmla="val 48210"/>
            <a:gd name="adj2" fmla="val 884"/>
            <a:gd name="adj3" fmla="val 74448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部門別売上速報一覧取得</a:t>
          </a:r>
        </a:p>
      </xdr:txBody>
    </xdr:sp>
    <xdr:clientData/>
  </xdr:twoCellAnchor>
  <xdr:twoCellAnchor>
    <xdr:from>
      <xdr:col>16</xdr:col>
      <xdr:colOff>0</xdr:colOff>
      <xdr:row>64</xdr:row>
      <xdr:rowOff>0</xdr:rowOff>
    </xdr:from>
    <xdr:to>
      <xdr:col>22</xdr:col>
      <xdr:colOff>0</xdr:colOff>
      <xdr:row>68</xdr:row>
      <xdr:rowOff>0</xdr:rowOff>
    </xdr:to>
    <xdr:sp macro="" textlink="" fLocksText="0">
      <xdr:nvSpPr>
        <xdr:cNvPr id="44" name="フローチャート: 書類 1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4267200" y="12306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PR1101</a:t>
          </a:r>
          <a:endParaRPr lang="en-US" altLang="ja-JP" sz="80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部門別売上速報印刷帳票</a:t>
          </a:r>
        </a:p>
      </xdr:txBody>
    </xdr:sp>
    <xdr:clientData/>
  </xdr:twoCellAnchor>
  <xdr:twoCellAnchor>
    <xdr:from>
      <xdr:col>38</xdr:col>
      <xdr:colOff>0</xdr:colOff>
      <xdr:row>74</xdr:row>
      <xdr:rowOff>0</xdr:rowOff>
    </xdr:from>
    <xdr:to>
      <xdr:col>61</xdr:col>
      <xdr:colOff>0</xdr:colOff>
      <xdr:row>86</xdr:row>
      <xdr:rowOff>31937</xdr:rowOff>
    </xdr:to>
    <xdr:sp macro="" textlink="" fLocksText="0">
      <xdr:nvSpPr>
        <xdr:cNvPr id="45" name="吹き出し: 線 1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0134600" y="14211300"/>
          <a:ext cx="6134100" cy="2314575"/>
        </a:xfrm>
        <a:prstGeom prst="borderCallout1">
          <a:avLst>
            <a:gd name="adj1" fmla="val 75416"/>
            <a:gd name="adj2" fmla="val -565"/>
            <a:gd name="adj3" fmla="val -64287"/>
            <a:gd name="adj4" fmla="val -4153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部門・時間帯別売上速報を印刷する。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以下の項目が含まれている。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・階層コード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・名称（野菜、鮮魚等）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・売上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・予算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達成率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・構成率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・客数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・点数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・値引金額</a:t>
          </a:r>
        </a:p>
      </xdr:txBody>
    </xdr:sp>
    <xdr:clientData/>
  </xdr:twoCellAnchor>
  <xdr:twoCellAnchor editAs="oneCell">
    <xdr:from>
      <xdr:col>66</xdr:col>
      <xdr:colOff>0</xdr:colOff>
      <xdr:row>46</xdr:row>
      <xdr:rowOff>44823</xdr:rowOff>
    </xdr:from>
    <xdr:to>
      <xdr:col>91</xdr:col>
      <xdr:colOff>204507</xdr:colOff>
      <xdr:row>63</xdr:row>
      <xdr:rowOff>0</xdr:rowOff>
    </xdr:to>
    <xdr:pic>
      <xdr:nvPicPr>
        <xdr:cNvPr id="49" name="図 26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8924925"/>
          <a:ext cx="6867525" cy="3190875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  <xdr:twoCellAnchor editAs="oneCell">
    <xdr:from>
      <xdr:col>66</xdr:col>
      <xdr:colOff>0</xdr:colOff>
      <xdr:row>59</xdr:row>
      <xdr:rowOff>58896</xdr:rowOff>
    </xdr:from>
    <xdr:to>
      <xdr:col>84</xdr:col>
      <xdr:colOff>23359</xdr:colOff>
      <xdr:row>74</xdr:row>
      <xdr:rowOff>95250</xdr:rowOff>
    </xdr:to>
    <xdr:pic>
      <xdr:nvPicPr>
        <xdr:cNvPr id="50" name="図 53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11410950"/>
          <a:ext cx="4819650" cy="2895600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  <xdr:twoCellAnchor>
    <xdr:from>
      <xdr:col>3</xdr:col>
      <xdr:colOff>0</xdr:colOff>
      <xdr:row>56</xdr:row>
      <xdr:rowOff>1</xdr:rowOff>
    </xdr:from>
    <xdr:to>
      <xdr:col>7</xdr:col>
      <xdr:colOff>0</xdr:colOff>
      <xdr:row>58</xdr:row>
      <xdr:rowOff>1</xdr:rowOff>
    </xdr:to>
    <xdr:sp macro="" textlink="" fLocksText="0">
      <xdr:nvSpPr>
        <xdr:cNvPr id="28" name="四角形: 角を丸くする 110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10782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13</xdr:col>
      <xdr:colOff>0</xdr:colOff>
      <xdr:row>58</xdr:row>
      <xdr:rowOff>0</xdr:rowOff>
    </xdr:to>
    <xdr:sp macro="" textlink="" fLocksText="0">
      <xdr:nvSpPr>
        <xdr:cNvPr id="30" name="四角形: 角を丸くする 1101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400300" y="10782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↑上階層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19</xdr:col>
      <xdr:colOff>0</xdr:colOff>
      <xdr:row>58</xdr:row>
      <xdr:rowOff>1</xdr:rowOff>
    </xdr:to>
    <xdr:sp macro="" textlink="" fLocksText="0">
      <xdr:nvSpPr>
        <xdr:cNvPr id="31" name="四角形: 角を丸くする 110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4000500" y="10782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↓下階層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25</xdr:col>
      <xdr:colOff>0</xdr:colOff>
      <xdr:row>57</xdr:row>
      <xdr:rowOff>190499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5600700" y="10782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ヘッダー上の印刷アイコン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1683</xdr:colOff>
      <xdr:row>53</xdr:row>
      <xdr:rowOff>9524</xdr:rowOff>
    </xdr:from>
    <xdr:to>
      <xdr:col>23</xdr:col>
      <xdr:colOff>1</xdr:colOff>
      <xdr:row>55</xdr:row>
      <xdr:rowOff>190499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23" idx="2"/>
          <a:endCxn id="34" idx="0"/>
        </xdr:cNvCxnSpPr>
      </xdr:nvCxnSpPr>
      <xdr:spPr>
        <a:xfrm rot="16200000" flipH="1">
          <a:off x="1333500" y="10220325"/>
          <a:ext cx="48006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1683</xdr:colOff>
      <xdr:row>53</xdr:row>
      <xdr:rowOff>9524</xdr:rowOff>
    </xdr:from>
    <xdr:to>
      <xdr:col>17</xdr:col>
      <xdr:colOff>1</xdr:colOff>
      <xdr:row>55</xdr:row>
      <xdr:rowOff>190499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23" idx="2"/>
          <a:endCxn id="31" idx="0"/>
        </xdr:cNvCxnSpPr>
      </xdr:nvCxnSpPr>
      <xdr:spPr>
        <a:xfrm rot="16200000" flipH="1">
          <a:off x="1333500" y="10220325"/>
          <a:ext cx="32004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1683</xdr:colOff>
      <xdr:row>53</xdr:row>
      <xdr:rowOff>9524</xdr:rowOff>
    </xdr:from>
    <xdr:to>
      <xdr:col>11</xdr:col>
      <xdr:colOff>1</xdr:colOff>
      <xdr:row>55</xdr:row>
      <xdr:rowOff>190499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23" idx="2"/>
          <a:endCxn id="30" idx="0"/>
        </xdr:cNvCxnSpPr>
      </xdr:nvCxnSpPr>
      <xdr:spPr>
        <a:xfrm rot="16200000" flipH="1">
          <a:off x="1333500" y="10220325"/>
          <a:ext cx="16002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9525</xdr:rowOff>
    </xdr:from>
    <xdr:to>
      <xdr:col>5</xdr:col>
      <xdr:colOff>1682</xdr:colOff>
      <xdr:row>56</xdr:row>
      <xdr:rowOff>1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23" idx="2"/>
          <a:endCxn id="28" idx="0"/>
        </xdr:cNvCxnSpPr>
      </xdr:nvCxnSpPr>
      <xdr:spPr>
        <a:xfrm rot="5400000">
          <a:off x="1333500" y="10220325"/>
          <a:ext cx="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57</xdr:row>
      <xdr:rowOff>190498</xdr:rowOff>
    </xdr:from>
    <xdr:to>
      <xdr:col>23</xdr:col>
      <xdr:colOff>1</xdr:colOff>
      <xdr:row>63</xdr:row>
      <xdr:rowOff>190499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34" idx="2"/>
          <a:endCxn id="44" idx="0"/>
        </xdr:cNvCxnSpPr>
      </xdr:nvCxnSpPr>
      <xdr:spPr>
        <a:xfrm rot="5400000">
          <a:off x="5067300" y="11163300"/>
          <a:ext cx="10668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57</xdr:row>
      <xdr:rowOff>190498</xdr:rowOff>
    </xdr:from>
    <xdr:to>
      <xdr:col>27</xdr:col>
      <xdr:colOff>1</xdr:colOff>
      <xdr:row>63</xdr:row>
      <xdr:rowOff>190499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34" idx="2"/>
          <a:endCxn id="73" idx="0"/>
        </xdr:cNvCxnSpPr>
      </xdr:nvCxnSpPr>
      <xdr:spPr>
        <a:xfrm rot="16200000" flipH="1">
          <a:off x="6134100" y="11163300"/>
          <a:ext cx="10668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64</xdr:row>
      <xdr:rowOff>0</xdr:rowOff>
    </xdr:from>
    <xdr:to>
      <xdr:col>30</xdr:col>
      <xdr:colOff>0</xdr:colOff>
      <xdr:row>68</xdr:row>
      <xdr:rowOff>0</xdr:rowOff>
    </xdr:to>
    <xdr:sp macro="" textlink="" fLocksText="0">
      <xdr:nvSpPr>
        <xdr:cNvPr id="73" name="フローチャート: 書類 1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6400800" y="12306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PR1102</a:t>
          </a:r>
          <a:endParaRPr lang="en-US" altLang="ja-JP" sz="80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8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時間帯別売上速報印刷帳票</a:t>
          </a:r>
        </a:p>
      </xdr:txBody>
    </xdr:sp>
    <xdr:clientData/>
  </xdr:twoCellAnchor>
  <xdr:twoCellAnchor>
    <xdr:from>
      <xdr:col>1</xdr:col>
      <xdr:colOff>224117</xdr:colOff>
      <xdr:row>43</xdr:row>
      <xdr:rowOff>179295</xdr:rowOff>
    </xdr:from>
    <xdr:to>
      <xdr:col>11</xdr:col>
      <xdr:colOff>0</xdr:colOff>
      <xdr:row>58</xdr:row>
      <xdr:rowOff>1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30" idx="2"/>
          <a:endCxn id="27" idx="1"/>
        </xdr:cNvCxnSpPr>
      </xdr:nvCxnSpPr>
      <xdr:spPr>
        <a:xfrm rot="5400000" flipH="1">
          <a:off x="495300" y="8486775"/>
          <a:ext cx="2438400" cy="2676525"/>
        </a:xfrm>
        <a:prstGeom prst="bentConnector4">
          <a:avLst>
            <a:gd name="adj1" fmla="val -8536"/>
            <a:gd name="adj2" fmla="val 11059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224117</xdr:colOff>
      <xdr:row>43</xdr:row>
      <xdr:rowOff>179295</xdr:rowOff>
    </xdr:from>
    <xdr:to>
      <xdr:col>17</xdr:col>
      <xdr:colOff>0</xdr:colOff>
      <xdr:row>58</xdr:row>
      <xdr:rowOff>2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31" idx="2"/>
          <a:endCxn id="27" idx="1"/>
        </xdr:cNvCxnSpPr>
      </xdr:nvCxnSpPr>
      <xdr:spPr>
        <a:xfrm rot="5400000" flipH="1">
          <a:off x="495300" y="8486775"/>
          <a:ext cx="4038600" cy="2676525"/>
        </a:xfrm>
        <a:prstGeom prst="bentConnector4">
          <a:avLst>
            <a:gd name="adj1" fmla="val -8536"/>
            <a:gd name="adj2" fmla="val 1063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224117</xdr:colOff>
      <xdr:row>43</xdr:row>
      <xdr:rowOff>179295</xdr:rowOff>
    </xdr:from>
    <xdr:to>
      <xdr:col>5</xdr:col>
      <xdr:colOff>0</xdr:colOff>
      <xdr:row>58</xdr:row>
      <xdr:rowOff>2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8" idx="2"/>
          <a:endCxn id="27" idx="1"/>
        </xdr:cNvCxnSpPr>
      </xdr:nvCxnSpPr>
      <xdr:spPr>
        <a:xfrm rot="5400000" flipH="1">
          <a:off x="495300" y="8486775"/>
          <a:ext cx="838200" cy="2676525"/>
        </a:xfrm>
        <a:prstGeom prst="bentConnector4">
          <a:avLst>
            <a:gd name="adj1" fmla="val -8536"/>
            <a:gd name="adj2" fmla="val 13138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65</xdr:row>
      <xdr:rowOff>76200</xdr:rowOff>
    </xdr:from>
    <xdr:to>
      <xdr:col>37</xdr:col>
      <xdr:colOff>152400</xdr:colOff>
      <xdr:row>72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H="1">
          <a:off x="6038850" y="12573000"/>
          <a:ext cx="3981450" cy="1419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72</xdr:row>
      <xdr:rowOff>57149</xdr:rowOff>
    </xdr:from>
    <xdr:to>
      <xdr:col>25</xdr:col>
      <xdr:colOff>142875</xdr:colOff>
      <xdr:row>85</xdr:row>
      <xdr:rowOff>44822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788584" y="13885208"/>
          <a:ext cx="3237379" cy="246417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カスミ様へのご確認</a:t>
          </a:r>
          <a:endParaRPr lang="en-US" altLang="ja-JP" sz="1100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データがない詳細行を選択した場合、【データが見られません。】エラーメッセージが表示され、画面上の全てボタンが無効になり、前の画面に戻ります。メイン メニューを選択して メニュー画面に戻り、店舗を再度選択することのみ可能なので</a:t>
          </a:r>
        </a:p>
        <a:p>
          <a:pPr>
            <a:defRPr lang="ja-JP" altLang="en-US" sz="1100"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latin typeface="Meiryo UI" panose="020B0604030504040204" pitchFamily="34" charset="-128"/>
              <a:ea typeface="Meiryo UI" panose="020B0604030504040204" pitchFamily="34" charset="-128"/>
            </a:rPr>
            <a:t>【↑上階層】</a:t>
          </a: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ボタンを有効にしたほうがいいと思っています。ご検討宜しくお願い致します。</a:t>
          </a:r>
        </a:p>
        <a:p>
          <a:pPr>
            <a:defRPr lang="ja-JP" altLang="en-US" sz="1100"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66</xdr:col>
      <xdr:colOff>9525</xdr:colOff>
      <xdr:row>75</xdr:row>
      <xdr:rowOff>85725</xdr:rowOff>
    </xdr:from>
    <xdr:to>
      <xdr:col>96</xdr:col>
      <xdr:colOff>161013</xdr:colOff>
      <xdr:row>102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11725" y="14487525"/>
          <a:ext cx="8153400" cy="505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9" customWidth="1"/>
    <col min="61" max="16384" width="2.77734375" style="199"/>
  </cols>
  <sheetData>
    <row r="1" spans="1:63" ht="24.95" customHeight="1" x14ac:dyDescent="0.25">
      <c r="A1" s="193" t="s">
        <v>64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65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">
        <v>66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93" t="s">
        <v>67</v>
      </c>
      <c r="AQ1" s="194"/>
      <c r="AR1" s="194"/>
      <c r="AS1" s="195"/>
      <c r="AT1" s="193" t="s">
        <v>68</v>
      </c>
      <c r="AU1" s="194"/>
      <c r="AV1" s="194"/>
      <c r="AW1" s="194"/>
      <c r="AX1" s="195"/>
      <c r="AY1" s="193" t="s">
        <v>69</v>
      </c>
      <c r="AZ1" s="194"/>
      <c r="BA1" s="194"/>
      <c r="BB1" s="195"/>
      <c r="BC1" s="193" t="s">
        <v>70</v>
      </c>
      <c r="BD1" s="194"/>
      <c r="BE1" s="194"/>
      <c r="BF1" s="194"/>
      <c r="BG1" s="195"/>
      <c r="BH1" s="193" t="s">
        <v>71</v>
      </c>
      <c r="BI1" s="194"/>
      <c r="BJ1" s="194"/>
      <c r="BK1" s="195"/>
    </row>
    <row r="2" spans="1:63" ht="15" customHeight="1" x14ac:dyDescent="0.25">
      <c r="A2" s="5" t="s">
        <v>72</v>
      </c>
      <c r="B2" s="200"/>
      <c r="C2" s="200"/>
      <c r="D2" s="200"/>
      <c r="E2" s="200"/>
      <c r="F2" s="200"/>
      <c r="G2" s="200"/>
      <c r="H2" s="200"/>
      <c r="I2" s="200"/>
      <c r="J2" s="201"/>
      <c r="K2" s="202" t="s">
        <v>10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3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5"/>
      <c r="AP2" s="202" t="str">
        <f>改訂履歴!$H$11</f>
        <v>AnhNM</v>
      </c>
      <c r="AQ2" s="200"/>
      <c r="AR2" s="200"/>
      <c r="AS2" s="201"/>
      <c r="AT2" s="206">
        <f>改訂履歴!$B$11</f>
        <v>45416</v>
      </c>
      <c r="AU2" s="207"/>
      <c r="AV2" s="207"/>
      <c r="AW2" s="207"/>
      <c r="AX2" s="208"/>
      <c r="AY2" s="202" t="str">
        <f>LOOKUP(2,1/(改訂履歴!H11:H30000&lt;&gt;""),改訂履歴!H11:H30000)</f>
        <v>AnhNM</v>
      </c>
      <c r="AZ2" s="200"/>
      <c r="BA2" s="200"/>
      <c r="BB2" s="201"/>
      <c r="BC2" s="206">
        <f>LOOKUP(2,1/(改訂履歴!B11:B30000&lt;&gt;""),改訂履歴!B11:B30000)</f>
        <v>45416</v>
      </c>
      <c r="BD2" s="207"/>
      <c r="BE2" s="207"/>
      <c r="BF2" s="207"/>
      <c r="BG2" s="208"/>
      <c r="BH2" s="209">
        <f>LOOKUP(2,1/(改訂履歴!O11:O30000&lt;&gt;""),改訂履歴!O11:O30000)</f>
        <v>0.1</v>
      </c>
      <c r="BI2" s="210"/>
      <c r="BJ2" s="210"/>
      <c r="BK2" s="211"/>
    </row>
    <row r="3" spans="1:63" ht="15" customHeight="1" x14ac:dyDescent="0.25">
      <c r="A3" s="212"/>
      <c r="B3" s="213"/>
      <c r="C3" s="213"/>
      <c r="D3" s="213"/>
      <c r="E3" s="213"/>
      <c r="F3" s="213"/>
      <c r="G3" s="213"/>
      <c r="H3" s="213"/>
      <c r="I3" s="213"/>
      <c r="J3" s="214"/>
      <c r="K3" s="212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4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2"/>
      <c r="AQ3" s="213"/>
      <c r="AR3" s="213"/>
      <c r="AS3" s="214"/>
      <c r="AT3" s="218"/>
      <c r="AU3" s="219"/>
      <c r="AV3" s="219"/>
      <c r="AW3" s="219"/>
      <c r="AX3" s="220"/>
      <c r="AY3" s="212"/>
      <c r="AZ3" s="213"/>
      <c r="BA3" s="213"/>
      <c r="BB3" s="214"/>
      <c r="BC3" s="218"/>
      <c r="BD3" s="219"/>
      <c r="BE3" s="219"/>
      <c r="BF3" s="219"/>
      <c r="BG3" s="220"/>
      <c r="BH3" s="221"/>
      <c r="BI3" s="222"/>
      <c r="BJ3" s="222"/>
      <c r="BK3" s="223"/>
    </row>
    <row r="4" spans="1:63" ht="24.95" customHeight="1" x14ac:dyDescent="0.25">
      <c r="A4" s="193" t="s">
        <v>73</v>
      </c>
      <c r="B4" s="194"/>
      <c r="C4" s="194"/>
      <c r="D4" s="194"/>
      <c r="E4" s="194"/>
      <c r="F4" s="194"/>
      <c r="G4" s="195"/>
      <c r="H4" s="224" t="s">
        <v>59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  <c r="U4" s="193" t="s">
        <v>74</v>
      </c>
      <c r="V4" s="194"/>
      <c r="W4" s="194"/>
      <c r="X4" s="194"/>
      <c r="Y4" s="195"/>
      <c r="Z4" s="224" t="s">
        <v>11</v>
      </c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6"/>
      <c r="AP4" s="224" t="str">
        <f t="array" aca="1" ref="AP4" ca="1">RIGHT(CELL("filename",$A$1),LEN(CELL("filename",$A$1))-FIND("]",CELL("filename",$A$1)))</f>
        <v>表紙</v>
      </c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6"/>
    </row>
    <row r="5" spans="1:63" ht="5.0999999999999996" customHeight="1" x14ac:dyDescent="0.25">
      <c r="A5" s="227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9"/>
    </row>
    <row r="6" spans="1:63" ht="15" customHeight="1" x14ac:dyDescent="0.25">
      <c r="A6" s="230"/>
      <c r="BK6" s="231"/>
    </row>
    <row r="7" spans="1:63" ht="15" customHeight="1" x14ac:dyDescent="0.25">
      <c r="A7" s="230"/>
      <c r="BK7" s="231"/>
    </row>
    <row r="8" spans="1:63" ht="15" customHeight="1" x14ac:dyDescent="0.25">
      <c r="A8" s="230"/>
      <c r="BK8" s="231"/>
    </row>
    <row r="9" spans="1:63" ht="15" customHeight="1" x14ac:dyDescent="0.25">
      <c r="A9" s="230"/>
      <c r="BK9" s="231"/>
    </row>
    <row r="10" spans="1:63" ht="15" customHeight="1" x14ac:dyDescent="0.25">
      <c r="A10" s="230"/>
      <c r="BK10" s="231"/>
    </row>
    <row r="11" spans="1:63" ht="15" customHeight="1" x14ac:dyDescent="0.25">
      <c r="A11" s="230"/>
      <c r="BK11" s="231"/>
    </row>
    <row r="12" spans="1:63" ht="15" customHeight="1" x14ac:dyDescent="0.25">
      <c r="A12" s="230"/>
      <c r="BK12" s="231"/>
    </row>
    <row r="13" spans="1:63" ht="15" customHeight="1" x14ac:dyDescent="0.25">
      <c r="A13" s="230"/>
      <c r="BK13" s="231"/>
    </row>
    <row r="14" spans="1:63" ht="15" customHeight="1" thickBot="1" x14ac:dyDescent="0.3">
      <c r="A14" s="230"/>
      <c r="BK14" s="231"/>
    </row>
    <row r="15" spans="1:63" ht="15" customHeight="1" thickTop="1" x14ac:dyDescent="0.25">
      <c r="A15" s="230"/>
      <c r="K15" s="232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4"/>
      <c r="BK15" s="231"/>
    </row>
    <row r="16" spans="1:63" ht="15" customHeight="1" x14ac:dyDescent="0.25">
      <c r="A16" s="230"/>
      <c r="K16" s="235"/>
      <c r="L16" s="236" t="s">
        <v>75</v>
      </c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8"/>
      <c r="BK16" s="231"/>
    </row>
    <row r="17" spans="1:63" ht="15" customHeight="1" x14ac:dyDescent="0.25">
      <c r="A17" s="230"/>
      <c r="K17" s="235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8"/>
      <c r="BK17" s="231"/>
    </row>
    <row r="18" spans="1:63" ht="15" customHeight="1" x14ac:dyDescent="0.25">
      <c r="A18" s="230"/>
      <c r="K18" s="235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8"/>
      <c r="BK18" s="231"/>
    </row>
    <row r="19" spans="1:63" ht="15" customHeight="1" x14ac:dyDescent="0.25">
      <c r="A19" s="230"/>
      <c r="K19" s="235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8"/>
      <c r="BK19" s="231"/>
    </row>
    <row r="20" spans="1:63" ht="15" customHeight="1" x14ac:dyDescent="0.25">
      <c r="A20" s="230"/>
      <c r="K20" s="235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8"/>
      <c r="BK20" s="231"/>
    </row>
    <row r="21" spans="1:63" ht="15" customHeight="1" x14ac:dyDescent="0.25">
      <c r="A21" s="230"/>
      <c r="K21" s="235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8"/>
      <c r="BK21" s="231"/>
    </row>
    <row r="22" spans="1:63" ht="15" customHeight="1" thickBot="1" x14ac:dyDescent="0.3">
      <c r="A22" s="230"/>
      <c r="K22" s="235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8"/>
      <c r="BK22" s="231"/>
    </row>
    <row r="23" spans="1:63" ht="15" customHeight="1" x14ac:dyDescent="0.25">
      <c r="A23" s="230"/>
      <c r="K23" s="235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38"/>
      <c r="BK23" s="231"/>
    </row>
    <row r="24" spans="1:63" ht="15" customHeight="1" x14ac:dyDescent="0.25">
      <c r="A24" s="230"/>
      <c r="K24" s="235"/>
      <c r="L24" s="237" t="str">
        <f>K2&amp;"/"&amp;H4&amp;"/"&amp;Z4</f>
        <v>POSサーバー/11_部門別売上速報/概要設計書</v>
      </c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8"/>
      <c r="BK24" s="231"/>
    </row>
    <row r="25" spans="1:63" ht="15" customHeight="1" x14ac:dyDescent="0.25">
      <c r="A25" s="230"/>
      <c r="K25" s="235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8"/>
      <c r="BK25" s="231"/>
    </row>
    <row r="26" spans="1:63" ht="15" customHeight="1" x14ac:dyDescent="0.25">
      <c r="A26" s="230"/>
      <c r="K26" s="235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8"/>
      <c r="BK26" s="231"/>
    </row>
    <row r="27" spans="1:63" ht="15" customHeight="1" x14ac:dyDescent="0.25">
      <c r="A27" s="230"/>
      <c r="K27" s="235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8"/>
      <c r="BK27" s="231"/>
    </row>
    <row r="28" spans="1:63" ht="15" customHeight="1" x14ac:dyDescent="0.25">
      <c r="A28" s="230"/>
      <c r="K28" s="235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8"/>
      <c r="BK28" s="231"/>
    </row>
    <row r="29" spans="1:63" ht="15" customHeight="1" x14ac:dyDescent="0.25">
      <c r="A29" s="230"/>
      <c r="K29" s="235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8"/>
      <c r="BK29" s="231"/>
    </row>
    <row r="30" spans="1:63" ht="15" customHeight="1" x14ac:dyDescent="0.25">
      <c r="A30" s="230"/>
      <c r="K30" s="235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8"/>
      <c r="BK30" s="231"/>
    </row>
    <row r="31" spans="1:63" ht="15" customHeight="1" x14ac:dyDescent="0.25">
      <c r="A31" s="230"/>
      <c r="K31" s="235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8"/>
      <c r="BK31" s="231"/>
    </row>
    <row r="32" spans="1:63" ht="15" customHeight="1" x14ac:dyDescent="0.25">
      <c r="A32" s="230"/>
      <c r="K32" s="235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8"/>
      <c r="BK32" s="231"/>
    </row>
    <row r="33" spans="1:63" ht="15" customHeight="1" x14ac:dyDescent="0.25">
      <c r="A33" s="230"/>
      <c r="K33" s="235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8"/>
      <c r="BK33" s="231"/>
    </row>
    <row r="34" spans="1:63" ht="15" customHeight="1" x14ac:dyDescent="0.25">
      <c r="A34" s="230"/>
      <c r="K34" s="235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8"/>
      <c r="BK34" s="231"/>
    </row>
    <row r="35" spans="1:63" ht="15" customHeight="1" x14ac:dyDescent="0.25">
      <c r="A35" s="230"/>
      <c r="K35" s="235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8"/>
      <c r="BK35" s="231"/>
    </row>
    <row r="36" spans="1:63" ht="15" customHeight="1" x14ac:dyDescent="0.25">
      <c r="A36" s="230"/>
      <c r="K36" s="235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8"/>
      <c r="BK36" s="231"/>
    </row>
    <row r="37" spans="1:63" ht="15" customHeight="1" thickBot="1" x14ac:dyDescent="0.3">
      <c r="A37" s="230"/>
      <c r="K37" s="241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3"/>
      <c r="BK37" s="231"/>
    </row>
    <row r="38" spans="1:63" ht="15" customHeight="1" thickTop="1" x14ac:dyDescent="0.25">
      <c r="A38" s="230"/>
      <c r="BK38" s="231"/>
    </row>
    <row r="39" spans="1:63" ht="15" customHeight="1" x14ac:dyDescent="0.25">
      <c r="A39" s="230"/>
      <c r="BK39" s="231"/>
    </row>
    <row r="40" spans="1:63" ht="15" customHeight="1" x14ac:dyDescent="0.25">
      <c r="A40" s="230"/>
      <c r="BK40" s="231"/>
    </row>
    <row r="41" spans="1:63" ht="15" customHeight="1" x14ac:dyDescent="0.25">
      <c r="A41" s="230"/>
      <c r="BK41" s="231"/>
    </row>
    <row r="42" spans="1:63" ht="15" customHeight="1" x14ac:dyDescent="0.25">
      <c r="A42" s="230"/>
      <c r="BK42" s="231"/>
    </row>
    <row r="43" spans="1:63" ht="15" customHeight="1" x14ac:dyDescent="0.25">
      <c r="A43" s="230"/>
      <c r="BK43" s="231"/>
    </row>
    <row r="44" spans="1:63" ht="15" customHeight="1" x14ac:dyDescent="0.25">
      <c r="A44" s="230"/>
      <c r="Q44" s="244" t="s">
        <v>76</v>
      </c>
      <c r="R44" s="245"/>
      <c r="S44" s="245"/>
      <c r="T44" s="245"/>
      <c r="U44" s="245"/>
      <c r="V44" s="245"/>
      <c r="W44" s="245"/>
      <c r="X44" s="245"/>
      <c r="Y44" s="245"/>
      <c r="Z44" s="246"/>
      <c r="AA44" s="244" t="s">
        <v>77</v>
      </c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6"/>
      <c r="AQ44" s="244" t="s">
        <v>71</v>
      </c>
      <c r="AR44" s="245"/>
      <c r="AS44" s="245"/>
      <c r="AT44" s="245"/>
      <c r="AU44" s="246"/>
      <c r="BK44" s="231"/>
    </row>
    <row r="45" spans="1:63" ht="15" customHeight="1" x14ac:dyDescent="0.25">
      <c r="A45" s="230"/>
      <c r="Q45" s="247"/>
      <c r="R45" s="248"/>
      <c r="S45" s="248"/>
      <c r="T45" s="248"/>
      <c r="U45" s="248"/>
      <c r="V45" s="248"/>
      <c r="W45" s="248"/>
      <c r="X45" s="248"/>
      <c r="Y45" s="248"/>
      <c r="Z45" s="249"/>
      <c r="AA45" s="247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9"/>
      <c r="AQ45" s="247"/>
      <c r="AR45" s="248"/>
      <c r="AS45" s="248"/>
      <c r="AT45" s="248"/>
      <c r="AU45" s="249"/>
      <c r="BK45" s="231"/>
    </row>
    <row r="46" spans="1:63" ht="15" customHeight="1" x14ac:dyDescent="0.25">
      <c r="A46" s="230"/>
      <c r="Q46" s="202"/>
      <c r="R46" s="200"/>
      <c r="S46" s="200"/>
      <c r="T46" s="200"/>
      <c r="U46" s="200"/>
      <c r="V46" s="200"/>
      <c r="W46" s="200"/>
      <c r="X46" s="200"/>
      <c r="Y46" s="200"/>
      <c r="Z46" s="201"/>
      <c r="AA46" s="202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1"/>
      <c r="AQ46" s="202"/>
      <c r="AR46" s="200"/>
      <c r="AS46" s="200"/>
      <c r="AT46" s="200"/>
      <c r="AU46" s="201"/>
      <c r="BK46" s="231"/>
    </row>
    <row r="47" spans="1:63" ht="15" customHeight="1" x14ac:dyDescent="0.25">
      <c r="A47" s="230"/>
      <c r="Q47" s="250"/>
      <c r="R47" s="251"/>
      <c r="S47" s="251"/>
      <c r="T47" s="251"/>
      <c r="U47" s="251"/>
      <c r="V47" s="251"/>
      <c r="W47" s="251"/>
      <c r="X47" s="251"/>
      <c r="Y47" s="251"/>
      <c r="Z47" s="252"/>
      <c r="AA47" s="250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2"/>
      <c r="AQ47" s="250"/>
      <c r="AR47" s="251"/>
      <c r="AS47" s="251"/>
      <c r="AT47" s="251"/>
      <c r="AU47" s="252"/>
      <c r="BK47" s="231"/>
    </row>
    <row r="48" spans="1:63" ht="15" customHeight="1" x14ac:dyDescent="0.25">
      <c r="A48" s="230"/>
      <c r="Q48" s="250"/>
      <c r="R48" s="251"/>
      <c r="S48" s="251"/>
      <c r="T48" s="251"/>
      <c r="U48" s="251"/>
      <c r="V48" s="251"/>
      <c r="W48" s="251"/>
      <c r="X48" s="251"/>
      <c r="Y48" s="251"/>
      <c r="Z48" s="252"/>
      <c r="AA48" s="250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2"/>
      <c r="AQ48" s="250"/>
      <c r="AR48" s="251"/>
      <c r="AS48" s="251"/>
      <c r="AT48" s="251"/>
      <c r="AU48" s="252"/>
      <c r="BK48" s="231"/>
    </row>
    <row r="49" spans="1:63" ht="15" customHeight="1" x14ac:dyDescent="0.25">
      <c r="A49" s="230"/>
      <c r="Q49" s="212"/>
      <c r="R49" s="213"/>
      <c r="S49" s="213"/>
      <c r="T49" s="213"/>
      <c r="U49" s="213"/>
      <c r="V49" s="213"/>
      <c r="W49" s="213"/>
      <c r="X49" s="213"/>
      <c r="Y49" s="213"/>
      <c r="Z49" s="214"/>
      <c r="AA49" s="212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4"/>
      <c r="AQ49" s="212"/>
      <c r="AR49" s="213"/>
      <c r="AS49" s="213"/>
      <c r="AT49" s="213"/>
      <c r="AU49" s="214"/>
      <c r="BK49" s="231"/>
    </row>
    <row r="50" spans="1:63" ht="15" customHeight="1" x14ac:dyDescent="0.25">
      <c r="A50" s="230"/>
      <c r="BK50" s="231"/>
    </row>
    <row r="51" spans="1:63" ht="15" customHeight="1" x14ac:dyDescent="0.25">
      <c r="A51" s="230"/>
      <c r="BK51" s="231"/>
    </row>
    <row r="52" spans="1:63" ht="15" customHeight="1" x14ac:dyDescent="0.25">
      <c r="A52" s="230"/>
      <c r="BK52" s="231"/>
    </row>
    <row r="53" spans="1:63" ht="15" customHeight="1" x14ac:dyDescent="0.25">
      <c r="A53" s="230"/>
      <c r="BK53" s="231"/>
    </row>
    <row r="54" spans="1:63" ht="15" customHeight="1" x14ac:dyDescent="0.25">
      <c r="A54" s="230"/>
      <c r="BK54" s="231"/>
    </row>
    <row r="55" spans="1:63" ht="15" customHeight="1" x14ac:dyDescent="0.25">
      <c r="A55" s="227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9" customWidth="1"/>
    <col min="61" max="16384" width="2.77734375" style="199"/>
  </cols>
  <sheetData>
    <row r="1" spans="1:63" ht="24.95" customHeight="1" x14ac:dyDescent="0.25">
      <c r="A1" s="193" t="s">
        <v>64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65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基本設計書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93" t="s">
        <v>67</v>
      </c>
      <c r="AQ1" s="194"/>
      <c r="AR1" s="194"/>
      <c r="AS1" s="195"/>
      <c r="AT1" s="193" t="s">
        <v>68</v>
      </c>
      <c r="AU1" s="194"/>
      <c r="AV1" s="194"/>
      <c r="AW1" s="194"/>
      <c r="AX1" s="195"/>
      <c r="AY1" s="193" t="s">
        <v>69</v>
      </c>
      <c r="AZ1" s="194"/>
      <c r="BA1" s="194"/>
      <c r="BB1" s="195"/>
      <c r="BC1" s="193" t="s">
        <v>70</v>
      </c>
      <c r="BD1" s="194"/>
      <c r="BE1" s="194"/>
      <c r="BF1" s="194"/>
      <c r="BG1" s="195"/>
      <c r="BH1" s="193" t="s">
        <v>71</v>
      </c>
      <c r="BI1" s="194"/>
      <c r="BJ1" s="194"/>
      <c r="BK1" s="195"/>
    </row>
    <row r="2" spans="1:63" ht="15" customHeight="1" x14ac:dyDescent="0.25">
      <c r="A2" s="202" t="str">
        <f>IF(表紙!A2="","",表紙!A2)</f>
        <v>POSサーバー</v>
      </c>
      <c r="B2" s="200"/>
      <c r="C2" s="200"/>
      <c r="D2" s="200"/>
      <c r="E2" s="200"/>
      <c r="F2" s="200"/>
      <c r="G2" s="200"/>
      <c r="H2" s="200"/>
      <c r="I2" s="200"/>
      <c r="J2" s="201"/>
      <c r="K2" s="202" t="str">
        <f>IF(表紙!K2="","",表紙!K2)</f>
        <v>POSサーバー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3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5"/>
      <c r="AP2" s="202" t="str">
        <f>IF(表紙!AP2="","",表紙!AP2)</f>
        <v>AnhNM</v>
      </c>
      <c r="AQ2" s="200"/>
      <c r="AR2" s="200"/>
      <c r="AS2" s="201"/>
      <c r="AT2" s="206">
        <f>IF(表紙!AT2="","",表紙!AT2)</f>
        <v>45416</v>
      </c>
      <c r="AU2" s="207"/>
      <c r="AV2" s="207"/>
      <c r="AW2" s="207"/>
      <c r="AX2" s="208"/>
      <c r="AY2" s="202" t="str">
        <f>IF(表紙!AY2="","",表紙!AY2)</f>
        <v>AnhNM</v>
      </c>
      <c r="AZ2" s="200"/>
      <c r="BA2" s="200"/>
      <c r="BB2" s="201"/>
      <c r="BC2" s="206">
        <f>IF(表紙!BC2="","",表紙!BC2)</f>
        <v>45416</v>
      </c>
      <c r="BD2" s="207"/>
      <c r="BE2" s="207"/>
      <c r="BF2" s="207"/>
      <c r="BG2" s="208"/>
      <c r="BH2" s="202">
        <f>IF(表紙!BH2="","",表紙!BH2)</f>
        <v>0.1</v>
      </c>
      <c r="BI2" s="200"/>
      <c r="BJ2" s="200"/>
      <c r="BK2" s="201"/>
    </row>
    <row r="3" spans="1:63" ht="15" customHeight="1" x14ac:dyDescent="0.25">
      <c r="A3" s="212"/>
      <c r="B3" s="213"/>
      <c r="C3" s="213"/>
      <c r="D3" s="213"/>
      <c r="E3" s="213"/>
      <c r="F3" s="213"/>
      <c r="G3" s="213"/>
      <c r="H3" s="213"/>
      <c r="I3" s="213"/>
      <c r="J3" s="214"/>
      <c r="K3" s="212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4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2"/>
      <c r="AQ3" s="213"/>
      <c r="AR3" s="213"/>
      <c r="AS3" s="214"/>
      <c r="AT3" s="218"/>
      <c r="AU3" s="219"/>
      <c r="AV3" s="219"/>
      <c r="AW3" s="219"/>
      <c r="AX3" s="220"/>
      <c r="AY3" s="212"/>
      <c r="AZ3" s="213"/>
      <c r="BA3" s="213"/>
      <c r="BB3" s="214"/>
      <c r="BC3" s="218"/>
      <c r="BD3" s="219"/>
      <c r="BE3" s="219"/>
      <c r="BF3" s="219"/>
      <c r="BG3" s="220"/>
      <c r="BH3" s="212"/>
      <c r="BI3" s="213"/>
      <c r="BJ3" s="213"/>
      <c r="BK3" s="214"/>
    </row>
    <row r="4" spans="1:63" ht="24.95" customHeight="1" x14ac:dyDescent="0.25">
      <c r="A4" s="193" t="s">
        <v>73</v>
      </c>
      <c r="B4" s="194"/>
      <c r="C4" s="194"/>
      <c r="D4" s="194"/>
      <c r="E4" s="194"/>
      <c r="F4" s="194"/>
      <c r="G4" s="195"/>
      <c r="H4" s="224" t="str">
        <f>IF(表紙!H4="","",表紙!H4)</f>
        <v>11_部門別売上速報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  <c r="U4" s="193" t="s">
        <v>74</v>
      </c>
      <c r="V4" s="194"/>
      <c r="W4" s="194"/>
      <c r="X4" s="194"/>
      <c r="Y4" s="195"/>
      <c r="Z4" s="224" t="str">
        <f>IF(表紙!Z4="","",表紙!Z4)</f>
        <v>概要設計書</v>
      </c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6"/>
      <c r="AP4" s="224" t="str">
        <f t="array" aca="1" ref="AP4" ca="1">RIGHT(CELL("filename",$A$1),LEN(CELL("filename",$A$1))-FIND("]",CELL("filename",$A$1)))</f>
        <v>改訂履歴</v>
      </c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6"/>
    </row>
    <row r="5" spans="1:63" ht="5.0999999999999996" customHeight="1" x14ac:dyDescent="0.25">
      <c r="A5" s="227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9"/>
    </row>
    <row r="6" spans="1:63" ht="15" customHeight="1" x14ac:dyDescent="0.25">
      <c r="A6" s="230"/>
      <c r="BK6" s="231"/>
    </row>
    <row r="7" spans="1:63" ht="15" customHeight="1" x14ac:dyDescent="0.25">
      <c r="A7" s="230"/>
      <c r="BK7" s="231"/>
    </row>
    <row r="8" spans="1:63" ht="15" customHeight="1" x14ac:dyDescent="0.25">
      <c r="A8" s="230"/>
      <c r="B8" s="199" t="s">
        <v>9</v>
      </c>
      <c r="BK8" s="231"/>
    </row>
    <row r="9" spans="1:63" ht="15" customHeight="1" x14ac:dyDescent="0.25">
      <c r="A9" s="230"/>
      <c r="BK9" s="231"/>
    </row>
    <row r="10" spans="1:63" ht="15" customHeight="1" x14ac:dyDescent="0.25">
      <c r="A10" s="230"/>
      <c r="B10" s="253" t="s">
        <v>70</v>
      </c>
      <c r="C10" s="253"/>
      <c r="D10" s="253"/>
      <c r="E10" s="253"/>
      <c r="F10" s="253"/>
      <c r="G10" s="253"/>
      <c r="H10" s="253" t="s">
        <v>69</v>
      </c>
      <c r="I10" s="253"/>
      <c r="J10" s="253"/>
      <c r="K10" s="253"/>
      <c r="L10" s="253"/>
      <c r="M10" s="253"/>
      <c r="N10" s="253"/>
      <c r="O10" s="253" t="s">
        <v>71</v>
      </c>
      <c r="P10" s="253"/>
      <c r="Q10" s="253"/>
      <c r="R10" s="253"/>
      <c r="S10" s="253" t="s">
        <v>78</v>
      </c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 t="s">
        <v>76</v>
      </c>
      <c r="AY10" s="253"/>
      <c r="AZ10" s="253"/>
      <c r="BA10" s="253"/>
      <c r="BB10" s="253"/>
      <c r="BC10" s="253"/>
      <c r="BD10" s="253" t="s">
        <v>77</v>
      </c>
      <c r="BE10" s="253"/>
      <c r="BF10" s="253"/>
      <c r="BG10" s="253"/>
      <c r="BH10" s="253"/>
      <c r="BI10" s="253"/>
      <c r="BJ10" s="253"/>
      <c r="BK10" s="231"/>
    </row>
    <row r="11" spans="1:63" ht="15" customHeight="1" x14ac:dyDescent="0.25">
      <c r="A11" s="230"/>
      <c r="B11" s="206">
        <v>45416</v>
      </c>
      <c r="C11" s="200"/>
      <c r="D11" s="200"/>
      <c r="E11" s="200"/>
      <c r="F11" s="200"/>
      <c r="G11" s="201"/>
      <c r="H11" s="202" t="s">
        <v>55</v>
      </c>
      <c r="I11" s="200"/>
      <c r="J11" s="200"/>
      <c r="K11" s="200"/>
      <c r="L11" s="200"/>
      <c r="M11" s="200"/>
      <c r="N11" s="201"/>
      <c r="O11" s="202">
        <v>0.1</v>
      </c>
      <c r="P11" s="200"/>
      <c r="Q11" s="200"/>
      <c r="R11" s="200"/>
      <c r="S11" s="254" t="s">
        <v>15</v>
      </c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6"/>
      <c r="AX11" s="257"/>
      <c r="AY11" s="257"/>
      <c r="AZ11" s="257"/>
      <c r="BA11" s="257"/>
      <c r="BB11" s="257"/>
      <c r="BC11" s="258"/>
      <c r="BD11" s="259"/>
      <c r="BE11" s="257"/>
      <c r="BF11" s="257"/>
      <c r="BG11" s="257"/>
      <c r="BH11" s="257"/>
      <c r="BI11" s="257"/>
      <c r="BJ11" s="258"/>
      <c r="BK11" s="231"/>
    </row>
    <row r="12" spans="1:63" ht="15" customHeight="1" x14ac:dyDescent="0.25">
      <c r="A12" s="230"/>
      <c r="B12" s="212"/>
      <c r="C12" s="213"/>
      <c r="D12" s="213"/>
      <c r="E12" s="213"/>
      <c r="F12" s="213"/>
      <c r="G12" s="214"/>
      <c r="H12" s="212"/>
      <c r="I12" s="213"/>
      <c r="J12" s="213"/>
      <c r="K12" s="213"/>
      <c r="L12" s="213"/>
      <c r="M12" s="213"/>
      <c r="N12" s="214"/>
      <c r="O12" s="212"/>
      <c r="P12" s="213"/>
      <c r="Q12" s="213"/>
      <c r="R12" s="213"/>
      <c r="S12" s="260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2"/>
      <c r="AX12" s="263"/>
      <c r="AY12" s="263"/>
      <c r="AZ12" s="263"/>
      <c r="BA12" s="263"/>
      <c r="BB12" s="263"/>
      <c r="BC12" s="264"/>
      <c r="BD12" s="265"/>
      <c r="BE12" s="263"/>
      <c r="BF12" s="263"/>
      <c r="BG12" s="263"/>
      <c r="BH12" s="263"/>
      <c r="BI12" s="263"/>
      <c r="BJ12" s="264"/>
      <c r="BK12" s="231"/>
    </row>
    <row r="13" spans="1:63" ht="15" customHeight="1" x14ac:dyDescent="0.25">
      <c r="A13" s="230"/>
      <c r="B13" s="206"/>
      <c r="C13" s="200"/>
      <c r="D13" s="200"/>
      <c r="E13" s="200"/>
      <c r="F13" s="200"/>
      <c r="G13" s="201"/>
      <c r="H13" s="202"/>
      <c r="I13" s="200"/>
      <c r="J13" s="200"/>
      <c r="K13" s="200"/>
      <c r="L13" s="200"/>
      <c r="M13" s="200"/>
      <c r="N13" s="201"/>
      <c r="O13" s="202"/>
      <c r="P13" s="200"/>
      <c r="Q13" s="200"/>
      <c r="R13" s="200"/>
      <c r="S13" s="254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6"/>
      <c r="AX13" s="257"/>
      <c r="AY13" s="257"/>
      <c r="AZ13" s="257"/>
      <c r="BA13" s="257"/>
      <c r="BB13" s="257"/>
      <c r="BC13" s="258"/>
      <c r="BD13" s="259"/>
      <c r="BE13" s="257"/>
      <c r="BF13" s="257"/>
      <c r="BG13" s="257"/>
      <c r="BH13" s="257"/>
      <c r="BI13" s="257"/>
      <c r="BJ13" s="258"/>
      <c r="BK13" s="231"/>
    </row>
    <row r="14" spans="1:63" ht="15" customHeight="1" x14ac:dyDescent="0.25">
      <c r="A14" s="230"/>
      <c r="B14" s="212"/>
      <c r="C14" s="213"/>
      <c r="D14" s="213"/>
      <c r="E14" s="213"/>
      <c r="F14" s="213"/>
      <c r="G14" s="214"/>
      <c r="H14" s="212"/>
      <c r="I14" s="213"/>
      <c r="J14" s="213"/>
      <c r="K14" s="213"/>
      <c r="L14" s="213"/>
      <c r="M14" s="213"/>
      <c r="N14" s="214"/>
      <c r="O14" s="212"/>
      <c r="P14" s="213"/>
      <c r="Q14" s="213"/>
      <c r="R14" s="213"/>
      <c r="S14" s="260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2"/>
      <c r="AX14" s="263"/>
      <c r="AY14" s="263"/>
      <c r="AZ14" s="263"/>
      <c r="BA14" s="263"/>
      <c r="BB14" s="263"/>
      <c r="BC14" s="264"/>
      <c r="BD14" s="265"/>
      <c r="BE14" s="263"/>
      <c r="BF14" s="263"/>
      <c r="BG14" s="263"/>
      <c r="BH14" s="263"/>
      <c r="BI14" s="263"/>
      <c r="BJ14" s="264"/>
      <c r="BK14" s="231"/>
    </row>
    <row r="15" spans="1:63" ht="15" customHeight="1" x14ac:dyDescent="0.25">
      <c r="A15" s="230"/>
      <c r="B15" s="202"/>
      <c r="C15" s="200"/>
      <c r="D15" s="200"/>
      <c r="E15" s="200"/>
      <c r="F15" s="200"/>
      <c r="G15" s="201"/>
      <c r="H15" s="202"/>
      <c r="I15" s="200"/>
      <c r="J15" s="200"/>
      <c r="K15" s="200"/>
      <c r="L15" s="200"/>
      <c r="M15" s="200"/>
      <c r="N15" s="201"/>
      <c r="O15" s="202"/>
      <c r="P15" s="200"/>
      <c r="Q15" s="200"/>
      <c r="R15" s="200"/>
      <c r="S15" s="254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6"/>
      <c r="AX15" s="257"/>
      <c r="AY15" s="257"/>
      <c r="AZ15" s="257"/>
      <c r="BA15" s="257"/>
      <c r="BB15" s="257"/>
      <c r="BC15" s="258"/>
      <c r="BD15" s="259"/>
      <c r="BE15" s="257"/>
      <c r="BF15" s="257"/>
      <c r="BG15" s="257"/>
      <c r="BH15" s="257"/>
      <c r="BI15" s="257"/>
      <c r="BJ15" s="258"/>
      <c r="BK15" s="231"/>
    </row>
    <row r="16" spans="1:63" ht="15" customHeight="1" x14ac:dyDescent="0.25">
      <c r="A16" s="230"/>
      <c r="B16" s="212"/>
      <c r="C16" s="213"/>
      <c r="D16" s="213"/>
      <c r="E16" s="213"/>
      <c r="F16" s="213"/>
      <c r="G16" s="214"/>
      <c r="H16" s="212"/>
      <c r="I16" s="213"/>
      <c r="J16" s="213"/>
      <c r="K16" s="213"/>
      <c r="L16" s="213"/>
      <c r="M16" s="213"/>
      <c r="N16" s="214"/>
      <c r="O16" s="212"/>
      <c r="P16" s="213"/>
      <c r="Q16" s="213"/>
      <c r="R16" s="213"/>
      <c r="S16" s="260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2"/>
      <c r="AX16" s="263"/>
      <c r="AY16" s="263"/>
      <c r="AZ16" s="263"/>
      <c r="BA16" s="263"/>
      <c r="BB16" s="263"/>
      <c r="BC16" s="264"/>
      <c r="BD16" s="265"/>
      <c r="BE16" s="263"/>
      <c r="BF16" s="263"/>
      <c r="BG16" s="263"/>
      <c r="BH16" s="263"/>
      <c r="BI16" s="263"/>
      <c r="BJ16" s="264"/>
      <c r="BK16" s="231"/>
    </row>
    <row r="17" spans="1:63" ht="15" customHeight="1" x14ac:dyDescent="0.25">
      <c r="A17" s="230"/>
      <c r="B17" s="202"/>
      <c r="C17" s="200"/>
      <c r="D17" s="200"/>
      <c r="E17" s="200"/>
      <c r="F17" s="200"/>
      <c r="G17" s="201"/>
      <c r="H17" s="202"/>
      <c r="I17" s="200"/>
      <c r="J17" s="200"/>
      <c r="K17" s="200"/>
      <c r="L17" s="200"/>
      <c r="M17" s="200"/>
      <c r="N17" s="201"/>
      <c r="O17" s="202"/>
      <c r="P17" s="200"/>
      <c r="Q17" s="200"/>
      <c r="R17" s="200"/>
      <c r="S17" s="254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6"/>
      <c r="AX17" s="257"/>
      <c r="AY17" s="257"/>
      <c r="AZ17" s="257"/>
      <c r="BA17" s="257"/>
      <c r="BB17" s="257"/>
      <c r="BC17" s="258"/>
      <c r="BD17" s="259"/>
      <c r="BE17" s="257"/>
      <c r="BF17" s="257"/>
      <c r="BG17" s="257"/>
      <c r="BH17" s="257"/>
      <c r="BI17" s="257"/>
      <c r="BJ17" s="258"/>
      <c r="BK17" s="231"/>
    </row>
    <row r="18" spans="1:63" ht="15" customHeight="1" x14ac:dyDescent="0.25">
      <c r="A18" s="230"/>
      <c r="B18" s="212"/>
      <c r="C18" s="213"/>
      <c r="D18" s="213"/>
      <c r="E18" s="213"/>
      <c r="F18" s="213"/>
      <c r="G18" s="214"/>
      <c r="H18" s="212"/>
      <c r="I18" s="213"/>
      <c r="J18" s="213"/>
      <c r="K18" s="213"/>
      <c r="L18" s="213"/>
      <c r="M18" s="213"/>
      <c r="N18" s="214"/>
      <c r="O18" s="212"/>
      <c r="P18" s="213"/>
      <c r="Q18" s="213"/>
      <c r="R18" s="213"/>
      <c r="S18" s="260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2"/>
      <c r="AX18" s="263"/>
      <c r="AY18" s="263"/>
      <c r="AZ18" s="263"/>
      <c r="BA18" s="263"/>
      <c r="BB18" s="263"/>
      <c r="BC18" s="264"/>
      <c r="BD18" s="265"/>
      <c r="BE18" s="263"/>
      <c r="BF18" s="263"/>
      <c r="BG18" s="263"/>
      <c r="BH18" s="263"/>
      <c r="BI18" s="263"/>
      <c r="BJ18" s="264"/>
      <c r="BK18" s="231"/>
    </row>
    <row r="19" spans="1:63" ht="15" customHeight="1" x14ac:dyDescent="0.25">
      <c r="A19" s="230"/>
      <c r="B19" s="202"/>
      <c r="C19" s="200"/>
      <c r="D19" s="200"/>
      <c r="E19" s="200"/>
      <c r="F19" s="200"/>
      <c r="G19" s="201"/>
      <c r="H19" s="202"/>
      <c r="I19" s="200"/>
      <c r="J19" s="200"/>
      <c r="K19" s="200"/>
      <c r="L19" s="200"/>
      <c r="M19" s="200"/>
      <c r="N19" s="201"/>
      <c r="O19" s="202"/>
      <c r="P19" s="200"/>
      <c r="Q19" s="200"/>
      <c r="R19" s="200"/>
      <c r="S19" s="254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6"/>
      <c r="AX19" s="257"/>
      <c r="AY19" s="257"/>
      <c r="AZ19" s="257"/>
      <c r="BA19" s="257"/>
      <c r="BB19" s="257"/>
      <c r="BC19" s="258"/>
      <c r="BD19" s="259"/>
      <c r="BE19" s="257"/>
      <c r="BF19" s="257"/>
      <c r="BG19" s="257"/>
      <c r="BH19" s="257"/>
      <c r="BI19" s="257"/>
      <c r="BJ19" s="258"/>
      <c r="BK19" s="231"/>
    </row>
    <row r="20" spans="1:63" ht="15" customHeight="1" x14ac:dyDescent="0.25">
      <c r="A20" s="230"/>
      <c r="B20" s="212"/>
      <c r="C20" s="213"/>
      <c r="D20" s="213"/>
      <c r="E20" s="213"/>
      <c r="F20" s="213"/>
      <c r="G20" s="214"/>
      <c r="H20" s="212"/>
      <c r="I20" s="213"/>
      <c r="J20" s="213"/>
      <c r="K20" s="213"/>
      <c r="L20" s="213"/>
      <c r="M20" s="213"/>
      <c r="N20" s="214"/>
      <c r="O20" s="212"/>
      <c r="P20" s="213"/>
      <c r="Q20" s="213"/>
      <c r="R20" s="213"/>
      <c r="S20" s="260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2"/>
      <c r="AX20" s="263"/>
      <c r="AY20" s="263"/>
      <c r="AZ20" s="263"/>
      <c r="BA20" s="263"/>
      <c r="BB20" s="263"/>
      <c r="BC20" s="264"/>
      <c r="BD20" s="265"/>
      <c r="BE20" s="263"/>
      <c r="BF20" s="263"/>
      <c r="BG20" s="263"/>
      <c r="BH20" s="263"/>
      <c r="BI20" s="263"/>
      <c r="BJ20" s="264"/>
      <c r="BK20" s="231"/>
    </row>
    <row r="21" spans="1:63" ht="15" customHeight="1" x14ac:dyDescent="0.25">
      <c r="A21" s="230"/>
      <c r="B21" s="202"/>
      <c r="C21" s="200"/>
      <c r="D21" s="200"/>
      <c r="E21" s="200"/>
      <c r="F21" s="200"/>
      <c r="G21" s="201"/>
      <c r="H21" s="202"/>
      <c r="I21" s="200"/>
      <c r="J21" s="200"/>
      <c r="K21" s="200"/>
      <c r="L21" s="200"/>
      <c r="M21" s="200"/>
      <c r="N21" s="201"/>
      <c r="O21" s="202"/>
      <c r="P21" s="200"/>
      <c r="Q21" s="200"/>
      <c r="R21" s="200"/>
      <c r="S21" s="254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6"/>
      <c r="AX21" s="257"/>
      <c r="AY21" s="257"/>
      <c r="AZ21" s="257"/>
      <c r="BA21" s="257"/>
      <c r="BB21" s="257"/>
      <c r="BC21" s="258"/>
      <c r="BD21" s="259"/>
      <c r="BE21" s="257"/>
      <c r="BF21" s="257"/>
      <c r="BG21" s="257"/>
      <c r="BH21" s="257"/>
      <c r="BI21" s="257"/>
      <c r="BJ21" s="258"/>
      <c r="BK21" s="231"/>
    </row>
    <row r="22" spans="1:63" ht="15" customHeight="1" x14ac:dyDescent="0.25">
      <c r="A22" s="230"/>
      <c r="B22" s="212"/>
      <c r="C22" s="213"/>
      <c r="D22" s="213"/>
      <c r="E22" s="213"/>
      <c r="F22" s="213"/>
      <c r="G22" s="214"/>
      <c r="H22" s="212"/>
      <c r="I22" s="213"/>
      <c r="J22" s="213"/>
      <c r="K22" s="213"/>
      <c r="L22" s="213"/>
      <c r="M22" s="213"/>
      <c r="N22" s="214"/>
      <c r="O22" s="212"/>
      <c r="P22" s="213"/>
      <c r="Q22" s="213"/>
      <c r="R22" s="213"/>
      <c r="S22" s="260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2"/>
      <c r="AX22" s="263"/>
      <c r="AY22" s="263"/>
      <c r="AZ22" s="263"/>
      <c r="BA22" s="263"/>
      <c r="BB22" s="263"/>
      <c r="BC22" s="264"/>
      <c r="BD22" s="265"/>
      <c r="BE22" s="263"/>
      <c r="BF22" s="263"/>
      <c r="BG22" s="263"/>
      <c r="BH22" s="263"/>
      <c r="BI22" s="263"/>
      <c r="BJ22" s="264"/>
      <c r="BK22" s="231"/>
    </row>
    <row r="23" spans="1:63" ht="15" customHeight="1" x14ac:dyDescent="0.25">
      <c r="A23" s="230"/>
      <c r="B23" s="202"/>
      <c r="C23" s="200"/>
      <c r="D23" s="200"/>
      <c r="E23" s="200"/>
      <c r="F23" s="200"/>
      <c r="G23" s="201"/>
      <c r="H23" s="202"/>
      <c r="I23" s="200"/>
      <c r="J23" s="200"/>
      <c r="K23" s="200"/>
      <c r="L23" s="200"/>
      <c r="M23" s="200"/>
      <c r="N23" s="201"/>
      <c r="O23" s="202"/>
      <c r="P23" s="200"/>
      <c r="Q23" s="200"/>
      <c r="R23" s="200"/>
      <c r="S23" s="254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6"/>
      <c r="AX23" s="257"/>
      <c r="AY23" s="257"/>
      <c r="AZ23" s="257"/>
      <c r="BA23" s="257"/>
      <c r="BB23" s="257"/>
      <c r="BC23" s="258"/>
      <c r="BD23" s="259"/>
      <c r="BE23" s="257"/>
      <c r="BF23" s="257"/>
      <c r="BG23" s="257"/>
      <c r="BH23" s="257"/>
      <c r="BI23" s="257"/>
      <c r="BJ23" s="258"/>
      <c r="BK23" s="231"/>
    </row>
    <row r="24" spans="1:63" ht="15" customHeight="1" x14ac:dyDescent="0.25">
      <c r="A24" s="230"/>
      <c r="B24" s="212"/>
      <c r="C24" s="213"/>
      <c r="D24" s="213"/>
      <c r="E24" s="213"/>
      <c r="F24" s="213"/>
      <c r="G24" s="214"/>
      <c r="H24" s="212"/>
      <c r="I24" s="213"/>
      <c r="J24" s="213"/>
      <c r="K24" s="213"/>
      <c r="L24" s="213"/>
      <c r="M24" s="213"/>
      <c r="N24" s="214"/>
      <c r="O24" s="212"/>
      <c r="P24" s="213"/>
      <c r="Q24" s="213"/>
      <c r="R24" s="213"/>
      <c r="S24" s="260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2"/>
      <c r="AX24" s="263"/>
      <c r="AY24" s="263"/>
      <c r="AZ24" s="263"/>
      <c r="BA24" s="263"/>
      <c r="BB24" s="263"/>
      <c r="BC24" s="264"/>
      <c r="BD24" s="265"/>
      <c r="BE24" s="263"/>
      <c r="BF24" s="263"/>
      <c r="BG24" s="263"/>
      <c r="BH24" s="263"/>
      <c r="BI24" s="263"/>
      <c r="BJ24" s="264"/>
      <c r="BK24" s="231"/>
    </row>
    <row r="25" spans="1:63" ht="15" customHeight="1" x14ac:dyDescent="0.25">
      <c r="A25" s="230"/>
      <c r="B25" s="202"/>
      <c r="C25" s="200"/>
      <c r="D25" s="200"/>
      <c r="E25" s="200"/>
      <c r="F25" s="200"/>
      <c r="G25" s="201"/>
      <c r="H25" s="202"/>
      <c r="I25" s="200"/>
      <c r="J25" s="200"/>
      <c r="K25" s="200"/>
      <c r="L25" s="200"/>
      <c r="M25" s="200"/>
      <c r="N25" s="201"/>
      <c r="O25" s="202"/>
      <c r="P25" s="200"/>
      <c r="Q25" s="200"/>
      <c r="R25" s="200"/>
      <c r="S25" s="254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6"/>
      <c r="AX25" s="257"/>
      <c r="AY25" s="257"/>
      <c r="AZ25" s="257"/>
      <c r="BA25" s="257"/>
      <c r="BB25" s="257"/>
      <c r="BC25" s="258"/>
      <c r="BD25" s="259"/>
      <c r="BE25" s="257"/>
      <c r="BF25" s="257"/>
      <c r="BG25" s="257"/>
      <c r="BH25" s="257"/>
      <c r="BI25" s="257"/>
      <c r="BJ25" s="258"/>
      <c r="BK25" s="231"/>
    </row>
    <row r="26" spans="1:63" ht="15" customHeight="1" x14ac:dyDescent="0.25">
      <c r="A26" s="230"/>
      <c r="B26" s="212"/>
      <c r="C26" s="213"/>
      <c r="D26" s="213"/>
      <c r="E26" s="213"/>
      <c r="F26" s="213"/>
      <c r="G26" s="214"/>
      <c r="H26" s="212"/>
      <c r="I26" s="213"/>
      <c r="J26" s="213"/>
      <c r="K26" s="213"/>
      <c r="L26" s="213"/>
      <c r="M26" s="213"/>
      <c r="N26" s="214"/>
      <c r="O26" s="212"/>
      <c r="P26" s="213"/>
      <c r="Q26" s="213"/>
      <c r="R26" s="213"/>
      <c r="S26" s="260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2"/>
      <c r="AX26" s="263"/>
      <c r="AY26" s="263"/>
      <c r="AZ26" s="263"/>
      <c r="BA26" s="263"/>
      <c r="BB26" s="263"/>
      <c r="BC26" s="264"/>
      <c r="BD26" s="265"/>
      <c r="BE26" s="263"/>
      <c r="BF26" s="263"/>
      <c r="BG26" s="263"/>
      <c r="BH26" s="263"/>
      <c r="BI26" s="263"/>
      <c r="BJ26" s="264"/>
      <c r="BK26" s="231"/>
    </row>
    <row r="27" spans="1:63" ht="15" customHeight="1" x14ac:dyDescent="0.25">
      <c r="A27" s="230"/>
      <c r="B27" s="202"/>
      <c r="C27" s="200"/>
      <c r="D27" s="200"/>
      <c r="E27" s="200"/>
      <c r="F27" s="200"/>
      <c r="G27" s="201"/>
      <c r="H27" s="202"/>
      <c r="I27" s="200"/>
      <c r="J27" s="200"/>
      <c r="K27" s="200"/>
      <c r="L27" s="200"/>
      <c r="M27" s="200"/>
      <c r="N27" s="201"/>
      <c r="O27" s="202"/>
      <c r="P27" s="200"/>
      <c r="Q27" s="200"/>
      <c r="R27" s="200"/>
      <c r="S27" s="254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6"/>
      <c r="AX27" s="257"/>
      <c r="AY27" s="257"/>
      <c r="AZ27" s="257"/>
      <c r="BA27" s="257"/>
      <c r="BB27" s="257"/>
      <c r="BC27" s="258"/>
      <c r="BD27" s="259"/>
      <c r="BE27" s="257"/>
      <c r="BF27" s="257"/>
      <c r="BG27" s="257"/>
      <c r="BH27" s="257"/>
      <c r="BI27" s="257"/>
      <c r="BJ27" s="258"/>
      <c r="BK27" s="231"/>
    </row>
    <row r="28" spans="1:63" ht="15" customHeight="1" x14ac:dyDescent="0.25">
      <c r="A28" s="230"/>
      <c r="B28" s="212"/>
      <c r="C28" s="213"/>
      <c r="D28" s="213"/>
      <c r="E28" s="213"/>
      <c r="F28" s="213"/>
      <c r="G28" s="214"/>
      <c r="H28" s="212"/>
      <c r="I28" s="213"/>
      <c r="J28" s="213"/>
      <c r="K28" s="213"/>
      <c r="L28" s="213"/>
      <c r="M28" s="213"/>
      <c r="N28" s="214"/>
      <c r="O28" s="212"/>
      <c r="P28" s="213"/>
      <c r="Q28" s="213"/>
      <c r="R28" s="213"/>
      <c r="S28" s="260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2"/>
      <c r="AX28" s="263"/>
      <c r="AY28" s="263"/>
      <c r="AZ28" s="263"/>
      <c r="BA28" s="263"/>
      <c r="BB28" s="263"/>
      <c r="BC28" s="264"/>
      <c r="BD28" s="265"/>
      <c r="BE28" s="263"/>
      <c r="BF28" s="263"/>
      <c r="BG28" s="263"/>
      <c r="BH28" s="263"/>
      <c r="BI28" s="263"/>
      <c r="BJ28" s="264"/>
      <c r="BK28" s="231"/>
    </row>
    <row r="29" spans="1:63" ht="15" customHeight="1" x14ac:dyDescent="0.25">
      <c r="A29" s="230"/>
      <c r="B29" s="202"/>
      <c r="C29" s="200"/>
      <c r="D29" s="200"/>
      <c r="E29" s="200"/>
      <c r="F29" s="200"/>
      <c r="G29" s="201"/>
      <c r="H29" s="202"/>
      <c r="I29" s="200"/>
      <c r="J29" s="200"/>
      <c r="K29" s="200"/>
      <c r="L29" s="200"/>
      <c r="M29" s="200"/>
      <c r="N29" s="201"/>
      <c r="O29" s="202"/>
      <c r="P29" s="200"/>
      <c r="Q29" s="200"/>
      <c r="R29" s="200"/>
      <c r="S29" s="254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6"/>
      <c r="AX29" s="257"/>
      <c r="AY29" s="257"/>
      <c r="AZ29" s="257"/>
      <c r="BA29" s="257"/>
      <c r="BB29" s="257"/>
      <c r="BC29" s="258"/>
      <c r="BD29" s="259"/>
      <c r="BE29" s="257"/>
      <c r="BF29" s="257"/>
      <c r="BG29" s="257"/>
      <c r="BH29" s="257"/>
      <c r="BI29" s="257"/>
      <c r="BJ29" s="258"/>
      <c r="BK29" s="231"/>
    </row>
    <row r="30" spans="1:63" ht="15" customHeight="1" x14ac:dyDescent="0.25">
      <c r="A30" s="230"/>
      <c r="B30" s="212"/>
      <c r="C30" s="213"/>
      <c r="D30" s="213"/>
      <c r="E30" s="213"/>
      <c r="F30" s="213"/>
      <c r="G30" s="214"/>
      <c r="H30" s="212"/>
      <c r="I30" s="213"/>
      <c r="J30" s="213"/>
      <c r="K30" s="213"/>
      <c r="L30" s="213"/>
      <c r="M30" s="213"/>
      <c r="N30" s="214"/>
      <c r="O30" s="212"/>
      <c r="P30" s="213"/>
      <c r="Q30" s="213"/>
      <c r="R30" s="213"/>
      <c r="S30" s="260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2"/>
      <c r="AX30" s="263"/>
      <c r="AY30" s="263"/>
      <c r="AZ30" s="263"/>
      <c r="BA30" s="263"/>
      <c r="BB30" s="263"/>
      <c r="BC30" s="264"/>
      <c r="BD30" s="265"/>
      <c r="BE30" s="263"/>
      <c r="BF30" s="263"/>
      <c r="BG30" s="263"/>
      <c r="BH30" s="263"/>
      <c r="BI30" s="263"/>
      <c r="BJ30" s="264"/>
      <c r="BK30" s="231"/>
    </row>
    <row r="31" spans="1:63" ht="15" customHeight="1" x14ac:dyDescent="0.25">
      <c r="A31" s="230"/>
      <c r="B31" s="202"/>
      <c r="C31" s="200"/>
      <c r="D31" s="200"/>
      <c r="E31" s="200"/>
      <c r="F31" s="200"/>
      <c r="G31" s="201"/>
      <c r="H31" s="202"/>
      <c r="I31" s="200"/>
      <c r="J31" s="200"/>
      <c r="K31" s="200"/>
      <c r="L31" s="200"/>
      <c r="M31" s="200"/>
      <c r="N31" s="201"/>
      <c r="O31" s="202"/>
      <c r="P31" s="200"/>
      <c r="Q31" s="200"/>
      <c r="R31" s="200"/>
      <c r="S31" s="254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6"/>
      <c r="AX31" s="257"/>
      <c r="AY31" s="257"/>
      <c r="AZ31" s="257"/>
      <c r="BA31" s="257"/>
      <c r="BB31" s="257"/>
      <c r="BC31" s="258"/>
      <c r="BD31" s="259"/>
      <c r="BE31" s="257"/>
      <c r="BF31" s="257"/>
      <c r="BG31" s="257"/>
      <c r="BH31" s="257"/>
      <c r="BI31" s="257"/>
      <c r="BJ31" s="258"/>
      <c r="BK31" s="231"/>
    </row>
    <row r="32" spans="1:63" ht="15" customHeight="1" x14ac:dyDescent="0.25">
      <c r="A32" s="230"/>
      <c r="B32" s="212"/>
      <c r="C32" s="213"/>
      <c r="D32" s="213"/>
      <c r="E32" s="213"/>
      <c r="F32" s="213"/>
      <c r="G32" s="214"/>
      <c r="H32" s="212"/>
      <c r="I32" s="213"/>
      <c r="J32" s="213"/>
      <c r="K32" s="213"/>
      <c r="L32" s="213"/>
      <c r="M32" s="213"/>
      <c r="N32" s="214"/>
      <c r="O32" s="212"/>
      <c r="P32" s="213"/>
      <c r="Q32" s="213"/>
      <c r="R32" s="213"/>
      <c r="S32" s="260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2"/>
      <c r="AX32" s="263"/>
      <c r="AY32" s="263"/>
      <c r="AZ32" s="263"/>
      <c r="BA32" s="263"/>
      <c r="BB32" s="263"/>
      <c r="BC32" s="264"/>
      <c r="BD32" s="265"/>
      <c r="BE32" s="263"/>
      <c r="BF32" s="263"/>
      <c r="BG32" s="263"/>
      <c r="BH32" s="263"/>
      <c r="BI32" s="263"/>
      <c r="BJ32" s="264"/>
      <c r="BK32" s="231"/>
    </row>
    <row r="33" spans="1:63" ht="15" customHeight="1" x14ac:dyDescent="0.25">
      <c r="A33" s="230"/>
      <c r="B33" s="202"/>
      <c r="C33" s="200"/>
      <c r="D33" s="200"/>
      <c r="E33" s="200"/>
      <c r="F33" s="200"/>
      <c r="G33" s="201"/>
      <c r="H33" s="202"/>
      <c r="I33" s="200"/>
      <c r="J33" s="200"/>
      <c r="K33" s="200"/>
      <c r="L33" s="200"/>
      <c r="M33" s="200"/>
      <c r="N33" s="201"/>
      <c r="O33" s="202"/>
      <c r="P33" s="200"/>
      <c r="Q33" s="200"/>
      <c r="R33" s="200"/>
      <c r="S33" s="254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6"/>
      <c r="AX33" s="257"/>
      <c r="AY33" s="257"/>
      <c r="AZ33" s="257"/>
      <c r="BA33" s="257"/>
      <c r="BB33" s="257"/>
      <c r="BC33" s="258"/>
      <c r="BD33" s="259"/>
      <c r="BE33" s="257"/>
      <c r="BF33" s="257"/>
      <c r="BG33" s="257"/>
      <c r="BH33" s="257"/>
      <c r="BI33" s="257"/>
      <c r="BJ33" s="258"/>
      <c r="BK33" s="231"/>
    </row>
    <row r="34" spans="1:63" ht="15" customHeight="1" x14ac:dyDescent="0.25">
      <c r="A34" s="230"/>
      <c r="B34" s="212"/>
      <c r="C34" s="213"/>
      <c r="D34" s="213"/>
      <c r="E34" s="213"/>
      <c r="F34" s="213"/>
      <c r="G34" s="214"/>
      <c r="H34" s="212"/>
      <c r="I34" s="213"/>
      <c r="J34" s="213"/>
      <c r="K34" s="213"/>
      <c r="L34" s="213"/>
      <c r="M34" s="213"/>
      <c r="N34" s="214"/>
      <c r="O34" s="212"/>
      <c r="P34" s="213"/>
      <c r="Q34" s="213"/>
      <c r="R34" s="213"/>
      <c r="S34" s="260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2"/>
      <c r="AX34" s="263"/>
      <c r="AY34" s="263"/>
      <c r="AZ34" s="263"/>
      <c r="BA34" s="263"/>
      <c r="BB34" s="263"/>
      <c r="BC34" s="264"/>
      <c r="BD34" s="265"/>
      <c r="BE34" s="263"/>
      <c r="BF34" s="263"/>
      <c r="BG34" s="263"/>
      <c r="BH34" s="263"/>
      <c r="BI34" s="263"/>
      <c r="BJ34" s="264"/>
      <c r="BK34" s="231"/>
    </row>
    <row r="35" spans="1:63" ht="15" customHeight="1" x14ac:dyDescent="0.25">
      <c r="A35" s="230"/>
      <c r="B35" s="202"/>
      <c r="C35" s="200"/>
      <c r="D35" s="200"/>
      <c r="E35" s="200"/>
      <c r="F35" s="200"/>
      <c r="G35" s="201"/>
      <c r="H35" s="202"/>
      <c r="I35" s="200"/>
      <c r="J35" s="200"/>
      <c r="K35" s="200"/>
      <c r="L35" s="200"/>
      <c r="M35" s="200"/>
      <c r="N35" s="201"/>
      <c r="O35" s="202"/>
      <c r="P35" s="200"/>
      <c r="Q35" s="200"/>
      <c r="R35" s="200"/>
      <c r="S35" s="254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6"/>
      <c r="AX35" s="257"/>
      <c r="AY35" s="257"/>
      <c r="AZ35" s="257"/>
      <c r="BA35" s="257"/>
      <c r="BB35" s="257"/>
      <c r="BC35" s="258"/>
      <c r="BD35" s="259"/>
      <c r="BE35" s="257"/>
      <c r="BF35" s="257"/>
      <c r="BG35" s="257"/>
      <c r="BH35" s="257"/>
      <c r="BI35" s="257"/>
      <c r="BJ35" s="258"/>
      <c r="BK35" s="231"/>
    </row>
    <row r="36" spans="1:63" ht="15" customHeight="1" x14ac:dyDescent="0.25">
      <c r="A36" s="230"/>
      <c r="B36" s="212"/>
      <c r="C36" s="213"/>
      <c r="D36" s="213"/>
      <c r="E36" s="213"/>
      <c r="F36" s="213"/>
      <c r="G36" s="214"/>
      <c r="H36" s="212"/>
      <c r="I36" s="213"/>
      <c r="J36" s="213"/>
      <c r="K36" s="213"/>
      <c r="L36" s="213"/>
      <c r="M36" s="213"/>
      <c r="N36" s="214"/>
      <c r="O36" s="212"/>
      <c r="P36" s="213"/>
      <c r="Q36" s="213"/>
      <c r="R36" s="213"/>
      <c r="S36" s="260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2"/>
      <c r="AX36" s="263"/>
      <c r="AY36" s="263"/>
      <c r="AZ36" s="263"/>
      <c r="BA36" s="263"/>
      <c r="BB36" s="263"/>
      <c r="BC36" s="264"/>
      <c r="BD36" s="265"/>
      <c r="BE36" s="263"/>
      <c r="BF36" s="263"/>
      <c r="BG36" s="263"/>
      <c r="BH36" s="263"/>
      <c r="BI36" s="263"/>
      <c r="BJ36" s="264"/>
      <c r="BK36" s="231"/>
    </row>
    <row r="37" spans="1:63" ht="15" customHeight="1" x14ac:dyDescent="0.25">
      <c r="A37" s="230"/>
      <c r="B37" s="202"/>
      <c r="C37" s="200"/>
      <c r="D37" s="200"/>
      <c r="E37" s="200"/>
      <c r="F37" s="200"/>
      <c r="G37" s="201"/>
      <c r="H37" s="202"/>
      <c r="I37" s="200"/>
      <c r="J37" s="200"/>
      <c r="K37" s="200"/>
      <c r="L37" s="200"/>
      <c r="M37" s="200"/>
      <c r="N37" s="201"/>
      <c r="O37" s="202"/>
      <c r="P37" s="200"/>
      <c r="Q37" s="200"/>
      <c r="R37" s="200"/>
      <c r="S37" s="254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6"/>
      <c r="AX37" s="257"/>
      <c r="AY37" s="257"/>
      <c r="AZ37" s="257"/>
      <c r="BA37" s="257"/>
      <c r="BB37" s="257"/>
      <c r="BC37" s="258"/>
      <c r="BD37" s="259"/>
      <c r="BE37" s="257"/>
      <c r="BF37" s="257"/>
      <c r="BG37" s="257"/>
      <c r="BH37" s="257"/>
      <c r="BI37" s="257"/>
      <c r="BJ37" s="258"/>
      <c r="BK37" s="231"/>
    </row>
    <row r="38" spans="1:63" ht="15" customHeight="1" x14ac:dyDescent="0.25">
      <c r="A38" s="230"/>
      <c r="B38" s="212"/>
      <c r="C38" s="213"/>
      <c r="D38" s="213"/>
      <c r="E38" s="213"/>
      <c r="F38" s="213"/>
      <c r="G38" s="214"/>
      <c r="H38" s="212"/>
      <c r="I38" s="213"/>
      <c r="J38" s="213"/>
      <c r="K38" s="213"/>
      <c r="L38" s="213"/>
      <c r="M38" s="213"/>
      <c r="N38" s="214"/>
      <c r="O38" s="212"/>
      <c r="P38" s="213"/>
      <c r="Q38" s="213"/>
      <c r="R38" s="213"/>
      <c r="S38" s="260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2"/>
      <c r="AX38" s="263"/>
      <c r="AY38" s="263"/>
      <c r="AZ38" s="263"/>
      <c r="BA38" s="263"/>
      <c r="BB38" s="263"/>
      <c r="BC38" s="264"/>
      <c r="BD38" s="265"/>
      <c r="BE38" s="263"/>
      <c r="BF38" s="263"/>
      <c r="BG38" s="263"/>
      <c r="BH38" s="263"/>
      <c r="BI38" s="263"/>
      <c r="BJ38" s="264"/>
      <c r="BK38" s="231"/>
    </row>
    <row r="39" spans="1:63" ht="15" customHeight="1" x14ac:dyDescent="0.25">
      <c r="A39" s="230"/>
      <c r="B39" s="202"/>
      <c r="C39" s="200"/>
      <c r="D39" s="200"/>
      <c r="E39" s="200"/>
      <c r="F39" s="200"/>
      <c r="G39" s="201"/>
      <c r="H39" s="202"/>
      <c r="I39" s="200"/>
      <c r="J39" s="200"/>
      <c r="K39" s="200"/>
      <c r="L39" s="200"/>
      <c r="M39" s="200"/>
      <c r="N39" s="201"/>
      <c r="O39" s="202"/>
      <c r="P39" s="200"/>
      <c r="Q39" s="200"/>
      <c r="R39" s="200"/>
      <c r="S39" s="254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6"/>
      <c r="AX39" s="257"/>
      <c r="AY39" s="257"/>
      <c r="AZ39" s="257"/>
      <c r="BA39" s="257"/>
      <c r="BB39" s="257"/>
      <c r="BC39" s="258"/>
      <c r="BD39" s="259"/>
      <c r="BE39" s="257"/>
      <c r="BF39" s="257"/>
      <c r="BG39" s="257"/>
      <c r="BH39" s="257"/>
      <c r="BI39" s="257"/>
      <c r="BJ39" s="258"/>
      <c r="BK39" s="231"/>
    </row>
    <row r="40" spans="1:63" ht="15" customHeight="1" x14ac:dyDescent="0.25">
      <c r="A40" s="230"/>
      <c r="B40" s="212"/>
      <c r="C40" s="213"/>
      <c r="D40" s="213"/>
      <c r="E40" s="213"/>
      <c r="F40" s="213"/>
      <c r="G40" s="214"/>
      <c r="H40" s="212"/>
      <c r="I40" s="213"/>
      <c r="J40" s="213"/>
      <c r="K40" s="213"/>
      <c r="L40" s="213"/>
      <c r="M40" s="213"/>
      <c r="N40" s="214"/>
      <c r="O40" s="212"/>
      <c r="P40" s="213"/>
      <c r="Q40" s="213"/>
      <c r="R40" s="213"/>
      <c r="S40" s="260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  <c r="AV40" s="261"/>
      <c r="AW40" s="262"/>
      <c r="AX40" s="263"/>
      <c r="AY40" s="263"/>
      <c r="AZ40" s="263"/>
      <c r="BA40" s="263"/>
      <c r="BB40" s="263"/>
      <c r="BC40" s="264"/>
      <c r="BD40" s="265"/>
      <c r="BE40" s="263"/>
      <c r="BF40" s="263"/>
      <c r="BG40" s="263"/>
      <c r="BH40" s="263"/>
      <c r="BI40" s="263"/>
      <c r="BJ40" s="264"/>
      <c r="BK40" s="231"/>
    </row>
    <row r="41" spans="1:63" ht="15" customHeight="1" x14ac:dyDescent="0.25">
      <c r="A41" s="230"/>
      <c r="B41" s="202"/>
      <c r="C41" s="200"/>
      <c r="D41" s="200"/>
      <c r="E41" s="200"/>
      <c r="F41" s="200"/>
      <c r="G41" s="201"/>
      <c r="H41" s="202"/>
      <c r="I41" s="200"/>
      <c r="J41" s="200"/>
      <c r="K41" s="200"/>
      <c r="L41" s="200"/>
      <c r="M41" s="200"/>
      <c r="N41" s="201"/>
      <c r="O41" s="202"/>
      <c r="P41" s="200"/>
      <c r="Q41" s="200"/>
      <c r="R41" s="200"/>
      <c r="S41" s="254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6"/>
      <c r="AX41" s="257"/>
      <c r="AY41" s="257"/>
      <c r="AZ41" s="257"/>
      <c r="BA41" s="257"/>
      <c r="BB41" s="257"/>
      <c r="BC41" s="258"/>
      <c r="BD41" s="259"/>
      <c r="BE41" s="257"/>
      <c r="BF41" s="257"/>
      <c r="BG41" s="257"/>
      <c r="BH41" s="257"/>
      <c r="BI41" s="257"/>
      <c r="BJ41" s="258"/>
      <c r="BK41" s="231"/>
    </row>
    <row r="42" spans="1:63" ht="15" customHeight="1" x14ac:dyDescent="0.25">
      <c r="A42" s="230"/>
      <c r="B42" s="212"/>
      <c r="C42" s="213"/>
      <c r="D42" s="213"/>
      <c r="E42" s="213"/>
      <c r="F42" s="213"/>
      <c r="G42" s="214"/>
      <c r="H42" s="212"/>
      <c r="I42" s="213"/>
      <c r="J42" s="213"/>
      <c r="K42" s="213"/>
      <c r="L42" s="213"/>
      <c r="M42" s="213"/>
      <c r="N42" s="214"/>
      <c r="O42" s="212"/>
      <c r="P42" s="213"/>
      <c r="Q42" s="213"/>
      <c r="R42" s="213"/>
      <c r="S42" s="260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  <c r="AV42" s="261"/>
      <c r="AW42" s="262"/>
      <c r="AX42" s="263"/>
      <c r="AY42" s="263"/>
      <c r="AZ42" s="263"/>
      <c r="BA42" s="263"/>
      <c r="BB42" s="263"/>
      <c r="BC42" s="264"/>
      <c r="BD42" s="265"/>
      <c r="BE42" s="263"/>
      <c r="BF42" s="263"/>
      <c r="BG42" s="263"/>
      <c r="BH42" s="263"/>
      <c r="BI42" s="263"/>
      <c r="BJ42" s="264"/>
      <c r="BK42" s="231"/>
    </row>
    <row r="43" spans="1:63" ht="15" customHeight="1" x14ac:dyDescent="0.25">
      <c r="A43" s="230"/>
      <c r="B43" s="202"/>
      <c r="C43" s="200"/>
      <c r="D43" s="200"/>
      <c r="E43" s="200"/>
      <c r="F43" s="200"/>
      <c r="G43" s="201"/>
      <c r="H43" s="202"/>
      <c r="I43" s="200"/>
      <c r="J43" s="200"/>
      <c r="K43" s="200"/>
      <c r="L43" s="200"/>
      <c r="M43" s="200"/>
      <c r="N43" s="201"/>
      <c r="O43" s="202"/>
      <c r="P43" s="200"/>
      <c r="Q43" s="200"/>
      <c r="R43" s="200"/>
      <c r="S43" s="254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6"/>
      <c r="AX43" s="257"/>
      <c r="AY43" s="257"/>
      <c r="AZ43" s="257"/>
      <c r="BA43" s="257"/>
      <c r="BB43" s="257"/>
      <c r="BC43" s="258"/>
      <c r="BD43" s="259"/>
      <c r="BE43" s="257"/>
      <c r="BF43" s="257"/>
      <c r="BG43" s="257"/>
      <c r="BH43" s="257"/>
      <c r="BI43" s="257"/>
      <c r="BJ43" s="258"/>
      <c r="BK43" s="231"/>
    </row>
    <row r="44" spans="1:63" ht="15" customHeight="1" x14ac:dyDescent="0.25">
      <c r="A44" s="230"/>
      <c r="B44" s="212"/>
      <c r="C44" s="213"/>
      <c r="D44" s="213"/>
      <c r="E44" s="213"/>
      <c r="F44" s="213"/>
      <c r="G44" s="214"/>
      <c r="H44" s="212"/>
      <c r="I44" s="213"/>
      <c r="J44" s="213"/>
      <c r="K44" s="213"/>
      <c r="L44" s="213"/>
      <c r="M44" s="213"/>
      <c r="N44" s="214"/>
      <c r="O44" s="212"/>
      <c r="P44" s="213"/>
      <c r="Q44" s="213"/>
      <c r="R44" s="213"/>
      <c r="S44" s="260"/>
      <c r="T44" s="261"/>
      <c r="U44" s="261"/>
      <c r="V44" s="261"/>
      <c r="W44" s="261"/>
      <c r="X44" s="261"/>
      <c r="Y44" s="261"/>
      <c r="Z44" s="261"/>
      <c r="AA44" s="261"/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2"/>
      <c r="AX44" s="263"/>
      <c r="AY44" s="263"/>
      <c r="AZ44" s="263"/>
      <c r="BA44" s="263"/>
      <c r="BB44" s="263"/>
      <c r="BC44" s="264"/>
      <c r="BD44" s="265"/>
      <c r="BE44" s="263"/>
      <c r="BF44" s="263"/>
      <c r="BG44" s="263"/>
      <c r="BH44" s="263"/>
      <c r="BI44" s="263"/>
      <c r="BJ44" s="264"/>
      <c r="BK44" s="231"/>
    </row>
    <row r="45" spans="1:63" ht="15" customHeight="1" x14ac:dyDescent="0.25">
      <c r="A45" s="230"/>
      <c r="B45" s="202"/>
      <c r="C45" s="200"/>
      <c r="D45" s="200"/>
      <c r="E45" s="200"/>
      <c r="F45" s="200"/>
      <c r="G45" s="201"/>
      <c r="H45" s="202"/>
      <c r="I45" s="200"/>
      <c r="J45" s="200"/>
      <c r="K45" s="200"/>
      <c r="L45" s="200"/>
      <c r="M45" s="200"/>
      <c r="N45" s="201"/>
      <c r="O45" s="202"/>
      <c r="P45" s="200"/>
      <c r="Q45" s="200"/>
      <c r="R45" s="200"/>
      <c r="S45" s="254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6"/>
      <c r="AX45" s="257"/>
      <c r="AY45" s="257"/>
      <c r="AZ45" s="257"/>
      <c r="BA45" s="257"/>
      <c r="BB45" s="257"/>
      <c r="BC45" s="258"/>
      <c r="BD45" s="259"/>
      <c r="BE45" s="257"/>
      <c r="BF45" s="257"/>
      <c r="BG45" s="257"/>
      <c r="BH45" s="257"/>
      <c r="BI45" s="257"/>
      <c r="BJ45" s="258"/>
      <c r="BK45" s="231"/>
    </row>
    <row r="46" spans="1:63" ht="15" customHeight="1" x14ac:dyDescent="0.25">
      <c r="A46" s="230"/>
      <c r="B46" s="212"/>
      <c r="C46" s="213"/>
      <c r="D46" s="213"/>
      <c r="E46" s="213"/>
      <c r="F46" s="213"/>
      <c r="G46" s="214"/>
      <c r="H46" s="212"/>
      <c r="I46" s="213"/>
      <c r="J46" s="213"/>
      <c r="K46" s="213"/>
      <c r="L46" s="213"/>
      <c r="M46" s="213"/>
      <c r="N46" s="214"/>
      <c r="O46" s="212"/>
      <c r="P46" s="213"/>
      <c r="Q46" s="213"/>
      <c r="R46" s="213"/>
      <c r="S46" s="260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  <c r="AV46" s="261"/>
      <c r="AW46" s="262"/>
      <c r="AX46" s="263"/>
      <c r="AY46" s="263"/>
      <c r="AZ46" s="263"/>
      <c r="BA46" s="263"/>
      <c r="BB46" s="263"/>
      <c r="BC46" s="264"/>
      <c r="BD46" s="265"/>
      <c r="BE46" s="263"/>
      <c r="BF46" s="263"/>
      <c r="BG46" s="263"/>
      <c r="BH46" s="263"/>
      <c r="BI46" s="263"/>
      <c r="BJ46" s="264"/>
      <c r="BK46" s="231"/>
    </row>
    <row r="47" spans="1:63" ht="15" customHeight="1" x14ac:dyDescent="0.25">
      <c r="A47" s="230"/>
      <c r="B47" s="202"/>
      <c r="C47" s="200"/>
      <c r="D47" s="200"/>
      <c r="E47" s="200"/>
      <c r="F47" s="200"/>
      <c r="G47" s="201"/>
      <c r="H47" s="202"/>
      <c r="I47" s="200"/>
      <c r="J47" s="200"/>
      <c r="K47" s="200"/>
      <c r="L47" s="200"/>
      <c r="M47" s="200"/>
      <c r="N47" s="201"/>
      <c r="O47" s="202"/>
      <c r="P47" s="200"/>
      <c r="Q47" s="200"/>
      <c r="R47" s="200"/>
      <c r="S47" s="254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6"/>
      <c r="AX47" s="257"/>
      <c r="AY47" s="257"/>
      <c r="AZ47" s="257"/>
      <c r="BA47" s="257"/>
      <c r="BB47" s="257"/>
      <c r="BC47" s="258"/>
      <c r="BD47" s="259"/>
      <c r="BE47" s="257"/>
      <c r="BF47" s="257"/>
      <c r="BG47" s="257"/>
      <c r="BH47" s="257"/>
      <c r="BI47" s="257"/>
      <c r="BJ47" s="258"/>
      <c r="BK47" s="231"/>
    </row>
    <row r="48" spans="1:63" ht="15" customHeight="1" x14ac:dyDescent="0.25">
      <c r="A48" s="230"/>
      <c r="B48" s="212"/>
      <c r="C48" s="213"/>
      <c r="D48" s="213"/>
      <c r="E48" s="213"/>
      <c r="F48" s="213"/>
      <c r="G48" s="214"/>
      <c r="H48" s="212"/>
      <c r="I48" s="213"/>
      <c r="J48" s="213"/>
      <c r="K48" s="213"/>
      <c r="L48" s="213"/>
      <c r="M48" s="213"/>
      <c r="N48" s="214"/>
      <c r="O48" s="212"/>
      <c r="P48" s="213"/>
      <c r="Q48" s="213"/>
      <c r="R48" s="213"/>
      <c r="S48" s="260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2"/>
      <c r="AX48" s="263"/>
      <c r="AY48" s="263"/>
      <c r="AZ48" s="263"/>
      <c r="BA48" s="263"/>
      <c r="BB48" s="263"/>
      <c r="BC48" s="264"/>
      <c r="BD48" s="265"/>
      <c r="BE48" s="263"/>
      <c r="BF48" s="263"/>
      <c r="BG48" s="263"/>
      <c r="BH48" s="263"/>
      <c r="BI48" s="263"/>
      <c r="BJ48" s="264"/>
      <c r="BK48" s="231"/>
    </row>
    <row r="49" spans="1:63" ht="15" customHeight="1" x14ac:dyDescent="0.25">
      <c r="A49" s="230"/>
      <c r="B49" s="202"/>
      <c r="C49" s="200"/>
      <c r="D49" s="200"/>
      <c r="E49" s="200"/>
      <c r="F49" s="200"/>
      <c r="G49" s="201"/>
      <c r="H49" s="202"/>
      <c r="I49" s="200"/>
      <c r="J49" s="200"/>
      <c r="K49" s="200"/>
      <c r="L49" s="200"/>
      <c r="M49" s="200"/>
      <c r="N49" s="201"/>
      <c r="O49" s="202"/>
      <c r="P49" s="200"/>
      <c r="Q49" s="200"/>
      <c r="R49" s="200"/>
      <c r="S49" s="254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255"/>
      <c r="AW49" s="256"/>
      <c r="AX49" s="257"/>
      <c r="AY49" s="257"/>
      <c r="AZ49" s="257"/>
      <c r="BA49" s="257"/>
      <c r="BB49" s="257"/>
      <c r="BC49" s="258"/>
      <c r="BD49" s="259"/>
      <c r="BE49" s="257"/>
      <c r="BF49" s="257"/>
      <c r="BG49" s="257"/>
      <c r="BH49" s="257"/>
      <c r="BI49" s="257"/>
      <c r="BJ49" s="258"/>
      <c r="BK49" s="231"/>
    </row>
    <row r="50" spans="1:63" ht="15" customHeight="1" x14ac:dyDescent="0.25">
      <c r="A50" s="230"/>
      <c r="B50" s="212"/>
      <c r="C50" s="213"/>
      <c r="D50" s="213"/>
      <c r="E50" s="213"/>
      <c r="F50" s="213"/>
      <c r="G50" s="214"/>
      <c r="H50" s="212"/>
      <c r="I50" s="213"/>
      <c r="J50" s="213"/>
      <c r="K50" s="213"/>
      <c r="L50" s="213"/>
      <c r="M50" s="213"/>
      <c r="N50" s="214"/>
      <c r="O50" s="212"/>
      <c r="P50" s="213"/>
      <c r="Q50" s="213"/>
      <c r="R50" s="213"/>
      <c r="S50" s="260"/>
      <c r="T50" s="261"/>
      <c r="U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2"/>
      <c r="AX50" s="263"/>
      <c r="AY50" s="263"/>
      <c r="AZ50" s="263"/>
      <c r="BA50" s="263"/>
      <c r="BB50" s="263"/>
      <c r="BC50" s="264"/>
      <c r="BD50" s="265"/>
      <c r="BE50" s="263"/>
      <c r="BF50" s="263"/>
      <c r="BG50" s="263"/>
      <c r="BH50" s="263"/>
      <c r="BI50" s="263"/>
      <c r="BJ50" s="264"/>
      <c r="BK50" s="231"/>
    </row>
    <row r="51" spans="1:63" ht="15" customHeight="1" x14ac:dyDescent="0.25">
      <c r="A51" s="230"/>
      <c r="B51" s="202"/>
      <c r="C51" s="200"/>
      <c r="D51" s="200"/>
      <c r="E51" s="200"/>
      <c r="F51" s="200"/>
      <c r="G51" s="201"/>
      <c r="H51" s="202"/>
      <c r="I51" s="200"/>
      <c r="J51" s="200"/>
      <c r="K51" s="200"/>
      <c r="L51" s="200"/>
      <c r="M51" s="200"/>
      <c r="N51" s="201"/>
      <c r="O51" s="202"/>
      <c r="P51" s="200"/>
      <c r="Q51" s="200"/>
      <c r="R51" s="200"/>
      <c r="S51" s="254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6"/>
      <c r="AX51" s="257"/>
      <c r="AY51" s="257"/>
      <c r="AZ51" s="257"/>
      <c r="BA51" s="257"/>
      <c r="BB51" s="257"/>
      <c r="BC51" s="258"/>
      <c r="BD51" s="259"/>
      <c r="BE51" s="257"/>
      <c r="BF51" s="257"/>
      <c r="BG51" s="257"/>
      <c r="BH51" s="257"/>
      <c r="BI51" s="257"/>
      <c r="BJ51" s="258"/>
      <c r="BK51" s="231"/>
    </row>
    <row r="52" spans="1:63" ht="15" customHeight="1" x14ac:dyDescent="0.25">
      <c r="A52" s="230"/>
      <c r="B52" s="212"/>
      <c r="C52" s="213"/>
      <c r="D52" s="213"/>
      <c r="E52" s="213"/>
      <c r="F52" s="213"/>
      <c r="G52" s="214"/>
      <c r="H52" s="212"/>
      <c r="I52" s="213"/>
      <c r="J52" s="213"/>
      <c r="K52" s="213"/>
      <c r="L52" s="213"/>
      <c r="M52" s="213"/>
      <c r="N52" s="214"/>
      <c r="O52" s="212"/>
      <c r="P52" s="213"/>
      <c r="Q52" s="213"/>
      <c r="R52" s="213"/>
      <c r="S52" s="260"/>
      <c r="T52" s="261"/>
      <c r="U52" s="261"/>
      <c r="V52" s="261"/>
      <c r="W52" s="261"/>
      <c r="X52" s="261"/>
      <c r="Y52" s="261"/>
      <c r="Z52" s="261"/>
      <c r="AA52" s="261"/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1"/>
      <c r="AW52" s="262"/>
      <c r="AX52" s="263"/>
      <c r="AY52" s="263"/>
      <c r="AZ52" s="263"/>
      <c r="BA52" s="263"/>
      <c r="BB52" s="263"/>
      <c r="BC52" s="264"/>
      <c r="BD52" s="265"/>
      <c r="BE52" s="263"/>
      <c r="BF52" s="263"/>
      <c r="BG52" s="263"/>
      <c r="BH52" s="263"/>
      <c r="BI52" s="263"/>
      <c r="BJ52" s="264"/>
      <c r="BK52" s="231"/>
    </row>
    <row r="53" spans="1:63" ht="15" customHeight="1" x14ac:dyDescent="0.25">
      <c r="A53" s="230"/>
      <c r="B53" s="202"/>
      <c r="C53" s="200"/>
      <c r="D53" s="200"/>
      <c r="E53" s="200"/>
      <c r="F53" s="200"/>
      <c r="G53" s="201"/>
      <c r="H53" s="202"/>
      <c r="I53" s="200"/>
      <c r="J53" s="200"/>
      <c r="K53" s="200"/>
      <c r="L53" s="200"/>
      <c r="M53" s="200"/>
      <c r="N53" s="201"/>
      <c r="O53" s="202"/>
      <c r="P53" s="200"/>
      <c r="Q53" s="200"/>
      <c r="R53" s="200"/>
      <c r="S53" s="254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6"/>
      <c r="AX53" s="257"/>
      <c r="AY53" s="257"/>
      <c r="AZ53" s="257"/>
      <c r="BA53" s="257"/>
      <c r="BB53" s="257"/>
      <c r="BC53" s="258"/>
      <c r="BD53" s="259"/>
      <c r="BE53" s="257"/>
      <c r="BF53" s="257"/>
      <c r="BG53" s="257"/>
      <c r="BH53" s="257"/>
      <c r="BI53" s="257"/>
      <c r="BJ53" s="258"/>
      <c r="BK53" s="231"/>
    </row>
    <row r="54" spans="1:63" ht="15" customHeight="1" x14ac:dyDescent="0.25">
      <c r="A54" s="230"/>
      <c r="B54" s="212"/>
      <c r="C54" s="213"/>
      <c r="D54" s="213"/>
      <c r="E54" s="213"/>
      <c r="F54" s="213"/>
      <c r="G54" s="214"/>
      <c r="H54" s="212"/>
      <c r="I54" s="213"/>
      <c r="J54" s="213"/>
      <c r="K54" s="213"/>
      <c r="L54" s="213"/>
      <c r="M54" s="213"/>
      <c r="N54" s="214"/>
      <c r="O54" s="212"/>
      <c r="P54" s="213"/>
      <c r="Q54" s="213"/>
      <c r="R54" s="213"/>
      <c r="S54" s="260"/>
      <c r="T54" s="261"/>
      <c r="U54" s="261"/>
      <c r="V54" s="261"/>
      <c r="W54" s="261"/>
      <c r="X54" s="261"/>
      <c r="Y54" s="261"/>
      <c r="Z54" s="261"/>
      <c r="AA54" s="261"/>
      <c r="AB54" s="261"/>
      <c r="AC54" s="261"/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  <c r="AT54" s="261"/>
      <c r="AU54" s="261"/>
      <c r="AV54" s="261"/>
      <c r="AW54" s="262"/>
      <c r="AX54" s="263"/>
      <c r="AY54" s="263"/>
      <c r="AZ54" s="263"/>
      <c r="BA54" s="263"/>
      <c r="BB54" s="263"/>
      <c r="BC54" s="264"/>
      <c r="BD54" s="265"/>
      <c r="BE54" s="263"/>
      <c r="BF54" s="263"/>
      <c r="BG54" s="263"/>
      <c r="BH54" s="263"/>
      <c r="BI54" s="263"/>
      <c r="BJ54" s="264"/>
      <c r="BK54" s="231"/>
    </row>
    <row r="55" spans="1:63" ht="15" customHeight="1" x14ac:dyDescent="0.25">
      <c r="A55" s="227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55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66" customWidth="1"/>
    <col min="64" max="16384" width="8.88671875" style="266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267" t="str">
        <f>IF(表紙!A2="","",表紙!A2)</f>
        <v>POSサーバー</v>
      </c>
      <c r="B2" s="268"/>
      <c r="C2" s="268"/>
      <c r="D2" s="268"/>
      <c r="E2" s="268"/>
      <c r="F2" s="268"/>
      <c r="G2" s="268"/>
      <c r="H2" s="268"/>
      <c r="I2" s="268"/>
      <c r="J2" s="269"/>
      <c r="K2" s="267" t="str">
        <f>IF(表紙!K2="","",表紙!K2)</f>
        <v>POSサーバー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9"/>
      <c r="W2" s="1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6"/>
      <c r="AP2" s="267" t="str">
        <f>IF(表紙!AP2="","",表紙!AP2)</f>
        <v>AnhNM</v>
      </c>
      <c r="AQ2" s="268"/>
      <c r="AR2" s="268"/>
      <c r="AS2" s="269"/>
      <c r="AT2" s="270">
        <v>45084</v>
      </c>
      <c r="AU2" s="271"/>
      <c r="AV2" s="271"/>
      <c r="AW2" s="271"/>
      <c r="AX2" s="272"/>
      <c r="AY2" s="267" t="str">
        <f>IF(表紙!AY2="","",表紙!AY2)</f>
        <v>AnhNM</v>
      </c>
      <c r="AZ2" s="268"/>
      <c r="BA2" s="268"/>
      <c r="BB2" s="269"/>
      <c r="BC2" s="270">
        <f>IF(表紙!BC2="","",表紙!BC2)</f>
        <v>45416</v>
      </c>
      <c r="BD2" s="271"/>
      <c r="BE2" s="271"/>
      <c r="BF2" s="271"/>
      <c r="BG2" s="272"/>
      <c r="BH2" s="267">
        <f>IF(表紙!BH2="","",表紙!BH2)</f>
        <v>0.1</v>
      </c>
      <c r="BI2" s="268"/>
      <c r="BJ2" s="268"/>
      <c r="BK2" s="269"/>
    </row>
    <row r="3" spans="1:63" ht="15" customHeight="1" x14ac:dyDescent="0.25">
      <c r="A3" s="273"/>
      <c r="B3" s="274"/>
      <c r="C3" s="274"/>
      <c r="D3" s="274"/>
      <c r="E3" s="274"/>
      <c r="F3" s="274"/>
      <c r="G3" s="274"/>
      <c r="H3" s="274"/>
      <c r="I3" s="274"/>
      <c r="J3" s="275"/>
      <c r="K3" s="273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5"/>
      <c r="W3" s="47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9"/>
      <c r="AP3" s="273"/>
      <c r="AQ3" s="274"/>
      <c r="AR3" s="274"/>
      <c r="AS3" s="275"/>
      <c r="AT3" s="276"/>
      <c r="AU3" s="277"/>
      <c r="AV3" s="277"/>
      <c r="AW3" s="277"/>
      <c r="AX3" s="278"/>
      <c r="AY3" s="273"/>
      <c r="AZ3" s="274"/>
      <c r="BA3" s="274"/>
      <c r="BB3" s="275"/>
      <c r="BC3" s="276"/>
      <c r="BD3" s="277"/>
      <c r="BE3" s="277"/>
      <c r="BF3" s="277"/>
      <c r="BG3" s="278"/>
      <c r="BH3" s="273"/>
      <c r="BI3" s="274"/>
      <c r="BJ3" s="274"/>
      <c r="BK3" s="275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279" t="str">
        <f>IF(表紙!H4="","",表紙!H4)</f>
        <v>11_部門別売上速報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1"/>
      <c r="U4" s="14" t="s">
        <v>8</v>
      </c>
      <c r="V4" s="13"/>
      <c r="W4" s="13"/>
      <c r="X4" s="13"/>
      <c r="Y4" s="12"/>
      <c r="Z4" s="279" t="str">
        <f>IF(表紙!Z4="","",表紙!Z4)</f>
        <v>概要設計書</v>
      </c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1"/>
      <c r="AP4" s="279" t="str">
        <f t="array" aca="1" ref="AP4" ca="1">RIGHT(CELL("filename",$A$1),LEN(CELL("filename",$A$1))-FIND("]",CELL("filename",$A$1)))</f>
        <v>業務フロー凡例</v>
      </c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1"/>
    </row>
    <row r="5" spans="1:63" ht="5.0999999999999996" customHeight="1" x14ac:dyDescent="0.25">
      <c r="A5" s="282"/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83"/>
      <c r="AO5" s="283"/>
      <c r="AP5" s="283"/>
      <c r="AQ5" s="283"/>
      <c r="AR5" s="283"/>
      <c r="AS5" s="283"/>
      <c r="AT5" s="283"/>
      <c r="AU5" s="283"/>
      <c r="AV5" s="283"/>
      <c r="AW5" s="283"/>
      <c r="AX5" s="283"/>
      <c r="AY5" s="283"/>
      <c r="AZ5" s="283"/>
      <c r="BA5" s="283"/>
      <c r="BB5" s="283"/>
      <c r="BC5" s="283"/>
      <c r="BD5" s="283"/>
      <c r="BE5" s="283"/>
      <c r="BF5" s="283"/>
      <c r="BG5" s="283"/>
      <c r="BH5" s="283"/>
      <c r="BI5" s="283"/>
      <c r="BJ5" s="283"/>
      <c r="BK5" s="284"/>
    </row>
    <row r="6" spans="1:63" ht="15" customHeight="1" x14ac:dyDescent="0.25">
      <c r="A6" s="285"/>
      <c r="B6" s="286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286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8"/>
      <c r="BJ6" s="287"/>
      <c r="BK6" s="289"/>
    </row>
    <row r="7" spans="1:63" ht="15" customHeight="1" x14ac:dyDescent="0.25">
      <c r="A7" s="285"/>
      <c r="B7" s="24" t="s">
        <v>12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5"/>
      <c r="AF7" s="24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5"/>
      <c r="BJ7" s="22"/>
      <c r="BK7" s="289"/>
    </row>
    <row r="8" spans="1:63" ht="15" customHeight="1" x14ac:dyDescent="0.25">
      <c r="A8" s="285"/>
      <c r="B8" s="286"/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8"/>
      <c r="AF8" s="286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B8" s="287"/>
      <c r="BC8" s="287"/>
      <c r="BD8" s="287"/>
      <c r="BE8" s="287"/>
      <c r="BF8" s="287"/>
      <c r="BG8" s="287"/>
      <c r="BH8" s="287"/>
      <c r="BI8" s="288"/>
      <c r="BJ8" s="287"/>
      <c r="BK8" s="289"/>
    </row>
    <row r="9" spans="1:63" ht="15" customHeight="1" x14ac:dyDescent="0.25">
      <c r="A9" s="285"/>
      <c r="B9" s="286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8"/>
      <c r="AF9" s="286"/>
      <c r="AG9" s="287"/>
      <c r="AH9" s="287"/>
      <c r="AI9" s="287"/>
      <c r="AJ9" s="287"/>
      <c r="AK9" s="287"/>
      <c r="AL9" s="287"/>
      <c r="AM9" s="287"/>
      <c r="AN9" s="287"/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287"/>
      <c r="BA9" s="287"/>
      <c r="BB9" s="287"/>
      <c r="BC9" s="287"/>
      <c r="BD9" s="287"/>
      <c r="BE9" s="287"/>
      <c r="BF9" s="287"/>
      <c r="BG9" s="287"/>
      <c r="BH9" s="287"/>
      <c r="BI9" s="288"/>
      <c r="BJ9" s="287"/>
      <c r="BK9" s="289"/>
    </row>
    <row r="10" spans="1:63" ht="15" customHeight="1" x14ac:dyDescent="0.25">
      <c r="A10" s="285"/>
      <c r="B10" s="286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8"/>
      <c r="AF10" s="286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8"/>
      <c r="BJ10" s="287"/>
      <c r="BK10" s="289"/>
    </row>
    <row r="11" spans="1:63" ht="15" customHeight="1" x14ac:dyDescent="0.25">
      <c r="A11" s="285"/>
      <c r="B11" s="286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8"/>
      <c r="AF11" s="286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8"/>
      <c r="BJ11" s="287"/>
      <c r="BK11" s="289"/>
    </row>
    <row r="12" spans="1:63" ht="15" customHeight="1" x14ac:dyDescent="0.25">
      <c r="A12" s="285"/>
      <c r="B12" s="286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8"/>
      <c r="AF12" s="286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8"/>
      <c r="BJ12" s="287"/>
      <c r="BK12" s="289"/>
    </row>
    <row r="13" spans="1:63" ht="15" customHeight="1" x14ac:dyDescent="0.25">
      <c r="A13" s="285"/>
      <c r="B13" s="286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8"/>
      <c r="AF13" s="286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8"/>
      <c r="BJ13" s="287"/>
      <c r="BK13" s="289"/>
    </row>
    <row r="14" spans="1:63" ht="15" customHeight="1" x14ac:dyDescent="0.25">
      <c r="A14" s="285"/>
      <c r="B14" s="286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8"/>
      <c r="AF14" s="286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8"/>
      <c r="BJ14" s="287"/>
      <c r="BK14" s="289"/>
    </row>
    <row r="15" spans="1:63" ht="15" customHeight="1" x14ac:dyDescent="0.25">
      <c r="A15" s="285"/>
      <c r="B15" s="286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8"/>
      <c r="AF15" s="286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8"/>
      <c r="BJ15" s="287"/>
      <c r="BK15" s="289"/>
    </row>
    <row r="16" spans="1:63" ht="15" customHeight="1" x14ac:dyDescent="0.25">
      <c r="A16" s="285"/>
      <c r="B16" s="286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8"/>
      <c r="AF16" s="286"/>
      <c r="AG16" s="287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287"/>
      <c r="AV16" s="287"/>
      <c r="AW16" s="287"/>
      <c r="AX16" s="287"/>
      <c r="AY16" s="287"/>
      <c r="AZ16" s="287"/>
      <c r="BA16" s="287"/>
      <c r="BB16" s="287"/>
      <c r="BC16" s="287"/>
      <c r="BD16" s="287"/>
      <c r="BE16" s="287"/>
      <c r="BF16" s="287"/>
      <c r="BG16" s="287"/>
      <c r="BH16" s="287"/>
      <c r="BI16" s="288"/>
      <c r="BJ16" s="287"/>
      <c r="BK16" s="289"/>
    </row>
    <row r="17" spans="1:63" ht="15" customHeight="1" x14ac:dyDescent="0.25">
      <c r="A17" s="285"/>
      <c r="B17" s="286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8"/>
      <c r="AF17" s="286"/>
      <c r="AG17" s="287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287"/>
      <c r="BA17" s="287"/>
      <c r="BB17" s="287"/>
      <c r="BC17" s="287"/>
      <c r="BD17" s="287"/>
      <c r="BE17" s="287"/>
      <c r="BF17" s="287"/>
      <c r="BG17" s="287"/>
      <c r="BH17" s="287"/>
      <c r="BI17" s="288"/>
      <c r="BJ17" s="287"/>
      <c r="BK17" s="289"/>
    </row>
    <row r="18" spans="1:63" ht="15" customHeight="1" x14ac:dyDescent="0.25">
      <c r="A18" s="285"/>
      <c r="B18" s="286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8"/>
      <c r="AF18" s="286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8"/>
      <c r="BJ18" s="287"/>
      <c r="BK18" s="289"/>
    </row>
    <row r="19" spans="1:63" ht="15" customHeight="1" x14ac:dyDescent="0.25">
      <c r="A19" s="285"/>
      <c r="B19" s="286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8"/>
      <c r="AF19" s="286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8"/>
      <c r="BJ19" s="287"/>
      <c r="BK19" s="289"/>
    </row>
    <row r="20" spans="1:63" ht="15" customHeight="1" x14ac:dyDescent="0.25">
      <c r="A20" s="285"/>
      <c r="B20" s="286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8"/>
      <c r="AF20" s="286"/>
      <c r="AG20" s="287"/>
      <c r="AH20" s="287"/>
      <c r="AI20" s="287"/>
      <c r="AJ20" s="287"/>
      <c r="AK20" s="287"/>
      <c r="AL20" s="287"/>
      <c r="AM20" s="287"/>
      <c r="AN20" s="287"/>
      <c r="AO20" s="287"/>
      <c r="AP20" s="287"/>
      <c r="AQ20" s="287"/>
      <c r="AR20" s="287"/>
      <c r="AS20" s="287"/>
      <c r="AT20" s="287"/>
      <c r="AU20" s="287"/>
      <c r="AV20" s="287"/>
      <c r="AW20" s="287"/>
      <c r="AX20" s="287"/>
      <c r="AY20" s="287"/>
      <c r="AZ20" s="287"/>
      <c r="BA20" s="287"/>
      <c r="BB20" s="287"/>
      <c r="BC20" s="287"/>
      <c r="BD20" s="287"/>
      <c r="BE20" s="287"/>
      <c r="BF20" s="287"/>
      <c r="BG20" s="287"/>
      <c r="BH20" s="287"/>
      <c r="BI20" s="288"/>
      <c r="BJ20" s="287"/>
      <c r="BK20" s="289"/>
    </row>
    <row r="21" spans="1:63" ht="15" customHeight="1" x14ac:dyDescent="0.25">
      <c r="A21" s="285"/>
      <c r="B21" s="286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8"/>
      <c r="AF21" s="286"/>
      <c r="AG21" s="287"/>
      <c r="AH21" s="287"/>
      <c r="AI21" s="287"/>
      <c r="AJ21" s="287"/>
      <c r="AK21" s="287"/>
      <c r="AL21" s="287"/>
      <c r="AM21" s="287"/>
      <c r="AN21" s="287"/>
      <c r="AO21" s="287"/>
      <c r="AP21" s="287"/>
      <c r="AQ21" s="287"/>
      <c r="AR21" s="287"/>
      <c r="AS21" s="287"/>
      <c r="AT21" s="287"/>
      <c r="AU21" s="287"/>
      <c r="AV21" s="287"/>
      <c r="AW21" s="287"/>
      <c r="AX21" s="287"/>
      <c r="AY21" s="287"/>
      <c r="AZ21" s="287"/>
      <c r="BA21" s="287"/>
      <c r="BB21" s="287"/>
      <c r="BC21" s="287"/>
      <c r="BD21" s="287"/>
      <c r="BE21" s="287"/>
      <c r="BF21" s="287"/>
      <c r="BG21" s="287"/>
      <c r="BH21" s="287"/>
      <c r="BI21" s="288"/>
      <c r="BJ21" s="287"/>
      <c r="BK21" s="289"/>
    </row>
    <row r="22" spans="1:63" ht="15" customHeight="1" x14ac:dyDescent="0.25">
      <c r="A22" s="285"/>
      <c r="B22" s="24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5"/>
      <c r="AF22" s="24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5"/>
      <c r="BJ22" s="22"/>
      <c r="BK22" s="289"/>
    </row>
    <row r="23" spans="1:63" ht="15" customHeight="1" x14ac:dyDescent="0.25">
      <c r="A23" s="285"/>
      <c r="B23" s="286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8"/>
      <c r="AF23" s="286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/>
      <c r="AU23" s="287"/>
      <c r="AV23" s="287"/>
      <c r="AW23" s="287"/>
      <c r="AX23" s="287"/>
      <c r="AY23" s="287"/>
      <c r="AZ23" s="287"/>
      <c r="BA23" s="287"/>
      <c r="BB23" s="287"/>
      <c r="BC23" s="287"/>
      <c r="BD23" s="287"/>
      <c r="BE23" s="287"/>
      <c r="BF23" s="287"/>
      <c r="BG23" s="287"/>
      <c r="BH23" s="287"/>
      <c r="BI23" s="288"/>
      <c r="BJ23" s="287"/>
      <c r="BK23" s="289"/>
    </row>
    <row r="24" spans="1:63" ht="15" customHeight="1" x14ac:dyDescent="0.25">
      <c r="A24" s="285"/>
      <c r="B24" s="286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8"/>
      <c r="AF24" s="286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87"/>
      <c r="AZ24" s="287"/>
      <c r="BA24" s="287"/>
      <c r="BB24" s="287"/>
      <c r="BC24" s="287"/>
      <c r="BD24" s="287"/>
      <c r="BE24" s="287"/>
      <c r="BF24" s="287"/>
      <c r="BG24" s="287"/>
      <c r="BH24" s="287"/>
      <c r="BI24" s="288"/>
      <c r="BJ24" s="287"/>
      <c r="BK24" s="289"/>
    </row>
    <row r="25" spans="1:63" ht="15" customHeight="1" x14ac:dyDescent="0.25">
      <c r="A25" s="285"/>
      <c r="B25" s="286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8"/>
      <c r="AF25" s="286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8"/>
      <c r="BJ25" s="287"/>
      <c r="BK25" s="289"/>
    </row>
    <row r="26" spans="1:63" ht="15" customHeight="1" x14ac:dyDescent="0.25">
      <c r="A26" s="285"/>
      <c r="B26" s="286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8"/>
      <c r="AF26" s="286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8"/>
      <c r="BJ26" s="287"/>
      <c r="BK26" s="289"/>
    </row>
    <row r="27" spans="1:63" ht="15" customHeight="1" x14ac:dyDescent="0.25">
      <c r="A27" s="285"/>
      <c r="B27" s="286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8"/>
      <c r="AF27" s="286"/>
      <c r="AG27" s="287"/>
      <c r="AH27" s="287"/>
      <c r="AI27" s="287"/>
      <c r="AJ27" s="287"/>
      <c r="AK27" s="287"/>
      <c r="AL27" s="287"/>
      <c r="AM27" s="287"/>
      <c r="AN27" s="287"/>
      <c r="AO27" s="287"/>
      <c r="AP27" s="287"/>
      <c r="AQ27" s="287"/>
      <c r="AR27" s="287"/>
      <c r="AS27" s="287"/>
      <c r="AT27" s="287"/>
      <c r="AU27" s="287"/>
      <c r="AV27" s="287"/>
      <c r="AW27" s="287"/>
      <c r="AX27" s="287"/>
      <c r="AY27" s="287"/>
      <c r="AZ27" s="287"/>
      <c r="BA27" s="287"/>
      <c r="BB27" s="287"/>
      <c r="BC27" s="287"/>
      <c r="BD27" s="287"/>
      <c r="BE27" s="287"/>
      <c r="BF27" s="287"/>
      <c r="BG27" s="287"/>
      <c r="BH27" s="287"/>
      <c r="BI27" s="288"/>
      <c r="BJ27" s="287"/>
      <c r="BK27" s="289"/>
    </row>
    <row r="28" spans="1:63" ht="15" customHeight="1" x14ac:dyDescent="0.25">
      <c r="A28" s="285"/>
      <c r="B28" s="286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8"/>
      <c r="AF28" s="286"/>
      <c r="AG28" s="287"/>
      <c r="AH28" s="287"/>
      <c r="AI28" s="287"/>
      <c r="AJ28" s="287"/>
      <c r="AK28" s="287"/>
      <c r="AL28" s="287"/>
      <c r="AM28" s="287"/>
      <c r="AN28" s="287"/>
      <c r="AO28" s="287"/>
      <c r="AP28" s="287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8"/>
      <c r="BJ28" s="287"/>
      <c r="BK28" s="289"/>
    </row>
    <row r="29" spans="1:63" ht="15" customHeight="1" x14ac:dyDescent="0.25">
      <c r="A29" s="285"/>
      <c r="B29" s="286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8"/>
      <c r="AF29" s="286"/>
      <c r="AG29" s="287"/>
      <c r="AH29" s="287"/>
      <c r="AI29" s="287"/>
      <c r="AJ29" s="287"/>
      <c r="AK29" s="287"/>
      <c r="AL29" s="287"/>
      <c r="AM29" s="287"/>
      <c r="AN29" s="287"/>
      <c r="AO29" s="287"/>
      <c r="AP29" s="287"/>
      <c r="AQ29" s="287"/>
      <c r="AR29" s="287"/>
      <c r="AS29" s="287"/>
      <c r="AT29" s="287"/>
      <c r="AU29" s="287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7"/>
      <c r="BH29" s="287"/>
      <c r="BI29" s="288"/>
      <c r="BJ29" s="287"/>
      <c r="BK29" s="289"/>
    </row>
    <row r="30" spans="1:63" ht="15" customHeight="1" x14ac:dyDescent="0.25">
      <c r="A30" s="285"/>
      <c r="B30" s="286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8"/>
      <c r="AF30" s="286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  <c r="AS30" s="287"/>
      <c r="AT30" s="287"/>
      <c r="AU30" s="287"/>
      <c r="AV30" s="287"/>
      <c r="AW30" s="287"/>
      <c r="AX30" s="287"/>
      <c r="AY30" s="287"/>
      <c r="AZ30" s="287"/>
      <c r="BA30" s="287"/>
      <c r="BB30" s="287"/>
      <c r="BC30" s="287"/>
      <c r="BD30" s="287"/>
      <c r="BE30" s="287"/>
      <c r="BF30" s="287"/>
      <c r="BG30" s="287"/>
      <c r="BH30" s="287"/>
      <c r="BI30" s="288"/>
      <c r="BJ30" s="287"/>
      <c r="BK30" s="289"/>
    </row>
    <row r="31" spans="1:63" ht="15" customHeight="1" x14ac:dyDescent="0.25">
      <c r="A31" s="285"/>
      <c r="B31" s="286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8"/>
      <c r="AF31" s="286"/>
      <c r="AG31" s="287"/>
      <c r="AH31" s="287"/>
      <c r="AI31" s="287"/>
      <c r="AJ31" s="287"/>
      <c r="AK31" s="287"/>
      <c r="AL31" s="287"/>
      <c r="AM31" s="287"/>
      <c r="AN31" s="287"/>
      <c r="AO31" s="287"/>
      <c r="AP31" s="287"/>
      <c r="AQ31" s="287"/>
      <c r="AR31" s="287"/>
      <c r="AS31" s="287"/>
      <c r="AT31" s="287"/>
      <c r="AU31" s="287"/>
      <c r="AV31" s="287"/>
      <c r="AW31" s="287"/>
      <c r="AX31" s="287"/>
      <c r="AY31" s="287"/>
      <c r="AZ31" s="287"/>
      <c r="BA31" s="287"/>
      <c r="BB31" s="287"/>
      <c r="BC31" s="287"/>
      <c r="BD31" s="287"/>
      <c r="BE31" s="287"/>
      <c r="BF31" s="287"/>
      <c r="BG31" s="287"/>
      <c r="BH31" s="287"/>
      <c r="BI31" s="288"/>
      <c r="BJ31" s="287"/>
      <c r="BK31" s="289"/>
    </row>
    <row r="32" spans="1:63" ht="15" customHeight="1" x14ac:dyDescent="0.25">
      <c r="A32" s="285"/>
      <c r="B32" s="286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8"/>
      <c r="AF32" s="286"/>
      <c r="AG32" s="287"/>
      <c r="AH32" s="287"/>
      <c r="AI32" s="287"/>
      <c r="AJ32" s="287"/>
      <c r="AK32" s="287"/>
      <c r="AL32" s="287"/>
      <c r="AM32" s="287"/>
      <c r="AN32" s="287"/>
      <c r="AO32" s="287"/>
      <c r="AP32" s="287"/>
      <c r="AQ32" s="287"/>
      <c r="AR32" s="287"/>
      <c r="AS32" s="287"/>
      <c r="AT32" s="287"/>
      <c r="AU32" s="287"/>
      <c r="AV32" s="287"/>
      <c r="AW32" s="287"/>
      <c r="AX32" s="287"/>
      <c r="AY32" s="287"/>
      <c r="AZ32" s="287"/>
      <c r="BA32" s="287"/>
      <c r="BB32" s="287"/>
      <c r="BC32" s="287"/>
      <c r="BD32" s="287"/>
      <c r="BE32" s="287"/>
      <c r="BF32" s="287"/>
      <c r="BG32" s="287"/>
      <c r="BH32" s="287"/>
      <c r="BI32" s="288"/>
      <c r="BJ32" s="287"/>
      <c r="BK32" s="289"/>
    </row>
    <row r="33" spans="1:63" ht="15" customHeight="1" x14ac:dyDescent="0.25">
      <c r="A33" s="285"/>
      <c r="B33" s="286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87"/>
      <c r="AB33" s="287"/>
      <c r="AC33" s="287"/>
      <c r="AD33" s="287"/>
      <c r="AE33" s="288"/>
      <c r="AF33" s="286"/>
      <c r="AG33" s="287"/>
      <c r="AH33" s="287"/>
      <c r="AI33" s="287"/>
      <c r="AJ33" s="287"/>
      <c r="AK33" s="287"/>
      <c r="AL33" s="287"/>
      <c r="AM33" s="287"/>
      <c r="AN33" s="287"/>
      <c r="AO33" s="287"/>
      <c r="AP33" s="287"/>
      <c r="AQ33" s="287"/>
      <c r="AR33" s="287"/>
      <c r="AS33" s="287"/>
      <c r="AT33" s="287"/>
      <c r="AU33" s="287"/>
      <c r="AV33" s="287"/>
      <c r="AW33" s="287"/>
      <c r="AX33" s="287"/>
      <c r="AY33" s="287"/>
      <c r="AZ33" s="287"/>
      <c r="BA33" s="287"/>
      <c r="BB33" s="287"/>
      <c r="BC33" s="287"/>
      <c r="BD33" s="287"/>
      <c r="BE33" s="287"/>
      <c r="BF33" s="287"/>
      <c r="BG33" s="287"/>
      <c r="BH33" s="287"/>
      <c r="BI33" s="288"/>
      <c r="BJ33" s="287"/>
      <c r="BK33" s="289"/>
    </row>
    <row r="34" spans="1:63" ht="15" customHeight="1" x14ac:dyDescent="0.25">
      <c r="A34" s="285"/>
      <c r="B34" s="286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8"/>
      <c r="AF34" s="286"/>
      <c r="AG34" s="287"/>
      <c r="AH34" s="287"/>
      <c r="AI34" s="287"/>
      <c r="AJ34" s="287"/>
      <c r="AK34" s="287"/>
      <c r="AL34" s="287"/>
      <c r="AM34" s="287"/>
      <c r="AN34" s="287"/>
      <c r="AO34" s="287"/>
      <c r="AP34" s="287"/>
      <c r="AQ34" s="287"/>
      <c r="AR34" s="287"/>
      <c r="AS34" s="287"/>
      <c r="AT34" s="287"/>
      <c r="AU34" s="287"/>
      <c r="AV34" s="287"/>
      <c r="AW34" s="287"/>
      <c r="AX34" s="287"/>
      <c r="AY34" s="287"/>
      <c r="AZ34" s="287"/>
      <c r="BA34" s="287"/>
      <c r="BB34" s="287"/>
      <c r="BC34" s="287"/>
      <c r="BD34" s="287"/>
      <c r="BE34" s="287"/>
      <c r="BF34" s="287"/>
      <c r="BG34" s="287"/>
      <c r="BH34" s="287"/>
      <c r="BI34" s="288"/>
      <c r="BJ34" s="287"/>
      <c r="BK34" s="289"/>
    </row>
    <row r="35" spans="1:63" ht="15" customHeight="1" x14ac:dyDescent="0.25">
      <c r="A35" s="285"/>
      <c r="B35" s="286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8"/>
      <c r="AF35" s="286"/>
      <c r="AG35" s="287"/>
      <c r="AH35" s="287"/>
      <c r="AI35" s="287"/>
      <c r="AJ35" s="287"/>
      <c r="AK35" s="287"/>
      <c r="AL35" s="287"/>
      <c r="AM35" s="287"/>
      <c r="AN35" s="287"/>
      <c r="AO35" s="287"/>
      <c r="AP35" s="287"/>
      <c r="AQ35" s="287"/>
      <c r="AR35" s="287"/>
      <c r="AS35" s="287"/>
      <c r="AT35" s="287"/>
      <c r="AU35" s="287"/>
      <c r="AV35" s="287"/>
      <c r="AW35" s="287"/>
      <c r="AX35" s="287"/>
      <c r="AY35" s="287"/>
      <c r="AZ35" s="287"/>
      <c r="BA35" s="287"/>
      <c r="BB35" s="287"/>
      <c r="BC35" s="287"/>
      <c r="BD35" s="287"/>
      <c r="BE35" s="287"/>
      <c r="BF35" s="287"/>
      <c r="BG35" s="287"/>
      <c r="BH35" s="287"/>
      <c r="BI35" s="288"/>
      <c r="BJ35" s="287"/>
      <c r="BK35" s="289"/>
    </row>
    <row r="36" spans="1:63" ht="15" customHeight="1" x14ac:dyDescent="0.25">
      <c r="A36" s="285"/>
      <c r="B36" s="286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8"/>
      <c r="AF36" s="286"/>
      <c r="AG36" s="287"/>
      <c r="AH36" s="287"/>
      <c r="AI36" s="287"/>
      <c r="AJ36" s="287"/>
      <c r="AK36" s="287"/>
      <c r="AL36" s="287"/>
      <c r="AM36" s="287"/>
      <c r="AN36" s="287"/>
      <c r="AO36" s="287"/>
      <c r="AP36" s="287"/>
      <c r="AQ36" s="287"/>
      <c r="AR36" s="287"/>
      <c r="AS36" s="287"/>
      <c r="AT36" s="287"/>
      <c r="AU36" s="287"/>
      <c r="AV36" s="287"/>
      <c r="AW36" s="287"/>
      <c r="AX36" s="287"/>
      <c r="AY36" s="287"/>
      <c r="AZ36" s="287"/>
      <c r="BA36" s="287"/>
      <c r="BB36" s="287"/>
      <c r="BC36" s="287"/>
      <c r="BD36" s="287"/>
      <c r="BE36" s="287"/>
      <c r="BF36" s="287"/>
      <c r="BG36" s="287"/>
      <c r="BH36" s="287"/>
      <c r="BI36" s="288"/>
      <c r="BJ36" s="287"/>
      <c r="BK36" s="289"/>
    </row>
    <row r="37" spans="1:63" ht="15" customHeight="1" x14ac:dyDescent="0.25">
      <c r="A37" s="285"/>
      <c r="B37" s="286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6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7"/>
      <c r="BA37" s="287"/>
      <c r="BB37" s="287"/>
      <c r="BC37" s="287"/>
      <c r="BD37" s="287"/>
      <c r="BE37" s="287"/>
      <c r="BF37" s="287"/>
      <c r="BG37" s="287"/>
      <c r="BH37" s="287"/>
      <c r="BI37" s="288"/>
      <c r="BJ37" s="287"/>
      <c r="BK37" s="289"/>
    </row>
    <row r="38" spans="1:63" ht="15" customHeight="1" x14ac:dyDescent="0.25">
      <c r="A38" s="285"/>
      <c r="B38" s="286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6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8"/>
      <c r="BJ38" s="287"/>
      <c r="BK38" s="289"/>
    </row>
    <row r="39" spans="1:63" ht="15" customHeight="1" x14ac:dyDescent="0.25">
      <c r="A39" s="285"/>
      <c r="B39" s="286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6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8"/>
      <c r="BJ39" s="287"/>
      <c r="BK39" s="289"/>
    </row>
    <row r="40" spans="1:63" ht="15" customHeight="1" x14ac:dyDescent="0.25">
      <c r="A40" s="285"/>
      <c r="B40" s="286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6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8"/>
      <c r="BJ40" s="287"/>
      <c r="BK40" s="289"/>
    </row>
    <row r="41" spans="1:63" ht="15" customHeight="1" x14ac:dyDescent="0.25">
      <c r="A41" s="285"/>
      <c r="B41" s="286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6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8"/>
      <c r="BJ41" s="287"/>
      <c r="BK41" s="289"/>
    </row>
    <row r="42" spans="1:63" ht="15" customHeight="1" x14ac:dyDescent="0.25">
      <c r="A42" s="285"/>
      <c r="B42" s="24" t="s">
        <v>14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5"/>
      <c r="AF42" s="24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5"/>
      <c r="BJ42" s="22"/>
      <c r="BK42" s="289"/>
    </row>
    <row r="43" spans="1:63" ht="15" customHeight="1" x14ac:dyDescent="0.25">
      <c r="A43" s="285"/>
      <c r="B43" s="286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8"/>
      <c r="AF43" s="286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8"/>
      <c r="BJ43" s="287"/>
      <c r="BK43" s="289"/>
    </row>
    <row r="44" spans="1:63" ht="15" customHeight="1" x14ac:dyDescent="0.25">
      <c r="A44" s="285"/>
      <c r="B44" s="286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8"/>
      <c r="AF44" s="286"/>
      <c r="AG44" s="287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7"/>
      <c r="BF44" s="287"/>
      <c r="BG44" s="287"/>
      <c r="BH44" s="287"/>
      <c r="BI44" s="288"/>
      <c r="BJ44" s="287"/>
      <c r="BK44" s="289"/>
    </row>
    <row r="45" spans="1:63" ht="15" customHeight="1" x14ac:dyDescent="0.25">
      <c r="A45" s="285"/>
      <c r="B45" s="286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8"/>
      <c r="AF45" s="286"/>
      <c r="AG45" s="287"/>
      <c r="AH45" s="287"/>
      <c r="AI45" s="287"/>
      <c r="AJ45" s="287"/>
      <c r="AK45" s="287"/>
      <c r="AL45" s="287"/>
      <c r="AM45" s="287"/>
      <c r="AN45" s="287"/>
      <c r="AO45" s="287"/>
      <c r="AP45" s="287"/>
      <c r="AQ45" s="287"/>
      <c r="AR45" s="287"/>
      <c r="AS45" s="287"/>
      <c r="AT45" s="287"/>
      <c r="AU45" s="287"/>
      <c r="AV45" s="287"/>
      <c r="AW45" s="287"/>
      <c r="AX45" s="287"/>
      <c r="AY45" s="287"/>
      <c r="AZ45" s="287"/>
      <c r="BA45" s="287"/>
      <c r="BB45" s="287"/>
      <c r="BC45" s="287"/>
      <c r="BD45" s="287"/>
      <c r="BE45" s="287"/>
      <c r="BF45" s="287"/>
      <c r="BG45" s="287"/>
      <c r="BH45" s="287"/>
      <c r="BI45" s="288"/>
      <c r="BJ45" s="287"/>
      <c r="BK45" s="289"/>
    </row>
    <row r="46" spans="1:63" ht="15" customHeight="1" x14ac:dyDescent="0.25">
      <c r="A46" s="285"/>
      <c r="B46" s="286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8"/>
      <c r="AF46" s="286"/>
      <c r="AG46" s="287"/>
      <c r="AH46" s="287"/>
      <c r="AI46" s="287"/>
      <c r="AJ46" s="287"/>
      <c r="AK46" s="287"/>
      <c r="AL46" s="287"/>
      <c r="AM46" s="287"/>
      <c r="AN46" s="287"/>
      <c r="AO46" s="287"/>
      <c r="AP46" s="287"/>
      <c r="AQ46" s="287"/>
      <c r="AR46" s="287"/>
      <c r="AS46" s="287"/>
      <c r="AT46" s="287"/>
      <c r="AU46" s="287"/>
      <c r="AV46" s="287"/>
      <c r="AW46" s="287"/>
      <c r="AX46" s="287"/>
      <c r="AY46" s="287"/>
      <c r="AZ46" s="287"/>
      <c r="BA46" s="287"/>
      <c r="BB46" s="287"/>
      <c r="BC46" s="287"/>
      <c r="BD46" s="287"/>
      <c r="BE46" s="287"/>
      <c r="BF46" s="287"/>
      <c r="BG46" s="287"/>
      <c r="BH46" s="287"/>
      <c r="BI46" s="288"/>
      <c r="BJ46" s="287"/>
      <c r="BK46" s="289"/>
    </row>
    <row r="47" spans="1:63" ht="15" customHeight="1" x14ac:dyDescent="0.25">
      <c r="A47" s="285"/>
      <c r="B47" s="286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8"/>
      <c r="AF47" s="286"/>
      <c r="AG47" s="287"/>
      <c r="AH47" s="287"/>
      <c r="AI47" s="287"/>
      <c r="AJ47" s="287"/>
      <c r="AK47" s="287"/>
      <c r="AL47" s="287"/>
      <c r="AM47" s="287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287"/>
      <c r="AY47" s="287"/>
      <c r="AZ47" s="287"/>
      <c r="BA47" s="287"/>
      <c r="BB47" s="287"/>
      <c r="BC47" s="287"/>
      <c r="BD47" s="287"/>
      <c r="BE47" s="287"/>
      <c r="BF47" s="287"/>
      <c r="BG47" s="287"/>
      <c r="BH47" s="287"/>
      <c r="BI47" s="288"/>
      <c r="BJ47" s="287"/>
      <c r="BK47" s="289"/>
    </row>
    <row r="48" spans="1:63" ht="15" customHeight="1" x14ac:dyDescent="0.25">
      <c r="A48" s="285"/>
      <c r="B48" s="286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8"/>
      <c r="AF48" s="286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8"/>
      <c r="BJ48" s="287"/>
      <c r="BK48" s="289"/>
    </row>
    <row r="49" spans="1:63" ht="15" customHeight="1" x14ac:dyDescent="0.25">
      <c r="A49" s="285"/>
      <c r="B49" s="286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6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7"/>
      <c r="AT49" s="287"/>
      <c r="AU49" s="287"/>
      <c r="AV49" s="287"/>
      <c r="AW49" s="287"/>
      <c r="AX49" s="287"/>
      <c r="AY49" s="287"/>
      <c r="AZ49" s="287"/>
      <c r="BA49" s="287"/>
      <c r="BB49" s="287"/>
      <c r="BC49" s="287"/>
      <c r="BD49" s="287"/>
      <c r="BE49" s="287"/>
      <c r="BF49" s="287"/>
      <c r="BG49" s="287"/>
      <c r="BH49" s="287"/>
      <c r="BI49" s="288"/>
      <c r="BJ49" s="287"/>
      <c r="BK49" s="289"/>
    </row>
    <row r="50" spans="1:63" ht="15" customHeight="1" x14ac:dyDescent="0.25">
      <c r="A50" s="285"/>
      <c r="B50" s="286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6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7"/>
      <c r="BC50" s="287"/>
      <c r="BD50" s="287"/>
      <c r="BE50" s="287"/>
      <c r="BF50" s="287"/>
      <c r="BG50" s="287"/>
      <c r="BH50" s="287"/>
      <c r="BI50" s="288"/>
      <c r="BJ50" s="287"/>
      <c r="BK50" s="289"/>
    </row>
    <row r="51" spans="1:63" ht="15" customHeight="1" x14ac:dyDescent="0.25">
      <c r="A51" s="285"/>
      <c r="B51" s="286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6"/>
      <c r="AG51" s="287"/>
      <c r="AH51" s="287"/>
      <c r="AI51" s="287"/>
      <c r="AJ51" s="287"/>
      <c r="AK51" s="287"/>
      <c r="AL51" s="287"/>
      <c r="AM51" s="287"/>
      <c r="AN51" s="287"/>
      <c r="AO51" s="287"/>
      <c r="AP51" s="287"/>
      <c r="AQ51" s="287"/>
      <c r="AR51" s="287"/>
      <c r="AS51" s="287"/>
      <c r="AT51" s="287"/>
      <c r="AU51" s="287"/>
      <c r="AV51" s="287"/>
      <c r="AW51" s="287"/>
      <c r="AX51" s="287"/>
      <c r="AY51" s="287"/>
      <c r="AZ51" s="287"/>
      <c r="BA51" s="287"/>
      <c r="BB51" s="287"/>
      <c r="BC51" s="287"/>
      <c r="BD51" s="287"/>
      <c r="BE51" s="287"/>
      <c r="BF51" s="287"/>
      <c r="BG51" s="287"/>
      <c r="BH51" s="287"/>
      <c r="BI51" s="288"/>
      <c r="BJ51" s="287"/>
      <c r="BK51" s="289"/>
    </row>
    <row r="52" spans="1:63" ht="15" customHeight="1" x14ac:dyDescent="0.25">
      <c r="A52" s="285"/>
      <c r="B52" s="286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6"/>
      <c r="AG52" s="287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7"/>
      <c r="AT52" s="287"/>
      <c r="AU52" s="287"/>
      <c r="AV52" s="287"/>
      <c r="AW52" s="287"/>
      <c r="AX52" s="287"/>
      <c r="AY52" s="287"/>
      <c r="AZ52" s="287"/>
      <c r="BA52" s="287"/>
      <c r="BB52" s="287"/>
      <c r="BC52" s="287"/>
      <c r="BD52" s="287"/>
      <c r="BE52" s="287"/>
      <c r="BF52" s="287"/>
      <c r="BG52" s="287"/>
      <c r="BH52" s="287"/>
      <c r="BI52" s="288"/>
      <c r="BJ52" s="287"/>
      <c r="BK52" s="289"/>
    </row>
    <row r="53" spans="1:63" ht="15" customHeight="1" x14ac:dyDescent="0.25">
      <c r="A53" s="285"/>
      <c r="B53" s="286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6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8"/>
      <c r="BJ53" s="287"/>
      <c r="BK53" s="289"/>
    </row>
    <row r="54" spans="1:63" ht="15" customHeight="1" x14ac:dyDescent="0.25">
      <c r="A54" s="285"/>
      <c r="B54" s="286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6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7"/>
      <c r="BI54" s="288"/>
      <c r="BJ54" s="287"/>
      <c r="BK54" s="289"/>
    </row>
    <row r="55" spans="1:63" ht="15" customHeight="1" x14ac:dyDescent="0.25">
      <c r="A55" s="290"/>
      <c r="B55" s="291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  <c r="AA55" s="290"/>
      <c r="AB55" s="290"/>
      <c r="AC55" s="290"/>
      <c r="AD55" s="290"/>
      <c r="AE55" s="292"/>
      <c r="AF55" s="291"/>
      <c r="AG55" s="290"/>
      <c r="AH55" s="290"/>
      <c r="AI55" s="290"/>
      <c r="AJ55" s="290"/>
      <c r="AK55" s="290"/>
      <c r="AL55" s="290"/>
      <c r="AM55" s="290"/>
      <c r="AN55" s="290"/>
      <c r="AO55" s="290"/>
      <c r="AP55" s="290"/>
      <c r="AQ55" s="290"/>
      <c r="AR55" s="290"/>
      <c r="AS55" s="290"/>
      <c r="AT55" s="290"/>
      <c r="AU55" s="290"/>
      <c r="AV55" s="290"/>
      <c r="AW55" s="290"/>
      <c r="AX55" s="290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 s="292"/>
      <c r="BJ55" s="290"/>
      <c r="BK55" s="29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26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9" customWidth="1"/>
    <col min="66" max="16384" width="2.77734375" style="199"/>
  </cols>
  <sheetData>
    <row r="1" spans="1:65" ht="24.95" customHeight="1" x14ac:dyDescent="0.25">
      <c r="A1" s="193" t="s">
        <v>64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65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基本設計書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93" t="s">
        <v>67</v>
      </c>
      <c r="AQ1" s="194"/>
      <c r="AR1" s="194"/>
      <c r="AS1" s="195"/>
      <c r="AT1" s="193" t="s">
        <v>68</v>
      </c>
      <c r="AU1" s="194"/>
      <c r="AV1" s="194"/>
      <c r="AW1" s="194"/>
      <c r="AX1" s="195"/>
      <c r="AY1" s="193" t="s">
        <v>69</v>
      </c>
      <c r="AZ1" s="194"/>
      <c r="BA1" s="194"/>
      <c r="BB1" s="195"/>
      <c r="BC1" s="193" t="s">
        <v>70</v>
      </c>
      <c r="BD1" s="194"/>
      <c r="BE1" s="194"/>
      <c r="BF1" s="194"/>
      <c r="BG1" s="195"/>
      <c r="BH1" s="193" t="s">
        <v>71</v>
      </c>
      <c r="BI1" s="194"/>
      <c r="BJ1" s="194"/>
      <c r="BK1" s="195"/>
    </row>
    <row r="2" spans="1:65" ht="15" customHeight="1" x14ac:dyDescent="0.25">
      <c r="A2" s="202" t="str">
        <f>IF(表紙!A2="","",表紙!A2)</f>
        <v>POSサーバー</v>
      </c>
      <c r="B2" s="200"/>
      <c r="C2" s="200"/>
      <c r="D2" s="200"/>
      <c r="E2" s="200"/>
      <c r="F2" s="200"/>
      <c r="G2" s="200"/>
      <c r="H2" s="200"/>
      <c r="I2" s="200"/>
      <c r="J2" s="201"/>
      <c r="K2" s="202" t="str">
        <f>IF(表紙!K2="","",表紙!K2)</f>
        <v>POSサーバー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3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5"/>
      <c r="AP2" s="202" t="str">
        <f>IF(表紙!AP2="","",表紙!AP2)</f>
        <v>AnhNM</v>
      </c>
      <c r="AQ2" s="200"/>
      <c r="AR2" s="200"/>
      <c r="AS2" s="201"/>
      <c r="AT2" s="206">
        <f>IF(表紙!AT2="","",表紙!AT2)</f>
        <v>45416</v>
      </c>
      <c r="AU2" s="207"/>
      <c r="AV2" s="207"/>
      <c r="AW2" s="207"/>
      <c r="AX2" s="208"/>
      <c r="AY2" s="202" t="str">
        <f>IF(表紙!AY2="","",表紙!AY2)</f>
        <v>AnhNM</v>
      </c>
      <c r="AZ2" s="200"/>
      <c r="BA2" s="200"/>
      <c r="BB2" s="201"/>
      <c r="BC2" s="206">
        <f>IF(表紙!BC2="","",表紙!BC2)</f>
        <v>45416</v>
      </c>
      <c r="BD2" s="207"/>
      <c r="BE2" s="207"/>
      <c r="BF2" s="207"/>
      <c r="BG2" s="208"/>
      <c r="BH2" s="202">
        <f>IF(表紙!BH2="","",表紙!BH2)</f>
        <v>0.1</v>
      </c>
      <c r="BI2" s="200"/>
      <c r="BJ2" s="200"/>
      <c r="BK2" s="201"/>
    </row>
    <row r="3" spans="1:65" ht="15" customHeight="1" x14ac:dyDescent="0.25">
      <c r="A3" s="212"/>
      <c r="B3" s="213"/>
      <c r="C3" s="213"/>
      <c r="D3" s="213"/>
      <c r="E3" s="213"/>
      <c r="F3" s="213"/>
      <c r="G3" s="213"/>
      <c r="H3" s="213"/>
      <c r="I3" s="213"/>
      <c r="J3" s="214"/>
      <c r="K3" s="212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4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2"/>
      <c r="AQ3" s="213"/>
      <c r="AR3" s="213"/>
      <c r="AS3" s="214"/>
      <c r="AT3" s="218"/>
      <c r="AU3" s="219"/>
      <c r="AV3" s="219"/>
      <c r="AW3" s="219"/>
      <c r="AX3" s="220"/>
      <c r="AY3" s="212"/>
      <c r="AZ3" s="213"/>
      <c r="BA3" s="213"/>
      <c r="BB3" s="214"/>
      <c r="BC3" s="218"/>
      <c r="BD3" s="219"/>
      <c r="BE3" s="219"/>
      <c r="BF3" s="219"/>
      <c r="BG3" s="220"/>
      <c r="BH3" s="212"/>
      <c r="BI3" s="213"/>
      <c r="BJ3" s="213"/>
      <c r="BK3" s="214"/>
    </row>
    <row r="4" spans="1:65" ht="24.95" customHeight="1" x14ac:dyDescent="0.25">
      <c r="A4" s="193" t="s">
        <v>73</v>
      </c>
      <c r="B4" s="194"/>
      <c r="C4" s="194"/>
      <c r="D4" s="194"/>
      <c r="E4" s="194"/>
      <c r="F4" s="194"/>
      <c r="G4" s="195"/>
      <c r="H4" s="224" t="str">
        <f>IF(表紙!H4="","",表紙!H4)</f>
        <v>11_部門別売上速報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  <c r="U4" s="193" t="s">
        <v>74</v>
      </c>
      <c r="V4" s="194"/>
      <c r="W4" s="194"/>
      <c r="X4" s="194"/>
      <c r="Y4" s="195"/>
      <c r="Z4" s="224" t="str">
        <f>IF(表紙!Z4="","",表紙!Z4)</f>
        <v>概要設計書</v>
      </c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6"/>
      <c r="AP4" s="224" t="str">
        <f t="array" aca="1" ref="AP4" ca="1">RIGHT(CELL("filename",$A$1),LEN(CELL("filename",$A$1))-FIND("]",CELL("filename",$A$1)))</f>
        <v>機能概要説明</v>
      </c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6"/>
    </row>
    <row r="5" spans="1:65" ht="5.0999999999999996" customHeight="1" x14ac:dyDescent="0.25">
      <c r="A5" s="227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9"/>
    </row>
    <row r="6" spans="1:65" ht="15" customHeight="1" x14ac:dyDescent="0.25">
      <c r="A6" s="230"/>
      <c r="BK6" s="231"/>
    </row>
    <row r="7" spans="1:65" s="295" customFormat="1" ht="15" customHeight="1" x14ac:dyDescent="0.25">
      <c r="A7" s="294"/>
      <c r="C7" s="295" t="s">
        <v>56</v>
      </c>
      <c r="BK7" s="296"/>
      <c r="BM7" s="26"/>
    </row>
    <row r="8" spans="1:65" s="295" customFormat="1" ht="15" customHeight="1" x14ac:dyDescent="0.25">
      <c r="A8" s="294"/>
      <c r="D8" s="297" t="s">
        <v>57</v>
      </c>
      <c r="BK8" s="296"/>
      <c r="BM8" s="26"/>
    </row>
    <row r="9" spans="1:65" s="295" customFormat="1" ht="15" customHeight="1" x14ac:dyDescent="0.25">
      <c r="A9" s="294"/>
      <c r="D9" s="297" t="s">
        <v>58</v>
      </c>
      <c r="BK9" s="296"/>
      <c r="BM9" s="26"/>
    </row>
    <row r="10" spans="1:65" s="295" customFormat="1" ht="15" customHeight="1" x14ac:dyDescent="0.25">
      <c r="A10" s="294"/>
      <c r="BK10" s="296"/>
      <c r="BM10" s="26"/>
    </row>
    <row r="11" spans="1:65" s="295" customFormat="1" ht="15" customHeight="1" x14ac:dyDescent="0.25">
      <c r="A11" s="294"/>
      <c r="BK11" s="296"/>
      <c r="BM11" s="26"/>
    </row>
    <row r="12" spans="1:65" s="295" customFormat="1" ht="15" customHeight="1" x14ac:dyDescent="0.25">
      <c r="A12" s="294"/>
      <c r="BK12" s="296"/>
      <c r="BM12" s="26"/>
    </row>
    <row r="13" spans="1:65" s="295" customFormat="1" ht="15" customHeight="1" x14ac:dyDescent="0.25">
      <c r="A13" s="294"/>
      <c r="BK13" s="296"/>
      <c r="BM13" s="26"/>
    </row>
    <row r="14" spans="1:65" s="295" customFormat="1" ht="15" customHeight="1" x14ac:dyDescent="0.25">
      <c r="A14" s="294"/>
      <c r="BK14" s="296"/>
      <c r="BM14" s="26"/>
    </row>
    <row r="15" spans="1:65" s="295" customFormat="1" ht="15" customHeight="1" x14ac:dyDescent="0.25">
      <c r="A15" s="294"/>
      <c r="BK15" s="296"/>
      <c r="BM15" s="26"/>
    </row>
    <row r="16" spans="1:65" s="295" customFormat="1" ht="15" customHeight="1" x14ac:dyDescent="0.25">
      <c r="A16" s="294"/>
      <c r="BK16" s="296"/>
      <c r="BM16" s="26"/>
    </row>
    <row r="17" spans="1:65" s="295" customFormat="1" ht="15" customHeight="1" x14ac:dyDescent="0.25">
      <c r="A17" s="294"/>
      <c r="BK17" s="296"/>
      <c r="BM17" s="26"/>
    </row>
    <row r="18" spans="1:65" s="295" customFormat="1" ht="15" customHeight="1" x14ac:dyDescent="0.25">
      <c r="A18" s="294"/>
      <c r="BK18" s="296"/>
      <c r="BM18" s="26"/>
    </row>
    <row r="19" spans="1:65" s="295" customFormat="1" ht="15" customHeight="1" x14ac:dyDescent="0.25">
      <c r="A19" s="294"/>
      <c r="BK19" s="296"/>
      <c r="BM19" s="26"/>
    </row>
    <row r="20" spans="1:65" s="295" customFormat="1" ht="15" customHeight="1" x14ac:dyDescent="0.25">
      <c r="A20" s="294"/>
      <c r="BK20" s="296"/>
      <c r="BM20" s="26"/>
    </row>
    <row r="21" spans="1:65" s="295" customFormat="1" ht="15" customHeight="1" x14ac:dyDescent="0.25">
      <c r="A21" s="294"/>
      <c r="BK21" s="296"/>
      <c r="BM21" s="26"/>
    </row>
    <row r="22" spans="1:65" s="295" customFormat="1" ht="15" customHeight="1" x14ac:dyDescent="0.25">
      <c r="A22" s="294"/>
      <c r="BK22" s="296"/>
      <c r="BM22" s="26"/>
    </row>
    <row r="23" spans="1:65" s="295" customFormat="1" ht="15" customHeight="1" x14ac:dyDescent="0.25">
      <c r="A23" s="294"/>
      <c r="BK23" s="296"/>
      <c r="BM23" s="26"/>
    </row>
    <row r="24" spans="1:65" s="295" customFormat="1" ht="15" customHeight="1" x14ac:dyDescent="0.25">
      <c r="A24" s="294"/>
      <c r="BK24" s="296"/>
      <c r="BM24" s="26"/>
    </row>
    <row r="25" spans="1:65" s="295" customFormat="1" ht="15" customHeight="1" x14ac:dyDescent="0.25">
      <c r="A25" s="294"/>
      <c r="BK25" s="296"/>
      <c r="BM25" s="26"/>
    </row>
    <row r="26" spans="1:65" s="295" customFormat="1" ht="15" customHeight="1" x14ac:dyDescent="0.25">
      <c r="A26" s="298"/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299"/>
      <c r="AI26" s="299"/>
      <c r="AJ26" s="299"/>
      <c r="AK26" s="299"/>
      <c r="AL26" s="299"/>
      <c r="AM26" s="299"/>
      <c r="AN26" s="299"/>
      <c r="AO26" s="299"/>
      <c r="AP26" s="299"/>
      <c r="AQ26" s="299"/>
      <c r="AR26" s="299"/>
      <c r="AS26" s="299"/>
      <c r="AT26" s="299"/>
      <c r="AU26" s="299"/>
      <c r="AV26" s="299"/>
      <c r="AW26" s="299"/>
      <c r="AX26" s="299"/>
      <c r="AY26" s="299"/>
      <c r="AZ26" s="299"/>
      <c r="BA26" s="299"/>
      <c r="BB26" s="299"/>
      <c r="BC26" s="299"/>
      <c r="BD26" s="299"/>
      <c r="BE26" s="299"/>
      <c r="BF26" s="299"/>
      <c r="BG26" s="299"/>
      <c r="BH26" s="299"/>
      <c r="BI26" s="299"/>
      <c r="BJ26" s="299"/>
      <c r="BK26" s="300"/>
      <c r="BM26" s="2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90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9" customWidth="1"/>
    <col min="66" max="16384" width="2.77734375" style="199"/>
  </cols>
  <sheetData>
    <row r="1" spans="1:65" ht="24.95" customHeight="1" x14ac:dyDescent="0.25">
      <c r="A1" s="193" t="s">
        <v>64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65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基本設計書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93" t="s">
        <v>67</v>
      </c>
      <c r="AQ1" s="194"/>
      <c r="AR1" s="194"/>
      <c r="AS1" s="195"/>
      <c r="AT1" s="193" t="s">
        <v>68</v>
      </c>
      <c r="AU1" s="194"/>
      <c r="AV1" s="194"/>
      <c r="AW1" s="194"/>
      <c r="AX1" s="195"/>
      <c r="AY1" s="193" t="s">
        <v>69</v>
      </c>
      <c r="AZ1" s="194"/>
      <c r="BA1" s="194"/>
      <c r="BB1" s="195"/>
      <c r="BC1" s="193" t="s">
        <v>70</v>
      </c>
      <c r="BD1" s="194"/>
      <c r="BE1" s="194"/>
      <c r="BF1" s="194"/>
      <c r="BG1" s="195"/>
      <c r="BH1" s="193" t="s">
        <v>71</v>
      </c>
      <c r="BI1" s="194"/>
      <c r="BJ1" s="194"/>
      <c r="BK1" s="195"/>
    </row>
    <row r="2" spans="1:65" ht="15" customHeight="1" x14ac:dyDescent="0.25">
      <c r="A2" s="202" t="str">
        <f>IF(表紙!A2="","",表紙!A2)</f>
        <v>POSサーバー</v>
      </c>
      <c r="B2" s="200"/>
      <c r="C2" s="200"/>
      <c r="D2" s="200"/>
      <c r="E2" s="200"/>
      <c r="F2" s="200"/>
      <c r="G2" s="200"/>
      <c r="H2" s="200"/>
      <c r="I2" s="200"/>
      <c r="J2" s="201"/>
      <c r="K2" s="202" t="str">
        <f>IF(表紙!K2="","",表紙!K2)</f>
        <v>POSサーバー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03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5"/>
      <c r="AP2" s="202" t="str">
        <f>IF(表紙!AP2="","",表紙!AP2)</f>
        <v>AnhNM</v>
      </c>
      <c r="AQ2" s="200"/>
      <c r="AR2" s="200"/>
      <c r="AS2" s="201"/>
      <c r="AT2" s="206">
        <f>IF(表紙!AT2="","",表紙!AT2)</f>
        <v>45416</v>
      </c>
      <c r="AU2" s="207"/>
      <c r="AV2" s="207"/>
      <c r="AW2" s="207"/>
      <c r="AX2" s="208"/>
      <c r="AY2" s="202" t="str">
        <f>IF(表紙!AY2="","",表紙!AY2)</f>
        <v>AnhNM</v>
      </c>
      <c r="AZ2" s="200"/>
      <c r="BA2" s="200"/>
      <c r="BB2" s="201"/>
      <c r="BC2" s="206">
        <f>IF(表紙!BC2="","",表紙!BC2)</f>
        <v>45416</v>
      </c>
      <c r="BD2" s="207"/>
      <c r="BE2" s="207"/>
      <c r="BF2" s="207"/>
      <c r="BG2" s="208"/>
      <c r="BH2" s="202">
        <f>IF(表紙!BH2="","",表紙!BH2)</f>
        <v>0.1</v>
      </c>
      <c r="BI2" s="200"/>
      <c r="BJ2" s="200"/>
      <c r="BK2" s="201"/>
    </row>
    <row r="3" spans="1:65" ht="15" customHeight="1" x14ac:dyDescent="0.25">
      <c r="A3" s="212"/>
      <c r="B3" s="213"/>
      <c r="C3" s="213"/>
      <c r="D3" s="213"/>
      <c r="E3" s="213"/>
      <c r="F3" s="213"/>
      <c r="G3" s="213"/>
      <c r="H3" s="213"/>
      <c r="I3" s="213"/>
      <c r="J3" s="214"/>
      <c r="K3" s="212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4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2"/>
      <c r="AQ3" s="213"/>
      <c r="AR3" s="213"/>
      <c r="AS3" s="214"/>
      <c r="AT3" s="218"/>
      <c r="AU3" s="219"/>
      <c r="AV3" s="219"/>
      <c r="AW3" s="219"/>
      <c r="AX3" s="220"/>
      <c r="AY3" s="212"/>
      <c r="AZ3" s="213"/>
      <c r="BA3" s="213"/>
      <c r="BB3" s="214"/>
      <c r="BC3" s="218"/>
      <c r="BD3" s="219"/>
      <c r="BE3" s="219"/>
      <c r="BF3" s="219"/>
      <c r="BG3" s="220"/>
      <c r="BH3" s="212"/>
      <c r="BI3" s="213"/>
      <c r="BJ3" s="213"/>
      <c r="BK3" s="214"/>
    </row>
    <row r="4" spans="1:65" ht="24.95" customHeight="1" x14ac:dyDescent="0.25">
      <c r="A4" s="193" t="s">
        <v>73</v>
      </c>
      <c r="B4" s="194"/>
      <c r="C4" s="194"/>
      <c r="D4" s="194"/>
      <c r="E4" s="194"/>
      <c r="F4" s="194"/>
      <c r="G4" s="195"/>
      <c r="H4" s="224" t="str">
        <f>IF(表紙!H4="","",表紙!H4)</f>
        <v>11_部門別売上速報</v>
      </c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  <c r="U4" s="193" t="s">
        <v>74</v>
      </c>
      <c r="V4" s="194"/>
      <c r="W4" s="194"/>
      <c r="X4" s="194"/>
      <c r="Y4" s="195"/>
      <c r="Z4" s="224" t="str">
        <f>IF(表紙!Z4="","",表紙!Z4)</f>
        <v>概要設計書</v>
      </c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6"/>
      <c r="AP4" s="224" t="str">
        <f t="array" aca="1" ref="AP4" ca="1">RIGHT(CELL("filename",$A$1),LEN(CELL("filename",$A$1))-FIND("]",CELL("filename",$A$1)))</f>
        <v>機能概要</v>
      </c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6"/>
    </row>
    <row r="5" spans="1:65" ht="5.0999999999999996" customHeight="1" x14ac:dyDescent="0.25">
      <c r="A5" s="227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9"/>
    </row>
    <row r="6" spans="1:65" ht="15" customHeight="1" x14ac:dyDescent="0.25">
      <c r="A6" s="230"/>
      <c r="BK6" s="231"/>
    </row>
    <row r="7" spans="1:65" ht="15" customHeight="1" x14ac:dyDescent="0.25">
      <c r="A7" s="230"/>
      <c r="B7" s="301" t="s">
        <v>79</v>
      </c>
      <c r="C7" s="302"/>
      <c r="D7" s="303"/>
      <c r="E7" s="303"/>
      <c r="F7" s="303"/>
      <c r="G7" s="303"/>
      <c r="H7" s="303"/>
      <c r="I7" s="303"/>
      <c r="J7" s="303"/>
      <c r="K7" s="304"/>
      <c r="L7" s="303"/>
      <c r="M7" s="303"/>
      <c r="N7" s="303"/>
      <c r="O7" s="303"/>
      <c r="P7" s="303"/>
      <c r="Q7" s="303"/>
      <c r="R7" s="303"/>
      <c r="S7" s="303"/>
      <c r="T7" s="304"/>
      <c r="U7" s="302"/>
      <c r="V7" s="303"/>
      <c r="W7" s="303"/>
      <c r="X7" s="303"/>
      <c r="Y7" s="303"/>
      <c r="Z7" s="303"/>
      <c r="AA7" s="303"/>
      <c r="AB7" s="303"/>
      <c r="AC7" s="304"/>
      <c r="AD7" s="302"/>
      <c r="AE7" s="303"/>
      <c r="AF7" s="303"/>
      <c r="AG7" s="303"/>
      <c r="AH7" s="303"/>
      <c r="AI7" s="303"/>
      <c r="AJ7" s="303"/>
      <c r="AK7" s="303"/>
      <c r="AL7" s="304"/>
      <c r="AM7" s="302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303"/>
      <c r="BI7" s="304"/>
      <c r="BJ7" s="303"/>
      <c r="BK7" s="231"/>
    </row>
    <row r="8" spans="1:65" ht="15" customHeight="1" x14ac:dyDescent="0.25">
      <c r="A8" s="230"/>
      <c r="B8" s="305"/>
      <c r="K8" s="306"/>
      <c r="U8" s="305"/>
      <c r="AD8" s="305"/>
      <c r="AM8" s="305"/>
      <c r="BI8" s="307"/>
      <c r="BK8" s="231"/>
      <c r="BM8" s="26">
        <f t="shared" ref="BM8:BM37" si="0">IF(BM7=50,1,BM7+1)</f>
        <v>1</v>
      </c>
    </row>
    <row r="9" spans="1:65" ht="15" customHeight="1" x14ac:dyDescent="0.25">
      <c r="A9" s="230"/>
      <c r="B9" s="305"/>
      <c r="K9" s="306"/>
      <c r="U9" s="305"/>
      <c r="AD9" s="305"/>
      <c r="AM9" s="305"/>
      <c r="BI9" s="307"/>
      <c r="BK9" s="231"/>
      <c r="BM9" s="26">
        <f t="shared" si="0"/>
        <v>2</v>
      </c>
    </row>
    <row r="10" spans="1:65" ht="15" customHeight="1" x14ac:dyDescent="0.25">
      <c r="A10" s="230"/>
      <c r="B10" s="305"/>
      <c r="K10" s="306"/>
      <c r="U10" s="305"/>
      <c r="AD10" s="305"/>
      <c r="AM10" s="305"/>
      <c r="BI10" s="307"/>
      <c r="BK10" s="231"/>
      <c r="BM10" s="26">
        <f t="shared" si="0"/>
        <v>3</v>
      </c>
    </row>
    <row r="11" spans="1:65" ht="15" customHeight="1" x14ac:dyDescent="0.25">
      <c r="A11" s="230"/>
      <c r="B11" s="305"/>
      <c r="K11" s="306"/>
      <c r="U11" s="305"/>
      <c r="AD11" s="305"/>
      <c r="AM11" s="305"/>
      <c r="BI11" s="307"/>
      <c r="BK11" s="231"/>
      <c r="BM11" s="26">
        <f t="shared" si="0"/>
        <v>4</v>
      </c>
    </row>
    <row r="12" spans="1:65" ht="15" customHeight="1" x14ac:dyDescent="0.25">
      <c r="A12" s="230"/>
      <c r="B12" s="305"/>
      <c r="K12" s="306"/>
      <c r="U12" s="305"/>
      <c r="AD12" s="305"/>
      <c r="AM12" s="305"/>
      <c r="BI12" s="307"/>
      <c r="BK12" s="231"/>
      <c r="BM12" s="26">
        <f t="shared" si="0"/>
        <v>5</v>
      </c>
    </row>
    <row r="13" spans="1:65" ht="15" customHeight="1" x14ac:dyDescent="0.25">
      <c r="A13" s="230"/>
      <c r="B13" s="305"/>
      <c r="K13" s="306"/>
      <c r="U13" s="305"/>
      <c r="AD13" s="305"/>
      <c r="AM13" s="305"/>
      <c r="BI13" s="307"/>
      <c r="BK13" s="231"/>
      <c r="BM13" s="26">
        <f t="shared" si="0"/>
        <v>6</v>
      </c>
    </row>
    <row r="14" spans="1:65" ht="15" customHeight="1" x14ac:dyDescent="0.25">
      <c r="A14" s="230"/>
      <c r="B14" s="305"/>
      <c r="K14" s="306"/>
      <c r="U14" s="305"/>
      <c r="AD14" s="305"/>
      <c r="AM14" s="305"/>
      <c r="BI14" s="307"/>
      <c r="BK14" s="231"/>
      <c r="BM14" s="26">
        <f t="shared" si="0"/>
        <v>7</v>
      </c>
    </row>
    <row r="15" spans="1:65" ht="15" customHeight="1" x14ac:dyDescent="0.25">
      <c r="A15" s="230"/>
      <c r="B15" s="305"/>
      <c r="K15" s="306"/>
      <c r="U15" s="305"/>
      <c r="AD15" s="305"/>
      <c r="AM15" s="305"/>
      <c r="BI15" s="307"/>
      <c r="BK15" s="231"/>
      <c r="BM15" s="26">
        <f t="shared" si="0"/>
        <v>8</v>
      </c>
    </row>
    <row r="16" spans="1:65" ht="15" customHeight="1" x14ac:dyDescent="0.25">
      <c r="A16" s="230"/>
      <c r="B16" s="305"/>
      <c r="K16" s="306"/>
      <c r="U16" s="305"/>
      <c r="AD16" s="305"/>
      <c r="AM16" s="305"/>
      <c r="BI16" s="307"/>
      <c r="BK16" s="231"/>
      <c r="BM16" s="26">
        <f t="shared" si="0"/>
        <v>9</v>
      </c>
    </row>
    <row r="17" spans="1:65" ht="15" customHeight="1" x14ac:dyDescent="0.25">
      <c r="A17" s="230"/>
      <c r="B17" s="305"/>
      <c r="K17" s="306"/>
      <c r="U17" s="305"/>
      <c r="AD17" s="305"/>
      <c r="AM17" s="305"/>
      <c r="BI17" s="307"/>
      <c r="BK17" s="231"/>
      <c r="BM17" s="26">
        <f t="shared" si="0"/>
        <v>10</v>
      </c>
    </row>
    <row r="18" spans="1:65" ht="15" customHeight="1" x14ac:dyDescent="0.25">
      <c r="A18" s="230"/>
      <c r="B18" s="305"/>
      <c r="K18" s="306"/>
      <c r="U18" s="305"/>
      <c r="AD18" s="305"/>
      <c r="AM18" s="305"/>
      <c r="BI18" s="307"/>
      <c r="BK18" s="231"/>
      <c r="BM18" s="26">
        <f t="shared" si="0"/>
        <v>11</v>
      </c>
    </row>
    <row r="19" spans="1:65" ht="15" customHeight="1" x14ac:dyDescent="0.25">
      <c r="A19" s="230"/>
      <c r="B19" s="305"/>
      <c r="K19" s="306"/>
      <c r="U19" s="305"/>
      <c r="AD19" s="305"/>
      <c r="AM19" s="305"/>
      <c r="BI19" s="307"/>
      <c r="BK19" s="231"/>
      <c r="BM19" s="26">
        <f t="shared" si="0"/>
        <v>12</v>
      </c>
    </row>
    <row r="20" spans="1:65" ht="15" customHeight="1" x14ac:dyDescent="0.25">
      <c r="A20" s="230"/>
      <c r="B20" s="305"/>
      <c r="K20" s="306"/>
      <c r="U20" s="305"/>
      <c r="AD20" s="305"/>
      <c r="AM20" s="305"/>
      <c r="BI20" s="307"/>
      <c r="BK20" s="231"/>
      <c r="BM20" s="26">
        <f t="shared" si="0"/>
        <v>13</v>
      </c>
    </row>
    <row r="21" spans="1:65" ht="15" customHeight="1" x14ac:dyDescent="0.25">
      <c r="A21" s="230"/>
      <c r="B21" s="305"/>
      <c r="K21" s="306"/>
      <c r="U21" s="305"/>
      <c r="AD21" s="305"/>
      <c r="AM21" s="305"/>
      <c r="BI21" s="307"/>
      <c r="BK21" s="231"/>
      <c r="BM21" s="26">
        <f t="shared" si="0"/>
        <v>14</v>
      </c>
    </row>
    <row r="22" spans="1:65" s="295" customFormat="1" ht="15" customHeight="1" x14ac:dyDescent="0.25">
      <c r="A22" s="294"/>
      <c r="B22" s="305"/>
      <c r="C22" s="199"/>
      <c r="D22" s="199"/>
      <c r="E22" s="199"/>
      <c r="F22" s="199"/>
      <c r="G22" s="199"/>
      <c r="H22" s="199"/>
      <c r="I22" s="199"/>
      <c r="J22" s="199"/>
      <c r="K22" s="306"/>
      <c r="L22" s="199"/>
      <c r="M22" s="199"/>
      <c r="N22" s="199"/>
      <c r="O22" s="199"/>
      <c r="P22" s="199"/>
      <c r="Q22" s="199"/>
      <c r="R22" s="199"/>
      <c r="S22" s="199"/>
      <c r="T22" s="199"/>
      <c r="U22" s="305"/>
      <c r="V22" s="199"/>
      <c r="W22" s="199"/>
      <c r="X22" s="199"/>
      <c r="Y22" s="199"/>
      <c r="Z22" s="199"/>
      <c r="AA22" s="199"/>
      <c r="AB22" s="199"/>
      <c r="AC22" s="199"/>
      <c r="AD22" s="305"/>
      <c r="AE22" s="199"/>
      <c r="AF22" s="199"/>
      <c r="AG22" s="199"/>
      <c r="AH22" s="199"/>
      <c r="AI22" s="199"/>
      <c r="AJ22" s="199"/>
      <c r="AK22" s="199"/>
      <c r="AL22" s="199"/>
      <c r="AM22" s="305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307"/>
      <c r="BJ22" s="199"/>
      <c r="BK22" s="231"/>
      <c r="BM22" s="26">
        <f t="shared" si="0"/>
        <v>15</v>
      </c>
    </row>
    <row r="23" spans="1:65" s="295" customFormat="1" ht="15" customHeight="1" x14ac:dyDescent="0.25">
      <c r="A23" s="294"/>
      <c r="B23" s="305"/>
      <c r="C23" s="199"/>
      <c r="D23" s="199"/>
      <c r="E23" s="199"/>
      <c r="F23" s="199"/>
      <c r="G23" s="199"/>
      <c r="H23" s="199"/>
      <c r="I23" s="199"/>
      <c r="J23" s="199"/>
      <c r="K23" s="306"/>
      <c r="L23" s="199"/>
      <c r="M23" s="199"/>
      <c r="N23" s="199"/>
      <c r="O23" s="199"/>
      <c r="P23" s="199"/>
      <c r="Q23" s="199"/>
      <c r="R23" s="199"/>
      <c r="S23" s="199"/>
      <c r="T23" s="199"/>
      <c r="U23" s="305"/>
      <c r="V23" s="199"/>
      <c r="W23" s="199"/>
      <c r="X23" s="199"/>
      <c r="Y23" s="199"/>
      <c r="Z23" s="199"/>
      <c r="AA23" s="199"/>
      <c r="AB23" s="199"/>
      <c r="AC23" s="199"/>
      <c r="AD23" s="305"/>
      <c r="AE23" s="199"/>
      <c r="AF23" s="199"/>
      <c r="AG23" s="199"/>
      <c r="AH23" s="199"/>
      <c r="AI23" s="199"/>
      <c r="AJ23" s="199"/>
      <c r="AK23" s="199"/>
      <c r="AL23" s="199"/>
      <c r="AM23" s="305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307"/>
      <c r="BJ23" s="199"/>
      <c r="BK23" s="231"/>
      <c r="BM23" s="26">
        <f t="shared" si="0"/>
        <v>16</v>
      </c>
    </row>
    <row r="24" spans="1:65" s="295" customFormat="1" ht="15" customHeight="1" x14ac:dyDescent="0.25">
      <c r="A24" s="294"/>
      <c r="B24" s="305"/>
      <c r="C24" s="199"/>
      <c r="D24" s="199"/>
      <c r="E24" s="199"/>
      <c r="F24" s="199"/>
      <c r="G24" s="199"/>
      <c r="H24" s="199"/>
      <c r="I24" s="199"/>
      <c r="J24" s="199"/>
      <c r="K24" s="306"/>
      <c r="L24" s="199"/>
      <c r="M24" s="199"/>
      <c r="N24" s="199"/>
      <c r="O24" s="199"/>
      <c r="P24" s="199"/>
      <c r="Q24" s="199"/>
      <c r="R24" s="199"/>
      <c r="S24" s="199"/>
      <c r="T24" s="199"/>
      <c r="U24" s="305"/>
      <c r="V24" s="199"/>
      <c r="W24" s="199"/>
      <c r="X24" s="199"/>
      <c r="Y24" s="199"/>
      <c r="Z24" s="199"/>
      <c r="AA24" s="199"/>
      <c r="AB24" s="199"/>
      <c r="AC24" s="199"/>
      <c r="AD24" s="305"/>
      <c r="AE24" s="199"/>
      <c r="AF24" s="199"/>
      <c r="AG24" s="199"/>
      <c r="AH24" s="199"/>
      <c r="AI24" s="199"/>
      <c r="AJ24" s="199"/>
      <c r="AK24" s="199"/>
      <c r="AL24" s="199"/>
      <c r="AM24" s="305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307"/>
      <c r="BJ24" s="199"/>
      <c r="BK24" s="231"/>
      <c r="BM24" s="26">
        <f t="shared" si="0"/>
        <v>17</v>
      </c>
    </row>
    <row r="25" spans="1:65" s="295" customFormat="1" ht="15" customHeight="1" x14ac:dyDescent="0.25">
      <c r="A25" s="294"/>
      <c r="B25" s="305"/>
      <c r="C25" s="199"/>
      <c r="D25" s="199"/>
      <c r="E25" s="199"/>
      <c r="F25" s="199"/>
      <c r="G25" s="199"/>
      <c r="H25" s="199"/>
      <c r="I25" s="199"/>
      <c r="J25" s="199"/>
      <c r="K25" s="306"/>
      <c r="L25" s="199"/>
      <c r="M25" s="199"/>
      <c r="N25" s="199"/>
      <c r="O25" s="199"/>
      <c r="P25" s="199"/>
      <c r="Q25" s="199"/>
      <c r="R25" s="199"/>
      <c r="S25" s="199"/>
      <c r="T25" s="199"/>
      <c r="U25" s="305"/>
      <c r="V25" s="199"/>
      <c r="W25" s="199"/>
      <c r="X25" s="199"/>
      <c r="Y25" s="199"/>
      <c r="Z25" s="199"/>
      <c r="AA25" s="199"/>
      <c r="AB25" s="199"/>
      <c r="AC25" s="199"/>
      <c r="AD25" s="305"/>
      <c r="AE25" s="199"/>
      <c r="AF25" s="199"/>
      <c r="AG25" s="199"/>
      <c r="AH25" s="199"/>
      <c r="AI25" s="199"/>
      <c r="AJ25" s="199"/>
      <c r="AK25" s="199"/>
      <c r="AL25" s="199"/>
      <c r="AM25" s="305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307"/>
      <c r="BJ25" s="199"/>
      <c r="BK25" s="231"/>
      <c r="BM25" s="26">
        <f t="shared" si="0"/>
        <v>18</v>
      </c>
    </row>
    <row r="26" spans="1:65" s="295" customFormat="1" ht="15" customHeight="1" x14ac:dyDescent="0.25">
      <c r="A26" s="294"/>
      <c r="B26" s="305"/>
      <c r="C26" s="199"/>
      <c r="D26" s="199"/>
      <c r="E26" s="199"/>
      <c r="F26" s="199"/>
      <c r="G26" s="199"/>
      <c r="H26" s="199"/>
      <c r="I26" s="199"/>
      <c r="J26" s="199"/>
      <c r="K26" s="306"/>
      <c r="L26" s="199"/>
      <c r="M26" s="199"/>
      <c r="N26" s="199"/>
      <c r="O26" s="199"/>
      <c r="P26" s="199"/>
      <c r="Q26" s="199"/>
      <c r="R26" s="199"/>
      <c r="S26" s="199"/>
      <c r="T26" s="199"/>
      <c r="U26" s="305"/>
      <c r="V26" s="199"/>
      <c r="W26" s="199"/>
      <c r="X26" s="199"/>
      <c r="Y26" s="199"/>
      <c r="Z26" s="199"/>
      <c r="AA26" s="199"/>
      <c r="AB26" s="199"/>
      <c r="AC26" s="199"/>
      <c r="AD26" s="305"/>
      <c r="AE26" s="199"/>
      <c r="AF26" s="199"/>
      <c r="AG26" s="199"/>
      <c r="AH26" s="199"/>
      <c r="AI26" s="199"/>
      <c r="AJ26" s="199"/>
      <c r="AK26" s="199"/>
      <c r="AL26" s="199"/>
      <c r="AM26" s="305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307"/>
      <c r="BJ26" s="199"/>
      <c r="BK26" s="231"/>
      <c r="BM26" s="26">
        <f t="shared" si="0"/>
        <v>19</v>
      </c>
    </row>
    <row r="27" spans="1:65" s="295" customFormat="1" ht="15" customHeight="1" x14ac:dyDescent="0.25">
      <c r="A27" s="294"/>
      <c r="B27" s="305"/>
      <c r="C27" s="199"/>
      <c r="D27" s="199"/>
      <c r="E27" s="199"/>
      <c r="F27" s="199"/>
      <c r="G27" s="199"/>
      <c r="H27" s="199"/>
      <c r="I27" s="199"/>
      <c r="J27" s="199"/>
      <c r="K27" s="306"/>
      <c r="L27" s="199"/>
      <c r="M27" s="199"/>
      <c r="N27" s="199"/>
      <c r="O27" s="199"/>
      <c r="P27" s="199"/>
      <c r="Q27" s="199"/>
      <c r="R27" s="199"/>
      <c r="S27" s="199"/>
      <c r="T27" s="199"/>
      <c r="U27" s="305"/>
      <c r="V27" s="199"/>
      <c r="W27" s="199"/>
      <c r="X27" s="199"/>
      <c r="Y27" s="199"/>
      <c r="Z27" s="199"/>
      <c r="AA27" s="199"/>
      <c r="AB27" s="199"/>
      <c r="AC27" s="199"/>
      <c r="AD27" s="305"/>
      <c r="AE27" s="199"/>
      <c r="AF27" s="199"/>
      <c r="AG27" s="199"/>
      <c r="AH27" s="199"/>
      <c r="AI27" s="199"/>
      <c r="AJ27" s="199"/>
      <c r="AK27" s="199"/>
      <c r="AL27" s="199"/>
      <c r="AM27" s="305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307"/>
      <c r="BJ27" s="199"/>
      <c r="BK27" s="231"/>
      <c r="BM27" s="26">
        <f t="shared" si="0"/>
        <v>20</v>
      </c>
    </row>
    <row r="28" spans="1:65" s="295" customFormat="1" ht="15" customHeight="1" x14ac:dyDescent="0.25">
      <c r="A28" s="294"/>
      <c r="B28" s="305"/>
      <c r="C28" s="199"/>
      <c r="D28" s="199"/>
      <c r="E28" s="199"/>
      <c r="F28" s="199"/>
      <c r="G28" s="199"/>
      <c r="H28" s="199"/>
      <c r="I28" s="199"/>
      <c r="J28" s="199"/>
      <c r="K28" s="306"/>
      <c r="L28" s="199"/>
      <c r="M28" s="199"/>
      <c r="N28" s="199"/>
      <c r="O28" s="199"/>
      <c r="P28" s="199"/>
      <c r="Q28" s="199"/>
      <c r="R28" s="199"/>
      <c r="S28" s="199"/>
      <c r="T28" s="199"/>
      <c r="U28" s="305"/>
      <c r="V28" s="199"/>
      <c r="W28" s="199"/>
      <c r="X28" s="199"/>
      <c r="Y28" s="199"/>
      <c r="Z28" s="199"/>
      <c r="AA28" s="199"/>
      <c r="AB28" s="199"/>
      <c r="AC28" s="199"/>
      <c r="AD28" s="305"/>
      <c r="AE28" s="199"/>
      <c r="AF28" s="199"/>
      <c r="AG28" s="199"/>
      <c r="AH28" s="199"/>
      <c r="AI28" s="199"/>
      <c r="AJ28" s="199"/>
      <c r="AK28" s="199"/>
      <c r="AL28" s="199"/>
      <c r="AM28" s="305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307"/>
      <c r="BJ28" s="199"/>
      <c r="BK28" s="231"/>
      <c r="BM28" s="26">
        <f t="shared" si="0"/>
        <v>21</v>
      </c>
    </row>
    <row r="29" spans="1:65" s="295" customFormat="1" ht="15" customHeight="1" x14ac:dyDescent="0.25">
      <c r="A29" s="294"/>
      <c r="B29" s="305"/>
      <c r="C29" s="199"/>
      <c r="D29" s="199"/>
      <c r="E29" s="199"/>
      <c r="F29" s="199"/>
      <c r="G29" s="199"/>
      <c r="H29" s="199"/>
      <c r="I29" s="199"/>
      <c r="J29" s="199"/>
      <c r="K29" s="306"/>
      <c r="L29" s="199"/>
      <c r="M29" s="199"/>
      <c r="N29" s="199"/>
      <c r="O29" s="199"/>
      <c r="P29" s="199"/>
      <c r="Q29" s="199"/>
      <c r="R29" s="199"/>
      <c r="S29" s="199"/>
      <c r="T29" s="199"/>
      <c r="U29" s="305"/>
      <c r="V29" s="199"/>
      <c r="W29" s="199"/>
      <c r="X29" s="199"/>
      <c r="Y29" s="199"/>
      <c r="Z29" s="199"/>
      <c r="AA29" s="199"/>
      <c r="AB29" s="199"/>
      <c r="AC29" s="199"/>
      <c r="AD29" s="305"/>
      <c r="AE29" s="199"/>
      <c r="AF29" s="199"/>
      <c r="AG29" s="199"/>
      <c r="AH29" s="199"/>
      <c r="AI29" s="199"/>
      <c r="AJ29" s="199"/>
      <c r="AK29" s="199"/>
      <c r="AL29" s="199"/>
      <c r="AM29" s="305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307"/>
      <c r="BJ29" s="199"/>
      <c r="BK29" s="231"/>
      <c r="BM29" s="26">
        <f t="shared" si="0"/>
        <v>22</v>
      </c>
    </row>
    <row r="30" spans="1:65" s="295" customFormat="1" ht="15" customHeight="1" x14ac:dyDescent="0.25">
      <c r="A30" s="294"/>
      <c r="B30" s="305"/>
      <c r="C30" s="199"/>
      <c r="D30" s="199"/>
      <c r="E30" s="199"/>
      <c r="F30" s="199"/>
      <c r="G30" s="199"/>
      <c r="H30" s="199"/>
      <c r="I30" s="199"/>
      <c r="J30" s="199"/>
      <c r="K30" s="306"/>
      <c r="L30" s="199"/>
      <c r="M30" s="199"/>
      <c r="N30" s="199"/>
      <c r="O30" s="199"/>
      <c r="P30" s="199"/>
      <c r="Q30" s="199"/>
      <c r="R30" s="199"/>
      <c r="S30" s="199"/>
      <c r="T30" s="199"/>
      <c r="U30" s="305"/>
      <c r="V30" s="199"/>
      <c r="W30" s="199"/>
      <c r="X30" s="199"/>
      <c r="Y30" s="199"/>
      <c r="Z30" s="199"/>
      <c r="AA30" s="199"/>
      <c r="AB30" s="199"/>
      <c r="AC30" s="199"/>
      <c r="AD30" s="305"/>
      <c r="AE30" s="199"/>
      <c r="AF30" s="199"/>
      <c r="AG30" s="199"/>
      <c r="AH30" s="199"/>
      <c r="AI30" s="199"/>
      <c r="AJ30" s="199"/>
      <c r="AK30" s="199"/>
      <c r="AL30" s="199"/>
      <c r="AM30" s="305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307"/>
      <c r="BJ30" s="199"/>
      <c r="BK30" s="231"/>
      <c r="BM30" s="26">
        <f t="shared" si="0"/>
        <v>23</v>
      </c>
    </row>
    <row r="31" spans="1:65" s="295" customFormat="1" ht="15" customHeight="1" x14ac:dyDescent="0.25">
      <c r="A31" s="294"/>
      <c r="B31" s="305"/>
      <c r="C31" s="199"/>
      <c r="D31" s="199"/>
      <c r="E31" s="199"/>
      <c r="F31" s="199"/>
      <c r="G31" s="199"/>
      <c r="H31" s="199"/>
      <c r="I31" s="199"/>
      <c r="J31" s="199"/>
      <c r="K31" s="306"/>
      <c r="L31" s="199"/>
      <c r="M31" s="199"/>
      <c r="N31" s="199"/>
      <c r="O31" s="199"/>
      <c r="P31" s="199"/>
      <c r="Q31" s="199"/>
      <c r="R31" s="199"/>
      <c r="S31" s="199"/>
      <c r="T31" s="199"/>
      <c r="U31" s="305"/>
      <c r="V31" s="199"/>
      <c r="W31" s="199"/>
      <c r="X31" s="199"/>
      <c r="Y31" s="199"/>
      <c r="Z31" s="199"/>
      <c r="AA31" s="199"/>
      <c r="AB31" s="199"/>
      <c r="AC31" s="199"/>
      <c r="AD31" s="305"/>
      <c r="AE31" s="199"/>
      <c r="AF31" s="199"/>
      <c r="AG31" s="199"/>
      <c r="AH31" s="199"/>
      <c r="AI31" s="199"/>
      <c r="AJ31" s="199"/>
      <c r="AK31" s="199"/>
      <c r="AL31" s="199"/>
      <c r="AM31" s="305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307"/>
      <c r="BJ31" s="199"/>
      <c r="BK31" s="231"/>
      <c r="BM31" s="26">
        <f t="shared" si="0"/>
        <v>24</v>
      </c>
    </row>
    <row r="32" spans="1:65" s="295" customFormat="1" ht="15" customHeight="1" x14ac:dyDescent="0.25">
      <c r="A32" s="294"/>
      <c r="B32" s="305"/>
      <c r="C32" s="199"/>
      <c r="D32" s="199"/>
      <c r="E32" s="199"/>
      <c r="F32" s="199"/>
      <c r="G32" s="199"/>
      <c r="H32" s="199"/>
      <c r="I32" s="199"/>
      <c r="J32" s="199"/>
      <c r="K32" s="306"/>
      <c r="L32" s="199"/>
      <c r="M32" s="199"/>
      <c r="N32" s="199"/>
      <c r="O32" s="199"/>
      <c r="P32" s="199"/>
      <c r="Q32" s="199"/>
      <c r="R32" s="199"/>
      <c r="S32" s="199"/>
      <c r="T32" s="199"/>
      <c r="U32" s="305"/>
      <c r="V32" s="199"/>
      <c r="W32" s="199"/>
      <c r="X32" s="199"/>
      <c r="Y32" s="199"/>
      <c r="Z32" s="199"/>
      <c r="AA32" s="199"/>
      <c r="AB32" s="199"/>
      <c r="AC32" s="199"/>
      <c r="AD32" s="305"/>
      <c r="AE32" s="199"/>
      <c r="AF32" s="199"/>
      <c r="AG32" s="199"/>
      <c r="AH32" s="199"/>
      <c r="AI32" s="199"/>
      <c r="AJ32" s="199"/>
      <c r="AK32" s="199"/>
      <c r="AL32" s="199"/>
      <c r="AM32" s="305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307"/>
      <c r="BJ32" s="199"/>
      <c r="BK32" s="231"/>
      <c r="BM32" s="26">
        <f>IF(BM31=50,1,BM31+1)</f>
        <v>25</v>
      </c>
    </row>
    <row r="33" spans="1:65" s="295" customFormat="1" ht="15" customHeight="1" x14ac:dyDescent="0.25">
      <c r="A33" s="294"/>
      <c r="B33" s="305"/>
      <c r="C33" s="199"/>
      <c r="D33" s="199"/>
      <c r="E33" s="199"/>
      <c r="F33" s="199"/>
      <c r="G33" s="199"/>
      <c r="H33" s="199"/>
      <c r="I33" s="199"/>
      <c r="J33" s="199"/>
      <c r="K33" s="306"/>
      <c r="L33" s="199"/>
      <c r="M33" s="199"/>
      <c r="N33" s="199"/>
      <c r="O33" s="199"/>
      <c r="P33" s="199"/>
      <c r="Q33" s="199"/>
      <c r="R33" s="199"/>
      <c r="S33" s="199"/>
      <c r="T33" s="199"/>
      <c r="U33" s="305"/>
      <c r="V33" s="199"/>
      <c r="W33" s="199"/>
      <c r="X33" s="199"/>
      <c r="Y33" s="199"/>
      <c r="Z33" s="199"/>
      <c r="AA33" s="199"/>
      <c r="AB33" s="199"/>
      <c r="AC33" s="199"/>
      <c r="AD33" s="305"/>
      <c r="AE33" s="199"/>
      <c r="AF33" s="199"/>
      <c r="AG33" s="199"/>
      <c r="AH33" s="199"/>
      <c r="AI33" s="199"/>
      <c r="AJ33" s="199"/>
      <c r="AK33" s="199"/>
      <c r="AL33" s="199"/>
      <c r="AM33" s="305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307"/>
      <c r="BJ33" s="199"/>
      <c r="BK33" s="231"/>
      <c r="BM33" s="26">
        <f>IF(BM32=50,1,BM32+1)</f>
        <v>26</v>
      </c>
    </row>
    <row r="34" spans="1:65" s="295" customFormat="1" ht="15" customHeight="1" x14ac:dyDescent="0.25">
      <c r="A34" s="294"/>
      <c r="B34" s="305"/>
      <c r="C34" s="199"/>
      <c r="D34" s="199"/>
      <c r="E34" s="199"/>
      <c r="F34" s="199"/>
      <c r="G34" s="199"/>
      <c r="H34" s="199"/>
      <c r="I34" s="199"/>
      <c r="J34" s="199"/>
      <c r="K34" s="306"/>
      <c r="L34" s="199"/>
      <c r="M34" s="199"/>
      <c r="N34" s="199"/>
      <c r="O34" s="199"/>
      <c r="P34" s="199"/>
      <c r="Q34" s="199"/>
      <c r="R34" s="199"/>
      <c r="S34" s="199"/>
      <c r="T34" s="199"/>
      <c r="U34" s="305"/>
      <c r="V34" s="199"/>
      <c r="W34" s="199"/>
      <c r="X34" s="199"/>
      <c r="Y34" s="199"/>
      <c r="Z34" s="199"/>
      <c r="AA34" s="199"/>
      <c r="AB34" s="199"/>
      <c r="AC34" s="199"/>
      <c r="AD34" s="305"/>
      <c r="AE34" s="199"/>
      <c r="AF34" s="199"/>
      <c r="AG34" s="199"/>
      <c r="AH34" s="199"/>
      <c r="AI34" s="199"/>
      <c r="AJ34" s="199"/>
      <c r="AK34" s="199"/>
      <c r="AL34" s="199"/>
      <c r="AM34" s="305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307"/>
      <c r="BJ34" s="199"/>
      <c r="BK34" s="231"/>
      <c r="BM34" s="26">
        <f t="shared" si="0"/>
        <v>27</v>
      </c>
    </row>
    <row r="35" spans="1:65" s="295" customFormat="1" ht="15" customHeight="1" x14ac:dyDescent="0.25">
      <c r="A35" s="294"/>
      <c r="B35" s="305"/>
      <c r="C35" s="199"/>
      <c r="D35" s="199"/>
      <c r="E35" s="199"/>
      <c r="F35" s="199"/>
      <c r="G35" s="199"/>
      <c r="H35" s="199"/>
      <c r="I35" s="199"/>
      <c r="J35" s="199"/>
      <c r="K35" s="306"/>
      <c r="L35" s="199"/>
      <c r="M35" s="199"/>
      <c r="N35" s="199"/>
      <c r="O35" s="199"/>
      <c r="P35" s="199"/>
      <c r="Q35" s="199"/>
      <c r="R35" s="199"/>
      <c r="S35" s="199"/>
      <c r="T35" s="199"/>
      <c r="U35" s="305"/>
      <c r="V35" s="199"/>
      <c r="W35" s="199"/>
      <c r="X35" s="199"/>
      <c r="Y35" s="199"/>
      <c r="Z35" s="199"/>
      <c r="AA35" s="199"/>
      <c r="AB35" s="199"/>
      <c r="AC35" s="199"/>
      <c r="AD35" s="305"/>
      <c r="AE35" s="199"/>
      <c r="AF35" s="199"/>
      <c r="AG35" s="199"/>
      <c r="AH35" s="199"/>
      <c r="AI35" s="199"/>
      <c r="AJ35" s="199"/>
      <c r="AK35" s="199"/>
      <c r="AL35" s="199"/>
      <c r="AM35" s="305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307"/>
      <c r="BJ35" s="199"/>
      <c r="BK35" s="231"/>
      <c r="BM35" s="26">
        <f t="shared" si="0"/>
        <v>28</v>
      </c>
    </row>
    <row r="36" spans="1:65" s="295" customFormat="1" ht="15" customHeight="1" x14ac:dyDescent="0.25">
      <c r="A36" s="294"/>
      <c r="B36" s="305"/>
      <c r="C36" s="199"/>
      <c r="D36" s="199"/>
      <c r="E36" s="199"/>
      <c r="F36" s="199"/>
      <c r="G36" s="199"/>
      <c r="H36" s="199"/>
      <c r="I36" s="199"/>
      <c r="J36" s="199"/>
      <c r="K36" s="306"/>
      <c r="L36" s="199"/>
      <c r="M36" s="199"/>
      <c r="N36" s="199"/>
      <c r="O36" s="199"/>
      <c r="P36" s="199"/>
      <c r="Q36" s="199"/>
      <c r="R36" s="199"/>
      <c r="S36" s="199"/>
      <c r="T36" s="199"/>
      <c r="U36" s="305"/>
      <c r="V36" s="199"/>
      <c r="W36" s="199"/>
      <c r="X36" s="199"/>
      <c r="Y36" s="199"/>
      <c r="Z36" s="199"/>
      <c r="AA36" s="199"/>
      <c r="AB36" s="199"/>
      <c r="AC36" s="199"/>
      <c r="AD36" s="305"/>
      <c r="AE36" s="199"/>
      <c r="AF36" s="199"/>
      <c r="AG36" s="199"/>
      <c r="AH36" s="199"/>
      <c r="AI36" s="199"/>
      <c r="AJ36" s="199"/>
      <c r="AK36" s="199"/>
      <c r="AL36" s="199"/>
      <c r="AM36" s="305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  <c r="BI36" s="307"/>
      <c r="BJ36" s="199"/>
      <c r="BK36" s="231"/>
      <c r="BM36" s="26">
        <f t="shared" si="0"/>
        <v>29</v>
      </c>
    </row>
    <row r="37" spans="1:65" s="295" customFormat="1" ht="15" customHeight="1" x14ac:dyDescent="0.25">
      <c r="A37" s="294"/>
      <c r="B37" s="305"/>
      <c r="C37" s="199"/>
      <c r="D37" s="199"/>
      <c r="E37" s="199"/>
      <c r="F37" s="199"/>
      <c r="G37" s="199"/>
      <c r="H37" s="199"/>
      <c r="I37" s="199"/>
      <c r="J37" s="199"/>
      <c r="K37" s="306"/>
      <c r="L37" s="199"/>
      <c r="M37" s="199"/>
      <c r="N37" s="199"/>
      <c r="O37" s="199"/>
      <c r="P37" s="199"/>
      <c r="Q37" s="199"/>
      <c r="R37" s="199"/>
      <c r="S37" s="199"/>
      <c r="T37" s="199"/>
      <c r="U37" s="305"/>
      <c r="V37" s="199"/>
      <c r="W37" s="199"/>
      <c r="X37" s="199"/>
      <c r="Y37" s="199"/>
      <c r="Z37" s="199"/>
      <c r="AA37" s="199"/>
      <c r="AB37" s="199"/>
      <c r="AC37" s="199"/>
      <c r="AD37" s="305"/>
      <c r="AE37" s="199"/>
      <c r="AF37" s="199"/>
      <c r="AG37" s="199"/>
      <c r="AH37" s="199"/>
      <c r="AI37" s="199"/>
      <c r="AJ37" s="199"/>
      <c r="AK37" s="199"/>
      <c r="AL37" s="199"/>
      <c r="AM37" s="305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307"/>
      <c r="BJ37" s="199"/>
      <c r="BK37" s="231"/>
      <c r="BM37" s="26">
        <f t="shared" si="0"/>
        <v>30</v>
      </c>
    </row>
    <row r="38" spans="1:65" s="295" customFormat="1" ht="15" customHeight="1" x14ac:dyDescent="0.25">
      <c r="A38" s="294"/>
      <c r="B38" s="305"/>
      <c r="C38" s="199"/>
      <c r="D38" s="199"/>
      <c r="E38" s="199"/>
      <c r="F38" s="199"/>
      <c r="G38" s="199"/>
      <c r="H38" s="199"/>
      <c r="I38" s="199"/>
      <c r="J38" s="199"/>
      <c r="K38" s="306"/>
      <c r="L38" s="199"/>
      <c r="M38" s="199"/>
      <c r="N38" s="199"/>
      <c r="O38" s="199"/>
      <c r="P38" s="199"/>
      <c r="Q38" s="199"/>
      <c r="R38" s="199"/>
      <c r="S38" s="199"/>
      <c r="T38" s="199"/>
      <c r="U38" s="305"/>
      <c r="V38" s="199"/>
      <c r="W38" s="199"/>
      <c r="X38" s="199"/>
      <c r="Y38" s="199"/>
      <c r="Z38" s="199"/>
      <c r="AA38" s="199"/>
      <c r="AB38" s="199"/>
      <c r="AC38" s="199"/>
      <c r="AD38" s="305"/>
      <c r="AE38" s="199"/>
      <c r="AF38" s="199"/>
      <c r="AG38" s="199"/>
      <c r="AH38" s="199"/>
      <c r="AI38" s="199"/>
      <c r="AJ38" s="199"/>
      <c r="AK38" s="199"/>
      <c r="AL38" s="199"/>
      <c r="AM38" s="305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/>
      <c r="AY38" s="199"/>
      <c r="AZ38" s="199"/>
      <c r="BA38" s="199"/>
      <c r="BB38" s="199"/>
      <c r="BC38" s="199"/>
      <c r="BD38" s="199"/>
      <c r="BE38" s="199"/>
      <c r="BF38" s="199"/>
      <c r="BG38" s="199"/>
      <c r="BH38" s="199"/>
      <c r="BI38" s="307"/>
      <c r="BJ38" s="199"/>
      <c r="BK38" s="231"/>
      <c r="BM38" s="26">
        <f t="shared" ref="BM38:BM90" si="1">IF(BM37=50,1,BM37+1)</f>
        <v>31</v>
      </c>
    </row>
    <row r="39" spans="1:65" s="295" customFormat="1" ht="15" customHeight="1" x14ac:dyDescent="0.25">
      <c r="A39" s="294"/>
      <c r="B39" s="305"/>
      <c r="C39" s="199"/>
      <c r="D39" s="199"/>
      <c r="E39" s="199"/>
      <c r="F39" s="199"/>
      <c r="G39" s="199"/>
      <c r="H39" s="199"/>
      <c r="I39" s="199"/>
      <c r="J39" s="199"/>
      <c r="K39" s="306"/>
      <c r="L39" s="199"/>
      <c r="M39" s="199"/>
      <c r="N39" s="199"/>
      <c r="O39" s="199"/>
      <c r="P39" s="199"/>
      <c r="Q39" s="199"/>
      <c r="R39" s="199"/>
      <c r="S39" s="199"/>
      <c r="T39" s="199"/>
      <c r="U39" s="305"/>
      <c r="V39" s="199"/>
      <c r="W39" s="199"/>
      <c r="X39" s="199"/>
      <c r="Y39" s="199"/>
      <c r="Z39" s="199"/>
      <c r="AA39" s="199"/>
      <c r="AB39" s="199"/>
      <c r="AC39" s="199"/>
      <c r="AD39" s="305"/>
      <c r="AE39" s="199"/>
      <c r="AF39" s="199"/>
      <c r="AG39" s="199"/>
      <c r="AH39" s="199"/>
      <c r="AI39" s="199"/>
      <c r="AJ39" s="199"/>
      <c r="AK39" s="199"/>
      <c r="AL39" s="199"/>
      <c r="AM39" s="305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307"/>
      <c r="BJ39" s="199"/>
      <c r="BK39" s="231"/>
      <c r="BM39" s="26">
        <f t="shared" si="1"/>
        <v>32</v>
      </c>
    </row>
    <row r="40" spans="1:65" s="295" customFormat="1" ht="15" customHeight="1" x14ac:dyDescent="0.25">
      <c r="A40" s="294"/>
      <c r="B40" s="305"/>
      <c r="C40" s="199"/>
      <c r="D40" s="199"/>
      <c r="E40" s="199"/>
      <c r="F40" s="199"/>
      <c r="G40" s="199"/>
      <c r="H40" s="199"/>
      <c r="I40" s="199"/>
      <c r="J40" s="199"/>
      <c r="K40" s="306"/>
      <c r="L40" s="199"/>
      <c r="M40" s="199"/>
      <c r="N40" s="199"/>
      <c r="O40" s="199"/>
      <c r="P40" s="199"/>
      <c r="Q40" s="199"/>
      <c r="R40" s="199"/>
      <c r="S40" s="199"/>
      <c r="T40" s="199"/>
      <c r="U40" s="305"/>
      <c r="V40" s="199"/>
      <c r="W40" s="199"/>
      <c r="X40" s="199"/>
      <c r="Y40" s="199"/>
      <c r="Z40" s="199"/>
      <c r="AA40" s="199"/>
      <c r="AB40" s="199"/>
      <c r="AC40" s="199"/>
      <c r="AD40" s="305"/>
      <c r="AE40" s="199"/>
      <c r="AF40" s="199"/>
      <c r="AG40" s="199"/>
      <c r="AH40" s="199"/>
      <c r="AI40" s="199"/>
      <c r="AJ40" s="199"/>
      <c r="AK40" s="199"/>
      <c r="AL40" s="199"/>
      <c r="AM40" s="305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  <c r="BI40" s="307"/>
      <c r="BJ40" s="199"/>
      <c r="BK40" s="231"/>
      <c r="BM40" s="26">
        <f t="shared" si="1"/>
        <v>33</v>
      </c>
    </row>
    <row r="41" spans="1:65" s="295" customFormat="1" ht="15" customHeight="1" x14ac:dyDescent="0.25">
      <c r="A41" s="294"/>
      <c r="B41" s="305"/>
      <c r="C41" s="199"/>
      <c r="D41" s="199"/>
      <c r="E41" s="199"/>
      <c r="F41" s="199"/>
      <c r="G41" s="199"/>
      <c r="H41" s="199"/>
      <c r="I41" s="199"/>
      <c r="J41" s="199"/>
      <c r="K41" s="306"/>
      <c r="L41" s="199"/>
      <c r="M41" s="199"/>
      <c r="N41" s="199"/>
      <c r="O41" s="199"/>
      <c r="P41" s="199"/>
      <c r="Q41" s="199"/>
      <c r="R41" s="199"/>
      <c r="S41" s="199"/>
      <c r="T41" s="199"/>
      <c r="U41" s="305"/>
      <c r="V41" s="199"/>
      <c r="W41" s="199"/>
      <c r="X41" s="199"/>
      <c r="Y41" s="199"/>
      <c r="Z41" s="199"/>
      <c r="AA41" s="199"/>
      <c r="AB41" s="199"/>
      <c r="AC41" s="199"/>
      <c r="AD41" s="305"/>
      <c r="AE41" s="199"/>
      <c r="AF41" s="199"/>
      <c r="AG41" s="199"/>
      <c r="AH41" s="199"/>
      <c r="AI41" s="199"/>
      <c r="AJ41" s="199"/>
      <c r="AK41" s="199"/>
      <c r="AL41" s="199"/>
      <c r="AM41" s="305"/>
      <c r="AN41" s="199"/>
      <c r="AO41" s="199"/>
      <c r="AP41" s="199"/>
      <c r="AQ41" s="199"/>
      <c r="AR41" s="199"/>
      <c r="AS41" s="199"/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  <c r="BI41" s="307"/>
      <c r="BJ41" s="199"/>
      <c r="BK41" s="231"/>
      <c r="BM41" s="26">
        <f t="shared" si="1"/>
        <v>34</v>
      </c>
    </row>
    <row r="42" spans="1:65" s="295" customFormat="1" ht="15" customHeight="1" x14ac:dyDescent="0.25">
      <c r="A42" s="294"/>
      <c r="B42" s="305"/>
      <c r="C42" s="199"/>
      <c r="D42" s="199"/>
      <c r="E42" s="199"/>
      <c r="F42" s="199"/>
      <c r="G42" s="199"/>
      <c r="H42" s="199"/>
      <c r="I42" s="199"/>
      <c r="J42" s="199"/>
      <c r="K42" s="306"/>
      <c r="L42" s="199"/>
      <c r="M42" s="199"/>
      <c r="N42" s="199"/>
      <c r="O42" s="199"/>
      <c r="P42" s="199"/>
      <c r="Q42" s="199"/>
      <c r="R42" s="199"/>
      <c r="S42" s="199"/>
      <c r="T42" s="199"/>
      <c r="U42" s="305"/>
      <c r="V42" s="199"/>
      <c r="W42" s="199"/>
      <c r="X42" s="199"/>
      <c r="Y42" s="199"/>
      <c r="Z42" s="199"/>
      <c r="AA42" s="199"/>
      <c r="AB42" s="199"/>
      <c r="AC42" s="199"/>
      <c r="AD42" s="305"/>
      <c r="AE42" s="199"/>
      <c r="AF42" s="199"/>
      <c r="AG42" s="199"/>
      <c r="AH42" s="199"/>
      <c r="AI42" s="199"/>
      <c r="AJ42" s="199"/>
      <c r="AK42" s="199"/>
      <c r="AL42" s="199"/>
      <c r="AM42" s="305"/>
      <c r="AN42" s="199"/>
      <c r="AO42" s="199"/>
      <c r="AP42" s="199"/>
      <c r="AQ42" s="199"/>
      <c r="AR42" s="199"/>
      <c r="AS42" s="199"/>
      <c r="AT42" s="199"/>
      <c r="AU42" s="199"/>
      <c r="AV42" s="199"/>
      <c r="AW42" s="199"/>
      <c r="AX42" s="199"/>
      <c r="AY42" s="199"/>
      <c r="AZ42" s="199"/>
      <c r="BA42" s="199"/>
      <c r="BB42" s="199"/>
      <c r="BC42" s="199"/>
      <c r="BD42" s="199"/>
      <c r="BE42" s="199"/>
      <c r="BF42" s="199"/>
      <c r="BG42" s="199"/>
      <c r="BH42" s="199"/>
      <c r="BI42" s="307"/>
      <c r="BJ42" s="199"/>
      <c r="BK42" s="231"/>
      <c r="BM42" s="26">
        <f t="shared" si="1"/>
        <v>35</v>
      </c>
    </row>
    <row r="43" spans="1:65" s="295" customFormat="1" ht="15" customHeight="1" x14ac:dyDescent="0.25">
      <c r="A43" s="294"/>
      <c r="B43" s="305"/>
      <c r="C43" s="199"/>
      <c r="D43" s="199"/>
      <c r="E43" s="199"/>
      <c r="F43" s="199"/>
      <c r="G43" s="199"/>
      <c r="H43" s="199"/>
      <c r="I43" s="199"/>
      <c r="J43" s="199"/>
      <c r="K43" s="306"/>
      <c r="L43" s="199"/>
      <c r="M43" s="199"/>
      <c r="N43" s="199"/>
      <c r="O43" s="199"/>
      <c r="P43" s="199"/>
      <c r="Q43" s="199"/>
      <c r="R43" s="199"/>
      <c r="S43" s="199"/>
      <c r="T43" s="199"/>
      <c r="U43" s="305"/>
      <c r="V43" s="199"/>
      <c r="W43" s="199"/>
      <c r="X43" s="199"/>
      <c r="Y43" s="199"/>
      <c r="Z43" s="199"/>
      <c r="AA43" s="199"/>
      <c r="AB43" s="199"/>
      <c r="AC43" s="199"/>
      <c r="AD43" s="305"/>
      <c r="AE43" s="199"/>
      <c r="AF43" s="199"/>
      <c r="AG43" s="199"/>
      <c r="AH43" s="199"/>
      <c r="AI43" s="199"/>
      <c r="AJ43" s="199"/>
      <c r="AK43" s="199"/>
      <c r="AL43" s="199"/>
      <c r="AM43" s="305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307"/>
      <c r="BJ43" s="199"/>
      <c r="BK43" s="231"/>
      <c r="BM43" s="26">
        <f>IF(BM42=50,1,BM42+1)</f>
        <v>36</v>
      </c>
    </row>
    <row r="44" spans="1:65" s="295" customFormat="1" ht="15" customHeight="1" x14ac:dyDescent="0.25">
      <c r="A44" s="294"/>
      <c r="B44" s="305"/>
      <c r="C44" s="199"/>
      <c r="D44" s="199"/>
      <c r="E44" s="199"/>
      <c r="F44" s="199"/>
      <c r="G44" s="199"/>
      <c r="H44" s="199"/>
      <c r="I44" s="199"/>
      <c r="J44" s="199"/>
      <c r="K44" s="306"/>
      <c r="L44" s="199"/>
      <c r="M44" s="199"/>
      <c r="N44" s="199"/>
      <c r="O44" s="199"/>
      <c r="P44" s="199"/>
      <c r="Q44" s="199"/>
      <c r="R44" s="199"/>
      <c r="S44" s="199"/>
      <c r="T44" s="199"/>
      <c r="U44" s="305"/>
      <c r="V44" s="199"/>
      <c r="W44" s="199"/>
      <c r="X44" s="199"/>
      <c r="Y44" s="199"/>
      <c r="Z44" s="199"/>
      <c r="AA44" s="199"/>
      <c r="AB44" s="199"/>
      <c r="AC44" s="199"/>
      <c r="AD44" s="305"/>
      <c r="AE44" s="199"/>
      <c r="AF44" s="199"/>
      <c r="AG44" s="199"/>
      <c r="AH44" s="199"/>
      <c r="AI44" s="199"/>
      <c r="AJ44" s="199"/>
      <c r="AK44" s="199"/>
      <c r="AL44" s="199"/>
      <c r="AM44" s="305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307"/>
      <c r="BJ44" s="199"/>
      <c r="BK44" s="231"/>
      <c r="BM44" s="26">
        <f t="shared" si="1"/>
        <v>37</v>
      </c>
    </row>
    <row r="45" spans="1:65" s="295" customFormat="1" ht="15" customHeight="1" x14ac:dyDescent="0.25">
      <c r="A45" s="294"/>
      <c r="B45" s="305"/>
      <c r="C45" s="199"/>
      <c r="D45" s="199"/>
      <c r="E45" s="199"/>
      <c r="F45" s="199"/>
      <c r="G45" s="199"/>
      <c r="H45" s="199"/>
      <c r="I45" s="199"/>
      <c r="J45" s="199"/>
      <c r="K45" s="306"/>
      <c r="L45" s="199"/>
      <c r="M45" s="199"/>
      <c r="N45" s="199"/>
      <c r="O45" s="199"/>
      <c r="P45" s="199"/>
      <c r="Q45" s="199"/>
      <c r="R45" s="199"/>
      <c r="S45" s="199"/>
      <c r="T45" s="199"/>
      <c r="U45" s="305"/>
      <c r="V45" s="199"/>
      <c r="W45" s="199"/>
      <c r="X45" s="199"/>
      <c r="Y45" s="199"/>
      <c r="Z45" s="199"/>
      <c r="AA45" s="199"/>
      <c r="AB45" s="199"/>
      <c r="AC45" s="199"/>
      <c r="AD45" s="305"/>
      <c r="AE45" s="199"/>
      <c r="AF45" s="199"/>
      <c r="AG45" s="199"/>
      <c r="AH45" s="199"/>
      <c r="AI45" s="199"/>
      <c r="AJ45" s="199"/>
      <c r="AK45" s="199"/>
      <c r="AL45" s="199"/>
      <c r="AM45" s="305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  <c r="BI45" s="307"/>
      <c r="BJ45" s="199"/>
      <c r="BK45" s="231"/>
      <c r="BM45" s="26">
        <f t="shared" si="1"/>
        <v>38</v>
      </c>
    </row>
    <row r="46" spans="1:65" s="295" customFormat="1" ht="15" customHeight="1" x14ac:dyDescent="0.25">
      <c r="A46" s="294"/>
      <c r="B46" s="305"/>
      <c r="C46" s="199"/>
      <c r="D46" s="199"/>
      <c r="E46" s="199"/>
      <c r="F46" s="199"/>
      <c r="G46" s="199"/>
      <c r="H46" s="199"/>
      <c r="I46" s="199"/>
      <c r="J46" s="199"/>
      <c r="K46" s="306"/>
      <c r="L46" s="199"/>
      <c r="M46" s="199"/>
      <c r="N46" s="199"/>
      <c r="O46" s="199"/>
      <c r="P46" s="199"/>
      <c r="Q46" s="199"/>
      <c r="R46" s="199"/>
      <c r="S46" s="199"/>
      <c r="T46" s="199"/>
      <c r="U46" s="305"/>
      <c r="V46" s="199"/>
      <c r="W46" s="199"/>
      <c r="X46" s="199"/>
      <c r="Y46" s="199"/>
      <c r="Z46" s="199"/>
      <c r="AA46" s="199"/>
      <c r="AB46" s="199"/>
      <c r="AC46" s="199"/>
      <c r="AD46" s="305"/>
      <c r="AE46" s="199"/>
      <c r="AF46" s="199"/>
      <c r="AG46" s="199"/>
      <c r="AH46" s="199"/>
      <c r="AI46" s="199"/>
      <c r="AJ46" s="199"/>
      <c r="AK46" s="199"/>
      <c r="AL46" s="199"/>
      <c r="AM46" s="305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  <c r="BI46" s="307"/>
      <c r="BJ46" s="199"/>
      <c r="BK46" s="231"/>
      <c r="BM46" s="26">
        <f t="shared" si="1"/>
        <v>39</v>
      </c>
    </row>
    <row r="47" spans="1:65" s="295" customFormat="1" ht="15" customHeight="1" x14ac:dyDescent="0.25">
      <c r="A47" s="294"/>
      <c r="B47" s="305"/>
      <c r="C47" s="199"/>
      <c r="D47" s="199"/>
      <c r="E47" s="199"/>
      <c r="F47" s="199"/>
      <c r="G47" s="199"/>
      <c r="H47" s="199"/>
      <c r="I47" s="199"/>
      <c r="J47" s="199"/>
      <c r="K47" s="306"/>
      <c r="L47" s="199"/>
      <c r="M47" s="199"/>
      <c r="N47" s="199"/>
      <c r="O47" s="199"/>
      <c r="P47" s="199"/>
      <c r="Q47" s="199"/>
      <c r="R47" s="199"/>
      <c r="S47" s="199"/>
      <c r="T47" s="199"/>
      <c r="U47" s="305"/>
      <c r="V47" s="199"/>
      <c r="W47" s="199"/>
      <c r="X47" s="199"/>
      <c r="Y47" s="199"/>
      <c r="Z47" s="199"/>
      <c r="AA47" s="199"/>
      <c r="AB47" s="199"/>
      <c r="AC47" s="199"/>
      <c r="AD47" s="305"/>
      <c r="AE47" s="199"/>
      <c r="AF47" s="199"/>
      <c r="AG47" s="199"/>
      <c r="AH47" s="199"/>
      <c r="AI47" s="199"/>
      <c r="AJ47" s="199"/>
      <c r="AK47" s="199"/>
      <c r="AL47" s="199"/>
      <c r="AM47" s="305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199"/>
      <c r="AY47" s="199"/>
      <c r="AZ47" s="199"/>
      <c r="BA47" s="199"/>
      <c r="BB47" s="199"/>
      <c r="BC47" s="199"/>
      <c r="BD47" s="199"/>
      <c r="BE47" s="199"/>
      <c r="BF47" s="199"/>
      <c r="BG47" s="199"/>
      <c r="BH47" s="199"/>
      <c r="BI47" s="307"/>
      <c r="BJ47" s="199"/>
      <c r="BK47" s="231"/>
      <c r="BM47" s="26">
        <f t="shared" si="1"/>
        <v>40</v>
      </c>
    </row>
    <row r="48" spans="1:65" s="295" customFormat="1" ht="15" customHeight="1" x14ac:dyDescent="0.25">
      <c r="A48" s="294"/>
      <c r="B48" s="305"/>
      <c r="C48" s="199"/>
      <c r="D48" s="199"/>
      <c r="E48" s="199"/>
      <c r="F48" s="199"/>
      <c r="G48" s="199"/>
      <c r="H48" s="199"/>
      <c r="I48" s="199"/>
      <c r="J48" s="199"/>
      <c r="K48" s="306"/>
      <c r="L48" s="199"/>
      <c r="M48" s="199"/>
      <c r="N48" s="199"/>
      <c r="O48" s="199"/>
      <c r="P48" s="199"/>
      <c r="Q48" s="199"/>
      <c r="R48" s="199"/>
      <c r="S48" s="199"/>
      <c r="T48" s="199"/>
      <c r="U48" s="305"/>
      <c r="V48" s="199"/>
      <c r="W48" s="199"/>
      <c r="X48" s="199"/>
      <c r="Y48" s="199"/>
      <c r="Z48" s="199"/>
      <c r="AA48" s="199"/>
      <c r="AB48" s="199"/>
      <c r="AC48" s="199"/>
      <c r="AD48" s="305"/>
      <c r="AE48" s="199"/>
      <c r="AF48" s="199"/>
      <c r="AG48" s="199"/>
      <c r="AH48" s="199"/>
      <c r="AI48" s="199"/>
      <c r="AJ48" s="199"/>
      <c r="AK48" s="199"/>
      <c r="AL48" s="199"/>
      <c r="AM48" s="305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  <c r="BI48" s="307"/>
      <c r="BJ48" s="199"/>
      <c r="BK48" s="231"/>
      <c r="BM48" s="26">
        <f t="shared" si="1"/>
        <v>41</v>
      </c>
    </row>
    <row r="49" spans="1:65" s="295" customFormat="1" ht="15" customHeight="1" x14ac:dyDescent="0.25">
      <c r="A49" s="294"/>
      <c r="B49" s="305"/>
      <c r="C49" s="199"/>
      <c r="D49" s="199"/>
      <c r="E49" s="199"/>
      <c r="F49" s="199"/>
      <c r="G49" s="199"/>
      <c r="H49" s="199"/>
      <c r="I49" s="199"/>
      <c r="J49" s="199"/>
      <c r="K49" s="306"/>
      <c r="L49" s="199"/>
      <c r="M49" s="199"/>
      <c r="N49" s="199"/>
      <c r="O49" s="199"/>
      <c r="P49" s="199"/>
      <c r="Q49" s="199"/>
      <c r="R49" s="199"/>
      <c r="S49" s="199"/>
      <c r="T49" s="199"/>
      <c r="U49" s="305"/>
      <c r="V49" s="199"/>
      <c r="W49" s="199"/>
      <c r="X49" s="199"/>
      <c r="Y49" s="199"/>
      <c r="Z49" s="199"/>
      <c r="AA49" s="199"/>
      <c r="AB49" s="199"/>
      <c r="AC49" s="199"/>
      <c r="AD49" s="305"/>
      <c r="AE49" s="199"/>
      <c r="AF49" s="199"/>
      <c r="AG49" s="199"/>
      <c r="AH49" s="199"/>
      <c r="AI49" s="199"/>
      <c r="AJ49" s="199"/>
      <c r="AK49" s="199"/>
      <c r="AL49" s="199"/>
      <c r="AM49" s="305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199"/>
      <c r="AY49" s="199"/>
      <c r="AZ49" s="199"/>
      <c r="BA49" s="199"/>
      <c r="BB49" s="199"/>
      <c r="BC49" s="199"/>
      <c r="BD49" s="199"/>
      <c r="BE49" s="199"/>
      <c r="BF49" s="199"/>
      <c r="BG49" s="199"/>
      <c r="BH49" s="199"/>
      <c r="BI49" s="307"/>
      <c r="BJ49" s="199"/>
      <c r="BK49" s="231"/>
      <c r="BM49" s="26">
        <f t="shared" si="1"/>
        <v>42</v>
      </c>
    </row>
    <row r="50" spans="1:65" s="295" customFormat="1" ht="15" customHeight="1" x14ac:dyDescent="0.25">
      <c r="A50" s="294"/>
      <c r="B50" s="305"/>
      <c r="C50" s="199"/>
      <c r="D50" s="199"/>
      <c r="E50" s="199"/>
      <c r="F50" s="199"/>
      <c r="G50" s="199"/>
      <c r="H50" s="199"/>
      <c r="I50" s="199"/>
      <c r="J50" s="199"/>
      <c r="K50" s="306"/>
      <c r="L50" s="199"/>
      <c r="M50" s="199"/>
      <c r="N50" s="199"/>
      <c r="O50" s="199"/>
      <c r="P50" s="199"/>
      <c r="Q50" s="199"/>
      <c r="R50" s="199"/>
      <c r="S50" s="199"/>
      <c r="T50" s="199"/>
      <c r="U50" s="305"/>
      <c r="V50" s="199"/>
      <c r="W50" s="199"/>
      <c r="X50" s="199"/>
      <c r="Y50" s="199"/>
      <c r="Z50" s="199"/>
      <c r="AA50" s="199"/>
      <c r="AB50" s="199"/>
      <c r="AC50" s="199"/>
      <c r="AD50" s="305"/>
      <c r="AE50" s="199"/>
      <c r="AF50" s="199"/>
      <c r="AG50" s="199"/>
      <c r="AH50" s="199"/>
      <c r="AI50" s="199"/>
      <c r="AJ50" s="199"/>
      <c r="AK50" s="199"/>
      <c r="AL50" s="199"/>
      <c r="AM50" s="305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307"/>
      <c r="BJ50" s="199"/>
      <c r="BK50" s="231"/>
      <c r="BM50" s="26">
        <f t="shared" si="1"/>
        <v>43</v>
      </c>
    </row>
    <row r="51" spans="1:65" s="295" customFormat="1" ht="15" customHeight="1" x14ac:dyDescent="0.25">
      <c r="A51" s="294"/>
      <c r="B51" s="305"/>
      <c r="C51" s="199"/>
      <c r="D51" s="199"/>
      <c r="E51" s="199"/>
      <c r="F51" s="199"/>
      <c r="G51" s="199"/>
      <c r="H51" s="199"/>
      <c r="I51" s="199"/>
      <c r="J51" s="199"/>
      <c r="K51" s="306"/>
      <c r="L51" s="199"/>
      <c r="M51" s="199"/>
      <c r="N51" s="199"/>
      <c r="O51" s="199"/>
      <c r="P51" s="199"/>
      <c r="Q51" s="199"/>
      <c r="R51" s="199"/>
      <c r="S51" s="199"/>
      <c r="T51" s="199"/>
      <c r="U51" s="305"/>
      <c r="V51" s="199"/>
      <c r="W51" s="199"/>
      <c r="X51" s="199"/>
      <c r="Y51" s="199"/>
      <c r="Z51" s="199"/>
      <c r="AA51" s="199"/>
      <c r="AB51" s="199"/>
      <c r="AC51" s="199"/>
      <c r="AD51" s="305"/>
      <c r="AE51" s="199"/>
      <c r="AF51" s="199"/>
      <c r="AG51" s="199"/>
      <c r="AH51" s="199"/>
      <c r="AI51" s="199"/>
      <c r="AJ51" s="199"/>
      <c r="AK51" s="199"/>
      <c r="AL51" s="199"/>
      <c r="AM51" s="305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199"/>
      <c r="BH51" s="199"/>
      <c r="BI51" s="307"/>
      <c r="BJ51" s="199"/>
      <c r="BK51" s="231"/>
      <c r="BM51" s="26">
        <f t="shared" si="1"/>
        <v>44</v>
      </c>
    </row>
    <row r="52" spans="1:65" s="295" customFormat="1" ht="15" customHeight="1" x14ac:dyDescent="0.25">
      <c r="A52" s="294"/>
      <c r="B52" s="305"/>
      <c r="C52" s="199"/>
      <c r="D52" s="199"/>
      <c r="E52" s="199"/>
      <c r="F52" s="199"/>
      <c r="G52" s="199"/>
      <c r="H52" s="199"/>
      <c r="I52" s="199"/>
      <c r="J52" s="199"/>
      <c r="K52" s="306"/>
      <c r="L52" s="199"/>
      <c r="M52" s="199"/>
      <c r="N52" s="199"/>
      <c r="O52" s="199"/>
      <c r="P52" s="199"/>
      <c r="Q52" s="199"/>
      <c r="R52" s="199"/>
      <c r="S52" s="199"/>
      <c r="T52" s="199"/>
      <c r="U52" s="305"/>
      <c r="V52" s="199"/>
      <c r="W52" s="199"/>
      <c r="X52" s="199"/>
      <c r="Y52" s="199"/>
      <c r="Z52" s="199"/>
      <c r="AA52" s="199"/>
      <c r="AB52" s="199"/>
      <c r="AC52" s="199"/>
      <c r="AD52" s="305"/>
      <c r="AE52" s="199"/>
      <c r="AF52" s="199"/>
      <c r="AG52" s="199"/>
      <c r="AH52" s="199"/>
      <c r="AI52" s="199"/>
      <c r="AJ52" s="199"/>
      <c r="AK52" s="199"/>
      <c r="AL52" s="199"/>
      <c r="AM52" s="305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199"/>
      <c r="BA52" s="199"/>
      <c r="BB52" s="199"/>
      <c r="BC52" s="199"/>
      <c r="BD52" s="199"/>
      <c r="BE52" s="199"/>
      <c r="BF52" s="199"/>
      <c r="BG52" s="199"/>
      <c r="BH52" s="199"/>
      <c r="BI52" s="307"/>
      <c r="BJ52" s="199"/>
      <c r="BK52" s="231"/>
      <c r="BM52" s="26">
        <f t="shared" si="1"/>
        <v>45</v>
      </c>
    </row>
    <row r="53" spans="1:65" s="295" customFormat="1" ht="15" customHeight="1" x14ac:dyDescent="0.25">
      <c r="A53" s="294"/>
      <c r="B53" s="305"/>
      <c r="C53" s="199"/>
      <c r="D53" s="199"/>
      <c r="E53" s="199"/>
      <c r="F53" s="199"/>
      <c r="G53" s="199"/>
      <c r="H53" s="199"/>
      <c r="I53" s="199"/>
      <c r="J53" s="199"/>
      <c r="K53" s="306"/>
      <c r="L53" s="199"/>
      <c r="M53" s="199"/>
      <c r="N53" s="199"/>
      <c r="O53" s="199"/>
      <c r="P53" s="199"/>
      <c r="Q53" s="199"/>
      <c r="R53" s="199"/>
      <c r="S53" s="199"/>
      <c r="T53" s="199"/>
      <c r="U53" s="305"/>
      <c r="V53" s="199"/>
      <c r="W53" s="199"/>
      <c r="X53" s="199"/>
      <c r="Y53" s="199"/>
      <c r="Z53" s="199"/>
      <c r="AA53" s="199"/>
      <c r="AB53" s="199"/>
      <c r="AC53" s="199"/>
      <c r="AD53" s="305"/>
      <c r="AE53" s="199"/>
      <c r="AF53" s="199"/>
      <c r="AG53" s="199"/>
      <c r="AH53" s="199"/>
      <c r="AI53" s="199"/>
      <c r="AJ53" s="199"/>
      <c r="AK53" s="199"/>
      <c r="AL53" s="199"/>
      <c r="AM53" s="305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199"/>
      <c r="AY53" s="199"/>
      <c r="AZ53" s="199"/>
      <c r="BA53" s="199"/>
      <c r="BB53" s="199"/>
      <c r="BC53" s="199"/>
      <c r="BD53" s="199"/>
      <c r="BE53" s="199"/>
      <c r="BF53" s="199"/>
      <c r="BG53" s="199"/>
      <c r="BH53" s="199"/>
      <c r="BI53" s="307"/>
      <c r="BJ53" s="199"/>
      <c r="BK53" s="231"/>
      <c r="BM53" s="26">
        <f t="shared" si="1"/>
        <v>46</v>
      </c>
    </row>
    <row r="54" spans="1:65" s="295" customFormat="1" ht="15" customHeight="1" x14ac:dyDescent="0.25">
      <c r="A54" s="294"/>
      <c r="B54" s="305"/>
      <c r="C54" s="199"/>
      <c r="D54" s="199"/>
      <c r="E54" s="199"/>
      <c r="F54" s="199"/>
      <c r="G54" s="199"/>
      <c r="H54" s="199"/>
      <c r="I54" s="199"/>
      <c r="J54" s="199"/>
      <c r="K54" s="306"/>
      <c r="L54" s="199"/>
      <c r="M54" s="199"/>
      <c r="N54" s="199"/>
      <c r="O54" s="199"/>
      <c r="P54" s="199"/>
      <c r="Q54" s="199"/>
      <c r="R54" s="199"/>
      <c r="S54" s="199"/>
      <c r="T54" s="199"/>
      <c r="U54" s="305"/>
      <c r="V54" s="199"/>
      <c r="W54" s="199"/>
      <c r="X54" s="199"/>
      <c r="Y54" s="199"/>
      <c r="Z54" s="199"/>
      <c r="AA54" s="199"/>
      <c r="AB54" s="199"/>
      <c r="AC54" s="199"/>
      <c r="AD54" s="305"/>
      <c r="AE54" s="199"/>
      <c r="AF54" s="199"/>
      <c r="AG54" s="199"/>
      <c r="AH54" s="199"/>
      <c r="AI54" s="199"/>
      <c r="AJ54" s="199"/>
      <c r="AK54" s="199"/>
      <c r="AL54" s="199"/>
      <c r="AM54" s="305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99"/>
      <c r="BE54" s="199"/>
      <c r="BF54" s="199"/>
      <c r="BG54" s="199"/>
      <c r="BH54" s="199"/>
      <c r="BI54" s="307"/>
      <c r="BJ54" s="199"/>
      <c r="BK54" s="231"/>
      <c r="BM54" s="26">
        <f t="shared" si="1"/>
        <v>47</v>
      </c>
    </row>
    <row r="55" spans="1:65" s="295" customFormat="1" ht="15" customHeight="1" x14ac:dyDescent="0.25">
      <c r="A55" s="294"/>
      <c r="B55" s="305"/>
      <c r="C55" s="199"/>
      <c r="D55" s="199"/>
      <c r="E55" s="199"/>
      <c r="F55" s="199"/>
      <c r="G55" s="199"/>
      <c r="H55" s="199"/>
      <c r="I55" s="199"/>
      <c r="J55" s="199"/>
      <c r="K55" s="306"/>
      <c r="L55" s="199"/>
      <c r="M55" s="199"/>
      <c r="N55" s="199"/>
      <c r="O55" s="199"/>
      <c r="P55" s="199"/>
      <c r="Q55" s="199"/>
      <c r="R55" s="199"/>
      <c r="S55" s="199"/>
      <c r="T55" s="199"/>
      <c r="U55" s="305"/>
      <c r="V55" s="199"/>
      <c r="W55" s="199"/>
      <c r="X55" s="199"/>
      <c r="Y55" s="199"/>
      <c r="Z55" s="199"/>
      <c r="AA55" s="199"/>
      <c r="AB55" s="199"/>
      <c r="AC55" s="199"/>
      <c r="AD55" s="305"/>
      <c r="AE55" s="199"/>
      <c r="AF55" s="199"/>
      <c r="AG55" s="199"/>
      <c r="AH55" s="199"/>
      <c r="AI55" s="199"/>
      <c r="AJ55" s="199"/>
      <c r="AK55" s="199"/>
      <c r="AL55" s="199"/>
      <c r="AM55" s="305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307"/>
      <c r="BJ55" s="199"/>
      <c r="BK55" s="231"/>
      <c r="BM55" s="26">
        <f t="shared" si="1"/>
        <v>48</v>
      </c>
    </row>
    <row r="56" spans="1:65" s="295" customFormat="1" ht="15" customHeight="1" x14ac:dyDescent="0.25">
      <c r="A56" s="294"/>
      <c r="B56" s="305"/>
      <c r="C56" s="199"/>
      <c r="D56" s="199"/>
      <c r="E56" s="199"/>
      <c r="F56" s="199"/>
      <c r="G56" s="199"/>
      <c r="H56" s="199"/>
      <c r="I56" s="199"/>
      <c r="J56" s="199"/>
      <c r="K56" s="306"/>
      <c r="L56" s="199"/>
      <c r="M56" s="199"/>
      <c r="N56" s="199"/>
      <c r="O56" s="199"/>
      <c r="P56" s="199"/>
      <c r="Q56" s="199"/>
      <c r="R56" s="199"/>
      <c r="S56" s="199"/>
      <c r="T56" s="199"/>
      <c r="U56" s="305"/>
      <c r="V56" s="199"/>
      <c r="W56" s="199"/>
      <c r="X56" s="199"/>
      <c r="Y56" s="199"/>
      <c r="Z56" s="199"/>
      <c r="AA56" s="199"/>
      <c r="AB56" s="199"/>
      <c r="AC56" s="199"/>
      <c r="AD56" s="305"/>
      <c r="AE56" s="199"/>
      <c r="AF56" s="199"/>
      <c r="AG56" s="199"/>
      <c r="AH56" s="199"/>
      <c r="AI56" s="199"/>
      <c r="AJ56" s="199"/>
      <c r="AK56" s="199"/>
      <c r="AL56" s="199"/>
      <c r="AM56" s="305"/>
      <c r="AN56" s="199"/>
      <c r="AO56" s="199"/>
      <c r="AP56" s="199"/>
      <c r="AQ56" s="199"/>
      <c r="AR56" s="199"/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  <c r="BG56" s="199"/>
      <c r="BH56" s="199"/>
      <c r="BI56" s="307"/>
      <c r="BJ56" s="199"/>
      <c r="BK56" s="231"/>
      <c r="BM56" s="26">
        <f t="shared" si="1"/>
        <v>49</v>
      </c>
    </row>
    <row r="57" spans="1:65" s="295" customFormat="1" ht="15" customHeight="1" x14ac:dyDescent="0.25">
      <c r="B57" s="305"/>
      <c r="C57" s="199"/>
      <c r="D57" s="199"/>
      <c r="E57" s="199"/>
      <c r="F57" s="199"/>
      <c r="G57" s="199"/>
      <c r="H57" s="199"/>
      <c r="I57" s="199"/>
      <c r="J57" s="199"/>
      <c r="K57" s="306"/>
      <c r="L57" s="199"/>
      <c r="M57" s="199"/>
      <c r="N57" s="199"/>
      <c r="O57" s="199"/>
      <c r="P57" s="199"/>
      <c r="Q57" s="199"/>
      <c r="R57" s="199"/>
      <c r="S57" s="199"/>
      <c r="T57" s="199"/>
      <c r="U57" s="305"/>
      <c r="V57" s="199"/>
      <c r="W57" s="199"/>
      <c r="X57" s="199"/>
      <c r="Y57" s="199"/>
      <c r="Z57" s="199"/>
      <c r="AA57" s="199"/>
      <c r="AB57" s="199"/>
      <c r="AC57" s="199"/>
      <c r="AD57" s="305"/>
      <c r="AE57" s="199"/>
      <c r="AF57" s="199"/>
      <c r="AG57" s="199"/>
      <c r="AH57" s="199"/>
      <c r="AI57" s="199"/>
      <c r="AJ57" s="199"/>
      <c r="AK57" s="199"/>
      <c r="AL57" s="199"/>
      <c r="AM57" s="305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307"/>
      <c r="BJ57" s="199"/>
      <c r="BK57" s="231"/>
      <c r="BM57" s="26">
        <f t="shared" si="1"/>
        <v>50</v>
      </c>
    </row>
    <row r="58" spans="1:65" ht="15" customHeight="1" x14ac:dyDescent="0.25">
      <c r="B58" s="305"/>
      <c r="K58" s="306"/>
      <c r="U58" s="305"/>
      <c r="AD58" s="305"/>
      <c r="AM58" s="305"/>
      <c r="BI58" s="307"/>
      <c r="BK58" s="231"/>
      <c r="BM58" s="26">
        <f t="shared" si="1"/>
        <v>1</v>
      </c>
    </row>
    <row r="59" spans="1:65" ht="15" customHeight="1" x14ac:dyDescent="0.25">
      <c r="B59" s="305"/>
      <c r="K59" s="306"/>
      <c r="U59" s="305"/>
      <c r="AD59" s="305"/>
      <c r="AM59" s="305"/>
      <c r="BI59" s="307"/>
      <c r="BK59" s="231"/>
      <c r="BM59" s="26">
        <f t="shared" si="1"/>
        <v>2</v>
      </c>
    </row>
    <row r="60" spans="1:65" ht="15" customHeight="1" x14ac:dyDescent="0.25">
      <c r="B60" s="305"/>
      <c r="K60" s="306"/>
      <c r="U60" s="305"/>
      <c r="AD60" s="305"/>
      <c r="AM60" s="305"/>
      <c r="BI60" s="307"/>
      <c r="BK60" s="231"/>
      <c r="BM60" s="26">
        <f t="shared" si="1"/>
        <v>3</v>
      </c>
    </row>
    <row r="61" spans="1:65" ht="15" customHeight="1" x14ac:dyDescent="0.25">
      <c r="B61" s="305"/>
      <c r="K61" s="306"/>
      <c r="U61" s="305"/>
      <c r="AD61" s="305"/>
      <c r="AM61" s="305"/>
      <c r="BI61" s="307"/>
      <c r="BK61" s="231"/>
      <c r="BM61" s="26">
        <f t="shared" si="1"/>
        <v>4</v>
      </c>
    </row>
    <row r="62" spans="1:65" ht="15" customHeight="1" x14ac:dyDescent="0.25">
      <c r="B62" s="305"/>
      <c r="K62" s="306"/>
      <c r="U62" s="305"/>
      <c r="AD62" s="305"/>
      <c r="AM62" s="305"/>
      <c r="BI62" s="307"/>
      <c r="BK62" s="231"/>
      <c r="BM62" s="26">
        <f t="shared" si="1"/>
        <v>5</v>
      </c>
    </row>
    <row r="63" spans="1:65" ht="15" customHeight="1" x14ac:dyDescent="0.25">
      <c r="B63" s="305"/>
      <c r="K63" s="306"/>
      <c r="U63" s="305"/>
      <c r="AD63" s="305"/>
      <c r="AM63" s="305"/>
      <c r="BI63" s="307"/>
      <c r="BK63" s="231"/>
      <c r="BM63" s="26">
        <f t="shared" si="1"/>
        <v>6</v>
      </c>
    </row>
    <row r="64" spans="1:65" ht="15" customHeight="1" x14ac:dyDescent="0.25">
      <c r="B64" s="305"/>
      <c r="K64" s="306"/>
      <c r="U64" s="305"/>
      <c r="AD64" s="305"/>
      <c r="AM64" s="305"/>
      <c r="BI64" s="307"/>
      <c r="BK64" s="231"/>
      <c r="BM64" s="26">
        <f t="shared" si="1"/>
        <v>7</v>
      </c>
    </row>
    <row r="65" spans="2:65" ht="15" customHeight="1" x14ac:dyDescent="0.25">
      <c r="B65" s="305"/>
      <c r="K65" s="306"/>
      <c r="U65" s="305"/>
      <c r="AD65" s="305"/>
      <c r="AM65" s="305"/>
      <c r="BI65" s="307"/>
      <c r="BK65" s="231"/>
      <c r="BM65" s="26">
        <f t="shared" si="1"/>
        <v>8</v>
      </c>
    </row>
    <row r="66" spans="2:65" ht="15" customHeight="1" x14ac:dyDescent="0.25">
      <c r="B66" s="305"/>
      <c r="K66" s="306"/>
      <c r="U66" s="305"/>
      <c r="AD66" s="305"/>
      <c r="AM66" s="305"/>
      <c r="BI66" s="307"/>
      <c r="BK66" s="231"/>
      <c r="BM66" s="26">
        <f t="shared" si="1"/>
        <v>9</v>
      </c>
    </row>
    <row r="67" spans="2:65" ht="15" customHeight="1" x14ac:dyDescent="0.25">
      <c r="B67" s="305"/>
      <c r="K67" s="306"/>
      <c r="U67" s="305"/>
      <c r="AB67" s="305"/>
      <c r="AM67" s="305"/>
      <c r="BI67" s="307"/>
      <c r="BK67" s="231"/>
      <c r="BM67" s="26">
        <f t="shared" si="1"/>
        <v>10</v>
      </c>
    </row>
    <row r="68" spans="2:65" ht="15" customHeight="1" x14ac:dyDescent="0.25">
      <c r="B68" s="305"/>
      <c r="K68" s="306"/>
      <c r="U68" s="305"/>
      <c r="AD68" s="305"/>
      <c r="AM68" s="305"/>
      <c r="BI68" s="307"/>
      <c r="BK68" s="231"/>
      <c r="BM68" s="26">
        <f t="shared" si="1"/>
        <v>11</v>
      </c>
    </row>
    <row r="69" spans="2:65" ht="15" customHeight="1" x14ac:dyDescent="0.25">
      <c r="B69" s="305"/>
      <c r="K69" s="306"/>
      <c r="U69" s="305"/>
      <c r="AD69" s="305"/>
      <c r="AM69" s="305"/>
      <c r="BI69" s="307"/>
      <c r="BK69" s="231"/>
      <c r="BM69" s="26">
        <f t="shared" si="1"/>
        <v>12</v>
      </c>
    </row>
    <row r="70" spans="2:65" ht="15" customHeight="1" x14ac:dyDescent="0.25">
      <c r="B70" s="305"/>
      <c r="K70" s="306"/>
      <c r="U70" s="305"/>
      <c r="AD70" s="305"/>
      <c r="AM70" s="305"/>
      <c r="BI70" s="307"/>
      <c r="BK70" s="231"/>
      <c r="BM70" s="26">
        <f t="shared" si="1"/>
        <v>13</v>
      </c>
    </row>
    <row r="71" spans="2:65" ht="15" customHeight="1" x14ac:dyDescent="0.25">
      <c r="B71" s="305"/>
      <c r="K71" s="306"/>
      <c r="U71" s="305"/>
      <c r="AD71" s="305"/>
      <c r="AM71" s="305"/>
      <c r="BI71" s="307"/>
      <c r="BK71" s="231"/>
      <c r="BM71" s="26">
        <f t="shared" si="1"/>
        <v>14</v>
      </c>
    </row>
    <row r="72" spans="2:65" ht="15" customHeight="1" x14ac:dyDescent="0.25">
      <c r="B72" s="305"/>
      <c r="K72" s="306"/>
      <c r="U72" s="305"/>
      <c r="AD72" s="305"/>
      <c r="AM72" s="305"/>
      <c r="BI72" s="307"/>
      <c r="BK72" s="231"/>
      <c r="BM72" s="26">
        <f t="shared" si="1"/>
        <v>15</v>
      </c>
    </row>
    <row r="73" spans="2:65" ht="15" customHeight="1" x14ac:dyDescent="0.25">
      <c r="B73" s="305"/>
      <c r="K73" s="306"/>
      <c r="U73" s="305"/>
      <c r="AD73" s="305"/>
      <c r="AM73" s="305"/>
      <c r="BI73" s="307"/>
      <c r="BK73" s="231"/>
      <c r="BM73" s="26">
        <f t="shared" si="1"/>
        <v>16</v>
      </c>
    </row>
    <row r="74" spans="2:65" ht="15" customHeight="1" x14ac:dyDescent="0.25">
      <c r="B74" s="305"/>
      <c r="K74" s="306"/>
      <c r="U74" s="305"/>
      <c r="AD74" s="305"/>
      <c r="AM74" s="305"/>
      <c r="BI74" s="307"/>
      <c r="BK74" s="231"/>
      <c r="BM74" s="26">
        <f t="shared" si="1"/>
        <v>17</v>
      </c>
    </row>
    <row r="75" spans="2:65" ht="15" customHeight="1" x14ac:dyDescent="0.25">
      <c r="B75" s="305"/>
      <c r="K75" s="306"/>
      <c r="U75" s="305"/>
      <c r="AD75" s="305"/>
      <c r="AM75" s="305"/>
      <c r="BI75" s="307"/>
      <c r="BK75" s="231"/>
      <c r="BM75" s="26">
        <f t="shared" si="1"/>
        <v>18</v>
      </c>
    </row>
    <row r="76" spans="2:65" ht="15" customHeight="1" x14ac:dyDescent="0.25">
      <c r="B76" s="305"/>
      <c r="K76" s="306"/>
      <c r="U76" s="305"/>
      <c r="AD76" s="305"/>
      <c r="AM76" s="305"/>
      <c r="BI76" s="307"/>
      <c r="BK76" s="231"/>
      <c r="BM76" s="26">
        <f t="shared" si="1"/>
        <v>19</v>
      </c>
    </row>
    <row r="77" spans="2:65" ht="15" customHeight="1" x14ac:dyDescent="0.25">
      <c r="B77" s="305"/>
      <c r="K77" s="306"/>
      <c r="U77" s="305"/>
      <c r="AD77" s="305"/>
      <c r="AM77" s="305"/>
      <c r="BI77" s="307"/>
      <c r="BK77" s="231"/>
      <c r="BM77" s="26">
        <f t="shared" si="1"/>
        <v>20</v>
      </c>
    </row>
    <row r="78" spans="2:65" ht="15" customHeight="1" x14ac:dyDescent="0.25">
      <c r="B78" s="305"/>
      <c r="K78" s="306"/>
      <c r="U78" s="305"/>
      <c r="AD78" s="305"/>
      <c r="AM78" s="305"/>
      <c r="BI78" s="307"/>
      <c r="BK78" s="231"/>
      <c r="BM78" s="26">
        <f t="shared" si="1"/>
        <v>21</v>
      </c>
    </row>
    <row r="79" spans="2:65" ht="15" customHeight="1" x14ac:dyDescent="0.25">
      <c r="B79" s="305"/>
      <c r="K79" s="306"/>
      <c r="U79" s="305"/>
      <c r="AD79" s="305"/>
      <c r="AM79" s="305"/>
      <c r="BI79" s="307"/>
      <c r="BK79" s="231"/>
      <c r="BM79" s="26">
        <f t="shared" si="1"/>
        <v>22</v>
      </c>
    </row>
    <row r="80" spans="2:65" ht="15" customHeight="1" x14ac:dyDescent="0.25">
      <c r="B80" s="305"/>
      <c r="K80" s="306"/>
      <c r="U80" s="305"/>
      <c r="AD80" s="305"/>
      <c r="AM80" s="305"/>
      <c r="BI80" s="307"/>
      <c r="BK80" s="231"/>
      <c r="BM80" s="26">
        <f t="shared" si="1"/>
        <v>23</v>
      </c>
    </row>
    <row r="81" spans="1:65" ht="15" customHeight="1" x14ac:dyDescent="0.25">
      <c r="B81" s="305"/>
      <c r="K81" s="306"/>
      <c r="U81" s="305"/>
      <c r="AD81" s="305"/>
      <c r="AM81" s="305"/>
      <c r="BI81" s="307"/>
      <c r="BK81" s="231"/>
      <c r="BM81" s="26">
        <f t="shared" si="1"/>
        <v>24</v>
      </c>
    </row>
    <row r="82" spans="1:65" ht="15" customHeight="1" x14ac:dyDescent="0.25">
      <c r="B82" s="305"/>
      <c r="K82" s="306"/>
      <c r="U82" s="305"/>
      <c r="AD82" s="305"/>
      <c r="AM82" s="305"/>
      <c r="BI82" s="307"/>
      <c r="BK82" s="231"/>
      <c r="BM82" s="26">
        <f t="shared" si="1"/>
        <v>25</v>
      </c>
    </row>
    <row r="83" spans="1:65" ht="15" customHeight="1" x14ac:dyDescent="0.25">
      <c r="B83" s="305"/>
      <c r="K83" s="306"/>
      <c r="U83" s="305"/>
      <c r="AD83" s="305"/>
      <c r="AM83" s="305"/>
      <c r="BI83" s="307"/>
      <c r="BK83" s="231"/>
      <c r="BM83" s="26">
        <f t="shared" si="1"/>
        <v>26</v>
      </c>
    </row>
    <row r="84" spans="1:65" ht="15" customHeight="1" x14ac:dyDescent="0.25">
      <c r="B84" s="305"/>
      <c r="K84" s="306"/>
      <c r="U84" s="305"/>
      <c r="AD84" s="305"/>
      <c r="AM84" s="305"/>
      <c r="BI84" s="307"/>
      <c r="BK84" s="231"/>
      <c r="BM84" s="26">
        <f t="shared" si="1"/>
        <v>27</v>
      </c>
    </row>
    <row r="85" spans="1:65" ht="15" customHeight="1" x14ac:dyDescent="0.25">
      <c r="B85" s="305"/>
      <c r="K85" s="306"/>
      <c r="U85" s="305"/>
      <c r="AD85" s="305"/>
      <c r="AM85" s="305"/>
      <c r="BI85" s="307"/>
      <c r="BK85" s="231"/>
      <c r="BM85" s="26">
        <f t="shared" si="1"/>
        <v>28</v>
      </c>
    </row>
    <row r="86" spans="1:65" ht="15" customHeight="1" x14ac:dyDescent="0.25">
      <c r="B86" s="305"/>
      <c r="K86" s="306"/>
      <c r="U86" s="305"/>
      <c r="AD86" s="305"/>
      <c r="AM86" s="305"/>
      <c r="BI86" s="307"/>
      <c r="BK86" s="231"/>
      <c r="BM86" s="26">
        <f t="shared" si="1"/>
        <v>29</v>
      </c>
    </row>
    <row r="87" spans="1:65" ht="15" customHeight="1" x14ac:dyDescent="0.25">
      <c r="B87" s="305"/>
      <c r="K87" s="306"/>
      <c r="U87" s="305"/>
      <c r="AD87" s="305"/>
      <c r="AM87" s="305"/>
      <c r="BI87" s="307"/>
      <c r="BK87" s="231"/>
      <c r="BM87" s="26">
        <f t="shared" si="1"/>
        <v>30</v>
      </c>
    </row>
    <row r="88" spans="1:65" ht="15" customHeight="1" x14ac:dyDescent="0.25">
      <c r="B88" s="305"/>
      <c r="K88" s="306"/>
      <c r="U88" s="305"/>
      <c r="AD88" s="305"/>
      <c r="AM88" s="305"/>
      <c r="BI88" s="307"/>
      <c r="BK88" s="231"/>
      <c r="BM88" s="26">
        <f t="shared" si="1"/>
        <v>31</v>
      </c>
    </row>
    <row r="89" spans="1:65" ht="15" customHeight="1" x14ac:dyDescent="0.25">
      <c r="B89" s="305"/>
      <c r="K89" s="306"/>
      <c r="U89" s="305"/>
      <c r="AD89" s="305"/>
      <c r="AM89" s="305"/>
      <c r="BI89" s="307"/>
      <c r="BK89" s="231"/>
      <c r="BM89" s="26">
        <f t="shared" si="1"/>
        <v>32</v>
      </c>
    </row>
    <row r="90" spans="1:65" ht="15" customHeight="1" x14ac:dyDescent="0.25">
      <c r="A90" s="228"/>
      <c r="B90" s="308"/>
      <c r="C90" s="228"/>
      <c r="D90" s="228"/>
      <c r="E90" s="228"/>
      <c r="F90" s="228"/>
      <c r="G90" s="228"/>
      <c r="H90" s="228"/>
      <c r="I90" s="228"/>
      <c r="J90" s="228"/>
      <c r="K90" s="309"/>
      <c r="L90" s="228"/>
      <c r="M90" s="228"/>
      <c r="N90" s="228"/>
      <c r="O90" s="228"/>
      <c r="P90" s="228"/>
      <c r="Q90" s="228"/>
      <c r="R90" s="228"/>
      <c r="S90" s="228"/>
      <c r="T90" s="228"/>
      <c r="U90" s="308"/>
      <c r="V90" s="228"/>
      <c r="W90" s="228"/>
      <c r="X90" s="228"/>
      <c r="Y90" s="228"/>
      <c r="Z90" s="228"/>
      <c r="AA90" s="228"/>
      <c r="AB90" s="228"/>
      <c r="AC90" s="228"/>
      <c r="AD90" s="308"/>
      <c r="AE90" s="228"/>
      <c r="AF90" s="228"/>
      <c r="AG90" s="228"/>
      <c r="AH90" s="228"/>
      <c r="AI90" s="228"/>
      <c r="AJ90" s="228"/>
      <c r="AK90" s="228"/>
      <c r="AL90" s="228"/>
      <c r="AM90" s="30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A90" s="228"/>
      <c r="BB90" s="228"/>
      <c r="BC90" s="228"/>
      <c r="BD90" s="228"/>
      <c r="BE90" s="228"/>
      <c r="BF90" s="228"/>
      <c r="BG90" s="228"/>
      <c r="BH90" s="228"/>
      <c r="BI90" s="310"/>
      <c r="BJ90" s="228"/>
      <c r="BK90" s="229"/>
      <c r="BM90" s="26">
        <f t="shared" si="1"/>
        <v>33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7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6" customWidth="1"/>
    <col min="64" max="16384" width="10.109375" style="26"/>
  </cols>
  <sheetData>
    <row r="1" spans="1:63" ht="24.95" customHeight="1" x14ac:dyDescent="0.25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2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84" t="str">
        <f>IF(表紙!W1="","",表紙!W1)</f>
        <v>基本設計書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" t="str">
        <f>IF(表紙!AP2="","",表紙!AP2)</f>
        <v>AnhNM</v>
      </c>
      <c r="AQ2" s="10"/>
      <c r="AR2" s="10"/>
      <c r="AS2" s="9"/>
      <c r="AT2" s="50">
        <f>IF(表紙!AT2="","",表紙!AT2)</f>
        <v>45416</v>
      </c>
      <c r="AU2" s="51"/>
      <c r="AV2" s="51"/>
      <c r="AW2" s="51"/>
      <c r="AX2" s="52"/>
      <c r="AY2" s="11" t="str">
        <f>IF(表紙!AY2="","",表紙!AY2)</f>
        <v>AnhNM</v>
      </c>
      <c r="AZ2" s="10"/>
      <c r="BA2" s="10"/>
      <c r="BB2" s="9"/>
      <c r="BC2" s="50">
        <f>IF(表紙!BC2="","",表紙!BC2)</f>
        <v>45416</v>
      </c>
      <c r="BD2" s="51"/>
      <c r="BE2" s="51"/>
      <c r="BF2" s="51"/>
      <c r="BG2" s="52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"/>
      <c r="AQ3" s="7"/>
      <c r="AR3" s="7"/>
      <c r="AS3" s="6"/>
      <c r="AT3" s="53"/>
      <c r="AU3" s="54"/>
      <c r="AV3" s="54"/>
      <c r="AW3" s="54"/>
      <c r="AX3" s="55"/>
      <c r="AY3" s="8"/>
      <c r="AZ3" s="7"/>
      <c r="BA3" s="7"/>
      <c r="BB3" s="6"/>
      <c r="BC3" s="53"/>
      <c r="BD3" s="54"/>
      <c r="BE3" s="54"/>
      <c r="BF3" s="54"/>
      <c r="BG3" s="55"/>
      <c r="BH3" s="8"/>
      <c r="BI3" s="7"/>
      <c r="BJ3" s="7"/>
      <c r="BK3" s="6"/>
    </row>
    <row r="4" spans="1:63" ht="24.95" customHeight="1" x14ac:dyDescent="0.25">
      <c r="A4" s="153" t="s">
        <v>1</v>
      </c>
      <c r="B4" s="154"/>
      <c r="C4" s="154"/>
      <c r="D4" s="154"/>
      <c r="E4" s="154"/>
      <c r="F4" s="154"/>
      <c r="G4" s="155"/>
      <c r="H4" s="156" t="str">
        <f>IF(表紙!H4="","",表紙!H4)</f>
        <v>11_部門別売上速報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53" t="s">
        <v>8</v>
      </c>
      <c r="V4" s="154"/>
      <c r="W4" s="154"/>
      <c r="X4" s="154"/>
      <c r="Y4" s="155"/>
      <c r="Z4" s="156" t="str">
        <f>IF(表紙!Z4="","",表紙!Z4)</f>
        <v>概要設計書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画面設計書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/>
    </row>
    <row r="6" spans="1:63" ht="15" customHeight="1" x14ac:dyDescent="0.25">
      <c r="A6" s="30"/>
      <c r="BK6" s="31"/>
    </row>
    <row r="7" spans="1:63" ht="15" customHeight="1" x14ac:dyDescent="0.25">
      <c r="A7" s="30"/>
      <c r="B7" s="32" t="s">
        <v>16</v>
      </c>
      <c r="C7" s="32"/>
      <c r="D7" s="32"/>
      <c r="E7" s="32"/>
      <c r="F7" s="32"/>
      <c r="G7" s="32"/>
      <c r="H7" s="32"/>
      <c r="I7" s="32"/>
      <c r="J7" s="32"/>
      <c r="AE7" s="33"/>
      <c r="BK7" s="31"/>
    </row>
    <row r="8" spans="1:63" ht="15" customHeight="1" x14ac:dyDescent="0.25">
      <c r="A8" s="30"/>
      <c r="BK8" s="31"/>
    </row>
    <row r="9" spans="1:63" ht="15" customHeight="1" x14ac:dyDescent="0.25">
      <c r="A9" s="30"/>
      <c r="BK9" s="31"/>
    </row>
    <row r="10" spans="1:63" ht="15" customHeight="1" x14ac:dyDescent="0.25">
      <c r="A10" s="30"/>
      <c r="BK10" s="31"/>
    </row>
    <row r="11" spans="1:63" ht="15" customHeight="1" x14ac:dyDescent="0.25">
      <c r="A11" s="30"/>
      <c r="BK11" s="31"/>
    </row>
    <row r="12" spans="1:63" ht="15" customHeight="1" x14ac:dyDescent="0.25">
      <c r="A12" s="30"/>
      <c r="BK12" s="31"/>
    </row>
    <row r="13" spans="1:63" ht="15" customHeight="1" x14ac:dyDescent="0.25">
      <c r="A13" s="30"/>
      <c r="BK13" s="31"/>
    </row>
    <row r="14" spans="1:63" ht="15" customHeight="1" x14ac:dyDescent="0.25">
      <c r="A14" s="30"/>
      <c r="BK14" s="31"/>
    </row>
    <row r="15" spans="1:63" ht="15" customHeight="1" x14ac:dyDescent="0.25">
      <c r="A15" s="30"/>
      <c r="BK15" s="31"/>
    </row>
    <row r="16" spans="1:63" ht="15" customHeight="1" x14ac:dyDescent="0.25">
      <c r="A16" s="30"/>
      <c r="BK16" s="31"/>
    </row>
    <row r="17" spans="1:63" ht="15" customHeight="1" x14ac:dyDescent="0.25">
      <c r="A17" s="30"/>
      <c r="BK17" s="31"/>
    </row>
    <row r="18" spans="1:63" ht="15" customHeight="1" x14ac:dyDescent="0.25">
      <c r="A18" s="30"/>
      <c r="BK18" s="31"/>
    </row>
    <row r="19" spans="1:63" ht="15" customHeight="1" x14ac:dyDescent="0.25">
      <c r="A19" s="30"/>
      <c r="BK19" s="31"/>
    </row>
    <row r="20" spans="1:63" ht="15" customHeight="1" x14ac:dyDescent="0.25">
      <c r="A20" s="30"/>
      <c r="BK20" s="31"/>
    </row>
    <row r="21" spans="1:63" ht="15" customHeight="1" x14ac:dyDescent="0.25">
      <c r="A21" s="30"/>
      <c r="BK21" s="31"/>
    </row>
    <row r="22" spans="1:63" ht="15" customHeight="1" x14ac:dyDescent="0.25">
      <c r="A22" s="30"/>
      <c r="BK22" s="31"/>
    </row>
    <row r="23" spans="1:63" ht="15" customHeight="1" x14ac:dyDescent="0.25">
      <c r="A23" s="30"/>
      <c r="BK23" s="31"/>
    </row>
    <row r="24" spans="1:63" ht="15" customHeight="1" x14ac:dyDescent="0.25">
      <c r="A24" s="30"/>
      <c r="BK24" s="31"/>
    </row>
    <row r="25" spans="1:63" ht="14.25" customHeight="1" x14ac:dyDescent="0.25">
      <c r="A25" s="30"/>
      <c r="BK25" s="31"/>
    </row>
    <row r="26" spans="1:63" ht="15" customHeight="1" x14ac:dyDescent="0.25">
      <c r="A26" s="30"/>
      <c r="BK26" s="31"/>
    </row>
    <row r="27" spans="1:63" ht="15" customHeight="1" x14ac:dyDescent="0.25">
      <c r="A27" s="30"/>
      <c r="BK27" s="31"/>
    </row>
    <row r="28" spans="1:63" x14ac:dyDescent="0.25">
      <c r="BK28" s="31"/>
    </row>
    <row r="29" spans="1:63" x14ac:dyDescent="0.25">
      <c r="BK29" s="31"/>
    </row>
    <row r="30" spans="1:63" x14ac:dyDescent="0.25">
      <c r="BK30" s="31"/>
    </row>
    <row r="31" spans="1:63" x14ac:dyDescent="0.25">
      <c r="BK31" s="31"/>
    </row>
    <row r="32" spans="1:63" x14ac:dyDescent="0.25">
      <c r="BK32" s="31"/>
    </row>
    <row r="33" spans="1:63" x14ac:dyDescent="0.25">
      <c r="BK33" s="31"/>
    </row>
    <row r="34" spans="1:63" x14ac:dyDescent="0.25">
      <c r="BK34" s="31"/>
    </row>
    <row r="35" spans="1:63" ht="15" customHeight="1" x14ac:dyDescent="0.25">
      <c r="A35" s="30"/>
      <c r="B35" s="33" t="s">
        <v>17</v>
      </c>
      <c r="BK35" s="31"/>
    </row>
    <row r="36" spans="1:63" x14ac:dyDescent="0.25">
      <c r="BK36" s="31"/>
    </row>
    <row r="37" spans="1:63" ht="15.75" customHeight="1" x14ac:dyDescent="0.25">
      <c r="B37" s="160" t="s">
        <v>18</v>
      </c>
      <c r="C37" s="161"/>
      <c r="D37" s="166" t="s">
        <v>60</v>
      </c>
      <c r="E37" s="167"/>
      <c r="F37" s="167"/>
      <c r="G37" s="167"/>
      <c r="H37" s="167"/>
      <c r="I37" s="167"/>
      <c r="J37" s="161"/>
      <c r="K37" s="166" t="s">
        <v>20</v>
      </c>
      <c r="L37" s="167"/>
      <c r="M37" s="161"/>
      <c r="N37" s="170" t="s">
        <v>21</v>
      </c>
      <c r="O37" s="173" t="s">
        <v>22</v>
      </c>
      <c r="P37" s="114" t="s">
        <v>23</v>
      </c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6"/>
      <c r="AR37" s="117" t="s">
        <v>24</v>
      </c>
      <c r="AS37" s="118"/>
      <c r="AT37" s="118"/>
      <c r="AU37" s="118"/>
      <c r="AV37" s="118"/>
      <c r="AW37" s="118"/>
      <c r="AX37" s="118"/>
      <c r="AY37" s="118"/>
      <c r="AZ37" s="118"/>
      <c r="BA37" s="118"/>
      <c r="BB37" s="119"/>
      <c r="BC37" s="120" t="s">
        <v>25</v>
      </c>
      <c r="BD37" s="121"/>
      <c r="BE37" s="121"/>
      <c r="BF37" s="121"/>
      <c r="BG37" s="121"/>
      <c r="BH37" s="121"/>
      <c r="BI37" s="121"/>
      <c r="BJ37" s="122"/>
      <c r="BK37" s="31"/>
    </row>
    <row r="38" spans="1:63" ht="15.75" customHeight="1" x14ac:dyDescent="0.25">
      <c r="B38" s="162"/>
      <c r="C38" s="163"/>
      <c r="D38" s="162"/>
      <c r="E38" s="168"/>
      <c r="F38" s="168"/>
      <c r="G38" s="168"/>
      <c r="H38" s="168"/>
      <c r="I38" s="168"/>
      <c r="J38" s="163"/>
      <c r="K38" s="162"/>
      <c r="L38" s="168"/>
      <c r="M38" s="163"/>
      <c r="N38" s="171"/>
      <c r="O38" s="174"/>
      <c r="P38" s="129" t="s">
        <v>51</v>
      </c>
      <c r="Q38" s="130"/>
      <c r="R38" s="130"/>
      <c r="S38" s="130"/>
      <c r="T38" s="130"/>
      <c r="U38" s="130"/>
      <c r="V38" s="130"/>
      <c r="W38" s="131"/>
      <c r="X38" s="132" t="s">
        <v>27</v>
      </c>
      <c r="Y38" s="133"/>
      <c r="Z38" s="134"/>
      <c r="AA38" s="132" t="s">
        <v>28</v>
      </c>
      <c r="AB38" s="133"/>
      <c r="AC38" s="133"/>
      <c r="AD38" s="133"/>
      <c r="AE38" s="133"/>
      <c r="AF38" s="133"/>
      <c r="AG38" s="133"/>
      <c r="AH38" s="134"/>
      <c r="AI38" s="132" t="s">
        <v>29</v>
      </c>
      <c r="AJ38" s="133"/>
      <c r="AK38" s="133"/>
      <c r="AL38" s="133"/>
      <c r="AM38" s="133"/>
      <c r="AN38" s="133"/>
      <c r="AO38" s="133"/>
      <c r="AP38" s="133"/>
      <c r="AQ38" s="134"/>
      <c r="AR38" s="138" t="s">
        <v>30</v>
      </c>
      <c r="AS38" s="140" t="s">
        <v>31</v>
      </c>
      <c r="AT38" s="142" t="s">
        <v>32</v>
      </c>
      <c r="AU38" s="117" t="s">
        <v>26</v>
      </c>
      <c r="AV38" s="118"/>
      <c r="AW38" s="118"/>
      <c r="AX38" s="118"/>
      <c r="AY38" s="118"/>
      <c r="AZ38" s="118"/>
      <c r="BA38" s="118"/>
      <c r="BB38" s="119"/>
      <c r="BC38" s="123"/>
      <c r="BD38" s="124"/>
      <c r="BE38" s="124"/>
      <c r="BF38" s="124"/>
      <c r="BG38" s="124"/>
      <c r="BH38" s="124"/>
      <c r="BI38" s="124"/>
      <c r="BJ38" s="125"/>
      <c r="BK38" s="31"/>
    </row>
    <row r="39" spans="1:63" x14ac:dyDescent="0.25">
      <c r="B39" s="164"/>
      <c r="C39" s="165"/>
      <c r="D39" s="164"/>
      <c r="E39" s="169"/>
      <c r="F39" s="169"/>
      <c r="G39" s="169"/>
      <c r="H39" s="169"/>
      <c r="I39" s="169"/>
      <c r="J39" s="165"/>
      <c r="K39" s="164"/>
      <c r="L39" s="169"/>
      <c r="M39" s="165"/>
      <c r="N39" s="172"/>
      <c r="O39" s="175"/>
      <c r="P39" s="114" t="s">
        <v>52</v>
      </c>
      <c r="Q39" s="115"/>
      <c r="R39" s="115"/>
      <c r="S39" s="116"/>
      <c r="T39" s="114" t="s">
        <v>47</v>
      </c>
      <c r="U39" s="115"/>
      <c r="V39" s="115"/>
      <c r="W39" s="116"/>
      <c r="X39" s="135"/>
      <c r="Y39" s="136"/>
      <c r="Z39" s="137"/>
      <c r="AA39" s="135"/>
      <c r="AB39" s="136"/>
      <c r="AC39" s="136"/>
      <c r="AD39" s="136"/>
      <c r="AE39" s="136"/>
      <c r="AF39" s="136"/>
      <c r="AG39" s="136"/>
      <c r="AH39" s="137"/>
      <c r="AI39" s="135"/>
      <c r="AJ39" s="136"/>
      <c r="AK39" s="136"/>
      <c r="AL39" s="136"/>
      <c r="AM39" s="136"/>
      <c r="AN39" s="136"/>
      <c r="AO39" s="136"/>
      <c r="AP39" s="136"/>
      <c r="AQ39" s="137"/>
      <c r="AR39" s="139"/>
      <c r="AS39" s="141"/>
      <c r="AT39" s="143"/>
      <c r="AU39" s="117" t="s">
        <v>33</v>
      </c>
      <c r="AV39" s="118"/>
      <c r="AW39" s="118"/>
      <c r="AX39" s="176"/>
      <c r="AY39" s="177" t="s">
        <v>19</v>
      </c>
      <c r="AZ39" s="118"/>
      <c r="BA39" s="118"/>
      <c r="BB39" s="119"/>
      <c r="BC39" s="126"/>
      <c r="BD39" s="127"/>
      <c r="BE39" s="127"/>
      <c r="BF39" s="127"/>
      <c r="BG39" s="127"/>
      <c r="BH39" s="127"/>
      <c r="BI39" s="127"/>
      <c r="BJ39" s="128"/>
      <c r="BK39" s="31"/>
    </row>
    <row r="40" spans="1:63" ht="15.75" customHeight="1" x14ac:dyDescent="0.25">
      <c r="B40" s="107">
        <v>1</v>
      </c>
      <c r="C40" s="108"/>
      <c r="D40" s="109"/>
      <c r="E40" s="110"/>
      <c r="F40" s="110"/>
      <c r="G40" s="110"/>
      <c r="H40" s="110"/>
      <c r="I40" s="110"/>
      <c r="J40" s="111"/>
      <c r="K40" s="90" t="s">
        <v>61</v>
      </c>
      <c r="L40" s="91"/>
      <c r="M40" s="92"/>
      <c r="N40" s="34" t="s">
        <v>35</v>
      </c>
      <c r="O40" s="35" t="s">
        <v>36</v>
      </c>
      <c r="P40" s="112" t="s">
        <v>35</v>
      </c>
      <c r="Q40" s="113"/>
      <c r="R40" s="113"/>
      <c r="S40" s="108"/>
      <c r="T40" s="112" t="s">
        <v>35</v>
      </c>
      <c r="U40" s="113"/>
      <c r="V40" s="113"/>
      <c r="W40" s="108"/>
      <c r="X40" s="144" t="s">
        <v>80</v>
      </c>
      <c r="Y40" s="145"/>
      <c r="Z40" s="146"/>
      <c r="AA40" s="107" t="s">
        <v>62</v>
      </c>
      <c r="AB40" s="113"/>
      <c r="AC40" s="113"/>
      <c r="AD40" s="113"/>
      <c r="AE40" s="113"/>
      <c r="AF40" s="113"/>
      <c r="AG40" s="113"/>
      <c r="AH40" s="108"/>
      <c r="AI40" s="147" t="s">
        <v>35</v>
      </c>
      <c r="AJ40" s="148"/>
      <c r="AK40" s="148"/>
      <c r="AL40" s="148"/>
      <c r="AM40" s="148"/>
      <c r="AN40" s="148"/>
      <c r="AO40" s="148"/>
      <c r="AP40" s="148"/>
      <c r="AQ40" s="149"/>
      <c r="AR40" s="36" t="s">
        <v>35</v>
      </c>
      <c r="AS40" s="36" t="s">
        <v>62</v>
      </c>
      <c r="AT40" s="36" t="s">
        <v>62</v>
      </c>
      <c r="AU40" s="107" t="s">
        <v>38</v>
      </c>
      <c r="AV40" s="113"/>
      <c r="AW40" s="113"/>
      <c r="AX40" s="108"/>
      <c r="AY40" s="107" t="s">
        <v>62</v>
      </c>
      <c r="AZ40" s="113"/>
      <c r="BA40" s="113"/>
      <c r="BB40" s="108"/>
      <c r="BC40" s="150"/>
      <c r="BD40" s="151"/>
      <c r="BE40" s="151"/>
      <c r="BF40" s="151"/>
      <c r="BG40" s="151"/>
      <c r="BH40" s="151"/>
      <c r="BI40" s="151"/>
      <c r="BJ40" s="152"/>
      <c r="BK40" s="31"/>
    </row>
    <row r="41" spans="1:63" x14ac:dyDescent="0.25">
      <c r="B41" s="77">
        <v>2</v>
      </c>
      <c r="C41" s="76"/>
      <c r="D41" s="104"/>
      <c r="E41" s="105"/>
      <c r="F41" s="105"/>
      <c r="G41" s="105"/>
      <c r="H41" s="105"/>
      <c r="I41" s="105"/>
      <c r="J41" s="106"/>
      <c r="K41" s="90" t="s">
        <v>48</v>
      </c>
      <c r="L41" s="91"/>
      <c r="M41" s="92"/>
      <c r="N41" s="35" t="s">
        <v>49</v>
      </c>
      <c r="O41" s="35" t="s">
        <v>36</v>
      </c>
      <c r="P41" s="77" t="s">
        <v>38</v>
      </c>
      <c r="Q41" s="75"/>
      <c r="R41" s="75"/>
      <c r="S41" s="76"/>
      <c r="T41" s="77" t="s">
        <v>38</v>
      </c>
      <c r="U41" s="75"/>
      <c r="V41" s="75"/>
      <c r="W41" s="76"/>
      <c r="X41" s="100" t="s">
        <v>81</v>
      </c>
      <c r="Y41" s="101"/>
      <c r="Z41" s="102"/>
      <c r="AA41" s="77" t="s">
        <v>62</v>
      </c>
      <c r="AB41" s="75"/>
      <c r="AC41" s="75"/>
      <c r="AD41" s="75"/>
      <c r="AE41" s="75"/>
      <c r="AF41" s="75"/>
      <c r="AG41" s="75"/>
      <c r="AH41" s="76"/>
      <c r="AI41" s="78" t="s">
        <v>62</v>
      </c>
      <c r="AJ41" s="79"/>
      <c r="AK41" s="79"/>
      <c r="AL41" s="79"/>
      <c r="AM41" s="79"/>
      <c r="AN41" s="79"/>
      <c r="AO41" s="79"/>
      <c r="AP41" s="79"/>
      <c r="AQ41" s="80"/>
      <c r="AR41" s="37" t="s">
        <v>35</v>
      </c>
      <c r="AS41" s="37" t="s">
        <v>62</v>
      </c>
      <c r="AT41" s="37" t="s">
        <v>62</v>
      </c>
      <c r="AU41" s="77" t="s">
        <v>38</v>
      </c>
      <c r="AV41" s="75"/>
      <c r="AW41" s="75"/>
      <c r="AX41" s="76"/>
      <c r="AY41" s="77" t="s">
        <v>62</v>
      </c>
      <c r="AZ41" s="75"/>
      <c r="BA41" s="75"/>
      <c r="BB41" s="76"/>
      <c r="BC41" s="99"/>
      <c r="BD41" s="82"/>
      <c r="BE41" s="82"/>
      <c r="BF41" s="82"/>
      <c r="BG41" s="82"/>
      <c r="BH41" s="82"/>
      <c r="BI41" s="82"/>
      <c r="BJ41" s="83"/>
      <c r="BK41" s="31"/>
    </row>
    <row r="42" spans="1:63" x14ac:dyDescent="0.25">
      <c r="B42" s="77">
        <v>3</v>
      </c>
      <c r="C42" s="76"/>
      <c r="D42" s="87"/>
      <c r="E42" s="88"/>
      <c r="F42" s="88"/>
      <c r="G42" s="88"/>
      <c r="H42" s="88"/>
      <c r="I42" s="88"/>
      <c r="J42" s="89"/>
      <c r="K42" s="90" t="s">
        <v>40</v>
      </c>
      <c r="L42" s="91"/>
      <c r="M42" s="92"/>
      <c r="N42" s="35" t="s">
        <v>63</v>
      </c>
      <c r="O42" s="35" t="s">
        <v>35</v>
      </c>
      <c r="P42" s="103" t="s">
        <v>35</v>
      </c>
      <c r="Q42" s="75"/>
      <c r="R42" s="75"/>
      <c r="S42" s="76"/>
      <c r="T42" s="77"/>
      <c r="U42" s="75"/>
      <c r="V42" s="75"/>
      <c r="W42" s="76"/>
      <c r="X42" s="96" t="s">
        <v>35</v>
      </c>
      <c r="Y42" s="97"/>
      <c r="Z42" s="98"/>
      <c r="AA42" s="77" t="s">
        <v>62</v>
      </c>
      <c r="AB42" s="75"/>
      <c r="AC42" s="75"/>
      <c r="AD42" s="75"/>
      <c r="AE42" s="75"/>
      <c r="AF42" s="75"/>
      <c r="AG42" s="75"/>
      <c r="AH42" s="76"/>
      <c r="AI42" s="78" t="s">
        <v>62</v>
      </c>
      <c r="AJ42" s="79"/>
      <c r="AK42" s="79"/>
      <c r="AL42" s="79"/>
      <c r="AM42" s="79"/>
      <c r="AN42" s="79"/>
      <c r="AO42" s="79"/>
      <c r="AP42" s="79"/>
      <c r="AQ42" s="80"/>
      <c r="AR42" s="37" t="s">
        <v>35</v>
      </c>
      <c r="AS42" s="37" t="s">
        <v>62</v>
      </c>
      <c r="AT42" s="37" t="s">
        <v>62</v>
      </c>
      <c r="AU42" s="77" t="s">
        <v>38</v>
      </c>
      <c r="AV42" s="75"/>
      <c r="AW42" s="75"/>
      <c r="AX42" s="76"/>
      <c r="AY42" s="77" t="s">
        <v>62</v>
      </c>
      <c r="AZ42" s="75"/>
      <c r="BA42" s="75"/>
      <c r="BB42" s="76"/>
      <c r="BC42" s="81"/>
      <c r="BD42" s="82"/>
      <c r="BE42" s="82"/>
      <c r="BF42" s="82"/>
      <c r="BG42" s="82"/>
      <c r="BH42" s="82"/>
      <c r="BI42" s="82"/>
      <c r="BJ42" s="83"/>
      <c r="BK42" s="31"/>
    </row>
    <row r="43" spans="1:63" x14ac:dyDescent="0.25">
      <c r="B43" s="77">
        <v>4</v>
      </c>
      <c r="C43" s="76"/>
      <c r="D43" s="93"/>
      <c r="E43" s="94"/>
      <c r="F43" s="94"/>
      <c r="G43" s="94"/>
      <c r="H43" s="94"/>
      <c r="I43" s="94"/>
      <c r="J43" s="95"/>
      <c r="K43" s="90" t="s">
        <v>34</v>
      </c>
      <c r="L43" s="91"/>
      <c r="M43" s="92"/>
      <c r="N43" s="38" t="s">
        <v>39</v>
      </c>
      <c r="O43" s="35" t="s">
        <v>36</v>
      </c>
      <c r="P43" s="77" t="s">
        <v>38</v>
      </c>
      <c r="Q43" s="75"/>
      <c r="R43" s="75"/>
      <c r="S43" s="76"/>
      <c r="T43" s="77" t="s">
        <v>38</v>
      </c>
      <c r="U43" s="75"/>
      <c r="V43" s="75"/>
      <c r="W43" s="76"/>
      <c r="X43" s="74" t="s">
        <v>82</v>
      </c>
      <c r="Y43" s="75"/>
      <c r="Z43" s="76"/>
      <c r="AA43" s="77" t="s">
        <v>62</v>
      </c>
      <c r="AB43" s="75"/>
      <c r="AC43" s="75"/>
      <c r="AD43" s="75"/>
      <c r="AE43" s="75"/>
      <c r="AF43" s="75"/>
      <c r="AG43" s="75"/>
      <c r="AH43" s="76"/>
      <c r="AI43" s="78" t="s">
        <v>62</v>
      </c>
      <c r="AJ43" s="79"/>
      <c r="AK43" s="79"/>
      <c r="AL43" s="79"/>
      <c r="AM43" s="79"/>
      <c r="AN43" s="79"/>
      <c r="AO43" s="79"/>
      <c r="AP43" s="79"/>
      <c r="AQ43" s="80"/>
      <c r="AR43" s="37" t="s">
        <v>35</v>
      </c>
      <c r="AS43" s="37" t="s">
        <v>62</v>
      </c>
      <c r="AT43" s="37" t="s">
        <v>62</v>
      </c>
      <c r="AU43" s="77" t="s">
        <v>38</v>
      </c>
      <c r="AV43" s="75"/>
      <c r="AW43" s="75"/>
      <c r="AX43" s="76"/>
      <c r="AY43" s="77" t="s">
        <v>62</v>
      </c>
      <c r="AZ43" s="75"/>
      <c r="BA43" s="75"/>
      <c r="BB43" s="76"/>
      <c r="BC43" s="84"/>
      <c r="BD43" s="85"/>
      <c r="BE43" s="85"/>
      <c r="BF43" s="85"/>
      <c r="BG43" s="85"/>
      <c r="BH43" s="85"/>
      <c r="BI43" s="85"/>
      <c r="BJ43" s="86"/>
      <c r="BK43" s="31"/>
    </row>
    <row r="44" spans="1:63" x14ac:dyDescent="0.25">
      <c r="B44" s="77">
        <v>5</v>
      </c>
      <c r="C44" s="76"/>
      <c r="D44" s="87"/>
      <c r="E44" s="88"/>
      <c r="F44" s="88"/>
      <c r="G44" s="88"/>
      <c r="H44" s="88"/>
      <c r="I44" s="88"/>
      <c r="J44" s="89"/>
      <c r="K44" s="90" t="s">
        <v>42</v>
      </c>
      <c r="L44" s="91"/>
      <c r="M44" s="92"/>
      <c r="N44" s="38" t="s">
        <v>50</v>
      </c>
      <c r="O44" s="35" t="s">
        <v>35</v>
      </c>
      <c r="P44" s="77" t="s">
        <v>38</v>
      </c>
      <c r="Q44" s="75"/>
      <c r="R44" s="75"/>
      <c r="S44" s="76"/>
      <c r="T44" s="77" t="s">
        <v>38</v>
      </c>
      <c r="U44" s="75"/>
      <c r="V44" s="75"/>
      <c r="W44" s="76"/>
      <c r="X44" s="74" t="s">
        <v>35</v>
      </c>
      <c r="Y44" s="75"/>
      <c r="Z44" s="76"/>
      <c r="AA44" s="77" t="s">
        <v>62</v>
      </c>
      <c r="AB44" s="75"/>
      <c r="AC44" s="75"/>
      <c r="AD44" s="75"/>
      <c r="AE44" s="75"/>
      <c r="AF44" s="75"/>
      <c r="AG44" s="75"/>
      <c r="AH44" s="76"/>
      <c r="AI44" s="78" t="s">
        <v>62</v>
      </c>
      <c r="AJ44" s="79"/>
      <c r="AK44" s="79"/>
      <c r="AL44" s="79"/>
      <c r="AM44" s="79"/>
      <c r="AN44" s="79"/>
      <c r="AO44" s="79"/>
      <c r="AP44" s="79"/>
      <c r="AQ44" s="80"/>
      <c r="AR44" s="37" t="s">
        <v>35</v>
      </c>
      <c r="AS44" s="37" t="s">
        <v>62</v>
      </c>
      <c r="AT44" s="37" t="s">
        <v>62</v>
      </c>
      <c r="AU44" s="77" t="s">
        <v>38</v>
      </c>
      <c r="AV44" s="75"/>
      <c r="AW44" s="75"/>
      <c r="AX44" s="76"/>
      <c r="AY44" s="77" t="s">
        <v>62</v>
      </c>
      <c r="AZ44" s="75"/>
      <c r="BA44" s="75"/>
      <c r="BB44" s="76"/>
      <c r="BC44" s="81"/>
      <c r="BD44" s="82"/>
      <c r="BE44" s="82"/>
      <c r="BF44" s="82"/>
      <c r="BG44" s="82"/>
      <c r="BH44" s="82"/>
      <c r="BI44" s="82"/>
      <c r="BJ44" s="83"/>
      <c r="BK44" s="31"/>
    </row>
    <row r="45" spans="1:63" x14ac:dyDescent="0.25">
      <c r="B45" s="56">
        <v>6</v>
      </c>
      <c r="C45" s="58"/>
      <c r="D45" s="65"/>
      <c r="E45" s="66"/>
      <c r="F45" s="66"/>
      <c r="G45" s="66"/>
      <c r="H45" s="66"/>
      <c r="I45" s="66"/>
      <c r="J45" s="67"/>
      <c r="K45" s="68" t="s">
        <v>44</v>
      </c>
      <c r="L45" s="69"/>
      <c r="M45" s="70"/>
      <c r="N45" s="39" t="s">
        <v>41</v>
      </c>
      <c r="O45" s="39" t="s">
        <v>36</v>
      </c>
      <c r="P45" s="56" t="s">
        <v>38</v>
      </c>
      <c r="Q45" s="57"/>
      <c r="R45" s="57"/>
      <c r="S45" s="58"/>
      <c r="T45" s="56" t="s">
        <v>38</v>
      </c>
      <c r="U45" s="57"/>
      <c r="V45" s="57"/>
      <c r="W45" s="58"/>
      <c r="X45" s="71" t="s">
        <v>43</v>
      </c>
      <c r="Y45" s="72"/>
      <c r="Z45" s="73"/>
      <c r="AA45" s="56" t="s">
        <v>62</v>
      </c>
      <c r="AB45" s="57"/>
      <c r="AC45" s="57"/>
      <c r="AD45" s="57"/>
      <c r="AE45" s="57"/>
      <c r="AF45" s="57"/>
      <c r="AG45" s="57"/>
      <c r="AH45" s="58"/>
      <c r="AI45" s="59" t="s">
        <v>45</v>
      </c>
      <c r="AJ45" s="60"/>
      <c r="AK45" s="60"/>
      <c r="AL45" s="60"/>
      <c r="AM45" s="60"/>
      <c r="AN45" s="60"/>
      <c r="AO45" s="60"/>
      <c r="AP45" s="60"/>
      <c r="AQ45" s="61"/>
      <c r="AR45" s="40" t="s">
        <v>35</v>
      </c>
      <c r="AS45" s="40" t="s">
        <v>62</v>
      </c>
      <c r="AT45" s="40" t="s">
        <v>53</v>
      </c>
      <c r="AU45" s="56" t="s">
        <v>38</v>
      </c>
      <c r="AV45" s="57"/>
      <c r="AW45" s="57"/>
      <c r="AX45" s="58"/>
      <c r="AY45" s="56" t="s">
        <v>37</v>
      </c>
      <c r="AZ45" s="57"/>
      <c r="BA45" s="57"/>
      <c r="BB45" s="58"/>
      <c r="BC45" s="62" t="s">
        <v>46</v>
      </c>
      <c r="BD45" s="63"/>
      <c r="BE45" s="63"/>
      <c r="BF45" s="63"/>
      <c r="BG45" s="63"/>
      <c r="BH45" s="63"/>
      <c r="BI45" s="63"/>
      <c r="BJ45" s="64"/>
      <c r="BK45" s="31"/>
    </row>
    <row r="46" spans="1:63" x14ac:dyDescent="0.25">
      <c r="BK46" s="31"/>
    </row>
    <row r="47" spans="1:63" x14ac:dyDescent="0.25">
      <c r="BK47" s="31"/>
    </row>
    <row r="48" spans="1:63" x14ac:dyDescent="0.25">
      <c r="BK48" s="31"/>
    </row>
    <row r="49" spans="1:63" x14ac:dyDescent="0.25">
      <c r="BK49" s="31"/>
    </row>
    <row r="50" spans="1:63" x14ac:dyDescent="0.25">
      <c r="BK50" s="31"/>
    </row>
    <row r="51" spans="1:63" x14ac:dyDescent="0.25">
      <c r="BK51" s="31"/>
    </row>
    <row r="52" spans="1:63" x14ac:dyDescent="0.25">
      <c r="BK52" s="31"/>
    </row>
    <row r="53" spans="1:63" x14ac:dyDescent="0.25">
      <c r="BK53" s="31"/>
    </row>
    <row r="54" spans="1:63" x14ac:dyDescent="0.25">
      <c r="BK54" s="31"/>
    </row>
    <row r="55" spans="1:63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2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84" t="str">
        <f>IF(表紙!W1="","",表紙!W1)</f>
        <v>基本設計書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" t="str">
        <f>IF(表紙!AP2="","",表紙!AP2)</f>
        <v>AnhNM</v>
      </c>
      <c r="AQ2" s="10"/>
      <c r="AR2" s="10"/>
      <c r="AS2" s="9"/>
      <c r="AT2" s="50">
        <f>IF(表紙!AT2="","",表紙!AT2)</f>
        <v>45416</v>
      </c>
      <c r="AU2" s="51"/>
      <c r="AV2" s="51"/>
      <c r="AW2" s="51"/>
      <c r="AX2" s="52"/>
      <c r="AY2" s="11" t="str">
        <f>IF(表紙!AY2="","",表紙!AY2)</f>
        <v>AnhNM</v>
      </c>
      <c r="AZ2" s="10"/>
      <c r="BA2" s="10"/>
      <c r="BB2" s="9"/>
      <c r="BC2" s="50">
        <f>IF(表紙!BC2="","",表紙!BC2)</f>
        <v>45416</v>
      </c>
      <c r="BD2" s="51"/>
      <c r="BE2" s="51"/>
      <c r="BF2" s="51"/>
      <c r="BG2" s="52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"/>
      <c r="AQ3" s="7"/>
      <c r="AR3" s="7"/>
      <c r="AS3" s="6"/>
      <c r="AT3" s="53"/>
      <c r="AU3" s="54"/>
      <c r="AV3" s="54"/>
      <c r="AW3" s="54"/>
      <c r="AX3" s="55"/>
      <c r="AY3" s="8"/>
      <c r="AZ3" s="7"/>
      <c r="BA3" s="7"/>
      <c r="BB3" s="6"/>
      <c r="BC3" s="53"/>
      <c r="BD3" s="54"/>
      <c r="BE3" s="54"/>
      <c r="BF3" s="54"/>
      <c r="BG3" s="55"/>
      <c r="BH3" s="8"/>
      <c r="BI3" s="7"/>
      <c r="BJ3" s="7"/>
      <c r="BK3" s="6"/>
    </row>
    <row r="4" spans="1:63" ht="24.95" customHeight="1" x14ac:dyDescent="0.25">
      <c r="A4" s="153" t="s">
        <v>1</v>
      </c>
      <c r="B4" s="154"/>
      <c r="C4" s="154"/>
      <c r="D4" s="154"/>
      <c r="E4" s="154"/>
      <c r="F4" s="154"/>
      <c r="G4" s="155"/>
      <c r="H4" s="156" t="str">
        <f>IF(表紙!H4="","",表紙!H4)</f>
        <v>11_部門別売上速報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53" t="s">
        <v>8</v>
      </c>
      <c r="V4" s="154"/>
      <c r="W4" s="154"/>
      <c r="X4" s="154"/>
      <c r="Y4" s="155"/>
      <c r="Z4" s="156" t="str">
        <f>IF(表紙!Z4="","",表紙!Z4)</f>
        <v>概要設計書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テンプレート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3"/>
      <c r="AD7" s="21"/>
      <c r="AE7" s="22"/>
      <c r="AF7" s="22"/>
      <c r="AG7" s="22"/>
      <c r="AH7" s="22"/>
      <c r="AI7" s="22"/>
      <c r="AJ7" s="22"/>
      <c r="AK7" s="22"/>
      <c r="AL7" s="23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18"/>
    </row>
    <row r="8" spans="1:63" ht="15" customHeight="1" x14ac:dyDescent="0.25">
      <c r="A8" s="15"/>
      <c r="C8" s="41"/>
      <c r="U8" s="41"/>
      <c r="AD8" s="41"/>
      <c r="AM8" s="41"/>
      <c r="BI8" s="43"/>
    </row>
    <row r="9" spans="1:63" ht="15" customHeight="1" x14ac:dyDescent="0.25">
      <c r="A9" s="15"/>
      <c r="C9" s="41"/>
      <c r="U9" s="41"/>
      <c r="AD9" s="41"/>
      <c r="AM9" s="41"/>
      <c r="BI9" s="43"/>
    </row>
    <row r="10" spans="1:63" ht="15" customHeight="1" x14ac:dyDescent="0.25">
      <c r="A10" s="15"/>
      <c r="C10" s="41"/>
      <c r="U10" s="41"/>
      <c r="AD10" s="41"/>
      <c r="AM10" s="41"/>
      <c r="BI10" s="43"/>
    </row>
    <row r="11" spans="1:63" ht="15" customHeight="1" x14ac:dyDescent="0.25">
      <c r="A11" s="15"/>
      <c r="C11" s="41"/>
      <c r="U11" s="41"/>
      <c r="AD11" s="41"/>
      <c r="AM11" s="41"/>
      <c r="BI11" s="43"/>
    </row>
    <row r="12" spans="1:63" ht="15" customHeight="1" x14ac:dyDescent="0.25">
      <c r="A12" s="15"/>
      <c r="C12" s="41"/>
      <c r="U12" s="41"/>
      <c r="AD12" s="41"/>
      <c r="AM12" s="41"/>
      <c r="AX12" t="s">
        <v>54</v>
      </c>
      <c r="BI12" s="43"/>
    </row>
    <row r="13" spans="1:63" ht="15" customHeight="1" x14ac:dyDescent="0.25">
      <c r="A13" s="15"/>
      <c r="C13" s="41"/>
      <c r="U13" s="41"/>
      <c r="AD13" s="41"/>
      <c r="AM13" s="41"/>
      <c r="BI13" s="43"/>
    </row>
    <row r="14" spans="1:63" ht="15" customHeight="1" x14ac:dyDescent="0.25">
      <c r="A14" s="15"/>
      <c r="C14" s="41"/>
      <c r="U14" s="41"/>
      <c r="AD14" s="41"/>
      <c r="AM14" s="41"/>
      <c r="BI14" s="43"/>
    </row>
    <row r="15" spans="1:63" ht="15" customHeight="1" x14ac:dyDescent="0.25">
      <c r="A15" s="15"/>
      <c r="C15" s="41"/>
      <c r="U15" s="41"/>
      <c r="AD15" s="41"/>
      <c r="AM15" s="41"/>
      <c r="BI15" s="43"/>
    </row>
    <row r="16" spans="1:63" ht="15" customHeight="1" x14ac:dyDescent="0.25">
      <c r="A16" s="15"/>
      <c r="C16" s="41"/>
      <c r="U16" s="41"/>
      <c r="AD16" s="41"/>
      <c r="AM16" s="41"/>
      <c r="BI16" s="43"/>
    </row>
    <row r="17" spans="1:61" ht="15" customHeight="1" x14ac:dyDescent="0.25">
      <c r="A17" s="15"/>
      <c r="C17" s="41"/>
      <c r="U17" s="41"/>
      <c r="AD17" s="41"/>
      <c r="AM17" s="41"/>
      <c r="BI17" s="43"/>
    </row>
    <row r="18" spans="1:61" ht="15" customHeight="1" x14ac:dyDescent="0.25">
      <c r="A18" s="15"/>
      <c r="C18" s="41"/>
      <c r="U18" s="41"/>
      <c r="AD18" s="41"/>
      <c r="AM18" s="41"/>
      <c r="BI18" s="43"/>
    </row>
    <row r="19" spans="1:61" ht="15" customHeight="1" x14ac:dyDescent="0.25">
      <c r="A19" s="15"/>
      <c r="C19" s="41"/>
      <c r="U19" s="41"/>
      <c r="AD19" s="41"/>
      <c r="AM19" s="41"/>
      <c r="BI19" s="43"/>
    </row>
    <row r="20" spans="1:61" ht="15" customHeight="1" x14ac:dyDescent="0.25">
      <c r="A20" s="15"/>
      <c r="C20" s="41"/>
      <c r="U20" s="41"/>
      <c r="AD20" s="41"/>
      <c r="AM20" s="41"/>
      <c r="BI20" s="43"/>
    </row>
    <row r="21" spans="1:61" ht="15" customHeight="1" x14ac:dyDescent="0.25">
      <c r="A21" s="15"/>
      <c r="C21" s="41"/>
      <c r="U21" s="41"/>
      <c r="AD21" s="41"/>
      <c r="AM21" s="41"/>
      <c r="BI21" s="43"/>
    </row>
    <row r="22" spans="1:61" ht="15" customHeight="1" x14ac:dyDescent="0.25">
      <c r="A22" s="15"/>
      <c r="C22" s="41"/>
      <c r="U22" s="41"/>
      <c r="AD22" s="41"/>
      <c r="AM22" s="41"/>
      <c r="BI22" s="43"/>
    </row>
    <row r="23" spans="1:61" ht="15" customHeight="1" x14ac:dyDescent="0.25">
      <c r="A23" s="15"/>
      <c r="C23" s="41"/>
      <c r="U23" s="41"/>
      <c r="AD23" s="41"/>
      <c r="AM23" s="41"/>
      <c r="BI23" s="43"/>
    </row>
    <row r="24" spans="1:61" ht="15" customHeight="1" x14ac:dyDescent="0.25">
      <c r="A24" s="15"/>
      <c r="C24" s="41"/>
      <c r="U24" s="41"/>
      <c r="AD24" s="41"/>
      <c r="AM24" s="41"/>
      <c r="BI24" s="43"/>
    </row>
    <row r="25" spans="1:61" ht="15" customHeight="1" x14ac:dyDescent="0.25">
      <c r="A25" s="15"/>
      <c r="C25" s="41"/>
      <c r="U25" s="41"/>
      <c r="AD25" s="41"/>
      <c r="AM25" s="41"/>
      <c r="BI25" s="43"/>
    </row>
    <row r="26" spans="1:61" ht="15" customHeight="1" x14ac:dyDescent="0.25">
      <c r="A26" s="15"/>
      <c r="C26" s="41"/>
      <c r="U26" s="41"/>
      <c r="AD26" s="41"/>
      <c r="AM26" s="41"/>
      <c r="BI26" s="43"/>
    </row>
    <row r="27" spans="1:61" ht="15" customHeight="1" x14ac:dyDescent="0.25">
      <c r="A27" s="15"/>
      <c r="C27" s="41"/>
      <c r="U27" s="41"/>
      <c r="AD27" s="41"/>
      <c r="AM27" s="41"/>
      <c r="BI27" s="43"/>
    </row>
    <row r="28" spans="1:61" ht="15" customHeight="1" x14ac:dyDescent="0.25">
      <c r="A28" s="15"/>
      <c r="C28" s="41"/>
      <c r="U28" s="41"/>
      <c r="AD28" s="41"/>
      <c r="AM28" s="41"/>
      <c r="BI28" s="43"/>
    </row>
    <row r="29" spans="1:61" ht="15" customHeight="1" x14ac:dyDescent="0.25">
      <c r="A29" s="15"/>
      <c r="C29" s="41"/>
      <c r="U29" s="41"/>
      <c r="AD29" s="41"/>
      <c r="AM29" s="41"/>
      <c r="BI29" s="43"/>
    </row>
    <row r="30" spans="1:61" ht="15" customHeight="1" x14ac:dyDescent="0.25">
      <c r="A30" s="15"/>
      <c r="C30" s="41"/>
      <c r="U30" s="41"/>
      <c r="AD30" s="41"/>
      <c r="AM30" s="41"/>
      <c r="BI30" s="43"/>
    </row>
    <row r="31" spans="1:61" ht="15" customHeight="1" x14ac:dyDescent="0.25">
      <c r="A31" s="15"/>
      <c r="C31" s="41"/>
      <c r="U31" s="41"/>
      <c r="AD31" s="41"/>
      <c r="AM31" s="41"/>
      <c r="BI31" s="43"/>
    </row>
    <row r="32" spans="1:61" ht="15" customHeight="1" x14ac:dyDescent="0.25">
      <c r="A32" s="15"/>
      <c r="C32" s="41"/>
      <c r="U32" s="41"/>
      <c r="AD32" s="41"/>
      <c r="AM32" s="41"/>
      <c r="BI32" s="43"/>
    </row>
    <row r="33" spans="1:61" ht="15" customHeight="1" x14ac:dyDescent="0.25">
      <c r="A33" s="15"/>
      <c r="C33" s="41"/>
      <c r="U33" s="41"/>
      <c r="AD33" s="41"/>
      <c r="AM33" s="41"/>
      <c r="BI33" s="43"/>
    </row>
    <row r="34" spans="1:61" ht="15" customHeight="1" x14ac:dyDescent="0.25">
      <c r="A34" s="15"/>
      <c r="C34" s="41"/>
      <c r="U34" s="41"/>
      <c r="AD34" s="41"/>
      <c r="AM34" s="41"/>
      <c r="BI34" s="43"/>
    </row>
    <row r="35" spans="1:61" ht="15" customHeight="1" x14ac:dyDescent="0.25">
      <c r="A35" s="15"/>
      <c r="C35" s="41"/>
      <c r="U35" s="41"/>
      <c r="AD35" s="41"/>
      <c r="AM35" s="41"/>
      <c r="BI35" s="43"/>
    </row>
    <row r="36" spans="1:61" ht="15" customHeight="1" x14ac:dyDescent="0.25">
      <c r="A36" s="15"/>
      <c r="C36" s="41"/>
      <c r="U36" s="41"/>
      <c r="AD36" s="41"/>
      <c r="AM36" s="41"/>
      <c r="BI36" s="43"/>
    </row>
    <row r="37" spans="1:61" ht="15" customHeight="1" x14ac:dyDescent="0.25">
      <c r="A37" s="15"/>
      <c r="C37" s="41"/>
      <c r="U37" s="41"/>
      <c r="AD37" s="41"/>
      <c r="AM37" s="41"/>
      <c r="BI37" s="43"/>
    </row>
    <row r="38" spans="1:61" ht="15" customHeight="1" x14ac:dyDescent="0.25">
      <c r="A38" s="15"/>
      <c r="C38" s="41"/>
      <c r="U38" s="41"/>
      <c r="AD38" s="41"/>
      <c r="AM38" s="41"/>
      <c r="BI38" s="43"/>
    </row>
    <row r="39" spans="1:61" ht="15" customHeight="1" x14ac:dyDescent="0.25">
      <c r="A39" s="15"/>
      <c r="C39" s="41"/>
      <c r="U39" s="41"/>
      <c r="AD39" s="41"/>
      <c r="AM39" s="41"/>
      <c r="BI39" s="43"/>
    </row>
    <row r="40" spans="1:61" ht="15" customHeight="1" x14ac:dyDescent="0.25">
      <c r="A40" s="15"/>
      <c r="C40" s="41"/>
      <c r="U40" s="41"/>
      <c r="AD40" s="41"/>
      <c r="AM40" s="41"/>
      <c r="BI40" s="43"/>
    </row>
    <row r="41" spans="1:61" ht="15" customHeight="1" x14ac:dyDescent="0.25">
      <c r="A41" s="15"/>
      <c r="C41" s="41"/>
      <c r="U41" s="41"/>
      <c r="AD41" s="41"/>
      <c r="AM41" s="41"/>
      <c r="BI41" s="43"/>
    </row>
    <row r="42" spans="1:61" ht="15" customHeight="1" x14ac:dyDescent="0.25">
      <c r="A42" s="15"/>
      <c r="C42" s="41"/>
      <c r="U42" s="41"/>
      <c r="AD42" s="41"/>
      <c r="AM42" s="41"/>
      <c r="BI42" s="43"/>
    </row>
    <row r="43" spans="1:61" ht="15" customHeight="1" x14ac:dyDescent="0.25">
      <c r="A43" s="15"/>
      <c r="C43" s="41"/>
      <c r="U43" s="41"/>
      <c r="AD43" s="41"/>
      <c r="AM43" s="41"/>
      <c r="BI43" s="43"/>
    </row>
    <row r="44" spans="1:61" ht="15" customHeight="1" x14ac:dyDescent="0.25">
      <c r="A44" s="15"/>
      <c r="C44" s="41"/>
      <c r="U44" s="41"/>
      <c r="AD44" s="41"/>
      <c r="AM44" s="41"/>
      <c r="BI44" s="43"/>
    </row>
    <row r="45" spans="1:61" ht="15" customHeight="1" x14ac:dyDescent="0.25">
      <c r="A45" s="15"/>
      <c r="C45" s="41"/>
      <c r="U45" s="41"/>
      <c r="AD45" s="41"/>
      <c r="AM45" s="41"/>
      <c r="BI45" s="43"/>
    </row>
    <row r="46" spans="1:61" ht="15" customHeight="1" x14ac:dyDescent="0.25">
      <c r="A46" s="15"/>
      <c r="C46" s="41"/>
      <c r="U46" s="41"/>
      <c r="AD46" s="41"/>
      <c r="AM46" s="41"/>
      <c r="BI46" s="43"/>
    </row>
    <row r="47" spans="1:61" ht="15" customHeight="1" x14ac:dyDescent="0.25">
      <c r="A47" s="15"/>
      <c r="C47" s="41"/>
      <c r="U47" s="41"/>
      <c r="AD47" s="41"/>
      <c r="AM47" s="41"/>
      <c r="BI47" s="43"/>
    </row>
    <row r="48" spans="1:61" ht="15" customHeight="1" x14ac:dyDescent="0.25">
      <c r="A48" s="15"/>
      <c r="C48" s="41"/>
      <c r="U48" s="41"/>
      <c r="AD48" s="41"/>
      <c r="AM48" s="41"/>
      <c r="BI48" s="43"/>
    </row>
    <row r="49" spans="1:63" ht="15" customHeight="1" x14ac:dyDescent="0.25">
      <c r="A49" s="15"/>
      <c r="C49" s="41"/>
      <c r="U49" s="41"/>
      <c r="AD49" s="41"/>
      <c r="AM49" s="41"/>
      <c r="BI49" s="43"/>
    </row>
    <row r="50" spans="1:63" ht="15" customHeight="1" x14ac:dyDescent="0.25">
      <c r="A50" s="15"/>
      <c r="C50" s="41"/>
      <c r="U50" s="41"/>
      <c r="AD50" s="41"/>
      <c r="AM50" s="41"/>
      <c r="BI50" s="43"/>
    </row>
    <row r="51" spans="1:63" ht="15" customHeight="1" x14ac:dyDescent="0.25">
      <c r="A51" s="15"/>
      <c r="C51" s="41"/>
      <c r="U51" s="41"/>
      <c r="AD51" s="41"/>
      <c r="AM51" s="41"/>
      <c r="BI51" s="43"/>
    </row>
    <row r="52" spans="1:63" ht="15" customHeight="1" x14ac:dyDescent="0.25">
      <c r="A52" s="15"/>
      <c r="C52" s="41"/>
      <c r="U52" s="41"/>
      <c r="AD52" s="41"/>
      <c r="AM52" s="41"/>
      <c r="BI52" s="43"/>
    </row>
    <row r="53" spans="1:63" ht="15" customHeight="1" x14ac:dyDescent="0.25">
      <c r="A53" s="15"/>
      <c r="C53" s="41"/>
      <c r="U53" s="41"/>
      <c r="AD53" s="41"/>
      <c r="AM53" s="41"/>
      <c r="BI53" s="43"/>
    </row>
    <row r="54" spans="1:63" ht="15" customHeight="1" x14ac:dyDescent="0.25">
      <c r="A54" s="15"/>
      <c r="C54" s="41"/>
      <c r="U54" s="41"/>
      <c r="AD54" s="41"/>
      <c r="AM54" s="41"/>
      <c r="BI54" s="43"/>
    </row>
    <row r="55" spans="1:63" ht="15" customHeight="1" x14ac:dyDescent="0.25">
      <c r="A55" s="16"/>
      <c r="B55" s="42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42"/>
      <c r="V55" s="17"/>
      <c r="W55" s="17"/>
      <c r="X55" s="17"/>
      <c r="Y55" s="17"/>
      <c r="Z55" s="17"/>
      <c r="AA55" s="17"/>
      <c r="AB55" s="17"/>
      <c r="AC55" s="17"/>
      <c r="AD55" s="42"/>
      <c r="AE55" s="17"/>
      <c r="AF55" s="17"/>
      <c r="AG55" s="17"/>
      <c r="AH55" s="17"/>
      <c r="AI55" s="17"/>
      <c r="AJ55" s="17"/>
      <c r="AK55" s="17"/>
      <c r="AL55" s="17"/>
      <c r="AM55" s="42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44"/>
      <c r="BJ55" s="17"/>
      <c r="BK55" s="19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B1A32-C495-4EB3-A49A-57905D45C06A}"/>
</file>

<file path=customXml/itemProps2.xml><?xml version="1.0" encoding="utf-8"?>
<ds:datastoreItem xmlns:ds="http://schemas.openxmlformats.org/officeDocument/2006/customXml" ds:itemID="{F09E2258-650B-41BF-9F96-C11FC71C1D6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2024-05-08T06:27:28Z</dcterms:modified>
  <cp:category/>
  <cp:contentStatus/>
</cp:coreProperties>
</file>