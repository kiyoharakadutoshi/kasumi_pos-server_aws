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s system\10_機能概要_画面遷移\"/>
    </mc:Choice>
  </mc:AlternateContent>
  <xr:revisionPtr revIDLastSave="0" documentId="13_ncr:1_{9963E615-9F57-494B-82F3-1CF23EA4C7F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9" r:id="rId3"/>
    <sheet name="業務フロー" sheetId="6" r:id="rId4"/>
    <sheet name="機能概要説明" sheetId="8" r:id="rId5"/>
    <sheet name="機能概要" sheetId="5" r:id="rId6"/>
    <sheet name="画面設計書" sheetId="7" r:id="rId7"/>
    <sheet name="テンプレート" sheetId="2" r:id="rId8"/>
  </sheets>
  <definedNames>
    <definedName name="_xlnm.Print_Area" localSheetId="7">テンプレート!$A$1:$BK$55</definedName>
    <definedName name="_xlnm.Print_Area" localSheetId="2">指摘履歴!$A$1:$BK$55</definedName>
    <definedName name="_xlnm.Print_Area" localSheetId="1">改訂履歴!$A$1:$BK$58</definedName>
    <definedName name="_xlnm.Print_Area" localSheetId="5">機能概要!$A$1:$BK$186</definedName>
    <definedName name="_xlnm.Print_Area" localSheetId="4">機能概要説明!$A$1:$BK$26</definedName>
    <definedName name="_xlnm.Print_Area" localSheetId="0">表紙!$A$1:$BK$55</definedName>
    <definedName name="_xlnm.Print_Titles" localSheetId="7">テンプレート!$1:$5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2" l="1"/>
  <c r="A2" i="2"/>
  <c r="K2" i="2"/>
  <c r="AP2" i="2"/>
  <c r="AT2" i="2"/>
  <c r="H4" i="2"/>
  <c r="Z4" i="2"/>
  <c r="AP4" i="2"/>
  <c r="AP4" i="7" l="1"/>
  <c r="Z4" i="7"/>
  <c r="H4" i="7"/>
  <c r="K2" i="7"/>
  <c r="A2" i="7"/>
  <c r="W1" i="7"/>
  <c r="BM21" i="5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151" i="5" s="1"/>
  <c r="BM152" i="5" s="1"/>
  <c r="BM153" i="5" s="1"/>
  <c r="BM154" i="5" s="1"/>
  <c r="BM155" i="5" s="1"/>
  <c r="BM156" i="5" s="1"/>
  <c r="BM157" i="5" s="1"/>
  <c r="BM158" i="5" s="1"/>
  <c r="BM159" i="5" s="1"/>
  <c r="BM160" i="5" s="1"/>
  <c r="BM161" i="5" s="1"/>
  <c r="BM162" i="5" s="1"/>
  <c r="BM163" i="5" s="1"/>
  <c r="BM164" i="5" s="1"/>
  <c r="BM165" i="5" s="1"/>
  <c r="BM166" i="5" s="1"/>
  <c r="BM167" i="5" s="1"/>
  <c r="BM168" i="5" s="1"/>
  <c r="BM169" i="5" s="1"/>
  <c r="BM170" i="5" s="1"/>
  <c r="BM171" i="5" s="1"/>
  <c r="BM172" i="5" s="1"/>
  <c r="BM173" i="5" s="1"/>
  <c r="BM174" i="5" s="1"/>
  <c r="BM175" i="5" s="1"/>
  <c r="BM176" i="5" s="1"/>
  <c r="BM177" i="5" s="1"/>
  <c r="BM178" i="5" s="1"/>
  <c r="BM179" i="5" s="1"/>
  <c r="BM180" i="5" s="1"/>
  <c r="BM181" i="5" s="1"/>
  <c r="BM182" i="5" s="1"/>
  <c r="BM183" i="5" s="1"/>
  <c r="BM184" i="5" s="1"/>
  <c r="BM185" i="5" s="1"/>
  <c r="BM186" i="5" s="1"/>
  <c r="BM17" i="5"/>
  <c r="BM18" i="5" s="1"/>
  <c r="BM19" i="5" s="1"/>
  <c r="BM20" i="5" s="1"/>
  <c r="BM13" i="5"/>
  <c r="BM14" i="5" s="1"/>
  <c r="BM15" i="5" s="1"/>
  <c r="BM16" i="5" s="1"/>
  <c r="BM9" i="5"/>
  <c r="BM10" i="5" s="1"/>
  <c r="BM11" i="5" s="1"/>
  <c r="BM12" i="5" s="1"/>
  <c r="BM8" i="5"/>
  <c r="AP4" i="5" a="1"/>
  <c r="AP4" i="5" s="1"/>
  <c r="Z4" i="5"/>
  <c r="H4" i="5"/>
  <c r="K2" i="5"/>
  <c r="A2" i="5"/>
  <c r="W1" i="5"/>
  <c r="BM8" i="8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AP4" i="8" a="1"/>
  <c r="AP4" i="8" s="1"/>
  <c r="Z4" i="8"/>
  <c r="H4" i="8"/>
  <c r="AT2" i="8"/>
  <c r="K2" i="8"/>
  <c r="A2" i="8"/>
  <c r="W1" i="8"/>
  <c r="AP4" i="6" a="1"/>
  <c r="AP4" i="6" s="1"/>
  <c r="Z4" i="6"/>
  <c r="H4" i="6"/>
  <c r="AP2" i="6"/>
  <c r="K2" i="6"/>
  <c r="A2" i="6"/>
  <c r="W1" i="6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C2" i="4"/>
  <c r="BC2" i="2" s="1"/>
  <c r="AY2" i="4"/>
  <c r="AY2" i="5" s="1"/>
  <c r="AT2" i="4"/>
  <c r="AT2" i="5" s="1"/>
  <c r="AP2" i="4"/>
  <c r="AP2" i="8" s="1"/>
  <c r="BH2" i="8" l="1"/>
  <c r="BH2" i="2"/>
  <c r="BH2" i="3"/>
  <c r="AY2" i="7"/>
  <c r="AY2" i="2"/>
  <c r="BC2" i="3"/>
  <c r="BC2" i="8"/>
  <c r="BC2" i="6"/>
  <c r="BC2" i="7"/>
  <c r="BC2" i="5"/>
  <c r="AT2" i="3"/>
  <c r="AY2" i="6"/>
  <c r="AY2" i="8"/>
  <c r="AP2" i="7"/>
  <c r="BH2" i="7"/>
  <c r="AY2" i="3"/>
  <c r="AP2" i="5"/>
  <c r="BH2" i="5"/>
  <c r="AT2" i="7"/>
  <c r="BH2" i="6"/>
</calcChain>
</file>

<file path=xl/sharedStrings.xml><?xml version="1.0" encoding="utf-8"?>
<sst xmlns="http://schemas.openxmlformats.org/spreadsheetml/2006/main" count="270" uniqueCount="138">
  <si>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</si>
  <si>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</si>
  <si>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</si>
  <si>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</si>
  <si>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</si>
  <si>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</si>
  <si>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</si>
  <si>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</si>
  <si>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</si>
  <si>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</si>
  <si>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</si>
  <si>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</si>
  <si>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</si>
  <si>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</si>
  <si>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</si>
  <si>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</si>
  <si>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</si>
  <si>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</si>
  <si>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</si>
  <si>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</si>
  <si>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</si>
  <si>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</si>
  <si>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</si>
  <si>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</si>
  <si>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</si>
  <si>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</si>
  <si>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多言語対象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</si>
  <si>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</si>
  <si>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</si>
  <si>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</si>
  <si>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</si>
  <si>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</si>
  <si>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</si>
  <si>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</si>
  <si>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</si>
  <si>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</si>
  <si>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</si>
  <si>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</si>
  <si>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</si>
  <si>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</si>
  <si>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</si>
  <si>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</si>
  <si>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</si>
  <si>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</si>
  <si>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</si>
  <si>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</si>
  <si>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</si>
  <si>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</si>
  <si>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</si>
  <si>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</si>
  <si>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</si>
  <si>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</si>
  <si>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</si>
  <si>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</si>
  <si>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</si>
  <si>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</si>
  <si>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</si>
  <si>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</si>
  <si>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POSサーバー</t>
    </r>
  </si>
  <si>
    <t>`</t>
  </si>
  <si>
    <r>
      <rPr>
        <sz val="24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</si>
  <si>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AnhNM</t>
    </r>
  </si>
  <si>
    <r>
      <rPr>
        <sz val="11"/>
        <color rgb="FF000000"/>
        <rFont val="Meiryo UI"/>
        <family val="2"/>
      </rPr>
      <t>本機能では次のことが可能になる。</t>
    </r>
  </si>
  <si>
    <r>
      <rPr>
        <sz val="11"/>
        <color rgb="FF000000"/>
        <rFont val="Meiryo UI"/>
        <family val="2"/>
      </rPr>
      <t>・時間帯別売上日報作成</t>
    </r>
  </si>
  <si>
    <r>
      <rPr>
        <sz val="11"/>
        <color rgb="FF000000"/>
        <rFont val="Meiryo UI"/>
        <family val="2"/>
      </rPr>
      <t>初期化</t>
    </r>
  </si>
  <si>
    <r>
      <rPr>
        <sz val="11"/>
        <color rgb="FF000000"/>
        <rFont val="Meiryo UI"/>
        <family val="2"/>
      </rPr>
      <t>時間帯別</t>
    </r>
  </si>
  <si>
    <r>
      <rPr>
        <sz val="11"/>
        <color rgb="FF000000"/>
        <rFont val="Meiryo UI"/>
        <family val="2"/>
      </rPr>
      <t>日報</t>
    </r>
  </si>
  <si>
    <r>
      <rPr>
        <sz val="11"/>
        <color rgb="FF000000"/>
        <rFont val="Meiryo UI"/>
        <family val="2"/>
      </rPr>
      <t>時間帯別レポート（日報からの場合）</t>
    </r>
  </si>
  <si>
    <r>
      <rPr>
        <sz val="11"/>
        <color rgb="FF000000"/>
        <rFont val="Meiryo UI"/>
        <family val="2"/>
      </rPr>
      <t>検索機能</t>
    </r>
  </si>
  <si>
    <r>
      <rPr>
        <sz val="11"/>
        <color rgb="FF000000"/>
        <rFont val="Meiryo UI"/>
        <family val="2"/>
      </rPr>
      <t>拡大機能</t>
    </r>
  </si>
  <si>
    <r>
      <rPr>
        <sz val="11"/>
        <color rgb="FF000000"/>
        <rFont val="Meiryo UI"/>
        <family val="2"/>
      </rPr>
      <t>印刷機能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</si>
  <si>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</si>
  <si>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5/10の定例会より更新</t>
    </r>
  </si>
  <si>
    <r>
      <rPr>
        <sz val="11"/>
        <color rgb="FF000000"/>
        <rFont val="Meiryo UI"/>
        <family val="2"/>
      </rPr>
      <t>シート：</t>
    </r>
    <r>
      <rPr>
        <sz val="11"/>
        <color rgb="FF000000"/>
        <rFont val="Meiryo UI"/>
        <family val="2"/>
      </rPr>
      <t>機能概要説明、画面概要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</si>
  <si>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</si>
  <si>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</si>
  <si>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</si>
  <si>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No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</si>
  <si>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</si>
  <si>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指摘履歴</t>
    </r>
  </si>
  <si>
    <r>
      <rPr>
        <sz val="11"/>
        <color rgb="FF000000"/>
        <rFont val="Meiryo UI"/>
        <family val="2"/>
      </rPr>
      <t>佐々木</t>
    </r>
  </si>
  <si>
    <r>
      <rPr>
        <sz val="11"/>
        <color rgb="FF000000"/>
        <rFont val="Meiryo UI"/>
        <family val="2"/>
      </rPr>
      <t>カスミ</t>
    </r>
  </si>
  <si>
    <r>
      <rPr>
        <sz val="11"/>
        <color rgb="FF000000"/>
        <rFont val="Meiryo UI"/>
        <family val="2"/>
      </rPr>
      <t>機能概要</t>
    </r>
  </si>
  <si>
    <r>
      <rPr>
        <sz val="11"/>
        <color rgb="FF000000"/>
        <rFont val="Meiryo UI"/>
        <family val="2"/>
      </rPr>
      <t>コメントによる更新</t>
    </r>
  </si>
  <si>
    <r>
      <rPr>
        <sz val="11"/>
        <color rgb="FF000000"/>
        <rFont val="Meiryo UI"/>
        <family val="2"/>
      </rPr>
      <t>・速報・日報の期限説明を更新する。</t>
    </r>
  </si>
  <si>
    <r>
      <rPr>
        <sz val="11"/>
        <color rgb="FF000000"/>
        <rFont val="Meiryo UI"/>
        <family val="2"/>
      </rPr>
      <t>・情報を追加し、時間帯別レポートモードで時間、レポートタイプを入力可能とする。</t>
    </r>
  </si>
  <si>
    <r>
      <rPr>
        <sz val="11"/>
        <color rgb="FF000000"/>
        <rFont val="Meiryo UI"/>
        <family val="2"/>
      </rPr>
      <t>TinNH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</si>
  <si>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</si>
  <si>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</si>
  <si>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11_部門別売上速報・日報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</si>
  <si>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</si>
  <si>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000000"/>
        <rFont val="Meiryo UI"/>
        <family val="2"/>
      </rPr>
      <t>・テナント項目を追加し、テナント別部門の売上レポートを表示可能とする。</t>
    </r>
  </si>
  <si>
    <r>
      <rPr>
        <sz val="11"/>
        <color rgb="FF000000"/>
        <rFont val="Meiryo UI"/>
        <family val="2"/>
      </rPr>
      <t>‣「日報」モードの場合、前営業を自動的に選択し、有効にする。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→「翌営業」を「前営業」に修正した</t>
    </r>
  </si>
  <si>
    <r>
      <rPr>
        <sz val="11"/>
        <color rgb="FF000000"/>
        <rFont val="Meiryo UI"/>
        <family val="2"/>
      </rPr>
      <t>11_部門別売上速報/日報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</si>
  <si>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</si>
  <si>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AnhNM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</si>
  <si>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</si>
  <si>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</si>
  <si>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・売上速報を印刷</t>
    </r>
  </si>
  <si>
    <r>
      <rPr>
        <sz val="11"/>
        <color rgb="FF000000"/>
        <rFont val="Meiryo UI"/>
        <family val="2"/>
      </rPr>
      <t>・売上日報を印刷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</si>
  <si>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</si>
  <si>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</si>
  <si>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</si>
  <si>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ー</t>
    </r>
  </si>
  <si>
    <t>DuNT</t>
  </si>
  <si>
    <t>店舗選択モーダルを削除する。</t>
  </si>
  <si>
    <t>画面でテナント項目を削除し、カスミ様のご指摘より記載更新</t>
  </si>
  <si>
    <t>新規作成</t>
  </si>
  <si>
    <t>カスミ　佐々木</t>
    <rPh sb="4" eb="7">
      <t>ササキ</t>
    </rPh>
    <phoneticPr fontId="1"/>
  </si>
  <si>
    <t>機能概要</t>
  </si>
  <si>
    <t>　・日報を選択すると【開始日】、【終了日】翌営業をセットする。
　・速報を選択すると営業日に当日をセットする</t>
  </si>
  <si>
    <t>　時間帯別画面で
・[階層別]押下した時に売上がない場合でも予算以外は０円表示する。
※ 時間帯別画面でも【速報・日報】、【開始日】、【終了日】、を設定（入力）可能とする。</t>
  </si>
  <si>
    <t>テナントレジ売上を表示する（レジ、部門（レジマスタ設定値））
POS売上はあがらないレジである為、レジ精算画面売上を表示（速報・日報）</t>
  </si>
  <si>
    <t>　・日報を選択すると【開始日】、【終了日】翌営業をセットする。
＝＞良く営業日ではなく。前営業日でした。記載誤りで申し訳ありませんでした。</t>
    <rPh sb="34" eb="35">
      <t>ヨ</t>
    </rPh>
    <rPh sb="36" eb="39">
      <t>エイギョウビ</t>
    </rPh>
    <rPh sb="44" eb="45">
      <t>ゼン</t>
    </rPh>
    <rPh sb="45" eb="47">
      <t>エイギョウ</t>
    </rPh>
    <rPh sb="47" eb="48">
      <t>ビ</t>
    </rPh>
    <rPh sb="52" eb="54">
      <t>キサイ</t>
    </rPh>
    <rPh sb="54" eb="55">
      <t>アヤマ</t>
    </rPh>
    <rPh sb="57" eb="58">
      <t>モウ</t>
    </rPh>
    <rPh sb="59" eb="60">
      <t>ワケ</t>
    </rPh>
    <phoneticPr fontId="0"/>
  </si>
  <si>
    <t>CSV出力を削除し、API AP1102: 部門別売上速報・日報帳票作成を追加する。</t>
  </si>
  <si>
    <r>
      <t>・</t>
    </r>
    <r>
      <rPr>
        <sz val="11"/>
        <color rgb="FF000000"/>
        <rFont val="Meiryo UI"/>
        <family val="2"/>
      </rPr>
      <t>商品部門と日報のオプションにより売上日報を作成する。</t>
    </r>
  </si>
  <si>
    <r>
      <rPr>
        <sz val="11"/>
        <color rgb="FF000000"/>
        <rFont val="Meiryo UI"/>
        <family val="2"/>
      </rPr>
      <t>・現在の営業日の部門別売上速報を作成する。</t>
    </r>
  </si>
  <si>
    <r>
      <rPr>
        <sz val="11"/>
        <color rgb="FF000000"/>
        <rFont val="Meiryo UI"/>
        <family val="2"/>
      </rPr>
      <t>・売上速報/日報を印刷する。</t>
    </r>
  </si>
  <si>
    <r>
      <rPr>
        <sz val="11"/>
        <color rgb="FF000000"/>
        <rFont val="Meiryo UI"/>
        <family val="2"/>
      </rPr>
      <t>・商品部門レベルを上階層・下階層する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</si>
  <si>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</si>
  <si>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</si>
  <si>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</si>
  <si>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</si>
  <si>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</si>
  <si>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</si>
  <si>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</si>
  <si>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</si>
  <si>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</si>
  <si>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11_部門別売上速報/日報</t>
  </si>
  <si>
    <t>Android POS Control</t>
  </si>
  <si>
    <r>
      <rPr>
        <sz val="11"/>
        <color rgb="FF000000"/>
        <rFont val="Meiryo UI"/>
        <family val="2"/>
      </rPr>
      <t>User ID</t>
    </r>
  </si>
  <si>
    <r>
      <rPr>
        <sz val="11"/>
        <color rgb="FF000000"/>
        <rFont val="Meiryo UI"/>
        <family val="2"/>
      </rPr>
      <t>Login</t>
    </r>
  </si>
  <si>
    <t>AnhNM</t>
  </si>
  <si>
    <t>開始日、終了日の配置は横に並べる
予算単位は円単位</t>
  </si>
  <si>
    <t>　開始日、終了日の配置は横に並べる</t>
  </si>
  <si>
    <t>　予算単位は円単位</t>
  </si>
  <si>
    <t>佐々木</t>
  </si>
  <si>
    <t>値引金額項目に以下の説明を追加する。
ミックスマッチとセットマッチを含む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</si>
</sst>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name val="Meiryo UI"/>
      <family val="3"/>
      <charset val="128"/>
    </font>
    <font>
      <sz val="11"/>
      <color rgb="FF0000FF"/>
      <name val="Meiryo UI"/>
      <family val="3"/>
      <charset val="128"/>
    </font>
    <font>
      <sz val="11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/>
      <right/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/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rgb="FF000000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/>
  </cellStyleXfs>
  <cellXfs count="3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6" fillId="2" borderId="0" xfId="0" applyFont="1" applyFill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7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vertical="center"/>
    </xf>
    <xf numFmtId="0" fontId="7" fillId="0" borderId="23" xfId="6" applyFont="1" applyBorder="1" applyAlignment="1">
      <alignment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7" fillId="0" borderId="26" xfId="6" applyFont="1" applyBorder="1" applyAlignment="1">
      <alignment vertical="center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12" fillId="0" borderId="1" xfId="7" applyBorder="1">
      <alignment vertical="center"/>
    </xf>
    <xf numFmtId="0" fontId="12" fillId="0" borderId="0" xfId="7">
      <alignment vertical="center"/>
    </xf>
    <xf numFmtId="0" fontId="12" fillId="0" borderId="4" xfId="7" applyBorder="1">
      <alignment vertical="center"/>
    </xf>
    <xf numFmtId="0" fontId="12" fillId="0" borderId="2" xfId="7" applyBorder="1">
      <alignment vertical="center"/>
    </xf>
    <xf numFmtId="0" fontId="12" fillId="0" borderId="3" xfId="7" applyBorder="1">
      <alignment vertical="center"/>
    </xf>
    <xf numFmtId="0" fontId="12" fillId="0" borderId="5" xfId="7" applyBorder="1">
      <alignment vertical="center"/>
    </xf>
    <xf numFmtId="0" fontId="0" fillId="0" borderId="0" xfId="0" quotePrefix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14" fillId="0" borderId="0" xfId="0" applyFont="1"/>
    <xf numFmtId="0" fontId="14" fillId="0" borderId="1" xfId="0" applyFont="1" applyBorder="1"/>
    <xf numFmtId="0" fontId="14" fillId="0" borderId="4" xfId="0" applyFont="1" applyBorder="1"/>
    <xf numFmtId="0" fontId="16" fillId="2" borderId="0" xfId="0" applyFont="1" applyFill="1" applyAlignment="1">
      <alignment vertical="center"/>
    </xf>
    <xf numFmtId="0" fontId="15" fillId="2" borderId="16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" xfId="7" applyFont="1" applyBorder="1">
      <alignment vertical="center"/>
    </xf>
    <xf numFmtId="0" fontId="14" fillId="0" borderId="0" xfId="7" applyFont="1">
      <alignment vertical="center"/>
    </xf>
    <xf numFmtId="0" fontId="14" fillId="0" borderId="20" xfId="0" applyFont="1" applyBorder="1"/>
    <xf numFmtId="0" fontId="14" fillId="0" borderId="21" xfId="7" applyFont="1" applyBorder="1">
      <alignment vertical="center"/>
    </xf>
    <xf numFmtId="0" fontId="14" fillId="0" borderId="21" xfId="0" applyFont="1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22" xfId="0" applyBorder="1"/>
    <xf numFmtId="0" fontId="0" fillId="0" borderId="31" xfId="0" applyBorder="1"/>
    <xf numFmtId="0" fontId="0" fillId="0" borderId="32" xfId="0" applyBorder="1"/>
    <xf numFmtId="0" fontId="0" fillId="0" borderId="3" xfId="0" applyBorder="1"/>
    <xf numFmtId="0" fontId="0" fillId="0" borderId="5" xfId="0" applyBorder="1"/>
    <xf numFmtId="0" fontId="0" fillId="0" borderId="30" xfId="0" applyBorder="1"/>
    <xf numFmtId="0" fontId="0" fillId="0" borderId="2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14" fontId="13" fillId="0" borderId="30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6" xfId="0" applyFont="1" applyBorder="1"/>
    <xf numFmtId="0" fontId="13" fillId="0" borderId="37" xfId="0" applyFont="1" applyBorder="1"/>
    <xf numFmtId="0" fontId="13" fillId="0" borderId="22" xfId="0" applyFont="1" applyBorder="1"/>
    <xf numFmtId="0" fontId="13" fillId="0" borderId="38" xfId="0" applyFont="1" applyBorder="1" applyAlignment="1">
      <alignment wrapText="1"/>
    </xf>
    <xf numFmtId="0" fontId="13" fillId="0" borderId="39" xfId="0" applyFont="1" applyBorder="1"/>
    <xf numFmtId="0" fontId="13" fillId="0" borderId="40" xfId="0" applyFont="1" applyBorder="1"/>
    <xf numFmtId="14" fontId="18" fillId="0" borderId="30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6" xfId="0" applyFont="1" applyBorder="1"/>
    <xf numFmtId="0" fontId="18" fillId="0" borderId="37" xfId="0" applyFont="1" applyBorder="1"/>
    <xf numFmtId="0" fontId="18" fillId="0" borderId="22" xfId="0" applyFont="1" applyBorder="1"/>
    <xf numFmtId="0" fontId="13" fillId="0" borderId="31" xfId="0" applyFont="1" applyBorder="1"/>
    <xf numFmtId="0" fontId="13" fillId="0" borderId="32" xfId="0" applyFont="1" applyBorder="1"/>
    <xf numFmtId="0" fontId="13" fillId="0" borderId="0" xfId="0" applyFont="1"/>
    <xf numFmtId="0" fontId="13" fillId="0" borderId="4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30" xfId="0" applyFont="1" applyBorder="1"/>
    <xf numFmtId="0" fontId="13" fillId="0" borderId="1" xfId="0" applyFont="1" applyBorder="1"/>
    <xf numFmtId="0" fontId="13" fillId="0" borderId="2" xfId="0" applyFont="1" applyBorder="1"/>
    <xf numFmtId="0" fontId="18" fillId="0" borderId="38" xfId="0" applyFont="1" applyBorder="1"/>
    <xf numFmtId="0" fontId="18" fillId="0" borderId="39" xfId="0" applyFont="1" applyBorder="1"/>
    <xf numFmtId="0" fontId="18" fillId="0" borderId="40" xfId="0" applyFont="1" applyBorder="1"/>
    <xf numFmtId="1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1" xfId="0" applyBorder="1"/>
    <xf numFmtId="0" fontId="0" fillId="0" borderId="38" xfId="0" quotePrefix="1" applyBorder="1"/>
    <xf numFmtId="0" fontId="0" fillId="0" borderId="33" xfId="0" quotePrefix="1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3" fillId="2" borderId="0" xfId="0" applyFont="1" applyFill="1"/>
    <xf numFmtId="0" fontId="18" fillId="0" borderId="33" xfId="0" applyFont="1" applyBorder="1" applyAlignment="1">
      <alignment horizontal="left"/>
    </xf>
    <xf numFmtId="0" fontId="18" fillId="0" borderId="34" xfId="0" applyFont="1" applyBorder="1" applyAlignment="1">
      <alignment horizontal="left"/>
    </xf>
    <xf numFmtId="0" fontId="18" fillId="0" borderId="35" xfId="0" applyFont="1" applyBorder="1" applyAlignment="1">
      <alignment horizontal="left"/>
    </xf>
    <xf numFmtId="0" fontId="0" fillId="0" borderId="38" xfId="0" applyBorder="1" applyAlignment="1">
      <alignment wrapText="1"/>
    </xf>
    <xf numFmtId="14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8" xfId="0" applyFont="1" applyBorder="1"/>
    <xf numFmtId="0" fontId="7" fillId="0" borderId="49" xfId="0" applyFont="1" applyBorder="1"/>
    <xf numFmtId="0" fontId="7" fillId="0" borderId="50" xfId="0" applyFont="1" applyBorder="1"/>
    <xf numFmtId="0" fontId="7" fillId="0" borderId="45" xfId="0" applyFont="1" applyBorder="1" applyAlignment="1">
      <alignment vertical="center" wrapText="1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14" fontId="14" fillId="0" borderId="30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51" xfId="0" applyFont="1" applyBorder="1" applyAlignment="1">
      <alignment vertical="top" wrapText="1"/>
    </xf>
    <xf numFmtId="0" fontId="14" fillId="0" borderId="52" xfId="0" applyFont="1" applyBorder="1" applyAlignment="1">
      <alignment vertical="top"/>
    </xf>
    <xf numFmtId="0" fontId="14" fillId="0" borderId="53" xfId="0" applyFont="1" applyBorder="1" applyAlignment="1">
      <alignment vertical="top"/>
    </xf>
    <xf numFmtId="14" fontId="14" fillId="0" borderId="31" xfId="0" applyNumberFormat="1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30" xfId="0" applyFont="1" applyBorder="1"/>
    <xf numFmtId="0" fontId="14" fillId="0" borderId="2" xfId="0" applyFont="1" applyBorder="1"/>
    <xf numFmtId="0" fontId="14" fillId="0" borderId="45" xfId="0" applyFont="1" applyBorder="1" applyAlignment="1">
      <alignment vertical="top" wrapText="1"/>
    </xf>
    <xf numFmtId="0" fontId="14" fillId="0" borderId="46" xfId="0" applyFont="1" applyBorder="1" applyAlignment="1">
      <alignment vertical="top"/>
    </xf>
    <xf numFmtId="0" fontId="14" fillId="0" borderId="47" xfId="0" applyFont="1" applyBorder="1" applyAlignment="1">
      <alignment vertical="top"/>
    </xf>
    <xf numFmtId="0" fontId="14" fillId="0" borderId="48" xfId="0" applyFont="1" applyBorder="1"/>
    <xf numFmtId="0" fontId="14" fillId="0" borderId="49" xfId="0" applyFont="1" applyBorder="1"/>
    <xf numFmtId="0" fontId="14" fillId="0" borderId="50" xfId="0" applyFont="1" applyBorder="1"/>
    <xf numFmtId="0" fontId="14" fillId="0" borderId="45" xfId="0" applyFont="1" applyBorder="1" applyAlignment="1">
      <alignment vertical="center" wrapText="1"/>
    </xf>
    <xf numFmtId="0" fontId="14" fillId="0" borderId="46" xfId="0" applyFont="1" applyBorder="1" applyAlignment="1">
      <alignment vertical="center"/>
    </xf>
    <xf numFmtId="0" fontId="14" fillId="0" borderId="47" xfId="0" applyFont="1" applyBorder="1" applyAlignment="1">
      <alignment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14" fontId="0" fillId="0" borderId="30" xfId="0" applyNumberFormat="1" applyBorder="1"/>
    <xf numFmtId="0" fontId="15" fillId="2" borderId="27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 vertical="center"/>
    </xf>
    <xf numFmtId="14" fontId="14" fillId="0" borderId="3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2" borderId="27" xfId="6" applyFont="1" applyFill="1" applyBorder="1" applyAlignment="1">
      <alignment horizontal="center" vertical="center"/>
    </xf>
    <xf numFmtId="0" fontId="3" fillId="2" borderId="28" xfId="6" applyFont="1" applyFill="1" applyBorder="1" applyAlignment="1">
      <alignment horizontal="center" vertical="center"/>
    </xf>
    <xf numFmtId="0" fontId="3" fillId="2" borderId="29" xfId="6" applyFont="1" applyFill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8" fillId="0" borderId="27" xfId="6" applyFont="1" applyBorder="1" applyAlignment="1">
      <alignment horizontal="center" vertical="center"/>
    </xf>
    <xf numFmtId="0" fontId="8" fillId="6" borderId="30" xfId="6" applyFont="1" applyFill="1" applyBorder="1" applyAlignment="1">
      <alignment vertical="center" wrapText="1"/>
    </xf>
    <xf numFmtId="0" fontId="7" fillId="6" borderId="32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6" borderId="30" xfId="6" applyFont="1" applyFill="1" applyBorder="1" applyAlignment="1">
      <alignment vertical="center"/>
    </xf>
    <xf numFmtId="0" fontId="7" fillId="6" borderId="31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56" xfId="6" applyFont="1" applyFill="1" applyBorder="1" applyAlignment="1">
      <alignment vertical="center" shrinkToFit="1"/>
    </xf>
    <xf numFmtId="0" fontId="7" fillId="6" borderId="58" xfId="6" applyFont="1" applyFill="1" applyBorder="1" applyAlignment="1">
      <alignment vertical="center" shrinkToFit="1"/>
    </xf>
    <xf numFmtId="0" fontId="7" fillId="6" borderId="57" xfId="6" applyFont="1" applyFill="1" applyBorder="1" applyAlignment="1">
      <alignment vertical="center" shrinkToFit="1"/>
    </xf>
    <xf numFmtId="0" fontId="8" fillId="6" borderId="56" xfId="6" applyFont="1" applyFill="1" applyBorder="1" applyAlignment="1">
      <alignment vertical="center" wrapText="1"/>
    </xf>
    <xf numFmtId="0" fontId="8" fillId="6" borderId="58" xfId="6" applyFont="1" applyFill="1" applyBorder="1" applyAlignment="1">
      <alignment vertical="center" wrapText="1"/>
    </xf>
    <xf numFmtId="0" fontId="8" fillId="6" borderId="57" xfId="6" applyFont="1" applyFill="1" applyBorder="1" applyAlignment="1">
      <alignment vertical="center" wrapText="1"/>
    </xf>
    <xf numFmtId="0" fontId="8" fillId="4" borderId="27" xfId="6" applyFont="1" applyFill="1" applyBorder="1" applyAlignment="1">
      <alignment vertical="center"/>
    </xf>
    <xf numFmtId="0" fontId="7" fillId="4" borderId="28" xfId="6" applyFont="1" applyFill="1" applyBorder="1" applyAlignment="1">
      <alignment vertical="center"/>
    </xf>
    <xf numFmtId="0" fontId="7" fillId="4" borderId="59" xfId="6" applyFont="1" applyFill="1" applyBorder="1" applyAlignment="1">
      <alignment vertical="center"/>
    </xf>
    <xf numFmtId="0" fontId="8" fillId="4" borderId="60" xfId="6" applyFont="1" applyFill="1" applyBorder="1" applyAlignment="1">
      <alignment vertical="center"/>
    </xf>
    <xf numFmtId="0" fontId="7" fillId="4" borderId="29" xfId="6" applyFont="1" applyFill="1" applyBorder="1" applyAlignment="1">
      <alignment vertical="center"/>
    </xf>
    <xf numFmtId="0" fontId="7" fillId="0" borderId="36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36" xfId="6" applyFont="1" applyBorder="1" applyAlignment="1">
      <alignment vertical="center"/>
    </xf>
    <xf numFmtId="0" fontId="7" fillId="0" borderId="37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7" fillId="0" borderId="35" xfId="6" applyFont="1" applyBorder="1" applyAlignment="1">
      <alignment vertical="center"/>
    </xf>
    <xf numFmtId="0" fontId="8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8" fillId="3" borderId="27" xfId="6" applyFont="1" applyFill="1" applyBorder="1" applyAlignment="1">
      <alignment vertical="center"/>
    </xf>
    <xf numFmtId="0" fontId="7" fillId="3" borderId="28" xfId="6" applyFont="1" applyFill="1" applyBorder="1" applyAlignment="1">
      <alignment vertical="center"/>
    </xf>
    <xf numFmtId="0" fontId="7" fillId="3" borderId="29" xfId="6" applyFont="1" applyFill="1" applyBorder="1" applyAlignment="1">
      <alignment vertical="center"/>
    </xf>
    <xf numFmtId="0" fontId="8" fillId="5" borderId="30" xfId="6" applyFont="1" applyFill="1" applyBorder="1" applyAlignment="1">
      <alignment vertical="center"/>
    </xf>
    <xf numFmtId="0" fontId="7" fillId="5" borderId="31" xfId="6" applyFont="1" applyFill="1" applyBorder="1" applyAlignment="1">
      <alignment vertical="center"/>
    </xf>
    <xf numFmtId="0" fontId="7" fillId="5" borderId="32" xfId="6" applyFont="1" applyFill="1" applyBorder="1" applyAlignment="1">
      <alignment vertical="center"/>
    </xf>
    <xf numFmtId="0" fontId="7" fillId="5" borderId="1" xfId="6" applyFont="1" applyFill="1" applyBorder="1" applyAlignment="1">
      <alignment vertical="center"/>
    </xf>
    <xf numFmtId="0" fontId="7" fillId="5" borderId="0" xfId="6" applyFont="1" applyFill="1" applyAlignment="1">
      <alignment vertical="center"/>
    </xf>
    <xf numFmtId="0" fontId="7" fillId="5" borderId="4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8" fillId="3" borderId="27" xfId="6" applyFont="1" applyFill="1" applyBorder="1"/>
    <xf numFmtId="0" fontId="8" fillId="3" borderId="28" xfId="6" applyFont="1" applyFill="1" applyBorder="1"/>
    <xf numFmtId="0" fontId="8" fillId="3" borderId="29" xfId="6" applyFont="1" applyFill="1" applyBorder="1"/>
    <xf numFmtId="0" fontId="8" fillId="3" borderId="30" xfId="6" applyFont="1" applyFill="1" applyBorder="1" applyAlignment="1">
      <alignment vertical="center"/>
    </xf>
    <xf numFmtId="0" fontId="7" fillId="3" borderId="31" xfId="6" applyFont="1" applyFill="1" applyBorder="1" applyAlignment="1">
      <alignment vertical="center"/>
    </xf>
    <xf numFmtId="0" fontId="7" fillId="3" borderId="32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56" xfId="6" applyFont="1" applyFill="1" applyBorder="1" applyAlignment="1">
      <alignment vertical="center" wrapText="1"/>
    </xf>
    <xf numFmtId="0" fontId="8" fillId="4" borderId="57" xfId="6" applyFont="1" applyFill="1" applyBorder="1" applyAlignment="1">
      <alignment vertical="center" wrapText="1"/>
    </xf>
    <xf numFmtId="0" fontId="8" fillId="4" borderId="32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8" fillId="0" borderId="36" xfId="6" applyFont="1" applyBorder="1" applyAlignment="1">
      <alignment horizontal="center" vertical="center" wrapText="1"/>
    </xf>
    <xf numFmtId="0" fontId="8" fillId="0" borderId="37" xfId="6" applyFont="1" applyBorder="1" applyAlignment="1">
      <alignment horizontal="center" vertical="center" wrapText="1"/>
    </xf>
    <xf numFmtId="0" fontId="8" fillId="0" borderId="22" xfId="6" applyFont="1" applyBorder="1" applyAlignment="1">
      <alignment horizontal="center" vertical="center" wrapText="1"/>
    </xf>
    <xf numFmtId="0" fontId="7" fillId="0" borderId="36" xfId="6" applyFont="1" applyBorder="1" applyAlignment="1">
      <alignment horizontal="left" vertical="center"/>
    </xf>
    <xf numFmtId="0" fontId="7" fillId="0" borderId="37" xfId="6" applyFont="1" applyBorder="1" applyAlignment="1">
      <alignment horizontal="left" vertical="center"/>
    </xf>
    <xf numFmtId="0" fontId="7" fillId="0" borderId="22" xfId="6" applyFont="1" applyBorder="1" applyAlignment="1">
      <alignment horizontal="left" vertical="center"/>
    </xf>
    <xf numFmtId="0" fontId="0" fillId="0" borderId="36" xfId="6" applyFont="1" applyBorder="1" applyAlignment="1">
      <alignment vertical="center" wrapText="1"/>
    </xf>
    <xf numFmtId="0" fontId="0" fillId="0" borderId="37" xfId="6" applyFont="1" applyBorder="1" applyAlignment="1">
      <alignment vertical="center" wrapText="1"/>
    </xf>
    <xf numFmtId="0" fontId="0" fillId="0" borderId="22" xfId="6" applyFont="1" applyBorder="1" applyAlignment="1">
      <alignment vertical="center" wrapText="1"/>
    </xf>
    <xf numFmtId="0" fontId="7" fillId="0" borderId="33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7" fillId="0" borderId="33" xfId="6" quotePrefix="1" applyFont="1" applyBorder="1" applyAlignment="1">
      <alignment vertical="center" wrapText="1"/>
    </xf>
    <xf numFmtId="0" fontId="7" fillId="0" borderId="34" xfId="6" quotePrefix="1" applyFont="1" applyBorder="1" applyAlignment="1">
      <alignment vertical="center" wrapText="1"/>
    </xf>
    <xf numFmtId="0" fontId="7" fillId="0" borderId="35" xfId="6" quotePrefix="1" applyFont="1" applyBorder="1" applyAlignment="1">
      <alignment vertical="center" wrapText="1"/>
    </xf>
    <xf numFmtId="0" fontId="8" fillId="0" borderId="33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3" xfId="6" quotePrefix="1" applyFont="1" applyBorder="1" applyAlignment="1">
      <alignment vertical="center"/>
    </xf>
    <xf numFmtId="0" fontId="7" fillId="0" borderId="34" xfId="6" quotePrefix="1" applyFont="1" applyBorder="1" applyAlignment="1">
      <alignment vertical="center"/>
    </xf>
    <xf numFmtId="0" fontId="7" fillId="0" borderId="35" xfId="6" quotePrefix="1" applyFont="1" applyBorder="1" applyAlignment="1">
      <alignment vertical="center"/>
    </xf>
    <xf numFmtId="0" fontId="8" fillId="0" borderId="33" xfId="6" quotePrefix="1" applyFont="1" applyBorder="1" applyAlignment="1">
      <alignment horizontal="center" vertical="center" wrapText="1"/>
    </xf>
    <xf numFmtId="0" fontId="8" fillId="0" borderId="34" xfId="6" applyFont="1" applyBorder="1" applyAlignment="1">
      <alignment horizontal="center" vertical="center" wrapText="1"/>
    </xf>
    <xf numFmtId="0" fontId="8" fillId="0" borderId="35" xfId="6" applyFont="1" applyBorder="1" applyAlignment="1">
      <alignment horizontal="center" vertical="center" wrapText="1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5" xfId="6" applyFont="1" applyBorder="1" applyAlignment="1">
      <alignment horizontal="left" vertical="center"/>
    </xf>
    <xf numFmtId="0" fontId="0" fillId="0" borderId="33" xfId="6" applyFont="1" applyBorder="1" applyAlignment="1">
      <alignment vertical="center"/>
    </xf>
    <xf numFmtId="0" fontId="0" fillId="0" borderId="34" xfId="6" applyFont="1" applyBorder="1" applyAlignment="1">
      <alignment vertical="center"/>
    </xf>
    <xf numFmtId="0" fontId="0" fillId="0" borderId="35" xfId="6" applyFont="1" applyBorder="1" applyAlignment="1">
      <alignment vertical="center"/>
    </xf>
    <xf numFmtId="0" fontId="9" fillId="0" borderId="33" xfId="6" applyFont="1" applyBorder="1" applyAlignment="1">
      <alignment vertical="center" wrapText="1"/>
    </xf>
    <xf numFmtId="0" fontId="8" fillId="0" borderId="33" xfId="6" quotePrefix="1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0" fillId="0" borderId="54" xfId="6" quotePrefix="1" applyFont="1" applyBorder="1" applyAlignment="1">
      <alignment vertical="center"/>
    </xf>
    <xf numFmtId="0" fontId="0" fillId="0" borderId="52" xfId="6" quotePrefix="1" applyFont="1" applyBorder="1" applyAlignment="1">
      <alignment vertical="center"/>
    </xf>
    <xf numFmtId="0" fontId="0" fillId="0" borderId="55" xfId="6" quotePrefix="1" applyFont="1" applyBorder="1" applyAlignment="1">
      <alignment vertical="center"/>
    </xf>
    <xf numFmtId="0" fontId="7" fillId="0" borderId="33" xfId="6" quotePrefix="1" applyFont="1" applyBorder="1" applyAlignment="1">
      <alignment horizontal="center" vertical="center"/>
    </xf>
    <xf numFmtId="0" fontId="0" fillId="0" borderId="54" xfId="6" applyFont="1" applyBorder="1" applyAlignment="1">
      <alignment vertical="center"/>
    </xf>
    <xf numFmtId="0" fontId="0" fillId="0" borderId="52" xfId="6" applyFont="1" applyBorder="1" applyAlignment="1">
      <alignment vertical="center"/>
    </xf>
    <xf numFmtId="0" fontId="0" fillId="0" borderId="55" xfId="6" applyFont="1" applyBorder="1" applyAlignment="1">
      <alignment vertical="center"/>
    </xf>
    <xf numFmtId="0" fontId="7" fillId="0" borderId="38" xfId="6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7" fillId="0" borderId="38" xfId="6" applyFont="1" applyBorder="1" applyAlignment="1">
      <alignment horizontal="left" vertical="center"/>
    </xf>
    <xf numFmtId="0" fontId="7" fillId="0" borderId="39" xfId="6" applyFont="1" applyBorder="1" applyAlignment="1">
      <alignment horizontal="left" vertical="center"/>
    </xf>
    <xf numFmtId="0" fontId="7" fillId="0" borderId="40" xfId="6" applyFont="1" applyBorder="1" applyAlignment="1">
      <alignment horizontal="left" vertical="center"/>
    </xf>
    <xf numFmtId="0" fontId="0" fillId="0" borderId="38" xfId="6" applyFont="1" applyBorder="1" applyAlignment="1">
      <alignment vertical="center"/>
    </xf>
    <xf numFmtId="0" fontId="0" fillId="0" borderId="39" xfId="6" applyFont="1" applyBorder="1" applyAlignment="1">
      <alignment vertical="center"/>
    </xf>
    <xf numFmtId="0" fontId="0" fillId="0" borderId="40" xfId="6" applyFont="1" applyBorder="1" applyAlignment="1">
      <alignment vertical="center"/>
    </xf>
    <xf numFmtId="0" fontId="7" fillId="0" borderId="38" xfId="6" quotePrefix="1" applyFont="1" applyBorder="1" applyAlignment="1">
      <alignment vertical="center"/>
    </xf>
    <xf numFmtId="0" fontId="7" fillId="0" borderId="39" xfId="6" quotePrefix="1" applyFont="1" applyBorder="1" applyAlignment="1">
      <alignment vertical="center"/>
    </xf>
    <xf numFmtId="0" fontId="7" fillId="0" borderId="40" xfId="6" quotePrefix="1" applyFont="1" applyBorder="1" applyAlignment="1">
      <alignment vertical="center"/>
    </xf>
    <xf numFmtId="0" fontId="7" fillId="0" borderId="38" xfId="6" applyFont="1" applyBorder="1" applyAlignment="1">
      <alignment vertical="center"/>
    </xf>
    <xf numFmtId="0" fontId="7" fillId="0" borderId="39" xfId="6" applyFont="1" applyBorder="1" applyAlignment="1">
      <alignment vertical="center"/>
    </xf>
    <xf numFmtId="0" fontId="7" fillId="0" borderId="40" xfId="6" applyFont="1" applyBorder="1" applyAlignment="1">
      <alignment vertical="center"/>
    </xf>
    <xf numFmtId="0" fontId="8" fillId="0" borderId="38" xfId="6" quotePrefix="1" applyFont="1" applyBorder="1" applyAlignment="1">
      <alignment horizontal="center" vertical="center"/>
    </xf>
    <xf numFmtId="0" fontId="8" fillId="0" borderId="39" xfId="6" applyFont="1" applyBorder="1" applyAlignment="1">
      <alignment horizontal="center" vertical="center"/>
    </xf>
    <xf numFmtId="0" fontId="8" fillId="0" borderId="40" xfId="6" applyFont="1" applyBorder="1" applyAlignment="1">
      <alignment horizontal="center" vertical="center"/>
    </xf>
    <xf numFmtId="0" fontId="18" fillId="0" borderId="38" xfId="0" applyFont="1" applyBorder="1" applyAlignment="1">
      <alignment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  <cellStyle name="標準 2 2" xfId="8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20</xdr:row>
      <xdr:rowOff>0</xdr:rowOff>
    </xdr:from>
    <xdr:to>
      <xdr:col>61</xdr:col>
      <xdr:colOff>0</xdr:colOff>
      <xdr:row>33</xdr:row>
      <xdr:rowOff>11206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8942294" y="3922059"/>
          <a:ext cx="5412441" cy="2487706"/>
        </a:xfrm>
        <a:prstGeom prst="borderCallout1">
          <a:avLst>
            <a:gd name="adj1" fmla="val 36014"/>
            <a:gd name="adj2" fmla="val 644"/>
            <a:gd name="adj3" fmla="val 23816"/>
            <a:gd name="adj4" fmla="val -13569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初期化時</a:t>
          </a:r>
          <a:endParaRPr lang="en-US" altLang="ja-JP" sz="1000" b="1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rPr>
            <a:t>▪ </a:t>
          </a:r>
          <a:r>
            <a:rPr lang="vi-VN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rPr>
            <a:t>店舗選択エリア：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活性、1つの対象店舗を選択できるようにする。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rPr>
            <a:t>▪ </a:t>
          </a:r>
          <a:r>
            <a:rPr lang="vi-VN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rPr>
            <a:t>検索条件エリア：非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活性、対象店舗が選択された場合のみ活性になる。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・【出力種別】項目：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‣決済（営業日終了）があった場合は「日報」モードになり、「速報」モードが無効になる。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‣上記以外の場合、「速報」モードで表示され、「日報」モードが無効になる。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・【開始日】, 【終了日】:     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・「速報」モードの場合、現在日を自動的に選択し、無効にする。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‣「日報」モードの場合、</a:t>
          </a:r>
          <a:r>
            <a:rPr lang="vi-VN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rPr>
            <a:t>前営業を自動的に選択し、【開始日】、【完了日】が選択できるようにする。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【出力単位】: 「1：部門」を自動的選択して編集不可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・【F12：検索】ボタン：無効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451</xdr:colOff>
      <xdr:row>12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14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33400" y="2400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11_部門別売上速報</a:t>
          </a:r>
        </a:p>
      </xdr:txBody>
    </xdr:sp>
    <xdr:clientData/>
  </xdr:twoCellAnchor>
  <xdr:twoCellAnchor>
    <xdr:from>
      <xdr:col>4</xdr:col>
      <xdr:colOff>235323</xdr:colOff>
      <xdr:row>14</xdr:row>
      <xdr:rowOff>0</xdr:rowOff>
    </xdr:from>
    <xdr:to>
      <xdr:col>5</xdr:col>
      <xdr:colOff>0</xdr:colOff>
      <xdr:row>17</xdr:row>
      <xdr:rowOff>0</xdr:rowOff>
    </xdr:to>
    <xdr:cxnSp macro="">
      <xdr:nvCxnSpPr>
        <xdr:cNvPr id="4" name="直線矢印コネクタ 1010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1304925" y="27813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0</xdr:rowOff>
    </xdr:from>
    <xdr:to>
      <xdr:col>7</xdr:col>
      <xdr:colOff>235322</xdr:colOff>
      <xdr:row>21</xdr:row>
      <xdr:rowOff>0</xdr:rowOff>
    </xdr:to>
    <xdr:sp macro="" textlink="" fLocksText="0">
      <xdr:nvSpPr>
        <xdr:cNvPr id="5" name="正方形/長方形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33400" y="3352800"/>
          <a:ext cx="15716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SC1101</a:t>
          </a:r>
        </a:p>
        <a:p>
          <a:pPr algn="ctr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部門別売上速報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/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日報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21</xdr:row>
      <xdr:rowOff>0</xdr:rowOff>
    </xdr:from>
    <xdr:to>
      <xdr:col>5</xdr:col>
      <xdr:colOff>0</xdr:colOff>
      <xdr:row>23</xdr:row>
      <xdr:rowOff>0</xdr:rowOff>
    </xdr:to>
    <xdr:cxnSp macro="">
      <xdr:nvCxnSpPr>
        <xdr:cNvPr id="6" name="直線矢印コネクタ 1010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>
          <a:stCxn id="5" idx="2"/>
          <a:endCxn id="8" idx="0"/>
        </xdr:cNvCxnSpPr>
      </xdr:nvCxnSpPr>
      <xdr:spPr>
        <a:xfrm>
          <a:off x="1304925" y="4114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0</xdr:rowOff>
    </xdr:from>
    <xdr:to>
      <xdr:col>7</xdr:col>
      <xdr:colOff>0</xdr:colOff>
      <xdr:row>24</xdr:row>
      <xdr:rowOff>1</xdr:rowOff>
    </xdr:to>
    <xdr:sp macro="" textlink="" fLocksText="0">
      <xdr:nvSpPr>
        <xdr:cNvPr id="8" name="四角形: 角を丸くする 110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800100" y="44958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16</xdr:row>
      <xdr:rowOff>0</xdr:rowOff>
    </xdr:from>
    <xdr:to>
      <xdr:col>61</xdr:col>
      <xdr:colOff>0</xdr:colOff>
      <xdr:row>19</xdr:row>
      <xdr:rowOff>0</xdr:rowOff>
    </xdr:to>
    <xdr:sp macro="" textlink="" fLocksText="0">
      <xdr:nvSpPr>
        <xdr:cNvPr id="12" name="吹き出し: 線 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0134600" y="3162300"/>
          <a:ext cx="6134100" cy="571500"/>
        </a:xfrm>
        <a:prstGeom prst="borderCallout1">
          <a:avLst>
            <a:gd name="adj1" fmla="val 51887"/>
            <a:gd name="adj2" fmla="val 470"/>
            <a:gd name="adj3" fmla="val 84722"/>
            <a:gd name="adj4" fmla="val -1357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店舗選択共通機能を実行する。</a:t>
          </a:r>
          <a:endParaRPr lang="vi-VN" altLang="ja-JP" sz="1000" b="0" i="0" u="none" baseline="0">
            <a:solidFill>
              <a:schemeClr val="tx1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1つの店舗対象を選択可能</a:t>
          </a:r>
        </a:p>
      </xdr:txBody>
    </xdr:sp>
    <xdr:clientData/>
  </xdr:twoCellAnchor>
  <xdr:twoCellAnchor>
    <xdr:from>
      <xdr:col>5</xdr:col>
      <xdr:colOff>0</xdr:colOff>
      <xdr:row>43</xdr:row>
      <xdr:rowOff>3362</xdr:rowOff>
    </xdr:from>
    <xdr:to>
      <xdr:col>5</xdr:col>
      <xdr:colOff>1682</xdr:colOff>
      <xdr:row>45</xdr:row>
      <xdr:rowOff>1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>
          <a:endCxn id="55" idx="0"/>
        </xdr:cNvCxnSpPr>
      </xdr:nvCxnSpPr>
      <xdr:spPr>
        <a:xfrm flipH="1">
          <a:off x="1333500" y="830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3363</xdr:colOff>
      <xdr:row>52</xdr:row>
      <xdr:rowOff>0</xdr:rowOff>
    </xdr:from>
    <xdr:to>
      <xdr:col>8</xdr:col>
      <xdr:colOff>0</xdr:colOff>
      <xdr:row>56</xdr:row>
      <xdr:rowOff>9525</xdr:rowOff>
    </xdr:to>
    <xdr:sp macro="" textlink="" fLocksText="0">
      <xdr:nvSpPr>
        <xdr:cNvPr id="23" name="正方形/長方形 1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533400" y="10020300"/>
          <a:ext cx="16002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SC1101
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部門別売上速報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/</a:t>
          </a:r>
        </a:p>
        <a:p>
          <a:pPr algn="ctr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日報画面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</xdr:rowOff>
    </xdr:from>
    <xdr:to>
      <xdr:col>5</xdr:col>
      <xdr:colOff>0</xdr:colOff>
      <xdr:row>39</xdr:row>
      <xdr:rowOff>0</xdr:rowOff>
    </xdr:to>
    <xdr:cxnSp macro="">
      <xdr:nvCxnSpPr>
        <xdr:cNvPr id="26" name="直線矢印コネクタ 1010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CxnSpPr>
          <a:stCxn id="8" idx="2"/>
          <a:endCxn id="27" idx="0"/>
        </xdr:cNvCxnSpPr>
      </xdr:nvCxnSpPr>
      <xdr:spPr>
        <a:xfrm>
          <a:off x="1333500" y="4686300"/>
          <a:ext cx="0" cy="2857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39</xdr:row>
      <xdr:rowOff>0</xdr:rowOff>
    </xdr:from>
    <xdr:to>
      <xdr:col>8</xdr:col>
      <xdr:colOff>0</xdr:colOff>
      <xdr:row>43</xdr:row>
      <xdr:rowOff>0</xdr:rowOff>
    </xdr:to>
    <xdr:sp macro="" textlink="" fLocksText="0">
      <xdr:nvSpPr>
        <xdr:cNvPr id="27" name="四角形: 角を丸くする 3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533400" y="7543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KN1101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部門別売上速報一覧取得 </a:t>
          </a:r>
        </a:p>
      </xdr:txBody>
    </xdr:sp>
    <xdr:clientData/>
  </xdr:twoCellAnchor>
  <xdr:twoCellAnchor>
    <xdr:from>
      <xdr:col>8</xdr:col>
      <xdr:colOff>0</xdr:colOff>
      <xdr:row>41</xdr:row>
      <xdr:rowOff>0</xdr:rowOff>
    </xdr:from>
    <xdr:to>
      <xdr:col>29</xdr:col>
      <xdr:colOff>0</xdr:colOff>
      <xdr:row>41</xdr:row>
      <xdr:rowOff>0</xdr:rowOff>
    </xdr:to>
    <xdr:cxnSp macro="">
      <xdr:nvCxnSpPr>
        <xdr:cNvPr id="29" name="直線矢印コネクタ 741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>
          <a:stCxn id="27" idx="3"/>
          <a:endCxn id="32" idx="2"/>
        </xdr:cNvCxnSpPr>
      </xdr:nvCxnSpPr>
      <xdr:spPr>
        <a:xfrm>
          <a:off x="2133600" y="7924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39</xdr:row>
      <xdr:rowOff>0</xdr:rowOff>
    </xdr:from>
    <xdr:to>
      <xdr:col>35</xdr:col>
      <xdr:colOff>0</xdr:colOff>
      <xdr:row>43</xdr:row>
      <xdr:rowOff>0</xdr:rowOff>
    </xdr:to>
    <xdr:sp macro="" textlink="" fLocksText="0">
      <xdr:nvSpPr>
        <xdr:cNvPr id="32" name="フローチャート: 磁気ディスク 23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7734300" y="7543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AP1101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レポート取得API</a:t>
          </a:r>
        </a:p>
      </xdr:txBody>
    </xdr:sp>
    <xdr:clientData/>
  </xdr:twoCellAnchor>
  <xdr:twoCellAnchor>
    <xdr:from>
      <xdr:col>38</xdr:col>
      <xdr:colOff>0</xdr:colOff>
      <xdr:row>39</xdr:row>
      <xdr:rowOff>0</xdr:rowOff>
    </xdr:from>
    <xdr:to>
      <xdr:col>61</xdr:col>
      <xdr:colOff>0</xdr:colOff>
      <xdr:row>41</xdr:row>
      <xdr:rowOff>0</xdr:rowOff>
    </xdr:to>
    <xdr:sp macro="" textlink="" fLocksText="0">
      <xdr:nvSpPr>
        <xdr:cNvPr id="33" name="吹き出し: 線 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10134600" y="7543800"/>
          <a:ext cx="6134100" cy="381000"/>
        </a:xfrm>
        <a:prstGeom prst="borderCallout1">
          <a:avLst>
            <a:gd name="adj1" fmla="val 48210"/>
            <a:gd name="adj2" fmla="val 884"/>
            <a:gd name="adj3" fmla="val 74448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部門別レポート情報を取得する。</a:t>
          </a:r>
          <a:endParaRPr lang="vi-VN" altLang="ja-JP" sz="1000" b="0" i="0" u="none" baseline="0">
            <a:solidFill>
              <a:schemeClr val="tx1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65</xdr:row>
      <xdr:rowOff>0</xdr:rowOff>
    </xdr:from>
    <xdr:to>
      <xdr:col>35</xdr:col>
      <xdr:colOff>0</xdr:colOff>
      <xdr:row>69</xdr:row>
      <xdr:rowOff>0</xdr:rowOff>
    </xdr:to>
    <xdr:sp macro="" textlink="" fLocksText="0">
      <xdr:nvSpPr>
        <xdr:cNvPr id="44" name="フローチャート: 書類 11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7734300" y="12496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PR1101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部門別売上速報印刷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帳票</a:t>
          </a:r>
        </a:p>
      </xdr:txBody>
    </xdr:sp>
    <xdr:clientData/>
  </xdr:twoCellAnchor>
  <xdr:twoCellAnchor>
    <xdr:from>
      <xdr:col>8</xdr:col>
      <xdr:colOff>0</xdr:colOff>
      <xdr:row>59</xdr:row>
      <xdr:rowOff>0</xdr:rowOff>
    </xdr:from>
    <xdr:to>
      <xdr:col>12</xdr:col>
      <xdr:colOff>0</xdr:colOff>
      <xdr:row>61</xdr:row>
      <xdr:rowOff>1</xdr:rowOff>
    </xdr:to>
    <xdr:sp macro="" textlink="" fLocksText="0">
      <xdr:nvSpPr>
        <xdr:cNvPr id="28" name="四角形: 角を丸くする 1101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2133600" y="11353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時間帯別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59</xdr:row>
      <xdr:rowOff>0</xdr:rowOff>
    </xdr:from>
    <xdr:to>
      <xdr:col>17</xdr:col>
      <xdr:colOff>0</xdr:colOff>
      <xdr:row>61</xdr:row>
      <xdr:rowOff>0</xdr:rowOff>
    </xdr:to>
    <xdr:sp macro="" textlink="" fLocksText="0">
      <xdr:nvSpPr>
        <xdr:cNvPr id="30" name="四角形: 角を丸くする 1101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3467100" y="11353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↑上階層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0</xdr:colOff>
      <xdr:row>59</xdr:row>
      <xdr:rowOff>0</xdr:rowOff>
    </xdr:from>
    <xdr:to>
      <xdr:col>22</xdr:col>
      <xdr:colOff>0</xdr:colOff>
      <xdr:row>61</xdr:row>
      <xdr:rowOff>1</xdr:rowOff>
    </xdr:to>
    <xdr:sp macro="" textlink="" fLocksText="0">
      <xdr:nvSpPr>
        <xdr:cNvPr id="31" name="四角形: 角を丸くする 110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4800600" y="11353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↓下階層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0</xdr:colOff>
      <xdr:row>59</xdr:row>
      <xdr:rowOff>0</xdr:rowOff>
    </xdr:from>
    <xdr:to>
      <xdr:col>27</xdr:col>
      <xdr:colOff>0</xdr:colOff>
      <xdr:row>61</xdr:row>
      <xdr:rowOff>0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6134100" y="11353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ヘッダー上の印刷アイコン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1681</xdr:colOff>
      <xdr:row>56</xdr:row>
      <xdr:rowOff>9524</xdr:rowOff>
    </xdr:from>
    <xdr:to>
      <xdr:col>25</xdr:col>
      <xdr:colOff>0</xdr:colOff>
      <xdr:row>58</xdr:row>
      <xdr:rowOff>190499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>
          <a:stCxn id="23" idx="2"/>
          <a:endCxn id="34" idx="0"/>
        </xdr:cNvCxnSpPr>
      </xdr:nvCxnSpPr>
      <xdr:spPr>
        <a:xfrm rot="16200000" flipH="1">
          <a:off x="1333500" y="10791825"/>
          <a:ext cx="53340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1682</xdr:colOff>
      <xdr:row>56</xdr:row>
      <xdr:rowOff>9524</xdr:rowOff>
    </xdr:from>
    <xdr:to>
      <xdr:col>20</xdr:col>
      <xdr:colOff>1</xdr:colOff>
      <xdr:row>58</xdr:row>
      <xdr:rowOff>190499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CxnSpPr>
          <a:stCxn id="23" idx="2"/>
          <a:endCxn id="31" idx="0"/>
        </xdr:cNvCxnSpPr>
      </xdr:nvCxnSpPr>
      <xdr:spPr>
        <a:xfrm rot="16200000" flipH="1">
          <a:off x="1333500" y="10791825"/>
          <a:ext cx="40005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1682</xdr:colOff>
      <xdr:row>56</xdr:row>
      <xdr:rowOff>9524</xdr:rowOff>
    </xdr:from>
    <xdr:to>
      <xdr:col>15</xdr:col>
      <xdr:colOff>1</xdr:colOff>
      <xdr:row>58</xdr:row>
      <xdr:rowOff>190499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CxnSpPr>
          <a:stCxn id="23" idx="2"/>
          <a:endCxn id="30" idx="0"/>
        </xdr:cNvCxnSpPr>
      </xdr:nvCxnSpPr>
      <xdr:spPr>
        <a:xfrm rot="16200000" flipH="1">
          <a:off x="1333500" y="10791825"/>
          <a:ext cx="26670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1682</xdr:colOff>
      <xdr:row>56</xdr:row>
      <xdr:rowOff>9524</xdr:rowOff>
    </xdr:from>
    <xdr:to>
      <xdr:col>10</xdr:col>
      <xdr:colOff>1</xdr:colOff>
      <xdr:row>58</xdr:row>
      <xdr:rowOff>190499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CxnSpPr>
          <a:stCxn id="23" idx="2"/>
          <a:endCxn id="28" idx="0"/>
        </xdr:cNvCxnSpPr>
      </xdr:nvCxnSpPr>
      <xdr:spPr>
        <a:xfrm rot="16200000" flipH="1">
          <a:off x="1333500" y="10791825"/>
          <a:ext cx="13335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61</xdr:row>
      <xdr:rowOff>0</xdr:rowOff>
    </xdr:from>
    <xdr:to>
      <xdr:col>29</xdr:col>
      <xdr:colOff>0</xdr:colOff>
      <xdr:row>67</xdr:row>
      <xdr:rowOff>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CxnSpPr>
          <a:stCxn id="34" idx="2"/>
          <a:endCxn id="44" idx="1"/>
        </xdr:cNvCxnSpPr>
      </xdr:nvCxnSpPr>
      <xdr:spPr>
        <a:xfrm rot="16200000" flipH="1">
          <a:off x="6667500" y="11734800"/>
          <a:ext cx="1066800" cy="11430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61</xdr:row>
      <xdr:rowOff>0</xdr:rowOff>
    </xdr:from>
    <xdr:to>
      <xdr:col>29</xdr:col>
      <xdr:colOff>0</xdr:colOff>
      <xdr:row>74</xdr:row>
      <xdr:rowOff>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CxnSpPr>
          <a:stCxn id="34" idx="2"/>
          <a:endCxn id="73" idx="1"/>
        </xdr:cNvCxnSpPr>
      </xdr:nvCxnSpPr>
      <xdr:spPr>
        <a:xfrm rot="16200000" flipH="1">
          <a:off x="6667500" y="11734800"/>
          <a:ext cx="1066800" cy="2476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72</xdr:row>
      <xdr:rowOff>0</xdr:rowOff>
    </xdr:from>
    <xdr:to>
      <xdr:col>35</xdr:col>
      <xdr:colOff>0</xdr:colOff>
      <xdr:row>76</xdr:row>
      <xdr:rowOff>0</xdr:rowOff>
    </xdr:to>
    <xdr:sp macro="" textlink="" fLocksText="0">
      <xdr:nvSpPr>
        <xdr:cNvPr id="73" name="フローチャート: 書類 11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7734300" y="13830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PR1102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時間帯別売上速報印刷帳票</a:t>
          </a:r>
        </a:p>
      </xdr:txBody>
    </xdr:sp>
    <xdr:clientData/>
  </xdr:twoCellAnchor>
  <xdr:twoCellAnchor>
    <xdr:from>
      <xdr:col>3</xdr:col>
      <xdr:colOff>0</xdr:colOff>
      <xdr:row>59</xdr:row>
      <xdr:rowOff>6350</xdr:rowOff>
    </xdr:from>
    <xdr:to>
      <xdr:col>7</xdr:col>
      <xdr:colOff>0</xdr:colOff>
      <xdr:row>61</xdr:row>
      <xdr:rowOff>0</xdr:rowOff>
    </xdr:to>
    <xdr:sp macro="" textlink="" fLocksText="0">
      <xdr:nvSpPr>
        <xdr:cNvPr id="36" name="四角形: 角を丸くする 1101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800100" y="113633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F12：検索</a:t>
          </a:r>
        </a:p>
      </xdr:txBody>
    </xdr:sp>
    <xdr:clientData/>
  </xdr:twoCellAnchor>
  <xdr:twoCellAnchor>
    <xdr:from>
      <xdr:col>0</xdr:col>
      <xdr:colOff>229721</xdr:colOff>
      <xdr:row>36</xdr:row>
      <xdr:rowOff>0</xdr:rowOff>
    </xdr:from>
    <xdr:to>
      <xdr:col>3</xdr:col>
      <xdr:colOff>0</xdr:colOff>
      <xdr:row>37</xdr:row>
      <xdr:rowOff>0</xdr:rowOff>
    </xdr:to>
    <xdr:sp macro="" textlink="" fLocksText="0">
      <xdr:nvSpPr>
        <xdr:cNvPr id="37" name="Rectangle: Rounded Corners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28600" y="6972300"/>
          <a:ext cx="5715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</a:t>
          </a:r>
        </a:p>
      </xdr:txBody>
    </xdr:sp>
    <xdr:clientData/>
  </xdr:twoCellAnchor>
  <xdr:twoCellAnchor>
    <xdr:from>
      <xdr:col>3</xdr:col>
      <xdr:colOff>0</xdr:colOff>
      <xdr:row>36</xdr:row>
      <xdr:rowOff>95250</xdr:rowOff>
    </xdr:from>
    <xdr:to>
      <xdr:col>5</xdr:col>
      <xdr:colOff>0</xdr:colOff>
      <xdr:row>39</xdr:row>
      <xdr:rowOff>0</xdr:rowOff>
    </xdr:to>
    <xdr:cxnSp macro="">
      <xdr:nvCxnSpPr>
        <xdr:cNvPr id="39" name="直線矢印コネクタ 1010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>
          <a:stCxn id="37" idx="3"/>
          <a:endCxn id="27" idx="0"/>
        </xdr:cNvCxnSpPr>
      </xdr:nvCxnSpPr>
      <xdr:spPr>
        <a:xfrm>
          <a:off x="800100" y="70675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45</xdr:row>
      <xdr:rowOff>1</xdr:rowOff>
    </xdr:from>
    <xdr:to>
      <xdr:col>7</xdr:col>
      <xdr:colOff>0</xdr:colOff>
      <xdr:row>46</xdr:row>
      <xdr:rowOff>1</xdr:rowOff>
    </xdr:to>
    <xdr:sp macro="" textlink="" fLocksText="0">
      <xdr:nvSpPr>
        <xdr:cNvPr id="55" name="四角形: 角を丸くする 1101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800100" y="86868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15</xdr:col>
      <xdr:colOff>224119</xdr:colOff>
      <xdr:row>45</xdr:row>
      <xdr:rowOff>1</xdr:rowOff>
    </xdr:from>
    <xdr:to>
      <xdr:col>20</xdr:col>
      <xdr:colOff>0</xdr:colOff>
      <xdr:row>46</xdr:row>
      <xdr:rowOff>1</xdr:rowOff>
    </xdr:to>
    <xdr:sp macro="" textlink="" fLocksText="0">
      <xdr:nvSpPr>
        <xdr:cNvPr id="57" name="四角形: 角を丸くする 1101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4229100" y="8686800"/>
          <a:ext cx="11049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15</xdr:col>
      <xdr:colOff>0</xdr:colOff>
      <xdr:row>47</xdr:row>
      <xdr:rowOff>179294</xdr:rowOff>
    </xdr:from>
    <xdr:to>
      <xdr:col>21</xdr:col>
      <xdr:colOff>0</xdr:colOff>
      <xdr:row>52</xdr:row>
      <xdr:rowOff>0</xdr:rowOff>
    </xdr:to>
    <xdr:sp macro="" textlink="" fLocksText="0">
      <xdr:nvSpPr>
        <xdr:cNvPr id="60" name="正方形/長方形 1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/>
      </xdr:nvSpPr>
      <xdr:spPr>
        <a:xfrm>
          <a:off x="4000500" y="9248775"/>
          <a:ext cx="1600200" cy="7715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検索条件のバリデーションチェック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</a:t>
          </a:r>
          <a:endParaRPr lang="en-US" altLang="ja-JP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9266</xdr:colOff>
      <xdr:row>52</xdr:row>
      <xdr:rowOff>1866</xdr:rowOff>
    </xdr:from>
    <xdr:to>
      <xdr:col>19</xdr:col>
      <xdr:colOff>11206</xdr:colOff>
      <xdr:row>52</xdr:row>
      <xdr:rowOff>179294</xdr:rowOff>
    </xdr:to>
    <xdr:sp macro="" textlink="" fLocksText="0">
      <xdr:nvSpPr>
        <xdr:cNvPr id="61" name="四角形: 角を丸くする 1101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/>
      </xdr:nvSpPr>
      <xdr:spPr>
        <a:xfrm>
          <a:off x="4009766" y="10019925"/>
          <a:ext cx="472587" cy="177428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800" b="0" i="0" u="none" baseline="0">
              <a:solidFill>
                <a:schemeClr val="bg2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はい</a:t>
          </a:r>
          <a:endParaRPr lang="ja-JP" altLang="en-US" sz="8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46</xdr:row>
      <xdr:rowOff>1</xdr:rowOff>
    </xdr:from>
    <xdr:to>
      <xdr:col>5</xdr:col>
      <xdr:colOff>1681</xdr:colOff>
      <xdr:row>52</xdr:row>
      <xdr:rowOff>0</xdr:rowOff>
    </xdr:to>
    <xdr:cxnSp macro="">
      <xdr:nvCxnSpPr>
        <xdr:cNvPr id="64" name="直線矢印コネクタ 1010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>
          <a:stCxn id="55" idx="2"/>
          <a:endCxn id="23" idx="0"/>
        </xdr:cNvCxnSpPr>
      </xdr:nvCxnSpPr>
      <xdr:spPr>
        <a:xfrm>
          <a:off x="1333500" y="8877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229722</xdr:colOff>
      <xdr:row>46</xdr:row>
      <xdr:rowOff>1</xdr:rowOff>
    </xdr:from>
    <xdr:to>
      <xdr:col>18</xdr:col>
      <xdr:colOff>0</xdr:colOff>
      <xdr:row>47</xdr:row>
      <xdr:rowOff>179294</xdr:rowOff>
    </xdr:to>
    <xdr:cxnSp macro="">
      <xdr:nvCxnSpPr>
        <xdr:cNvPr id="69" name="直線矢印コネクタ 1010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CxnSpPr>
          <a:stCxn id="57" idx="2"/>
          <a:endCxn id="60" idx="0"/>
        </xdr:cNvCxnSpPr>
      </xdr:nvCxnSpPr>
      <xdr:spPr>
        <a:xfrm>
          <a:off x="4762500" y="8877300"/>
          <a:ext cx="38100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42</xdr:row>
      <xdr:rowOff>190499</xdr:rowOff>
    </xdr:from>
    <xdr:to>
      <xdr:col>17</xdr:col>
      <xdr:colOff>229723</xdr:colOff>
      <xdr:row>45</xdr:row>
      <xdr:rowOff>0</xdr:rowOff>
    </xdr:to>
    <xdr:cxnSp macro="">
      <xdr:nvCxnSpPr>
        <xdr:cNvPr id="72" name="直線矢印コネクタ 1010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CxnSpPr>
          <a:stCxn id="27" idx="2"/>
          <a:endCxn id="57" idx="0"/>
        </xdr:cNvCxnSpPr>
      </xdr:nvCxnSpPr>
      <xdr:spPr>
        <a:xfrm rot="16200000" flipH="1">
          <a:off x="1333500" y="8305800"/>
          <a:ext cx="34290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48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10134600" y="9258300"/>
          <a:ext cx="6134100" cy="571500"/>
        </a:xfrm>
        <a:prstGeom prst="borderCallout1">
          <a:avLst>
            <a:gd name="adj1" fmla="val 51151"/>
            <a:gd name="adj2" fmla="val 232"/>
            <a:gd name="adj3" fmla="val 29803"/>
            <a:gd name="adj4" fmla="val -760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・検索条件に満たしたデータがない場合、「データが見つかりませんでした。」というメッセージ表示 </a:t>
          </a:r>
        </a:p>
      </xdr:txBody>
    </xdr:sp>
    <xdr:clientData/>
  </xdr:twoCellAnchor>
  <xdr:twoCellAnchor>
    <xdr:from>
      <xdr:col>5</xdr:col>
      <xdr:colOff>1</xdr:colOff>
      <xdr:row>56</xdr:row>
      <xdr:rowOff>9525</xdr:rowOff>
    </xdr:from>
    <xdr:to>
      <xdr:col>5</xdr:col>
      <xdr:colOff>1682</xdr:colOff>
      <xdr:row>59</xdr:row>
      <xdr:rowOff>6350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CxnSpPr>
          <a:stCxn id="23" idx="2"/>
          <a:endCxn id="36" idx="0"/>
        </xdr:cNvCxnSpPr>
      </xdr:nvCxnSpPr>
      <xdr:spPr>
        <a:xfrm rot="5400000">
          <a:off x="1333500" y="10791825"/>
          <a:ext cx="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229721</xdr:colOff>
      <xdr:row>65</xdr:row>
      <xdr:rowOff>0</xdr:rowOff>
    </xdr:from>
    <xdr:to>
      <xdr:col>13</xdr:col>
      <xdr:colOff>0</xdr:colOff>
      <xdr:row>66</xdr:row>
      <xdr:rowOff>0</xdr:rowOff>
    </xdr:to>
    <xdr:sp macro="" textlink="" fLocksText="0">
      <xdr:nvSpPr>
        <xdr:cNvPr id="105" name="Rectangle: Rounded Corners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2895600" y="12496800"/>
          <a:ext cx="5715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</a:t>
          </a:r>
        </a:p>
      </xdr:txBody>
    </xdr:sp>
    <xdr:clientData/>
  </xdr:twoCellAnchor>
  <xdr:twoCellAnchor>
    <xdr:from>
      <xdr:col>4</xdr:col>
      <xdr:colOff>235323</xdr:colOff>
      <xdr:row>61</xdr:row>
      <xdr:rowOff>0</xdr:rowOff>
    </xdr:from>
    <xdr:to>
      <xdr:col>11</xdr:col>
      <xdr:colOff>232521</xdr:colOff>
      <xdr:row>65</xdr:row>
      <xdr:rowOff>0</xdr:rowOff>
    </xdr:to>
    <xdr:cxnSp macro="">
      <xdr:nvCxnSpPr>
        <xdr:cNvPr id="106" name="Connector: Elbow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CxnSpPr>
          <a:stCxn id="36" idx="2"/>
          <a:endCxn id="105" idx="0"/>
        </xdr:cNvCxnSpPr>
      </xdr:nvCxnSpPr>
      <xdr:spPr>
        <a:xfrm rot="16200000" flipH="1">
          <a:off x="1304925" y="11734800"/>
          <a:ext cx="18573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61</xdr:row>
      <xdr:rowOff>0</xdr:rowOff>
    </xdr:from>
    <xdr:to>
      <xdr:col>11</xdr:col>
      <xdr:colOff>232523</xdr:colOff>
      <xdr:row>64</xdr:row>
      <xdr:rowOff>190499</xdr:rowOff>
    </xdr:to>
    <xdr:cxnSp macro="">
      <xdr:nvCxnSpPr>
        <xdr:cNvPr id="109" name="Connector: Elbow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CxnSpPr>
          <a:stCxn id="28" idx="2"/>
          <a:endCxn id="105" idx="0"/>
        </xdr:cNvCxnSpPr>
      </xdr:nvCxnSpPr>
      <xdr:spPr>
        <a:xfrm rot="16200000" flipH="1">
          <a:off x="2667000" y="11734800"/>
          <a:ext cx="4953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232522</xdr:colOff>
      <xdr:row>61</xdr:row>
      <xdr:rowOff>0</xdr:rowOff>
    </xdr:from>
    <xdr:to>
      <xdr:col>15</xdr:col>
      <xdr:colOff>0</xdr:colOff>
      <xdr:row>65</xdr:row>
      <xdr:rowOff>0</xdr:rowOff>
    </xdr:to>
    <xdr:cxnSp macro="">
      <xdr:nvCxnSpPr>
        <xdr:cNvPr id="112" name="Connector: Elbow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CxnSpPr>
          <a:stCxn id="30" idx="2"/>
          <a:endCxn id="105" idx="0"/>
        </xdr:cNvCxnSpPr>
      </xdr:nvCxnSpPr>
      <xdr:spPr>
        <a:xfrm rot="5400000">
          <a:off x="3162300" y="11734800"/>
          <a:ext cx="838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232523</xdr:colOff>
      <xdr:row>61</xdr:row>
      <xdr:rowOff>0</xdr:rowOff>
    </xdr:from>
    <xdr:to>
      <xdr:col>20</xdr:col>
      <xdr:colOff>1</xdr:colOff>
      <xdr:row>64</xdr:row>
      <xdr:rowOff>190499</xdr:rowOff>
    </xdr:to>
    <xdr:cxnSp macro="">
      <xdr:nvCxnSpPr>
        <xdr:cNvPr id="115" name="Connector: Elbow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CxnSpPr>
          <a:stCxn id="31" idx="2"/>
          <a:endCxn id="105" idx="0"/>
        </xdr:cNvCxnSpPr>
      </xdr:nvCxnSpPr>
      <xdr:spPr>
        <a:xfrm rot="5400000">
          <a:off x="3162300" y="11734800"/>
          <a:ext cx="21717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53</xdr:row>
      <xdr:rowOff>0</xdr:rowOff>
    </xdr:from>
    <xdr:to>
      <xdr:col>61</xdr:col>
      <xdr:colOff>0</xdr:colOff>
      <xdr:row>92</xdr:row>
      <xdr:rowOff>134470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/>
      </xdr:nvSpPr>
      <xdr:spPr>
        <a:xfrm>
          <a:off x="8942294" y="10208559"/>
          <a:ext cx="5412441" cy="7563970"/>
        </a:xfrm>
        <a:prstGeom prst="borderCallout1">
          <a:avLst>
            <a:gd name="adj1" fmla="val 4943"/>
            <a:gd name="adj2" fmla="val 470"/>
            <a:gd name="adj3" fmla="val 3078"/>
            <a:gd name="adj4" fmla="val -13116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表示欄：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* 速報/日報種別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・コード: 部門、品群、品種、分類のコード(部門、品群、品種又は分類ではない場合、表示：****)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・名称：部門、品群、品種、分類の名称 (部門、品群、品種又は分類ではない場合、表示：*店合計*)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・売上 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・予算(円): 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・達成率 :   以下のように計算される。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売上金額/予算額 * 100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構成比: 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・客数 ：以下のように計算される。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販売取引数 + 返品取引数 (顧客用以外のレジ（従業員専用機）を除く）。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・点数: 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・客単価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：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以下のように計算される。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売上金額/客数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・値引金額 :特別値引と緊急売価変更を含まない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（ミックスマッチとセットマッチを含む）</a:t>
          </a:r>
          <a:endParaRPr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>
              <a:latin typeface="Meiryo UI" panose="020B0604030504040204" pitchFamily="34" charset="-128"/>
              <a:ea typeface="Meiryo UI" panose="020B0604030504040204" pitchFamily="34" charset="-128"/>
            </a:rPr>
            <a:t>* 時間帯別のレポート</a:t>
          </a: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 No(最初の行の表示: ****)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 時間帯: 表示値は店舗の営業範囲内となる。各時間帯は1時間間隔である。例：時間帯：08:00、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時間帯：09:00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 売上 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- 累計売上: 時間の経過とともに累積された売上である (例: 10:00時間帯の累積売上は 8:00時間帯の売上 + 9:00時間帯のに等しくなる。)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・達成率：以下のように計算される。売上金額/予算額 * 100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・値引金額: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値引金額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（ミックスマッチとセットマッチを含む）</a:t>
          </a:r>
          <a:endParaRPr lang="vi-VN" altLang="ja-JP" sz="1000" b="0" i="0" u="none" baseline="0">
            <a:solidFill>
              <a:srgbClr val="0000FF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・点数 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・点単価 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・客数: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販売取引数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返品取引数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(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顧客用以外のレジ（従業員専用機）を除く）。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・客単価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時間帯別のレポートには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【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速報・日報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】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【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開始日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】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【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終了日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】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を設定（入力）可能とする。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日報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を選択すると、表示項目（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時間帯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を除く）は選択された日付別時間帯の合計値を表示する。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速報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を選択すると、現在日別結果を表示する。</a:t>
          </a:r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時間帯別データがない場合、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時間帯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を除く他の項目は「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」を表示する。</a:t>
          </a:r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rPr>
            <a:t>テナントレジ売上を表示する（レジ、部門（レジマスタ設定値））POS売上はあがらないレジである為、レジ精算画面売上を表示（速報・日報）</a:t>
          </a:r>
        </a:p>
      </xdr:txBody>
    </xdr:sp>
    <xdr:clientData/>
  </xdr:twoCellAnchor>
  <xdr:twoCellAnchor>
    <xdr:from>
      <xdr:col>37</xdr:col>
      <xdr:colOff>212913</xdr:colOff>
      <xdr:row>94</xdr:row>
      <xdr:rowOff>100853</xdr:rowOff>
    </xdr:from>
    <xdr:to>
      <xdr:col>60</xdr:col>
      <xdr:colOff>212912</xdr:colOff>
      <xdr:row>140</xdr:row>
      <xdr:rowOff>33617</xdr:rowOff>
    </xdr:to>
    <xdr:sp macro="" textlink="" fLocksText="0">
      <xdr:nvSpPr>
        <xdr:cNvPr id="70" name="吹き出し: 線 2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8919884" y="18119912"/>
          <a:ext cx="5412440" cy="8695764"/>
        </a:xfrm>
        <a:prstGeom prst="borderCallout1">
          <a:avLst>
            <a:gd name="adj1" fmla="val 4943"/>
            <a:gd name="adj2" fmla="val 470"/>
            <a:gd name="adj3" fmla="val -93308"/>
            <a:gd name="adj4" fmla="val -1337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ボタン・アクション：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・【出力種別】項目: 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‣「速報」モードを選択すると、[F12]ボタンと【対象日】ボタンが無効になる。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‣[日報]モードを選択すると、[F12]ボタンと【対象日】ボタンが有効になる。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・[F12: 検索]ボタン：「速報」モードを無効にする。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ボタンをタッチすると、以下の条件を満たす売上日報をロードする。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‣モード：[日報]/[時間帯別]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‣出力単位：: 1 : 部門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‣報告日：【開始日】、【終了日】の入力値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[↓下階層]/[↑上階層]: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‣速報一覧で詳細行を選択し、【↓下階層】ボタンをタッチすると、次の出力単位に該当する速報一覧詳細が表示される。【↑上階層】ボタンが有効になる。このボタンをタッチすると前の画面に戻る。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‣[出力単位]に該当する最下位のレベルが表示される。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‣以下の5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つの単位がある：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部門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品群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品種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分類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単品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データがない詳細行を選択すると、【データが見つまりません。】エラーメッセージが表示される。詳細行を選択せずに【↓階層】ボタン、【↑階層】ボタンをタッチすると、【明細行を選択してください。】エラーメッセージが表示され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・行をダブルクリックすると、[↓下階層]ボタンをタッチした場合のように処理する。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・[時間帯別]: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‣タッチすると、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・データがない場合、【売上実績がない為【時間帯別】画面の表示は行えません。】メッセージが表示される。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・データがある場合、時間帯別レポートが表示される。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・[出力対象]: 選択した行の情報を次の形式で表示する。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[{コード} {名称} (階層レベル {出力単位})] 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・[↑上階層], [↓下階層]ボタン非表示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・[時間帯別]ボタンを[階層別]に切り替える。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・[階層別]ボタン: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・タッチすると、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・データがない場合、[予算(円)]以外の項目は「0」と表示する。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・データがある場合、階層別レポートが表示される。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・[出力対象]の非表示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・[↑上階層], [↓下階層]ボタンの表示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・[階層別]を[時間帯別]に切り替える。</a:t>
          </a:r>
        </a:p>
      </xdr:txBody>
    </xdr:sp>
    <xdr:clientData/>
  </xdr:twoCellAnchor>
  <xdr:twoCellAnchor>
    <xdr:from>
      <xdr:col>27</xdr:col>
      <xdr:colOff>0</xdr:colOff>
      <xdr:row>60</xdr:row>
      <xdr:rowOff>0</xdr:rowOff>
    </xdr:from>
    <xdr:to>
      <xdr:col>29</xdr:col>
      <xdr:colOff>0</xdr:colOff>
      <xdr:row>60</xdr:row>
      <xdr:rowOff>0</xdr:rowOff>
    </xdr:to>
    <xdr:cxnSp macro="">
      <xdr:nvCxnSpPr>
        <xdr:cNvPr id="186" name="直線矢印コネクタ 741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CxnSpPr>
          <a:stCxn id="34" idx="3"/>
          <a:endCxn id="187" idx="2"/>
        </xdr:cNvCxnSpPr>
      </xdr:nvCxnSpPr>
      <xdr:spPr>
        <a:xfrm>
          <a:off x="7200900" y="11544300"/>
          <a:ext cx="533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58</xdr:row>
      <xdr:rowOff>0</xdr:rowOff>
    </xdr:from>
    <xdr:to>
      <xdr:col>35</xdr:col>
      <xdr:colOff>0</xdr:colOff>
      <xdr:row>62</xdr:row>
      <xdr:rowOff>0</xdr:rowOff>
    </xdr:to>
    <xdr:sp macro="" textlink="" fLocksText="0">
      <xdr:nvSpPr>
        <xdr:cNvPr id="187" name="フローチャート: 磁気ディスク 23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7734300" y="1116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AP1102</a:t>
          </a:r>
          <a:endParaRPr lang="ja-JP" altLang="en-US" sz="10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部門別売上速報・日報帳票作成</a:t>
          </a:r>
        </a:p>
      </xdr:txBody>
    </xdr:sp>
    <xdr:clientData/>
  </xdr:twoCellAnchor>
  <xdr:twoCellAnchor editAs="oneCell">
    <xdr:from>
      <xdr:col>66</xdr:col>
      <xdr:colOff>38100</xdr:colOff>
      <xdr:row>46</xdr:row>
      <xdr:rowOff>0</xdr:rowOff>
    </xdr:from>
    <xdr:to>
      <xdr:col>91</xdr:col>
      <xdr:colOff>156375</xdr:colOff>
      <xdr:row>61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827DF0-EF66-4B2F-A9A7-C678308A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91865" y="8875059"/>
          <a:ext cx="6001363" cy="30099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64</xdr:row>
      <xdr:rowOff>95250</xdr:rowOff>
    </xdr:from>
    <xdr:to>
      <xdr:col>91</xdr:col>
      <xdr:colOff>162016</xdr:colOff>
      <xdr:row>78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F6FBF6-D64F-4214-AC57-00F999E14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3765" y="12399309"/>
          <a:ext cx="6045104" cy="2743200"/>
        </a:xfrm>
        <a:prstGeom prst="rect">
          <a:avLst/>
        </a:prstGeom>
      </xdr:spPr>
    </xdr:pic>
    <xdr:clientData/>
  </xdr:twoCellAnchor>
  <xdr:twoCellAnchor editAs="oneCell">
    <xdr:from>
      <xdr:col>65</xdr:col>
      <xdr:colOff>156883</xdr:colOff>
      <xdr:row>82</xdr:row>
      <xdr:rowOff>44824</xdr:rowOff>
    </xdr:from>
    <xdr:to>
      <xdr:col>85</xdr:col>
      <xdr:colOff>197252</xdr:colOff>
      <xdr:row>94</xdr:row>
      <xdr:rowOff>111499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4F7DF24-BE99-4CE4-832A-56EDB33A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5324" y="15777883"/>
          <a:ext cx="4746840" cy="2352675"/>
        </a:xfrm>
        <a:prstGeom prst="rect">
          <a:avLst/>
        </a:prstGeom>
      </xdr:spPr>
    </xdr:pic>
    <xdr:clientData/>
  </xdr:twoCellAnchor>
  <xdr:twoCellAnchor editAs="oneCell">
    <xdr:from>
      <xdr:col>65</xdr:col>
      <xdr:colOff>168089</xdr:colOff>
      <xdr:row>96</xdr:row>
      <xdr:rowOff>56029</xdr:rowOff>
    </xdr:from>
    <xdr:to>
      <xdr:col>85</xdr:col>
      <xdr:colOff>206346</xdr:colOff>
      <xdr:row>118</xdr:row>
      <xdr:rowOff>145151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712AD7D-8E61-4A1A-A445-1F5D672AC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86530" y="18456088"/>
          <a:ext cx="4744728" cy="4280122"/>
        </a:xfrm>
        <a:prstGeom prst="rect">
          <a:avLst/>
        </a:prstGeom>
      </xdr:spPr>
    </xdr:pic>
    <xdr:clientData/>
  </xdr:twoCellAnchor>
  <xdr:twoCellAnchor editAs="oneCell">
    <xdr:from>
      <xdr:col>65</xdr:col>
      <xdr:colOff>190501</xdr:colOff>
      <xdr:row>111</xdr:row>
      <xdr:rowOff>11205</xdr:rowOff>
    </xdr:from>
    <xdr:to>
      <xdr:col>86</xdr:col>
      <xdr:colOff>2802</xdr:colOff>
      <xdr:row>131</xdr:row>
      <xdr:rowOff>158742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5667A74-BABE-4B63-92B1-E35FE8471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8942" y="21268764"/>
          <a:ext cx="4754095" cy="3957537"/>
        </a:xfrm>
        <a:prstGeom prst="rect">
          <a:avLst/>
        </a:prstGeom>
      </xdr:spPr>
    </xdr:pic>
    <xdr:clientData/>
  </xdr:twoCellAnchor>
  <xdr:twoCellAnchor editAs="oneCell">
    <xdr:from>
      <xdr:col>65</xdr:col>
      <xdr:colOff>134471</xdr:colOff>
      <xdr:row>133</xdr:row>
      <xdr:rowOff>11206</xdr:rowOff>
    </xdr:from>
    <xdr:to>
      <xdr:col>92</xdr:col>
      <xdr:colOff>30023</xdr:colOff>
      <xdr:row>148</xdr:row>
      <xdr:rowOff>96931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644E660-16BE-4E56-A1E0-E3E3456F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52912" y="25459765"/>
          <a:ext cx="6249287" cy="294322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152</xdr:row>
      <xdr:rowOff>0</xdr:rowOff>
    </xdr:from>
    <xdr:to>
      <xdr:col>84</xdr:col>
      <xdr:colOff>105745</xdr:colOff>
      <xdr:row>162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EB6236B-ECAE-49A9-A488-A00739A4E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3765" y="29068059"/>
          <a:ext cx="4341568" cy="2057400"/>
        </a:xfrm>
        <a:prstGeom prst="rect">
          <a:avLst/>
        </a:prstGeom>
      </xdr:spPr>
    </xdr:pic>
    <xdr:clientData/>
  </xdr:twoCellAnchor>
  <xdr:twoCellAnchor editAs="oneCell">
    <xdr:from>
      <xdr:col>66</xdr:col>
      <xdr:colOff>9525</xdr:colOff>
      <xdr:row>163</xdr:row>
      <xdr:rowOff>51888</xdr:rowOff>
    </xdr:from>
    <xdr:to>
      <xdr:col>84</xdr:col>
      <xdr:colOff>85725</xdr:colOff>
      <xdr:row>174</xdr:row>
      <xdr:rowOff>36941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B374B7F-09F1-4FA8-848C-BC1985A6B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63290" y="31215447"/>
          <a:ext cx="4312023" cy="2080553"/>
        </a:xfrm>
        <a:prstGeom prst="rect">
          <a:avLst/>
        </a:prstGeom>
      </xdr:spPr>
    </xdr:pic>
    <xdr:clientData/>
  </xdr:twoCellAnchor>
  <xdr:twoCellAnchor editAs="oneCell">
    <xdr:from>
      <xdr:col>66</xdr:col>
      <xdr:colOff>11206</xdr:colOff>
      <xdr:row>200</xdr:row>
      <xdr:rowOff>140074</xdr:rowOff>
    </xdr:from>
    <xdr:to>
      <xdr:col>92</xdr:col>
      <xdr:colOff>18322</xdr:colOff>
      <xdr:row>223</xdr:row>
      <xdr:rowOff>54349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A375B14-EC70-46DA-95BE-808942C9F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64971" y="38352133"/>
          <a:ext cx="6125527" cy="4295775"/>
        </a:xfrm>
        <a:prstGeom prst="rect">
          <a:avLst/>
        </a:prstGeom>
      </xdr:spPr>
    </xdr:pic>
    <xdr:clientData/>
  </xdr:twoCellAnchor>
  <xdr:twoCellAnchor>
    <xdr:from>
      <xdr:col>66</xdr:col>
      <xdr:colOff>11207</xdr:colOff>
      <xdr:row>187</xdr:row>
      <xdr:rowOff>161768</xdr:rowOff>
    </xdr:from>
    <xdr:to>
      <xdr:col>84</xdr:col>
      <xdr:colOff>63605</xdr:colOff>
      <xdr:row>199</xdr:row>
      <xdr:rowOff>25774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0F60D7A-B6F5-46FA-B314-760D73E89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49212"/>
        <a:stretch/>
      </xdr:blipFill>
      <xdr:spPr>
        <a:xfrm>
          <a:off x="15564972" y="35897327"/>
          <a:ext cx="4288221" cy="2150006"/>
        </a:xfrm>
        <a:prstGeom prst="rect">
          <a:avLst/>
        </a:prstGeom>
      </xdr:spPr>
    </xdr:pic>
    <xdr:clientData/>
  </xdr:twoCellAnchor>
  <xdr:twoCellAnchor editAs="oneCell">
    <xdr:from>
      <xdr:col>66</xdr:col>
      <xdr:colOff>20731</xdr:colOff>
      <xdr:row>176</xdr:row>
      <xdr:rowOff>44824</xdr:rowOff>
    </xdr:from>
    <xdr:to>
      <xdr:col>84</xdr:col>
      <xdr:colOff>154081</xdr:colOff>
      <xdr:row>187</xdr:row>
      <xdr:rowOff>79547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F544A01-1DF3-4D3D-93EC-C3229A6A1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4496" y="33684883"/>
          <a:ext cx="4369173" cy="2130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2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11" t="s">
        <v>14</v>
      </c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3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3" ht="15" customHeight="1" x14ac:dyDescent="0.25">
      <c r="A2" s="110" t="s">
        <v>58</v>
      </c>
      <c r="B2" s="76"/>
      <c r="C2" s="76"/>
      <c r="D2" s="76"/>
      <c r="E2" s="76"/>
      <c r="F2" s="76"/>
      <c r="G2" s="76"/>
      <c r="H2" s="76"/>
      <c r="I2" s="76"/>
      <c r="J2" s="77"/>
      <c r="K2" s="75" t="s">
        <v>13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114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75" t="str">
        <f>改訂履歴!$H$11</f>
        <v>AnhNM</v>
      </c>
      <c r="AQ2" s="76"/>
      <c r="AR2" s="76"/>
      <c r="AS2" s="77"/>
      <c r="AT2" s="104">
        <f>改訂履歴!$B$11</f>
        <v>45416</v>
      </c>
      <c r="AU2" s="105"/>
      <c r="AV2" s="105"/>
      <c r="AW2" s="105"/>
      <c r="AX2" s="106"/>
      <c r="AY2" s="75" t="str">
        <f>LOOKUP(2,1/(改訂履歴!H11:H30003&lt;&gt;""),改訂履歴!H11:H30003)</f>
        <v>AnhNM</v>
      </c>
      <c r="AZ2" s="76"/>
      <c r="BA2" s="76"/>
      <c r="BB2" s="77"/>
      <c r="BC2" s="104">
        <f>LOOKUP(2,1/(改訂履歴!B11:B30003&lt;&gt;""),改訂履歴!B11:B30003)</f>
        <v>45560</v>
      </c>
      <c r="BD2" s="105"/>
      <c r="BE2" s="105"/>
      <c r="BF2" s="105"/>
      <c r="BG2" s="106"/>
      <c r="BH2" s="98">
        <f>LOOKUP(2,1/(改訂履歴!O11:O30003&lt;&gt;""),改訂履歴!O11:O30003)</f>
        <v>0.6</v>
      </c>
      <c r="BI2" s="99"/>
      <c r="BJ2" s="99"/>
      <c r="BK2" s="100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81"/>
      <c r="AQ3" s="82"/>
      <c r="AR3" s="82"/>
      <c r="AS3" s="83"/>
      <c r="AT3" s="107"/>
      <c r="AU3" s="108"/>
      <c r="AV3" s="108"/>
      <c r="AW3" s="108"/>
      <c r="AX3" s="109"/>
      <c r="AY3" s="81"/>
      <c r="AZ3" s="82"/>
      <c r="BA3" s="82"/>
      <c r="BB3" s="83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90" t="s">
        <v>1</v>
      </c>
      <c r="B4" s="91"/>
      <c r="C4" s="91"/>
      <c r="D4" s="91"/>
      <c r="E4" s="91"/>
      <c r="F4" s="91"/>
      <c r="G4" s="92"/>
      <c r="H4" s="95" t="s">
        <v>93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90" t="s">
        <v>8</v>
      </c>
      <c r="V4" s="91"/>
      <c r="W4" s="91"/>
      <c r="X4" s="91"/>
      <c r="Y4" s="92"/>
      <c r="Z4" s="95" t="s">
        <v>15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表紙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93" t="s">
        <v>60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12"/>
      <c r="BK16" s="4"/>
    </row>
    <row r="17" spans="1:63" ht="15" customHeight="1" x14ac:dyDescent="0.25">
      <c r="A17" s="1"/>
      <c r="K17" s="6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12"/>
      <c r="BK17" s="4"/>
    </row>
    <row r="18" spans="1:63" ht="15" customHeight="1" x14ac:dyDescent="0.25">
      <c r="A18" s="1"/>
      <c r="K18" s="6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12"/>
      <c r="BK18" s="4"/>
    </row>
    <row r="19" spans="1:63" ht="15" customHeight="1" x14ac:dyDescent="0.25">
      <c r="A19" s="1"/>
      <c r="K19" s="6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12"/>
      <c r="BK19" s="4"/>
    </row>
    <row r="20" spans="1:63" ht="15" customHeight="1" x14ac:dyDescent="0.25">
      <c r="A20" s="1"/>
      <c r="K20" s="6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12"/>
      <c r="BK20" s="4"/>
    </row>
    <row r="21" spans="1:63" ht="15" customHeight="1" x14ac:dyDescent="0.25">
      <c r="A21" s="1"/>
      <c r="K21" s="6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94" t="str">
        <f>K2&amp;"/"&amp;H4&amp;"/"&amp;Z4</f>
        <v>POSサーバ/11_部門別売上速報/日報/概要設計</v>
      </c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12"/>
      <c r="BK24" s="4"/>
    </row>
    <row r="25" spans="1:63" ht="15" customHeight="1" x14ac:dyDescent="0.25">
      <c r="A25" s="1"/>
      <c r="K25" s="6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12"/>
      <c r="BK25" s="4"/>
    </row>
    <row r="26" spans="1:63" ht="15" customHeight="1" x14ac:dyDescent="0.25">
      <c r="A26" s="1"/>
      <c r="K26" s="6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12"/>
      <c r="BK26" s="4"/>
    </row>
    <row r="27" spans="1:63" ht="15" customHeight="1" x14ac:dyDescent="0.25">
      <c r="A27" s="1"/>
      <c r="K27" s="6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12"/>
      <c r="BK27" s="4"/>
    </row>
    <row r="28" spans="1:63" ht="15" customHeight="1" x14ac:dyDescent="0.25">
      <c r="A28" s="1"/>
      <c r="K28" s="6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12"/>
      <c r="BK28" s="4"/>
    </row>
    <row r="29" spans="1:63" ht="15" customHeight="1" x14ac:dyDescent="0.25">
      <c r="A29" s="1"/>
      <c r="K29" s="6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12"/>
      <c r="BK29" s="4"/>
    </row>
    <row r="30" spans="1:63" ht="15" customHeight="1" x14ac:dyDescent="0.25">
      <c r="A30" s="1"/>
      <c r="K30" s="6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12"/>
      <c r="BK30" s="4"/>
    </row>
    <row r="31" spans="1:63" ht="15" customHeight="1" x14ac:dyDescent="0.25">
      <c r="A31" s="1"/>
      <c r="K31" s="6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12"/>
      <c r="BK31" s="4"/>
    </row>
    <row r="32" spans="1:63" ht="15" customHeight="1" x14ac:dyDescent="0.25">
      <c r="A32" s="1"/>
      <c r="K32" s="6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12"/>
      <c r="BK32" s="4"/>
    </row>
    <row r="33" spans="1:63" ht="15" customHeight="1" x14ac:dyDescent="0.25">
      <c r="A33" s="1"/>
      <c r="K33" s="6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12"/>
      <c r="BK33" s="4"/>
    </row>
    <row r="34" spans="1:63" ht="15" customHeight="1" x14ac:dyDescent="0.25">
      <c r="A34" s="1"/>
      <c r="K34" s="6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12"/>
      <c r="BK34" s="4"/>
    </row>
    <row r="35" spans="1:63" ht="15" customHeight="1" x14ac:dyDescent="0.25">
      <c r="A35" s="1"/>
      <c r="K35" s="6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12"/>
      <c r="BK35" s="4"/>
    </row>
    <row r="36" spans="1:63" ht="15" customHeight="1" x14ac:dyDescent="0.25">
      <c r="A36" s="1"/>
      <c r="K36" s="6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84" t="s">
        <v>11</v>
      </c>
      <c r="R44" s="85"/>
      <c r="S44" s="85"/>
      <c r="T44" s="85"/>
      <c r="U44" s="85"/>
      <c r="V44" s="85"/>
      <c r="W44" s="85"/>
      <c r="X44" s="85"/>
      <c r="Y44" s="85"/>
      <c r="Z44" s="86"/>
      <c r="AA44" s="84" t="s">
        <v>12</v>
      </c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6"/>
      <c r="AQ44" s="84" t="s">
        <v>7</v>
      </c>
      <c r="AR44" s="85"/>
      <c r="AS44" s="85"/>
      <c r="AT44" s="85"/>
      <c r="AU44" s="86"/>
      <c r="BK44" s="4"/>
    </row>
    <row r="45" spans="1:63" ht="15" customHeight="1" x14ac:dyDescent="0.25">
      <c r="A45" s="1"/>
      <c r="Q45" s="87"/>
      <c r="R45" s="88"/>
      <c r="S45" s="88"/>
      <c r="T45" s="88"/>
      <c r="U45" s="88"/>
      <c r="V45" s="88"/>
      <c r="W45" s="88"/>
      <c r="X45" s="88"/>
      <c r="Y45" s="88"/>
      <c r="Z45" s="89"/>
      <c r="AA45" s="87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9"/>
      <c r="AQ45" s="87"/>
      <c r="AR45" s="88"/>
      <c r="AS45" s="88"/>
      <c r="AT45" s="88"/>
      <c r="AU45" s="89"/>
      <c r="BK45" s="4"/>
    </row>
    <row r="46" spans="1:63" ht="15" customHeight="1" x14ac:dyDescent="0.25">
      <c r="A46" s="1"/>
      <c r="Q46" s="75"/>
      <c r="R46" s="76"/>
      <c r="S46" s="76"/>
      <c r="T46" s="76"/>
      <c r="U46" s="76"/>
      <c r="V46" s="76"/>
      <c r="W46" s="76"/>
      <c r="X46" s="76"/>
      <c r="Y46" s="76"/>
      <c r="Z46" s="77"/>
      <c r="AA46" s="75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7"/>
      <c r="AQ46" s="75"/>
      <c r="AR46" s="76"/>
      <c r="AS46" s="76"/>
      <c r="AT46" s="76"/>
      <c r="AU46" s="77"/>
      <c r="BK46" s="4"/>
    </row>
    <row r="47" spans="1:63" ht="15" customHeight="1" x14ac:dyDescent="0.25">
      <c r="A47" s="1"/>
      <c r="Q47" s="78"/>
      <c r="R47" s="79"/>
      <c r="S47" s="79"/>
      <c r="T47" s="79"/>
      <c r="U47" s="79"/>
      <c r="V47" s="79"/>
      <c r="W47" s="79"/>
      <c r="X47" s="79"/>
      <c r="Y47" s="79"/>
      <c r="Z47" s="80"/>
      <c r="AA47" s="78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80"/>
      <c r="AQ47" s="78"/>
      <c r="AR47" s="79"/>
      <c r="AS47" s="79"/>
      <c r="AT47" s="79"/>
      <c r="AU47" s="80"/>
      <c r="BK47" s="4"/>
    </row>
    <row r="48" spans="1:63" ht="15" customHeight="1" x14ac:dyDescent="0.25">
      <c r="A48" s="1"/>
      <c r="Q48" s="78"/>
      <c r="R48" s="79"/>
      <c r="S48" s="79"/>
      <c r="T48" s="79"/>
      <c r="U48" s="79"/>
      <c r="V48" s="79"/>
      <c r="W48" s="79"/>
      <c r="X48" s="79"/>
      <c r="Y48" s="79"/>
      <c r="Z48" s="80"/>
      <c r="AA48" s="78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80"/>
      <c r="AQ48" s="78"/>
      <c r="AR48" s="79"/>
      <c r="AS48" s="79"/>
      <c r="AT48" s="79"/>
      <c r="AU48" s="80"/>
      <c r="BK48" s="4"/>
    </row>
    <row r="49" spans="1:63" ht="15" customHeight="1" x14ac:dyDescent="0.25">
      <c r="A49" s="1"/>
      <c r="Q49" s="81"/>
      <c r="R49" s="82"/>
      <c r="S49" s="82"/>
      <c r="T49" s="82"/>
      <c r="U49" s="82"/>
      <c r="V49" s="82"/>
      <c r="W49" s="82"/>
      <c r="X49" s="82"/>
      <c r="Y49" s="82"/>
      <c r="Z49" s="83"/>
      <c r="AA49" s="81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3"/>
      <c r="AQ49" s="81"/>
      <c r="AR49" s="82"/>
      <c r="AS49" s="82"/>
      <c r="AT49" s="82"/>
      <c r="AU49" s="83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8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2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11" t="str">
        <f>IF(表紙!W1="","",表紙!W1)</f>
        <v>基本設計書</v>
      </c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3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3" ht="15" customHeight="1" x14ac:dyDescent="0.25">
      <c r="A2" s="75" t="str">
        <f>IF(表紙!A2="","",表紙!A2)</f>
        <v>POSサーバー</v>
      </c>
      <c r="B2" s="76"/>
      <c r="C2" s="76"/>
      <c r="D2" s="76"/>
      <c r="E2" s="76"/>
      <c r="F2" s="76"/>
      <c r="G2" s="76"/>
      <c r="H2" s="76"/>
      <c r="I2" s="76"/>
      <c r="J2" s="77"/>
      <c r="K2" s="75" t="str">
        <f>IF(表紙!K2="","",表紙!K2)</f>
        <v>POSサーバ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114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75" t="str">
        <f>IF(表紙!AP2="","",表紙!AP2)</f>
        <v>AnhNM</v>
      </c>
      <c r="AQ2" s="76"/>
      <c r="AR2" s="76"/>
      <c r="AS2" s="77"/>
      <c r="AT2" s="104">
        <f>IF(表紙!AT2="","",表紙!AT2)</f>
        <v>45416</v>
      </c>
      <c r="AU2" s="105"/>
      <c r="AV2" s="105"/>
      <c r="AW2" s="105"/>
      <c r="AX2" s="106"/>
      <c r="AY2" s="75" t="str">
        <f>IF(表紙!AY2="","",表紙!AY2)</f>
        <v>AnhNM</v>
      </c>
      <c r="AZ2" s="76"/>
      <c r="BA2" s="76"/>
      <c r="BB2" s="77"/>
      <c r="BC2" s="104">
        <f>IF(表紙!BC2="","",表紙!BC2)</f>
        <v>45560</v>
      </c>
      <c r="BD2" s="105"/>
      <c r="BE2" s="105"/>
      <c r="BF2" s="105"/>
      <c r="BG2" s="106"/>
      <c r="BH2" s="75">
        <f>IF(表紙!BH2="","",表紙!BH2)</f>
        <v>0.6</v>
      </c>
      <c r="BI2" s="76"/>
      <c r="BJ2" s="76"/>
      <c r="BK2" s="77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81"/>
      <c r="AQ3" s="82"/>
      <c r="AR3" s="82"/>
      <c r="AS3" s="83"/>
      <c r="AT3" s="107"/>
      <c r="AU3" s="108"/>
      <c r="AV3" s="108"/>
      <c r="AW3" s="108"/>
      <c r="AX3" s="109"/>
      <c r="AY3" s="81"/>
      <c r="AZ3" s="82"/>
      <c r="BA3" s="82"/>
      <c r="BB3" s="83"/>
      <c r="BC3" s="107"/>
      <c r="BD3" s="108"/>
      <c r="BE3" s="108"/>
      <c r="BF3" s="108"/>
      <c r="BG3" s="109"/>
      <c r="BH3" s="81"/>
      <c r="BI3" s="82"/>
      <c r="BJ3" s="82"/>
      <c r="BK3" s="83"/>
    </row>
    <row r="4" spans="1:63" ht="24.95" customHeight="1" x14ac:dyDescent="0.25">
      <c r="A4" s="90" t="s">
        <v>94</v>
      </c>
      <c r="B4" s="91"/>
      <c r="C4" s="91"/>
      <c r="D4" s="91"/>
      <c r="E4" s="91"/>
      <c r="F4" s="91"/>
      <c r="G4" s="92"/>
      <c r="H4" s="95" t="str">
        <f>IF(表紙!H4="","",表紙!H4)</f>
        <v>11_部門別売上速報/日報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90" t="s">
        <v>8</v>
      </c>
      <c r="V4" s="91"/>
      <c r="W4" s="91"/>
      <c r="X4" s="91"/>
      <c r="Y4" s="92"/>
      <c r="Z4" s="95" t="str">
        <f>IF(表紙!Z4="","",表紙!Z4)</f>
        <v>概要設計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改訂履歴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79" t="s">
        <v>6</v>
      </c>
      <c r="C10" s="179"/>
      <c r="D10" s="179"/>
      <c r="E10" s="179"/>
      <c r="F10" s="179"/>
      <c r="G10" s="179"/>
      <c r="H10" s="179" t="s">
        <v>5</v>
      </c>
      <c r="I10" s="179"/>
      <c r="J10" s="179"/>
      <c r="K10" s="179"/>
      <c r="L10" s="179"/>
      <c r="M10" s="179"/>
      <c r="N10" s="179"/>
      <c r="O10" s="179" t="s">
        <v>7</v>
      </c>
      <c r="P10" s="179"/>
      <c r="Q10" s="179"/>
      <c r="R10" s="179"/>
      <c r="S10" s="179" t="s">
        <v>10</v>
      </c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 t="s">
        <v>11</v>
      </c>
      <c r="AY10" s="179"/>
      <c r="AZ10" s="179"/>
      <c r="BA10" s="179"/>
      <c r="BB10" s="179"/>
      <c r="BC10" s="179"/>
      <c r="BD10" s="179" t="s">
        <v>12</v>
      </c>
      <c r="BE10" s="179"/>
      <c r="BF10" s="179"/>
      <c r="BG10" s="179"/>
      <c r="BH10" s="179"/>
      <c r="BI10" s="179"/>
      <c r="BJ10" s="179"/>
      <c r="BK10" s="4"/>
    </row>
    <row r="11" spans="1:63" ht="15" customHeight="1" x14ac:dyDescent="0.25">
      <c r="A11" s="1"/>
      <c r="B11" s="104">
        <v>45416</v>
      </c>
      <c r="C11" s="76"/>
      <c r="D11" s="76"/>
      <c r="E11" s="76"/>
      <c r="F11" s="76"/>
      <c r="G11" s="77"/>
      <c r="H11" s="75" t="s">
        <v>95</v>
      </c>
      <c r="I11" s="76"/>
      <c r="J11" s="76"/>
      <c r="K11" s="76"/>
      <c r="L11" s="76"/>
      <c r="M11" s="76"/>
      <c r="N11" s="77"/>
      <c r="O11" s="75">
        <v>0.1</v>
      </c>
      <c r="P11" s="76"/>
      <c r="Q11" s="76"/>
      <c r="R11" s="76"/>
      <c r="S11" s="120" t="s">
        <v>19</v>
      </c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2"/>
      <c r="AX11" s="123"/>
      <c r="AY11" s="123"/>
      <c r="AZ11" s="123"/>
      <c r="BA11" s="123"/>
      <c r="BB11" s="123"/>
      <c r="BC11" s="124"/>
      <c r="BD11" s="127"/>
      <c r="BE11" s="123"/>
      <c r="BF11" s="123"/>
      <c r="BG11" s="123"/>
      <c r="BH11" s="123"/>
      <c r="BI11" s="123"/>
      <c r="BJ11" s="124"/>
      <c r="BK11" s="4"/>
    </row>
    <row r="12" spans="1:63" ht="15" customHeight="1" x14ac:dyDescent="0.25">
      <c r="A12" s="1"/>
      <c r="B12" s="81"/>
      <c r="C12" s="82"/>
      <c r="D12" s="82"/>
      <c r="E12" s="82"/>
      <c r="F12" s="82"/>
      <c r="G12" s="83"/>
      <c r="H12" s="81"/>
      <c r="I12" s="82"/>
      <c r="J12" s="82"/>
      <c r="K12" s="82"/>
      <c r="L12" s="82"/>
      <c r="M12" s="82"/>
      <c r="N12" s="83"/>
      <c r="O12" s="81"/>
      <c r="P12" s="82"/>
      <c r="Q12" s="82"/>
      <c r="R12" s="82"/>
      <c r="S12" s="129" t="s">
        <v>107</v>
      </c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1"/>
      <c r="AX12" s="125"/>
      <c r="AY12" s="125"/>
      <c r="AZ12" s="125"/>
      <c r="BA12" s="125"/>
      <c r="BB12" s="125"/>
      <c r="BC12" s="126"/>
      <c r="BD12" s="128"/>
      <c r="BE12" s="125"/>
      <c r="BF12" s="125"/>
      <c r="BG12" s="125"/>
      <c r="BH12" s="125"/>
      <c r="BI12" s="125"/>
      <c r="BJ12" s="126"/>
      <c r="BK12" s="4"/>
    </row>
    <row r="13" spans="1:63" ht="15" customHeight="1" x14ac:dyDescent="0.25">
      <c r="A13" s="1"/>
      <c r="B13" s="104">
        <v>45426</v>
      </c>
      <c r="C13" s="76"/>
      <c r="D13" s="76"/>
      <c r="E13" s="76"/>
      <c r="F13" s="76"/>
      <c r="G13" s="77"/>
      <c r="H13" s="75" t="s">
        <v>71</v>
      </c>
      <c r="I13" s="76"/>
      <c r="J13" s="76"/>
      <c r="K13" s="76"/>
      <c r="L13" s="76"/>
      <c r="M13" s="76"/>
      <c r="N13" s="77"/>
      <c r="O13" s="75">
        <v>0.2</v>
      </c>
      <c r="P13" s="76"/>
      <c r="Q13" s="76"/>
      <c r="R13" s="76"/>
      <c r="S13" s="120" t="s">
        <v>72</v>
      </c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2"/>
      <c r="AX13" s="123"/>
      <c r="AY13" s="123"/>
      <c r="AZ13" s="123"/>
      <c r="BA13" s="123"/>
      <c r="BB13" s="123"/>
      <c r="BC13" s="124"/>
      <c r="BD13" s="127"/>
      <c r="BE13" s="123"/>
      <c r="BF13" s="123"/>
      <c r="BG13" s="123"/>
      <c r="BH13" s="123"/>
      <c r="BI13" s="123"/>
      <c r="BJ13" s="124"/>
      <c r="BK13" s="4"/>
    </row>
    <row r="14" spans="1:63" ht="15" customHeight="1" x14ac:dyDescent="0.25">
      <c r="A14" s="1"/>
      <c r="B14" s="81"/>
      <c r="C14" s="82"/>
      <c r="D14" s="82"/>
      <c r="E14" s="82"/>
      <c r="F14" s="82"/>
      <c r="G14" s="83"/>
      <c r="H14" s="81"/>
      <c r="I14" s="82"/>
      <c r="J14" s="82"/>
      <c r="K14" s="82"/>
      <c r="L14" s="82"/>
      <c r="M14" s="82"/>
      <c r="N14" s="83"/>
      <c r="O14" s="81"/>
      <c r="P14" s="82"/>
      <c r="Q14" s="82"/>
      <c r="R14" s="82"/>
      <c r="S14" s="129" t="s">
        <v>73</v>
      </c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1"/>
      <c r="AX14" s="125"/>
      <c r="AY14" s="125"/>
      <c r="AZ14" s="125"/>
      <c r="BA14" s="125"/>
      <c r="BB14" s="125"/>
      <c r="BC14" s="126"/>
      <c r="BD14" s="128"/>
      <c r="BE14" s="125"/>
      <c r="BF14" s="125"/>
      <c r="BG14" s="125"/>
      <c r="BH14" s="125"/>
      <c r="BI14" s="125"/>
      <c r="BJ14" s="126"/>
      <c r="BK14" s="4"/>
    </row>
    <row r="15" spans="1:63" ht="15" customHeight="1" x14ac:dyDescent="0.25">
      <c r="A15" s="1"/>
      <c r="B15" s="104">
        <v>45503</v>
      </c>
      <c r="C15" s="76"/>
      <c r="D15" s="76"/>
      <c r="E15" s="76"/>
      <c r="F15" s="76"/>
      <c r="G15" s="77"/>
      <c r="H15" s="75" t="s">
        <v>86</v>
      </c>
      <c r="I15" s="76"/>
      <c r="J15" s="76"/>
      <c r="K15" s="76"/>
      <c r="L15" s="76"/>
      <c r="M15" s="76"/>
      <c r="N15" s="77"/>
      <c r="O15" s="75">
        <v>0.3</v>
      </c>
      <c r="P15" s="76"/>
      <c r="Q15" s="76"/>
      <c r="R15" s="76"/>
      <c r="S15" s="120" t="s">
        <v>83</v>
      </c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2"/>
      <c r="AX15" s="123"/>
      <c r="AY15" s="123"/>
      <c r="AZ15" s="123"/>
      <c r="BA15" s="123"/>
      <c r="BB15" s="123"/>
      <c r="BC15" s="124"/>
      <c r="BD15" s="127"/>
      <c r="BE15" s="123"/>
      <c r="BF15" s="123"/>
      <c r="BG15" s="123"/>
      <c r="BH15" s="123"/>
      <c r="BI15" s="123"/>
      <c r="BJ15" s="124"/>
      <c r="BK15" s="4"/>
    </row>
    <row r="16" spans="1:63" ht="15" customHeight="1" x14ac:dyDescent="0.25">
      <c r="A16" s="1"/>
      <c r="B16" s="171"/>
      <c r="C16" s="79"/>
      <c r="D16" s="79"/>
      <c r="E16" s="79"/>
      <c r="F16" s="79"/>
      <c r="G16" s="80"/>
      <c r="H16" s="78"/>
      <c r="I16" s="79"/>
      <c r="J16" s="79"/>
      <c r="K16" s="79"/>
      <c r="L16" s="79"/>
      <c r="M16" s="79"/>
      <c r="N16" s="80"/>
      <c r="O16" s="78"/>
      <c r="P16" s="79"/>
      <c r="Q16" s="79"/>
      <c r="R16" s="79"/>
      <c r="S16" s="176" t="s">
        <v>91</v>
      </c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8"/>
      <c r="AX16" s="172"/>
      <c r="AY16" s="172"/>
      <c r="AZ16" s="172"/>
      <c r="BA16" s="172"/>
      <c r="BB16" s="172"/>
      <c r="BC16" s="173"/>
      <c r="BD16" s="174"/>
      <c r="BE16" s="172"/>
      <c r="BF16" s="172"/>
      <c r="BG16" s="172"/>
      <c r="BH16" s="172"/>
      <c r="BI16" s="172"/>
      <c r="BJ16" s="173"/>
      <c r="BK16" s="4"/>
    </row>
    <row r="17" spans="1:63" ht="15" customHeight="1" x14ac:dyDescent="0.25">
      <c r="A17" s="1"/>
      <c r="B17" s="171"/>
      <c r="C17" s="79"/>
      <c r="D17" s="79"/>
      <c r="E17" s="79"/>
      <c r="F17" s="79"/>
      <c r="G17" s="80"/>
      <c r="H17" s="78"/>
      <c r="I17" s="79"/>
      <c r="J17" s="79"/>
      <c r="K17" s="79"/>
      <c r="L17" s="79"/>
      <c r="M17" s="79"/>
      <c r="N17" s="80"/>
      <c r="O17" s="78"/>
      <c r="P17" s="79"/>
      <c r="Q17" s="79"/>
      <c r="R17" s="79"/>
      <c r="S17" s="176" t="s">
        <v>84</v>
      </c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8"/>
      <c r="AX17" s="172"/>
      <c r="AY17" s="172"/>
      <c r="AZ17" s="172"/>
      <c r="BA17" s="172"/>
      <c r="BB17" s="172"/>
      <c r="BC17" s="173"/>
      <c r="BD17" s="174"/>
      <c r="BE17" s="172"/>
      <c r="BF17" s="172"/>
      <c r="BG17" s="172"/>
      <c r="BH17" s="172"/>
      <c r="BI17" s="172"/>
      <c r="BJ17" s="173"/>
      <c r="BK17" s="4"/>
    </row>
    <row r="18" spans="1:63" ht="15" customHeight="1" x14ac:dyDescent="0.25">
      <c r="A18" s="1"/>
      <c r="B18" s="81"/>
      <c r="C18" s="82"/>
      <c r="D18" s="82"/>
      <c r="E18" s="82"/>
      <c r="F18" s="82"/>
      <c r="G18" s="83"/>
      <c r="H18" s="81"/>
      <c r="I18" s="82"/>
      <c r="J18" s="82"/>
      <c r="K18" s="82"/>
      <c r="L18" s="82"/>
      <c r="M18" s="82"/>
      <c r="N18" s="83"/>
      <c r="O18" s="81"/>
      <c r="P18" s="82"/>
      <c r="Q18" s="82"/>
      <c r="R18" s="82"/>
      <c r="S18" s="175" t="s">
        <v>85</v>
      </c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1"/>
      <c r="AX18" s="125"/>
      <c r="AY18" s="125"/>
      <c r="AZ18" s="125"/>
      <c r="BA18" s="125"/>
      <c r="BB18" s="125"/>
      <c r="BC18" s="126"/>
      <c r="BD18" s="128"/>
      <c r="BE18" s="125"/>
      <c r="BF18" s="125"/>
      <c r="BG18" s="125"/>
      <c r="BH18" s="125"/>
      <c r="BI18" s="125"/>
      <c r="BJ18" s="126"/>
      <c r="BK18" s="4"/>
    </row>
    <row r="19" spans="1:63" ht="15" customHeight="1" x14ac:dyDescent="0.25">
      <c r="A19" s="1"/>
      <c r="B19" s="104">
        <v>45504</v>
      </c>
      <c r="C19" s="76"/>
      <c r="D19" s="76"/>
      <c r="E19" s="76"/>
      <c r="F19" s="76"/>
      <c r="G19" s="77"/>
      <c r="H19" s="75" t="s">
        <v>61</v>
      </c>
      <c r="I19" s="76"/>
      <c r="J19" s="76"/>
      <c r="K19" s="76"/>
      <c r="L19" s="76"/>
      <c r="M19" s="76"/>
      <c r="N19" s="77"/>
      <c r="O19" s="75">
        <v>0.4</v>
      </c>
      <c r="P19" s="76"/>
      <c r="Q19" s="76"/>
      <c r="R19" s="76"/>
      <c r="S19" s="120" t="s">
        <v>82</v>
      </c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2"/>
      <c r="AX19" s="123"/>
      <c r="AY19" s="123"/>
      <c r="AZ19" s="123"/>
      <c r="BA19" s="123"/>
      <c r="BB19" s="123"/>
      <c r="BC19" s="124"/>
      <c r="BD19" s="127"/>
      <c r="BE19" s="123"/>
      <c r="BF19" s="123"/>
      <c r="BG19" s="123"/>
      <c r="BH19" s="123"/>
      <c r="BI19" s="123"/>
      <c r="BJ19" s="124"/>
      <c r="BK19" s="4"/>
    </row>
    <row r="20" spans="1:63" ht="15" customHeight="1" x14ac:dyDescent="0.25">
      <c r="A20" s="1"/>
      <c r="B20" s="81"/>
      <c r="C20" s="82"/>
      <c r="D20" s="82"/>
      <c r="E20" s="82"/>
      <c r="F20" s="82"/>
      <c r="G20" s="83"/>
      <c r="H20" s="81"/>
      <c r="I20" s="82"/>
      <c r="J20" s="82"/>
      <c r="K20" s="82"/>
      <c r="L20" s="82"/>
      <c r="M20" s="82"/>
      <c r="N20" s="83"/>
      <c r="O20" s="81"/>
      <c r="P20" s="82"/>
      <c r="Q20" s="82"/>
      <c r="R20" s="82"/>
      <c r="S20" s="183" t="s">
        <v>92</v>
      </c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1"/>
      <c r="AX20" s="125"/>
      <c r="AY20" s="125"/>
      <c r="AZ20" s="125"/>
      <c r="BA20" s="125"/>
      <c r="BB20" s="125"/>
      <c r="BC20" s="126"/>
      <c r="BD20" s="128"/>
      <c r="BE20" s="125"/>
      <c r="BF20" s="125"/>
      <c r="BG20" s="125"/>
      <c r="BH20" s="125"/>
      <c r="BI20" s="125"/>
      <c r="BJ20" s="126"/>
      <c r="BK20" s="4"/>
    </row>
    <row r="21" spans="1:63" ht="15" customHeight="1" x14ac:dyDescent="0.25">
      <c r="A21" s="1"/>
      <c r="B21" s="145">
        <v>45524</v>
      </c>
      <c r="C21" s="146"/>
      <c r="D21" s="146"/>
      <c r="E21" s="146"/>
      <c r="F21" s="146"/>
      <c r="G21" s="147"/>
      <c r="H21" s="154" t="s">
        <v>104</v>
      </c>
      <c r="I21" s="146"/>
      <c r="J21" s="146"/>
      <c r="K21" s="146"/>
      <c r="L21" s="146"/>
      <c r="M21" s="146"/>
      <c r="N21" s="147"/>
      <c r="O21" s="154">
        <v>0.5</v>
      </c>
      <c r="P21" s="146"/>
      <c r="Q21" s="146"/>
      <c r="R21" s="146"/>
      <c r="S21" s="156" t="s">
        <v>105</v>
      </c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8"/>
      <c r="AX21" s="159"/>
      <c r="AY21" s="159"/>
      <c r="AZ21" s="159"/>
      <c r="BA21" s="159"/>
      <c r="BB21" s="159"/>
      <c r="BC21" s="160"/>
      <c r="BD21" s="165"/>
      <c r="BE21" s="159"/>
      <c r="BF21" s="159"/>
      <c r="BG21" s="159"/>
      <c r="BH21" s="159"/>
      <c r="BI21" s="159"/>
      <c r="BJ21" s="160"/>
      <c r="BK21" s="4"/>
    </row>
    <row r="22" spans="1:63" ht="15" customHeight="1" x14ac:dyDescent="0.25">
      <c r="A22" s="1"/>
      <c r="B22" s="148"/>
      <c r="C22" s="149"/>
      <c r="D22" s="149"/>
      <c r="E22" s="149"/>
      <c r="F22" s="149"/>
      <c r="G22" s="150"/>
      <c r="H22" s="155"/>
      <c r="I22" s="149"/>
      <c r="J22" s="149"/>
      <c r="K22" s="149"/>
      <c r="L22" s="149"/>
      <c r="M22" s="149"/>
      <c r="N22" s="150"/>
      <c r="O22" s="155"/>
      <c r="P22" s="149"/>
      <c r="Q22" s="149"/>
      <c r="R22" s="149"/>
      <c r="S22" s="180" t="s">
        <v>114</v>
      </c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2"/>
      <c r="AX22" s="161"/>
      <c r="AY22" s="161"/>
      <c r="AZ22" s="161"/>
      <c r="BA22" s="161"/>
      <c r="BB22" s="161"/>
      <c r="BC22" s="162"/>
      <c r="BD22" s="166"/>
      <c r="BE22" s="161"/>
      <c r="BF22" s="161"/>
      <c r="BG22" s="161"/>
      <c r="BH22" s="161"/>
      <c r="BI22" s="161"/>
      <c r="BJ22" s="162"/>
      <c r="BK22" s="4"/>
    </row>
    <row r="23" spans="1:63" ht="15" customHeight="1" x14ac:dyDescent="0.25">
      <c r="A23" s="1"/>
      <c r="B23" s="151"/>
      <c r="C23" s="152"/>
      <c r="D23" s="152"/>
      <c r="E23" s="152"/>
      <c r="F23" s="152"/>
      <c r="G23" s="153"/>
      <c r="H23" s="151"/>
      <c r="I23" s="152"/>
      <c r="J23" s="152"/>
      <c r="K23" s="152"/>
      <c r="L23" s="152"/>
      <c r="M23" s="152"/>
      <c r="N23" s="153"/>
      <c r="O23" s="151"/>
      <c r="P23" s="152"/>
      <c r="Q23" s="152"/>
      <c r="R23" s="152"/>
      <c r="S23" s="168" t="s">
        <v>106</v>
      </c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70"/>
      <c r="AX23" s="163"/>
      <c r="AY23" s="163"/>
      <c r="AZ23" s="163"/>
      <c r="BA23" s="163"/>
      <c r="BB23" s="163"/>
      <c r="BC23" s="164"/>
      <c r="BD23" s="167"/>
      <c r="BE23" s="163"/>
      <c r="BF23" s="163"/>
      <c r="BG23" s="163"/>
      <c r="BH23" s="163"/>
      <c r="BI23" s="163"/>
      <c r="BJ23" s="164"/>
      <c r="BK23" s="4"/>
    </row>
    <row r="24" spans="1:63" ht="15" customHeight="1" x14ac:dyDescent="0.25">
      <c r="A24" s="1"/>
      <c r="B24" s="145">
        <v>45545</v>
      </c>
      <c r="C24" s="146"/>
      <c r="D24" s="146"/>
      <c r="E24" s="146"/>
      <c r="F24" s="146"/>
      <c r="G24" s="147"/>
      <c r="H24" s="154" t="s">
        <v>132</v>
      </c>
      <c r="I24" s="146"/>
      <c r="J24" s="146"/>
      <c r="K24" s="146"/>
      <c r="L24" s="146"/>
      <c r="M24" s="146"/>
      <c r="N24" s="147"/>
      <c r="O24" s="154">
        <v>0.5</v>
      </c>
      <c r="P24" s="146"/>
      <c r="Q24" s="146"/>
      <c r="R24" s="146"/>
      <c r="S24" s="156" t="s">
        <v>109</v>
      </c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8"/>
      <c r="AX24" s="123"/>
      <c r="AY24" s="123"/>
      <c r="AZ24" s="123"/>
      <c r="BA24" s="123"/>
      <c r="BB24" s="123"/>
      <c r="BC24" s="124"/>
      <c r="BD24" s="127"/>
      <c r="BE24" s="123"/>
      <c r="BF24" s="123"/>
      <c r="BG24" s="123"/>
      <c r="BH24" s="123"/>
      <c r="BI24" s="123"/>
      <c r="BJ24" s="124"/>
      <c r="BK24" s="4"/>
    </row>
    <row r="25" spans="1:63" ht="35.25" customHeight="1" x14ac:dyDescent="0.25">
      <c r="A25" s="1"/>
      <c r="B25" s="151"/>
      <c r="C25" s="152"/>
      <c r="D25" s="152"/>
      <c r="E25" s="152"/>
      <c r="F25" s="152"/>
      <c r="G25" s="153"/>
      <c r="H25" s="151"/>
      <c r="I25" s="152"/>
      <c r="J25" s="152"/>
      <c r="K25" s="152"/>
      <c r="L25" s="152"/>
      <c r="M25" s="152"/>
      <c r="N25" s="153"/>
      <c r="O25" s="151"/>
      <c r="P25" s="152"/>
      <c r="Q25" s="152"/>
      <c r="R25" s="152"/>
      <c r="S25" s="385" t="s">
        <v>133</v>
      </c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70"/>
      <c r="AX25" s="125"/>
      <c r="AY25" s="125"/>
      <c r="AZ25" s="125"/>
      <c r="BA25" s="125"/>
      <c r="BB25" s="125"/>
      <c r="BC25" s="126"/>
      <c r="BD25" s="128"/>
      <c r="BE25" s="125"/>
      <c r="BF25" s="125"/>
      <c r="BG25" s="125"/>
      <c r="BH25" s="125"/>
      <c r="BI25" s="125"/>
      <c r="BJ25" s="126"/>
      <c r="BK25" s="4"/>
    </row>
    <row r="26" spans="1:63" ht="15" customHeight="1" x14ac:dyDescent="0.25">
      <c r="A26" s="1"/>
      <c r="B26" s="132">
        <v>45560</v>
      </c>
      <c r="C26" s="133"/>
      <c r="D26" s="133"/>
      <c r="E26" s="133"/>
      <c r="F26" s="133"/>
      <c r="G26" s="134"/>
      <c r="H26" s="138" t="s">
        <v>132</v>
      </c>
      <c r="I26" s="133"/>
      <c r="J26" s="133"/>
      <c r="K26" s="133"/>
      <c r="L26" s="133"/>
      <c r="M26" s="133"/>
      <c r="N26" s="134"/>
      <c r="O26" s="138">
        <v>0.6</v>
      </c>
      <c r="P26" s="133"/>
      <c r="Q26" s="133"/>
      <c r="R26" s="133"/>
      <c r="S26" s="139" t="s">
        <v>109</v>
      </c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1"/>
      <c r="AX26" s="123"/>
      <c r="AY26" s="123"/>
      <c r="AZ26" s="123"/>
      <c r="BA26" s="123"/>
      <c r="BB26" s="123"/>
      <c r="BC26" s="124"/>
      <c r="BD26" s="127"/>
      <c r="BE26" s="123"/>
      <c r="BF26" s="123"/>
      <c r="BG26" s="123"/>
      <c r="BH26" s="123"/>
      <c r="BI26" s="123"/>
      <c r="BJ26" s="124"/>
      <c r="BK26" s="4"/>
    </row>
    <row r="27" spans="1:63" ht="34.5" customHeight="1" x14ac:dyDescent="0.25">
      <c r="A27" s="1"/>
      <c r="B27" s="135"/>
      <c r="C27" s="136"/>
      <c r="D27" s="136"/>
      <c r="E27" s="136"/>
      <c r="F27" s="136"/>
      <c r="G27" s="137"/>
      <c r="H27" s="135"/>
      <c r="I27" s="136"/>
      <c r="J27" s="136"/>
      <c r="K27" s="136"/>
      <c r="L27" s="136"/>
      <c r="M27" s="136"/>
      <c r="N27" s="137"/>
      <c r="O27" s="135"/>
      <c r="P27" s="136"/>
      <c r="Q27" s="136"/>
      <c r="R27" s="136"/>
      <c r="S27" s="142" t="s">
        <v>137</v>
      </c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4"/>
      <c r="AX27" s="125"/>
      <c r="AY27" s="125"/>
      <c r="AZ27" s="125"/>
      <c r="BA27" s="125"/>
      <c r="BB27" s="125"/>
      <c r="BC27" s="126"/>
      <c r="BD27" s="128"/>
      <c r="BE27" s="125"/>
      <c r="BF27" s="125"/>
      <c r="BG27" s="125"/>
      <c r="BH27" s="125"/>
      <c r="BI27" s="125"/>
      <c r="BJ27" s="126"/>
      <c r="BK27" s="4"/>
    </row>
    <row r="28" spans="1:63" ht="15" customHeight="1" x14ac:dyDescent="0.25">
      <c r="A28" s="1"/>
      <c r="B28" s="75"/>
      <c r="C28" s="76"/>
      <c r="D28" s="76"/>
      <c r="E28" s="76"/>
      <c r="F28" s="76"/>
      <c r="G28" s="77"/>
      <c r="H28" s="75"/>
      <c r="I28" s="76"/>
      <c r="J28" s="76"/>
      <c r="K28" s="76"/>
      <c r="L28" s="76"/>
      <c r="M28" s="76"/>
      <c r="N28" s="77"/>
      <c r="O28" s="75"/>
      <c r="P28" s="76"/>
      <c r="Q28" s="76"/>
      <c r="R28" s="76"/>
      <c r="S28" s="120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2"/>
      <c r="AX28" s="123"/>
      <c r="AY28" s="123"/>
      <c r="AZ28" s="123"/>
      <c r="BA28" s="123"/>
      <c r="BB28" s="123"/>
      <c r="BC28" s="124"/>
      <c r="BD28" s="127"/>
      <c r="BE28" s="123"/>
      <c r="BF28" s="123"/>
      <c r="BG28" s="123"/>
      <c r="BH28" s="123"/>
      <c r="BI28" s="123"/>
      <c r="BJ28" s="124"/>
      <c r="BK28" s="4"/>
    </row>
    <row r="29" spans="1:63" ht="15" customHeight="1" x14ac:dyDescent="0.25">
      <c r="A29" s="1"/>
      <c r="B29" s="81"/>
      <c r="C29" s="82"/>
      <c r="D29" s="82"/>
      <c r="E29" s="82"/>
      <c r="F29" s="82"/>
      <c r="G29" s="83"/>
      <c r="H29" s="81"/>
      <c r="I29" s="82"/>
      <c r="J29" s="82"/>
      <c r="K29" s="82"/>
      <c r="L29" s="82"/>
      <c r="M29" s="82"/>
      <c r="N29" s="83"/>
      <c r="O29" s="81"/>
      <c r="P29" s="82"/>
      <c r="Q29" s="82"/>
      <c r="R29" s="82"/>
      <c r="S29" s="129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1"/>
      <c r="AX29" s="125"/>
      <c r="AY29" s="125"/>
      <c r="AZ29" s="125"/>
      <c r="BA29" s="125"/>
      <c r="BB29" s="125"/>
      <c r="BC29" s="126"/>
      <c r="BD29" s="128"/>
      <c r="BE29" s="125"/>
      <c r="BF29" s="125"/>
      <c r="BG29" s="125"/>
      <c r="BH29" s="125"/>
      <c r="BI29" s="125"/>
      <c r="BJ29" s="126"/>
      <c r="BK29" s="4"/>
    </row>
    <row r="30" spans="1:63" ht="15" customHeight="1" x14ac:dyDescent="0.25">
      <c r="A30" s="1"/>
      <c r="B30" s="75"/>
      <c r="C30" s="76"/>
      <c r="D30" s="76"/>
      <c r="E30" s="76"/>
      <c r="F30" s="76"/>
      <c r="G30" s="77"/>
      <c r="H30" s="75"/>
      <c r="I30" s="76"/>
      <c r="J30" s="76"/>
      <c r="K30" s="76"/>
      <c r="L30" s="76"/>
      <c r="M30" s="76"/>
      <c r="N30" s="77"/>
      <c r="O30" s="75"/>
      <c r="P30" s="76"/>
      <c r="Q30" s="76"/>
      <c r="R30" s="76"/>
      <c r="S30" s="120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2"/>
      <c r="AX30" s="123"/>
      <c r="AY30" s="123"/>
      <c r="AZ30" s="123"/>
      <c r="BA30" s="123"/>
      <c r="BB30" s="123"/>
      <c r="BC30" s="124"/>
      <c r="BD30" s="127"/>
      <c r="BE30" s="123"/>
      <c r="BF30" s="123"/>
      <c r="BG30" s="123"/>
      <c r="BH30" s="123"/>
      <c r="BI30" s="123"/>
      <c r="BJ30" s="124"/>
      <c r="BK30" s="4"/>
    </row>
    <row r="31" spans="1:63" ht="15" customHeight="1" x14ac:dyDescent="0.25">
      <c r="A31" s="1"/>
      <c r="B31" s="81"/>
      <c r="C31" s="82"/>
      <c r="D31" s="82"/>
      <c r="E31" s="82"/>
      <c r="F31" s="82"/>
      <c r="G31" s="83"/>
      <c r="H31" s="81"/>
      <c r="I31" s="82"/>
      <c r="J31" s="82"/>
      <c r="K31" s="82"/>
      <c r="L31" s="82"/>
      <c r="M31" s="82"/>
      <c r="N31" s="83"/>
      <c r="O31" s="81"/>
      <c r="P31" s="82"/>
      <c r="Q31" s="82"/>
      <c r="R31" s="82"/>
      <c r="S31" s="129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1"/>
      <c r="AX31" s="125"/>
      <c r="AY31" s="125"/>
      <c r="AZ31" s="125"/>
      <c r="BA31" s="125"/>
      <c r="BB31" s="125"/>
      <c r="BC31" s="126"/>
      <c r="BD31" s="128"/>
      <c r="BE31" s="125"/>
      <c r="BF31" s="125"/>
      <c r="BG31" s="125"/>
      <c r="BH31" s="125"/>
      <c r="BI31" s="125"/>
      <c r="BJ31" s="126"/>
      <c r="BK31" s="4"/>
    </row>
    <row r="32" spans="1:63" ht="15" customHeight="1" x14ac:dyDescent="0.25">
      <c r="A32" s="1"/>
      <c r="B32" s="75"/>
      <c r="C32" s="76"/>
      <c r="D32" s="76"/>
      <c r="E32" s="76"/>
      <c r="F32" s="76"/>
      <c r="G32" s="77"/>
      <c r="H32" s="75"/>
      <c r="I32" s="76"/>
      <c r="J32" s="76"/>
      <c r="K32" s="76"/>
      <c r="L32" s="76"/>
      <c r="M32" s="76"/>
      <c r="N32" s="77"/>
      <c r="O32" s="75"/>
      <c r="P32" s="76"/>
      <c r="Q32" s="76"/>
      <c r="R32" s="76"/>
      <c r="S32" s="120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2"/>
      <c r="AX32" s="123"/>
      <c r="AY32" s="123"/>
      <c r="AZ32" s="123"/>
      <c r="BA32" s="123"/>
      <c r="BB32" s="123"/>
      <c r="BC32" s="124"/>
      <c r="BD32" s="127"/>
      <c r="BE32" s="123"/>
      <c r="BF32" s="123"/>
      <c r="BG32" s="123"/>
      <c r="BH32" s="123"/>
      <c r="BI32" s="123"/>
      <c r="BJ32" s="124"/>
      <c r="BK32" s="4"/>
    </row>
    <row r="33" spans="1:63" ht="15" customHeight="1" x14ac:dyDescent="0.25">
      <c r="A33" s="1"/>
      <c r="B33" s="81"/>
      <c r="C33" s="82"/>
      <c r="D33" s="82"/>
      <c r="E33" s="82"/>
      <c r="F33" s="82"/>
      <c r="G33" s="83"/>
      <c r="H33" s="81"/>
      <c r="I33" s="82"/>
      <c r="J33" s="82"/>
      <c r="K33" s="82"/>
      <c r="L33" s="82"/>
      <c r="M33" s="82"/>
      <c r="N33" s="83"/>
      <c r="O33" s="81"/>
      <c r="P33" s="82"/>
      <c r="Q33" s="82"/>
      <c r="R33" s="82"/>
      <c r="S33" s="129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1"/>
      <c r="AX33" s="125"/>
      <c r="AY33" s="125"/>
      <c r="AZ33" s="125"/>
      <c r="BA33" s="125"/>
      <c r="BB33" s="125"/>
      <c r="BC33" s="126"/>
      <c r="BD33" s="128"/>
      <c r="BE33" s="125"/>
      <c r="BF33" s="125"/>
      <c r="BG33" s="125"/>
      <c r="BH33" s="125"/>
      <c r="BI33" s="125"/>
      <c r="BJ33" s="126"/>
      <c r="BK33" s="4"/>
    </row>
    <row r="34" spans="1:63" ht="15" customHeight="1" x14ac:dyDescent="0.25">
      <c r="A34" s="1"/>
      <c r="B34" s="75"/>
      <c r="C34" s="76"/>
      <c r="D34" s="76"/>
      <c r="E34" s="76"/>
      <c r="F34" s="76"/>
      <c r="G34" s="77"/>
      <c r="H34" s="75"/>
      <c r="I34" s="76"/>
      <c r="J34" s="76"/>
      <c r="K34" s="76"/>
      <c r="L34" s="76"/>
      <c r="M34" s="76"/>
      <c r="N34" s="77"/>
      <c r="O34" s="75"/>
      <c r="P34" s="76"/>
      <c r="Q34" s="76"/>
      <c r="R34" s="76"/>
      <c r="S34" s="120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2"/>
      <c r="AX34" s="123"/>
      <c r="AY34" s="123"/>
      <c r="AZ34" s="123"/>
      <c r="BA34" s="123"/>
      <c r="BB34" s="123"/>
      <c r="BC34" s="124"/>
      <c r="BD34" s="127"/>
      <c r="BE34" s="123"/>
      <c r="BF34" s="123"/>
      <c r="BG34" s="123"/>
      <c r="BH34" s="123"/>
      <c r="BI34" s="123"/>
      <c r="BJ34" s="124"/>
      <c r="BK34" s="4"/>
    </row>
    <row r="35" spans="1:63" ht="15" customHeight="1" x14ac:dyDescent="0.25">
      <c r="A35" s="1"/>
      <c r="B35" s="81"/>
      <c r="C35" s="82"/>
      <c r="D35" s="82"/>
      <c r="E35" s="82"/>
      <c r="F35" s="82"/>
      <c r="G35" s="83"/>
      <c r="H35" s="81"/>
      <c r="I35" s="82"/>
      <c r="J35" s="82"/>
      <c r="K35" s="82"/>
      <c r="L35" s="82"/>
      <c r="M35" s="82"/>
      <c r="N35" s="83"/>
      <c r="O35" s="81"/>
      <c r="P35" s="82"/>
      <c r="Q35" s="82"/>
      <c r="R35" s="82"/>
      <c r="S35" s="129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1"/>
      <c r="AX35" s="125"/>
      <c r="AY35" s="125"/>
      <c r="AZ35" s="125"/>
      <c r="BA35" s="125"/>
      <c r="BB35" s="125"/>
      <c r="BC35" s="126"/>
      <c r="BD35" s="128"/>
      <c r="BE35" s="125"/>
      <c r="BF35" s="125"/>
      <c r="BG35" s="125"/>
      <c r="BH35" s="125"/>
      <c r="BI35" s="125"/>
      <c r="BJ35" s="126"/>
      <c r="BK35" s="4"/>
    </row>
    <row r="36" spans="1:63" ht="15" customHeight="1" x14ac:dyDescent="0.25">
      <c r="A36" s="1"/>
      <c r="B36" s="75"/>
      <c r="C36" s="76"/>
      <c r="D36" s="76"/>
      <c r="E36" s="76"/>
      <c r="F36" s="76"/>
      <c r="G36" s="77"/>
      <c r="H36" s="75"/>
      <c r="I36" s="76"/>
      <c r="J36" s="76"/>
      <c r="K36" s="76"/>
      <c r="L36" s="76"/>
      <c r="M36" s="76"/>
      <c r="N36" s="77"/>
      <c r="O36" s="75"/>
      <c r="P36" s="76"/>
      <c r="Q36" s="76"/>
      <c r="R36" s="76"/>
      <c r="S36" s="120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2"/>
      <c r="AX36" s="123"/>
      <c r="AY36" s="123"/>
      <c r="AZ36" s="123"/>
      <c r="BA36" s="123"/>
      <c r="BB36" s="123"/>
      <c r="BC36" s="124"/>
      <c r="BD36" s="127"/>
      <c r="BE36" s="123"/>
      <c r="BF36" s="123"/>
      <c r="BG36" s="123"/>
      <c r="BH36" s="123"/>
      <c r="BI36" s="123"/>
      <c r="BJ36" s="124"/>
      <c r="BK36" s="4"/>
    </row>
    <row r="37" spans="1:63" ht="15" customHeight="1" x14ac:dyDescent="0.25">
      <c r="A37" s="1"/>
      <c r="B37" s="81"/>
      <c r="C37" s="82"/>
      <c r="D37" s="82"/>
      <c r="E37" s="82"/>
      <c r="F37" s="82"/>
      <c r="G37" s="83"/>
      <c r="H37" s="81"/>
      <c r="I37" s="82"/>
      <c r="J37" s="82"/>
      <c r="K37" s="82"/>
      <c r="L37" s="82"/>
      <c r="M37" s="82"/>
      <c r="N37" s="83"/>
      <c r="O37" s="81"/>
      <c r="P37" s="82"/>
      <c r="Q37" s="82"/>
      <c r="R37" s="82"/>
      <c r="S37" s="129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1"/>
      <c r="AX37" s="125"/>
      <c r="AY37" s="125"/>
      <c r="AZ37" s="125"/>
      <c r="BA37" s="125"/>
      <c r="BB37" s="125"/>
      <c r="BC37" s="126"/>
      <c r="BD37" s="128"/>
      <c r="BE37" s="125"/>
      <c r="BF37" s="125"/>
      <c r="BG37" s="125"/>
      <c r="BH37" s="125"/>
      <c r="BI37" s="125"/>
      <c r="BJ37" s="126"/>
      <c r="BK37" s="4"/>
    </row>
    <row r="38" spans="1:63" ht="15" customHeight="1" x14ac:dyDescent="0.25">
      <c r="A38" s="1"/>
      <c r="B38" s="75"/>
      <c r="C38" s="76"/>
      <c r="D38" s="76"/>
      <c r="E38" s="76"/>
      <c r="F38" s="76"/>
      <c r="G38" s="77"/>
      <c r="H38" s="75"/>
      <c r="I38" s="76"/>
      <c r="J38" s="76"/>
      <c r="K38" s="76"/>
      <c r="L38" s="76"/>
      <c r="M38" s="76"/>
      <c r="N38" s="77"/>
      <c r="O38" s="75"/>
      <c r="P38" s="76"/>
      <c r="Q38" s="76"/>
      <c r="R38" s="76"/>
      <c r="S38" s="120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2"/>
      <c r="AX38" s="123"/>
      <c r="AY38" s="123"/>
      <c r="AZ38" s="123"/>
      <c r="BA38" s="123"/>
      <c r="BB38" s="123"/>
      <c r="BC38" s="124"/>
      <c r="BD38" s="127"/>
      <c r="BE38" s="123"/>
      <c r="BF38" s="123"/>
      <c r="BG38" s="123"/>
      <c r="BH38" s="123"/>
      <c r="BI38" s="123"/>
      <c r="BJ38" s="124"/>
      <c r="BK38" s="4"/>
    </row>
    <row r="39" spans="1:63" ht="15" customHeight="1" x14ac:dyDescent="0.25">
      <c r="A39" s="1"/>
      <c r="B39" s="81"/>
      <c r="C39" s="82"/>
      <c r="D39" s="82"/>
      <c r="E39" s="82"/>
      <c r="F39" s="82"/>
      <c r="G39" s="83"/>
      <c r="H39" s="81"/>
      <c r="I39" s="82"/>
      <c r="J39" s="82"/>
      <c r="K39" s="82"/>
      <c r="L39" s="82"/>
      <c r="M39" s="82"/>
      <c r="N39" s="83"/>
      <c r="O39" s="81"/>
      <c r="P39" s="82"/>
      <c r="Q39" s="82"/>
      <c r="R39" s="82"/>
      <c r="S39" s="129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1"/>
      <c r="AX39" s="125"/>
      <c r="AY39" s="125"/>
      <c r="AZ39" s="125"/>
      <c r="BA39" s="125"/>
      <c r="BB39" s="125"/>
      <c r="BC39" s="126"/>
      <c r="BD39" s="128"/>
      <c r="BE39" s="125"/>
      <c r="BF39" s="125"/>
      <c r="BG39" s="125"/>
      <c r="BH39" s="125"/>
      <c r="BI39" s="125"/>
      <c r="BJ39" s="126"/>
      <c r="BK39" s="4"/>
    </row>
    <row r="40" spans="1:63" ht="15" customHeight="1" x14ac:dyDescent="0.25">
      <c r="A40" s="1"/>
      <c r="B40" s="75"/>
      <c r="C40" s="76"/>
      <c r="D40" s="76"/>
      <c r="E40" s="76"/>
      <c r="F40" s="76"/>
      <c r="G40" s="77"/>
      <c r="H40" s="75"/>
      <c r="I40" s="76"/>
      <c r="J40" s="76"/>
      <c r="K40" s="76"/>
      <c r="L40" s="76"/>
      <c r="M40" s="76"/>
      <c r="N40" s="77"/>
      <c r="O40" s="75"/>
      <c r="P40" s="76"/>
      <c r="Q40" s="76"/>
      <c r="R40" s="76"/>
      <c r="S40" s="120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2"/>
      <c r="AX40" s="123"/>
      <c r="AY40" s="123"/>
      <c r="AZ40" s="123"/>
      <c r="BA40" s="123"/>
      <c r="BB40" s="123"/>
      <c r="BC40" s="124"/>
      <c r="BD40" s="127"/>
      <c r="BE40" s="123"/>
      <c r="BF40" s="123"/>
      <c r="BG40" s="123"/>
      <c r="BH40" s="123"/>
      <c r="BI40" s="123"/>
      <c r="BJ40" s="124"/>
      <c r="BK40" s="4"/>
    </row>
    <row r="41" spans="1:63" ht="15" customHeight="1" x14ac:dyDescent="0.25">
      <c r="A41" s="1"/>
      <c r="B41" s="81"/>
      <c r="C41" s="82"/>
      <c r="D41" s="82"/>
      <c r="E41" s="82"/>
      <c r="F41" s="82"/>
      <c r="G41" s="83"/>
      <c r="H41" s="81"/>
      <c r="I41" s="82"/>
      <c r="J41" s="82"/>
      <c r="K41" s="82"/>
      <c r="L41" s="82"/>
      <c r="M41" s="82"/>
      <c r="N41" s="83"/>
      <c r="O41" s="81"/>
      <c r="P41" s="82"/>
      <c r="Q41" s="82"/>
      <c r="R41" s="82"/>
      <c r="S41" s="129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1"/>
      <c r="AX41" s="125"/>
      <c r="AY41" s="125"/>
      <c r="AZ41" s="125"/>
      <c r="BA41" s="125"/>
      <c r="BB41" s="125"/>
      <c r="BC41" s="126"/>
      <c r="BD41" s="128"/>
      <c r="BE41" s="125"/>
      <c r="BF41" s="125"/>
      <c r="BG41" s="125"/>
      <c r="BH41" s="125"/>
      <c r="BI41" s="125"/>
      <c r="BJ41" s="126"/>
      <c r="BK41" s="4"/>
    </row>
    <row r="42" spans="1:63" ht="15" customHeight="1" x14ac:dyDescent="0.25">
      <c r="A42" s="1"/>
      <c r="B42" s="75"/>
      <c r="C42" s="76"/>
      <c r="D42" s="76"/>
      <c r="E42" s="76"/>
      <c r="F42" s="76"/>
      <c r="G42" s="77"/>
      <c r="H42" s="75"/>
      <c r="I42" s="76"/>
      <c r="J42" s="76"/>
      <c r="K42" s="76"/>
      <c r="L42" s="76"/>
      <c r="M42" s="76"/>
      <c r="N42" s="77"/>
      <c r="O42" s="75"/>
      <c r="P42" s="76"/>
      <c r="Q42" s="76"/>
      <c r="R42" s="76"/>
      <c r="S42" s="120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2"/>
      <c r="AX42" s="123"/>
      <c r="AY42" s="123"/>
      <c r="AZ42" s="123"/>
      <c r="BA42" s="123"/>
      <c r="BB42" s="123"/>
      <c r="BC42" s="124"/>
      <c r="BD42" s="127"/>
      <c r="BE42" s="123"/>
      <c r="BF42" s="123"/>
      <c r="BG42" s="123"/>
      <c r="BH42" s="123"/>
      <c r="BI42" s="123"/>
      <c r="BJ42" s="124"/>
      <c r="BK42" s="4"/>
    </row>
    <row r="43" spans="1:63" ht="15" customHeight="1" x14ac:dyDescent="0.25">
      <c r="A43" s="1"/>
      <c r="B43" s="81"/>
      <c r="C43" s="82"/>
      <c r="D43" s="82"/>
      <c r="E43" s="82"/>
      <c r="F43" s="82"/>
      <c r="G43" s="83"/>
      <c r="H43" s="81"/>
      <c r="I43" s="82"/>
      <c r="J43" s="82"/>
      <c r="K43" s="82"/>
      <c r="L43" s="82"/>
      <c r="M43" s="82"/>
      <c r="N43" s="83"/>
      <c r="O43" s="81"/>
      <c r="P43" s="82"/>
      <c r="Q43" s="82"/>
      <c r="R43" s="82"/>
      <c r="S43" s="129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1"/>
      <c r="AX43" s="125"/>
      <c r="AY43" s="125"/>
      <c r="AZ43" s="125"/>
      <c r="BA43" s="125"/>
      <c r="BB43" s="125"/>
      <c r="BC43" s="126"/>
      <c r="BD43" s="128"/>
      <c r="BE43" s="125"/>
      <c r="BF43" s="125"/>
      <c r="BG43" s="125"/>
      <c r="BH43" s="125"/>
      <c r="BI43" s="125"/>
      <c r="BJ43" s="126"/>
      <c r="BK43" s="4"/>
    </row>
    <row r="44" spans="1:63" ht="15" customHeight="1" x14ac:dyDescent="0.25">
      <c r="A44" s="1"/>
      <c r="B44" s="75"/>
      <c r="C44" s="76"/>
      <c r="D44" s="76"/>
      <c r="E44" s="76"/>
      <c r="F44" s="76"/>
      <c r="G44" s="77"/>
      <c r="H44" s="75"/>
      <c r="I44" s="76"/>
      <c r="J44" s="76"/>
      <c r="K44" s="76"/>
      <c r="L44" s="76"/>
      <c r="M44" s="76"/>
      <c r="N44" s="77"/>
      <c r="O44" s="75"/>
      <c r="P44" s="76"/>
      <c r="Q44" s="76"/>
      <c r="R44" s="76"/>
      <c r="S44" s="120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2"/>
      <c r="AX44" s="123"/>
      <c r="AY44" s="123"/>
      <c r="AZ44" s="123"/>
      <c r="BA44" s="123"/>
      <c r="BB44" s="123"/>
      <c r="BC44" s="124"/>
      <c r="BD44" s="127"/>
      <c r="BE44" s="123"/>
      <c r="BF44" s="123"/>
      <c r="BG44" s="123"/>
      <c r="BH44" s="123"/>
      <c r="BI44" s="123"/>
      <c r="BJ44" s="124"/>
      <c r="BK44" s="4"/>
    </row>
    <row r="45" spans="1:63" ht="15" customHeight="1" x14ac:dyDescent="0.25">
      <c r="A45" s="1"/>
      <c r="B45" s="81"/>
      <c r="C45" s="82"/>
      <c r="D45" s="82"/>
      <c r="E45" s="82"/>
      <c r="F45" s="82"/>
      <c r="G45" s="83"/>
      <c r="H45" s="81"/>
      <c r="I45" s="82"/>
      <c r="J45" s="82"/>
      <c r="K45" s="82"/>
      <c r="L45" s="82"/>
      <c r="M45" s="82"/>
      <c r="N45" s="83"/>
      <c r="O45" s="81"/>
      <c r="P45" s="82"/>
      <c r="Q45" s="82"/>
      <c r="R45" s="82"/>
      <c r="S45" s="129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1"/>
      <c r="AX45" s="125"/>
      <c r="AY45" s="125"/>
      <c r="AZ45" s="125"/>
      <c r="BA45" s="125"/>
      <c r="BB45" s="125"/>
      <c r="BC45" s="126"/>
      <c r="BD45" s="128"/>
      <c r="BE45" s="125"/>
      <c r="BF45" s="125"/>
      <c r="BG45" s="125"/>
      <c r="BH45" s="125"/>
      <c r="BI45" s="125"/>
      <c r="BJ45" s="126"/>
      <c r="BK45" s="4"/>
    </row>
    <row r="46" spans="1:63" ht="15" customHeight="1" x14ac:dyDescent="0.25">
      <c r="A46" s="1"/>
      <c r="B46" s="75"/>
      <c r="C46" s="76"/>
      <c r="D46" s="76"/>
      <c r="E46" s="76"/>
      <c r="F46" s="76"/>
      <c r="G46" s="77"/>
      <c r="H46" s="75"/>
      <c r="I46" s="76"/>
      <c r="J46" s="76"/>
      <c r="K46" s="76"/>
      <c r="L46" s="76"/>
      <c r="M46" s="76"/>
      <c r="N46" s="77"/>
      <c r="O46" s="75"/>
      <c r="P46" s="76"/>
      <c r="Q46" s="76"/>
      <c r="R46" s="76"/>
      <c r="S46" s="120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2"/>
      <c r="AX46" s="123"/>
      <c r="AY46" s="123"/>
      <c r="AZ46" s="123"/>
      <c r="BA46" s="123"/>
      <c r="BB46" s="123"/>
      <c r="BC46" s="124"/>
      <c r="BD46" s="127"/>
      <c r="BE46" s="123"/>
      <c r="BF46" s="123"/>
      <c r="BG46" s="123"/>
      <c r="BH46" s="123"/>
      <c r="BI46" s="123"/>
      <c r="BJ46" s="124"/>
      <c r="BK46" s="4"/>
    </row>
    <row r="47" spans="1:63" ht="15" customHeight="1" x14ac:dyDescent="0.25">
      <c r="A47" s="1"/>
      <c r="B47" s="81"/>
      <c r="C47" s="82"/>
      <c r="D47" s="82"/>
      <c r="E47" s="82"/>
      <c r="F47" s="82"/>
      <c r="G47" s="83"/>
      <c r="H47" s="81"/>
      <c r="I47" s="82"/>
      <c r="J47" s="82"/>
      <c r="K47" s="82"/>
      <c r="L47" s="82"/>
      <c r="M47" s="82"/>
      <c r="N47" s="83"/>
      <c r="O47" s="81"/>
      <c r="P47" s="82"/>
      <c r="Q47" s="82"/>
      <c r="R47" s="82"/>
      <c r="S47" s="129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1"/>
      <c r="AX47" s="125"/>
      <c r="AY47" s="125"/>
      <c r="AZ47" s="125"/>
      <c r="BA47" s="125"/>
      <c r="BB47" s="125"/>
      <c r="BC47" s="126"/>
      <c r="BD47" s="128"/>
      <c r="BE47" s="125"/>
      <c r="BF47" s="125"/>
      <c r="BG47" s="125"/>
      <c r="BH47" s="125"/>
      <c r="BI47" s="125"/>
      <c r="BJ47" s="126"/>
      <c r="BK47" s="4"/>
    </row>
    <row r="48" spans="1:63" ht="15" customHeight="1" x14ac:dyDescent="0.25">
      <c r="A48" s="1"/>
      <c r="B48" s="75"/>
      <c r="C48" s="76"/>
      <c r="D48" s="76"/>
      <c r="E48" s="76"/>
      <c r="F48" s="76"/>
      <c r="G48" s="77"/>
      <c r="H48" s="75"/>
      <c r="I48" s="76"/>
      <c r="J48" s="76"/>
      <c r="K48" s="76"/>
      <c r="L48" s="76"/>
      <c r="M48" s="76"/>
      <c r="N48" s="77"/>
      <c r="O48" s="75"/>
      <c r="P48" s="76"/>
      <c r="Q48" s="76"/>
      <c r="R48" s="76"/>
      <c r="S48" s="120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2"/>
      <c r="AX48" s="123"/>
      <c r="AY48" s="123"/>
      <c r="AZ48" s="123"/>
      <c r="BA48" s="123"/>
      <c r="BB48" s="123"/>
      <c r="BC48" s="124"/>
      <c r="BD48" s="127"/>
      <c r="BE48" s="123"/>
      <c r="BF48" s="123"/>
      <c r="BG48" s="123"/>
      <c r="BH48" s="123"/>
      <c r="BI48" s="123"/>
      <c r="BJ48" s="124"/>
      <c r="BK48" s="4"/>
    </row>
    <row r="49" spans="1:63" ht="15" customHeight="1" x14ac:dyDescent="0.25">
      <c r="A49" s="1"/>
      <c r="B49" s="81"/>
      <c r="C49" s="82"/>
      <c r="D49" s="82"/>
      <c r="E49" s="82"/>
      <c r="F49" s="82"/>
      <c r="G49" s="83"/>
      <c r="H49" s="81"/>
      <c r="I49" s="82"/>
      <c r="J49" s="82"/>
      <c r="K49" s="82"/>
      <c r="L49" s="82"/>
      <c r="M49" s="82"/>
      <c r="N49" s="83"/>
      <c r="O49" s="81"/>
      <c r="P49" s="82"/>
      <c r="Q49" s="82"/>
      <c r="R49" s="82"/>
      <c r="S49" s="129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1"/>
      <c r="AX49" s="125"/>
      <c r="AY49" s="125"/>
      <c r="AZ49" s="125"/>
      <c r="BA49" s="125"/>
      <c r="BB49" s="125"/>
      <c r="BC49" s="126"/>
      <c r="BD49" s="128"/>
      <c r="BE49" s="125"/>
      <c r="BF49" s="125"/>
      <c r="BG49" s="125"/>
      <c r="BH49" s="125"/>
      <c r="BI49" s="125"/>
      <c r="BJ49" s="126"/>
      <c r="BK49" s="4"/>
    </row>
    <row r="50" spans="1:63" ht="15" customHeight="1" x14ac:dyDescent="0.25">
      <c r="A50" s="1"/>
      <c r="B50" s="75"/>
      <c r="C50" s="76"/>
      <c r="D50" s="76"/>
      <c r="E50" s="76"/>
      <c r="F50" s="76"/>
      <c r="G50" s="77"/>
      <c r="H50" s="75"/>
      <c r="I50" s="76"/>
      <c r="J50" s="76"/>
      <c r="K50" s="76"/>
      <c r="L50" s="76"/>
      <c r="M50" s="76"/>
      <c r="N50" s="77"/>
      <c r="O50" s="75"/>
      <c r="P50" s="76"/>
      <c r="Q50" s="76"/>
      <c r="R50" s="76"/>
      <c r="S50" s="120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2"/>
      <c r="AX50" s="123"/>
      <c r="AY50" s="123"/>
      <c r="AZ50" s="123"/>
      <c r="BA50" s="123"/>
      <c r="BB50" s="123"/>
      <c r="BC50" s="124"/>
      <c r="BD50" s="127"/>
      <c r="BE50" s="123"/>
      <c r="BF50" s="123"/>
      <c r="BG50" s="123"/>
      <c r="BH50" s="123"/>
      <c r="BI50" s="123"/>
      <c r="BJ50" s="124"/>
      <c r="BK50" s="4"/>
    </row>
    <row r="51" spans="1:63" ht="15" customHeight="1" x14ac:dyDescent="0.25">
      <c r="A51" s="1"/>
      <c r="B51" s="81"/>
      <c r="C51" s="82"/>
      <c r="D51" s="82"/>
      <c r="E51" s="82"/>
      <c r="F51" s="82"/>
      <c r="G51" s="83"/>
      <c r="H51" s="81"/>
      <c r="I51" s="82"/>
      <c r="J51" s="82"/>
      <c r="K51" s="82"/>
      <c r="L51" s="82"/>
      <c r="M51" s="82"/>
      <c r="N51" s="83"/>
      <c r="O51" s="81"/>
      <c r="P51" s="82"/>
      <c r="Q51" s="82"/>
      <c r="R51" s="82"/>
      <c r="S51" s="129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1"/>
      <c r="AX51" s="125"/>
      <c r="AY51" s="125"/>
      <c r="AZ51" s="125"/>
      <c r="BA51" s="125"/>
      <c r="BB51" s="125"/>
      <c r="BC51" s="126"/>
      <c r="BD51" s="128"/>
      <c r="BE51" s="125"/>
      <c r="BF51" s="125"/>
      <c r="BG51" s="125"/>
      <c r="BH51" s="125"/>
      <c r="BI51" s="125"/>
      <c r="BJ51" s="126"/>
      <c r="BK51" s="4"/>
    </row>
    <row r="52" spans="1:63" ht="15" customHeight="1" x14ac:dyDescent="0.25">
      <c r="A52" s="1"/>
      <c r="B52" s="75"/>
      <c r="C52" s="76"/>
      <c r="D52" s="76"/>
      <c r="E52" s="76"/>
      <c r="F52" s="76"/>
      <c r="G52" s="77"/>
      <c r="H52" s="75"/>
      <c r="I52" s="76"/>
      <c r="J52" s="76"/>
      <c r="K52" s="76"/>
      <c r="L52" s="76"/>
      <c r="M52" s="76"/>
      <c r="N52" s="77"/>
      <c r="O52" s="75"/>
      <c r="P52" s="76"/>
      <c r="Q52" s="76"/>
      <c r="R52" s="76"/>
      <c r="S52" s="120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2"/>
      <c r="AX52" s="123"/>
      <c r="AY52" s="123"/>
      <c r="AZ52" s="123"/>
      <c r="BA52" s="123"/>
      <c r="BB52" s="123"/>
      <c r="BC52" s="124"/>
      <c r="BD52" s="127"/>
      <c r="BE52" s="123"/>
      <c r="BF52" s="123"/>
      <c r="BG52" s="123"/>
      <c r="BH52" s="123"/>
      <c r="BI52" s="123"/>
      <c r="BJ52" s="124"/>
      <c r="BK52" s="4"/>
    </row>
    <row r="53" spans="1:63" ht="15" customHeight="1" x14ac:dyDescent="0.25">
      <c r="A53" s="1"/>
      <c r="B53" s="81"/>
      <c r="C53" s="82"/>
      <c r="D53" s="82"/>
      <c r="E53" s="82"/>
      <c r="F53" s="82"/>
      <c r="G53" s="83"/>
      <c r="H53" s="81"/>
      <c r="I53" s="82"/>
      <c r="J53" s="82"/>
      <c r="K53" s="82"/>
      <c r="L53" s="82"/>
      <c r="M53" s="82"/>
      <c r="N53" s="83"/>
      <c r="O53" s="81"/>
      <c r="P53" s="82"/>
      <c r="Q53" s="82"/>
      <c r="R53" s="82"/>
      <c r="S53" s="129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1"/>
      <c r="AX53" s="125"/>
      <c r="AY53" s="125"/>
      <c r="AZ53" s="125"/>
      <c r="BA53" s="125"/>
      <c r="BB53" s="125"/>
      <c r="BC53" s="126"/>
      <c r="BD53" s="128"/>
      <c r="BE53" s="125"/>
      <c r="BF53" s="125"/>
      <c r="BG53" s="125"/>
      <c r="BH53" s="125"/>
      <c r="BI53" s="125"/>
      <c r="BJ53" s="126"/>
      <c r="BK53" s="4"/>
    </row>
    <row r="54" spans="1:63" ht="15" customHeight="1" x14ac:dyDescent="0.25">
      <c r="A54" s="1"/>
      <c r="B54" s="75"/>
      <c r="C54" s="76"/>
      <c r="D54" s="76"/>
      <c r="E54" s="76"/>
      <c r="F54" s="76"/>
      <c r="G54" s="77"/>
      <c r="H54" s="75"/>
      <c r="I54" s="76"/>
      <c r="J54" s="76"/>
      <c r="K54" s="76"/>
      <c r="L54" s="76"/>
      <c r="M54" s="76"/>
      <c r="N54" s="77"/>
      <c r="O54" s="75"/>
      <c r="P54" s="76"/>
      <c r="Q54" s="76"/>
      <c r="R54" s="76"/>
      <c r="S54" s="120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2"/>
      <c r="AX54" s="123"/>
      <c r="AY54" s="123"/>
      <c r="AZ54" s="123"/>
      <c r="BA54" s="123"/>
      <c r="BB54" s="123"/>
      <c r="BC54" s="124"/>
      <c r="BD54" s="127"/>
      <c r="BE54" s="123"/>
      <c r="BF54" s="123"/>
      <c r="BG54" s="123"/>
      <c r="BH54" s="123"/>
      <c r="BI54" s="123"/>
      <c r="BJ54" s="124"/>
      <c r="BK54" s="4"/>
    </row>
    <row r="55" spans="1:63" ht="15" customHeight="1" x14ac:dyDescent="0.25">
      <c r="A55" s="1"/>
      <c r="B55" s="81"/>
      <c r="C55" s="82"/>
      <c r="D55" s="82"/>
      <c r="E55" s="82"/>
      <c r="F55" s="82"/>
      <c r="G55" s="83"/>
      <c r="H55" s="81"/>
      <c r="I55" s="82"/>
      <c r="J55" s="82"/>
      <c r="K55" s="82"/>
      <c r="L55" s="82"/>
      <c r="M55" s="82"/>
      <c r="N55" s="83"/>
      <c r="O55" s="81"/>
      <c r="P55" s="82"/>
      <c r="Q55" s="82"/>
      <c r="R55" s="82"/>
      <c r="S55" s="129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1"/>
      <c r="AX55" s="125"/>
      <c r="AY55" s="125"/>
      <c r="AZ55" s="125"/>
      <c r="BA55" s="125"/>
      <c r="BB55" s="125"/>
      <c r="BC55" s="126"/>
      <c r="BD55" s="128"/>
      <c r="BE55" s="125"/>
      <c r="BF55" s="125"/>
      <c r="BG55" s="125"/>
      <c r="BH55" s="125"/>
      <c r="BI55" s="125"/>
      <c r="BJ55" s="126"/>
      <c r="BK55" s="4"/>
    </row>
    <row r="56" spans="1:63" ht="15" customHeight="1" x14ac:dyDescent="0.25">
      <c r="A56" s="1"/>
      <c r="B56" s="75"/>
      <c r="C56" s="76"/>
      <c r="D56" s="76"/>
      <c r="E56" s="76"/>
      <c r="F56" s="76"/>
      <c r="G56" s="77"/>
      <c r="H56" s="75"/>
      <c r="I56" s="76"/>
      <c r="J56" s="76"/>
      <c r="K56" s="76"/>
      <c r="L56" s="76"/>
      <c r="M56" s="76"/>
      <c r="N56" s="77"/>
      <c r="O56" s="75"/>
      <c r="P56" s="76"/>
      <c r="Q56" s="76"/>
      <c r="R56" s="76"/>
      <c r="S56" s="120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2"/>
      <c r="AX56" s="123"/>
      <c r="AY56" s="123"/>
      <c r="AZ56" s="123"/>
      <c r="BA56" s="123"/>
      <c r="BB56" s="123"/>
      <c r="BC56" s="124"/>
      <c r="BD56" s="127"/>
      <c r="BE56" s="123"/>
      <c r="BF56" s="123"/>
      <c r="BG56" s="123"/>
      <c r="BH56" s="123"/>
      <c r="BI56" s="123"/>
      <c r="BJ56" s="124"/>
      <c r="BK56" s="4"/>
    </row>
    <row r="57" spans="1:63" ht="15" customHeight="1" x14ac:dyDescent="0.25">
      <c r="A57" s="1"/>
      <c r="B57" s="81"/>
      <c r="C57" s="82"/>
      <c r="D57" s="82"/>
      <c r="E57" s="82"/>
      <c r="F57" s="82"/>
      <c r="G57" s="83"/>
      <c r="H57" s="81"/>
      <c r="I57" s="82"/>
      <c r="J57" s="82"/>
      <c r="K57" s="82"/>
      <c r="L57" s="82"/>
      <c r="M57" s="82"/>
      <c r="N57" s="83"/>
      <c r="O57" s="81"/>
      <c r="P57" s="82"/>
      <c r="Q57" s="82"/>
      <c r="R57" s="82"/>
      <c r="S57" s="129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1"/>
      <c r="AX57" s="125"/>
      <c r="AY57" s="125"/>
      <c r="AZ57" s="125"/>
      <c r="BA57" s="125"/>
      <c r="BB57" s="125"/>
      <c r="BC57" s="126"/>
      <c r="BD57" s="128"/>
      <c r="BE57" s="125"/>
      <c r="BF57" s="125"/>
      <c r="BG57" s="125"/>
      <c r="BH57" s="125"/>
      <c r="BI57" s="125"/>
      <c r="BJ57" s="126"/>
      <c r="BK57" s="4"/>
    </row>
    <row r="58" spans="1:63" ht="15" customHeight="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5"/>
    </row>
  </sheetData>
  <mergeCells count="183">
    <mergeCell ref="S22:AW22"/>
    <mergeCell ref="AT2:AX3"/>
    <mergeCell ref="AP2:AS3"/>
    <mergeCell ref="B11:G12"/>
    <mergeCell ref="B13:G14"/>
    <mergeCell ref="H13:N14"/>
    <mergeCell ref="O13:R14"/>
    <mergeCell ref="S13:AW13"/>
    <mergeCell ref="O11:R12"/>
    <mergeCell ref="H11:N12"/>
    <mergeCell ref="A2:J3"/>
    <mergeCell ref="S20:AW20"/>
    <mergeCell ref="BD10:BJ10"/>
    <mergeCell ref="AX10:BC10"/>
    <mergeCell ref="S10:AW10"/>
    <mergeCell ref="O10:R10"/>
    <mergeCell ref="H10:N10"/>
    <mergeCell ref="S17:AW17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B10:G10"/>
    <mergeCell ref="K2:V3"/>
    <mergeCell ref="BD13:BJ14"/>
    <mergeCell ref="S14:AW14"/>
    <mergeCell ref="B15:G18"/>
    <mergeCell ref="H15:N18"/>
    <mergeCell ref="O15:R18"/>
    <mergeCell ref="S15:AW15"/>
    <mergeCell ref="AX15:BC18"/>
    <mergeCell ref="BD15:BJ18"/>
    <mergeCell ref="S18:AW18"/>
    <mergeCell ref="AX13:BC14"/>
    <mergeCell ref="S16:AW16"/>
    <mergeCell ref="BD11:BJ12"/>
    <mergeCell ref="AX11:BC12"/>
    <mergeCell ref="S12:AW12"/>
    <mergeCell ref="S11:AW11"/>
    <mergeCell ref="B24:G25"/>
    <mergeCell ref="H24:N25"/>
    <mergeCell ref="O24:R25"/>
    <mergeCell ref="S24:AW24"/>
    <mergeCell ref="AX24:BC25"/>
    <mergeCell ref="BD24:BJ25"/>
    <mergeCell ref="S25:AW25"/>
    <mergeCell ref="B21:G23"/>
    <mergeCell ref="H21:N23"/>
    <mergeCell ref="O21:R23"/>
    <mergeCell ref="S21:AW21"/>
    <mergeCell ref="AX21:BC23"/>
    <mergeCell ref="BD21:BJ23"/>
    <mergeCell ref="S23:AW23"/>
    <mergeCell ref="B19:G20"/>
    <mergeCell ref="H19:N20"/>
    <mergeCell ref="O19:R20"/>
    <mergeCell ref="S19:AW19"/>
    <mergeCell ref="AX19:BC20"/>
    <mergeCell ref="BD19:BJ20"/>
    <mergeCell ref="B28:G29"/>
    <mergeCell ref="H28:N29"/>
    <mergeCell ref="O28:R29"/>
    <mergeCell ref="S28:AW28"/>
    <mergeCell ref="AX28:BC29"/>
    <mergeCell ref="BD28:BJ29"/>
    <mergeCell ref="S29:AW29"/>
    <mergeCell ref="B26:G27"/>
    <mergeCell ref="H26:N27"/>
    <mergeCell ref="O26:R27"/>
    <mergeCell ref="S26:AW26"/>
    <mergeCell ref="AX26:BC27"/>
    <mergeCell ref="BD26:BJ27"/>
    <mergeCell ref="S27:AW27"/>
    <mergeCell ref="B32:G33"/>
    <mergeCell ref="H32:N33"/>
    <mergeCell ref="O32:R33"/>
    <mergeCell ref="S32:AW32"/>
    <mergeCell ref="AX32:BC33"/>
    <mergeCell ref="BD32:BJ33"/>
    <mergeCell ref="S33:AW33"/>
    <mergeCell ref="B30:G31"/>
    <mergeCell ref="H30:N31"/>
    <mergeCell ref="O30:R31"/>
    <mergeCell ref="S30:AW30"/>
    <mergeCell ref="AX30:BC31"/>
    <mergeCell ref="BD30:BJ31"/>
    <mergeCell ref="S31:AW31"/>
    <mergeCell ref="B36:G37"/>
    <mergeCell ref="H36:N37"/>
    <mergeCell ref="O36:R37"/>
    <mergeCell ref="S36:AW36"/>
    <mergeCell ref="AX36:BC37"/>
    <mergeCell ref="BD36:BJ37"/>
    <mergeCell ref="S37:AW37"/>
    <mergeCell ref="B34:G35"/>
    <mergeCell ref="H34:N35"/>
    <mergeCell ref="O34:R35"/>
    <mergeCell ref="S34:AW34"/>
    <mergeCell ref="AX34:BC35"/>
    <mergeCell ref="BD34:BJ35"/>
    <mergeCell ref="S35:AW35"/>
    <mergeCell ref="B40:G41"/>
    <mergeCell ref="H40:N41"/>
    <mergeCell ref="O40:R41"/>
    <mergeCell ref="S40:AW40"/>
    <mergeCell ref="AX40:BC41"/>
    <mergeCell ref="BD40:BJ41"/>
    <mergeCell ref="S41:AW41"/>
    <mergeCell ref="B38:G39"/>
    <mergeCell ref="H38:N39"/>
    <mergeCell ref="O38:R39"/>
    <mergeCell ref="S38:AW38"/>
    <mergeCell ref="AX38:BC39"/>
    <mergeCell ref="BD38:BJ39"/>
    <mergeCell ref="S39:AW39"/>
    <mergeCell ref="B44:G45"/>
    <mergeCell ref="H44:N45"/>
    <mergeCell ref="O44:R45"/>
    <mergeCell ref="S44:AW44"/>
    <mergeCell ref="AX44:BC45"/>
    <mergeCell ref="BD44:BJ45"/>
    <mergeCell ref="S45:AW45"/>
    <mergeCell ref="B42:G43"/>
    <mergeCell ref="H42:N43"/>
    <mergeCell ref="O42:R43"/>
    <mergeCell ref="S42:AW42"/>
    <mergeCell ref="AX42:BC43"/>
    <mergeCell ref="BD42:BJ43"/>
    <mergeCell ref="S43:AW43"/>
    <mergeCell ref="B48:G49"/>
    <mergeCell ref="H48:N49"/>
    <mergeCell ref="O48:R49"/>
    <mergeCell ref="S48:AW48"/>
    <mergeCell ref="AX48:BC49"/>
    <mergeCell ref="BD48:BJ49"/>
    <mergeCell ref="S49:AW49"/>
    <mergeCell ref="B46:G47"/>
    <mergeCell ref="H46:N47"/>
    <mergeCell ref="O46:R47"/>
    <mergeCell ref="S46:AW46"/>
    <mergeCell ref="AX46:BC47"/>
    <mergeCell ref="BD46:BJ47"/>
    <mergeCell ref="S47:AW47"/>
    <mergeCell ref="B52:G53"/>
    <mergeCell ref="H52:N53"/>
    <mergeCell ref="O52:R53"/>
    <mergeCell ref="S52:AW52"/>
    <mergeCell ref="AX52:BC53"/>
    <mergeCell ref="BD52:BJ53"/>
    <mergeCell ref="S53:AW53"/>
    <mergeCell ref="B50:G51"/>
    <mergeCell ref="H50:N51"/>
    <mergeCell ref="O50:R51"/>
    <mergeCell ref="S50:AW50"/>
    <mergeCell ref="AX50:BC51"/>
    <mergeCell ref="BD50:BJ51"/>
    <mergeCell ref="S51:AW51"/>
    <mergeCell ref="B56:G57"/>
    <mergeCell ref="H56:N57"/>
    <mergeCell ref="O56:R57"/>
    <mergeCell ref="S56:AW56"/>
    <mergeCell ref="AX56:BC57"/>
    <mergeCell ref="BD56:BJ57"/>
    <mergeCell ref="S57:AW57"/>
    <mergeCell ref="B54:G55"/>
    <mergeCell ref="H54:N55"/>
    <mergeCell ref="O54:R55"/>
    <mergeCell ref="S54:AW54"/>
    <mergeCell ref="AX54:BC55"/>
    <mergeCell ref="BD54:BJ55"/>
    <mergeCell ref="S55:AW5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3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BBD1-093B-4CAD-BA35-18F07C03F5B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2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11" t="s">
        <v>87</v>
      </c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3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77</v>
      </c>
      <c r="BI1" s="91"/>
      <c r="BJ1" s="91"/>
      <c r="BK1" s="92"/>
    </row>
    <row r="2" spans="1:63" ht="15" customHeight="1" x14ac:dyDescent="0.25">
      <c r="A2" s="75" t="s">
        <v>96</v>
      </c>
      <c r="B2" s="76"/>
      <c r="C2" s="76"/>
      <c r="D2" s="76"/>
      <c r="E2" s="76"/>
      <c r="F2" s="76"/>
      <c r="G2" s="76"/>
      <c r="H2" s="76"/>
      <c r="I2" s="76"/>
      <c r="J2" s="77"/>
      <c r="K2" s="75" t="s">
        <v>88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114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127" t="s">
        <v>81</v>
      </c>
      <c r="AQ2" s="123"/>
      <c r="AR2" s="123"/>
      <c r="AS2" s="223"/>
      <c r="AT2" s="227">
        <v>45488</v>
      </c>
      <c r="AU2" s="123"/>
      <c r="AV2" s="123"/>
      <c r="AW2" s="123"/>
      <c r="AX2" s="223"/>
      <c r="AY2" s="127" t="s">
        <v>80</v>
      </c>
      <c r="AZ2" s="123"/>
      <c r="BA2" s="123"/>
      <c r="BB2" s="223"/>
      <c r="BC2" s="227">
        <v>45488</v>
      </c>
      <c r="BD2" s="123"/>
      <c r="BE2" s="123"/>
      <c r="BF2" s="123"/>
      <c r="BG2" s="223"/>
      <c r="BH2" s="75"/>
      <c r="BI2" s="76"/>
      <c r="BJ2" s="76"/>
      <c r="BK2" s="77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224"/>
      <c r="AQ3" s="225"/>
      <c r="AR3" s="225"/>
      <c r="AS3" s="226"/>
      <c r="AT3" s="224"/>
      <c r="AU3" s="225"/>
      <c r="AV3" s="225"/>
      <c r="AW3" s="225"/>
      <c r="AX3" s="226"/>
      <c r="AY3" s="224"/>
      <c r="AZ3" s="225"/>
      <c r="BA3" s="225"/>
      <c r="BB3" s="226"/>
      <c r="BC3" s="224"/>
      <c r="BD3" s="225"/>
      <c r="BE3" s="225"/>
      <c r="BF3" s="225"/>
      <c r="BG3" s="226"/>
      <c r="BH3" s="81"/>
      <c r="BI3" s="82"/>
      <c r="BJ3" s="82"/>
      <c r="BK3" s="83"/>
    </row>
    <row r="4" spans="1:63" ht="24.95" customHeight="1" x14ac:dyDescent="0.25">
      <c r="A4" s="90" t="s">
        <v>1</v>
      </c>
      <c r="B4" s="91"/>
      <c r="C4" s="91"/>
      <c r="D4" s="91"/>
      <c r="E4" s="91"/>
      <c r="F4" s="91"/>
      <c r="G4" s="92"/>
      <c r="H4" s="95" t="s">
        <v>89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90" t="s">
        <v>8</v>
      </c>
      <c r="V4" s="91"/>
      <c r="W4" s="91"/>
      <c r="X4" s="91"/>
      <c r="Y4" s="92"/>
      <c r="Z4" s="95" t="s">
        <v>90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">
        <v>79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78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79" t="s">
        <v>6</v>
      </c>
      <c r="C10" s="179"/>
      <c r="D10" s="179"/>
      <c r="E10" s="179"/>
      <c r="F10" s="179"/>
      <c r="G10" s="179"/>
      <c r="H10" s="179" t="s">
        <v>5</v>
      </c>
      <c r="I10" s="179"/>
      <c r="J10" s="179"/>
      <c r="K10" s="179"/>
      <c r="L10" s="179"/>
      <c r="M10" s="179"/>
      <c r="N10" s="179"/>
      <c r="O10" s="179" t="s">
        <v>77</v>
      </c>
      <c r="P10" s="179"/>
      <c r="Q10" s="179"/>
      <c r="R10" s="179"/>
      <c r="S10" s="179" t="s">
        <v>76</v>
      </c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 t="s">
        <v>75</v>
      </c>
      <c r="AY10" s="179"/>
      <c r="AZ10" s="179"/>
      <c r="BA10" s="179"/>
      <c r="BB10" s="179"/>
      <c r="BC10" s="179"/>
      <c r="BD10" s="179" t="s">
        <v>74</v>
      </c>
      <c r="BE10" s="179"/>
      <c r="BF10" s="179"/>
      <c r="BG10" s="179"/>
      <c r="BH10" s="179"/>
      <c r="BI10" s="179"/>
      <c r="BJ10" s="179"/>
      <c r="BK10" s="4"/>
    </row>
    <row r="11" spans="1:63" ht="15" customHeight="1" x14ac:dyDescent="0.25">
      <c r="A11" s="1"/>
      <c r="B11" s="197">
        <v>45448</v>
      </c>
      <c r="C11" s="198"/>
      <c r="D11" s="198"/>
      <c r="E11" s="198"/>
      <c r="F11" s="198"/>
      <c r="G11" s="199"/>
      <c r="H11" s="110" t="s">
        <v>108</v>
      </c>
      <c r="I11" s="198"/>
      <c r="J11" s="198"/>
      <c r="K11" s="198"/>
      <c r="L11" s="198"/>
      <c r="M11" s="198"/>
      <c r="N11" s="199"/>
      <c r="O11" s="203"/>
      <c r="P11" s="198"/>
      <c r="Q11" s="198"/>
      <c r="R11" s="198"/>
      <c r="S11" s="217" t="s">
        <v>109</v>
      </c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9"/>
      <c r="AX11" s="207">
        <v>45537</v>
      </c>
      <c r="AY11" s="208"/>
      <c r="AZ11" s="208"/>
      <c r="BA11" s="208"/>
      <c r="BB11" s="208"/>
      <c r="BC11" s="209"/>
      <c r="BD11" s="212" t="s">
        <v>136</v>
      </c>
      <c r="BE11" s="208"/>
      <c r="BF11" s="208"/>
      <c r="BG11" s="208"/>
      <c r="BH11" s="208"/>
      <c r="BI11" s="208"/>
      <c r="BJ11" s="209"/>
      <c r="BK11" s="4"/>
    </row>
    <row r="12" spans="1:63" ht="54" customHeight="1" x14ac:dyDescent="0.25">
      <c r="A12" s="1"/>
      <c r="B12" s="200"/>
      <c r="C12" s="201"/>
      <c r="D12" s="201"/>
      <c r="E12" s="201"/>
      <c r="F12" s="201"/>
      <c r="G12" s="202"/>
      <c r="H12" s="200"/>
      <c r="I12" s="201"/>
      <c r="J12" s="201"/>
      <c r="K12" s="201"/>
      <c r="L12" s="201"/>
      <c r="M12" s="201"/>
      <c r="N12" s="202"/>
      <c r="O12" s="200"/>
      <c r="P12" s="201"/>
      <c r="Q12" s="201"/>
      <c r="R12" s="201"/>
      <c r="S12" s="214" t="s">
        <v>110</v>
      </c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6"/>
      <c r="AX12" s="210"/>
      <c r="AY12" s="210"/>
      <c r="AZ12" s="210"/>
      <c r="BA12" s="210"/>
      <c r="BB12" s="210"/>
      <c r="BC12" s="211"/>
      <c r="BD12" s="213"/>
      <c r="BE12" s="210"/>
      <c r="BF12" s="210"/>
      <c r="BG12" s="210"/>
      <c r="BH12" s="210"/>
      <c r="BI12" s="210"/>
      <c r="BJ12" s="211"/>
      <c r="BK12" s="4"/>
    </row>
    <row r="13" spans="1:63" ht="15" customHeight="1" x14ac:dyDescent="0.25">
      <c r="A13" s="1"/>
      <c r="B13" s="197">
        <v>45448</v>
      </c>
      <c r="C13" s="198"/>
      <c r="D13" s="198"/>
      <c r="E13" s="198"/>
      <c r="F13" s="198"/>
      <c r="G13" s="199"/>
      <c r="H13" s="110" t="s">
        <v>108</v>
      </c>
      <c r="I13" s="198"/>
      <c r="J13" s="198"/>
      <c r="K13" s="198"/>
      <c r="L13" s="198"/>
      <c r="M13" s="198"/>
      <c r="N13" s="199"/>
      <c r="O13" s="203"/>
      <c r="P13" s="198"/>
      <c r="Q13" s="198"/>
      <c r="R13" s="198"/>
      <c r="S13" s="217" t="s">
        <v>109</v>
      </c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9"/>
      <c r="AX13" s="207">
        <v>45537</v>
      </c>
      <c r="AY13" s="208"/>
      <c r="AZ13" s="208"/>
      <c r="BA13" s="208"/>
      <c r="BB13" s="208"/>
      <c r="BC13" s="209"/>
      <c r="BD13" s="212" t="s">
        <v>136</v>
      </c>
      <c r="BE13" s="208"/>
      <c r="BF13" s="208"/>
      <c r="BG13" s="208"/>
      <c r="BH13" s="208"/>
      <c r="BI13" s="208"/>
      <c r="BJ13" s="209"/>
      <c r="BK13" s="4"/>
    </row>
    <row r="14" spans="1:63" ht="78.75" customHeight="1" x14ac:dyDescent="0.25">
      <c r="A14" s="1"/>
      <c r="B14" s="200"/>
      <c r="C14" s="201"/>
      <c r="D14" s="201"/>
      <c r="E14" s="201"/>
      <c r="F14" s="201"/>
      <c r="G14" s="202"/>
      <c r="H14" s="200"/>
      <c r="I14" s="201"/>
      <c r="J14" s="201"/>
      <c r="K14" s="201"/>
      <c r="L14" s="201"/>
      <c r="M14" s="201"/>
      <c r="N14" s="202"/>
      <c r="O14" s="200"/>
      <c r="P14" s="201"/>
      <c r="Q14" s="201"/>
      <c r="R14" s="201"/>
      <c r="S14" s="214" t="s">
        <v>111</v>
      </c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6"/>
      <c r="AX14" s="210"/>
      <c r="AY14" s="210"/>
      <c r="AZ14" s="210"/>
      <c r="BA14" s="210"/>
      <c r="BB14" s="210"/>
      <c r="BC14" s="211"/>
      <c r="BD14" s="213"/>
      <c r="BE14" s="210"/>
      <c r="BF14" s="210"/>
      <c r="BG14" s="210"/>
      <c r="BH14" s="210"/>
      <c r="BI14" s="210"/>
      <c r="BJ14" s="211"/>
      <c r="BK14" s="4"/>
    </row>
    <row r="15" spans="1:63" ht="23.25" customHeight="1" x14ac:dyDescent="0.25">
      <c r="A15" s="1"/>
      <c r="B15" s="197">
        <v>45498</v>
      </c>
      <c r="C15" s="198"/>
      <c r="D15" s="198"/>
      <c r="E15" s="198"/>
      <c r="F15" s="198"/>
      <c r="G15" s="199"/>
      <c r="H15" s="110" t="s">
        <v>108</v>
      </c>
      <c r="I15" s="198"/>
      <c r="J15" s="198"/>
      <c r="K15" s="198"/>
      <c r="L15" s="198"/>
      <c r="M15" s="198"/>
      <c r="N15" s="199"/>
      <c r="O15" s="203"/>
      <c r="P15" s="198"/>
      <c r="Q15" s="198"/>
      <c r="R15" s="198"/>
      <c r="S15" s="204" t="s">
        <v>109</v>
      </c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6"/>
      <c r="AX15" s="207">
        <v>45537</v>
      </c>
      <c r="AY15" s="208"/>
      <c r="AZ15" s="208"/>
      <c r="BA15" s="208"/>
      <c r="BB15" s="208"/>
      <c r="BC15" s="209"/>
      <c r="BD15" s="212" t="s">
        <v>136</v>
      </c>
      <c r="BE15" s="208"/>
      <c r="BF15" s="208"/>
      <c r="BG15" s="208"/>
      <c r="BH15" s="208"/>
      <c r="BI15" s="208"/>
      <c r="BJ15" s="209"/>
      <c r="BK15" s="4"/>
    </row>
    <row r="16" spans="1:63" ht="40.5" customHeight="1" x14ac:dyDescent="0.25">
      <c r="A16" s="1"/>
      <c r="B16" s="200"/>
      <c r="C16" s="201"/>
      <c r="D16" s="201"/>
      <c r="E16" s="201"/>
      <c r="F16" s="201"/>
      <c r="G16" s="202"/>
      <c r="H16" s="200"/>
      <c r="I16" s="201"/>
      <c r="J16" s="201"/>
      <c r="K16" s="201"/>
      <c r="L16" s="201"/>
      <c r="M16" s="201"/>
      <c r="N16" s="202"/>
      <c r="O16" s="200"/>
      <c r="P16" s="201"/>
      <c r="Q16" s="201"/>
      <c r="R16" s="201"/>
      <c r="S16" s="214" t="s">
        <v>112</v>
      </c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6"/>
      <c r="AX16" s="210"/>
      <c r="AY16" s="210"/>
      <c r="AZ16" s="210"/>
      <c r="BA16" s="210"/>
      <c r="BB16" s="210"/>
      <c r="BC16" s="211"/>
      <c r="BD16" s="213"/>
      <c r="BE16" s="210"/>
      <c r="BF16" s="210"/>
      <c r="BG16" s="210"/>
      <c r="BH16" s="210"/>
      <c r="BI16" s="210"/>
      <c r="BJ16" s="211"/>
      <c r="BK16" s="4"/>
    </row>
    <row r="17" spans="1:63" ht="15" customHeight="1" x14ac:dyDescent="0.25">
      <c r="A17" s="1"/>
      <c r="B17" s="197">
        <v>45503</v>
      </c>
      <c r="C17" s="198"/>
      <c r="D17" s="198"/>
      <c r="E17" s="198"/>
      <c r="F17" s="198"/>
      <c r="G17" s="199"/>
      <c r="H17" s="110" t="s">
        <v>108</v>
      </c>
      <c r="I17" s="198"/>
      <c r="J17" s="198"/>
      <c r="K17" s="198"/>
      <c r="L17" s="198"/>
      <c r="M17" s="198"/>
      <c r="N17" s="199"/>
      <c r="O17" s="203"/>
      <c r="P17" s="198"/>
      <c r="Q17" s="198"/>
      <c r="R17" s="198"/>
      <c r="S17" s="217" t="s">
        <v>109</v>
      </c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9"/>
      <c r="AX17" s="207">
        <v>45537</v>
      </c>
      <c r="AY17" s="208"/>
      <c r="AZ17" s="208"/>
      <c r="BA17" s="208"/>
      <c r="BB17" s="208"/>
      <c r="BC17" s="209"/>
      <c r="BD17" s="212" t="s">
        <v>136</v>
      </c>
      <c r="BE17" s="208"/>
      <c r="BF17" s="208"/>
      <c r="BG17" s="208"/>
      <c r="BH17" s="208"/>
      <c r="BI17" s="208"/>
      <c r="BJ17" s="209"/>
      <c r="BK17" s="4"/>
    </row>
    <row r="18" spans="1:63" ht="51.75" customHeight="1" x14ac:dyDescent="0.25">
      <c r="A18" s="1"/>
      <c r="B18" s="200"/>
      <c r="C18" s="201"/>
      <c r="D18" s="201"/>
      <c r="E18" s="201"/>
      <c r="F18" s="201"/>
      <c r="G18" s="202"/>
      <c r="H18" s="200"/>
      <c r="I18" s="201"/>
      <c r="J18" s="201"/>
      <c r="K18" s="201"/>
      <c r="L18" s="201"/>
      <c r="M18" s="201"/>
      <c r="N18" s="202"/>
      <c r="O18" s="200"/>
      <c r="P18" s="201"/>
      <c r="Q18" s="201"/>
      <c r="R18" s="201"/>
      <c r="S18" s="220" t="s">
        <v>113</v>
      </c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2"/>
      <c r="AX18" s="210"/>
      <c r="AY18" s="210"/>
      <c r="AZ18" s="210"/>
      <c r="BA18" s="210"/>
      <c r="BB18" s="210"/>
      <c r="BC18" s="211"/>
      <c r="BD18" s="213"/>
      <c r="BE18" s="210"/>
      <c r="BF18" s="210"/>
      <c r="BG18" s="210"/>
      <c r="BH18" s="210"/>
      <c r="BI18" s="210"/>
      <c r="BJ18" s="211"/>
      <c r="BK18" s="4"/>
    </row>
    <row r="19" spans="1:63" ht="15" customHeight="1" x14ac:dyDescent="0.25">
      <c r="A19" s="1"/>
      <c r="B19" s="184">
        <v>45537</v>
      </c>
      <c r="C19" s="185"/>
      <c r="D19" s="185"/>
      <c r="E19" s="185"/>
      <c r="F19" s="185"/>
      <c r="G19" s="186"/>
      <c r="H19" s="190" t="s">
        <v>108</v>
      </c>
      <c r="I19" s="185"/>
      <c r="J19" s="185"/>
      <c r="K19" s="185"/>
      <c r="L19" s="185"/>
      <c r="M19" s="185"/>
      <c r="N19" s="186"/>
      <c r="O19" s="190"/>
      <c r="P19" s="185"/>
      <c r="Q19" s="185"/>
      <c r="R19" s="185"/>
      <c r="S19" s="191" t="s">
        <v>109</v>
      </c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3"/>
      <c r="AX19" s="123"/>
      <c r="AY19" s="123"/>
      <c r="AZ19" s="123"/>
      <c r="BA19" s="123"/>
      <c r="BB19" s="123"/>
      <c r="BC19" s="124"/>
      <c r="BD19" s="127"/>
      <c r="BE19" s="123"/>
      <c r="BF19" s="123"/>
      <c r="BG19" s="123"/>
      <c r="BH19" s="123"/>
      <c r="BI19" s="123"/>
      <c r="BJ19" s="124"/>
      <c r="BK19" s="4"/>
    </row>
    <row r="20" spans="1:63" ht="15" customHeight="1" x14ac:dyDescent="0.25">
      <c r="A20" s="1"/>
      <c r="B20" s="187"/>
      <c r="C20" s="188"/>
      <c r="D20" s="188"/>
      <c r="E20" s="188"/>
      <c r="F20" s="188"/>
      <c r="G20" s="189"/>
      <c r="H20" s="187"/>
      <c r="I20" s="188"/>
      <c r="J20" s="188"/>
      <c r="K20" s="188"/>
      <c r="L20" s="188"/>
      <c r="M20" s="188"/>
      <c r="N20" s="189"/>
      <c r="O20" s="187"/>
      <c r="P20" s="188"/>
      <c r="Q20" s="188"/>
      <c r="R20" s="188"/>
      <c r="S20" s="194" t="s">
        <v>134</v>
      </c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6"/>
      <c r="AX20" s="125"/>
      <c r="AY20" s="125"/>
      <c r="AZ20" s="125"/>
      <c r="BA20" s="125"/>
      <c r="BB20" s="125"/>
      <c r="BC20" s="126"/>
      <c r="BD20" s="128"/>
      <c r="BE20" s="125"/>
      <c r="BF20" s="125"/>
      <c r="BG20" s="125"/>
      <c r="BH20" s="125"/>
      <c r="BI20" s="125"/>
      <c r="BJ20" s="126"/>
      <c r="BK20" s="4"/>
    </row>
    <row r="21" spans="1:63" ht="15" customHeight="1" x14ac:dyDescent="0.25">
      <c r="A21" s="1"/>
      <c r="B21" s="184">
        <v>45537</v>
      </c>
      <c r="C21" s="185"/>
      <c r="D21" s="185"/>
      <c r="E21" s="185"/>
      <c r="F21" s="185"/>
      <c r="G21" s="186"/>
      <c r="H21" s="190" t="s">
        <v>108</v>
      </c>
      <c r="I21" s="185"/>
      <c r="J21" s="185"/>
      <c r="K21" s="185"/>
      <c r="L21" s="185"/>
      <c r="M21" s="185"/>
      <c r="N21" s="186"/>
      <c r="O21" s="190"/>
      <c r="P21" s="185"/>
      <c r="Q21" s="185"/>
      <c r="R21" s="185"/>
      <c r="S21" s="191" t="s">
        <v>109</v>
      </c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3"/>
      <c r="AX21" s="123"/>
      <c r="AY21" s="123"/>
      <c r="AZ21" s="123"/>
      <c r="BA21" s="123"/>
      <c r="BB21" s="123"/>
      <c r="BC21" s="124"/>
      <c r="BD21" s="127"/>
      <c r="BE21" s="123"/>
      <c r="BF21" s="123"/>
      <c r="BG21" s="123"/>
      <c r="BH21" s="123"/>
      <c r="BI21" s="123"/>
      <c r="BJ21" s="124"/>
      <c r="BK21" s="4"/>
    </row>
    <row r="22" spans="1:63" ht="15" customHeight="1" x14ac:dyDescent="0.25">
      <c r="A22" s="1"/>
      <c r="B22" s="187"/>
      <c r="C22" s="188"/>
      <c r="D22" s="188"/>
      <c r="E22" s="188"/>
      <c r="F22" s="188"/>
      <c r="G22" s="189"/>
      <c r="H22" s="187"/>
      <c r="I22" s="188"/>
      <c r="J22" s="188"/>
      <c r="K22" s="188"/>
      <c r="L22" s="188"/>
      <c r="M22" s="188"/>
      <c r="N22" s="189"/>
      <c r="O22" s="187"/>
      <c r="P22" s="188"/>
      <c r="Q22" s="188"/>
      <c r="R22" s="188"/>
      <c r="S22" s="194" t="s">
        <v>135</v>
      </c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6"/>
      <c r="AX22" s="125"/>
      <c r="AY22" s="125"/>
      <c r="AZ22" s="125"/>
      <c r="BA22" s="125"/>
      <c r="BB22" s="125"/>
      <c r="BC22" s="126"/>
      <c r="BD22" s="128"/>
      <c r="BE22" s="125"/>
      <c r="BF22" s="125"/>
      <c r="BG22" s="125"/>
      <c r="BH22" s="125"/>
      <c r="BI22" s="125"/>
      <c r="BJ22" s="126"/>
      <c r="BK22" s="4"/>
    </row>
    <row r="23" spans="1:63" ht="15" customHeight="1" x14ac:dyDescent="0.25">
      <c r="A23" s="1"/>
      <c r="B23" s="75"/>
      <c r="C23" s="76"/>
      <c r="D23" s="76"/>
      <c r="E23" s="76"/>
      <c r="F23" s="76"/>
      <c r="G23" s="77"/>
      <c r="H23" s="75"/>
      <c r="I23" s="76"/>
      <c r="J23" s="76"/>
      <c r="K23" s="76"/>
      <c r="L23" s="76"/>
      <c r="M23" s="76"/>
      <c r="N23" s="77"/>
      <c r="O23" s="75"/>
      <c r="P23" s="76"/>
      <c r="Q23" s="76"/>
      <c r="R23" s="76"/>
      <c r="S23" s="120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2"/>
      <c r="AX23" s="123"/>
      <c r="AY23" s="123"/>
      <c r="AZ23" s="123"/>
      <c r="BA23" s="123"/>
      <c r="BB23" s="123"/>
      <c r="BC23" s="124"/>
      <c r="BD23" s="127"/>
      <c r="BE23" s="123"/>
      <c r="BF23" s="123"/>
      <c r="BG23" s="123"/>
      <c r="BH23" s="123"/>
      <c r="BI23" s="123"/>
      <c r="BJ23" s="124"/>
      <c r="BK23" s="4"/>
    </row>
    <row r="24" spans="1:63" ht="15" customHeight="1" x14ac:dyDescent="0.25">
      <c r="A24" s="1"/>
      <c r="B24" s="81"/>
      <c r="C24" s="82"/>
      <c r="D24" s="82"/>
      <c r="E24" s="82"/>
      <c r="F24" s="82"/>
      <c r="G24" s="83"/>
      <c r="H24" s="81"/>
      <c r="I24" s="82"/>
      <c r="J24" s="82"/>
      <c r="K24" s="82"/>
      <c r="L24" s="82"/>
      <c r="M24" s="82"/>
      <c r="N24" s="83"/>
      <c r="O24" s="81"/>
      <c r="P24" s="82"/>
      <c r="Q24" s="82"/>
      <c r="R24" s="82"/>
      <c r="S24" s="129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1"/>
      <c r="AX24" s="125"/>
      <c r="AY24" s="125"/>
      <c r="AZ24" s="125"/>
      <c r="BA24" s="125"/>
      <c r="BB24" s="125"/>
      <c r="BC24" s="126"/>
      <c r="BD24" s="128"/>
      <c r="BE24" s="125"/>
      <c r="BF24" s="125"/>
      <c r="BG24" s="125"/>
      <c r="BH24" s="125"/>
      <c r="BI24" s="125"/>
      <c r="BJ24" s="126"/>
      <c r="BK24" s="4"/>
    </row>
    <row r="25" spans="1:63" ht="15" customHeight="1" x14ac:dyDescent="0.25">
      <c r="A25" s="1"/>
      <c r="B25" s="75"/>
      <c r="C25" s="76"/>
      <c r="D25" s="76"/>
      <c r="E25" s="76"/>
      <c r="F25" s="76"/>
      <c r="G25" s="77"/>
      <c r="H25" s="75"/>
      <c r="I25" s="76"/>
      <c r="J25" s="76"/>
      <c r="K25" s="76"/>
      <c r="L25" s="76"/>
      <c r="M25" s="76"/>
      <c r="N25" s="77"/>
      <c r="O25" s="75"/>
      <c r="P25" s="76"/>
      <c r="Q25" s="76"/>
      <c r="R25" s="76"/>
      <c r="S25" s="120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2"/>
      <c r="AX25" s="123"/>
      <c r="AY25" s="123"/>
      <c r="AZ25" s="123"/>
      <c r="BA25" s="123"/>
      <c r="BB25" s="123"/>
      <c r="BC25" s="124"/>
      <c r="BD25" s="127"/>
      <c r="BE25" s="123"/>
      <c r="BF25" s="123"/>
      <c r="BG25" s="123"/>
      <c r="BH25" s="123"/>
      <c r="BI25" s="123"/>
      <c r="BJ25" s="124"/>
      <c r="BK25" s="4"/>
    </row>
    <row r="26" spans="1:63" ht="15" customHeight="1" x14ac:dyDescent="0.25">
      <c r="A26" s="1"/>
      <c r="B26" s="81"/>
      <c r="C26" s="82"/>
      <c r="D26" s="82"/>
      <c r="E26" s="82"/>
      <c r="F26" s="82"/>
      <c r="G26" s="83"/>
      <c r="H26" s="81"/>
      <c r="I26" s="82"/>
      <c r="J26" s="82"/>
      <c r="K26" s="82"/>
      <c r="L26" s="82"/>
      <c r="M26" s="82"/>
      <c r="N26" s="83"/>
      <c r="O26" s="81"/>
      <c r="P26" s="82"/>
      <c r="Q26" s="82"/>
      <c r="R26" s="82"/>
      <c r="S26" s="129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1"/>
      <c r="AX26" s="125"/>
      <c r="AY26" s="125"/>
      <c r="AZ26" s="125"/>
      <c r="BA26" s="125"/>
      <c r="BB26" s="125"/>
      <c r="BC26" s="126"/>
      <c r="BD26" s="128"/>
      <c r="BE26" s="125"/>
      <c r="BF26" s="125"/>
      <c r="BG26" s="125"/>
      <c r="BH26" s="125"/>
      <c r="BI26" s="125"/>
      <c r="BJ26" s="126"/>
      <c r="BK26" s="4"/>
    </row>
    <row r="27" spans="1:63" ht="15" customHeight="1" x14ac:dyDescent="0.25">
      <c r="A27" s="1"/>
      <c r="B27" s="75"/>
      <c r="C27" s="76"/>
      <c r="D27" s="76"/>
      <c r="E27" s="76"/>
      <c r="F27" s="76"/>
      <c r="G27" s="77"/>
      <c r="H27" s="75"/>
      <c r="I27" s="76"/>
      <c r="J27" s="76"/>
      <c r="K27" s="76"/>
      <c r="L27" s="76"/>
      <c r="M27" s="76"/>
      <c r="N27" s="77"/>
      <c r="O27" s="75"/>
      <c r="P27" s="76"/>
      <c r="Q27" s="76"/>
      <c r="R27" s="76"/>
      <c r="S27" s="120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2"/>
      <c r="AX27" s="123"/>
      <c r="AY27" s="123"/>
      <c r="AZ27" s="123"/>
      <c r="BA27" s="123"/>
      <c r="BB27" s="123"/>
      <c r="BC27" s="124"/>
      <c r="BD27" s="127"/>
      <c r="BE27" s="123"/>
      <c r="BF27" s="123"/>
      <c r="BG27" s="123"/>
      <c r="BH27" s="123"/>
      <c r="BI27" s="123"/>
      <c r="BJ27" s="124"/>
      <c r="BK27" s="4"/>
    </row>
    <row r="28" spans="1:63" ht="15" customHeight="1" x14ac:dyDescent="0.25">
      <c r="A28" s="1"/>
      <c r="B28" s="81"/>
      <c r="C28" s="82"/>
      <c r="D28" s="82"/>
      <c r="E28" s="82"/>
      <c r="F28" s="82"/>
      <c r="G28" s="83"/>
      <c r="H28" s="81"/>
      <c r="I28" s="82"/>
      <c r="J28" s="82"/>
      <c r="K28" s="82"/>
      <c r="L28" s="82"/>
      <c r="M28" s="82"/>
      <c r="N28" s="83"/>
      <c r="O28" s="81"/>
      <c r="P28" s="82"/>
      <c r="Q28" s="82"/>
      <c r="R28" s="82"/>
      <c r="S28" s="129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1"/>
      <c r="AX28" s="125"/>
      <c r="AY28" s="125"/>
      <c r="AZ28" s="125"/>
      <c r="BA28" s="125"/>
      <c r="BB28" s="125"/>
      <c r="BC28" s="126"/>
      <c r="BD28" s="128"/>
      <c r="BE28" s="125"/>
      <c r="BF28" s="125"/>
      <c r="BG28" s="125"/>
      <c r="BH28" s="125"/>
      <c r="BI28" s="125"/>
      <c r="BJ28" s="126"/>
      <c r="BK28" s="4"/>
    </row>
    <row r="29" spans="1:63" ht="15" customHeight="1" x14ac:dyDescent="0.25">
      <c r="A29" s="1"/>
      <c r="B29" s="75"/>
      <c r="C29" s="76"/>
      <c r="D29" s="76"/>
      <c r="E29" s="76"/>
      <c r="F29" s="76"/>
      <c r="G29" s="77"/>
      <c r="H29" s="75"/>
      <c r="I29" s="76"/>
      <c r="J29" s="76"/>
      <c r="K29" s="76"/>
      <c r="L29" s="76"/>
      <c r="M29" s="76"/>
      <c r="N29" s="77"/>
      <c r="O29" s="75"/>
      <c r="P29" s="76"/>
      <c r="Q29" s="76"/>
      <c r="R29" s="76"/>
      <c r="S29" s="120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2"/>
      <c r="AX29" s="123"/>
      <c r="AY29" s="123"/>
      <c r="AZ29" s="123"/>
      <c r="BA29" s="123"/>
      <c r="BB29" s="123"/>
      <c r="BC29" s="124"/>
      <c r="BD29" s="127"/>
      <c r="BE29" s="123"/>
      <c r="BF29" s="123"/>
      <c r="BG29" s="123"/>
      <c r="BH29" s="123"/>
      <c r="BI29" s="123"/>
      <c r="BJ29" s="124"/>
      <c r="BK29" s="4"/>
    </row>
    <row r="30" spans="1:63" ht="15" customHeight="1" x14ac:dyDescent="0.25">
      <c r="A30" s="1"/>
      <c r="B30" s="81"/>
      <c r="C30" s="82"/>
      <c r="D30" s="82"/>
      <c r="E30" s="82"/>
      <c r="F30" s="82"/>
      <c r="G30" s="83"/>
      <c r="H30" s="81"/>
      <c r="I30" s="82"/>
      <c r="J30" s="82"/>
      <c r="K30" s="82"/>
      <c r="L30" s="82"/>
      <c r="M30" s="82"/>
      <c r="N30" s="83"/>
      <c r="O30" s="81"/>
      <c r="P30" s="82"/>
      <c r="Q30" s="82"/>
      <c r="R30" s="82"/>
      <c r="S30" s="129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1"/>
      <c r="AX30" s="125"/>
      <c r="AY30" s="125"/>
      <c r="AZ30" s="125"/>
      <c r="BA30" s="125"/>
      <c r="BB30" s="125"/>
      <c r="BC30" s="126"/>
      <c r="BD30" s="128"/>
      <c r="BE30" s="125"/>
      <c r="BF30" s="125"/>
      <c r="BG30" s="125"/>
      <c r="BH30" s="125"/>
      <c r="BI30" s="125"/>
      <c r="BJ30" s="126"/>
      <c r="BK30" s="4"/>
    </row>
    <row r="31" spans="1:63" ht="15" customHeight="1" x14ac:dyDescent="0.25">
      <c r="A31" s="1"/>
      <c r="B31" s="75"/>
      <c r="C31" s="76"/>
      <c r="D31" s="76"/>
      <c r="E31" s="76"/>
      <c r="F31" s="76"/>
      <c r="G31" s="77"/>
      <c r="H31" s="75"/>
      <c r="I31" s="76"/>
      <c r="J31" s="76"/>
      <c r="K31" s="76"/>
      <c r="L31" s="76"/>
      <c r="M31" s="76"/>
      <c r="N31" s="77"/>
      <c r="O31" s="75"/>
      <c r="P31" s="76"/>
      <c r="Q31" s="76"/>
      <c r="R31" s="76"/>
      <c r="S31" s="120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2"/>
      <c r="AX31" s="123"/>
      <c r="AY31" s="123"/>
      <c r="AZ31" s="123"/>
      <c r="BA31" s="123"/>
      <c r="BB31" s="123"/>
      <c r="BC31" s="124"/>
      <c r="BD31" s="127"/>
      <c r="BE31" s="123"/>
      <c r="BF31" s="123"/>
      <c r="BG31" s="123"/>
      <c r="BH31" s="123"/>
      <c r="BI31" s="123"/>
      <c r="BJ31" s="124"/>
      <c r="BK31" s="4"/>
    </row>
    <row r="32" spans="1:63" ht="15" customHeight="1" x14ac:dyDescent="0.25">
      <c r="A32" s="1"/>
      <c r="B32" s="81"/>
      <c r="C32" s="82"/>
      <c r="D32" s="82"/>
      <c r="E32" s="82"/>
      <c r="F32" s="82"/>
      <c r="G32" s="83"/>
      <c r="H32" s="81"/>
      <c r="I32" s="82"/>
      <c r="J32" s="82"/>
      <c r="K32" s="82"/>
      <c r="L32" s="82"/>
      <c r="M32" s="82"/>
      <c r="N32" s="83"/>
      <c r="O32" s="81"/>
      <c r="P32" s="82"/>
      <c r="Q32" s="82"/>
      <c r="R32" s="82"/>
      <c r="S32" s="129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1"/>
      <c r="AX32" s="125"/>
      <c r="AY32" s="125"/>
      <c r="AZ32" s="125"/>
      <c r="BA32" s="125"/>
      <c r="BB32" s="125"/>
      <c r="BC32" s="126"/>
      <c r="BD32" s="128"/>
      <c r="BE32" s="125"/>
      <c r="BF32" s="125"/>
      <c r="BG32" s="125"/>
      <c r="BH32" s="125"/>
      <c r="BI32" s="125"/>
      <c r="BJ32" s="126"/>
      <c r="BK32" s="4"/>
    </row>
    <row r="33" spans="1:63" ht="15" customHeight="1" x14ac:dyDescent="0.25">
      <c r="A33" s="1"/>
      <c r="B33" s="75"/>
      <c r="C33" s="76"/>
      <c r="D33" s="76"/>
      <c r="E33" s="76"/>
      <c r="F33" s="76"/>
      <c r="G33" s="77"/>
      <c r="H33" s="75"/>
      <c r="I33" s="76"/>
      <c r="J33" s="76"/>
      <c r="K33" s="76"/>
      <c r="L33" s="76"/>
      <c r="M33" s="76"/>
      <c r="N33" s="77"/>
      <c r="O33" s="75"/>
      <c r="P33" s="76"/>
      <c r="Q33" s="76"/>
      <c r="R33" s="76"/>
      <c r="S33" s="120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2"/>
      <c r="AX33" s="123"/>
      <c r="AY33" s="123"/>
      <c r="AZ33" s="123"/>
      <c r="BA33" s="123"/>
      <c r="BB33" s="123"/>
      <c r="BC33" s="124"/>
      <c r="BD33" s="127"/>
      <c r="BE33" s="123"/>
      <c r="BF33" s="123"/>
      <c r="BG33" s="123"/>
      <c r="BH33" s="123"/>
      <c r="BI33" s="123"/>
      <c r="BJ33" s="124"/>
      <c r="BK33" s="4"/>
    </row>
    <row r="34" spans="1:63" ht="15" customHeight="1" x14ac:dyDescent="0.25">
      <c r="A34" s="1"/>
      <c r="B34" s="81"/>
      <c r="C34" s="82"/>
      <c r="D34" s="82"/>
      <c r="E34" s="82"/>
      <c r="F34" s="82"/>
      <c r="G34" s="83"/>
      <c r="H34" s="81"/>
      <c r="I34" s="82"/>
      <c r="J34" s="82"/>
      <c r="K34" s="82"/>
      <c r="L34" s="82"/>
      <c r="M34" s="82"/>
      <c r="N34" s="83"/>
      <c r="O34" s="81"/>
      <c r="P34" s="82"/>
      <c r="Q34" s="82"/>
      <c r="R34" s="82"/>
      <c r="S34" s="129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1"/>
      <c r="AX34" s="125"/>
      <c r="AY34" s="125"/>
      <c r="AZ34" s="125"/>
      <c r="BA34" s="125"/>
      <c r="BB34" s="125"/>
      <c r="BC34" s="126"/>
      <c r="BD34" s="128"/>
      <c r="BE34" s="125"/>
      <c r="BF34" s="125"/>
      <c r="BG34" s="125"/>
      <c r="BH34" s="125"/>
      <c r="BI34" s="125"/>
      <c r="BJ34" s="126"/>
      <c r="BK34" s="4"/>
    </row>
    <row r="35" spans="1:63" ht="15" customHeight="1" x14ac:dyDescent="0.25">
      <c r="A35" s="1"/>
      <c r="B35" s="75"/>
      <c r="C35" s="76"/>
      <c r="D35" s="76"/>
      <c r="E35" s="76"/>
      <c r="F35" s="76"/>
      <c r="G35" s="77"/>
      <c r="H35" s="75"/>
      <c r="I35" s="76"/>
      <c r="J35" s="76"/>
      <c r="K35" s="76"/>
      <c r="L35" s="76"/>
      <c r="M35" s="76"/>
      <c r="N35" s="77"/>
      <c r="O35" s="75"/>
      <c r="P35" s="76"/>
      <c r="Q35" s="76"/>
      <c r="R35" s="76"/>
      <c r="S35" s="120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2"/>
      <c r="AX35" s="123"/>
      <c r="AY35" s="123"/>
      <c r="AZ35" s="123"/>
      <c r="BA35" s="123"/>
      <c r="BB35" s="123"/>
      <c r="BC35" s="124"/>
      <c r="BD35" s="127"/>
      <c r="BE35" s="123"/>
      <c r="BF35" s="123"/>
      <c r="BG35" s="123"/>
      <c r="BH35" s="123"/>
      <c r="BI35" s="123"/>
      <c r="BJ35" s="124"/>
      <c r="BK35" s="4"/>
    </row>
    <row r="36" spans="1:63" ht="15" customHeight="1" x14ac:dyDescent="0.25">
      <c r="A36" s="1"/>
      <c r="B36" s="81"/>
      <c r="C36" s="82"/>
      <c r="D36" s="82"/>
      <c r="E36" s="82"/>
      <c r="F36" s="82"/>
      <c r="G36" s="83"/>
      <c r="H36" s="81"/>
      <c r="I36" s="82"/>
      <c r="J36" s="82"/>
      <c r="K36" s="82"/>
      <c r="L36" s="82"/>
      <c r="M36" s="82"/>
      <c r="N36" s="83"/>
      <c r="O36" s="81"/>
      <c r="P36" s="82"/>
      <c r="Q36" s="82"/>
      <c r="R36" s="82"/>
      <c r="S36" s="129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1"/>
      <c r="AX36" s="125"/>
      <c r="AY36" s="125"/>
      <c r="AZ36" s="125"/>
      <c r="BA36" s="125"/>
      <c r="BB36" s="125"/>
      <c r="BC36" s="126"/>
      <c r="BD36" s="128"/>
      <c r="BE36" s="125"/>
      <c r="BF36" s="125"/>
      <c r="BG36" s="125"/>
      <c r="BH36" s="125"/>
      <c r="BI36" s="125"/>
      <c r="BJ36" s="126"/>
      <c r="BK36" s="4"/>
    </row>
    <row r="37" spans="1:63" ht="15" customHeight="1" x14ac:dyDescent="0.25">
      <c r="A37" s="1"/>
      <c r="B37" s="75"/>
      <c r="C37" s="76"/>
      <c r="D37" s="76"/>
      <c r="E37" s="76"/>
      <c r="F37" s="76"/>
      <c r="G37" s="77"/>
      <c r="H37" s="75"/>
      <c r="I37" s="76"/>
      <c r="J37" s="76"/>
      <c r="K37" s="76"/>
      <c r="L37" s="76"/>
      <c r="M37" s="76"/>
      <c r="N37" s="77"/>
      <c r="O37" s="75"/>
      <c r="P37" s="76"/>
      <c r="Q37" s="76"/>
      <c r="R37" s="76"/>
      <c r="S37" s="120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2"/>
      <c r="AX37" s="123"/>
      <c r="AY37" s="123"/>
      <c r="AZ37" s="123"/>
      <c r="BA37" s="123"/>
      <c r="BB37" s="123"/>
      <c r="BC37" s="124"/>
      <c r="BD37" s="127"/>
      <c r="BE37" s="123"/>
      <c r="BF37" s="123"/>
      <c r="BG37" s="123"/>
      <c r="BH37" s="123"/>
      <c r="BI37" s="123"/>
      <c r="BJ37" s="124"/>
      <c r="BK37" s="4"/>
    </row>
    <row r="38" spans="1:63" ht="15" customHeight="1" x14ac:dyDescent="0.25">
      <c r="A38" s="1"/>
      <c r="B38" s="81"/>
      <c r="C38" s="82"/>
      <c r="D38" s="82"/>
      <c r="E38" s="82"/>
      <c r="F38" s="82"/>
      <c r="G38" s="83"/>
      <c r="H38" s="81"/>
      <c r="I38" s="82"/>
      <c r="J38" s="82"/>
      <c r="K38" s="82"/>
      <c r="L38" s="82"/>
      <c r="M38" s="82"/>
      <c r="N38" s="83"/>
      <c r="O38" s="81"/>
      <c r="P38" s="82"/>
      <c r="Q38" s="82"/>
      <c r="R38" s="82"/>
      <c r="S38" s="129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1"/>
      <c r="AX38" s="125"/>
      <c r="AY38" s="125"/>
      <c r="AZ38" s="125"/>
      <c r="BA38" s="125"/>
      <c r="BB38" s="125"/>
      <c r="BC38" s="126"/>
      <c r="BD38" s="128"/>
      <c r="BE38" s="125"/>
      <c r="BF38" s="125"/>
      <c r="BG38" s="125"/>
      <c r="BH38" s="125"/>
      <c r="BI38" s="125"/>
      <c r="BJ38" s="126"/>
      <c r="BK38" s="4"/>
    </row>
    <row r="39" spans="1:63" ht="15" customHeight="1" x14ac:dyDescent="0.25">
      <c r="A39" s="1"/>
      <c r="B39" s="75"/>
      <c r="C39" s="76"/>
      <c r="D39" s="76"/>
      <c r="E39" s="76"/>
      <c r="F39" s="76"/>
      <c r="G39" s="77"/>
      <c r="H39" s="75"/>
      <c r="I39" s="76"/>
      <c r="J39" s="76"/>
      <c r="K39" s="76"/>
      <c r="L39" s="76"/>
      <c r="M39" s="76"/>
      <c r="N39" s="77"/>
      <c r="O39" s="75"/>
      <c r="P39" s="76"/>
      <c r="Q39" s="76"/>
      <c r="R39" s="76"/>
      <c r="S39" s="120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2"/>
      <c r="AX39" s="123"/>
      <c r="AY39" s="123"/>
      <c r="AZ39" s="123"/>
      <c r="BA39" s="123"/>
      <c r="BB39" s="123"/>
      <c r="BC39" s="124"/>
      <c r="BD39" s="127"/>
      <c r="BE39" s="123"/>
      <c r="BF39" s="123"/>
      <c r="BG39" s="123"/>
      <c r="BH39" s="123"/>
      <c r="BI39" s="123"/>
      <c r="BJ39" s="124"/>
      <c r="BK39" s="4"/>
    </row>
    <row r="40" spans="1:63" ht="15" customHeight="1" x14ac:dyDescent="0.25">
      <c r="A40" s="1"/>
      <c r="B40" s="81"/>
      <c r="C40" s="82"/>
      <c r="D40" s="82"/>
      <c r="E40" s="82"/>
      <c r="F40" s="82"/>
      <c r="G40" s="83"/>
      <c r="H40" s="81"/>
      <c r="I40" s="82"/>
      <c r="J40" s="82"/>
      <c r="K40" s="82"/>
      <c r="L40" s="82"/>
      <c r="M40" s="82"/>
      <c r="N40" s="83"/>
      <c r="O40" s="81"/>
      <c r="P40" s="82"/>
      <c r="Q40" s="82"/>
      <c r="R40" s="82"/>
      <c r="S40" s="129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1"/>
      <c r="AX40" s="125"/>
      <c r="AY40" s="125"/>
      <c r="AZ40" s="125"/>
      <c r="BA40" s="125"/>
      <c r="BB40" s="125"/>
      <c r="BC40" s="126"/>
      <c r="BD40" s="128"/>
      <c r="BE40" s="125"/>
      <c r="BF40" s="125"/>
      <c r="BG40" s="125"/>
      <c r="BH40" s="125"/>
      <c r="BI40" s="125"/>
      <c r="BJ40" s="126"/>
      <c r="BK40" s="4"/>
    </row>
    <row r="41" spans="1:63" ht="15" customHeight="1" x14ac:dyDescent="0.25">
      <c r="A41" s="1"/>
      <c r="B41" s="75"/>
      <c r="C41" s="76"/>
      <c r="D41" s="76"/>
      <c r="E41" s="76"/>
      <c r="F41" s="76"/>
      <c r="G41" s="77"/>
      <c r="H41" s="75"/>
      <c r="I41" s="76"/>
      <c r="J41" s="76"/>
      <c r="K41" s="76"/>
      <c r="L41" s="76"/>
      <c r="M41" s="76"/>
      <c r="N41" s="77"/>
      <c r="O41" s="75"/>
      <c r="P41" s="76"/>
      <c r="Q41" s="76"/>
      <c r="R41" s="76"/>
      <c r="S41" s="120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2"/>
      <c r="AX41" s="123"/>
      <c r="AY41" s="123"/>
      <c r="AZ41" s="123"/>
      <c r="BA41" s="123"/>
      <c r="BB41" s="123"/>
      <c r="BC41" s="124"/>
      <c r="BD41" s="127"/>
      <c r="BE41" s="123"/>
      <c r="BF41" s="123"/>
      <c r="BG41" s="123"/>
      <c r="BH41" s="123"/>
      <c r="BI41" s="123"/>
      <c r="BJ41" s="124"/>
      <c r="BK41" s="4"/>
    </row>
    <row r="42" spans="1:63" ht="15" customHeight="1" x14ac:dyDescent="0.25">
      <c r="A42" s="1"/>
      <c r="B42" s="81"/>
      <c r="C42" s="82"/>
      <c r="D42" s="82"/>
      <c r="E42" s="82"/>
      <c r="F42" s="82"/>
      <c r="G42" s="83"/>
      <c r="H42" s="81"/>
      <c r="I42" s="82"/>
      <c r="J42" s="82"/>
      <c r="K42" s="82"/>
      <c r="L42" s="82"/>
      <c r="M42" s="82"/>
      <c r="N42" s="83"/>
      <c r="O42" s="81"/>
      <c r="P42" s="82"/>
      <c r="Q42" s="82"/>
      <c r="R42" s="82"/>
      <c r="S42" s="129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1"/>
      <c r="AX42" s="125"/>
      <c r="AY42" s="125"/>
      <c r="AZ42" s="125"/>
      <c r="BA42" s="125"/>
      <c r="BB42" s="125"/>
      <c r="BC42" s="126"/>
      <c r="BD42" s="128"/>
      <c r="BE42" s="125"/>
      <c r="BF42" s="125"/>
      <c r="BG42" s="125"/>
      <c r="BH42" s="125"/>
      <c r="BI42" s="125"/>
      <c r="BJ42" s="126"/>
      <c r="BK42" s="4"/>
    </row>
    <row r="43" spans="1:63" ht="15" customHeight="1" x14ac:dyDescent="0.25">
      <c r="A43" s="1"/>
      <c r="B43" s="75"/>
      <c r="C43" s="76"/>
      <c r="D43" s="76"/>
      <c r="E43" s="76"/>
      <c r="F43" s="76"/>
      <c r="G43" s="77"/>
      <c r="H43" s="75"/>
      <c r="I43" s="76"/>
      <c r="J43" s="76"/>
      <c r="K43" s="76"/>
      <c r="L43" s="76"/>
      <c r="M43" s="76"/>
      <c r="N43" s="77"/>
      <c r="O43" s="75"/>
      <c r="P43" s="76"/>
      <c r="Q43" s="76"/>
      <c r="R43" s="76"/>
      <c r="S43" s="120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2"/>
      <c r="AX43" s="123"/>
      <c r="AY43" s="123"/>
      <c r="AZ43" s="123"/>
      <c r="BA43" s="123"/>
      <c r="BB43" s="123"/>
      <c r="BC43" s="124"/>
      <c r="BD43" s="127"/>
      <c r="BE43" s="123"/>
      <c r="BF43" s="123"/>
      <c r="BG43" s="123"/>
      <c r="BH43" s="123"/>
      <c r="BI43" s="123"/>
      <c r="BJ43" s="124"/>
      <c r="BK43" s="4"/>
    </row>
    <row r="44" spans="1:63" ht="15" customHeight="1" x14ac:dyDescent="0.25">
      <c r="A44" s="1"/>
      <c r="B44" s="81"/>
      <c r="C44" s="82"/>
      <c r="D44" s="82"/>
      <c r="E44" s="82"/>
      <c r="F44" s="82"/>
      <c r="G44" s="83"/>
      <c r="H44" s="81"/>
      <c r="I44" s="82"/>
      <c r="J44" s="82"/>
      <c r="K44" s="82"/>
      <c r="L44" s="82"/>
      <c r="M44" s="82"/>
      <c r="N44" s="83"/>
      <c r="O44" s="81"/>
      <c r="P44" s="82"/>
      <c r="Q44" s="82"/>
      <c r="R44" s="82"/>
      <c r="S44" s="129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1"/>
      <c r="AX44" s="125"/>
      <c r="AY44" s="125"/>
      <c r="AZ44" s="125"/>
      <c r="BA44" s="125"/>
      <c r="BB44" s="125"/>
      <c r="BC44" s="126"/>
      <c r="BD44" s="128"/>
      <c r="BE44" s="125"/>
      <c r="BF44" s="125"/>
      <c r="BG44" s="125"/>
      <c r="BH44" s="125"/>
      <c r="BI44" s="125"/>
      <c r="BJ44" s="126"/>
      <c r="BK44" s="4"/>
    </row>
    <row r="45" spans="1:63" ht="15" customHeight="1" x14ac:dyDescent="0.25">
      <c r="A45" s="1"/>
      <c r="B45" s="75"/>
      <c r="C45" s="76"/>
      <c r="D45" s="76"/>
      <c r="E45" s="76"/>
      <c r="F45" s="76"/>
      <c r="G45" s="77"/>
      <c r="H45" s="75"/>
      <c r="I45" s="76"/>
      <c r="J45" s="76"/>
      <c r="K45" s="76"/>
      <c r="L45" s="76"/>
      <c r="M45" s="76"/>
      <c r="N45" s="77"/>
      <c r="O45" s="75"/>
      <c r="P45" s="76"/>
      <c r="Q45" s="76"/>
      <c r="R45" s="76"/>
      <c r="S45" s="120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2"/>
      <c r="AX45" s="123"/>
      <c r="AY45" s="123"/>
      <c r="AZ45" s="123"/>
      <c r="BA45" s="123"/>
      <c r="BB45" s="123"/>
      <c r="BC45" s="124"/>
      <c r="BD45" s="127"/>
      <c r="BE45" s="123"/>
      <c r="BF45" s="123"/>
      <c r="BG45" s="123"/>
      <c r="BH45" s="123"/>
      <c r="BI45" s="123"/>
      <c r="BJ45" s="124"/>
      <c r="BK45" s="4"/>
    </row>
    <row r="46" spans="1:63" ht="15" customHeight="1" x14ac:dyDescent="0.25">
      <c r="A46" s="1"/>
      <c r="B46" s="81"/>
      <c r="C46" s="82"/>
      <c r="D46" s="82"/>
      <c r="E46" s="82"/>
      <c r="F46" s="82"/>
      <c r="G46" s="83"/>
      <c r="H46" s="81"/>
      <c r="I46" s="82"/>
      <c r="J46" s="82"/>
      <c r="K46" s="82"/>
      <c r="L46" s="82"/>
      <c r="M46" s="82"/>
      <c r="N46" s="83"/>
      <c r="O46" s="81"/>
      <c r="P46" s="82"/>
      <c r="Q46" s="82"/>
      <c r="R46" s="82"/>
      <c r="S46" s="129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1"/>
      <c r="AX46" s="125"/>
      <c r="AY46" s="125"/>
      <c r="AZ46" s="125"/>
      <c r="BA46" s="125"/>
      <c r="BB46" s="125"/>
      <c r="BC46" s="126"/>
      <c r="BD46" s="128"/>
      <c r="BE46" s="125"/>
      <c r="BF46" s="125"/>
      <c r="BG46" s="125"/>
      <c r="BH46" s="125"/>
      <c r="BI46" s="125"/>
      <c r="BJ46" s="126"/>
      <c r="BK46" s="4"/>
    </row>
    <row r="47" spans="1:63" ht="15" customHeight="1" x14ac:dyDescent="0.25">
      <c r="A47" s="1"/>
      <c r="B47" s="75"/>
      <c r="C47" s="76"/>
      <c r="D47" s="76"/>
      <c r="E47" s="76"/>
      <c r="F47" s="76"/>
      <c r="G47" s="77"/>
      <c r="H47" s="75"/>
      <c r="I47" s="76"/>
      <c r="J47" s="76"/>
      <c r="K47" s="76"/>
      <c r="L47" s="76"/>
      <c r="M47" s="76"/>
      <c r="N47" s="77"/>
      <c r="O47" s="75"/>
      <c r="P47" s="76"/>
      <c r="Q47" s="76"/>
      <c r="R47" s="76"/>
      <c r="S47" s="120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2"/>
      <c r="AX47" s="123"/>
      <c r="AY47" s="123"/>
      <c r="AZ47" s="123"/>
      <c r="BA47" s="123"/>
      <c r="BB47" s="123"/>
      <c r="BC47" s="124"/>
      <c r="BD47" s="127"/>
      <c r="BE47" s="123"/>
      <c r="BF47" s="123"/>
      <c r="BG47" s="123"/>
      <c r="BH47" s="123"/>
      <c r="BI47" s="123"/>
      <c r="BJ47" s="124"/>
      <c r="BK47" s="4"/>
    </row>
    <row r="48" spans="1:63" ht="15" customHeight="1" x14ac:dyDescent="0.25">
      <c r="A48" s="1"/>
      <c r="B48" s="81"/>
      <c r="C48" s="82"/>
      <c r="D48" s="82"/>
      <c r="E48" s="82"/>
      <c r="F48" s="82"/>
      <c r="G48" s="83"/>
      <c r="H48" s="81"/>
      <c r="I48" s="82"/>
      <c r="J48" s="82"/>
      <c r="K48" s="82"/>
      <c r="L48" s="82"/>
      <c r="M48" s="82"/>
      <c r="N48" s="83"/>
      <c r="O48" s="81"/>
      <c r="P48" s="82"/>
      <c r="Q48" s="82"/>
      <c r="R48" s="82"/>
      <c r="S48" s="129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1"/>
      <c r="AX48" s="125"/>
      <c r="AY48" s="125"/>
      <c r="AZ48" s="125"/>
      <c r="BA48" s="125"/>
      <c r="BB48" s="125"/>
      <c r="BC48" s="126"/>
      <c r="BD48" s="128"/>
      <c r="BE48" s="125"/>
      <c r="BF48" s="125"/>
      <c r="BG48" s="125"/>
      <c r="BH48" s="125"/>
      <c r="BI48" s="125"/>
      <c r="BJ48" s="126"/>
      <c r="BK48" s="4"/>
    </row>
    <row r="49" spans="1:63" ht="15" customHeight="1" x14ac:dyDescent="0.25">
      <c r="A49" s="1"/>
      <c r="B49" s="75"/>
      <c r="C49" s="76"/>
      <c r="D49" s="76"/>
      <c r="E49" s="76"/>
      <c r="F49" s="76"/>
      <c r="G49" s="77"/>
      <c r="H49" s="75"/>
      <c r="I49" s="76"/>
      <c r="J49" s="76"/>
      <c r="K49" s="76"/>
      <c r="L49" s="76"/>
      <c r="M49" s="76"/>
      <c r="N49" s="77"/>
      <c r="O49" s="75"/>
      <c r="P49" s="76"/>
      <c r="Q49" s="76"/>
      <c r="R49" s="76"/>
      <c r="S49" s="120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2"/>
      <c r="AX49" s="123"/>
      <c r="AY49" s="123"/>
      <c r="AZ49" s="123"/>
      <c r="BA49" s="123"/>
      <c r="BB49" s="123"/>
      <c r="BC49" s="124"/>
      <c r="BD49" s="127"/>
      <c r="BE49" s="123"/>
      <c r="BF49" s="123"/>
      <c r="BG49" s="123"/>
      <c r="BH49" s="123"/>
      <c r="BI49" s="123"/>
      <c r="BJ49" s="124"/>
      <c r="BK49" s="4"/>
    </row>
    <row r="50" spans="1:63" ht="15" customHeight="1" x14ac:dyDescent="0.25">
      <c r="A50" s="1"/>
      <c r="B50" s="81"/>
      <c r="C50" s="82"/>
      <c r="D50" s="82"/>
      <c r="E50" s="82"/>
      <c r="F50" s="82"/>
      <c r="G50" s="83"/>
      <c r="H50" s="81"/>
      <c r="I50" s="82"/>
      <c r="J50" s="82"/>
      <c r="K50" s="82"/>
      <c r="L50" s="82"/>
      <c r="M50" s="82"/>
      <c r="N50" s="83"/>
      <c r="O50" s="81"/>
      <c r="P50" s="82"/>
      <c r="Q50" s="82"/>
      <c r="R50" s="82"/>
      <c r="S50" s="129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1"/>
      <c r="AX50" s="125"/>
      <c r="AY50" s="125"/>
      <c r="AZ50" s="125"/>
      <c r="BA50" s="125"/>
      <c r="BB50" s="125"/>
      <c r="BC50" s="126"/>
      <c r="BD50" s="128"/>
      <c r="BE50" s="125"/>
      <c r="BF50" s="125"/>
      <c r="BG50" s="125"/>
      <c r="BH50" s="125"/>
      <c r="BI50" s="125"/>
      <c r="BJ50" s="126"/>
      <c r="BK50" s="4"/>
    </row>
    <row r="51" spans="1:63" ht="15" customHeight="1" x14ac:dyDescent="0.25">
      <c r="A51" s="1"/>
      <c r="B51" s="75"/>
      <c r="C51" s="76"/>
      <c r="D51" s="76"/>
      <c r="E51" s="76"/>
      <c r="F51" s="76"/>
      <c r="G51" s="77"/>
      <c r="H51" s="75"/>
      <c r="I51" s="76"/>
      <c r="J51" s="76"/>
      <c r="K51" s="76"/>
      <c r="L51" s="76"/>
      <c r="M51" s="76"/>
      <c r="N51" s="77"/>
      <c r="O51" s="75"/>
      <c r="P51" s="76"/>
      <c r="Q51" s="76"/>
      <c r="R51" s="76"/>
      <c r="S51" s="120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2"/>
      <c r="AX51" s="123"/>
      <c r="AY51" s="123"/>
      <c r="AZ51" s="123"/>
      <c r="BA51" s="123"/>
      <c r="BB51" s="123"/>
      <c r="BC51" s="124"/>
      <c r="BD51" s="127"/>
      <c r="BE51" s="123"/>
      <c r="BF51" s="123"/>
      <c r="BG51" s="123"/>
      <c r="BH51" s="123"/>
      <c r="BI51" s="123"/>
      <c r="BJ51" s="124"/>
      <c r="BK51" s="4"/>
    </row>
    <row r="52" spans="1:63" ht="15" customHeight="1" x14ac:dyDescent="0.25">
      <c r="A52" s="1"/>
      <c r="B52" s="81"/>
      <c r="C52" s="82"/>
      <c r="D52" s="82"/>
      <c r="E52" s="82"/>
      <c r="F52" s="82"/>
      <c r="G52" s="83"/>
      <c r="H52" s="81"/>
      <c r="I52" s="82"/>
      <c r="J52" s="82"/>
      <c r="K52" s="82"/>
      <c r="L52" s="82"/>
      <c r="M52" s="82"/>
      <c r="N52" s="83"/>
      <c r="O52" s="81"/>
      <c r="P52" s="82"/>
      <c r="Q52" s="82"/>
      <c r="R52" s="82"/>
      <c r="S52" s="129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1"/>
      <c r="AX52" s="125"/>
      <c r="AY52" s="125"/>
      <c r="AZ52" s="125"/>
      <c r="BA52" s="125"/>
      <c r="BB52" s="125"/>
      <c r="BC52" s="126"/>
      <c r="BD52" s="128"/>
      <c r="BE52" s="125"/>
      <c r="BF52" s="125"/>
      <c r="BG52" s="125"/>
      <c r="BH52" s="125"/>
      <c r="BI52" s="125"/>
      <c r="BJ52" s="126"/>
      <c r="BK52" s="4"/>
    </row>
    <row r="53" spans="1:63" ht="15" customHeight="1" x14ac:dyDescent="0.25">
      <c r="A53" s="1"/>
      <c r="B53" s="75"/>
      <c r="C53" s="76"/>
      <c r="D53" s="76"/>
      <c r="E53" s="76"/>
      <c r="F53" s="76"/>
      <c r="G53" s="77"/>
      <c r="H53" s="75"/>
      <c r="I53" s="76"/>
      <c r="J53" s="76"/>
      <c r="K53" s="76"/>
      <c r="L53" s="76"/>
      <c r="M53" s="76"/>
      <c r="N53" s="77"/>
      <c r="O53" s="75"/>
      <c r="P53" s="76"/>
      <c r="Q53" s="76"/>
      <c r="R53" s="76"/>
      <c r="S53" s="120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2"/>
      <c r="AX53" s="123"/>
      <c r="AY53" s="123"/>
      <c r="AZ53" s="123"/>
      <c r="BA53" s="123"/>
      <c r="BB53" s="123"/>
      <c r="BC53" s="124"/>
      <c r="BD53" s="127"/>
      <c r="BE53" s="123"/>
      <c r="BF53" s="123"/>
      <c r="BG53" s="123"/>
      <c r="BH53" s="123"/>
      <c r="BI53" s="123"/>
      <c r="BJ53" s="124"/>
      <c r="BK53" s="4"/>
    </row>
    <row r="54" spans="1:63" ht="15" customHeight="1" x14ac:dyDescent="0.25">
      <c r="A54" s="1"/>
      <c r="B54" s="81"/>
      <c r="C54" s="82"/>
      <c r="D54" s="82"/>
      <c r="E54" s="82"/>
      <c r="F54" s="82"/>
      <c r="G54" s="83"/>
      <c r="H54" s="81"/>
      <c r="I54" s="82"/>
      <c r="J54" s="82"/>
      <c r="K54" s="82"/>
      <c r="L54" s="82"/>
      <c r="M54" s="82"/>
      <c r="N54" s="83"/>
      <c r="O54" s="81"/>
      <c r="P54" s="82"/>
      <c r="Q54" s="82"/>
      <c r="R54" s="82"/>
      <c r="S54" s="129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1"/>
      <c r="AX54" s="125"/>
      <c r="AY54" s="125"/>
      <c r="AZ54" s="125"/>
      <c r="BA54" s="125"/>
      <c r="BB54" s="125"/>
      <c r="BC54" s="126"/>
      <c r="BD54" s="128"/>
      <c r="BE54" s="125"/>
      <c r="BF54" s="125"/>
      <c r="BG54" s="125"/>
      <c r="BH54" s="125"/>
      <c r="BI54" s="125"/>
      <c r="BJ54" s="126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B15:G16"/>
    <mergeCell ref="H15:N16"/>
    <mergeCell ref="O15:R16"/>
    <mergeCell ref="S15:AW15"/>
    <mergeCell ref="AX15:BC16"/>
    <mergeCell ref="BD15:BJ16"/>
    <mergeCell ref="S16:AW16"/>
    <mergeCell ref="O17:R18"/>
    <mergeCell ref="S17:AW17"/>
    <mergeCell ref="AX17:BC18"/>
    <mergeCell ref="BD17:BJ18"/>
    <mergeCell ref="S18:AW18"/>
    <mergeCell ref="B17:G18"/>
    <mergeCell ref="H17:N18"/>
    <mergeCell ref="B19:G20"/>
    <mergeCell ref="H19:N20"/>
    <mergeCell ref="O19:R20"/>
    <mergeCell ref="S19:AW19"/>
    <mergeCell ref="AX19:BC20"/>
    <mergeCell ref="BD19:BJ20"/>
    <mergeCell ref="S20:AW20"/>
    <mergeCell ref="B21:G22"/>
    <mergeCell ref="H21:N22"/>
    <mergeCell ref="O21:R22"/>
    <mergeCell ref="S21:AW21"/>
    <mergeCell ref="AX21:BC22"/>
    <mergeCell ref="BD21:BJ22"/>
    <mergeCell ref="S22:AW22"/>
    <mergeCell ref="B23:G24"/>
    <mergeCell ref="H23:N24"/>
    <mergeCell ref="O23:R24"/>
    <mergeCell ref="S23:AW23"/>
    <mergeCell ref="AX23:BC24"/>
    <mergeCell ref="BD23:BJ24"/>
    <mergeCell ref="S24:AW24"/>
    <mergeCell ref="B25:G26"/>
    <mergeCell ref="H25:N26"/>
    <mergeCell ref="O25:R26"/>
    <mergeCell ref="S25:AW25"/>
    <mergeCell ref="AX25:BC26"/>
    <mergeCell ref="BD25:BJ26"/>
    <mergeCell ref="S26:AW26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9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55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2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11" t="str">
        <f>IF(表紙!W1="","",表紙!W1)</f>
        <v>基本設計書</v>
      </c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3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3" ht="15" customHeight="1" x14ac:dyDescent="0.25">
      <c r="A2" s="75" t="str">
        <f>IF(表紙!A2="","",表紙!A2)</f>
        <v>POSサーバー</v>
      </c>
      <c r="B2" s="76"/>
      <c r="C2" s="76"/>
      <c r="D2" s="76"/>
      <c r="E2" s="76"/>
      <c r="F2" s="76"/>
      <c r="G2" s="76"/>
      <c r="H2" s="76"/>
      <c r="I2" s="76"/>
      <c r="J2" s="77"/>
      <c r="K2" s="75" t="str">
        <f>IF(表紙!K2="","",表紙!K2)</f>
        <v>POSサーバ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114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75" t="str">
        <f>IF(表紙!AP2="","",表紙!AP2)</f>
        <v>AnhNM</v>
      </c>
      <c r="AQ2" s="76"/>
      <c r="AR2" s="76"/>
      <c r="AS2" s="77"/>
      <c r="AT2" s="104">
        <v>45084</v>
      </c>
      <c r="AU2" s="105"/>
      <c r="AV2" s="105"/>
      <c r="AW2" s="105"/>
      <c r="AX2" s="106"/>
      <c r="AY2" s="75" t="str">
        <f>IF(表紙!AY2="","",表紙!AY2)</f>
        <v>AnhNM</v>
      </c>
      <c r="AZ2" s="76"/>
      <c r="BA2" s="76"/>
      <c r="BB2" s="77"/>
      <c r="BC2" s="104">
        <f>IF(表紙!BC2="","",表紙!BC2)</f>
        <v>45560</v>
      </c>
      <c r="BD2" s="105"/>
      <c r="BE2" s="105"/>
      <c r="BF2" s="105"/>
      <c r="BG2" s="106"/>
      <c r="BH2" s="75">
        <f>IF(表紙!BH2="","",表紙!BH2)</f>
        <v>0.6</v>
      </c>
      <c r="BI2" s="76"/>
      <c r="BJ2" s="76"/>
      <c r="BK2" s="77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81"/>
      <c r="AQ3" s="82"/>
      <c r="AR3" s="82"/>
      <c r="AS3" s="83"/>
      <c r="AT3" s="107"/>
      <c r="AU3" s="108"/>
      <c r="AV3" s="108"/>
      <c r="AW3" s="108"/>
      <c r="AX3" s="109"/>
      <c r="AY3" s="81"/>
      <c r="AZ3" s="82"/>
      <c r="BA3" s="82"/>
      <c r="BB3" s="83"/>
      <c r="BC3" s="107"/>
      <c r="BD3" s="108"/>
      <c r="BE3" s="108"/>
      <c r="BF3" s="108"/>
      <c r="BG3" s="109"/>
      <c r="BH3" s="81"/>
      <c r="BI3" s="82"/>
      <c r="BJ3" s="82"/>
      <c r="BK3" s="83"/>
    </row>
    <row r="4" spans="1:63" ht="24.95" customHeight="1" x14ac:dyDescent="0.25">
      <c r="A4" s="90" t="s">
        <v>97</v>
      </c>
      <c r="B4" s="91"/>
      <c r="C4" s="91"/>
      <c r="D4" s="91"/>
      <c r="E4" s="91"/>
      <c r="F4" s="91"/>
      <c r="G4" s="92"/>
      <c r="H4" s="95" t="str">
        <f>IF(表紙!H4="","",表紙!H4)</f>
        <v>11_部門別売上速報/日報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90" t="s">
        <v>8</v>
      </c>
      <c r="V4" s="91"/>
      <c r="W4" s="91"/>
      <c r="X4" s="91"/>
      <c r="Y4" s="92"/>
      <c r="Z4" s="95" t="str">
        <f>IF(表紙!Z4="","",表紙!Z4)</f>
        <v>概要設計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業務フロー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20"/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3"/>
      <c r="AF6" s="21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3"/>
      <c r="BJ6" s="22"/>
      <c r="BK6" s="24"/>
    </row>
    <row r="7" spans="1:63" ht="15" customHeight="1" x14ac:dyDescent="0.25">
      <c r="A7" s="20"/>
      <c r="B7" s="25" t="s">
        <v>16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26"/>
      <c r="AF7" s="25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26"/>
      <c r="BJ7" s="18"/>
      <c r="BK7" s="24"/>
    </row>
    <row r="8" spans="1:63" ht="15" customHeight="1" x14ac:dyDescent="0.25">
      <c r="A8" s="20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/>
      <c r="AF8" s="21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3"/>
      <c r="BJ8" s="22"/>
      <c r="BK8" s="24"/>
    </row>
    <row r="9" spans="1:63" ht="15" customHeight="1" x14ac:dyDescent="0.25">
      <c r="A9" s="20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/>
      <c r="AF9" s="21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3"/>
      <c r="BJ9" s="22"/>
      <c r="BK9" s="24"/>
    </row>
    <row r="10" spans="1:63" ht="15" customHeight="1" x14ac:dyDescent="0.25">
      <c r="A10" s="20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/>
      <c r="AF10" s="21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3"/>
      <c r="BJ10" s="22"/>
      <c r="BK10" s="24"/>
    </row>
    <row r="11" spans="1:63" ht="15" customHeight="1" x14ac:dyDescent="0.25">
      <c r="A11" s="20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/>
      <c r="AF11" s="21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3"/>
      <c r="BJ11" s="22"/>
      <c r="BK11" s="24"/>
    </row>
    <row r="12" spans="1:63" ht="15" customHeight="1" x14ac:dyDescent="0.25">
      <c r="A12" s="20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/>
      <c r="AF12" s="21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3"/>
      <c r="BJ12" s="22"/>
      <c r="BK12" s="24"/>
    </row>
    <row r="13" spans="1:63" ht="15" customHeight="1" x14ac:dyDescent="0.25">
      <c r="A13" s="20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/>
      <c r="AF13" s="21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3"/>
      <c r="BJ13" s="22"/>
      <c r="BK13" s="24"/>
    </row>
    <row r="14" spans="1:63" ht="15" customHeight="1" x14ac:dyDescent="0.25">
      <c r="A14" s="20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/>
      <c r="AF14" s="21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  <c r="BJ14" s="22"/>
      <c r="BK14" s="24"/>
    </row>
    <row r="15" spans="1:63" ht="15" customHeight="1" x14ac:dyDescent="0.25">
      <c r="A15" s="20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/>
      <c r="AF15" s="21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  <c r="BJ15" s="22"/>
      <c r="BK15" s="24"/>
    </row>
    <row r="16" spans="1:63" ht="15" customHeight="1" x14ac:dyDescent="0.25">
      <c r="A16" s="20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3"/>
      <c r="AF16" s="21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3"/>
      <c r="BJ16" s="22"/>
      <c r="BK16" s="24"/>
    </row>
    <row r="17" spans="1:63" ht="15" customHeight="1" x14ac:dyDescent="0.25">
      <c r="A17" s="20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/>
      <c r="AF17" s="21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3"/>
      <c r="BJ17" s="22"/>
      <c r="BK17" s="24"/>
    </row>
    <row r="18" spans="1:63" ht="15" customHeight="1" x14ac:dyDescent="0.25">
      <c r="A18" s="20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/>
      <c r="AF18" s="21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3"/>
      <c r="BJ18" s="22"/>
      <c r="BK18" s="24"/>
    </row>
    <row r="19" spans="1:63" ht="15" customHeight="1" x14ac:dyDescent="0.25">
      <c r="A19" s="20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/>
      <c r="AF19" s="21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3"/>
      <c r="BJ19" s="22"/>
      <c r="BK19" s="24"/>
    </row>
    <row r="20" spans="1:63" ht="15" customHeight="1" x14ac:dyDescent="0.25">
      <c r="A20" s="20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/>
      <c r="AF20" s="21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3"/>
      <c r="BJ20" s="22"/>
      <c r="BK20" s="24"/>
    </row>
    <row r="21" spans="1:63" ht="15" customHeight="1" x14ac:dyDescent="0.25">
      <c r="A21" s="20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/>
      <c r="AF21" s="21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3"/>
      <c r="BJ21" s="22"/>
      <c r="BK21" s="24"/>
    </row>
    <row r="22" spans="1:63" ht="15" customHeight="1" x14ac:dyDescent="0.25">
      <c r="A22" s="20"/>
      <c r="B22" s="25" t="s">
        <v>17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26"/>
      <c r="AF22" s="25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26"/>
      <c r="BJ22" s="18"/>
      <c r="BK22" s="24"/>
    </row>
    <row r="23" spans="1:63" ht="15" customHeight="1" x14ac:dyDescent="0.25">
      <c r="A23" s="20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3"/>
      <c r="AF23" s="21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3"/>
      <c r="BJ23" s="22"/>
      <c r="BK23" s="24"/>
    </row>
    <row r="24" spans="1:63" ht="15" customHeight="1" x14ac:dyDescent="0.25">
      <c r="A24" s="20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3"/>
      <c r="AF24" s="21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3"/>
      <c r="BJ24" s="22"/>
      <c r="BK24" s="24"/>
    </row>
    <row r="25" spans="1:63" ht="15" customHeight="1" x14ac:dyDescent="0.25">
      <c r="A25" s="20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3"/>
      <c r="AF25" s="21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3"/>
      <c r="BJ25" s="22"/>
      <c r="BK25" s="24"/>
    </row>
    <row r="26" spans="1:63" ht="15" customHeight="1" x14ac:dyDescent="0.25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/>
      <c r="AF26" s="21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3"/>
      <c r="BJ26" s="22"/>
      <c r="BK26" s="24"/>
    </row>
    <row r="27" spans="1:63" ht="15" customHeight="1" x14ac:dyDescent="0.25">
      <c r="A27" s="20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3"/>
      <c r="AF27" s="21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3"/>
      <c r="BJ27" s="22"/>
      <c r="BK27" s="24"/>
    </row>
    <row r="28" spans="1:63" ht="15" customHeight="1" x14ac:dyDescent="0.25">
      <c r="A28" s="20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3"/>
      <c r="AF28" s="21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3"/>
      <c r="BJ28" s="22"/>
      <c r="BK28" s="24"/>
    </row>
    <row r="29" spans="1:63" ht="15" customHeight="1" x14ac:dyDescent="0.25">
      <c r="A29" s="20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3"/>
      <c r="AF29" s="21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3"/>
      <c r="BJ29" s="22"/>
      <c r="BK29" s="24"/>
    </row>
    <row r="30" spans="1:63" ht="15" customHeight="1" x14ac:dyDescent="0.25">
      <c r="A30" s="20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3"/>
      <c r="AF30" s="21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3"/>
      <c r="BJ30" s="22"/>
      <c r="BK30" s="24"/>
    </row>
    <row r="31" spans="1:63" ht="15" customHeight="1" x14ac:dyDescent="0.25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/>
      <c r="AF31" s="21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3"/>
      <c r="BJ31" s="22"/>
      <c r="BK31" s="24"/>
    </row>
    <row r="32" spans="1:63" ht="15" customHeight="1" x14ac:dyDescent="0.25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/>
      <c r="AF32" s="21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3"/>
      <c r="BJ32" s="22"/>
      <c r="BK32" s="24"/>
    </row>
    <row r="33" spans="1:63" ht="15" customHeight="1" x14ac:dyDescent="0.25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3"/>
      <c r="AF33" s="21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3"/>
      <c r="BJ33" s="22"/>
      <c r="BK33" s="24"/>
    </row>
    <row r="34" spans="1:63" ht="15" customHeight="1" x14ac:dyDescent="0.25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3"/>
      <c r="AF34" s="21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3"/>
      <c r="BJ34" s="22"/>
      <c r="BK34" s="24"/>
    </row>
    <row r="35" spans="1:63" ht="15" customHeight="1" x14ac:dyDescent="0.25">
      <c r="A35" s="20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/>
      <c r="AF35" s="21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3"/>
      <c r="BJ35" s="22"/>
      <c r="BK35" s="24"/>
    </row>
    <row r="36" spans="1:63" ht="15" customHeight="1" x14ac:dyDescent="0.25">
      <c r="A36" s="20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3"/>
      <c r="AF36" s="21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3"/>
      <c r="BJ36" s="22"/>
      <c r="BK36" s="24"/>
    </row>
    <row r="37" spans="1:63" ht="15" customHeight="1" x14ac:dyDescent="0.25">
      <c r="A37" s="20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1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3"/>
      <c r="BJ37" s="22"/>
      <c r="BK37" s="24"/>
    </row>
    <row r="38" spans="1:63" ht="15" customHeight="1" x14ac:dyDescent="0.25">
      <c r="A38" s="20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1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3"/>
      <c r="BJ38" s="22"/>
      <c r="BK38" s="24"/>
    </row>
    <row r="39" spans="1:63" ht="15" customHeight="1" x14ac:dyDescent="0.25">
      <c r="A39" s="20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1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3"/>
      <c r="BJ39" s="22"/>
      <c r="BK39" s="24"/>
    </row>
    <row r="40" spans="1:63" ht="15" customHeight="1" x14ac:dyDescent="0.25">
      <c r="A40" s="20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1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3"/>
      <c r="BJ40" s="22"/>
      <c r="BK40" s="24"/>
    </row>
    <row r="41" spans="1:63" ht="15" customHeight="1" x14ac:dyDescent="0.25">
      <c r="A41" s="20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1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3"/>
      <c r="BJ41" s="22"/>
      <c r="BK41" s="24"/>
    </row>
    <row r="42" spans="1:63" ht="15" customHeight="1" x14ac:dyDescent="0.25">
      <c r="A42" s="20"/>
      <c r="B42" s="25" t="s">
        <v>18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26"/>
      <c r="AF42" s="25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26"/>
      <c r="BJ42" s="18"/>
      <c r="BK42" s="24"/>
    </row>
    <row r="43" spans="1:63" ht="15" customHeight="1" x14ac:dyDescent="0.25">
      <c r="A43" s="20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3"/>
      <c r="AF43" s="21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3"/>
      <c r="BJ43" s="22"/>
      <c r="BK43" s="24"/>
    </row>
    <row r="44" spans="1:63" ht="15" customHeight="1" x14ac:dyDescent="0.25">
      <c r="A44" s="20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3"/>
      <c r="AF44" s="21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3"/>
      <c r="BJ44" s="22"/>
      <c r="BK44" s="24"/>
    </row>
    <row r="45" spans="1:63" ht="15" customHeight="1" x14ac:dyDescent="0.25">
      <c r="A45" s="20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3"/>
      <c r="AF45" s="21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3"/>
      <c r="BJ45" s="22"/>
      <c r="BK45" s="24"/>
    </row>
    <row r="46" spans="1:63" ht="15" customHeight="1" x14ac:dyDescent="0.25">
      <c r="A46" s="20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3"/>
      <c r="AF46" s="21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3"/>
      <c r="BJ46" s="22"/>
      <c r="BK46" s="24"/>
    </row>
    <row r="47" spans="1:63" ht="15" customHeight="1" x14ac:dyDescent="0.25">
      <c r="A47" s="20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3"/>
      <c r="AF47" s="21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3"/>
      <c r="BJ47" s="22"/>
      <c r="BK47" s="24"/>
    </row>
    <row r="48" spans="1:63" ht="15" customHeight="1" x14ac:dyDescent="0.25">
      <c r="A48" s="20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3"/>
      <c r="AF48" s="21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3"/>
      <c r="BJ48" s="22"/>
      <c r="BK48" s="24"/>
    </row>
    <row r="49" spans="1:63" ht="15" customHeight="1" x14ac:dyDescent="0.25">
      <c r="A49" s="20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1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3"/>
      <c r="BJ49" s="22"/>
      <c r="BK49" s="24"/>
    </row>
    <row r="50" spans="1:63" ht="15" customHeight="1" x14ac:dyDescent="0.25">
      <c r="A50" s="20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1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3"/>
      <c r="BJ50" s="22"/>
      <c r="BK50" s="24"/>
    </row>
    <row r="51" spans="1:63" ht="15" customHeight="1" x14ac:dyDescent="0.25">
      <c r="A51" s="20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1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3"/>
      <c r="BJ51" s="22"/>
      <c r="BK51" s="24"/>
    </row>
    <row r="52" spans="1:63" ht="15" customHeight="1" x14ac:dyDescent="0.25">
      <c r="A52" s="20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1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3"/>
      <c r="BJ52" s="22"/>
      <c r="BK52" s="24"/>
    </row>
    <row r="53" spans="1:63" ht="15" customHeight="1" x14ac:dyDescent="0.25">
      <c r="A53" s="20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1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3"/>
      <c r="BJ53" s="22"/>
      <c r="BK53" s="24"/>
    </row>
    <row r="54" spans="1:63" ht="15" customHeight="1" x14ac:dyDescent="0.25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1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3"/>
      <c r="BJ54" s="22"/>
      <c r="BK54" s="24"/>
    </row>
    <row r="55" spans="1:63" ht="15" customHeight="1" x14ac:dyDescent="0.25">
      <c r="A55" s="28"/>
      <c r="B55" s="27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9"/>
      <c r="AF55" s="27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9"/>
      <c r="BJ55" s="28"/>
      <c r="BK55" s="3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26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customWidth="1"/>
  </cols>
  <sheetData>
    <row r="1" spans="1:65" ht="24.95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2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11" t="str">
        <f>IF(表紙!W1="","",表紙!W1)</f>
        <v>基本設計書</v>
      </c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3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5" ht="15" customHeight="1" x14ac:dyDescent="0.25">
      <c r="A2" s="75" t="str">
        <f>IF(表紙!A2="","",表紙!A2)</f>
        <v>POSサーバー</v>
      </c>
      <c r="B2" s="76"/>
      <c r="C2" s="76"/>
      <c r="D2" s="76"/>
      <c r="E2" s="76"/>
      <c r="F2" s="76"/>
      <c r="G2" s="76"/>
      <c r="H2" s="76"/>
      <c r="I2" s="76"/>
      <c r="J2" s="77"/>
      <c r="K2" s="75" t="str">
        <f>IF(表紙!K2="","",表紙!K2)</f>
        <v>POSサーバ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114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75" t="str">
        <f>IF(表紙!AP2="","",表紙!AP2)</f>
        <v>AnhNM</v>
      </c>
      <c r="AQ2" s="76"/>
      <c r="AR2" s="76"/>
      <c r="AS2" s="77"/>
      <c r="AT2" s="104">
        <f>IF(表紙!AT2="","",表紙!AT2)</f>
        <v>45416</v>
      </c>
      <c r="AU2" s="105"/>
      <c r="AV2" s="105"/>
      <c r="AW2" s="105"/>
      <c r="AX2" s="106"/>
      <c r="AY2" s="75" t="str">
        <f>IF(表紙!AY2="","",表紙!AY2)</f>
        <v>AnhNM</v>
      </c>
      <c r="AZ2" s="76"/>
      <c r="BA2" s="76"/>
      <c r="BB2" s="77"/>
      <c r="BC2" s="104">
        <f>IF(表紙!BC2="","",表紙!BC2)</f>
        <v>45560</v>
      </c>
      <c r="BD2" s="105"/>
      <c r="BE2" s="105"/>
      <c r="BF2" s="105"/>
      <c r="BG2" s="106"/>
      <c r="BH2" s="75">
        <f>IF(表紙!BH2="","",表紙!BH2)</f>
        <v>0.6</v>
      </c>
      <c r="BI2" s="76"/>
      <c r="BJ2" s="76"/>
      <c r="BK2" s="77"/>
    </row>
    <row r="3" spans="1:65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81"/>
      <c r="AQ3" s="82"/>
      <c r="AR3" s="82"/>
      <c r="AS3" s="83"/>
      <c r="AT3" s="107"/>
      <c r="AU3" s="108"/>
      <c r="AV3" s="108"/>
      <c r="AW3" s="108"/>
      <c r="AX3" s="109"/>
      <c r="AY3" s="81"/>
      <c r="AZ3" s="82"/>
      <c r="BA3" s="82"/>
      <c r="BB3" s="83"/>
      <c r="BC3" s="107"/>
      <c r="BD3" s="108"/>
      <c r="BE3" s="108"/>
      <c r="BF3" s="108"/>
      <c r="BG3" s="109"/>
      <c r="BH3" s="81"/>
      <c r="BI3" s="82"/>
      <c r="BJ3" s="82"/>
      <c r="BK3" s="83"/>
    </row>
    <row r="4" spans="1:65" ht="24.95" customHeight="1" x14ac:dyDescent="0.25">
      <c r="A4" s="90" t="s">
        <v>1</v>
      </c>
      <c r="B4" s="91"/>
      <c r="C4" s="91"/>
      <c r="D4" s="91"/>
      <c r="E4" s="91"/>
      <c r="F4" s="91"/>
      <c r="G4" s="92"/>
      <c r="H4" s="95" t="str">
        <f>IF(表紙!H4="","",表紙!H4)</f>
        <v>11_部門別売上速報/日報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90" t="s">
        <v>8</v>
      </c>
      <c r="V4" s="91"/>
      <c r="W4" s="91"/>
      <c r="X4" s="91"/>
      <c r="Y4" s="92"/>
      <c r="Z4" s="95" t="str">
        <f>IF(表紙!Z4="","",表紙!Z4)</f>
        <v>概要設計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機能概要説明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5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5" ht="15" customHeight="1" x14ac:dyDescent="0.25">
      <c r="A6" s="1"/>
      <c r="BK6" s="4"/>
    </row>
    <row r="7" spans="1:65" s="51" customFormat="1" ht="15" customHeight="1" x14ac:dyDescent="0.25">
      <c r="A7" s="50"/>
      <c r="C7" s="51" t="s">
        <v>62</v>
      </c>
      <c r="BK7" s="52"/>
      <c r="BM7" s="31">
        <v>1</v>
      </c>
    </row>
    <row r="8" spans="1:65" s="51" customFormat="1" ht="15" customHeight="1" x14ac:dyDescent="0.25">
      <c r="A8" s="50"/>
      <c r="D8" s="56" t="s">
        <v>116</v>
      </c>
      <c r="E8"/>
      <c r="BK8" s="52"/>
      <c r="BM8" s="31">
        <f t="shared" ref="BM8:BM13" si="0">IF(BM7=50,1,BM7+1)</f>
        <v>2</v>
      </c>
    </row>
    <row r="9" spans="1:65" s="51" customFormat="1" ht="15" customHeight="1" x14ac:dyDescent="0.25">
      <c r="A9" s="50"/>
      <c r="D9" s="56"/>
      <c r="E9" s="56" t="s">
        <v>98</v>
      </c>
      <c r="BK9" s="52"/>
      <c r="BM9" s="31">
        <f t="shared" si="0"/>
        <v>3</v>
      </c>
    </row>
    <row r="10" spans="1:65" s="51" customFormat="1" ht="15" customHeight="1" x14ac:dyDescent="0.25">
      <c r="A10" s="50"/>
      <c r="D10" s="56"/>
      <c r="E10" s="56" t="s">
        <v>118</v>
      </c>
      <c r="BK10" s="52"/>
      <c r="BM10" s="31">
        <f t="shared" si="0"/>
        <v>4</v>
      </c>
    </row>
    <row r="11" spans="1:65" s="51" customFormat="1" ht="15" customHeight="1" x14ac:dyDescent="0.25">
      <c r="A11" s="50"/>
      <c r="D11" s="56" t="s">
        <v>115</v>
      </c>
      <c r="E11"/>
      <c r="BK11" s="52"/>
      <c r="BM11" s="31">
        <f>IF(BM10=50,1,BM10+1)</f>
        <v>5</v>
      </c>
    </row>
    <row r="12" spans="1:65" s="51" customFormat="1" ht="15" customHeight="1" x14ac:dyDescent="0.25">
      <c r="A12" s="50"/>
      <c r="D12"/>
      <c r="E12" s="56" t="s">
        <v>99</v>
      </c>
      <c r="BK12" s="52"/>
      <c r="BM12" s="31">
        <f t="shared" si="0"/>
        <v>6</v>
      </c>
    </row>
    <row r="13" spans="1:65" s="51" customFormat="1" ht="15" customHeight="1" x14ac:dyDescent="0.25">
      <c r="A13" s="50"/>
      <c r="D13"/>
      <c r="E13" s="56" t="s">
        <v>118</v>
      </c>
      <c r="BK13" s="52"/>
      <c r="BM13" s="31">
        <f t="shared" si="0"/>
        <v>7</v>
      </c>
    </row>
    <row r="14" spans="1:65" s="51" customFormat="1" ht="15" customHeight="1" x14ac:dyDescent="0.25">
      <c r="A14" s="50"/>
      <c r="D14" s="56" t="s">
        <v>63</v>
      </c>
      <c r="E14"/>
      <c r="BK14" s="52"/>
      <c r="BM14" s="31">
        <f t="shared" ref="BM14:BM26" si="1">IF(BM13=50,1,BM13+1)</f>
        <v>8</v>
      </c>
    </row>
    <row r="15" spans="1:65" s="51" customFormat="1" ht="15" customHeight="1" x14ac:dyDescent="0.25">
      <c r="A15" s="50"/>
      <c r="D15"/>
      <c r="E15" s="56" t="s">
        <v>117</v>
      </c>
      <c r="BK15" s="52"/>
      <c r="BM15" s="31">
        <f t="shared" si="1"/>
        <v>9</v>
      </c>
    </row>
    <row r="16" spans="1:65" s="51" customFormat="1" ht="15" customHeight="1" x14ac:dyDescent="0.25">
      <c r="A16" s="50"/>
      <c r="BK16" s="52"/>
      <c r="BM16" s="31">
        <f t="shared" si="1"/>
        <v>10</v>
      </c>
    </row>
    <row r="17" spans="1:65" s="51" customFormat="1" ht="15" customHeight="1" x14ac:dyDescent="0.25">
      <c r="A17" s="50"/>
      <c r="BK17" s="52"/>
      <c r="BM17" s="31">
        <f t="shared" si="1"/>
        <v>11</v>
      </c>
    </row>
    <row r="18" spans="1:65" s="51" customFormat="1" ht="15" customHeight="1" x14ac:dyDescent="0.25">
      <c r="A18" s="50"/>
      <c r="BK18" s="52"/>
      <c r="BM18" s="31">
        <f t="shared" si="1"/>
        <v>12</v>
      </c>
    </row>
    <row r="19" spans="1:65" s="51" customFormat="1" ht="15" customHeight="1" x14ac:dyDescent="0.25">
      <c r="A19" s="50"/>
      <c r="BK19" s="52"/>
      <c r="BM19" s="31">
        <f t="shared" si="1"/>
        <v>13</v>
      </c>
    </row>
    <row r="20" spans="1:65" s="51" customFormat="1" ht="15" customHeight="1" x14ac:dyDescent="0.25">
      <c r="A20" s="50"/>
      <c r="BK20" s="52"/>
      <c r="BM20" s="31">
        <f t="shared" si="1"/>
        <v>14</v>
      </c>
    </row>
    <row r="21" spans="1:65" s="51" customFormat="1" ht="15" customHeight="1" x14ac:dyDescent="0.25">
      <c r="A21" s="50"/>
      <c r="BK21" s="52"/>
      <c r="BM21" s="31">
        <f t="shared" si="1"/>
        <v>15</v>
      </c>
    </row>
    <row r="22" spans="1:65" s="51" customFormat="1" ht="15" customHeight="1" x14ac:dyDescent="0.25">
      <c r="A22" s="50"/>
      <c r="BK22" s="52"/>
      <c r="BM22" s="31">
        <f t="shared" si="1"/>
        <v>16</v>
      </c>
    </row>
    <row r="23" spans="1:65" s="51" customFormat="1" ht="15" customHeight="1" x14ac:dyDescent="0.25">
      <c r="A23" s="50"/>
      <c r="BK23" s="52"/>
      <c r="BM23" s="31">
        <f t="shared" si="1"/>
        <v>17</v>
      </c>
    </row>
    <row r="24" spans="1:65" s="51" customFormat="1" ht="15" customHeight="1" x14ac:dyDescent="0.25">
      <c r="A24" s="50"/>
      <c r="BK24" s="52"/>
      <c r="BM24" s="31">
        <f t="shared" si="1"/>
        <v>18</v>
      </c>
    </row>
    <row r="25" spans="1:65" s="51" customFormat="1" ht="15" customHeight="1" x14ac:dyDescent="0.25">
      <c r="A25" s="50"/>
      <c r="BK25" s="52"/>
      <c r="BM25" s="31">
        <f t="shared" si="1"/>
        <v>19</v>
      </c>
    </row>
    <row r="26" spans="1:65" s="51" customFormat="1" ht="15" customHeight="1" x14ac:dyDescent="0.25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5"/>
      <c r="BM26" s="31">
        <f t="shared" si="1"/>
        <v>20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O186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60" customWidth="1"/>
    <col min="65" max="65" width="3" style="60" bestFit="1" customWidth="1"/>
    <col min="66" max="67" width="2.77734375" style="60" customWidth="1"/>
    <col min="68" max="16384" width="2.77734375" style="60"/>
  </cols>
  <sheetData>
    <row r="1" spans="1:65" ht="24.95" customHeight="1" x14ac:dyDescent="0.25">
      <c r="A1" s="228" t="s">
        <v>119</v>
      </c>
      <c r="B1" s="229"/>
      <c r="C1" s="229"/>
      <c r="D1" s="229"/>
      <c r="E1" s="229"/>
      <c r="F1" s="229"/>
      <c r="G1" s="229"/>
      <c r="H1" s="229"/>
      <c r="I1" s="229"/>
      <c r="J1" s="230"/>
      <c r="K1" s="228" t="s">
        <v>120</v>
      </c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30"/>
      <c r="W1" s="239" t="str">
        <f>IF(表紙!W1="","",表紙!W1)</f>
        <v>基本設計書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228" t="s">
        <v>121</v>
      </c>
      <c r="AQ1" s="229"/>
      <c r="AR1" s="229"/>
      <c r="AS1" s="230"/>
      <c r="AT1" s="228" t="s">
        <v>122</v>
      </c>
      <c r="AU1" s="229"/>
      <c r="AV1" s="229"/>
      <c r="AW1" s="229"/>
      <c r="AX1" s="230"/>
      <c r="AY1" s="228" t="s">
        <v>123</v>
      </c>
      <c r="AZ1" s="229"/>
      <c r="BA1" s="229"/>
      <c r="BB1" s="230"/>
      <c r="BC1" s="228" t="s">
        <v>124</v>
      </c>
      <c r="BD1" s="229"/>
      <c r="BE1" s="229"/>
      <c r="BF1" s="229"/>
      <c r="BG1" s="230"/>
      <c r="BH1" s="228" t="s">
        <v>125</v>
      </c>
      <c r="BI1" s="229"/>
      <c r="BJ1" s="229"/>
      <c r="BK1" s="230"/>
    </row>
    <row r="2" spans="1:65" ht="15" customHeight="1" x14ac:dyDescent="0.25">
      <c r="A2" s="203" t="str">
        <f>IF(表紙!A2="","",表紙!A2)</f>
        <v>POSサーバー</v>
      </c>
      <c r="B2" s="198"/>
      <c r="C2" s="198"/>
      <c r="D2" s="198"/>
      <c r="E2" s="198"/>
      <c r="F2" s="198"/>
      <c r="G2" s="198"/>
      <c r="H2" s="198"/>
      <c r="I2" s="198"/>
      <c r="J2" s="199"/>
      <c r="K2" s="203" t="str">
        <f>IF(表紙!K2="","",表紙!K2)</f>
        <v>POSサーバ</v>
      </c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203" t="str">
        <f>IF(表紙!AP2="","",表紙!AP2)</f>
        <v>AnhNM</v>
      </c>
      <c r="AQ2" s="198"/>
      <c r="AR2" s="198"/>
      <c r="AS2" s="199"/>
      <c r="AT2" s="197">
        <f>IF(表紙!AT2="","",表紙!AT2)</f>
        <v>45416</v>
      </c>
      <c r="AU2" s="234"/>
      <c r="AV2" s="234"/>
      <c r="AW2" s="234"/>
      <c r="AX2" s="235"/>
      <c r="AY2" s="203" t="str">
        <f>IF(表紙!AY2="","",表紙!AY2)</f>
        <v>AnhNM</v>
      </c>
      <c r="AZ2" s="198"/>
      <c r="BA2" s="198"/>
      <c r="BB2" s="199"/>
      <c r="BC2" s="197">
        <f>IF(表紙!BC2="","",表紙!BC2)</f>
        <v>45560</v>
      </c>
      <c r="BD2" s="234"/>
      <c r="BE2" s="234"/>
      <c r="BF2" s="234"/>
      <c r="BG2" s="235"/>
      <c r="BH2" s="203">
        <f>IF(表紙!BH2="","",表紙!BH2)</f>
        <v>0.6</v>
      </c>
      <c r="BI2" s="198"/>
      <c r="BJ2" s="198"/>
      <c r="BK2" s="199"/>
    </row>
    <row r="3" spans="1:65" ht="15" customHeight="1" x14ac:dyDescent="0.25">
      <c r="A3" s="200"/>
      <c r="B3" s="201"/>
      <c r="C3" s="201"/>
      <c r="D3" s="201"/>
      <c r="E3" s="201"/>
      <c r="F3" s="201"/>
      <c r="G3" s="201"/>
      <c r="H3" s="201"/>
      <c r="I3" s="201"/>
      <c r="J3" s="202"/>
      <c r="K3" s="200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200"/>
      <c r="AQ3" s="201"/>
      <c r="AR3" s="201"/>
      <c r="AS3" s="202"/>
      <c r="AT3" s="236"/>
      <c r="AU3" s="237"/>
      <c r="AV3" s="237"/>
      <c r="AW3" s="237"/>
      <c r="AX3" s="238"/>
      <c r="AY3" s="200"/>
      <c r="AZ3" s="201"/>
      <c r="BA3" s="201"/>
      <c r="BB3" s="202"/>
      <c r="BC3" s="236"/>
      <c r="BD3" s="237"/>
      <c r="BE3" s="237"/>
      <c r="BF3" s="237"/>
      <c r="BG3" s="238"/>
      <c r="BH3" s="200"/>
      <c r="BI3" s="201"/>
      <c r="BJ3" s="201"/>
      <c r="BK3" s="202"/>
    </row>
    <row r="4" spans="1:65" ht="24.95" customHeight="1" x14ac:dyDescent="0.25">
      <c r="A4" s="228" t="s">
        <v>126</v>
      </c>
      <c r="B4" s="229"/>
      <c r="C4" s="229"/>
      <c r="D4" s="229"/>
      <c r="E4" s="229"/>
      <c r="F4" s="229"/>
      <c r="G4" s="230"/>
      <c r="H4" s="231" t="str">
        <f>IF(表紙!H4="","",表紙!H4)</f>
        <v>11_部門別売上速報/日報</v>
      </c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3"/>
      <c r="U4" s="228" t="s">
        <v>127</v>
      </c>
      <c r="V4" s="229"/>
      <c r="W4" s="229"/>
      <c r="X4" s="229"/>
      <c r="Y4" s="230"/>
      <c r="Z4" s="231" t="str">
        <f>IF(表紙!Z4="","",表紙!Z4)</f>
        <v>概要設計</v>
      </c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2"/>
      <c r="AN4" s="232"/>
      <c r="AO4" s="233"/>
      <c r="AP4" s="231" t="str">
        <f t="array" aca="1" ref="AP4" ca="1">RIGHT(CELL("filename",$A$1),LEN(CELL("filename",$A$1))-FIND("]",CELL("filename",$A$1)))</f>
        <v>機能概要</v>
      </c>
      <c r="AQ4" s="232"/>
      <c r="AR4" s="232"/>
      <c r="AS4" s="232"/>
      <c r="AT4" s="232"/>
      <c r="AU4" s="232"/>
      <c r="AV4" s="232"/>
      <c r="AW4" s="232"/>
      <c r="AX4" s="232"/>
      <c r="AY4" s="232"/>
      <c r="AZ4" s="232"/>
      <c r="BA4" s="232"/>
      <c r="BB4" s="232"/>
      <c r="BC4" s="232"/>
      <c r="BD4" s="232"/>
      <c r="BE4" s="232"/>
      <c r="BF4" s="232"/>
      <c r="BG4" s="232"/>
      <c r="BH4" s="232"/>
      <c r="BI4" s="232"/>
      <c r="BJ4" s="232"/>
      <c r="BK4" s="233"/>
    </row>
    <row r="5" spans="1:65" ht="5.0999999999999996" customHeight="1" x14ac:dyDescent="0.25">
      <c r="A5" s="59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8"/>
    </row>
    <row r="6" spans="1:65" ht="15" customHeight="1" x14ac:dyDescent="0.25">
      <c r="A6" s="61"/>
      <c r="BK6" s="62"/>
    </row>
    <row r="7" spans="1:65" ht="15" customHeight="1" x14ac:dyDescent="0.25">
      <c r="A7" s="61"/>
      <c r="B7" s="63" t="s">
        <v>128</v>
      </c>
      <c r="C7" s="64"/>
      <c r="D7" s="65"/>
      <c r="E7" s="65"/>
      <c r="F7" s="65"/>
      <c r="G7" s="65"/>
      <c r="H7" s="65"/>
      <c r="I7" s="65"/>
      <c r="J7" s="65"/>
      <c r="K7" s="66"/>
      <c r="L7" s="65"/>
      <c r="M7" s="65"/>
      <c r="N7" s="65"/>
      <c r="O7" s="65"/>
      <c r="P7" s="65"/>
      <c r="Q7" s="65"/>
      <c r="R7" s="65"/>
      <c r="S7" s="65"/>
      <c r="T7" s="66"/>
      <c r="U7" s="64"/>
      <c r="V7" s="65"/>
      <c r="W7" s="65"/>
      <c r="X7" s="65"/>
      <c r="Y7" s="65"/>
      <c r="Z7" s="65"/>
      <c r="AA7" s="65"/>
      <c r="AB7" s="65"/>
      <c r="AC7" s="66"/>
      <c r="AD7" s="64"/>
      <c r="AE7" s="65"/>
      <c r="AF7" s="65"/>
      <c r="AG7" s="65"/>
      <c r="AH7" s="65"/>
      <c r="AI7" s="65"/>
      <c r="AJ7" s="65"/>
      <c r="AK7" s="65"/>
      <c r="AL7" s="66"/>
      <c r="AM7" s="64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2"/>
    </row>
    <row r="8" spans="1:65" ht="15" customHeight="1" x14ac:dyDescent="0.25">
      <c r="A8" s="61"/>
      <c r="B8" s="67"/>
      <c r="K8" s="68"/>
      <c r="U8" s="67"/>
      <c r="AD8" s="67"/>
      <c r="AM8" s="67"/>
      <c r="BI8" s="69"/>
      <c r="BK8" s="62"/>
      <c r="BM8" s="31">
        <f t="shared" ref="BM8:BM39" si="0">IF(BM7=50,1,BM7+1)</f>
        <v>1</v>
      </c>
    </row>
    <row r="9" spans="1:65" ht="15" customHeight="1" x14ac:dyDescent="0.25">
      <c r="A9" s="61"/>
      <c r="B9" s="67"/>
      <c r="K9" s="68"/>
      <c r="U9" s="67"/>
      <c r="AD9" s="67"/>
      <c r="AM9" s="67"/>
      <c r="BI9" s="69"/>
      <c r="BK9" s="62"/>
      <c r="BM9" s="31">
        <f t="shared" si="0"/>
        <v>2</v>
      </c>
    </row>
    <row r="10" spans="1:65" ht="15" customHeight="1" x14ac:dyDescent="0.25">
      <c r="A10" s="61"/>
      <c r="B10" s="67"/>
      <c r="K10" s="68"/>
      <c r="U10" s="67"/>
      <c r="AD10" s="67"/>
      <c r="AM10" s="67"/>
      <c r="BI10" s="69"/>
      <c r="BK10" s="62"/>
      <c r="BM10" s="31">
        <f t="shared" si="0"/>
        <v>3</v>
      </c>
    </row>
    <row r="11" spans="1:65" ht="15" customHeight="1" x14ac:dyDescent="0.25">
      <c r="A11" s="61"/>
      <c r="B11" s="67"/>
      <c r="K11" s="68"/>
      <c r="U11" s="67"/>
      <c r="AD11" s="67"/>
      <c r="AM11" s="67"/>
      <c r="BI11" s="69"/>
      <c r="BK11" s="62"/>
      <c r="BM11" s="31">
        <f t="shared" si="0"/>
        <v>4</v>
      </c>
    </row>
    <row r="12" spans="1:65" ht="15" customHeight="1" x14ac:dyDescent="0.25">
      <c r="A12" s="61"/>
      <c r="B12" s="67"/>
      <c r="K12" s="68"/>
      <c r="U12" s="67"/>
      <c r="AD12" s="67"/>
      <c r="AM12" s="67"/>
      <c r="BI12" s="69"/>
      <c r="BK12" s="62"/>
      <c r="BM12" s="31">
        <f t="shared" si="0"/>
        <v>5</v>
      </c>
    </row>
    <row r="13" spans="1:65" ht="15" customHeight="1" x14ac:dyDescent="0.25">
      <c r="A13" s="61"/>
      <c r="B13" s="67"/>
      <c r="K13" s="68"/>
      <c r="U13" s="67"/>
      <c r="AD13" s="67"/>
      <c r="AM13" s="67"/>
      <c r="BI13" s="69"/>
      <c r="BK13" s="62"/>
      <c r="BM13" s="31">
        <f t="shared" si="0"/>
        <v>6</v>
      </c>
    </row>
    <row r="14" spans="1:65" ht="15" customHeight="1" x14ac:dyDescent="0.25">
      <c r="A14" s="61"/>
      <c r="B14" s="67"/>
      <c r="K14" s="68"/>
      <c r="U14" s="67"/>
      <c r="AD14" s="67"/>
      <c r="AM14" s="67"/>
      <c r="BI14" s="69"/>
      <c r="BK14" s="62"/>
      <c r="BM14" s="31">
        <f t="shared" si="0"/>
        <v>7</v>
      </c>
    </row>
    <row r="15" spans="1:65" ht="15" customHeight="1" x14ac:dyDescent="0.25">
      <c r="A15" s="61"/>
      <c r="B15" s="67"/>
      <c r="K15" s="68"/>
      <c r="U15" s="67"/>
      <c r="AD15" s="67"/>
      <c r="AM15" s="67"/>
      <c r="BI15" s="69"/>
      <c r="BK15" s="62"/>
      <c r="BM15" s="31">
        <f t="shared" si="0"/>
        <v>8</v>
      </c>
    </row>
    <row r="16" spans="1:65" ht="15" customHeight="1" x14ac:dyDescent="0.25">
      <c r="A16" s="61"/>
      <c r="B16" s="67"/>
      <c r="K16" s="68"/>
      <c r="U16" s="67"/>
      <c r="AD16" s="67"/>
      <c r="AM16" s="67"/>
      <c r="BI16" s="69"/>
      <c r="BK16" s="62"/>
      <c r="BM16" s="31">
        <f t="shared" si="0"/>
        <v>9</v>
      </c>
    </row>
    <row r="17" spans="1:65" ht="15" customHeight="1" x14ac:dyDescent="0.25">
      <c r="A17" s="61"/>
      <c r="B17" s="67"/>
      <c r="K17" s="68"/>
      <c r="U17" s="67"/>
      <c r="AD17" s="67"/>
      <c r="AM17" s="67"/>
      <c r="BI17" s="69"/>
      <c r="BK17" s="62"/>
      <c r="BM17" s="31">
        <f t="shared" si="0"/>
        <v>10</v>
      </c>
    </row>
    <row r="18" spans="1:65" ht="15" customHeight="1" x14ac:dyDescent="0.25">
      <c r="A18" s="61"/>
      <c r="B18" s="67"/>
      <c r="K18" s="68"/>
      <c r="U18" s="67"/>
      <c r="AD18" s="67"/>
      <c r="AM18" s="67"/>
      <c r="BI18" s="69"/>
      <c r="BK18" s="62"/>
      <c r="BM18" s="31">
        <f t="shared" si="0"/>
        <v>11</v>
      </c>
    </row>
    <row r="19" spans="1:65" ht="15" customHeight="1" x14ac:dyDescent="0.25">
      <c r="A19" s="61"/>
      <c r="B19" s="67"/>
      <c r="K19" s="68"/>
      <c r="U19" s="67"/>
      <c r="AD19" s="67"/>
      <c r="AM19" s="67"/>
      <c r="BI19" s="69"/>
      <c r="BK19" s="62"/>
      <c r="BM19" s="31">
        <f t="shared" si="0"/>
        <v>12</v>
      </c>
    </row>
    <row r="20" spans="1:65" ht="15" customHeight="1" x14ac:dyDescent="0.25">
      <c r="A20" s="61"/>
      <c r="B20" s="67"/>
      <c r="K20" s="68"/>
      <c r="U20" s="67"/>
      <c r="AD20" s="67"/>
      <c r="AM20" s="67"/>
      <c r="BI20" s="69"/>
      <c r="BK20" s="62"/>
      <c r="BM20" s="31">
        <f t="shared" si="0"/>
        <v>13</v>
      </c>
    </row>
    <row r="21" spans="1:65" ht="15" customHeight="1" x14ac:dyDescent="0.25">
      <c r="A21" s="61"/>
      <c r="B21" s="67"/>
      <c r="K21" s="68"/>
      <c r="U21" s="67"/>
      <c r="AD21" s="67"/>
      <c r="AM21" s="67"/>
      <c r="BI21" s="69"/>
      <c r="BK21" s="62"/>
      <c r="BM21" s="31">
        <f t="shared" si="0"/>
        <v>14</v>
      </c>
    </row>
    <row r="22" spans="1:65" s="71" customFormat="1" ht="15" customHeight="1" x14ac:dyDescent="0.25">
      <c r="A22" s="70"/>
      <c r="B22" s="67"/>
      <c r="C22" s="60"/>
      <c r="D22" s="60"/>
      <c r="E22" s="60"/>
      <c r="F22" s="60"/>
      <c r="G22" s="60"/>
      <c r="H22" s="60"/>
      <c r="I22" s="60"/>
      <c r="J22" s="60"/>
      <c r="K22" s="68"/>
      <c r="L22" s="60"/>
      <c r="M22" s="60"/>
      <c r="N22" s="60"/>
      <c r="O22" s="60"/>
      <c r="P22" s="60"/>
      <c r="Q22" s="60"/>
      <c r="R22" s="60"/>
      <c r="S22" s="60"/>
      <c r="T22" s="60"/>
      <c r="U22" s="67"/>
      <c r="V22" s="60"/>
      <c r="W22" s="60"/>
      <c r="X22" s="60"/>
      <c r="Y22" s="60"/>
      <c r="Z22" s="60"/>
      <c r="AA22" s="60"/>
      <c r="AB22" s="60"/>
      <c r="AC22" s="60"/>
      <c r="AD22" s="67"/>
      <c r="AE22" s="60"/>
      <c r="AF22" s="60"/>
      <c r="AG22" s="60"/>
      <c r="AH22" s="60"/>
      <c r="AI22" s="60"/>
      <c r="AJ22" s="60"/>
      <c r="AK22" s="60"/>
      <c r="AL22" s="60"/>
      <c r="AM22" s="67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9"/>
      <c r="BJ22" s="60"/>
      <c r="BK22" s="62"/>
      <c r="BM22" s="31">
        <f t="shared" si="0"/>
        <v>15</v>
      </c>
    </row>
    <row r="23" spans="1:65" s="71" customFormat="1" ht="15" customHeight="1" x14ac:dyDescent="0.25">
      <c r="A23" s="70"/>
      <c r="B23" s="67"/>
      <c r="C23" s="60"/>
      <c r="D23" s="60"/>
      <c r="E23" s="60"/>
      <c r="F23" s="60"/>
      <c r="G23" s="60"/>
      <c r="H23" s="60"/>
      <c r="I23" s="60"/>
      <c r="J23" s="60"/>
      <c r="K23" s="68"/>
      <c r="L23" s="60"/>
      <c r="M23" s="60"/>
      <c r="N23" s="60"/>
      <c r="O23" s="60"/>
      <c r="P23" s="60"/>
      <c r="Q23" s="60"/>
      <c r="R23" s="60"/>
      <c r="S23" s="60"/>
      <c r="T23" s="60"/>
      <c r="U23" s="67"/>
      <c r="V23" s="60"/>
      <c r="W23" s="60"/>
      <c r="X23" s="60"/>
      <c r="Y23" s="60"/>
      <c r="Z23" s="60"/>
      <c r="AA23" s="60"/>
      <c r="AB23" s="60"/>
      <c r="AC23" s="60"/>
      <c r="AD23" s="67"/>
      <c r="AE23" s="60"/>
      <c r="AF23" s="60"/>
      <c r="AG23" s="60"/>
      <c r="AH23" s="60"/>
      <c r="AI23" s="60"/>
      <c r="AJ23" s="60"/>
      <c r="AK23" s="60"/>
      <c r="AL23" s="60"/>
      <c r="AM23" s="67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9"/>
      <c r="BJ23" s="60"/>
      <c r="BK23" s="62"/>
      <c r="BM23" s="31">
        <f t="shared" si="0"/>
        <v>16</v>
      </c>
    </row>
    <row r="24" spans="1:65" s="71" customFormat="1" ht="15" customHeight="1" x14ac:dyDescent="0.25">
      <c r="A24" s="70"/>
      <c r="B24" s="67"/>
      <c r="C24" s="60"/>
      <c r="D24" s="60"/>
      <c r="E24" s="60"/>
      <c r="F24" s="60"/>
      <c r="G24" s="60"/>
      <c r="H24" s="60"/>
      <c r="I24" s="60"/>
      <c r="J24" s="60"/>
      <c r="K24" s="68"/>
      <c r="L24" s="60"/>
      <c r="M24" s="60"/>
      <c r="N24" s="60"/>
      <c r="O24" s="60"/>
      <c r="P24" s="60"/>
      <c r="Q24" s="60"/>
      <c r="R24" s="60"/>
      <c r="S24" s="60"/>
      <c r="T24" s="60"/>
      <c r="U24" s="67"/>
      <c r="V24" s="60"/>
      <c r="W24" s="60"/>
      <c r="X24" s="60"/>
      <c r="Y24" s="60"/>
      <c r="Z24" s="60"/>
      <c r="AA24" s="60"/>
      <c r="AB24" s="60"/>
      <c r="AC24" s="60"/>
      <c r="AD24" s="67"/>
      <c r="AE24" s="60"/>
      <c r="AF24" s="60"/>
      <c r="AG24" s="60"/>
      <c r="AH24" s="60"/>
      <c r="AI24" s="60"/>
      <c r="AJ24" s="60"/>
      <c r="AK24" s="60"/>
      <c r="AL24" s="60"/>
      <c r="AM24" s="67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9"/>
      <c r="BJ24" s="60"/>
      <c r="BK24" s="62"/>
      <c r="BM24" s="31">
        <f t="shared" si="0"/>
        <v>17</v>
      </c>
    </row>
    <row r="25" spans="1:65" s="71" customFormat="1" ht="15" customHeight="1" x14ac:dyDescent="0.25">
      <c r="A25" s="70"/>
      <c r="B25" s="67"/>
      <c r="C25" s="60"/>
      <c r="D25" s="60"/>
      <c r="E25" s="60"/>
      <c r="F25" s="60"/>
      <c r="G25" s="60"/>
      <c r="H25" s="60"/>
      <c r="I25" s="60"/>
      <c r="J25" s="60"/>
      <c r="K25" s="68"/>
      <c r="L25" s="60"/>
      <c r="M25" s="60"/>
      <c r="N25" s="60"/>
      <c r="O25" s="60"/>
      <c r="P25" s="60"/>
      <c r="Q25" s="60"/>
      <c r="R25" s="60"/>
      <c r="S25" s="60"/>
      <c r="T25" s="60"/>
      <c r="U25" s="67"/>
      <c r="V25" s="60"/>
      <c r="W25" s="60"/>
      <c r="X25" s="60"/>
      <c r="Y25" s="60"/>
      <c r="Z25" s="60"/>
      <c r="AA25" s="60"/>
      <c r="AB25" s="60"/>
      <c r="AC25" s="60"/>
      <c r="AD25" s="67"/>
      <c r="AE25" s="60"/>
      <c r="AF25" s="60"/>
      <c r="AG25" s="60"/>
      <c r="AH25" s="60"/>
      <c r="AI25" s="60"/>
      <c r="AJ25" s="60"/>
      <c r="AK25" s="60"/>
      <c r="AL25" s="60"/>
      <c r="AM25" s="67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9"/>
      <c r="BJ25" s="60"/>
      <c r="BK25" s="62"/>
      <c r="BM25" s="31">
        <f t="shared" si="0"/>
        <v>18</v>
      </c>
    </row>
    <row r="26" spans="1:65" s="71" customFormat="1" ht="15" customHeight="1" x14ac:dyDescent="0.25">
      <c r="A26" s="70"/>
      <c r="B26" s="67"/>
      <c r="C26" s="60"/>
      <c r="D26" s="60"/>
      <c r="E26" s="60"/>
      <c r="F26" s="60"/>
      <c r="G26" s="60"/>
      <c r="H26" s="60"/>
      <c r="I26" s="60"/>
      <c r="J26" s="60"/>
      <c r="K26" s="68"/>
      <c r="L26" s="60"/>
      <c r="M26" s="60"/>
      <c r="N26" s="60"/>
      <c r="O26" s="60"/>
      <c r="P26" s="60"/>
      <c r="Q26" s="60"/>
      <c r="R26" s="60"/>
      <c r="S26" s="60"/>
      <c r="T26" s="60"/>
      <c r="U26" s="67"/>
      <c r="V26" s="60"/>
      <c r="W26" s="60"/>
      <c r="X26" s="60"/>
      <c r="Y26" s="60"/>
      <c r="Z26" s="60"/>
      <c r="AA26" s="60"/>
      <c r="AB26" s="60"/>
      <c r="AC26" s="60"/>
      <c r="AD26" s="67"/>
      <c r="AE26" s="60"/>
      <c r="AF26" s="60"/>
      <c r="AG26" s="60"/>
      <c r="AH26" s="60"/>
      <c r="AI26" s="60"/>
      <c r="AJ26" s="60"/>
      <c r="AK26" s="60"/>
      <c r="AL26" s="60"/>
      <c r="AM26" s="67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9"/>
      <c r="BJ26" s="60"/>
      <c r="BK26" s="62"/>
      <c r="BM26" s="31">
        <f t="shared" si="0"/>
        <v>19</v>
      </c>
    </row>
    <row r="27" spans="1:65" s="71" customFormat="1" ht="15" customHeight="1" x14ac:dyDescent="0.25">
      <c r="A27" s="70"/>
      <c r="B27" s="67"/>
      <c r="C27" s="60"/>
      <c r="D27" s="60"/>
      <c r="E27" s="60"/>
      <c r="F27" s="60"/>
      <c r="G27" s="60"/>
      <c r="H27" s="60"/>
      <c r="I27" s="60"/>
      <c r="J27" s="60"/>
      <c r="K27" s="68"/>
      <c r="L27" s="60"/>
      <c r="M27" s="60"/>
      <c r="N27" s="60"/>
      <c r="O27" s="60"/>
      <c r="P27" s="60"/>
      <c r="Q27" s="60"/>
      <c r="R27" s="60"/>
      <c r="S27" s="60"/>
      <c r="T27" s="60"/>
      <c r="U27" s="67"/>
      <c r="V27" s="60"/>
      <c r="W27" s="60"/>
      <c r="X27" s="60"/>
      <c r="Y27" s="60"/>
      <c r="Z27" s="60"/>
      <c r="AA27" s="60"/>
      <c r="AB27" s="60"/>
      <c r="AC27" s="60"/>
      <c r="AD27" s="67"/>
      <c r="AE27" s="60"/>
      <c r="AF27" s="60"/>
      <c r="AG27" s="60"/>
      <c r="AH27" s="60"/>
      <c r="AI27" s="60"/>
      <c r="AJ27" s="60"/>
      <c r="AK27" s="60"/>
      <c r="AL27" s="60"/>
      <c r="AM27" s="67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9"/>
      <c r="BJ27" s="60"/>
      <c r="BK27" s="62"/>
      <c r="BM27" s="31">
        <f t="shared" si="0"/>
        <v>20</v>
      </c>
    </row>
    <row r="28" spans="1:65" s="71" customFormat="1" ht="15" customHeight="1" x14ac:dyDescent="0.25">
      <c r="A28" s="70"/>
      <c r="B28" s="67"/>
      <c r="C28" s="60"/>
      <c r="D28" s="60"/>
      <c r="E28" s="60"/>
      <c r="F28" s="60"/>
      <c r="G28" s="60"/>
      <c r="H28" s="60"/>
      <c r="I28" s="60"/>
      <c r="J28" s="60"/>
      <c r="K28" s="68"/>
      <c r="L28" s="60"/>
      <c r="M28" s="60"/>
      <c r="N28" s="60"/>
      <c r="O28" s="60"/>
      <c r="P28" s="60"/>
      <c r="Q28" s="60"/>
      <c r="R28" s="60"/>
      <c r="S28" s="60"/>
      <c r="T28" s="60"/>
      <c r="U28" s="67"/>
      <c r="V28" s="60"/>
      <c r="W28" s="60"/>
      <c r="X28" s="60"/>
      <c r="Y28" s="60"/>
      <c r="Z28" s="60"/>
      <c r="AA28" s="60"/>
      <c r="AB28" s="60"/>
      <c r="AC28" s="60"/>
      <c r="AD28" s="67"/>
      <c r="AE28" s="60"/>
      <c r="AF28" s="60"/>
      <c r="AG28" s="60"/>
      <c r="AH28" s="60"/>
      <c r="AI28" s="60"/>
      <c r="AJ28" s="60"/>
      <c r="AK28" s="60"/>
      <c r="AL28" s="60"/>
      <c r="AM28" s="67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9"/>
      <c r="BJ28" s="60"/>
      <c r="BK28" s="62"/>
      <c r="BM28" s="31">
        <f t="shared" si="0"/>
        <v>21</v>
      </c>
    </row>
    <row r="29" spans="1:65" s="71" customFormat="1" ht="15" customHeight="1" x14ac:dyDescent="0.25">
      <c r="A29" s="70"/>
      <c r="B29" s="67"/>
      <c r="C29" s="60"/>
      <c r="D29" s="60"/>
      <c r="E29" s="60"/>
      <c r="F29" s="60"/>
      <c r="G29" s="60"/>
      <c r="H29" s="60"/>
      <c r="I29" s="60"/>
      <c r="J29" s="60"/>
      <c r="K29" s="68"/>
      <c r="L29" s="60"/>
      <c r="M29" s="60"/>
      <c r="N29" s="60"/>
      <c r="O29" s="60"/>
      <c r="P29" s="60"/>
      <c r="Q29" s="60"/>
      <c r="R29" s="60"/>
      <c r="S29" s="60"/>
      <c r="T29" s="60"/>
      <c r="U29" s="67"/>
      <c r="V29" s="60"/>
      <c r="W29" s="60"/>
      <c r="X29" s="60"/>
      <c r="Y29" s="60"/>
      <c r="Z29" s="60"/>
      <c r="AA29" s="60"/>
      <c r="AB29" s="60"/>
      <c r="AC29" s="60"/>
      <c r="AD29" s="67"/>
      <c r="AE29" s="60"/>
      <c r="AF29" s="60"/>
      <c r="AG29" s="60"/>
      <c r="AH29" s="60"/>
      <c r="AI29" s="60"/>
      <c r="AJ29" s="60"/>
      <c r="AK29" s="60"/>
      <c r="AL29" s="60"/>
      <c r="AM29" s="67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9"/>
      <c r="BJ29" s="60"/>
      <c r="BK29" s="62"/>
      <c r="BM29" s="31">
        <f t="shared" si="0"/>
        <v>22</v>
      </c>
    </row>
    <row r="30" spans="1:65" s="71" customFormat="1" ht="15" customHeight="1" x14ac:dyDescent="0.25">
      <c r="A30" s="70"/>
      <c r="B30" s="67"/>
      <c r="C30" s="60"/>
      <c r="D30" s="60"/>
      <c r="E30" s="60"/>
      <c r="F30" s="60"/>
      <c r="G30" s="60"/>
      <c r="H30" s="60"/>
      <c r="I30" s="60"/>
      <c r="J30" s="60"/>
      <c r="K30" s="68"/>
      <c r="L30" s="60"/>
      <c r="M30" s="60"/>
      <c r="N30" s="60"/>
      <c r="O30" s="60"/>
      <c r="P30" s="60"/>
      <c r="Q30" s="60"/>
      <c r="R30" s="60"/>
      <c r="S30" s="60"/>
      <c r="T30" s="60"/>
      <c r="U30" s="67"/>
      <c r="V30" s="60"/>
      <c r="W30" s="60"/>
      <c r="X30" s="60"/>
      <c r="Y30" s="60"/>
      <c r="Z30" s="60"/>
      <c r="AA30" s="60"/>
      <c r="AB30" s="60"/>
      <c r="AC30" s="60"/>
      <c r="AD30" s="67"/>
      <c r="AE30" s="60"/>
      <c r="AF30" s="60"/>
      <c r="AG30" s="60"/>
      <c r="AH30" s="60"/>
      <c r="AI30" s="60"/>
      <c r="AJ30" s="60"/>
      <c r="AK30" s="60"/>
      <c r="AL30" s="60"/>
      <c r="AM30" s="67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9"/>
      <c r="BJ30" s="60"/>
      <c r="BK30" s="62"/>
      <c r="BM30" s="31">
        <f t="shared" si="0"/>
        <v>23</v>
      </c>
    </row>
    <row r="31" spans="1:65" s="71" customFormat="1" ht="15" customHeight="1" x14ac:dyDescent="0.25">
      <c r="A31" s="70"/>
      <c r="B31" s="67"/>
      <c r="C31" s="60"/>
      <c r="D31" s="60"/>
      <c r="E31" s="60"/>
      <c r="F31" s="60"/>
      <c r="G31" s="60"/>
      <c r="H31" s="60"/>
      <c r="I31" s="60"/>
      <c r="J31" s="60"/>
      <c r="K31" s="68"/>
      <c r="L31" s="60"/>
      <c r="M31" s="60"/>
      <c r="N31" s="60"/>
      <c r="O31" s="60"/>
      <c r="P31" s="60"/>
      <c r="Q31" s="60"/>
      <c r="R31" s="60"/>
      <c r="S31" s="60"/>
      <c r="T31" s="60"/>
      <c r="U31" s="67"/>
      <c r="V31" s="60"/>
      <c r="W31" s="60"/>
      <c r="X31" s="60"/>
      <c r="Y31" s="60"/>
      <c r="Z31" s="60"/>
      <c r="AA31" s="60"/>
      <c r="AB31" s="60"/>
      <c r="AC31" s="60"/>
      <c r="AD31" s="67"/>
      <c r="AE31" s="60"/>
      <c r="AF31" s="60"/>
      <c r="AG31" s="60"/>
      <c r="AH31" s="60"/>
      <c r="AI31" s="60"/>
      <c r="AJ31" s="60"/>
      <c r="AK31" s="60"/>
      <c r="AL31" s="60"/>
      <c r="AM31" s="67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9"/>
      <c r="BJ31" s="60"/>
      <c r="BK31" s="62"/>
      <c r="BM31" s="31">
        <f t="shared" si="0"/>
        <v>24</v>
      </c>
    </row>
    <row r="32" spans="1:65" s="71" customFormat="1" ht="15" customHeight="1" x14ac:dyDescent="0.25">
      <c r="A32" s="70"/>
      <c r="B32" s="67"/>
      <c r="C32" s="60"/>
      <c r="D32" s="60"/>
      <c r="E32" s="60"/>
      <c r="F32" s="60"/>
      <c r="G32" s="60"/>
      <c r="H32" s="60"/>
      <c r="I32" s="60"/>
      <c r="J32" s="60"/>
      <c r="K32" s="68"/>
      <c r="L32" s="60"/>
      <c r="M32" s="60"/>
      <c r="N32" s="60"/>
      <c r="O32" s="60"/>
      <c r="P32" s="60"/>
      <c r="Q32" s="60"/>
      <c r="R32" s="60"/>
      <c r="S32" s="60"/>
      <c r="T32" s="60"/>
      <c r="U32" s="67"/>
      <c r="V32" s="60"/>
      <c r="W32" s="60"/>
      <c r="X32" s="60"/>
      <c r="Y32" s="60"/>
      <c r="Z32" s="60"/>
      <c r="AA32" s="60"/>
      <c r="AB32" s="60"/>
      <c r="AC32" s="60"/>
      <c r="AD32" s="67"/>
      <c r="AE32" s="60"/>
      <c r="AF32" s="60"/>
      <c r="AG32" s="60"/>
      <c r="AH32" s="60"/>
      <c r="AI32" s="60"/>
      <c r="AJ32" s="60"/>
      <c r="AK32" s="60"/>
      <c r="AL32" s="60"/>
      <c r="AM32" s="67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9"/>
      <c r="BJ32" s="60"/>
      <c r="BK32" s="62"/>
      <c r="BM32" s="31">
        <f>IF(BM31=50,1,BM31+1)</f>
        <v>25</v>
      </c>
    </row>
    <row r="33" spans="1:67" s="71" customFormat="1" ht="15" customHeight="1" x14ac:dyDescent="0.25">
      <c r="A33" s="70"/>
      <c r="B33" s="67"/>
      <c r="C33" s="60"/>
      <c r="D33" s="60"/>
      <c r="E33" s="60"/>
      <c r="F33" s="60"/>
      <c r="G33" s="60"/>
      <c r="H33" s="60"/>
      <c r="I33" s="60"/>
      <c r="J33" s="60"/>
      <c r="K33" s="68"/>
      <c r="L33" s="60"/>
      <c r="M33" s="60"/>
      <c r="N33" s="60"/>
      <c r="O33" s="60"/>
      <c r="P33" s="60"/>
      <c r="Q33" s="60"/>
      <c r="R33" s="60"/>
      <c r="S33" s="60"/>
      <c r="T33" s="60"/>
      <c r="U33" s="67"/>
      <c r="V33" s="60"/>
      <c r="W33" s="60"/>
      <c r="X33" s="60"/>
      <c r="Y33" s="60"/>
      <c r="Z33" s="60"/>
      <c r="AA33" s="60"/>
      <c r="AB33" s="60"/>
      <c r="AC33" s="60"/>
      <c r="AD33" s="67"/>
      <c r="AE33" s="60"/>
      <c r="AF33" s="60"/>
      <c r="AG33" s="60"/>
      <c r="AH33" s="60"/>
      <c r="AI33" s="60"/>
      <c r="AJ33" s="60"/>
      <c r="AK33" s="60"/>
      <c r="AL33" s="60"/>
      <c r="AM33" s="67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9"/>
      <c r="BJ33" s="60"/>
      <c r="BK33" s="62"/>
      <c r="BM33" s="31">
        <f>IF(BM32=50,1,BM32+1)</f>
        <v>26</v>
      </c>
    </row>
    <row r="34" spans="1:67" s="71" customFormat="1" ht="15" customHeight="1" x14ac:dyDescent="0.25">
      <c r="A34" s="70"/>
      <c r="B34" s="67"/>
      <c r="C34" s="60"/>
      <c r="D34" s="60"/>
      <c r="E34" s="60"/>
      <c r="F34" s="60"/>
      <c r="G34" s="60"/>
      <c r="H34" s="60"/>
      <c r="I34" s="60"/>
      <c r="J34" s="60"/>
      <c r="K34" s="68"/>
      <c r="L34" s="60"/>
      <c r="M34" s="60"/>
      <c r="N34" s="60"/>
      <c r="O34" s="60"/>
      <c r="P34" s="60"/>
      <c r="Q34" s="60"/>
      <c r="R34" s="60"/>
      <c r="S34" s="60"/>
      <c r="T34" s="60"/>
      <c r="U34" s="67"/>
      <c r="V34" s="60"/>
      <c r="W34" s="60"/>
      <c r="X34" s="60"/>
      <c r="Y34" s="60"/>
      <c r="Z34" s="60"/>
      <c r="AA34" s="60"/>
      <c r="AB34" s="60"/>
      <c r="AC34" s="60"/>
      <c r="AD34" s="67"/>
      <c r="AE34" s="60"/>
      <c r="AF34" s="60"/>
      <c r="AG34" s="60"/>
      <c r="AH34" s="60"/>
      <c r="AI34" s="60"/>
      <c r="AJ34" s="60"/>
      <c r="AK34" s="60"/>
      <c r="AL34" s="60"/>
      <c r="AM34" s="67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9"/>
      <c r="BJ34" s="60"/>
      <c r="BK34" s="62"/>
      <c r="BM34" s="31">
        <f t="shared" si="0"/>
        <v>27</v>
      </c>
    </row>
    <row r="35" spans="1:67" s="71" customFormat="1" ht="15" customHeight="1" x14ac:dyDescent="0.25">
      <c r="A35" s="70"/>
      <c r="B35" s="67"/>
      <c r="C35" s="60"/>
      <c r="D35" s="60"/>
      <c r="E35" s="60"/>
      <c r="F35" s="60"/>
      <c r="G35" s="60"/>
      <c r="H35" s="60"/>
      <c r="I35" s="60"/>
      <c r="J35" s="60"/>
      <c r="K35" s="68"/>
      <c r="L35" s="60"/>
      <c r="M35" s="60"/>
      <c r="N35" s="60"/>
      <c r="O35" s="60"/>
      <c r="P35" s="60"/>
      <c r="Q35" s="60"/>
      <c r="R35" s="60"/>
      <c r="S35" s="60"/>
      <c r="T35" s="60"/>
      <c r="U35" s="67"/>
      <c r="V35" s="60"/>
      <c r="W35" s="60"/>
      <c r="X35" s="60"/>
      <c r="Y35" s="60"/>
      <c r="Z35" s="60"/>
      <c r="AA35" s="60"/>
      <c r="AB35" s="60"/>
      <c r="AC35" s="60"/>
      <c r="AD35" s="67"/>
      <c r="AE35" s="60"/>
      <c r="AF35" s="60"/>
      <c r="AG35" s="60"/>
      <c r="AH35" s="60"/>
      <c r="AI35" s="60"/>
      <c r="AJ35" s="60"/>
      <c r="AK35" s="60"/>
      <c r="AL35" s="60"/>
      <c r="AM35" s="67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9"/>
      <c r="BJ35" s="60"/>
      <c r="BK35" s="62"/>
      <c r="BM35" s="31">
        <f t="shared" si="0"/>
        <v>28</v>
      </c>
    </row>
    <row r="36" spans="1:67" s="71" customFormat="1" ht="15" customHeight="1" x14ac:dyDescent="0.25">
      <c r="A36" s="70"/>
      <c r="B36" s="67"/>
      <c r="C36" s="60"/>
      <c r="D36" s="60"/>
      <c r="E36" s="60"/>
      <c r="F36" s="60"/>
      <c r="G36" s="60"/>
      <c r="H36" s="60"/>
      <c r="I36" s="60"/>
      <c r="J36" s="60"/>
      <c r="K36" s="68"/>
      <c r="L36" s="60"/>
      <c r="M36" s="60"/>
      <c r="N36" s="60"/>
      <c r="O36" s="60"/>
      <c r="P36" s="60"/>
      <c r="Q36" s="60"/>
      <c r="R36" s="60"/>
      <c r="S36" s="60"/>
      <c r="T36" s="60"/>
      <c r="U36" s="67"/>
      <c r="V36" s="60"/>
      <c r="W36" s="60"/>
      <c r="X36" s="60"/>
      <c r="Y36" s="60"/>
      <c r="Z36" s="60"/>
      <c r="AA36" s="60"/>
      <c r="AB36" s="60"/>
      <c r="AC36" s="60"/>
      <c r="AD36" s="67"/>
      <c r="AE36" s="60"/>
      <c r="AF36" s="60"/>
      <c r="AG36" s="60"/>
      <c r="AH36" s="60"/>
      <c r="AI36" s="60"/>
      <c r="AJ36" s="60"/>
      <c r="AK36" s="60"/>
      <c r="AL36" s="60"/>
      <c r="AM36" s="67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9"/>
      <c r="BJ36" s="60"/>
      <c r="BK36" s="62"/>
      <c r="BM36" s="31">
        <f t="shared" si="0"/>
        <v>29</v>
      </c>
    </row>
    <row r="37" spans="1:67" s="71" customFormat="1" ht="15" customHeight="1" x14ac:dyDescent="0.25">
      <c r="A37" s="70"/>
      <c r="B37" s="67"/>
      <c r="C37" s="60"/>
      <c r="D37" s="60"/>
      <c r="E37" s="60"/>
      <c r="F37" s="60"/>
      <c r="G37" s="60"/>
      <c r="H37" s="60"/>
      <c r="I37" s="60"/>
      <c r="J37" s="60"/>
      <c r="K37" s="68"/>
      <c r="L37" s="60"/>
      <c r="M37" s="60"/>
      <c r="N37" s="60"/>
      <c r="O37" s="60"/>
      <c r="P37" s="60"/>
      <c r="Q37" s="60"/>
      <c r="R37" s="60"/>
      <c r="S37" s="60"/>
      <c r="T37" s="60"/>
      <c r="U37" s="67"/>
      <c r="V37" s="60"/>
      <c r="W37" s="60"/>
      <c r="X37" s="60"/>
      <c r="Y37" s="60"/>
      <c r="Z37" s="60"/>
      <c r="AA37" s="60"/>
      <c r="AB37" s="60"/>
      <c r="AC37" s="60"/>
      <c r="AD37" s="67"/>
      <c r="AE37" s="60"/>
      <c r="AF37" s="60"/>
      <c r="AG37" s="60"/>
      <c r="AH37" s="60"/>
      <c r="AI37" s="60"/>
      <c r="AJ37" s="60"/>
      <c r="AK37" s="60"/>
      <c r="AL37" s="60"/>
      <c r="AM37" s="67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9"/>
      <c r="BJ37" s="60"/>
      <c r="BK37" s="62"/>
      <c r="BM37" s="31">
        <f t="shared" si="0"/>
        <v>30</v>
      </c>
    </row>
    <row r="38" spans="1:67" s="71" customFormat="1" ht="15" customHeight="1" x14ac:dyDescent="0.25">
      <c r="A38" s="70"/>
      <c r="B38" s="67"/>
      <c r="C38" s="60"/>
      <c r="D38" s="60"/>
      <c r="E38" s="60"/>
      <c r="F38" s="60"/>
      <c r="G38" s="60"/>
      <c r="H38" s="60"/>
      <c r="I38" s="60"/>
      <c r="J38" s="60"/>
      <c r="K38" s="68"/>
      <c r="L38" s="60"/>
      <c r="M38" s="60"/>
      <c r="N38" s="60"/>
      <c r="O38" s="60"/>
      <c r="P38" s="60"/>
      <c r="Q38" s="60"/>
      <c r="R38" s="60"/>
      <c r="S38" s="60"/>
      <c r="T38" s="60"/>
      <c r="U38" s="67"/>
      <c r="V38" s="60"/>
      <c r="W38" s="60"/>
      <c r="X38" s="60"/>
      <c r="Y38" s="60"/>
      <c r="Z38" s="60"/>
      <c r="AA38" s="60"/>
      <c r="AB38" s="60"/>
      <c r="AC38" s="60"/>
      <c r="AD38" s="67"/>
      <c r="AE38" s="60"/>
      <c r="AF38" s="60"/>
      <c r="AG38" s="60"/>
      <c r="AH38" s="60"/>
      <c r="AI38" s="60"/>
      <c r="AJ38" s="60"/>
      <c r="AK38" s="60"/>
      <c r="AL38" s="60"/>
      <c r="AM38" s="67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9"/>
      <c r="BJ38" s="60"/>
      <c r="BK38" s="62"/>
      <c r="BM38" s="31">
        <f t="shared" si="0"/>
        <v>31</v>
      </c>
    </row>
    <row r="39" spans="1:67" s="71" customFormat="1" ht="15" customHeight="1" x14ac:dyDescent="0.25">
      <c r="A39" s="70"/>
      <c r="B39" s="67"/>
      <c r="C39" s="60"/>
      <c r="D39" s="60"/>
      <c r="E39" s="60"/>
      <c r="F39" s="60"/>
      <c r="G39" s="60"/>
      <c r="H39" s="60"/>
      <c r="I39" s="60"/>
      <c r="J39" s="60"/>
      <c r="K39" s="68"/>
      <c r="L39" s="60"/>
      <c r="M39" s="60"/>
      <c r="N39" s="60"/>
      <c r="O39" s="60"/>
      <c r="P39" s="60"/>
      <c r="Q39" s="60"/>
      <c r="R39" s="60"/>
      <c r="S39" s="60"/>
      <c r="T39" s="60"/>
      <c r="U39" s="67"/>
      <c r="V39" s="60"/>
      <c r="W39" s="60"/>
      <c r="X39" s="60"/>
      <c r="Y39" s="60"/>
      <c r="Z39" s="60"/>
      <c r="AA39" s="60"/>
      <c r="AB39" s="60"/>
      <c r="AC39" s="60"/>
      <c r="AD39" s="67"/>
      <c r="AE39" s="60"/>
      <c r="AF39" s="60"/>
      <c r="AG39" s="60"/>
      <c r="AH39" s="60"/>
      <c r="AI39" s="60"/>
      <c r="AJ39" s="60"/>
      <c r="AK39" s="60"/>
      <c r="AL39" s="60"/>
      <c r="AM39" s="67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9"/>
      <c r="BJ39" s="60"/>
      <c r="BK39" s="62"/>
      <c r="BM39" s="31">
        <f t="shared" si="0"/>
        <v>32</v>
      </c>
    </row>
    <row r="40" spans="1:67" s="71" customFormat="1" ht="15" customHeight="1" x14ac:dyDescent="0.25">
      <c r="A40" s="70"/>
      <c r="B40" s="67"/>
      <c r="C40" s="60"/>
      <c r="D40" s="60"/>
      <c r="E40" s="60"/>
      <c r="F40" s="60"/>
      <c r="G40" s="60"/>
      <c r="H40" s="60"/>
      <c r="I40" s="60"/>
      <c r="J40" s="60"/>
      <c r="K40" s="68"/>
      <c r="L40" s="60"/>
      <c r="M40" s="60"/>
      <c r="N40" s="60"/>
      <c r="O40" s="60"/>
      <c r="P40" s="60"/>
      <c r="Q40" s="60"/>
      <c r="R40" s="60"/>
      <c r="S40" s="60"/>
      <c r="T40" s="60"/>
      <c r="U40" s="67"/>
      <c r="V40" s="60"/>
      <c r="W40" s="60"/>
      <c r="X40" s="60"/>
      <c r="Y40" s="60"/>
      <c r="Z40" s="60"/>
      <c r="AA40" s="60"/>
      <c r="AB40" s="60"/>
      <c r="AC40" s="60"/>
      <c r="AD40" s="67"/>
      <c r="AE40" s="60"/>
      <c r="AF40" s="60"/>
      <c r="AG40" s="60"/>
      <c r="AH40" s="60"/>
      <c r="AI40" s="60"/>
      <c r="AJ40" s="60"/>
      <c r="AK40" s="60"/>
      <c r="AL40" s="60"/>
      <c r="AM40" s="67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9"/>
      <c r="BJ40" s="60"/>
      <c r="BK40" s="62"/>
      <c r="BM40" s="31">
        <f>IF(BM39=50,1,BM39+1)</f>
        <v>33</v>
      </c>
    </row>
    <row r="41" spans="1:67" s="71" customFormat="1" ht="15" customHeight="1" x14ac:dyDescent="0.25">
      <c r="A41" s="70"/>
      <c r="B41" s="67"/>
      <c r="C41" s="60"/>
      <c r="D41" s="60"/>
      <c r="E41" s="60"/>
      <c r="F41" s="60"/>
      <c r="G41" s="60"/>
      <c r="H41" s="60"/>
      <c r="I41" s="60"/>
      <c r="J41" s="60"/>
      <c r="K41" s="68"/>
      <c r="L41" s="60"/>
      <c r="M41" s="60"/>
      <c r="N41" s="60"/>
      <c r="O41" s="60"/>
      <c r="P41" s="60"/>
      <c r="Q41" s="60"/>
      <c r="R41" s="60"/>
      <c r="S41" s="60"/>
      <c r="T41" s="60"/>
      <c r="U41" s="67"/>
      <c r="V41" s="60"/>
      <c r="W41" s="60"/>
      <c r="X41" s="60"/>
      <c r="Y41" s="60"/>
      <c r="Z41" s="60"/>
      <c r="AA41" s="60"/>
      <c r="AB41" s="60"/>
      <c r="AC41" s="60"/>
      <c r="AD41" s="67"/>
      <c r="AE41" s="60"/>
      <c r="AF41" s="60"/>
      <c r="AG41" s="60"/>
      <c r="AH41" s="60"/>
      <c r="AI41" s="60"/>
      <c r="AJ41" s="60"/>
      <c r="AK41" s="60"/>
      <c r="AL41" s="60"/>
      <c r="AM41" s="67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9"/>
      <c r="BJ41" s="60"/>
      <c r="BK41" s="62"/>
      <c r="BM41" s="31">
        <f t="shared" ref="BM41:BM98" si="1">IF(BM40=50,1,BM40+1)</f>
        <v>34</v>
      </c>
    </row>
    <row r="42" spans="1:67" s="71" customFormat="1" ht="15" customHeight="1" x14ac:dyDescent="0.25">
      <c r="A42" s="70"/>
      <c r="B42" s="67"/>
      <c r="C42" s="60"/>
      <c r="D42" s="60"/>
      <c r="E42" s="60"/>
      <c r="F42" s="60"/>
      <c r="G42" s="60"/>
      <c r="H42" s="60"/>
      <c r="I42" s="60"/>
      <c r="J42" s="60"/>
      <c r="K42" s="68"/>
      <c r="L42" s="60"/>
      <c r="M42" s="60"/>
      <c r="N42" s="60"/>
      <c r="O42" s="60"/>
      <c r="P42" s="60"/>
      <c r="Q42" s="60"/>
      <c r="R42" s="60"/>
      <c r="S42" s="60"/>
      <c r="T42" s="60"/>
      <c r="U42" s="67"/>
      <c r="V42" s="60"/>
      <c r="W42" s="60"/>
      <c r="X42" s="60"/>
      <c r="Y42" s="60"/>
      <c r="Z42" s="60"/>
      <c r="AA42" s="60"/>
      <c r="AB42" s="60"/>
      <c r="AC42" s="60"/>
      <c r="AD42" s="67"/>
      <c r="AE42" s="60"/>
      <c r="AF42" s="60"/>
      <c r="AG42" s="60"/>
      <c r="AH42" s="60"/>
      <c r="AI42" s="60"/>
      <c r="AJ42" s="60"/>
      <c r="AK42" s="60"/>
      <c r="AL42" s="60"/>
      <c r="AM42" s="67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9"/>
      <c r="BJ42" s="60"/>
      <c r="BK42" s="62"/>
      <c r="BM42" s="31">
        <f t="shared" si="1"/>
        <v>35</v>
      </c>
    </row>
    <row r="43" spans="1:67" s="71" customFormat="1" ht="15" customHeight="1" x14ac:dyDescent="0.25">
      <c r="A43" s="70"/>
      <c r="B43" s="67"/>
      <c r="C43" s="60"/>
      <c r="D43" s="60"/>
      <c r="E43" s="60"/>
      <c r="F43" s="60"/>
      <c r="G43" s="60"/>
      <c r="H43" s="60"/>
      <c r="I43" s="60"/>
      <c r="J43" s="60"/>
      <c r="K43" s="68"/>
      <c r="L43" s="60"/>
      <c r="M43" s="60"/>
      <c r="N43" s="60"/>
      <c r="O43" s="60"/>
      <c r="P43" s="60"/>
      <c r="Q43" s="60"/>
      <c r="R43" s="60"/>
      <c r="S43" s="60"/>
      <c r="T43" s="60"/>
      <c r="U43" s="67"/>
      <c r="V43" s="60"/>
      <c r="W43" s="60"/>
      <c r="X43" s="60"/>
      <c r="Y43" s="60"/>
      <c r="Z43" s="60"/>
      <c r="AA43" s="60"/>
      <c r="AB43" s="60"/>
      <c r="AC43" s="60"/>
      <c r="AD43" s="67"/>
      <c r="AE43" s="60"/>
      <c r="AF43" s="60"/>
      <c r="AG43" s="60"/>
      <c r="AH43" s="60"/>
      <c r="AI43" s="60"/>
      <c r="AJ43" s="60"/>
      <c r="AK43" s="60"/>
      <c r="AL43" s="60"/>
      <c r="AM43" s="67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9"/>
      <c r="BJ43" s="60"/>
      <c r="BK43" s="62"/>
      <c r="BM43" s="31">
        <f t="shared" si="1"/>
        <v>36</v>
      </c>
    </row>
    <row r="44" spans="1:67" s="71" customFormat="1" ht="15" customHeight="1" x14ac:dyDescent="0.25">
      <c r="A44" s="70"/>
      <c r="B44" s="67"/>
      <c r="C44" s="60"/>
      <c r="D44" s="60"/>
      <c r="E44" s="60"/>
      <c r="F44" s="60"/>
      <c r="G44" s="60"/>
      <c r="H44" s="60"/>
      <c r="I44" s="60"/>
      <c r="J44" s="60"/>
      <c r="K44" s="68"/>
      <c r="L44" s="60"/>
      <c r="M44" s="60"/>
      <c r="N44" s="60"/>
      <c r="O44" s="60"/>
      <c r="P44" s="60"/>
      <c r="Q44" s="60"/>
      <c r="R44" s="60"/>
      <c r="S44" s="60"/>
      <c r="T44" s="60"/>
      <c r="U44" s="67"/>
      <c r="V44" s="60"/>
      <c r="W44" s="60"/>
      <c r="X44" s="60"/>
      <c r="Y44" s="60"/>
      <c r="Z44" s="60"/>
      <c r="AA44" s="60"/>
      <c r="AB44" s="60"/>
      <c r="AC44" s="60"/>
      <c r="AD44" s="67"/>
      <c r="AE44" s="60"/>
      <c r="AF44" s="60"/>
      <c r="AG44" s="60"/>
      <c r="AH44" s="60"/>
      <c r="AI44" s="60"/>
      <c r="AJ44" s="60"/>
      <c r="AK44" s="60"/>
      <c r="AL44" s="60"/>
      <c r="AM44" s="67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9"/>
      <c r="BJ44" s="60"/>
      <c r="BK44" s="62"/>
      <c r="BM44" s="31">
        <f t="shared" si="1"/>
        <v>37</v>
      </c>
    </row>
    <row r="45" spans="1:67" s="71" customFormat="1" ht="15" customHeight="1" x14ac:dyDescent="0.25">
      <c r="A45" s="70"/>
      <c r="B45" s="67"/>
      <c r="C45" s="60"/>
      <c r="D45" s="60"/>
      <c r="E45" s="60"/>
      <c r="F45" s="60"/>
      <c r="G45" s="60"/>
      <c r="H45" s="60"/>
      <c r="I45" s="60"/>
      <c r="J45" s="60"/>
      <c r="K45" s="68"/>
      <c r="L45" s="60"/>
      <c r="M45" s="60"/>
      <c r="N45" s="60"/>
      <c r="O45" s="60"/>
      <c r="P45" s="60"/>
      <c r="Q45" s="60"/>
      <c r="R45" s="60"/>
      <c r="S45" s="60"/>
      <c r="T45" s="60"/>
      <c r="U45" s="67"/>
      <c r="V45" s="60"/>
      <c r="W45" s="60"/>
      <c r="X45" s="60"/>
      <c r="Y45" s="60"/>
      <c r="Z45" s="60"/>
      <c r="AA45" s="60"/>
      <c r="AB45" s="60"/>
      <c r="AC45" s="60"/>
      <c r="AD45" s="67"/>
      <c r="AE45" s="60"/>
      <c r="AF45" s="60"/>
      <c r="AG45" s="60"/>
      <c r="AH45" s="60"/>
      <c r="AI45" s="60"/>
      <c r="AJ45" s="60"/>
      <c r="AK45" s="60"/>
      <c r="AL45" s="60"/>
      <c r="AM45" s="67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9"/>
      <c r="BJ45" s="60"/>
      <c r="BK45" s="62"/>
      <c r="BM45" s="31">
        <f t="shared" si="1"/>
        <v>38</v>
      </c>
      <c r="BO45" s="71" t="s">
        <v>64</v>
      </c>
    </row>
    <row r="46" spans="1:67" s="71" customFormat="1" ht="15" customHeight="1" x14ac:dyDescent="0.25">
      <c r="A46" s="70"/>
      <c r="B46" s="67"/>
      <c r="C46" s="60"/>
      <c r="D46" s="60"/>
      <c r="E46" s="60"/>
      <c r="F46" s="60"/>
      <c r="G46" s="60"/>
      <c r="H46" s="60"/>
      <c r="I46" s="60"/>
      <c r="J46" s="60"/>
      <c r="K46" s="68"/>
      <c r="L46" s="60"/>
      <c r="M46" s="60"/>
      <c r="N46" s="60"/>
      <c r="O46" s="60"/>
      <c r="P46" s="60"/>
      <c r="Q46" s="60"/>
      <c r="R46" s="60"/>
      <c r="S46" s="60"/>
      <c r="T46" s="60"/>
      <c r="U46" s="67"/>
      <c r="V46" s="60"/>
      <c r="W46" s="60"/>
      <c r="X46" s="60"/>
      <c r="Y46" s="60"/>
      <c r="Z46" s="60"/>
      <c r="AA46" s="60"/>
      <c r="AB46" s="60"/>
      <c r="AC46" s="60"/>
      <c r="AD46" s="67"/>
      <c r="AE46" s="60"/>
      <c r="AF46" s="60"/>
      <c r="AG46" s="60"/>
      <c r="AH46" s="60"/>
      <c r="AI46" s="60"/>
      <c r="AJ46" s="60"/>
      <c r="AK46" s="60"/>
      <c r="AL46" s="60"/>
      <c r="AM46" s="67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9"/>
      <c r="BJ46" s="60"/>
      <c r="BK46" s="62"/>
      <c r="BM46" s="31">
        <f t="shared" si="1"/>
        <v>39</v>
      </c>
    </row>
    <row r="47" spans="1:67" s="71" customFormat="1" ht="15" customHeight="1" x14ac:dyDescent="0.25">
      <c r="A47" s="70"/>
      <c r="B47" s="67"/>
      <c r="C47" s="60"/>
      <c r="D47" s="60"/>
      <c r="E47" s="60"/>
      <c r="F47" s="60"/>
      <c r="G47" s="60"/>
      <c r="H47" s="60"/>
      <c r="I47" s="60"/>
      <c r="J47" s="60"/>
      <c r="K47" s="68"/>
      <c r="L47" s="60"/>
      <c r="M47" s="60"/>
      <c r="N47" s="60"/>
      <c r="O47" s="60"/>
      <c r="P47" s="60"/>
      <c r="Q47" s="60"/>
      <c r="R47" s="60"/>
      <c r="S47" s="60"/>
      <c r="T47" s="60"/>
      <c r="U47" s="67"/>
      <c r="V47" s="60"/>
      <c r="W47" s="60"/>
      <c r="X47" s="60"/>
      <c r="Y47" s="60"/>
      <c r="Z47" s="60"/>
      <c r="AA47" s="60"/>
      <c r="AB47" s="60"/>
      <c r="AC47" s="60"/>
      <c r="AD47" s="67"/>
      <c r="AE47" s="60"/>
      <c r="AF47" s="60"/>
      <c r="AG47" s="60"/>
      <c r="AH47" s="60"/>
      <c r="AI47" s="60"/>
      <c r="AJ47" s="60"/>
      <c r="AK47" s="60"/>
      <c r="AL47" s="60"/>
      <c r="AM47" s="67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9"/>
      <c r="BJ47" s="60"/>
      <c r="BK47" s="62"/>
      <c r="BM47" s="31">
        <f t="shared" si="1"/>
        <v>40</v>
      </c>
    </row>
    <row r="48" spans="1:67" s="71" customFormat="1" ht="15" customHeight="1" x14ac:dyDescent="0.25">
      <c r="A48" s="70"/>
      <c r="B48" s="67"/>
      <c r="C48" s="60"/>
      <c r="D48" s="60"/>
      <c r="E48" s="60"/>
      <c r="F48" s="60"/>
      <c r="G48" s="60"/>
      <c r="H48" s="60"/>
      <c r="I48" s="60"/>
      <c r="J48" s="60"/>
      <c r="K48" s="68"/>
      <c r="L48" s="60"/>
      <c r="M48" s="60"/>
      <c r="N48" s="60"/>
      <c r="O48" s="60"/>
      <c r="P48" s="60"/>
      <c r="Q48" s="60"/>
      <c r="R48" s="60"/>
      <c r="S48" s="60"/>
      <c r="T48" s="60"/>
      <c r="U48" s="67"/>
      <c r="V48" s="60"/>
      <c r="W48" s="60"/>
      <c r="X48" s="60"/>
      <c r="Y48" s="60"/>
      <c r="Z48" s="60"/>
      <c r="AA48" s="60"/>
      <c r="AB48" s="60"/>
      <c r="AC48" s="60"/>
      <c r="AD48" s="67"/>
      <c r="AE48" s="60"/>
      <c r="AF48" s="60"/>
      <c r="AG48" s="60"/>
      <c r="AH48" s="60"/>
      <c r="AI48" s="60"/>
      <c r="AJ48" s="60"/>
      <c r="AK48" s="60"/>
      <c r="AL48" s="60"/>
      <c r="AM48" s="67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9"/>
      <c r="BJ48" s="60"/>
      <c r="BK48" s="62"/>
      <c r="BM48" s="31">
        <f t="shared" si="1"/>
        <v>41</v>
      </c>
    </row>
    <row r="49" spans="1:67" s="71" customFormat="1" ht="15" customHeight="1" x14ac:dyDescent="0.25">
      <c r="A49" s="70"/>
      <c r="B49" s="67"/>
      <c r="C49" s="60"/>
      <c r="D49" s="60"/>
      <c r="E49" s="60"/>
      <c r="F49" s="60"/>
      <c r="G49" s="60"/>
      <c r="H49" s="60"/>
      <c r="I49" s="60"/>
      <c r="J49" s="60"/>
      <c r="K49" s="68"/>
      <c r="L49" s="60"/>
      <c r="M49" s="60"/>
      <c r="N49" s="60"/>
      <c r="O49" s="60"/>
      <c r="P49" s="60"/>
      <c r="Q49" s="60"/>
      <c r="R49" s="60"/>
      <c r="S49" s="60"/>
      <c r="T49" s="60"/>
      <c r="U49" s="67"/>
      <c r="V49" s="60"/>
      <c r="W49" s="60"/>
      <c r="X49" s="60"/>
      <c r="Y49" s="60"/>
      <c r="Z49" s="60"/>
      <c r="AA49" s="60"/>
      <c r="AB49" s="60"/>
      <c r="AC49" s="60"/>
      <c r="AD49" s="67"/>
      <c r="AE49" s="60"/>
      <c r="AF49" s="60"/>
      <c r="AG49" s="60"/>
      <c r="AH49" s="60"/>
      <c r="AI49" s="60"/>
      <c r="AJ49" s="60"/>
      <c r="AK49" s="60"/>
      <c r="AL49" s="60"/>
      <c r="AM49" s="67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9"/>
      <c r="BJ49" s="60"/>
      <c r="BK49" s="62"/>
      <c r="BM49" s="31">
        <f t="shared" si="1"/>
        <v>42</v>
      </c>
    </row>
    <row r="50" spans="1:67" s="71" customFormat="1" ht="15" customHeight="1" x14ac:dyDescent="0.25">
      <c r="A50" s="70"/>
      <c r="B50" s="67"/>
      <c r="C50" s="60"/>
      <c r="D50" s="60"/>
      <c r="E50" s="60"/>
      <c r="F50" s="60"/>
      <c r="G50" s="60"/>
      <c r="H50" s="60"/>
      <c r="I50" s="60"/>
      <c r="J50" s="60"/>
      <c r="K50" s="68"/>
      <c r="L50" s="60"/>
      <c r="M50" s="60"/>
      <c r="N50" s="60"/>
      <c r="O50" s="60"/>
      <c r="P50" s="60"/>
      <c r="Q50" s="60"/>
      <c r="R50" s="60"/>
      <c r="S50" s="60"/>
      <c r="T50" s="60"/>
      <c r="U50" s="67"/>
      <c r="V50" s="60"/>
      <c r="W50" s="60"/>
      <c r="X50" s="60"/>
      <c r="Y50" s="60"/>
      <c r="Z50" s="60"/>
      <c r="AA50" s="60"/>
      <c r="AB50" s="60"/>
      <c r="AC50" s="60"/>
      <c r="AD50" s="67"/>
      <c r="AE50" s="60"/>
      <c r="AF50" s="60"/>
      <c r="AG50" s="60"/>
      <c r="AH50" s="60"/>
      <c r="AI50" s="60"/>
      <c r="AJ50" s="60"/>
      <c r="AK50" s="60"/>
      <c r="AL50" s="60"/>
      <c r="AM50" s="67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9"/>
      <c r="BJ50" s="60"/>
      <c r="BK50" s="62"/>
      <c r="BM50" s="31">
        <f t="shared" si="1"/>
        <v>43</v>
      </c>
    </row>
    <row r="51" spans="1:67" s="71" customFormat="1" ht="15" customHeight="1" x14ac:dyDescent="0.25">
      <c r="A51" s="70"/>
      <c r="B51" s="67"/>
      <c r="C51" s="60"/>
      <c r="D51" s="60"/>
      <c r="E51" s="60"/>
      <c r="F51" s="60"/>
      <c r="G51" s="60"/>
      <c r="H51" s="60"/>
      <c r="I51" s="60"/>
      <c r="J51" s="60"/>
      <c r="K51" s="68"/>
      <c r="L51" s="60"/>
      <c r="M51" s="60"/>
      <c r="N51" s="60"/>
      <c r="O51" s="60"/>
      <c r="P51" s="60"/>
      <c r="Q51" s="60"/>
      <c r="R51" s="60"/>
      <c r="S51" s="60"/>
      <c r="T51" s="60"/>
      <c r="U51" s="67"/>
      <c r="V51" s="60"/>
      <c r="W51" s="60"/>
      <c r="X51" s="60"/>
      <c r="Y51" s="60"/>
      <c r="Z51" s="60"/>
      <c r="AA51" s="60"/>
      <c r="AB51" s="60"/>
      <c r="AC51" s="60"/>
      <c r="AD51" s="67"/>
      <c r="AE51" s="60"/>
      <c r="AF51" s="60"/>
      <c r="AG51" s="60"/>
      <c r="AH51" s="60"/>
      <c r="AI51" s="60"/>
      <c r="AJ51" s="60"/>
      <c r="AK51" s="60"/>
      <c r="AL51" s="60"/>
      <c r="AM51" s="67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9"/>
      <c r="BJ51" s="60"/>
      <c r="BK51" s="62"/>
      <c r="BM51" s="31">
        <f t="shared" si="1"/>
        <v>44</v>
      </c>
    </row>
    <row r="52" spans="1:67" s="71" customFormat="1" ht="15" customHeight="1" x14ac:dyDescent="0.25">
      <c r="A52" s="70"/>
      <c r="B52" s="67"/>
      <c r="C52" s="60"/>
      <c r="D52" s="60"/>
      <c r="E52" s="60"/>
      <c r="F52" s="60"/>
      <c r="G52" s="60"/>
      <c r="H52" s="60"/>
      <c r="I52" s="60"/>
      <c r="J52" s="60"/>
      <c r="K52" s="68"/>
      <c r="L52" s="60"/>
      <c r="M52" s="60"/>
      <c r="N52" s="60"/>
      <c r="O52" s="60"/>
      <c r="P52" s="60"/>
      <c r="Q52" s="60"/>
      <c r="R52" s="60"/>
      <c r="S52" s="60"/>
      <c r="T52" s="60"/>
      <c r="U52" s="67"/>
      <c r="V52" s="60"/>
      <c r="W52" s="60"/>
      <c r="X52" s="60"/>
      <c r="Y52" s="60"/>
      <c r="Z52" s="60"/>
      <c r="AA52" s="60"/>
      <c r="AB52" s="60"/>
      <c r="AC52" s="60"/>
      <c r="AD52" s="67"/>
      <c r="AE52" s="60"/>
      <c r="AF52" s="60"/>
      <c r="AG52" s="60"/>
      <c r="AH52" s="60"/>
      <c r="AI52" s="60"/>
      <c r="AJ52" s="60"/>
      <c r="AK52" s="60"/>
      <c r="AL52" s="60"/>
      <c r="AM52" s="67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9"/>
      <c r="BJ52" s="60"/>
      <c r="BK52" s="62"/>
      <c r="BM52" s="31">
        <f>IF(BM51=50,1,BM51+1)</f>
        <v>45</v>
      </c>
    </row>
    <row r="53" spans="1:67" s="71" customFormat="1" ht="15" customHeight="1" x14ac:dyDescent="0.25">
      <c r="A53" s="70"/>
      <c r="B53" s="67"/>
      <c r="C53" s="60"/>
      <c r="D53" s="60"/>
      <c r="E53" s="60"/>
      <c r="F53" s="60"/>
      <c r="G53" s="60"/>
      <c r="H53" s="60"/>
      <c r="I53" s="60"/>
      <c r="J53" s="60"/>
      <c r="K53" s="68"/>
      <c r="L53" s="60"/>
      <c r="M53" s="60"/>
      <c r="N53" s="60"/>
      <c r="O53" s="60"/>
      <c r="P53" s="60"/>
      <c r="Q53" s="60"/>
      <c r="R53" s="60"/>
      <c r="S53" s="60"/>
      <c r="T53" s="60"/>
      <c r="U53" s="67"/>
      <c r="V53" s="60"/>
      <c r="W53" s="60"/>
      <c r="X53" s="60"/>
      <c r="Y53" s="60"/>
      <c r="Z53" s="60"/>
      <c r="AA53" s="60"/>
      <c r="AB53" s="60"/>
      <c r="AC53" s="60"/>
      <c r="AD53" s="67"/>
      <c r="AE53" s="60"/>
      <c r="AF53" s="60"/>
      <c r="AG53" s="60"/>
      <c r="AH53" s="60"/>
      <c r="AI53" s="60"/>
      <c r="AJ53" s="60"/>
      <c r="AK53" s="60"/>
      <c r="AL53" s="60"/>
      <c r="AM53" s="67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9"/>
      <c r="BJ53" s="60"/>
      <c r="BK53" s="62"/>
      <c r="BM53" s="31">
        <f t="shared" si="1"/>
        <v>46</v>
      </c>
    </row>
    <row r="54" spans="1:67" s="71" customFormat="1" ht="15" customHeight="1" x14ac:dyDescent="0.25">
      <c r="A54" s="70"/>
      <c r="B54" s="67"/>
      <c r="C54" s="60"/>
      <c r="D54" s="60"/>
      <c r="E54" s="60"/>
      <c r="F54" s="60"/>
      <c r="G54" s="60"/>
      <c r="H54" s="60"/>
      <c r="I54" s="60"/>
      <c r="J54" s="60"/>
      <c r="K54" s="68"/>
      <c r="L54" s="60"/>
      <c r="M54" s="60"/>
      <c r="N54" s="60"/>
      <c r="O54" s="60"/>
      <c r="P54" s="60"/>
      <c r="Q54" s="60"/>
      <c r="R54" s="60"/>
      <c r="S54" s="60"/>
      <c r="T54" s="60"/>
      <c r="U54" s="67"/>
      <c r="V54" s="60"/>
      <c r="W54" s="60"/>
      <c r="X54" s="60"/>
      <c r="Y54" s="60"/>
      <c r="Z54" s="60"/>
      <c r="AA54" s="60"/>
      <c r="AB54" s="60"/>
      <c r="AC54" s="60"/>
      <c r="AD54" s="67"/>
      <c r="AE54" s="60"/>
      <c r="AF54" s="60"/>
      <c r="AG54" s="60"/>
      <c r="AH54" s="60"/>
      <c r="AI54" s="60"/>
      <c r="AJ54" s="60"/>
      <c r="AK54" s="60"/>
      <c r="AL54" s="60"/>
      <c r="AM54" s="67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9"/>
      <c r="BJ54" s="60"/>
      <c r="BK54" s="62"/>
      <c r="BM54" s="31">
        <f t="shared" si="1"/>
        <v>47</v>
      </c>
    </row>
    <row r="55" spans="1:67" s="71" customFormat="1" ht="15" customHeight="1" x14ac:dyDescent="0.25">
      <c r="A55" s="70"/>
      <c r="B55" s="67"/>
      <c r="C55" s="60"/>
      <c r="D55" s="60"/>
      <c r="E55" s="60"/>
      <c r="F55" s="60"/>
      <c r="G55" s="60"/>
      <c r="H55" s="60"/>
      <c r="I55" s="60"/>
      <c r="J55" s="60"/>
      <c r="K55" s="68"/>
      <c r="L55" s="60"/>
      <c r="M55" s="60"/>
      <c r="N55" s="60"/>
      <c r="O55" s="60"/>
      <c r="P55" s="60"/>
      <c r="Q55" s="60"/>
      <c r="R55" s="60"/>
      <c r="S55" s="60"/>
      <c r="T55" s="60"/>
      <c r="U55" s="67"/>
      <c r="V55" s="60"/>
      <c r="W55" s="60"/>
      <c r="X55" s="60"/>
      <c r="Y55" s="60"/>
      <c r="Z55" s="60"/>
      <c r="AA55" s="60"/>
      <c r="AB55" s="60"/>
      <c r="AC55" s="60"/>
      <c r="AD55" s="67"/>
      <c r="AE55" s="60"/>
      <c r="AF55" s="60"/>
      <c r="AG55" s="60"/>
      <c r="AH55" s="60"/>
      <c r="AI55" s="60"/>
      <c r="AJ55" s="60"/>
      <c r="AK55" s="60"/>
      <c r="AL55" s="60"/>
      <c r="AM55" s="67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9"/>
      <c r="BJ55" s="60"/>
      <c r="BK55" s="62"/>
      <c r="BM55" s="31">
        <f t="shared" si="1"/>
        <v>48</v>
      </c>
    </row>
    <row r="56" spans="1:67" s="71" customFormat="1" ht="15" customHeight="1" x14ac:dyDescent="0.25">
      <c r="A56" s="70"/>
      <c r="B56" s="67"/>
      <c r="C56" s="60"/>
      <c r="D56" s="60"/>
      <c r="E56" s="60"/>
      <c r="F56" s="60"/>
      <c r="G56" s="60"/>
      <c r="H56" s="60"/>
      <c r="I56" s="60"/>
      <c r="J56" s="60"/>
      <c r="K56" s="68"/>
      <c r="L56" s="60"/>
      <c r="M56" s="60"/>
      <c r="N56" s="60"/>
      <c r="O56" s="60"/>
      <c r="P56" s="60"/>
      <c r="Q56" s="60"/>
      <c r="R56" s="60"/>
      <c r="S56" s="60"/>
      <c r="T56" s="60"/>
      <c r="U56" s="67"/>
      <c r="V56" s="60"/>
      <c r="W56" s="60"/>
      <c r="X56" s="60"/>
      <c r="Y56" s="60"/>
      <c r="Z56" s="60"/>
      <c r="AA56" s="60"/>
      <c r="AB56" s="60"/>
      <c r="AC56" s="60"/>
      <c r="AD56" s="67"/>
      <c r="AE56" s="60"/>
      <c r="AF56" s="60"/>
      <c r="AG56" s="60"/>
      <c r="AH56" s="60"/>
      <c r="AI56" s="60"/>
      <c r="AJ56" s="60"/>
      <c r="AK56" s="60"/>
      <c r="AL56" s="60"/>
      <c r="AM56" s="67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9"/>
      <c r="BJ56" s="60"/>
      <c r="BK56" s="62"/>
      <c r="BM56" s="31">
        <f t="shared" si="1"/>
        <v>49</v>
      </c>
    </row>
    <row r="57" spans="1:67" s="71" customFormat="1" ht="15" customHeight="1" x14ac:dyDescent="0.25">
      <c r="A57" s="70"/>
      <c r="B57" s="67"/>
      <c r="C57" s="60"/>
      <c r="D57" s="60"/>
      <c r="E57" s="60"/>
      <c r="F57" s="60"/>
      <c r="G57" s="60"/>
      <c r="H57" s="60"/>
      <c r="I57" s="60"/>
      <c r="J57" s="60"/>
      <c r="K57" s="68"/>
      <c r="L57" s="60"/>
      <c r="M57" s="60"/>
      <c r="N57" s="60"/>
      <c r="O57" s="60"/>
      <c r="P57" s="60"/>
      <c r="Q57" s="60"/>
      <c r="R57" s="60"/>
      <c r="S57" s="60"/>
      <c r="T57" s="60"/>
      <c r="U57" s="67"/>
      <c r="V57" s="60"/>
      <c r="W57" s="60"/>
      <c r="X57" s="60"/>
      <c r="Y57" s="60"/>
      <c r="Z57" s="60"/>
      <c r="AA57" s="60"/>
      <c r="AB57" s="60"/>
      <c r="AC57" s="60"/>
      <c r="AD57" s="67"/>
      <c r="AE57" s="60"/>
      <c r="AF57" s="60"/>
      <c r="AG57" s="60"/>
      <c r="AH57" s="60"/>
      <c r="AI57" s="60"/>
      <c r="AJ57" s="60"/>
      <c r="AK57" s="60"/>
      <c r="AL57" s="60"/>
      <c r="AM57" s="67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9"/>
      <c r="BJ57" s="60"/>
      <c r="BK57" s="62"/>
      <c r="BM57" s="31">
        <f t="shared" si="1"/>
        <v>50</v>
      </c>
    </row>
    <row r="58" spans="1:67" s="71" customFormat="1" ht="15" customHeight="1" x14ac:dyDescent="0.25">
      <c r="A58" s="70"/>
      <c r="B58" s="67"/>
      <c r="C58" s="60"/>
      <c r="D58" s="60"/>
      <c r="E58" s="60"/>
      <c r="F58" s="60"/>
      <c r="G58" s="60"/>
      <c r="H58" s="60"/>
      <c r="I58" s="60"/>
      <c r="J58" s="60"/>
      <c r="K58" s="68"/>
      <c r="L58" s="60"/>
      <c r="M58" s="60"/>
      <c r="N58" s="60"/>
      <c r="O58" s="60"/>
      <c r="P58" s="60"/>
      <c r="Q58" s="60"/>
      <c r="R58" s="60"/>
      <c r="S58" s="60"/>
      <c r="T58" s="60"/>
      <c r="U58" s="67"/>
      <c r="V58" s="60"/>
      <c r="W58" s="60"/>
      <c r="X58" s="60"/>
      <c r="Y58" s="60"/>
      <c r="Z58" s="60"/>
      <c r="AA58" s="60"/>
      <c r="AB58" s="60"/>
      <c r="AC58" s="60"/>
      <c r="AD58" s="67"/>
      <c r="AE58" s="60"/>
      <c r="AF58" s="60"/>
      <c r="AG58" s="60"/>
      <c r="AH58" s="60"/>
      <c r="AI58" s="60"/>
      <c r="AJ58" s="60"/>
      <c r="AK58" s="60"/>
      <c r="AL58" s="60"/>
      <c r="AM58" s="67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9"/>
      <c r="BJ58" s="60"/>
      <c r="BK58" s="62"/>
      <c r="BM58" s="31">
        <f t="shared" si="1"/>
        <v>1</v>
      </c>
    </row>
    <row r="59" spans="1:67" s="71" customFormat="1" ht="15" customHeight="1" x14ac:dyDescent="0.25">
      <c r="A59" s="70"/>
      <c r="B59" s="67"/>
      <c r="C59" s="60"/>
      <c r="D59" s="60"/>
      <c r="E59" s="60"/>
      <c r="F59" s="60"/>
      <c r="G59" s="60"/>
      <c r="H59" s="60"/>
      <c r="I59" s="60"/>
      <c r="J59" s="60"/>
      <c r="K59" s="68"/>
      <c r="L59" s="60"/>
      <c r="M59" s="60"/>
      <c r="N59" s="60"/>
      <c r="O59" s="60"/>
      <c r="P59" s="60"/>
      <c r="Q59" s="60"/>
      <c r="R59" s="60"/>
      <c r="S59" s="60"/>
      <c r="T59" s="60"/>
      <c r="U59" s="67"/>
      <c r="V59" s="60"/>
      <c r="W59" s="60"/>
      <c r="X59" s="60"/>
      <c r="Y59" s="60"/>
      <c r="Z59" s="60"/>
      <c r="AA59" s="60"/>
      <c r="AB59" s="60"/>
      <c r="AC59" s="60"/>
      <c r="AD59" s="67"/>
      <c r="AE59" s="60"/>
      <c r="AF59" s="60"/>
      <c r="AG59" s="60"/>
      <c r="AH59" s="60"/>
      <c r="AI59" s="60"/>
      <c r="AJ59" s="60"/>
      <c r="AK59" s="60"/>
      <c r="AL59" s="60"/>
      <c r="AM59" s="67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9"/>
      <c r="BJ59" s="60"/>
      <c r="BK59" s="62"/>
      <c r="BM59" s="31">
        <f t="shared" si="1"/>
        <v>2</v>
      </c>
    </row>
    <row r="60" spans="1:67" s="71" customFormat="1" ht="15" customHeight="1" x14ac:dyDescent="0.25">
      <c r="B60" s="67"/>
      <c r="C60" s="60"/>
      <c r="D60" s="60"/>
      <c r="E60" s="60"/>
      <c r="F60" s="60"/>
      <c r="G60" s="60"/>
      <c r="H60" s="60"/>
      <c r="I60" s="60"/>
      <c r="J60" s="60"/>
      <c r="K60" s="68"/>
      <c r="L60" s="60"/>
      <c r="M60" s="60"/>
      <c r="N60" s="60"/>
      <c r="O60" s="60"/>
      <c r="P60" s="60"/>
      <c r="Q60" s="60"/>
      <c r="R60" s="60"/>
      <c r="S60" s="60"/>
      <c r="T60" s="60"/>
      <c r="U60" s="67"/>
      <c r="V60" s="60"/>
      <c r="W60" s="60"/>
      <c r="X60" s="60"/>
      <c r="Y60" s="60"/>
      <c r="Z60" s="60"/>
      <c r="AA60" s="60"/>
      <c r="AB60" s="60"/>
      <c r="AC60" s="60"/>
      <c r="AD60" s="67"/>
      <c r="AE60" s="60"/>
      <c r="AF60" s="60"/>
      <c r="AG60" s="60"/>
      <c r="AH60" s="60"/>
      <c r="AI60" s="60"/>
      <c r="AJ60" s="60"/>
      <c r="AK60" s="60"/>
      <c r="AL60" s="60"/>
      <c r="AM60" s="67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9"/>
      <c r="BJ60" s="60"/>
      <c r="BK60" s="62"/>
      <c r="BM60" s="31">
        <f t="shared" si="1"/>
        <v>3</v>
      </c>
    </row>
    <row r="61" spans="1:67" ht="15" customHeight="1" x14ac:dyDescent="0.25">
      <c r="B61" s="67"/>
      <c r="K61" s="68"/>
      <c r="U61" s="67"/>
      <c r="AD61" s="67"/>
      <c r="AM61" s="67"/>
      <c r="BI61" s="69"/>
      <c r="BK61" s="62"/>
      <c r="BM61" s="31">
        <f t="shared" si="1"/>
        <v>4</v>
      </c>
    </row>
    <row r="62" spans="1:67" ht="15" customHeight="1" x14ac:dyDescent="0.25">
      <c r="B62" s="67"/>
      <c r="K62" s="68"/>
      <c r="U62" s="67"/>
      <c r="AD62" s="67"/>
      <c r="AM62" s="67"/>
      <c r="BI62" s="69"/>
      <c r="BK62" s="62"/>
      <c r="BM62" s="31">
        <f>IF(BM61=50,1,BM61+1)</f>
        <v>5</v>
      </c>
    </row>
    <row r="63" spans="1:67" ht="15" customHeight="1" x14ac:dyDescent="0.25">
      <c r="B63" s="67"/>
      <c r="K63" s="68"/>
      <c r="U63" s="67"/>
      <c r="AD63" s="67"/>
      <c r="AM63" s="67"/>
      <c r="BI63" s="69"/>
      <c r="BK63" s="62"/>
      <c r="BM63" s="31">
        <f t="shared" si="1"/>
        <v>6</v>
      </c>
    </row>
    <row r="64" spans="1:67" ht="15" customHeight="1" x14ac:dyDescent="0.25">
      <c r="B64" s="67"/>
      <c r="K64" s="68"/>
      <c r="U64" s="67"/>
      <c r="AD64" s="67"/>
      <c r="AM64" s="67"/>
      <c r="BI64" s="69"/>
      <c r="BK64" s="62"/>
      <c r="BM64" s="31">
        <f t="shared" si="1"/>
        <v>7</v>
      </c>
      <c r="BO64" s="60" t="s">
        <v>65</v>
      </c>
    </row>
    <row r="65" spans="2:65" ht="15" customHeight="1" x14ac:dyDescent="0.25">
      <c r="B65" s="67"/>
      <c r="K65" s="68"/>
      <c r="U65" s="67"/>
      <c r="AD65" s="67"/>
      <c r="AM65" s="67"/>
      <c r="BI65" s="69"/>
      <c r="BK65" s="62"/>
      <c r="BM65" s="31">
        <f t="shared" si="1"/>
        <v>8</v>
      </c>
    </row>
    <row r="66" spans="2:65" ht="15" customHeight="1" x14ac:dyDescent="0.25">
      <c r="B66" s="67"/>
      <c r="K66" s="68"/>
      <c r="U66" s="67"/>
      <c r="AD66" s="67"/>
      <c r="AM66" s="67"/>
      <c r="BI66" s="69"/>
      <c r="BK66" s="62"/>
      <c r="BM66" s="31">
        <f t="shared" si="1"/>
        <v>9</v>
      </c>
    </row>
    <row r="67" spans="2:65" ht="15" customHeight="1" x14ac:dyDescent="0.25">
      <c r="B67" s="67"/>
      <c r="K67" s="68"/>
      <c r="U67" s="67"/>
      <c r="AD67" s="67"/>
      <c r="AM67" s="67"/>
      <c r="BI67" s="69"/>
      <c r="BK67" s="62"/>
      <c r="BM67" s="31">
        <f t="shared" si="1"/>
        <v>10</v>
      </c>
    </row>
    <row r="68" spans="2:65" ht="15" customHeight="1" x14ac:dyDescent="0.25">
      <c r="B68" s="67"/>
      <c r="K68" s="68"/>
      <c r="U68" s="67"/>
      <c r="AD68" s="67"/>
      <c r="AM68" s="67"/>
      <c r="BI68" s="69"/>
      <c r="BK68" s="62"/>
      <c r="BM68" s="31">
        <f t="shared" si="1"/>
        <v>11</v>
      </c>
    </row>
    <row r="69" spans="2:65" ht="15" customHeight="1" x14ac:dyDescent="0.25">
      <c r="B69" s="67"/>
      <c r="K69" s="68"/>
      <c r="U69" s="67"/>
      <c r="AD69" s="67"/>
      <c r="AM69" s="67"/>
      <c r="BI69" s="69"/>
      <c r="BK69" s="62"/>
      <c r="BM69" s="31">
        <f t="shared" si="1"/>
        <v>12</v>
      </c>
    </row>
    <row r="70" spans="2:65" ht="15" customHeight="1" x14ac:dyDescent="0.25">
      <c r="B70" s="67"/>
      <c r="K70" s="68"/>
      <c r="U70" s="67"/>
      <c r="AD70" s="67"/>
      <c r="AM70" s="67"/>
      <c r="BI70" s="69"/>
      <c r="BK70" s="62"/>
      <c r="BM70" s="31">
        <f t="shared" si="1"/>
        <v>13</v>
      </c>
    </row>
    <row r="71" spans="2:65" ht="15" customHeight="1" x14ac:dyDescent="0.25">
      <c r="B71" s="67"/>
      <c r="K71" s="68"/>
      <c r="U71" s="67"/>
      <c r="AD71" s="67"/>
      <c r="AM71" s="67"/>
      <c r="BI71" s="69"/>
      <c r="BK71" s="62"/>
      <c r="BM71" s="31">
        <f t="shared" si="1"/>
        <v>14</v>
      </c>
    </row>
    <row r="72" spans="2:65" ht="15" customHeight="1" x14ac:dyDescent="0.25">
      <c r="B72" s="67"/>
      <c r="K72" s="68"/>
      <c r="U72" s="67"/>
      <c r="AD72" s="67"/>
      <c r="AM72" s="67"/>
      <c r="BI72" s="69"/>
      <c r="BK72" s="62"/>
      <c r="BM72" s="31">
        <f t="shared" si="1"/>
        <v>15</v>
      </c>
    </row>
    <row r="73" spans="2:65" ht="15" customHeight="1" x14ac:dyDescent="0.25">
      <c r="B73" s="67"/>
      <c r="K73" s="68"/>
      <c r="U73" s="67"/>
      <c r="AD73" s="67"/>
      <c r="AM73" s="67"/>
      <c r="BI73" s="69"/>
      <c r="BK73" s="62"/>
      <c r="BM73" s="31">
        <f t="shared" si="1"/>
        <v>16</v>
      </c>
    </row>
    <row r="74" spans="2:65" ht="15" customHeight="1" x14ac:dyDescent="0.25">
      <c r="B74" s="67"/>
      <c r="K74" s="68"/>
      <c r="U74" s="67"/>
      <c r="AD74" s="67"/>
      <c r="AM74" s="67"/>
      <c r="BI74" s="69"/>
      <c r="BK74" s="62"/>
      <c r="BM74" s="31">
        <f t="shared" si="1"/>
        <v>17</v>
      </c>
    </row>
    <row r="75" spans="2:65" ht="15" customHeight="1" x14ac:dyDescent="0.25">
      <c r="B75" s="67"/>
      <c r="K75" s="68"/>
      <c r="U75" s="67"/>
      <c r="AM75" s="67"/>
      <c r="BI75" s="69"/>
      <c r="BK75" s="62"/>
      <c r="BM75" s="31">
        <f>IF(BM74=50,1,BM74+1)</f>
        <v>18</v>
      </c>
    </row>
    <row r="76" spans="2:65" ht="15" customHeight="1" x14ac:dyDescent="0.25">
      <c r="B76" s="67"/>
      <c r="K76" s="68"/>
      <c r="U76" s="67"/>
      <c r="AD76" s="67"/>
      <c r="AM76" s="67"/>
      <c r="BI76" s="69"/>
      <c r="BK76" s="62"/>
      <c r="BM76" s="31">
        <f t="shared" si="1"/>
        <v>19</v>
      </c>
    </row>
    <row r="77" spans="2:65" ht="15" customHeight="1" x14ac:dyDescent="0.25">
      <c r="B77" s="67"/>
      <c r="K77" s="68"/>
      <c r="U77" s="67"/>
      <c r="AD77" s="67"/>
      <c r="AM77" s="67"/>
      <c r="BI77" s="69"/>
      <c r="BK77" s="62"/>
      <c r="BM77" s="31">
        <f t="shared" si="1"/>
        <v>20</v>
      </c>
    </row>
    <row r="78" spans="2:65" ht="15" customHeight="1" x14ac:dyDescent="0.25">
      <c r="B78" s="67"/>
      <c r="K78" s="68"/>
      <c r="U78" s="67"/>
      <c r="AD78" s="67"/>
      <c r="AM78" s="67"/>
      <c r="BI78" s="69"/>
      <c r="BK78" s="62"/>
      <c r="BM78" s="31">
        <f t="shared" si="1"/>
        <v>21</v>
      </c>
    </row>
    <row r="79" spans="2:65" ht="15" customHeight="1" x14ac:dyDescent="0.25">
      <c r="B79" s="67"/>
      <c r="K79" s="68"/>
      <c r="U79" s="67"/>
      <c r="AD79" s="67"/>
      <c r="AM79" s="67"/>
      <c r="BI79" s="69"/>
      <c r="BK79" s="62"/>
      <c r="BM79" s="31">
        <f t="shared" si="1"/>
        <v>22</v>
      </c>
    </row>
    <row r="80" spans="2:65" ht="15" customHeight="1" x14ac:dyDescent="0.25">
      <c r="B80" s="67"/>
      <c r="K80" s="68"/>
      <c r="U80" s="67"/>
      <c r="AD80" s="67"/>
      <c r="AM80" s="67"/>
      <c r="BI80" s="69"/>
      <c r="BK80" s="62"/>
      <c r="BM80" s="31">
        <f t="shared" si="1"/>
        <v>23</v>
      </c>
    </row>
    <row r="81" spans="2:67" ht="15" customHeight="1" x14ac:dyDescent="0.25">
      <c r="B81" s="67"/>
      <c r="K81" s="68"/>
      <c r="U81" s="67"/>
      <c r="AD81" s="67"/>
      <c r="AM81" s="67"/>
      <c r="BI81" s="69"/>
      <c r="BK81" s="62"/>
      <c r="BM81" s="31">
        <f t="shared" si="1"/>
        <v>24</v>
      </c>
    </row>
    <row r="82" spans="2:67" ht="15" customHeight="1" x14ac:dyDescent="0.25">
      <c r="B82" s="67"/>
      <c r="K82" s="68"/>
      <c r="U82" s="67"/>
      <c r="AD82" s="67"/>
      <c r="AM82" s="67"/>
      <c r="BI82" s="69"/>
      <c r="BK82" s="62"/>
      <c r="BM82" s="31">
        <f t="shared" si="1"/>
        <v>25</v>
      </c>
      <c r="BO82" s="60" t="s">
        <v>66</v>
      </c>
    </row>
    <row r="83" spans="2:67" ht="15" customHeight="1" x14ac:dyDescent="0.25">
      <c r="B83" s="67"/>
      <c r="K83" s="68"/>
      <c r="U83" s="67"/>
      <c r="AD83" s="67"/>
      <c r="AM83" s="67"/>
      <c r="BI83" s="69"/>
      <c r="BK83" s="62"/>
      <c r="BM83" s="31">
        <f t="shared" si="1"/>
        <v>26</v>
      </c>
    </row>
    <row r="84" spans="2:67" ht="15" customHeight="1" x14ac:dyDescent="0.25">
      <c r="B84" s="67"/>
      <c r="K84" s="68"/>
      <c r="U84" s="67"/>
      <c r="AD84" s="67"/>
      <c r="AM84" s="67"/>
      <c r="BI84" s="69"/>
      <c r="BK84" s="62"/>
      <c r="BM84" s="31">
        <f t="shared" si="1"/>
        <v>27</v>
      </c>
    </row>
    <row r="85" spans="2:67" ht="15" customHeight="1" x14ac:dyDescent="0.25">
      <c r="B85" s="67"/>
      <c r="K85" s="68"/>
      <c r="U85" s="67"/>
      <c r="AD85" s="67"/>
      <c r="AM85" s="67"/>
      <c r="BI85" s="69"/>
      <c r="BK85" s="62"/>
      <c r="BM85" s="31">
        <f t="shared" si="1"/>
        <v>28</v>
      </c>
    </row>
    <row r="86" spans="2:67" ht="15" customHeight="1" x14ac:dyDescent="0.25">
      <c r="B86" s="67"/>
      <c r="K86" s="68"/>
      <c r="U86" s="67"/>
      <c r="AD86" s="67"/>
      <c r="AM86" s="67"/>
      <c r="BI86" s="69"/>
      <c r="BK86" s="62"/>
      <c r="BM86" s="31">
        <f t="shared" si="1"/>
        <v>29</v>
      </c>
    </row>
    <row r="87" spans="2:67" ht="15" customHeight="1" x14ac:dyDescent="0.25">
      <c r="B87" s="67"/>
      <c r="K87" s="68"/>
      <c r="U87" s="67"/>
      <c r="AD87" s="67"/>
      <c r="AM87" s="67"/>
      <c r="BI87" s="69"/>
      <c r="BK87" s="62"/>
      <c r="BM87" s="31">
        <f t="shared" si="1"/>
        <v>30</v>
      </c>
    </row>
    <row r="88" spans="2:67" ht="15" customHeight="1" x14ac:dyDescent="0.25">
      <c r="B88" s="67"/>
      <c r="K88" s="68"/>
      <c r="U88" s="67"/>
      <c r="AD88" s="67"/>
      <c r="AM88" s="67"/>
      <c r="BI88" s="69"/>
      <c r="BK88" s="62"/>
      <c r="BM88" s="31">
        <f t="shared" si="1"/>
        <v>31</v>
      </c>
    </row>
    <row r="89" spans="2:67" ht="15" customHeight="1" x14ac:dyDescent="0.25">
      <c r="B89" s="67"/>
      <c r="K89" s="68"/>
      <c r="U89" s="67"/>
      <c r="AD89" s="67"/>
      <c r="AM89" s="67"/>
      <c r="BI89" s="69"/>
      <c r="BK89" s="62"/>
      <c r="BM89" s="31">
        <f t="shared" si="1"/>
        <v>32</v>
      </c>
    </row>
    <row r="90" spans="2:67" ht="15" customHeight="1" x14ac:dyDescent="0.25">
      <c r="B90" s="67"/>
      <c r="K90" s="68"/>
      <c r="U90" s="67"/>
      <c r="AD90" s="67"/>
      <c r="AM90" s="67"/>
      <c r="BI90" s="69"/>
      <c r="BK90" s="62"/>
      <c r="BM90" s="31">
        <f t="shared" si="1"/>
        <v>33</v>
      </c>
    </row>
    <row r="91" spans="2:67" ht="15" customHeight="1" x14ac:dyDescent="0.25">
      <c r="B91" s="67"/>
      <c r="K91" s="68"/>
      <c r="U91" s="67"/>
      <c r="AD91" s="67"/>
      <c r="AM91" s="67"/>
      <c r="BI91" s="69"/>
      <c r="BK91" s="62"/>
      <c r="BM91" s="31">
        <f>IF(BM90=50,1,BM90+1)</f>
        <v>34</v>
      </c>
    </row>
    <row r="92" spans="2:67" ht="15" customHeight="1" x14ac:dyDescent="0.25">
      <c r="B92" s="67"/>
      <c r="K92" s="68"/>
      <c r="U92" s="67"/>
      <c r="AD92" s="67"/>
      <c r="AM92" s="67"/>
      <c r="BI92" s="69"/>
      <c r="BK92" s="62"/>
      <c r="BM92" s="31">
        <f t="shared" si="1"/>
        <v>35</v>
      </c>
    </row>
    <row r="93" spans="2:67" ht="15" customHeight="1" x14ac:dyDescent="0.25">
      <c r="B93" s="67"/>
      <c r="K93" s="68"/>
      <c r="U93" s="67"/>
      <c r="AD93" s="67"/>
      <c r="AM93" s="67"/>
      <c r="BI93" s="69"/>
      <c r="BK93" s="62"/>
      <c r="BM93" s="31">
        <f t="shared" si="1"/>
        <v>36</v>
      </c>
    </row>
    <row r="94" spans="2:67" ht="15" customHeight="1" x14ac:dyDescent="0.25">
      <c r="B94" s="67"/>
      <c r="K94" s="68"/>
      <c r="U94" s="67"/>
      <c r="AD94" s="67"/>
      <c r="AM94" s="67"/>
      <c r="BI94" s="69"/>
      <c r="BK94" s="62"/>
      <c r="BM94" s="31">
        <f t="shared" si="1"/>
        <v>37</v>
      </c>
    </row>
    <row r="95" spans="2:67" ht="15" customHeight="1" x14ac:dyDescent="0.25">
      <c r="B95" s="67"/>
      <c r="K95" s="68"/>
      <c r="U95" s="67"/>
      <c r="AD95" s="67"/>
      <c r="AM95" s="67"/>
      <c r="BI95" s="69"/>
      <c r="BK95" s="62"/>
      <c r="BM95" s="31">
        <f t="shared" si="1"/>
        <v>38</v>
      </c>
    </row>
    <row r="96" spans="2:67" ht="15" customHeight="1" x14ac:dyDescent="0.25">
      <c r="B96" s="67"/>
      <c r="K96" s="68"/>
      <c r="U96" s="67"/>
      <c r="AD96" s="67"/>
      <c r="AM96" s="67"/>
      <c r="BI96" s="69"/>
      <c r="BK96" s="62"/>
      <c r="BM96" s="31">
        <f t="shared" si="1"/>
        <v>39</v>
      </c>
      <c r="BO96" s="60" t="s">
        <v>67</v>
      </c>
    </row>
    <row r="97" spans="2:65" ht="15" customHeight="1" x14ac:dyDescent="0.25">
      <c r="B97" s="67"/>
      <c r="K97" s="68"/>
      <c r="U97" s="67"/>
      <c r="AD97" s="67"/>
      <c r="AM97" s="67"/>
      <c r="BI97" s="69"/>
      <c r="BK97" s="62"/>
      <c r="BM97" s="31">
        <f t="shared" si="1"/>
        <v>40</v>
      </c>
    </row>
    <row r="98" spans="2:65" ht="15" customHeight="1" x14ac:dyDescent="0.25">
      <c r="B98" s="67"/>
      <c r="K98" s="68"/>
      <c r="U98" s="67"/>
      <c r="AD98" s="67"/>
      <c r="AM98" s="67"/>
      <c r="BI98" s="69"/>
      <c r="BK98" s="62"/>
      <c r="BM98" s="31">
        <f t="shared" si="1"/>
        <v>41</v>
      </c>
    </row>
    <row r="99" spans="2:65" ht="15" customHeight="1" x14ac:dyDescent="0.25">
      <c r="B99" s="67"/>
      <c r="K99" s="68"/>
      <c r="U99" s="67"/>
      <c r="AD99" s="67"/>
      <c r="AM99" s="67"/>
      <c r="BI99" s="69"/>
      <c r="BK99" s="62"/>
      <c r="BM99" s="31">
        <f t="shared" ref="BM99:BM162" si="2">IF(BM98=50,1,BM98+1)</f>
        <v>42</v>
      </c>
    </row>
    <row r="100" spans="2:65" ht="15" customHeight="1" x14ac:dyDescent="0.25">
      <c r="B100" s="67"/>
      <c r="K100" s="68"/>
      <c r="U100" s="67"/>
      <c r="AD100" s="67"/>
      <c r="AM100" s="67"/>
      <c r="BI100" s="69"/>
      <c r="BK100" s="62"/>
      <c r="BM100" s="31">
        <f t="shared" si="2"/>
        <v>43</v>
      </c>
    </row>
    <row r="101" spans="2:65" ht="15" customHeight="1" x14ac:dyDescent="0.25">
      <c r="B101" s="67"/>
      <c r="K101" s="68"/>
      <c r="U101" s="67"/>
      <c r="AD101" s="67"/>
      <c r="AM101" s="67"/>
      <c r="BI101" s="69"/>
      <c r="BK101" s="62"/>
      <c r="BM101" s="31">
        <f t="shared" si="2"/>
        <v>44</v>
      </c>
    </row>
    <row r="102" spans="2:65" ht="15" customHeight="1" x14ac:dyDescent="0.25">
      <c r="B102" s="67"/>
      <c r="K102" s="68"/>
      <c r="U102" s="67"/>
      <c r="AD102" s="67"/>
      <c r="AM102" s="67"/>
      <c r="BI102" s="69"/>
      <c r="BK102" s="62"/>
      <c r="BM102" s="31">
        <f t="shared" si="2"/>
        <v>45</v>
      </c>
    </row>
    <row r="103" spans="2:65" ht="15" customHeight="1" x14ac:dyDescent="0.25">
      <c r="B103" s="67"/>
      <c r="K103" s="68"/>
      <c r="U103" s="67"/>
      <c r="AD103" s="67"/>
      <c r="AM103" s="67"/>
      <c r="BI103" s="69"/>
      <c r="BK103" s="62"/>
      <c r="BM103" s="31">
        <f t="shared" si="2"/>
        <v>46</v>
      </c>
    </row>
    <row r="104" spans="2:65" ht="15" customHeight="1" x14ac:dyDescent="0.25">
      <c r="B104" s="67"/>
      <c r="K104" s="68"/>
      <c r="U104" s="67"/>
      <c r="AD104" s="67"/>
      <c r="AM104" s="67"/>
      <c r="BI104" s="69"/>
      <c r="BK104" s="62"/>
      <c r="BM104" s="31">
        <f t="shared" si="2"/>
        <v>47</v>
      </c>
    </row>
    <row r="105" spans="2:65" ht="15" customHeight="1" x14ac:dyDescent="0.25">
      <c r="B105" s="67"/>
      <c r="K105" s="68"/>
      <c r="U105" s="67"/>
      <c r="AD105" s="67"/>
      <c r="AM105" s="67"/>
      <c r="BI105" s="69"/>
      <c r="BK105" s="62"/>
      <c r="BM105" s="31">
        <f t="shared" si="2"/>
        <v>48</v>
      </c>
    </row>
    <row r="106" spans="2:65" ht="15" customHeight="1" x14ac:dyDescent="0.25">
      <c r="B106" s="67"/>
      <c r="K106" s="68"/>
      <c r="U106" s="67"/>
      <c r="AD106" s="67"/>
      <c r="AM106" s="67"/>
      <c r="BI106" s="69"/>
      <c r="BK106" s="62"/>
      <c r="BM106" s="31">
        <f t="shared" si="2"/>
        <v>49</v>
      </c>
    </row>
    <row r="107" spans="2:65" ht="15" customHeight="1" x14ac:dyDescent="0.25">
      <c r="B107" s="67"/>
      <c r="K107" s="68"/>
      <c r="U107" s="67"/>
      <c r="AD107" s="67"/>
      <c r="AM107" s="67"/>
      <c r="BI107" s="69"/>
      <c r="BK107" s="62"/>
      <c r="BM107" s="31">
        <f t="shared" si="2"/>
        <v>50</v>
      </c>
    </row>
    <row r="108" spans="2:65" ht="15" customHeight="1" x14ac:dyDescent="0.25">
      <c r="B108" s="67"/>
      <c r="K108" s="68"/>
      <c r="U108" s="67"/>
      <c r="AD108" s="67"/>
      <c r="AM108" s="67"/>
      <c r="BI108" s="69"/>
      <c r="BK108" s="62"/>
      <c r="BM108" s="31">
        <f t="shared" si="2"/>
        <v>1</v>
      </c>
    </row>
    <row r="109" spans="2:65" ht="15" customHeight="1" x14ac:dyDescent="0.25">
      <c r="B109" s="67"/>
      <c r="K109" s="68"/>
      <c r="U109" s="67"/>
      <c r="AD109" s="67"/>
      <c r="AM109" s="67"/>
      <c r="BI109" s="69"/>
      <c r="BK109" s="62"/>
      <c r="BM109" s="31">
        <f t="shared" si="2"/>
        <v>2</v>
      </c>
    </row>
    <row r="110" spans="2:65" ht="15" customHeight="1" x14ac:dyDescent="0.25">
      <c r="B110" s="67"/>
      <c r="K110" s="68"/>
      <c r="U110" s="67"/>
      <c r="AD110" s="67"/>
      <c r="AM110" s="67"/>
      <c r="BI110" s="69"/>
      <c r="BK110" s="62"/>
      <c r="BM110" s="31">
        <f t="shared" si="2"/>
        <v>3</v>
      </c>
    </row>
    <row r="111" spans="2:65" ht="15" customHeight="1" x14ac:dyDescent="0.25">
      <c r="B111" s="67"/>
      <c r="K111" s="68"/>
      <c r="U111" s="67"/>
      <c r="AD111" s="67"/>
      <c r="AM111" s="67"/>
      <c r="BI111" s="69"/>
      <c r="BK111" s="62"/>
      <c r="BM111" s="31">
        <f t="shared" si="2"/>
        <v>4</v>
      </c>
    </row>
    <row r="112" spans="2:65" ht="15" customHeight="1" x14ac:dyDescent="0.25">
      <c r="B112" s="67"/>
      <c r="K112" s="68"/>
      <c r="U112" s="67"/>
      <c r="AD112" s="67"/>
      <c r="AM112" s="67"/>
      <c r="BI112" s="69"/>
      <c r="BK112" s="62"/>
      <c r="BM112" s="31">
        <f t="shared" si="2"/>
        <v>5</v>
      </c>
    </row>
    <row r="113" spans="2:65" ht="15" customHeight="1" x14ac:dyDescent="0.25">
      <c r="B113" s="67"/>
      <c r="K113" s="68"/>
      <c r="U113" s="67"/>
      <c r="AD113" s="67"/>
      <c r="AM113" s="67"/>
      <c r="BI113" s="69"/>
      <c r="BK113" s="62"/>
      <c r="BM113" s="31">
        <f t="shared" si="2"/>
        <v>6</v>
      </c>
    </row>
    <row r="114" spans="2:65" ht="15" customHeight="1" x14ac:dyDescent="0.25">
      <c r="B114" s="67"/>
      <c r="K114" s="68"/>
      <c r="U114" s="67"/>
      <c r="AD114" s="67"/>
      <c r="AM114" s="67"/>
      <c r="BI114" s="69"/>
      <c r="BK114" s="62"/>
      <c r="BM114" s="31">
        <f t="shared" si="2"/>
        <v>7</v>
      </c>
    </row>
    <row r="115" spans="2:65" ht="15" customHeight="1" x14ac:dyDescent="0.25">
      <c r="B115" s="67"/>
      <c r="K115" s="68"/>
      <c r="U115" s="67"/>
      <c r="AD115" s="67"/>
      <c r="AM115" s="67"/>
      <c r="BI115" s="69"/>
      <c r="BK115" s="62"/>
      <c r="BM115" s="31">
        <f t="shared" si="2"/>
        <v>8</v>
      </c>
    </row>
    <row r="116" spans="2:65" ht="15" customHeight="1" x14ac:dyDescent="0.25">
      <c r="B116" s="67"/>
      <c r="K116" s="68"/>
      <c r="U116" s="67"/>
      <c r="AD116" s="67"/>
      <c r="AM116" s="67"/>
      <c r="BI116" s="69"/>
      <c r="BK116" s="62"/>
      <c r="BM116" s="31">
        <f t="shared" si="2"/>
        <v>9</v>
      </c>
    </row>
    <row r="117" spans="2:65" ht="15" customHeight="1" x14ac:dyDescent="0.25">
      <c r="B117" s="67"/>
      <c r="K117" s="68"/>
      <c r="U117" s="67"/>
      <c r="AD117" s="67"/>
      <c r="AM117" s="67"/>
      <c r="BI117" s="69"/>
      <c r="BK117" s="62"/>
      <c r="BM117" s="31">
        <f t="shared" si="2"/>
        <v>10</v>
      </c>
    </row>
    <row r="118" spans="2:65" ht="15" customHeight="1" x14ac:dyDescent="0.25">
      <c r="B118" s="67"/>
      <c r="K118" s="68"/>
      <c r="U118" s="67"/>
      <c r="AD118" s="67"/>
      <c r="AM118" s="67"/>
      <c r="BI118" s="69"/>
      <c r="BK118" s="62"/>
      <c r="BM118" s="31">
        <f t="shared" si="2"/>
        <v>11</v>
      </c>
    </row>
    <row r="119" spans="2:65" ht="15" customHeight="1" x14ac:dyDescent="0.25">
      <c r="B119" s="67"/>
      <c r="K119" s="68"/>
      <c r="U119" s="67"/>
      <c r="AD119" s="67"/>
      <c r="AM119" s="67"/>
      <c r="BI119" s="69"/>
      <c r="BK119" s="62"/>
      <c r="BM119" s="31">
        <f t="shared" si="2"/>
        <v>12</v>
      </c>
    </row>
    <row r="120" spans="2:65" ht="15" customHeight="1" x14ac:dyDescent="0.25">
      <c r="B120" s="67"/>
      <c r="K120" s="68"/>
      <c r="U120" s="67"/>
      <c r="AD120" s="67"/>
      <c r="AM120" s="67"/>
      <c r="BI120" s="69"/>
      <c r="BK120" s="62"/>
      <c r="BM120" s="31">
        <f t="shared" si="2"/>
        <v>13</v>
      </c>
    </row>
    <row r="121" spans="2:65" ht="15" customHeight="1" x14ac:dyDescent="0.25">
      <c r="B121" s="67"/>
      <c r="K121" s="68"/>
      <c r="U121" s="67"/>
      <c r="AD121" s="67"/>
      <c r="AM121" s="67"/>
      <c r="BI121" s="69"/>
      <c r="BK121" s="62"/>
      <c r="BM121" s="31">
        <f t="shared" si="2"/>
        <v>14</v>
      </c>
    </row>
    <row r="122" spans="2:65" ht="15" customHeight="1" x14ac:dyDescent="0.25">
      <c r="B122" s="67"/>
      <c r="K122" s="68"/>
      <c r="U122" s="67"/>
      <c r="AD122" s="67"/>
      <c r="AM122" s="67"/>
      <c r="BI122" s="69"/>
      <c r="BK122" s="62"/>
      <c r="BM122" s="31">
        <f t="shared" si="2"/>
        <v>15</v>
      </c>
    </row>
    <row r="123" spans="2:65" ht="15" customHeight="1" x14ac:dyDescent="0.25">
      <c r="B123" s="67"/>
      <c r="K123" s="68"/>
      <c r="U123" s="67"/>
      <c r="AD123" s="67"/>
      <c r="AM123" s="67"/>
      <c r="BI123" s="69"/>
      <c r="BK123" s="62"/>
      <c r="BM123" s="31">
        <f t="shared" si="2"/>
        <v>16</v>
      </c>
    </row>
    <row r="124" spans="2:65" ht="15" customHeight="1" x14ac:dyDescent="0.25">
      <c r="B124" s="67"/>
      <c r="K124" s="68"/>
      <c r="U124" s="67"/>
      <c r="AD124" s="67"/>
      <c r="AM124" s="67"/>
      <c r="BI124" s="69"/>
      <c r="BK124" s="62"/>
      <c r="BM124" s="31">
        <f t="shared" si="2"/>
        <v>17</v>
      </c>
    </row>
    <row r="125" spans="2:65" ht="15" customHeight="1" x14ac:dyDescent="0.25">
      <c r="B125" s="67"/>
      <c r="K125" s="68"/>
      <c r="U125" s="67"/>
      <c r="AD125" s="67"/>
      <c r="AM125" s="67"/>
      <c r="BI125" s="69"/>
      <c r="BK125" s="62"/>
      <c r="BM125" s="31">
        <f t="shared" si="2"/>
        <v>18</v>
      </c>
    </row>
    <row r="126" spans="2:65" ht="15" customHeight="1" x14ac:dyDescent="0.25">
      <c r="B126" s="67"/>
      <c r="K126" s="68"/>
      <c r="U126" s="67"/>
      <c r="AD126" s="67"/>
      <c r="AM126" s="67"/>
      <c r="BI126" s="69"/>
      <c r="BK126" s="62"/>
      <c r="BM126" s="31">
        <f t="shared" si="2"/>
        <v>19</v>
      </c>
    </row>
    <row r="127" spans="2:65" ht="15" customHeight="1" x14ac:dyDescent="0.25">
      <c r="B127" s="67"/>
      <c r="K127" s="68"/>
      <c r="U127" s="67"/>
      <c r="AD127" s="67"/>
      <c r="AM127" s="67"/>
      <c r="BI127" s="69"/>
      <c r="BK127" s="62"/>
      <c r="BM127" s="31">
        <f t="shared" si="2"/>
        <v>20</v>
      </c>
    </row>
    <row r="128" spans="2:65" ht="15" customHeight="1" x14ac:dyDescent="0.25">
      <c r="B128" s="67"/>
      <c r="K128" s="68"/>
      <c r="U128" s="67"/>
      <c r="AD128" s="67"/>
      <c r="AM128" s="67"/>
      <c r="BI128" s="69"/>
      <c r="BK128" s="62"/>
      <c r="BM128" s="31">
        <f t="shared" si="2"/>
        <v>21</v>
      </c>
    </row>
    <row r="129" spans="2:67" ht="15" customHeight="1" x14ac:dyDescent="0.25">
      <c r="B129" s="67"/>
      <c r="K129" s="68"/>
      <c r="U129" s="67"/>
      <c r="AD129" s="67"/>
      <c r="AM129" s="67"/>
      <c r="BI129" s="69"/>
      <c r="BK129" s="62"/>
      <c r="BM129" s="31">
        <f t="shared" si="2"/>
        <v>22</v>
      </c>
    </row>
    <row r="130" spans="2:67" ht="15" customHeight="1" x14ac:dyDescent="0.25">
      <c r="B130" s="67"/>
      <c r="K130" s="68"/>
      <c r="U130" s="67"/>
      <c r="AD130" s="67"/>
      <c r="AM130" s="67"/>
      <c r="BI130" s="69"/>
      <c r="BK130" s="62"/>
      <c r="BM130" s="31">
        <f t="shared" si="2"/>
        <v>23</v>
      </c>
    </row>
    <row r="131" spans="2:67" ht="15" customHeight="1" x14ac:dyDescent="0.25">
      <c r="B131" s="67"/>
      <c r="K131" s="68"/>
      <c r="U131" s="67"/>
      <c r="AD131" s="67"/>
      <c r="AM131" s="67"/>
      <c r="BI131" s="69"/>
      <c r="BK131" s="62"/>
      <c r="BM131" s="31">
        <f t="shared" si="2"/>
        <v>24</v>
      </c>
    </row>
    <row r="132" spans="2:67" ht="15" customHeight="1" x14ac:dyDescent="0.25">
      <c r="B132" s="67"/>
      <c r="K132" s="68"/>
      <c r="U132" s="67"/>
      <c r="AD132" s="67"/>
      <c r="AM132" s="67"/>
      <c r="BI132" s="69"/>
      <c r="BK132" s="62"/>
      <c r="BM132" s="31">
        <f t="shared" si="2"/>
        <v>25</v>
      </c>
    </row>
    <row r="133" spans="2:67" ht="15" customHeight="1" x14ac:dyDescent="0.25">
      <c r="B133" s="67"/>
      <c r="K133" s="68"/>
      <c r="U133" s="67"/>
      <c r="AD133" s="67"/>
      <c r="AM133" s="67"/>
      <c r="BI133" s="69"/>
      <c r="BK133" s="62"/>
      <c r="BM133" s="31">
        <f t="shared" si="2"/>
        <v>26</v>
      </c>
      <c r="BO133" s="60" t="s">
        <v>68</v>
      </c>
    </row>
    <row r="134" spans="2:67" ht="15" customHeight="1" x14ac:dyDescent="0.25">
      <c r="B134" s="67"/>
      <c r="K134" s="68"/>
      <c r="U134" s="67"/>
      <c r="AD134" s="67"/>
      <c r="AM134" s="67"/>
      <c r="BI134" s="69"/>
      <c r="BK134" s="62"/>
      <c r="BM134" s="31">
        <f t="shared" si="2"/>
        <v>27</v>
      </c>
    </row>
    <row r="135" spans="2:67" ht="15" customHeight="1" x14ac:dyDescent="0.25">
      <c r="B135" s="67"/>
      <c r="K135" s="68"/>
      <c r="U135" s="67"/>
      <c r="AD135" s="67"/>
      <c r="AM135" s="67"/>
      <c r="BI135" s="69"/>
      <c r="BK135" s="62"/>
      <c r="BM135" s="31">
        <f t="shared" si="2"/>
        <v>28</v>
      </c>
    </row>
    <row r="136" spans="2:67" ht="15" customHeight="1" x14ac:dyDescent="0.25">
      <c r="B136" s="67"/>
      <c r="K136" s="68"/>
      <c r="U136" s="67"/>
      <c r="AD136" s="67"/>
      <c r="AM136" s="67"/>
      <c r="BI136" s="69"/>
      <c r="BK136" s="62"/>
      <c r="BM136" s="31">
        <f t="shared" si="2"/>
        <v>29</v>
      </c>
    </row>
    <row r="137" spans="2:67" ht="15" customHeight="1" x14ac:dyDescent="0.25">
      <c r="B137" s="67"/>
      <c r="K137" s="68"/>
      <c r="U137" s="67"/>
      <c r="AD137" s="67"/>
      <c r="AM137" s="67"/>
      <c r="BI137" s="69"/>
      <c r="BK137" s="62"/>
      <c r="BM137" s="31">
        <f t="shared" si="2"/>
        <v>30</v>
      </c>
    </row>
    <row r="138" spans="2:67" ht="15" customHeight="1" x14ac:dyDescent="0.25">
      <c r="B138" s="67"/>
      <c r="K138" s="68"/>
      <c r="U138" s="67"/>
      <c r="AD138" s="67"/>
      <c r="AM138" s="67"/>
      <c r="BI138" s="69"/>
      <c r="BK138" s="62"/>
      <c r="BM138" s="31">
        <f t="shared" si="2"/>
        <v>31</v>
      </c>
    </row>
    <row r="139" spans="2:67" ht="15" customHeight="1" x14ac:dyDescent="0.25">
      <c r="B139" s="67"/>
      <c r="K139" s="68"/>
      <c r="U139" s="67"/>
      <c r="AD139" s="67"/>
      <c r="AM139" s="67"/>
      <c r="BI139" s="69"/>
      <c r="BK139" s="62"/>
      <c r="BM139" s="31">
        <f t="shared" si="2"/>
        <v>32</v>
      </c>
    </row>
    <row r="140" spans="2:67" ht="15" customHeight="1" x14ac:dyDescent="0.25">
      <c r="B140" s="67"/>
      <c r="K140" s="68"/>
      <c r="U140" s="67"/>
      <c r="AD140" s="67"/>
      <c r="AM140" s="67"/>
      <c r="BI140" s="69"/>
      <c r="BK140" s="62"/>
      <c r="BM140" s="31">
        <f t="shared" si="2"/>
        <v>33</v>
      </c>
    </row>
    <row r="141" spans="2:67" ht="15" customHeight="1" x14ac:dyDescent="0.25">
      <c r="B141" s="67"/>
      <c r="K141" s="68"/>
      <c r="U141" s="67"/>
      <c r="AD141" s="67"/>
      <c r="AM141" s="67"/>
      <c r="BI141" s="69"/>
      <c r="BK141" s="62"/>
      <c r="BM141" s="31">
        <f t="shared" si="2"/>
        <v>34</v>
      </c>
    </row>
    <row r="142" spans="2:67" ht="15" customHeight="1" x14ac:dyDescent="0.25">
      <c r="B142" s="67"/>
      <c r="K142" s="68"/>
      <c r="U142" s="67"/>
      <c r="AD142" s="67"/>
      <c r="AM142" s="67"/>
      <c r="BI142" s="69"/>
      <c r="BK142" s="62"/>
      <c r="BM142" s="31">
        <f t="shared" si="2"/>
        <v>35</v>
      </c>
    </row>
    <row r="143" spans="2:67" ht="15" customHeight="1" x14ac:dyDescent="0.25">
      <c r="B143" s="67"/>
      <c r="K143" s="68"/>
      <c r="U143" s="67"/>
      <c r="AD143" s="67"/>
      <c r="AM143" s="67"/>
      <c r="BI143" s="69"/>
      <c r="BK143" s="62"/>
      <c r="BM143" s="31">
        <f t="shared" si="2"/>
        <v>36</v>
      </c>
    </row>
    <row r="144" spans="2:67" ht="15" customHeight="1" x14ac:dyDescent="0.25">
      <c r="B144" s="67"/>
      <c r="K144" s="68"/>
      <c r="U144" s="67"/>
      <c r="AD144" s="67"/>
      <c r="AM144" s="67"/>
      <c r="BI144" s="69"/>
      <c r="BK144" s="62"/>
      <c r="BM144" s="31">
        <f t="shared" si="2"/>
        <v>37</v>
      </c>
    </row>
    <row r="145" spans="2:67" ht="15" customHeight="1" x14ac:dyDescent="0.25">
      <c r="B145" s="67"/>
      <c r="K145" s="68"/>
      <c r="U145" s="67"/>
      <c r="AD145" s="67"/>
      <c r="AM145" s="67"/>
      <c r="BI145" s="69"/>
      <c r="BK145" s="62"/>
      <c r="BM145" s="31">
        <f t="shared" si="2"/>
        <v>38</v>
      </c>
    </row>
    <row r="146" spans="2:67" ht="15" customHeight="1" x14ac:dyDescent="0.25">
      <c r="B146" s="67"/>
      <c r="K146" s="68"/>
      <c r="U146" s="67"/>
      <c r="AD146" s="67"/>
      <c r="AM146" s="67"/>
      <c r="BI146" s="69"/>
      <c r="BK146" s="62"/>
      <c r="BM146" s="31">
        <f t="shared" si="2"/>
        <v>39</v>
      </c>
    </row>
    <row r="147" spans="2:67" ht="15" customHeight="1" x14ac:dyDescent="0.25">
      <c r="B147" s="67"/>
      <c r="K147" s="68"/>
      <c r="U147" s="67"/>
      <c r="AD147" s="67"/>
      <c r="AM147" s="67"/>
      <c r="BI147" s="69"/>
      <c r="BK147" s="62"/>
      <c r="BM147" s="31">
        <f t="shared" si="2"/>
        <v>40</v>
      </c>
    </row>
    <row r="148" spans="2:67" ht="15" customHeight="1" x14ac:dyDescent="0.25">
      <c r="B148" s="67"/>
      <c r="K148" s="68"/>
      <c r="U148" s="67"/>
      <c r="AD148" s="67"/>
      <c r="AM148" s="67"/>
      <c r="BI148" s="69"/>
      <c r="BK148" s="62"/>
      <c r="BM148" s="31">
        <f t="shared" si="2"/>
        <v>41</v>
      </c>
    </row>
    <row r="149" spans="2:67" ht="15" customHeight="1" x14ac:dyDescent="0.25">
      <c r="B149" s="67"/>
      <c r="K149" s="68"/>
      <c r="U149" s="67"/>
      <c r="AD149" s="67"/>
      <c r="AM149" s="67"/>
      <c r="BI149" s="69"/>
      <c r="BK149" s="62"/>
      <c r="BM149" s="31">
        <f t="shared" si="2"/>
        <v>42</v>
      </c>
    </row>
    <row r="150" spans="2:67" ht="15" customHeight="1" x14ac:dyDescent="0.25">
      <c r="B150" s="67"/>
      <c r="K150" s="68"/>
      <c r="U150" s="67"/>
      <c r="AD150" s="67"/>
      <c r="AM150" s="67"/>
      <c r="BI150" s="69"/>
      <c r="BK150" s="62"/>
      <c r="BM150" s="31">
        <f t="shared" si="2"/>
        <v>43</v>
      </c>
    </row>
    <row r="151" spans="2:67" ht="15" customHeight="1" x14ac:dyDescent="0.25">
      <c r="B151" s="67"/>
      <c r="K151" s="68"/>
      <c r="U151" s="67"/>
      <c r="AD151" s="67"/>
      <c r="AM151" s="67"/>
      <c r="BI151" s="69"/>
      <c r="BK151" s="62"/>
      <c r="BM151" s="31">
        <f t="shared" si="2"/>
        <v>44</v>
      </c>
    </row>
    <row r="152" spans="2:67" ht="15" customHeight="1" x14ac:dyDescent="0.25">
      <c r="B152" s="67"/>
      <c r="K152" s="68"/>
      <c r="U152" s="67"/>
      <c r="AD152" s="67"/>
      <c r="AM152" s="67"/>
      <c r="BI152" s="69"/>
      <c r="BK152" s="62"/>
      <c r="BM152" s="31">
        <f t="shared" si="2"/>
        <v>45</v>
      </c>
      <c r="BO152" s="60" t="s">
        <v>69</v>
      </c>
    </row>
    <row r="153" spans="2:67" ht="15" customHeight="1" x14ac:dyDescent="0.25">
      <c r="B153" s="67"/>
      <c r="K153" s="68"/>
      <c r="U153" s="67"/>
      <c r="AD153" s="67"/>
      <c r="AM153" s="67"/>
      <c r="BI153" s="69"/>
      <c r="BK153" s="62"/>
      <c r="BM153" s="31">
        <f t="shared" si="2"/>
        <v>46</v>
      </c>
    </row>
    <row r="154" spans="2:67" ht="15" customHeight="1" x14ac:dyDescent="0.25">
      <c r="B154" s="67"/>
      <c r="K154" s="68"/>
      <c r="U154" s="67"/>
      <c r="AD154" s="67"/>
      <c r="AM154" s="67"/>
      <c r="BI154" s="69"/>
      <c r="BK154" s="62"/>
      <c r="BM154" s="31">
        <f t="shared" si="2"/>
        <v>47</v>
      </c>
    </row>
    <row r="155" spans="2:67" ht="15" customHeight="1" x14ac:dyDescent="0.25">
      <c r="B155" s="67"/>
      <c r="K155" s="68"/>
      <c r="U155" s="67"/>
      <c r="AD155" s="67"/>
      <c r="AM155" s="67"/>
      <c r="BI155" s="69"/>
      <c r="BK155" s="62"/>
      <c r="BM155" s="31">
        <f t="shared" si="2"/>
        <v>48</v>
      </c>
    </row>
    <row r="156" spans="2:67" ht="15" customHeight="1" x14ac:dyDescent="0.25">
      <c r="B156" s="67"/>
      <c r="K156" s="68"/>
      <c r="U156" s="67"/>
      <c r="AD156" s="67"/>
      <c r="AM156" s="67"/>
      <c r="BI156" s="69"/>
      <c r="BK156" s="62"/>
      <c r="BM156" s="31">
        <f t="shared" si="2"/>
        <v>49</v>
      </c>
    </row>
    <row r="157" spans="2:67" ht="15" customHeight="1" x14ac:dyDescent="0.25">
      <c r="B157" s="67"/>
      <c r="K157" s="68"/>
      <c r="U157" s="67"/>
      <c r="AD157" s="67"/>
      <c r="AM157" s="67"/>
      <c r="BI157" s="69"/>
      <c r="BK157" s="62"/>
      <c r="BM157" s="31">
        <f t="shared" si="2"/>
        <v>50</v>
      </c>
    </row>
    <row r="158" spans="2:67" ht="15" customHeight="1" x14ac:dyDescent="0.25">
      <c r="B158" s="67"/>
      <c r="K158" s="68"/>
      <c r="U158" s="67"/>
      <c r="AD158" s="67"/>
      <c r="AM158" s="67"/>
      <c r="BI158" s="69"/>
      <c r="BK158" s="62"/>
      <c r="BM158" s="31">
        <f t="shared" si="2"/>
        <v>1</v>
      </c>
    </row>
    <row r="159" spans="2:67" ht="15" customHeight="1" x14ac:dyDescent="0.25">
      <c r="B159" s="67"/>
      <c r="K159" s="68"/>
      <c r="U159" s="67"/>
      <c r="AD159" s="67"/>
      <c r="AM159" s="67"/>
      <c r="BI159" s="69"/>
      <c r="BK159" s="62"/>
      <c r="BM159" s="31">
        <f t="shared" si="2"/>
        <v>2</v>
      </c>
    </row>
    <row r="160" spans="2:67" ht="15" customHeight="1" x14ac:dyDescent="0.25">
      <c r="B160" s="67"/>
      <c r="K160" s="68"/>
      <c r="U160" s="67"/>
      <c r="AD160" s="67"/>
      <c r="AM160" s="67"/>
      <c r="BI160" s="69"/>
      <c r="BK160" s="62"/>
      <c r="BM160" s="31">
        <f t="shared" si="2"/>
        <v>3</v>
      </c>
    </row>
    <row r="161" spans="2:66" ht="15" customHeight="1" x14ac:dyDescent="0.25">
      <c r="B161" s="67"/>
      <c r="K161" s="68"/>
      <c r="U161" s="67"/>
      <c r="AD161" s="67"/>
      <c r="AM161" s="67"/>
      <c r="BI161" s="69"/>
      <c r="BK161" s="62"/>
      <c r="BM161" s="31">
        <f t="shared" si="2"/>
        <v>4</v>
      </c>
    </row>
    <row r="162" spans="2:66" ht="15" customHeight="1" x14ac:dyDescent="0.25">
      <c r="B162" s="67"/>
      <c r="K162" s="68"/>
      <c r="U162" s="67"/>
      <c r="AD162" s="67"/>
      <c r="AM162" s="67"/>
      <c r="BI162" s="69"/>
      <c r="BK162" s="62"/>
      <c r="BM162" s="31">
        <f t="shared" si="2"/>
        <v>5</v>
      </c>
    </row>
    <row r="163" spans="2:66" ht="15" customHeight="1" x14ac:dyDescent="0.25">
      <c r="B163" s="67"/>
      <c r="K163" s="68"/>
      <c r="U163" s="67"/>
      <c r="AD163" s="67"/>
      <c r="AM163" s="67"/>
      <c r="BI163" s="69"/>
      <c r="BK163" s="62"/>
      <c r="BM163" s="31">
        <f t="shared" ref="BM163:BM186" si="3">IF(BM162=50,1,BM162+1)</f>
        <v>6</v>
      </c>
    </row>
    <row r="164" spans="2:66" ht="15" customHeight="1" x14ac:dyDescent="0.25">
      <c r="B164" s="67"/>
      <c r="K164" s="68"/>
      <c r="U164" s="67"/>
      <c r="AD164" s="67"/>
      <c r="AM164" s="67"/>
      <c r="BI164" s="69"/>
      <c r="BK164" s="62"/>
      <c r="BM164" s="31">
        <f t="shared" si="3"/>
        <v>7</v>
      </c>
    </row>
    <row r="165" spans="2:66" ht="15" customHeight="1" x14ac:dyDescent="0.25">
      <c r="B165" s="67"/>
      <c r="K165" s="68"/>
      <c r="U165" s="67"/>
      <c r="AD165" s="67"/>
      <c r="AM165" s="67"/>
      <c r="BI165" s="69"/>
      <c r="BK165" s="62"/>
      <c r="BM165" s="31">
        <f t="shared" si="3"/>
        <v>8</v>
      </c>
    </row>
    <row r="166" spans="2:66" ht="15" customHeight="1" x14ac:dyDescent="0.25">
      <c r="B166" s="67"/>
      <c r="K166" s="68"/>
      <c r="U166" s="67"/>
      <c r="AD166" s="67"/>
      <c r="AM166" s="67"/>
      <c r="BI166" s="69"/>
      <c r="BK166" s="62"/>
      <c r="BM166" s="31">
        <f t="shared" si="3"/>
        <v>9</v>
      </c>
    </row>
    <row r="167" spans="2:66" ht="15" customHeight="1" x14ac:dyDescent="0.25">
      <c r="B167" s="67"/>
      <c r="K167" s="68"/>
      <c r="U167" s="67"/>
      <c r="AD167" s="67"/>
      <c r="AM167" s="67"/>
      <c r="BI167" s="69"/>
      <c r="BK167" s="62"/>
      <c r="BM167" s="31">
        <f t="shared" si="3"/>
        <v>10</v>
      </c>
    </row>
    <row r="168" spans="2:66" ht="15" customHeight="1" x14ac:dyDescent="0.25">
      <c r="B168" s="67"/>
      <c r="K168" s="68"/>
      <c r="U168" s="67"/>
      <c r="AD168" s="67"/>
      <c r="AM168" s="67"/>
      <c r="BI168" s="69"/>
      <c r="BK168" s="62"/>
      <c r="BM168" s="31">
        <f t="shared" si="3"/>
        <v>11</v>
      </c>
    </row>
    <row r="169" spans="2:66" ht="15" customHeight="1" x14ac:dyDescent="0.25">
      <c r="B169" s="67"/>
      <c r="K169" s="68"/>
      <c r="U169" s="67"/>
      <c r="AD169" s="67"/>
      <c r="AM169" s="67"/>
      <c r="BI169" s="69"/>
      <c r="BK169" s="62"/>
      <c r="BM169" s="31">
        <f t="shared" si="3"/>
        <v>12</v>
      </c>
    </row>
    <row r="170" spans="2:66" ht="15" customHeight="1" x14ac:dyDescent="0.25">
      <c r="B170" s="67"/>
      <c r="K170" s="68"/>
      <c r="U170" s="67"/>
      <c r="AD170" s="67"/>
      <c r="AM170" s="67"/>
      <c r="BI170" s="69"/>
      <c r="BK170" s="62"/>
      <c r="BM170" s="31">
        <f t="shared" si="3"/>
        <v>13</v>
      </c>
    </row>
    <row r="171" spans="2:66" ht="15" customHeight="1" x14ac:dyDescent="0.25">
      <c r="B171" s="67"/>
      <c r="K171" s="68"/>
      <c r="U171" s="67"/>
      <c r="AD171" s="67"/>
      <c r="AM171" s="67"/>
      <c r="BI171" s="69"/>
      <c r="BK171" s="62"/>
      <c r="BM171" s="31">
        <f t="shared" si="3"/>
        <v>14</v>
      </c>
    </row>
    <row r="172" spans="2:66" ht="15" customHeight="1" x14ac:dyDescent="0.25">
      <c r="B172" s="67"/>
      <c r="K172" s="68"/>
      <c r="U172" s="67"/>
      <c r="AD172" s="67"/>
      <c r="AM172" s="67"/>
      <c r="BI172" s="69"/>
      <c r="BK172" s="62"/>
      <c r="BM172" s="31">
        <f t="shared" si="3"/>
        <v>15</v>
      </c>
    </row>
    <row r="173" spans="2:66" ht="15" customHeight="1" x14ac:dyDescent="0.25">
      <c r="B173" s="67"/>
      <c r="K173" s="68"/>
      <c r="U173" s="67"/>
      <c r="AD173" s="67"/>
      <c r="AM173" s="67"/>
      <c r="BI173" s="69"/>
      <c r="BK173" s="62"/>
      <c r="BM173" s="31">
        <f t="shared" si="3"/>
        <v>16</v>
      </c>
    </row>
    <row r="174" spans="2:66" ht="15" customHeight="1" x14ac:dyDescent="0.25">
      <c r="B174" s="67"/>
      <c r="K174" s="68"/>
      <c r="U174" s="67"/>
      <c r="AD174" s="67"/>
      <c r="AM174" s="67"/>
      <c r="BI174" s="69"/>
      <c r="BK174" s="62"/>
      <c r="BM174" s="31">
        <f t="shared" si="3"/>
        <v>17</v>
      </c>
    </row>
    <row r="175" spans="2:66" ht="15" customHeight="1" x14ac:dyDescent="0.25">
      <c r="B175" s="67"/>
      <c r="K175" s="68"/>
      <c r="U175" s="67"/>
      <c r="AD175" s="67"/>
      <c r="AM175" s="67"/>
      <c r="BI175" s="69"/>
      <c r="BK175" s="62"/>
      <c r="BM175" s="31">
        <f t="shared" si="3"/>
        <v>18</v>
      </c>
    </row>
    <row r="176" spans="2:66" ht="15" customHeight="1" x14ac:dyDescent="0.25">
      <c r="B176" s="67"/>
      <c r="K176" s="68"/>
      <c r="U176" s="67"/>
      <c r="AD176" s="67"/>
      <c r="AM176" s="67"/>
      <c r="BI176" s="69"/>
      <c r="BK176" s="62"/>
      <c r="BM176" s="31">
        <f t="shared" si="3"/>
        <v>19</v>
      </c>
      <c r="BN176" s="60" t="s">
        <v>70</v>
      </c>
    </row>
    <row r="177" spans="1:65" ht="15" customHeight="1" x14ac:dyDescent="0.25">
      <c r="B177" s="67"/>
      <c r="K177" s="68"/>
      <c r="U177" s="67"/>
      <c r="AD177" s="67"/>
      <c r="AM177" s="67"/>
      <c r="BI177" s="69"/>
      <c r="BK177" s="62"/>
      <c r="BM177" s="31">
        <f t="shared" si="3"/>
        <v>20</v>
      </c>
    </row>
    <row r="178" spans="1:65" ht="15" customHeight="1" x14ac:dyDescent="0.25">
      <c r="B178" s="67"/>
      <c r="K178" s="68"/>
      <c r="U178" s="67"/>
      <c r="AD178" s="67"/>
      <c r="AM178" s="67"/>
      <c r="BI178" s="69"/>
      <c r="BK178" s="62"/>
      <c r="BM178" s="31">
        <f t="shared" si="3"/>
        <v>21</v>
      </c>
    </row>
    <row r="179" spans="1:65" ht="15" customHeight="1" x14ac:dyDescent="0.25">
      <c r="B179" s="67"/>
      <c r="K179" s="68"/>
      <c r="U179" s="67"/>
      <c r="AD179" s="67"/>
      <c r="AM179" s="67"/>
      <c r="BI179" s="69"/>
      <c r="BK179" s="62"/>
      <c r="BM179" s="31">
        <f t="shared" si="3"/>
        <v>22</v>
      </c>
    </row>
    <row r="180" spans="1:65" ht="15" customHeight="1" x14ac:dyDescent="0.25">
      <c r="B180" s="67"/>
      <c r="K180" s="68"/>
      <c r="U180" s="67"/>
      <c r="AD180" s="67"/>
      <c r="AM180" s="67"/>
      <c r="BI180" s="69"/>
      <c r="BK180" s="62"/>
      <c r="BM180" s="31">
        <f t="shared" si="3"/>
        <v>23</v>
      </c>
    </row>
    <row r="181" spans="1:65" ht="15" customHeight="1" x14ac:dyDescent="0.25">
      <c r="B181" s="67"/>
      <c r="K181" s="68"/>
      <c r="U181" s="67"/>
      <c r="AD181" s="67"/>
      <c r="AM181" s="67"/>
      <c r="BI181" s="69"/>
      <c r="BK181" s="62"/>
      <c r="BM181" s="31">
        <f t="shared" si="3"/>
        <v>24</v>
      </c>
    </row>
    <row r="182" spans="1:65" ht="15" customHeight="1" x14ac:dyDescent="0.25">
      <c r="B182" s="67"/>
      <c r="K182" s="68"/>
      <c r="U182" s="67"/>
      <c r="AD182" s="67"/>
      <c r="AM182" s="67"/>
      <c r="BI182" s="69"/>
      <c r="BK182" s="62"/>
      <c r="BM182" s="31">
        <f t="shared" si="3"/>
        <v>25</v>
      </c>
    </row>
    <row r="183" spans="1:65" ht="15" customHeight="1" x14ac:dyDescent="0.25">
      <c r="B183" s="67"/>
      <c r="K183" s="68"/>
      <c r="U183" s="67"/>
      <c r="AD183" s="67"/>
      <c r="AM183" s="67"/>
      <c r="BI183" s="69"/>
      <c r="BK183" s="62"/>
      <c r="BM183" s="31">
        <f t="shared" si="3"/>
        <v>26</v>
      </c>
    </row>
    <row r="184" spans="1:65" ht="15" customHeight="1" x14ac:dyDescent="0.25">
      <c r="B184" s="67"/>
      <c r="K184" s="68"/>
      <c r="U184" s="67"/>
      <c r="AD184" s="67"/>
      <c r="AM184" s="67"/>
      <c r="BI184" s="69"/>
      <c r="BK184" s="62"/>
      <c r="BM184" s="31">
        <f t="shared" si="3"/>
        <v>27</v>
      </c>
    </row>
    <row r="185" spans="1:65" ht="15" customHeight="1" x14ac:dyDescent="0.25">
      <c r="B185" s="67"/>
      <c r="K185" s="68"/>
      <c r="U185" s="67"/>
      <c r="AD185" s="67"/>
      <c r="AM185" s="67"/>
      <c r="BI185" s="69"/>
      <c r="BK185" s="62"/>
      <c r="BM185" s="31">
        <f t="shared" si="3"/>
        <v>28</v>
      </c>
    </row>
    <row r="186" spans="1:65" ht="15" customHeight="1" x14ac:dyDescent="0.25">
      <c r="A186" s="57"/>
      <c r="B186" s="72"/>
      <c r="C186" s="57"/>
      <c r="D186" s="57"/>
      <c r="E186" s="57"/>
      <c r="F186" s="57"/>
      <c r="G186" s="57"/>
      <c r="H186" s="57"/>
      <c r="I186" s="57"/>
      <c r="J186" s="57"/>
      <c r="K186" s="73"/>
      <c r="L186" s="57"/>
      <c r="M186" s="57"/>
      <c r="N186" s="57"/>
      <c r="O186" s="57"/>
      <c r="P186" s="57"/>
      <c r="Q186" s="57"/>
      <c r="R186" s="57"/>
      <c r="S186" s="57"/>
      <c r="T186" s="57"/>
      <c r="U186" s="72"/>
      <c r="V186" s="57"/>
      <c r="W186" s="57"/>
      <c r="X186" s="57"/>
      <c r="Y186" s="57"/>
      <c r="Z186" s="57"/>
      <c r="AA186" s="57"/>
      <c r="AB186" s="57"/>
      <c r="AC186" s="57"/>
      <c r="AD186" s="72"/>
      <c r="AE186" s="57"/>
      <c r="AF186" s="57"/>
      <c r="AG186" s="57"/>
      <c r="AH186" s="57"/>
      <c r="AI186" s="57"/>
      <c r="AJ186" s="57"/>
      <c r="AK186" s="57"/>
      <c r="AL186" s="57"/>
      <c r="AM186" s="72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74"/>
      <c r="BJ186" s="57"/>
      <c r="BK186" s="58"/>
      <c r="BM186" s="31">
        <f t="shared" si="3"/>
        <v>29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18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31" customWidth="1"/>
    <col min="64" max="16384" width="10.109375" style="31"/>
  </cols>
  <sheetData>
    <row r="1" spans="1:63" ht="24.95" customHeight="1" x14ac:dyDescent="0.25">
      <c r="A1" s="254" t="s">
        <v>0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2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tr">
        <f>IF(表紙!W1="","",表紙!W1)</f>
        <v>基本設計書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3" ht="15" customHeight="1" x14ac:dyDescent="0.25">
      <c r="A2" s="248" t="str">
        <f>IF(表紙!A2="","",表紙!A2)</f>
        <v>POSサーバー</v>
      </c>
      <c r="B2" s="249"/>
      <c r="C2" s="249"/>
      <c r="D2" s="249"/>
      <c r="E2" s="249"/>
      <c r="F2" s="249"/>
      <c r="G2" s="249"/>
      <c r="H2" s="249"/>
      <c r="I2" s="249"/>
      <c r="J2" s="250"/>
      <c r="K2" s="248" t="str">
        <f>IF(表紙!K2="","",表紙!K2)</f>
        <v>POSサーバ</v>
      </c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50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75" t="str">
        <f>IF(表紙!AP2="","",表紙!AP2)</f>
        <v>AnhNM</v>
      </c>
      <c r="AQ2" s="76"/>
      <c r="AR2" s="76"/>
      <c r="AS2" s="77"/>
      <c r="AT2" s="104">
        <f>IF(表紙!AT2="","",表紙!AT2)</f>
        <v>45416</v>
      </c>
      <c r="AU2" s="105"/>
      <c r="AV2" s="105"/>
      <c r="AW2" s="105"/>
      <c r="AX2" s="106"/>
      <c r="AY2" s="75" t="str">
        <f>IF(表紙!AY2="","",表紙!AY2)</f>
        <v>AnhNM</v>
      </c>
      <c r="AZ2" s="76"/>
      <c r="BA2" s="76"/>
      <c r="BB2" s="77"/>
      <c r="BC2" s="104">
        <f>IF(表紙!BC2="","",表紙!BC2)</f>
        <v>45560</v>
      </c>
      <c r="BD2" s="105"/>
      <c r="BE2" s="105"/>
      <c r="BF2" s="105"/>
      <c r="BG2" s="106"/>
      <c r="BH2" s="75">
        <f>IF(表紙!BH2="","",表紙!BH2)</f>
        <v>0.6</v>
      </c>
      <c r="BI2" s="76"/>
      <c r="BJ2" s="76"/>
      <c r="BK2" s="77"/>
    </row>
    <row r="3" spans="1:63" ht="15" customHeight="1" x14ac:dyDescent="0.25">
      <c r="A3" s="251"/>
      <c r="B3" s="252"/>
      <c r="C3" s="252"/>
      <c r="D3" s="252"/>
      <c r="E3" s="252"/>
      <c r="F3" s="252"/>
      <c r="G3" s="252"/>
      <c r="H3" s="252"/>
      <c r="I3" s="252"/>
      <c r="J3" s="253"/>
      <c r="K3" s="251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3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81"/>
      <c r="AQ3" s="82"/>
      <c r="AR3" s="82"/>
      <c r="AS3" s="83"/>
      <c r="AT3" s="107"/>
      <c r="AU3" s="108"/>
      <c r="AV3" s="108"/>
      <c r="AW3" s="108"/>
      <c r="AX3" s="109"/>
      <c r="AY3" s="81"/>
      <c r="AZ3" s="82"/>
      <c r="BA3" s="82"/>
      <c r="BB3" s="83"/>
      <c r="BC3" s="107"/>
      <c r="BD3" s="108"/>
      <c r="BE3" s="108"/>
      <c r="BF3" s="108"/>
      <c r="BG3" s="109"/>
      <c r="BH3" s="81"/>
      <c r="BI3" s="82"/>
      <c r="BJ3" s="82"/>
      <c r="BK3" s="83"/>
    </row>
    <row r="4" spans="1:63" ht="24.95" customHeight="1" x14ac:dyDescent="0.25">
      <c r="A4" s="254" t="s">
        <v>1</v>
      </c>
      <c r="B4" s="255"/>
      <c r="C4" s="255"/>
      <c r="D4" s="255"/>
      <c r="E4" s="255"/>
      <c r="F4" s="255"/>
      <c r="G4" s="256"/>
      <c r="H4" s="266" t="str">
        <f>IF(表紙!H4="","",表紙!H4)</f>
        <v>11_部門別売上速報/日報</v>
      </c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8"/>
      <c r="U4" s="254" t="s">
        <v>8</v>
      </c>
      <c r="V4" s="255"/>
      <c r="W4" s="255"/>
      <c r="X4" s="255"/>
      <c r="Y4" s="256"/>
      <c r="Z4" s="266" t="str">
        <f>IF(表紙!Z4="","",表紙!Z4)</f>
        <v>概要設計</v>
      </c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8"/>
      <c r="AP4" s="269" t="str">
        <f ca="1">MID(CELL("filename",A1),FIND("]",CELL("filename",A1))+1,255)</f>
        <v>画面設計書</v>
      </c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8"/>
    </row>
    <row r="5" spans="1:63" ht="5.0999999999999996" customHeight="1" x14ac:dyDescent="0.25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4"/>
    </row>
    <row r="6" spans="1:63" ht="15" customHeight="1" x14ac:dyDescent="0.25">
      <c r="A6" s="35"/>
      <c r="BK6" s="36"/>
    </row>
    <row r="7" spans="1:63" ht="15" customHeight="1" x14ac:dyDescent="0.25">
      <c r="A7" s="35"/>
      <c r="B7" s="37" t="s">
        <v>20</v>
      </c>
      <c r="C7" s="37"/>
      <c r="D7" s="37"/>
      <c r="E7" s="37"/>
      <c r="F7" s="37"/>
      <c r="G7" s="37"/>
      <c r="H7" s="37"/>
      <c r="I7" s="37"/>
      <c r="J7" s="37"/>
      <c r="AE7" s="38"/>
      <c r="BK7" s="36"/>
    </row>
    <row r="8" spans="1:63" ht="15" customHeight="1" x14ac:dyDescent="0.25">
      <c r="A8" s="35"/>
      <c r="BK8" s="36"/>
    </row>
    <row r="9" spans="1:63" ht="15" customHeight="1" x14ac:dyDescent="0.25">
      <c r="A9" s="35"/>
      <c r="BK9" s="36"/>
    </row>
    <row r="10" spans="1:63" ht="15" customHeight="1" x14ac:dyDescent="0.25">
      <c r="A10" s="35"/>
      <c r="BK10" s="36"/>
    </row>
    <row r="11" spans="1:63" ht="15" customHeight="1" x14ac:dyDescent="0.25">
      <c r="A11" s="35"/>
      <c r="BK11" s="36"/>
    </row>
    <row r="12" spans="1:63" ht="15" customHeight="1" x14ac:dyDescent="0.25">
      <c r="A12" s="35"/>
      <c r="BK12" s="36"/>
    </row>
    <row r="13" spans="1:63" ht="15" customHeight="1" x14ac:dyDescent="0.25">
      <c r="A13" s="35"/>
      <c r="BK13" s="36"/>
    </row>
    <row r="14" spans="1:63" ht="15" customHeight="1" x14ac:dyDescent="0.25">
      <c r="A14" s="35"/>
      <c r="BK14" s="36"/>
    </row>
    <row r="15" spans="1:63" ht="15" customHeight="1" x14ac:dyDescent="0.25">
      <c r="A15" s="35"/>
      <c r="BK15" s="36"/>
    </row>
    <row r="16" spans="1:63" ht="15" customHeight="1" x14ac:dyDescent="0.25">
      <c r="A16" s="35"/>
      <c r="BK16" s="36"/>
    </row>
    <row r="17" spans="1:63" ht="15" customHeight="1" x14ac:dyDescent="0.25">
      <c r="A17" s="35"/>
      <c r="BK17" s="36"/>
    </row>
    <row r="18" spans="1:63" ht="15" customHeight="1" x14ac:dyDescent="0.25">
      <c r="A18" s="35"/>
      <c r="BK18" s="36"/>
    </row>
    <row r="19" spans="1:63" ht="15" customHeight="1" x14ac:dyDescent="0.25">
      <c r="A19" s="35"/>
      <c r="BK19" s="36"/>
    </row>
    <row r="20" spans="1:63" ht="15" customHeight="1" x14ac:dyDescent="0.25">
      <c r="A20" s="35"/>
      <c r="BK20" s="36"/>
    </row>
    <row r="21" spans="1:63" ht="15" customHeight="1" x14ac:dyDescent="0.25">
      <c r="A21" s="35"/>
      <c r="BK21" s="36"/>
    </row>
    <row r="22" spans="1:63" ht="15" customHeight="1" x14ac:dyDescent="0.25">
      <c r="A22" s="35"/>
      <c r="BK22" s="36"/>
    </row>
    <row r="23" spans="1:63" ht="15" customHeight="1" x14ac:dyDescent="0.25">
      <c r="A23" s="35"/>
      <c r="BK23" s="36"/>
    </row>
    <row r="24" spans="1:63" ht="15" customHeight="1" x14ac:dyDescent="0.25">
      <c r="A24" s="35"/>
      <c r="BK24" s="36"/>
    </row>
    <row r="25" spans="1:63" ht="14.25" customHeight="1" x14ac:dyDescent="0.25">
      <c r="A25" s="35"/>
      <c r="BK25" s="36"/>
    </row>
    <row r="26" spans="1:63" ht="15" customHeight="1" x14ac:dyDescent="0.25">
      <c r="A26" s="35"/>
      <c r="BK26" s="36"/>
    </row>
    <row r="27" spans="1:63" ht="15" customHeight="1" x14ac:dyDescent="0.25">
      <c r="A27" s="35"/>
      <c r="BK27" s="36"/>
    </row>
    <row r="28" spans="1:63" x14ac:dyDescent="0.25">
      <c r="BK28" s="36"/>
    </row>
    <row r="29" spans="1:63" x14ac:dyDescent="0.25">
      <c r="BK29" s="36"/>
    </row>
    <row r="30" spans="1:63" x14ac:dyDescent="0.25">
      <c r="BK30" s="36"/>
    </row>
    <row r="31" spans="1:63" x14ac:dyDescent="0.25">
      <c r="BK31" s="36"/>
    </row>
    <row r="32" spans="1:63" x14ac:dyDescent="0.25">
      <c r="BK32" s="36"/>
    </row>
    <row r="33" spans="1:63" x14ac:dyDescent="0.25">
      <c r="BK33" s="36"/>
    </row>
    <row r="34" spans="1:63" x14ac:dyDescent="0.25">
      <c r="BK34" s="36"/>
    </row>
    <row r="35" spans="1:63" ht="15" customHeight="1" x14ac:dyDescent="0.25">
      <c r="A35" s="35"/>
      <c r="B35" s="38" t="s">
        <v>21</v>
      </c>
      <c r="BK35" s="36"/>
    </row>
    <row r="36" spans="1:63" x14ac:dyDescent="0.25">
      <c r="BK36" s="36"/>
    </row>
    <row r="37" spans="1:63" ht="15.75" customHeight="1" x14ac:dyDescent="0.25">
      <c r="B37" s="270" t="s">
        <v>22</v>
      </c>
      <c r="C37" s="271"/>
      <c r="D37" s="276" t="s">
        <v>100</v>
      </c>
      <c r="E37" s="277"/>
      <c r="F37" s="277"/>
      <c r="G37" s="277"/>
      <c r="H37" s="277"/>
      <c r="I37" s="277"/>
      <c r="J37" s="271"/>
      <c r="K37" s="276" t="s">
        <v>24</v>
      </c>
      <c r="L37" s="277"/>
      <c r="M37" s="271"/>
      <c r="N37" s="280" t="s">
        <v>25</v>
      </c>
      <c r="O37" s="283" t="s">
        <v>26</v>
      </c>
      <c r="P37" s="301" t="s">
        <v>27</v>
      </c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3"/>
      <c r="AR37" s="286" t="s">
        <v>28</v>
      </c>
      <c r="AS37" s="287"/>
      <c r="AT37" s="287"/>
      <c r="AU37" s="287"/>
      <c r="AV37" s="287"/>
      <c r="AW37" s="287"/>
      <c r="AX37" s="287"/>
      <c r="AY37" s="287"/>
      <c r="AZ37" s="287"/>
      <c r="BA37" s="287"/>
      <c r="BB37" s="290"/>
      <c r="BC37" s="304" t="s">
        <v>29</v>
      </c>
      <c r="BD37" s="305"/>
      <c r="BE37" s="305"/>
      <c r="BF37" s="305"/>
      <c r="BG37" s="305"/>
      <c r="BH37" s="305"/>
      <c r="BI37" s="305"/>
      <c r="BJ37" s="306"/>
      <c r="BK37" s="36"/>
    </row>
    <row r="38" spans="1:63" ht="15.75" customHeight="1" x14ac:dyDescent="0.25">
      <c r="B38" s="272"/>
      <c r="C38" s="273"/>
      <c r="D38" s="272"/>
      <c r="E38" s="278"/>
      <c r="F38" s="278"/>
      <c r="G38" s="278"/>
      <c r="H38" s="278"/>
      <c r="I38" s="278"/>
      <c r="J38" s="273"/>
      <c r="K38" s="272"/>
      <c r="L38" s="278"/>
      <c r="M38" s="273"/>
      <c r="N38" s="281"/>
      <c r="O38" s="284"/>
      <c r="P38" s="313" t="s">
        <v>55</v>
      </c>
      <c r="Q38" s="314"/>
      <c r="R38" s="314"/>
      <c r="S38" s="314"/>
      <c r="T38" s="314"/>
      <c r="U38" s="314"/>
      <c r="V38" s="314"/>
      <c r="W38" s="315"/>
      <c r="X38" s="316" t="s">
        <v>31</v>
      </c>
      <c r="Y38" s="317"/>
      <c r="Z38" s="318"/>
      <c r="AA38" s="316" t="s">
        <v>32</v>
      </c>
      <c r="AB38" s="317"/>
      <c r="AC38" s="317"/>
      <c r="AD38" s="317"/>
      <c r="AE38" s="317"/>
      <c r="AF38" s="317"/>
      <c r="AG38" s="317"/>
      <c r="AH38" s="318"/>
      <c r="AI38" s="316" t="s">
        <v>33</v>
      </c>
      <c r="AJ38" s="317"/>
      <c r="AK38" s="317"/>
      <c r="AL38" s="317"/>
      <c r="AM38" s="317"/>
      <c r="AN38" s="317"/>
      <c r="AO38" s="317"/>
      <c r="AP38" s="317"/>
      <c r="AQ38" s="318"/>
      <c r="AR38" s="322" t="s">
        <v>34</v>
      </c>
      <c r="AS38" s="324" t="s">
        <v>35</v>
      </c>
      <c r="AT38" s="326" t="s">
        <v>36</v>
      </c>
      <c r="AU38" s="286" t="s">
        <v>30</v>
      </c>
      <c r="AV38" s="287"/>
      <c r="AW38" s="287"/>
      <c r="AX38" s="287"/>
      <c r="AY38" s="287"/>
      <c r="AZ38" s="287"/>
      <c r="BA38" s="287"/>
      <c r="BB38" s="290"/>
      <c r="BC38" s="307"/>
      <c r="BD38" s="308"/>
      <c r="BE38" s="308"/>
      <c r="BF38" s="308"/>
      <c r="BG38" s="308"/>
      <c r="BH38" s="308"/>
      <c r="BI38" s="308"/>
      <c r="BJ38" s="309"/>
      <c r="BK38" s="36"/>
    </row>
    <row r="39" spans="1:63" x14ac:dyDescent="0.25">
      <c r="B39" s="274"/>
      <c r="C39" s="275"/>
      <c r="D39" s="274"/>
      <c r="E39" s="279"/>
      <c r="F39" s="279"/>
      <c r="G39" s="279"/>
      <c r="H39" s="279"/>
      <c r="I39" s="279"/>
      <c r="J39" s="275"/>
      <c r="K39" s="274"/>
      <c r="L39" s="279"/>
      <c r="M39" s="275"/>
      <c r="N39" s="282"/>
      <c r="O39" s="285"/>
      <c r="P39" s="301" t="s">
        <v>56</v>
      </c>
      <c r="Q39" s="302"/>
      <c r="R39" s="302"/>
      <c r="S39" s="303"/>
      <c r="T39" s="301" t="s">
        <v>51</v>
      </c>
      <c r="U39" s="302"/>
      <c r="V39" s="302"/>
      <c r="W39" s="303"/>
      <c r="X39" s="319"/>
      <c r="Y39" s="320"/>
      <c r="Z39" s="321"/>
      <c r="AA39" s="319"/>
      <c r="AB39" s="320"/>
      <c r="AC39" s="320"/>
      <c r="AD39" s="320"/>
      <c r="AE39" s="320"/>
      <c r="AF39" s="320"/>
      <c r="AG39" s="320"/>
      <c r="AH39" s="321"/>
      <c r="AI39" s="319"/>
      <c r="AJ39" s="320"/>
      <c r="AK39" s="320"/>
      <c r="AL39" s="320"/>
      <c r="AM39" s="320"/>
      <c r="AN39" s="320"/>
      <c r="AO39" s="320"/>
      <c r="AP39" s="320"/>
      <c r="AQ39" s="321"/>
      <c r="AR39" s="323"/>
      <c r="AS39" s="325"/>
      <c r="AT39" s="327"/>
      <c r="AU39" s="286" t="s">
        <v>37</v>
      </c>
      <c r="AV39" s="287"/>
      <c r="AW39" s="287"/>
      <c r="AX39" s="288"/>
      <c r="AY39" s="289" t="s">
        <v>23</v>
      </c>
      <c r="AZ39" s="287"/>
      <c r="BA39" s="287"/>
      <c r="BB39" s="290"/>
      <c r="BC39" s="310"/>
      <c r="BD39" s="311"/>
      <c r="BE39" s="311"/>
      <c r="BF39" s="311"/>
      <c r="BG39" s="311"/>
      <c r="BH39" s="311"/>
      <c r="BI39" s="311"/>
      <c r="BJ39" s="312"/>
      <c r="BK39" s="36"/>
    </row>
    <row r="40" spans="1:63" ht="15.75" customHeight="1" x14ac:dyDescent="0.25">
      <c r="B40" s="291">
        <v>1</v>
      </c>
      <c r="C40" s="292"/>
      <c r="D40" s="293"/>
      <c r="E40" s="294"/>
      <c r="F40" s="294"/>
      <c r="G40" s="294"/>
      <c r="H40" s="294"/>
      <c r="I40" s="294"/>
      <c r="J40" s="295"/>
      <c r="K40" s="296" t="s">
        <v>101</v>
      </c>
      <c r="L40" s="297"/>
      <c r="M40" s="298"/>
      <c r="N40" s="39" t="s">
        <v>39</v>
      </c>
      <c r="O40" s="40" t="s">
        <v>40</v>
      </c>
      <c r="P40" s="299" t="s">
        <v>39</v>
      </c>
      <c r="Q40" s="300"/>
      <c r="R40" s="300"/>
      <c r="S40" s="292"/>
      <c r="T40" s="299" t="s">
        <v>39</v>
      </c>
      <c r="U40" s="300"/>
      <c r="V40" s="300"/>
      <c r="W40" s="292"/>
      <c r="X40" s="328" t="s">
        <v>129</v>
      </c>
      <c r="Y40" s="329"/>
      <c r="Z40" s="330"/>
      <c r="AA40" s="291" t="s">
        <v>103</v>
      </c>
      <c r="AB40" s="300"/>
      <c r="AC40" s="300"/>
      <c r="AD40" s="300"/>
      <c r="AE40" s="300"/>
      <c r="AF40" s="300"/>
      <c r="AG40" s="300"/>
      <c r="AH40" s="292"/>
      <c r="AI40" s="331" t="s">
        <v>39</v>
      </c>
      <c r="AJ40" s="332"/>
      <c r="AK40" s="332"/>
      <c r="AL40" s="332"/>
      <c r="AM40" s="332"/>
      <c r="AN40" s="332"/>
      <c r="AO40" s="332"/>
      <c r="AP40" s="332"/>
      <c r="AQ40" s="333"/>
      <c r="AR40" s="41" t="s">
        <v>39</v>
      </c>
      <c r="AS40" s="41" t="s">
        <v>103</v>
      </c>
      <c r="AT40" s="41" t="s">
        <v>103</v>
      </c>
      <c r="AU40" s="291" t="s">
        <v>42</v>
      </c>
      <c r="AV40" s="300"/>
      <c r="AW40" s="300"/>
      <c r="AX40" s="292"/>
      <c r="AY40" s="291" t="s">
        <v>103</v>
      </c>
      <c r="AZ40" s="300"/>
      <c r="BA40" s="300"/>
      <c r="BB40" s="292"/>
      <c r="BC40" s="334"/>
      <c r="BD40" s="335"/>
      <c r="BE40" s="335"/>
      <c r="BF40" s="335"/>
      <c r="BG40" s="335"/>
      <c r="BH40" s="335"/>
      <c r="BI40" s="335"/>
      <c r="BJ40" s="336"/>
      <c r="BK40" s="36"/>
    </row>
    <row r="41" spans="1:63" x14ac:dyDescent="0.25">
      <c r="B41" s="337">
        <v>2</v>
      </c>
      <c r="C41" s="338"/>
      <c r="D41" s="344"/>
      <c r="E41" s="345"/>
      <c r="F41" s="345"/>
      <c r="G41" s="345"/>
      <c r="H41" s="345"/>
      <c r="I41" s="345"/>
      <c r="J41" s="346"/>
      <c r="K41" s="296" t="s">
        <v>52</v>
      </c>
      <c r="L41" s="297"/>
      <c r="M41" s="298"/>
      <c r="N41" s="40" t="s">
        <v>53</v>
      </c>
      <c r="O41" s="40" t="s">
        <v>40</v>
      </c>
      <c r="P41" s="337" t="s">
        <v>42</v>
      </c>
      <c r="Q41" s="343"/>
      <c r="R41" s="343"/>
      <c r="S41" s="338"/>
      <c r="T41" s="337" t="s">
        <v>42</v>
      </c>
      <c r="U41" s="343"/>
      <c r="V41" s="343"/>
      <c r="W41" s="338"/>
      <c r="X41" s="357" t="s">
        <v>130</v>
      </c>
      <c r="Y41" s="358"/>
      <c r="Z41" s="359"/>
      <c r="AA41" s="337" t="s">
        <v>103</v>
      </c>
      <c r="AB41" s="343"/>
      <c r="AC41" s="343"/>
      <c r="AD41" s="343"/>
      <c r="AE41" s="343"/>
      <c r="AF41" s="343"/>
      <c r="AG41" s="343"/>
      <c r="AH41" s="338"/>
      <c r="AI41" s="350" t="s">
        <v>103</v>
      </c>
      <c r="AJ41" s="351"/>
      <c r="AK41" s="351"/>
      <c r="AL41" s="351"/>
      <c r="AM41" s="351"/>
      <c r="AN41" s="351"/>
      <c r="AO41" s="351"/>
      <c r="AP41" s="351"/>
      <c r="AQ41" s="352"/>
      <c r="AR41" s="42" t="s">
        <v>39</v>
      </c>
      <c r="AS41" s="42" t="s">
        <v>103</v>
      </c>
      <c r="AT41" s="42" t="s">
        <v>103</v>
      </c>
      <c r="AU41" s="337" t="s">
        <v>42</v>
      </c>
      <c r="AV41" s="343"/>
      <c r="AW41" s="343"/>
      <c r="AX41" s="338"/>
      <c r="AY41" s="337" t="s">
        <v>103</v>
      </c>
      <c r="AZ41" s="343"/>
      <c r="BA41" s="343"/>
      <c r="BB41" s="338"/>
      <c r="BC41" s="356"/>
      <c r="BD41" s="354"/>
      <c r="BE41" s="354"/>
      <c r="BF41" s="354"/>
      <c r="BG41" s="354"/>
      <c r="BH41" s="354"/>
      <c r="BI41" s="354"/>
      <c r="BJ41" s="355"/>
      <c r="BK41" s="36"/>
    </row>
    <row r="42" spans="1:63" x14ac:dyDescent="0.25">
      <c r="B42" s="337">
        <v>3</v>
      </c>
      <c r="C42" s="338"/>
      <c r="D42" s="339"/>
      <c r="E42" s="340"/>
      <c r="F42" s="340"/>
      <c r="G42" s="340"/>
      <c r="H42" s="340"/>
      <c r="I42" s="340"/>
      <c r="J42" s="341"/>
      <c r="K42" s="296" t="s">
        <v>44</v>
      </c>
      <c r="L42" s="297"/>
      <c r="M42" s="298"/>
      <c r="N42" s="40" t="s">
        <v>102</v>
      </c>
      <c r="O42" s="40" t="s">
        <v>39</v>
      </c>
      <c r="P42" s="342" t="s">
        <v>39</v>
      </c>
      <c r="Q42" s="343"/>
      <c r="R42" s="343"/>
      <c r="S42" s="338"/>
      <c r="T42" s="337"/>
      <c r="U42" s="343"/>
      <c r="V42" s="343"/>
      <c r="W42" s="338"/>
      <c r="X42" s="347" t="s">
        <v>39</v>
      </c>
      <c r="Y42" s="348"/>
      <c r="Z42" s="349"/>
      <c r="AA42" s="337" t="s">
        <v>103</v>
      </c>
      <c r="AB42" s="343"/>
      <c r="AC42" s="343"/>
      <c r="AD42" s="343"/>
      <c r="AE42" s="343"/>
      <c r="AF42" s="343"/>
      <c r="AG42" s="343"/>
      <c r="AH42" s="338"/>
      <c r="AI42" s="350" t="s">
        <v>103</v>
      </c>
      <c r="AJ42" s="351"/>
      <c r="AK42" s="351"/>
      <c r="AL42" s="351"/>
      <c r="AM42" s="351"/>
      <c r="AN42" s="351"/>
      <c r="AO42" s="351"/>
      <c r="AP42" s="351"/>
      <c r="AQ42" s="352"/>
      <c r="AR42" s="42" t="s">
        <v>39</v>
      </c>
      <c r="AS42" s="42" t="s">
        <v>103</v>
      </c>
      <c r="AT42" s="42" t="s">
        <v>103</v>
      </c>
      <c r="AU42" s="337" t="s">
        <v>42</v>
      </c>
      <c r="AV42" s="343"/>
      <c r="AW42" s="343"/>
      <c r="AX42" s="338"/>
      <c r="AY42" s="337" t="s">
        <v>103</v>
      </c>
      <c r="AZ42" s="343"/>
      <c r="BA42" s="343"/>
      <c r="BB42" s="338"/>
      <c r="BC42" s="353"/>
      <c r="BD42" s="354"/>
      <c r="BE42" s="354"/>
      <c r="BF42" s="354"/>
      <c r="BG42" s="354"/>
      <c r="BH42" s="354"/>
      <c r="BI42" s="354"/>
      <c r="BJ42" s="355"/>
      <c r="BK42" s="36"/>
    </row>
    <row r="43" spans="1:63" x14ac:dyDescent="0.25">
      <c r="B43" s="337">
        <v>4</v>
      </c>
      <c r="C43" s="338"/>
      <c r="D43" s="360"/>
      <c r="E43" s="361"/>
      <c r="F43" s="361"/>
      <c r="G43" s="361"/>
      <c r="H43" s="361"/>
      <c r="I43" s="361"/>
      <c r="J43" s="362"/>
      <c r="K43" s="296" t="s">
        <v>38</v>
      </c>
      <c r="L43" s="297"/>
      <c r="M43" s="298"/>
      <c r="N43" s="43" t="s">
        <v>43</v>
      </c>
      <c r="O43" s="40" t="s">
        <v>40</v>
      </c>
      <c r="P43" s="337" t="s">
        <v>42</v>
      </c>
      <c r="Q43" s="343"/>
      <c r="R43" s="343"/>
      <c r="S43" s="338"/>
      <c r="T43" s="337" t="s">
        <v>42</v>
      </c>
      <c r="U43" s="343"/>
      <c r="V43" s="343"/>
      <c r="W43" s="338"/>
      <c r="X43" s="363" t="s">
        <v>46</v>
      </c>
      <c r="Y43" s="343"/>
      <c r="Z43" s="338"/>
      <c r="AA43" s="337" t="s">
        <v>103</v>
      </c>
      <c r="AB43" s="343"/>
      <c r="AC43" s="343"/>
      <c r="AD43" s="343"/>
      <c r="AE43" s="343"/>
      <c r="AF43" s="343"/>
      <c r="AG43" s="343"/>
      <c r="AH43" s="338"/>
      <c r="AI43" s="350" t="s">
        <v>103</v>
      </c>
      <c r="AJ43" s="351"/>
      <c r="AK43" s="351"/>
      <c r="AL43" s="351"/>
      <c r="AM43" s="351"/>
      <c r="AN43" s="351"/>
      <c r="AO43" s="351"/>
      <c r="AP43" s="351"/>
      <c r="AQ43" s="352"/>
      <c r="AR43" s="42" t="s">
        <v>39</v>
      </c>
      <c r="AS43" s="42" t="s">
        <v>103</v>
      </c>
      <c r="AT43" s="42" t="s">
        <v>103</v>
      </c>
      <c r="AU43" s="337" t="s">
        <v>42</v>
      </c>
      <c r="AV43" s="343"/>
      <c r="AW43" s="343"/>
      <c r="AX43" s="338"/>
      <c r="AY43" s="337" t="s">
        <v>103</v>
      </c>
      <c r="AZ43" s="343"/>
      <c r="BA43" s="343"/>
      <c r="BB43" s="338"/>
      <c r="BC43" s="364"/>
      <c r="BD43" s="365"/>
      <c r="BE43" s="365"/>
      <c r="BF43" s="365"/>
      <c r="BG43" s="365"/>
      <c r="BH43" s="365"/>
      <c r="BI43" s="365"/>
      <c r="BJ43" s="366"/>
      <c r="BK43" s="36"/>
    </row>
    <row r="44" spans="1:63" x14ac:dyDescent="0.25">
      <c r="B44" s="337">
        <v>5</v>
      </c>
      <c r="C44" s="338"/>
      <c r="D44" s="339"/>
      <c r="E44" s="340"/>
      <c r="F44" s="340"/>
      <c r="G44" s="340"/>
      <c r="H44" s="340"/>
      <c r="I44" s="340"/>
      <c r="J44" s="341"/>
      <c r="K44" s="296" t="s">
        <v>47</v>
      </c>
      <c r="L44" s="297"/>
      <c r="M44" s="298"/>
      <c r="N44" s="43" t="s">
        <v>54</v>
      </c>
      <c r="O44" s="40" t="s">
        <v>39</v>
      </c>
      <c r="P44" s="337" t="s">
        <v>42</v>
      </c>
      <c r="Q44" s="343"/>
      <c r="R44" s="343"/>
      <c r="S44" s="338"/>
      <c r="T44" s="337" t="s">
        <v>42</v>
      </c>
      <c r="U44" s="343"/>
      <c r="V44" s="343"/>
      <c r="W44" s="338"/>
      <c r="X44" s="363" t="s">
        <v>39</v>
      </c>
      <c r="Y44" s="343"/>
      <c r="Z44" s="338"/>
      <c r="AA44" s="337" t="s">
        <v>103</v>
      </c>
      <c r="AB44" s="343"/>
      <c r="AC44" s="343"/>
      <c r="AD44" s="343"/>
      <c r="AE44" s="343"/>
      <c r="AF44" s="343"/>
      <c r="AG44" s="343"/>
      <c r="AH44" s="338"/>
      <c r="AI44" s="350" t="s">
        <v>103</v>
      </c>
      <c r="AJ44" s="351"/>
      <c r="AK44" s="351"/>
      <c r="AL44" s="351"/>
      <c r="AM44" s="351"/>
      <c r="AN44" s="351"/>
      <c r="AO44" s="351"/>
      <c r="AP44" s="351"/>
      <c r="AQ44" s="352"/>
      <c r="AR44" s="42" t="s">
        <v>39</v>
      </c>
      <c r="AS44" s="42" t="s">
        <v>103</v>
      </c>
      <c r="AT44" s="42" t="s">
        <v>103</v>
      </c>
      <c r="AU44" s="337" t="s">
        <v>42</v>
      </c>
      <c r="AV44" s="343"/>
      <c r="AW44" s="343"/>
      <c r="AX44" s="338"/>
      <c r="AY44" s="337" t="s">
        <v>57</v>
      </c>
      <c r="AZ44" s="343"/>
      <c r="BA44" s="343"/>
      <c r="BB44" s="338"/>
      <c r="BC44" s="353"/>
      <c r="BD44" s="354"/>
      <c r="BE44" s="354"/>
      <c r="BF44" s="354"/>
      <c r="BG44" s="354"/>
      <c r="BH44" s="354"/>
      <c r="BI44" s="354"/>
      <c r="BJ44" s="355"/>
      <c r="BK44" s="36"/>
    </row>
    <row r="45" spans="1:63" x14ac:dyDescent="0.25">
      <c r="B45" s="367">
        <v>6</v>
      </c>
      <c r="C45" s="369"/>
      <c r="D45" s="376"/>
      <c r="E45" s="377"/>
      <c r="F45" s="377"/>
      <c r="G45" s="377"/>
      <c r="H45" s="377"/>
      <c r="I45" s="377"/>
      <c r="J45" s="378"/>
      <c r="K45" s="379" t="s">
        <v>48</v>
      </c>
      <c r="L45" s="380"/>
      <c r="M45" s="381"/>
      <c r="N45" s="44" t="s">
        <v>45</v>
      </c>
      <c r="O45" s="44" t="s">
        <v>40</v>
      </c>
      <c r="P45" s="367" t="s">
        <v>42</v>
      </c>
      <c r="Q45" s="368"/>
      <c r="R45" s="368"/>
      <c r="S45" s="369"/>
      <c r="T45" s="367" t="s">
        <v>42</v>
      </c>
      <c r="U45" s="368"/>
      <c r="V45" s="368"/>
      <c r="W45" s="369"/>
      <c r="X45" s="382" t="s">
        <v>131</v>
      </c>
      <c r="Y45" s="383"/>
      <c r="Z45" s="384"/>
      <c r="AA45" s="367" t="s">
        <v>57</v>
      </c>
      <c r="AB45" s="368"/>
      <c r="AC45" s="368"/>
      <c r="AD45" s="368"/>
      <c r="AE45" s="368"/>
      <c r="AF45" s="368"/>
      <c r="AG45" s="368"/>
      <c r="AH45" s="369"/>
      <c r="AI45" s="370" t="s">
        <v>49</v>
      </c>
      <c r="AJ45" s="371"/>
      <c r="AK45" s="371"/>
      <c r="AL45" s="371"/>
      <c r="AM45" s="371"/>
      <c r="AN45" s="371"/>
      <c r="AO45" s="371"/>
      <c r="AP45" s="371"/>
      <c r="AQ45" s="372"/>
      <c r="AR45" s="45" t="s">
        <v>39</v>
      </c>
      <c r="AS45" s="45" t="s">
        <v>57</v>
      </c>
      <c r="AT45" s="45" t="s">
        <v>57</v>
      </c>
      <c r="AU45" s="367" t="s">
        <v>42</v>
      </c>
      <c r="AV45" s="368"/>
      <c r="AW45" s="368"/>
      <c r="AX45" s="369"/>
      <c r="AY45" s="367" t="s">
        <v>41</v>
      </c>
      <c r="AZ45" s="368"/>
      <c r="BA45" s="368"/>
      <c r="BB45" s="369"/>
      <c r="BC45" s="373" t="s">
        <v>50</v>
      </c>
      <c r="BD45" s="374"/>
      <c r="BE45" s="374"/>
      <c r="BF45" s="374"/>
      <c r="BG45" s="374"/>
      <c r="BH45" s="374"/>
      <c r="BI45" s="374"/>
      <c r="BJ45" s="375"/>
      <c r="BK45" s="36"/>
    </row>
    <row r="46" spans="1:63" x14ac:dyDescent="0.25">
      <c r="BK46" s="36"/>
    </row>
    <row r="47" spans="1:63" x14ac:dyDescent="0.25">
      <c r="BK47" s="36"/>
    </row>
    <row r="48" spans="1:63" x14ac:dyDescent="0.25">
      <c r="BK48" s="36"/>
    </row>
    <row r="49" spans="1:63" x14ac:dyDescent="0.25">
      <c r="BK49" s="36"/>
    </row>
    <row r="50" spans="1:63" x14ac:dyDescent="0.25">
      <c r="BK50" s="36"/>
    </row>
    <row r="51" spans="1:63" x14ac:dyDescent="0.25">
      <c r="BK51" s="36"/>
    </row>
    <row r="52" spans="1:63" x14ac:dyDescent="0.25">
      <c r="BK52" s="36"/>
    </row>
    <row r="53" spans="1:63" x14ac:dyDescent="0.25">
      <c r="BK53" s="36"/>
    </row>
    <row r="54" spans="1:63" x14ac:dyDescent="0.25">
      <c r="BK54" s="36"/>
    </row>
    <row r="55" spans="1:63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4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6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254" t="s">
        <v>0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2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tr">
        <f>IF(表紙!W1="","",表紙!W1)</f>
        <v>基本設計書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3" ht="15" customHeight="1" x14ac:dyDescent="0.25">
      <c r="A2" s="248" t="str">
        <f>IF(表紙!A2="","",表紙!A2)</f>
        <v>POSサーバー</v>
      </c>
      <c r="B2" s="249"/>
      <c r="C2" s="249"/>
      <c r="D2" s="249"/>
      <c r="E2" s="249"/>
      <c r="F2" s="249"/>
      <c r="G2" s="249"/>
      <c r="H2" s="249"/>
      <c r="I2" s="249"/>
      <c r="J2" s="250"/>
      <c r="K2" s="248" t="str">
        <f>IF(表紙!K2="","",表紙!K2)</f>
        <v>POSサーバ</v>
      </c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50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75" t="str">
        <f>IF(表紙!AP2="","",表紙!AP2)</f>
        <v>AnhNM</v>
      </c>
      <c r="AQ2" s="76"/>
      <c r="AR2" s="76"/>
      <c r="AS2" s="77"/>
      <c r="AT2" s="104">
        <f>IF(表紙!AT2="","",表紙!AT2)</f>
        <v>45416</v>
      </c>
      <c r="AU2" s="105"/>
      <c r="AV2" s="105"/>
      <c r="AW2" s="105"/>
      <c r="AX2" s="106"/>
      <c r="AY2" s="75" t="str">
        <f>IF(表紙!AY2="","",表紙!AY2)</f>
        <v>AnhNM</v>
      </c>
      <c r="AZ2" s="76"/>
      <c r="BA2" s="76"/>
      <c r="BB2" s="77"/>
      <c r="BC2" s="104">
        <f>IF(表紙!BC2="","",表紙!BC2)</f>
        <v>45560</v>
      </c>
      <c r="BD2" s="105"/>
      <c r="BE2" s="105"/>
      <c r="BF2" s="105"/>
      <c r="BG2" s="106"/>
      <c r="BH2" s="75">
        <f>IF(表紙!BH2="","",表紙!BH2)</f>
        <v>0.6</v>
      </c>
      <c r="BI2" s="76"/>
      <c r="BJ2" s="76"/>
      <c r="BK2" s="77"/>
    </row>
    <row r="3" spans="1:63" ht="15" customHeight="1" x14ac:dyDescent="0.25">
      <c r="A3" s="251"/>
      <c r="B3" s="252"/>
      <c r="C3" s="252"/>
      <c r="D3" s="252"/>
      <c r="E3" s="252"/>
      <c r="F3" s="252"/>
      <c r="G3" s="252"/>
      <c r="H3" s="252"/>
      <c r="I3" s="252"/>
      <c r="J3" s="253"/>
      <c r="K3" s="251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3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81"/>
      <c r="AQ3" s="82"/>
      <c r="AR3" s="82"/>
      <c r="AS3" s="83"/>
      <c r="AT3" s="107"/>
      <c r="AU3" s="108"/>
      <c r="AV3" s="108"/>
      <c r="AW3" s="108"/>
      <c r="AX3" s="109"/>
      <c r="AY3" s="81"/>
      <c r="AZ3" s="82"/>
      <c r="BA3" s="82"/>
      <c r="BB3" s="83"/>
      <c r="BC3" s="107"/>
      <c r="BD3" s="108"/>
      <c r="BE3" s="108"/>
      <c r="BF3" s="108"/>
      <c r="BG3" s="109"/>
      <c r="BH3" s="81"/>
      <c r="BI3" s="82"/>
      <c r="BJ3" s="82"/>
      <c r="BK3" s="83"/>
    </row>
    <row r="4" spans="1:63" ht="24.95" customHeight="1" x14ac:dyDescent="0.25">
      <c r="A4" s="254" t="s">
        <v>1</v>
      </c>
      <c r="B4" s="255"/>
      <c r="C4" s="255"/>
      <c r="D4" s="255"/>
      <c r="E4" s="255"/>
      <c r="F4" s="255"/>
      <c r="G4" s="256"/>
      <c r="H4" s="266" t="str">
        <f>IF(表紙!H4="","",表紙!H4)</f>
        <v>11_部門別売上速報/日報</v>
      </c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8"/>
      <c r="U4" s="254" t="s">
        <v>8</v>
      </c>
      <c r="V4" s="255"/>
      <c r="W4" s="255"/>
      <c r="X4" s="255"/>
      <c r="Y4" s="256"/>
      <c r="Z4" s="266" t="str">
        <f>IF(表紙!Z4="","",表紙!Z4)</f>
        <v>概要設計</v>
      </c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8"/>
      <c r="AP4" s="269" t="str">
        <f ca="1">MID(CELL("filename",A1),FIND("]",CELL("filename",A1))+1,255)</f>
        <v>テンプレート</v>
      </c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7" s="16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9"/>
      <c r="U7" s="17"/>
      <c r="V7" s="18"/>
      <c r="W7" s="18"/>
      <c r="X7" s="18"/>
      <c r="Y7" s="18"/>
      <c r="Z7" s="18"/>
      <c r="AA7" s="18"/>
      <c r="AB7" s="18"/>
      <c r="AC7" s="19"/>
      <c r="AD7" s="17"/>
      <c r="AE7" s="18"/>
      <c r="AF7" s="18"/>
      <c r="AG7" s="18"/>
      <c r="AH7" s="18"/>
      <c r="AI7" s="18"/>
      <c r="AJ7" s="18"/>
      <c r="AK7" s="18"/>
      <c r="AL7" s="19"/>
      <c r="AM7" s="17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9"/>
      <c r="BJ7" s="18"/>
      <c r="BK7" s="4"/>
    </row>
    <row r="8" spans="1:63" ht="15" customHeight="1" x14ac:dyDescent="0.25">
      <c r="A8" s="1"/>
      <c r="C8" s="46"/>
      <c r="U8" s="46"/>
      <c r="AD8" s="46"/>
      <c r="AM8" s="46"/>
      <c r="BI8" s="48"/>
    </row>
    <row r="9" spans="1:63" ht="15" customHeight="1" x14ac:dyDescent="0.25">
      <c r="A9" s="1"/>
      <c r="C9" s="46"/>
      <c r="U9" s="46"/>
      <c r="AD9" s="46"/>
      <c r="AM9" s="46"/>
      <c r="BI9" s="48"/>
    </row>
    <row r="10" spans="1:63" ht="15" customHeight="1" x14ac:dyDescent="0.25">
      <c r="A10" s="1"/>
      <c r="C10" s="46"/>
      <c r="U10" s="46"/>
      <c r="AD10" s="46"/>
      <c r="AM10" s="46"/>
      <c r="BI10" s="48"/>
    </row>
    <row r="11" spans="1:63" ht="15" customHeight="1" x14ac:dyDescent="0.25">
      <c r="A11" s="1"/>
      <c r="C11" s="46"/>
      <c r="U11" s="46"/>
      <c r="AD11" s="46"/>
      <c r="AM11" s="46"/>
      <c r="BI11" s="48"/>
    </row>
    <row r="12" spans="1:63" ht="15" customHeight="1" x14ac:dyDescent="0.25">
      <c r="A12" s="1"/>
      <c r="C12" s="46"/>
      <c r="U12" s="46"/>
      <c r="AD12" s="46"/>
      <c r="AM12" s="46"/>
      <c r="AX12" t="s">
        <v>59</v>
      </c>
      <c r="BI12" s="48"/>
    </row>
    <row r="13" spans="1:63" ht="15" customHeight="1" x14ac:dyDescent="0.25">
      <c r="A13" s="1"/>
      <c r="C13" s="46"/>
      <c r="U13" s="46"/>
      <c r="AD13" s="46"/>
      <c r="AM13" s="46"/>
      <c r="BI13" s="48"/>
    </row>
    <row r="14" spans="1:63" ht="15" customHeight="1" x14ac:dyDescent="0.25">
      <c r="A14" s="1"/>
      <c r="C14" s="46"/>
      <c r="U14" s="46"/>
      <c r="AD14" s="46"/>
      <c r="AM14" s="46"/>
      <c r="BI14" s="48"/>
    </row>
    <row r="15" spans="1:63" ht="15" customHeight="1" x14ac:dyDescent="0.25">
      <c r="A15" s="1"/>
      <c r="C15" s="46"/>
      <c r="U15" s="46"/>
      <c r="AD15" s="46"/>
      <c r="AM15" s="46"/>
      <c r="BI15" s="48"/>
    </row>
    <row r="16" spans="1:63" ht="15" customHeight="1" x14ac:dyDescent="0.25">
      <c r="A16" s="1"/>
      <c r="C16" s="46"/>
      <c r="U16" s="46"/>
      <c r="AD16" s="46"/>
      <c r="AM16" s="46"/>
      <c r="BI16" s="48"/>
    </row>
    <row r="17" spans="1:61" ht="15" customHeight="1" x14ac:dyDescent="0.25">
      <c r="A17" s="1"/>
      <c r="C17" s="46"/>
      <c r="U17" s="46"/>
      <c r="AD17" s="46"/>
      <c r="AM17" s="46"/>
      <c r="BI17" s="48"/>
    </row>
    <row r="18" spans="1:61" ht="15" customHeight="1" x14ac:dyDescent="0.25">
      <c r="A18" s="1"/>
      <c r="C18" s="46"/>
      <c r="U18" s="46"/>
      <c r="AD18" s="46"/>
      <c r="AM18" s="46"/>
      <c r="BI18" s="48"/>
    </row>
    <row r="19" spans="1:61" ht="15" customHeight="1" x14ac:dyDescent="0.25">
      <c r="A19" s="1"/>
      <c r="C19" s="46"/>
      <c r="U19" s="46"/>
      <c r="AD19" s="46"/>
      <c r="AM19" s="46"/>
      <c r="BI19" s="48"/>
    </row>
    <row r="20" spans="1:61" ht="15" customHeight="1" x14ac:dyDescent="0.25">
      <c r="A20" s="1"/>
      <c r="C20" s="46"/>
      <c r="U20" s="46"/>
      <c r="AD20" s="46"/>
      <c r="AM20" s="46"/>
      <c r="BI20" s="48"/>
    </row>
    <row r="21" spans="1:61" ht="15" customHeight="1" x14ac:dyDescent="0.25">
      <c r="A21" s="1"/>
      <c r="C21" s="46"/>
      <c r="U21" s="46"/>
      <c r="AD21" s="46"/>
      <c r="AM21" s="46"/>
      <c r="BI21" s="48"/>
    </row>
    <row r="22" spans="1:61" ht="15" customHeight="1" x14ac:dyDescent="0.25">
      <c r="A22" s="1"/>
      <c r="C22" s="46"/>
      <c r="U22" s="46"/>
      <c r="AD22" s="46"/>
      <c r="AM22" s="46"/>
      <c r="BI22" s="48"/>
    </row>
    <row r="23" spans="1:61" ht="15" customHeight="1" x14ac:dyDescent="0.25">
      <c r="A23" s="1"/>
      <c r="C23" s="46"/>
      <c r="U23" s="46"/>
      <c r="AD23" s="46"/>
      <c r="AM23" s="46"/>
      <c r="BI23" s="48"/>
    </row>
    <row r="24" spans="1:61" ht="15" customHeight="1" x14ac:dyDescent="0.25">
      <c r="A24" s="1"/>
      <c r="C24" s="46"/>
      <c r="U24" s="46"/>
      <c r="AD24" s="46"/>
      <c r="AM24" s="46"/>
      <c r="BI24" s="48"/>
    </row>
    <row r="25" spans="1:61" ht="15" customHeight="1" x14ac:dyDescent="0.25">
      <c r="A25" s="1"/>
      <c r="C25" s="46"/>
      <c r="U25" s="46"/>
      <c r="AD25" s="46"/>
      <c r="AM25" s="46"/>
      <c r="BI25" s="48"/>
    </row>
    <row r="26" spans="1:61" ht="15" customHeight="1" x14ac:dyDescent="0.25">
      <c r="A26" s="1"/>
      <c r="C26" s="46"/>
      <c r="U26" s="46"/>
      <c r="AD26" s="46"/>
      <c r="AM26" s="46"/>
      <c r="BI26" s="48"/>
    </row>
    <row r="27" spans="1:61" ht="15" customHeight="1" x14ac:dyDescent="0.25">
      <c r="A27" s="1"/>
      <c r="C27" s="46"/>
      <c r="U27" s="46"/>
      <c r="AD27" s="46"/>
      <c r="AM27" s="46"/>
      <c r="BI27" s="48"/>
    </row>
    <row r="28" spans="1:61" ht="15" customHeight="1" x14ac:dyDescent="0.25">
      <c r="A28" s="1"/>
      <c r="C28" s="46"/>
      <c r="U28" s="46"/>
      <c r="AD28" s="46"/>
      <c r="AM28" s="46"/>
      <c r="BI28" s="48"/>
    </row>
    <row r="29" spans="1:61" ht="15" customHeight="1" x14ac:dyDescent="0.25">
      <c r="A29" s="1"/>
      <c r="C29" s="46"/>
      <c r="U29" s="46"/>
      <c r="AD29" s="46"/>
      <c r="AM29" s="46"/>
      <c r="BI29" s="48"/>
    </row>
    <row r="30" spans="1:61" ht="15" customHeight="1" x14ac:dyDescent="0.25">
      <c r="A30" s="1"/>
      <c r="C30" s="46"/>
      <c r="U30" s="46"/>
      <c r="AD30" s="46"/>
      <c r="AM30" s="46"/>
      <c r="BI30" s="48"/>
    </row>
    <row r="31" spans="1:61" ht="15" customHeight="1" x14ac:dyDescent="0.25">
      <c r="A31" s="1"/>
      <c r="C31" s="46"/>
      <c r="U31" s="46"/>
      <c r="AD31" s="46"/>
      <c r="AM31" s="46"/>
      <c r="BI31" s="48"/>
    </row>
    <row r="32" spans="1:61" ht="15" customHeight="1" x14ac:dyDescent="0.25">
      <c r="A32" s="1"/>
      <c r="C32" s="46"/>
      <c r="U32" s="46"/>
      <c r="AD32" s="46"/>
      <c r="AM32" s="46"/>
      <c r="BI32" s="48"/>
    </row>
    <row r="33" spans="1:61" ht="15" customHeight="1" x14ac:dyDescent="0.25">
      <c r="A33" s="1"/>
      <c r="C33" s="46"/>
      <c r="U33" s="46"/>
      <c r="AD33" s="46"/>
      <c r="AM33" s="46"/>
      <c r="BI33" s="48"/>
    </row>
    <row r="34" spans="1:61" ht="15" customHeight="1" x14ac:dyDescent="0.25">
      <c r="A34" s="1"/>
      <c r="C34" s="46"/>
      <c r="U34" s="46"/>
      <c r="AD34" s="46"/>
      <c r="AM34" s="46"/>
      <c r="BI34" s="48"/>
    </row>
    <row r="35" spans="1:61" ht="15" customHeight="1" x14ac:dyDescent="0.25">
      <c r="A35" s="1"/>
      <c r="C35" s="46"/>
      <c r="U35" s="46"/>
      <c r="AD35" s="46"/>
      <c r="AM35" s="46"/>
      <c r="BI35" s="48"/>
    </row>
    <row r="36" spans="1:61" ht="15" customHeight="1" x14ac:dyDescent="0.25">
      <c r="A36" s="1"/>
      <c r="C36" s="46"/>
      <c r="U36" s="46"/>
      <c r="AD36" s="46"/>
      <c r="AM36" s="46"/>
      <c r="BI36" s="48"/>
    </row>
    <row r="37" spans="1:61" ht="15" customHeight="1" x14ac:dyDescent="0.25">
      <c r="A37" s="1"/>
      <c r="C37" s="46"/>
      <c r="U37" s="46"/>
      <c r="AD37" s="46"/>
      <c r="AM37" s="46"/>
      <c r="BI37" s="48"/>
    </row>
    <row r="38" spans="1:61" ht="15" customHeight="1" x14ac:dyDescent="0.25">
      <c r="A38" s="1"/>
      <c r="C38" s="46"/>
      <c r="U38" s="46"/>
      <c r="AD38" s="46"/>
      <c r="AM38" s="46"/>
      <c r="BI38" s="48"/>
    </row>
    <row r="39" spans="1:61" ht="15" customHeight="1" x14ac:dyDescent="0.25">
      <c r="A39" s="1"/>
      <c r="C39" s="46"/>
      <c r="U39" s="46"/>
      <c r="AD39" s="46"/>
      <c r="AM39" s="46"/>
      <c r="BI39" s="48"/>
    </row>
    <row r="40" spans="1:61" ht="15" customHeight="1" x14ac:dyDescent="0.25">
      <c r="A40" s="1"/>
      <c r="C40" s="46"/>
      <c r="U40" s="46"/>
      <c r="AD40" s="46"/>
      <c r="AM40" s="46"/>
      <c r="BI40" s="48"/>
    </row>
    <row r="41" spans="1:61" ht="15" customHeight="1" x14ac:dyDescent="0.25">
      <c r="A41" s="1"/>
      <c r="C41" s="46"/>
      <c r="U41" s="46"/>
      <c r="AD41" s="46"/>
      <c r="AM41" s="46"/>
      <c r="BI41" s="48"/>
    </row>
    <row r="42" spans="1:61" ht="15" customHeight="1" x14ac:dyDescent="0.25">
      <c r="A42" s="1"/>
      <c r="C42" s="46"/>
      <c r="U42" s="46"/>
      <c r="AD42" s="46"/>
      <c r="AM42" s="46"/>
      <c r="BI42" s="48"/>
    </row>
    <row r="43" spans="1:61" ht="15" customHeight="1" x14ac:dyDescent="0.25">
      <c r="A43" s="1"/>
      <c r="C43" s="46"/>
      <c r="U43" s="46"/>
      <c r="AD43" s="46"/>
      <c r="AM43" s="46"/>
      <c r="BI43" s="48"/>
    </row>
    <row r="44" spans="1:61" ht="15" customHeight="1" x14ac:dyDescent="0.25">
      <c r="A44" s="1"/>
      <c r="C44" s="46"/>
      <c r="U44" s="46"/>
      <c r="AD44" s="46"/>
      <c r="AM44" s="46"/>
      <c r="BI44" s="48"/>
    </row>
    <row r="45" spans="1:61" ht="15" customHeight="1" x14ac:dyDescent="0.25">
      <c r="A45" s="1"/>
      <c r="C45" s="46"/>
      <c r="U45" s="46"/>
      <c r="AD45" s="46"/>
      <c r="AM45" s="46"/>
      <c r="BI45" s="48"/>
    </row>
    <row r="46" spans="1:61" ht="15" customHeight="1" x14ac:dyDescent="0.25">
      <c r="A46" s="1"/>
      <c r="C46" s="46"/>
      <c r="U46" s="46"/>
      <c r="AD46" s="46"/>
      <c r="AM46" s="46"/>
      <c r="BI46" s="48"/>
    </row>
    <row r="47" spans="1:61" ht="15" customHeight="1" x14ac:dyDescent="0.25">
      <c r="A47" s="1"/>
      <c r="C47" s="46"/>
      <c r="U47" s="46"/>
      <c r="AD47" s="46"/>
      <c r="AM47" s="46"/>
      <c r="BI47" s="48"/>
    </row>
    <row r="48" spans="1:61" ht="15" customHeight="1" x14ac:dyDescent="0.25">
      <c r="A48" s="1"/>
      <c r="C48" s="46"/>
      <c r="U48" s="46"/>
      <c r="AD48" s="46"/>
      <c r="AM48" s="46"/>
      <c r="BI48" s="48"/>
    </row>
    <row r="49" spans="1:63" ht="15" customHeight="1" x14ac:dyDescent="0.25">
      <c r="A49" s="1"/>
      <c r="C49" s="46"/>
      <c r="U49" s="46"/>
      <c r="AD49" s="46"/>
      <c r="AM49" s="46"/>
      <c r="BI49" s="48"/>
    </row>
    <row r="50" spans="1:63" ht="15" customHeight="1" x14ac:dyDescent="0.25">
      <c r="A50" s="1"/>
      <c r="C50" s="46"/>
      <c r="U50" s="46"/>
      <c r="AD50" s="46"/>
      <c r="AM50" s="46"/>
      <c r="BI50" s="48"/>
    </row>
    <row r="51" spans="1:63" ht="15" customHeight="1" x14ac:dyDescent="0.25">
      <c r="A51" s="1"/>
      <c r="C51" s="46"/>
      <c r="U51" s="46"/>
      <c r="AD51" s="46"/>
      <c r="AM51" s="46"/>
      <c r="BI51" s="48"/>
    </row>
    <row r="52" spans="1:63" ht="15" customHeight="1" x14ac:dyDescent="0.25">
      <c r="A52" s="1"/>
      <c r="C52" s="46"/>
      <c r="U52" s="46"/>
      <c r="AD52" s="46"/>
      <c r="AM52" s="46"/>
      <c r="BI52" s="48"/>
    </row>
    <row r="53" spans="1:63" ht="15" customHeight="1" x14ac:dyDescent="0.25">
      <c r="A53" s="1"/>
      <c r="C53" s="46"/>
      <c r="U53" s="46"/>
      <c r="AD53" s="46"/>
      <c r="AM53" s="46"/>
      <c r="BI53" s="48"/>
    </row>
    <row r="54" spans="1:63" ht="15" customHeight="1" x14ac:dyDescent="0.25">
      <c r="A54" s="1"/>
      <c r="C54" s="46"/>
      <c r="U54" s="46"/>
      <c r="AD54" s="46"/>
      <c r="AM54" s="46"/>
      <c r="BI54" s="48"/>
    </row>
    <row r="55" spans="1:63" ht="15" customHeight="1" x14ac:dyDescent="0.25">
      <c r="A55" s="2"/>
      <c r="B55" s="4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7"/>
      <c r="V55" s="3"/>
      <c r="W55" s="3"/>
      <c r="X55" s="3"/>
      <c r="Y55" s="3"/>
      <c r="Z55" s="3"/>
      <c r="AA55" s="3"/>
      <c r="AB55" s="3"/>
      <c r="AC55" s="3"/>
      <c r="AD55" s="47"/>
      <c r="AE55" s="3"/>
      <c r="AF55" s="3"/>
      <c r="AG55" s="3"/>
      <c r="AH55" s="3"/>
      <c r="AI55" s="3"/>
      <c r="AJ55" s="3"/>
      <c r="AK55" s="3"/>
      <c r="AL55" s="3"/>
      <c r="AM55" s="47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49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表紙</vt:lpstr>
      <vt:lpstr>改訂履歴</vt:lpstr>
      <vt:lpstr>指摘履歴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指摘履歴!Print_Area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指摘履歴!Print_Titles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2024-10-02T02:20:18Z</dcterms:modified>
  <cp:category/>
  <cp:contentStatus/>
</cp:coreProperties>
</file>