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4A01151B-DA02-49E9-AE52-2913E548FC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9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機能概要!$A$1:$BK$89</definedName>
    <definedName name="_xlnm.Print_Area" localSheetId="3">機能概要説明!$A$1:$BK$55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P2" i="7"/>
  <c r="K2" i="7"/>
  <c r="A2" i="7"/>
  <c r="W1" i="7"/>
  <c r="BM9" i="9"/>
  <c r="BM10" i="9" s="1"/>
  <c r="BM11" i="9" s="1"/>
  <c r="BM12" i="9" s="1"/>
  <c r="BM13" i="9" s="1"/>
  <c r="BM14" i="9" s="1"/>
  <c r="BM15" i="9" s="1"/>
  <c r="BM16" i="9" s="1"/>
  <c r="BM17" i="9" s="1"/>
  <c r="BM18" i="9" s="1"/>
  <c r="BM19" i="9" s="1"/>
  <c r="BM20" i="9" s="1"/>
  <c r="BM21" i="9" s="1"/>
  <c r="BM22" i="9" s="1"/>
  <c r="BM23" i="9" s="1"/>
  <c r="BM24" i="9" s="1"/>
  <c r="BM25" i="9" s="1"/>
  <c r="BM26" i="9" s="1"/>
  <c r="BM27" i="9" s="1"/>
  <c r="BM28" i="9" s="1"/>
  <c r="BM29" i="9" s="1"/>
  <c r="BM30" i="9" s="1"/>
  <c r="BM31" i="9" s="1"/>
  <c r="BM32" i="9" s="1"/>
  <c r="BM33" i="9" s="1"/>
  <c r="BM34" i="9" s="1"/>
  <c r="BM35" i="9" s="1"/>
  <c r="BM36" i="9" s="1"/>
  <c r="BM37" i="9" s="1"/>
  <c r="BM38" i="9" s="1"/>
  <c r="BM39" i="9" s="1"/>
  <c r="BM40" i="9" s="1"/>
  <c r="BM41" i="9" s="1"/>
  <c r="BM42" i="9" s="1"/>
  <c r="BM43" i="9" s="1"/>
  <c r="BM44" i="9" s="1"/>
  <c r="BM45" i="9" s="1"/>
  <c r="BM46" i="9" s="1"/>
  <c r="BM47" i="9" s="1"/>
  <c r="BM48" i="9" s="1"/>
  <c r="BM49" i="9" s="1"/>
  <c r="BM50" i="9" s="1"/>
  <c r="BM51" i="9" s="1"/>
  <c r="BM52" i="9" s="1"/>
  <c r="BM53" i="9" s="1"/>
  <c r="BM54" i="9" s="1"/>
  <c r="BM55" i="9" s="1"/>
  <c r="BM56" i="9" s="1"/>
  <c r="BM57" i="9" s="1"/>
  <c r="BM58" i="9" s="1"/>
  <c r="BM59" i="9" s="1"/>
  <c r="BM60" i="9" s="1"/>
  <c r="BM61" i="9" s="1"/>
  <c r="BM62" i="9" s="1"/>
  <c r="BM63" i="9" s="1"/>
  <c r="BM64" i="9" s="1"/>
  <c r="BM65" i="9" s="1"/>
  <c r="BM66" i="9" s="1"/>
  <c r="BM67" i="9" s="1"/>
  <c r="BM68" i="9" s="1"/>
  <c r="BM69" i="9" s="1"/>
  <c r="BM70" i="9" s="1"/>
  <c r="BM71" i="9" s="1"/>
  <c r="BM72" i="9" s="1"/>
  <c r="BM73" i="9" s="1"/>
  <c r="BM74" i="9" s="1"/>
  <c r="BM75" i="9" s="1"/>
  <c r="BM76" i="9" s="1"/>
  <c r="BM77" i="9" s="1"/>
  <c r="BM78" i="9" s="1"/>
  <c r="BM79" i="9" s="1"/>
  <c r="BM80" i="9" s="1"/>
  <c r="BM81" i="9" s="1"/>
  <c r="BM82" i="9" s="1"/>
  <c r="BM83" i="9" s="1"/>
  <c r="BM84" i="9" s="1"/>
  <c r="BM85" i="9" s="1"/>
  <c r="BM86" i="9" s="1"/>
  <c r="BM87" i="9" s="1"/>
  <c r="BM88" i="9" s="1"/>
  <c r="BM89" i="9" s="1"/>
  <c r="BM8" i="9"/>
  <c r="BM7" i="9"/>
  <c r="AP4" i="9" a="1"/>
  <c r="AP4" i="9" s="1"/>
  <c r="Z4" i="9"/>
  <c r="H4" i="9"/>
  <c r="K2" i="9"/>
  <c r="A2" i="9"/>
  <c r="W1" i="9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9" s="1"/>
  <c r="BC2" i="4"/>
  <c r="BC2" i="2" s="1"/>
  <c r="AY2" i="4"/>
  <c r="AY2" i="7" s="1"/>
  <c r="AT2" i="4"/>
  <c r="AT2" i="9" s="1"/>
  <c r="AP2" i="4"/>
  <c r="AP2" i="9" s="1"/>
  <c r="BC2" i="3" l="1"/>
  <c r="BH2" i="6"/>
  <c r="BH2" i="8"/>
  <c r="BC2" i="9"/>
  <c r="BH2" i="7"/>
  <c r="AY2" i="3"/>
  <c r="BC2" i="6"/>
  <c r="BC2" i="8"/>
  <c r="AY2" i="9"/>
  <c r="BC2" i="7"/>
  <c r="AP2" i="2"/>
  <c r="BH2" i="2"/>
  <c r="AT2" i="2"/>
  <c r="AP2" i="3"/>
  <c r="BH2" i="3"/>
  <c r="AP2" i="6"/>
  <c r="AT2" i="8"/>
  <c r="AT2" i="7"/>
  <c r="AY2" i="2"/>
  <c r="AT2" i="3"/>
  <c r="AY2" i="6"/>
  <c r="AY2" i="8"/>
</calcChain>
</file>

<file path=xl/sharedStrings.xml><?xml version="1.0" encoding="utf-8"?>
<sst xmlns="http://schemas.openxmlformats.org/spreadsheetml/2006/main" count="195" uniqueCount="77">
  <si>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</si>
  <si>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</si>
  <si>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</si>
  <si>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</si>
  <si>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</si>
  <si>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</si>
  <si>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</si>
  <si>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</si>
  <si>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</si>
  <si>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</si>
  <si>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</si>
  <si>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</si>
  <si>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</si>
  <si>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</si>
  <si>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</si>
  <si>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</si>
  <si>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</si>
  <si>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</si>
  <si>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</si>
  <si>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</si>
  <si>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</si>
  <si>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</si>
  <si>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</si>
  <si>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</si>
  <si>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</si>
  <si>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</si>
  <si>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</si>
  <si>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</si>
  <si>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</si>
  <si>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</si>
  <si>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</si>
  <si>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‣売上速報を印刷する。</t>
    </r>
  </si>
  <si>
    <r>
      <rPr>
        <sz val="11"/>
        <color rgb="FF000000"/>
        <rFont val="Meiryo UI"/>
        <family val="2"/>
      </rPr>
      <t>14_テナント売上速報/日報</t>
    </r>
  </si>
  <si>
    <r>
      <rPr>
        <sz val="11"/>
        <color rgb="FF000000"/>
        <rFont val="Meiryo UI"/>
        <family val="2"/>
      </rPr>
      <t>--&gt; 2つの印刷帳票に分割されるかどうかは分かりません。</t>
    </r>
  </si>
  <si>
    <r>
      <rPr>
        <sz val="11"/>
        <color rgb="FF000000"/>
        <rFont val="Meiryo UI"/>
        <family val="2"/>
      </rPr>
      <t>SC1401</t>
    </r>
  </si>
  <si>
    <r>
      <rPr>
        <sz val="11"/>
        <color rgb="FF000000"/>
        <rFont val="Meiryo UI"/>
        <family val="2"/>
      </rPr>
      <t>テナント売上速報/日報では次のことが可能になる。</t>
    </r>
  </si>
  <si>
    <r>
      <rPr>
        <sz val="11"/>
        <color rgb="FF000000"/>
        <rFont val="Meiryo UI"/>
        <family val="2"/>
      </rPr>
      <t>‣レポートの出力日を選択する。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</si>
  <si>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</si>
  <si>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</si>
  <si>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</si>
  <si>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</si>
  <si>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</si>
  <si>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</si>
  <si>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</si>
  <si>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</si>
  <si>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</si>
  <si>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</si>
  <si>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</si>
  <si>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</si>
  <si>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</si>
  <si>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</si>
  <si>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</si>
  <si>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AnhDD</t>
  </si>
  <si>
    <r>
      <rPr>
        <sz val="11"/>
        <color rgb="FF000000"/>
        <rFont val="Meiryo UI"/>
        <family val="2"/>
      </rPr>
      <t>・店舗内のテナントの売上速報（現在日）を作成する。アクションを追加で実行できる。</t>
    </r>
  </si>
  <si>
    <r>
      <rPr>
        <sz val="11"/>
        <color rgb="FF000000"/>
        <rFont val="Meiryo UI"/>
        <family val="2"/>
      </rPr>
      <t>・店舗内のテナントの売上日報を作成する。アクションを追加で実行できる。</t>
    </r>
  </si>
  <si>
    <r>
      <rPr>
        <sz val="11"/>
        <color rgb="FF000000"/>
        <rFont val="Meiryo UI"/>
        <family val="2"/>
      </rPr>
      <t>‣売上日報を印刷する。</t>
    </r>
  </si>
  <si>
    <t>●14_テナント売上速報/日報</t>
  </si>
  <si>
    <r>
      <rPr>
        <sz val="11"/>
        <color rgb="FF000000"/>
        <rFont val="Meiryo UI"/>
        <family val="2"/>
      </rPr>
      <t>Q&amp;A: データがまだないため、2つレポートタイプの印刷帳票情報が異なるかどうかは不明であるので</t>
    </r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</si>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</sst>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03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7" fillId="0" borderId="18" xfId="7" applyFont="1" applyBorder="1">
      <alignment vertical="center"/>
    </xf>
    <xf numFmtId="0" fontId="7" fillId="0" borderId="20" xfId="7" applyFont="1" applyBorder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0" xfId="7" applyFont="1">
      <alignment vertical="center"/>
    </xf>
    <xf numFmtId="0" fontId="10" fillId="0" borderId="19" xfId="7" applyFont="1" applyBorder="1">
      <alignment vertical="center"/>
    </xf>
    <xf numFmtId="0" fontId="10" fillId="0" borderId="18" xfId="7" applyFont="1" applyBorder="1">
      <alignment vertical="center"/>
    </xf>
    <xf numFmtId="0" fontId="14" fillId="0" borderId="0" xfId="0" quotePrefix="1" applyFont="1"/>
    <xf numFmtId="0" fontId="14" fillId="0" borderId="0" xfId="7" applyFont="1">
      <alignment vertical="center"/>
    </xf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7" fillId="0" borderId="0" xfId="0" quotePrefix="1" applyFont="1"/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7" applyFont="1" applyFill="1">
      <alignment vertical="center"/>
    </xf>
    <xf numFmtId="0" fontId="10" fillId="2" borderId="18" xfId="7" applyFont="1" applyFill="1" applyBorder="1">
      <alignment vertical="center"/>
    </xf>
    <xf numFmtId="0" fontId="10" fillId="2" borderId="0" xfId="7" applyFont="1" applyFill="1">
      <alignment vertical="center"/>
    </xf>
    <xf numFmtId="0" fontId="10" fillId="2" borderId="19" xfId="7" applyFont="1" applyFill="1" applyBorder="1">
      <alignment vertical="center"/>
    </xf>
    <xf numFmtId="0" fontId="14" fillId="0" borderId="19" xfId="7" applyFont="1" applyBorder="1">
      <alignment vertical="center"/>
    </xf>
    <xf numFmtId="0" fontId="14" fillId="0" borderId="18" xfId="7" applyFont="1" applyBorder="1">
      <alignment vertical="center"/>
    </xf>
    <xf numFmtId="0" fontId="14" fillId="0" borderId="18" xfId="7" quotePrefix="1" applyFont="1" applyBorder="1">
      <alignment vertical="center"/>
    </xf>
    <xf numFmtId="0" fontId="14" fillId="3" borderId="18" xfId="7" applyFont="1" applyFill="1" applyBorder="1">
      <alignment vertical="center"/>
    </xf>
    <xf numFmtId="0" fontId="14" fillId="3" borderId="0" xfId="7" applyFont="1" applyFill="1">
      <alignment vertical="center"/>
    </xf>
    <xf numFmtId="0" fontId="14" fillId="3" borderId="19" xfId="7" applyFont="1" applyFill="1" applyBorder="1">
      <alignment vertical="center"/>
    </xf>
    <xf numFmtId="0" fontId="14" fillId="3" borderId="18" xfId="7" quotePrefix="1" applyFont="1" applyFill="1" applyBorder="1">
      <alignment vertical="center"/>
    </xf>
    <xf numFmtId="0" fontId="14" fillId="0" borderId="21" xfId="7" applyFont="1" applyBorder="1">
      <alignment vertical="center"/>
    </xf>
    <xf numFmtId="0" fontId="14" fillId="0" borderId="20" xfId="7" applyFont="1" applyBorder="1">
      <alignment vertical="center"/>
    </xf>
    <xf numFmtId="0" fontId="14" fillId="0" borderId="0" xfId="6" applyFont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0" xfId="0" applyFont="1" applyBorder="1"/>
    <xf numFmtId="0" fontId="14" fillId="0" borderId="2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0" fillId="2" borderId="0" xfId="0" applyFont="1" applyFill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14" fillId="0" borderId="41" xfId="6" applyFont="1" applyBorder="1" applyAlignment="1">
      <alignment vertical="center"/>
    </xf>
    <xf numFmtId="0" fontId="14" fillId="0" borderId="42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14" fillId="0" borderId="41" xfId="6" quotePrefix="1" applyFont="1" applyBorder="1" applyAlignment="1">
      <alignment vertical="center"/>
    </xf>
    <xf numFmtId="0" fontId="14" fillId="0" borderId="42" xfId="6" quotePrefix="1" applyFont="1" applyBorder="1" applyAlignment="1">
      <alignment vertical="center"/>
    </xf>
    <xf numFmtId="0" fontId="14" fillId="0" borderId="43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4" xfId="6" applyFont="1" applyFill="1" applyBorder="1" applyAlignment="1">
      <alignment vertical="center" wrapText="1"/>
    </xf>
    <xf numFmtId="0" fontId="7" fillId="5" borderId="4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0" fillId="2" borderId="27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 wrapText="1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4" xfId="6" applyFont="1" applyFill="1" applyBorder="1" applyAlignment="1">
      <alignment vertical="center" shrinkToFit="1"/>
    </xf>
    <xf numFmtId="0" fontId="6" fillId="7" borderId="46" xfId="6" applyFont="1" applyFill="1" applyBorder="1" applyAlignment="1">
      <alignment vertical="center" shrinkToFit="1"/>
    </xf>
    <xf numFmtId="0" fontId="6" fillId="7" borderId="45" xfId="6" applyFont="1" applyFill="1" applyBorder="1" applyAlignment="1">
      <alignment vertical="center" shrinkToFit="1"/>
    </xf>
    <xf numFmtId="0" fontId="7" fillId="7" borderId="44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5" xfId="6" applyFont="1" applyFill="1" applyBorder="1" applyAlignment="1">
      <alignment vertical="center" wrapText="1"/>
    </xf>
    <xf numFmtId="0" fontId="6" fillId="5" borderId="47" xfId="6" applyFont="1" applyFill="1" applyBorder="1" applyAlignment="1">
      <alignment vertical="center"/>
    </xf>
    <xf numFmtId="0" fontId="7" fillId="5" borderId="48" xfId="6" applyFont="1" applyFill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31" xfId="6" applyFont="1" applyBorder="1" applyAlignment="1">
      <alignment horizontal="center" vertical="center"/>
    </xf>
    <xf numFmtId="0" fontId="12" fillId="0" borderId="32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227505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95300" y="1638300"/>
          <a:ext cx="16383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227729</xdr:colOff>
      <xdr:row>14</xdr:row>
      <xdr:rowOff>11207</xdr:rowOff>
    </xdr:from>
    <xdr:to>
      <xdr:col>7</xdr:col>
      <xdr:colOff>238124</xdr:colOff>
      <xdr:row>16</xdr:row>
      <xdr:rowOff>22414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95300" y="2790825"/>
          <a:ext cx="16097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14: テナント売上速報/日報</a:t>
          </a:r>
        </a:p>
      </xdr:txBody>
    </xdr:sp>
    <xdr:clientData/>
  </xdr:twoCellAnchor>
  <xdr:twoCellAnchor>
    <xdr:from>
      <xdr:col>4</xdr:col>
      <xdr:colOff>232815</xdr:colOff>
      <xdr:row>12</xdr:row>
      <xdr:rowOff>0</xdr:rowOff>
    </xdr:from>
    <xdr:to>
      <xdr:col>4</xdr:col>
      <xdr:colOff>232927</xdr:colOff>
      <xdr:row>14</xdr:row>
      <xdr:rowOff>11207</xdr:rowOff>
    </xdr:to>
    <xdr:cxnSp macro="">
      <xdr:nvCxnSpPr>
        <xdr:cNvPr id="4" name="直線矢印コネクタ 1010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3" idx="0"/>
        </xdr:cNvCxnSpPr>
      </xdr:nvCxnSpPr>
      <xdr:spPr>
        <a:xfrm>
          <a:off x="1295400" y="2400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238124</xdr:colOff>
      <xdr:row>19</xdr:row>
      <xdr:rowOff>3</xdr:rowOff>
    </xdr:from>
    <xdr:to>
      <xdr:col>8</xdr:col>
      <xdr:colOff>0</xdr:colOff>
      <xdr:row>23</xdr:row>
      <xdr:rowOff>0</xdr:rowOff>
    </xdr:to>
    <xdr:sp macro="" textlink="" fLocksText="0">
      <xdr:nvSpPr>
        <xdr:cNvPr id="5" name="正方形/長方形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04825" y="3733800"/>
          <a:ext cx="16287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テナント売上速報/日報画面</a:t>
          </a:r>
        </a:p>
      </xdr:txBody>
    </xdr:sp>
    <xdr:clientData/>
  </xdr:twoCellAnchor>
  <xdr:twoCellAnchor>
    <xdr:from>
      <xdr:col>9</xdr:col>
      <xdr:colOff>0</xdr:colOff>
      <xdr:row>25</xdr:row>
      <xdr:rowOff>3</xdr:rowOff>
    </xdr:from>
    <xdr:to>
      <xdr:col>13</xdr:col>
      <xdr:colOff>0</xdr:colOff>
      <xdr:row>27</xdr:row>
      <xdr:rowOff>1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227729</xdr:colOff>
      <xdr:row>25</xdr:row>
      <xdr:rowOff>13608</xdr:rowOff>
    </xdr:from>
    <xdr:to>
      <xdr:col>6</xdr:col>
      <xdr:colOff>238124</xdr:colOff>
      <xdr:row>26</xdr:row>
      <xdr:rowOff>1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762000" y="4886325"/>
          <a:ext cx="10763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31</xdr:row>
      <xdr:rowOff>0</xdr:rowOff>
    </xdr:from>
    <xdr:to>
      <xdr:col>8</xdr:col>
      <xdr:colOff>0</xdr:colOff>
      <xdr:row>35</xdr:row>
      <xdr:rowOff>0</xdr:rowOff>
    </xdr:to>
    <xdr:sp macro="" textlink="" fLocksText="0">
      <xdr:nvSpPr>
        <xdr:cNvPr id="8" name="正方形/長方形 1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33400" y="601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232927</xdr:colOff>
      <xdr:row>16</xdr:row>
      <xdr:rowOff>22414</xdr:rowOff>
    </xdr:from>
    <xdr:to>
      <xdr:col>5</xdr:col>
      <xdr:colOff>0</xdr:colOff>
      <xdr:row>19</xdr:row>
      <xdr:rowOff>3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2"/>
          <a:endCxn id="5" idx="0"/>
        </xdr:cNvCxnSpPr>
      </xdr:nvCxnSpPr>
      <xdr:spPr>
        <a:xfrm>
          <a:off x="1295400" y="3181350"/>
          <a:ext cx="38100" cy="552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232927</xdr:colOff>
      <xdr:row>23</xdr:row>
      <xdr:rowOff>0</xdr:rowOff>
    </xdr:from>
    <xdr:to>
      <xdr:col>5</xdr:col>
      <xdr:colOff>0</xdr:colOff>
      <xdr:row>25</xdr:row>
      <xdr:rowOff>13608</xdr:rowOff>
    </xdr:to>
    <xdr:cxnSp macro="">
      <xdr:nvCxnSpPr>
        <xdr:cNvPr id="10" name="直線矢印コネクタ 10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2"/>
          <a:endCxn id="7" idx="0"/>
        </xdr:cNvCxnSpPr>
      </xdr:nvCxnSpPr>
      <xdr:spPr>
        <a:xfrm flipH="1">
          <a:off x="1295400" y="4495800"/>
          <a:ext cx="3810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22</xdr:row>
      <xdr:rowOff>190499</xdr:rowOff>
    </xdr:from>
    <xdr:to>
      <xdr:col>11</xdr:col>
      <xdr:colOff>1</xdr:colOff>
      <xdr:row>25</xdr:row>
      <xdr:rowOff>2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5" idx="2"/>
          <a:endCxn id="6" idx="0"/>
        </xdr:cNvCxnSpPr>
      </xdr:nvCxnSpPr>
      <xdr:spPr>
        <a:xfrm rot="16200000" flipH="1">
          <a:off x="1333500" y="4495800"/>
          <a:ext cx="16002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27</xdr:row>
      <xdr:rowOff>0</xdr:rowOff>
    </xdr:from>
    <xdr:to>
      <xdr:col>11</xdr:col>
      <xdr:colOff>1</xdr:colOff>
      <xdr:row>30</xdr:row>
      <xdr:rowOff>190499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6" idx="2"/>
          <a:endCxn id="8" idx="0"/>
        </xdr:cNvCxnSpPr>
      </xdr:nvCxnSpPr>
      <xdr:spPr>
        <a:xfrm rot="5400000">
          <a:off x="1333500" y="5257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232927</xdr:colOff>
      <xdr:row>26</xdr:row>
      <xdr:rowOff>1</xdr:rowOff>
    </xdr:from>
    <xdr:to>
      <xdr:col>5</xdr:col>
      <xdr:colOff>0</xdr:colOff>
      <xdr:row>31</xdr:row>
      <xdr:rowOff>0</xdr:rowOff>
    </xdr:to>
    <xdr:cxnSp macro="">
      <xdr:nvCxnSpPr>
        <xdr:cNvPr id="13" name="Connector: Elbow 26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7" idx="2"/>
          <a:endCxn id="8" idx="0"/>
        </xdr:cNvCxnSpPr>
      </xdr:nvCxnSpPr>
      <xdr:spPr>
        <a:xfrm>
          <a:off x="1295400" y="5067300"/>
          <a:ext cx="3810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30</xdr:row>
      <xdr:rowOff>11205</xdr:rowOff>
    </xdr:from>
    <xdr:to>
      <xdr:col>61</xdr:col>
      <xdr:colOff>0</xdr:colOff>
      <xdr:row>35</xdr:row>
      <xdr:rowOff>1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0134600" y="5838825"/>
          <a:ext cx="6134100" cy="942975"/>
        </a:xfrm>
        <a:prstGeom prst="borderCallout1">
          <a:avLst>
            <a:gd name="adj1" fmla="val 49730"/>
            <a:gd name="adj2" fmla="val 242"/>
            <a:gd name="adj3" fmla="val 49450"/>
            <a:gd name="adj4" fmla="val -1310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1681</xdr:colOff>
      <xdr:row>24</xdr:row>
      <xdr:rowOff>1</xdr:rowOff>
    </xdr:from>
    <xdr:to>
      <xdr:col>61</xdr:col>
      <xdr:colOff>1681</xdr:colOff>
      <xdr:row>28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134600" y="4686300"/>
          <a:ext cx="6134100" cy="762000"/>
        </a:xfrm>
        <a:prstGeom prst="borderCallout1">
          <a:avLst>
            <a:gd name="adj1" fmla="val 49927"/>
            <a:gd name="adj2" fmla="val -182"/>
            <a:gd name="adj3" fmla="val 47957"/>
            <a:gd name="adj4" fmla="val -10852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店舗情報をクリックすると共通機能を実行する。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227730</xdr:colOff>
      <xdr:row>37</xdr:row>
      <xdr:rowOff>1</xdr:rowOff>
    </xdr:from>
    <xdr:to>
      <xdr:col>5</xdr:col>
      <xdr:colOff>227730</xdr:colOff>
      <xdr:row>39</xdr:row>
      <xdr:rowOff>0</xdr:rowOff>
    </xdr:to>
    <xdr:sp macro="" textlink="" fLocksText="0">
      <xdr:nvSpPr>
        <xdr:cNvPr id="16" name="四角形: 角を丸くする 110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287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39</xdr:row>
      <xdr:rowOff>0</xdr:rowOff>
    </xdr:to>
    <xdr:sp macro="" textlink="" fLocksText="0">
      <xdr:nvSpPr>
        <xdr:cNvPr id="17" name="四角形: 角を丸くする 110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9337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227730</xdr:colOff>
      <xdr:row>35</xdr:row>
      <xdr:rowOff>0</xdr:rowOff>
    </xdr:from>
    <xdr:to>
      <xdr:col>5</xdr:col>
      <xdr:colOff>0</xdr:colOff>
      <xdr:row>37</xdr:row>
      <xdr:rowOff>1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8" idx="2"/>
          <a:endCxn id="16" idx="0"/>
        </xdr:cNvCxnSpPr>
      </xdr:nvCxnSpPr>
      <xdr:spPr>
        <a:xfrm flipH="1">
          <a:off x="1295400" y="67818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238124</xdr:colOff>
      <xdr:row>35</xdr:row>
      <xdr:rowOff>0</xdr:rowOff>
    </xdr:from>
    <xdr:to>
      <xdr:col>11</xdr:col>
      <xdr:colOff>238124</xdr:colOff>
      <xdr:row>37</xdr:row>
      <xdr:rowOff>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8" idx="2"/>
          <a:endCxn id="17" idx="0"/>
        </xdr:cNvCxnSpPr>
      </xdr:nvCxnSpPr>
      <xdr:spPr>
        <a:xfrm rot="16200000" flipH="1">
          <a:off x="1304925" y="67818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173131</xdr:rowOff>
    </xdr:from>
    <xdr:to>
      <xdr:col>61</xdr:col>
      <xdr:colOff>0</xdr:colOff>
      <xdr:row>40</xdr:row>
      <xdr:rowOff>161925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134600" y="7143750"/>
          <a:ext cx="6134100" cy="752475"/>
        </a:xfrm>
        <a:prstGeom prst="borderCallout1">
          <a:avLst>
            <a:gd name="adj1" fmla="val 27912"/>
            <a:gd name="adj2" fmla="val 362"/>
            <a:gd name="adj3" fmla="val 27634"/>
            <a:gd name="adj4" fmla="val -13932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・決定ボタン：MD0101_店舗一覧モダールでユーザーが選択したstoreIdを使用してKN1401機能を実行する。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8</xdr:col>
      <xdr:colOff>0</xdr:colOff>
      <xdr:row>59</xdr:row>
      <xdr:rowOff>0</xdr:rowOff>
    </xdr:to>
    <xdr:sp macro="" textlink="" fLocksText="0">
      <xdr:nvSpPr>
        <xdr:cNvPr id="21" name="正方形/長方形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33400" y="10591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SC1401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テナント売上速報/日報画面</a:t>
          </a:r>
        </a:p>
      </xdr:txBody>
    </xdr:sp>
    <xdr:clientData/>
  </xdr:twoCellAnchor>
  <xdr:twoCellAnchor>
    <xdr:from>
      <xdr:col>1</xdr:col>
      <xdr:colOff>0</xdr:colOff>
      <xdr:row>40</xdr:row>
      <xdr:rowOff>0</xdr:rowOff>
    </xdr:from>
    <xdr:to>
      <xdr:col>3</xdr:col>
      <xdr:colOff>0</xdr:colOff>
      <xdr:row>41</xdr:row>
      <xdr:rowOff>0</xdr:rowOff>
    </xdr:to>
    <xdr:sp macro="" textlink="" fLocksText="0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" y="773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14</a:t>
          </a:r>
        </a:p>
      </xdr:txBody>
    </xdr:sp>
    <xdr:clientData/>
  </xdr:twoCellAnchor>
  <xdr:twoCellAnchor>
    <xdr:from>
      <xdr:col>3</xdr:col>
      <xdr:colOff>0</xdr:colOff>
      <xdr:row>40</xdr:row>
      <xdr:rowOff>95250</xdr:rowOff>
    </xdr:from>
    <xdr:to>
      <xdr:col>5</xdr:col>
      <xdr:colOff>1</xdr:colOff>
      <xdr:row>43</xdr:row>
      <xdr:rowOff>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2" idx="3"/>
          <a:endCxn id="25" idx="0"/>
        </xdr:cNvCxnSpPr>
      </xdr:nvCxnSpPr>
      <xdr:spPr>
        <a:xfrm>
          <a:off x="800100" y="7829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227730</xdr:colOff>
      <xdr:row>39</xdr:row>
      <xdr:rowOff>0</xdr:rowOff>
    </xdr:from>
    <xdr:to>
      <xdr:col>5</xdr:col>
      <xdr:colOff>1</xdr:colOff>
      <xdr:row>43</xdr:row>
      <xdr:rowOff>1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6" idx="2"/>
          <a:endCxn id="25" idx="0"/>
        </xdr:cNvCxnSpPr>
      </xdr:nvCxnSpPr>
      <xdr:spPr>
        <a:xfrm>
          <a:off x="1295400" y="7543800"/>
          <a:ext cx="3810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43</xdr:row>
      <xdr:rowOff>1</xdr:rowOff>
    </xdr:from>
    <xdr:to>
      <xdr:col>8</xdr:col>
      <xdr:colOff>1</xdr:colOff>
      <xdr:row>47</xdr:row>
      <xdr:rowOff>0</xdr:rowOff>
    </xdr:to>
    <xdr:sp macro="" textlink="" fLocksText="0">
      <xdr:nvSpPr>
        <xdr:cNvPr id="25" name="四角形: 角を丸くする 3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KN1301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テナント売上速報/日報情報取得機能</a:t>
          </a:r>
        </a:p>
      </xdr:txBody>
    </xdr:sp>
    <xdr:clientData/>
  </xdr:twoCellAnchor>
  <xdr:twoCellAnchor>
    <xdr:from>
      <xdr:col>8</xdr:col>
      <xdr:colOff>1</xdr:colOff>
      <xdr:row>45</xdr:row>
      <xdr:rowOff>0</xdr:rowOff>
    </xdr:from>
    <xdr:to>
      <xdr:col>29</xdr:col>
      <xdr:colOff>0</xdr:colOff>
      <xdr:row>45</xdr:row>
      <xdr:rowOff>1</xdr:rowOff>
    </xdr:to>
    <xdr:cxnSp macro="">
      <xdr:nvCxnSpPr>
        <xdr:cNvPr id="27" name="直線矢印コネクタ 19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5" idx="3"/>
          <a:endCxn id="29" idx="2"/>
        </xdr:cNvCxnSpPr>
      </xdr:nvCxnSpPr>
      <xdr:spPr>
        <a:xfrm flipV="1">
          <a:off x="2133600" y="8686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45</xdr:row>
      <xdr:rowOff>0</xdr:rowOff>
    </xdr:from>
    <xdr:to>
      <xdr:col>61</xdr:col>
      <xdr:colOff>0</xdr:colOff>
      <xdr:row>49</xdr:row>
      <xdr:rowOff>168088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942294" y="8684559"/>
          <a:ext cx="5412441" cy="930088"/>
        </a:xfrm>
        <a:prstGeom prst="borderCallout1">
          <a:avLst>
            <a:gd name="adj1" fmla="val 49703"/>
            <a:gd name="adj2" fmla="val 56"/>
            <a:gd name="adj3" fmla="val 2810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テナント売上速報/日報情報を取得する。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ダイソーは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25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部門。ウェルシアは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12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部門。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※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ダイソーの対応の中で再検討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43</xdr:row>
      <xdr:rowOff>0</xdr:rowOff>
    </xdr:from>
    <xdr:to>
      <xdr:col>35</xdr:col>
      <xdr:colOff>0</xdr:colOff>
      <xdr:row>47</xdr:row>
      <xdr:rowOff>0</xdr:rowOff>
    </xdr:to>
    <xdr:sp macro="" textlink="" fLocksText="0">
      <xdr:nvSpPr>
        <xdr:cNvPr id="29" name="フローチャート: 磁気ディスク 194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77343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テナント売上速報/日報取得API</a:t>
          </a:r>
        </a:p>
      </xdr:txBody>
    </xdr:sp>
    <xdr:clientData/>
  </xdr:twoCellAnchor>
  <xdr:twoCellAnchor>
    <xdr:from>
      <xdr:col>3</xdr:col>
      <xdr:colOff>0</xdr:colOff>
      <xdr:row>65</xdr:row>
      <xdr:rowOff>6350</xdr:rowOff>
    </xdr:from>
    <xdr:to>
      <xdr:col>7</xdr:col>
      <xdr:colOff>0</xdr:colOff>
      <xdr:row>67</xdr:row>
      <xdr:rowOff>0</xdr:rowOff>
    </xdr:to>
    <xdr:sp macro="" textlink="" fLocksText="0">
      <xdr:nvSpPr>
        <xdr:cNvPr id="32" name="四角形: 角を丸くする 110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00100" y="125063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</a:t>
          </a:r>
        </a:p>
        <a:p>
          <a:pPr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65</xdr:row>
      <xdr:rowOff>6350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21" idx="2"/>
          <a:endCxn id="32" idx="0"/>
        </xdr:cNvCxnSpPr>
      </xdr:nvCxnSpPr>
      <xdr:spPr>
        <a:xfrm>
          <a:off x="1333500" y="11353800"/>
          <a:ext cx="0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55</xdr:row>
      <xdr:rowOff>22412</xdr:rowOff>
    </xdr:from>
    <xdr:to>
      <xdr:col>61</xdr:col>
      <xdr:colOff>0</xdr:colOff>
      <xdr:row>76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0134600" y="10610850"/>
          <a:ext cx="6134100" cy="3981450"/>
        </a:xfrm>
        <a:prstGeom prst="borderCallout1">
          <a:avLst>
            <a:gd name="adj1" fmla="val 4135"/>
            <a:gd name="adj2" fmla="val 56"/>
            <a:gd name="adj3" fmla="val 4352"/>
            <a:gd name="adj4" fmla="val -1302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初期表示状態：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・営業種別: 速報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・営業日: 現在日。無効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表示欄：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・部門：部門コード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・売上8%: 消費税8%課税の売上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・消費税8%: 消費税8%を支払う金額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・売上10%: 消費税10%課税の売上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・消費税10%: 消費税10%を支払う金額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・非課税額: 非課税の金額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・合計: 売上合計金額(税引後)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ボタン/アクション：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[F12: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をクリックする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と、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以下の条件を満たす売上日報をロードする。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‣営業種別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‣営業日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・[営業種別]の値が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日報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の場合、[営業日]が有効になる。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5</xdr:col>
      <xdr:colOff>0</xdr:colOff>
      <xdr:row>70</xdr:row>
      <xdr:rowOff>6351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2" idx="2"/>
          <a:endCxn id="167" idx="0"/>
        </xdr:cNvCxnSpPr>
      </xdr:nvCxnSpPr>
      <xdr:spPr>
        <a:xfrm>
          <a:off x="1333500" y="12877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1683</xdr:colOff>
      <xdr:row>74</xdr:row>
      <xdr:rowOff>0</xdr:rowOff>
    </xdr:from>
    <xdr:to>
      <xdr:col>21</xdr:col>
      <xdr:colOff>0</xdr:colOff>
      <xdr:row>77</xdr:row>
      <xdr:rowOff>182102</xdr:rowOff>
    </xdr:to>
    <xdr:sp macro="" textlink="" fLocksText="0">
      <xdr:nvSpPr>
        <xdr:cNvPr id="44" name="フローチャート: 書類 1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4000500" y="14211300"/>
          <a:ext cx="1600200" cy="752475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def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PR1401</a:t>
          </a:r>
        </a:p>
        <a:p>
          <a:pPr algn="ctr">
            <a:defRPr lang="en-US" altLang="ja-JP" sz="8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テナント売上速報/日報印刷帳票</a:t>
          </a:r>
        </a:p>
      </xdr:txBody>
    </xdr:sp>
    <xdr:clientData/>
  </xdr:twoCellAnchor>
  <xdr:twoCellAnchor>
    <xdr:from>
      <xdr:col>23</xdr:col>
      <xdr:colOff>0</xdr:colOff>
      <xdr:row>64</xdr:row>
      <xdr:rowOff>187884</xdr:rowOff>
    </xdr:from>
    <xdr:to>
      <xdr:col>27</xdr:col>
      <xdr:colOff>0</xdr:colOff>
      <xdr:row>67</xdr:row>
      <xdr:rowOff>0</xdr:rowOff>
    </xdr:to>
    <xdr:sp macro="" textlink="" fLocksText="0">
      <xdr:nvSpPr>
        <xdr:cNvPr id="45" name="四角形: 角を丸くする 110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34100" y="1249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</a:t>
          </a:r>
        </a:p>
        <a:p>
          <a:pPr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（ヘッダー）</a:t>
          </a: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25</xdr:col>
      <xdr:colOff>0</xdr:colOff>
      <xdr:row>64</xdr:row>
      <xdr:rowOff>187884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21" idx="2"/>
          <a:endCxn id="45" idx="0"/>
        </xdr:cNvCxnSpPr>
      </xdr:nvCxnSpPr>
      <xdr:spPr>
        <a:xfrm rot="16200000" flipH="1">
          <a:off x="1333500" y="11353800"/>
          <a:ext cx="5334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841</xdr:colOff>
      <xdr:row>67</xdr:row>
      <xdr:rowOff>1</xdr:rowOff>
    </xdr:from>
    <xdr:to>
      <xdr:col>25</xdr:col>
      <xdr:colOff>0</xdr:colOff>
      <xdr:row>74</xdr:row>
      <xdr:rowOff>1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5" idx="2"/>
          <a:endCxn id="44" idx="0"/>
        </xdr:cNvCxnSpPr>
      </xdr:nvCxnSpPr>
      <xdr:spPr>
        <a:xfrm rot="5400000">
          <a:off x="4800600" y="12877800"/>
          <a:ext cx="1866900" cy="1333500"/>
        </a:xfrm>
        <a:prstGeom prst="bentConnector3">
          <a:avLst>
            <a:gd name="adj1" fmla="val 428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78</xdr:row>
      <xdr:rowOff>0</xdr:rowOff>
    </xdr:from>
    <xdr:to>
      <xdr:col>27</xdr:col>
      <xdr:colOff>224116</xdr:colOff>
      <xdr:row>81</xdr:row>
      <xdr:rowOff>182101</xdr:rowOff>
    </xdr:to>
    <xdr:sp macro="" textlink="" fLocksText="0">
      <xdr:nvSpPr>
        <xdr:cNvPr id="66" name="フローチャート: 書類 1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5867400" y="14973300"/>
          <a:ext cx="1562100" cy="752475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def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PR1301</a:t>
          </a:r>
        </a:p>
        <a:p>
          <a:pPr algn="ctr">
            <a:defRPr lang="en-US" altLang="ja-JP" sz="8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テナント売上日報印刷帳票</a:t>
          </a:r>
        </a:p>
      </xdr:txBody>
    </xdr:sp>
    <xdr:clientData/>
  </xdr:twoCellAnchor>
  <xdr:twoCellAnchor>
    <xdr:from>
      <xdr:col>24</xdr:col>
      <xdr:colOff>231121</xdr:colOff>
      <xdr:row>67</xdr:row>
      <xdr:rowOff>0</xdr:rowOff>
    </xdr:from>
    <xdr:to>
      <xdr:col>25</xdr:col>
      <xdr:colOff>0</xdr:colOff>
      <xdr:row>78</xdr:row>
      <xdr:rowOff>0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45" idx="2"/>
          <a:endCxn id="66" idx="0"/>
        </xdr:cNvCxnSpPr>
      </xdr:nvCxnSpPr>
      <xdr:spPr>
        <a:xfrm flipH="1">
          <a:off x="6629400" y="12877800"/>
          <a:ext cx="38100" cy="2095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</xdr:colOff>
      <xdr:row>49</xdr:row>
      <xdr:rowOff>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25" idx="2"/>
          <a:endCxn id="61" idx="0"/>
        </xdr:cNvCxnSpPr>
      </xdr:nvCxnSpPr>
      <xdr:spPr>
        <a:xfrm flipH="1">
          <a:off x="13335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</xdr:row>
      <xdr:rowOff>0</xdr:rowOff>
    </xdr:from>
    <xdr:to>
      <xdr:col>7</xdr:col>
      <xdr:colOff>0</xdr:colOff>
      <xdr:row>49</xdr:row>
      <xdr:rowOff>176893</xdr:rowOff>
    </xdr:to>
    <xdr:sp macro="" textlink="" fLocksText="0">
      <xdr:nvSpPr>
        <xdr:cNvPr id="61" name="四角形: 角を丸くする 1101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94488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49</xdr:row>
      <xdr:rowOff>176893</xdr:rowOff>
    </xdr:from>
    <xdr:to>
      <xdr:col>5</xdr:col>
      <xdr:colOff>0</xdr:colOff>
      <xdr:row>55</xdr:row>
      <xdr:rowOff>0</xdr:rowOff>
    </xdr:to>
    <xdr:cxnSp macro="">
      <xdr:nvCxnSpPr>
        <xdr:cNvPr id="63" name="Connector: Elbow 84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61" idx="2"/>
          <a:endCxn id="21" idx="0"/>
        </xdr:cNvCxnSpPr>
      </xdr:nvCxnSpPr>
      <xdr:spPr>
        <a:xfrm>
          <a:off x="1333500" y="9629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55</xdr:row>
      <xdr:rowOff>0</xdr:rowOff>
    </xdr:from>
    <xdr:to>
      <xdr:col>21</xdr:col>
      <xdr:colOff>0</xdr:colOff>
      <xdr:row>59</xdr:row>
      <xdr:rowOff>0</xdr:rowOff>
    </xdr:to>
    <xdr:sp macro="" textlink="" fLocksText="0">
      <xdr:nvSpPr>
        <xdr:cNvPr id="73" name="正方形/長方形 1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4000500" y="10591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検索条件バリデーションチェック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データが見つかりませんでした。</a:t>
          </a:r>
        </a:p>
      </xdr:txBody>
    </xdr:sp>
    <xdr:clientData/>
  </xdr:twoCellAnchor>
  <xdr:twoCellAnchor>
    <xdr:from>
      <xdr:col>5</xdr:col>
      <xdr:colOff>1</xdr:colOff>
      <xdr:row>47</xdr:row>
      <xdr:rowOff>0</xdr:rowOff>
    </xdr:from>
    <xdr:to>
      <xdr:col>18</xdr:col>
      <xdr:colOff>0</xdr:colOff>
      <xdr:row>49</xdr:row>
      <xdr:rowOff>0</xdr:rowOff>
    </xdr:to>
    <xdr:cxnSp macro="">
      <xdr:nvCxnSpPr>
        <xdr:cNvPr id="74" name="Connector: Elbow 8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25" idx="2"/>
          <a:endCxn id="77" idx="0"/>
        </xdr:cNvCxnSpPr>
      </xdr:nvCxnSpPr>
      <xdr:spPr>
        <a:xfrm rot="16200000" flipH="1">
          <a:off x="1333500" y="9067800"/>
          <a:ext cx="3467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49</xdr:row>
      <xdr:rowOff>0</xdr:rowOff>
    </xdr:from>
    <xdr:to>
      <xdr:col>20</xdr:col>
      <xdr:colOff>0</xdr:colOff>
      <xdr:row>49</xdr:row>
      <xdr:rowOff>176893</xdr:rowOff>
    </xdr:to>
    <xdr:sp macro="" textlink="" fLocksText="0">
      <xdr:nvSpPr>
        <xdr:cNvPr id="77" name="四角形: 角を丸くする 110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4267200" y="94488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49</xdr:row>
      <xdr:rowOff>176893</xdr:rowOff>
    </xdr:from>
    <xdr:to>
      <xdr:col>18</xdr:col>
      <xdr:colOff>0</xdr:colOff>
      <xdr:row>55</xdr:row>
      <xdr:rowOff>0</xdr:rowOff>
    </xdr:to>
    <xdr:cxnSp macro="">
      <xdr:nvCxnSpPr>
        <xdr:cNvPr id="81" name="Connector: Elbow 84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77" idx="2"/>
          <a:endCxn id="73" idx="0"/>
        </xdr:cNvCxnSpPr>
      </xdr:nvCxnSpPr>
      <xdr:spPr>
        <a:xfrm>
          <a:off x="4800600" y="9629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53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98" name="吹き出し: 線 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0134600" y="10210800"/>
          <a:ext cx="6134100" cy="190500"/>
        </a:xfrm>
        <a:prstGeom prst="borderCallout1">
          <a:avLst>
            <a:gd name="adj1" fmla="val 51151"/>
            <a:gd name="adj2" fmla="val 232"/>
            <a:gd name="adj3" fmla="val 299454"/>
            <a:gd name="adj4" fmla="val -737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▪条件を満たすデータがない場合、「データが見つかりませんでした。」が表示される。</a:t>
          </a:r>
        </a:p>
      </xdr:txBody>
    </xdr:sp>
    <xdr:clientData/>
  </xdr:twoCellAnchor>
  <xdr:twoCellAnchor>
    <xdr:from>
      <xdr:col>16</xdr:col>
      <xdr:colOff>241788</xdr:colOff>
      <xdr:row>59</xdr:row>
      <xdr:rowOff>13072</xdr:rowOff>
    </xdr:from>
    <xdr:to>
      <xdr:col>19</xdr:col>
      <xdr:colOff>0</xdr:colOff>
      <xdr:row>60</xdr:row>
      <xdr:rowOff>0</xdr:rowOff>
    </xdr:to>
    <xdr:sp macro="" textlink="" fLocksText="0">
      <xdr:nvSpPr>
        <xdr:cNvPr id="103" name="四角形: 角を丸くする 110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4505325" y="11363325"/>
          <a:ext cx="561975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70</xdr:row>
      <xdr:rowOff>6351</xdr:rowOff>
    </xdr:from>
    <xdr:to>
      <xdr:col>6</xdr:col>
      <xdr:colOff>0</xdr:colOff>
      <xdr:row>71</xdr:row>
      <xdr:rowOff>6350</xdr:rowOff>
    </xdr:to>
    <xdr:sp macro="" textlink="" fLocksText="0">
      <xdr:nvSpPr>
        <xdr:cNvPr id="167" name="Rectangle: Rounded Corners 166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/>
      </xdr:nvSpPr>
      <xdr:spPr>
        <a:xfrm>
          <a:off x="1066800" y="13458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14</a:t>
          </a:r>
        </a:p>
      </xdr:txBody>
    </xdr:sp>
    <xdr:clientData/>
  </xdr:twoCellAnchor>
  <xdr:twoCellAnchor editAs="oneCell">
    <xdr:from>
      <xdr:col>67</xdr:col>
      <xdr:colOff>0</xdr:colOff>
      <xdr:row>45</xdr:row>
      <xdr:rowOff>9789</xdr:rowOff>
    </xdr:from>
    <xdr:to>
      <xdr:col>104</xdr:col>
      <xdr:colOff>0</xdr:colOff>
      <xdr:row>68</xdr:row>
      <xdr:rowOff>123825</xdr:rowOff>
    </xdr:to>
    <xdr:pic>
      <xdr:nvPicPr>
        <xdr:cNvPr id="43" name="img803694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58"/>
        <a:stretch>
          <a:fillRect/>
        </a:stretch>
      </xdr:blipFill>
      <xdr:spPr bwMode="auto">
        <a:xfrm>
          <a:off x="17887950" y="8696325"/>
          <a:ext cx="9867900" cy="449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" customWidth="1"/>
    <col min="61" max="16384" width="2.77734375" style="20"/>
  </cols>
  <sheetData>
    <row r="1" spans="1:63" ht="24.95" customHeight="1" x14ac:dyDescent="0.25">
      <c r="A1" s="81" t="s">
        <v>37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38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">
        <v>39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40</v>
      </c>
      <c r="AQ1" s="82"/>
      <c r="AR1" s="82"/>
      <c r="AS1" s="83"/>
      <c r="AT1" s="81" t="s">
        <v>41</v>
      </c>
      <c r="AU1" s="82"/>
      <c r="AV1" s="82"/>
      <c r="AW1" s="82"/>
      <c r="AX1" s="83"/>
      <c r="AY1" s="81" t="s">
        <v>42</v>
      </c>
      <c r="AZ1" s="82"/>
      <c r="BA1" s="82"/>
      <c r="BB1" s="83"/>
      <c r="BC1" s="81" t="s">
        <v>43</v>
      </c>
      <c r="BD1" s="82"/>
      <c r="BE1" s="82"/>
      <c r="BF1" s="82"/>
      <c r="BG1" s="83"/>
      <c r="BH1" s="81" t="s">
        <v>44</v>
      </c>
      <c r="BI1" s="82"/>
      <c r="BJ1" s="82"/>
      <c r="BK1" s="83"/>
    </row>
    <row r="2" spans="1:63" ht="15" customHeight="1" x14ac:dyDescent="0.25">
      <c r="A2" s="90" t="s">
        <v>45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10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改訂履歴!$H$11</f>
        <v>AnhDD</v>
      </c>
      <c r="AQ2" s="85"/>
      <c r="AR2" s="85"/>
      <c r="AS2" s="86"/>
      <c r="AT2" s="111">
        <f>改訂履歴!$B$11</f>
        <v>45425</v>
      </c>
      <c r="AU2" s="112"/>
      <c r="AV2" s="112"/>
      <c r="AW2" s="112"/>
      <c r="AX2" s="113"/>
      <c r="AY2" s="84" t="str">
        <f>LOOKUP(2,1/(改訂履歴!H11:H30000&lt;&gt;""),改訂履歴!H11:H30000)</f>
        <v>AnhDD</v>
      </c>
      <c r="AZ2" s="85"/>
      <c r="BA2" s="85"/>
      <c r="BB2" s="86"/>
      <c r="BC2" s="111">
        <f>LOOKUP(2,1/(改訂履歴!B11:B30000&lt;&gt;""),改訂履歴!B11:B30000)</f>
        <v>45425</v>
      </c>
      <c r="BD2" s="112"/>
      <c r="BE2" s="112"/>
      <c r="BF2" s="112"/>
      <c r="BG2" s="113"/>
      <c r="BH2" s="105">
        <f>LOOKUP(2,1/(改訂履歴!O11:O30000&lt;&gt;""),改訂履歴!O11:O30000)</f>
        <v>0.1</v>
      </c>
      <c r="BI2" s="106"/>
      <c r="BJ2" s="106"/>
      <c r="BK2" s="10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81" t="s">
        <v>46</v>
      </c>
      <c r="B4" s="82"/>
      <c r="C4" s="82"/>
      <c r="D4" s="82"/>
      <c r="E4" s="82"/>
      <c r="F4" s="82"/>
      <c r="G4" s="83"/>
      <c r="H4" s="102" t="s">
        <v>32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47</v>
      </c>
      <c r="V4" s="82"/>
      <c r="W4" s="82"/>
      <c r="X4" s="82"/>
      <c r="Y4" s="83"/>
      <c r="Z4" s="102" t="s">
        <v>11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表紙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3"/>
    </row>
    <row r="6" spans="1:63" ht="15" customHeight="1" x14ac:dyDescent="0.25">
      <c r="A6" s="24"/>
      <c r="BK6" s="25"/>
    </row>
    <row r="7" spans="1:63" ht="15" customHeight="1" x14ac:dyDescent="0.25">
      <c r="A7" s="24"/>
      <c r="BK7" s="25"/>
    </row>
    <row r="8" spans="1:63" ht="15" customHeight="1" x14ac:dyDescent="0.25">
      <c r="A8" s="24"/>
      <c r="BK8" s="25"/>
    </row>
    <row r="9" spans="1:63" ht="15" customHeight="1" x14ac:dyDescent="0.25">
      <c r="A9" s="24"/>
      <c r="BK9" s="25"/>
    </row>
    <row r="10" spans="1:63" ht="15" customHeight="1" x14ac:dyDescent="0.25">
      <c r="A10" s="24"/>
      <c r="BK10" s="25"/>
    </row>
    <row r="11" spans="1:63" ht="15" customHeight="1" x14ac:dyDescent="0.25">
      <c r="A11" s="24"/>
      <c r="BK11" s="25"/>
    </row>
    <row r="12" spans="1:63" ht="15" customHeight="1" x14ac:dyDescent="0.25">
      <c r="A12" s="24"/>
      <c r="BK12" s="25"/>
    </row>
    <row r="13" spans="1:63" ht="15" customHeight="1" x14ac:dyDescent="0.25">
      <c r="A13" s="24"/>
      <c r="BK13" s="25"/>
    </row>
    <row r="14" spans="1:63" ht="15" customHeight="1" thickBot="1" x14ac:dyDescent="0.3">
      <c r="A14" s="24"/>
      <c r="BK14" s="25"/>
    </row>
    <row r="15" spans="1:63" ht="15" customHeight="1" thickTop="1" x14ac:dyDescent="0.25">
      <c r="A15" s="24"/>
      <c r="K15" s="2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8"/>
      <c r="BK15" s="25"/>
    </row>
    <row r="16" spans="1:63" ht="15" customHeight="1" x14ac:dyDescent="0.25">
      <c r="A16" s="24"/>
      <c r="K16" s="29"/>
      <c r="L16" s="100" t="s">
        <v>48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30"/>
      <c r="BK16" s="25"/>
    </row>
    <row r="17" spans="1:63" ht="15" customHeight="1" x14ac:dyDescent="0.25">
      <c r="A17" s="24"/>
      <c r="K17" s="29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30"/>
      <c r="BK17" s="25"/>
    </row>
    <row r="18" spans="1:63" ht="15" customHeight="1" x14ac:dyDescent="0.25">
      <c r="A18" s="24"/>
      <c r="K18" s="2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30"/>
      <c r="BK18" s="25"/>
    </row>
    <row r="19" spans="1:63" ht="15" customHeight="1" x14ac:dyDescent="0.25">
      <c r="A19" s="24"/>
      <c r="K19" s="29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30"/>
      <c r="BK19" s="25"/>
    </row>
    <row r="20" spans="1:63" ht="15" customHeight="1" x14ac:dyDescent="0.25">
      <c r="A20" s="24"/>
      <c r="K20" s="29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30"/>
      <c r="BK20" s="25"/>
    </row>
    <row r="21" spans="1:63" ht="15" customHeight="1" x14ac:dyDescent="0.25">
      <c r="A21" s="24"/>
      <c r="K21" s="29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30"/>
      <c r="BK21" s="25"/>
    </row>
    <row r="22" spans="1:63" ht="15" customHeight="1" thickBot="1" x14ac:dyDescent="0.3">
      <c r="A22" s="24"/>
      <c r="K22" s="29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0"/>
      <c r="BK22" s="25"/>
    </row>
    <row r="23" spans="1:63" ht="15" customHeight="1" x14ac:dyDescent="0.25">
      <c r="A23" s="24"/>
      <c r="K23" s="29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0"/>
      <c r="BK23" s="25"/>
    </row>
    <row r="24" spans="1:63" ht="15" customHeight="1" x14ac:dyDescent="0.25">
      <c r="A24" s="24"/>
      <c r="K24" s="29"/>
      <c r="L24" s="101" t="str">
        <f>K2&amp;"/"&amp;H4&amp;"/"&amp;Z4</f>
        <v>POSサーバー/14_テナント売上速報/日報/概要設計書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30"/>
      <c r="BK24" s="25"/>
    </row>
    <row r="25" spans="1:63" ht="15" customHeight="1" x14ac:dyDescent="0.25">
      <c r="A25" s="24"/>
      <c r="K25" s="29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30"/>
      <c r="BK25" s="25"/>
    </row>
    <row r="26" spans="1:63" ht="15" customHeight="1" x14ac:dyDescent="0.25">
      <c r="A26" s="24"/>
      <c r="K26" s="29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30"/>
      <c r="BK26" s="25"/>
    </row>
    <row r="27" spans="1:63" ht="15" customHeight="1" x14ac:dyDescent="0.25">
      <c r="A27" s="24"/>
      <c r="K27" s="29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30"/>
      <c r="BK27" s="25"/>
    </row>
    <row r="28" spans="1:63" ht="15" customHeight="1" x14ac:dyDescent="0.25">
      <c r="A28" s="24"/>
      <c r="K28" s="29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30"/>
      <c r="BK28" s="25"/>
    </row>
    <row r="29" spans="1:63" ht="15" customHeight="1" x14ac:dyDescent="0.25">
      <c r="A29" s="24"/>
      <c r="K29" s="29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30"/>
      <c r="BK29" s="25"/>
    </row>
    <row r="30" spans="1:63" ht="15" customHeight="1" x14ac:dyDescent="0.25">
      <c r="A30" s="24"/>
      <c r="K30" s="29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30"/>
      <c r="BK30" s="25"/>
    </row>
    <row r="31" spans="1:63" ht="15" customHeight="1" x14ac:dyDescent="0.25">
      <c r="A31" s="24"/>
      <c r="K31" s="29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30"/>
      <c r="BK31" s="25"/>
    </row>
    <row r="32" spans="1:63" ht="15" customHeight="1" x14ac:dyDescent="0.25">
      <c r="A32" s="24"/>
      <c r="K32" s="29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30"/>
      <c r="BK32" s="25"/>
    </row>
    <row r="33" spans="1:63" ht="15" customHeight="1" x14ac:dyDescent="0.25">
      <c r="A33" s="24"/>
      <c r="K33" s="29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30"/>
      <c r="BK33" s="25"/>
    </row>
    <row r="34" spans="1:63" ht="15" customHeight="1" x14ac:dyDescent="0.25">
      <c r="A34" s="24"/>
      <c r="K34" s="29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30"/>
      <c r="BK34" s="25"/>
    </row>
    <row r="35" spans="1:63" ht="15" customHeight="1" x14ac:dyDescent="0.25">
      <c r="A35" s="24"/>
      <c r="K35" s="29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30"/>
      <c r="BK35" s="25"/>
    </row>
    <row r="36" spans="1:63" ht="15" customHeight="1" x14ac:dyDescent="0.25">
      <c r="A36" s="24"/>
      <c r="K36" s="29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30"/>
      <c r="BK36" s="25"/>
    </row>
    <row r="37" spans="1:63" ht="15" customHeight="1" thickBot="1" x14ac:dyDescent="0.3">
      <c r="A37" s="24"/>
      <c r="K37" s="33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5"/>
      <c r="BK37" s="25"/>
    </row>
    <row r="38" spans="1:63" ht="15" customHeight="1" thickTop="1" x14ac:dyDescent="0.25">
      <c r="A38" s="24"/>
      <c r="BK38" s="25"/>
    </row>
    <row r="39" spans="1:63" ht="15" customHeight="1" x14ac:dyDescent="0.25">
      <c r="A39" s="24"/>
      <c r="BK39" s="25"/>
    </row>
    <row r="40" spans="1:63" ht="15" customHeight="1" x14ac:dyDescent="0.25">
      <c r="A40" s="24"/>
      <c r="BK40" s="25"/>
    </row>
    <row r="41" spans="1:63" ht="15" customHeight="1" x14ac:dyDescent="0.25">
      <c r="A41" s="24"/>
      <c r="BK41" s="25"/>
    </row>
    <row r="42" spans="1:63" ht="15" customHeight="1" x14ac:dyDescent="0.25">
      <c r="A42" s="24"/>
      <c r="BK42" s="25"/>
    </row>
    <row r="43" spans="1:63" ht="15" customHeight="1" x14ac:dyDescent="0.25">
      <c r="A43" s="24"/>
      <c r="BK43" s="25"/>
    </row>
    <row r="44" spans="1:63" ht="15" customHeight="1" x14ac:dyDescent="0.25">
      <c r="A44" s="24"/>
      <c r="Q44" s="120" t="s">
        <v>49</v>
      </c>
      <c r="R44" s="121"/>
      <c r="S44" s="121"/>
      <c r="T44" s="121"/>
      <c r="U44" s="121"/>
      <c r="V44" s="121"/>
      <c r="W44" s="121"/>
      <c r="X44" s="121"/>
      <c r="Y44" s="121"/>
      <c r="Z44" s="122"/>
      <c r="AA44" s="120" t="s">
        <v>50</v>
      </c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2"/>
      <c r="AQ44" s="120" t="s">
        <v>44</v>
      </c>
      <c r="AR44" s="121"/>
      <c r="AS44" s="121"/>
      <c r="AT44" s="121"/>
      <c r="AU44" s="122"/>
      <c r="BK44" s="25"/>
    </row>
    <row r="45" spans="1:63" ht="15" customHeight="1" x14ac:dyDescent="0.25">
      <c r="A45" s="24"/>
      <c r="Q45" s="123"/>
      <c r="R45" s="124"/>
      <c r="S45" s="124"/>
      <c r="T45" s="124"/>
      <c r="U45" s="124"/>
      <c r="V45" s="124"/>
      <c r="W45" s="124"/>
      <c r="X45" s="124"/>
      <c r="Y45" s="124"/>
      <c r="Z45" s="125"/>
      <c r="AA45" s="123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5"/>
      <c r="AQ45" s="123"/>
      <c r="AR45" s="124"/>
      <c r="AS45" s="124"/>
      <c r="AT45" s="124"/>
      <c r="AU45" s="125"/>
      <c r="BK45" s="25"/>
    </row>
    <row r="46" spans="1:63" ht="15" customHeight="1" x14ac:dyDescent="0.25">
      <c r="A46" s="24"/>
      <c r="Q46" s="84"/>
      <c r="R46" s="85"/>
      <c r="S46" s="85"/>
      <c r="T46" s="85"/>
      <c r="U46" s="85"/>
      <c r="V46" s="85"/>
      <c r="W46" s="85"/>
      <c r="X46" s="85"/>
      <c r="Y46" s="85"/>
      <c r="Z46" s="86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6"/>
      <c r="AQ46" s="84"/>
      <c r="AR46" s="85"/>
      <c r="AS46" s="85"/>
      <c r="AT46" s="85"/>
      <c r="AU46" s="86"/>
      <c r="BK46" s="25"/>
    </row>
    <row r="47" spans="1:63" ht="15" customHeight="1" x14ac:dyDescent="0.25">
      <c r="A47" s="24"/>
      <c r="Q47" s="117"/>
      <c r="R47" s="118"/>
      <c r="S47" s="118"/>
      <c r="T47" s="118"/>
      <c r="U47" s="118"/>
      <c r="V47" s="118"/>
      <c r="W47" s="118"/>
      <c r="X47" s="118"/>
      <c r="Y47" s="118"/>
      <c r="Z47" s="119"/>
      <c r="AA47" s="117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9"/>
      <c r="AQ47" s="117"/>
      <c r="AR47" s="118"/>
      <c r="AS47" s="118"/>
      <c r="AT47" s="118"/>
      <c r="AU47" s="119"/>
      <c r="BK47" s="25"/>
    </row>
    <row r="48" spans="1:63" ht="15" customHeight="1" x14ac:dyDescent="0.25">
      <c r="A48" s="24"/>
      <c r="Q48" s="117"/>
      <c r="R48" s="118"/>
      <c r="S48" s="118"/>
      <c r="T48" s="118"/>
      <c r="U48" s="118"/>
      <c r="V48" s="118"/>
      <c r="W48" s="118"/>
      <c r="X48" s="118"/>
      <c r="Y48" s="118"/>
      <c r="Z48" s="119"/>
      <c r="AA48" s="117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9"/>
      <c r="AQ48" s="117"/>
      <c r="AR48" s="118"/>
      <c r="AS48" s="118"/>
      <c r="AT48" s="118"/>
      <c r="AU48" s="119"/>
      <c r="BK48" s="25"/>
    </row>
    <row r="49" spans="1:63" ht="15" customHeight="1" x14ac:dyDescent="0.25">
      <c r="A49" s="24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25"/>
    </row>
    <row r="50" spans="1:63" ht="15" customHeight="1" x14ac:dyDescent="0.25">
      <c r="A50" s="24"/>
      <c r="BK50" s="25"/>
    </row>
    <row r="51" spans="1:63" ht="15" customHeight="1" x14ac:dyDescent="0.25">
      <c r="A51" s="24"/>
      <c r="BK51" s="25"/>
    </row>
    <row r="52" spans="1:63" ht="15" customHeight="1" x14ac:dyDescent="0.25">
      <c r="A52" s="24"/>
      <c r="BK52" s="25"/>
    </row>
    <row r="53" spans="1:63" ht="15" customHeight="1" x14ac:dyDescent="0.25">
      <c r="A53" s="24"/>
      <c r="BK53" s="25"/>
    </row>
    <row r="54" spans="1:63" ht="15" customHeight="1" x14ac:dyDescent="0.25">
      <c r="A54" s="24"/>
      <c r="BK54" s="25"/>
    </row>
    <row r="55" spans="1:63" ht="15" customHeight="1" x14ac:dyDescent="0.25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" customWidth="1"/>
    <col min="61" max="16384" width="2.77734375" style="20"/>
  </cols>
  <sheetData>
    <row r="1" spans="1:63" ht="24.95" customHeight="1" x14ac:dyDescent="0.25">
      <c r="A1" s="81" t="s">
        <v>37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38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tr">
        <f>IF(表紙!W1="","",表紙!W1)</f>
        <v>基本設計書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40</v>
      </c>
      <c r="AQ1" s="82"/>
      <c r="AR1" s="82"/>
      <c r="AS1" s="83"/>
      <c r="AT1" s="81" t="s">
        <v>41</v>
      </c>
      <c r="AU1" s="82"/>
      <c r="AV1" s="82"/>
      <c r="AW1" s="82"/>
      <c r="AX1" s="83"/>
      <c r="AY1" s="81" t="s">
        <v>42</v>
      </c>
      <c r="AZ1" s="82"/>
      <c r="BA1" s="82"/>
      <c r="BB1" s="83"/>
      <c r="BC1" s="81" t="s">
        <v>43</v>
      </c>
      <c r="BD1" s="82"/>
      <c r="BE1" s="82"/>
      <c r="BF1" s="82"/>
      <c r="BG1" s="83"/>
      <c r="BH1" s="81" t="s">
        <v>44</v>
      </c>
      <c r="BI1" s="82"/>
      <c r="BJ1" s="82"/>
      <c r="BK1" s="83"/>
    </row>
    <row r="2" spans="1:63" ht="15" customHeight="1" x14ac:dyDescent="0.25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IF(表紙!AP2="","",表紙!AP2)</f>
        <v>AnhDD</v>
      </c>
      <c r="AQ2" s="85"/>
      <c r="AR2" s="85"/>
      <c r="AS2" s="86"/>
      <c r="AT2" s="111">
        <f>IF(表紙!AT2="","",表紙!AT2)</f>
        <v>45425</v>
      </c>
      <c r="AU2" s="112"/>
      <c r="AV2" s="112"/>
      <c r="AW2" s="112"/>
      <c r="AX2" s="113"/>
      <c r="AY2" s="84" t="str">
        <f>IF(表紙!AY2="","",表紙!AY2)</f>
        <v>AnhDD</v>
      </c>
      <c r="AZ2" s="85"/>
      <c r="BA2" s="85"/>
      <c r="BB2" s="86"/>
      <c r="BC2" s="111">
        <f>IF(表紙!BC2="","",表紙!BC2)</f>
        <v>45425</v>
      </c>
      <c r="BD2" s="112"/>
      <c r="BE2" s="112"/>
      <c r="BF2" s="112"/>
      <c r="BG2" s="113"/>
      <c r="BH2" s="84">
        <f>IF(表紙!BH2="","",表紙!BH2)</f>
        <v>0.1</v>
      </c>
      <c r="BI2" s="85"/>
      <c r="BJ2" s="85"/>
      <c r="BK2" s="86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81" t="s">
        <v>46</v>
      </c>
      <c r="B4" s="82"/>
      <c r="C4" s="82"/>
      <c r="D4" s="82"/>
      <c r="E4" s="82"/>
      <c r="F4" s="82"/>
      <c r="G4" s="83"/>
      <c r="H4" s="102" t="str">
        <f>IF(表紙!H4="","",表紙!H4)</f>
        <v>14_テナント売上速報/日報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47</v>
      </c>
      <c r="V4" s="82"/>
      <c r="W4" s="82"/>
      <c r="X4" s="82"/>
      <c r="Y4" s="83"/>
      <c r="Z4" s="102" t="str">
        <f>IF(表紙!Z4="","",表紙!Z4)</f>
        <v>概要設計書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改訂履歴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3"/>
    </row>
    <row r="6" spans="1:63" ht="15" customHeight="1" x14ac:dyDescent="0.25">
      <c r="A6" s="24"/>
      <c r="BK6" s="25"/>
    </row>
    <row r="7" spans="1:63" ht="15" customHeight="1" x14ac:dyDescent="0.25">
      <c r="A7" s="24"/>
      <c r="BK7" s="25"/>
    </row>
    <row r="8" spans="1:63" ht="15" customHeight="1" x14ac:dyDescent="0.25">
      <c r="A8" s="24"/>
      <c r="B8" s="20" t="s">
        <v>9</v>
      </c>
      <c r="BK8" s="25"/>
    </row>
    <row r="9" spans="1:63" ht="15" customHeight="1" x14ac:dyDescent="0.25">
      <c r="A9" s="24"/>
      <c r="BK9" s="25"/>
    </row>
    <row r="10" spans="1:63" ht="15" customHeight="1" x14ac:dyDescent="0.25">
      <c r="A10" s="24"/>
      <c r="B10" s="138" t="s">
        <v>43</v>
      </c>
      <c r="C10" s="138"/>
      <c r="D10" s="138"/>
      <c r="E10" s="138"/>
      <c r="F10" s="138"/>
      <c r="G10" s="138"/>
      <c r="H10" s="138" t="s">
        <v>42</v>
      </c>
      <c r="I10" s="138"/>
      <c r="J10" s="138"/>
      <c r="K10" s="138"/>
      <c r="L10" s="138"/>
      <c r="M10" s="138"/>
      <c r="N10" s="138"/>
      <c r="O10" s="138" t="s">
        <v>44</v>
      </c>
      <c r="P10" s="138"/>
      <c r="Q10" s="138"/>
      <c r="R10" s="138"/>
      <c r="S10" s="138" t="s">
        <v>51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49</v>
      </c>
      <c r="AY10" s="138"/>
      <c r="AZ10" s="138"/>
      <c r="BA10" s="138"/>
      <c r="BB10" s="138"/>
      <c r="BC10" s="138"/>
      <c r="BD10" s="138" t="s">
        <v>50</v>
      </c>
      <c r="BE10" s="138"/>
      <c r="BF10" s="138"/>
      <c r="BG10" s="138"/>
      <c r="BH10" s="138"/>
      <c r="BI10" s="138"/>
      <c r="BJ10" s="138"/>
      <c r="BK10" s="25"/>
    </row>
    <row r="11" spans="1:63" ht="15" customHeight="1" x14ac:dyDescent="0.25">
      <c r="A11" s="24"/>
      <c r="B11" s="111">
        <v>45425</v>
      </c>
      <c r="C11" s="85"/>
      <c r="D11" s="85"/>
      <c r="E11" s="85"/>
      <c r="F11" s="85"/>
      <c r="G11" s="86"/>
      <c r="H11" s="90" t="s">
        <v>52</v>
      </c>
      <c r="I11" s="85"/>
      <c r="J11" s="85"/>
      <c r="K11" s="85"/>
      <c r="L11" s="85"/>
      <c r="M11" s="85"/>
      <c r="N11" s="86"/>
      <c r="O11" s="84">
        <v>0.1</v>
      </c>
      <c r="P11" s="85"/>
      <c r="Q11" s="85"/>
      <c r="R11" s="85"/>
      <c r="S11" s="126" t="s">
        <v>15</v>
      </c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8"/>
      <c r="AX11" s="129"/>
      <c r="AY11" s="129"/>
      <c r="AZ11" s="129"/>
      <c r="BA11" s="129"/>
      <c r="BB11" s="129"/>
      <c r="BC11" s="130"/>
      <c r="BD11" s="133"/>
      <c r="BE11" s="129"/>
      <c r="BF11" s="129"/>
      <c r="BG11" s="129"/>
      <c r="BH11" s="129"/>
      <c r="BI11" s="129"/>
      <c r="BJ11" s="130"/>
      <c r="BK11" s="25"/>
    </row>
    <row r="12" spans="1:63" ht="15" customHeight="1" x14ac:dyDescent="0.25">
      <c r="A12" s="24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5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7"/>
      <c r="AX12" s="131"/>
      <c r="AY12" s="131"/>
      <c r="AZ12" s="131"/>
      <c r="BA12" s="131"/>
      <c r="BB12" s="131"/>
      <c r="BC12" s="132"/>
      <c r="BD12" s="134"/>
      <c r="BE12" s="131"/>
      <c r="BF12" s="131"/>
      <c r="BG12" s="131"/>
      <c r="BH12" s="131"/>
      <c r="BI12" s="131"/>
      <c r="BJ12" s="132"/>
      <c r="BK12" s="25"/>
    </row>
    <row r="13" spans="1:63" ht="15" customHeight="1" x14ac:dyDescent="0.25">
      <c r="A13" s="24"/>
      <c r="B13" s="111"/>
      <c r="C13" s="85"/>
      <c r="D13" s="85"/>
      <c r="E13" s="85"/>
      <c r="F13" s="85"/>
      <c r="G13" s="86"/>
      <c r="H13" s="84"/>
      <c r="I13" s="85"/>
      <c r="J13" s="85"/>
      <c r="K13" s="85"/>
      <c r="L13" s="85"/>
      <c r="M13" s="85"/>
      <c r="N13" s="86"/>
      <c r="O13" s="84"/>
      <c r="P13" s="85"/>
      <c r="Q13" s="85"/>
      <c r="R13" s="85"/>
      <c r="S13" s="126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8"/>
      <c r="AX13" s="129"/>
      <c r="AY13" s="129"/>
      <c r="AZ13" s="129"/>
      <c r="BA13" s="129"/>
      <c r="BB13" s="129"/>
      <c r="BC13" s="130"/>
      <c r="BD13" s="133"/>
      <c r="BE13" s="129"/>
      <c r="BF13" s="129"/>
      <c r="BG13" s="129"/>
      <c r="BH13" s="129"/>
      <c r="BI13" s="129"/>
      <c r="BJ13" s="130"/>
      <c r="BK13" s="25"/>
    </row>
    <row r="14" spans="1:63" ht="15" customHeight="1" x14ac:dyDescent="0.25">
      <c r="A14" s="24"/>
      <c r="B14" s="87"/>
      <c r="C14" s="88"/>
      <c r="D14" s="88"/>
      <c r="E14" s="88"/>
      <c r="F14" s="88"/>
      <c r="G14" s="89"/>
      <c r="H14" s="87"/>
      <c r="I14" s="88"/>
      <c r="J14" s="88"/>
      <c r="K14" s="88"/>
      <c r="L14" s="88"/>
      <c r="M14" s="88"/>
      <c r="N14" s="89"/>
      <c r="O14" s="87"/>
      <c r="P14" s="88"/>
      <c r="Q14" s="88"/>
      <c r="R14" s="88"/>
      <c r="S14" s="135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7"/>
      <c r="AX14" s="131"/>
      <c r="AY14" s="131"/>
      <c r="AZ14" s="131"/>
      <c r="BA14" s="131"/>
      <c r="BB14" s="131"/>
      <c r="BC14" s="132"/>
      <c r="BD14" s="134"/>
      <c r="BE14" s="131"/>
      <c r="BF14" s="131"/>
      <c r="BG14" s="131"/>
      <c r="BH14" s="131"/>
      <c r="BI14" s="131"/>
      <c r="BJ14" s="132"/>
      <c r="BK14" s="25"/>
    </row>
    <row r="15" spans="1:63" ht="15" customHeight="1" x14ac:dyDescent="0.25">
      <c r="A15" s="24"/>
      <c r="B15" s="84"/>
      <c r="C15" s="85"/>
      <c r="D15" s="85"/>
      <c r="E15" s="85"/>
      <c r="F15" s="85"/>
      <c r="G15" s="86"/>
      <c r="H15" s="84"/>
      <c r="I15" s="85"/>
      <c r="J15" s="85"/>
      <c r="K15" s="85"/>
      <c r="L15" s="85"/>
      <c r="M15" s="85"/>
      <c r="N15" s="86"/>
      <c r="O15" s="84"/>
      <c r="P15" s="85"/>
      <c r="Q15" s="85"/>
      <c r="R15" s="85"/>
      <c r="S15" s="126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8"/>
      <c r="AX15" s="129"/>
      <c r="AY15" s="129"/>
      <c r="AZ15" s="129"/>
      <c r="BA15" s="129"/>
      <c r="BB15" s="129"/>
      <c r="BC15" s="130"/>
      <c r="BD15" s="133"/>
      <c r="BE15" s="129"/>
      <c r="BF15" s="129"/>
      <c r="BG15" s="129"/>
      <c r="BH15" s="129"/>
      <c r="BI15" s="129"/>
      <c r="BJ15" s="130"/>
      <c r="BK15" s="25"/>
    </row>
    <row r="16" spans="1:63" ht="15" customHeight="1" x14ac:dyDescent="0.25">
      <c r="A16" s="24"/>
      <c r="B16" s="87"/>
      <c r="C16" s="88"/>
      <c r="D16" s="88"/>
      <c r="E16" s="88"/>
      <c r="F16" s="88"/>
      <c r="G16" s="89"/>
      <c r="H16" s="87"/>
      <c r="I16" s="88"/>
      <c r="J16" s="88"/>
      <c r="K16" s="88"/>
      <c r="L16" s="88"/>
      <c r="M16" s="88"/>
      <c r="N16" s="89"/>
      <c r="O16" s="87"/>
      <c r="P16" s="88"/>
      <c r="Q16" s="88"/>
      <c r="R16" s="88"/>
      <c r="S16" s="135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7"/>
      <c r="AX16" s="131"/>
      <c r="AY16" s="131"/>
      <c r="AZ16" s="131"/>
      <c r="BA16" s="131"/>
      <c r="BB16" s="131"/>
      <c r="BC16" s="132"/>
      <c r="BD16" s="134"/>
      <c r="BE16" s="131"/>
      <c r="BF16" s="131"/>
      <c r="BG16" s="131"/>
      <c r="BH16" s="131"/>
      <c r="BI16" s="131"/>
      <c r="BJ16" s="132"/>
      <c r="BK16" s="25"/>
    </row>
    <row r="17" spans="1:63" ht="15" customHeight="1" x14ac:dyDescent="0.25">
      <c r="A17" s="24"/>
      <c r="B17" s="84"/>
      <c r="C17" s="85"/>
      <c r="D17" s="85"/>
      <c r="E17" s="85"/>
      <c r="F17" s="85"/>
      <c r="G17" s="86"/>
      <c r="H17" s="84"/>
      <c r="I17" s="85"/>
      <c r="J17" s="85"/>
      <c r="K17" s="85"/>
      <c r="L17" s="85"/>
      <c r="M17" s="85"/>
      <c r="N17" s="86"/>
      <c r="O17" s="84"/>
      <c r="P17" s="85"/>
      <c r="Q17" s="85"/>
      <c r="R17" s="85"/>
      <c r="S17" s="126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8"/>
      <c r="AX17" s="129"/>
      <c r="AY17" s="129"/>
      <c r="AZ17" s="129"/>
      <c r="BA17" s="129"/>
      <c r="BB17" s="129"/>
      <c r="BC17" s="130"/>
      <c r="BD17" s="133"/>
      <c r="BE17" s="129"/>
      <c r="BF17" s="129"/>
      <c r="BG17" s="129"/>
      <c r="BH17" s="129"/>
      <c r="BI17" s="129"/>
      <c r="BJ17" s="130"/>
      <c r="BK17" s="25"/>
    </row>
    <row r="18" spans="1:63" ht="15" customHeight="1" x14ac:dyDescent="0.25">
      <c r="A18" s="24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5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7"/>
      <c r="AX18" s="131"/>
      <c r="AY18" s="131"/>
      <c r="AZ18" s="131"/>
      <c r="BA18" s="131"/>
      <c r="BB18" s="131"/>
      <c r="BC18" s="132"/>
      <c r="BD18" s="134"/>
      <c r="BE18" s="131"/>
      <c r="BF18" s="131"/>
      <c r="BG18" s="131"/>
      <c r="BH18" s="131"/>
      <c r="BI18" s="131"/>
      <c r="BJ18" s="132"/>
      <c r="BK18" s="25"/>
    </row>
    <row r="19" spans="1:63" ht="15" customHeight="1" x14ac:dyDescent="0.25">
      <c r="A19" s="24"/>
      <c r="B19" s="84"/>
      <c r="C19" s="85"/>
      <c r="D19" s="85"/>
      <c r="E19" s="85"/>
      <c r="F19" s="85"/>
      <c r="G19" s="86"/>
      <c r="H19" s="84"/>
      <c r="I19" s="85"/>
      <c r="J19" s="85"/>
      <c r="K19" s="85"/>
      <c r="L19" s="85"/>
      <c r="M19" s="85"/>
      <c r="N19" s="86"/>
      <c r="O19" s="84"/>
      <c r="P19" s="85"/>
      <c r="Q19" s="85"/>
      <c r="R19" s="85"/>
      <c r="S19" s="126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8"/>
      <c r="AX19" s="129"/>
      <c r="AY19" s="129"/>
      <c r="AZ19" s="129"/>
      <c r="BA19" s="129"/>
      <c r="BB19" s="129"/>
      <c r="BC19" s="130"/>
      <c r="BD19" s="133"/>
      <c r="BE19" s="129"/>
      <c r="BF19" s="129"/>
      <c r="BG19" s="129"/>
      <c r="BH19" s="129"/>
      <c r="BI19" s="129"/>
      <c r="BJ19" s="130"/>
      <c r="BK19" s="25"/>
    </row>
    <row r="20" spans="1:63" ht="15" customHeight="1" x14ac:dyDescent="0.25">
      <c r="A20" s="24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5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7"/>
      <c r="AX20" s="131"/>
      <c r="AY20" s="131"/>
      <c r="AZ20" s="131"/>
      <c r="BA20" s="131"/>
      <c r="BB20" s="131"/>
      <c r="BC20" s="132"/>
      <c r="BD20" s="134"/>
      <c r="BE20" s="131"/>
      <c r="BF20" s="131"/>
      <c r="BG20" s="131"/>
      <c r="BH20" s="131"/>
      <c r="BI20" s="131"/>
      <c r="BJ20" s="132"/>
      <c r="BK20" s="25"/>
    </row>
    <row r="21" spans="1:63" ht="15" customHeight="1" x14ac:dyDescent="0.25">
      <c r="A21" s="24"/>
      <c r="B21" s="84"/>
      <c r="C21" s="85"/>
      <c r="D21" s="85"/>
      <c r="E21" s="85"/>
      <c r="F21" s="85"/>
      <c r="G21" s="86"/>
      <c r="H21" s="84"/>
      <c r="I21" s="85"/>
      <c r="J21" s="85"/>
      <c r="K21" s="85"/>
      <c r="L21" s="85"/>
      <c r="M21" s="85"/>
      <c r="N21" s="86"/>
      <c r="O21" s="84"/>
      <c r="P21" s="85"/>
      <c r="Q21" s="85"/>
      <c r="R21" s="85"/>
      <c r="S21" s="126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8"/>
      <c r="AX21" s="129"/>
      <c r="AY21" s="129"/>
      <c r="AZ21" s="129"/>
      <c r="BA21" s="129"/>
      <c r="BB21" s="129"/>
      <c r="BC21" s="130"/>
      <c r="BD21" s="133"/>
      <c r="BE21" s="129"/>
      <c r="BF21" s="129"/>
      <c r="BG21" s="129"/>
      <c r="BH21" s="129"/>
      <c r="BI21" s="129"/>
      <c r="BJ21" s="130"/>
      <c r="BK21" s="25"/>
    </row>
    <row r="22" spans="1:63" ht="15" customHeight="1" x14ac:dyDescent="0.25">
      <c r="A22" s="24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5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7"/>
      <c r="AX22" s="131"/>
      <c r="AY22" s="131"/>
      <c r="AZ22" s="131"/>
      <c r="BA22" s="131"/>
      <c r="BB22" s="131"/>
      <c r="BC22" s="132"/>
      <c r="BD22" s="134"/>
      <c r="BE22" s="131"/>
      <c r="BF22" s="131"/>
      <c r="BG22" s="131"/>
      <c r="BH22" s="131"/>
      <c r="BI22" s="131"/>
      <c r="BJ22" s="132"/>
      <c r="BK22" s="25"/>
    </row>
    <row r="23" spans="1:63" ht="15" customHeight="1" x14ac:dyDescent="0.25">
      <c r="A23" s="24"/>
      <c r="B23" s="84"/>
      <c r="C23" s="85"/>
      <c r="D23" s="85"/>
      <c r="E23" s="85"/>
      <c r="F23" s="85"/>
      <c r="G23" s="86"/>
      <c r="H23" s="84"/>
      <c r="I23" s="85"/>
      <c r="J23" s="85"/>
      <c r="K23" s="85"/>
      <c r="L23" s="85"/>
      <c r="M23" s="85"/>
      <c r="N23" s="86"/>
      <c r="O23" s="84"/>
      <c r="P23" s="85"/>
      <c r="Q23" s="85"/>
      <c r="R23" s="85"/>
      <c r="S23" s="126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8"/>
      <c r="AX23" s="129"/>
      <c r="AY23" s="129"/>
      <c r="AZ23" s="129"/>
      <c r="BA23" s="129"/>
      <c r="BB23" s="129"/>
      <c r="BC23" s="130"/>
      <c r="BD23" s="133"/>
      <c r="BE23" s="129"/>
      <c r="BF23" s="129"/>
      <c r="BG23" s="129"/>
      <c r="BH23" s="129"/>
      <c r="BI23" s="129"/>
      <c r="BJ23" s="130"/>
      <c r="BK23" s="25"/>
    </row>
    <row r="24" spans="1:63" ht="15" customHeight="1" x14ac:dyDescent="0.25">
      <c r="A24" s="24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5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7"/>
      <c r="AX24" s="131"/>
      <c r="AY24" s="131"/>
      <c r="AZ24" s="131"/>
      <c r="BA24" s="131"/>
      <c r="BB24" s="131"/>
      <c r="BC24" s="132"/>
      <c r="BD24" s="134"/>
      <c r="BE24" s="131"/>
      <c r="BF24" s="131"/>
      <c r="BG24" s="131"/>
      <c r="BH24" s="131"/>
      <c r="BI24" s="131"/>
      <c r="BJ24" s="132"/>
      <c r="BK24" s="25"/>
    </row>
    <row r="25" spans="1:63" ht="15" customHeight="1" x14ac:dyDescent="0.25">
      <c r="A25" s="24"/>
      <c r="B25" s="84"/>
      <c r="C25" s="85"/>
      <c r="D25" s="85"/>
      <c r="E25" s="85"/>
      <c r="F25" s="85"/>
      <c r="G25" s="86"/>
      <c r="H25" s="84"/>
      <c r="I25" s="85"/>
      <c r="J25" s="85"/>
      <c r="K25" s="85"/>
      <c r="L25" s="85"/>
      <c r="M25" s="85"/>
      <c r="N25" s="86"/>
      <c r="O25" s="84"/>
      <c r="P25" s="85"/>
      <c r="Q25" s="85"/>
      <c r="R25" s="85"/>
      <c r="S25" s="126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8"/>
      <c r="AX25" s="129"/>
      <c r="AY25" s="129"/>
      <c r="AZ25" s="129"/>
      <c r="BA25" s="129"/>
      <c r="BB25" s="129"/>
      <c r="BC25" s="130"/>
      <c r="BD25" s="133"/>
      <c r="BE25" s="129"/>
      <c r="BF25" s="129"/>
      <c r="BG25" s="129"/>
      <c r="BH25" s="129"/>
      <c r="BI25" s="129"/>
      <c r="BJ25" s="130"/>
      <c r="BK25" s="25"/>
    </row>
    <row r="26" spans="1:63" ht="15" customHeight="1" x14ac:dyDescent="0.25">
      <c r="A26" s="24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5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7"/>
      <c r="AX26" s="131"/>
      <c r="AY26" s="131"/>
      <c r="AZ26" s="131"/>
      <c r="BA26" s="131"/>
      <c r="BB26" s="131"/>
      <c r="BC26" s="132"/>
      <c r="BD26" s="134"/>
      <c r="BE26" s="131"/>
      <c r="BF26" s="131"/>
      <c r="BG26" s="131"/>
      <c r="BH26" s="131"/>
      <c r="BI26" s="131"/>
      <c r="BJ26" s="132"/>
      <c r="BK26" s="25"/>
    </row>
    <row r="27" spans="1:63" ht="15" customHeight="1" x14ac:dyDescent="0.25">
      <c r="A27" s="24"/>
      <c r="B27" s="84"/>
      <c r="C27" s="85"/>
      <c r="D27" s="85"/>
      <c r="E27" s="85"/>
      <c r="F27" s="85"/>
      <c r="G27" s="86"/>
      <c r="H27" s="84"/>
      <c r="I27" s="85"/>
      <c r="J27" s="85"/>
      <c r="K27" s="85"/>
      <c r="L27" s="85"/>
      <c r="M27" s="85"/>
      <c r="N27" s="86"/>
      <c r="O27" s="84"/>
      <c r="P27" s="85"/>
      <c r="Q27" s="85"/>
      <c r="R27" s="85"/>
      <c r="S27" s="126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8"/>
      <c r="AX27" s="129"/>
      <c r="AY27" s="129"/>
      <c r="AZ27" s="129"/>
      <c r="BA27" s="129"/>
      <c r="BB27" s="129"/>
      <c r="BC27" s="130"/>
      <c r="BD27" s="133"/>
      <c r="BE27" s="129"/>
      <c r="BF27" s="129"/>
      <c r="BG27" s="129"/>
      <c r="BH27" s="129"/>
      <c r="BI27" s="129"/>
      <c r="BJ27" s="130"/>
      <c r="BK27" s="25"/>
    </row>
    <row r="28" spans="1:63" ht="15" customHeight="1" x14ac:dyDescent="0.25">
      <c r="A28" s="24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5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7"/>
      <c r="AX28" s="131"/>
      <c r="AY28" s="131"/>
      <c r="AZ28" s="131"/>
      <c r="BA28" s="131"/>
      <c r="BB28" s="131"/>
      <c r="BC28" s="132"/>
      <c r="BD28" s="134"/>
      <c r="BE28" s="131"/>
      <c r="BF28" s="131"/>
      <c r="BG28" s="131"/>
      <c r="BH28" s="131"/>
      <c r="BI28" s="131"/>
      <c r="BJ28" s="132"/>
      <c r="BK28" s="25"/>
    </row>
    <row r="29" spans="1:63" ht="15" customHeight="1" x14ac:dyDescent="0.25">
      <c r="A29" s="24"/>
      <c r="B29" s="84"/>
      <c r="C29" s="85"/>
      <c r="D29" s="85"/>
      <c r="E29" s="85"/>
      <c r="F29" s="85"/>
      <c r="G29" s="86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126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8"/>
      <c r="AX29" s="129"/>
      <c r="AY29" s="129"/>
      <c r="AZ29" s="129"/>
      <c r="BA29" s="129"/>
      <c r="BB29" s="129"/>
      <c r="BC29" s="130"/>
      <c r="BD29" s="133"/>
      <c r="BE29" s="129"/>
      <c r="BF29" s="129"/>
      <c r="BG29" s="129"/>
      <c r="BH29" s="129"/>
      <c r="BI29" s="129"/>
      <c r="BJ29" s="130"/>
      <c r="BK29" s="25"/>
    </row>
    <row r="30" spans="1:63" ht="15" customHeight="1" x14ac:dyDescent="0.25">
      <c r="A30" s="24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5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7"/>
      <c r="AX30" s="131"/>
      <c r="AY30" s="131"/>
      <c r="AZ30" s="131"/>
      <c r="BA30" s="131"/>
      <c r="BB30" s="131"/>
      <c r="BC30" s="132"/>
      <c r="BD30" s="134"/>
      <c r="BE30" s="131"/>
      <c r="BF30" s="131"/>
      <c r="BG30" s="131"/>
      <c r="BH30" s="131"/>
      <c r="BI30" s="131"/>
      <c r="BJ30" s="132"/>
      <c r="BK30" s="25"/>
    </row>
    <row r="31" spans="1:63" ht="15" customHeight="1" x14ac:dyDescent="0.25">
      <c r="A31" s="24"/>
      <c r="B31" s="84"/>
      <c r="C31" s="85"/>
      <c r="D31" s="85"/>
      <c r="E31" s="85"/>
      <c r="F31" s="85"/>
      <c r="G31" s="86"/>
      <c r="H31" s="84"/>
      <c r="I31" s="85"/>
      <c r="J31" s="85"/>
      <c r="K31" s="85"/>
      <c r="L31" s="85"/>
      <c r="M31" s="85"/>
      <c r="N31" s="86"/>
      <c r="O31" s="84"/>
      <c r="P31" s="85"/>
      <c r="Q31" s="85"/>
      <c r="R31" s="85"/>
      <c r="S31" s="126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8"/>
      <c r="AX31" s="129"/>
      <c r="AY31" s="129"/>
      <c r="AZ31" s="129"/>
      <c r="BA31" s="129"/>
      <c r="BB31" s="129"/>
      <c r="BC31" s="130"/>
      <c r="BD31" s="133"/>
      <c r="BE31" s="129"/>
      <c r="BF31" s="129"/>
      <c r="BG31" s="129"/>
      <c r="BH31" s="129"/>
      <c r="BI31" s="129"/>
      <c r="BJ31" s="130"/>
      <c r="BK31" s="25"/>
    </row>
    <row r="32" spans="1:63" ht="15" customHeight="1" x14ac:dyDescent="0.25">
      <c r="A32" s="24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5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7"/>
      <c r="AX32" s="131"/>
      <c r="AY32" s="131"/>
      <c r="AZ32" s="131"/>
      <c r="BA32" s="131"/>
      <c r="BB32" s="131"/>
      <c r="BC32" s="132"/>
      <c r="BD32" s="134"/>
      <c r="BE32" s="131"/>
      <c r="BF32" s="131"/>
      <c r="BG32" s="131"/>
      <c r="BH32" s="131"/>
      <c r="BI32" s="131"/>
      <c r="BJ32" s="132"/>
      <c r="BK32" s="25"/>
    </row>
    <row r="33" spans="1:63" ht="15" customHeight="1" x14ac:dyDescent="0.25">
      <c r="A33" s="24"/>
      <c r="B33" s="84"/>
      <c r="C33" s="85"/>
      <c r="D33" s="85"/>
      <c r="E33" s="85"/>
      <c r="F33" s="85"/>
      <c r="G33" s="86"/>
      <c r="H33" s="84"/>
      <c r="I33" s="85"/>
      <c r="J33" s="85"/>
      <c r="K33" s="85"/>
      <c r="L33" s="85"/>
      <c r="M33" s="85"/>
      <c r="N33" s="86"/>
      <c r="O33" s="84"/>
      <c r="P33" s="85"/>
      <c r="Q33" s="85"/>
      <c r="R33" s="85"/>
      <c r="S33" s="126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8"/>
      <c r="AX33" s="129"/>
      <c r="AY33" s="129"/>
      <c r="AZ33" s="129"/>
      <c r="BA33" s="129"/>
      <c r="BB33" s="129"/>
      <c r="BC33" s="130"/>
      <c r="BD33" s="133"/>
      <c r="BE33" s="129"/>
      <c r="BF33" s="129"/>
      <c r="BG33" s="129"/>
      <c r="BH33" s="129"/>
      <c r="BI33" s="129"/>
      <c r="BJ33" s="130"/>
      <c r="BK33" s="25"/>
    </row>
    <row r="34" spans="1:63" ht="15" customHeight="1" x14ac:dyDescent="0.25">
      <c r="A34" s="24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5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7"/>
      <c r="AX34" s="131"/>
      <c r="AY34" s="131"/>
      <c r="AZ34" s="131"/>
      <c r="BA34" s="131"/>
      <c r="BB34" s="131"/>
      <c r="BC34" s="132"/>
      <c r="BD34" s="134"/>
      <c r="BE34" s="131"/>
      <c r="BF34" s="131"/>
      <c r="BG34" s="131"/>
      <c r="BH34" s="131"/>
      <c r="BI34" s="131"/>
      <c r="BJ34" s="132"/>
      <c r="BK34" s="25"/>
    </row>
    <row r="35" spans="1:63" ht="15" customHeight="1" x14ac:dyDescent="0.25">
      <c r="A35" s="24"/>
      <c r="B35" s="84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5"/>
      <c r="S35" s="126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8"/>
      <c r="AX35" s="129"/>
      <c r="AY35" s="129"/>
      <c r="AZ35" s="129"/>
      <c r="BA35" s="129"/>
      <c r="BB35" s="129"/>
      <c r="BC35" s="130"/>
      <c r="BD35" s="133"/>
      <c r="BE35" s="129"/>
      <c r="BF35" s="129"/>
      <c r="BG35" s="129"/>
      <c r="BH35" s="129"/>
      <c r="BI35" s="129"/>
      <c r="BJ35" s="130"/>
      <c r="BK35" s="25"/>
    </row>
    <row r="36" spans="1:63" ht="15" customHeight="1" x14ac:dyDescent="0.25">
      <c r="A36" s="24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5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7"/>
      <c r="AX36" s="131"/>
      <c r="AY36" s="131"/>
      <c r="AZ36" s="131"/>
      <c r="BA36" s="131"/>
      <c r="BB36" s="131"/>
      <c r="BC36" s="132"/>
      <c r="BD36" s="134"/>
      <c r="BE36" s="131"/>
      <c r="BF36" s="131"/>
      <c r="BG36" s="131"/>
      <c r="BH36" s="131"/>
      <c r="BI36" s="131"/>
      <c r="BJ36" s="132"/>
      <c r="BK36" s="25"/>
    </row>
    <row r="37" spans="1:63" ht="15" customHeight="1" x14ac:dyDescent="0.25">
      <c r="A37" s="24"/>
      <c r="B37" s="84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5"/>
      <c r="S37" s="126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8"/>
      <c r="AX37" s="129"/>
      <c r="AY37" s="129"/>
      <c r="AZ37" s="129"/>
      <c r="BA37" s="129"/>
      <c r="BB37" s="129"/>
      <c r="BC37" s="130"/>
      <c r="BD37" s="133"/>
      <c r="BE37" s="129"/>
      <c r="BF37" s="129"/>
      <c r="BG37" s="129"/>
      <c r="BH37" s="129"/>
      <c r="BI37" s="129"/>
      <c r="BJ37" s="130"/>
      <c r="BK37" s="25"/>
    </row>
    <row r="38" spans="1:63" ht="15" customHeight="1" x14ac:dyDescent="0.25">
      <c r="A38" s="24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5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7"/>
      <c r="AX38" s="131"/>
      <c r="AY38" s="131"/>
      <c r="AZ38" s="131"/>
      <c r="BA38" s="131"/>
      <c r="BB38" s="131"/>
      <c r="BC38" s="132"/>
      <c r="BD38" s="134"/>
      <c r="BE38" s="131"/>
      <c r="BF38" s="131"/>
      <c r="BG38" s="131"/>
      <c r="BH38" s="131"/>
      <c r="BI38" s="131"/>
      <c r="BJ38" s="132"/>
      <c r="BK38" s="25"/>
    </row>
    <row r="39" spans="1:63" ht="15" customHeight="1" x14ac:dyDescent="0.25">
      <c r="A39" s="24"/>
      <c r="B39" s="84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5"/>
      <c r="S39" s="126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8"/>
      <c r="AX39" s="129"/>
      <c r="AY39" s="129"/>
      <c r="AZ39" s="129"/>
      <c r="BA39" s="129"/>
      <c r="BB39" s="129"/>
      <c r="BC39" s="130"/>
      <c r="BD39" s="133"/>
      <c r="BE39" s="129"/>
      <c r="BF39" s="129"/>
      <c r="BG39" s="129"/>
      <c r="BH39" s="129"/>
      <c r="BI39" s="129"/>
      <c r="BJ39" s="130"/>
      <c r="BK39" s="25"/>
    </row>
    <row r="40" spans="1:63" ht="15" customHeight="1" x14ac:dyDescent="0.25">
      <c r="A40" s="24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5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7"/>
      <c r="AX40" s="131"/>
      <c r="AY40" s="131"/>
      <c r="AZ40" s="131"/>
      <c r="BA40" s="131"/>
      <c r="BB40" s="131"/>
      <c r="BC40" s="132"/>
      <c r="BD40" s="134"/>
      <c r="BE40" s="131"/>
      <c r="BF40" s="131"/>
      <c r="BG40" s="131"/>
      <c r="BH40" s="131"/>
      <c r="BI40" s="131"/>
      <c r="BJ40" s="132"/>
      <c r="BK40" s="25"/>
    </row>
    <row r="41" spans="1:63" ht="15" customHeight="1" x14ac:dyDescent="0.25">
      <c r="A41" s="24"/>
      <c r="B41" s="84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5"/>
      <c r="S41" s="126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8"/>
      <c r="AX41" s="129"/>
      <c r="AY41" s="129"/>
      <c r="AZ41" s="129"/>
      <c r="BA41" s="129"/>
      <c r="BB41" s="129"/>
      <c r="BC41" s="130"/>
      <c r="BD41" s="133"/>
      <c r="BE41" s="129"/>
      <c r="BF41" s="129"/>
      <c r="BG41" s="129"/>
      <c r="BH41" s="129"/>
      <c r="BI41" s="129"/>
      <c r="BJ41" s="130"/>
      <c r="BK41" s="25"/>
    </row>
    <row r="42" spans="1:63" ht="15" customHeight="1" x14ac:dyDescent="0.25">
      <c r="A42" s="24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5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7"/>
      <c r="AX42" s="131"/>
      <c r="AY42" s="131"/>
      <c r="AZ42" s="131"/>
      <c r="BA42" s="131"/>
      <c r="BB42" s="131"/>
      <c r="BC42" s="132"/>
      <c r="BD42" s="134"/>
      <c r="BE42" s="131"/>
      <c r="BF42" s="131"/>
      <c r="BG42" s="131"/>
      <c r="BH42" s="131"/>
      <c r="BI42" s="131"/>
      <c r="BJ42" s="132"/>
      <c r="BK42" s="25"/>
    </row>
    <row r="43" spans="1:63" ht="15" customHeight="1" x14ac:dyDescent="0.25">
      <c r="A43" s="24"/>
      <c r="B43" s="84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5"/>
      <c r="S43" s="126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8"/>
      <c r="AX43" s="129"/>
      <c r="AY43" s="129"/>
      <c r="AZ43" s="129"/>
      <c r="BA43" s="129"/>
      <c r="BB43" s="129"/>
      <c r="BC43" s="130"/>
      <c r="BD43" s="133"/>
      <c r="BE43" s="129"/>
      <c r="BF43" s="129"/>
      <c r="BG43" s="129"/>
      <c r="BH43" s="129"/>
      <c r="BI43" s="129"/>
      <c r="BJ43" s="130"/>
      <c r="BK43" s="25"/>
    </row>
    <row r="44" spans="1:63" ht="15" customHeight="1" x14ac:dyDescent="0.25">
      <c r="A44" s="24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5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7"/>
      <c r="AX44" s="131"/>
      <c r="AY44" s="131"/>
      <c r="AZ44" s="131"/>
      <c r="BA44" s="131"/>
      <c r="BB44" s="131"/>
      <c r="BC44" s="132"/>
      <c r="BD44" s="134"/>
      <c r="BE44" s="131"/>
      <c r="BF44" s="131"/>
      <c r="BG44" s="131"/>
      <c r="BH44" s="131"/>
      <c r="BI44" s="131"/>
      <c r="BJ44" s="132"/>
      <c r="BK44" s="25"/>
    </row>
    <row r="45" spans="1:63" ht="15" customHeight="1" x14ac:dyDescent="0.25">
      <c r="A45" s="24"/>
      <c r="B45" s="84"/>
      <c r="C45" s="85"/>
      <c r="D45" s="85"/>
      <c r="E45" s="85"/>
      <c r="F45" s="85"/>
      <c r="G45" s="86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5"/>
      <c r="S45" s="126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8"/>
      <c r="AX45" s="129"/>
      <c r="AY45" s="129"/>
      <c r="AZ45" s="129"/>
      <c r="BA45" s="129"/>
      <c r="BB45" s="129"/>
      <c r="BC45" s="130"/>
      <c r="BD45" s="133"/>
      <c r="BE45" s="129"/>
      <c r="BF45" s="129"/>
      <c r="BG45" s="129"/>
      <c r="BH45" s="129"/>
      <c r="BI45" s="129"/>
      <c r="BJ45" s="130"/>
      <c r="BK45" s="25"/>
    </row>
    <row r="46" spans="1:63" ht="15" customHeight="1" x14ac:dyDescent="0.25">
      <c r="A46" s="24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5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7"/>
      <c r="AX46" s="131"/>
      <c r="AY46" s="131"/>
      <c r="AZ46" s="131"/>
      <c r="BA46" s="131"/>
      <c r="BB46" s="131"/>
      <c r="BC46" s="132"/>
      <c r="BD46" s="134"/>
      <c r="BE46" s="131"/>
      <c r="BF46" s="131"/>
      <c r="BG46" s="131"/>
      <c r="BH46" s="131"/>
      <c r="BI46" s="131"/>
      <c r="BJ46" s="132"/>
      <c r="BK46" s="25"/>
    </row>
    <row r="47" spans="1:63" ht="15" customHeight="1" x14ac:dyDescent="0.25">
      <c r="A47" s="24"/>
      <c r="B47" s="84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5"/>
      <c r="S47" s="126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8"/>
      <c r="AX47" s="129"/>
      <c r="AY47" s="129"/>
      <c r="AZ47" s="129"/>
      <c r="BA47" s="129"/>
      <c r="BB47" s="129"/>
      <c r="BC47" s="130"/>
      <c r="BD47" s="133"/>
      <c r="BE47" s="129"/>
      <c r="BF47" s="129"/>
      <c r="BG47" s="129"/>
      <c r="BH47" s="129"/>
      <c r="BI47" s="129"/>
      <c r="BJ47" s="130"/>
      <c r="BK47" s="25"/>
    </row>
    <row r="48" spans="1:63" ht="15" customHeight="1" x14ac:dyDescent="0.25">
      <c r="A48" s="24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5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7"/>
      <c r="AX48" s="131"/>
      <c r="AY48" s="131"/>
      <c r="AZ48" s="131"/>
      <c r="BA48" s="131"/>
      <c r="BB48" s="131"/>
      <c r="BC48" s="132"/>
      <c r="BD48" s="134"/>
      <c r="BE48" s="131"/>
      <c r="BF48" s="131"/>
      <c r="BG48" s="131"/>
      <c r="BH48" s="131"/>
      <c r="BI48" s="131"/>
      <c r="BJ48" s="132"/>
      <c r="BK48" s="25"/>
    </row>
    <row r="49" spans="1:63" ht="15" customHeight="1" x14ac:dyDescent="0.25">
      <c r="A49" s="24"/>
      <c r="B49" s="84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5"/>
      <c r="S49" s="126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8"/>
      <c r="AX49" s="129"/>
      <c r="AY49" s="129"/>
      <c r="AZ49" s="129"/>
      <c r="BA49" s="129"/>
      <c r="BB49" s="129"/>
      <c r="BC49" s="130"/>
      <c r="BD49" s="133"/>
      <c r="BE49" s="129"/>
      <c r="BF49" s="129"/>
      <c r="BG49" s="129"/>
      <c r="BH49" s="129"/>
      <c r="BI49" s="129"/>
      <c r="BJ49" s="130"/>
      <c r="BK49" s="25"/>
    </row>
    <row r="50" spans="1:63" ht="15" customHeight="1" x14ac:dyDescent="0.25">
      <c r="A50" s="24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5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7"/>
      <c r="AX50" s="131"/>
      <c r="AY50" s="131"/>
      <c r="AZ50" s="131"/>
      <c r="BA50" s="131"/>
      <c r="BB50" s="131"/>
      <c r="BC50" s="132"/>
      <c r="BD50" s="134"/>
      <c r="BE50" s="131"/>
      <c r="BF50" s="131"/>
      <c r="BG50" s="131"/>
      <c r="BH50" s="131"/>
      <c r="BI50" s="131"/>
      <c r="BJ50" s="132"/>
      <c r="BK50" s="25"/>
    </row>
    <row r="51" spans="1:63" ht="15" customHeight="1" x14ac:dyDescent="0.25">
      <c r="A51" s="24"/>
      <c r="B51" s="84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5"/>
      <c r="S51" s="126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8"/>
      <c r="AX51" s="129"/>
      <c r="AY51" s="129"/>
      <c r="AZ51" s="129"/>
      <c r="BA51" s="129"/>
      <c r="BB51" s="129"/>
      <c r="BC51" s="130"/>
      <c r="BD51" s="133"/>
      <c r="BE51" s="129"/>
      <c r="BF51" s="129"/>
      <c r="BG51" s="129"/>
      <c r="BH51" s="129"/>
      <c r="BI51" s="129"/>
      <c r="BJ51" s="130"/>
      <c r="BK51" s="25"/>
    </row>
    <row r="52" spans="1:63" ht="15" customHeight="1" x14ac:dyDescent="0.25">
      <c r="A52" s="24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5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7"/>
      <c r="AX52" s="131"/>
      <c r="AY52" s="131"/>
      <c r="AZ52" s="131"/>
      <c r="BA52" s="131"/>
      <c r="BB52" s="131"/>
      <c r="BC52" s="132"/>
      <c r="BD52" s="134"/>
      <c r="BE52" s="131"/>
      <c r="BF52" s="131"/>
      <c r="BG52" s="131"/>
      <c r="BH52" s="131"/>
      <c r="BI52" s="131"/>
      <c r="BJ52" s="132"/>
      <c r="BK52" s="25"/>
    </row>
    <row r="53" spans="1:63" ht="15" customHeight="1" x14ac:dyDescent="0.25">
      <c r="A53" s="24"/>
      <c r="B53" s="84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5"/>
      <c r="S53" s="126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8"/>
      <c r="AX53" s="129"/>
      <c r="AY53" s="129"/>
      <c r="AZ53" s="129"/>
      <c r="BA53" s="129"/>
      <c r="BB53" s="129"/>
      <c r="BC53" s="130"/>
      <c r="BD53" s="133"/>
      <c r="BE53" s="129"/>
      <c r="BF53" s="129"/>
      <c r="BG53" s="129"/>
      <c r="BH53" s="129"/>
      <c r="BI53" s="129"/>
      <c r="BJ53" s="130"/>
      <c r="BK53" s="25"/>
    </row>
    <row r="54" spans="1:63" ht="15" customHeight="1" x14ac:dyDescent="0.25">
      <c r="A54" s="24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5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7"/>
      <c r="AX54" s="131"/>
      <c r="AY54" s="131"/>
      <c r="AZ54" s="131"/>
      <c r="BA54" s="131"/>
      <c r="BB54" s="131"/>
      <c r="BC54" s="132"/>
      <c r="BD54" s="134"/>
      <c r="BE54" s="131"/>
      <c r="BF54" s="131"/>
      <c r="BG54" s="131"/>
      <c r="BH54" s="131"/>
      <c r="BI54" s="131"/>
      <c r="BJ54" s="132"/>
      <c r="BK54" s="25"/>
    </row>
    <row r="55" spans="1:63" ht="15" customHeight="1" x14ac:dyDescent="0.25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1"/>
      <c r="K1" s="139" t="s">
        <v>2</v>
      </c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57" t="str">
        <f>IF(表紙!W1="","",表紙!W1)</f>
        <v>基本設計書</v>
      </c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9"/>
      <c r="AP1" s="139" t="s">
        <v>3</v>
      </c>
      <c r="AQ1" s="140"/>
      <c r="AR1" s="140"/>
      <c r="AS1" s="141"/>
      <c r="AT1" s="139" t="s">
        <v>4</v>
      </c>
      <c r="AU1" s="140"/>
      <c r="AV1" s="140"/>
      <c r="AW1" s="140"/>
      <c r="AX1" s="141"/>
      <c r="AY1" s="139" t="s">
        <v>5</v>
      </c>
      <c r="AZ1" s="140"/>
      <c r="BA1" s="140"/>
      <c r="BB1" s="141"/>
      <c r="BC1" s="139" t="s">
        <v>6</v>
      </c>
      <c r="BD1" s="140"/>
      <c r="BE1" s="140"/>
      <c r="BF1" s="140"/>
      <c r="BG1" s="141"/>
      <c r="BH1" s="139" t="s">
        <v>7</v>
      </c>
      <c r="BI1" s="140"/>
      <c r="BJ1" s="140"/>
      <c r="BK1" s="141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POSサーバー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60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2"/>
      <c r="AP2" s="145" t="str">
        <f>IF(表紙!AP2="","",表紙!AP2)</f>
        <v>AnhDD</v>
      </c>
      <c r="AQ2" s="146"/>
      <c r="AR2" s="146"/>
      <c r="AS2" s="147"/>
      <c r="AT2" s="151">
        <v>45084</v>
      </c>
      <c r="AU2" s="152"/>
      <c r="AV2" s="152"/>
      <c r="AW2" s="152"/>
      <c r="AX2" s="153"/>
      <c r="AY2" s="145" t="str">
        <f>IF(表紙!AY2="","",表紙!AY2)</f>
        <v>AnhDD</v>
      </c>
      <c r="AZ2" s="146"/>
      <c r="BA2" s="146"/>
      <c r="BB2" s="147"/>
      <c r="BC2" s="151">
        <f>IF(表紙!BC2="","",表紙!BC2)</f>
        <v>45425</v>
      </c>
      <c r="BD2" s="152"/>
      <c r="BE2" s="152"/>
      <c r="BF2" s="152"/>
      <c r="BG2" s="153"/>
      <c r="BH2" s="145">
        <f>IF(表紙!BH2="","",表紙!BH2)</f>
        <v>0.1</v>
      </c>
      <c r="BI2" s="146"/>
      <c r="BJ2" s="146"/>
      <c r="BK2" s="14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139" t="s">
        <v>1</v>
      </c>
      <c r="B4" s="140"/>
      <c r="C4" s="140"/>
      <c r="D4" s="140"/>
      <c r="E4" s="140"/>
      <c r="F4" s="140"/>
      <c r="G4" s="141"/>
      <c r="H4" s="142" t="str">
        <f>IF(表紙!H4="","",表紙!H4)</f>
        <v>14_テナント売上速報/日報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39" t="s">
        <v>8</v>
      </c>
      <c r="V4" s="140"/>
      <c r="W4" s="140"/>
      <c r="X4" s="140"/>
      <c r="Y4" s="141"/>
      <c r="Z4" s="142" t="str">
        <f>IF(表紙!Z4="","",表紙!Z4)</f>
        <v>概要設計書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2" t="str">
        <f t="array" aca="1" ref="AP4" ca="1">RIGHT(CELL("filename",$A$1),LEN(CELL("filename",$A$1))-FIND("]",CELL("filename",$A$1)))</f>
        <v>業務フロー凡例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/>
      <c r="AF6" s="40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2"/>
      <c r="BJ6" s="41"/>
      <c r="BK6" s="43"/>
    </row>
    <row r="7" spans="1:63" ht="15" customHeight="1" x14ac:dyDescent="0.25">
      <c r="A7" s="39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3"/>
    </row>
    <row r="8" spans="1:63" ht="15" customHeight="1" x14ac:dyDescent="0.25">
      <c r="A8" s="39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2"/>
      <c r="AF8" s="40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2"/>
      <c r="BJ8" s="41"/>
      <c r="BK8" s="43"/>
    </row>
    <row r="9" spans="1:63" ht="15" customHeight="1" x14ac:dyDescent="0.25">
      <c r="A9" s="39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2"/>
      <c r="AF9" s="40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2"/>
      <c r="BJ9" s="41"/>
      <c r="BK9" s="43"/>
    </row>
    <row r="10" spans="1:63" ht="15" customHeight="1" x14ac:dyDescent="0.25">
      <c r="A10" s="39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2"/>
      <c r="AF10" s="40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2"/>
      <c r="BJ10" s="41"/>
      <c r="BK10" s="43"/>
    </row>
    <row r="11" spans="1:63" ht="15" customHeight="1" x14ac:dyDescent="0.25">
      <c r="A11" s="39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2"/>
      <c r="AF11" s="40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2"/>
      <c r="BJ11" s="41"/>
      <c r="BK11" s="43"/>
    </row>
    <row r="12" spans="1:63" ht="15" customHeight="1" x14ac:dyDescent="0.25">
      <c r="A12" s="39"/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2"/>
      <c r="AF12" s="40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2"/>
      <c r="BJ12" s="41"/>
      <c r="BK12" s="43"/>
    </row>
    <row r="13" spans="1:63" ht="15" customHeight="1" x14ac:dyDescent="0.25">
      <c r="A13" s="39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0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2"/>
      <c r="BJ13" s="41"/>
      <c r="BK13" s="43"/>
    </row>
    <row r="14" spans="1:63" ht="15" customHeight="1" x14ac:dyDescent="0.25">
      <c r="A14" s="39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2"/>
      <c r="AF14" s="40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2"/>
      <c r="BJ14" s="41"/>
      <c r="BK14" s="43"/>
    </row>
    <row r="15" spans="1:63" ht="15" customHeight="1" x14ac:dyDescent="0.25">
      <c r="A15" s="39"/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2"/>
      <c r="AF15" s="40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2"/>
      <c r="BJ15" s="41"/>
      <c r="BK15" s="43"/>
    </row>
    <row r="16" spans="1:63" ht="15" customHeight="1" x14ac:dyDescent="0.25">
      <c r="A16" s="39"/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2"/>
      <c r="AF16" s="40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2"/>
      <c r="BJ16" s="41"/>
      <c r="BK16" s="43"/>
    </row>
    <row r="17" spans="1:63" ht="15" customHeight="1" x14ac:dyDescent="0.25">
      <c r="A17" s="39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2"/>
      <c r="AF17" s="40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2"/>
      <c r="BJ17" s="41"/>
      <c r="BK17" s="43"/>
    </row>
    <row r="18" spans="1:63" ht="15" customHeight="1" x14ac:dyDescent="0.25">
      <c r="A18" s="39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2"/>
      <c r="AF18" s="40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2"/>
      <c r="BJ18" s="41"/>
      <c r="BK18" s="43"/>
    </row>
    <row r="19" spans="1:63" ht="15" customHeight="1" x14ac:dyDescent="0.25">
      <c r="A19" s="39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2"/>
      <c r="AF19" s="40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2"/>
      <c r="BJ19" s="41"/>
      <c r="BK19" s="43"/>
    </row>
    <row r="20" spans="1:63" ht="15" customHeight="1" x14ac:dyDescent="0.25">
      <c r="A20" s="39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2"/>
      <c r="AF20" s="40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2"/>
      <c r="BJ20" s="41"/>
      <c r="BK20" s="43"/>
    </row>
    <row r="21" spans="1:63" ht="15" customHeight="1" x14ac:dyDescent="0.25">
      <c r="A21" s="39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2"/>
      <c r="AF21" s="40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2"/>
      <c r="BJ21" s="41"/>
      <c r="BK21" s="43"/>
    </row>
    <row r="22" spans="1:63" ht="15" customHeight="1" x14ac:dyDescent="0.25">
      <c r="A22" s="39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3"/>
    </row>
    <row r="23" spans="1:63" ht="15" customHeight="1" x14ac:dyDescent="0.25">
      <c r="A23" s="39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2"/>
      <c r="AF23" s="40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2"/>
      <c r="BJ23" s="41"/>
      <c r="BK23" s="43"/>
    </row>
    <row r="24" spans="1:63" ht="15" customHeight="1" x14ac:dyDescent="0.25">
      <c r="A24" s="39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2"/>
      <c r="AF24" s="40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2"/>
      <c r="BJ24" s="41"/>
      <c r="BK24" s="43"/>
    </row>
    <row r="25" spans="1:63" ht="15" customHeight="1" x14ac:dyDescent="0.25">
      <c r="A25" s="39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2"/>
      <c r="AF25" s="40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2"/>
      <c r="BJ25" s="41"/>
      <c r="BK25" s="43"/>
    </row>
    <row r="26" spans="1:63" ht="15" customHeight="1" x14ac:dyDescent="0.25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2"/>
      <c r="AF26" s="40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2"/>
      <c r="BJ26" s="41"/>
      <c r="BK26" s="43"/>
    </row>
    <row r="27" spans="1:63" ht="15" customHeight="1" x14ac:dyDescent="0.25">
      <c r="A27" s="39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2"/>
      <c r="AF27" s="40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2"/>
      <c r="BJ27" s="41"/>
      <c r="BK27" s="43"/>
    </row>
    <row r="28" spans="1:63" ht="15" customHeight="1" x14ac:dyDescent="0.25">
      <c r="A28" s="39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2"/>
      <c r="AF28" s="40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2"/>
      <c r="BJ28" s="41"/>
      <c r="BK28" s="43"/>
    </row>
    <row r="29" spans="1:63" ht="15" customHeight="1" x14ac:dyDescent="0.25">
      <c r="A29" s="39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2"/>
      <c r="AF29" s="40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2"/>
      <c r="BJ29" s="41"/>
      <c r="BK29" s="43"/>
    </row>
    <row r="30" spans="1:63" ht="15" customHeight="1" x14ac:dyDescent="0.25">
      <c r="A30" s="39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2"/>
      <c r="AF30" s="40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2"/>
      <c r="BJ30" s="41"/>
      <c r="BK30" s="43"/>
    </row>
    <row r="31" spans="1:63" ht="15" customHeight="1" x14ac:dyDescent="0.25">
      <c r="A31" s="39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2"/>
      <c r="AF31" s="40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2"/>
      <c r="BJ31" s="41"/>
      <c r="BK31" s="43"/>
    </row>
    <row r="32" spans="1:63" ht="15" customHeight="1" x14ac:dyDescent="0.25">
      <c r="A32" s="39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2"/>
      <c r="AF32" s="40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2"/>
      <c r="BJ32" s="41"/>
      <c r="BK32" s="43"/>
    </row>
    <row r="33" spans="1:63" ht="15" customHeight="1" x14ac:dyDescent="0.25">
      <c r="A33" s="39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2"/>
      <c r="AF33" s="40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2"/>
      <c r="BJ33" s="41"/>
      <c r="BK33" s="43"/>
    </row>
    <row r="34" spans="1:63" ht="15" customHeight="1" x14ac:dyDescent="0.25">
      <c r="A34" s="39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2"/>
      <c r="AF34" s="40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2"/>
      <c r="BJ34" s="41"/>
      <c r="BK34" s="43"/>
    </row>
    <row r="35" spans="1:63" ht="15" customHeight="1" x14ac:dyDescent="0.25">
      <c r="A35" s="39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2"/>
      <c r="AF35" s="40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2"/>
      <c r="BJ35" s="41"/>
      <c r="BK35" s="43"/>
    </row>
    <row r="36" spans="1:63" ht="15" customHeight="1" x14ac:dyDescent="0.25">
      <c r="A36" s="39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2"/>
      <c r="AF36" s="40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2"/>
      <c r="BJ36" s="41"/>
      <c r="BK36" s="43"/>
    </row>
    <row r="37" spans="1:63" ht="15" customHeight="1" x14ac:dyDescent="0.25">
      <c r="A37" s="39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0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2"/>
      <c r="BJ37" s="41"/>
      <c r="BK37" s="43"/>
    </row>
    <row r="38" spans="1:63" ht="15" customHeight="1" x14ac:dyDescent="0.25">
      <c r="A38" s="39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0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2"/>
      <c r="BJ38" s="41"/>
      <c r="BK38" s="43"/>
    </row>
    <row r="39" spans="1:63" ht="15" customHeight="1" x14ac:dyDescent="0.25">
      <c r="A39" s="39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0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2"/>
      <c r="BJ39" s="41"/>
      <c r="BK39" s="43"/>
    </row>
    <row r="40" spans="1:63" ht="15" customHeight="1" x14ac:dyDescent="0.25">
      <c r="A40" s="39"/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0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2"/>
      <c r="BJ40" s="41"/>
      <c r="BK40" s="43"/>
    </row>
    <row r="41" spans="1:63" ht="15" customHeight="1" x14ac:dyDescent="0.25">
      <c r="A41" s="39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0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2"/>
      <c r="BJ41" s="41"/>
      <c r="BK41" s="43"/>
    </row>
    <row r="42" spans="1:63" ht="15" customHeight="1" x14ac:dyDescent="0.25">
      <c r="A42" s="39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3"/>
    </row>
    <row r="43" spans="1:63" ht="15" customHeight="1" x14ac:dyDescent="0.25">
      <c r="A43" s="39"/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2"/>
      <c r="AF43" s="40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2"/>
      <c r="BJ43" s="41"/>
      <c r="BK43" s="43"/>
    </row>
    <row r="44" spans="1:63" ht="15" customHeight="1" x14ac:dyDescent="0.25">
      <c r="A44" s="39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2"/>
      <c r="AF44" s="40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2"/>
      <c r="BJ44" s="41"/>
      <c r="BK44" s="43"/>
    </row>
    <row r="45" spans="1:63" ht="15" customHeight="1" x14ac:dyDescent="0.25">
      <c r="A45" s="39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2"/>
      <c r="AF45" s="40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2"/>
      <c r="BJ45" s="41"/>
      <c r="BK45" s="43"/>
    </row>
    <row r="46" spans="1:63" ht="15" customHeight="1" x14ac:dyDescent="0.25">
      <c r="A46" s="39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2"/>
      <c r="AF46" s="40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2"/>
      <c r="BJ46" s="41"/>
      <c r="BK46" s="43"/>
    </row>
    <row r="47" spans="1:63" ht="15" customHeight="1" x14ac:dyDescent="0.25">
      <c r="A47" s="39"/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2"/>
      <c r="AF47" s="40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2"/>
      <c r="BJ47" s="41"/>
      <c r="BK47" s="43"/>
    </row>
    <row r="48" spans="1:63" ht="15" customHeight="1" x14ac:dyDescent="0.25">
      <c r="A48" s="39"/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2"/>
      <c r="AF48" s="40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2"/>
      <c r="BJ48" s="41"/>
      <c r="BK48" s="43"/>
    </row>
    <row r="49" spans="1:63" ht="15" customHeight="1" x14ac:dyDescent="0.25">
      <c r="A49" s="39"/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0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2"/>
      <c r="BJ49" s="41"/>
      <c r="BK49" s="43"/>
    </row>
    <row r="50" spans="1:63" ht="15" customHeight="1" x14ac:dyDescent="0.25">
      <c r="A50" s="39"/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0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2"/>
      <c r="BJ50" s="41"/>
      <c r="BK50" s="43"/>
    </row>
    <row r="51" spans="1:63" ht="15" customHeight="1" x14ac:dyDescent="0.25">
      <c r="A51" s="39"/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0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2"/>
      <c r="BJ51" s="41"/>
      <c r="BK51" s="43"/>
    </row>
    <row r="52" spans="1:63" ht="15" customHeight="1" x14ac:dyDescent="0.25">
      <c r="A52" s="39"/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0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2"/>
      <c r="BJ52" s="41"/>
      <c r="BK52" s="43"/>
    </row>
    <row r="53" spans="1:63" ht="15" customHeight="1" x14ac:dyDescent="0.25">
      <c r="A53" s="39"/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0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2"/>
      <c r="BJ53" s="41"/>
      <c r="BK53" s="43"/>
    </row>
    <row r="54" spans="1:63" ht="15" customHeight="1" x14ac:dyDescent="0.25">
      <c r="A54" s="39"/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0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2"/>
      <c r="BJ54" s="41"/>
      <c r="BK54" s="43"/>
    </row>
    <row r="55" spans="1:63" ht="15" customHeight="1" x14ac:dyDescent="0.25">
      <c r="A55" s="39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0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2"/>
      <c r="BJ55" s="41"/>
      <c r="BK55" s="43"/>
    </row>
    <row r="56" spans="1:63" ht="15" customHeight="1" x14ac:dyDescent="0.25">
      <c r="A56" s="39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0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2"/>
      <c r="BJ56" s="41"/>
      <c r="BK56" s="43"/>
    </row>
    <row r="57" spans="1:63" ht="15" customHeight="1" x14ac:dyDescent="0.25">
      <c r="A57" s="39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0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2"/>
      <c r="BJ57" s="41"/>
      <c r="BK57" s="43"/>
    </row>
    <row r="58" spans="1:63" ht="15" customHeight="1" x14ac:dyDescent="0.25">
      <c r="A58" s="39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0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2"/>
      <c r="BJ58" s="41"/>
      <c r="BK58" s="43"/>
    </row>
    <row r="59" spans="1:63" ht="15" customHeight="1" x14ac:dyDescent="0.25">
      <c r="A59" s="39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0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2"/>
      <c r="BJ59" s="41"/>
      <c r="BK59" s="43"/>
    </row>
    <row r="60" spans="1:63" ht="15" customHeight="1" x14ac:dyDescent="0.25">
      <c r="A60" s="39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0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2"/>
      <c r="BJ60" s="41"/>
      <c r="BK60" s="43"/>
    </row>
    <row r="61" spans="1:63" ht="15" customHeight="1" x14ac:dyDescent="0.25">
      <c r="A61" s="39"/>
      <c r="B61" s="40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0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2"/>
      <c r="BJ61" s="41"/>
      <c r="BK61" s="43"/>
    </row>
    <row r="62" spans="1:63" ht="15" customHeight="1" x14ac:dyDescent="0.25">
      <c r="A62" s="44"/>
      <c r="B62" s="45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6"/>
      <c r="AF62" s="45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6"/>
      <c r="BJ62" s="44"/>
      <c r="BK62" s="47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" customWidth="1"/>
    <col min="66" max="16384" width="2.77734375" style="20"/>
  </cols>
  <sheetData>
    <row r="1" spans="1:65" ht="24.95" customHeight="1" x14ac:dyDescent="0.25">
      <c r="A1" s="81" t="s">
        <v>37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38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tr">
        <f>IF(表紙!W1="","",表紙!W1)</f>
        <v>基本設計書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40</v>
      </c>
      <c r="AQ1" s="82"/>
      <c r="AR1" s="82"/>
      <c r="AS1" s="83"/>
      <c r="AT1" s="81" t="s">
        <v>41</v>
      </c>
      <c r="AU1" s="82"/>
      <c r="AV1" s="82"/>
      <c r="AW1" s="82"/>
      <c r="AX1" s="83"/>
      <c r="AY1" s="81" t="s">
        <v>42</v>
      </c>
      <c r="AZ1" s="82"/>
      <c r="BA1" s="82"/>
      <c r="BB1" s="83"/>
      <c r="BC1" s="81" t="s">
        <v>43</v>
      </c>
      <c r="BD1" s="82"/>
      <c r="BE1" s="82"/>
      <c r="BF1" s="82"/>
      <c r="BG1" s="83"/>
      <c r="BH1" s="81" t="s">
        <v>44</v>
      </c>
      <c r="BI1" s="82"/>
      <c r="BJ1" s="82"/>
      <c r="BK1" s="83"/>
    </row>
    <row r="2" spans="1:65" ht="15" customHeight="1" x14ac:dyDescent="0.25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IF(表紙!AP2="","",表紙!AP2)</f>
        <v>AnhDD</v>
      </c>
      <c r="AQ2" s="85"/>
      <c r="AR2" s="85"/>
      <c r="AS2" s="86"/>
      <c r="AT2" s="111">
        <f>IF(表紙!AT2="","",表紙!AT2)</f>
        <v>45425</v>
      </c>
      <c r="AU2" s="112"/>
      <c r="AV2" s="112"/>
      <c r="AW2" s="112"/>
      <c r="AX2" s="113"/>
      <c r="AY2" s="84" t="str">
        <f>IF(表紙!AY2="","",表紙!AY2)</f>
        <v>AnhDD</v>
      </c>
      <c r="AZ2" s="85"/>
      <c r="BA2" s="85"/>
      <c r="BB2" s="86"/>
      <c r="BC2" s="111">
        <f>IF(表紙!BC2="","",表紙!BC2)</f>
        <v>45425</v>
      </c>
      <c r="BD2" s="112"/>
      <c r="BE2" s="112"/>
      <c r="BF2" s="112"/>
      <c r="BG2" s="113"/>
      <c r="BH2" s="84">
        <f>IF(表紙!BH2="","",表紙!BH2)</f>
        <v>0.1</v>
      </c>
      <c r="BI2" s="85"/>
      <c r="BJ2" s="85"/>
      <c r="BK2" s="86"/>
    </row>
    <row r="3" spans="1:65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5" ht="24.95" customHeight="1" x14ac:dyDescent="0.25">
      <c r="A4" s="81" t="s">
        <v>46</v>
      </c>
      <c r="B4" s="82"/>
      <c r="C4" s="82"/>
      <c r="D4" s="82"/>
      <c r="E4" s="82"/>
      <c r="F4" s="82"/>
      <c r="G4" s="83"/>
      <c r="H4" s="102" t="str">
        <f>IF(表紙!H4="","",表紙!H4)</f>
        <v>14_テナント売上速報/日報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47</v>
      </c>
      <c r="V4" s="82"/>
      <c r="W4" s="82"/>
      <c r="X4" s="82"/>
      <c r="Y4" s="83"/>
      <c r="Z4" s="102" t="str">
        <f>IF(表紙!Z4="","",表紙!Z4)</f>
        <v>概要設計書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機能概要説明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5" ht="5.0999999999999996" customHeight="1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3"/>
    </row>
    <row r="6" spans="1:65" ht="15" customHeight="1" x14ac:dyDescent="0.25">
      <c r="A6" s="24"/>
      <c r="BK6" s="25"/>
    </row>
    <row r="7" spans="1:65" ht="15" customHeight="1" x14ac:dyDescent="0.25">
      <c r="A7" s="24"/>
      <c r="B7" s="20" t="s">
        <v>35</v>
      </c>
      <c r="F7" s="48"/>
      <c r="G7" s="48"/>
      <c r="H7" s="48"/>
      <c r="I7" s="48"/>
      <c r="J7" s="48"/>
      <c r="K7" s="49"/>
      <c r="L7" s="50"/>
      <c r="M7" s="48"/>
      <c r="N7" s="48"/>
      <c r="O7" s="48"/>
      <c r="P7" s="48"/>
      <c r="Q7" s="48"/>
      <c r="R7" s="48"/>
      <c r="S7" s="48"/>
      <c r="T7" s="49"/>
      <c r="U7" s="50"/>
      <c r="V7" s="48"/>
      <c r="W7" s="48"/>
      <c r="X7" s="48"/>
      <c r="Y7" s="48"/>
      <c r="Z7" s="48"/>
      <c r="AA7" s="48"/>
      <c r="AB7" s="48"/>
      <c r="AC7" s="49"/>
      <c r="AD7" s="50"/>
      <c r="AE7" s="48"/>
      <c r="AF7" s="48"/>
      <c r="AG7" s="48"/>
      <c r="AH7" s="48"/>
      <c r="AI7" s="48"/>
      <c r="AJ7" s="48"/>
      <c r="AK7" s="48"/>
      <c r="AL7" s="49"/>
      <c r="AM7" s="50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9"/>
      <c r="BJ7" s="48"/>
      <c r="BK7" s="25"/>
      <c r="BM7" s="4">
        <f t="shared" ref="BM7:BM55" si="0">IF(BM6=50,1,BM6+1)</f>
        <v>1</v>
      </c>
    </row>
    <row r="8" spans="1:65" ht="15" customHeight="1" x14ac:dyDescent="0.25">
      <c r="A8" s="24"/>
      <c r="C8" s="51" t="s">
        <v>53</v>
      </c>
      <c r="K8" s="52"/>
      <c r="BK8" s="25"/>
      <c r="BM8" s="4">
        <f t="shared" si="0"/>
        <v>2</v>
      </c>
    </row>
    <row r="9" spans="1:65" ht="15" customHeight="1" x14ac:dyDescent="0.25">
      <c r="A9" s="24"/>
      <c r="D9" s="51" t="s">
        <v>31</v>
      </c>
      <c r="K9" s="52"/>
      <c r="BK9" s="25"/>
      <c r="BM9" s="4">
        <f t="shared" si="0"/>
        <v>3</v>
      </c>
    </row>
    <row r="10" spans="1:65" ht="15" customHeight="1" x14ac:dyDescent="0.25">
      <c r="A10" s="24"/>
      <c r="C10" s="51" t="s">
        <v>54</v>
      </c>
      <c r="D10" s="51"/>
      <c r="K10" s="52"/>
      <c r="BK10" s="25"/>
      <c r="BM10" s="4">
        <f t="shared" si="0"/>
        <v>4</v>
      </c>
    </row>
    <row r="11" spans="1:65" s="52" customFormat="1" ht="15" customHeight="1" x14ac:dyDescent="0.25">
      <c r="A11" s="53"/>
      <c r="B11" s="20"/>
      <c r="C11" s="20"/>
      <c r="D11" s="51" t="s">
        <v>36</v>
      </c>
      <c r="E11" s="20"/>
      <c r="BK11" s="54"/>
      <c r="BM11" s="4">
        <f t="shared" si="0"/>
        <v>5</v>
      </c>
    </row>
    <row r="12" spans="1:65" s="52" customFormat="1" ht="15" customHeight="1" x14ac:dyDescent="0.25">
      <c r="A12" s="53"/>
      <c r="B12" s="20"/>
      <c r="C12" s="55"/>
      <c r="D12" s="51" t="s">
        <v>55</v>
      </c>
      <c r="E12" s="20"/>
      <c r="BK12" s="54"/>
      <c r="BM12" s="4">
        <f t="shared" si="0"/>
        <v>6</v>
      </c>
    </row>
    <row r="13" spans="1:65" s="52" customFormat="1" ht="15" customHeight="1" x14ac:dyDescent="0.25">
      <c r="A13" s="53"/>
      <c r="B13" s="20"/>
      <c r="C13" s="20"/>
      <c r="D13" s="55"/>
      <c r="E13" s="20"/>
      <c r="BK13" s="54"/>
      <c r="BM13" s="4">
        <f t="shared" si="0"/>
        <v>7</v>
      </c>
    </row>
    <row r="14" spans="1:65" s="52" customFormat="1" ht="15" customHeight="1" x14ac:dyDescent="0.25">
      <c r="A14" s="53"/>
      <c r="B14" s="20"/>
      <c r="C14" s="20"/>
      <c r="D14" s="51"/>
      <c r="E14" s="20"/>
      <c r="BK14" s="54"/>
      <c r="BM14" s="4">
        <f t="shared" si="0"/>
        <v>8</v>
      </c>
    </row>
    <row r="15" spans="1:65" s="52" customFormat="1" ht="15" customHeight="1" x14ac:dyDescent="0.25">
      <c r="A15" s="53"/>
      <c r="B15" s="20"/>
      <c r="C15" s="20"/>
      <c r="D15" s="51"/>
      <c r="E15" s="20"/>
      <c r="BK15" s="54"/>
      <c r="BM15" s="4">
        <f t="shared" si="0"/>
        <v>9</v>
      </c>
    </row>
    <row r="16" spans="1:65" s="52" customFormat="1" ht="15" customHeight="1" x14ac:dyDescent="0.25">
      <c r="A16" s="53"/>
      <c r="B16" s="20"/>
      <c r="C16" s="20"/>
      <c r="D16" s="20"/>
      <c r="E16" s="20"/>
      <c r="BK16" s="54"/>
      <c r="BM16" s="4">
        <f t="shared" si="0"/>
        <v>10</v>
      </c>
    </row>
    <row r="17" spans="1:65" s="52" customFormat="1" ht="15" customHeight="1" x14ac:dyDescent="0.25">
      <c r="A17" s="53"/>
      <c r="B17" s="20"/>
      <c r="C17" s="20"/>
      <c r="D17" s="51"/>
      <c r="E17" s="20"/>
      <c r="BK17" s="54"/>
      <c r="BM17" s="4">
        <f t="shared" si="0"/>
        <v>11</v>
      </c>
    </row>
    <row r="18" spans="1:65" s="52" customFormat="1" ht="15" customHeight="1" x14ac:dyDescent="0.25">
      <c r="A18" s="53"/>
      <c r="B18" s="20"/>
      <c r="C18" s="20"/>
      <c r="D18" s="51"/>
      <c r="E18" s="20"/>
      <c r="BK18" s="54"/>
      <c r="BM18" s="4">
        <f t="shared" si="0"/>
        <v>12</v>
      </c>
    </row>
    <row r="19" spans="1:65" s="52" customFormat="1" ht="15" customHeight="1" x14ac:dyDescent="0.25">
      <c r="A19" s="53"/>
      <c r="B19" s="20"/>
      <c r="C19" s="20"/>
      <c r="D19" s="20"/>
      <c r="E19" s="51"/>
      <c r="BK19" s="54"/>
      <c r="BM19" s="4">
        <f t="shared" si="0"/>
        <v>13</v>
      </c>
    </row>
    <row r="20" spans="1:65" s="52" customFormat="1" ht="15" customHeight="1" x14ac:dyDescent="0.25">
      <c r="A20" s="53"/>
      <c r="B20" s="20"/>
      <c r="C20" s="20"/>
      <c r="D20" s="20"/>
      <c r="E20" s="51"/>
      <c r="BK20" s="54"/>
      <c r="BM20" s="4">
        <f t="shared" si="0"/>
        <v>14</v>
      </c>
    </row>
    <row r="21" spans="1:65" s="52" customFormat="1" ht="15" customHeight="1" x14ac:dyDescent="0.25">
      <c r="A21" s="53"/>
      <c r="BK21" s="54"/>
      <c r="BM21" s="4">
        <f t="shared" si="0"/>
        <v>15</v>
      </c>
    </row>
    <row r="22" spans="1:65" s="52" customFormat="1" ht="15" customHeight="1" x14ac:dyDescent="0.25">
      <c r="A22" s="53"/>
      <c r="BK22" s="54"/>
      <c r="BM22" s="4">
        <f t="shared" si="0"/>
        <v>16</v>
      </c>
    </row>
    <row r="23" spans="1:65" s="52" customFormat="1" ht="15" customHeight="1" x14ac:dyDescent="0.25">
      <c r="A23" s="53"/>
      <c r="BK23" s="54"/>
      <c r="BM23" s="4">
        <f t="shared" si="0"/>
        <v>17</v>
      </c>
    </row>
    <row r="24" spans="1:65" s="52" customFormat="1" ht="15" customHeight="1" x14ac:dyDescent="0.25">
      <c r="A24" s="53"/>
      <c r="BK24" s="54"/>
      <c r="BM24" s="4">
        <f t="shared" si="0"/>
        <v>18</v>
      </c>
    </row>
    <row r="25" spans="1:65" s="52" customFormat="1" ht="15" customHeight="1" x14ac:dyDescent="0.25">
      <c r="A25" s="53"/>
      <c r="BK25" s="54"/>
      <c r="BM25" s="4">
        <f t="shared" si="0"/>
        <v>19</v>
      </c>
    </row>
    <row r="26" spans="1:65" s="52" customFormat="1" ht="15" customHeight="1" x14ac:dyDescent="0.25">
      <c r="A26" s="53"/>
      <c r="BK26" s="54"/>
      <c r="BM26" s="4">
        <f t="shared" si="0"/>
        <v>20</v>
      </c>
    </row>
    <row r="27" spans="1:65" s="52" customFormat="1" ht="15" customHeight="1" x14ac:dyDescent="0.25">
      <c r="A27" s="53"/>
      <c r="BK27" s="54"/>
      <c r="BM27" s="4">
        <f t="shared" si="0"/>
        <v>21</v>
      </c>
    </row>
    <row r="28" spans="1:65" s="52" customFormat="1" ht="15" customHeight="1" x14ac:dyDescent="0.25">
      <c r="A28" s="53"/>
      <c r="BK28" s="54"/>
      <c r="BM28" s="4">
        <f t="shared" si="0"/>
        <v>22</v>
      </c>
    </row>
    <row r="29" spans="1:65" s="52" customFormat="1" ht="15" customHeight="1" x14ac:dyDescent="0.25">
      <c r="A29" s="53"/>
      <c r="BK29" s="54"/>
      <c r="BM29" s="4">
        <f t="shared" si="0"/>
        <v>23</v>
      </c>
    </row>
    <row r="30" spans="1:65" s="52" customFormat="1" ht="15" customHeight="1" x14ac:dyDescent="0.25">
      <c r="A30" s="53"/>
      <c r="BK30" s="54"/>
      <c r="BM30" s="4">
        <f t="shared" si="0"/>
        <v>24</v>
      </c>
    </row>
    <row r="31" spans="1:65" s="52" customFormat="1" ht="15" customHeight="1" x14ac:dyDescent="0.25">
      <c r="A31" s="53"/>
      <c r="BK31" s="54"/>
      <c r="BM31" s="4">
        <f t="shared" si="0"/>
        <v>25</v>
      </c>
    </row>
    <row r="32" spans="1:65" s="52" customFormat="1" ht="15" customHeight="1" x14ac:dyDescent="0.25">
      <c r="A32" s="53"/>
      <c r="BK32" s="54"/>
      <c r="BM32" s="4">
        <f t="shared" si="0"/>
        <v>26</v>
      </c>
    </row>
    <row r="33" spans="1:65" s="52" customFormat="1" ht="15" customHeight="1" x14ac:dyDescent="0.25">
      <c r="A33" s="53"/>
      <c r="BK33" s="54"/>
      <c r="BM33" s="4">
        <f t="shared" si="0"/>
        <v>27</v>
      </c>
    </row>
    <row r="34" spans="1:65" s="52" customFormat="1" ht="15" customHeight="1" x14ac:dyDescent="0.25">
      <c r="A34" s="53"/>
      <c r="BK34" s="54"/>
      <c r="BM34" s="4">
        <f t="shared" si="0"/>
        <v>28</v>
      </c>
    </row>
    <row r="35" spans="1:65" s="52" customFormat="1" ht="15" customHeight="1" x14ac:dyDescent="0.25">
      <c r="A35" s="53"/>
      <c r="BK35" s="54"/>
      <c r="BM35" s="4">
        <f t="shared" si="0"/>
        <v>29</v>
      </c>
    </row>
    <row r="36" spans="1:65" s="52" customFormat="1" ht="15" customHeight="1" x14ac:dyDescent="0.25">
      <c r="A36" s="53"/>
      <c r="BK36" s="54"/>
      <c r="BM36" s="4">
        <f t="shared" si="0"/>
        <v>30</v>
      </c>
    </row>
    <row r="37" spans="1:65" s="52" customFormat="1" ht="15" customHeight="1" x14ac:dyDescent="0.25">
      <c r="A37" s="53"/>
      <c r="BK37" s="54"/>
      <c r="BM37" s="4">
        <f t="shared" si="0"/>
        <v>31</v>
      </c>
    </row>
    <row r="38" spans="1:65" s="52" customFormat="1" ht="15" customHeight="1" x14ac:dyDescent="0.25">
      <c r="A38" s="53"/>
      <c r="BK38" s="54"/>
      <c r="BM38" s="4">
        <f t="shared" si="0"/>
        <v>32</v>
      </c>
    </row>
    <row r="39" spans="1:65" s="52" customFormat="1" ht="15" customHeight="1" x14ac:dyDescent="0.25">
      <c r="A39" s="53"/>
      <c r="BK39" s="54"/>
      <c r="BM39" s="4">
        <f t="shared" si="0"/>
        <v>33</v>
      </c>
    </row>
    <row r="40" spans="1:65" s="52" customFormat="1" ht="15" customHeight="1" x14ac:dyDescent="0.25">
      <c r="A40" s="53"/>
      <c r="BK40" s="54"/>
      <c r="BM40" s="4">
        <f t="shared" si="0"/>
        <v>34</v>
      </c>
    </row>
    <row r="41" spans="1:65" s="52" customFormat="1" ht="15" customHeight="1" x14ac:dyDescent="0.25">
      <c r="A41" s="53"/>
      <c r="BK41" s="54"/>
      <c r="BM41" s="4">
        <f t="shared" si="0"/>
        <v>35</v>
      </c>
    </row>
    <row r="42" spans="1:65" s="52" customFormat="1" ht="15" customHeight="1" x14ac:dyDescent="0.25">
      <c r="A42" s="53"/>
      <c r="BK42" s="54"/>
      <c r="BM42" s="4">
        <f t="shared" si="0"/>
        <v>36</v>
      </c>
    </row>
    <row r="43" spans="1:65" s="52" customFormat="1" ht="15" customHeight="1" x14ac:dyDescent="0.25">
      <c r="A43" s="53"/>
      <c r="BK43" s="54"/>
      <c r="BM43" s="4">
        <f t="shared" si="0"/>
        <v>37</v>
      </c>
    </row>
    <row r="44" spans="1:65" s="52" customFormat="1" ht="15" customHeight="1" x14ac:dyDescent="0.25">
      <c r="A44" s="53"/>
      <c r="BK44" s="54"/>
      <c r="BM44" s="4">
        <f t="shared" si="0"/>
        <v>38</v>
      </c>
    </row>
    <row r="45" spans="1:65" s="52" customFormat="1" ht="15" customHeight="1" x14ac:dyDescent="0.25">
      <c r="A45" s="53"/>
      <c r="BK45" s="54"/>
      <c r="BM45" s="4">
        <f t="shared" si="0"/>
        <v>39</v>
      </c>
    </row>
    <row r="46" spans="1:65" s="52" customFormat="1" ht="15" customHeight="1" x14ac:dyDescent="0.25">
      <c r="A46" s="53"/>
      <c r="BK46" s="54"/>
      <c r="BM46" s="4">
        <f t="shared" si="0"/>
        <v>40</v>
      </c>
    </row>
    <row r="47" spans="1:65" s="52" customFormat="1" ht="15" customHeight="1" x14ac:dyDescent="0.25">
      <c r="A47" s="53"/>
      <c r="BK47" s="54"/>
      <c r="BM47" s="4">
        <f t="shared" si="0"/>
        <v>41</v>
      </c>
    </row>
    <row r="48" spans="1:65" s="52" customFormat="1" ht="15" customHeight="1" x14ac:dyDescent="0.25">
      <c r="A48" s="53"/>
      <c r="BK48" s="54"/>
      <c r="BM48" s="4">
        <f t="shared" si="0"/>
        <v>42</v>
      </c>
    </row>
    <row r="49" spans="1:65" s="52" customFormat="1" ht="15" customHeight="1" x14ac:dyDescent="0.25">
      <c r="A49" s="53"/>
      <c r="BK49" s="54"/>
      <c r="BM49" s="4">
        <f t="shared" si="0"/>
        <v>43</v>
      </c>
    </row>
    <row r="50" spans="1:65" s="52" customFormat="1" ht="15" customHeight="1" x14ac:dyDescent="0.25">
      <c r="A50" s="53"/>
      <c r="BK50" s="54"/>
      <c r="BM50" s="4">
        <f t="shared" si="0"/>
        <v>44</v>
      </c>
    </row>
    <row r="51" spans="1:65" s="52" customFormat="1" ht="15" customHeight="1" x14ac:dyDescent="0.25">
      <c r="A51" s="53"/>
      <c r="BK51" s="54"/>
      <c r="BM51" s="4">
        <f t="shared" si="0"/>
        <v>45</v>
      </c>
    </row>
    <row r="52" spans="1:65" s="52" customFormat="1" ht="15" customHeight="1" x14ac:dyDescent="0.25">
      <c r="A52" s="53"/>
      <c r="BK52" s="54"/>
      <c r="BM52" s="4">
        <f t="shared" si="0"/>
        <v>46</v>
      </c>
    </row>
    <row r="53" spans="1:65" s="52" customFormat="1" ht="15" customHeight="1" x14ac:dyDescent="0.25">
      <c r="A53" s="53"/>
      <c r="BK53" s="54"/>
      <c r="BM53" s="4">
        <f t="shared" si="0"/>
        <v>47</v>
      </c>
    </row>
    <row r="54" spans="1:65" s="52" customFormat="1" ht="15" customHeight="1" x14ac:dyDescent="0.25">
      <c r="A54" s="53"/>
      <c r="BK54" s="54"/>
      <c r="BM54" s="4">
        <f t="shared" si="0"/>
        <v>48</v>
      </c>
    </row>
    <row r="55" spans="1:65" s="52" customFormat="1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8"/>
      <c r="BM55" s="4">
        <f t="shared" si="0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7232-D969-49C4-874E-3831A458F2E0}">
  <sheetPr>
    <pageSetUpPr fitToPage="1"/>
  </sheetPr>
  <dimension ref="A1:BP89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20" customWidth="1"/>
    <col min="65" max="65" width="3" style="20" bestFit="1" customWidth="1"/>
    <col min="66" max="68" width="2.77734375" style="20" customWidth="1"/>
    <col min="69" max="16384" width="2.77734375" style="20"/>
  </cols>
  <sheetData>
    <row r="1" spans="1:65" ht="24.95" customHeight="1" x14ac:dyDescent="0.25">
      <c r="A1" s="81" t="s">
        <v>37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38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tr">
        <f>IF(表紙!W1="","",表紙!W1)</f>
        <v>基本設計書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40</v>
      </c>
      <c r="AQ1" s="82"/>
      <c r="AR1" s="82"/>
      <c r="AS1" s="83"/>
      <c r="AT1" s="81" t="s">
        <v>41</v>
      </c>
      <c r="AU1" s="82"/>
      <c r="AV1" s="82"/>
      <c r="AW1" s="82"/>
      <c r="AX1" s="83"/>
      <c r="AY1" s="81" t="s">
        <v>42</v>
      </c>
      <c r="AZ1" s="82"/>
      <c r="BA1" s="82"/>
      <c r="BB1" s="83"/>
      <c r="BC1" s="81" t="s">
        <v>43</v>
      </c>
      <c r="BD1" s="82"/>
      <c r="BE1" s="82"/>
      <c r="BF1" s="82"/>
      <c r="BG1" s="83"/>
      <c r="BH1" s="81" t="s">
        <v>44</v>
      </c>
      <c r="BI1" s="82"/>
      <c r="BJ1" s="82"/>
      <c r="BK1" s="83"/>
    </row>
    <row r="2" spans="1:65" ht="15" customHeight="1" x14ac:dyDescent="0.25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IF(表紙!AP2="","",表紙!AP2)</f>
        <v>AnhDD</v>
      </c>
      <c r="AQ2" s="85"/>
      <c r="AR2" s="85"/>
      <c r="AS2" s="86"/>
      <c r="AT2" s="111">
        <f>IF(表紙!AT2="","",表紙!AT2)</f>
        <v>45425</v>
      </c>
      <c r="AU2" s="112"/>
      <c r="AV2" s="112"/>
      <c r="AW2" s="112"/>
      <c r="AX2" s="113"/>
      <c r="AY2" s="84" t="str">
        <f>IF(表紙!AY2="","",表紙!AY2)</f>
        <v>AnhDD</v>
      </c>
      <c r="AZ2" s="85"/>
      <c r="BA2" s="85"/>
      <c r="BB2" s="86"/>
      <c r="BC2" s="111">
        <f>IF(表紙!BC2="","",表紙!BC2)</f>
        <v>45425</v>
      </c>
      <c r="BD2" s="112"/>
      <c r="BE2" s="112"/>
      <c r="BF2" s="112"/>
      <c r="BG2" s="113"/>
      <c r="BH2" s="84">
        <f>IF(表紙!BH2="","",表紙!BH2)</f>
        <v>0.1</v>
      </c>
      <c r="BI2" s="85"/>
      <c r="BJ2" s="85"/>
      <c r="BK2" s="86"/>
    </row>
    <row r="3" spans="1:65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5" ht="24.95" customHeight="1" x14ac:dyDescent="0.25">
      <c r="A4" s="81" t="s">
        <v>46</v>
      </c>
      <c r="B4" s="82"/>
      <c r="C4" s="82"/>
      <c r="D4" s="82"/>
      <c r="E4" s="82"/>
      <c r="F4" s="82"/>
      <c r="G4" s="83"/>
      <c r="H4" s="102" t="str">
        <f>IF(表紙!H4="","",表紙!H4)</f>
        <v>14_テナント売上速報/日報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47</v>
      </c>
      <c r="V4" s="82"/>
      <c r="W4" s="82"/>
      <c r="X4" s="82"/>
      <c r="Y4" s="83"/>
      <c r="Z4" s="102" t="str">
        <f>IF(表紙!Z4="","",表紙!Z4)</f>
        <v>概要設計書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機能概要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5" ht="5.0999999999999996" customHeight="1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3"/>
    </row>
    <row r="6" spans="1:65" ht="15" customHeight="1" x14ac:dyDescent="0.25">
      <c r="A6" s="24"/>
      <c r="BK6" s="25"/>
    </row>
    <row r="7" spans="1:65" ht="15" customHeight="1" x14ac:dyDescent="0.25">
      <c r="A7" s="24"/>
      <c r="B7" s="59" t="s">
        <v>56</v>
      </c>
      <c r="C7" s="60"/>
      <c r="D7" s="61"/>
      <c r="E7" s="61"/>
      <c r="F7" s="61"/>
      <c r="G7" s="61"/>
      <c r="H7" s="61"/>
      <c r="I7" s="61"/>
      <c r="J7" s="61"/>
      <c r="K7" s="62"/>
      <c r="L7" s="60"/>
      <c r="M7" s="61"/>
      <c r="N7" s="61"/>
      <c r="O7" s="61"/>
      <c r="P7" s="61"/>
      <c r="Q7" s="61"/>
      <c r="R7" s="61"/>
      <c r="S7" s="61"/>
      <c r="T7" s="62"/>
      <c r="U7" s="60"/>
      <c r="V7" s="61"/>
      <c r="W7" s="61"/>
      <c r="X7" s="61"/>
      <c r="Y7" s="61"/>
      <c r="Z7" s="61"/>
      <c r="AA7" s="61"/>
      <c r="AB7" s="61"/>
      <c r="AC7" s="62"/>
      <c r="AD7" s="60"/>
      <c r="AE7" s="61"/>
      <c r="AF7" s="61"/>
      <c r="AG7" s="61"/>
      <c r="AH7" s="61"/>
      <c r="AI7" s="61"/>
      <c r="AJ7" s="61"/>
      <c r="AK7" s="61"/>
      <c r="AL7" s="62"/>
      <c r="AM7" s="60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25"/>
      <c r="BM7" s="4">
        <f t="shared" ref="BM7:BM73" si="0">IF(BM6=50,1,BM6+1)</f>
        <v>1</v>
      </c>
    </row>
    <row r="8" spans="1:65" s="52" customFormat="1" ht="15" customHeight="1" x14ac:dyDescent="0.25">
      <c r="A8" s="53"/>
      <c r="B8" s="18"/>
      <c r="K8" s="63"/>
      <c r="L8" s="64"/>
      <c r="T8" s="63"/>
      <c r="U8" s="64"/>
      <c r="AC8" s="63"/>
      <c r="AD8" s="64"/>
      <c r="AL8" s="63"/>
      <c r="AM8" s="64"/>
      <c r="BI8" s="63"/>
      <c r="BK8" s="54"/>
      <c r="BM8" s="4">
        <f t="shared" si="0"/>
        <v>2</v>
      </c>
    </row>
    <row r="9" spans="1:65" s="52" customFormat="1" ht="15" customHeight="1" x14ac:dyDescent="0.25">
      <c r="A9" s="53"/>
      <c r="B9" s="18"/>
      <c r="K9" s="63"/>
      <c r="L9" s="64"/>
      <c r="T9" s="63"/>
      <c r="U9" s="64"/>
      <c r="AC9" s="63"/>
      <c r="AD9" s="64"/>
      <c r="AL9" s="63"/>
      <c r="AM9" s="64"/>
      <c r="BI9" s="63"/>
      <c r="BK9" s="54"/>
      <c r="BM9" s="4">
        <f t="shared" si="0"/>
        <v>3</v>
      </c>
    </row>
    <row r="10" spans="1:65" s="52" customFormat="1" ht="15" customHeight="1" x14ac:dyDescent="0.25">
      <c r="A10" s="53"/>
      <c r="B10" s="18"/>
      <c r="K10" s="63"/>
      <c r="L10" s="64"/>
      <c r="T10" s="63"/>
      <c r="U10" s="64"/>
      <c r="AC10" s="63"/>
      <c r="AD10" s="64"/>
      <c r="AL10" s="63"/>
      <c r="AM10" s="64"/>
      <c r="BI10" s="63"/>
      <c r="BK10" s="54"/>
      <c r="BM10" s="4">
        <f t="shared" si="0"/>
        <v>4</v>
      </c>
    </row>
    <row r="11" spans="1:65" s="52" customFormat="1" ht="15" customHeight="1" x14ac:dyDescent="0.25">
      <c r="A11" s="53"/>
      <c r="B11" s="18"/>
      <c r="K11" s="63"/>
      <c r="L11" s="64"/>
      <c r="T11" s="63"/>
      <c r="U11" s="64"/>
      <c r="AC11" s="63"/>
      <c r="AD11" s="64"/>
      <c r="AL11" s="63"/>
      <c r="AM11" s="64"/>
      <c r="BI11" s="63"/>
      <c r="BK11" s="54"/>
      <c r="BM11" s="4">
        <f t="shared" si="0"/>
        <v>5</v>
      </c>
    </row>
    <row r="12" spans="1:65" s="52" customFormat="1" ht="15" customHeight="1" x14ac:dyDescent="0.25">
      <c r="A12" s="53"/>
      <c r="B12" s="18"/>
      <c r="K12" s="63"/>
      <c r="L12" s="64"/>
      <c r="T12" s="63"/>
      <c r="U12" s="64"/>
      <c r="AC12" s="63"/>
      <c r="AD12" s="64"/>
      <c r="AL12" s="63"/>
      <c r="AM12" s="64"/>
      <c r="BI12" s="63"/>
      <c r="BK12" s="54"/>
      <c r="BM12" s="4">
        <f t="shared" si="0"/>
        <v>6</v>
      </c>
    </row>
    <row r="13" spans="1:65" s="52" customFormat="1" ht="15" customHeight="1" x14ac:dyDescent="0.25">
      <c r="A13" s="53"/>
      <c r="B13" s="18"/>
      <c r="K13" s="63"/>
      <c r="L13" s="64"/>
      <c r="T13" s="63"/>
      <c r="U13" s="64"/>
      <c r="AC13" s="63"/>
      <c r="AD13" s="64"/>
      <c r="AL13" s="63"/>
      <c r="AM13" s="64"/>
      <c r="BI13" s="63"/>
      <c r="BK13" s="54"/>
      <c r="BM13" s="4">
        <f t="shared" si="0"/>
        <v>7</v>
      </c>
    </row>
    <row r="14" spans="1:65" s="52" customFormat="1" ht="15" customHeight="1" x14ac:dyDescent="0.25">
      <c r="A14" s="53"/>
      <c r="B14" s="18"/>
      <c r="K14" s="63"/>
      <c r="L14" s="64"/>
      <c r="T14" s="63"/>
      <c r="U14" s="64"/>
      <c r="AC14" s="63"/>
      <c r="AD14" s="64"/>
      <c r="AL14" s="63"/>
      <c r="AM14" s="64"/>
      <c r="BI14" s="63"/>
      <c r="BK14" s="54"/>
      <c r="BM14" s="4">
        <f t="shared" si="0"/>
        <v>8</v>
      </c>
    </row>
    <row r="15" spans="1:65" s="52" customFormat="1" ht="15" customHeight="1" x14ac:dyDescent="0.25">
      <c r="A15" s="53"/>
      <c r="B15" s="18"/>
      <c r="K15" s="63"/>
      <c r="L15" s="64"/>
      <c r="T15" s="63"/>
      <c r="U15" s="64"/>
      <c r="AC15" s="63"/>
      <c r="AD15" s="64"/>
      <c r="AL15" s="63"/>
      <c r="AM15" s="64"/>
      <c r="BI15" s="63"/>
      <c r="BK15" s="54"/>
      <c r="BM15" s="4">
        <f t="shared" si="0"/>
        <v>9</v>
      </c>
    </row>
    <row r="16" spans="1:65" s="52" customFormat="1" ht="15" customHeight="1" x14ac:dyDescent="0.25">
      <c r="A16" s="53"/>
      <c r="B16" s="18"/>
      <c r="K16" s="63"/>
      <c r="L16" s="64"/>
      <c r="T16" s="63"/>
      <c r="U16" s="64"/>
      <c r="AC16" s="63"/>
      <c r="AD16" s="64"/>
      <c r="AL16" s="63"/>
      <c r="AM16" s="64"/>
      <c r="BI16" s="63"/>
      <c r="BK16" s="54"/>
      <c r="BM16" s="4">
        <f t="shared" si="0"/>
        <v>10</v>
      </c>
    </row>
    <row r="17" spans="1:65" s="52" customFormat="1" ht="15" customHeight="1" x14ac:dyDescent="0.25">
      <c r="A17" s="53"/>
      <c r="B17" s="18"/>
      <c r="K17" s="63"/>
      <c r="L17" s="64"/>
      <c r="T17" s="63"/>
      <c r="U17" s="64"/>
      <c r="AC17" s="63"/>
      <c r="AD17" s="64"/>
      <c r="AL17" s="63"/>
      <c r="AM17" s="64"/>
      <c r="BI17" s="63"/>
      <c r="BK17" s="54"/>
      <c r="BM17" s="4">
        <f t="shared" si="0"/>
        <v>11</v>
      </c>
    </row>
    <row r="18" spans="1:65" s="52" customFormat="1" ht="15" customHeight="1" x14ac:dyDescent="0.25">
      <c r="A18" s="53"/>
      <c r="B18" s="18"/>
      <c r="K18" s="63"/>
      <c r="L18" s="64"/>
      <c r="T18" s="63"/>
      <c r="U18" s="64"/>
      <c r="AC18" s="63"/>
      <c r="AD18" s="64"/>
      <c r="AL18" s="63"/>
      <c r="AM18" s="64"/>
      <c r="BI18" s="63"/>
      <c r="BK18" s="54"/>
      <c r="BM18" s="4">
        <f t="shared" si="0"/>
        <v>12</v>
      </c>
    </row>
    <row r="19" spans="1:65" s="52" customFormat="1" ht="15" customHeight="1" x14ac:dyDescent="0.25">
      <c r="A19" s="53"/>
      <c r="B19" s="18"/>
      <c r="K19" s="63"/>
      <c r="L19" s="64"/>
      <c r="T19" s="63"/>
      <c r="U19" s="64"/>
      <c r="AC19" s="63"/>
      <c r="AD19" s="64"/>
      <c r="AL19" s="63"/>
      <c r="AM19" s="64"/>
      <c r="BI19" s="63"/>
      <c r="BK19" s="54"/>
      <c r="BM19" s="4">
        <f t="shared" si="0"/>
        <v>13</v>
      </c>
    </row>
    <row r="20" spans="1:65" s="52" customFormat="1" ht="15" customHeight="1" x14ac:dyDescent="0.25">
      <c r="A20" s="53"/>
      <c r="B20" s="18"/>
      <c r="K20" s="63"/>
      <c r="L20" s="64"/>
      <c r="T20" s="63"/>
      <c r="U20" s="64"/>
      <c r="AC20" s="63"/>
      <c r="AD20" s="64"/>
      <c r="AL20" s="63"/>
      <c r="AM20" s="64"/>
      <c r="BI20" s="63"/>
      <c r="BK20" s="54"/>
      <c r="BM20" s="4">
        <f t="shared" si="0"/>
        <v>14</v>
      </c>
    </row>
    <row r="21" spans="1:65" s="52" customFormat="1" ht="15" customHeight="1" x14ac:dyDescent="0.25">
      <c r="A21" s="53"/>
      <c r="B21" s="18"/>
      <c r="K21" s="63"/>
      <c r="L21" s="64"/>
      <c r="T21" s="63"/>
      <c r="U21" s="64"/>
      <c r="AC21" s="63"/>
      <c r="AD21" s="64"/>
      <c r="AL21" s="63"/>
      <c r="AM21" s="64"/>
      <c r="BI21" s="63"/>
      <c r="BK21" s="54"/>
      <c r="BM21" s="4">
        <f t="shared" si="0"/>
        <v>15</v>
      </c>
    </row>
    <row r="22" spans="1:65" s="52" customFormat="1" ht="15" customHeight="1" x14ac:dyDescent="0.25">
      <c r="A22" s="53"/>
      <c r="B22" s="18"/>
      <c r="K22" s="63"/>
      <c r="L22" s="64"/>
      <c r="T22" s="63"/>
      <c r="U22" s="64"/>
      <c r="AC22" s="63"/>
      <c r="AD22" s="64"/>
      <c r="AL22" s="63"/>
      <c r="AM22" s="64"/>
      <c r="BI22" s="63"/>
      <c r="BK22" s="54"/>
      <c r="BM22" s="4">
        <f t="shared" si="0"/>
        <v>16</v>
      </c>
    </row>
    <row r="23" spans="1:65" s="52" customFormat="1" ht="15" customHeight="1" x14ac:dyDescent="0.25">
      <c r="A23" s="53"/>
      <c r="B23" s="18"/>
      <c r="K23" s="63"/>
      <c r="L23" s="64"/>
      <c r="T23" s="63"/>
      <c r="U23" s="64"/>
      <c r="AC23" s="63"/>
      <c r="AD23" s="64"/>
      <c r="AL23" s="63"/>
      <c r="AM23" s="64"/>
      <c r="BI23" s="63"/>
      <c r="BK23" s="54"/>
      <c r="BM23" s="4">
        <f t="shared" si="0"/>
        <v>17</v>
      </c>
    </row>
    <row r="24" spans="1:65" s="52" customFormat="1" ht="15" customHeight="1" x14ac:dyDescent="0.25">
      <c r="A24" s="53"/>
      <c r="B24" s="18"/>
      <c r="K24" s="63"/>
      <c r="L24" s="64"/>
      <c r="T24" s="63"/>
      <c r="U24" s="64"/>
      <c r="AC24" s="63"/>
      <c r="AD24" s="64"/>
      <c r="AL24" s="63"/>
      <c r="AM24" s="64"/>
      <c r="BI24" s="63"/>
      <c r="BK24" s="54"/>
      <c r="BM24" s="4">
        <f t="shared" si="0"/>
        <v>18</v>
      </c>
    </row>
    <row r="25" spans="1:65" s="52" customFormat="1" ht="15" customHeight="1" x14ac:dyDescent="0.25">
      <c r="A25" s="53"/>
      <c r="B25" s="18"/>
      <c r="K25" s="63"/>
      <c r="L25" s="64"/>
      <c r="T25" s="63"/>
      <c r="U25" s="64"/>
      <c r="AC25" s="63"/>
      <c r="AD25" s="64"/>
      <c r="AL25" s="63"/>
      <c r="AM25" s="64"/>
      <c r="BI25" s="63"/>
      <c r="BK25" s="54"/>
      <c r="BM25" s="4">
        <f t="shared" si="0"/>
        <v>19</v>
      </c>
    </row>
    <row r="26" spans="1:65" s="52" customFormat="1" ht="15" customHeight="1" x14ac:dyDescent="0.25">
      <c r="A26" s="53"/>
      <c r="B26" s="18"/>
      <c r="K26" s="63"/>
      <c r="L26" s="64"/>
      <c r="T26" s="63"/>
      <c r="U26" s="64"/>
      <c r="AC26" s="63"/>
      <c r="AD26" s="64"/>
      <c r="AL26" s="63"/>
      <c r="AM26" s="64"/>
      <c r="BI26" s="63"/>
      <c r="BK26" s="54"/>
      <c r="BM26" s="4">
        <f t="shared" si="0"/>
        <v>20</v>
      </c>
    </row>
    <row r="27" spans="1:65" s="52" customFormat="1" ht="15" customHeight="1" x14ac:dyDescent="0.25">
      <c r="A27" s="53"/>
      <c r="B27" s="18"/>
      <c r="K27" s="63"/>
      <c r="L27" s="64"/>
      <c r="T27" s="63"/>
      <c r="U27" s="64"/>
      <c r="AC27" s="63"/>
      <c r="AD27" s="64"/>
      <c r="AL27" s="63"/>
      <c r="AM27" s="64"/>
      <c r="BI27" s="63"/>
      <c r="BK27" s="54"/>
      <c r="BM27" s="4">
        <f t="shared" si="0"/>
        <v>21</v>
      </c>
    </row>
    <row r="28" spans="1:65" s="52" customFormat="1" ht="15" customHeight="1" x14ac:dyDescent="0.25">
      <c r="A28" s="53"/>
      <c r="B28" s="18"/>
      <c r="K28" s="63"/>
      <c r="L28" s="64"/>
      <c r="T28" s="63"/>
      <c r="U28" s="64"/>
      <c r="AC28" s="63"/>
      <c r="AD28" s="64"/>
      <c r="AL28" s="63"/>
      <c r="AM28" s="64"/>
      <c r="BI28" s="63"/>
      <c r="BK28" s="54"/>
      <c r="BM28" s="4">
        <f t="shared" si="0"/>
        <v>22</v>
      </c>
    </row>
    <row r="29" spans="1:65" s="52" customFormat="1" ht="15" customHeight="1" x14ac:dyDescent="0.25">
      <c r="A29" s="53"/>
      <c r="B29" s="18"/>
      <c r="K29" s="63"/>
      <c r="L29" s="64"/>
      <c r="T29" s="63"/>
      <c r="U29" s="64"/>
      <c r="AC29" s="63"/>
      <c r="AD29" s="64"/>
      <c r="AL29" s="63"/>
      <c r="AM29" s="64"/>
      <c r="BI29" s="63"/>
      <c r="BK29" s="54"/>
      <c r="BM29" s="4">
        <f t="shared" si="0"/>
        <v>23</v>
      </c>
    </row>
    <row r="30" spans="1:65" s="52" customFormat="1" ht="15" customHeight="1" x14ac:dyDescent="0.25">
      <c r="A30" s="53"/>
      <c r="B30" s="18"/>
      <c r="K30" s="63"/>
      <c r="L30" s="64"/>
      <c r="T30" s="63"/>
      <c r="U30" s="64"/>
      <c r="AC30" s="63"/>
      <c r="AD30" s="64"/>
      <c r="AL30" s="63"/>
      <c r="AM30" s="64"/>
      <c r="BI30" s="63"/>
      <c r="BK30" s="54"/>
      <c r="BM30" s="4">
        <f t="shared" si="0"/>
        <v>24</v>
      </c>
    </row>
    <row r="31" spans="1:65" s="52" customFormat="1" ht="15" customHeight="1" x14ac:dyDescent="0.25">
      <c r="A31" s="53"/>
      <c r="B31" s="18"/>
      <c r="K31" s="63"/>
      <c r="L31" s="64"/>
      <c r="T31" s="63"/>
      <c r="U31" s="64"/>
      <c r="AC31" s="63"/>
      <c r="AD31" s="64"/>
      <c r="AL31" s="63"/>
      <c r="AM31" s="64"/>
      <c r="BI31" s="63"/>
      <c r="BK31" s="54"/>
      <c r="BM31" s="4">
        <f t="shared" si="0"/>
        <v>25</v>
      </c>
    </row>
    <row r="32" spans="1:65" s="52" customFormat="1" ht="15" customHeight="1" x14ac:dyDescent="0.25">
      <c r="A32" s="53"/>
      <c r="B32" s="18"/>
      <c r="K32" s="63"/>
      <c r="L32" s="64"/>
      <c r="T32" s="63"/>
      <c r="U32" s="64"/>
      <c r="AC32" s="63"/>
      <c r="AD32" s="64"/>
      <c r="AL32" s="63"/>
      <c r="AM32" s="64"/>
      <c r="BI32" s="63"/>
      <c r="BK32" s="54"/>
      <c r="BM32" s="4">
        <f t="shared" si="0"/>
        <v>26</v>
      </c>
    </row>
    <row r="33" spans="1:68" s="52" customFormat="1" ht="15" customHeight="1" x14ac:dyDescent="0.25">
      <c r="A33" s="53"/>
      <c r="B33" s="18"/>
      <c r="K33" s="63"/>
      <c r="L33" s="64"/>
      <c r="T33" s="63"/>
      <c r="U33" s="64"/>
      <c r="AC33" s="63"/>
      <c r="AD33" s="64"/>
      <c r="AL33" s="63"/>
      <c r="AM33" s="64"/>
      <c r="BI33" s="63"/>
      <c r="BK33" s="54"/>
      <c r="BM33" s="4">
        <f t="shared" si="0"/>
        <v>27</v>
      </c>
    </row>
    <row r="34" spans="1:68" s="52" customFormat="1" ht="15" customHeight="1" x14ac:dyDescent="0.25">
      <c r="A34" s="53"/>
      <c r="B34" s="18"/>
      <c r="K34" s="63"/>
      <c r="L34" s="64"/>
      <c r="T34" s="63"/>
      <c r="U34" s="64"/>
      <c r="AC34" s="63"/>
      <c r="AD34" s="64"/>
      <c r="AL34" s="63"/>
      <c r="AM34" s="64"/>
      <c r="BI34" s="63"/>
      <c r="BK34" s="54"/>
      <c r="BM34" s="4">
        <f t="shared" si="0"/>
        <v>28</v>
      </c>
    </row>
    <row r="35" spans="1:68" s="52" customFormat="1" ht="15" customHeight="1" x14ac:dyDescent="0.25">
      <c r="A35" s="53"/>
      <c r="B35" s="18"/>
      <c r="K35" s="63"/>
      <c r="L35" s="64"/>
      <c r="T35" s="63"/>
      <c r="U35" s="64"/>
      <c r="AC35" s="63"/>
      <c r="AD35" s="64"/>
      <c r="AL35" s="63"/>
      <c r="AM35" s="64"/>
      <c r="BI35" s="63"/>
      <c r="BK35" s="54"/>
      <c r="BM35" s="4">
        <f t="shared" si="0"/>
        <v>29</v>
      </c>
    </row>
    <row r="36" spans="1:68" s="52" customFormat="1" ht="15" customHeight="1" x14ac:dyDescent="0.25">
      <c r="A36" s="53"/>
      <c r="B36" s="18"/>
      <c r="K36" s="63"/>
      <c r="L36" s="64"/>
      <c r="T36" s="63"/>
      <c r="U36" s="64"/>
      <c r="AC36" s="63"/>
      <c r="AD36" s="64"/>
      <c r="AL36" s="63"/>
      <c r="AM36" s="64"/>
      <c r="BI36" s="63"/>
      <c r="BK36" s="54"/>
      <c r="BM36" s="4">
        <f t="shared" si="0"/>
        <v>30</v>
      </c>
    </row>
    <row r="37" spans="1:68" s="52" customFormat="1" ht="15" customHeight="1" x14ac:dyDescent="0.25">
      <c r="A37" s="53"/>
      <c r="B37" s="18"/>
      <c r="K37" s="63"/>
      <c r="L37" s="64"/>
      <c r="T37" s="63"/>
      <c r="U37" s="64"/>
      <c r="AC37" s="63"/>
      <c r="AD37" s="64"/>
      <c r="AL37" s="63"/>
      <c r="AM37" s="64"/>
      <c r="BI37" s="63"/>
      <c r="BK37" s="54"/>
      <c r="BM37" s="4">
        <f t="shared" si="0"/>
        <v>31</v>
      </c>
    </row>
    <row r="38" spans="1:68" s="52" customFormat="1" ht="15" customHeight="1" x14ac:dyDescent="0.25">
      <c r="A38" s="53"/>
      <c r="B38" s="18"/>
      <c r="K38" s="63"/>
      <c r="L38" s="64"/>
      <c r="T38" s="63"/>
      <c r="U38" s="64"/>
      <c r="AC38" s="63"/>
      <c r="AD38" s="64"/>
      <c r="AL38" s="63"/>
      <c r="AM38" s="64"/>
      <c r="BI38" s="63"/>
      <c r="BK38" s="54"/>
      <c r="BM38" s="4">
        <f t="shared" si="0"/>
        <v>32</v>
      </c>
    </row>
    <row r="39" spans="1:68" s="52" customFormat="1" ht="15" customHeight="1" x14ac:dyDescent="0.25">
      <c r="A39" s="53"/>
      <c r="B39" s="18"/>
      <c r="K39" s="63"/>
      <c r="L39" s="64"/>
      <c r="T39" s="63"/>
      <c r="U39" s="64"/>
      <c r="AC39" s="63"/>
      <c r="AD39" s="64"/>
      <c r="AL39" s="63"/>
      <c r="AM39" s="64"/>
      <c r="BI39" s="63"/>
      <c r="BK39" s="54"/>
      <c r="BM39" s="4">
        <f t="shared" si="0"/>
        <v>33</v>
      </c>
    </row>
    <row r="40" spans="1:68" s="52" customFormat="1" ht="15" customHeight="1" x14ac:dyDescent="0.25">
      <c r="A40" s="53"/>
      <c r="B40" s="18"/>
      <c r="K40" s="63"/>
      <c r="L40" s="64"/>
      <c r="T40" s="63"/>
      <c r="U40" s="64"/>
      <c r="AC40" s="63"/>
      <c r="AD40" s="64"/>
      <c r="AL40" s="63"/>
      <c r="AM40" s="64"/>
      <c r="BI40" s="63"/>
      <c r="BK40" s="54"/>
      <c r="BM40" s="4">
        <f t="shared" si="0"/>
        <v>34</v>
      </c>
    </row>
    <row r="41" spans="1:68" s="52" customFormat="1" ht="15" customHeight="1" x14ac:dyDescent="0.25">
      <c r="A41" s="53"/>
      <c r="B41" s="18"/>
      <c r="K41" s="63"/>
      <c r="L41" s="64"/>
      <c r="T41" s="63"/>
      <c r="U41" s="64"/>
      <c r="AC41" s="63"/>
      <c r="AD41" s="64"/>
      <c r="AL41" s="63"/>
      <c r="AM41" s="64"/>
      <c r="BI41" s="63"/>
      <c r="BK41" s="54"/>
      <c r="BM41" s="4">
        <f t="shared" si="0"/>
        <v>35</v>
      </c>
    </row>
    <row r="42" spans="1:68" s="52" customFormat="1" ht="15" customHeight="1" x14ac:dyDescent="0.25">
      <c r="A42" s="53"/>
      <c r="B42" s="18"/>
      <c r="K42" s="63"/>
      <c r="L42" s="64"/>
      <c r="T42" s="63"/>
      <c r="U42" s="64"/>
      <c r="AC42" s="63"/>
      <c r="AD42" s="64"/>
      <c r="AL42" s="63"/>
      <c r="AM42" s="64"/>
      <c r="BI42" s="63"/>
      <c r="BK42" s="54"/>
      <c r="BM42" s="4">
        <f t="shared" si="0"/>
        <v>36</v>
      </c>
    </row>
    <row r="43" spans="1:68" s="52" customFormat="1" ht="15" customHeight="1" x14ac:dyDescent="0.25">
      <c r="A43" s="53"/>
      <c r="B43" s="18"/>
      <c r="K43" s="63"/>
      <c r="L43" s="64"/>
      <c r="T43" s="63"/>
      <c r="U43" s="64"/>
      <c r="AC43" s="63"/>
      <c r="AD43" s="64"/>
      <c r="AL43" s="63"/>
      <c r="AM43" s="64"/>
      <c r="BI43" s="63"/>
      <c r="BK43" s="54"/>
      <c r="BM43" s="4">
        <f t="shared" si="0"/>
        <v>37</v>
      </c>
    </row>
    <row r="44" spans="1:68" s="52" customFormat="1" ht="15" customHeight="1" x14ac:dyDescent="0.25">
      <c r="A44" s="53"/>
      <c r="B44" s="18"/>
      <c r="K44" s="63"/>
      <c r="L44" s="64"/>
      <c r="T44" s="63"/>
      <c r="U44" s="64"/>
      <c r="AC44" s="63"/>
      <c r="AD44" s="64"/>
      <c r="AL44" s="63"/>
      <c r="AM44" s="64"/>
      <c r="BI44" s="63"/>
      <c r="BK44" s="54"/>
      <c r="BM44" s="4">
        <f t="shared" si="0"/>
        <v>38</v>
      </c>
      <c r="BP44" s="52" t="s">
        <v>34</v>
      </c>
    </row>
    <row r="45" spans="1:68" s="52" customFormat="1" ht="15" customHeight="1" x14ac:dyDescent="0.25">
      <c r="A45" s="53"/>
      <c r="B45" s="18"/>
      <c r="K45" s="63"/>
      <c r="L45" s="64"/>
      <c r="T45" s="63"/>
      <c r="U45" s="64"/>
      <c r="AC45" s="63"/>
      <c r="AD45" s="64"/>
      <c r="AL45" s="63"/>
      <c r="AM45" s="64"/>
      <c r="BI45" s="63"/>
      <c r="BK45" s="54"/>
      <c r="BM45" s="4">
        <f t="shared" si="0"/>
        <v>39</v>
      </c>
    </row>
    <row r="46" spans="1:68" s="52" customFormat="1" ht="15" customHeight="1" x14ac:dyDescent="0.25">
      <c r="A46" s="53"/>
      <c r="B46" s="18"/>
      <c r="K46" s="63"/>
      <c r="L46" s="64"/>
      <c r="T46" s="63"/>
      <c r="U46" s="64"/>
      <c r="AC46" s="63"/>
      <c r="AD46" s="64"/>
      <c r="AL46" s="63"/>
      <c r="AM46" s="64"/>
      <c r="BI46" s="63"/>
      <c r="BK46" s="54"/>
      <c r="BM46" s="4">
        <f t="shared" si="0"/>
        <v>40</v>
      </c>
    </row>
    <row r="47" spans="1:68" s="52" customFormat="1" ht="15" customHeight="1" x14ac:dyDescent="0.25">
      <c r="A47" s="53"/>
      <c r="B47" s="18"/>
      <c r="K47" s="63"/>
      <c r="L47" s="64"/>
      <c r="T47" s="63"/>
      <c r="U47" s="64"/>
      <c r="AC47" s="63"/>
      <c r="AD47" s="64"/>
      <c r="AL47" s="63"/>
      <c r="AM47" s="64"/>
      <c r="BI47" s="63"/>
      <c r="BK47" s="54"/>
      <c r="BM47" s="4">
        <f t="shared" si="0"/>
        <v>41</v>
      </c>
    </row>
    <row r="48" spans="1:68" s="52" customFormat="1" ht="15" customHeight="1" x14ac:dyDescent="0.25">
      <c r="A48" s="53"/>
      <c r="B48" s="18"/>
      <c r="K48" s="63"/>
      <c r="L48" s="64"/>
      <c r="T48" s="63"/>
      <c r="U48" s="64"/>
      <c r="AC48" s="63"/>
      <c r="AD48" s="64"/>
      <c r="AL48" s="63"/>
      <c r="AM48" s="64"/>
      <c r="BI48" s="63"/>
      <c r="BK48" s="54"/>
      <c r="BM48" s="4">
        <f t="shared" si="0"/>
        <v>42</v>
      </c>
    </row>
    <row r="49" spans="1:65" s="52" customFormat="1" ht="15" customHeight="1" x14ac:dyDescent="0.25">
      <c r="A49" s="53"/>
      <c r="B49" s="18"/>
      <c r="K49" s="63"/>
      <c r="L49" s="64"/>
      <c r="T49" s="63"/>
      <c r="U49" s="64"/>
      <c r="AC49" s="63"/>
      <c r="AD49" s="64"/>
      <c r="AL49" s="63"/>
      <c r="AM49" s="64"/>
      <c r="BI49" s="63"/>
      <c r="BK49" s="54"/>
      <c r="BM49" s="4">
        <f t="shared" si="0"/>
        <v>43</v>
      </c>
    </row>
    <row r="50" spans="1:65" s="52" customFormat="1" ht="15" customHeight="1" x14ac:dyDescent="0.25">
      <c r="A50" s="53"/>
      <c r="B50" s="18"/>
      <c r="K50" s="63"/>
      <c r="L50" s="64"/>
      <c r="T50" s="63"/>
      <c r="U50" s="64"/>
      <c r="AC50" s="63"/>
      <c r="AD50" s="64"/>
      <c r="AL50" s="63"/>
      <c r="AM50" s="64"/>
      <c r="BI50" s="63"/>
      <c r="BK50" s="54"/>
      <c r="BM50" s="4">
        <f t="shared" si="0"/>
        <v>44</v>
      </c>
    </row>
    <row r="51" spans="1:65" s="52" customFormat="1" ht="15" customHeight="1" x14ac:dyDescent="0.25">
      <c r="A51" s="53"/>
      <c r="B51" s="18"/>
      <c r="K51" s="63"/>
      <c r="L51" s="64"/>
      <c r="T51" s="63"/>
      <c r="U51" s="64"/>
      <c r="AC51" s="63"/>
      <c r="AD51" s="64"/>
      <c r="AL51" s="63"/>
      <c r="AM51" s="64"/>
      <c r="BI51" s="63"/>
      <c r="BK51" s="54"/>
      <c r="BM51" s="4">
        <f t="shared" si="0"/>
        <v>45</v>
      </c>
    </row>
    <row r="52" spans="1:65" s="52" customFormat="1" ht="15" customHeight="1" x14ac:dyDescent="0.25">
      <c r="A52" s="53"/>
      <c r="B52" s="18"/>
      <c r="K52" s="63"/>
      <c r="L52" s="64"/>
      <c r="T52" s="63"/>
      <c r="U52" s="64"/>
      <c r="AC52" s="63"/>
      <c r="AD52" s="64"/>
      <c r="AL52" s="63"/>
      <c r="AM52" s="64"/>
      <c r="BI52" s="63"/>
      <c r="BK52" s="54"/>
      <c r="BM52" s="4">
        <f t="shared" si="0"/>
        <v>46</v>
      </c>
    </row>
    <row r="53" spans="1:65" s="52" customFormat="1" ht="15" customHeight="1" x14ac:dyDescent="0.25">
      <c r="A53" s="53"/>
      <c r="B53" s="18"/>
      <c r="K53" s="63"/>
      <c r="L53" s="64"/>
      <c r="T53" s="63"/>
      <c r="U53" s="64"/>
      <c r="AC53" s="63"/>
      <c r="AD53" s="64"/>
      <c r="AL53" s="63"/>
      <c r="AM53" s="64"/>
      <c r="BI53" s="63"/>
      <c r="BK53" s="54"/>
      <c r="BM53" s="4">
        <f t="shared" si="0"/>
        <v>47</v>
      </c>
    </row>
    <row r="54" spans="1:65" s="52" customFormat="1" ht="15" customHeight="1" x14ac:dyDescent="0.25">
      <c r="A54" s="53"/>
      <c r="B54" s="18"/>
      <c r="K54" s="63"/>
      <c r="L54" s="64"/>
      <c r="T54" s="63"/>
      <c r="U54" s="64"/>
      <c r="AC54" s="63"/>
      <c r="AD54" s="64"/>
      <c r="AL54" s="63"/>
      <c r="AM54" s="64"/>
      <c r="BI54" s="63"/>
      <c r="BK54" s="54"/>
      <c r="BM54" s="4">
        <f t="shared" si="0"/>
        <v>48</v>
      </c>
    </row>
    <row r="55" spans="1:65" s="52" customFormat="1" ht="15" customHeight="1" x14ac:dyDescent="0.25">
      <c r="A55" s="53"/>
      <c r="B55" s="18"/>
      <c r="K55" s="63"/>
      <c r="L55" s="64"/>
      <c r="T55" s="63"/>
      <c r="U55" s="64"/>
      <c r="AC55" s="63"/>
      <c r="AD55" s="64"/>
      <c r="AL55" s="63"/>
      <c r="AM55" s="64"/>
      <c r="BI55" s="63"/>
      <c r="BK55" s="54"/>
      <c r="BM55" s="4">
        <f t="shared" si="0"/>
        <v>49</v>
      </c>
    </row>
    <row r="56" spans="1:65" s="52" customFormat="1" ht="15" customHeight="1" x14ac:dyDescent="0.25">
      <c r="A56" s="53"/>
      <c r="B56" s="18"/>
      <c r="K56" s="63"/>
      <c r="L56" s="64"/>
      <c r="T56" s="63"/>
      <c r="U56" s="64"/>
      <c r="AC56" s="63"/>
      <c r="AD56" s="64"/>
      <c r="AL56" s="63"/>
      <c r="AM56" s="64"/>
      <c r="BI56" s="63"/>
      <c r="BK56" s="54"/>
      <c r="BM56" s="4">
        <f t="shared" si="0"/>
        <v>50</v>
      </c>
    </row>
    <row r="57" spans="1:65" s="52" customFormat="1" ht="15" customHeight="1" x14ac:dyDescent="0.25">
      <c r="A57" s="53"/>
      <c r="B57" s="18"/>
      <c r="K57" s="63"/>
      <c r="L57" s="64"/>
      <c r="T57" s="63"/>
      <c r="U57" s="64"/>
      <c r="AC57" s="63"/>
      <c r="AD57" s="64"/>
      <c r="AL57" s="63"/>
      <c r="AM57" s="64"/>
      <c r="BI57" s="63"/>
      <c r="BK57" s="54"/>
      <c r="BM57" s="4">
        <f t="shared" si="0"/>
        <v>1</v>
      </c>
    </row>
    <row r="58" spans="1:65" s="52" customFormat="1" ht="15" customHeight="1" x14ac:dyDescent="0.25">
      <c r="A58" s="53"/>
      <c r="B58" s="18"/>
      <c r="K58" s="63"/>
      <c r="L58" s="64"/>
      <c r="T58" s="63"/>
      <c r="U58" s="64"/>
      <c r="AC58" s="63"/>
      <c r="AD58" s="64"/>
      <c r="AL58" s="63"/>
      <c r="AM58" s="64"/>
      <c r="BI58" s="63"/>
      <c r="BK58" s="54"/>
      <c r="BM58" s="4">
        <f t="shared" si="0"/>
        <v>2</v>
      </c>
    </row>
    <row r="59" spans="1:65" s="52" customFormat="1" ht="15" customHeight="1" x14ac:dyDescent="0.25">
      <c r="A59" s="53"/>
      <c r="B59" s="18"/>
      <c r="K59" s="63"/>
      <c r="L59" s="64"/>
      <c r="T59" s="63"/>
      <c r="U59" s="64"/>
      <c r="AC59" s="63"/>
      <c r="AD59" s="64"/>
      <c r="AL59" s="63"/>
      <c r="AM59" s="64"/>
      <c r="BI59" s="63"/>
      <c r="BK59" s="54"/>
      <c r="BM59" s="4">
        <f t="shared" si="0"/>
        <v>3</v>
      </c>
    </row>
    <row r="60" spans="1:65" s="52" customFormat="1" ht="15" customHeight="1" x14ac:dyDescent="0.25">
      <c r="A60" s="53"/>
      <c r="B60" s="18"/>
      <c r="K60" s="63"/>
      <c r="L60" s="64"/>
      <c r="T60" s="63"/>
      <c r="U60" s="64"/>
      <c r="AC60" s="63"/>
      <c r="AD60" s="64"/>
      <c r="AL60" s="63"/>
      <c r="AM60" s="64"/>
      <c r="BI60" s="63"/>
      <c r="BK60" s="54"/>
      <c r="BM60" s="4">
        <f t="shared" si="0"/>
        <v>4</v>
      </c>
    </row>
    <row r="61" spans="1:65" s="52" customFormat="1" ht="15" customHeight="1" x14ac:dyDescent="0.25">
      <c r="A61" s="53"/>
      <c r="B61" s="18"/>
      <c r="K61" s="63"/>
      <c r="L61" s="64"/>
      <c r="T61" s="63"/>
      <c r="U61" s="64"/>
      <c r="AC61" s="63"/>
      <c r="AD61" s="64"/>
      <c r="AL61" s="63"/>
      <c r="AM61" s="64"/>
      <c r="BI61" s="63"/>
      <c r="BK61" s="54"/>
      <c r="BM61" s="4">
        <f t="shared" si="0"/>
        <v>5</v>
      </c>
    </row>
    <row r="62" spans="1:65" s="52" customFormat="1" ht="15" customHeight="1" x14ac:dyDescent="0.25">
      <c r="A62" s="53"/>
      <c r="B62" s="18"/>
      <c r="K62" s="63"/>
      <c r="L62" s="64"/>
      <c r="T62" s="63"/>
      <c r="U62" s="64"/>
      <c r="AC62" s="63"/>
      <c r="AD62" s="64"/>
      <c r="AL62" s="63"/>
      <c r="AM62" s="64"/>
      <c r="BI62" s="63"/>
      <c r="BK62" s="54"/>
      <c r="BM62" s="4">
        <f t="shared" si="0"/>
        <v>6</v>
      </c>
    </row>
    <row r="63" spans="1:65" s="52" customFormat="1" ht="15" customHeight="1" x14ac:dyDescent="0.25">
      <c r="A63" s="53"/>
      <c r="B63" s="18"/>
      <c r="K63" s="63"/>
      <c r="L63" s="64"/>
      <c r="T63" s="63"/>
      <c r="U63" s="64"/>
      <c r="AC63" s="63"/>
      <c r="AD63" s="64"/>
      <c r="AL63" s="63"/>
      <c r="AM63" s="64"/>
      <c r="BI63" s="63"/>
      <c r="BK63" s="54"/>
      <c r="BM63" s="4">
        <f t="shared" si="0"/>
        <v>7</v>
      </c>
    </row>
    <row r="64" spans="1:65" s="52" customFormat="1" ht="15" customHeight="1" x14ac:dyDescent="0.25">
      <c r="A64" s="53"/>
      <c r="B64" s="18"/>
      <c r="K64" s="63"/>
      <c r="L64" s="64"/>
      <c r="T64" s="63"/>
      <c r="U64" s="64"/>
      <c r="AC64" s="63"/>
      <c r="AD64" s="64"/>
      <c r="AL64" s="63"/>
      <c r="AM64" s="64"/>
      <c r="BI64" s="63"/>
      <c r="BK64" s="54"/>
      <c r="BM64" s="4">
        <f t="shared" si="0"/>
        <v>8</v>
      </c>
    </row>
    <row r="65" spans="1:65" s="52" customFormat="1" ht="15" customHeight="1" x14ac:dyDescent="0.25">
      <c r="A65" s="53"/>
      <c r="B65" s="18"/>
      <c r="K65" s="63"/>
      <c r="L65" s="64"/>
      <c r="T65" s="63"/>
      <c r="U65" s="64"/>
      <c r="AC65" s="63"/>
      <c r="AD65" s="64"/>
      <c r="AL65" s="63"/>
      <c r="AM65" s="64"/>
      <c r="BI65" s="63"/>
      <c r="BK65" s="54"/>
      <c r="BM65" s="4">
        <f t="shared" si="0"/>
        <v>9</v>
      </c>
    </row>
    <row r="66" spans="1:65" s="52" customFormat="1" ht="15" customHeight="1" x14ac:dyDescent="0.25">
      <c r="A66" s="53"/>
      <c r="B66" s="18"/>
      <c r="K66" s="63"/>
      <c r="L66" s="64"/>
      <c r="T66" s="63"/>
      <c r="U66" s="64"/>
      <c r="AC66" s="63"/>
      <c r="AD66" s="64"/>
      <c r="AL66" s="63"/>
      <c r="AM66" s="64"/>
      <c r="BI66" s="63"/>
      <c r="BK66" s="54"/>
      <c r="BM66" s="4">
        <f t="shared" si="0"/>
        <v>10</v>
      </c>
    </row>
    <row r="67" spans="1:65" s="52" customFormat="1" ht="15" customHeight="1" x14ac:dyDescent="0.25">
      <c r="A67" s="53"/>
      <c r="B67" s="18"/>
      <c r="K67" s="63"/>
      <c r="L67" s="64"/>
      <c r="T67" s="63"/>
      <c r="U67" s="64"/>
      <c r="AC67" s="63"/>
      <c r="AD67" s="64"/>
      <c r="AL67" s="63"/>
      <c r="AM67" s="64"/>
      <c r="BI67" s="63"/>
      <c r="BK67" s="54"/>
      <c r="BM67" s="4">
        <f t="shared" si="0"/>
        <v>11</v>
      </c>
    </row>
    <row r="68" spans="1:65" s="52" customFormat="1" ht="15" customHeight="1" x14ac:dyDescent="0.25">
      <c r="A68" s="53"/>
      <c r="B68" s="18"/>
      <c r="K68" s="63"/>
      <c r="L68" s="64"/>
      <c r="T68" s="63"/>
      <c r="U68" s="64"/>
      <c r="AC68" s="63"/>
      <c r="AD68" s="64"/>
      <c r="AL68" s="63"/>
      <c r="AM68" s="64"/>
      <c r="BI68" s="63"/>
      <c r="BK68" s="54"/>
      <c r="BM68" s="4">
        <f t="shared" si="0"/>
        <v>12</v>
      </c>
    </row>
    <row r="69" spans="1:65" s="52" customFormat="1" ht="15" customHeight="1" x14ac:dyDescent="0.25">
      <c r="A69" s="53"/>
      <c r="B69" s="18"/>
      <c r="K69" s="63"/>
      <c r="L69" s="64"/>
      <c r="T69" s="63"/>
      <c r="U69" s="64"/>
      <c r="AC69" s="63"/>
      <c r="AD69" s="64"/>
      <c r="AL69" s="63"/>
      <c r="AM69" s="64"/>
      <c r="BI69" s="63"/>
      <c r="BK69" s="54"/>
      <c r="BM69" s="4">
        <f t="shared" si="0"/>
        <v>13</v>
      </c>
    </row>
    <row r="70" spans="1:65" s="52" customFormat="1" ht="15" customHeight="1" x14ac:dyDescent="0.25">
      <c r="A70" s="53"/>
      <c r="B70" s="18"/>
      <c r="K70" s="63"/>
      <c r="L70" s="64"/>
      <c r="T70" s="63"/>
      <c r="U70" s="64"/>
      <c r="AC70" s="63"/>
      <c r="AD70" s="64"/>
      <c r="AL70" s="63"/>
      <c r="AM70" s="64"/>
      <c r="BI70" s="63"/>
      <c r="BK70" s="54"/>
      <c r="BM70" s="4">
        <f t="shared" si="0"/>
        <v>14</v>
      </c>
    </row>
    <row r="71" spans="1:65" s="52" customFormat="1" ht="15" customHeight="1" x14ac:dyDescent="0.25">
      <c r="A71" s="53"/>
      <c r="B71" s="18"/>
      <c r="K71" s="63"/>
      <c r="L71" s="64"/>
      <c r="T71" s="63"/>
      <c r="U71" s="64"/>
      <c r="AC71" s="63"/>
      <c r="AD71" s="64"/>
      <c r="AL71" s="63"/>
      <c r="AM71" s="64"/>
      <c r="BI71" s="63"/>
      <c r="BK71" s="54"/>
      <c r="BM71" s="4">
        <f t="shared" si="0"/>
        <v>15</v>
      </c>
    </row>
    <row r="72" spans="1:65" s="52" customFormat="1" ht="15" customHeight="1" x14ac:dyDescent="0.25">
      <c r="A72" s="53"/>
      <c r="B72" s="18"/>
      <c r="K72" s="63"/>
      <c r="L72" s="64"/>
      <c r="T72" s="63"/>
      <c r="U72" s="64"/>
      <c r="AC72" s="63"/>
      <c r="AD72" s="64"/>
      <c r="AL72" s="63"/>
      <c r="AM72" s="64"/>
      <c r="BI72" s="63"/>
      <c r="BK72" s="54"/>
      <c r="BM72" s="4">
        <f t="shared" si="0"/>
        <v>16</v>
      </c>
    </row>
    <row r="73" spans="1:65" s="52" customFormat="1" ht="15" customHeight="1" x14ac:dyDescent="0.25">
      <c r="A73" s="53"/>
      <c r="B73" s="18"/>
      <c r="K73" s="63"/>
      <c r="L73" s="64"/>
      <c r="T73" s="63"/>
      <c r="U73" s="64"/>
      <c r="AC73" s="63"/>
      <c r="AD73" s="64"/>
      <c r="AL73" s="63"/>
      <c r="AM73" s="64"/>
      <c r="BI73" s="63"/>
      <c r="BK73" s="54"/>
      <c r="BM73" s="4">
        <f t="shared" si="0"/>
        <v>17</v>
      </c>
    </row>
    <row r="74" spans="1:65" s="52" customFormat="1" ht="15" customHeight="1" x14ac:dyDescent="0.25">
      <c r="A74" s="53"/>
      <c r="B74" s="18"/>
      <c r="K74" s="63"/>
      <c r="L74" s="64"/>
      <c r="T74" s="63"/>
      <c r="U74" s="64"/>
      <c r="AC74" s="63"/>
      <c r="AD74" s="64"/>
      <c r="AL74" s="63"/>
      <c r="AM74" s="64"/>
      <c r="BI74" s="63"/>
      <c r="BK74" s="54"/>
      <c r="BM74" s="4">
        <f t="shared" ref="BM74:BM89" si="1">IF(BM73=50,1,BM73+1)</f>
        <v>18</v>
      </c>
    </row>
    <row r="75" spans="1:65" s="52" customFormat="1" ht="15" customHeight="1" x14ac:dyDescent="0.25">
      <c r="A75" s="53"/>
      <c r="B75" s="18"/>
      <c r="K75" s="63"/>
      <c r="L75" s="64"/>
      <c r="T75" s="63"/>
      <c r="U75" s="64"/>
      <c r="AC75" s="63"/>
      <c r="AD75" s="64"/>
      <c r="AL75" s="63"/>
      <c r="AM75" s="64"/>
      <c r="BI75" s="63"/>
      <c r="BK75" s="54"/>
      <c r="BM75" s="4">
        <f t="shared" si="1"/>
        <v>19</v>
      </c>
    </row>
    <row r="76" spans="1:65" s="52" customFormat="1" ht="15" customHeight="1" x14ac:dyDescent="0.25">
      <c r="A76" s="53"/>
      <c r="B76" s="18"/>
      <c r="K76" s="63"/>
      <c r="L76" s="64"/>
      <c r="T76" s="63"/>
      <c r="U76" s="64"/>
      <c r="AC76" s="63"/>
      <c r="AD76" s="64"/>
      <c r="AL76" s="63"/>
      <c r="AM76" s="64"/>
      <c r="BI76" s="63"/>
      <c r="BK76" s="54"/>
      <c r="BM76" s="4">
        <f t="shared" si="1"/>
        <v>20</v>
      </c>
    </row>
    <row r="77" spans="1:65" s="52" customFormat="1" ht="15" customHeight="1" x14ac:dyDescent="0.25">
      <c r="A77" s="53"/>
      <c r="B77" s="18"/>
      <c r="K77" s="63"/>
      <c r="L77" s="64"/>
      <c r="T77" s="63"/>
      <c r="U77" s="64"/>
      <c r="AC77" s="63"/>
      <c r="AD77" s="64"/>
      <c r="AL77" s="63"/>
      <c r="AM77" s="64"/>
      <c r="BI77" s="63"/>
      <c r="BK77" s="54"/>
      <c r="BM77" s="4">
        <f t="shared" si="1"/>
        <v>21</v>
      </c>
    </row>
    <row r="78" spans="1:65" s="52" customFormat="1" ht="15" customHeight="1" x14ac:dyDescent="0.25">
      <c r="A78" s="53"/>
      <c r="B78" s="18"/>
      <c r="K78" s="63"/>
      <c r="L78" s="64"/>
      <c r="T78" s="63"/>
      <c r="U78" s="64"/>
      <c r="AC78" s="63"/>
      <c r="AD78" s="64"/>
      <c r="AL78" s="63"/>
      <c r="AM78" s="64"/>
      <c r="BI78" s="63"/>
      <c r="BK78" s="54"/>
      <c r="BM78" s="4">
        <f t="shared" si="1"/>
        <v>22</v>
      </c>
    </row>
    <row r="79" spans="1:65" s="52" customFormat="1" ht="15" customHeight="1" x14ac:dyDescent="0.25">
      <c r="A79" s="53"/>
      <c r="B79" s="18"/>
      <c r="K79" s="63"/>
      <c r="L79" s="64"/>
      <c r="T79" s="63"/>
      <c r="U79" s="64"/>
      <c r="AC79" s="63"/>
      <c r="AD79" s="64"/>
      <c r="AL79" s="63"/>
      <c r="AM79" s="64"/>
      <c r="BI79" s="63"/>
      <c r="BK79" s="54"/>
      <c r="BM79" s="4">
        <f t="shared" si="1"/>
        <v>23</v>
      </c>
    </row>
    <row r="80" spans="1:65" s="52" customFormat="1" ht="15" customHeight="1" x14ac:dyDescent="0.25">
      <c r="A80" s="53"/>
      <c r="B80" s="18"/>
      <c r="K80" s="63"/>
      <c r="L80" s="64"/>
      <c r="T80" s="63"/>
      <c r="U80" s="64"/>
      <c r="AC80" s="63"/>
      <c r="AD80" s="64"/>
      <c r="AL80" s="63"/>
      <c r="AM80" s="64"/>
      <c r="BI80" s="63"/>
      <c r="BK80" s="54"/>
      <c r="BM80" s="4">
        <f t="shared" si="1"/>
        <v>24</v>
      </c>
    </row>
    <row r="81" spans="1:65" s="52" customFormat="1" ht="15" customHeight="1" x14ac:dyDescent="0.25">
      <c r="A81" s="53"/>
      <c r="B81" s="18"/>
      <c r="K81" s="63"/>
      <c r="L81" s="65"/>
      <c r="T81" s="63"/>
      <c r="U81" s="64"/>
      <c r="AC81" s="63"/>
      <c r="AD81" s="64"/>
      <c r="AL81" s="63"/>
      <c r="AM81" s="64"/>
      <c r="BI81" s="63"/>
      <c r="BK81" s="54"/>
      <c r="BM81" s="4">
        <f t="shared" si="1"/>
        <v>25</v>
      </c>
    </row>
    <row r="82" spans="1:65" s="52" customFormat="1" ht="15" customHeight="1" x14ac:dyDescent="0.25">
      <c r="A82" s="53"/>
      <c r="B82" s="18"/>
      <c r="K82" s="63"/>
      <c r="L82" s="64"/>
      <c r="T82" s="63"/>
      <c r="U82" s="64"/>
      <c r="AC82" s="63"/>
      <c r="AD82" s="64"/>
      <c r="AL82" s="63"/>
      <c r="AM82" s="64"/>
      <c r="BI82" s="63"/>
      <c r="BK82" s="54"/>
      <c r="BM82" s="4">
        <f t="shared" si="1"/>
        <v>26</v>
      </c>
    </row>
    <row r="83" spans="1:65" s="52" customFormat="1" ht="15" customHeight="1" x14ac:dyDescent="0.25">
      <c r="A83" s="53"/>
      <c r="B83" s="18"/>
      <c r="K83" s="63"/>
      <c r="L83" s="64"/>
      <c r="T83" s="63"/>
      <c r="U83" s="64"/>
      <c r="AC83" s="63"/>
      <c r="AD83" s="64"/>
      <c r="AL83" s="63"/>
      <c r="AM83" s="64"/>
      <c r="BI83" s="63"/>
      <c r="BK83" s="54"/>
      <c r="BM83" s="4">
        <f t="shared" si="1"/>
        <v>27</v>
      </c>
    </row>
    <row r="84" spans="1:65" s="52" customFormat="1" ht="15" customHeight="1" x14ac:dyDescent="0.25">
      <c r="A84" s="53"/>
      <c r="B84" s="18"/>
      <c r="K84" s="63"/>
      <c r="L84" s="66" t="s">
        <v>57</v>
      </c>
      <c r="M84" s="67"/>
      <c r="N84" s="67"/>
      <c r="O84" s="67"/>
      <c r="P84" s="67"/>
      <c r="Q84" s="67"/>
      <c r="R84" s="67"/>
      <c r="S84" s="67"/>
      <c r="T84" s="68"/>
      <c r="U84" s="66"/>
      <c r="V84" s="67"/>
      <c r="W84" s="67"/>
      <c r="X84" s="67"/>
      <c r="Y84" s="67"/>
      <c r="Z84" s="67"/>
      <c r="AA84" s="67"/>
      <c r="AB84" s="67"/>
      <c r="AC84" s="68"/>
      <c r="AD84" s="66"/>
      <c r="AE84" s="67"/>
      <c r="AF84" s="67"/>
      <c r="AG84" s="67"/>
      <c r="AH84" s="67"/>
      <c r="AI84" s="67"/>
      <c r="AJ84" s="67"/>
      <c r="AK84" s="67"/>
      <c r="AL84" s="68"/>
      <c r="AM84" s="66"/>
      <c r="AN84" s="67"/>
      <c r="BI84" s="63"/>
      <c r="BK84" s="54"/>
      <c r="BM84" s="4">
        <f t="shared" si="1"/>
        <v>28</v>
      </c>
    </row>
    <row r="85" spans="1:65" s="52" customFormat="1" ht="15" customHeight="1" x14ac:dyDescent="0.25">
      <c r="A85" s="53"/>
      <c r="B85" s="18"/>
      <c r="K85" s="63"/>
      <c r="L85" s="69" t="s">
        <v>33</v>
      </c>
      <c r="M85" s="67"/>
      <c r="N85" s="67"/>
      <c r="O85" s="67"/>
      <c r="P85" s="67"/>
      <c r="Q85" s="67"/>
      <c r="R85" s="67"/>
      <c r="S85" s="67"/>
      <c r="T85" s="68"/>
      <c r="U85" s="66"/>
      <c r="V85" s="67"/>
      <c r="W85" s="67"/>
      <c r="X85" s="67"/>
      <c r="Y85" s="67"/>
      <c r="Z85" s="67"/>
      <c r="AA85" s="67"/>
      <c r="AB85" s="67"/>
      <c r="AC85" s="68"/>
      <c r="AD85" s="66"/>
      <c r="AE85" s="67"/>
      <c r="AF85" s="67"/>
      <c r="AG85" s="67"/>
      <c r="AH85" s="67"/>
      <c r="AI85" s="67"/>
      <c r="AJ85" s="67"/>
      <c r="AK85" s="67"/>
      <c r="AL85" s="68"/>
      <c r="AM85" s="66"/>
      <c r="AN85" s="67"/>
      <c r="BI85" s="63"/>
      <c r="BK85" s="54"/>
      <c r="BM85" s="4">
        <f t="shared" si="1"/>
        <v>29</v>
      </c>
    </row>
    <row r="86" spans="1:65" s="52" customFormat="1" ht="15" customHeight="1" x14ac:dyDescent="0.25">
      <c r="A86" s="53"/>
      <c r="B86" s="18"/>
      <c r="K86" s="63"/>
      <c r="L86" s="64"/>
      <c r="T86" s="63"/>
      <c r="U86" s="64"/>
      <c r="AC86" s="63"/>
      <c r="AD86" s="64"/>
      <c r="AL86" s="63"/>
      <c r="AM86" s="64"/>
      <c r="BI86" s="63"/>
      <c r="BK86" s="54"/>
      <c r="BM86" s="4">
        <f t="shared" si="1"/>
        <v>30</v>
      </c>
    </row>
    <row r="87" spans="1:65" s="52" customFormat="1" ht="15" customHeight="1" x14ac:dyDescent="0.25">
      <c r="A87" s="53"/>
      <c r="B87" s="18"/>
      <c r="K87" s="63"/>
      <c r="L87" s="64"/>
      <c r="T87" s="63"/>
      <c r="U87" s="64"/>
      <c r="AC87" s="63"/>
      <c r="AD87" s="64"/>
      <c r="AL87" s="63"/>
      <c r="AM87" s="64"/>
      <c r="BI87" s="63"/>
      <c r="BK87" s="54"/>
      <c r="BM87" s="4">
        <f t="shared" si="1"/>
        <v>31</v>
      </c>
    </row>
    <row r="88" spans="1:65" s="52" customFormat="1" ht="15" customHeight="1" x14ac:dyDescent="0.25">
      <c r="A88" s="53"/>
      <c r="B88" s="18"/>
      <c r="L88" s="64"/>
      <c r="T88" s="63"/>
      <c r="U88" s="64"/>
      <c r="AC88" s="63"/>
      <c r="AD88" s="64"/>
      <c r="AL88" s="63"/>
      <c r="AM88" s="64"/>
      <c r="BI88" s="63"/>
      <c r="BK88" s="54"/>
      <c r="BM88" s="4">
        <f t="shared" si="1"/>
        <v>32</v>
      </c>
    </row>
    <row r="89" spans="1:65" s="52" customFormat="1" ht="15" customHeight="1" x14ac:dyDescent="0.25">
      <c r="A89" s="56"/>
      <c r="B89" s="19"/>
      <c r="C89" s="57"/>
      <c r="D89" s="57"/>
      <c r="E89" s="57"/>
      <c r="F89" s="57"/>
      <c r="G89" s="57"/>
      <c r="H89" s="57"/>
      <c r="I89" s="57"/>
      <c r="J89" s="57"/>
      <c r="K89" s="70"/>
      <c r="L89" s="71"/>
      <c r="M89" s="57"/>
      <c r="N89" s="57"/>
      <c r="O89" s="57"/>
      <c r="P89" s="57"/>
      <c r="Q89" s="57"/>
      <c r="R89" s="57"/>
      <c r="S89" s="57"/>
      <c r="T89" s="70"/>
      <c r="U89" s="71"/>
      <c r="V89" s="57"/>
      <c r="W89" s="57"/>
      <c r="X89" s="57"/>
      <c r="Y89" s="57"/>
      <c r="Z89" s="57"/>
      <c r="AA89" s="57"/>
      <c r="AB89" s="57"/>
      <c r="AC89" s="70"/>
      <c r="AD89" s="71"/>
      <c r="AE89" s="57"/>
      <c r="AF89" s="57"/>
      <c r="AG89" s="57"/>
      <c r="AH89" s="57"/>
      <c r="AI89" s="57"/>
      <c r="AJ89" s="57"/>
      <c r="AK89" s="57"/>
      <c r="AL89" s="70"/>
      <c r="AM89" s="71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70"/>
      <c r="BJ89" s="57"/>
      <c r="BK89" s="58"/>
      <c r="BM89" s="4">
        <f t="shared" si="1"/>
        <v>33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7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63" t="s">
        <v>37</v>
      </c>
      <c r="B1" s="264"/>
      <c r="C1" s="264"/>
      <c r="D1" s="264"/>
      <c r="E1" s="264"/>
      <c r="F1" s="264"/>
      <c r="G1" s="264"/>
      <c r="H1" s="264"/>
      <c r="I1" s="264"/>
      <c r="J1" s="265"/>
      <c r="K1" s="263" t="s">
        <v>38</v>
      </c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5"/>
      <c r="W1" s="294" t="str">
        <f>IF(表紙!W1="","",表紙!W1)</f>
        <v>基本設計書</v>
      </c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6"/>
      <c r="AP1" s="81" t="s">
        <v>40</v>
      </c>
      <c r="AQ1" s="82"/>
      <c r="AR1" s="82"/>
      <c r="AS1" s="83"/>
      <c r="AT1" s="81" t="s">
        <v>41</v>
      </c>
      <c r="AU1" s="82"/>
      <c r="AV1" s="82"/>
      <c r="AW1" s="82"/>
      <c r="AX1" s="83"/>
      <c r="AY1" s="81" t="s">
        <v>42</v>
      </c>
      <c r="AZ1" s="82"/>
      <c r="BA1" s="82"/>
      <c r="BB1" s="83"/>
      <c r="BC1" s="81" t="s">
        <v>43</v>
      </c>
      <c r="BD1" s="82"/>
      <c r="BE1" s="82"/>
      <c r="BF1" s="82"/>
      <c r="BG1" s="83"/>
      <c r="BH1" s="81" t="s">
        <v>44</v>
      </c>
      <c r="BI1" s="82"/>
      <c r="BJ1" s="82"/>
      <c r="BK1" s="83"/>
    </row>
    <row r="2" spans="1:63" ht="15" customHeight="1" x14ac:dyDescent="0.25">
      <c r="A2" s="288" t="str">
        <f>IF(表紙!A2="","",表紙!A2)</f>
        <v>POSサーバー</v>
      </c>
      <c r="B2" s="289"/>
      <c r="C2" s="289"/>
      <c r="D2" s="289"/>
      <c r="E2" s="289"/>
      <c r="F2" s="289"/>
      <c r="G2" s="289"/>
      <c r="H2" s="289"/>
      <c r="I2" s="289"/>
      <c r="J2" s="290"/>
      <c r="K2" s="288" t="str">
        <f>IF(表紙!K2="","",表紙!K2)</f>
        <v>POSサーバー</v>
      </c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90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9"/>
      <c r="AP2" s="84" t="str">
        <f>IF(表紙!AP2="","",表紙!AP2)</f>
        <v>AnhDD</v>
      </c>
      <c r="AQ2" s="85"/>
      <c r="AR2" s="85"/>
      <c r="AS2" s="86"/>
      <c r="AT2" s="111">
        <f>IF(表紙!AT2="","",表紙!AT2)</f>
        <v>45425</v>
      </c>
      <c r="AU2" s="112"/>
      <c r="AV2" s="112"/>
      <c r="AW2" s="112"/>
      <c r="AX2" s="113"/>
      <c r="AY2" s="84" t="str">
        <f>IF(表紙!AY2="","",表紙!AY2)</f>
        <v>AnhDD</v>
      </c>
      <c r="AZ2" s="85"/>
      <c r="BA2" s="85"/>
      <c r="BB2" s="86"/>
      <c r="BC2" s="111">
        <f>IF(表紙!BC2="","",表紙!BC2)</f>
        <v>45425</v>
      </c>
      <c r="BD2" s="112"/>
      <c r="BE2" s="112"/>
      <c r="BF2" s="112"/>
      <c r="BG2" s="113"/>
      <c r="BH2" s="84">
        <f>IF(表紙!BH2="","",表紙!BH2)</f>
        <v>0.1</v>
      </c>
      <c r="BI2" s="85"/>
      <c r="BJ2" s="85"/>
      <c r="BK2" s="86"/>
    </row>
    <row r="3" spans="1:63" ht="15" customHeight="1" x14ac:dyDescent="0.25">
      <c r="A3" s="291"/>
      <c r="B3" s="292"/>
      <c r="C3" s="292"/>
      <c r="D3" s="292"/>
      <c r="E3" s="292"/>
      <c r="F3" s="292"/>
      <c r="G3" s="292"/>
      <c r="H3" s="292"/>
      <c r="I3" s="292"/>
      <c r="J3" s="293"/>
      <c r="K3" s="291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3"/>
      <c r="W3" s="300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2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263" t="s">
        <v>46</v>
      </c>
      <c r="B4" s="264"/>
      <c r="C4" s="264"/>
      <c r="D4" s="264"/>
      <c r="E4" s="264"/>
      <c r="F4" s="264"/>
      <c r="G4" s="265"/>
      <c r="H4" s="266" t="str">
        <f>IF(表紙!H4="","",表紙!H4)</f>
        <v>14_テナント売上速報/日報</v>
      </c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8"/>
      <c r="U4" s="263" t="s">
        <v>47</v>
      </c>
      <c r="V4" s="264"/>
      <c r="W4" s="264"/>
      <c r="X4" s="264"/>
      <c r="Y4" s="265"/>
      <c r="Z4" s="266" t="str">
        <f>IF(表紙!Z4="","",表紙!Z4)</f>
        <v>概要設計書</v>
      </c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8"/>
      <c r="AP4" s="269" t="str">
        <f ca="1">MID(CELL("filename",A1),FIND("]",CELL("filename",A1))+1,255)</f>
        <v>画面設計書</v>
      </c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8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72" t="s">
        <v>16</v>
      </c>
      <c r="C7" s="72"/>
      <c r="D7" s="72"/>
      <c r="E7" s="72"/>
      <c r="F7" s="72"/>
      <c r="G7" s="72"/>
      <c r="H7" s="72"/>
      <c r="I7" s="72"/>
      <c r="J7" s="72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60</v>
      </c>
      <c r="BK35" s="9"/>
    </row>
    <row r="36" spans="1:63" x14ac:dyDescent="0.25">
      <c r="BK36" s="9"/>
    </row>
    <row r="37" spans="1:63" ht="15.75" customHeight="1" x14ac:dyDescent="0.25">
      <c r="B37" s="270" t="s">
        <v>61</v>
      </c>
      <c r="C37" s="271"/>
      <c r="D37" s="276" t="s">
        <v>62</v>
      </c>
      <c r="E37" s="277"/>
      <c r="F37" s="277"/>
      <c r="G37" s="277"/>
      <c r="H37" s="277"/>
      <c r="I37" s="277"/>
      <c r="J37" s="271"/>
      <c r="K37" s="276" t="s">
        <v>63</v>
      </c>
      <c r="L37" s="277"/>
      <c r="M37" s="271"/>
      <c r="N37" s="280" t="s">
        <v>17</v>
      </c>
      <c r="O37" s="283" t="s">
        <v>64</v>
      </c>
      <c r="P37" s="224" t="s">
        <v>65</v>
      </c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6"/>
      <c r="AR37" s="227" t="s">
        <v>66</v>
      </c>
      <c r="AS37" s="228"/>
      <c r="AT37" s="228"/>
      <c r="AU37" s="228"/>
      <c r="AV37" s="228"/>
      <c r="AW37" s="228"/>
      <c r="AX37" s="228"/>
      <c r="AY37" s="228"/>
      <c r="AZ37" s="228"/>
      <c r="BA37" s="228"/>
      <c r="BB37" s="229"/>
      <c r="BC37" s="230" t="s">
        <v>67</v>
      </c>
      <c r="BD37" s="231"/>
      <c r="BE37" s="231"/>
      <c r="BF37" s="231"/>
      <c r="BG37" s="231"/>
      <c r="BH37" s="231"/>
      <c r="BI37" s="231"/>
      <c r="BJ37" s="232"/>
      <c r="BK37" s="9"/>
    </row>
    <row r="38" spans="1:63" ht="15.75" customHeight="1" x14ac:dyDescent="0.25">
      <c r="B38" s="272"/>
      <c r="C38" s="273"/>
      <c r="D38" s="272"/>
      <c r="E38" s="278"/>
      <c r="F38" s="278"/>
      <c r="G38" s="278"/>
      <c r="H38" s="278"/>
      <c r="I38" s="278"/>
      <c r="J38" s="273"/>
      <c r="K38" s="272"/>
      <c r="L38" s="278"/>
      <c r="M38" s="273"/>
      <c r="N38" s="281"/>
      <c r="O38" s="284"/>
      <c r="P38" s="239" t="s">
        <v>68</v>
      </c>
      <c r="Q38" s="240"/>
      <c r="R38" s="240"/>
      <c r="S38" s="240"/>
      <c r="T38" s="240"/>
      <c r="U38" s="240"/>
      <c r="V38" s="240"/>
      <c r="W38" s="241"/>
      <c r="X38" s="242" t="s">
        <v>69</v>
      </c>
      <c r="Y38" s="243"/>
      <c r="Z38" s="244"/>
      <c r="AA38" s="242" t="s">
        <v>70</v>
      </c>
      <c r="AB38" s="243"/>
      <c r="AC38" s="243"/>
      <c r="AD38" s="243"/>
      <c r="AE38" s="243"/>
      <c r="AF38" s="243"/>
      <c r="AG38" s="243"/>
      <c r="AH38" s="244"/>
      <c r="AI38" s="242" t="s">
        <v>71</v>
      </c>
      <c r="AJ38" s="243"/>
      <c r="AK38" s="243"/>
      <c r="AL38" s="243"/>
      <c r="AM38" s="243"/>
      <c r="AN38" s="243"/>
      <c r="AO38" s="243"/>
      <c r="AP38" s="243"/>
      <c r="AQ38" s="244"/>
      <c r="AR38" s="248" t="s">
        <v>18</v>
      </c>
      <c r="AS38" s="250" t="s">
        <v>72</v>
      </c>
      <c r="AT38" s="252" t="s">
        <v>73</v>
      </c>
      <c r="AU38" s="227" t="s">
        <v>68</v>
      </c>
      <c r="AV38" s="228"/>
      <c r="AW38" s="228"/>
      <c r="AX38" s="228"/>
      <c r="AY38" s="228"/>
      <c r="AZ38" s="228"/>
      <c r="BA38" s="228"/>
      <c r="BB38" s="229"/>
      <c r="BC38" s="233"/>
      <c r="BD38" s="234"/>
      <c r="BE38" s="234"/>
      <c r="BF38" s="234"/>
      <c r="BG38" s="234"/>
      <c r="BH38" s="234"/>
      <c r="BI38" s="234"/>
      <c r="BJ38" s="235"/>
      <c r="BK38" s="9"/>
    </row>
    <row r="39" spans="1:63" x14ac:dyDescent="0.25">
      <c r="B39" s="274"/>
      <c r="C39" s="275"/>
      <c r="D39" s="274"/>
      <c r="E39" s="279"/>
      <c r="F39" s="279"/>
      <c r="G39" s="279"/>
      <c r="H39" s="279"/>
      <c r="I39" s="279"/>
      <c r="J39" s="275"/>
      <c r="K39" s="274"/>
      <c r="L39" s="279"/>
      <c r="M39" s="275"/>
      <c r="N39" s="282"/>
      <c r="O39" s="285"/>
      <c r="P39" s="224" t="s">
        <v>74</v>
      </c>
      <c r="Q39" s="225"/>
      <c r="R39" s="225"/>
      <c r="S39" s="226"/>
      <c r="T39" s="224" t="s">
        <v>62</v>
      </c>
      <c r="U39" s="225"/>
      <c r="V39" s="225"/>
      <c r="W39" s="226"/>
      <c r="X39" s="245"/>
      <c r="Y39" s="246"/>
      <c r="Z39" s="247"/>
      <c r="AA39" s="245"/>
      <c r="AB39" s="246"/>
      <c r="AC39" s="246"/>
      <c r="AD39" s="246"/>
      <c r="AE39" s="246"/>
      <c r="AF39" s="246"/>
      <c r="AG39" s="246"/>
      <c r="AH39" s="247"/>
      <c r="AI39" s="245"/>
      <c r="AJ39" s="246"/>
      <c r="AK39" s="246"/>
      <c r="AL39" s="246"/>
      <c r="AM39" s="246"/>
      <c r="AN39" s="246"/>
      <c r="AO39" s="246"/>
      <c r="AP39" s="246"/>
      <c r="AQ39" s="247"/>
      <c r="AR39" s="249"/>
      <c r="AS39" s="251"/>
      <c r="AT39" s="253"/>
      <c r="AU39" s="227" t="s">
        <v>74</v>
      </c>
      <c r="AV39" s="228"/>
      <c r="AW39" s="228"/>
      <c r="AX39" s="286"/>
      <c r="AY39" s="287" t="s">
        <v>62</v>
      </c>
      <c r="AZ39" s="228"/>
      <c r="BA39" s="228"/>
      <c r="BB39" s="229"/>
      <c r="BC39" s="236"/>
      <c r="BD39" s="237"/>
      <c r="BE39" s="237"/>
      <c r="BF39" s="237"/>
      <c r="BG39" s="237"/>
      <c r="BH39" s="237"/>
      <c r="BI39" s="237"/>
      <c r="BJ39" s="238"/>
      <c r="BK39" s="9"/>
    </row>
    <row r="40" spans="1:63" ht="15.75" customHeight="1" x14ac:dyDescent="0.25">
      <c r="B40" s="217">
        <v>1</v>
      </c>
      <c r="C40" s="218"/>
      <c r="D40" s="219"/>
      <c r="E40" s="220"/>
      <c r="F40" s="220"/>
      <c r="G40" s="220"/>
      <c r="H40" s="220"/>
      <c r="I40" s="220"/>
      <c r="J40" s="221"/>
      <c r="K40" s="200" t="s">
        <v>19</v>
      </c>
      <c r="L40" s="201"/>
      <c r="M40" s="202"/>
      <c r="N40" s="11" t="s">
        <v>20</v>
      </c>
      <c r="O40" s="12" t="s">
        <v>21</v>
      </c>
      <c r="P40" s="222" t="s">
        <v>20</v>
      </c>
      <c r="Q40" s="223"/>
      <c r="R40" s="223"/>
      <c r="S40" s="218"/>
      <c r="T40" s="222" t="s">
        <v>20</v>
      </c>
      <c r="U40" s="223"/>
      <c r="V40" s="223"/>
      <c r="W40" s="218"/>
      <c r="X40" s="254" t="s">
        <v>58</v>
      </c>
      <c r="Y40" s="255"/>
      <c r="Z40" s="256"/>
      <c r="AA40" s="217" t="s">
        <v>22</v>
      </c>
      <c r="AB40" s="223"/>
      <c r="AC40" s="223"/>
      <c r="AD40" s="223"/>
      <c r="AE40" s="223"/>
      <c r="AF40" s="223"/>
      <c r="AG40" s="223"/>
      <c r="AH40" s="218"/>
      <c r="AI40" s="257" t="s">
        <v>20</v>
      </c>
      <c r="AJ40" s="258"/>
      <c r="AK40" s="258"/>
      <c r="AL40" s="258"/>
      <c r="AM40" s="258"/>
      <c r="AN40" s="258"/>
      <c r="AO40" s="258"/>
      <c r="AP40" s="258"/>
      <c r="AQ40" s="259"/>
      <c r="AR40" s="13" t="s">
        <v>20</v>
      </c>
      <c r="AS40" s="13" t="s">
        <v>22</v>
      </c>
      <c r="AT40" s="13" t="s">
        <v>22</v>
      </c>
      <c r="AU40" s="217" t="s">
        <v>23</v>
      </c>
      <c r="AV40" s="223"/>
      <c r="AW40" s="223"/>
      <c r="AX40" s="218"/>
      <c r="AY40" s="217" t="s">
        <v>22</v>
      </c>
      <c r="AZ40" s="223"/>
      <c r="BA40" s="223"/>
      <c r="BB40" s="218"/>
      <c r="BC40" s="260"/>
      <c r="BD40" s="261"/>
      <c r="BE40" s="261"/>
      <c r="BF40" s="261"/>
      <c r="BG40" s="261"/>
      <c r="BH40" s="261"/>
      <c r="BI40" s="261"/>
      <c r="BJ40" s="262"/>
      <c r="BK40" s="9"/>
    </row>
    <row r="41" spans="1:63" x14ac:dyDescent="0.25">
      <c r="B41" s="187">
        <v>2</v>
      </c>
      <c r="C41" s="186"/>
      <c r="D41" s="214"/>
      <c r="E41" s="215"/>
      <c r="F41" s="215"/>
      <c r="G41" s="215"/>
      <c r="H41" s="215"/>
      <c r="I41" s="215"/>
      <c r="J41" s="216"/>
      <c r="K41" s="200" t="s">
        <v>19</v>
      </c>
      <c r="L41" s="201"/>
      <c r="M41" s="202"/>
      <c r="N41" s="12" t="s">
        <v>24</v>
      </c>
      <c r="O41" s="12" t="s">
        <v>21</v>
      </c>
      <c r="P41" s="187" t="s">
        <v>23</v>
      </c>
      <c r="Q41" s="185"/>
      <c r="R41" s="185"/>
      <c r="S41" s="186"/>
      <c r="T41" s="187" t="s">
        <v>23</v>
      </c>
      <c r="U41" s="185"/>
      <c r="V41" s="185"/>
      <c r="W41" s="186"/>
      <c r="X41" s="210" t="s">
        <v>75</v>
      </c>
      <c r="Y41" s="211"/>
      <c r="Z41" s="212"/>
      <c r="AA41" s="187" t="s">
        <v>22</v>
      </c>
      <c r="AB41" s="185"/>
      <c r="AC41" s="185"/>
      <c r="AD41" s="185"/>
      <c r="AE41" s="185"/>
      <c r="AF41" s="185"/>
      <c r="AG41" s="185"/>
      <c r="AH41" s="186"/>
      <c r="AI41" s="188" t="s">
        <v>22</v>
      </c>
      <c r="AJ41" s="189"/>
      <c r="AK41" s="189"/>
      <c r="AL41" s="189"/>
      <c r="AM41" s="189"/>
      <c r="AN41" s="189"/>
      <c r="AO41" s="189"/>
      <c r="AP41" s="189"/>
      <c r="AQ41" s="190"/>
      <c r="AR41" s="14" t="s">
        <v>20</v>
      </c>
      <c r="AS41" s="14" t="s">
        <v>22</v>
      </c>
      <c r="AT41" s="14" t="s">
        <v>22</v>
      </c>
      <c r="AU41" s="187" t="s">
        <v>23</v>
      </c>
      <c r="AV41" s="185"/>
      <c r="AW41" s="185"/>
      <c r="AX41" s="186"/>
      <c r="AY41" s="187" t="s">
        <v>22</v>
      </c>
      <c r="AZ41" s="185"/>
      <c r="BA41" s="185"/>
      <c r="BB41" s="186"/>
      <c r="BC41" s="209"/>
      <c r="BD41" s="192"/>
      <c r="BE41" s="192"/>
      <c r="BF41" s="192"/>
      <c r="BG41" s="192"/>
      <c r="BH41" s="192"/>
      <c r="BI41" s="192"/>
      <c r="BJ41" s="193"/>
      <c r="BK41" s="9"/>
    </row>
    <row r="42" spans="1:63" x14ac:dyDescent="0.25">
      <c r="B42" s="187">
        <v>3</v>
      </c>
      <c r="C42" s="186"/>
      <c r="D42" s="197"/>
      <c r="E42" s="198"/>
      <c r="F42" s="198"/>
      <c r="G42" s="198"/>
      <c r="H42" s="198"/>
      <c r="I42" s="198"/>
      <c r="J42" s="199"/>
      <c r="K42" s="200" t="s">
        <v>19</v>
      </c>
      <c r="L42" s="201"/>
      <c r="M42" s="202"/>
      <c r="N42" s="12" t="s">
        <v>25</v>
      </c>
      <c r="O42" s="12" t="s">
        <v>20</v>
      </c>
      <c r="P42" s="213" t="s">
        <v>20</v>
      </c>
      <c r="Q42" s="185"/>
      <c r="R42" s="185"/>
      <c r="S42" s="186"/>
      <c r="T42" s="187"/>
      <c r="U42" s="185"/>
      <c r="V42" s="185"/>
      <c r="W42" s="186"/>
      <c r="X42" s="206" t="s">
        <v>20</v>
      </c>
      <c r="Y42" s="207"/>
      <c r="Z42" s="208"/>
      <c r="AA42" s="187" t="s">
        <v>22</v>
      </c>
      <c r="AB42" s="185"/>
      <c r="AC42" s="185"/>
      <c r="AD42" s="185"/>
      <c r="AE42" s="185"/>
      <c r="AF42" s="185"/>
      <c r="AG42" s="185"/>
      <c r="AH42" s="186"/>
      <c r="AI42" s="188" t="s">
        <v>22</v>
      </c>
      <c r="AJ42" s="189"/>
      <c r="AK42" s="189"/>
      <c r="AL42" s="189"/>
      <c r="AM42" s="189"/>
      <c r="AN42" s="189"/>
      <c r="AO42" s="189"/>
      <c r="AP42" s="189"/>
      <c r="AQ42" s="190"/>
      <c r="AR42" s="14" t="s">
        <v>20</v>
      </c>
      <c r="AS42" s="14" t="s">
        <v>22</v>
      </c>
      <c r="AT42" s="14" t="s">
        <v>22</v>
      </c>
      <c r="AU42" s="187" t="s">
        <v>23</v>
      </c>
      <c r="AV42" s="185"/>
      <c r="AW42" s="185"/>
      <c r="AX42" s="186"/>
      <c r="AY42" s="187" t="s">
        <v>22</v>
      </c>
      <c r="AZ42" s="185"/>
      <c r="BA42" s="185"/>
      <c r="BB42" s="186"/>
      <c r="BC42" s="191"/>
      <c r="BD42" s="192"/>
      <c r="BE42" s="192"/>
      <c r="BF42" s="192"/>
      <c r="BG42" s="192"/>
      <c r="BH42" s="192"/>
      <c r="BI42" s="192"/>
      <c r="BJ42" s="193"/>
      <c r="BK42" s="9"/>
    </row>
    <row r="43" spans="1:63" x14ac:dyDescent="0.25">
      <c r="B43" s="187">
        <v>4</v>
      </c>
      <c r="C43" s="186"/>
      <c r="D43" s="203"/>
      <c r="E43" s="204"/>
      <c r="F43" s="204"/>
      <c r="G43" s="204"/>
      <c r="H43" s="204"/>
      <c r="I43" s="204"/>
      <c r="J43" s="205"/>
      <c r="K43" s="200" t="s">
        <v>19</v>
      </c>
      <c r="L43" s="201"/>
      <c r="M43" s="202"/>
      <c r="N43" s="15" t="s">
        <v>24</v>
      </c>
      <c r="O43" s="12" t="s">
        <v>21</v>
      </c>
      <c r="P43" s="187" t="s">
        <v>23</v>
      </c>
      <c r="Q43" s="185"/>
      <c r="R43" s="185"/>
      <c r="S43" s="186"/>
      <c r="T43" s="187" t="s">
        <v>23</v>
      </c>
      <c r="U43" s="185"/>
      <c r="V43" s="185"/>
      <c r="W43" s="186"/>
      <c r="X43" s="184" t="s">
        <v>59</v>
      </c>
      <c r="Y43" s="185"/>
      <c r="Z43" s="186"/>
      <c r="AA43" s="187" t="s">
        <v>22</v>
      </c>
      <c r="AB43" s="185"/>
      <c r="AC43" s="185"/>
      <c r="AD43" s="185"/>
      <c r="AE43" s="185"/>
      <c r="AF43" s="185"/>
      <c r="AG43" s="185"/>
      <c r="AH43" s="186"/>
      <c r="AI43" s="188" t="s">
        <v>22</v>
      </c>
      <c r="AJ43" s="189"/>
      <c r="AK43" s="189"/>
      <c r="AL43" s="189"/>
      <c r="AM43" s="189"/>
      <c r="AN43" s="189"/>
      <c r="AO43" s="189"/>
      <c r="AP43" s="189"/>
      <c r="AQ43" s="190"/>
      <c r="AR43" s="14" t="s">
        <v>20</v>
      </c>
      <c r="AS43" s="14" t="s">
        <v>22</v>
      </c>
      <c r="AT43" s="14" t="s">
        <v>22</v>
      </c>
      <c r="AU43" s="187" t="s">
        <v>23</v>
      </c>
      <c r="AV43" s="185"/>
      <c r="AW43" s="185"/>
      <c r="AX43" s="186"/>
      <c r="AY43" s="187" t="s">
        <v>22</v>
      </c>
      <c r="AZ43" s="185"/>
      <c r="BA43" s="185"/>
      <c r="BB43" s="186"/>
      <c r="BC43" s="194"/>
      <c r="BD43" s="195"/>
      <c r="BE43" s="195"/>
      <c r="BF43" s="195"/>
      <c r="BG43" s="195"/>
      <c r="BH43" s="195"/>
      <c r="BI43" s="195"/>
      <c r="BJ43" s="196"/>
      <c r="BK43" s="9"/>
    </row>
    <row r="44" spans="1:63" x14ac:dyDescent="0.25">
      <c r="B44" s="187">
        <v>5</v>
      </c>
      <c r="C44" s="186"/>
      <c r="D44" s="197"/>
      <c r="E44" s="198"/>
      <c r="F44" s="198"/>
      <c r="G44" s="198"/>
      <c r="H44" s="198"/>
      <c r="I44" s="198"/>
      <c r="J44" s="199"/>
      <c r="K44" s="200" t="s">
        <v>26</v>
      </c>
      <c r="L44" s="201"/>
      <c r="M44" s="202"/>
      <c r="N44" s="15" t="s">
        <v>25</v>
      </c>
      <c r="O44" s="12" t="s">
        <v>20</v>
      </c>
      <c r="P44" s="187" t="s">
        <v>23</v>
      </c>
      <c r="Q44" s="185"/>
      <c r="R44" s="185"/>
      <c r="S44" s="186"/>
      <c r="T44" s="187" t="s">
        <v>23</v>
      </c>
      <c r="U44" s="185"/>
      <c r="V44" s="185"/>
      <c r="W44" s="186"/>
      <c r="X44" s="184" t="s">
        <v>20</v>
      </c>
      <c r="Y44" s="185"/>
      <c r="Z44" s="186"/>
      <c r="AA44" s="187" t="s">
        <v>22</v>
      </c>
      <c r="AB44" s="185"/>
      <c r="AC44" s="185"/>
      <c r="AD44" s="185"/>
      <c r="AE44" s="185"/>
      <c r="AF44" s="185"/>
      <c r="AG44" s="185"/>
      <c r="AH44" s="186"/>
      <c r="AI44" s="188" t="s">
        <v>22</v>
      </c>
      <c r="AJ44" s="189"/>
      <c r="AK44" s="189"/>
      <c r="AL44" s="189"/>
      <c r="AM44" s="189"/>
      <c r="AN44" s="189"/>
      <c r="AO44" s="189"/>
      <c r="AP44" s="189"/>
      <c r="AQ44" s="190"/>
      <c r="AR44" s="14" t="s">
        <v>20</v>
      </c>
      <c r="AS44" s="14" t="s">
        <v>22</v>
      </c>
      <c r="AT44" s="14" t="s">
        <v>22</v>
      </c>
      <c r="AU44" s="187" t="s">
        <v>23</v>
      </c>
      <c r="AV44" s="185"/>
      <c r="AW44" s="185"/>
      <c r="AX44" s="186"/>
      <c r="AY44" s="187" t="s">
        <v>22</v>
      </c>
      <c r="AZ44" s="185"/>
      <c r="BA44" s="185"/>
      <c r="BB44" s="186"/>
      <c r="BC44" s="191"/>
      <c r="BD44" s="192"/>
      <c r="BE44" s="192"/>
      <c r="BF44" s="192"/>
      <c r="BG44" s="192"/>
      <c r="BH44" s="192"/>
      <c r="BI44" s="192"/>
      <c r="BJ44" s="193"/>
      <c r="BK44" s="9"/>
    </row>
    <row r="45" spans="1:63" x14ac:dyDescent="0.25">
      <c r="B45" s="166">
        <v>6</v>
      </c>
      <c r="C45" s="168"/>
      <c r="D45" s="175"/>
      <c r="E45" s="176"/>
      <c r="F45" s="176"/>
      <c r="G45" s="176"/>
      <c r="H45" s="176"/>
      <c r="I45" s="176"/>
      <c r="J45" s="177"/>
      <c r="K45" s="178" t="s">
        <v>27</v>
      </c>
      <c r="L45" s="179"/>
      <c r="M45" s="180"/>
      <c r="N45" s="16" t="s">
        <v>25</v>
      </c>
      <c r="O45" s="16" t="s">
        <v>21</v>
      </c>
      <c r="P45" s="166" t="s">
        <v>23</v>
      </c>
      <c r="Q45" s="167"/>
      <c r="R45" s="167"/>
      <c r="S45" s="168"/>
      <c r="T45" s="166" t="s">
        <v>23</v>
      </c>
      <c r="U45" s="167"/>
      <c r="V45" s="167"/>
      <c r="W45" s="168"/>
      <c r="X45" s="181" t="s">
        <v>76</v>
      </c>
      <c r="Y45" s="182"/>
      <c r="Z45" s="183"/>
      <c r="AA45" s="166" t="s">
        <v>22</v>
      </c>
      <c r="AB45" s="167"/>
      <c r="AC45" s="167"/>
      <c r="AD45" s="167"/>
      <c r="AE45" s="167"/>
      <c r="AF45" s="167"/>
      <c r="AG45" s="167"/>
      <c r="AH45" s="168"/>
      <c r="AI45" s="169" t="s">
        <v>28</v>
      </c>
      <c r="AJ45" s="170"/>
      <c r="AK45" s="170"/>
      <c r="AL45" s="170"/>
      <c r="AM45" s="170"/>
      <c r="AN45" s="170"/>
      <c r="AO45" s="170"/>
      <c r="AP45" s="170"/>
      <c r="AQ45" s="171"/>
      <c r="AR45" s="17" t="s">
        <v>20</v>
      </c>
      <c r="AS45" s="17" t="s">
        <v>22</v>
      </c>
      <c r="AT45" s="17" t="s">
        <v>22</v>
      </c>
      <c r="AU45" s="166" t="s">
        <v>23</v>
      </c>
      <c r="AV45" s="167"/>
      <c r="AW45" s="167"/>
      <c r="AX45" s="168"/>
      <c r="AY45" s="166" t="s">
        <v>22</v>
      </c>
      <c r="AZ45" s="167"/>
      <c r="BA45" s="167"/>
      <c r="BB45" s="168"/>
      <c r="BC45" s="172" t="s">
        <v>29</v>
      </c>
      <c r="BD45" s="173"/>
      <c r="BE45" s="173"/>
      <c r="BF45" s="173"/>
      <c r="BG45" s="173"/>
      <c r="BH45" s="173"/>
      <c r="BI45" s="173"/>
      <c r="BJ45" s="174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" customWidth="1"/>
    <col min="61" max="16384" width="2.77734375" style="20"/>
  </cols>
  <sheetData>
    <row r="1" spans="1:63" ht="24.95" customHeight="1" x14ac:dyDescent="0.25">
      <c r="A1" s="263" t="s">
        <v>37</v>
      </c>
      <c r="B1" s="264"/>
      <c r="C1" s="264"/>
      <c r="D1" s="264"/>
      <c r="E1" s="264"/>
      <c r="F1" s="264"/>
      <c r="G1" s="264"/>
      <c r="H1" s="264"/>
      <c r="I1" s="264"/>
      <c r="J1" s="265"/>
      <c r="K1" s="263" t="s">
        <v>38</v>
      </c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5"/>
      <c r="W1" s="294" t="str">
        <f>IF(表紙!W1="","",表紙!W1)</f>
        <v>基本設計書</v>
      </c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6"/>
      <c r="AP1" s="81" t="s">
        <v>40</v>
      </c>
      <c r="AQ1" s="82"/>
      <c r="AR1" s="82"/>
      <c r="AS1" s="83"/>
      <c r="AT1" s="81" t="s">
        <v>41</v>
      </c>
      <c r="AU1" s="82"/>
      <c r="AV1" s="82"/>
      <c r="AW1" s="82"/>
      <c r="AX1" s="83"/>
      <c r="AY1" s="81" t="s">
        <v>42</v>
      </c>
      <c r="AZ1" s="82"/>
      <c r="BA1" s="82"/>
      <c r="BB1" s="83"/>
      <c r="BC1" s="81" t="s">
        <v>43</v>
      </c>
      <c r="BD1" s="82"/>
      <c r="BE1" s="82"/>
      <c r="BF1" s="82"/>
      <c r="BG1" s="83"/>
      <c r="BH1" s="81" t="s">
        <v>44</v>
      </c>
      <c r="BI1" s="82"/>
      <c r="BJ1" s="82"/>
      <c r="BK1" s="83"/>
    </row>
    <row r="2" spans="1:63" ht="15" customHeight="1" x14ac:dyDescent="0.25">
      <c r="A2" s="288" t="str">
        <f>IF(表紙!A2="","",表紙!A2)</f>
        <v>POSサーバー</v>
      </c>
      <c r="B2" s="289"/>
      <c r="C2" s="289"/>
      <c r="D2" s="289"/>
      <c r="E2" s="289"/>
      <c r="F2" s="289"/>
      <c r="G2" s="289"/>
      <c r="H2" s="289"/>
      <c r="I2" s="289"/>
      <c r="J2" s="290"/>
      <c r="K2" s="288" t="str">
        <f>IF(表紙!K2="","",表紙!K2)</f>
        <v>POSサーバー</v>
      </c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90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9"/>
      <c r="AP2" s="84" t="str">
        <f>IF(表紙!AP2="","",表紙!AP2)</f>
        <v>AnhDD</v>
      </c>
      <c r="AQ2" s="85"/>
      <c r="AR2" s="85"/>
      <c r="AS2" s="86"/>
      <c r="AT2" s="111">
        <f>IF(表紙!AT2="","",表紙!AT2)</f>
        <v>45425</v>
      </c>
      <c r="AU2" s="112"/>
      <c r="AV2" s="112"/>
      <c r="AW2" s="112"/>
      <c r="AX2" s="113"/>
      <c r="AY2" s="84" t="str">
        <f>IF(表紙!AY2="","",表紙!AY2)</f>
        <v>AnhDD</v>
      </c>
      <c r="AZ2" s="85"/>
      <c r="BA2" s="85"/>
      <c r="BB2" s="86"/>
      <c r="BC2" s="111">
        <f>IF(表紙!BC2="","",表紙!BC2)</f>
        <v>45425</v>
      </c>
      <c r="BD2" s="112"/>
      <c r="BE2" s="112"/>
      <c r="BF2" s="112"/>
      <c r="BG2" s="113"/>
      <c r="BH2" s="84">
        <f>IF(表紙!BH2="","",表紙!BH2)</f>
        <v>0.1</v>
      </c>
      <c r="BI2" s="85"/>
      <c r="BJ2" s="85"/>
      <c r="BK2" s="86"/>
    </row>
    <row r="3" spans="1:63" ht="15" customHeight="1" x14ac:dyDescent="0.25">
      <c r="A3" s="291"/>
      <c r="B3" s="292"/>
      <c r="C3" s="292"/>
      <c r="D3" s="292"/>
      <c r="E3" s="292"/>
      <c r="F3" s="292"/>
      <c r="G3" s="292"/>
      <c r="H3" s="292"/>
      <c r="I3" s="292"/>
      <c r="J3" s="293"/>
      <c r="K3" s="291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3"/>
      <c r="W3" s="300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2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263" t="s">
        <v>46</v>
      </c>
      <c r="B4" s="264"/>
      <c r="C4" s="264"/>
      <c r="D4" s="264"/>
      <c r="E4" s="264"/>
      <c r="F4" s="264"/>
      <c r="G4" s="265"/>
      <c r="H4" s="266" t="str">
        <f>IF(表紙!H4="","",表紙!H4)</f>
        <v>14_テナント売上速報/日報</v>
      </c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8"/>
      <c r="U4" s="263" t="s">
        <v>47</v>
      </c>
      <c r="V4" s="264"/>
      <c r="W4" s="264"/>
      <c r="X4" s="264"/>
      <c r="Y4" s="265"/>
      <c r="Z4" s="266" t="str">
        <f>IF(表紙!Z4="","",表紙!Z4)</f>
        <v>概要設計書</v>
      </c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8"/>
      <c r="AP4" s="269" t="str">
        <f ca="1">MID(CELL("filename",A1),FIND("]",CELL("filename",A1))+1,255)</f>
        <v>テンプレート</v>
      </c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8"/>
    </row>
    <row r="5" spans="1:63" ht="5.0999999999999996" customHeight="1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3"/>
    </row>
    <row r="6" spans="1:63" ht="15" customHeight="1" x14ac:dyDescent="0.25">
      <c r="A6" s="24"/>
      <c r="BK6" s="25"/>
    </row>
    <row r="7" spans="1:63" ht="15" customHeight="1" x14ac:dyDescent="0.25">
      <c r="A7" s="24"/>
      <c r="B7" s="73"/>
      <c r="C7" s="74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6"/>
      <c r="U7" s="74"/>
      <c r="V7" s="75"/>
      <c r="W7" s="75"/>
      <c r="X7" s="75"/>
      <c r="Y7" s="75"/>
      <c r="Z7" s="75"/>
      <c r="AA7" s="75"/>
      <c r="AB7" s="75"/>
      <c r="AC7" s="76"/>
      <c r="AD7" s="74"/>
      <c r="AE7" s="75"/>
      <c r="AF7" s="75"/>
      <c r="AG7" s="75"/>
      <c r="AH7" s="75"/>
      <c r="AI7" s="75"/>
      <c r="AJ7" s="75"/>
      <c r="AK7" s="75"/>
      <c r="AL7" s="76"/>
      <c r="AM7" s="74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6"/>
      <c r="BJ7" s="75"/>
      <c r="BK7" s="25"/>
    </row>
    <row r="8" spans="1:63" ht="15" customHeight="1" x14ac:dyDescent="0.25">
      <c r="A8" s="24"/>
      <c r="C8" s="77"/>
      <c r="U8" s="77"/>
      <c r="AD8" s="77"/>
      <c r="AM8" s="77"/>
      <c r="BI8" s="78"/>
    </row>
    <row r="9" spans="1:63" ht="15" customHeight="1" x14ac:dyDescent="0.25">
      <c r="A9" s="24"/>
      <c r="C9" s="77"/>
      <c r="U9" s="77"/>
      <c r="AD9" s="77"/>
      <c r="AM9" s="77"/>
      <c r="BI9" s="78"/>
    </row>
    <row r="10" spans="1:63" ht="15" customHeight="1" x14ac:dyDescent="0.25">
      <c r="A10" s="24"/>
      <c r="C10" s="77"/>
      <c r="U10" s="77"/>
      <c r="AD10" s="77"/>
      <c r="AM10" s="77"/>
      <c r="BI10" s="78"/>
    </row>
    <row r="11" spans="1:63" ht="15" customHeight="1" x14ac:dyDescent="0.25">
      <c r="A11" s="24"/>
      <c r="C11" s="77"/>
      <c r="U11" s="77"/>
      <c r="AD11" s="77"/>
      <c r="AM11" s="77"/>
      <c r="BI11" s="78"/>
    </row>
    <row r="12" spans="1:63" ht="15" customHeight="1" x14ac:dyDescent="0.25">
      <c r="A12" s="24"/>
      <c r="C12" s="77"/>
      <c r="U12" s="77"/>
      <c r="AD12" s="77"/>
      <c r="AM12" s="77"/>
      <c r="AX12" s="20" t="s">
        <v>30</v>
      </c>
      <c r="BI12" s="78"/>
    </row>
    <row r="13" spans="1:63" ht="15" customHeight="1" x14ac:dyDescent="0.25">
      <c r="A13" s="24"/>
      <c r="C13" s="77"/>
      <c r="U13" s="77"/>
      <c r="AD13" s="77"/>
      <c r="AM13" s="77"/>
      <c r="BI13" s="78"/>
    </row>
    <row r="14" spans="1:63" ht="15" customHeight="1" x14ac:dyDescent="0.25">
      <c r="A14" s="24"/>
      <c r="C14" s="77"/>
      <c r="U14" s="77"/>
      <c r="AD14" s="77"/>
      <c r="AM14" s="77"/>
      <c r="BI14" s="78"/>
    </row>
    <row r="15" spans="1:63" ht="15" customHeight="1" x14ac:dyDescent="0.25">
      <c r="A15" s="24"/>
      <c r="C15" s="77"/>
      <c r="U15" s="77"/>
      <c r="AD15" s="77"/>
      <c r="AM15" s="77"/>
      <c r="BI15" s="78"/>
    </row>
    <row r="16" spans="1:63" ht="15" customHeight="1" x14ac:dyDescent="0.25">
      <c r="A16" s="24"/>
      <c r="C16" s="77"/>
      <c r="U16" s="77"/>
      <c r="AD16" s="77"/>
      <c r="AM16" s="77"/>
      <c r="BI16" s="78"/>
    </row>
    <row r="17" spans="1:61" ht="15" customHeight="1" x14ac:dyDescent="0.25">
      <c r="A17" s="24"/>
      <c r="C17" s="77"/>
      <c r="U17" s="77"/>
      <c r="AD17" s="77"/>
      <c r="AM17" s="77"/>
      <c r="BI17" s="78"/>
    </row>
    <row r="18" spans="1:61" ht="15" customHeight="1" x14ac:dyDescent="0.25">
      <c r="A18" s="24"/>
      <c r="C18" s="77"/>
      <c r="U18" s="77"/>
      <c r="AD18" s="77"/>
      <c r="AM18" s="77"/>
      <c r="BI18" s="78"/>
    </row>
    <row r="19" spans="1:61" ht="15" customHeight="1" x14ac:dyDescent="0.25">
      <c r="A19" s="24"/>
      <c r="C19" s="77"/>
      <c r="U19" s="77"/>
      <c r="AD19" s="77"/>
      <c r="AM19" s="77"/>
      <c r="BI19" s="78"/>
    </row>
    <row r="20" spans="1:61" ht="15" customHeight="1" x14ac:dyDescent="0.25">
      <c r="A20" s="24"/>
      <c r="C20" s="77"/>
      <c r="U20" s="77"/>
      <c r="AD20" s="77"/>
      <c r="AM20" s="77"/>
      <c r="BI20" s="78"/>
    </row>
    <row r="21" spans="1:61" ht="15" customHeight="1" x14ac:dyDescent="0.25">
      <c r="A21" s="24"/>
      <c r="C21" s="77"/>
      <c r="U21" s="77"/>
      <c r="AD21" s="77"/>
      <c r="AM21" s="77"/>
      <c r="BI21" s="78"/>
    </row>
    <row r="22" spans="1:61" ht="15" customHeight="1" x14ac:dyDescent="0.25">
      <c r="A22" s="24"/>
      <c r="C22" s="77"/>
      <c r="U22" s="77"/>
      <c r="AD22" s="77"/>
      <c r="AM22" s="77"/>
      <c r="BI22" s="78"/>
    </row>
    <row r="23" spans="1:61" ht="15" customHeight="1" x14ac:dyDescent="0.25">
      <c r="A23" s="24"/>
      <c r="C23" s="77"/>
      <c r="U23" s="77"/>
      <c r="AD23" s="77"/>
      <c r="AM23" s="77"/>
      <c r="BI23" s="78"/>
    </row>
    <row r="24" spans="1:61" ht="15" customHeight="1" x14ac:dyDescent="0.25">
      <c r="A24" s="24"/>
      <c r="C24" s="77"/>
      <c r="U24" s="77"/>
      <c r="AD24" s="77"/>
      <c r="AM24" s="77"/>
      <c r="BI24" s="78"/>
    </row>
    <row r="25" spans="1:61" ht="15" customHeight="1" x14ac:dyDescent="0.25">
      <c r="A25" s="24"/>
      <c r="C25" s="77"/>
      <c r="U25" s="77"/>
      <c r="AD25" s="77"/>
      <c r="AM25" s="77"/>
      <c r="BI25" s="78"/>
    </row>
    <row r="26" spans="1:61" ht="15" customHeight="1" x14ac:dyDescent="0.25">
      <c r="A26" s="24"/>
      <c r="C26" s="77"/>
      <c r="U26" s="77"/>
      <c r="AD26" s="77"/>
      <c r="AM26" s="77"/>
      <c r="BI26" s="78"/>
    </row>
    <row r="27" spans="1:61" ht="15" customHeight="1" x14ac:dyDescent="0.25">
      <c r="A27" s="24"/>
      <c r="C27" s="77"/>
      <c r="U27" s="77"/>
      <c r="AD27" s="77"/>
      <c r="AM27" s="77"/>
      <c r="BI27" s="78"/>
    </row>
    <row r="28" spans="1:61" ht="15" customHeight="1" x14ac:dyDescent="0.25">
      <c r="A28" s="24"/>
      <c r="C28" s="77"/>
      <c r="U28" s="77"/>
      <c r="AD28" s="77"/>
      <c r="AM28" s="77"/>
      <c r="BI28" s="78"/>
    </row>
    <row r="29" spans="1:61" ht="15" customHeight="1" x14ac:dyDescent="0.25">
      <c r="A29" s="24"/>
      <c r="C29" s="77"/>
      <c r="U29" s="77"/>
      <c r="AD29" s="77"/>
      <c r="AM29" s="77"/>
      <c r="BI29" s="78"/>
    </row>
    <row r="30" spans="1:61" ht="15" customHeight="1" x14ac:dyDescent="0.25">
      <c r="A30" s="24"/>
      <c r="C30" s="77"/>
      <c r="U30" s="77"/>
      <c r="AD30" s="77"/>
      <c r="AM30" s="77"/>
      <c r="BI30" s="78"/>
    </row>
    <row r="31" spans="1:61" ht="15" customHeight="1" x14ac:dyDescent="0.25">
      <c r="A31" s="24"/>
      <c r="C31" s="77"/>
      <c r="U31" s="77"/>
      <c r="AD31" s="77"/>
      <c r="AM31" s="77"/>
      <c r="BI31" s="78"/>
    </row>
    <row r="32" spans="1:61" ht="15" customHeight="1" x14ac:dyDescent="0.25">
      <c r="A32" s="24"/>
      <c r="C32" s="77"/>
      <c r="U32" s="77"/>
      <c r="AD32" s="77"/>
      <c r="AM32" s="77"/>
      <c r="BI32" s="78"/>
    </row>
    <row r="33" spans="1:61" ht="15" customHeight="1" x14ac:dyDescent="0.25">
      <c r="A33" s="24"/>
      <c r="C33" s="77"/>
      <c r="U33" s="77"/>
      <c r="AD33" s="77"/>
      <c r="AM33" s="77"/>
      <c r="BI33" s="78"/>
    </row>
    <row r="34" spans="1:61" ht="15" customHeight="1" x14ac:dyDescent="0.25">
      <c r="A34" s="24"/>
      <c r="C34" s="77"/>
      <c r="U34" s="77"/>
      <c r="AD34" s="77"/>
      <c r="AM34" s="77"/>
      <c r="BI34" s="78"/>
    </row>
    <row r="35" spans="1:61" ht="15" customHeight="1" x14ac:dyDescent="0.25">
      <c r="A35" s="24"/>
      <c r="C35" s="77"/>
      <c r="U35" s="77"/>
      <c r="AD35" s="77"/>
      <c r="AM35" s="77"/>
      <c r="BI35" s="78"/>
    </row>
    <row r="36" spans="1:61" ht="15" customHeight="1" x14ac:dyDescent="0.25">
      <c r="A36" s="24"/>
      <c r="C36" s="77"/>
      <c r="U36" s="77"/>
      <c r="AD36" s="77"/>
      <c r="AM36" s="77"/>
      <c r="BI36" s="78"/>
    </row>
    <row r="37" spans="1:61" ht="15" customHeight="1" x14ac:dyDescent="0.25">
      <c r="A37" s="24"/>
      <c r="C37" s="77"/>
      <c r="U37" s="77"/>
      <c r="AD37" s="77"/>
      <c r="AM37" s="77"/>
      <c r="BI37" s="78"/>
    </row>
    <row r="38" spans="1:61" ht="15" customHeight="1" x14ac:dyDescent="0.25">
      <c r="A38" s="24"/>
      <c r="C38" s="77"/>
      <c r="U38" s="77"/>
      <c r="AD38" s="77"/>
      <c r="AM38" s="77"/>
      <c r="BI38" s="78"/>
    </row>
    <row r="39" spans="1:61" ht="15" customHeight="1" x14ac:dyDescent="0.25">
      <c r="A39" s="24"/>
      <c r="C39" s="77"/>
      <c r="U39" s="77"/>
      <c r="AD39" s="77"/>
      <c r="AM39" s="77"/>
      <c r="BI39" s="78"/>
    </row>
    <row r="40" spans="1:61" ht="15" customHeight="1" x14ac:dyDescent="0.25">
      <c r="A40" s="24"/>
      <c r="C40" s="77"/>
      <c r="U40" s="77"/>
      <c r="AD40" s="77"/>
      <c r="AM40" s="77"/>
      <c r="BI40" s="78"/>
    </row>
    <row r="41" spans="1:61" ht="15" customHeight="1" x14ac:dyDescent="0.25">
      <c r="A41" s="24"/>
      <c r="C41" s="77"/>
      <c r="U41" s="77"/>
      <c r="AD41" s="77"/>
      <c r="AM41" s="77"/>
      <c r="BI41" s="78"/>
    </row>
    <row r="42" spans="1:61" ht="15" customHeight="1" x14ac:dyDescent="0.25">
      <c r="A42" s="24"/>
      <c r="C42" s="77"/>
      <c r="U42" s="77"/>
      <c r="AD42" s="77"/>
      <c r="AM42" s="77"/>
      <c r="BI42" s="78"/>
    </row>
    <row r="43" spans="1:61" ht="15" customHeight="1" x14ac:dyDescent="0.25">
      <c r="A43" s="24"/>
      <c r="C43" s="77"/>
      <c r="U43" s="77"/>
      <c r="AD43" s="77"/>
      <c r="AM43" s="77"/>
      <c r="BI43" s="78"/>
    </row>
    <row r="44" spans="1:61" ht="15" customHeight="1" x14ac:dyDescent="0.25">
      <c r="A44" s="24"/>
      <c r="C44" s="77"/>
      <c r="U44" s="77"/>
      <c r="AD44" s="77"/>
      <c r="AM44" s="77"/>
      <c r="BI44" s="78"/>
    </row>
    <row r="45" spans="1:61" ht="15" customHeight="1" x14ac:dyDescent="0.25">
      <c r="A45" s="24"/>
      <c r="C45" s="77"/>
      <c r="U45" s="77"/>
      <c r="AD45" s="77"/>
      <c r="AM45" s="77"/>
      <c r="BI45" s="78"/>
    </row>
    <row r="46" spans="1:61" ht="15" customHeight="1" x14ac:dyDescent="0.25">
      <c r="A46" s="24"/>
      <c r="C46" s="77"/>
      <c r="U46" s="77"/>
      <c r="AD46" s="77"/>
      <c r="AM46" s="77"/>
      <c r="BI46" s="78"/>
    </row>
    <row r="47" spans="1:61" ht="15" customHeight="1" x14ac:dyDescent="0.25">
      <c r="A47" s="24"/>
      <c r="C47" s="77"/>
      <c r="U47" s="77"/>
      <c r="AD47" s="77"/>
      <c r="AM47" s="77"/>
      <c r="BI47" s="78"/>
    </row>
    <row r="48" spans="1:61" ht="15" customHeight="1" x14ac:dyDescent="0.25">
      <c r="A48" s="24"/>
      <c r="C48" s="77"/>
      <c r="U48" s="77"/>
      <c r="AD48" s="77"/>
      <c r="AM48" s="77"/>
      <c r="BI48" s="78"/>
    </row>
    <row r="49" spans="1:63" ht="15" customHeight="1" x14ac:dyDescent="0.25">
      <c r="A49" s="24"/>
      <c r="C49" s="77"/>
      <c r="U49" s="77"/>
      <c r="AD49" s="77"/>
      <c r="AM49" s="77"/>
      <c r="BI49" s="78"/>
    </row>
    <row r="50" spans="1:63" ht="15" customHeight="1" x14ac:dyDescent="0.25">
      <c r="A50" s="24"/>
      <c r="C50" s="77"/>
      <c r="U50" s="77"/>
      <c r="AD50" s="77"/>
      <c r="AM50" s="77"/>
      <c r="BI50" s="78"/>
    </row>
    <row r="51" spans="1:63" ht="15" customHeight="1" x14ac:dyDescent="0.25">
      <c r="A51" s="24"/>
      <c r="C51" s="77"/>
      <c r="U51" s="77"/>
      <c r="AD51" s="77"/>
      <c r="AM51" s="77"/>
      <c r="BI51" s="78"/>
    </row>
    <row r="52" spans="1:63" ht="15" customHeight="1" x14ac:dyDescent="0.25">
      <c r="A52" s="24"/>
      <c r="C52" s="77"/>
      <c r="U52" s="77"/>
      <c r="AD52" s="77"/>
      <c r="AM52" s="77"/>
      <c r="BI52" s="78"/>
    </row>
    <row r="53" spans="1:63" ht="15" customHeight="1" x14ac:dyDescent="0.25">
      <c r="A53" s="24"/>
      <c r="C53" s="77"/>
      <c r="U53" s="77"/>
      <c r="AD53" s="77"/>
      <c r="AM53" s="77"/>
      <c r="BI53" s="78"/>
    </row>
    <row r="54" spans="1:63" ht="15" customHeight="1" x14ac:dyDescent="0.25">
      <c r="A54" s="24"/>
      <c r="C54" s="77"/>
      <c r="U54" s="77"/>
      <c r="AD54" s="77"/>
      <c r="AM54" s="77"/>
      <c r="BI54" s="78"/>
    </row>
    <row r="55" spans="1:63" ht="15" customHeight="1" x14ac:dyDescent="0.25">
      <c r="A55" s="21"/>
      <c r="B55" s="7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79"/>
      <c r="V55" s="22"/>
      <c r="W55" s="22"/>
      <c r="X55" s="22"/>
      <c r="Y55" s="22"/>
      <c r="Z55" s="22"/>
      <c r="AA55" s="22"/>
      <c r="AB55" s="22"/>
      <c r="AC55" s="22"/>
      <c r="AD55" s="79"/>
      <c r="AE55" s="22"/>
      <c r="AF55" s="22"/>
      <c r="AG55" s="22"/>
      <c r="AH55" s="22"/>
      <c r="AI55" s="22"/>
      <c r="AJ55" s="22"/>
      <c r="AK55" s="22"/>
      <c r="AL55" s="22"/>
      <c r="AM55" s="79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80"/>
      <c r="BJ55" s="22"/>
      <c r="BK55" s="23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cp:lastPrinted>2024-05-08T03:25:59Z</cp:lastPrinted>
  <dcterms:created xsi:type="dcterms:W3CDTF">2015-06-05T18:19:34Z</dcterms:created>
  <dcterms:modified xsi:type="dcterms:W3CDTF">2024-07-23T12:34:35Z</dcterms:modified>
  <cp:category/>
  <cp:contentStatus/>
</cp:coreProperties>
</file>