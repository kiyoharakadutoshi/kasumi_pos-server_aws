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1DF0BB15-D659-4900-A6D3-3B1A5EC467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11" r:id="rId3"/>
    <sheet name="業務フロー" sheetId="6" r:id="rId4"/>
    <sheet name="機能概要説明" sheetId="8" r:id="rId5"/>
    <sheet name="機能概要" sheetId="5" r:id="rId6"/>
    <sheet name="画面イメージ" sheetId="10" r:id="rId7"/>
    <sheet name="テンプレート" sheetId="2" r:id="rId8"/>
  </sheets>
  <definedNames>
    <definedName name="_xlnm.Print_Area" localSheetId="7">テンプレート!$A$1:$BK$55</definedName>
    <definedName name="_xlnm.Print_Area" localSheetId="2">指摘履歴!$A$1:$BK$55</definedName>
    <definedName name="_xlnm.Print_Area" localSheetId="1">改訂履歴!$A$1:$BK$55</definedName>
    <definedName name="_xlnm.Print_Area" localSheetId="3">業務フロー!$A$1:$BK$61</definedName>
    <definedName name="_xlnm.Print_Area" localSheetId="5">機能概要!$A$1:$BK$70</definedName>
    <definedName name="_xlnm.Print_Area" localSheetId="4">機能概要説明!$A$1:$BK$55</definedName>
    <definedName name="_xlnm.Print_Area" localSheetId="0">表紙!$A$1:$BK$55</definedName>
    <definedName name="_xlnm.Print_Titles" localSheetId="7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 a="1"/>
  <c r="AP4" i="11" s="1"/>
  <c r="Z4" i="11"/>
  <c r="H4" i="11"/>
  <c r="BH2" i="11"/>
  <c r="BC2" i="11"/>
  <c r="AY2" i="11"/>
  <c r="AT2" i="11"/>
  <c r="AP2" i="11"/>
  <c r="K2" i="11"/>
  <c r="A2" i="11"/>
  <c r="W1" i="11"/>
  <c r="AP4" i="2"/>
  <c r="Z4" i="2"/>
  <c r="H4" i="2"/>
  <c r="AP2" i="2"/>
  <c r="K2" i="2"/>
  <c r="A2" i="2"/>
  <c r="W1" i="2"/>
  <c r="BM10" i="5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9" i="5"/>
  <c r="BM8" i="5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AP4" i="8" a="1"/>
  <c r="AP4" i="8" s="1"/>
  <c r="Z4" i="8"/>
  <c r="H4" i="8"/>
  <c r="AP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8" s="1"/>
  <c r="BC2" i="4"/>
  <c r="BC2" i="2" s="1"/>
  <c r="AY2" i="4"/>
  <c r="AY2" i="5" s="1"/>
  <c r="AT2" i="4"/>
  <c r="AT2" i="5" s="1"/>
  <c r="AP2" i="4"/>
  <c r="AP2" i="5" s="1"/>
  <c r="BH2" i="2" l="1"/>
  <c r="AP2" i="3"/>
  <c r="BH2" i="3"/>
  <c r="AP2" i="6"/>
  <c r="AT2" i="8"/>
  <c r="BH2" i="5"/>
  <c r="AT2" i="2"/>
  <c r="AT2" i="3"/>
  <c r="AY2" i="6"/>
  <c r="AY2" i="8"/>
  <c r="AY2" i="2"/>
  <c r="BC2" i="3"/>
  <c r="BH2" i="6"/>
  <c r="BC2" i="5"/>
  <c r="AY2" i="3"/>
  <c r="BC2" i="6"/>
  <c r="BC2" i="8"/>
</calcChain>
</file>

<file path=xl/sharedStrings.xml><?xml version="1.0" encoding="utf-8"?>
<sst xmlns="http://schemas.openxmlformats.org/spreadsheetml/2006/main" count="147" uniqueCount="91">
  <si>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</si>
  <si>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</si>
  <si>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</si>
  <si>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</si>
  <si>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</si>
  <si>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</si>
  <si>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</si>
  <si>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</si>
  <si>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</si>
  <si>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</si>
  <si>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</si>
  <si>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</si>
  <si>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</si>
  <si>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</si>
  <si>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</si>
  <si>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</si>
  <si>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</si>
  <si>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</si>
  <si>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</si>
  <si>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</si>
  <si>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</si>
  <si>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t>`</t>
  </si>
  <si>
    <r>
      <rPr>
        <sz val="24"/>
        <color rgb="FF000000"/>
        <rFont val="Meiryo UI"/>
        <family val="3"/>
      </rPr>
      <t>POSサーバーの基本設計書</t>
    </r>
  </si>
  <si>
    <t>　</t>
  </si>
  <si>
    <r>
      <rPr>
        <sz val="11"/>
        <color rgb="FF000000"/>
        <rFont val="Meiryo UI"/>
        <family val="2"/>
      </rPr>
      <t>16_保留・保留解除</t>
    </r>
  </si>
  <si>
    <r>
      <rPr>
        <sz val="11"/>
        <color rgb="FF000000"/>
        <rFont val="Meiryo UI"/>
        <family val="2"/>
      </rPr>
      <t>保留・保留解除機能では次のことが可能になる。</t>
    </r>
  </si>
  <si>
    <r>
      <rPr>
        <sz val="11"/>
        <color rgb="FF000000"/>
        <rFont val="Meiryo UI"/>
        <family val="2"/>
      </rPr>
      <t>・保留・保留解除の帳票を印刷する。</t>
    </r>
  </si>
  <si>
    <r>
      <rPr>
        <sz val="11"/>
        <color rgb="FF000000"/>
        <rFont val="Meiryo UI"/>
        <family val="2"/>
      </rPr>
      <t>・日時、レジ、レシートNo、保留中の顧客情報を含む保留・保留解除一覧を表示する。</t>
    </r>
  </si>
  <si>
    <r>
      <rPr>
        <sz val="11"/>
        <color rgb="FF000000"/>
        <rFont val="Meiryo UI"/>
        <family val="2"/>
      </rPr>
      <t>保留</t>
    </r>
  </si>
  <si>
    <r>
      <rPr>
        <sz val="11"/>
        <color rgb="FF000000"/>
        <rFont val="Meiryo UI"/>
        <family val="2"/>
      </rPr>
      <t>区分</t>
    </r>
  </si>
  <si>
    <t>~</t>
  </si>
  <si>
    <r>
      <rPr>
        <sz val="11"/>
        <color rgb="FF000000"/>
        <rFont val="Meiryo UI"/>
        <family val="2"/>
      </rPr>
      <t>全て</t>
    </r>
  </si>
  <si>
    <r>
      <rPr>
        <sz val="11"/>
        <color rgb="FF000000"/>
        <rFont val="Meiryo UI"/>
        <family val="2"/>
      </rPr>
      <t>保留解除</t>
    </r>
  </si>
  <si>
    <r>
      <rPr>
        <sz val="11"/>
        <color rgb="FF000000"/>
        <rFont val="Meiryo UI"/>
        <family val="2"/>
      </rPr>
      <t>・保留・保留解除のレシート詳細情報（商品情報、売価、合計金額、税金など）を表示する。</t>
    </r>
  </si>
  <si>
    <r>
      <rPr>
        <b/>
        <sz val="11"/>
        <color rgb="FF000000"/>
        <rFont val="Meiryo UI"/>
        <family val="2"/>
      </rPr>
      <t>確定</t>
    </r>
  </si>
  <si>
    <r>
      <rPr>
        <b/>
        <sz val="18"/>
        <color rgb="FF000000"/>
        <rFont val="Meiryo UI"/>
        <family val="2"/>
      </rPr>
      <t>保留・保留解除設定</t>
    </r>
  </si>
  <si>
    <r>
      <rPr>
        <b/>
        <sz val="11"/>
        <color rgb="FF000000"/>
        <rFont val="Meiryo UI"/>
        <family val="2"/>
      </rPr>
      <t>店舖選択</t>
    </r>
  </si>
  <si>
    <r>
      <rPr>
        <b/>
        <sz val="11"/>
        <color rgb="FF000000"/>
        <rFont val="Meiryo UI"/>
        <family val="2"/>
      </rPr>
      <t>検索するために店舗を入力する</t>
    </r>
  </si>
  <si>
    <r>
      <rPr>
        <sz val="11"/>
        <color rgb="FF000000"/>
        <rFont val="Meiryo UI"/>
        <family val="2"/>
      </rPr>
      <t>レシート表示ビュー</t>
    </r>
  </si>
  <si>
    <r>
      <rPr>
        <sz val="11"/>
        <color rgb="FF000000"/>
        <rFont val="Meiryo UI"/>
        <family val="2"/>
      </rPr>
      <t>00002：検証店舗</t>
    </r>
  </si>
  <si>
    <r>
      <rPr>
        <sz val="11"/>
        <color rgb="FF000000"/>
        <rFont val="Meiryo UI"/>
        <family val="2"/>
      </rPr>
      <t>00003：検証店舗</t>
    </r>
  </si>
  <si>
    <r>
      <rPr>
        <sz val="11"/>
        <color rgb="FF000000"/>
        <rFont val="Meiryo UI"/>
        <family val="2"/>
      </rPr>
      <t>保留</t>
    </r>
  </si>
  <si>
    <r>
      <rPr>
        <sz val="11"/>
        <color rgb="FF000000"/>
        <rFont val="Meiryo UI"/>
        <family val="2"/>
      </rPr>
      <t>00010：検証店舗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</si>
  <si>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</si>
  <si>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00004：検証店舗</t>
    </r>
  </si>
  <si>
    <r>
      <rPr>
        <sz val="11"/>
        <color rgb="FF000000"/>
        <rFont val="Meiryo UI"/>
        <family val="2"/>
      </rPr>
      <t>00005：検証店舗</t>
    </r>
  </si>
  <si>
    <r>
      <rPr>
        <sz val="11"/>
        <color rgb="FF000000"/>
        <rFont val="Meiryo UI"/>
        <family val="2"/>
      </rPr>
      <t>00006：検証店舗</t>
    </r>
  </si>
  <si>
    <r>
      <rPr>
        <sz val="11"/>
        <color rgb="FF000000"/>
        <rFont val="Meiryo UI"/>
        <family val="2"/>
      </rPr>
      <t>00007：検証店舗</t>
    </r>
  </si>
  <si>
    <r>
      <rPr>
        <sz val="11"/>
        <color rgb="FF000000"/>
        <rFont val="Meiryo UI"/>
        <family val="2"/>
      </rPr>
      <t>00008：検証店舗</t>
    </r>
  </si>
  <si>
    <r>
      <rPr>
        <sz val="11"/>
        <color rgb="FF000000"/>
        <rFont val="Meiryo UI"/>
        <family val="2"/>
      </rPr>
      <t>00011：検証店舗</t>
    </r>
  </si>
  <si>
    <r>
      <rPr>
        <sz val="11"/>
        <color rgb="FF000000"/>
        <rFont val="Meiryo UI"/>
        <family val="2"/>
      </rPr>
      <t>00012：検証店舗</t>
    </r>
  </si>
  <si>
    <r>
      <rPr>
        <b/>
        <sz val="11"/>
        <color rgb="FF000000"/>
        <rFont val="Meiryo UI"/>
        <family val="2"/>
      </rPr>
      <t>全選択</t>
    </r>
  </si>
  <si>
    <r>
      <rPr>
        <b/>
        <sz val="11"/>
        <color rgb="FF000000"/>
        <rFont val="Meiryo UI"/>
        <family val="2"/>
      </rPr>
      <t>更新者</t>
    </r>
  </si>
  <si>
    <r>
      <rPr>
        <sz val="11"/>
        <color rgb="FF000000"/>
        <rFont val="Meiryo UI"/>
        <family val="2"/>
      </rPr>
      <t>00009：検証店舗</t>
    </r>
  </si>
  <si>
    <r>
      <rPr>
        <sz val="11"/>
        <color rgb="FF000000"/>
        <rFont val="Meiryo UI"/>
        <family val="2"/>
      </rPr>
      <t>終了年月日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</si>
  <si>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終了時間</t>
    </r>
  </si>
  <si>
    <r>
      <rPr>
        <b/>
        <sz val="11"/>
        <color rgb="FF000000"/>
        <rFont val="Meiryo UI"/>
        <family val="2"/>
      </rPr>
      <t>区分</t>
    </r>
  </si>
  <si>
    <r>
      <rPr>
        <b/>
        <sz val="11"/>
        <color rgb="FF000000"/>
        <rFont val="Meiryo UI"/>
        <family val="2"/>
      </rPr>
      <t>レシートNo</t>
    </r>
  </si>
  <si>
    <r>
      <rPr>
        <b/>
        <sz val="11"/>
        <color rgb="FF000000"/>
        <rFont val="Meiryo UI"/>
        <family val="2"/>
      </rPr>
      <t>レジNo</t>
    </r>
  </si>
  <si>
    <r>
      <rPr>
        <sz val="11"/>
        <color rgb="FF000000"/>
        <rFont val="Meiryo UI"/>
        <family val="2"/>
      </rPr>
      <t>日時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</si>
  <si>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開始年月日</t>
    </r>
  </si>
  <si>
    <r>
      <rPr>
        <sz val="11"/>
        <color rgb="FF000000"/>
        <rFont val="Meiryo UI"/>
        <family val="2"/>
      </rPr>
      <t>開始時間</t>
    </r>
  </si>
  <si>
    <r>
      <rPr>
        <b/>
        <sz val="11"/>
        <color rgb="FF000000"/>
        <rFont val="Meiryo UI"/>
        <family val="2"/>
      </rPr>
      <t>検索</t>
    </r>
  </si>
  <si>
    <r>
      <rPr>
        <b/>
        <sz val="11"/>
        <color rgb="FF000000"/>
        <rFont val="Meiryo UI"/>
        <family val="2"/>
      </rPr>
      <t>印刷</t>
    </r>
  </si>
  <si>
    <r>
      <rPr>
        <b/>
        <sz val="11"/>
        <color rgb="FF000000"/>
        <rFont val="Meiryo UI"/>
        <family val="2"/>
      </rPr>
      <t>店舗</t>
    </r>
  </si>
  <si>
    <r>
      <rPr>
        <b/>
        <sz val="11"/>
        <color rgb="FF000000"/>
        <rFont val="Meiryo UI"/>
        <family val="2"/>
      </rPr>
      <t>保留日時</t>
    </r>
  </si>
  <si>
    <r>
      <rPr>
        <b/>
        <sz val="11"/>
        <color rgb="FF000000"/>
        <rFont val="Meiryo UI"/>
        <family val="2"/>
      </rPr>
      <t>保留解除日時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</si>
  <si>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</si>
  <si>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</si>
  <si>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レシートNo</t>
    </r>
  </si>
  <si>
    <r>
      <rPr>
        <sz val="11"/>
        <color rgb="FF000000"/>
        <rFont val="Meiryo UI"/>
        <family val="2"/>
      </rPr>
      <t>レジNo</t>
    </r>
  </si>
  <si>
    <t>機能概要</t>
  </si>
  <si>
    <t>出力API追加</t>
  </si>
  <si>
    <t>DuNT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</si>
  <si>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</si>
  <si>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</si>
  <si>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</si>
  <si>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</si>
  <si>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</si>
  <si>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</si>
  <si>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</si>
  <si>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</si>
  <si>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</si>
  <si>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・バッチ：1日後または全てのPOSレジの決済が完了した後、自動的に保留を解除する。</t>
  </si>
  <si>
    <t>保留解除の最大履歴保存期間：1ヶ月</t>
  </si>
  <si>
    <t>バッチ：1ヶ月後に保留履歴を削除する。</t>
  </si>
  <si>
    <t>16_保留・保留解除</t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</si>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</sst>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b/>
      <sz val="11"/>
      <color theme="1"/>
      <name val="Calibri"/>
      <family val="3"/>
      <charset val="128"/>
      <scheme val="minor"/>
    </font>
    <font>
      <b/>
      <sz val="11"/>
      <color theme="1"/>
      <name val="Meiryo UI"/>
      <family val="2"/>
    </font>
    <font>
      <b/>
      <sz val="18"/>
      <color rgb="FF000000"/>
      <name val="Meiryo UI"/>
      <family val="2"/>
    </font>
    <font>
      <b/>
      <sz val="14"/>
      <color theme="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name val="Meiryo UI"/>
      <family val="2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2065187536243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7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2" borderId="0" xfId="0" applyFont="1" applyFill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7" fillId="0" borderId="0" xfId="6" applyFont="1" applyAlignment="1">
      <alignment vertical="center"/>
    </xf>
    <xf numFmtId="0" fontId="12" fillId="0" borderId="0" xfId="7" applyFont="1">
      <alignment vertical="center"/>
    </xf>
    <xf numFmtId="0" fontId="2" fillId="0" borderId="0" xfId="9">
      <alignment vertical="center"/>
    </xf>
    <xf numFmtId="0" fontId="13" fillId="0" borderId="0" xfId="9" applyFont="1">
      <alignment vertical="center"/>
    </xf>
    <xf numFmtId="0" fontId="14" fillId="0" borderId="0" xfId="9" applyFont="1">
      <alignment vertical="center"/>
    </xf>
    <xf numFmtId="0" fontId="7" fillId="0" borderId="0" xfId="9" applyFont="1" applyAlignment="1">
      <alignment horizontal="left" vertical="center" indent="1"/>
    </xf>
    <xf numFmtId="0" fontId="7" fillId="0" borderId="0" xfId="9" applyFont="1">
      <alignment vertical="center"/>
    </xf>
    <xf numFmtId="0" fontId="14" fillId="0" borderId="22" xfId="9" applyFont="1" applyBorder="1">
      <alignment vertical="center"/>
    </xf>
    <xf numFmtId="0" fontId="7" fillId="0" borderId="23" xfId="9" applyFont="1" applyBorder="1">
      <alignment vertical="center"/>
    </xf>
    <xf numFmtId="0" fontId="14" fillId="3" borderId="22" xfId="9" applyFont="1" applyFill="1" applyBorder="1">
      <alignment vertical="center"/>
    </xf>
    <xf numFmtId="0" fontId="7" fillId="3" borderId="0" xfId="9" applyFont="1" applyFill="1">
      <alignment vertical="center"/>
    </xf>
    <xf numFmtId="0" fontId="7" fillId="3" borderId="23" xfId="9" applyFont="1" applyFill="1" applyBorder="1" applyAlignment="1">
      <alignment horizontal="left" vertical="center"/>
    </xf>
    <xf numFmtId="0" fontId="7" fillId="0" borderId="22" xfId="9" applyFont="1" applyBorder="1" applyAlignment="1">
      <alignment horizontal="left" vertical="center" indent="1"/>
    </xf>
    <xf numFmtId="0" fontId="7" fillId="0" borderId="24" xfId="9" applyFont="1" applyBorder="1">
      <alignment vertical="center"/>
    </xf>
    <xf numFmtId="0" fontId="7" fillId="0" borderId="24" xfId="9" applyFont="1" applyBorder="1" applyAlignment="1">
      <alignment horizontal="left" vertical="center"/>
    </xf>
    <xf numFmtId="14" fontId="7" fillId="0" borderId="24" xfId="9" applyNumberFormat="1" applyFont="1" applyBorder="1" applyAlignment="1">
      <alignment horizontal="left" vertical="center"/>
    </xf>
    <xf numFmtId="0" fontId="7" fillId="0" borderId="22" xfId="9" applyFont="1" applyBorder="1">
      <alignment vertical="center"/>
    </xf>
    <xf numFmtId="0" fontId="14" fillId="4" borderId="25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7" fillId="0" borderId="26" xfId="9" applyFont="1" applyBorder="1">
      <alignment vertical="center"/>
    </xf>
    <xf numFmtId="0" fontId="7" fillId="0" borderId="27" xfId="9" applyFont="1" applyBorder="1">
      <alignment vertical="center"/>
    </xf>
    <xf numFmtId="0" fontId="7" fillId="0" borderId="28" xfId="9" applyFont="1" applyBorder="1">
      <alignment vertical="center"/>
    </xf>
    <xf numFmtId="0" fontId="7" fillId="3" borderId="22" xfId="9" applyFont="1" applyFill="1" applyBorder="1" applyAlignment="1">
      <alignment horizontal="left" vertical="center"/>
    </xf>
    <xf numFmtId="0" fontId="7" fillId="3" borderId="0" xfId="9" applyFont="1" applyFill="1" applyAlignment="1">
      <alignment horizontal="left" vertical="center"/>
    </xf>
    <xf numFmtId="0" fontId="7" fillId="3" borderId="29" xfId="9" applyFont="1" applyFill="1" applyBorder="1">
      <alignment vertical="center"/>
    </xf>
    <xf numFmtId="0" fontId="7" fillId="0" borderId="0" xfId="9" applyFont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8" fillId="0" borderId="0" xfId="9" applyFont="1">
      <alignment vertical="center"/>
    </xf>
    <xf numFmtId="0" fontId="8" fillId="3" borderId="30" xfId="9" applyFont="1" applyFill="1" applyBorder="1">
      <alignment vertical="center"/>
    </xf>
    <xf numFmtId="0" fontId="8" fillId="3" borderId="31" xfId="9" applyFont="1" applyFill="1" applyBorder="1">
      <alignment vertical="center"/>
    </xf>
    <xf numFmtId="0" fontId="8" fillId="0" borderId="22" xfId="9" applyFont="1" applyBorder="1">
      <alignment vertical="center"/>
    </xf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9" fillId="0" borderId="0" xfId="0" applyFont="1"/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0" xfId="7" applyFont="1">
      <alignment vertical="center"/>
    </xf>
    <xf numFmtId="0" fontId="19" fillId="0" borderId="1" xfId="7" applyFont="1" applyBorder="1">
      <alignment vertical="center"/>
    </xf>
    <xf numFmtId="0" fontId="19" fillId="0" borderId="4" xfId="7" applyFont="1" applyBorder="1">
      <alignment vertical="center"/>
    </xf>
    <xf numFmtId="0" fontId="19" fillId="0" borderId="2" xfId="7" applyFont="1" applyBorder="1">
      <alignment vertical="center"/>
    </xf>
    <xf numFmtId="0" fontId="19" fillId="0" borderId="3" xfId="7" applyFont="1" applyBorder="1">
      <alignment vertical="center"/>
    </xf>
    <xf numFmtId="0" fontId="19" fillId="0" borderId="5" xfId="7" applyFont="1" applyBorder="1">
      <alignment vertical="center"/>
    </xf>
    <xf numFmtId="0" fontId="20" fillId="0" borderId="0" xfId="0" applyFont="1"/>
    <xf numFmtId="0" fontId="20" fillId="0" borderId="0" xfId="7" applyFont="1">
      <alignment vertical="center"/>
    </xf>
    <xf numFmtId="0" fontId="22" fillId="2" borderId="0" xfId="0" applyFont="1" applyFill="1" applyAlignment="1">
      <alignment vertical="center"/>
    </xf>
    <xf numFmtId="0" fontId="21" fillId="2" borderId="16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17" xfId="0" applyFont="1" applyFill="1" applyBorder="1" applyAlignment="1">
      <alignment vertical="center"/>
    </xf>
    <xf numFmtId="0" fontId="19" fillId="0" borderId="18" xfId="0" applyFont="1" applyBorder="1"/>
    <xf numFmtId="0" fontId="19" fillId="0" borderId="19" xfId="7" applyFont="1" applyBorder="1">
      <alignment vertical="center"/>
    </xf>
    <xf numFmtId="0" fontId="19" fillId="0" borderId="19" xfId="0" applyFont="1" applyBorder="1"/>
    <xf numFmtId="0" fontId="19" fillId="0" borderId="18" xfId="7" applyFont="1" applyBorder="1">
      <alignment vertical="center"/>
    </xf>
    <xf numFmtId="0" fontId="19" fillId="0" borderId="20" xfId="0" applyFont="1" applyBorder="1"/>
    <xf numFmtId="0" fontId="19" fillId="0" borderId="21" xfId="0" applyFont="1" applyBorder="1"/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20" fillId="0" borderId="34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7" xfId="0" applyFont="1" applyBorder="1"/>
    <xf numFmtId="0" fontId="20" fillId="0" borderId="38" xfId="0" applyFont="1" applyBorder="1"/>
    <xf numFmtId="0" fontId="20" fillId="0" borderId="39" xfId="0" applyFont="1" applyBorder="1"/>
    <xf numFmtId="0" fontId="0" fillId="0" borderId="35" xfId="0" applyBorder="1"/>
    <xf numFmtId="0" fontId="0" fillId="0" borderId="36" xfId="0" applyBorder="1"/>
    <xf numFmtId="0" fontId="0" fillId="0" borderId="3" xfId="0" applyBorder="1"/>
    <xf numFmtId="0" fontId="0" fillId="0" borderId="5" xfId="0" applyBorder="1"/>
    <xf numFmtId="0" fontId="0" fillId="0" borderId="34" xfId="0" applyBorder="1"/>
    <xf numFmtId="0" fontId="0" fillId="0" borderId="2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3" fillId="2" borderId="0" xfId="0" applyFont="1" applyFill="1"/>
    <xf numFmtId="14" fontId="12" fillId="0" borderId="34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7" xfId="0" applyFont="1" applyBorder="1"/>
    <xf numFmtId="0" fontId="12" fillId="0" borderId="38" xfId="0" applyFont="1" applyBorder="1"/>
    <xf numFmtId="0" fontId="12" fillId="0" borderId="39" xfId="0" applyFont="1" applyBorder="1"/>
    <xf numFmtId="0" fontId="12" fillId="0" borderId="35" xfId="0" applyFont="1" applyBorder="1"/>
    <xf numFmtId="0" fontId="12" fillId="0" borderId="36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34" xfId="0" applyFont="1" applyBorder="1"/>
    <xf numFmtId="0" fontId="12" fillId="0" borderId="2" xfId="0" applyFont="1" applyBorder="1"/>
    <xf numFmtId="0" fontId="12" fillId="0" borderId="40" xfId="0" applyFont="1" applyBorder="1"/>
    <xf numFmtId="0" fontId="12" fillId="0" borderId="41" xfId="0" applyFont="1" applyBorder="1"/>
    <xf numFmtId="0" fontId="12" fillId="0" borderId="42" xfId="0" applyFont="1" applyBorder="1"/>
    <xf numFmtId="0" fontId="20" fillId="0" borderId="40" xfId="0" quotePrefix="1" applyFont="1" applyBorder="1" applyAlignment="1">
      <alignment wrapText="1"/>
    </xf>
    <xf numFmtId="0" fontId="20" fillId="0" borderId="41" xfId="0" applyFont="1" applyBorder="1" applyAlignment="1">
      <alignment wrapText="1"/>
    </xf>
    <xf numFmtId="0" fontId="20" fillId="0" borderId="42" xfId="0" applyFont="1" applyBorder="1" applyAlignment="1">
      <alignment wrapText="1"/>
    </xf>
    <xf numFmtId="14" fontId="11" fillId="0" borderId="34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7" xfId="0" applyFont="1" applyBorder="1"/>
    <xf numFmtId="0" fontId="11" fillId="0" borderId="38" xfId="0" applyFont="1" applyBorder="1"/>
    <xf numFmtId="0" fontId="11" fillId="0" borderId="39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34" xfId="0" applyFont="1" applyBorder="1"/>
    <xf numFmtId="0" fontId="11" fillId="0" borderId="2" xfId="0" applyFont="1" applyBorder="1"/>
    <xf numFmtId="0" fontId="11" fillId="0" borderId="40" xfId="0" applyFont="1" applyBorder="1"/>
    <xf numFmtId="0" fontId="11" fillId="0" borderId="41" xfId="0" applyFont="1" applyBorder="1"/>
    <xf numFmtId="0" fontId="11" fillId="0" borderId="42" xfId="0" applyFont="1" applyBorder="1"/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7" xfId="0" applyFont="1" applyBorder="1"/>
    <xf numFmtId="0" fontId="19" fillId="0" borderId="38" xfId="0" applyFont="1" applyBorder="1"/>
    <xf numFmtId="0" fontId="19" fillId="0" borderId="39" xfId="0" applyFont="1" applyBorder="1"/>
    <xf numFmtId="0" fontId="19" fillId="0" borderId="35" xfId="0" applyFont="1" applyBorder="1"/>
    <xf numFmtId="0" fontId="19" fillId="0" borderId="36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34" xfId="0" applyFont="1" applyBorder="1"/>
    <xf numFmtId="0" fontId="19" fillId="0" borderId="2" xfId="0" applyFont="1" applyBorder="1"/>
    <xf numFmtId="0" fontId="19" fillId="0" borderId="40" xfId="0" applyFont="1" applyBorder="1"/>
    <xf numFmtId="0" fontId="19" fillId="0" borderId="41" xfId="0" applyFont="1" applyBorder="1"/>
    <xf numFmtId="0" fontId="19" fillId="0" borderId="42" xfId="0" applyFont="1" applyBorder="1"/>
    <xf numFmtId="0" fontId="7" fillId="0" borderId="37" xfId="0" applyFont="1" applyBorder="1"/>
    <xf numFmtId="0" fontId="7" fillId="0" borderId="38" xfId="0" applyFont="1" applyBorder="1"/>
    <xf numFmtId="0" fontId="7" fillId="0" borderId="39" xfId="0" applyFont="1" applyBorder="1"/>
    <xf numFmtId="0" fontId="12" fillId="0" borderId="40" xfId="0" quotePrefix="1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0" fontId="21" fillId="2" borderId="0" xfId="0" applyFont="1" applyFill="1"/>
    <xf numFmtId="14" fontId="19" fillId="0" borderId="34" xfId="0" applyNumberFormat="1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14" fontId="19" fillId="0" borderId="35" xfId="0" applyNumberFormat="1" applyFont="1" applyBorder="1" applyAlignment="1">
      <alignment horizontal="center" vertical="center"/>
    </xf>
    <xf numFmtId="14" fontId="19" fillId="0" borderId="36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5" fillId="5" borderId="43" xfId="9" applyFont="1" applyFill="1" applyBorder="1" applyAlignment="1">
      <alignment horizontal="left" vertical="top"/>
    </xf>
    <xf numFmtId="0" fontId="16" fillId="5" borderId="44" xfId="9" applyFont="1" applyFill="1" applyBorder="1" applyAlignment="1">
      <alignment horizontal="left" vertical="top"/>
    </xf>
    <xf numFmtId="0" fontId="16" fillId="5" borderId="45" xfId="9" applyFont="1" applyFill="1" applyBorder="1" applyAlignment="1">
      <alignment horizontal="left" vertical="top"/>
    </xf>
    <xf numFmtId="0" fontId="16" fillId="5" borderId="22" xfId="9" applyFont="1" applyFill="1" applyBorder="1" applyAlignment="1">
      <alignment horizontal="left" vertical="top"/>
    </xf>
    <xf numFmtId="0" fontId="16" fillId="5" borderId="0" xfId="9" applyFont="1" applyFill="1" applyAlignment="1">
      <alignment horizontal="left" vertical="top"/>
    </xf>
    <xf numFmtId="0" fontId="16" fillId="5" borderId="23" xfId="9" applyFont="1" applyFill="1" applyBorder="1" applyAlignment="1">
      <alignment horizontal="left" vertical="top"/>
    </xf>
    <xf numFmtId="0" fontId="17" fillId="6" borderId="24" xfId="9" applyFont="1" applyFill="1" applyBorder="1" applyAlignment="1">
      <alignment horizontal="center" vertical="top"/>
    </xf>
    <xf numFmtId="0" fontId="14" fillId="6" borderId="24" xfId="9" applyFont="1" applyFill="1" applyBorder="1" applyAlignment="1">
      <alignment horizontal="center" vertical="top"/>
    </xf>
    <xf numFmtId="0" fontId="17" fillId="6" borderId="24" xfId="9" applyFont="1" applyFill="1" applyBorder="1" applyAlignment="1">
      <alignment horizontal="center" vertical="center"/>
    </xf>
    <xf numFmtId="0" fontId="14" fillId="6" borderId="24" xfId="9" applyFont="1" applyFill="1" applyBorder="1" applyAlignment="1">
      <alignment horizontal="center" vertical="center"/>
    </xf>
    <xf numFmtId="0" fontId="17" fillId="6" borderId="24" xfId="9" applyFont="1" applyFill="1" applyBorder="1" applyAlignment="1">
      <alignment horizontal="center" vertical="center" wrapText="1"/>
    </xf>
    <xf numFmtId="0" fontId="14" fillId="6" borderId="24" xfId="9" applyFont="1" applyFill="1" applyBorder="1" applyAlignment="1">
      <alignment horizontal="center" vertical="center" wrapText="1"/>
    </xf>
    <xf numFmtId="0" fontId="7" fillId="7" borderId="0" xfId="9" applyFont="1" applyFill="1" applyAlignment="1">
      <alignment horizontal="center" vertical="center"/>
    </xf>
    <xf numFmtId="0" fontId="7" fillId="7" borderId="23" xfId="9" applyFont="1" applyFill="1" applyBorder="1" applyAlignment="1">
      <alignment horizontal="center" vertical="center"/>
    </xf>
    <xf numFmtId="0" fontId="8" fillId="0" borderId="32" xfId="6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21" fillId="2" borderId="32" xfId="6" applyFont="1" applyFill="1" applyBorder="1" applyAlignment="1">
      <alignment horizontal="center" vertical="center"/>
    </xf>
    <xf numFmtId="0" fontId="21" fillId="2" borderId="33" xfId="6" applyFont="1" applyFill="1" applyBorder="1" applyAlignment="1">
      <alignment horizontal="center" vertical="center"/>
    </xf>
    <xf numFmtId="0" fontId="21" fillId="2" borderId="29" xfId="6" applyFont="1" applyFill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3" fillId="0" borderId="34" xfId="6" applyFont="1" applyBorder="1" applyAlignment="1">
      <alignment horizontal="center" vertical="center"/>
    </xf>
    <xf numFmtId="0" fontId="23" fillId="0" borderId="35" xfId="6" applyFont="1" applyBorder="1" applyAlignment="1">
      <alignment horizontal="center" vertical="center"/>
    </xf>
    <xf numFmtId="0" fontId="23" fillId="0" borderId="36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5" xfId="6" applyFont="1" applyBorder="1" applyAlignment="1">
      <alignment horizontal="center" vertic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3" xfId="8" xr:uid="{00000000-0005-0000-0000-000008000000}"/>
    <cellStyle name="Normal 3 2" xfId="9" xr:uid="{00000000-0005-0000-0000-000009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14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16_保留・保留解除</a:t>
          </a:r>
        </a:p>
      </xdr:txBody>
    </xdr:sp>
    <xdr:clientData/>
  </xdr:twoCellAnchor>
  <xdr:twoCellAnchor>
    <xdr:from>
      <xdr:col>1</xdr:col>
      <xdr:colOff>217715</xdr:colOff>
      <xdr:row>17</xdr:row>
      <xdr:rowOff>0</xdr:rowOff>
    </xdr:from>
    <xdr:to>
      <xdr:col>8</xdr:col>
      <xdr:colOff>15572</xdr:colOff>
      <xdr:row>21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3528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保留・保留解除一覧画面</a:t>
          </a:r>
        </a:p>
      </xdr:txBody>
    </xdr:sp>
    <xdr:clientData/>
  </xdr:twoCellAnchor>
  <xdr:twoCellAnchor>
    <xdr:from>
      <xdr:col>4</xdr:col>
      <xdr:colOff>239108</xdr:colOff>
      <xdr:row>14</xdr:row>
      <xdr:rowOff>0</xdr:rowOff>
    </xdr:from>
    <xdr:to>
      <xdr:col>4</xdr:col>
      <xdr:colOff>239108</xdr:colOff>
      <xdr:row>17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78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179295</xdr:rowOff>
    </xdr:from>
    <xdr:to>
      <xdr:col>61</xdr:col>
      <xdr:colOff>0</xdr:colOff>
      <xdr:row>27</xdr:row>
      <xdr:rowOff>179294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4676775"/>
          <a:ext cx="6134100" cy="762000"/>
        </a:xfrm>
        <a:prstGeom prst="borderCallout1">
          <a:avLst>
            <a:gd name="adj1" fmla="val 48210"/>
            <a:gd name="adj2" fmla="val 56"/>
            <a:gd name="adj3" fmla="val 105454"/>
            <a:gd name="adj4" fmla="val -1396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・「確定」ボタンをタッチすると、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 検索エリア：全ての入力項目を有効にする。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+保留・保留解除一覧エリアのボタン：無効 （クリアボタンを除く）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239108</xdr:colOff>
      <xdr:row>21</xdr:row>
      <xdr:rowOff>0</xdr:rowOff>
    </xdr:from>
    <xdr:to>
      <xdr:col>4</xdr:col>
      <xdr:colOff>239108</xdr:colOff>
      <xdr:row>23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114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0</xdr:rowOff>
    </xdr:from>
    <xdr:to>
      <xdr:col>6</xdr:col>
      <xdr:colOff>0</xdr:colOff>
      <xdr:row>29</xdr:row>
      <xdr:rowOff>0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66800" y="5257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224846</xdr:colOff>
      <xdr:row>23</xdr:row>
      <xdr:rowOff>13607</xdr:rowOff>
    </xdr:from>
    <xdr:to>
      <xdr:col>7</xdr:col>
      <xdr:colOff>8441</xdr:colOff>
      <xdr:row>24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5053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234306</xdr:colOff>
      <xdr:row>24</xdr:row>
      <xdr:rowOff>0</xdr:rowOff>
    </xdr:from>
    <xdr:to>
      <xdr:col>5</xdr:col>
      <xdr:colOff>0</xdr:colOff>
      <xdr:row>27</xdr:row>
      <xdr:rowOff>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3" idx="0"/>
        </xdr:cNvCxnSpPr>
      </xdr:nvCxnSpPr>
      <xdr:spPr>
        <a:xfrm>
          <a:off x="1304925" y="46863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17</xdr:row>
      <xdr:rowOff>11209</xdr:rowOff>
    </xdr:from>
    <xdr:to>
      <xdr:col>61</xdr:col>
      <xdr:colOff>0</xdr:colOff>
      <xdr:row>23</xdr:row>
      <xdr:rowOff>0</xdr:rowOff>
    </xdr:to>
    <xdr:sp macro="" textlink="" fLocksText="0">
      <xdr:nvSpPr>
        <xdr:cNvPr id="42" name="吹き出し: 線 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134600" y="3362325"/>
          <a:ext cx="6134100" cy="1133475"/>
        </a:xfrm>
        <a:prstGeom prst="borderCallout1">
          <a:avLst>
            <a:gd name="adj1" fmla="val 49927"/>
            <a:gd name="adj2" fmla="val -182"/>
            <a:gd name="adj3" fmla="val 111709"/>
            <a:gd name="adj4" fmla="val -1348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フローでは、複数の対象店舗を選択できる。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初期化モードの画面では：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ユーザーが対象店舗を選択して「決定」ボタンをタッチするまで、全ての入力項目と画面上のボタン（店舗選択エリアのボタンと項目を除く）を無効にする。</a:t>
          </a:r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0</xdr:colOff>
      <xdr:row>33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  <a:endCxn id="175" idx="0"/>
        </xdr:cNvCxnSpPr>
      </xdr:nvCxnSpPr>
      <xdr:spPr>
        <a:xfrm>
          <a:off x="1333500" y="5638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 fLocksText="0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66700" y="6019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</a:t>
          </a:r>
          <a:endParaRPr 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31</xdr:row>
      <xdr:rowOff>95250</xdr:rowOff>
    </xdr:from>
    <xdr:to>
      <xdr:col>5</xdr:col>
      <xdr:colOff>0</xdr:colOff>
      <xdr:row>33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2" idx="3"/>
          <a:endCxn id="175" idx="0"/>
        </xdr:cNvCxnSpPr>
      </xdr:nvCxnSpPr>
      <xdr:spPr>
        <a:xfrm>
          <a:off x="800100" y="6115050"/>
          <a:ext cx="5334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47</xdr:row>
      <xdr:rowOff>11204</xdr:rowOff>
    </xdr:from>
    <xdr:to>
      <xdr:col>5</xdr:col>
      <xdr:colOff>0</xdr:colOff>
      <xdr:row>48</xdr:row>
      <xdr:rowOff>190499</xdr:rowOff>
    </xdr:to>
    <xdr:cxnSp macro="">
      <xdr:nvCxnSpPr>
        <xdr:cNvPr id="57" name="直線矢印コネクタ 1010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76" idx="2"/>
          <a:endCxn id="72" idx="0"/>
        </xdr:cNvCxnSpPr>
      </xdr:nvCxnSpPr>
      <xdr:spPr>
        <a:xfrm>
          <a:off x="1333500" y="9077325"/>
          <a:ext cx="0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48</xdr:row>
      <xdr:rowOff>190499</xdr:rowOff>
    </xdr:from>
    <xdr:to>
      <xdr:col>6</xdr:col>
      <xdr:colOff>0</xdr:colOff>
      <xdr:row>49</xdr:row>
      <xdr:rowOff>190499</xdr:rowOff>
    </xdr:to>
    <xdr:sp macro="" textlink="" fLocksText="0">
      <xdr:nvSpPr>
        <xdr:cNvPr id="72" name="Rectangle: Rounded Corners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0668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</a:t>
          </a:r>
        </a:p>
      </xdr:txBody>
    </xdr:sp>
    <xdr:clientData/>
  </xdr:twoCellAnchor>
  <xdr:twoCellAnchor>
    <xdr:from>
      <xdr:col>3</xdr:col>
      <xdr:colOff>0</xdr:colOff>
      <xdr:row>45</xdr:row>
      <xdr:rowOff>11206</xdr:rowOff>
    </xdr:from>
    <xdr:to>
      <xdr:col>7</xdr:col>
      <xdr:colOff>0</xdr:colOff>
      <xdr:row>47</xdr:row>
      <xdr:rowOff>11204</xdr:rowOff>
    </xdr:to>
    <xdr:sp macro="" textlink="" fLocksText="0">
      <xdr:nvSpPr>
        <xdr:cNvPr id="76" name="四角形: 角を丸くする 1101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705971" y="8695765"/>
          <a:ext cx="941294" cy="380998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クリア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0</xdr:colOff>
      <xdr:row>45</xdr:row>
      <xdr:rowOff>11206</xdr:rowOff>
    </xdr:to>
    <xdr:cxnSp macro="">
      <xdr:nvCxnSpPr>
        <xdr:cNvPr id="77" name="直線矢印コネクタ 1010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>
          <a:stCxn id="175" idx="2"/>
          <a:endCxn id="76" idx="0"/>
        </xdr:cNvCxnSpPr>
      </xdr:nvCxnSpPr>
      <xdr:spPr>
        <a:xfrm>
          <a:off x="1333500" y="7162800"/>
          <a:ext cx="0" cy="1533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45</xdr:row>
      <xdr:rowOff>0</xdr:rowOff>
    </xdr:from>
    <xdr:to>
      <xdr:col>13</xdr:col>
      <xdr:colOff>0</xdr:colOff>
      <xdr:row>47</xdr:row>
      <xdr:rowOff>11204</xdr:rowOff>
    </xdr:to>
    <xdr:sp macro="" textlink="" fLocksText="0">
      <xdr:nvSpPr>
        <xdr:cNvPr id="82" name="四角形: 角を丸くする 110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2117912" y="8684559"/>
          <a:ext cx="941294" cy="392204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37</xdr:row>
      <xdr:rowOff>0</xdr:rowOff>
    </xdr:from>
    <xdr:to>
      <xdr:col>10</xdr:col>
      <xdr:colOff>235323</xdr:colOff>
      <xdr:row>45</xdr:row>
      <xdr:rowOff>0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175" idx="2"/>
          <a:endCxn id="82" idx="0"/>
        </xdr:cNvCxnSpPr>
      </xdr:nvCxnSpPr>
      <xdr:spPr>
        <a:xfrm rot="16200000" flipH="1">
          <a:off x="1304925" y="7162800"/>
          <a:ext cx="16002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45</xdr:row>
      <xdr:rowOff>1</xdr:rowOff>
    </xdr:from>
    <xdr:to>
      <xdr:col>19</xdr:col>
      <xdr:colOff>0</xdr:colOff>
      <xdr:row>46</xdr:row>
      <xdr:rowOff>190499</xdr:rowOff>
    </xdr:to>
    <xdr:sp macro="" textlink="" fLocksText="0">
      <xdr:nvSpPr>
        <xdr:cNvPr id="90" name="四角形: 角を丸くする 110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40005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36</xdr:row>
      <xdr:rowOff>190499</xdr:rowOff>
    </xdr:from>
    <xdr:to>
      <xdr:col>17</xdr:col>
      <xdr:colOff>1</xdr:colOff>
      <xdr:row>45</xdr:row>
      <xdr:rowOff>0</xdr:rowOff>
    </xdr:to>
    <xdr:cxnSp macro="">
      <xdr:nvCxnSpPr>
        <xdr:cNvPr id="91" name="Connector: Elbow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CxnSpPr>
          <a:stCxn id="175" idx="2"/>
          <a:endCxn id="90" idx="0"/>
        </xdr:cNvCxnSpPr>
      </xdr:nvCxnSpPr>
      <xdr:spPr>
        <a:xfrm rot="16200000" flipH="1">
          <a:off x="1333500" y="7162800"/>
          <a:ext cx="32004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68</xdr:row>
      <xdr:rowOff>190499</xdr:rowOff>
    </xdr:to>
    <xdr:sp macro="" textlink="" fLocksText="0">
      <xdr:nvSpPr>
        <xdr:cNvPr id="104" name="吹き出し: 線 2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10134600" y="5638800"/>
          <a:ext cx="6134100" cy="7620000"/>
        </a:xfrm>
        <a:prstGeom prst="borderCallout1">
          <a:avLst>
            <a:gd name="adj1" fmla="val 6367"/>
            <a:gd name="adj2" fmla="val -358"/>
            <a:gd name="adj3" fmla="val 12131"/>
            <a:gd name="adj4" fmla="val -1313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*画面項目_検索エリア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▪検索区分：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1.全て - 全てを検索する。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2.保留 - 保留取引一覧を検索する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保留解除 - 保留解除取引一覧を検索する。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▪レシートNo：数字の最大4桁を入力可能とする。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▪レジNo：数字の最大4桁を入力可能とする。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検索するために日時の範囲を入力可能とする。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*画面項目_一覧表示エリア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一覧表示情報表は以下の列が含まれている。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・印刷列:  保留・保留解除の各アイテムを選択して印刷可能とする。印刷ヘッダーのチェックボックス：全選択・全解除可能とする。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・区分列：保留又は保留解除の区分を表示する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・店舗列：店舗情報を「店舗コード: 店舗名称」形式で表示する。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・「レシートNo」列：保留・保留解除のレシートNoを表示する。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・「レジNo」列：保留実行レジNoを表示する。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・保留日時列：保留実行日時を表示する。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・保留解除日時列：保留解除実行日時を表示する。保留が解除されていない場合、「ー」を表示する。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・更新者列：保留・保留解除実行従業員情報を表示する。システムによる自動保留解除の場合、「システムによる解除」テキストを表示する。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・レシート表示ビュー：選択されたレコードのレシートを表示する。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 アクション：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・検索ボタンをタッチすると、入力された条件でリストを検索する。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・「クリア」ボタンをタッチすると、一覧と検索条件をクリアし、画面を初期モードに戻る。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・ヘッダーの印刷チェックボックスをタッチすると、一覧の全てレコードを選択・選択解除する。各レコードの印刷帳票を「レシート表示ビュー」に表示する。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・各アイテムのチェックボックスをタッチすると、印刷機能でそのレコードを選択または選択解除する。各レコードの印刷帳票を「レシート表示ビュー」に表示する。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・印刷ボタンをタッチすると、画面上で選択されているレシートを印刷する。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Ctrl+F キーの組み合わせを使用し、キーワードを入力して画面上のテキストを検索できる。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0</xdr:rowOff>
    </xdr:to>
    <xdr:sp macro="" textlink="" fLocksText="0">
      <xdr:nvSpPr>
        <xdr:cNvPr id="175" name="正方形/長方形 1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470647" y="6398559"/>
          <a:ext cx="1411941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SC1601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保留・保留解除一覧画面</a:t>
          </a:r>
        </a:p>
      </xdr:txBody>
    </xdr:sp>
    <xdr:clientData/>
  </xdr:twoCellAnchor>
  <xdr:twoCellAnchor>
    <xdr:from>
      <xdr:col>17</xdr:col>
      <xdr:colOff>0</xdr:colOff>
      <xdr:row>46</xdr:row>
      <xdr:rowOff>190499</xdr:rowOff>
    </xdr:from>
    <xdr:to>
      <xdr:col>17</xdr:col>
      <xdr:colOff>0</xdr:colOff>
      <xdr:row>49</xdr:row>
      <xdr:rowOff>190498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90" idx="2"/>
          <a:endCxn id="21" idx="0"/>
        </xdr:cNvCxnSpPr>
      </xdr:nvCxnSpPr>
      <xdr:spPr>
        <a:xfrm>
          <a:off x="4533900" y="9067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49</xdr:row>
      <xdr:rowOff>190498</xdr:rowOff>
    </xdr:from>
    <xdr:to>
      <xdr:col>20</xdr:col>
      <xdr:colOff>0</xdr:colOff>
      <xdr:row>53</xdr:row>
      <xdr:rowOff>190499</xdr:rowOff>
    </xdr:to>
    <xdr:sp macro="" textlink="" fLocksText="0">
      <xdr:nvSpPr>
        <xdr:cNvPr id="21" name="四角形: 角を丸くする 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3733800" y="963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KN1601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保留・保留解除一覧取得機能</a:t>
          </a:r>
        </a:p>
      </xdr:txBody>
    </xdr:sp>
    <xdr:clientData/>
  </xdr:twoCellAnchor>
  <xdr:twoCellAnchor>
    <xdr:from>
      <xdr:col>29</xdr:col>
      <xdr:colOff>0</xdr:colOff>
      <xdr:row>49</xdr:row>
      <xdr:rowOff>190499</xdr:rowOff>
    </xdr:from>
    <xdr:to>
      <xdr:col>35</xdr:col>
      <xdr:colOff>0</xdr:colOff>
      <xdr:row>53</xdr:row>
      <xdr:rowOff>190499</xdr:rowOff>
    </xdr:to>
    <xdr:sp macro="" textlink="" fLocksText="0">
      <xdr:nvSpPr>
        <xdr:cNvPr id="30" name="フローチャート: 磁気ディスク 13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7734300" y="963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AP1601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</a:t>
          </a:r>
        </a:p>
      </xdr:txBody>
    </xdr:sp>
    <xdr:clientData/>
  </xdr:twoCellAnchor>
  <xdr:twoCellAnchor>
    <xdr:from>
      <xdr:col>20</xdr:col>
      <xdr:colOff>0</xdr:colOff>
      <xdr:row>51</xdr:row>
      <xdr:rowOff>190499</xdr:rowOff>
    </xdr:from>
    <xdr:to>
      <xdr:col>29</xdr:col>
      <xdr:colOff>0</xdr:colOff>
      <xdr:row>51</xdr:row>
      <xdr:rowOff>190499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21" idx="3"/>
          <a:endCxn id="30" idx="2"/>
        </xdr:cNvCxnSpPr>
      </xdr:nvCxnSpPr>
      <xdr:spPr>
        <a:xfrm>
          <a:off x="5334000" y="10020300"/>
          <a:ext cx="240030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56</xdr:row>
      <xdr:rowOff>0</xdr:rowOff>
    </xdr:from>
    <xdr:to>
      <xdr:col>18</xdr:col>
      <xdr:colOff>0</xdr:colOff>
      <xdr:row>57</xdr:row>
      <xdr:rowOff>0</xdr:rowOff>
    </xdr:to>
    <xdr:sp macro="" textlink="" fLocksText="0">
      <xdr:nvSpPr>
        <xdr:cNvPr id="65" name="Rectangle: Rounded Corner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4267200" y="1078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</a:t>
          </a:r>
        </a:p>
      </xdr:txBody>
    </xdr:sp>
    <xdr:clientData/>
  </xdr:twoCellAnchor>
  <xdr:twoCellAnchor>
    <xdr:from>
      <xdr:col>17</xdr:col>
      <xdr:colOff>0</xdr:colOff>
      <xdr:row>53</xdr:row>
      <xdr:rowOff>190499</xdr:rowOff>
    </xdr:from>
    <xdr:to>
      <xdr:col>17</xdr:col>
      <xdr:colOff>0</xdr:colOff>
      <xdr:row>56</xdr:row>
      <xdr:rowOff>0</xdr:rowOff>
    </xdr:to>
    <xdr:cxnSp macro="">
      <xdr:nvCxnSpPr>
        <xdr:cNvPr id="69" name="直線矢印コネクタ 1010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21" idx="2"/>
          <a:endCxn id="65" idx="0"/>
        </xdr:cNvCxnSpPr>
      </xdr:nvCxnSpPr>
      <xdr:spPr>
        <a:xfrm>
          <a:off x="4533900" y="10401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201706</xdr:colOff>
      <xdr:row>29</xdr:row>
      <xdr:rowOff>67235</xdr:rowOff>
    </xdr:from>
    <xdr:to>
      <xdr:col>114</xdr:col>
      <xdr:colOff>61509</xdr:colOff>
      <xdr:row>58</xdr:row>
      <xdr:rowOff>29901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2225" y="5705475"/>
          <a:ext cx="12658725" cy="5486400"/>
        </a:xfrm>
        <a:prstGeom prst="rect">
          <a:avLst/>
        </a:prstGeom>
      </xdr:spPr>
    </xdr:pic>
    <xdr:clientData/>
  </xdr:twoCellAnchor>
  <xdr:twoCellAnchor>
    <xdr:from>
      <xdr:col>7</xdr:col>
      <xdr:colOff>235322</xdr:colOff>
      <xdr:row>59</xdr:row>
      <xdr:rowOff>190499</xdr:rowOff>
    </xdr:from>
    <xdr:to>
      <xdr:col>14</xdr:col>
      <xdr:colOff>0</xdr:colOff>
      <xdr:row>64</xdr:row>
      <xdr:rowOff>0</xdr:rowOff>
    </xdr:to>
    <xdr:sp macro="" textlink="" fLocksText="0">
      <xdr:nvSpPr>
        <xdr:cNvPr id="2" name="四角形: 角を丸くする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105025" y="11544300"/>
          <a:ext cx="162877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KN1601</a:t>
          </a:r>
        </a:p>
        <a:p>
          <a:pPr algn="ctr">
            <a:defRPr lang="en-US" altLang="ja-JP" sz="1100">
              <a:solidFill>
                <a:srgbClr val="00B05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保留・保留解除一覧出力機能</a:t>
          </a:r>
        </a:p>
      </xdr:txBody>
    </xdr:sp>
    <xdr:clientData/>
  </xdr:twoCellAnchor>
  <xdr:twoCellAnchor>
    <xdr:from>
      <xdr:col>22</xdr:col>
      <xdr:colOff>235322</xdr:colOff>
      <xdr:row>60</xdr:row>
      <xdr:rowOff>0</xdr:rowOff>
    </xdr:from>
    <xdr:to>
      <xdr:col>28</xdr:col>
      <xdr:colOff>235322</xdr:colOff>
      <xdr:row>64</xdr:row>
      <xdr:rowOff>0</xdr:rowOff>
    </xdr:to>
    <xdr:sp macro="" textlink="" fLocksText="0">
      <xdr:nvSpPr>
        <xdr:cNvPr id="3" name="フローチャート: 磁気ディスク 1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105525" y="11544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AP1602</a:t>
          </a:r>
        </a:p>
        <a:p>
          <a:pPr algn="ctr">
            <a:defRPr lang="en-US" altLang="ja-JP" sz="1100">
              <a:solidFill>
                <a:srgbClr val="00B05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保留・保留解除出力</a:t>
          </a: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22</xdr:col>
      <xdr:colOff>235322</xdr:colOff>
      <xdr:row>62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3"/>
          <a:endCxn id="3" idx="2"/>
        </xdr:cNvCxnSpPr>
      </xdr:nvCxnSpPr>
      <xdr:spPr>
        <a:xfrm>
          <a:off x="3733800" y="11925300"/>
          <a:ext cx="2371725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47</xdr:row>
      <xdr:rowOff>11204</xdr:rowOff>
    </xdr:from>
    <xdr:to>
      <xdr:col>11</xdr:col>
      <xdr:colOff>0</xdr:colOff>
      <xdr:row>59</xdr:row>
      <xdr:rowOff>190499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82" idx="2"/>
          <a:endCxn id="2" idx="0"/>
        </xdr:cNvCxnSpPr>
      </xdr:nvCxnSpPr>
      <xdr:spPr>
        <a:xfrm flipH="1">
          <a:off x="2905125" y="9077325"/>
          <a:ext cx="28575" cy="2466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13</xdr:row>
          <xdr:rowOff>0</xdr:rowOff>
        </xdr:from>
        <xdr:to>
          <xdr:col>2</xdr:col>
          <xdr:colOff>171450</xdr:colOff>
          <xdr:row>14</xdr:row>
          <xdr:rowOff>9525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6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14</xdr:row>
          <xdr:rowOff>0</xdr:rowOff>
        </xdr:from>
        <xdr:to>
          <xdr:col>2</xdr:col>
          <xdr:colOff>171450</xdr:colOff>
          <xdr:row>15</xdr:row>
          <xdr:rowOff>9525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6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14</xdr:row>
          <xdr:rowOff>171450</xdr:rowOff>
        </xdr:from>
        <xdr:to>
          <xdr:col>2</xdr:col>
          <xdr:colOff>171450</xdr:colOff>
          <xdr:row>15</xdr:row>
          <xdr:rowOff>180975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6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15</xdr:row>
          <xdr:rowOff>171450</xdr:rowOff>
        </xdr:from>
        <xdr:to>
          <xdr:col>2</xdr:col>
          <xdr:colOff>171450</xdr:colOff>
          <xdr:row>16</xdr:row>
          <xdr:rowOff>180975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6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16</xdr:row>
          <xdr:rowOff>180975</xdr:rowOff>
        </xdr:from>
        <xdr:to>
          <xdr:col>2</xdr:col>
          <xdr:colOff>171450</xdr:colOff>
          <xdr:row>17</xdr:row>
          <xdr:rowOff>190500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6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18</xdr:row>
          <xdr:rowOff>0</xdr:rowOff>
        </xdr:from>
        <xdr:to>
          <xdr:col>2</xdr:col>
          <xdr:colOff>171450</xdr:colOff>
          <xdr:row>19</xdr:row>
          <xdr:rowOff>9525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6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18</xdr:row>
          <xdr:rowOff>180975</xdr:rowOff>
        </xdr:from>
        <xdr:to>
          <xdr:col>2</xdr:col>
          <xdr:colOff>171450</xdr:colOff>
          <xdr:row>19</xdr:row>
          <xdr:rowOff>190500</xdr:rowOff>
        </xdr:to>
        <xdr:sp macro="" textlink="">
          <xdr:nvSpPr>
            <xdr:cNvPr id="8252" name="Check Box 60" hidden="1">
              <a:extLst>
                <a:ext uri="{63B3BB69-23CF-44E3-9099-C40C66FF867C}">
                  <a14:compatExt spid="_x0000_s8252"/>
                </a:ext>
                <a:ext uri="{FF2B5EF4-FFF2-40B4-BE49-F238E27FC236}">
                  <a16:creationId xmlns:a16="http://schemas.microsoft.com/office/drawing/2014/main" id="{00000000-0008-0000-0600-00003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19</xdr:row>
          <xdr:rowOff>180975</xdr:rowOff>
        </xdr:from>
        <xdr:to>
          <xdr:col>2</xdr:col>
          <xdr:colOff>171450</xdr:colOff>
          <xdr:row>20</xdr:row>
          <xdr:rowOff>190500</xdr:rowOff>
        </xdr:to>
        <xdr:sp macro="" textlink="">
          <xdr:nvSpPr>
            <xdr:cNvPr id="8253" name="Check Box 61" hidden="1">
              <a:extLst>
                <a:ext uri="{63B3BB69-23CF-44E3-9099-C40C66FF867C}">
                  <a14:compatExt spid="_x0000_s8253"/>
                </a:ext>
                <a:ext uri="{FF2B5EF4-FFF2-40B4-BE49-F238E27FC236}">
                  <a16:creationId xmlns:a16="http://schemas.microsoft.com/office/drawing/2014/main" id="{00000000-0008-0000-0600-00003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20</xdr:row>
          <xdr:rowOff>180975</xdr:rowOff>
        </xdr:from>
        <xdr:to>
          <xdr:col>2</xdr:col>
          <xdr:colOff>171450</xdr:colOff>
          <xdr:row>21</xdr:row>
          <xdr:rowOff>190500</xdr:rowOff>
        </xdr:to>
        <xdr:sp macro="" textlink="">
          <xdr:nvSpPr>
            <xdr:cNvPr id="8254" name="Check Box 62" hidden="1">
              <a:extLst>
                <a:ext uri="{63B3BB69-23CF-44E3-9099-C40C66FF867C}">
                  <a14:compatExt spid="_x0000_s8254"/>
                </a:ext>
                <a:ext uri="{FF2B5EF4-FFF2-40B4-BE49-F238E27FC236}">
                  <a16:creationId xmlns:a16="http://schemas.microsoft.com/office/drawing/2014/main" id="{00000000-0008-0000-0600-00003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21</xdr:row>
          <xdr:rowOff>171450</xdr:rowOff>
        </xdr:from>
        <xdr:to>
          <xdr:col>2</xdr:col>
          <xdr:colOff>171450</xdr:colOff>
          <xdr:row>22</xdr:row>
          <xdr:rowOff>180975</xdr:rowOff>
        </xdr:to>
        <xdr:sp macro="" textlink="">
          <xdr:nvSpPr>
            <xdr:cNvPr id="8255" name="Check Box 63" hidden="1">
              <a:extLst>
                <a:ext uri="{63B3BB69-23CF-44E3-9099-C40C66FF867C}">
                  <a14:compatExt spid="_x0000_s8255"/>
                </a:ext>
                <a:ext uri="{FF2B5EF4-FFF2-40B4-BE49-F238E27FC236}">
                  <a16:creationId xmlns:a16="http://schemas.microsoft.com/office/drawing/2014/main" id="{00000000-0008-0000-0600-00003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22</xdr:row>
          <xdr:rowOff>180975</xdr:rowOff>
        </xdr:from>
        <xdr:to>
          <xdr:col>2</xdr:col>
          <xdr:colOff>171450</xdr:colOff>
          <xdr:row>23</xdr:row>
          <xdr:rowOff>190500</xdr:rowOff>
        </xdr:to>
        <xdr:sp macro="" textlink="">
          <xdr:nvSpPr>
            <xdr:cNvPr id="8256" name="Check Box 64" hidden="1">
              <a:extLst>
                <a:ext uri="{63B3BB69-23CF-44E3-9099-C40C66FF867C}">
                  <a14:compatExt spid="_x0000_s8256"/>
                </a:ext>
                <a:ext uri="{FF2B5EF4-FFF2-40B4-BE49-F238E27FC236}">
                  <a16:creationId xmlns:a16="http://schemas.microsoft.com/office/drawing/2014/main" id="{00000000-0008-0000-0600-00004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3</xdr:col>
      <xdr:colOff>554934</xdr:colOff>
      <xdr:row>28</xdr:row>
      <xdr:rowOff>66260</xdr:rowOff>
    </xdr:from>
    <xdr:to>
      <xdr:col>3</xdr:col>
      <xdr:colOff>670890</xdr:colOff>
      <xdr:row>28</xdr:row>
      <xdr:rowOff>140804</xdr:rowOff>
    </xdr:to>
    <xdr:sp macro="" textlink="" fLocksText="0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3352800" y="5676900"/>
          <a:ext cx="114300" cy="76200"/>
        </a:xfrm>
        <a:prstGeom prst="triangle">
          <a:avLst/>
        </a:prstGeom>
      </xdr:spPr>
      <xdr:style>
        <a:lnRef idx="2">
          <a:schemeClr val="tx1">
            <a:shade val="15000"/>
          </a:schemeClr>
        </a:lnRef>
        <a:fillRef idx="1">
          <a:schemeClr val="tx1"/>
        </a:fillRef>
        <a:effectRef idx="0">
          <a:schemeClr val="tx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391512</xdr:colOff>
      <xdr:row>37</xdr:row>
      <xdr:rowOff>201466</xdr:rowOff>
    </xdr:from>
    <xdr:to>
      <xdr:col>12</xdr:col>
      <xdr:colOff>1210235</xdr:colOff>
      <xdr:row>39</xdr:row>
      <xdr:rowOff>56029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29975" y="7610475"/>
          <a:ext cx="819150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1" i="0" u="none" baseline="0">
              <a:solidFill>
                <a:srgbClr val="000000"/>
              </a:solidFill>
              <a:latin typeface="Calibri"/>
              <a:ea typeface="Calibri"/>
            </a:rPr>
            <a:t>印刷</a:t>
          </a:r>
        </a:p>
      </xdr:txBody>
    </xdr:sp>
    <xdr:clientData/>
  </xdr:twoCellAnchor>
  <xdr:twoCellAnchor>
    <xdr:from>
      <xdr:col>11</xdr:col>
      <xdr:colOff>660975</xdr:colOff>
      <xdr:row>37</xdr:row>
      <xdr:rowOff>211878</xdr:rowOff>
    </xdr:from>
    <xdr:to>
      <xdr:col>12</xdr:col>
      <xdr:colOff>10604</xdr:colOff>
      <xdr:row>39</xdr:row>
      <xdr:rowOff>65339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9982200" y="7620000"/>
          <a:ext cx="866775" cy="276225"/>
        </a:xfrm>
        <a:prstGeom prst="rect">
          <a:avLst/>
        </a:prstGeom>
        <a:solidFill>
          <a:srgbClr val="EFBDE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1100" b="1" i="0" u="none" baseline="0">
              <a:solidFill>
                <a:srgbClr val="000000"/>
              </a:solidFill>
              <a:latin typeface="Calibri"/>
              <a:ea typeface="Calibri"/>
            </a:rPr>
            <a:t>クリア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13</xdr:row>
          <xdr:rowOff>171450</xdr:rowOff>
        </xdr:from>
        <xdr:to>
          <xdr:col>6</xdr:col>
          <xdr:colOff>9525</xdr:colOff>
          <xdr:row>14</xdr:row>
          <xdr:rowOff>190500</xdr:rowOff>
        </xdr:to>
        <xdr:sp macro="" textlink="">
          <xdr:nvSpPr>
            <xdr:cNvPr id="8257" name="Check Box 65" hidden="1">
              <a:extLst>
                <a:ext uri="{63B3BB69-23CF-44E3-9099-C40C66FF867C}">
                  <a14:compatExt spid="_x0000_s8257"/>
                </a:ext>
                <a:ext uri="{FF2B5EF4-FFF2-40B4-BE49-F238E27FC236}">
                  <a16:creationId xmlns:a16="http://schemas.microsoft.com/office/drawing/2014/main" id="{00000000-0008-0000-0600-00004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12</xdr:row>
          <xdr:rowOff>171450</xdr:rowOff>
        </xdr:from>
        <xdr:to>
          <xdr:col>6</xdr:col>
          <xdr:colOff>9525</xdr:colOff>
          <xdr:row>13</xdr:row>
          <xdr:rowOff>180975</xdr:rowOff>
        </xdr:to>
        <xdr:sp macro="" textlink="">
          <xdr:nvSpPr>
            <xdr:cNvPr id="8258" name="Check Box 66" hidden="1">
              <a:extLst>
                <a:ext uri="{63B3BB69-23CF-44E3-9099-C40C66FF867C}">
                  <a14:compatExt spid="_x0000_s8258"/>
                </a:ext>
                <a:ext uri="{FF2B5EF4-FFF2-40B4-BE49-F238E27FC236}">
                  <a16:creationId xmlns:a16="http://schemas.microsoft.com/office/drawing/2014/main" id="{00000000-0008-0000-0600-00004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15</xdr:row>
          <xdr:rowOff>171450</xdr:rowOff>
        </xdr:from>
        <xdr:to>
          <xdr:col>6</xdr:col>
          <xdr:colOff>9525</xdr:colOff>
          <xdr:row>16</xdr:row>
          <xdr:rowOff>190500</xdr:rowOff>
        </xdr:to>
        <xdr:sp macro="" textlink="">
          <xdr:nvSpPr>
            <xdr:cNvPr id="8259" name="Check Box 67" hidden="1">
              <a:extLst>
                <a:ext uri="{63B3BB69-23CF-44E3-9099-C40C66FF867C}">
                  <a14:compatExt spid="_x0000_s8259"/>
                </a:ext>
                <a:ext uri="{FF2B5EF4-FFF2-40B4-BE49-F238E27FC236}">
                  <a16:creationId xmlns:a16="http://schemas.microsoft.com/office/drawing/2014/main" id="{00000000-0008-0000-0600-00004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14</xdr:row>
          <xdr:rowOff>180975</xdr:rowOff>
        </xdr:from>
        <xdr:to>
          <xdr:col>6</xdr:col>
          <xdr:colOff>9525</xdr:colOff>
          <xdr:row>16</xdr:row>
          <xdr:rowOff>0</xdr:rowOff>
        </xdr:to>
        <xdr:sp macro="" textlink="">
          <xdr:nvSpPr>
            <xdr:cNvPr id="8260" name="Check Box 68" hidden="1">
              <a:extLst>
                <a:ext uri="{63B3BB69-23CF-44E3-9099-C40C66FF867C}">
                  <a14:compatExt spid="_x0000_s8260"/>
                </a:ext>
                <a:ext uri="{FF2B5EF4-FFF2-40B4-BE49-F238E27FC236}">
                  <a16:creationId xmlns:a16="http://schemas.microsoft.com/office/drawing/2014/main" id="{00000000-0008-0000-0600-00004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17</xdr:row>
          <xdr:rowOff>180975</xdr:rowOff>
        </xdr:from>
        <xdr:to>
          <xdr:col>6</xdr:col>
          <xdr:colOff>19050</xdr:colOff>
          <xdr:row>19</xdr:row>
          <xdr:rowOff>0</xdr:rowOff>
        </xdr:to>
        <xdr:sp macro="" textlink="">
          <xdr:nvSpPr>
            <xdr:cNvPr id="8261" name="Check Box 69" hidden="1">
              <a:extLst>
                <a:ext uri="{63B3BB69-23CF-44E3-9099-C40C66FF867C}">
                  <a14:compatExt spid="_x0000_s8261"/>
                </a:ext>
                <a:ext uri="{FF2B5EF4-FFF2-40B4-BE49-F238E27FC236}">
                  <a16:creationId xmlns:a16="http://schemas.microsoft.com/office/drawing/2014/main" id="{00000000-0008-0000-0600-00004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16</xdr:row>
          <xdr:rowOff>180975</xdr:rowOff>
        </xdr:from>
        <xdr:to>
          <xdr:col>6</xdr:col>
          <xdr:colOff>19050</xdr:colOff>
          <xdr:row>18</xdr:row>
          <xdr:rowOff>0</xdr:rowOff>
        </xdr:to>
        <xdr:sp macro="" textlink="">
          <xdr:nvSpPr>
            <xdr:cNvPr id="8262" name="Check Box 70" hidden="1">
              <a:extLst>
                <a:ext uri="{63B3BB69-23CF-44E3-9099-C40C66FF867C}">
                  <a14:compatExt spid="_x0000_s8262"/>
                </a:ext>
                <a:ext uri="{FF2B5EF4-FFF2-40B4-BE49-F238E27FC236}">
                  <a16:creationId xmlns:a16="http://schemas.microsoft.com/office/drawing/2014/main" id="{00000000-0008-0000-0600-00004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20</xdr:row>
          <xdr:rowOff>180975</xdr:rowOff>
        </xdr:from>
        <xdr:to>
          <xdr:col>6</xdr:col>
          <xdr:colOff>19050</xdr:colOff>
          <xdr:row>22</xdr:row>
          <xdr:rowOff>0</xdr:rowOff>
        </xdr:to>
        <xdr:sp macro="" textlink="">
          <xdr:nvSpPr>
            <xdr:cNvPr id="8263" name="Check Box 71" hidden="1">
              <a:extLst>
                <a:ext uri="{63B3BB69-23CF-44E3-9099-C40C66FF867C}">
                  <a14:compatExt spid="_x0000_s8263"/>
                </a:ext>
                <a:ext uri="{FF2B5EF4-FFF2-40B4-BE49-F238E27FC236}">
                  <a16:creationId xmlns:a16="http://schemas.microsoft.com/office/drawing/2014/main" id="{00000000-0008-0000-0600-00004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18</xdr:row>
          <xdr:rowOff>180975</xdr:rowOff>
        </xdr:from>
        <xdr:to>
          <xdr:col>6</xdr:col>
          <xdr:colOff>19050</xdr:colOff>
          <xdr:row>20</xdr:row>
          <xdr:rowOff>0</xdr:rowOff>
        </xdr:to>
        <xdr:sp macro="" textlink="">
          <xdr:nvSpPr>
            <xdr:cNvPr id="8264" name="Check Box 72" hidden="1">
              <a:extLst>
                <a:ext uri="{63B3BB69-23CF-44E3-9099-C40C66FF867C}">
                  <a14:compatExt spid="_x0000_s8264"/>
                </a:ext>
                <a:ext uri="{FF2B5EF4-FFF2-40B4-BE49-F238E27FC236}">
                  <a16:creationId xmlns:a16="http://schemas.microsoft.com/office/drawing/2014/main" id="{00000000-0008-0000-0600-00004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19</xdr:row>
          <xdr:rowOff>171450</xdr:rowOff>
        </xdr:from>
        <xdr:to>
          <xdr:col>6</xdr:col>
          <xdr:colOff>19050</xdr:colOff>
          <xdr:row>20</xdr:row>
          <xdr:rowOff>190500</xdr:rowOff>
        </xdr:to>
        <xdr:sp macro="" textlink="">
          <xdr:nvSpPr>
            <xdr:cNvPr id="8265" name="Check Box 73" hidden="1">
              <a:extLst>
                <a:ext uri="{63B3BB69-23CF-44E3-9099-C40C66FF867C}">
                  <a14:compatExt spid="_x0000_s8265"/>
                </a:ext>
                <a:ext uri="{FF2B5EF4-FFF2-40B4-BE49-F238E27FC236}">
                  <a16:creationId xmlns:a16="http://schemas.microsoft.com/office/drawing/2014/main" id="{00000000-0008-0000-0600-00004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22</xdr:row>
          <xdr:rowOff>180975</xdr:rowOff>
        </xdr:from>
        <xdr:to>
          <xdr:col>6</xdr:col>
          <xdr:colOff>19050</xdr:colOff>
          <xdr:row>24</xdr:row>
          <xdr:rowOff>0</xdr:rowOff>
        </xdr:to>
        <xdr:sp macro="" textlink="">
          <xdr:nvSpPr>
            <xdr:cNvPr id="8266" name="Check Box 74" hidden="1">
              <a:extLst>
                <a:ext uri="{63B3BB69-23CF-44E3-9099-C40C66FF867C}">
                  <a14:compatExt spid="_x0000_s8266"/>
                </a:ext>
                <a:ext uri="{FF2B5EF4-FFF2-40B4-BE49-F238E27FC236}">
                  <a16:creationId xmlns:a16="http://schemas.microsoft.com/office/drawing/2014/main" id="{00000000-0008-0000-0600-00004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21</xdr:row>
          <xdr:rowOff>180975</xdr:rowOff>
        </xdr:from>
        <xdr:to>
          <xdr:col>6</xdr:col>
          <xdr:colOff>19050</xdr:colOff>
          <xdr:row>23</xdr:row>
          <xdr:rowOff>0</xdr:rowOff>
        </xdr:to>
        <xdr:sp macro="" textlink="">
          <xdr:nvSpPr>
            <xdr:cNvPr id="8267" name="Check Box 75" hidden="1">
              <a:extLst>
                <a:ext uri="{63B3BB69-23CF-44E3-9099-C40C66FF867C}">
                  <a14:compatExt spid="_x0000_s8267"/>
                </a:ext>
                <a:ext uri="{FF2B5EF4-FFF2-40B4-BE49-F238E27FC236}">
                  <a16:creationId xmlns:a16="http://schemas.microsoft.com/office/drawing/2014/main" id="{00000000-0008-0000-0600-00004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24</xdr:row>
          <xdr:rowOff>200025</xdr:rowOff>
        </xdr:from>
        <xdr:to>
          <xdr:col>6</xdr:col>
          <xdr:colOff>19050</xdr:colOff>
          <xdr:row>26</xdr:row>
          <xdr:rowOff>0</xdr:rowOff>
        </xdr:to>
        <xdr:sp macro="" textlink="">
          <xdr:nvSpPr>
            <xdr:cNvPr id="8268" name="Check Box 76" hidden="1">
              <a:extLst>
                <a:ext uri="{63B3BB69-23CF-44E3-9099-C40C66FF867C}">
                  <a14:compatExt spid="_x0000_s8268"/>
                </a:ext>
                <a:ext uri="{FF2B5EF4-FFF2-40B4-BE49-F238E27FC236}">
                  <a16:creationId xmlns:a16="http://schemas.microsoft.com/office/drawing/2014/main" id="{00000000-0008-0000-0600-00004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23</xdr:row>
          <xdr:rowOff>161925</xdr:rowOff>
        </xdr:from>
        <xdr:to>
          <xdr:col>6</xdr:col>
          <xdr:colOff>19050</xdr:colOff>
          <xdr:row>24</xdr:row>
          <xdr:rowOff>180975</xdr:rowOff>
        </xdr:to>
        <xdr:sp macro="" textlink="">
          <xdr:nvSpPr>
            <xdr:cNvPr id="8269" name="Check Box 77" hidden="1">
              <a:extLst>
                <a:ext uri="{63B3BB69-23CF-44E3-9099-C40C66FF867C}">
                  <a14:compatExt spid="_x0000_s8269"/>
                </a:ext>
                <a:ext uri="{FF2B5EF4-FFF2-40B4-BE49-F238E27FC236}">
                  <a16:creationId xmlns:a16="http://schemas.microsoft.com/office/drawing/2014/main" id="{00000000-0008-0000-0600-00004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26</xdr:row>
          <xdr:rowOff>190500</xdr:rowOff>
        </xdr:from>
        <xdr:to>
          <xdr:col>6</xdr:col>
          <xdr:colOff>38100</xdr:colOff>
          <xdr:row>28</xdr:row>
          <xdr:rowOff>0</xdr:rowOff>
        </xdr:to>
        <xdr:sp macro="" textlink="">
          <xdr:nvSpPr>
            <xdr:cNvPr id="8270" name="Check Box 78" hidden="1">
              <a:extLst>
                <a:ext uri="{63B3BB69-23CF-44E3-9099-C40C66FF867C}">
                  <a14:compatExt spid="_x0000_s8270"/>
                </a:ext>
                <a:ext uri="{FF2B5EF4-FFF2-40B4-BE49-F238E27FC236}">
                  <a16:creationId xmlns:a16="http://schemas.microsoft.com/office/drawing/2014/main" id="{00000000-0008-0000-0600-00004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25</xdr:row>
          <xdr:rowOff>200025</xdr:rowOff>
        </xdr:from>
        <xdr:to>
          <xdr:col>6</xdr:col>
          <xdr:colOff>38100</xdr:colOff>
          <xdr:row>27</xdr:row>
          <xdr:rowOff>0</xdr:rowOff>
        </xdr:to>
        <xdr:sp macro="" textlink="">
          <xdr:nvSpPr>
            <xdr:cNvPr id="8271" name="Check Box 79" hidden="1">
              <a:extLst>
                <a:ext uri="{63B3BB69-23CF-44E3-9099-C40C66FF867C}">
                  <a14:compatExt spid="_x0000_s8271"/>
                </a:ext>
                <a:ext uri="{FF2B5EF4-FFF2-40B4-BE49-F238E27FC236}">
                  <a16:creationId xmlns:a16="http://schemas.microsoft.com/office/drawing/2014/main" id="{00000000-0008-0000-0600-00004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29</xdr:row>
          <xdr:rowOff>180975</xdr:rowOff>
        </xdr:from>
        <xdr:to>
          <xdr:col>6</xdr:col>
          <xdr:colOff>38100</xdr:colOff>
          <xdr:row>31</xdr:row>
          <xdr:rowOff>0</xdr:rowOff>
        </xdr:to>
        <xdr:sp macro="" textlink="">
          <xdr:nvSpPr>
            <xdr:cNvPr id="8272" name="Check Box 80" hidden="1">
              <a:extLst>
                <a:ext uri="{63B3BB69-23CF-44E3-9099-C40C66FF867C}">
                  <a14:compatExt spid="_x0000_s8272"/>
                </a:ext>
                <a:ext uri="{FF2B5EF4-FFF2-40B4-BE49-F238E27FC236}">
                  <a16:creationId xmlns:a16="http://schemas.microsoft.com/office/drawing/2014/main" id="{00000000-0008-0000-0600-00005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27</xdr:row>
          <xdr:rowOff>180975</xdr:rowOff>
        </xdr:from>
        <xdr:to>
          <xdr:col>6</xdr:col>
          <xdr:colOff>38100</xdr:colOff>
          <xdr:row>29</xdr:row>
          <xdr:rowOff>0</xdr:rowOff>
        </xdr:to>
        <xdr:sp macro="" textlink="">
          <xdr:nvSpPr>
            <xdr:cNvPr id="8273" name="Check Box 81" hidden="1">
              <a:extLst>
                <a:ext uri="{63B3BB69-23CF-44E3-9099-C40C66FF867C}">
                  <a14:compatExt spid="_x0000_s8273"/>
                </a:ext>
                <a:ext uri="{FF2B5EF4-FFF2-40B4-BE49-F238E27FC236}">
                  <a16:creationId xmlns:a16="http://schemas.microsoft.com/office/drawing/2014/main" id="{00000000-0008-0000-0600-00005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28</xdr:row>
          <xdr:rowOff>171450</xdr:rowOff>
        </xdr:from>
        <xdr:to>
          <xdr:col>6</xdr:col>
          <xdr:colOff>38100</xdr:colOff>
          <xdr:row>29</xdr:row>
          <xdr:rowOff>190500</xdr:rowOff>
        </xdr:to>
        <xdr:sp macro="" textlink="">
          <xdr:nvSpPr>
            <xdr:cNvPr id="8274" name="Check Box 82" hidden="1">
              <a:extLst>
                <a:ext uri="{63B3BB69-23CF-44E3-9099-C40C66FF867C}">
                  <a14:compatExt spid="_x0000_s8274"/>
                </a:ext>
                <a:ext uri="{FF2B5EF4-FFF2-40B4-BE49-F238E27FC236}">
                  <a16:creationId xmlns:a16="http://schemas.microsoft.com/office/drawing/2014/main" id="{00000000-0008-0000-0600-00005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30</xdr:row>
          <xdr:rowOff>171450</xdr:rowOff>
        </xdr:from>
        <xdr:to>
          <xdr:col>6</xdr:col>
          <xdr:colOff>19050</xdr:colOff>
          <xdr:row>32</xdr:row>
          <xdr:rowOff>0</xdr:rowOff>
        </xdr:to>
        <xdr:sp macro="" textlink="">
          <xdr:nvSpPr>
            <xdr:cNvPr id="8275" name="Check Box 83" hidden="1">
              <a:extLst>
                <a:ext uri="{63B3BB69-23CF-44E3-9099-C40C66FF867C}">
                  <a14:compatExt spid="_x0000_s8275"/>
                </a:ext>
                <a:ext uri="{FF2B5EF4-FFF2-40B4-BE49-F238E27FC236}">
                  <a16:creationId xmlns:a16="http://schemas.microsoft.com/office/drawing/2014/main" id="{00000000-0008-0000-0600-00005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32</xdr:row>
          <xdr:rowOff>190500</xdr:rowOff>
        </xdr:from>
        <xdr:to>
          <xdr:col>6</xdr:col>
          <xdr:colOff>9525</xdr:colOff>
          <xdr:row>34</xdr:row>
          <xdr:rowOff>9525</xdr:rowOff>
        </xdr:to>
        <xdr:sp macro="" textlink="">
          <xdr:nvSpPr>
            <xdr:cNvPr id="8276" name="Check Box 84" hidden="1">
              <a:extLst>
                <a:ext uri="{63B3BB69-23CF-44E3-9099-C40C66FF867C}">
                  <a14:compatExt spid="_x0000_s8276"/>
                </a:ext>
                <a:ext uri="{FF2B5EF4-FFF2-40B4-BE49-F238E27FC236}">
                  <a16:creationId xmlns:a16="http://schemas.microsoft.com/office/drawing/2014/main" id="{00000000-0008-0000-0600-00005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31</xdr:row>
          <xdr:rowOff>190500</xdr:rowOff>
        </xdr:from>
        <xdr:to>
          <xdr:col>6</xdr:col>
          <xdr:colOff>9525</xdr:colOff>
          <xdr:row>33</xdr:row>
          <xdr:rowOff>9525</xdr:rowOff>
        </xdr:to>
        <xdr:sp macro="" textlink="">
          <xdr:nvSpPr>
            <xdr:cNvPr id="8277" name="Check Box 85" hidden="1">
              <a:extLst>
                <a:ext uri="{63B3BB69-23CF-44E3-9099-C40C66FF867C}">
                  <a14:compatExt spid="_x0000_s8277"/>
                </a:ext>
                <a:ext uri="{FF2B5EF4-FFF2-40B4-BE49-F238E27FC236}">
                  <a16:creationId xmlns:a16="http://schemas.microsoft.com/office/drawing/2014/main" id="{00000000-0008-0000-0600-00005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35</xdr:row>
          <xdr:rowOff>190500</xdr:rowOff>
        </xdr:from>
        <xdr:to>
          <xdr:col>6</xdr:col>
          <xdr:colOff>9525</xdr:colOff>
          <xdr:row>37</xdr:row>
          <xdr:rowOff>9525</xdr:rowOff>
        </xdr:to>
        <xdr:sp macro="" textlink="">
          <xdr:nvSpPr>
            <xdr:cNvPr id="8278" name="Check Box 86" hidden="1">
              <a:extLst>
                <a:ext uri="{63B3BB69-23CF-44E3-9099-C40C66FF867C}">
                  <a14:compatExt spid="_x0000_s8278"/>
                </a:ext>
                <a:ext uri="{FF2B5EF4-FFF2-40B4-BE49-F238E27FC236}">
                  <a16:creationId xmlns:a16="http://schemas.microsoft.com/office/drawing/2014/main" id="{00000000-0008-0000-0600-00005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33</xdr:row>
          <xdr:rowOff>190500</xdr:rowOff>
        </xdr:from>
        <xdr:to>
          <xdr:col>6</xdr:col>
          <xdr:colOff>9525</xdr:colOff>
          <xdr:row>35</xdr:row>
          <xdr:rowOff>9525</xdr:rowOff>
        </xdr:to>
        <xdr:sp macro="" textlink="">
          <xdr:nvSpPr>
            <xdr:cNvPr id="8279" name="Check Box 87" hidden="1">
              <a:extLst>
                <a:ext uri="{63B3BB69-23CF-44E3-9099-C40C66FF867C}">
                  <a14:compatExt spid="_x0000_s8279"/>
                </a:ext>
                <a:ext uri="{FF2B5EF4-FFF2-40B4-BE49-F238E27FC236}">
                  <a16:creationId xmlns:a16="http://schemas.microsoft.com/office/drawing/2014/main" id="{00000000-0008-0000-0600-00005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34</xdr:row>
          <xdr:rowOff>180975</xdr:rowOff>
        </xdr:from>
        <xdr:to>
          <xdr:col>6</xdr:col>
          <xdr:colOff>9525</xdr:colOff>
          <xdr:row>36</xdr:row>
          <xdr:rowOff>0</xdr:rowOff>
        </xdr:to>
        <xdr:sp macro="" textlink="">
          <xdr:nvSpPr>
            <xdr:cNvPr id="8280" name="Check Box 88" hidden="1">
              <a:extLst>
                <a:ext uri="{63B3BB69-23CF-44E3-9099-C40C66FF867C}">
                  <a14:compatExt spid="_x0000_s8280"/>
                </a:ext>
                <a:ext uri="{FF2B5EF4-FFF2-40B4-BE49-F238E27FC236}">
                  <a16:creationId xmlns:a16="http://schemas.microsoft.com/office/drawing/2014/main" id="{00000000-0008-0000-0600-00005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customWidth="1"/>
  </cols>
  <sheetData>
    <row r="1" spans="1:63" ht="24.95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2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93" t="s">
        <v>14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83" t="s">
        <v>3</v>
      </c>
      <c r="AQ1" s="84"/>
      <c r="AR1" s="84"/>
      <c r="AS1" s="85"/>
      <c r="AT1" s="83" t="s">
        <v>4</v>
      </c>
      <c r="AU1" s="84"/>
      <c r="AV1" s="84"/>
      <c r="AW1" s="84"/>
      <c r="AX1" s="85"/>
      <c r="AY1" s="83" t="s">
        <v>5</v>
      </c>
      <c r="AZ1" s="84"/>
      <c r="BA1" s="84"/>
      <c r="BB1" s="85"/>
      <c r="BC1" s="83" t="s">
        <v>6</v>
      </c>
      <c r="BD1" s="84"/>
      <c r="BE1" s="84"/>
      <c r="BF1" s="84"/>
      <c r="BG1" s="85"/>
      <c r="BH1" s="83" t="s">
        <v>7</v>
      </c>
      <c r="BI1" s="84"/>
      <c r="BJ1" s="84"/>
      <c r="BK1" s="85"/>
    </row>
    <row r="2" spans="1:63" ht="15" customHeight="1">
      <c r="A2" s="92" t="s">
        <v>20</v>
      </c>
      <c r="B2" s="87"/>
      <c r="C2" s="87"/>
      <c r="D2" s="87"/>
      <c r="E2" s="87"/>
      <c r="F2" s="87"/>
      <c r="G2" s="87"/>
      <c r="H2" s="87"/>
      <c r="I2" s="87"/>
      <c r="J2" s="88"/>
      <c r="K2" s="86" t="s">
        <v>13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86" t="str">
        <f>改訂履歴!$H$11</f>
        <v>DuNT</v>
      </c>
      <c r="AQ2" s="87"/>
      <c r="AR2" s="87"/>
      <c r="AS2" s="88"/>
      <c r="AT2" s="113">
        <f>改訂履歴!$B$11</f>
        <v>45511</v>
      </c>
      <c r="AU2" s="114"/>
      <c r="AV2" s="114"/>
      <c r="AW2" s="114"/>
      <c r="AX2" s="115"/>
      <c r="AY2" s="86" t="str">
        <f>LOOKUP(2,1/(改訂履歴!H11:H30000&lt;&gt;""),改訂履歴!H11:H30000)</f>
        <v>DuNT</v>
      </c>
      <c r="AZ2" s="87"/>
      <c r="BA2" s="87"/>
      <c r="BB2" s="88"/>
      <c r="BC2" s="113">
        <f>LOOKUP(2,1/(改訂履歴!B11:B30000&lt;&gt;""),改訂履歴!B11:B30000)</f>
        <v>45539</v>
      </c>
      <c r="BD2" s="114"/>
      <c r="BE2" s="114"/>
      <c r="BF2" s="114"/>
      <c r="BG2" s="115"/>
      <c r="BH2" s="107">
        <f>LOOKUP(2,1/(改訂履歴!O11:O30000&lt;&gt;""),改訂履歴!O11:O30000)</f>
        <v>0.2</v>
      </c>
      <c r="BI2" s="108"/>
      <c r="BJ2" s="108"/>
      <c r="BK2" s="109"/>
    </row>
    <row r="3" spans="1:63" ht="15" customHeight="1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110"/>
      <c r="BI3" s="111"/>
      <c r="BJ3" s="111"/>
      <c r="BK3" s="112"/>
    </row>
    <row r="4" spans="1:63" ht="24.95" customHeight="1">
      <c r="A4" s="83" t="s">
        <v>1</v>
      </c>
      <c r="B4" s="84"/>
      <c r="C4" s="84"/>
      <c r="D4" s="84"/>
      <c r="E4" s="84"/>
      <c r="F4" s="84"/>
      <c r="G4" s="85"/>
      <c r="H4" s="104" t="s">
        <v>24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83" t="s">
        <v>8</v>
      </c>
      <c r="V4" s="84"/>
      <c r="W4" s="84"/>
      <c r="X4" s="84"/>
      <c r="Y4" s="85"/>
      <c r="Z4" s="104" t="s">
        <v>15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/>
      <c r="AP4" s="104" t="str">
        <f t="array" aca="1" ref="AP4" ca="1">RIGHT(CELL("filename",$A$1),LEN(CELL("filename",$A$1))-FIND("]",CELL("filename",$A$1)))</f>
        <v>表紙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02" t="s">
        <v>22</v>
      </c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2"/>
      <c r="BK16" s="4"/>
    </row>
    <row r="17" spans="1:63" ht="15" customHeight="1">
      <c r="A17" s="1"/>
      <c r="K17" s="6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2"/>
      <c r="BK17" s="4"/>
    </row>
    <row r="18" spans="1:63" ht="15" customHeight="1">
      <c r="A18" s="1"/>
      <c r="K18" s="6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2"/>
      <c r="BK18" s="4"/>
    </row>
    <row r="19" spans="1:63" ht="15" customHeight="1">
      <c r="A19" s="1"/>
      <c r="K19" s="6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2"/>
      <c r="BK19" s="4"/>
    </row>
    <row r="20" spans="1:63" ht="15" customHeight="1">
      <c r="A20" s="1"/>
      <c r="K20" s="6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2"/>
      <c r="BK20" s="4"/>
    </row>
    <row r="21" spans="1:63" ht="15" customHeight="1">
      <c r="A21" s="1"/>
      <c r="K21" s="6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03" t="str">
        <f>K2&amp;"/"&amp;H4&amp;"/"&amp;Z4</f>
        <v>POSサーバ/16_保留・保留解除/概要設計</v>
      </c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2"/>
      <c r="BK24" s="4"/>
    </row>
    <row r="25" spans="1:63" ht="15" customHeight="1">
      <c r="A25" s="1"/>
      <c r="K25" s="6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2"/>
      <c r="BK25" s="4"/>
    </row>
    <row r="26" spans="1:63" ht="15" customHeight="1">
      <c r="A26" s="1"/>
      <c r="K26" s="6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2"/>
      <c r="BK26" s="4"/>
    </row>
    <row r="27" spans="1:63" ht="15" customHeight="1">
      <c r="A27" s="1"/>
      <c r="K27" s="6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2"/>
      <c r="BK27" s="4"/>
    </row>
    <row r="28" spans="1:63" ht="15" customHeight="1">
      <c r="A28" s="1"/>
      <c r="K28" s="6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2"/>
      <c r="BK28" s="4"/>
    </row>
    <row r="29" spans="1:63" ht="15" customHeight="1">
      <c r="A29" s="1"/>
      <c r="K29" s="6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2"/>
      <c r="BK29" s="4"/>
    </row>
    <row r="30" spans="1:63" ht="15" customHeight="1">
      <c r="A30" s="1"/>
      <c r="K30" s="6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2"/>
      <c r="BK30" s="4"/>
    </row>
    <row r="31" spans="1:63" ht="15" customHeight="1">
      <c r="A31" s="1"/>
      <c r="K31" s="6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2"/>
      <c r="BK31" s="4"/>
    </row>
    <row r="32" spans="1:63" ht="15" customHeight="1">
      <c r="A32" s="1"/>
      <c r="K32" s="6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2"/>
      <c r="BK32" s="4"/>
    </row>
    <row r="33" spans="1:63" ht="15" customHeight="1">
      <c r="A33" s="1"/>
      <c r="K33" s="6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2"/>
      <c r="BK33" s="4"/>
    </row>
    <row r="34" spans="1:63" ht="15" customHeight="1">
      <c r="A34" s="1"/>
      <c r="K34" s="6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2"/>
      <c r="BK34" s="4"/>
    </row>
    <row r="35" spans="1:63" ht="15" customHeight="1">
      <c r="A35" s="1"/>
      <c r="K35" s="6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2"/>
      <c r="BK35" s="4"/>
    </row>
    <row r="36" spans="1:63" ht="15" customHeight="1">
      <c r="A36" s="1"/>
      <c r="K36" s="6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122" t="s">
        <v>11</v>
      </c>
      <c r="R44" s="123"/>
      <c r="S44" s="123"/>
      <c r="T44" s="123"/>
      <c r="U44" s="123"/>
      <c r="V44" s="123"/>
      <c r="W44" s="123"/>
      <c r="X44" s="123"/>
      <c r="Y44" s="123"/>
      <c r="Z44" s="124"/>
      <c r="AA44" s="122" t="s">
        <v>12</v>
      </c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4"/>
      <c r="AQ44" s="122" t="s">
        <v>7</v>
      </c>
      <c r="AR44" s="123"/>
      <c r="AS44" s="123"/>
      <c r="AT44" s="123"/>
      <c r="AU44" s="124"/>
      <c r="BK44" s="4"/>
    </row>
    <row r="45" spans="1:63" ht="15" customHeight="1">
      <c r="A45" s="1"/>
      <c r="Q45" s="125"/>
      <c r="R45" s="126"/>
      <c r="S45" s="126"/>
      <c r="T45" s="126"/>
      <c r="U45" s="126"/>
      <c r="V45" s="126"/>
      <c r="W45" s="126"/>
      <c r="X45" s="126"/>
      <c r="Y45" s="126"/>
      <c r="Z45" s="127"/>
      <c r="AA45" s="125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7"/>
      <c r="AQ45" s="125"/>
      <c r="AR45" s="126"/>
      <c r="AS45" s="126"/>
      <c r="AT45" s="126"/>
      <c r="AU45" s="127"/>
      <c r="BK45" s="4"/>
    </row>
    <row r="46" spans="1:63" ht="15" customHeight="1">
      <c r="A46" s="1"/>
      <c r="Q46" s="86"/>
      <c r="R46" s="87"/>
      <c r="S46" s="87"/>
      <c r="T46" s="87"/>
      <c r="U46" s="87"/>
      <c r="V46" s="87"/>
      <c r="W46" s="87"/>
      <c r="X46" s="87"/>
      <c r="Y46" s="87"/>
      <c r="Z46" s="88"/>
      <c r="AA46" s="86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8"/>
      <c r="AQ46" s="86"/>
      <c r="AR46" s="87"/>
      <c r="AS46" s="87"/>
      <c r="AT46" s="87"/>
      <c r="AU46" s="88"/>
      <c r="BK46" s="4"/>
    </row>
    <row r="47" spans="1:63" ht="15" customHeight="1">
      <c r="A47" s="1"/>
      <c r="Q47" s="119"/>
      <c r="R47" s="120"/>
      <c r="S47" s="120"/>
      <c r="T47" s="120"/>
      <c r="U47" s="120"/>
      <c r="V47" s="120"/>
      <c r="W47" s="120"/>
      <c r="X47" s="120"/>
      <c r="Y47" s="120"/>
      <c r="Z47" s="121"/>
      <c r="AA47" s="119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1"/>
      <c r="AQ47" s="119"/>
      <c r="AR47" s="120"/>
      <c r="AS47" s="120"/>
      <c r="AT47" s="120"/>
      <c r="AU47" s="121"/>
      <c r="BK47" s="4"/>
    </row>
    <row r="48" spans="1:63" ht="15" customHeight="1">
      <c r="A48" s="1"/>
      <c r="Q48" s="119"/>
      <c r="R48" s="120"/>
      <c r="S48" s="120"/>
      <c r="T48" s="120"/>
      <c r="U48" s="120"/>
      <c r="V48" s="120"/>
      <c r="W48" s="120"/>
      <c r="X48" s="120"/>
      <c r="Y48" s="120"/>
      <c r="Z48" s="121"/>
      <c r="AA48" s="119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1"/>
      <c r="AQ48" s="119"/>
      <c r="AR48" s="120"/>
      <c r="AS48" s="120"/>
      <c r="AT48" s="120"/>
      <c r="AU48" s="121"/>
      <c r="BK48" s="4"/>
    </row>
    <row r="49" spans="1:63" ht="15" customHeight="1">
      <c r="A49" s="1"/>
      <c r="Q49" s="89"/>
      <c r="R49" s="90"/>
      <c r="S49" s="90"/>
      <c r="T49" s="90"/>
      <c r="U49" s="90"/>
      <c r="V49" s="90"/>
      <c r="W49" s="90"/>
      <c r="X49" s="90"/>
      <c r="Y49" s="90"/>
      <c r="Z49" s="91"/>
      <c r="AA49" s="89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1"/>
      <c r="AQ49" s="89"/>
      <c r="AR49" s="90"/>
      <c r="AS49" s="90"/>
      <c r="AT49" s="90"/>
      <c r="AU49" s="9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customWidth="1"/>
  </cols>
  <sheetData>
    <row r="1" spans="1:63" ht="24.95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2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93" t="str">
        <f>IF(表紙!W1="","",表紙!W1)</f>
        <v>基本設計書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83" t="s">
        <v>3</v>
      </c>
      <c r="AQ1" s="84"/>
      <c r="AR1" s="84"/>
      <c r="AS1" s="85"/>
      <c r="AT1" s="83" t="s">
        <v>4</v>
      </c>
      <c r="AU1" s="84"/>
      <c r="AV1" s="84"/>
      <c r="AW1" s="84"/>
      <c r="AX1" s="85"/>
      <c r="AY1" s="83" t="s">
        <v>5</v>
      </c>
      <c r="AZ1" s="84"/>
      <c r="BA1" s="84"/>
      <c r="BB1" s="85"/>
      <c r="BC1" s="83" t="s">
        <v>6</v>
      </c>
      <c r="BD1" s="84"/>
      <c r="BE1" s="84"/>
      <c r="BF1" s="84"/>
      <c r="BG1" s="85"/>
      <c r="BH1" s="83" t="s">
        <v>7</v>
      </c>
      <c r="BI1" s="84"/>
      <c r="BJ1" s="84"/>
      <c r="BK1" s="85"/>
    </row>
    <row r="2" spans="1:63" ht="15" customHeight="1">
      <c r="A2" s="86" t="str">
        <f>IF(表紙!A2="","",表紙!A2)</f>
        <v>POSサーバー</v>
      </c>
      <c r="B2" s="87"/>
      <c r="C2" s="87"/>
      <c r="D2" s="87"/>
      <c r="E2" s="87"/>
      <c r="F2" s="87"/>
      <c r="G2" s="87"/>
      <c r="H2" s="87"/>
      <c r="I2" s="87"/>
      <c r="J2" s="88"/>
      <c r="K2" s="86" t="str">
        <f>IF(表紙!K2="","",表紙!K2)</f>
        <v>POSサーバ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86" t="str">
        <f>IF(表紙!AP2="","",表紙!AP2)</f>
        <v>DuNT</v>
      </c>
      <c r="AQ2" s="87"/>
      <c r="AR2" s="87"/>
      <c r="AS2" s="88"/>
      <c r="AT2" s="113">
        <f>IF(表紙!AT2="","",表紙!AT2)</f>
        <v>45511</v>
      </c>
      <c r="AU2" s="114"/>
      <c r="AV2" s="114"/>
      <c r="AW2" s="114"/>
      <c r="AX2" s="115"/>
      <c r="AY2" s="86" t="str">
        <f>IF(表紙!AY2="","",表紙!AY2)</f>
        <v>DuNT</v>
      </c>
      <c r="AZ2" s="87"/>
      <c r="BA2" s="87"/>
      <c r="BB2" s="88"/>
      <c r="BC2" s="113">
        <f>IF(表紙!BC2="","",表紙!BC2)</f>
        <v>45539</v>
      </c>
      <c r="BD2" s="114"/>
      <c r="BE2" s="114"/>
      <c r="BF2" s="114"/>
      <c r="BG2" s="115"/>
      <c r="BH2" s="86">
        <f>IF(表紙!BH2="","",表紙!BH2)</f>
        <v>0.2</v>
      </c>
      <c r="BI2" s="87"/>
      <c r="BJ2" s="87"/>
      <c r="BK2" s="88"/>
    </row>
    <row r="3" spans="1:63" ht="15" customHeight="1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89"/>
      <c r="BI3" s="90"/>
      <c r="BJ3" s="90"/>
      <c r="BK3" s="91"/>
    </row>
    <row r="4" spans="1:63" ht="24.95" customHeight="1">
      <c r="A4" s="83" t="s">
        <v>67</v>
      </c>
      <c r="B4" s="84"/>
      <c r="C4" s="84"/>
      <c r="D4" s="84"/>
      <c r="E4" s="84"/>
      <c r="F4" s="84"/>
      <c r="G4" s="85"/>
      <c r="H4" s="104" t="str">
        <f>IF(表紙!H4="","",表紙!H4)</f>
        <v>16_保留・保留解除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83" t="s">
        <v>8</v>
      </c>
      <c r="V4" s="84"/>
      <c r="W4" s="84"/>
      <c r="X4" s="84"/>
      <c r="Y4" s="85"/>
      <c r="Z4" s="104" t="str">
        <f>IF(表紙!Z4="","",表紙!Z4)</f>
        <v>概要設計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/>
      <c r="AP4" s="104" t="str">
        <f t="array" aca="1" ref="AP4" ca="1">RIGHT(CELL("filename",$A$1),LEN(CELL("filename",$A$1))-FIND("]",CELL("filename",$A$1)))</f>
        <v>改訂履歴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9</v>
      </c>
      <c r="BK8" s="4"/>
    </row>
    <row r="9" spans="1:63" ht="15" customHeight="1">
      <c r="A9" s="1"/>
      <c r="BK9" s="4"/>
    </row>
    <row r="10" spans="1:63" ht="15" customHeight="1">
      <c r="A10" s="1"/>
      <c r="B10" s="150" t="s">
        <v>6</v>
      </c>
      <c r="C10" s="150"/>
      <c r="D10" s="150"/>
      <c r="E10" s="150"/>
      <c r="F10" s="150"/>
      <c r="G10" s="150"/>
      <c r="H10" s="150" t="s">
        <v>5</v>
      </c>
      <c r="I10" s="150"/>
      <c r="J10" s="150"/>
      <c r="K10" s="150"/>
      <c r="L10" s="150"/>
      <c r="M10" s="150"/>
      <c r="N10" s="150"/>
      <c r="O10" s="150" t="s">
        <v>7</v>
      </c>
      <c r="P10" s="150"/>
      <c r="Q10" s="150"/>
      <c r="R10" s="150"/>
      <c r="S10" s="150" t="s">
        <v>10</v>
      </c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 t="s">
        <v>11</v>
      </c>
      <c r="AY10" s="150"/>
      <c r="AZ10" s="150"/>
      <c r="BA10" s="150"/>
      <c r="BB10" s="150"/>
      <c r="BC10" s="150"/>
      <c r="BD10" s="150" t="s">
        <v>12</v>
      </c>
      <c r="BE10" s="150"/>
      <c r="BF10" s="150"/>
      <c r="BG10" s="150"/>
      <c r="BH10" s="150"/>
      <c r="BI10" s="150"/>
      <c r="BJ10" s="150"/>
      <c r="BK10" s="4"/>
    </row>
    <row r="11" spans="1:63" ht="15" customHeight="1">
      <c r="A11" s="1"/>
      <c r="B11" s="113">
        <v>45511</v>
      </c>
      <c r="C11" s="87"/>
      <c r="D11" s="87"/>
      <c r="E11" s="87"/>
      <c r="F11" s="87"/>
      <c r="G11" s="88"/>
      <c r="H11" s="92" t="s">
        <v>68</v>
      </c>
      <c r="I11" s="87"/>
      <c r="J11" s="87"/>
      <c r="K11" s="87"/>
      <c r="L11" s="87"/>
      <c r="M11" s="87"/>
      <c r="N11" s="88"/>
      <c r="O11" s="86">
        <v>0.1</v>
      </c>
      <c r="P11" s="87"/>
      <c r="Q11" s="87"/>
      <c r="R11" s="87"/>
      <c r="S11" s="147" t="s">
        <v>19</v>
      </c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9"/>
      <c r="AX11" s="138"/>
      <c r="AY11" s="138"/>
      <c r="AZ11" s="138"/>
      <c r="BA11" s="138"/>
      <c r="BB11" s="138"/>
      <c r="BC11" s="139"/>
      <c r="BD11" s="142"/>
      <c r="BE11" s="138"/>
      <c r="BF11" s="138"/>
      <c r="BG11" s="138"/>
      <c r="BH11" s="138"/>
      <c r="BI11" s="138"/>
      <c r="BJ11" s="139"/>
      <c r="BK11" s="4"/>
    </row>
    <row r="12" spans="1:63" ht="15" customHeight="1">
      <c r="A12" s="1"/>
      <c r="B12" s="89"/>
      <c r="C12" s="90"/>
      <c r="D12" s="90"/>
      <c r="E12" s="90"/>
      <c r="F12" s="90"/>
      <c r="G12" s="91"/>
      <c r="H12" s="89"/>
      <c r="I12" s="90"/>
      <c r="J12" s="90"/>
      <c r="K12" s="90"/>
      <c r="L12" s="90"/>
      <c r="M12" s="90"/>
      <c r="N12" s="91"/>
      <c r="O12" s="89"/>
      <c r="P12" s="90"/>
      <c r="Q12" s="90"/>
      <c r="R12" s="90"/>
      <c r="S12" s="144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6"/>
      <c r="AX12" s="140"/>
      <c r="AY12" s="140"/>
      <c r="AZ12" s="140"/>
      <c r="BA12" s="140"/>
      <c r="BB12" s="140"/>
      <c r="BC12" s="141"/>
      <c r="BD12" s="143"/>
      <c r="BE12" s="140"/>
      <c r="BF12" s="140"/>
      <c r="BG12" s="140"/>
      <c r="BH12" s="140"/>
      <c r="BI12" s="140"/>
      <c r="BJ12" s="141"/>
      <c r="BK12" s="4"/>
    </row>
    <row r="13" spans="1:63" ht="15" customHeight="1">
      <c r="A13" s="1"/>
      <c r="B13" s="128">
        <v>45539</v>
      </c>
      <c r="C13" s="129"/>
      <c r="D13" s="129"/>
      <c r="E13" s="129"/>
      <c r="F13" s="129"/>
      <c r="G13" s="130"/>
      <c r="H13" s="134" t="s">
        <v>73</v>
      </c>
      <c r="I13" s="129"/>
      <c r="J13" s="129"/>
      <c r="K13" s="129"/>
      <c r="L13" s="129"/>
      <c r="M13" s="129"/>
      <c r="N13" s="130"/>
      <c r="O13" s="134">
        <v>0.2</v>
      </c>
      <c r="P13" s="129"/>
      <c r="Q13" s="129"/>
      <c r="R13" s="129"/>
      <c r="S13" s="135" t="s">
        <v>71</v>
      </c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7"/>
      <c r="AX13" s="138"/>
      <c r="AY13" s="138"/>
      <c r="AZ13" s="138"/>
      <c r="BA13" s="138"/>
      <c r="BB13" s="138"/>
      <c r="BC13" s="139"/>
      <c r="BD13" s="142"/>
      <c r="BE13" s="138"/>
      <c r="BF13" s="138"/>
      <c r="BG13" s="138"/>
      <c r="BH13" s="138"/>
      <c r="BI13" s="138"/>
      <c r="BJ13" s="139"/>
      <c r="BK13" s="4"/>
    </row>
    <row r="14" spans="1:63">
      <c r="A14" s="1"/>
      <c r="B14" s="131"/>
      <c r="C14" s="132"/>
      <c r="D14" s="132"/>
      <c r="E14" s="132"/>
      <c r="F14" s="132"/>
      <c r="G14" s="133"/>
      <c r="H14" s="131"/>
      <c r="I14" s="132"/>
      <c r="J14" s="132"/>
      <c r="K14" s="132"/>
      <c r="L14" s="132"/>
      <c r="M14" s="132"/>
      <c r="N14" s="133"/>
      <c r="O14" s="131"/>
      <c r="P14" s="132"/>
      <c r="Q14" s="132"/>
      <c r="R14" s="132"/>
      <c r="S14" s="170" t="s">
        <v>72</v>
      </c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2"/>
      <c r="AX14" s="140"/>
      <c r="AY14" s="140"/>
      <c r="AZ14" s="140"/>
      <c r="BA14" s="140"/>
      <c r="BB14" s="140"/>
      <c r="BC14" s="141"/>
      <c r="BD14" s="143"/>
      <c r="BE14" s="140"/>
      <c r="BF14" s="140"/>
      <c r="BG14" s="140"/>
      <c r="BH14" s="140"/>
      <c r="BI14" s="140"/>
      <c r="BJ14" s="141"/>
      <c r="BK14" s="4"/>
    </row>
    <row r="15" spans="1:63" ht="15" customHeight="1">
      <c r="A15" s="1"/>
      <c r="B15" s="173"/>
      <c r="C15" s="174"/>
      <c r="D15" s="174"/>
      <c r="E15" s="174"/>
      <c r="F15" s="174"/>
      <c r="G15" s="175"/>
      <c r="H15" s="179"/>
      <c r="I15" s="174"/>
      <c r="J15" s="174"/>
      <c r="K15" s="174"/>
      <c r="L15" s="174"/>
      <c r="M15" s="174"/>
      <c r="N15" s="175"/>
      <c r="O15" s="179"/>
      <c r="P15" s="174"/>
      <c r="Q15" s="174"/>
      <c r="R15" s="174"/>
      <c r="S15" s="180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2"/>
      <c r="AX15" s="183"/>
      <c r="AY15" s="183"/>
      <c r="AZ15" s="183"/>
      <c r="BA15" s="183"/>
      <c r="BB15" s="183"/>
      <c r="BC15" s="184"/>
      <c r="BD15" s="187"/>
      <c r="BE15" s="183"/>
      <c r="BF15" s="183"/>
      <c r="BG15" s="183"/>
      <c r="BH15" s="183"/>
      <c r="BI15" s="183"/>
      <c r="BJ15" s="184"/>
      <c r="BK15" s="4"/>
    </row>
    <row r="16" spans="1:63" ht="15" customHeight="1">
      <c r="A16" s="1"/>
      <c r="B16" s="176"/>
      <c r="C16" s="177"/>
      <c r="D16" s="177"/>
      <c r="E16" s="177"/>
      <c r="F16" s="177"/>
      <c r="G16" s="178"/>
      <c r="H16" s="176"/>
      <c r="I16" s="177"/>
      <c r="J16" s="177"/>
      <c r="K16" s="177"/>
      <c r="L16" s="177"/>
      <c r="M16" s="177"/>
      <c r="N16" s="178"/>
      <c r="O16" s="176"/>
      <c r="P16" s="177"/>
      <c r="Q16" s="177"/>
      <c r="R16" s="177"/>
      <c r="S16" s="189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1"/>
      <c r="AX16" s="185"/>
      <c r="AY16" s="185"/>
      <c r="AZ16" s="185"/>
      <c r="BA16" s="185"/>
      <c r="BB16" s="185"/>
      <c r="BC16" s="186"/>
      <c r="BD16" s="188"/>
      <c r="BE16" s="185"/>
      <c r="BF16" s="185"/>
      <c r="BG16" s="185"/>
      <c r="BH16" s="185"/>
      <c r="BI16" s="185"/>
      <c r="BJ16" s="186"/>
      <c r="BK16" s="4"/>
    </row>
    <row r="17" spans="1:63" ht="15" customHeight="1">
      <c r="A17" s="1"/>
      <c r="B17" s="151"/>
      <c r="C17" s="152"/>
      <c r="D17" s="152"/>
      <c r="E17" s="152"/>
      <c r="F17" s="152"/>
      <c r="G17" s="153"/>
      <c r="H17" s="157"/>
      <c r="I17" s="152"/>
      <c r="J17" s="152"/>
      <c r="K17" s="152"/>
      <c r="L17" s="152"/>
      <c r="M17" s="152"/>
      <c r="N17" s="153"/>
      <c r="O17" s="157"/>
      <c r="P17" s="152"/>
      <c r="Q17" s="152"/>
      <c r="R17" s="152"/>
      <c r="S17" s="158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60"/>
      <c r="AX17" s="161"/>
      <c r="AY17" s="161"/>
      <c r="AZ17" s="161"/>
      <c r="BA17" s="161"/>
      <c r="BB17" s="161"/>
      <c r="BC17" s="162"/>
      <c r="BD17" s="165"/>
      <c r="BE17" s="161"/>
      <c r="BF17" s="161"/>
      <c r="BG17" s="161"/>
      <c r="BH17" s="161"/>
      <c r="BI17" s="161"/>
      <c r="BJ17" s="162"/>
      <c r="BK17" s="4"/>
    </row>
    <row r="18" spans="1:63" ht="15" customHeight="1">
      <c r="A18" s="1"/>
      <c r="B18" s="154"/>
      <c r="C18" s="155"/>
      <c r="D18" s="155"/>
      <c r="E18" s="155"/>
      <c r="F18" s="155"/>
      <c r="G18" s="156"/>
      <c r="H18" s="154"/>
      <c r="I18" s="155"/>
      <c r="J18" s="155"/>
      <c r="K18" s="155"/>
      <c r="L18" s="155"/>
      <c r="M18" s="155"/>
      <c r="N18" s="156"/>
      <c r="O18" s="154"/>
      <c r="P18" s="155"/>
      <c r="Q18" s="155"/>
      <c r="R18" s="155"/>
      <c r="S18" s="167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9"/>
      <c r="AX18" s="163"/>
      <c r="AY18" s="163"/>
      <c r="AZ18" s="163"/>
      <c r="BA18" s="163"/>
      <c r="BB18" s="163"/>
      <c r="BC18" s="164"/>
      <c r="BD18" s="166"/>
      <c r="BE18" s="163"/>
      <c r="BF18" s="163"/>
      <c r="BG18" s="163"/>
      <c r="BH18" s="163"/>
      <c r="BI18" s="163"/>
      <c r="BJ18" s="164"/>
      <c r="BK18" s="4"/>
    </row>
    <row r="19" spans="1:63" ht="15" customHeight="1">
      <c r="A19" s="1"/>
      <c r="B19" s="86"/>
      <c r="C19" s="87"/>
      <c r="D19" s="87"/>
      <c r="E19" s="87"/>
      <c r="F19" s="87"/>
      <c r="G19" s="88"/>
      <c r="H19" s="86"/>
      <c r="I19" s="87"/>
      <c r="J19" s="87"/>
      <c r="K19" s="87"/>
      <c r="L19" s="87"/>
      <c r="M19" s="87"/>
      <c r="N19" s="88"/>
      <c r="O19" s="86"/>
      <c r="P19" s="87"/>
      <c r="Q19" s="87"/>
      <c r="R19" s="87"/>
      <c r="S19" s="147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9"/>
      <c r="AX19" s="138"/>
      <c r="AY19" s="138"/>
      <c r="AZ19" s="138"/>
      <c r="BA19" s="138"/>
      <c r="BB19" s="138"/>
      <c r="BC19" s="139"/>
      <c r="BD19" s="142"/>
      <c r="BE19" s="138"/>
      <c r="BF19" s="138"/>
      <c r="BG19" s="138"/>
      <c r="BH19" s="138"/>
      <c r="BI19" s="138"/>
      <c r="BJ19" s="139"/>
      <c r="BK19" s="4"/>
    </row>
    <row r="20" spans="1:63" ht="15" customHeight="1">
      <c r="A20" s="1"/>
      <c r="B20" s="89"/>
      <c r="C20" s="90"/>
      <c r="D20" s="90"/>
      <c r="E20" s="90"/>
      <c r="F20" s="90"/>
      <c r="G20" s="91"/>
      <c r="H20" s="89"/>
      <c r="I20" s="90"/>
      <c r="J20" s="90"/>
      <c r="K20" s="90"/>
      <c r="L20" s="90"/>
      <c r="M20" s="90"/>
      <c r="N20" s="91"/>
      <c r="O20" s="89"/>
      <c r="P20" s="90"/>
      <c r="Q20" s="90"/>
      <c r="R20" s="90"/>
      <c r="S20" s="144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6"/>
      <c r="AX20" s="140"/>
      <c r="AY20" s="140"/>
      <c r="AZ20" s="140"/>
      <c r="BA20" s="140"/>
      <c r="BB20" s="140"/>
      <c r="BC20" s="141"/>
      <c r="BD20" s="143"/>
      <c r="BE20" s="140"/>
      <c r="BF20" s="140"/>
      <c r="BG20" s="140"/>
      <c r="BH20" s="140"/>
      <c r="BI20" s="140"/>
      <c r="BJ20" s="141"/>
      <c r="BK20" s="4"/>
    </row>
    <row r="21" spans="1:63" ht="15" customHeight="1">
      <c r="A21" s="1"/>
      <c r="B21" s="86"/>
      <c r="C21" s="87"/>
      <c r="D21" s="87"/>
      <c r="E21" s="87"/>
      <c r="F21" s="87"/>
      <c r="G21" s="88"/>
      <c r="H21" s="86"/>
      <c r="I21" s="87"/>
      <c r="J21" s="87"/>
      <c r="K21" s="87"/>
      <c r="L21" s="87"/>
      <c r="M21" s="87"/>
      <c r="N21" s="88"/>
      <c r="O21" s="86"/>
      <c r="P21" s="87"/>
      <c r="Q21" s="87"/>
      <c r="R21" s="87"/>
      <c r="S21" s="147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9"/>
      <c r="AX21" s="138"/>
      <c r="AY21" s="138"/>
      <c r="AZ21" s="138"/>
      <c r="BA21" s="138"/>
      <c r="BB21" s="138"/>
      <c r="BC21" s="139"/>
      <c r="BD21" s="142"/>
      <c r="BE21" s="138"/>
      <c r="BF21" s="138"/>
      <c r="BG21" s="138"/>
      <c r="BH21" s="138"/>
      <c r="BI21" s="138"/>
      <c r="BJ21" s="139"/>
      <c r="BK21" s="4"/>
    </row>
    <row r="22" spans="1:63" ht="15" customHeight="1">
      <c r="A22" s="1"/>
      <c r="B22" s="89"/>
      <c r="C22" s="90"/>
      <c r="D22" s="90"/>
      <c r="E22" s="90"/>
      <c r="F22" s="90"/>
      <c r="G22" s="91"/>
      <c r="H22" s="89"/>
      <c r="I22" s="90"/>
      <c r="J22" s="90"/>
      <c r="K22" s="90"/>
      <c r="L22" s="90"/>
      <c r="M22" s="90"/>
      <c r="N22" s="91"/>
      <c r="O22" s="89"/>
      <c r="P22" s="90"/>
      <c r="Q22" s="90"/>
      <c r="R22" s="90"/>
      <c r="S22" s="144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6"/>
      <c r="AX22" s="140"/>
      <c r="AY22" s="140"/>
      <c r="AZ22" s="140"/>
      <c r="BA22" s="140"/>
      <c r="BB22" s="140"/>
      <c r="BC22" s="141"/>
      <c r="BD22" s="143"/>
      <c r="BE22" s="140"/>
      <c r="BF22" s="140"/>
      <c r="BG22" s="140"/>
      <c r="BH22" s="140"/>
      <c r="BI22" s="140"/>
      <c r="BJ22" s="141"/>
      <c r="BK22" s="4"/>
    </row>
    <row r="23" spans="1:63" ht="15" customHeight="1">
      <c r="A23" s="1"/>
      <c r="B23" s="86"/>
      <c r="C23" s="87"/>
      <c r="D23" s="87"/>
      <c r="E23" s="87"/>
      <c r="F23" s="87"/>
      <c r="G23" s="88"/>
      <c r="H23" s="86"/>
      <c r="I23" s="87"/>
      <c r="J23" s="87"/>
      <c r="K23" s="87"/>
      <c r="L23" s="87"/>
      <c r="M23" s="87"/>
      <c r="N23" s="88"/>
      <c r="O23" s="86"/>
      <c r="P23" s="87"/>
      <c r="Q23" s="87"/>
      <c r="R23" s="87"/>
      <c r="S23" s="147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9"/>
      <c r="AX23" s="138"/>
      <c r="AY23" s="138"/>
      <c r="AZ23" s="138"/>
      <c r="BA23" s="138"/>
      <c r="BB23" s="138"/>
      <c r="BC23" s="139"/>
      <c r="BD23" s="142"/>
      <c r="BE23" s="138"/>
      <c r="BF23" s="138"/>
      <c r="BG23" s="138"/>
      <c r="BH23" s="138"/>
      <c r="BI23" s="138"/>
      <c r="BJ23" s="139"/>
      <c r="BK23" s="4"/>
    </row>
    <row r="24" spans="1:63" ht="15" customHeight="1">
      <c r="A24" s="1"/>
      <c r="B24" s="89"/>
      <c r="C24" s="90"/>
      <c r="D24" s="90"/>
      <c r="E24" s="90"/>
      <c r="F24" s="90"/>
      <c r="G24" s="91"/>
      <c r="H24" s="89"/>
      <c r="I24" s="90"/>
      <c r="J24" s="90"/>
      <c r="K24" s="90"/>
      <c r="L24" s="90"/>
      <c r="M24" s="90"/>
      <c r="N24" s="91"/>
      <c r="O24" s="89"/>
      <c r="P24" s="90"/>
      <c r="Q24" s="90"/>
      <c r="R24" s="90"/>
      <c r="S24" s="144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6"/>
      <c r="AX24" s="140"/>
      <c r="AY24" s="140"/>
      <c r="AZ24" s="140"/>
      <c r="BA24" s="140"/>
      <c r="BB24" s="140"/>
      <c r="BC24" s="141"/>
      <c r="BD24" s="143"/>
      <c r="BE24" s="140"/>
      <c r="BF24" s="140"/>
      <c r="BG24" s="140"/>
      <c r="BH24" s="140"/>
      <c r="BI24" s="140"/>
      <c r="BJ24" s="141"/>
      <c r="BK24" s="4"/>
    </row>
    <row r="25" spans="1:63" ht="15" customHeight="1">
      <c r="A25" s="1"/>
      <c r="B25" s="86"/>
      <c r="C25" s="87"/>
      <c r="D25" s="87"/>
      <c r="E25" s="87"/>
      <c r="F25" s="87"/>
      <c r="G25" s="88"/>
      <c r="H25" s="86"/>
      <c r="I25" s="87"/>
      <c r="J25" s="87"/>
      <c r="K25" s="87"/>
      <c r="L25" s="87"/>
      <c r="M25" s="87"/>
      <c r="N25" s="88"/>
      <c r="O25" s="86"/>
      <c r="P25" s="87"/>
      <c r="Q25" s="87"/>
      <c r="R25" s="87"/>
      <c r="S25" s="147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9"/>
      <c r="AX25" s="138"/>
      <c r="AY25" s="138"/>
      <c r="AZ25" s="138"/>
      <c r="BA25" s="138"/>
      <c r="BB25" s="138"/>
      <c r="BC25" s="139"/>
      <c r="BD25" s="142"/>
      <c r="BE25" s="138"/>
      <c r="BF25" s="138"/>
      <c r="BG25" s="138"/>
      <c r="BH25" s="138"/>
      <c r="BI25" s="138"/>
      <c r="BJ25" s="139"/>
      <c r="BK25" s="4"/>
    </row>
    <row r="26" spans="1:63" ht="15" customHeight="1">
      <c r="A26" s="1"/>
      <c r="B26" s="89"/>
      <c r="C26" s="90"/>
      <c r="D26" s="90"/>
      <c r="E26" s="90"/>
      <c r="F26" s="90"/>
      <c r="G26" s="91"/>
      <c r="H26" s="89"/>
      <c r="I26" s="90"/>
      <c r="J26" s="90"/>
      <c r="K26" s="90"/>
      <c r="L26" s="90"/>
      <c r="M26" s="90"/>
      <c r="N26" s="91"/>
      <c r="O26" s="89"/>
      <c r="P26" s="90"/>
      <c r="Q26" s="90"/>
      <c r="R26" s="90"/>
      <c r="S26" s="144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6"/>
      <c r="AX26" s="140"/>
      <c r="AY26" s="140"/>
      <c r="AZ26" s="140"/>
      <c r="BA26" s="140"/>
      <c r="BB26" s="140"/>
      <c r="BC26" s="141"/>
      <c r="BD26" s="143"/>
      <c r="BE26" s="140"/>
      <c r="BF26" s="140"/>
      <c r="BG26" s="140"/>
      <c r="BH26" s="140"/>
      <c r="BI26" s="140"/>
      <c r="BJ26" s="141"/>
      <c r="BK26" s="4"/>
    </row>
    <row r="27" spans="1:63" ht="15" customHeight="1">
      <c r="A27" s="1"/>
      <c r="B27" s="86"/>
      <c r="C27" s="87"/>
      <c r="D27" s="87"/>
      <c r="E27" s="87"/>
      <c r="F27" s="87"/>
      <c r="G27" s="88"/>
      <c r="H27" s="86"/>
      <c r="I27" s="87"/>
      <c r="J27" s="87"/>
      <c r="K27" s="87"/>
      <c r="L27" s="87"/>
      <c r="M27" s="87"/>
      <c r="N27" s="88"/>
      <c r="O27" s="86"/>
      <c r="P27" s="87"/>
      <c r="Q27" s="87"/>
      <c r="R27" s="87"/>
      <c r="S27" s="147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9"/>
      <c r="AX27" s="138"/>
      <c r="AY27" s="138"/>
      <c r="AZ27" s="138"/>
      <c r="BA27" s="138"/>
      <c r="BB27" s="138"/>
      <c r="BC27" s="139"/>
      <c r="BD27" s="142"/>
      <c r="BE27" s="138"/>
      <c r="BF27" s="138"/>
      <c r="BG27" s="138"/>
      <c r="BH27" s="138"/>
      <c r="BI27" s="138"/>
      <c r="BJ27" s="139"/>
      <c r="BK27" s="4"/>
    </row>
    <row r="28" spans="1:63" ht="15" customHeight="1">
      <c r="A28" s="1"/>
      <c r="B28" s="89"/>
      <c r="C28" s="90"/>
      <c r="D28" s="90"/>
      <c r="E28" s="90"/>
      <c r="F28" s="90"/>
      <c r="G28" s="91"/>
      <c r="H28" s="89"/>
      <c r="I28" s="90"/>
      <c r="J28" s="90"/>
      <c r="K28" s="90"/>
      <c r="L28" s="90"/>
      <c r="M28" s="90"/>
      <c r="N28" s="91"/>
      <c r="O28" s="89"/>
      <c r="P28" s="90"/>
      <c r="Q28" s="90"/>
      <c r="R28" s="90"/>
      <c r="S28" s="144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6"/>
      <c r="AX28" s="140"/>
      <c r="AY28" s="140"/>
      <c r="AZ28" s="140"/>
      <c r="BA28" s="140"/>
      <c r="BB28" s="140"/>
      <c r="BC28" s="141"/>
      <c r="BD28" s="143"/>
      <c r="BE28" s="140"/>
      <c r="BF28" s="140"/>
      <c r="BG28" s="140"/>
      <c r="BH28" s="140"/>
      <c r="BI28" s="140"/>
      <c r="BJ28" s="141"/>
      <c r="BK28" s="4"/>
    </row>
    <row r="29" spans="1:63" ht="15" customHeight="1">
      <c r="A29" s="1"/>
      <c r="B29" s="86"/>
      <c r="C29" s="87"/>
      <c r="D29" s="87"/>
      <c r="E29" s="87"/>
      <c r="F29" s="87"/>
      <c r="G29" s="88"/>
      <c r="H29" s="86"/>
      <c r="I29" s="87"/>
      <c r="J29" s="87"/>
      <c r="K29" s="87"/>
      <c r="L29" s="87"/>
      <c r="M29" s="87"/>
      <c r="N29" s="88"/>
      <c r="O29" s="86"/>
      <c r="P29" s="87"/>
      <c r="Q29" s="87"/>
      <c r="R29" s="87"/>
      <c r="S29" s="147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9"/>
      <c r="AX29" s="138"/>
      <c r="AY29" s="138"/>
      <c r="AZ29" s="138"/>
      <c r="BA29" s="138"/>
      <c r="BB29" s="138"/>
      <c r="BC29" s="139"/>
      <c r="BD29" s="142"/>
      <c r="BE29" s="138"/>
      <c r="BF29" s="138"/>
      <c r="BG29" s="138"/>
      <c r="BH29" s="138"/>
      <c r="BI29" s="138"/>
      <c r="BJ29" s="139"/>
      <c r="BK29" s="4"/>
    </row>
    <row r="30" spans="1:63" ht="15" customHeight="1">
      <c r="A30" s="1"/>
      <c r="B30" s="89"/>
      <c r="C30" s="90"/>
      <c r="D30" s="90"/>
      <c r="E30" s="90"/>
      <c r="F30" s="90"/>
      <c r="G30" s="91"/>
      <c r="H30" s="89"/>
      <c r="I30" s="90"/>
      <c r="J30" s="90"/>
      <c r="K30" s="90"/>
      <c r="L30" s="90"/>
      <c r="M30" s="90"/>
      <c r="N30" s="91"/>
      <c r="O30" s="89"/>
      <c r="P30" s="90"/>
      <c r="Q30" s="90"/>
      <c r="R30" s="90"/>
      <c r="S30" s="144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6"/>
      <c r="AX30" s="140"/>
      <c r="AY30" s="140"/>
      <c r="AZ30" s="140"/>
      <c r="BA30" s="140"/>
      <c r="BB30" s="140"/>
      <c r="BC30" s="141"/>
      <c r="BD30" s="143"/>
      <c r="BE30" s="140"/>
      <c r="BF30" s="140"/>
      <c r="BG30" s="140"/>
      <c r="BH30" s="140"/>
      <c r="BI30" s="140"/>
      <c r="BJ30" s="141"/>
      <c r="BK30" s="4"/>
    </row>
    <row r="31" spans="1:63" ht="15" customHeight="1">
      <c r="A31" s="1"/>
      <c r="B31" s="86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86"/>
      <c r="P31" s="87"/>
      <c r="Q31" s="87"/>
      <c r="R31" s="87"/>
      <c r="S31" s="147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9"/>
      <c r="AX31" s="138"/>
      <c r="AY31" s="138"/>
      <c r="AZ31" s="138"/>
      <c r="BA31" s="138"/>
      <c r="BB31" s="138"/>
      <c r="BC31" s="139"/>
      <c r="BD31" s="142"/>
      <c r="BE31" s="138"/>
      <c r="BF31" s="138"/>
      <c r="BG31" s="138"/>
      <c r="BH31" s="138"/>
      <c r="BI31" s="138"/>
      <c r="BJ31" s="139"/>
      <c r="BK31" s="4"/>
    </row>
    <row r="32" spans="1:63" ht="15" customHeight="1">
      <c r="A32" s="1"/>
      <c r="B32" s="89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1"/>
      <c r="O32" s="89"/>
      <c r="P32" s="90"/>
      <c r="Q32" s="90"/>
      <c r="R32" s="90"/>
      <c r="S32" s="144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6"/>
      <c r="AX32" s="140"/>
      <c r="AY32" s="140"/>
      <c r="AZ32" s="140"/>
      <c r="BA32" s="140"/>
      <c r="BB32" s="140"/>
      <c r="BC32" s="141"/>
      <c r="BD32" s="143"/>
      <c r="BE32" s="140"/>
      <c r="BF32" s="140"/>
      <c r="BG32" s="140"/>
      <c r="BH32" s="140"/>
      <c r="BI32" s="140"/>
      <c r="BJ32" s="141"/>
      <c r="BK32" s="4"/>
    </row>
    <row r="33" spans="1:63" ht="15" customHeight="1">
      <c r="A33" s="1"/>
      <c r="B33" s="86"/>
      <c r="C33" s="87"/>
      <c r="D33" s="87"/>
      <c r="E33" s="87"/>
      <c r="F33" s="87"/>
      <c r="G33" s="88"/>
      <c r="H33" s="86"/>
      <c r="I33" s="87"/>
      <c r="J33" s="87"/>
      <c r="K33" s="87"/>
      <c r="L33" s="87"/>
      <c r="M33" s="87"/>
      <c r="N33" s="88"/>
      <c r="O33" s="86"/>
      <c r="P33" s="87"/>
      <c r="Q33" s="87"/>
      <c r="R33" s="87"/>
      <c r="S33" s="147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9"/>
      <c r="AX33" s="138"/>
      <c r="AY33" s="138"/>
      <c r="AZ33" s="138"/>
      <c r="BA33" s="138"/>
      <c r="BB33" s="138"/>
      <c r="BC33" s="139"/>
      <c r="BD33" s="142"/>
      <c r="BE33" s="138"/>
      <c r="BF33" s="138"/>
      <c r="BG33" s="138"/>
      <c r="BH33" s="138"/>
      <c r="BI33" s="138"/>
      <c r="BJ33" s="139"/>
      <c r="BK33" s="4"/>
    </row>
    <row r="34" spans="1:63" ht="15" customHeight="1">
      <c r="A34" s="1"/>
      <c r="B34" s="89"/>
      <c r="C34" s="90"/>
      <c r="D34" s="90"/>
      <c r="E34" s="90"/>
      <c r="F34" s="90"/>
      <c r="G34" s="91"/>
      <c r="H34" s="89"/>
      <c r="I34" s="90"/>
      <c r="J34" s="90"/>
      <c r="K34" s="90"/>
      <c r="L34" s="90"/>
      <c r="M34" s="90"/>
      <c r="N34" s="91"/>
      <c r="O34" s="89"/>
      <c r="P34" s="90"/>
      <c r="Q34" s="90"/>
      <c r="R34" s="90"/>
      <c r="S34" s="144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6"/>
      <c r="AX34" s="140"/>
      <c r="AY34" s="140"/>
      <c r="AZ34" s="140"/>
      <c r="BA34" s="140"/>
      <c r="BB34" s="140"/>
      <c r="BC34" s="141"/>
      <c r="BD34" s="143"/>
      <c r="BE34" s="140"/>
      <c r="BF34" s="140"/>
      <c r="BG34" s="140"/>
      <c r="BH34" s="140"/>
      <c r="BI34" s="140"/>
      <c r="BJ34" s="141"/>
      <c r="BK34" s="4"/>
    </row>
    <row r="35" spans="1:63" ht="15" customHeight="1">
      <c r="A35" s="1"/>
      <c r="B35" s="86"/>
      <c r="C35" s="87"/>
      <c r="D35" s="87"/>
      <c r="E35" s="87"/>
      <c r="F35" s="87"/>
      <c r="G35" s="88"/>
      <c r="H35" s="86"/>
      <c r="I35" s="87"/>
      <c r="J35" s="87"/>
      <c r="K35" s="87"/>
      <c r="L35" s="87"/>
      <c r="M35" s="87"/>
      <c r="N35" s="88"/>
      <c r="O35" s="86"/>
      <c r="P35" s="87"/>
      <c r="Q35" s="87"/>
      <c r="R35" s="87"/>
      <c r="S35" s="147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9"/>
      <c r="AX35" s="138"/>
      <c r="AY35" s="138"/>
      <c r="AZ35" s="138"/>
      <c r="BA35" s="138"/>
      <c r="BB35" s="138"/>
      <c r="BC35" s="139"/>
      <c r="BD35" s="142"/>
      <c r="BE35" s="138"/>
      <c r="BF35" s="138"/>
      <c r="BG35" s="138"/>
      <c r="BH35" s="138"/>
      <c r="BI35" s="138"/>
      <c r="BJ35" s="139"/>
      <c r="BK35" s="4"/>
    </row>
    <row r="36" spans="1:63" ht="15" customHeight="1">
      <c r="A36" s="1"/>
      <c r="B36" s="89"/>
      <c r="C36" s="90"/>
      <c r="D36" s="90"/>
      <c r="E36" s="90"/>
      <c r="F36" s="90"/>
      <c r="G36" s="91"/>
      <c r="H36" s="89"/>
      <c r="I36" s="90"/>
      <c r="J36" s="90"/>
      <c r="K36" s="90"/>
      <c r="L36" s="90"/>
      <c r="M36" s="90"/>
      <c r="N36" s="91"/>
      <c r="O36" s="89"/>
      <c r="P36" s="90"/>
      <c r="Q36" s="90"/>
      <c r="R36" s="90"/>
      <c r="S36" s="144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6"/>
      <c r="AX36" s="140"/>
      <c r="AY36" s="140"/>
      <c r="AZ36" s="140"/>
      <c r="BA36" s="140"/>
      <c r="BB36" s="140"/>
      <c r="BC36" s="141"/>
      <c r="BD36" s="143"/>
      <c r="BE36" s="140"/>
      <c r="BF36" s="140"/>
      <c r="BG36" s="140"/>
      <c r="BH36" s="140"/>
      <c r="BI36" s="140"/>
      <c r="BJ36" s="141"/>
      <c r="BK36" s="4"/>
    </row>
    <row r="37" spans="1:63" ht="15" customHeight="1">
      <c r="A37" s="1"/>
      <c r="B37" s="86"/>
      <c r="C37" s="87"/>
      <c r="D37" s="87"/>
      <c r="E37" s="87"/>
      <c r="F37" s="87"/>
      <c r="G37" s="88"/>
      <c r="H37" s="86"/>
      <c r="I37" s="87"/>
      <c r="J37" s="87"/>
      <c r="K37" s="87"/>
      <c r="L37" s="87"/>
      <c r="M37" s="87"/>
      <c r="N37" s="88"/>
      <c r="O37" s="86"/>
      <c r="P37" s="87"/>
      <c r="Q37" s="87"/>
      <c r="R37" s="87"/>
      <c r="S37" s="147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9"/>
      <c r="AX37" s="138"/>
      <c r="AY37" s="138"/>
      <c r="AZ37" s="138"/>
      <c r="BA37" s="138"/>
      <c r="BB37" s="138"/>
      <c r="BC37" s="139"/>
      <c r="BD37" s="142"/>
      <c r="BE37" s="138"/>
      <c r="BF37" s="138"/>
      <c r="BG37" s="138"/>
      <c r="BH37" s="138"/>
      <c r="BI37" s="138"/>
      <c r="BJ37" s="139"/>
      <c r="BK37" s="4"/>
    </row>
    <row r="38" spans="1:63" ht="15" customHeight="1">
      <c r="A38" s="1"/>
      <c r="B38" s="89"/>
      <c r="C38" s="90"/>
      <c r="D38" s="90"/>
      <c r="E38" s="90"/>
      <c r="F38" s="90"/>
      <c r="G38" s="91"/>
      <c r="H38" s="89"/>
      <c r="I38" s="90"/>
      <c r="J38" s="90"/>
      <c r="K38" s="90"/>
      <c r="L38" s="90"/>
      <c r="M38" s="90"/>
      <c r="N38" s="91"/>
      <c r="O38" s="89"/>
      <c r="P38" s="90"/>
      <c r="Q38" s="90"/>
      <c r="R38" s="90"/>
      <c r="S38" s="144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6"/>
      <c r="AX38" s="140"/>
      <c r="AY38" s="140"/>
      <c r="AZ38" s="140"/>
      <c r="BA38" s="140"/>
      <c r="BB38" s="140"/>
      <c r="BC38" s="141"/>
      <c r="BD38" s="143"/>
      <c r="BE38" s="140"/>
      <c r="BF38" s="140"/>
      <c r="BG38" s="140"/>
      <c r="BH38" s="140"/>
      <c r="BI38" s="140"/>
      <c r="BJ38" s="141"/>
      <c r="BK38" s="4"/>
    </row>
    <row r="39" spans="1:63" ht="15" customHeight="1">
      <c r="A39" s="1"/>
      <c r="B39" s="86"/>
      <c r="C39" s="87"/>
      <c r="D39" s="87"/>
      <c r="E39" s="87"/>
      <c r="F39" s="87"/>
      <c r="G39" s="88"/>
      <c r="H39" s="86"/>
      <c r="I39" s="87"/>
      <c r="J39" s="87"/>
      <c r="K39" s="87"/>
      <c r="L39" s="87"/>
      <c r="M39" s="87"/>
      <c r="N39" s="88"/>
      <c r="O39" s="86"/>
      <c r="P39" s="87"/>
      <c r="Q39" s="87"/>
      <c r="R39" s="87"/>
      <c r="S39" s="147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9"/>
      <c r="AX39" s="138"/>
      <c r="AY39" s="138"/>
      <c r="AZ39" s="138"/>
      <c r="BA39" s="138"/>
      <c r="BB39" s="138"/>
      <c r="BC39" s="139"/>
      <c r="BD39" s="142"/>
      <c r="BE39" s="138"/>
      <c r="BF39" s="138"/>
      <c r="BG39" s="138"/>
      <c r="BH39" s="138"/>
      <c r="BI39" s="138"/>
      <c r="BJ39" s="139"/>
      <c r="BK39" s="4"/>
    </row>
    <row r="40" spans="1:63" ht="15" customHeight="1">
      <c r="A40" s="1"/>
      <c r="B40" s="89"/>
      <c r="C40" s="90"/>
      <c r="D40" s="90"/>
      <c r="E40" s="90"/>
      <c r="F40" s="90"/>
      <c r="G40" s="91"/>
      <c r="H40" s="89"/>
      <c r="I40" s="90"/>
      <c r="J40" s="90"/>
      <c r="K40" s="90"/>
      <c r="L40" s="90"/>
      <c r="M40" s="90"/>
      <c r="N40" s="91"/>
      <c r="O40" s="89"/>
      <c r="P40" s="90"/>
      <c r="Q40" s="90"/>
      <c r="R40" s="90"/>
      <c r="S40" s="144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6"/>
      <c r="AX40" s="140"/>
      <c r="AY40" s="140"/>
      <c r="AZ40" s="140"/>
      <c r="BA40" s="140"/>
      <c r="BB40" s="140"/>
      <c r="BC40" s="141"/>
      <c r="BD40" s="143"/>
      <c r="BE40" s="140"/>
      <c r="BF40" s="140"/>
      <c r="BG40" s="140"/>
      <c r="BH40" s="140"/>
      <c r="BI40" s="140"/>
      <c r="BJ40" s="141"/>
      <c r="BK40" s="4"/>
    </row>
    <row r="41" spans="1:63" ht="15" customHeight="1">
      <c r="A41" s="1"/>
      <c r="B41" s="86"/>
      <c r="C41" s="87"/>
      <c r="D41" s="87"/>
      <c r="E41" s="87"/>
      <c r="F41" s="87"/>
      <c r="G41" s="88"/>
      <c r="H41" s="86"/>
      <c r="I41" s="87"/>
      <c r="J41" s="87"/>
      <c r="K41" s="87"/>
      <c r="L41" s="87"/>
      <c r="M41" s="87"/>
      <c r="N41" s="88"/>
      <c r="O41" s="86"/>
      <c r="P41" s="87"/>
      <c r="Q41" s="87"/>
      <c r="R41" s="87"/>
      <c r="S41" s="147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9"/>
      <c r="AX41" s="138"/>
      <c r="AY41" s="138"/>
      <c r="AZ41" s="138"/>
      <c r="BA41" s="138"/>
      <c r="BB41" s="138"/>
      <c r="BC41" s="139"/>
      <c r="BD41" s="142"/>
      <c r="BE41" s="138"/>
      <c r="BF41" s="138"/>
      <c r="BG41" s="138"/>
      <c r="BH41" s="138"/>
      <c r="BI41" s="138"/>
      <c r="BJ41" s="139"/>
      <c r="BK41" s="4"/>
    </row>
    <row r="42" spans="1:63" ht="15" customHeight="1">
      <c r="A42" s="1"/>
      <c r="B42" s="89"/>
      <c r="C42" s="90"/>
      <c r="D42" s="90"/>
      <c r="E42" s="90"/>
      <c r="F42" s="90"/>
      <c r="G42" s="91"/>
      <c r="H42" s="89"/>
      <c r="I42" s="90"/>
      <c r="J42" s="90"/>
      <c r="K42" s="90"/>
      <c r="L42" s="90"/>
      <c r="M42" s="90"/>
      <c r="N42" s="91"/>
      <c r="O42" s="89"/>
      <c r="P42" s="90"/>
      <c r="Q42" s="90"/>
      <c r="R42" s="90"/>
      <c r="S42" s="144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6"/>
      <c r="AX42" s="140"/>
      <c r="AY42" s="140"/>
      <c r="AZ42" s="140"/>
      <c r="BA42" s="140"/>
      <c r="BB42" s="140"/>
      <c r="BC42" s="141"/>
      <c r="BD42" s="143"/>
      <c r="BE42" s="140"/>
      <c r="BF42" s="140"/>
      <c r="BG42" s="140"/>
      <c r="BH42" s="140"/>
      <c r="BI42" s="140"/>
      <c r="BJ42" s="141"/>
      <c r="BK42" s="4"/>
    </row>
    <row r="43" spans="1:63" ht="15" customHeight="1">
      <c r="A43" s="1"/>
      <c r="B43" s="86"/>
      <c r="C43" s="87"/>
      <c r="D43" s="87"/>
      <c r="E43" s="87"/>
      <c r="F43" s="87"/>
      <c r="G43" s="88"/>
      <c r="H43" s="86"/>
      <c r="I43" s="87"/>
      <c r="J43" s="87"/>
      <c r="K43" s="87"/>
      <c r="L43" s="87"/>
      <c r="M43" s="87"/>
      <c r="N43" s="88"/>
      <c r="O43" s="86"/>
      <c r="P43" s="87"/>
      <c r="Q43" s="87"/>
      <c r="R43" s="87"/>
      <c r="S43" s="147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9"/>
      <c r="AX43" s="138"/>
      <c r="AY43" s="138"/>
      <c r="AZ43" s="138"/>
      <c r="BA43" s="138"/>
      <c r="BB43" s="138"/>
      <c r="BC43" s="139"/>
      <c r="BD43" s="142"/>
      <c r="BE43" s="138"/>
      <c r="BF43" s="138"/>
      <c r="BG43" s="138"/>
      <c r="BH43" s="138"/>
      <c r="BI43" s="138"/>
      <c r="BJ43" s="139"/>
      <c r="BK43" s="4"/>
    </row>
    <row r="44" spans="1:63" ht="15" customHeight="1">
      <c r="A44" s="1"/>
      <c r="B44" s="89"/>
      <c r="C44" s="90"/>
      <c r="D44" s="90"/>
      <c r="E44" s="90"/>
      <c r="F44" s="90"/>
      <c r="G44" s="91"/>
      <c r="H44" s="89"/>
      <c r="I44" s="90"/>
      <c r="J44" s="90"/>
      <c r="K44" s="90"/>
      <c r="L44" s="90"/>
      <c r="M44" s="90"/>
      <c r="N44" s="91"/>
      <c r="O44" s="89"/>
      <c r="P44" s="90"/>
      <c r="Q44" s="90"/>
      <c r="R44" s="90"/>
      <c r="S44" s="144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6"/>
      <c r="AX44" s="140"/>
      <c r="AY44" s="140"/>
      <c r="AZ44" s="140"/>
      <c r="BA44" s="140"/>
      <c r="BB44" s="140"/>
      <c r="BC44" s="141"/>
      <c r="BD44" s="143"/>
      <c r="BE44" s="140"/>
      <c r="BF44" s="140"/>
      <c r="BG44" s="140"/>
      <c r="BH44" s="140"/>
      <c r="BI44" s="140"/>
      <c r="BJ44" s="141"/>
      <c r="BK44" s="4"/>
    </row>
    <row r="45" spans="1:63" ht="15" customHeight="1">
      <c r="A45" s="1"/>
      <c r="B45" s="86"/>
      <c r="C45" s="87"/>
      <c r="D45" s="87"/>
      <c r="E45" s="87"/>
      <c r="F45" s="87"/>
      <c r="G45" s="88"/>
      <c r="H45" s="86"/>
      <c r="I45" s="87"/>
      <c r="J45" s="87"/>
      <c r="K45" s="87"/>
      <c r="L45" s="87"/>
      <c r="M45" s="87"/>
      <c r="N45" s="88"/>
      <c r="O45" s="86"/>
      <c r="P45" s="87"/>
      <c r="Q45" s="87"/>
      <c r="R45" s="87"/>
      <c r="S45" s="147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9"/>
      <c r="AX45" s="138"/>
      <c r="AY45" s="138"/>
      <c r="AZ45" s="138"/>
      <c r="BA45" s="138"/>
      <c r="BB45" s="138"/>
      <c r="BC45" s="139"/>
      <c r="BD45" s="142"/>
      <c r="BE45" s="138"/>
      <c r="BF45" s="138"/>
      <c r="BG45" s="138"/>
      <c r="BH45" s="138"/>
      <c r="BI45" s="138"/>
      <c r="BJ45" s="139"/>
      <c r="BK45" s="4"/>
    </row>
    <row r="46" spans="1:63" ht="15" customHeight="1">
      <c r="A46" s="1"/>
      <c r="B46" s="89"/>
      <c r="C46" s="90"/>
      <c r="D46" s="90"/>
      <c r="E46" s="90"/>
      <c r="F46" s="90"/>
      <c r="G46" s="91"/>
      <c r="H46" s="89"/>
      <c r="I46" s="90"/>
      <c r="J46" s="90"/>
      <c r="K46" s="90"/>
      <c r="L46" s="90"/>
      <c r="M46" s="90"/>
      <c r="N46" s="91"/>
      <c r="O46" s="89"/>
      <c r="P46" s="90"/>
      <c r="Q46" s="90"/>
      <c r="R46" s="90"/>
      <c r="S46" s="144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6"/>
      <c r="AX46" s="140"/>
      <c r="AY46" s="140"/>
      <c r="AZ46" s="140"/>
      <c r="BA46" s="140"/>
      <c r="BB46" s="140"/>
      <c r="BC46" s="141"/>
      <c r="BD46" s="143"/>
      <c r="BE46" s="140"/>
      <c r="BF46" s="140"/>
      <c r="BG46" s="140"/>
      <c r="BH46" s="140"/>
      <c r="BI46" s="140"/>
      <c r="BJ46" s="141"/>
      <c r="BK46" s="4"/>
    </row>
    <row r="47" spans="1:63" ht="15" customHeight="1">
      <c r="A47" s="1"/>
      <c r="B47" s="86"/>
      <c r="C47" s="87"/>
      <c r="D47" s="87"/>
      <c r="E47" s="87"/>
      <c r="F47" s="87"/>
      <c r="G47" s="88"/>
      <c r="H47" s="86"/>
      <c r="I47" s="87"/>
      <c r="J47" s="87"/>
      <c r="K47" s="87"/>
      <c r="L47" s="87"/>
      <c r="M47" s="87"/>
      <c r="N47" s="88"/>
      <c r="O47" s="86"/>
      <c r="P47" s="87"/>
      <c r="Q47" s="87"/>
      <c r="R47" s="87"/>
      <c r="S47" s="147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9"/>
      <c r="AX47" s="138"/>
      <c r="AY47" s="138"/>
      <c r="AZ47" s="138"/>
      <c r="BA47" s="138"/>
      <c r="BB47" s="138"/>
      <c r="BC47" s="139"/>
      <c r="BD47" s="142"/>
      <c r="BE47" s="138"/>
      <c r="BF47" s="138"/>
      <c r="BG47" s="138"/>
      <c r="BH47" s="138"/>
      <c r="BI47" s="138"/>
      <c r="BJ47" s="139"/>
      <c r="BK47" s="4"/>
    </row>
    <row r="48" spans="1:63" ht="15" customHeight="1">
      <c r="A48" s="1"/>
      <c r="B48" s="89"/>
      <c r="C48" s="90"/>
      <c r="D48" s="90"/>
      <c r="E48" s="90"/>
      <c r="F48" s="90"/>
      <c r="G48" s="91"/>
      <c r="H48" s="89"/>
      <c r="I48" s="90"/>
      <c r="J48" s="90"/>
      <c r="K48" s="90"/>
      <c r="L48" s="90"/>
      <c r="M48" s="90"/>
      <c r="N48" s="91"/>
      <c r="O48" s="89"/>
      <c r="P48" s="90"/>
      <c r="Q48" s="90"/>
      <c r="R48" s="90"/>
      <c r="S48" s="144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6"/>
      <c r="AX48" s="140"/>
      <c r="AY48" s="140"/>
      <c r="AZ48" s="140"/>
      <c r="BA48" s="140"/>
      <c r="BB48" s="140"/>
      <c r="BC48" s="141"/>
      <c r="BD48" s="143"/>
      <c r="BE48" s="140"/>
      <c r="BF48" s="140"/>
      <c r="BG48" s="140"/>
      <c r="BH48" s="140"/>
      <c r="BI48" s="140"/>
      <c r="BJ48" s="141"/>
      <c r="BK48" s="4"/>
    </row>
    <row r="49" spans="1:63" ht="15" customHeight="1">
      <c r="A49" s="1"/>
      <c r="B49" s="86"/>
      <c r="C49" s="87"/>
      <c r="D49" s="87"/>
      <c r="E49" s="87"/>
      <c r="F49" s="87"/>
      <c r="G49" s="88"/>
      <c r="H49" s="86"/>
      <c r="I49" s="87"/>
      <c r="J49" s="87"/>
      <c r="K49" s="87"/>
      <c r="L49" s="87"/>
      <c r="M49" s="87"/>
      <c r="N49" s="88"/>
      <c r="O49" s="86"/>
      <c r="P49" s="87"/>
      <c r="Q49" s="87"/>
      <c r="R49" s="87"/>
      <c r="S49" s="147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9"/>
      <c r="AX49" s="138"/>
      <c r="AY49" s="138"/>
      <c r="AZ49" s="138"/>
      <c r="BA49" s="138"/>
      <c r="BB49" s="138"/>
      <c r="BC49" s="139"/>
      <c r="BD49" s="142"/>
      <c r="BE49" s="138"/>
      <c r="BF49" s="138"/>
      <c r="BG49" s="138"/>
      <c r="BH49" s="138"/>
      <c r="BI49" s="138"/>
      <c r="BJ49" s="139"/>
      <c r="BK49" s="4"/>
    </row>
    <row r="50" spans="1:63" ht="15" customHeight="1">
      <c r="A50" s="1"/>
      <c r="B50" s="89"/>
      <c r="C50" s="90"/>
      <c r="D50" s="90"/>
      <c r="E50" s="90"/>
      <c r="F50" s="90"/>
      <c r="G50" s="91"/>
      <c r="H50" s="89"/>
      <c r="I50" s="90"/>
      <c r="J50" s="90"/>
      <c r="K50" s="90"/>
      <c r="L50" s="90"/>
      <c r="M50" s="90"/>
      <c r="N50" s="91"/>
      <c r="O50" s="89"/>
      <c r="P50" s="90"/>
      <c r="Q50" s="90"/>
      <c r="R50" s="90"/>
      <c r="S50" s="144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6"/>
      <c r="AX50" s="140"/>
      <c r="AY50" s="140"/>
      <c r="AZ50" s="140"/>
      <c r="BA50" s="140"/>
      <c r="BB50" s="140"/>
      <c r="BC50" s="141"/>
      <c r="BD50" s="143"/>
      <c r="BE50" s="140"/>
      <c r="BF50" s="140"/>
      <c r="BG50" s="140"/>
      <c r="BH50" s="140"/>
      <c r="BI50" s="140"/>
      <c r="BJ50" s="141"/>
      <c r="BK50" s="4"/>
    </row>
    <row r="51" spans="1:63" ht="15" customHeight="1">
      <c r="A51" s="1"/>
      <c r="B51" s="86"/>
      <c r="C51" s="87"/>
      <c r="D51" s="87"/>
      <c r="E51" s="87"/>
      <c r="F51" s="87"/>
      <c r="G51" s="88"/>
      <c r="H51" s="86"/>
      <c r="I51" s="87"/>
      <c r="J51" s="87"/>
      <c r="K51" s="87"/>
      <c r="L51" s="87"/>
      <c r="M51" s="87"/>
      <c r="N51" s="88"/>
      <c r="O51" s="86"/>
      <c r="P51" s="87"/>
      <c r="Q51" s="87"/>
      <c r="R51" s="87"/>
      <c r="S51" s="147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9"/>
      <c r="AX51" s="138"/>
      <c r="AY51" s="138"/>
      <c r="AZ51" s="138"/>
      <c r="BA51" s="138"/>
      <c r="BB51" s="138"/>
      <c r="BC51" s="139"/>
      <c r="BD51" s="142"/>
      <c r="BE51" s="138"/>
      <c r="BF51" s="138"/>
      <c r="BG51" s="138"/>
      <c r="BH51" s="138"/>
      <c r="BI51" s="138"/>
      <c r="BJ51" s="139"/>
      <c r="BK51" s="4"/>
    </row>
    <row r="52" spans="1:63" ht="15" customHeight="1">
      <c r="A52" s="1"/>
      <c r="B52" s="89"/>
      <c r="C52" s="90"/>
      <c r="D52" s="90"/>
      <c r="E52" s="90"/>
      <c r="F52" s="90"/>
      <c r="G52" s="91"/>
      <c r="H52" s="89"/>
      <c r="I52" s="90"/>
      <c r="J52" s="90"/>
      <c r="K52" s="90"/>
      <c r="L52" s="90"/>
      <c r="M52" s="90"/>
      <c r="N52" s="91"/>
      <c r="O52" s="89"/>
      <c r="P52" s="90"/>
      <c r="Q52" s="90"/>
      <c r="R52" s="90"/>
      <c r="S52" s="144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6"/>
      <c r="AX52" s="140"/>
      <c r="AY52" s="140"/>
      <c r="AZ52" s="140"/>
      <c r="BA52" s="140"/>
      <c r="BB52" s="140"/>
      <c r="BC52" s="141"/>
      <c r="BD52" s="143"/>
      <c r="BE52" s="140"/>
      <c r="BF52" s="140"/>
      <c r="BG52" s="140"/>
      <c r="BH52" s="140"/>
      <c r="BI52" s="140"/>
      <c r="BJ52" s="141"/>
      <c r="BK52" s="4"/>
    </row>
    <row r="53" spans="1:63" ht="15" customHeight="1">
      <c r="A53" s="1"/>
      <c r="B53" s="86"/>
      <c r="C53" s="87"/>
      <c r="D53" s="87"/>
      <c r="E53" s="87"/>
      <c r="F53" s="87"/>
      <c r="G53" s="88"/>
      <c r="H53" s="86"/>
      <c r="I53" s="87"/>
      <c r="J53" s="87"/>
      <c r="K53" s="87"/>
      <c r="L53" s="87"/>
      <c r="M53" s="87"/>
      <c r="N53" s="88"/>
      <c r="O53" s="86"/>
      <c r="P53" s="87"/>
      <c r="Q53" s="87"/>
      <c r="R53" s="87"/>
      <c r="S53" s="147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9"/>
      <c r="AX53" s="138"/>
      <c r="AY53" s="138"/>
      <c r="AZ53" s="138"/>
      <c r="BA53" s="138"/>
      <c r="BB53" s="138"/>
      <c r="BC53" s="139"/>
      <c r="BD53" s="142"/>
      <c r="BE53" s="138"/>
      <c r="BF53" s="138"/>
      <c r="BG53" s="138"/>
      <c r="BH53" s="138"/>
      <c r="BI53" s="138"/>
      <c r="BJ53" s="139"/>
      <c r="BK53" s="4"/>
    </row>
    <row r="54" spans="1:63" ht="15" customHeight="1">
      <c r="A54" s="1"/>
      <c r="B54" s="89"/>
      <c r="C54" s="90"/>
      <c r="D54" s="90"/>
      <c r="E54" s="90"/>
      <c r="F54" s="90"/>
      <c r="G54" s="91"/>
      <c r="H54" s="89"/>
      <c r="I54" s="90"/>
      <c r="J54" s="90"/>
      <c r="K54" s="90"/>
      <c r="L54" s="90"/>
      <c r="M54" s="90"/>
      <c r="N54" s="91"/>
      <c r="O54" s="89"/>
      <c r="P54" s="90"/>
      <c r="Q54" s="90"/>
      <c r="R54" s="90"/>
      <c r="S54" s="144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6"/>
      <c r="AX54" s="140"/>
      <c r="AY54" s="140"/>
      <c r="AZ54" s="140"/>
      <c r="BA54" s="140"/>
      <c r="BB54" s="140"/>
      <c r="BC54" s="141"/>
      <c r="BD54" s="143"/>
      <c r="BE54" s="140"/>
      <c r="BF54" s="140"/>
      <c r="BG54" s="140"/>
      <c r="BH54" s="140"/>
      <c r="BI54" s="140"/>
      <c r="BJ54" s="14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5DD9-D0DF-441F-BE7A-AEAE6C74B90E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59" customWidth="1"/>
    <col min="61" max="16384" width="2.77734375" style="59"/>
  </cols>
  <sheetData>
    <row r="1" spans="1:63" ht="24.95" customHeight="1">
      <c r="A1" s="218" t="s">
        <v>74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75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9" t="str">
        <f>IF(表紙!W1="","",表紙!W1)</f>
        <v>基本設計書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18" t="s">
        <v>76</v>
      </c>
      <c r="AQ1" s="219"/>
      <c r="AR1" s="219"/>
      <c r="AS1" s="220"/>
      <c r="AT1" s="218" t="s">
        <v>77</v>
      </c>
      <c r="AU1" s="219"/>
      <c r="AV1" s="219"/>
      <c r="AW1" s="219"/>
      <c r="AX1" s="220"/>
      <c r="AY1" s="218" t="s">
        <v>78</v>
      </c>
      <c r="AZ1" s="219"/>
      <c r="BA1" s="219"/>
      <c r="BB1" s="220"/>
      <c r="BC1" s="218" t="s">
        <v>79</v>
      </c>
      <c r="BD1" s="219"/>
      <c r="BE1" s="219"/>
      <c r="BF1" s="219"/>
      <c r="BG1" s="220"/>
      <c r="BH1" s="218" t="s">
        <v>80</v>
      </c>
      <c r="BI1" s="219"/>
      <c r="BJ1" s="219"/>
      <c r="BK1" s="220"/>
    </row>
    <row r="2" spans="1:63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IF(表紙!AP2="","",表紙!AP2)</f>
        <v>DuNT</v>
      </c>
      <c r="AQ2" s="193"/>
      <c r="AR2" s="193"/>
      <c r="AS2" s="194"/>
      <c r="AT2" s="217">
        <f>IF(表紙!AT2="","",表紙!AT2)</f>
        <v>45511</v>
      </c>
      <c r="AU2" s="224"/>
      <c r="AV2" s="224"/>
      <c r="AW2" s="224"/>
      <c r="AX2" s="225"/>
      <c r="AY2" s="192" t="str">
        <f>IF(表紙!AY2="","",表紙!AY2)</f>
        <v>DuNT</v>
      </c>
      <c r="AZ2" s="193"/>
      <c r="BA2" s="193"/>
      <c r="BB2" s="194"/>
      <c r="BC2" s="217">
        <f>IF(表紙!BC2="","",表紙!BC2)</f>
        <v>45539</v>
      </c>
      <c r="BD2" s="224"/>
      <c r="BE2" s="224"/>
      <c r="BF2" s="224"/>
      <c r="BG2" s="225"/>
      <c r="BH2" s="192">
        <f>IF(表紙!BH2="","",表紙!BH2)</f>
        <v>0.2</v>
      </c>
      <c r="BI2" s="193"/>
      <c r="BJ2" s="193"/>
      <c r="BK2" s="194"/>
    </row>
    <row r="3" spans="1:63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5"/>
      <c r="AQ3" s="196"/>
      <c r="AR3" s="196"/>
      <c r="AS3" s="197"/>
      <c r="AT3" s="226"/>
      <c r="AU3" s="227"/>
      <c r="AV3" s="227"/>
      <c r="AW3" s="227"/>
      <c r="AX3" s="228"/>
      <c r="AY3" s="195"/>
      <c r="AZ3" s="196"/>
      <c r="BA3" s="196"/>
      <c r="BB3" s="197"/>
      <c r="BC3" s="226"/>
      <c r="BD3" s="227"/>
      <c r="BE3" s="227"/>
      <c r="BF3" s="227"/>
      <c r="BG3" s="228"/>
      <c r="BH3" s="195"/>
      <c r="BI3" s="196"/>
      <c r="BJ3" s="196"/>
      <c r="BK3" s="197"/>
    </row>
    <row r="4" spans="1:63" ht="24.95" customHeight="1">
      <c r="A4" s="218" t="s">
        <v>87</v>
      </c>
      <c r="B4" s="219"/>
      <c r="C4" s="219"/>
      <c r="D4" s="219"/>
      <c r="E4" s="219"/>
      <c r="F4" s="219"/>
      <c r="G4" s="220"/>
      <c r="H4" s="221" t="str">
        <f>IF(表紙!H4="","",表紙!H4)</f>
        <v>16_保留・保留解除</v>
      </c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  <c r="U4" s="218" t="s">
        <v>82</v>
      </c>
      <c r="V4" s="219"/>
      <c r="W4" s="219"/>
      <c r="X4" s="219"/>
      <c r="Y4" s="220"/>
      <c r="Z4" s="221" t="str">
        <f>IF(表紙!Z4="","",表紙!Z4)</f>
        <v>概要設計</v>
      </c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3"/>
      <c r="AP4" s="221" t="str">
        <f t="array" aca="1" ref="AP4" ca="1">RIGHT(CELL("filename",$A$1),LEN(CELL("filename",$A$1))-FIND("]",CELL("filename",$A$1)))</f>
        <v>指摘履歴</v>
      </c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3"/>
    </row>
    <row r="5" spans="1:63" ht="5.0999999999999996" customHeight="1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2"/>
    </row>
    <row r="6" spans="1:63" ht="15" customHeight="1">
      <c r="A6" s="63"/>
      <c r="BK6" s="64"/>
    </row>
    <row r="7" spans="1:63" ht="15" customHeight="1">
      <c r="A7" s="63"/>
      <c r="BK7" s="64"/>
    </row>
    <row r="8" spans="1:63" ht="15" customHeight="1">
      <c r="A8" s="63"/>
      <c r="B8" s="59" t="s">
        <v>9</v>
      </c>
      <c r="BK8" s="64"/>
    </row>
    <row r="9" spans="1:63" ht="15" customHeight="1">
      <c r="A9" s="63"/>
      <c r="BK9" s="64"/>
    </row>
    <row r="10" spans="1:63" ht="15" customHeight="1">
      <c r="A10" s="63"/>
      <c r="B10" s="216" t="s">
        <v>79</v>
      </c>
      <c r="C10" s="216"/>
      <c r="D10" s="216"/>
      <c r="E10" s="216"/>
      <c r="F10" s="216"/>
      <c r="G10" s="216"/>
      <c r="H10" s="216" t="s">
        <v>78</v>
      </c>
      <c r="I10" s="216"/>
      <c r="J10" s="216"/>
      <c r="K10" s="216"/>
      <c r="L10" s="216"/>
      <c r="M10" s="216"/>
      <c r="N10" s="216"/>
      <c r="O10" s="216" t="s">
        <v>80</v>
      </c>
      <c r="P10" s="216"/>
      <c r="Q10" s="216"/>
      <c r="R10" s="216"/>
      <c r="S10" s="216" t="s">
        <v>88</v>
      </c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6"/>
      <c r="AU10" s="216"/>
      <c r="AV10" s="216"/>
      <c r="AW10" s="216"/>
      <c r="AX10" s="216" t="s">
        <v>89</v>
      </c>
      <c r="AY10" s="216"/>
      <c r="AZ10" s="216"/>
      <c r="BA10" s="216"/>
      <c r="BB10" s="216"/>
      <c r="BC10" s="216"/>
      <c r="BD10" s="216" t="s">
        <v>90</v>
      </c>
      <c r="BE10" s="216"/>
      <c r="BF10" s="216"/>
      <c r="BG10" s="216"/>
      <c r="BH10" s="216"/>
      <c r="BI10" s="216"/>
      <c r="BJ10" s="216"/>
      <c r="BK10" s="64"/>
    </row>
    <row r="11" spans="1:63" ht="15" customHeight="1">
      <c r="A11" s="63"/>
      <c r="B11" s="217"/>
      <c r="C11" s="193"/>
      <c r="D11" s="193"/>
      <c r="E11" s="193"/>
      <c r="F11" s="193"/>
      <c r="G11" s="194"/>
      <c r="H11" s="92"/>
      <c r="I11" s="193"/>
      <c r="J11" s="193"/>
      <c r="K11" s="193"/>
      <c r="L11" s="193"/>
      <c r="M11" s="193"/>
      <c r="N11" s="194"/>
      <c r="O11" s="192"/>
      <c r="P11" s="193"/>
      <c r="Q11" s="193"/>
      <c r="R11" s="193"/>
      <c r="S11" s="198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200"/>
      <c r="AX11" s="201"/>
      <c r="AY11" s="201"/>
      <c r="AZ11" s="201"/>
      <c r="BA11" s="201"/>
      <c r="BB11" s="201"/>
      <c r="BC11" s="202"/>
      <c r="BD11" s="205"/>
      <c r="BE11" s="201"/>
      <c r="BF11" s="201"/>
      <c r="BG11" s="201"/>
      <c r="BH11" s="201"/>
      <c r="BI11" s="201"/>
      <c r="BJ11" s="202"/>
      <c r="BK11" s="64"/>
    </row>
    <row r="12" spans="1:63" ht="15" customHeight="1">
      <c r="A12" s="63"/>
      <c r="B12" s="195"/>
      <c r="C12" s="196"/>
      <c r="D12" s="196"/>
      <c r="E12" s="196"/>
      <c r="F12" s="196"/>
      <c r="G12" s="197"/>
      <c r="H12" s="195"/>
      <c r="I12" s="196"/>
      <c r="J12" s="196"/>
      <c r="K12" s="196"/>
      <c r="L12" s="196"/>
      <c r="M12" s="196"/>
      <c r="N12" s="197"/>
      <c r="O12" s="195"/>
      <c r="P12" s="196"/>
      <c r="Q12" s="196"/>
      <c r="R12" s="196"/>
      <c r="S12" s="207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8"/>
      <c r="AR12" s="208"/>
      <c r="AS12" s="208"/>
      <c r="AT12" s="208"/>
      <c r="AU12" s="208"/>
      <c r="AV12" s="208"/>
      <c r="AW12" s="209"/>
      <c r="AX12" s="203"/>
      <c r="AY12" s="203"/>
      <c r="AZ12" s="203"/>
      <c r="BA12" s="203"/>
      <c r="BB12" s="203"/>
      <c r="BC12" s="204"/>
      <c r="BD12" s="206"/>
      <c r="BE12" s="203"/>
      <c r="BF12" s="203"/>
      <c r="BG12" s="203"/>
      <c r="BH12" s="203"/>
      <c r="BI12" s="203"/>
      <c r="BJ12" s="204"/>
      <c r="BK12" s="64"/>
    </row>
    <row r="13" spans="1:63" ht="15" customHeight="1">
      <c r="A13" s="63"/>
      <c r="B13" s="151"/>
      <c r="C13" s="152"/>
      <c r="D13" s="152"/>
      <c r="E13" s="152"/>
      <c r="F13" s="152"/>
      <c r="G13" s="153"/>
      <c r="H13" s="92"/>
      <c r="I13" s="193"/>
      <c r="J13" s="193"/>
      <c r="K13" s="193"/>
      <c r="L13" s="193"/>
      <c r="M13" s="193"/>
      <c r="N13" s="194"/>
      <c r="O13" s="157"/>
      <c r="P13" s="152"/>
      <c r="Q13" s="152"/>
      <c r="R13" s="152"/>
      <c r="S13" s="210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1"/>
      <c r="AT13" s="211"/>
      <c r="AU13" s="211"/>
      <c r="AV13" s="211"/>
      <c r="AW13" s="212"/>
      <c r="AX13" s="201"/>
      <c r="AY13" s="201"/>
      <c r="AZ13" s="201"/>
      <c r="BA13" s="201"/>
      <c r="BB13" s="201"/>
      <c r="BC13" s="202"/>
      <c r="BD13" s="205"/>
      <c r="BE13" s="201"/>
      <c r="BF13" s="201"/>
      <c r="BG13" s="201"/>
      <c r="BH13" s="201"/>
      <c r="BI13" s="201"/>
      <c r="BJ13" s="202"/>
      <c r="BK13" s="64"/>
    </row>
    <row r="14" spans="1:63">
      <c r="A14" s="63"/>
      <c r="B14" s="154"/>
      <c r="C14" s="155"/>
      <c r="D14" s="155"/>
      <c r="E14" s="155"/>
      <c r="F14" s="155"/>
      <c r="G14" s="156"/>
      <c r="H14" s="195"/>
      <c r="I14" s="196"/>
      <c r="J14" s="196"/>
      <c r="K14" s="196"/>
      <c r="L14" s="196"/>
      <c r="M14" s="196"/>
      <c r="N14" s="197"/>
      <c r="O14" s="154"/>
      <c r="P14" s="155"/>
      <c r="Q14" s="155"/>
      <c r="R14" s="155"/>
      <c r="S14" s="213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5"/>
      <c r="AX14" s="203"/>
      <c r="AY14" s="203"/>
      <c r="AZ14" s="203"/>
      <c r="BA14" s="203"/>
      <c r="BB14" s="203"/>
      <c r="BC14" s="204"/>
      <c r="BD14" s="206"/>
      <c r="BE14" s="203"/>
      <c r="BF14" s="203"/>
      <c r="BG14" s="203"/>
      <c r="BH14" s="203"/>
      <c r="BI14" s="203"/>
      <c r="BJ14" s="204"/>
      <c r="BK14" s="64"/>
    </row>
    <row r="15" spans="1:63" ht="15" customHeight="1">
      <c r="A15" s="63"/>
      <c r="B15" s="173"/>
      <c r="C15" s="174"/>
      <c r="D15" s="174"/>
      <c r="E15" s="174"/>
      <c r="F15" s="174"/>
      <c r="G15" s="175"/>
      <c r="H15" s="92"/>
      <c r="I15" s="193"/>
      <c r="J15" s="193"/>
      <c r="K15" s="193"/>
      <c r="L15" s="193"/>
      <c r="M15" s="193"/>
      <c r="N15" s="194"/>
      <c r="O15" s="179"/>
      <c r="P15" s="174"/>
      <c r="Q15" s="174"/>
      <c r="R15" s="174"/>
      <c r="S15" s="180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2"/>
      <c r="AX15" s="183"/>
      <c r="AY15" s="183"/>
      <c r="AZ15" s="183"/>
      <c r="BA15" s="183"/>
      <c r="BB15" s="183"/>
      <c r="BC15" s="184"/>
      <c r="BD15" s="187"/>
      <c r="BE15" s="183"/>
      <c r="BF15" s="183"/>
      <c r="BG15" s="183"/>
      <c r="BH15" s="183"/>
      <c r="BI15" s="183"/>
      <c r="BJ15" s="184"/>
      <c r="BK15" s="64"/>
    </row>
    <row r="16" spans="1:63" ht="15" customHeight="1">
      <c r="A16" s="63"/>
      <c r="B16" s="176"/>
      <c r="C16" s="177"/>
      <c r="D16" s="177"/>
      <c r="E16" s="177"/>
      <c r="F16" s="177"/>
      <c r="G16" s="178"/>
      <c r="H16" s="195"/>
      <c r="I16" s="196"/>
      <c r="J16" s="196"/>
      <c r="K16" s="196"/>
      <c r="L16" s="196"/>
      <c r="M16" s="196"/>
      <c r="N16" s="197"/>
      <c r="O16" s="176"/>
      <c r="P16" s="177"/>
      <c r="Q16" s="177"/>
      <c r="R16" s="177"/>
      <c r="S16" s="189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1"/>
      <c r="AX16" s="185"/>
      <c r="AY16" s="185"/>
      <c r="AZ16" s="185"/>
      <c r="BA16" s="185"/>
      <c r="BB16" s="185"/>
      <c r="BC16" s="186"/>
      <c r="BD16" s="188"/>
      <c r="BE16" s="185"/>
      <c r="BF16" s="185"/>
      <c r="BG16" s="185"/>
      <c r="BH16" s="185"/>
      <c r="BI16" s="185"/>
      <c r="BJ16" s="186"/>
      <c r="BK16" s="64"/>
    </row>
    <row r="17" spans="1:63" ht="15" customHeight="1">
      <c r="A17" s="63"/>
      <c r="B17" s="151"/>
      <c r="C17" s="152"/>
      <c r="D17" s="152"/>
      <c r="E17" s="152"/>
      <c r="F17" s="152"/>
      <c r="G17" s="153"/>
      <c r="H17" s="92"/>
      <c r="I17" s="193"/>
      <c r="J17" s="193"/>
      <c r="K17" s="193"/>
      <c r="L17" s="193"/>
      <c r="M17" s="193"/>
      <c r="N17" s="194"/>
      <c r="O17" s="157"/>
      <c r="P17" s="152"/>
      <c r="Q17" s="152"/>
      <c r="R17" s="152"/>
      <c r="S17" s="158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60"/>
      <c r="AX17" s="161"/>
      <c r="AY17" s="161"/>
      <c r="AZ17" s="161"/>
      <c r="BA17" s="161"/>
      <c r="BB17" s="161"/>
      <c r="BC17" s="162"/>
      <c r="BD17" s="165"/>
      <c r="BE17" s="161"/>
      <c r="BF17" s="161"/>
      <c r="BG17" s="161"/>
      <c r="BH17" s="161"/>
      <c r="BI17" s="161"/>
      <c r="BJ17" s="162"/>
      <c r="BK17" s="64"/>
    </row>
    <row r="18" spans="1:63" ht="15" customHeight="1">
      <c r="A18" s="63"/>
      <c r="B18" s="154"/>
      <c r="C18" s="155"/>
      <c r="D18" s="155"/>
      <c r="E18" s="155"/>
      <c r="F18" s="155"/>
      <c r="G18" s="156"/>
      <c r="H18" s="195"/>
      <c r="I18" s="196"/>
      <c r="J18" s="196"/>
      <c r="K18" s="196"/>
      <c r="L18" s="196"/>
      <c r="M18" s="196"/>
      <c r="N18" s="197"/>
      <c r="O18" s="154"/>
      <c r="P18" s="155"/>
      <c r="Q18" s="155"/>
      <c r="R18" s="155"/>
      <c r="S18" s="167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9"/>
      <c r="AX18" s="163"/>
      <c r="AY18" s="163"/>
      <c r="AZ18" s="163"/>
      <c r="BA18" s="163"/>
      <c r="BB18" s="163"/>
      <c r="BC18" s="164"/>
      <c r="BD18" s="166"/>
      <c r="BE18" s="163"/>
      <c r="BF18" s="163"/>
      <c r="BG18" s="163"/>
      <c r="BH18" s="163"/>
      <c r="BI18" s="163"/>
      <c r="BJ18" s="164"/>
      <c r="BK18" s="64"/>
    </row>
    <row r="19" spans="1:63" ht="15" customHeight="1">
      <c r="A19" s="63"/>
      <c r="B19" s="192"/>
      <c r="C19" s="193"/>
      <c r="D19" s="193"/>
      <c r="E19" s="193"/>
      <c r="F19" s="193"/>
      <c r="G19" s="194"/>
      <c r="H19" s="92"/>
      <c r="I19" s="193"/>
      <c r="J19" s="193"/>
      <c r="K19" s="193"/>
      <c r="L19" s="193"/>
      <c r="M19" s="193"/>
      <c r="N19" s="194"/>
      <c r="O19" s="192"/>
      <c r="P19" s="193"/>
      <c r="Q19" s="193"/>
      <c r="R19" s="193"/>
      <c r="S19" s="198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200"/>
      <c r="AX19" s="201"/>
      <c r="AY19" s="201"/>
      <c r="AZ19" s="201"/>
      <c r="BA19" s="201"/>
      <c r="BB19" s="201"/>
      <c r="BC19" s="202"/>
      <c r="BD19" s="205"/>
      <c r="BE19" s="201"/>
      <c r="BF19" s="201"/>
      <c r="BG19" s="201"/>
      <c r="BH19" s="201"/>
      <c r="BI19" s="201"/>
      <c r="BJ19" s="202"/>
      <c r="BK19" s="64"/>
    </row>
    <row r="20" spans="1:63" ht="15" customHeight="1">
      <c r="A20" s="63"/>
      <c r="B20" s="195"/>
      <c r="C20" s="196"/>
      <c r="D20" s="196"/>
      <c r="E20" s="196"/>
      <c r="F20" s="196"/>
      <c r="G20" s="197"/>
      <c r="H20" s="195"/>
      <c r="I20" s="196"/>
      <c r="J20" s="196"/>
      <c r="K20" s="196"/>
      <c r="L20" s="196"/>
      <c r="M20" s="196"/>
      <c r="N20" s="197"/>
      <c r="O20" s="195"/>
      <c r="P20" s="196"/>
      <c r="Q20" s="196"/>
      <c r="R20" s="196"/>
      <c r="S20" s="207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9"/>
      <c r="AX20" s="203"/>
      <c r="AY20" s="203"/>
      <c r="AZ20" s="203"/>
      <c r="BA20" s="203"/>
      <c r="BB20" s="203"/>
      <c r="BC20" s="204"/>
      <c r="BD20" s="206"/>
      <c r="BE20" s="203"/>
      <c r="BF20" s="203"/>
      <c r="BG20" s="203"/>
      <c r="BH20" s="203"/>
      <c r="BI20" s="203"/>
      <c r="BJ20" s="204"/>
      <c r="BK20" s="64"/>
    </row>
    <row r="21" spans="1:63" ht="15" customHeight="1">
      <c r="A21" s="63"/>
      <c r="B21" s="192"/>
      <c r="C21" s="193"/>
      <c r="D21" s="193"/>
      <c r="E21" s="193"/>
      <c r="F21" s="193"/>
      <c r="G21" s="194"/>
      <c r="H21" s="92"/>
      <c r="I21" s="193"/>
      <c r="J21" s="193"/>
      <c r="K21" s="193"/>
      <c r="L21" s="193"/>
      <c r="M21" s="193"/>
      <c r="N21" s="194"/>
      <c r="O21" s="192"/>
      <c r="P21" s="193"/>
      <c r="Q21" s="193"/>
      <c r="R21" s="193"/>
      <c r="S21" s="198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200"/>
      <c r="AX21" s="201"/>
      <c r="AY21" s="201"/>
      <c r="AZ21" s="201"/>
      <c r="BA21" s="201"/>
      <c r="BB21" s="201"/>
      <c r="BC21" s="202"/>
      <c r="BD21" s="205"/>
      <c r="BE21" s="201"/>
      <c r="BF21" s="201"/>
      <c r="BG21" s="201"/>
      <c r="BH21" s="201"/>
      <c r="BI21" s="201"/>
      <c r="BJ21" s="202"/>
      <c r="BK21" s="64"/>
    </row>
    <row r="22" spans="1:63" ht="15" customHeight="1">
      <c r="A22" s="63"/>
      <c r="B22" s="195"/>
      <c r="C22" s="196"/>
      <c r="D22" s="196"/>
      <c r="E22" s="196"/>
      <c r="F22" s="196"/>
      <c r="G22" s="197"/>
      <c r="H22" s="195"/>
      <c r="I22" s="196"/>
      <c r="J22" s="196"/>
      <c r="K22" s="196"/>
      <c r="L22" s="196"/>
      <c r="M22" s="196"/>
      <c r="N22" s="197"/>
      <c r="O22" s="195"/>
      <c r="P22" s="196"/>
      <c r="Q22" s="196"/>
      <c r="R22" s="196"/>
      <c r="S22" s="207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9"/>
      <c r="AX22" s="203"/>
      <c r="AY22" s="203"/>
      <c r="AZ22" s="203"/>
      <c r="BA22" s="203"/>
      <c r="BB22" s="203"/>
      <c r="BC22" s="204"/>
      <c r="BD22" s="206"/>
      <c r="BE22" s="203"/>
      <c r="BF22" s="203"/>
      <c r="BG22" s="203"/>
      <c r="BH22" s="203"/>
      <c r="BI22" s="203"/>
      <c r="BJ22" s="204"/>
      <c r="BK22" s="64"/>
    </row>
    <row r="23" spans="1:63" ht="15" customHeight="1">
      <c r="A23" s="63"/>
      <c r="B23" s="192"/>
      <c r="C23" s="193"/>
      <c r="D23" s="193"/>
      <c r="E23" s="193"/>
      <c r="F23" s="193"/>
      <c r="G23" s="194"/>
      <c r="H23" s="192"/>
      <c r="I23" s="193"/>
      <c r="J23" s="193"/>
      <c r="K23" s="193"/>
      <c r="L23" s="193"/>
      <c r="M23" s="193"/>
      <c r="N23" s="194"/>
      <c r="O23" s="192"/>
      <c r="P23" s="193"/>
      <c r="Q23" s="193"/>
      <c r="R23" s="193"/>
      <c r="S23" s="198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200"/>
      <c r="AX23" s="201"/>
      <c r="AY23" s="201"/>
      <c r="AZ23" s="201"/>
      <c r="BA23" s="201"/>
      <c r="BB23" s="201"/>
      <c r="BC23" s="202"/>
      <c r="BD23" s="205"/>
      <c r="BE23" s="201"/>
      <c r="BF23" s="201"/>
      <c r="BG23" s="201"/>
      <c r="BH23" s="201"/>
      <c r="BI23" s="201"/>
      <c r="BJ23" s="202"/>
      <c r="BK23" s="64"/>
    </row>
    <row r="24" spans="1:63" ht="15" customHeight="1">
      <c r="A24" s="63"/>
      <c r="B24" s="195"/>
      <c r="C24" s="196"/>
      <c r="D24" s="196"/>
      <c r="E24" s="196"/>
      <c r="F24" s="196"/>
      <c r="G24" s="197"/>
      <c r="H24" s="195"/>
      <c r="I24" s="196"/>
      <c r="J24" s="196"/>
      <c r="K24" s="196"/>
      <c r="L24" s="196"/>
      <c r="M24" s="196"/>
      <c r="N24" s="197"/>
      <c r="O24" s="195"/>
      <c r="P24" s="196"/>
      <c r="Q24" s="196"/>
      <c r="R24" s="196"/>
      <c r="S24" s="207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  <c r="AW24" s="209"/>
      <c r="AX24" s="203"/>
      <c r="AY24" s="203"/>
      <c r="AZ24" s="203"/>
      <c r="BA24" s="203"/>
      <c r="BB24" s="203"/>
      <c r="BC24" s="204"/>
      <c r="BD24" s="206"/>
      <c r="BE24" s="203"/>
      <c r="BF24" s="203"/>
      <c r="BG24" s="203"/>
      <c r="BH24" s="203"/>
      <c r="BI24" s="203"/>
      <c r="BJ24" s="204"/>
      <c r="BK24" s="64"/>
    </row>
    <row r="25" spans="1:63" ht="15" customHeight="1">
      <c r="A25" s="63"/>
      <c r="B25" s="192"/>
      <c r="C25" s="193"/>
      <c r="D25" s="193"/>
      <c r="E25" s="193"/>
      <c r="F25" s="193"/>
      <c r="G25" s="194"/>
      <c r="H25" s="192"/>
      <c r="I25" s="193"/>
      <c r="J25" s="193"/>
      <c r="K25" s="193"/>
      <c r="L25" s="193"/>
      <c r="M25" s="193"/>
      <c r="N25" s="194"/>
      <c r="O25" s="192"/>
      <c r="P25" s="193"/>
      <c r="Q25" s="193"/>
      <c r="R25" s="193"/>
      <c r="S25" s="198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200"/>
      <c r="AX25" s="201"/>
      <c r="AY25" s="201"/>
      <c r="AZ25" s="201"/>
      <c r="BA25" s="201"/>
      <c r="BB25" s="201"/>
      <c r="BC25" s="202"/>
      <c r="BD25" s="205"/>
      <c r="BE25" s="201"/>
      <c r="BF25" s="201"/>
      <c r="BG25" s="201"/>
      <c r="BH25" s="201"/>
      <c r="BI25" s="201"/>
      <c r="BJ25" s="202"/>
      <c r="BK25" s="64"/>
    </row>
    <row r="26" spans="1:63" ht="15" customHeight="1">
      <c r="A26" s="63"/>
      <c r="B26" s="195"/>
      <c r="C26" s="196"/>
      <c r="D26" s="196"/>
      <c r="E26" s="196"/>
      <c r="F26" s="196"/>
      <c r="G26" s="197"/>
      <c r="H26" s="195"/>
      <c r="I26" s="196"/>
      <c r="J26" s="196"/>
      <c r="K26" s="196"/>
      <c r="L26" s="196"/>
      <c r="M26" s="196"/>
      <c r="N26" s="197"/>
      <c r="O26" s="195"/>
      <c r="P26" s="196"/>
      <c r="Q26" s="196"/>
      <c r="R26" s="196"/>
      <c r="S26" s="207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208"/>
      <c r="AU26" s="208"/>
      <c r="AV26" s="208"/>
      <c r="AW26" s="209"/>
      <c r="AX26" s="203"/>
      <c r="AY26" s="203"/>
      <c r="AZ26" s="203"/>
      <c r="BA26" s="203"/>
      <c r="BB26" s="203"/>
      <c r="BC26" s="204"/>
      <c r="BD26" s="206"/>
      <c r="BE26" s="203"/>
      <c r="BF26" s="203"/>
      <c r="BG26" s="203"/>
      <c r="BH26" s="203"/>
      <c r="BI26" s="203"/>
      <c r="BJ26" s="204"/>
      <c r="BK26" s="64"/>
    </row>
    <row r="27" spans="1:63" ht="15" customHeight="1">
      <c r="A27" s="63"/>
      <c r="B27" s="192"/>
      <c r="C27" s="193"/>
      <c r="D27" s="193"/>
      <c r="E27" s="193"/>
      <c r="F27" s="193"/>
      <c r="G27" s="194"/>
      <c r="H27" s="192"/>
      <c r="I27" s="193"/>
      <c r="J27" s="193"/>
      <c r="K27" s="193"/>
      <c r="L27" s="193"/>
      <c r="M27" s="193"/>
      <c r="N27" s="194"/>
      <c r="O27" s="192"/>
      <c r="P27" s="193"/>
      <c r="Q27" s="193"/>
      <c r="R27" s="193"/>
      <c r="S27" s="198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200"/>
      <c r="AX27" s="201"/>
      <c r="AY27" s="201"/>
      <c r="AZ27" s="201"/>
      <c r="BA27" s="201"/>
      <c r="BB27" s="201"/>
      <c r="BC27" s="202"/>
      <c r="BD27" s="205"/>
      <c r="BE27" s="201"/>
      <c r="BF27" s="201"/>
      <c r="BG27" s="201"/>
      <c r="BH27" s="201"/>
      <c r="BI27" s="201"/>
      <c r="BJ27" s="202"/>
      <c r="BK27" s="64"/>
    </row>
    <row r="28" spans="1:63" ht="15" customHeight="1">
      <c r="A28" s="63"/>
      <c r="B28" s="195"/>
      <c r="C28" s="196"/>
      <c r="D28" s="196"/>
      <c r="E28" s="196"/>
      <c r="F28" s="196"/>
      <c r="G28" s="197"/>
      <c r="H28" s="195"/>
      <c r="I28" s="196"/>
      <c r="J28" s="196"/>
      <c r="K28" s="196"/>
      <c r="L28" s="196"/>
      <c r="M28" s="196"/>
      <c r="N28" s="197"/>
      <c r="O28" s="195"/>
      <c r="P28" s="196"/>
      <c r="Q28" s="196"/>
      <c r="R28" s="196"/>
      <c r="S28" s="207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9"/>
      <c r="AX28" s="203"/>
      <c r="AY28" s="203"/>
      <c r="AZ28" s="203"/>
      <c r="BA28" s="203"/>
      <c r="BB28" s="203"/>
      <c r="BC28" s="204"/>
      <c r="BD28" s="206"/>
      <c r="BE28" s="203"/>
      <c r="BF28" s="203"/>
      <c r="BG28" s="203"/>
      <c r="BH28" s="203"/>
      <c r="BI28" s="203"/>
      <c r="BJ28" s="204"/>
      <c r="BK28" s="64"/>
    </row>
    <row r="29" spans="1:63" ht="15" customHeight="1">
      <c r="A29" s="63"/>
      <c r="B29" s="192"/>
      <c r="C29" s="193"/>
      <c r="D29" s="193"/>
      <c r="E29" s="193"/>
      <c r="F29" s="193"/>
      <c r="G29" s="194"/>
      <c r="H29" s="192"/>
      <c r="I29" s="193"/>
      <c r="J29" s="193"/>
      <c r="K29" s="193"/>
      <c r="L29" s="193"/>
      <c r="M29" s="193"/>
      <c r="N29" s="194"/>
      <c r="O29" s="192"/>
      <c r="P29" s="193"/>
      <c r="Q29" s="193"/>
      <c r="R29" s="193"/>
      <c r="S29" s="198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200"/>
      <c r="AX29" s="201"/>
      <c r="AY29" s="201"/>
      <c r="AZ29" s="201"/>
      <c r="BA29" s="201"/>
      <c r="BB29" s="201"/>
      <c r="BC29" s="202"/>
      <c r="BD29" s="205"/>
      <c r="BE29" s="201"/>
      <c r="BF29" s="201"/>
      <c r="BG29" s="201"/>
      <c r="BH29" s="201"/>
      <c r="BI29" s="201"/>
      <c r="BJ29" s="202"/>
      <c r="BK29" s="64"/>
    </row>
    <row r="30" spans="1:63" ht="15" customHeight="1">
      <c r="A30" s="63"/>
      <c r="B30" s="195"/>
      <c r="C30" s="196"/>
      <c r="D30" s="196"/>
      <c r="E30" s="196"/>
      <c r="F30" s="196"/>
      <c r="G30" s="197"/>
      <c r="H30" s="195"/>
      <c r="I30" s="196"/>
      <c r="J30" s="196"/>
      <c r="K30" s="196"/>
      <c r="L30" s="196"/>
      <c r="M30" s="196"/>
      <c r="N30" s="197"/>
      <c r="O30" s="195"/>
      <c r="P30" s="196"/>
      <c r="Q30" s="196"/>
      <c r="R30" s="196"/>
      <c r="S30" s="207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9"/>
      <c r="AX30" s="203"/>
      <c r="AY30" s="203"/>
      <c r="AZ30" s="203"/>
      <c r="BA30" s="203"/>
      <c r="BB30" s="203"/>
      <c r="BC30" s="204"/>
      <c r="BD30" s="206"/>
      <c r="BE30" s="203"/>
      <c r="BF30" s="203"/>
      <c r="BG30" s="203"/>
      <c r="BH30" s="203"/>
      <c r="BI30" s="203"/>
      <c r="BJ30" s="204"/>
      <c r="BK30" s="64"/>
    </row>
    <row r="31" spans="1:63" ht="15" customHeight="1">
      <c r="A31" s="63"/>
      <c r="B31" s="192"/>
      <c r="C31" s="193"/>
      <c r="D31" s="193"/>
      <c r="E31" s="193"/>
      <c r="F31" s="193"/>
      <c r="G31" s="194"/>
      <c r="H31" s="192"/>
      <c r="I31" s="193"/>
      <c r="J31" s="193"/>
      <c r="K31" s="193"/>
      <c r="L31" s="193"/>
      <c r="M31" s="193"/>
      <c r="N31" s="194"/>
      <c r="O31" s="192"/>
      <c r="P31" s="193"/>
      <c r="Q31" s="193"/>
      <c r="R31" s="193"/>
      <c r="S31" s="198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200"/>
      <c r="AX31" s="201"/>
      <c r="AY31" s="201"/>
      <c r="AZ31" s="201"/>
      <c r="BA31" s="201"/>
      <c r="BB31" s="201"/>
      <c r="BC31" s="202"/>
      <c r="BD31" s="205"/>
      <c r="BE31" s="201"/>
      <c r="BF31" s="201"/>
      <c r="BG31" s="201"/>
      <c r="BH31" s="201"/>
      <c r="BI31" s="201"/>
      <c r="BJ31" s="202"/>
      <c r="BK31" s="64"/>
    </row>
    <row r="32" spans="1:63" ht="15" customHeight="1">
      <c r="A32" s="63"/>
      <c r="B32" s="195"/>
      <c r="C32" s="196"/>
      <c r="D32" s="196"/>
      <c r="E32" s="196"/>
      <c r="F32" s="196"/>
      <c r="G32" s="197"/>
      <c r="H32" s="195"/>
      <c r="I32" s="196"/>
      <c r="J32" s="196"/>
      <c r="K32" s="196"/>
      <c r="L32" s="196"/>
      <c r="M32" s="196"/>
      <c r="N32" s="197"/>
      <c r="O32" s="195"/>
      <c r="P32" s="196"/>
      <c r="Q32" s="196"/>
      <c r="R32" s="196"/>
      <c r="S32" s="207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8"/>
      <c r="AT32" s="208"/>
      <c r="AU32" s="208"/>
      <c r="AV32" s="208"/>
      <c r="AW32" s="209"/>
      <c r="AX32" s="203"/>
      <c r="AY32" s="203"/>
      <c r="AZ32" s="203"/>
      <c r="BA32" s="203"/>
      <c r="BB32" s="203"/>
      <c r="BC32" s="204"/>
      <c r="BD32" s="206"/>
      <c r="BE32" s="203"/>
      <c r="BF32" s="203"/>
      <c r="BG32" s="203"/>
      <c r="BH32" s="203"/>
      <c r="BI32" s="203"/>
      <c r="BJ32" s="204"/>
      <c r="BK32" s="64"/>
    </row>
    <row r="33" spans="1:63" ht="15" customHeight="1">
      <c r="A33" s="63"/>
      <c r="B33" s="192"/>
      <c r="C33" s="193"/>
      <c r="D33" s="193"/>
      <c r="E33" s="193"/>
      <c r="F33" s="193"/>
      <c r="G33" s="194"/>
      <c r="H33" s="192"/>
      <c r="I33" s="193"/>
      <c r="J33" s="193"/>
      <c r="K33" s="193"/>
      <c r="L33" s="193"/>
      <c r="M33" s="193"/>
      <c r="N33" s="194"/>
      <c r="O33" s="192"/>
      <c r="P33" s="193"/>
      <c r="Q33" s="193"/>
      <c r="R33" s="193"/>
      <c r="S33" s="198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200"/>
      <c r="AX33" s="201"/>
      <c r="AY33" s="201"/>
      <c r="AZ33" s="201"/>
      <c r="BA33" s="201"/>
      <c r="BB33" s="201"/>
      <c r="BC33" s="202"/>
      <c r="BD33" s="205"/>
      <c r="BE33" s="201"/>
      <c r="BF33" s="201"/>
      <c r="BG33" s="201"/>
      <c r="BH33" s="201"/>
      <c r="BI33" s="201"/>
      <c r="BJ33" s="202"/>
      <c r="BK33" s="64"/>
    </row>
    <row r="34" spans="1:63" ht="15" customHeight="1">
      <c r="A34" s="63"/>
      <c r="B34" s="195"/>
      <c r="C34" s="196"/>
      <c r="D34" s="196"/>
      <c r="E34" s="196"/>
      <c r="F34" s="196"/>
      <c r="G34" s="197"/>
      <c r="H34" s="195"/>
      <c r="I34" s="196"/>
      <c r="J34" s="196"/>
      <c r="K34" s="196"/>
      <c r="L34" s="196"/>
      <c r="M34" s="196"/>
      <c r="N34" s="197"/>
      <c r="O34" s="195"/>
      <c r="P34" s="196"/>
      <c r="Q34" s="196"/>
      <c r="R34" s="196"/>
      <c r="S34" s="207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208"/>
      <c r="AU34" s="208"/>
      <c r="AV34" s="208"/>
      <c r="AW34" s="209"/>
      <c r="AX34" s="203"/>
      <c r="AY34" s="203"/>
      <c r="AZ34" s="203"/>
      <c r="BA34" s="203"/>
      <c r="BB34" s="203"/>
      <c r="BC34" s="204"/>
      <c r="BD34" s="206"/>
      <c r="BE34" s="203"/>
      <c r="BF34" s="203"/>
      <c r="BG34" s="203"/>
      <c r="BH34" s="203"/>
      <c r="BI34" s="203"/>
      <c r="BJ34" s="204"/>
      <c r="BK34" s="64"/>
    </row>
    <row r="35" spans="1:63" ht="15" customHeight="1">
      <c r="A35" s="63"/>
      <c r="B35" s="192"/>
      <c r="C35" s="193"/>
      <c r="D35" s="193"/>
      <c r="E35" s="193"/>
      <c r="F35" s="193"/>
      <c r="G35" s="194"/>
      <c r="H35" s="192"/>
      <c r="I35" s="193"/>
      <c r="J35" s="193"/>
      <c r="K35" s="193"/>
      <c r="L35" s="193"/>
      <c r="M35" s="193"/>
      <c r="N35" s="194"/>
      <c r="O35" s="192"/>
      <c r="P35" s="193"/>
      <c r="Q35" s="193"/>
      <c r="R35" s="193"/>
      <c r="S35" s="198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200"/>
      <c r="AX35" s="201"/>
      <c r="AY35" s="201"/>
      <c r="AZ35" s="201"/>
      <c r="BA35" s="201"/>
      <c r="BB35" s="201"/>
      <c r="BC35" s="202"/>
      <c r="BD35" s="205"/>
      <c r="BE35" s="201"/>
      <c r="BF35" s="201"/>
      <c r="BG35" s="201"/>
      <c r="BH35" s="201"/>
      <c r="BI35" s="201"/>
      <c r="BJ35" s="202"/>
      <c r="BK35" s="64"/>
    </row>
    <row r="36" spans="1:63" ht="15" customHeight="1">
      <c r="A36" s="63"/>
      <c r="B36" s="195"/>
      <c r="C36" s="196"/>
      <c r="D36" s="196"/>
      <c r="E36" s="196"/>
      <c r="F36" s="196"/>
      <c r="G36" s="197"/>
      <c r="H36" s="195"/>
      <c r="I36" s="196"/>
      <c r="J36" s="196"/>
      <c r="K36" s="196"/>
      <c r="L36" s="196"/>
      <c r="M36" s="196"/>
      <c r="N36" s="197"/>
      <c r="O36" s="195"/>
      <c r="P36" s="196"/>
      <c r="Q36" s="196"/>
      <c r="R36" s="196"/>
      <c r="S36" s="207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8"/>
      <c r="AR36" s="208"/>
      <c r="AS36" s="208"/>
      <c r="AT36" s="208"/>
      <c r="AU36" s="208"/>
      <c r="AV36" s="208"/>
      <c r="AW36" s="209"/>
      <c r="AX36" s="203"/>
      <c r="AY36" s="203"/>
      <c r="AZ36" s="203"/>
      <c r="BA36" s="203"/>
      <c r="BB36" s="203"/>
      <c r="BC36" s="204"/>
      <c r="BD36" s="206"/>
      <c r="BE36" s="203"/>
      <c r="BF36" s="203"/>
      <c r="BG36" s="203"/>
      <c r="BH36" s="203"/>
      <c r="BI36" s="203"/>
      <c r="BJ36" s="204"/>
      <c r="BK36" s="64"/>
    </row>
    <row r="37" spans="1:63" ht="15" customHeight="1">
      <c r="A37" s="63"/>
      <c r="B37" s="192"/>
      <c r="C37" s="193"/>
      <c r="D37" s="193"/>
      <c r="E37" s="193"/>
      <c r="F37" s="193"/>
      <c r="G37" s="194"/>
      <c r="H37" s="192"/>
      <c r="I37" s="193"/>
      <c r="J37" s="193"/>
      <c r="K37" s="193"/>
      <c r="L37" s="193"/>
      <c r="M37" s="193"/>
      <c r="N37" s="194"/>
      <c r="O37" s="192"/>
      <c r="P37" s="193"/>
      <c r="Q37" s="193"/>
      <c r="R37" s="193"/>
      <c r="S37" s="198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200"/>
      <c r="AX37" s="201"/>
      <c r="AY37" s="201"/>
      <c r="AZ37" s="201"/>
      <c r="BA37" s="201"/>
      <c r="BB37" s="201"/>
      <c r="BC37" s="202"/>
      <c r="BD37" s="205"/>
      <c r="BE37" s="201"/>
      <c r="BF37" s="201"/>
      <c r="BG37" s="201"/>
      <c r="BH37" s="201"/>
      <c r="BI37" s="201"/>
      <c r="BJ37" s="202"/>
      <c r="BK37" s="64"/>
    </row>
    <row r="38" spans="1:63" ht="15" customHeight="1">
      <c r="A38" s="63"/>
      <c r="B38" s="195"/>
      <c r="C38" s="196"/>
      <c r="D38" s="196"/>
      <c r="E38" s="196"/>
      <c r="F38" s="196"/>
      <c r="G38" s="197"/>
      <c r="H38" s="195"/>
      <c r="I38" s="196"/>
      <c r="J38" s="196"/>
      <c r="K38" s="196"/>
      <c r="L38" s="196"/>
      <c r="M38" s="196"/>
      <c r="N38" s="197"/>
      <c r="O38" s="195"/>
      <c r="P38" s="196"/>
      <c r="Q38" s="196"/>
      <c r="R38" s="196"/>
      <c r="S38" s="207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208"/>
      <c r="AS38" s="208"/>
      <c r="AT38" s="208"/>
      <c r="AU38" s="208"/>
      <c r="AV38" s="208"/>
      <c r="AW38" s="209"/>
      <c r="AX38" s="203"/>
      <c r="AY38" s="203"/>
      <c r="AZ38" s="203"/>
      <c r="BA38" s="203"/>
      <c r="BB38" s="203"/>
      <c r="BC38" s="204"/>
      <c r="BD38" s="206"/>
      <c r="BE38" s="203"/>
      <c r="BF38" s="203"/>
      <c r="BG38" s="203"/>
      <c r="BH38" s="203"/>
      <c r="BI38" s="203"/>
      <c r="BJ38" s="204"/>
      <c r="BK38" s="64"/>
    </row>
    <row r="39" spans="1:63" ht="15" customHeight="1">
      <c r="A39" s="63"/>
      <c r="B39" s="192"/>
      <c r="C39" s="193"/>
      <c r="D39" s="193"/>
      <c r="E39" s="193"/>
      <c r="F39" s="193"/>
      <c r="G39" s="194"/>
      <c r="H39" s="192"/>
      <c r="I39" s="193"/>
      <c r="J39" s="193"/>
      <c r="K39" s="193"/>
      <c r="L39" s="193"/>
      <c r="M39" s="193"/>
      <c r="N39" s="194"/>
      <c r="O39" s="192"/>
      <c r="P39" s="193"/>
      <c r="Q39" s="193"/>
      <c r="R39" s="193"/>
      <c r="S39" s="198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200"/>
      <c r="AX39" s="201"/>
      <c r="AY39" s="201"/>
      <c r="AZ39" s="201"/>
      <c r="BA39" s="201"/>
      <c r="BB39" s="201"/>
      <c r="BC39" s="202"/>
      <c r="BD39" s="205"/>
      <c r="BE39" s="201"/>
      <c r="BF39" s="201"/>
      <c r="BG39" s="201"/>
      <c r="BH39" s="201"/>
      <c r="BI39" s="201"/>
      <c r="BJ39" s="202"/>
      <c r="BK39" s="64"/>
    </row>
    <row r="40" spans="1:63" ht="15" customHeight="1">
      <c r="A40" s="63"/>
      <c r="B40" s="195"/>
      <c r="C40" s="196"/>
      <c r="D40" s="196"/>
      <c r="E40" s="196"/>
      <c r="F40" s="196"/>
      <c r="G40" s="197"/>
      <c r="H40" s="195"/>
      <c r="I40" s="196"/>
      <c r="J40" s="196"/>
      <c r="K40" s="196"/>
      <c r="L40" s="196"/>
      <c r="M40" s="196"/>
      <c r="N40" s="197"/>
      <c r="O40" s="195"/>
      <c r="P40" s="196"/>
      <c r="Q40" s="196"/>
      <c r="R40" s="196"/>
      <c r="S40" s="207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8"/>
      <c r="AJ40" s="208"/>
      <c r="AK40" s="208"/>
      <c r="AL40" s="208"/>
      <c r="AM40" s="208"/>
      <c r="AN40" s="208"/>
      <c r="AO40" s="208"/>
      <c r="AP40" s="208"/>
      <c r="AQ40" s="208"/>
      <c r="AR40" s="208"/>
      <c r="AS40" s="208"/>
      <c r="AT40" s="208"/>
      <c r="AU40" s="208"/>
      <c r="AV40" s="208"/>
      <c r="AW40" s="209"/>
      <c r="AX40" s="203"/>
      <c r="AY40" s="203"/>
      <c r="AZ40" s="203"/>
      <c r="BA40" s="203"/>
      <c r="BB40" s="203"/>
      <c r="BC40" s="204"/>
      <c r="BD40" s="206"/>
      <c r="BE40" s="203"/>
      <c r="BF40" s="203"/>
      <c r="BG40" s="203"/>
      <c r="BH40" s="203"/>
      <c r="BI40" s="203"/>
      <c r="BJ40" s="204"/>
      <c r="BK40" s="64"/>
    </row>
    <row r="41" spans="1:63" ht="15" customHeight="1">
      <c r="A41" s="63"/>
      <c r="B41" s="192"/>
      <c r="C41" s="193"/>
      <c r="D41" s="193"/>
      <c r="E41" s="193"/>
      <c r="F41" s="193"/>
      <c r="G41" s="194"/>
      <c r="H41" s="192"/>
      <c r="I41" s="193"/>
      <c r="J41" s="193"/>
      <c r="K41" s="193"/>
      <c r="L41" s="193"/>
      <c r="M41" s="193"/>
      <c r="N41" s="194"/>
      <c r="O41" s="192"/>
      <c r="P41" s="193"/>
      <c r="Q41" s="193"/>
      <c r="R41" s="193"/>
      <c r="S41" s="198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200"/>
      <c r="AX41" s="201"/>
      <c r="AY41" s="201"/>
      <c r="AZ41" s="201"/>
      <c r="BA41" s="201"/>
      <c r="BB41" s="201"/>
      <c r="BC41" s="202"/>
      <c r="BD41" s="205"/>
      <c r="BE41" s="201"/>
      <c r="BF41" s="201"/>
      <c r="BG41" s="201"/>
      <c r="BH41" s="201"/>
      <c r="BI41" s="201"/>
      <c r="BJ41" s="202"/>
      <c r="BK41" s="64"/>
    </row>
    <row r="42" spans="1:63" ht="15" customHeight="1">
      <c r="A42" s="63"/>
      <c r="B42" s="195"/>
      <c r="C42" s="196"/>
      <c r="D42" s="196"/>
      <c r="E42" s="196"/>
      <c r="F42" s="196"/>
      <c r="G42" s="197"/>
      <c r="H42" s="195"/>
      <c r="I42" s="196"/>
      <c r="J42" s="196"/>
      <c r="K42" s="196"/>
      <c r="L42" s="196"/>
      <c r="M42" s="196"/>
      <c r="N42" s="197"/>
      <c r="O42" s="195"/>
      <c r="P42" s="196"/>
      <c r="Q42" s="196"/>
      <c r="R42" s="196"/>
      <c r="S42" s="207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208"/>
      <c r="AU42" s="208"/>
      <c r="AV42" s="208"/>
      <c r="AW42" s="209"/>
      <c r="AX42" s="203"/>
      <c r="AY42" s="203"/>
      <c r="AZ42" s="203"/>
      <c r="BA42" s="203"/>
      <c r="BB42" s="203"/>
      <c r="BC42" s="204"/>
      <c r="BD42" s="206"/>
      <c r="BE42" s="203"/>
      <c r="BF42" s="203"/>
      <c r="BG42" s="203"/>
      <c r="BH42" s="203"/>
      <c r="BI42" s="203"/>
      <c r="BJ42" s="204"/>
      <c r="BK42" s="64"/>
    </row>
    <row r="43" spans="1:63" ht="15" customHeight="1">
      <c r="A43" s="63"/>
      <c r="B43" s="192"/>
      <c r="C43" s="193"/>
      <c r="D43" s="193"/>
      <c r="E43" s="193"/>
      <c r="F43" s="193"/>
      <c r="G43" s="194"/>
      <c r="H43" s="192"/>
      <c r="I43" s="193"/>
      <c r="J43" s="193"/>
      <c r="K43" s="193"/>
      <c r="L43" s="193"/>
      <c r="M43" s="193"/>
      <c r="N43" s="194"/>
      <c r="O43" s="192"/>
      <c r="P43" s="193"/>
      <c r="Q43" s="193"/>
      <c r="R43" s="193"/>
      <c r="S43" s="198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200"/>
      <c r="AX43" s="201"/>
      <c r="AY43" s="201"/>
      <c r="AZ43" s="201"/>
      <c r="BA43" s="201"/>
      <c r="BB43" s="201"/>
      <c r="BC43" s="202"/>
      <c r="BD43" s="205"/>
      <c r="BE43" s="201"/>
      <c r="BF43" s="201"/>
      <c r="BG43" s="201"/>
      <c r="BH43" s="201"/>
      <c r="BI43" s="201"/>
      <c r="BJ43" s="202"/>
      <c r="BK43" s="64"/>
    </row>
    <row r="44" spans="1:63" ht="15" customHeight="1">
      <c r="A44" s="63"/>
      <c r="B44" s="195"/>
      <c r="C44" s="196"/>
      <c r="D44" s="196"/>
      <c r="E44" s="196"/>
      <c r="F44" s="196"/>
      <c r="G44" s="197"/>
      <c r="H44" s="195"/>
      <c r="I44" s="196"/>
      <c r="J44" s="196"/>
      <c r="K44" s="196"/>
      <c r="L44" s="196"/>
      <c r="M44" s="196"/>
      <c r="N44" s="197"/>
      <c r="O44" s="195"/>
      <c r="P44" s="196"/>
      <c r="Q44" s="196"/>
      <c r="R44" s="196"/>
      <c r="S44" s="207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208"/>
      <c r="AS44" s="208"/>
      <c r="AT44" s="208"/>
      <c r="AU44" s="208"/>
      <c r="AV44" s="208"/>
      <c r="AW44" s="209"/>
      <c r="AX44" s="203"/>
      <c r="AY44" s="203"/>
      <c r="AZ44" s="203"/>
      <c r="BA44" s="203"/>
      <c r="BB44" s="203"/>
      <c r="BC44" s="204"/>
      <c r="BD44" s="206"/>
      <c r="BE44" s="203"/>
      <c r="BF44" s="203"/>
      <c r="BG44" s="203"/>
      <c r="BH44" s="203"/>
      <c r="BI44" s="203"/>
      <c r="BJ44" s="204"/>
      <c r="BK44" s="64"/>
    </row>
    <row r="45" spans="1:63" ht="15" customHeight="1">
      <c r="A45" s="63"/>
      <c r="B45" s="192"/>
      <c r="C45" s="193"/>
      <c r="D45" s="193"/>
      <c r="E45" s="193"/>
      <c r="F45" s="193"/>
      <c r="G45" s="194"/>
      <c r="H45" s="192"/>
      <c r="I45" s="193"/>
      <c r="J45" s="193"/>
      <c r="K45" s="193"/>
      <c r="L45" s="193"/>
      <c r="M45" s="193"/>
      <c r="N45" s="194"/>
      <c r="O45" s="192"/>
      <c r="P45" s="193"/>
      <c r="Q45" s="193"/>
      <c r="R45" s="193"/>
      <c r="S45" s="198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200"/>
      <c r="AX45" s="201"/>
      <c r="AY45" s="201"/>
      <c r="AZ45" s="201"/>
      <c r="BA45" s="201"/>
      <c r="BB45" s="201"/>
      <c r="BC45" s="202"/>
      <c r="BD45" s="205"/>
      <c r="BE45" s="201"/>
      <c r="BF45" s="201"/>
      <c r="BG45" s="201"/>
      <c r="BH45" s="201"/>
      <c r="BI45" s="201"/>
      <c r="BJ45" s="202"/>
      <c r="BK45" s="64"/>
    </row>
    <row r="46" spans="1:63" ht="15" customHeight="1">
      <c r="A46" s="63"/>
      <c r="B46" s="195"/>
      <c r="C46" s="196"/>
      <c r="D46" s="196"/>
      <c r="E46" s="196"/>
      <c r="F46" s="196"/>
      <c r="G46" s="197"/>
      <c r="H46" s="195"/>
      <c r="I46" s="196"/>
      <c r="J46" s="196"/>
      <c r="K46" s="196"/>
      <c r="L46" s="196"/>
      <c r="M46" s="196"/>
      <c r="N46" s="197"/>
      <c r="O46" s="195"/>
      <c r="P46" s="196"/>
      <c r="Q46" s="196"/>
      <c r="R46" s="196"/>
      <c r="S46" s="207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9"/>
      <c r="AX46" s="203"/>
      <c r="AY46" s="203"/>
      <c r="AZ46" s="203"/>
      <c r="BA46" s="203"/>
      <c r="BB46" s="203"/>
      <c r="BC46" s="204"/>
      <c r="BD46" s="206"/>
      <c r="BE46" s="203"/>
      <c r="BF46" s="203"/>
      <c r="BG46" s="203"/>
      <c r="BH46" s="203"/>
      <c r="BI46" s="203"/>
      <c r="BJ46" s="204"/>
      <c r="BK46" s="64"/>
    </row>
    <row r="47" spans="1:63" ht="15" customHeight="1">
      <c r="A47" s="63"/>
      <c r="B47" s="192"/>
      <c r="C47" s="193"/>
      <c r="D47" s="193"/>
      <c r="E47" s="193"/>
      <c r="F47" s="193"/>
      <c r="G47" s="194"/>
      <c r="H47" s="192"/>
      <c r="I47" s="193"/>
      <c r="J47" s="193"/>
      <c r="K47" s="193"/>
      <c r="L47" s="193"/>
      <c r="M47" s="193"/>
      <c r="N47" s="194"/>
      <c r="O47" s="192"/>
      <c r="P47" s="193"/>
      <c r="Q47" s="193"/>
      <c r="R47" s="193"/>
      <c r="S47" s="198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200"/>
      <c r="AX47" s="201"/>
      <c r="AY47" s="201"/>
      <c r="AZ47" s="201"/>
      <c r="BA47" s="201"/>
      <c r="BB47" s="201"/>
      <c r="BC47" s="202"/>
      <c r="BD47" s="205"/>
      <c r="BE47" s="201"/>
      <c r="BF47" s="201"/>
      <c r="BG47" s="201"/>
      <c r="BH47" s="201"/>
      <c r="BI47" s="201"/>
      <c r="BJ47" s="202"/>
      <c r="BK47" s="64"/>
    </row>
    <row r="48" spans="1:63" ht="15" customHeight="1">
      <c r="A48" s="63"/>
      <c r="B48" s="195"/>
      <c r="C48" s="196"/>
      <c r="D48" s="196"/>
      <c r="E48" s="196"/>
      <c r="F48" s="196"/>
      <c r="G48" s="197"/>
      <c r="H48" s="195"/>
      <c r="I48" s="196"/>
      <c r="J48" s="196"/>
      <c r="K48" s="196"/>
      <c r="L48" s="196"/>
      <c r="M48" s="196"/>
      <c r="N48" s="197"/>
      <c r="O48" s="195"/>
      <c r="P48" s="196"/>
      <c r="Q48" s="196"/>
      <c r="R48" s="196"/>
      <c r="S48" s="207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9"/>
      <c r="AX48" s="203"/>
      <c r="AY48" s="203"/>
      <c r="AZ48" s="203"/>
      <c r="BA48" s="203"/>
      <c r="BB48" s="203"/>
      <c r="BC48" s="204"/>
      <c r="BD48" s="206"/>
      <c r="BE48" s="203"/>
      <c r="BF48" s="203"/>
      <c r="BG48" s="203"/>
      <c r="BH48" s="203"/>
      <c r="BI48" s="203"/>
      <c r="BJ48" s="204"/>
      <c r="BK48" s="64"/>
    </row>
    <row r="49" spans="1:63" ht="15" customHeight="1">
      <c r="A49" s="63"/>
      <c r="B49" s="192"/>
      <c r="C49" s="193"/>
      <c r="D49" s="193"/>
      <c r="E49" s="193"/>
      <c r="F49" s="193"/>
      <c r="G49" s="194"/>
      <c r="H49" s="192"/>
      <c r="I49" s="193"/>
      <c r="J49" s="193"/>
      <c r="K49" s="193"/>
      <c r="L49" s="193"/>
      <c r="M49" s="193"/>
      <c r="N49" s="194"/>
      <c r="O49" s="192"/>
      <c r="P49" s="193"/>
      <c r="Q49" s="193"/>
      <c r="R49" s="193"/>
      <c r="S49" s="198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200"/>
      <c r="AX49" s="201"/>
      <c r="AY49" s="201"/>
      <c r="AZ49" s="201"/>
      <c r="BA49" s="201"/>
      <c r="BB49" s="201"/>
      <c r="BC49" s="202"/>
      <c r="BD49" s="205"/>
      <c r="BE49" s="201"/>
      <c r="BF49" s="201"/>
      <c r="BG49" s="201"/>
      <c r="BH49" s="201"/>
      <c r="BI49" s="201"/>
      <c r="BJ49" s="202"/>
      <c r="BK49" s="64"/>
    </row>
    <row r="50" spans="1:63" ht="15" customHeight="1">
      <c r="A50" s="63"/>
      <c r="B50" s="195"/>
      <c r="C50" s="196"/>
      <c r="D50" s="196"/>
      <c r="E50" s="196"/>
      <c r="F50" s="196"/>
      <c r="G50" s="197"/>
      <c r="H50" s="195"/>
      <c r="I50" s="196"/>
      <c r="J50" s="196"/>
      <c r="K50" s="196"/>
      <c r="L50" s="196"/>
      <c r="M50" s="196"/>
      <c r="N50" s="197"/>
      <c r="O50" s="195"/>
      <c r="P50" s="196"/>
      <c r="Q50" s="196"/>
      <c r="R50" s="196"/>
      <c r="S50" s="207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9"/>
      <c r="AX50" s="203"/>
      <c r="AY50" s="203"/>
      <c r="AZ50" s="203"/>
      <c r="BA50" s="203"/>
      <c r="BB50" s="203"/>
      <c r="BC50" s="204"/>
      <c r="BD50" s="206"/>
      <c r="BE50" s="203"/>
      <c r="BF50" s="203"/>
      <c r="BG50" s="203"/>
      <c r="BH50" s="203"/>
      <c r="BI50" s="203"/>
      <c r="BJ50" s="204"/>
      <c r="BK50" s="64"/>
    </row>
    <row r="51" spans="1:63" ht="15" customHeight="1">
      <c r="A51" s="63"/>
      <c r="B51" s="192"/>
      <c r="C51" s="193"/>
      <c r="D51" s="193"/>
      <c r="E51" s="193"/>
      <c r="F51" s="193"/>
      <c r="G51" s="194"/>
      <c r="H51" s="192"/>
      <c r="I51" s="193"/>
      <c r="J51" s="193"/>
      <c r="K51" s="193"/>
      <c r="L51" s="193"/>
      <c r="M51" s="193"/>
      <c r="N51" s="194"/>
      <c r="O51" s="192"/>
      <c r="P51" s="193"/>
      <c r="Q51" s="193"/>
      <c r="R51" s="193"/>
      <c r="S51" s="198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200"/>
      <c r="AX51" s="201"/>
      <c r="AY51" s="201"/>
      <c r="AZ51" s="201"/>
      <c r="BA51" s="201"/>
      <c r="BB51" s="201"/>
      <c r="BC51" s="202"/>
      <c r="BD51" s="205"/>
      <c r="BE51" s="201"/>
      <c r="BF51" s="201"/>
      <c r="BG51" s="201"/>
      <c r="BH51" s="201"/>
      <c r="BI51" s="201"/>
      <c r="BJ51" s="202"/>
      <c r="BK51" s="64"/>
    </row>
    <row r="52" spans="1:63" ht="15" customHeight="1">
      <c r="A52" s="63"/>
      <c r="B52" s="195"/>
      <c r="C52" s="196"/>
      <c r="D52" s="196"/>
      <c r="E52" s="196"/>
      <c r="F52" s="196"/>
      <c r="G52" s="197"/>
      <c r="H52" s="195"/>
      <c r="I52" s="196"/>
      <c r="J52" s="196"/>
      <c r="K52" s="196"/>
      <c r="L52" s="196"/>
      <c r="M52" s="196"/>
      <c r="N52" s="197"/>
      <c r="O52" s="195"/>
      <c r="P52" s="196"/>
      <c r="Q52" s="196"/>
      <c r="R52" s="196"/>
      <c r="S52" s="207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9"/>
      <c r="AX52" s="203"/>
      <c r="AY52" s="203"/>
      <c r="AZ52" s="203"/>
      <c r="BA52" s="203"/>
      <c r="BB52" s="203"/>
      <c r="BC52" s="204"/>
      <c r="BD52" s="206"/>
      <c r="BE52" s="203"/>
      <c r="BF52" s="203"/>
      <c r="BG52" s="203"/>
      <c r="BH52" s="203"/>
      <c r="BI52" s="203"/>
      <c r="BJ52" s="204"/>
      <c r="BK52" s="64"/>
    </row>
    <row r="53" spans="1:63" ht="15" customHeight="1">
      <c r="A53" s="63"/>
      <c r="B53" s="192"/>
      <c r="C53" s="193"/>
      <c r="D53" s="193"/>
      <c r="E53" s="193"/>
      <c r="F53" s="193"/>
      <c r="G53" s="194"/>
      <c r="H53" s="192"/>
      <c r="I53" s="193"/>
      <c r="J53" s="193"/>
      <c r="K53" s="193"/>
      <c r="L53" s="193"/>
      <c r="M53" s="193"/>
      <c r="N53" s="194"/>
      <c r="O53" s="192"/>
      <c r="P53" s="193"/>
      <c r="Q53" s="193"/>
      <c r="R53" s="193"/>
      <c r="S53" s="198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200"/>
      <c r="AX53" s="201"/>
      <c r="AY53" s="201"/>
      <c r="AZ53" s="201"/>
      <c r="BA53" s="201"/>
      <c r="BB53" s="201"/>
      <c r="BC53" s="202"/>
      <c r="BD53" s="205"/>
      <c r="BE53" s="201"/>
      <c r="BF53" s="201"/>
      <c r="BG53" s="201"/>
      <c r="BH53" s="201"/>
      <c r="BI53" s="201"/>
      <c r="BJ53" s="202"/>
      <c r="BK53" s="64"/>
    </row>
    <row r="54" spans="1:63" ht="15" customHeight="1">
      <c r="A54" s="63"/>
      <c r="B54" s="195"/>
      <c r="C54" s="196"/>
      <c r="D54" s="196"/>
      <c r="E54" s="196"/>
      <c r="F54" s="196"/>
      <c r="G54" s="197"/>
      <c r="H54" s="195"/>
      <c r="I54" s="196"/>
      <c r="J54" s="196"/>
      <c r="K54" s="196"/>
      <c r="L54" s="196"/>
      <c r="M54" s="196"/>
      <c r="N54" s="197"/>
      <c r="O54" s="195"/>
      <c r="P54" s="196"/>
      <c r="Q54" s="196"/>
      <c r="R54" s="196"/>
      <c r="S54" s="207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  <c r="AT54" s="208"/>
      <c r="AU54" s="208"/>
      <c r="AV54" s="208"/>
      <c r="AW54" s="209"/>
      <c r="AX54" s="203"/>
      <c r="AY54" s="203"/>
      <c r="AZ54" s="203"/>
      <c r="BA54" s="203"/>
      <c r="BB54" s="203"/>
      <c r="BC54" s="204"/>
      <c r="BD54" s="206"/>
      <c r="BE54" s="203"/>
      <c r="BF54" s="203"/>
      <c r="BG54" s="203"/>
      <c r="BH54" s="203"/>
      <c r="BI54" s="203"/>
      <c r="BJ54" s="204"/>
      <c r="BK54" s="64"/>
    </row>
    <row r="55" spans="1:63" ht="15" customHeight="1">
      <c r="A55" s="60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2"/>
    </row>
  </sheetData>
  <mergeCells count="18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7:G18"/>
    <mergeCell ref="H17:N18"/>
    <mergeCell ref="O17:R18"/>
    <mergeCell ref="S17:AW17"/>
    <mergeCell ref="AX17:BC18"/>
    <mergeCell ref="BD17:BJ18"/>
    <mergeCell ref="S18:AW18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2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93" t="str">
        <f>IF(表紙!W1="","",表紙!W1)</f>
        <v>基本設計書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83" t="s">
        <v>3</v>
      </c>
      <c r="AQ1" s="84"/>
      <c r="AR1" s="84"/>
      <c r="AS1" s="85"/>
      <c r="AT1" s="83" t="s">
        <v>4</v>
      </c>
      <c r="AU1" s="84"/>
      <c r="AV1" s="84"/>
      <c r="AW1" s="84"/>
      <c r="AX1" s="85"/>
      <c r="AY1" s="83" t="s">
        <v>5</v>
      </c>
      <c r="AZ1" s="84"/>
      <c r="BA1" s="84"/>
      <c r="BB1" s="85"/>
      <c r="BC1" s="83" t="s">
        <v>6</v>
      </c>
      <c r="BD1" s="84"/>
      <c r="BE1" s="84"/>
      <c r="BF1" s="84"/>
      <c r="BG1" s="85"/>
      <c r="BH1" s="83" t="s">
        <v>7</v>
      </c>
      <c r="BI1" s="84"/>
      <c r="BJ1" s="84"/>
      <c r="BK1" s="85"/>
    </row>
    <row r="2" spans="1:63" ht="15" customHeight="1">
      <c r="A2" s="86" t="str">
        <f>IF(表紙!A2="","",表紙!A2)</f>
        <v>POSサーバー</v>
      </c>
      <c r="B2" s="87"/>
      <c r="C2" s="87"/>
      <c r="D2" s="87"/>
      <c r="E2" s="87"/>
      <c r="F2" s="87"/>
      <c r="G2" s="87"/>
      <c r="H2" s="87"/>
      <c r="I2" s="87"/>
      <c r="J2" s="88"/>
      <c r="K2" s="86" t="str">
        <f>IF(表紙!K2="","",表紙!K2)</f>
        <v>POSサーバ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86" t="str">
        <f>IF(表紙!AP2="","",表紙!AP2)</f>
        <v>DuNT</v>
      </c>
      <c r="AQ2" s="87"/>
      <c r="AR2" s="87"/>
      <c r="AS2" s="88"/>
      <c r="AT2" s="113">
        <v>45084</v>
      </c>
      <c r="AU2" s="114"/>
      <c r="AV2" s="114"/>
      <c r="AW2" s="114"/>
      <c r="AX2" s="115"/>
      <c r="AY2" s="86" t="str">
        <f>IF(表紙!AY2="","",表紙!AY2)</f>
        <v>DuNT</v>
      </c>
      <c r="AZ2" s="87"/>
      <c r="BA2" s="87"/>
      <c r="BB2" s="88"/>
      <c r="BC2" s="113">
        <f>IF(表紙!BC2="","",表紙!BC2)</f>
        <v>45539</v>
      </c>
      <c r="BD2" s="114"/>
      <c r="BE2" s="114"/>
      <c r="BF2" s="114"/>
      <c r="BG2" s="115"/>
      <c r="BH2" s="86">
        <f>IF(表紙!BH2="","",表紙!BH2)</f>
        <v>0.2</v>
      </c>
      <c r="BI2" s="87"/>
      <c r="BJ2" s="87"/>
      <c r="BK2" s="88"/>
    </row>
    <row r="3" spans="1:63" ht="15" customHeight="1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89"/>
      <c r="BI3" s="90"/>
      <c r="BJ3" s="90"/>
      <c r="BK3" s="91"/>
    </row>
    <row r="4" spans="1:63" ht="24.95" customHeight="1">
      <c r="A4" s="83" t="s">
        <v>67</v>
      </c>
      <c r="B4" s="84"/>
      <c r="C4" s="84"/>
      <c r="D4" s="84"/>
      <c r="E4" s="84"/>
      <c r="F4" s="84"/>
      <c r="G4" s="85"/>
      <c r="H4" s="104" t="str">
        <f>IF(表紙!H4="","",表紙!H4)</f>
        <v>16_保留・保留解除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83" t="s">
        <v>8</v>
      </c>
      <c r="V4" s="84"/>
      <c r="W4" s="84"/>
      <c r="X4" s="84"/>
      <c r="Y4" s="85"/>
      <c r="Z4" s="104" t="str">
        <f>IF(表紙!Z4="","",表紙!Z4)</f>
        <v>概要設計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/>
      <c r="AP4" s="104" t="str">
        <f t="array" aca="1" ref="AP4" ca="1">RIGHT(CELL("filename",$A$1),LEN(CELL("filename",$A$1))-FIND("]",CELL("filename",$A$1)))</f>
        <v>業務フロー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50"/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51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3"/>
      <c r="BJ6" s="52"/>
      <c r="BK6" s="54"/>
    </row>
    <row r="7" spans="1:63" ht="15" customHeight="1">
      <c r="A7" s="50"/>
      <c r="B7" s="17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8"/>
      <c r="AF7" s="17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6"/>
      <c r="BK7" s="54"/>
    </row>
    <row r="8" spans="1:63" ht="15" customHeight="1">
      <c r="A8" s="50"/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3"/>
      <c r="AF8" s="51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3"/>
      <c r="BJ8" s="52"/>
      <c r="BK8" s="54"/>
    </row>
    <row r="9" spans="1:63" ht="15" customHeight="1">
      <c r="A9" s="50"/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3"/>
      <c r="AF9" s="51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3"/>
      <c r="BJ9" s="52"/>
      <c r="BK9" s="54"/>
    </row>
    <row r="10" spans="1:63" ht="15" customHeight="1">
      <c r="A10" s="50"/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3"/>
      <c r="AF10" s="51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3"/>
      <c r="BJ10" s="52"/>
      <c r="BK10" s="54"/>
    </row>
    <row r="11" spans="1:63" ht="15" customHeight="1">
      <c r="A11" s="50"/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3"/>
      <c r="AF11" s="51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3"/>
      <c r="BJ11" s="52"/>
      <c r="BK11" s="54"/>
    </row>
    <row r="12" spans="1:63" ht="15" customHeight="1">
      <c r="A12" s="50"/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3"/>
      <c r="AF12" s="51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3"/>
      <c r="BJ12" s="52"/>
      <c r="BK12" s="54"/>
    </row>
    <row r="13" spans="1:63" ht="15" customHeight="1">
      <c r="A13" s="50"/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3"/>
      <c r="AF13" s="51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3"/>
      <c r="BJ13" s="52"/>
      <c r="BK13" s="54"/>
    </row>
    <row r="14" spans="1:63" ht="15" customHeight="1">
      <c r="A14" s="50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3"/>
      <c r="AF14" s="51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3"/>
      <c r="BJ14" s="52"/>
      <c r="BK14" s="54"/>
    </row>
    <row r="15" spans="1:63" ht="15" customHeight="1">
      <c r="A15" s="50"/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3"/>
      <c r="AF15" s="51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3"/>
      <c r="BJ15" s="52"/>
      <c r="BK15" s="54"/>
    </row>
    <row r="16" spans="1:63" ht="15" customHeight="1">
      <c r="A16" s="5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3"/>
      <c r="AF16" s="51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3"/>
      <c r="BJ16" s="52"/>
      <c r="BK16" s="54"/>
    </row>
    <row r="17" spans="1:63" ht="15" customHeight="1">
      <c r="A17" s="50"/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3"/>
      <c r="AF17" s="51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3"/>
      <c r="BJ17" s="52"/>
      <c r="BK17" s="54"/>
    </row>
    <row r="18" spans="1:63" ht="15" customHeight="1">
      <c r="A18" s="50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3"/>
      <c r="AF18" s="51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3"/>
      <c r="BJ18" s="52"/>
      <c r="BK18" s="54"/>
    </row>
    <row r="19" spans="1:63" ht="15" customHeight="1">
      <c r="A19" s="50"/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3"/>
      <c r="AF19" s="51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3"/>
      <c r="BJ19" s="52"/>
      <c r="BK19" s="54"/>
    </row>
    <row r="20" spans="1:63" ht="15" customHeight="1">
      <c r="A20" s="50"/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3"/>
      <c r="AF20" s="51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3"/>
      <c r="BJ20" s="52"/>
      <c r="BK20" s="54"/>
    </row>
    <row r="21" spans="1:63" ht="15" customHeight="1">
      <c r="A21" s="50"/>
      <c r="B21" s="51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3"/>
      <c r="AF21" s="51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3"/>
      <c r="BJ21" s="52"/>
      <c r="BK21" s="54"/>
    </row>
    <row r="22" spans="1:63" ht="15" customHeight="1">
      <c r="A22" s="50"/>
      <c r="B22" s="17" t="s">
        <v>17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8"/>
      <c r="AF22" s="17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6"/>
      <c r="BK22" s="54"/>
    </row>
    <row r="23" spans="1:63" ht="15" customHeight="1">
      <c r="A23" s="50"/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3"/>
      <c r="AF23" s="51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3"/>
      <c r="BJ23" s="52"/>
      <c r="BK23" s="54"/>
    </row>
    <row r="24" spans="1:63" ht="15" customHeight="1">
      <c r="A24" s="50"/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3"/>
      <c r="AF24" s="51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3"/>
      <c r="BJ24" s="52"/>
      <c r="BK24" s="54"/>
    </row>
    <row r="25" spans="1:63" ht="15" customHeight="1">
      <c r="A25" s="50"/>
      <c r="B25" s="51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3"/>
      <c r="AF25" s="51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3"/>
      <c r="BJ25" s="52"/>
      <c r="BK25" s="54"/>
    </row>
    <row r="26" spans="1:63" ht="15" customHeight="1">
      <c r="A26" s="50"/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3"/>
      <c r="AF26" s="51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3"/>
      <c r="BJ26" s="52"/>
      <c r="BK26" s="54"/>
    </row>
    <row r="27" spans="1:63" ht="15" customHeight="1">
      <c r="A27" s="50"/>
      <c r="B27" s="51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3"/>
      <c r="AF27" s="51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3"/>
      <c r="BJ27" s="52"/>
      <c r="BK27" s="54"/>
    </row>
    <row r="28" spans="1:63" ht="15" customHeight="1">
      <c r="A28" s="50"/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3"/>
      <c r="AF28" s="51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3"/>
      <c r="BJ28" s="52"/>
      <c r="BK28" s="54"/>
    </row>
    <row r="29" spans="1:63" ht="15" customHeight="1">
      <c r="A29" s="50"/>
      <c r="B29" s="51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3"/>
      <c r="AF29" s="51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3"/>
      <c r="BJ29" s="52"/>
      <c r="BK29" s="54"/>
    </row>
    <row r="30" spans="1:63" ht="15" customHeight="1">
      <c r="A30" s="50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3"/>
      <c r="AF30" s="51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3"/>
      <c r="BJ30" s="52"/>
      <c r="BK30" s="54"/>
    </row>
    <row r="31" spans="1:63" ht="15" customHeight="1">
      <c r="A31" s="50"/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3"/>
      <c r="AF31" s="51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3"/>
      <c r="BJ31" s="52"/>
      <c r="BK31" s="54"/>
    </row>
    <row r="32" spans="1:63" ht="15" customHeight="1">
      <c r="A32" s="50"/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3"/>
      <c r="AF32" s="51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3"/>
      <c r="BJ32" s="52"/>
      <c r="BK32" s="54"/>
    </row>
    <row r="33" spans="1:63" ht="15" customHeight="1">
      <c r="A33" s="50"/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3"/>
      <c r="AF33" s="51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3"/>
      <c r="BJ33" s="52"/>
      <c r="BK33" s="54"/>
    </row>
    <row r="34" spans="1:63" ht="15" customHeight="1">
      <c r="A34" s="50"/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3"/>
      <c r="AF34" s="51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3"/>
      <c r="BJ34" s="52"/>
      <c r="BK34" s="54"/>
    </row>
    <row r="35" spans="1:63" ht="15" customHeight="1">
      <c r="A35" s="50"/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3"/>
      <c r="AF35" s="51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3"/>
      <c r="BJ35" s="52"/>
      <c r="BK35" s="54"/>
    </row>
    <row r="36" spans="1:63" ht="15" customHeight="1">
      <c r="A36" s="50"/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3"/>
      <c r="AF36" s="51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3"/>
      <c r="BJ36" s="52"/>
      <c r="BK36" s="54"/>
    </row>
    <row r="37" spans="1:63" ht="1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1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3"/>
      <c r="BJ37" s="52"/>
      <c r="BK37" s="54"/>
    </row>
    <row r="38" spans="1:63" ht="15" customHeight="1">
      <c r="A38" s="50"/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1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3"/>
      <c r="BJ38" s="52"/>
      <c r="BK38" s="54"/>
    </row>
    <row r="39" spans="1:63" ht="15" customHeight="1">
      <c r="A39" s="50"/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1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3"/>
      <c r="BJ39" s="52"/>
      <c r="BK39" s="54"/>
    </row>
    <row r="40" spans="1:63" ht="15" customHeight="1">
      <c r="A40" s="50"/>
      <c r="B40" s="51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1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3"/>
      <c r="BJ40" s="52"/>
      <c r="BK40" s="54"/>
    </row>
    <row r="41" spans="1:63" ht="15" customHeight="1">
      <c r="A41" s="50"/>
      <c r="B41" s="51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1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3"/>
      <c r="BJ41" s="52"/>
      <c r="BK41" s="54"/>
    </row>
    <row r="42" spans="1:63" ht="15" customHeight="1">
      <c r="A42" s="50"/>
      <c r="B42" s="17" t="s">
        <v>18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8"/>
      <c r="AF42" s="17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/>
      <c r="BJ42" s="16"/>
      <c r="BK42" s="54"/>
    </row>
    <row r="43" spans="1:63" ht="15" customHeight="1">
      <c r="A43" s="50"/>
      <c r="B43" s="51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3"/>
      <c r="AF43" s="51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3"/>
      <c r="BJ43" s="52"/>
      <c r="BK43" s="54"/>
    </row>
    <row r="44" spans="1:63" ht="15" customHeight="1">
      <c r="A44" s="50"/>
      <c r="B44" s="51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3"/>
      <c r="AF44" s="51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3"/>
      <c r="BJ44" s="52"/>
      <c r="BK44" s="54"/>
    </row>
    <row r="45" spans="1:63" ht="15" customHeight="1">
      <c r="A45" s="50"/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3"/>
      <c r="AF45" s="51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3"/>
      <c r="BJ45" s="52"/>
      <c r="BK45" s="54"/>
    </row>
    <row r="46" spans="1:63" ht="15" customHeight="1">
      <c r="A46" s="50"/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3"/>
      <c r="AF46" s="51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3"/>
      <c r="BJ46" s="52"/>
      <c r="BK46" s="54"/>
    </row>
    <row r="47" spans="1:63" ht="15" customHeight="1">
      <c r="A47" s="50"/>
      <c r="B47" s="51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3"/>
      <c r="AF47" s="51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3"/>
      <c r="BJ47" s="52"/>
      <c r="BK47" s="54"/>
    </row>
    <row r="48" spans="1:63" ht="15" customHeight="1">
      <c r="A48" s="50"/>
      <c r="B48" s="51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3"/>
      <c r="AF48" s="51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3"/>
      <c r="BJ48" s="52"/>
      <c r="BK48" s="54"/>
    </row>
    <row r="49" spans="1:63" ht="15" customHeight="1">
      <c r="A49" s="50"/>
      <c r="B49" s="51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1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3"/>
      <c r="BJ49" s="52"/>
      <c r="BK49" s="54"/>
    </row>
    <row r="50" spans="1:63" ht="15" customHeight="1">
      <c r="A50" s="50"/>
      <c r="B50" s="51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1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3"/>
      <c r="BJ50" s="52"/>
      <c r="BK50" s="54"/>
    </row>
    <row r="51" spans="1:63" ht="15" customHeight="1">
      <c r="A51" s="50"/>
      <c r="B51" s="51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1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3"/>
      <c r="BJ51" s="52"/>
      <c r="BK51" s="54"/>
    </row>
    <row r="52" spans="1:63" ht="15" customHeight="1">
      <c r="A52" s="50"/>
      <c r="B52" s="51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1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3"/>
      <c r="BJ52" s="52"/>
      <c r="BK52" s="54"/>
    </row>
    <row r="53" spans="1:63" ht="15" customHeight="1">
      <c r="A53" s="50"/>
      <c r="B53" s="51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1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3"/>
      <c r="BJ53" s="52"/>
      <c r="BK53" s="54"/>
    </row>
    <row r="54" spans="1:63" ht="15" customHeight="1">
      <c r="A54" s="50"/>
      <c r="B54" s="51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1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3"/>
      <c r="BJ54" s="52"/>
      <c r="BK54" s="54"/>
    </row>
    <row r="55" spans="1:63" ht="15" customHeight="1">
      <c r="A55" s="52"/>
      <c r="B55" s="51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3"/>
      <c r="AF55" s="51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3"/>
      <c r="BJ55" s="52"/>
      <c r="BK55" s="54"/>
    </row>
    <row r="56" spans="1:63">
      <c r="A56" s="52"/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3"/>
      <c r="AF56" s="51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3"/>
      <c r="BJ56" s="52"/>
      <c r="BK56" s="54"/>
    </row>
    <row r="57" spans="1:63">
      <c r="A57" s="52"/>
      <c r="B57" s="51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3"/>
      <c r="AF57" s="51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3"/>
      <c r="BJ57" s="52"/>
      <c r="BK57" s="54"/>
    </row>
    <row r="58" spans="1:63">
      <c r="A58" s="52"/>
      <c r="B58" s="51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3"/>
      <c r="AF58" s="51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3"/>
      <c r="BJ58" s="52"/>
      <c r="BK58" s="54"/>
    </row>
    <row r="59" spans="1:63">
      <c r="A59" s="52"/>
      <c r="B59" s="51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3"/>
      <c r="AF59" s="51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3"/>
      <c r="BJ59" s="52"/>
      <c r="BK59" s="54"/>
    </row>
    <row r="60" spans="1:63">
      <c r="A60" s="52"/>
      <c r="B60" s="51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3"/>
      <c r="AF60" s="51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3"/>
      <c r="BJ60" s="52"/>
      <c r="BK60" s="54"/>
    </row>
    <row r="61" spans="1:63">
      <c r="A61" s="55"/>
      <c r="B61" s="56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7"/>
      <c r="AF61" s="56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7"/>
      <c r="BJ61" s="55"/>
      <c r="BK61" s="58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59" customWidth="1"/>
    <col min="66" max="16384" width="2.77734375" style="59"/>
  </cols>
  <sheetData>
    <row r="1" spans="1:65" ht="24.95" customHeight="1">
      <c r="A1" s="218" t="s">
        <v>74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75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9" t="str">
        <f>IF(表紙!W1="","",表紙!W1)</f>
        <v>基本設計書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18" t="s">
        <v>76</v>
      </c>
      <c r="AQ1" s="219"/>
      <c r="AR1" s="219"/>
      <c r="AS1" s="220"/>
      <c r="AT1" s="218" t="s">
        <v>77</v>
      </c>
      <c r="AU1" s="219"/>
      <c r="AV1" s="219"/>
      <c r="AW1" s="219"/>
      <c r="AX1" s="220"/>
      <c r="AY1" s="218" t="s">
        <v>78</v>
      </c>
      <c r="AZ1" s="219"/>
      <c r="BA1" s="219"/>
      <c r="BB1" s="220"/>
      <c r="BC1" s="218" t="s">
        <v>79</v>
      </c>
      <c r="BD1" s="219"/>
      <c r="BE1" s="219"/>
      <c r="BF1" s="219"/>
      <c r="BG1" s="220"/>
      <c r="BH1" s="218" t="s">
        <v>80</v>
      </c>
      <c r="BI1" s="219"/>
      <c r="BJ1" s="219"/>
      <c r="BK1" s="220"/>
    </row>
    <row r="2" spans="1:65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IF(表紙!AP2="","",表紙!AP2)</f>
        <v>DuNT</v>
      </c>
      <c r="AQ2" s="193"/>
      <c r="AR2" s="193"/>
      <c r="AS2" s="194"/>
      <c r="AT2" s="217">
        <f>IF(表紙!AT2="","",表紙!AT2)</f>
        <v>45511</v>
      </c>
      <c r="AU2" s="224"/>
      <c r="AV2" s="224"/>
      <c r="AW2" s="224"/>
      <c r="AX2" s="225"/>
      <c r="AY2" s="192" t="str">
        <f>IF(表紙!AY2="","",表紙!AY2)</f>
        <v>DuNT</v>
      </c>
      <c r="AZ2" s="193"/>
      <c r="BA2" s="193"/>
      <c r="BB2" s="194"/>
      <c r="BC2" s="217">
        <f>IF(表紙!BC2="","",表紙!BC2)</f>
        <v>45539</v>
      </c>
      <c r="BD2" s="224"/>
      <c r="BE2" s="224"/>
      <c r="BF2" s="224"/>
      <c r="BG2" s="225"/>
      <c r="BH2" s="192">
        <f>IF(表紙!BH2="","",表紙!BH2)</f>
        <v>0.2</v>
      </c>
      <c r="BI2" s="193"/>
      <c r="BJ2" s="193"/>
      <c r="BK2" s="194"/>
    </row>
    <row r="3" spans="1:65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5"/>
      <c r="AQ3" s="196"/>
      <c r="AR3" s="196"/>
      <c r="AS3" s="197"/>
      <c r="AT3" s="226"/>
      <c r="AU3" s="227"/>
      <c r="AV3" s="227"/>
      <c r="AW3" s="227"/>
      <c r="AX3" s="228"/>
      <c r="AY3" s="195"/>
      <c r="AZ3" s="196"/>
      <c r="BA3" s="196"/>
      <c r="BB3" s="197"/>
      <c r="BC3" s="226"/>
      <c r="BD3" s="227"/>
      <c r="BE3" s="227"/>
      <c r="BF3" s="227"/>
      <c r="BG3" s="228"/>
      <c r="BH3" s="195"/>
      <c r="BI3" s="196"/>
      <c r="BJ3" s="196"/>
      <c r="BK3" s="197"/>
    </row>
    <row r="4" spans="1:65" ht="24.95" customHeight="1">
      <c r="A4" s="218" t="s">
        <v>81</v>
      </c>
      <c r="B4" s="219"/>
      <c r="C4" s="219"/>
      <c r="D4" s="219"/>
      <c r="E4" s="219"/>
      <c r="F4" s="219"/>
      <c r="G4" s="220"/>
      <c r="H4" s="221" t="str">
        <f>IF(表紙!H4="","",表紙!H4)</f>
        <v>16_保留・保留解除</v>
      </c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  <c r="U4" s="218" t="s">
        <v>82</v>
      </c>
      <c r="V4" s="219"/>
      <c r="W4" s="219"/>
      <c r="X4" s="219"/>
      <c r="Y4" s="220"/>
      <c r="Z4" s="221" t="str">
        <f>IF(表紙!Z4="","",表紙!Z4)</f>
        <v>概要設計</v>
      </c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3"/>
      <c r="AP4" s="221" t="str">
        <f t="array" aca="1" ref="AP4" ca="1">RIGHT(CELL("filename",$A$1),LEN(CELL("filename",$A$1))-FIND("]",CELL("filename",$A$1)))</f>
        <v>機能概要説明</v>
      </c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3"/>
    </row>
    <row r="5" spans="1:65" ht="5.0999999999999996" customHeight="1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2"/>
    </row>
    <row r="6" spans="1:65" ht="15" customHeight="1">
      <c r="A6" s="63"/>
      <c r="BK6" s="64"/>
    </row>
    <row r="7" spans="1:65" ht="15" customHeight="1">
      <c r="A7" s="63"/>
      <c r="C7" s="59" t="s">
        <v>25</v>
      </c>
      <c r="K7" s="65"/>
      <c r="BK7" s="64"/>
      <c r="BM7" s="19">
        <f>IF(BM6=50,1,BM6+1)</f>
        <v>1</v>
      </c>
    </row>
    <row r="8" spans="1:65" ht="15" customHeight="1">
      <c r="A8" s="63"/>
      <c r="D8" s="59" t="s">
        <v>27</v>
      </c>
      <c r="K8" s="65"/>
      <c r="BK8" s="64"/>
      <c r="BM8" s="19">
        <f t="shared" ref="BM8:BM55" si="0">IF(BM7=50,1,BM7+1)</f>
        <v>2</v>
      </c>
    </row>
    <row r="9" spans="1:65" ht="15" customHeight="1">
      <c r="A9" s="63"/>
      <c r="D9" s="59" t="s">
        <v>26</v>
      </c>
      <c r="K9" s="65"/>
      <c r="BK9" s="64"/>
      <c r="BM9" s="19">
        <f t="shared" si="0"/>
        <v>3</v>
      </c>
    </row>
    <row r="10" spans="1:65" s="65" customFormat="1" ht="15" customHeight="1">
      <c r="A10" s="66"/>
      <c r="D10" s="71" t="s">
        <v>83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BK10" s="67"/>
      <c r="BM10" s="19">
        <f t="shared" si="0"/>
        <v>4</v>
      </c>
    </row>
    <row r="11" spans="1:65" s="65" customFormat="1" ht="15" customHeight="1">
      <c r="A11" s="66"/>
      <c r="D11" s="59" t="s">
        <v>33</v>
      </c>
      <c r="BK11" s="67"/>
      <c r="BM11" s="19">
        <f t="shared" si="0"/>
        <v>5</v>
      </c>
    </row>
    <row r="12" spans="1:65" s="65" customFormat="1" ht="15" customHeight="1">
      <c r="A12" s="66"/>
      <c r="BK12" s="67"/>
      <c r="BM12" s="19">
        <f t="shared" si="0"/>
        <v>6</v>
      </c>
    </row>
    <row r="13" spans="1:65" s="65" customFormat="1" ht="15" customHeight="1">
      <c r="A13" s="66"/>
      <c r="BK13" s="67"/>
      <c r="BM13" s="19">
        <f t="shared" si="0"/>
        <v>7</v>
      </c>
    </row>
    <row r="14" spans="1:65" s="65" customFormat="1" ht="15" customHeight="1">
      <c r="A14" s="66"/>
      <c r="D14" s="72" t="s">
        <v>84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BK14" s="67"/>
      <c r="BM14" s="19">
        <f t="shared" si="0"/>
        <v>8</v>
      </c>
    </row>
    <row r="15" spans="1:65" s="65" customFormat="1" ht="15" customHeight="1">
      <c r="A15" s="66"/>
      <c r="D15" s="72" t="s">
        <v>85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BK15" s="67"/>
      <c r="BM15" s="19">
        <f t="shared" si="0"/>
        <v>9</v>
      </c>
    </row>
    <row r="16" spans="1:65" s="65" customFormat="1" ht="15" customHeight="1">
      <c r="A16" s="66"/>
      <c r="BK16" s="67"/>
      <c r="BM16" s="19">
        <f t="shared" si="0"/>
        <v>10</v>
      </c>
    </row>
    <row r="17" spans="1:65" s="65" customFormat="1" ht="15" customHeight="1">
      <c r="A17" s="66"/>
      <c r="BK17" s="67"/>
      <c r="BM17" s="19">
        <f t="shared" si="0"/>
        <v>11</v>
      </c>
    </row>
    <row r="18" spans="1:65" s="65" customFormat="1" ht="15" customHeight="1">
      <c r="A18" s="66"/>
      <c r="BK18" s="67"/>
      <c r="BM18" s="19">
        <f t="shared" si="0"/>
        <v>12</v>
      </c>
    </row>
    <row r="19" spans="1:65" s="65" customFormat="1" ht="15" customHeight="1">
      <c r="A19" s="66"/>
      <c r="BK19" s="67"/>
      <c r="BM19" s="19">
        <f t="shared" si="0"/>
        <v>13</v>
      </c>
    </row>
    <row r="20" spans="1:65" s="65" customFormat="1" ht="15" customHeight="1">
      <c r="A20" s="66"/>
      <c r="BK20" s="67"/>
      <c r="BM20" s="19">
        <f t="shared" si="0"/>
        <v>14</v>
      </c>
    </row>
    <row r="21" spans="1:65" s="65" customFormat="1" ht="15" customHeight="1">
      <c r="A21" s="66"/>
      <c r="BK21" s="67"/>
      <c r="BM21" s="19">
        <f t="shared" si="0"/>
        <v>15</v>
      </c>
    </row>
    <row r="22" spans="1:65" s="65" customFormat="1" ht="15" customHeight="1">
      <c r="A22" s="66"/>
      <c r="BK22" s="67"/>
      <c r="BM22" s="19">
        <f t="shared" si="0"/>
        <v>16</v>
      </c>
    </row>
    <row r="23" spans="1:65" s="65" customFormat="1" ht="15" customHeight="1">
      <c r="A23" s="66"/>
      <c r="BK23" s="67"/>
      <c r="BM23" s="19">
        <f t="shared" si="0"/>
        <v>17</v>
      </c>
    </row>
    <row r="24" spans="1:65" s="65" customFormat="1" ht="15" customHeight="1">
      <c r="A24" s="66"/>
      <c r="BK24" s="67"/>
      <c r="BM24" s="19">
        <f t="shared" si="0"/>
        <v>18</v>
      </c>
    </row>
    <row r="25" spans="1:65" s="65" customFormat="1" ht="15" customHeight="1">
      <c r="A25" s="66"/>
      <c r="BK25" s="67"/>
      <c r="BM25" s="19">
        <f t="shared" si="0"/>
        <v>19</v>
      </c>
    </row>
    <row r="26" spans="1:65" s="65" customFormat="1" ht="15" customHeight="1">
      <c r="A26" s="66"/>
      <c r="BK26" s="67"/>
      <c r="BM26" s="19">
        <f t="shared" si="0"/>
        <v>20</v>
      </c>
    </row>
    <row r="27" spans="1:65" s="65" customFormat="1" ht="15" customHeight="1">
      <c r="A27" s="66"/>
      <c r="BK27" s="67"/>
      <c r="BM27" s="19">
        <f t="shared" si="0"/>
        <v>21</v>
      </c>
    </row>
    <row r="28" spans="1:65" s="65" customFormat="1" ht="15" customHeight="1">
      <c r="A28" s="66"/>
      <c r="BK28" s="67"/>
      <c r="BM28" s="19">
        <f t="shared" si="0"/>
        <v>22</v>
      </c>
    </row>
    <row r="29" spans="1:65" s="65" customFormat="1" ht="15" customHeight="1">
      <c r="A29" s="66"/>
      <c r="BK29" s="67"/>
      <c r="BM29" s="19">
        <f t="shared" si="0"/>
        <v>23</v>
      </c>
    </row>
    <row r="30" spans="1:65" s="65" customFormat="1" ht="15" customHeight="1">
      <c r="A30" s="66"/>
      <c r="BK30" s="67"/>
      <c r="BM30" s="19">
        <f t="shared" si="0"/>
        <v>24</v>
      </c>
    </row>
    <row r="31" spans="1:65" s="65" customFormat="1" ht="15" customHeight="1">
      <c r="A31" s="66"/>
      <c r="BK31" s="67"/>
      <c r="BM31" s="19">
        <f t="shared" si="0"/>
        <v>25</v>
      </c>
    </row>
    <row r="32" spans="1:65" s="65" customFormat="1" ht="15" customHeight="1">
      <c r="A32" s="66"/>
      <c r="BK32" s="67"/>
      <c r="BM32" s="19">
        <f t="shared" si="0"/>
        <v>26</v>
      </c>
    </row>
    <row r="33" spans="1:65" s="65" customFormat="1" ht="15" customHeight="1">
      <c r="A33" s="66"/>
      <c r="BK33" s="67"/>
      <c r="BM33" s="19">
        <f t="shared" si="0"/>
        <v>27</v>
      </c>
    </row>
    <row r="34" spans="1:65" s="65" customFormat="1" ht="15" customHeight="1">
      <c r="A34" s="66"/>
      <c r="BK34" s="67"/>
      <c r="BM34" s="19">
        <f t="shared" si="0"/>
        <v>28</v>
      </c>
    </row>
    <row r="35" spans="1:65" s="65" customFormat="1" ht="15" customHeight="1">
      <c r="A35" s="66"/>
      <c r="BK35" s="67"/>
      <c r="BM35" s="19">
        <f t="shared" si="0"/>
        <v>29</v>
      </c>
    </row>
    <row r="36" spans="1:65" s="65" customFormat="1" ht="15" customHeight="1">
      <c r="A36" s="66"/>
      <c r="BK36" s="67"/>
      <c r="BM36" s="19">
        <f t="shared" si="0"/>
        <v>30</v>
      </c>
    </row>
    <row r="37" spans="1:65" s="65" customFormat="1" ht="15" customHeight="1">
      <c r="A37" s="66"/>
      <c r="BK37" s="67"/>
      <c r="BM37" s="19">
        <f t="shared" si="0"/>
        <v>31</v>
      </c>
    </row>
    <row r="38" spans="1:65" s="65" customFormat="1" ht="15" customHeight="1">
      <c r="A38" s="66"/>
      <c r="BK38" s="67"/>
      <c r="BM38" s="19">
        <f t="shared" si="0"/>
        <v>32</v>
      </c>
    </row>
    <row r="39" spans="1:65" s="65" customFormat="1" ht="15" customHeight="1">
      <c r="A39" s="66"/>
      <c r="BK39" s="67"/>
      <c r="BM39" s="19">
        <f t="shared" si="0"/>
        <v>33</v>
      </c>
    </row>
    <row r="40" spans="1:65" s="65" customFormat="1" ht="15" customHeight="1">
      <c r="A40" s="66"/>
      <c r="BK40" s="67"/>
      <c r="BM40" s="19">
        <f t="shared" si="0"/>
        <v>34</v>
      </c>
    </row>
    <row r="41" spans="1:65" s="65" customFormat="1" ht="15" customHeight="1">
      <c r="A41" s="66"/>
      <c r="BK41" s="67"/>
      <c r="BM41" s="19">
        <f t="shared" si="0"/>
        <v>35</v>
      </c>
    </row>
    <row r="42" spans="1:65" s="65" customFormat="1" ht="15" customHeight="1">
      <c r="A42" s="66"/>
      <c r="BK42" s="67"/>
      <c r="BM42" s="19">
        <f t="shared" si="0"/>
        <v>36</v>
      </c>
    </row>
    <row r="43" spans="1:65" s="65" customFormat="1" ht="15" customHeight="1">
      <c r="A43" s="66"/>
      <c r="BK43" s="67"/>
      <c r="BM43" s="19">
        <f t="shared" si="0"/>
        <v>37</v>
      </c>
    </row>
    <row r="44" spans="1:65" s="65" customFormat="1" ht="15" customHeight="1">
      <c r="A44" s="66"/>
      <c r="BK44" s="67"/>
      <c r="BM44" s="19">
        <f t="shared" si="0"/>
        <v>38</v>
      </c>
    </row>
    <row r="45" spans="1:65" s="65" customFormat="1" ht="15" customHeight="1">
      <c r="A45" s="66"/>
      <c r="BK45" s="67"/>
      <c r="BM45" s="19">
        <f t="shared" si="0"/>
        <v>39</v>
      </c>
    </row>
    <row r="46" spans="1:65" s="65" customFormat="1" ht="15" customHeight="1">
      <c r="A46" s="66"/>
      <c r="BK46" s="67"/>
      <c r="BM46" s="19">
        <f t="shared" si="0"/>
        <v>40</v>
      </c>
    </row>
    <row r="47" spans="1:65" s="65" customFormat="1" ht="15" customHeight="1">
      <c r="A47" s="66"/>
      <c r="BK47" s="67"/>
      <c r="BM47" s="19">
        <f t="shared" si="0"/>
        <v>41</v>
      </c>
    </row>
    <row r="48" spans="1:65" s="65" customFormat="1" ht="15" customHeight="1">
      <c r="A48" s="66"/>
      <c r="BK48" s="67"/>
      <c r="BM48" s="19">
        <f t="shared" si="0"/>
        <v>42</v>
      </c>
    </row>
    <row r="49" spans="1:65" s="65" customFormat="1" ht="15" customHeight="1">
      <c r="A49" s="66"/>
      <c r="BK49" s="67"/>
      <c r="BM49" s="19">
        <f t="shared" si="0"/>
        <v>43</v>
      </c>
    </row>
    <row r="50" spans="1:65" s="65" customFormat="1" ht="15" customHeight="1">
      <c r="A50" s="66"/>
      <c r="BK50" s="67"/>
      <c r="BM50" s="19">
        <f t="shared" si="0"/>
        <v>44</v>
      </c>
    </row>
    <row r="51" spans="1:65" s="65" customFormat="1" ht="15" customHeight="1">
      <c r="A51" s="66"/>
      <c r="BK51" s="67"/>
      <c r="BM51" s="19">
        <f t="shared" si="0"/>
        <v>45</v>
      </c>
    </row>
    <row r="52" spans="1:65" s="65" customFormat="1" ht="15" customHeight="1">
      <c r="A52" s="66"/>
      <c r="BK52" s="67"/>
      <c r="BM52" s="19">
        <f t="shared" si="0"/>
        <v>46</v>
      </c>
    </row>
    <row r="53" spans="1:65" s="65" customFormat="1" ht="15" customHeight="1">
      <c r="A53" s="66"/>
      <c r="BK53" s="67"/>
      <c r="BM53" s="19">
        <f t="shared" si="0"/>
        <v>47</v>
      </c>
    </row>
    <row r="54" spans="1:65" s="65" customFormat="1" ht="15" customHeight="1">
      <c r="A54" s="66"/>
      <c r="BK54" s="67"/>
      <c r="BM54" s="19">
        <f t="shared" si="0"/>
        <v>48</v>
      </c>
    </row>
    <row r="55" spans="1:65" s="65" customFormat="1" ht="15" customHeight="1">
      <c r="A55" s="68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70"/>
      <c r="BM55" s="19">
        <f t="shared" si="0"/>
        <v>49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O70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59" customWidth="1"/>
    <col min="66" max="16384" width="2.77734375" style="59"/>
  </cols>
  <sheetData>
    <row r="1" spans="1:65" ht="24.95" customHeight="1">
      <c r="A1" s="218" t="s">
        <v>74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75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9" t="str">
        <f>IF(表紙!W1="","",表紙!W1)</f>
        <v>基本設計書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18" t="s">
        <v>76</v>
      </c>
      <c r="AQ1" s="219"/>
      <c r="AR1" s="219"/>
      <c r="AS1" s="220"/>
      <c r="AT1" s="218" t="s">
        <v>77</v>
      </c>
      <c r="AU1" s="219"/>
      <c r="AV1" s="219"/>
      <c r="AW1" s="219"/>
      <c r="AX1" s="220"/>
      <c r="AY1" s="218" t="s">
        <v>78</v>
      </c>
      <c r="AZ1" s="219"/>
      <c r="BA1" s="219"/>
      <c r="BB1" s="220"/>
      <c r="BC1" s="218" t="s">
        <v>79</v>
      </c>
      <c r="BD1" s="219"/>
      <c r="BE1" s="219"/>
      <c r="BF1" s="219"/>
      <c r="BG1" s="220"/>
      <c r="BH1" s="218" t="s">
        <v>80</v>
      </c>
      <c r="BI1" s="219"/>
      <c r="BJ1" s="219"/>
      <c r="BK1" s="220"/>
    </row>
    <row r="2" spans="1:65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IF(表紙!AP2="","",表紙!AP2)</f>
        <v>DuNT</v>
      </c>
      <c r="AQ2" s="193"/>
      <c r="AR2" s="193"/>
      <c r="AS2" s="194"/>
      <c r="AT2" s="217">
        <f>IF(表紙!AT2="","",表紙!AT2)</f>
        <v>45511</v>
      </c>
      <c r="AU2" s="224"/>
      <c r="AV2" s="224"/>
      <c r="AW2" s="224"/>
      <c r="AX2" s="225"/>
      <c r="AY2" s="192" t="str">
        <f>IF(表紙!AY2="","",表紙!AY2)</f>
        <v>DuNT</v>
      </c>
      <c r="AZ2" s="193"/>
      <c r="BA2" s="193"/>
      <c r="BB2" s="194"/>
      <c r="BC2" s="217">
        <f>IF(表紙!BC2="","",表紙!BC2)</f>
        <v>45539</v>
      </c>
      <c r="BD2" s="224"/>
      <c r="BE2" s="224"/>
      <c r="BF2" s="224"/>
      <c r="BG2" s="225"/>
      <c r="BH2" s="192">
        <f>IF(表紙!BH2="","",表紙!BH2)</f>
        <v>0.2</v>
      </c>
      <c r="BI2" s="193"/>
      <c r="BJ2" s="193"/>
      <c r="BK2" s="194"/>
    </row>
    <row r="3" spans="1:65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5"/>
      <c r="AQ3" s="196"/>
      <c r="AR3" s="196"/>
      <c r="AS3" s="197"/>
      <c r="AT3" s="226"/>
      <c r="AU3" s="227"/>
      <c r="AV3" s="227"/>
      <c r="AW3" s="227"/>
      <c r="AX3" s="228"/>
      <c r="AY3" s="195"/>
      <c r="AZ3" s="196"/>
      <c r="BA3" s="196"/>
      <c r="BB3" s="197"/>
      <c r="BC3" s="226"/>
      <c r="BD3" s="227"/>
      <c r="BE3" s="227"/>
      <c r="BF3" s="227"/>
      <c r="BG3" s="228"/>
      <c r="BH3" s="195"/>
      <c r="BI3" s="196"/>
      <c r="BJ3" s="196"/>
      <c r="BK3" s="197"/>
    </row>
    <row r="4" spans="1:65" ht="24.95" customHeight="1">
      <c r="A4" s="218" t="s">
        <v>81</v>
      </c>
      <c r="B4" s="219"/>
      <c r="C4" s="219"/>
      <c r="D4" s="219"/>
      <c r="E4" s="219"/>
      <c r="F4" s="219"/>
      <c r="G4" s="220"/>
      <c r="H4" s="221" t="str">
        <f>IF(表紙!H4="","",表紙!H4)</f>
        <v>16_保留・保留解除</v>
      </c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  <c r="U4" s="218" t="s">
        <v>82</v>
      </c>
      <c r="V4" s="219"/>
      <c r="W4" s="219"/>
      <c r="X4" s="219"/>
      <c r="Y4" s="220"/>
      <c r="Z4" s="221" t="str">
        <f>IF(表紙!Z4="","",表紙!Z4)</f>
        <v>概要設計</v>
      </c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3"/>
      <c r="AP4" s="221" t="str">
        <f t="array" aca="1" ref="AP4" ca="1">RIGHT(CELL("filename",$A$1),LEN(CELL("filename",$A$1))-FIND("]",CELL("filename",$A$1)))</f>
        <v>機能概要</v>
      </c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3"/>
    </row>
    <row r="5" spans="1:65" ht="5.0999999999999996" customHeight="1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2"/>
    </row>
    <row r="6" spans="1:65" ht="15" customHeight="1">
      <c r="A6" s="63"/>
      <c r="BK6" s="64"/>
    </row>
    <row r="7" spans="1:65" ht="15" customHeight="1">
      <c r="A7" s="63"/>
      <c r="B7" s="73" t="s">
        <v>86</v>
      </c>
      <c r="C7" s="74"/>
      <c r="D7" s="75"/>
      <c r="E7" s="75"/>
      <c r="F7" s="75"/>
      <c r="G7" s="75"/>
      <c r="H7" s="75"/>
      <c r="I7" s="75"/>
      <c r="J7" s="75"/>
      <c r="K7" s="76"/>
      <c r="L7" s="75"/>
      <c r="M7" s="75"/>
      <c r="N7" s="75"/>
      <c r="O7" s="75"/>
      <c r="P7" s="75"/>
      <c r="Q7" s="75"/>
      <c r="R7" s="75"/>
      <c r="S7" s="75"/>
      <c r="T7" s="76"/>
      <c r="U7" s="74"/>
      <c r="V7" s="75"/>
      <c r="W7" s="75"/>
      <c r="X7" s="75"/>
      <c r="Y7" s="75"/>
      <c r="Z7" s="75"/>
      <c r="AA7" s="75"/>
      <c r="AB7" s="75"/>
      <c r="AC7" s="76"/>
      <c r="AD7" s="74"/>
      <c r="AE7" s="75"/>
      <c r="AF7" s="75"/>
      <c r="AG7" s="75"/>
      <c r="AH7" s="75"/>
      <c r="AI7" s="75"/>
      <c r="AJ7" s="75"/>
      <c r="AK7" s="75"/>
      <c r="AL7" s="76"/>
      <c r="AM7" s="74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6"/>
      <c r="BJ7" s="75"/>
      <c r="BK7" s="64"/>
    </row>
    <row r="8" spans="1:65" ht="15" customHeight="1">
      <c r="A8" s="63"/>
      <c r="B8" s="77"/>
      <c r="K8" s="78"/>
      <c r="U8" s="77"/>
      <c r="AD8" s="77"/>
      <c r="AM8" s="77"/>
      <c r="BI8" s="79"/>
      <c r="BK8" s="64"/>
      <c r="BM8" s="19">
        <f t="shared" ref="BM8:BM50" si="0">IF(BM7=50,1,BM7+1)</f>
        <v>1</v>
      </c>
    </row>
    <row r="9" spans="1:65" ht="15" customHeight="1">
      <c r="A9" s="63"/>
      <c r="B9" s="77"/>
      <c r="K9" s="78"/>
      <c r="U9" s="77"/>
      <c r="AD9" s="77"/>
      <c r="AM9" s="77"/>
      <c r="BI9" s="79"/>
      <c r="BK9" s="64"/>
      <c r="BM9" s="19">
        <f t="shared" si="0"/>
        <v>2</v>
      </c>
    </row>
    <row r="10" spans="1:65" ht="15" customHeight="1">
      <c r="A10" s="63"/>
      <c r="B10" s="77"/>
      <c r="K10" s="78"/>
      <c r="U10" s="77"/>
      <c r="AD10" s="77"/>
      <c r="AM10" s="77"/>
      <c r="BI10" s="79"/>
      <c r="BK10" s="64"/>
      <c r="BM10" s="19">
        <f t="shared" si="0"/>
        <v>3</v>
      </c>
    </row>
    <row r="11" spans="1:65" ht="15" customHeight="1">
      <c r="A11" s="63"/>
      <c r="B11" s="77"/>
      <c r="K11" s="78"/>
      <c r="U11" s="77"/>
      <c r="AD11" s="77"/>
      <c r="AM11" s="77"/>
      <c r="BI11" s="79"/>
      <c r="BK11" s="64"/>
      <c r="BM11" s="19">
        <f t="shared" si="0"/>
        <v>4</v>
      </c>
    </row>
    <row r="12" spans="1:65" ht="15" customHeight="1">
      <c r="A12" s="63"/>
      <c r="B12" s="77"/>
      <c r="K12" s="78"/>
      <c r="U12" s="77"/>
      <c r="AD12" s="77"/>
      <c r="AM12" s="77"/>
      <c r="BI12" s="79"/>
      <c r="BK12" s="64"/>
      <c r="BM12" s="19">
        <f t="shared" si="0"/>
        <v>5</v>
      </c>
    </row>
    <row r="13" spans="1:65" ht="15" customHeight="1">
      <c r="A13" s="63"/>
      <c r="B13" s="77"/>
      <c r="K13" s="78"/>
      <c r="U13" s="77"/>
      <c r="AD13" s="77"/>
      <c r="AM13" s="77"/>
      <c r="BI13" s="79"/>
      <c r="BK13" s="64"/>
      <c r="BM13" s="19">
        <f t="shared" si="0"/>
        <v>6</v>
      </c>
    </row>
    <row r="14" spans="1:65" ht="15" customHeight="1">
      <c r="A14" s="63"/>
      <c r="B14" s="77"/>
      <c r="K14" s="78"/>
      <c r="U14" s="77"/>
      <c r="AD14" s="77"/>
      <c r="AM14" s="77"/>
      <c r="BI14" s="79"/>
      <c r="BK14" s="64"/>
      <c r="BM14" s="19">
        <f t="shared" si="0"/>
        <v>7</v>
      </c>
    </row>
    <row r="15" spans="1:65" ht="15" customHeight="1">
      <c r="A15" s="63"/>
      <c r="B15" s="77"/>
      <c r="K15" s="78"/>
      <c r="U15" s="77"/>
      <c r="AD15" s="77"/>
      <c r="AM15" s="77"/>
      <c r="BI15" s="79"/>
      <c r="BK15" s="64"/>
      <c r="BM15" s="19">
        <f t="shared" si="0"/>
        <v>8</v>
      </c>
    </row>
    <row r="16" spans="1:65" ht="15" customHeight="1">
      <c r="A16" s="63"/>
      <c r="B16" s="77"/>
      <c r="K16" s="78"/>
      <c r="U16" s="77"/>
      <c r="AD16" s="77"/>
      <c r="AM16" s="77"/>
      <c r="BI16" s="79"/>
      <c r="BK16" s="64"/>
      <c r="BM16" s="19">
        <f t="shared" si="0"/>
        <v>9</v>
      </c>
    </row>
    <row r="17" spans="1:65" ht="15" customHeight="1">
      <c r="A17" s="63"/>
      <c r="B17" s="77"/>
      <c r="K17" s="78"/>
      <c r="U17" s="77"/>
      <c r="AD17" s="77"/>
      <c r="AM17" s="77"/>
      <c r="BI17" s="79"/>
      <c r="BK17" s="64"/>
      <c r="BM17" s="19">
        <f t="shared" si="0"/>
        <v>10</v>
      </c>
    </row>
    <row r="18" spans="1:65" ht="15" customHeight="1">
      <c r="A18" s="63"/>
      <c r="B18" s="77"/>
      <c r="K18" s="78"/>
      <c r="U18" s="77"/>
      <c r="AD18" s="77"/>
      <c r="AM18" s="77"/>
      <c r="BI18" s="79"/>
      <c r="BK18" s="64"/>
      <c r="BM18" s="19">
        <f t="shared" si="0"/>
        <v>11</v>
      </c>
    </row>
    <row r="19" spans="1:65" ht="15" customHeight="1">
      <c r="A19" s="63"/>
      <c r="B19" s="77"/>
      <c r="K19" s="78"/>
      <c r="U19" s="77"/>
      <c r="AD19" s="77"/>
      <c r="AM19" s="77"/>
      <c r="BI19" s="79"/>
      <c r="BK19" s="64"/>
      <c r="BM19" s="19">
        <f t="shared" si="0"/>
        <v>12</v>
      </c>
    </row>
    <row r="20" spans="1:65" ht="15" customHeight="1">
      <c r="A20" s="63"/>
      <c r="B20" s="77"/>
      <c r="K20" s="78"/>
      <c r="U20" s="77"/>
      <c r="AD20" s="77"/>
      <c r="AM20" s="77"/>
      <c r="BI20" s="79"/>
      <c r="BK20" s="64"/>
      <c r="BM20" s="19">
        <f t="shared" si="0"/>
        <v>13</v>
      </c>
    </row>
    <row r="21" spans="1:65" ht="15" customHeight="1">
      <c r="A21" s="63"/>
      <c r="B21" s="77"/>
      <c r="K21" s="78"/>
      <c r="U21" s="77"/>
      <c r="AD21" s="77"/>
      <c r="AM21" s="77"/>
      <c r="BI21" s="79"/>
      <c r="BK21" s="64"/>
      <c r="BM21" s="19">
        <f t="shared" si="0"/>
        <v>14</v>
      </c>
    </row>
    <row r="22" spans="1:65" s="65" customFormat="1" ht="15" customHeight="1">
      <c r="A22" s="66"/>
      <c r="B22" s="77"/>
      <c r="K22" s="78"/>
      <c r="L22" s="80"/>
      <c r="T22" s="78"/>
      <c r="U22" s="80"/>
      <c r="AC22" s="78"/>
      <c r="AD22" s="80"/>
      <c r="AL22" s="78"/>
      <c r="AM22" s="80"/>
      <c r="BI22" s="78"/>
      <c r="BK22" s="67"/>
      <c r="BM22" s="19">
        <f t="shared" si="0"/>
        <v>15</v>
      </c>
    </row>
    <row r="23" spans="1:65" s="65" customFormat="1" ht="15" customHeight="1">
      <c r="A23" s="66"/>
      <c r="B23" s="77"/>
      <c r="K23" s="78"/>
      <c r="L23" s="80"/>
      <c r="T23" s="78"/>
      <c r="U23" s="80"/>
      <c r="AC23" s="78"/>
      <c r="AD23" s="80"/>
      <c r="AL23" s="78"/>
      <c r="AM23" s="80"/>
      <c r="BI23" s="78"/>
      <c r="BK23" s="67"/>
      <c r="BM23" s="19">
        <f t="shared" si="0"/>
        <v>16</v>
      </c>
    </row>
    <row r="24" spans="1:65" s="65" customFormat="1" ht="15" customHeight="1">
      <c r="A24" s="66"/>
      <c r="B24" s="77"/>
      <c r="K24" s="78"/>
      <c r="L24" s="80"/>
      <c r="T24" s="78"/>
      <c r="U24" s="80"/>
      <c r="AC24" s="78"/>
      <c r="AD24" s="80"/>
      <c r="AL24" s="78"/>
      <c r="AM24" s="80"/>
      <c r="BI24" s="78"/>
      <c r="BK24" s="67"/>
      <c r="BM24" s="19">
        <f t="shared" si="0"/>
        <v>17</v>
      </c>
    </row>
    <row r="25" spans="1:65" s="65" customFormat="1" ht="15" customHeight="1">
      <c r="A25" s="66"/>
      <c r="B25" s="77"/>
      <c r="K25" s="78"/>
      <c r="L25" s="80"/>
      <c r="T25" s="78"/>
      <c r="U25" s="80"/>
      <c r="AC25" s="78"/>
      <c r="AD25" s="80"/>
      <c r="AL25" s="78"/>
      <c r="AM25" s="80"/>
      <c r="BI25" s="78"/>
      <c r="BK25" s="67"/>
      <c r="BM25" s="19">
        <f t="shared" si="0"/>
        <v>18</v>
      </c>
    </row>
    <row r="26" spans="1:65" s="65" customFormat="1" ht="15" customHeight="1">
      <c r="A26" s="66"/>
      <c r="B26" s="77"/>
      <c r="K26" s="78"/>
      <c r="L26" s="80"/>
      <c r="T26" s="78"/>
      <c r="U26" s="80"/>
      <c r="AC26" s="78"/>
      <c r="AD26" s="80"/>
      <c r="AL26" s="78"/>
      <c r="AM26" s="80"/>
      <c r="BI26" s="78"/>
      <c r="BK26" s="67"/>
      <c r="BM26" s="19">
        <f t="shared" si="0"/>
        <v>19</v>
      </c>
    </row>
    <row r="27" spans="1:65" s="65" customFormat="1" ht="15" customHeight="1">
      <c r="A27" s="66"/>
      <c r="B27" s="77"/>
      <c r="K27" s="78"/>
      <c r="L27" s="80"/>
      <c r="T27" s="78"/>
      <c r="U27" s="80"/>
      <c r="AC27" s="78"/>
      <c r="AD27" s="80"/>
      <c r="AL27" s="78"/>
      <c r="AM27" s="80"/>
      <c r="BI27" s="78"/>
      <c r="BK27" s="67"/>
      <c r="BM27" s="19">
        <f t="shared" si="0"/>
        <v>20</v>
      </c>
    </row>
    <row r="28" spans="1:65" s="65" customFormat="1" ht="15" customHeight="1">
      <c r="A28" s="66"/>
      <c r="B28" s="77"/>
      <c r="K28" s="78"/>
      <c r="L28" s="80"/>
      <c r="T28" s="78"/>
      <c r="U28" s="80"/>
      <c r="AC28" s="78"/>
      <c r="AD28" s="80"/>
      <c r="AL28" s="78"/>
      <c r="AM28" s="80"/>
      <c r="BI28" s="78"/>
      <c r="BK28" s="67"/>
      <c r="BM28" s="19">
        <f t="shared" si="0"/>
        <v>21</v>
      </c>
    </row>
    <row r="29" spans="1:65" s="65" customFormat="1" ht="15" customHeight="1">
      <c r="A29" s="66"/>
      <c r="B29" s="77"/>
      <c r="K29" s="78"/>
      <c r="L29" s="80"/>
      <c r="T29" s="78"/>
      <c r="U29" s="80"/>
      <c r="AC29" s="78"/>
      <c r="AD29" s="80"/>
      <c r="AL29" s="78"/>
      <c r="AM29" s="80"/>
      <c r="BI29" s="78"/>
      <c r="BK29" s="67"/>
      <c r="BM29" s="19">
        <f t="shared" si="0"/>
        <v>22</v>
      </c>
    </row>
    <row r="30" spans="1:65" s="65" customFormat="1" ht="15" customHeight="1">
      <c r="A30" s="66"/>
      <c r="B30" s="77"/>
      <c r="K30" s="78"/>
      <c r="L30" s="80"/>
      <c r="T30" s="78"/>
      <c r="U30" s="80"/>
      <c r="AC30" s="78"/>
      <c r="AD30" s="80"/>
      <c r="AL30" s="78"/>
      <c r="AM30" s="80"/>
      <c r="BI30" s="78"/>
      <c r="BK30" s="67"/>
      <c r="BM30" s="19">
        <f t="shared" si="0"/>
        <v>23</v>
      </c>
    </row>
    <row r="31" spans="1:65" s="65" customFormat="1" ht="15" customHeight="1">
      <c r="A31" s="66"/>
      <c r="B31" s="77"/>
      <c r="K31" s="78"/>
      <c r="L31" s="80"/>
      <c r="T31" s="78"/>
      <c r="U31" s="80"/>
      <c r="AC31" s="78"/>
      <c r="AD31" s="80"/>
      <c r="AL31" s="78"/>
      <c r="AM31" s="80"/>
      <c r="BI31" s="78"/>
      <c r="BK31" s="67"/>
      <c r="BM31" s="19">
        <f t="shared" si="0"/>
        <v>24</v>
      </c>
    </row>
    <row r="32" spans="1:65" s="65" customFormat="1" ht="15" customHeight="1">
      <c r="A32" s="66"/>
      <c r="B32" s="77"/>
      <c r="K32" s="78"/>
      <c r="L32" s="80"/>
      <c r="T32" s="78"/>
      <c r="U32" s="80"/>
      <c r="AC32" s="78"/>
      <c r="AD32" s="80"/>
      <c r="AL32" s="78"/>
      <c r="AM32" s="80"/>
      <c r="BI32" s="78"/>
      <c r="BK32" s="67"/>
      <c r="BM32" s="19">
        <f t="shared" si="0"/>
        <v>25</v>
      </c>
    </row>
    <row r="33" spans="1:67" s="65" customFormat="1" ht="15" customHeight="1">
      <c r="A33" s="66"/>
      <c r="B33" s="77"/>
      <c r="K33" s="78"/>
      <c r="L33" s="80"/>
      <c r="T33" s="78"/>
      <c r="U33" s="80"/>
      <c r="AC33" s="78"/>
      <c r="AD33" s="80"/>
      <c r="AL33" s="78"/>
      <c r="AM33" s="80"/>
      <c r="BI33" s="78"/>
      <c r="BK33" s="67"/>
      <c r="BM33" s="19">
        <f t="shared" si="0"/>
        <v>26</v>
      </c>
      <c r="BO33" s="20"/>
    </row>
    <row r="34" spans="1:67" s="65" customFormat="1" ht="15" customHeight="1">
      <c r="A34" s="66"/>
      <c r="B34" s="80"/>
      <c r="K34" s="78"/>
      <c r="L34" s="80"/>
      <c r="T34" s="78"/>
      <c r="U34" s="80"/>
      <c r="AC34" s="78"/>
      <c r="AD34" s="80"/>
      <c r="AL34" s="78"/>
      <c r="AM34" s="80"/>
      <c r="BI34" s="78"/>
      <c r="BK34" s="67"/>
      <c r="BM34" s="19">
        <f t="shared" si="0"/>
        <v>27</v>
      </c>
    </row>
    <row r="35" spans="1:67" s="65" customFormat="1" ht="15" customHeight="1">
      <c r="A35" s="66"/>
      <c r="B35" s="80"/>
      <c r="K35" s="78"/>
      <c r="L35" s="80"/>
      <c r="T35" s="78"/>
      <c r="U35" s="80"/>
      <c r="AC35" s="78"/>
      <c r="AD35" s="80"/>
      <c r="AL35" s="78"/>
      <c r="AM35" s="80"/>
      <c r="BI35" s="78"/>
      <c r="BK35" s="67"/>
      <c r="BM35" s="19">
        <f t="shared" si="0"/>
        <v>28</v>
      </c>
    </row>
    <row r="36" spans="1:67" s="65" customFormat="1" ht="15" customHeight="1">
      <c r="A36" s="66"/>
      <c r="B36" s="80"/>
      <c r="K36" s="78"/>
      <c r="L36" s="80"/>
      <c r="T36" s="78"/>
      <c r="U36" s="80"/>
      <c r="AC36" s="78"/>
      <c r="AD36" s="80"/>
      <c r="AL36" s="78"/>
      <c r="AM36" s="80"/>
      <c r="BI36" s="78"/>
      <c r="BK36" s="67"/>
      <c r="BM36" s="19">
        <f>IF(BM35=50,1,BM35+1)</f>
        <v>29</v>
      </c>
    </row>
    <row r="37" spans="1:67" s="65" customFormat="1" ht="15" customHeight="1">
      <c r="A37" s="66"/>
      <c r="B37" s="80"/>
      <c r="K37" s="78"/>
      <c r="L37" s="80"/>
      <c r="T37" s="78"/>
      <c r="U37" s="80"/>
      <c r="AC37" s="78"/>
      <c r="AD37" s="80"/>
      <c r="AL37" s="78"/>
      <c r="AM37" s="80"/>
      <c r="BI37" s="78"/>
      <c r="BK37" s="67"/>
      <c r="BM37" s="19">
        <f t="shared" si="0"/>
        <v>30</v>
      </c>
    </row>
    <row r="38" spans="1:67" s="65" customFormat="1" ht="15" customHeight="1">
      <c r="A38" s="66"/>
      <c r="B38" s="80"/>
      <c r="K38" s="78"/>
      <c r="L38" s="80"/>
      <c r="T38" s="78"/>
      <c r="U38" s="80"/>
      <c r="AC38" s="78"/>
      <c r="AD38" s="80"/>
      <c r="AL38" s="78"/>
      <c r="AM38" s="80"/>
      <c r="BI38" s="78"/>
      <c r="BK38" s="67"/>
      <c r="BM38" s="19">
        <f t="shared" si="0"/>
        <v>31</v>
      </c>
    </row>
    <row r="39" spans="1:67" s="65" customFormat="1" ht="15" customHeight="1">
      <c r="A39" s="66"/>
      <c r="B39" s="80"/>
      <c r="K39" s="78"/>
      <c r="L39" s="80"/>
      <c r="T39" s="78"/>
      <c r="U39" s="80"/>
      <c r="AC39" s="78"/>
      <c r="AD39" s="80"/>
      <c r="AL39" s="78"/>
      <c r="AM39" s="80"/>
      <c r="BI39" s="78"/>
      <c r="BK39" s="67"/>
      <c r="BM39" s="19">
        <f t="shared" si="0"/>
        <v>32</v>
      </c>
    </row>
    <row r="40" spans="1:67" s="65" customFormat="1" ht="15" customHeight="1">
      <c r="A40" s="66"/>
      <c r="B40" s="80"/>
      <c r="K40" s="78"/>
      <c r="L40" s="80"/>
      <c r="T40" s="78"/>
      <c r="U40" s="80"/>
      <c r="AC40" s="78"/>
      <c r="AD40" s="80"/>
      <c r="AL40" s="78"/>
      <c r="AM40" s="80"/>
      <c r="BI40" s="78"/>
      <c r="BK40" s="67"/>
      <c r="BM40" s="19">
        <f t="shared" si="0"/>
        <v>33</v>
      </c>
    </row>
    <row r="41" spans="1:67" ht="15" customHeight="1">
      <c r="A41" s="66"/>
      <c r="B41" s="80"/>
      <c r="C41" s="65"/>
      <c r="D41" s="65"/>
      <c r="E41" s="65"/>
      <c r="F41" s="65"/>
      <c r="G41" s="65"/>
      <c r="H41" s="65"/>
      <c r="I41" s="65"/>
      <c r="J41" s="65"/>
      <c r="K41" s="78"/>
      <c r="L41" s="80"/>
      <c r="M41" s="65"/>
      <c r="N41" s="65"/>
      <c r="O41" s="65"/>
      <c r="P41" s="65"/>
      <c r="Q41" s="65"/>
      <c r="R41" s="65"/>
      <c r="S41" s="65"/>
      <c r="T41" s="78"/>
      <c r="U41" s="80"/>
      <c r="V41" s="65"/>
      <c r="W41" s="65"/>
      <c r="X41" s="65"/>
      <c r="Y41" s="65"/>
      <c r="Z41" s="65"/>
      <c r="AA41" s="65"/>
      <c r="AB41" s="65"/>
      <c r="AC41" s="78"/>
      <c r="AD41" s="80"/>
      <c r="AE41" s="65"/>
      <c r="AF41" s="65"/>
      <c r="AG41" s="65"/>
      <c r="AH41" s="65"/>
      <c r="AI41" s="65"/>
      <c r="AJ41" s="65"/>
      <c r="AK41" s="65"/>
      <c r="AL41" s="78"/>
      <c r="AM41" s="80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78"/>
      <c r="BJ41" s="65"/>
      <c r="BK41" s="67"/>
      <c r="BM41" s="19">
        <f t="shared" si="0"/>
        <v>34</v>
      </c>
    </row>
    <row r="42" spans="1:67" ht="15" customHeight="1">
      <c r="A42" s="66"/>
      <c r="B42" s="80"/>
      <c r="C42" s="65"/>
      <c r="D42" s="65"/>
      <c r="E42" s="65"/>
      <c r="F42" s="65"/>
      <c r="G42" s="65"/>
      <c r="H42" s="65"/>
      <c r="I42" s="65"/>
      <c r="J42" s="65"/>
      <c r="K42" s="78"/>
      <c r="L42" s="80"/>
      <c r="M42" s="65"/>
      <c r="N42" s="65"/>
      <c r="O42" s="65"/>
      <c r="P42" s="65"/>
      <c r="Q42" s="65"/>
      <c r="R42" s="65"/>
      <c r="S42" s="65"/>
      <c r="T42" s="78"/>
      <c r="U42" s="80"/>
      <c r="V42" s="65"/>
      <c r="W42" s="65"/>
      <c r="X42" s="65"/>
      <c r="Y42" s="65"/>
      <c r="Z42" s="65"/>
      <c r="AA42" s="65"/>
      <c r="AB42" s="65"/>
      <c r="AC42" s="78"/>
      <c r="AD42" s="80"/>
      <c r="AE42" s="65"/>
      <c r="AF42" s="65"/>
      <c r="AG42" s="65"/>
      <c r="AH42" s="65"/>
      <c r="AI42" s="65"/>
      <c r="AJ42" s="65"/>
      <c r="AK42" s="65"/>
      <c r="AL42" s="78"/>
      <c r="AM42" s="80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78"/>
      <c r="BJ42" s="65"/>
      <c r="BK42" s="67"/>
      <c r="BM42" s="19">
        <f t="shared" si="0"/>
        <v>35</v>
      </c>
    </row>
    <row r="43" spans="1:67" ht="15" customHeight="1">
      <c r="A43" s="66"/>
      <c r="B43" s="80"/>
      <c r="C43" s="65"/>
      <c r="D43" s="65"/>
      <c r="E43" s="65"/>
      <c r="F43" s="65"/>
      <c r="G43" s="65"/>
      <c r="H43" s="65"/>
      <c r="I43" s="65"/>
      <c r="J43" s="65"/>
      <c r="K43" s="78"/>
      <c r="L43" s="80"/>
      <c r="M43" s="65"/>
      <c r="N43" s="65"/>
      <c r="O43" s="65"/>
      <c r="P43" s="65"/>
      <c r="Q43" s="65"/>
      <c r="R43" s="65"/>
      <c r="S43" s="65"/>
      <c r="T43" s="78"/>
      <c r="U43" s="80"/>
      <c r="V43" s="65"/>
      <c r="W43" s="65"/>
      <c r="X43" s="65"/>
      <c r="Y43" s="65"/>
      <c r="Z43" s="65"/>
      <c r="AA43" s="65"/>
      <c r="AB43" s="65"/>
      <c r="AC43" s="78"/>
      <c r="AD43" s="80"/>
      <c r="AE43" s="65"/>
      <c r="AF43" s="65"/>
      <c r="AG43" s="65"/>
      <c r="AH43" s="65"/>
      <c r="AI43" s="65"/>
      <c r="AJ43" s="65"/>
      <c r="AK43" s="65"/>
      <c r="AL43" s="78"/>
      <c r="AM43" s="80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78"/>
      <c r="BJ43" s="65"/>
      <c r="BK43" s="67"/>
      <c r="BM43" s="19">
        <f t="shared" si="0"/>
        <v>36</v>
      </c>
    </row>
    <row r="44" spans="1:67" ht="15" customHeight="1">
      <c r="A44" s="66"/>
      <c r="B44" s="80"/>
      <c r="C44" s="65"/>
      <c r="D44" s="65"/>
      <c r="E44" s="65"/>
      <c r="F44" s="65"/>
      <c r="G44" s="65"/>
      <c r="H44" s="65"/>
      <c r="I44" s="65"/>
      <c r="J44" s="65"/>
      <c r="K44" s="78"/>
      <c r="L44" s="80"/>
      <c r="M44" s="65"/>
      <c r="N44" s="65"/>
      <c r="O44" s="65"/>
      <c r="P44" s="65"/>
      <c r="Q44" s="65"/>
      <c r="R44" s="65"/>
      <c r="S44" s="65"/>
      <c r="T44" s="78"/>
      <c r="U44" s="80"/>
      <c r="V44" s="65"/>
      <c r="W44" s="65"/>
      <c r="X44" s="65"/>
      <c r="Y44" s="65"/>
      <c r="Z44" s="65"/>
      <c r="AA44" s="65"/>
      <c r="AB44" s="65"/>
      <c r="AC44" s="78"/>
      <c r="AD44" s="80"/>
      <c r="AE44" s="65"/>
      <c r="AF44" s="65"/>
      <c r="AG44" s="65"/>
      <c r="AH44" s="65"/>
      <c r="AI44" s="65"/>
      <c r="AJ44" s="65"/>
      <c r="AK44" s="65"/>
      <c r="AL44" s="78"/>
      <c r="AM44" s="80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78"/>
      <c r="BJ44" s="65"/>
      <c r="BK44" s="67"/>
      <c r="BM44" s="19">
        <f t="shared" si="0"/>
        <v>37</v>
      </c>
    </row>
    <row r="45" spans="1:67" ht="15" customHeight="1">
      <c r="A45" s="66"/>
      <c r="B45" s="80"/>
      <c r="C45" s="65"/>
      <c r="D45" s="65"/>
      <c r="E45" s="65"/>
      <c r="F45" s="65"/>
      <c r="G45" s="65"/>
      <c r="H45" s="65"/>
      <c r="I45" s="65"/>
      <c r="J45" s="65"/>
      <c r="K45" s="78"/>
      <c r="L45" s="80"/>
      <c r="M45" s="65"/>
      <c r="N45" s="65"/>
      <c r="O45" s="65"/>
      <c r="P45" s="65"/>
      <c r="Q45" s="65"/>
      <c r="R45" s="65"/>
      <c r="S45" s="65"/>
      <c r="T45" s="78"/>
      <c r="U45" s="80"/>
      <c r="V45" s="65"/>
      <c r="W45" s="65"/>
      <c r="X45" s="65"/>
      <c r="Y45" s="65"/>
      <c r="Z45" s="65"/>
      <c r="AA45" s="65"/>
      <c r="AB45" s="65"/>
      <c r="AC45" s="78"/>
      <c r="AD45" s="80"/>
      <c r="AE45" s="65"/>
      <c r="AF45" s="65"/>
      <c r="AG45" s="65"/>
      <c r="AH45" s="65"/>
      <c r="AI45" s="65"/>
      <c r="AJ45" s="65"/>
      <c r="AK45" s="65"/>
      <c r="AL45" s="78"/>
      <c r="AM45" s="80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78"/>
      <c r="BJ45" s="65"/>
      <c r="BK45" s="67"/>
      <c r="BM45" s="19">
        <f t="shared" si="0"/>
        <v>38</v>
      </c>
    </row>
    <row r="46" spans="1:67" ht="15" customHeight="1">
      <c r="A46" s="66"/>
      <c r="B46" s="80"/>
      <c r="C46" s="65"/>
      <c r="D46" s="65"/>
      <c r="E46" s="65"/>
      <c r="F46" s="65"/>
      <c r="G46" s="65"/>
      <c r="H46" s="65"/>
      <c r="I46" s="65"/>
      <c r="J46" s="65"/>
      <c r="K46" s="78"/>
      <c r="L46" s="80"/>
      <c r="M46" s="65"/>
      <c r="N46" s="65"/>
      <c r="O46" s="65"/>
      <c r="P46" s="65"/>
      <c r="Q46" s="65"/>
      <c r="R46" s="65"/>
      <c r="S46" s="65"/>
      <c r="T46" s="78"/>
      <c r="U46" s="80"/>
      <c r="V46" s="65"/>
      <c r="W46" s="65"/>
      <c r="X46" s="65"/>
      <c r="Y46" s="65"/>
      <c r="Z46" s="65"/>
      <c r="AA46" s="65"/>
      <c r="AB46" s="65"/>
      <c r="AC46" s="78"/>
      <c r="AD46" s="80"/>
      <c r="AE46" s="65"/>
      <c r="AF46" s="65"/>
      <c r="AG46" s="65"/>
      <c r="AH46" s="65"/>
      <c r="AI46" s="65"/>
      <c r="AJ46" s="65"/>
      <c r="AK46" s="65"/>
      <c r="AL46" s="78"/>
      <c r="AM46" s="80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78"/>
      <c r="BJ46" s="65"/>
      <c r="BK46" s="67"/>
      <c r="BM46" s="19">
        <f t="shared" si="0"/>
        <v>39</v>
      </c>
    </row>
    <row r="47" spans="1:67" ht="15" customHeight="1">
      <c r="A47" s="66"/>
      <c r="B47" s="80"/>
      <c r="C47" s="65"/>
      <c r="D47" s="65"/>
      <c r="E47" s="65"/>
      <c r="F47" s="65"/>
      <c r="G47" s="65"/>
      <c r="H47" s="65"/>
      <c r="I47" s="65"/>
      <c r="J47" s="65"/>
      <c r="K47" s="78"/>
      <c r="L47" s="80"/>
      <c r="M47" s="65"/>
      <c r="N47" s="65"/>
      <c r="O47" s="65"/>
      <c r="P47" s="65"/>
      <c r="Q47" s="65"/>
      <c r="R47" s="65"/>
      <c r="S47" s="65"/>
      <c r="T47" s="78"/>
      <c r="U47" s="80"/>
      <c r="V47" s="65"/>
      <c r="W47" s="65"/>
      <c r="X47" s="65"/>
      <c r="Y47" s="65"/>
      <c r="Z47" s="65"/>
      <c r="AA47" s="65"/>
      <c r="AB47" s="65"/>
      <c r="AC47" s="78"/>
      <c r="AD47" s="80"/>
      <c r="AE47" s="65"/>
      <c r="AF47" s="65"/>
      <c r="AG47" s="65"/>
      <c r="AH47" s="65"/>
      <c r="AI47" s="65"/>
      <c r="AJ47" s="65"/>
      <c r="AK47" s="65"/>
      <c r="AL47" s="78"/>
      <c r="AM47" s="80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78"/>
      <c r="BJ47" s="65"/>
      <c r="BK47" s="67"/>
      <c r="BM47" s="19">
        <f t="shared" si="0"/>
        <v>40</v>
      </c>
    </row>
    <row r="48" spans="1:67" ht="15" customHeight="1">
      <c r="A48" s="66"/>
      <c r="B48" s="80"/>
      <c r="C48" s="65"/>
      <c r="D48" s="65"/>
      <c r="E48" s="65"/>
      <c r="F48" s="65"/>
      <c r="G48" s="65"/>
      <c r="H48" s="65"/>
      <c r="I48" s="65"/>
      <c r="J48" s="65"/>
      <c r="K48" s="78"/>
      <c r="L48" s="80"/>
      <c r="M48" s="65"/>
      <c r="N48" s="65"/>
      <c r="O48" s="65"/>
      <c r="P48" s="65"/>
      <c r="Q48" s="65"/>
      <c r="R48" s="65"/>
      <c r="S48" s="65"/>
      <c r="T48" s="78"/>
      <c r="U48" s="80"/>
      <c r="V48" s="65"/>
      <c r="W48" s="65"/>
      <c r="X48" s="65"/>
      <c r="Y48" s="65"/>
      <c r="Z48" s="65"/>
      <c r="AA48" s="65"/>
      <c r="AB48" s="65"/>
      <c r="AC48" s="78"/>
      <c r="AD48" s="80"/>
      <c r="AE48" s="65"/>
      <c r="AF48" s="65"/>
      <c r="AG48" s="65"/>
      <c r="AH48" s="65"/>
      <c r="AI48" s="65"/>
      <c r="AJ48" s="65"/>
      <c r="AK48" s="65"/>
      <c r="AL48" s="78"/>
      <c r="AM48" s="80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78"/>
      <c r="BJ48" s="65"/>
      <c r="BK48" s="67"/>
      <c r="BM48" s="19">
        <f t="shared" si="0"/>
        <v>41</v>
      </c>
    </row>
    <row r="49" spans="1:67" ht="15" customHeight="1">
      <c r="A49" s="66"/>
      <c r="B49" s="80"/>
      <c r="C49" s="65"/>
      <c r="D49" s="65"/>
      <c r="E49" s="65"/>
      <c r="F49" s="65"/>
      <c r="G49" s="65"/>
      <c r="H49" s="65"/>
      <c r="I49" s="65"/>
      <c r="J49" s="65"/>
      <c r="K49" s="78"/>
      <c r="L49" s="80"/>
      <c r="M49" s="65"/>
      <c r="N49" s="65"/>
      <c r="O49" s="65"/>
      <c r="P49" s="65"/>
      <c r="Q49" s="65"/>
      <c r="R49" s="65"/>
      <c r="S49" s="65"/>
      <c r="T49" s="78"/>
      <c r="U49" s="80"/>
      <c r="V49" s="65"/>
      <c r="W49" s="65"/>
      <c r="X49" s="65"/>
      <c r="Y49" s="65"/>
      <c r="Z49" s="65"/>
      <c r="AA49" s="65"/>
      <c r="AB49" s="65"/>
      <c r="AC49" s="78"/>
      <c r="AD49" s="80"/>
      <c r="AE49" s="65"/>
      <c r="AF49" s="65"/>
      <c r="AG49" s="65"/>
      <c r="AH49" s="65"/>
      <c r="AI49" s="65"/>
      <c r="AJ49" s="65"/>
      <c r="AK49" s="65"/>
      <c r="AL49" s="78"/>
      <c r="AM49" s="80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78"/>
      <c r="BJ49" s="65"/>
      <c r="BK49" s="67"/>
      <c r="BM49" s="19">
        <f t="shared" si="0"/>
        <v>42</v>
      </c>
    </row>
    <row r="50" spans="1:67" ht="15" customHeight="1">
      <c r="A50" s="66"/>
      <c r="B50" s="80"/>
      <c r="C50" s="65"/>
      <c r="D50" s="65"/>
      <c r="E50" s="65"/>
      <c r="F50" s="65"/>
      <c r="G50" s="65"/>
      <c r="H50" s="65"/>
      <c r="I50" s="65"/>
      <c r="J50" s="65"/>
      <c r="K50" s="78"/>
      <c r="L50" s="80"/>
      <c r="M50" s="65"/>
      <c r="N50" s="65"/>
      <c r="O50" s="65"/>
      <c r="P50" s="65"/>
      <c r="Q50" s="65"/>
      <c r="R50" s="65"/>
      <c r="S50" s="65"/>
      <c r="T50" s="78"/>
      <c r="U50" s="80"/>
      <c r="V50" s="65"/>
      <c r="W50" s="65"/>
      <c r="X50" s="65"/>
      <c r="Y50" s="65"/>
      <c r="Z50" s="65"/>
      <c r="AA50" s="65"/>
      <c r="AB50" s="65"/>
      <c r="AC50" s="78"/>
      <c r="AD50" s="80"/>
      <c r="AE50" s="65"/>
      <c r="AF50" s="65"/>
      <c r="AG50" s="65"/>
      <c r="AH50" s="65"/>
      <c r="AI50" s="65"/>
      <c r="AJ50" s="65"/>
      <c r="AK50" s="65"/>
      <c r="AL50" s="78"/>
      <c r="AM50" s="80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78"/>
      <c r="BJ50" s="65"/>
      <c r="BK50" s="67"/>
      <c r="BM50" s="19">
        <f t="shared" si="0"/>
        <v>43</v>
      </c>
    </row>
    <row r="51" spans="1:67" ht="15" customHeight="1">
      <c r="A51" s="66"/>
      <c r="B51" s="80"/>
      <c r="C51" s="65"/>
      <c r="D51" s="65"/>
      <c r="E51" s="65"/>
      <c r="F51" s="65"/>
      <c r="G51" s="65"/>
      <c r="H51" s="65"/>
      <c r="I51" s="65"/>
      <c r="J51" s="65"/>
      <c r="K51" s="78"/>
      <c r="L51" s="80"/>
      <c r="M51" s="65"/>
      <c r="N51" s="65"/>
      <c r="O51" s="65"/>
      <c r="P51" s="65"/>
      <c r="Q51" s="65"/>
      <c r="R51" s="65"/>
      <c r="S51" s="65"/>
      <c r="T51" s="78"/>
      <c r="U51" s="80"/>
      <c r="V51" s="65"/>
      <c r="W51" s="65"/>
      <c r="X51" s="65"/>
      <c r="Y51" s="65"/>
      <c r="Z51" s="65"/>
      <c r="AA51" s="65"/>
      <c r="AB51" s="65"/>
      <c r="AC51" s="78"/>
      <c r="AD51" s="80"/>
      <c r="AE51" s="65"/>
      <c r="AF51" s="65"/>
      <c r="AG51" s="65"/>
      <c r="AH51" s="65"/>
      <c r="AI51" s="65"/>
      <c r="AJ51" s="65"/>
      <c r="AK51" s="65"/>
      <c r="AL51" s="78"/>
      <c r="AM51" s="80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78"/>
      <c r="BJ51" s="65"/>
      <c r="BK51" s="67"/>
      <c r="BM51" s="19">
        <f t="shared" ref="BM51:BM70" si="1">IF(BM50=50,1,BM50+1)</f>
        <v>44</v>
      </c>
    </row>
    <row r="52" spans="1:67" ht="15" customHeight="1">
      <c r="A52" s="66"/>
      <c r="B52" s="80"/>
      <c r="C52" s="65"/>
      <c r="D52" s="65"/>
      <c r="E52" s="65"/>
      <c r="F52" s="65"/>
      <c r="G52" s="65"/>
      <c r="H52" s="65"/>
      <c r="I52" s="65"/>
      <c r="J52" s="65"/>
      <c r="K52" s="78"/>
      <c r="L52" s="80"/>
      <c r="M52" s="65"/>
      <c r="N52" s="65"/>
      <c r="O52" s="65"/>
      <c r="P52" s="65"/>
      <c r="Q52" s="65"/>
      <c r="R52" s="65"/>
      <c r="S52" s="65"/>
      <c r="T52" s="78"/>
      <c r="U52" s="80"/>
      <c r="V52" s="65"/>
      <c r="W52" s="65"/>
      <c r="X52" s="65"/>
      <c r="Y52" s="65"/>
      <c r="Z52" s="65"/>
      <c r="AA52" s="65"/>
      <c r="AB52" s="65"/>
      <c r="AC52" s="78"/>
      <c r="AD52" s="80"/>
      <c r="AE52" s="65"/>
      <c r="AF52" s="65"/>
      <c r="AG52" s="65"/>
      <c r="AH52" s="65"/>
      <c r="AI52" s="65"/>
      <c r="AJ52" s="65"/>
      <c r="AK52" s="65"/>
      <c r="AL52" s="78"/>
      <c r="AM52" s="80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78"/>
      <c r="BJ52" s="65"/>
      <c r="BK52" s="67"/>
      <c r="BM52" s="19">
        <f t="shared" si="1"/>
        <v>45</v>
      </c>
    </row>
    <row r="53" spans="1:67" ht="15" customHeight="1">
      <c r="A53" s="66"/>
      <c r="B53" s="80"/>
      <c r="C53" s="65"/>
      <c r="D53" s="65"/>
      <c r="E53" s="65"/>
      <c r="F53" s="65"/>
      <c r="G53" s="65"/>
      <c r="H53" s="65"/>
      <c r="I53" s="65"/>
      <c r="J53" s="65"/>
      <c r="K53" s="78"/>
      <c r="L53" s="80"/>
      <c r="M53" s="65"/>
      <c r="N53" s="65"/>
      <c r="O53" s="65"/>
      <c r="P53" s="65"/>
      <c r="Q53" s="65"/>
      <c r="R53" s="65"/>
      <c r="S53" s="65"/>
      <c r="T53" s="78"/>
      <c r="U53" s="80"/>
      <c r="V53" s="65"/>
      <c r="W53" s="65"/>
      <c r="X53" s="65"/>
      <c r="Y53" s="65"/>
      <c r="Z53" s="65"/>
      <c r="AA53" s="65"/>
      <c r="AB53" s="65"/>
      <c r="AC53" s="78"/>
      <c r="AD53" s="80"/>
      <c r="AE53" s="65"/>
      <c r="AF53" s="65"/>
      <c r="AG53" s="65"/>
      <c r="AH53" s="65"/>
      <c r="AI53" s="65"/>
      <c r="AJ53" s="65"/>
      <c r="AK53" s="65"/>
      <c r="AL53" s="78"/>
      <c r="AM53" s="80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78"/>
      <c r="BJ53" s="65"/>
      <c r="BK53" s="67"/>
      <c r="BM53" s="19">
        <f t="shared" si="1"/>
        <v>46</v>
      </c>
    </row>
    <row r="54" spans="1:67" ht="15" customHeight="1">
      <c r="A54" s="66"/>
      <c r="B54" s="80"/>
      <c r="C54" s="65"/>
      <c r="D54" s="65"/>
      <c r="E54" s="65"/>
      <c r="F54" s="65"/>
      <c r="G54" s="65"/>
      <c r="H54" s="65"/>
      <c r="I54" s="65"/>
      <c r="J54" s="65"/>
      <c r="K54" s="78"/>
      <c r="L54" s="80"/>
      <c r="M54" s="65"/>
      <c r="N54" s="65"/>
      <c r="O54" s="65"/>
      <c r="P54" s="65"/>
      <c r="Q54" s="65"/>
      <c r="R54" s="65"/>
      <c r="S54" s="65"/>
      <c r="T54" s="78"/>
      <c r="U54" s="80"/>
      <c r="V54" s="65"/>
      <c r="W54" s="65"/>
      <c r="X54" s="65"/>
      <c r="Y54" s="65"/>
      <c r="Z54" s="65"/>
      <c r="AA54" s="65"/>
      <c r="AB54" s="65"/>
      <c r="AC54" s="78"/>
      <c r="AD54" s="80"/>
      <c r="AE54" s="65"/>
      <c r="AF54" s="65"/>
      <c r="AG54" s="65"/>
      <c r="AH54" s="65"/>
      <c r="AI54" s="65"/>
      <c r="AJ54" s="65"/>
      <c r="AK54" s="65"/>
      <c r="AL54" s="78"/>
      <c r="AM54" s="80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78"/>
      <c r="BJ54" s="65"/>
      <c r="BK54" s="67"/>
      <c r="BM54" s="19">
        <f t="shared" si="1"/>
        <v>47</v>
      </c>
    </row>
    <row r="55" spans="1:67" ht="15" customHeight="1">
      <c r="A55" s="66"/>
      <c r="B55" s="80"/>
      <c r="C55" s="65"/>
      <c r="D55" s="65"/>
      <c r="E55" s="65"/>
      <c r="F55" s="65"/>
      <c r="G55" s="65"/>
      <c r="H55" s="65"/>
      <c r="I55" s="65"/>
      <c r="J55" s="65"/>
      <c r="K55" s="78"/>
      <c r="L55" s="80"/>
      <c r="M55" s="65"/>
      <c r="N55" s="65"/>
      <c r="O55" s="65"/>
      <c r="P55" s="65"/>
      <c r="Q55" s="65"/>
      <c r="R55" s="65"/>
      <c r="S55" s="65"/>
      <c r="T55" s="78"/>
      <c r="U55" s="80"/>
      <c r="V55" s="65"/>
      <c r="W55" s="65"/>
      <c r="X55" s="65"/>
      <c r="Y55" s="65"/>
      <c r="Z55" s="65"/>
      <c r="AA55" s="65"/>
      <c r="AB55" s="65"/>
      <c r="AC55" s="78"/>
      <c r="AD55" s="80"/>
      <c r="AE55" s="65"/>
      <c r="AF55" s="65"/>
      <c r="AG55" s="65"/>
      <c r="AH55" s="65"/>
      <c r="AI55" s="65"/>
      <c r="AJ55" s="65"/>
      <c r="AK55" s="65"/>
      <c r="AL55" s="78"/>
      <c r="AM55" s="80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78"/>
      <c r="BJ55" s="65"/>
      <c r="BK55" s="67"/>
      <c r="BM55" s="19">
        <f t="shared" si="1"/>
        <v>48</v>
      </c>
    </row>
    <row r="56" spans="1:67" ht="15" customHeight="1">
      <c r="A56" s="66"/>
      <c r="B56" s="80"/>
      <c r="C56" s="65"/>
      <c r="D56" s="65"/>
      <c r="E56" s="65"/>
      <c r="F56" s="65"/>
      <c r="G56" s="65"/>
      <c r="H56" s="65"/>
      <c r="I56" s="65"/>
      <c r="J56" s="65"/>
      <c r="K56" s="78"/>
      <c r="L56" s="80"/>
      <c r="M56" s="65"/>
      <c r="N56" s="65"/>
      <c r="O56" s="65"/>
      <c r="P56" s="65"/>
      <c r="Q56" s="65"/>
      <c r="R56" s="65"/>
      <c r="S56" s="65"/>
      <c r="T56" s="78"/>
      <c r="U56" s="80"/>
      <c r="V56" s="65"/>
      <c r="W56" s="65"/>
      <c r="X56" s="65"/>
      <c r="Y56" s="65"/>
      <c r="Z56" s="65"/>
      <c r="AA56" s="65"/>
      <c r="AB56" s="65"/>
      <c r="AC56" s="78"/>
      <c r="AD56" s="80"/>
      <c r="AE56" s="65"/>
      <c r="AF56" s="65"/>
      <c r="AG56" s="65"/>
      <c r="AH56" s="65"/>
      <c r="AI56" s="65"/>
      <c r="AJ56" s="65"/>
      <c r="AK56" s="65"/>
      <c r="AL56" s="78"/>
      <c r="AM56" s="80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78"/>
      <c r="BJ56" s="65"/>
      <c r="BK56" s="67"/>
      <c r="BM56" s="19">
        <f t="shared" si="1"/>
        <v>49</v>
      </c>
    </row>
    <row r="57" spans="1:67" ht="15" customHeight="1">
      <c r="A57" s="66"/>
      <c r="B57" s="80"/>
      <c r="C57" s="65"/>
      <c r="D57" s="65"/>
      <c r="E57" s="65"/>
      <c r="F57" s="65"/>
      <c r="G57" s="65"/>
      <c r="H57" s="65"/>
      <c r="I57" s="65"/>
      <c r="J57" s="65"/>
      <c r="K57" s="78"/>
      <c r="L57" s="80"/>
      <c r="M57" s="65"/>
      <c r="N57" s="65"/>
      <c r="O57" s="65"/>
      <c r="P57" s="65"/>
      <c r="Q57" s="65"/>
      <c r="R57" s="65"/>
      <c r="S57" s="65"/>
      <c r="T57" s="78"/>
      <c r="U57" s="80"/>
      <c r="V57" s="65"/>
      <c r="W57" s="65"/>
      <c r="X57" s="65"/>
      <c r="Y57" s="65"/>
      <c r="Z57" s="65"/>
      <c r="AA57" s="65"/>
      <c r="AB57" s="65"/>
      <c r="AC57" s="78"/>
      <c r="AD57" s="80"/>
      <c r="AE57" s="65"/>
      <c r="AF57" s="65"/>
      <c r="AG57" s="65"/>
      <c r="AH57" s="65"/>
      <c r="AI57" s="65"/>
      <c r="AJ57" s="65"/>
      <c r="AK57" s="65"/>
      <c r="AL57" s="78"/>
      <c r="AM57" s="80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78"/>
      <c r="BJ57" s="65"/>
      <c r="BK57" s="67"/>
      <c r="BM57" s="19">
        <f t="shared" si="1"/>
        <v>50</v>
      </c>
    </row>
    <row r="58" spans="1:67" ht="15" customHeight="1">
      <c r="A58" s="66"/>
      <c r="B58" s="80"/>
      <c r="C58" s="65"/>
      <c r="D58" s="65"/>
      <c r="E58" s="65"/>
      <c r="F58" s="65"/>
      <c r="G58" s="65"/>
      <c r="H58" s="65"/>
      <c r="I58" s="65"/>
      <c r="J58" s="65"/>
      <c r="K58" s="78"/>
      <c r="L58" s="80"/>
      <c r="M58" s="65"/>
      <c r="N58" s="65"/>
      <c r="O58" s="65"/>
      <c r="P58" s="65"/>
      <c r="Q58" s="65"/>
      <c r="R58" s="65"/>
      <c r="S58" s="65"/>
      <c r="T58" s="78"/>
      <c r="U58" s="80"/>
      <c r="V58" s="65"/>
      <c r="W58" s="65"/>
      <c r="X58" s="65"/>
      <c r="Y58" s="65"/>
      <c r="Z58" s="65"/>
      <c r="AA58" s="65"/>
      <c r="AB58" s="65"/>
      <c r="AC58" s="78"/>
      <c r="AD58" s="80"/>
      <c r="AE58" s="65"/>
      <c r="AF58" s="65"/>
      <c r="AG58" s="65"/>
      <c r="AH58" s="65"/>
      <c r="AI58" s="65"/>
      <c r="AJ58" s="65"/>
      <c r="AK58" s="65"/>
      <c r="AL58" s="78"/>
      <c r="AM58" s="80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78"/>
      <c r="BJ58" s="65"/>
      <c r="BK58" s="67"/>
      <c r="BM58" s="19">
        <f t="shared" si="1"/>
        <v>1</v>
      </c>
    </row>
    <row r="59" spans="1:67" ht="15" customHeight="1">
      <c r="A59" s="66"/>
      <c r="B59" s="80"/>
      <c r="C59" s="65"/>
      <c r="D59" s="65"/>
      <c r="E59" s="65"/>
      <c r="F59" s="65"/>
      <c r="G59" s="65"/>
      <c r="H59" s="65"/>
      <c r="I59" s="65"/>
      <c r="J59" s="65"/>
      <c r="K59" s="78"/>
      <c r="L59" s="80"/>
      <c r="M59" s="65"/>
      <c r="N59" s="65"/>
      <c r="O59" s="65"/>
      <c r="P59" s="65"/>
      <c r="Q59" s="65"/>
      <c r="R59" s="65"/>
      <c r="S59" s="65"/>
      <c r="T59" s="78"/>
      <c r="U59" s="80"/>
      <c r="V59" s="65"/>
      <c r="W59" s="65"/>
      <c r="X59" s="65"/>
      <c r="Y59" s="65"/>
      <c r="Z59" s="65"/>
      <c r="AA59" s="65"/>
      <c r="AB59" s="65"/>
      <c r="AC59" s="78"/>
      <c r="AD59" s="80"/>
      <c r="AE59" s="65"/>
      <c r="AF59" s="65"/>
      <c r="AG59" s="65"/>
      <c r="AH59" s="65"/>
      <c r="AI59" s="65"/>
      <c r="AJ59" s="65"/>
      <c r="AK59" s="65"/>
      <c r="AL59" s="78"/>
      <c r="AM59" s="80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78"/>
      <c r="BJ59" s="65"/>
      <c r="BK59" s="67"/>
      <c r="BM59" s="19">
        <f t="shared" si="1"/>
        <v>2</v>
      </c>
    </row>
    <row r="60" spans="1:67" ht="15" customHeight="1">
      <c r="A60" s="66"/>
      <c r="B60" s="80"/>
      <c r="C60" s="65"/>
      <c r="D60" s="65"/>
      <c r="E60" s="65"/>
      <c r="F60" s="65"/>
      <c r="G60" s="65"/>
      <c r="H60" s="65"/>
      <c r="I60" s="65"/>
      <c r="J60" s="65"/>
      <c r="K60" s="78"/>
      <c r="L60" s="80"/>
      <c r="M60" s="65"/>
      <c r="N60" s="65"/>
      <c r="O60" s="65"/>
      <c r="P60" s="65"/>
      <c r="Q60" s="65"/>
      <c r="R60" s="65"/>
      <c r="S60" s="65"/>
      <c r="T60" s="78"/>
      <c r="U60" s="80"/>
      <c r="V60" s="65"/>
      <c r="W60" s="65"/>
      <c r="X60" s="65"/>
      <c r="Y60" s="65"/>
      <c r="Z60" s="65"/>
      <c r="AA60" s="65"/>
      <c r="AB60" s="65"/>
      <c r="AC60" s="78"/>
      <c r="AD60" s="80"/>
      <c r="AE60" s="65"/>
      <c r="AF60" s="65"/>
      <c r="AG60" s="65"/>
      <c r="AH60" s="65"/>
      <c r="AI60" s="65"/>
      <c r="AJ60" s="65"/>
      <c r="AK60" s="65"/>
      <c r="AL60" s="78"/>
      <c r="AM60" s="80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78"/>
      <c r="BJ60" s="65"/>
      <c r="BK60" s="67"/>
      <c r="BM60" s="19">
        <f t="shared" si="1"/>
        <v>3</v>
      </c>
    </row>
    <row r="61" spans="1:67" ht="15" customHeight="1">
      <c r="A61" s="66"/>
      <c r="B61" s="80"/>
      <c r="C61" s="65"/>
      <c r="D61" s="65"/>
      <c r="E61" s="65"/>
      <c r="F61" s="65"/>
      <c r="G61" s="65"/>
      <c r="H61" s="65"/>
      <c r="I61" s="65"/>
      <c r="J61" s="65"/>
      <c r="K61" s="78"/>
      <c r="L61" s="80"/>
      <c r="M61" s="65"/>
      <c r="N61" s="65"/>
      <c r="O61" s="65"/>
      <c r="P61" s="65"/>
      <c r="Q61" s="65"/>
      <c r="R61" s="65"/>
      <c r="S61" s="65"/>
      <c r="T61" s="78"/>
      <c r="U61" s="80"/>
      <c r="V61" s="65"/>
      <c r="W61" s="65"/>
      <c r="X61" s="65"/>
      <c r="Y61" s="65"/>
      <c r="Z61" s="65"/>
      <c r="AA61" s="65"/>
      <c r="AB61" s="65"/>
      <c r="AC61" s="78"/>
      <c r="AD61" s="80"/>
      <c r="AE61" s="65"/>
      <c r="AF61" s="65"/>
      <c r="AG61" s="65"/>
      <c r="AH61" s="65"/>
      <c r="AI61" s="65"/>
      <c r="AJ61" s="65"/>
      <c r="AK61" s="65"/>
      <c r="AL61" s="78"/>
      <c r="AM61" s="80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78"/>
      <c r="BJ61" s="65"/>
      <c r="BK61" s="67"/>
      <c r="BM61" s="19">
        <f t="shared" si="1"/>
        <v>4</v>
      </c>
    </row>
    <row r="62" spans="1:67" ht="15" customHeight="1">
      <c r="A62" s="66"/>
      <c r="B62" s="80"/>
      <c r="C62" s="65"/>
      <c r="D62" s="65"/>
      <c r="E62" s="65"/>
      <c r="F62" s="65"/>
      <c r="G62" s="65"/>
      <c r="H62" s="65"/>
      <c r="I62" s="65"/>
      <c r="J62" s="65"/>
      <c r="K62" s="78"/>
      <c r="L62" s="80"/>
      <c r="M62" s="65"/>
      <c r="N62" s="65"/>
      <c r="O62" s="65"/>
      <c r="P62" s="65"/>
      <c r="Q62" s="65"/>
      <c r="R62" s="65"/>
      <c r="S62" s="65"/>
      <c r="T62" s="78"/>
      <c r="U62" s="80"/>
      <c r="V62" s="65"/>
      <c r="W62" s="65"/>
      <c r="X62" s="65"/>
      <c r="Y62" s="65"/>
      <c r="Z62" s="65"/>
      <c r="AA62" s="65"/>
      <c r="AB62" s="65"/>
      <c r="AC62" s="78"/>
      <c r="AD62" s="80"/>
      <c r="AE62" s="65"/>
      <c r="AF62" s="65"/>
      <c r="AG62" s="65"/>
      <c r="AH62" s="65"/>
      <c r="AI62" s="65"/>
      <c r="AJ62" s="65"/>
      <c r="AK62" s="65"/>
      <c r="AL62" s="78"/>
      <c r="AM62" s="80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78"/>
      <c r="BJ62" s="65"/>
      <c r="BK62" s="67"/>
      <c r="BM62" s="19">
        <f t="shared" si="1"/>
        <v>5</v>
      </c>
      <c r="BO62" s="65"/>
    </row>
    <row r="63" spans="1:67" ht="15" customHeight="1">
      <c r="A63" s="66"/>
      <c r="B63" s="80"/>
      <c r="C63" s="65"/>
      <c r="D63" s="65"/>
      <c r="E63" s="65"/>
      <c r="F63" s="65"/>
      <c r="G63" s="65"/>
      <c r="H63" s="65"/>
      <c r="I63" s="65"/>
      <c r="J63" s="65"/>
      <c r="K63" s="78"/>
      <c r="L63" s="80"/>
      <c r="M63" s="65"/>
      <c r="N63" s="65"/>
      <c r="O63" s="65"/>
      <c r="P63" s="65"/>
      <c r="Q63" s="65"/>
      <c r="R63" s="65"/>
      <c r="S63" s="65"/>
      <c r="T63" s="78"/>
      <c r="U63" s="80"/>
      <c r="V63" s="65"/>
      <c r="W63" s="65"/>
      <c r="X63" s="65"/>
      <c r="Y63" s="65"/>
      <c r="Z63" s="65"/>
      <c r="AA63" s="65"/>
      <c r="AB63" s="65"/>
      <c r="AC63" s="78"/>
      <c r="AD63" s="80"/>
      <c r="AE63" s="65"/>
      <c r="AF63" s="65"/>
      <c r="AG63" s="65"/>
      <c r="AH63" s="65"/>
      <c r="AI63" s="65"/>
      <c r="AJ63" s="65"/>
      <c r="AK63" s="65"/>
      <c r="AL63" s="78"/>
      <c r="AM63" s="80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78"/>
      <c r="BJ63" s="65"/>
      <c r="BK63" s="67"/>
      <c r="BM63" s="19">
        <f t="shared" si="1"/>
        <v>6</v>
      </c>
    </row>
    <row r="64" spans="1:67" ht="15" customHeight="1">
      <c r="A64" s="66"/>
      <c r="B64" s="80"/>
      <c r="C64" s="65"/>
      <c r="D64" s="65"/>
      <c r="E64" s="65"/>
      <c r="F64" s="65"/>
      <c r="G64" s="65"/>
      <c r="H64" s="65"/>
      <c r="I64" s="65"/>
      <c r="J64" s="65"/>
      <c r="K64" s="78"/>
      <c r="L64" s="80"/>
      <c r="M64" s="65"/>
      <c r="N64" s="65"/>
      <c r="O64" s="65"/>
      <c r="P64" s="65"/>
      <c r="Q64" s="65"/>
      <c r="R64" s="65"/>
      <c r="S64" s="65"/>
      <c r="T64" s="78"/>
      <c r="U64" s="80"/>
      <c r="V64" s="65"/>
      <c r="W64" s="65"/>
      <c r="X64" s="65"/>
      <c r="Y64" s="65"/>
      <c r="Z64" s="65"/>
      <c r="AA64" s="65"/>
      <c r="AB64" s="65"/>
      <c r="AC64" s="78"/>
      <c r="AD64" s="80"/>
      <c r="AE64" s="65"/>
      <c r="AF64" s="65"/>
      <c r="AG64" s="65"/>
      <c r="AH64" s="65"/>
      <c r="AI64" s="65"/>
      <c r="AJ64" s="65"/>
      <c r="AK64" s="65"/>
      <c r="AL64" s="78"/>
      <c r="AM64" s="80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78"/>
      <c r="BJ64" s="65"/>
      <c r="BK64" s="67"/>
      <c r="BM64" s="19">
        <f t="shared" si="1"/>
        <v>7</v>
      </c>
    </row>
    <row r="65" spans="1:65" ht="15" customHeight="1">
      <c r="A65" s="66"/>
      <c r="B65" s="80"/>
      <c r="C65" s="65"/>
      <c r="D65" s="65"/>
      <c r="E65" s="65"/>
      <c r="F65" s="65"/>
      <c r="G65" s="65"/>
      <c r="H65" s="65"/>
      <c r="I65" s="65"/>
      <c r="J65" s="65"/>
      <c r="K65" s="78"/>
      <c r="L65" s="80"/>
      <c r="M65" s="65"/>
      <c r="N65" s="65"/>
      <c r="O65" s="65"/>
      <c r="P65" s="65"/>
      <c r="Q65" s="65"/>
      <c r="R65" s="65"/>
      <c r="S65" s="65"/>
      <c r="T65" s="78"/>
      <c r="U65" s="80"/>
      <c r="V65" s="65"/>
      <c r="W65" s="65"/>
      <c r="X65" s="65"/>
      <c r="Y65" s="65"/>
      <c r="Z65" s="65"/>
      <c r="AA65" s="65"/>
      <c r="AB65" s="65"/>
      <c r="AC65" s="78"/>
      <c r="AD65" s="80"/>
      <c r="AE65" s="65"/>
      <c r="AF65" s="65"/>
      <c r="AG65" s="65"/>
      <c r="AH65" s="65"/>
      <c r="AI65" s="65"/>
      <c r="AJ65" s="65"/>
      <c r="AK65" s="65"/>
      <c r="AL65" s="78"/>
      <c r="AM65" s="80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78"/>
      <c r="BJ65" s="65"/>
      <c r="BK65" s="67"/>
      <c r="BM65" s="19">
        <f t="shared" si="1"/>
        <v>8</v>
      </c>
    </row>
    <row r="66" spans="1:65" ht="15" customHeight="1">
      <c r="A66" s="66"/>
      <c r="B66" s="80"/>
      <c r="C66" s="65"/>
      <c r="D66" s="65"/>
      <c r="E66" s="65"/>
      <c r="F66" s="65"/>
      <c r="G66" s="65"/>
      <c r="H66" s="65"/>
      <c r="I66" s="65"/>
      <c r="J66" s="65"/>
      <c r="K66" s="78"/>
      <c r="L66" s="80"/>
      <c r="M66" s="65"/>
      <c r="N66" s="65"/>
      <c r="O66" s="65"/>
      <c r="P66" s="65"/>
      <c r="Q66" s="65"/>
      <c r="R66" s="65"/>
      <c r="S66" s="65"/>
      <c r="T66" s="78"/>
      <c r="U66" s="80"/>
      <c r="V66" s="65"/>
      <c r="W66" s="65"/>
      <c r="X66" s="65"/>
      <c r="Y66" s="65"/>
      <c r="Z66" s="65"/>
      <c r="AA66" s="65"/>
      <c r="AB66" s="65"/>
      <c r="AC66" s="78"/>
      <c r="AD66" s="80"/>
      <c r="AE66" s="65"/>
      <c r="AF66" s="65"/>
      <c r="AG66" s="65"/>
      <c r="AH66" s="65"/>
      <c r="AI66" s="65"/>
      <c r="AJ66" s="65"/>
      <c r="AK66" s="65"/>
      <c r="AL66" s="78"/>
      <c r="AM66" s="80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78"/>
      <c r="BJ66" s="65"/>
      <c r="BK66" s="67"/>
      <c r="BM66" s="19">
        <f t="shared" si="1"/>
        <v>9</v>
      </c>
    </row>
    <row r="67" spans="1:65" ht="15" customHeight="1">
      <c r="A67" s="66"/>
      <c r="B67" s="80"/>
      <c r="C67" s="65"/>
      <c r="D67" s="65"/>
      <c r="E67" s="65"/>
      <c r="F67" s="65"/>
      <c r="G67" s="65"/>
      <c r="H67" s="65"/>
      <c r="I67" s="65"/>
      <c r="J67" s="65"/>
      <c r="K67" s="78"/>
      <c r="L67" s="80"/>
      <c r="M67" s="65"/>
      <c r="N67" s="65"/>
      <c r="O67" s="65"/>
      <c r="P67" s="65"/>
      <c r="Q67" s="65"/>
      <c r="R67" s="65"/>
      <c r="S67" s="65"/>
      <c r="T67" s="78"/>
      <c r="U67" s="80"/>
      <c r="V67" s="65"/>
      <c r="W67" s="65"/>
      <c r="X67" s="65"/>
      <c r="Y67" s="65"/>
      <c r="Z67" s="65"/>
      <c r="AA67" s="65"/>
      <c r="AB67" s="65"/>
      <c r="AC67" s="78"/>
      <c r="AD67" s="80"/>
      <c r="AE67" s="65"/>
      <c r="AF67" s="65"/>
      <c r="AG67" s="65"/>
      <c r="AH67" s="65"/>
      <c r="AI67" s="65"/>
      <c r="AJ67" s="65"/>
      <c r="AK67" s="65"/>
      <c r="AL67" s="78"/>
      <c r="AM67" s="80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78"/>
      <c r="BJ67" s="65"/>
      <c r="BK67" s="67"/>
      <c r="BM67" s="19">
        <f t="shared" si="1"/>
        <v>10</v>
      </c>
    </row>
    <row r="68" spans="1:65" ht="15" customHeight="1">
      <c r="A68" s="66"/>
      <c r="B68" s="80"/>
      <c r="C68" s="65"/>
      <c r="D68" s="65"/>
      <c r="E68" s="65"/>
      <c r="F68" s="65"/>
      <c r="G68" s="65"/>
      <c r="H68" s="65"/>
      <c r="I68" s="65"/>
      <c r="J68" s="65"/>
      <c r="K68" s="78"/>
      <c r="L68" s="80"/>
      <c r="M68" s="65"/>
      <c r="N68" s="65"/>
      <c r="O68" s="65"/>
      <c r="P68" s="65"/>
      <c r="Q68" s="65"/>
      <c r="R68" s="65"/>
      <c r="S68" s="65"/>
      <c r="T68" s="78"/>
      <c r="U68" s="80"/>
      <c r="V68" s="65"/>
      <c r="W68" s="65"/>
      <c r="X68" s="65"/>
      <c r="Y68" s="65"/>
      <c r="Z68" s="65"/>
      <c r="AA68" s="65"/>
      <c r="AB68" s="65"/>
      <c r="AC68" s="78"/>
      <c r="AD68" s="80"/>
      <c r="AE68" s="65"/>
      <c r="AF68" s="65"/>
      <c r="AG68" s="65"/>
      <c r="AH68" s="65"/>
      <c r="AI68" s="65"/>
      <c r="AJ68" s="65"/>
      <c r="AK68" s="65"/>
      <c r="AL68" s="78"/>
      <c r="AM68" s="80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78"/>
      <c r="BJ68" s="65"/>
      <c r="BK68" s="67"/>
      <c r="BM68" s="19">
        <f t="shared" si="1"/>
        <v>11</v>
      </c>
    </row>
    <row r="69" spans="1:65" ht="15" customHeight="1">
      <c r="A69" s="66"/>
      <c r="B69" s="80"/>
      <c r="C69" s="65"/>
      <c r="D69" s="65"/>
      <c r="E69" s="65"/>
      <c r="F69" s="65"/>
      <c r="G69" s="65"/>
      <c r="H69" s="65"/>
      <c r="I69" s="65"/>
      <c r="J69" s="65"/>
      <c r="K69" s="78"/>
      <c r="L69" s="80"/>
      <c r="M69" s="65"/>
      <c r="N69" s="65"/>
      <c r="O69" s="65"/>
      <c r="P69" s="65"/>
      <c r="Q69" s="65"/>
      <c r="R69" s="65"/>
      <c r="S69" s="65"/>
      <c r="T69" s="78"/>
      <c r="U69" s="80"/>
      <c r="V69" s="65"/>
      <c r="W69" s="65"/>
      <c r="X69" s="65"/>
      <c r="Y69" s="65"/>
      <c r="Z69" s="65"/>
      <c r="AA69" s="65"/>
      <c r="AB69" s="65"/>
      <c r="AC69" s="78"/>
      <c r="AD69" s="80"/>
      <c r="AE69" s="65"/>
      <c r="AF69" s="65"/>
      <c r="AG69" s="65"/>
      <c r="AH69" s="65"/>
      <c r="AI69" s="65"/>
      <c r="AJ69" s="65"/>
      <c r="AK69" s="65"/>
      <c r="AL69" s="78"/>
      <c r="AM69" s="80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78"/>
      <c r="BJ69" s="65"/>
      <c r="BK69" s="67"/>
      <c r="BM69" s="19">
        <f t="shared" si="1"/>
        <v>12</v>
      </c>
    </row>
    <row r="70" spans="1:65" ht="15" customHeight="1">
      <c r="A70" s="66"/>
      <c r="B70" s="80"/>
      <c r="C70" s="65"/>
      <c r="D70" s="65"/>
      <c r="E70" s="65"/>
      <c r="F70" s="65"/>
      <c r="G70" s="65"/>
      <c r="H70" s="65"/>
      <c r="I70" s="65"/>
      <c r="J70" s="65"/>
      <c r="K70" s="78"/>
      <c r="L70" s="80"/>
      <c r="M70" s="65"/>
      <c r="N70" s="65"/>
      <c r="O70" s="65"/>
      <c r="P70" s="65"/>
      <c r="Q70" s="65"/>
      <c r="R70" s="65"/>
      <c r="S70" s="65"/>
      <c r="T70" s="78"/>
      <c r="U70" s="80"/>
      <c r="V70" s="65"/>
      <c r="W70" s="65"/>
      <c r="X70" s="65"/>
      <c r="Y70" s="65"/>
      <c r="Z70" s="65"/>
      <c r="AA70" s="65"/>
      <c r="AB70" s="65"/>
      <c r="AC70" s="78"/>
      <c r="AD70" s="80"/>
      <c r="AE70" s="65"/>
      <c r="AF70" s="65"/>
      <c r="AG70" s="65"/>
      <c r="AH70" s="65"/>
      <c r="AI70" s="65"/>
      <c r="AJ70" s="65"/>
      <c r="AK70" s="65"/>
      <c r="AL70" s="78"/>
      <c r="AM70" s="80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78"/>
      <c r="BJ70" s="65"/>
      <c r="BK70" s="67"/>
      <c r="BM70" s="19">
        <f t="shared" si="1"/>
        <v>13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7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81A2-D938-4BF6-A7EA-6C2E70755656}">
  <sheetPr codeName="Sheet1">
    <pageSetUpPr fitToPage="1"/>
  </sheetPr>
  <dimension ref="B2:T40"/>
  <sheetViews>
    <sheetView view="pageBreakPreview" zoomScale="85" zoomScaleNormal="85" zoomScaleSheetLayoutView="85" workbookViewId="0"/>
  </sheetViews>
  <sheetFormatPr defaultRowHeight="15"/>
  <cols>
    <col min="1" max="4" width="9.77734375" style="21" customWidth="1"/>
    <col min="5" max="5" width="2.6640625" style="21" customWidth="1"/>
    <col min="6" max="6" width="5.44140625" style="21" customWidth="1"/>
    <col min="7" max="7" width="7.77734375" style="21" customWidth="1"/>
    <col min="8" max="8" width="13.6640625" style="21" bestFit="1" customWidth="1"/>
    <col min="9" max="9" width="6.33203125" style="21" bestFit="1" customWidth="1"/>
    <col min="10" max="10" width="9.88671875" style="21" bestFit="1" customWidth="1"/>
    <col min="11" max="11" width="12.88671875" style="21" bestFit="1" customWidth="1"/>
    <col min="12" max="12" width="15.88671875" style="21" bestFit="1" customWidth="1"/>
    <col min="13" max="13" width="14.109375" style="21" bestFit="1" customWidth="1"/>
    <col min="14" max="16" width="6.33203125" style="21" customWidth="1"/>
    <col min="17" max="17" width="15.21875" style="21" customWidth="1"/>
    <col min="18" max="19" width="9.77734375" style="21" customWidth="1"/>
    <col min="20" max="20" width="8.5546875" style="21" customWidth="1"/>
    <col min="21" max="21" width="8.88671875" style="21"/>
    <col min="22" max="25" width="3.109375" style="21" bestFit="1" customWidth="1"/>
    <col min="26" max="16384" width="8.88671875" style="21"/>
  </cols>
  <sheetData>
    <row r="2" spans="2:20">
      <c r="K2" s="21" t="s">
        <v>23</v>
      </c>
    </row>
    <row r="3" spans="2:20">
      <c r="D3" s="22"/>
    </row>
    <row r="9" spans="2:20" ht="15.75" thickBot="1"/>
    <row r="10" spans="2:20" s="25" customFormat="1" ht="19.5" customHeight="1">
      <c r="B10" s="238" t="s">
        <v>35</v>
      </c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40"/>
    </row>
    <row r="11" spans="2:20" s="25" customFormat="1" ht="15.75">
      <c r="B11" s="241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3"/>
    </row>
    <row r="12" spans="2:20" s="25" customFormat="1" ht="15.75">
      <c r="B12" s="26" t="s">
        <v>36</v>
      </c>
      <c r="D12" s="27"/>
      <c r="Q12" s="27"/>
    </row>
    <row r="13" spans="2:20" s="25" customFormat="1" ht="16.5" customHeight="1">
      <c r="B13" s="28" t="s">
        <v>37</v>
      </c>
      <c r="C13" s="29"/>
      <c r="D13" s="30"/>
      <c r="F13" s="244" t="s">
        <v>63</v>
      </c>
      <c r="G13" s="246" t="s">
        <v>56</v>
      </c>
      <c r="H13" s="246" t="s">
        <v>64</v>
      </c>
      <c r="I13" s="246" t="s">
        <v>58</v>
      </c>
      <c r="J13" s="246" t="s">
        <v>57</v>
      </c>
      <c r="K13" s="248" t="s">
        <v>65</v>
      </c>
      <c r="L13" s="248" t="s">
        <v>66</v>
      </c>
      <c r="M13" s="248" t="s">
        <v>52</v>
      </c>
      <c r="N13" s="250" t="s">
        <v>38</v>
      </c>
      <c r="O13" s="250"/>
      <c r="P13" s="250"/>
      <c r="Q13" s="251"/>
      <c r="T13" s="23" t="s">
        <v>29</v>
      </c>
    </row>
    <row r="14" spans="2:20" s="25" customFormat="1" ht="15.75">
      <c r="B14" s="31"/>
      <c r="C14" s="25" t="s">
        <v>39</v>
      </c>
      <c r="D14" s="27"/>
      <c r="F14" s="245"/>
      <c r="G14" s="247"/>
      <c r="H14" s="247"/>
      <c r="I14" s="247"/>
      <c r="J14" s="247"/>
      <c r="K14" s="249"/>
      <c r="L14" s="249"/>
      <c r="M14" s="249"/>
      <c r="N14" s="250"/>
      <c r="O14" s="250"/>
      <c r="P14" s="250"/>
      <c r="Q14" s="251"/>
      <c r="T14" s="24" t="s">
        <v>31</v>
      </c>
    </row>
    <row r="15" spans="2:20" s="25" customFormat="1" ht="15.75">
      <c r="B15" s="31"/>
      <c r="C15" s="25" t="s">
        <v>40</v>
      </c>
      <c r="D15" s="27"/>
      <c r="F15" s="32"/>
      <c r="G15" s="33" t="s">
        <v>41</v>
      </c>
      <c r="H15" s="33" t="s">
        <v>42</v>
      </c>
      <c r="I15" s="45">
        <v>301</v>
      </c>
      <c r="J15" s="33">
        <v>1123</v>
      </c>
      <c r="K15" s="34">
        <v>45512</v>
      </c>
      <c r="L15" s="33" t="s">
        <v>43</v>
      </c>
      <c r="M15" s="33"/>
      <c r="N15" s="250"/>
      <c r="O15" s="250"/>
      <c r="P15" s="250"/>
      <c r="Q15" s="251"/>
      <c r="T15" s="24" t="s">
        <v>28</v>
      </c>
    </row>
    <row r="16" spans="2:20" s="25" customFormat="1" ht="15.75">
      <c r="B16" s="31"/>
      <c r="C16" s="25" t="s">
        <v>44</v>
      </c>
      <c r="D16" s="27"/>
      <c r="F16" s="32"/>
      <c r="G16" s="33"/>
      <c r="H16" s="33"/>
      <c r="I16" s="33"/>
      <c r="J16" s="33"/>
      <c r="K16" s="33"/>
      <c r="L16" s="33"/>
      <c r="M16" s="33"/>
      <c r="N16" s="250"/>
      <c r="O16" s="250"/>
      <c r="P16" s="250"/>
      <c r="Q16" s="251"/>
      <c r="T16" s="24" t="s">
        <v>32</v>
      </c>
    </row>
    <row r="17" spans="2:17" s="25" customFormat="1" ht="15.75">
      <c r="B17" s="31"/>
      <c r="C17" s="25" t="s">
        <v>45</v>
      </c>
      <c r="D17" s="27"/>
      <c r="F17" s="32"/>
      <c r="G17" s="33"/>
      <c r="H17" s="33"/>
      <c r="I17" s="33"/>
      <c r="J17" s="33"/>
      <c r="K17" s="33"/>
      <c r="L17" s="33"/>
      <c r="M17" s="33"/>
      <c r="N17" s="250"/>
      <c r="O17" s="250"/>
      <c r="P17" s="250"/>
      <c r="Q17" s="251"/>
    </row>
    <row r="18" spans="2:17" s="25" customFormat="1" ht="15.75">
      <c r="B18" s="31"/>
      <c r="C18" s="25" t="s">
        <v>46</v>
      </c>
      <c r="D18" s="27"/>
      <c r="F18" s="32"/>
      <c r="G18" s="33"/>
      <c r="H18" s="33"/>
      <c r="I18" s="33"/>
      <c r="J18" s="33"/>
      <c r="K18" s="33"/>
      <c r="L18" s="33"/>
      <c r="M18" s="33"/>
      <c r="N18" s="250"/>
      <c r="O18" s="250"/>
      <c r="P18" s="250"/>
      <c r="Q18" s="251"/>
    </row>
    <row r="19" spans="2:17" s="25" customFormat="1" ht="15.75">
      <c r="B19" s="31"/>
      <c r="C19" s="25" t="s">
        <v>47</v>
      </c>
      <c r="D19" s="27"/>
      <c r="F19" s="32"/>
      <c r="G19" s="33"/>
      <c r="H19" s="33"/>
      <c r="I19" s="33"/>
      <c r="J19" s="33"/>
      <c r="K19" s="33"/>
      <c r="L19" s="33"/>
      <c r="M19" s="33"/>
      <c r="N19" s="250"/>
      <c r="O19" s="250"/>
      <c r="P19" s="250"/>
      <c r="Q19" s="251"/>
    </row>
    <row r="20" spans="2:17" s="25" customFormat="1" ht="15.75">
      <c r="B20" s="31"/>
      <c r="C20" s="25" t="s">
        <v>48</v>
      </c>
      <c r="D20" s="27"/>
      <c r="F20" s="32"/>
      <c r="G20" s="33"/>
      <c r="H20" s="33"/>
      <c r="I20" s="33"/>
      <c r="J20" s="33"/>
      <c r="K20" s="33"/>
      <c r="L20" s="33"/>
      <c r="M20" s="33"/>
      <c r="N20" s="250"/>
      <c r="O20" s="250"/>
      <c r="P20" s="250"/>
      <c r="Q20" s="251"/>
    </row>
    <row r="21" spans="2:17" s="25" customFormat="1" ht="15.75">
      <c r="B21" s="31"/>
      <c r="C21" s="46" t="s">
        <v>53</v>
      </c>
      <c r="D21" s="27"/>
      <c r="F21" s="32"/>
      <c r="G21" s="33"/>
      <c r="H21" s="33"/>
      <c r="I21" s="33"/>
      <c r="J21" s="33"/>
      <c r="K21" s="33"/>
      <c r="L21" s="33"/>
      <c r="M21" s="33"/>
      <c r="N21" s="250"/>
      <c r="O21" s="250"/>
      <c r="P21" s="250"/>
      <c r="Q21" s="251"/>
    </row>
    <row r="22" spans="2:17" s="25" customFormat="1" ht="15.75">
      <c r="B22" s="31"/>
      <c r="C22" s="25" t="s">
        <v>42</v>
      </c>
      <c r="D22" s="27"/>
      <c r="F22" s="32"/>
      <c r="G22" s="33"/>
      <c r="H22" s="33"/>
      <c r="I22" s="33"/>
      <c r="J22" s="33"/>
      <c r="K22" s="33"/>
      <c r="L22" s="33"/>
      <c r="M22" s="33"/>
      <c r="N22" s="250"/>
      <c r="O22" s="250"/>
      <c r="P22" s="250"/>
      <c r="Q22" s="251"/>
    </row>
    <row r="23" spans="2:17" s="25" customFormat="1" ht="15.75">
      <c r="B23" s="31"/>
      <c r="C23" s="25" t="s">
        <v>49</v>
      </c>
      <c r="D23" s="27"/>
      <c r="F23" s="32"/>
      <c r="G23" s="33"/>
      <c r="H23" s="33"/>
      <c r="I23" s="33"/>
      <c r="J23" s="33"/>
      <c r="K23" s="33"/>
      <c r="L23" s="33"/>
      <c r="M23" s="33"/>
      <c r="N23" s="250"/>
      <c r="O23" s="250"/>
      <c r="P23" s="250"/>
      <c r="Q23" s="251"/>
    </row>
    <row r="24" spans="2:17" s="25" customFormat="1" ht="15.75">
      <c r="B24" s="31"/>
      <c r="C24" s="25" t="s">
        <v>50</v>
      </c>
      <c r="D24" s="27"/>
      <c r="F24" s="32"/>
      <c r="G24" s="33"/>
      <c r="H24" s="33"/>
      <c r="I24" s="33"/>
      <c r="J24" s="33"/>
      <c r="K24" s="33"/>
      <c r="L24" s="33"/>
      <c r="M24" s="33"/>
      <c r="N24" s="250"/>
      <c r="O24" s="250"/>
      <c r="P24" s="250"/>
      <c r="Q24" s="251"/>
    </row>
    <row r="25" spans="2:17" s="25" customFormat="1" ht="16.5" thickBot="1">
      <c r="B25" s="35"/>
      <c r="D25" s="27"/>
      <c r="F25" s="32"/>
      <c r="G25" s="33"/>
      <c r="H25" s="33"/>
      <c r="I25" s="33"/>
      <c r="J25" s="33"/>
      <c r="K25" s="33"/>
      <c r="L25" s="33"/>
      <c r="M25" s="33"/>
      <c r="N25" s="250"/>
      <c r="O25" s="250"/>
      <c r="P25" s="250"/>
      <c r="Q25" s="251"/>
    </row>
    <row r="26" spans="2:17" s="25" customFormat="1" ht="16.5" thickBot="1">
      <c r="B26" s="36" t="s">
        <v>51</v>
      </c>
      <c r="D26" s="37" t="s">
        <v>34</v>
      </c>
      <c r="F26" s="32"/>
      <c r="G26" s="33"/>
      <c r="H26" s="33"/>
      <c r="I26" s="33"/>
      <c r="J26" s="33"/>
      <c r="K26" s="33"/>
      <c r="L26" s="33"/>
      <c r="M26" s="33"/>
      <c r="N26" s="250"/>
      <c r="O26" s="250"/>
      <c r="P26" s="250"/>
      <c r="Q26" s="251"/>
    </row>
    <row r="27" spans="2:17" s="25" customFormat="1" ht="16.5" thickBot="1">
      <c r="B27" s="38"/>
      <c r="C27" s="39"/>
      <c r="D27" s="40"/>
      <c r="F27" s="32"/>
      <c r="G27" s="33"/>
      <c r="H27" s="33"/>
      <c r="I27" s="33"/>
      <c r="J27" s="33"/>
      <c r="K27" s="33"/>
      <c r="L27" s="33"/>
      <c r="M27" s="33"/>
      <c r="N27" s="250"/>
      <c r="O27" s="250"/>
      <c r="P27" s="250"/>
      <c r="Q27" s="251"/>
    </row>
    <row r="28" spans="2:17" s="25" customFormat="1" ht="15.75">
      <c r="B28" s="49" t="s">
        <v>29</v>
      </c>
      <c r="D28" s="27"/>
      <c r="E28" s="35"/>
      <c r="F28" s="32"/>
      <c r="G28" s="33"/>
      <c r="H28" s="33"/>
      <c r="I28" s="33"/>
      <c r="J28" s="33"/>
      <c r="K28" s="33"/>
      <c r="L28" s="33"/>
      <c r="M28" s="33"/>
      <c r="N28" s="250"/>
      <c r="O28" s="250"/>
      <c r="P28" s="250"/>
      <c r="Q28" s="251"/>
    </row>
    <row r="29" spans="2:17" s="25" customFormat="1" ht="15.75">
      <c r="B29" s="41" t="s">
        <v>28</v>
      </c>
      <c r="C29" s="42"/>
      <c r="D29" s="30"/>
      <c r="F29" s="32"/>
      <c r="G29" s="33"/>
      <c r="H29" s="33"/>
      <c r="I29" s="33"/>
      <c r="J29" s="33"/>
      <c r="K29" s="33"/>
      <c r="L29" s="33"/>
      <c r="M29" s="33"/>
      <c r="N29" s="250"/>
      <c r="O29" s="250"/>
      <c r="P29" s="250"/>
      <c r="Q29" s="251"/>
    </row>
    <row r="30" spans="2:17" s="25" customFormat="1" ht="15.75">
      <c r="B30" s="49" t="s">
        <v>69</v>
      </c>
      <c r="D30" s="27"/>
      <c r="E30" s="35"/>
      <c r="F30" s="32"/>
      <c r="G30" s="33"/>
      <c r="H30" s="33"/>
      <c r="I30" s="33"/>
      <c r="J30" s="33"/>
      <c r="K30" s="33"/>
      <c r="L30" s="33"/>
      <c r="M30" s="33"/>
      <c r="N30" s="250"/>
      <c r="O30" s="250"/>
      <c r="P30" s="250"/>
      <c r="Q30" s="251"/>
    </row>
    <row r="31" spans="2:17" s="25" customFormat="1" ht="15.75">
      <c r="B31" s="41"/>
      <c r="C31" s="42"/>
      <c r="D31" s="30"/>
      <c r="F31" s="32"/>
      <c r="G31" s="33"/>
      <c r="H31" s="33"/>
      <c r="I31" s="33"/>
      <c r="J31" s="33"/>
      <c r="K31" s="33"/>
      <c r="L31" s="33"/>
      <c r="M31" s="33"/>
      <c r="N31" s="250"/>
      <c r="O31" s="250"/>
      <c r="P31" s="250"/>
      <c r="Q31" s="251"/>
    </row>
    <row r="32" spans="2:17" s="25" customFormat="1" ht="15.75">
      <c r="B32" s="49" t="s">
        <v>70</v>
      </c>
      <c r="D32" s="27"/>
      <c r="F32" s="32"/>
      <c r="G32" s="33"/>
      <c r="H32" s="33"/>
      <c r="I32" s="33"/>
      <c r="J32" s="33"/>
      <c r="K32" s="33"/>
      <c r="L32" s="33"/>
      <c r="M32" s="33"/>
      <c r="N32" s="250"/>
      <c r="O32" s="250"/>
      <c r="P32" s="250"/>
      <c r="Q32" s="251"/>
    </row>
    <row r="33" spans="2:17" s="25" customFormat="1" ht="15.75">
      <c r="B33" s="41"/>
      <c r="C33" s="42"/>
      <c r="D33" s="30"/>
      <c r="F33" s="32"/>
      <c r="G33" s="33"/>
      <c r="H33" s="33"/>
      <c r="I33" s="33"/>
      <c r="J33" s="33"/>
      <c r="K33" s="33"/>
      <c r="L33" s="33"/>
      <c r="M33" s="33"/>
      <c r="N33" s="250"/>
      <c r="O33" s="250"/>
      <c r="P33" s="250"/>
      <c r="Q33" s="251"/>
    </row>
    <row r="34" spans="2:17" s="25" customFormat="1" ht="15.75">
      <c r="B34" s="49" t="s">
        <v>59</v>
      </c>
      <c r="D34" s="27"/>
      <c r="F34" s="32"/>
      <c r="G34" s="33"/>
      <c r="H34" s="33"/>
      <c r="I34" s="33"/>
      <c r="J34" s="33"/>
      <c r="K34" s="33"/>
      <c r="L34" s="33"/>
      <c r="M34" s="33"/>
      <c r="N34" s="250"/>
      <c r="O34" s="250"/>
      <c r="P34" s="250"/>
      <c r="Q34" s="251"/>
    </row>
    <row r="35" spans="2:17" s="25" customFormat="1" ht="15.75">
      <c r="B35" s="47" t="s">
        <v>60</v>
      </c>
      <c r="C35" s="43"/>
      <c r="D35" s="48" t="s">
        <v>61</v>
      </c>
      <c r="F35" s="32"/>
      <c r="G35" s="33"/>
      <c r="H35" s="33"/>
      <c r="I35" s="33"/>
      <c r="J35" s="33"/>
      <c r="K35" s="33"/>
      <c r="L35" s="33"/>
      <c r="M35" s="33"/>
      <c r="N35" s="250"/>
      <c r="O35" s="250"/>
      <c r="P35" s="250"/>
      <c r="Q35" s="251"/>
    </row>
    <row r="36" spans="2:17" s="25" customFormat="1" ht="15.75">
      <c r="B36" s="35"/>
      <c r="C36" s="44" t="s">
        <v>30</v>
      </c>
      <c r="D36" s="27"/>
      <c r="F36" s="32"/>
      <c r="G36" s="33"/>
      <c r="H36" s="33"/>
      <c r="I36" s="33"/>
      <c r="J36" s="33"/>
      <c r="K36" s="33"/>
      <c r="L36" s="33"/>
      <c r="M36" s="33"/>
      <c r="N36" s="250"/>
      <c r="O36" s="250"/>
      <c r="P36" s="250"/>
      <c r="Q36" s="251"/>
    </row>
    <row r="37" spans="2:17" s="25" customFormat="1" ht="15.75">
      <c r="B37" s="47" t="s">
        <v>54</v>
      </c>
      <c r="C37" s="43"/>
      <c r="D37" s="48" t="s">
        <v>55</v>
      </c>
      <c r="F37" s="32"/>
      <c r="G37" s="33"/>
      <c r="H37" s="33"/>
      <c r="I37" s="33"/>
      <c r="J37" s="33"/>
      <c r="K37" s="33"/>
      <c r="L37" s="33"/>
      <c r="M37" s="33"/>
      <c r="N37" s="250"/>
      <c r="O37" s="250"/>
      <c r="P37" s="250"/>
      <c r="Q37" s="251"/>
    </row>
    <row r="38" spans="2:17" s="25" customFormat="1" ht="16.5" thickBot="1">
      <c r="B38" s="35"/>
      <c r="D38" s="27"/>
      <c r="Q38" s="27"/>
    </row>
    <row r="39" spans="2:17" s="25" customFormat="1" ht="16.5" thickBot="1">
      <c r="B39" s="35"/>
      <c r="D39" s="37" t="s">
        <v>62</v>
      </c>
      <c r="Q39" s="27"/>
    </row>
    <row r="40" spans="2:17" s="25" customFormat="1" ht="16.5" thickBot="1">
      <c r="B40" s="38"/>
      <c r="C40" s="39"/>
      <c r="D40" s="40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40"/>
    </row>
  </sheetData>
  <mergeCells count="10">
    <mergeCell ref="B10:Q11"/>
    <mergeCell ref="F13:F14"/>
    <mergeCell ref="G13:G14"/>
    <mergeCell ref="H13:H14"/>
    <mergeCell ref="J13:J14"/>
    <mergeCell ref="K13:K14"/>
    <mergeCell ref="L13:L14"/>
    <mergeCell ref="M13:M14"/>
    <mergeCell ref="N13:Q37"/>
    <mergeCell ref="I13:I14"/>
  </mergeCells>
  <pageMargins left="0.7" right="0.7" top="0.75" bottom="0.75" header="0.3" footer="0.3"/>
  <pageSetup scale="3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46" r:id="rId4" name="Check Box 54">
              <controlPr defaultSize="0" autoLine="0" autoPict="0">
                <anchor moveWithCells="1">
                  <from>
                    <xdr:col>1</xdr:col>
                    <xdr:colOff>209550</xdr:colOff>
                    <xdr:row>13</xdr:row>
                    <xdr:rowOff>0</xdr:rowOff>
                  </from>
                  <to>
                    <xdr:col>2</xdr:col>
                    <xdr:colOff>171450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" name="Check Box 55">
              <controlPr defaultSize="0" autoLine="0" autoPict="0">
                <anchor moveWithCells="1">
                  <from>
                    <xdr:col>1</xdr:col>
                    <xdr:colOff>209550</xdr:colOff>
                    <xdr:row>14</xdr:row>
                    <xdr:rowOff>0</xdr:rowOff>
                  </from>
                  <to>
                    <xdr:col>2</xdr:col>
                    <xdr:colOff>171450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6" name="Check Box 56">
              <controlPr defaultSize="0" autoLine="0" autoPict="0">
                <anchor moveWithCells="1">
                  <from>
                    <xdr:col>1</xdr:col>
                    <xdr:colOff>209550</xdr:colOff>
                    <xdr:row>14</xdr:row>
                    <xdr:rowOff>171450</xdr:rowOff>
                  </from>
                  <to>
                    <xdr:col>2</xdr:col>
                    <xdr:colOff>171450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7" name="Check Box 57">
              <controlPr defaultSize="0" autoLine="0" autoPict="0">
                <anchor moveWithCells="1">
                  <from>
                    <xdr:col>1</xdr:col>
                    <xdr:colOff>209550</xdr:colOff>
                    <xdr:row>15</xdr:row>
                    <xdr:rowOff>171450</xdr:rowOff>
                  </from>
                  <to>
                    <xdr:col>2</xdr:col>
                    <xdr:colOff>171450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8" name="Check Box 58">
              <controlPr defaultSize="0" autoLine="0" autoPict="0">
                <anchor moveWithCells="1">
                  <from>
                    <xdr:col>1</xdr:col>
                    <xdr:colOff>209550</xdr:colOff>
                    <xdr:row>16</xdr:row>
                    <xdr:rowOff>180975</xdr:rowOff>
                  </from>
                  <to>
                    <xdr:col>2</xdr:col>
                    <xdr:colOff>171450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9" name="Check Box 59">
              <controlPr defaultSize="0" autoLine="0" autoPict="0">
                <anchor moveWithCells="1">
                  <from>
                    <xdr:col>1</xdr:col>
                    <xdr:colOff>209550</xdr:colOff>
                    <xdr:row>18</xdr:row>
                    <xdr:rowOff>0</xdr:rowOff>
                  </from>
                  <to>
                    <xdr:col>2</xdr:col>
                    <xdr:colOff>171450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10" name="Check Box 60">
              <controlPr defaultSize="0" autoLine="0" autoPict="0">
                <anchor moveWithCells="1">
                  <from>
                    <xdr:col>1</xdr:col>
                    <xdr:colOff>209550</xdr:colOff>
                    <xdr:row>18</xdr:row>
                    <xdr:rowOff>180975</xdr:rowOff>
                  </from>
                  <to>
                    <xdr:col>2</xdr:col>
                    <xdr:colOff>171450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11" name="Check Box 61">
              <controlPr defaultSize="0" autoLine="0" autoPict="0">
                <anchor moveWithCells="1">
                  <from>
                    <xdr:col>1</xdr:col>
                    <xdr:colOff>209550</xdr:colOff>
                    <xdr:row>19</xdr:row>
                    <xdr:rowOff>180975</xdr:rowOff>
                  </from>
                  <to>
                    <xdr:col>2</xdr:col>
                    <xdr:colOff>171450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12" name="Check Box 62">
              <controlPr defaultSize="0" autoLine="0" autoPict="0">
                <anchor moveWithCells="1">
                  <from>
                    <xdr:col>1</xdr:col>
                    <xdr:colOff>209550</xdr:colOff>
                    <xdr:row>20</xdr:row>
                    <xdr:rowOff>180975</xdr:rowOff>
                  </from>
                  <to>
                    <xdr:col>2</xdr:col>
                    <xdr:colOff>171450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13" name="Check Box 63">
              <controlPr defaultSize="0" autoLine="0" autoPict="0">
                <anchor moveWithCells="1">
                  <from>
                    <xdr:col>1</xdr:col>
                    <xdr:colOff>209550</xdr:colOff>
                    <xdr:row>21</xdr:row>
                    <xdr:rowOff>171450</xdr:rowOff>
                  </from>
                  <to>
                    <xdr:col>2</xdr:col>
                    <xdr:colOff>171450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14" name="Check Box 64">
              <controlPr defaultSize="0" autoLine="0" autoPict="0">
                <anchor moveWithCells="1">
                  <from>
                    <xdr:col>1</xdr:col>
                    <xdr:colOff>209550</xdr:colOff>
                    <xdr:row>22</xdr:row>
                    <xdr:rowOff>180975</xdr:rowOff>
                  </from>
                  <to>
                    <xdr:col>2</xdr:col>
                    <xdr:colOff>171450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15" name="Check Box 65">
              <controlPr defaultSize="0" autoLine="0" autoPict="0">
                <anchor moveWithCells="1">
                  <from>
                    <xdr:col>5</xdr:col>
                    <xdr:colOff>133350</xdr:colOff>
                    <xdr:row>13</xdr:row>
                    <xdr:rowOff>171450</xdr:rowOff>
                  </from>
                  <to>
                    <xdr:col>6</xdr:col>
                    <xdr:colOff>9525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8" r:id="rId16" name="Check Box 66">
              <controlPr defaultSize="0" autoLine="0" autoPict="0">
                <anchor moveWithCells="1">
                  <from>
                    <xdr:col>5</xdr:col>
                    <xdr:colOff>133350</xdr:colOff>
                    <xdr:row>12</xdr:row>
                    <xdr:rowOff>171450</xdr:rowOff>
                  </from>
                  <to>
                    <xdr:col>6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9" r:id="rId17" name="Check Box 67">
              <controlPr defaultSize="0" autoLine="0" autoPict="0">
                <anchor moveWithCells="1">
                  <from>
                    <xdr:col>5</xdr:col>
                    <xdr:colOff>133350</xdr:colOff>
                    <xdr:row>15</xdr:row>
                    <xdr:rowOff>171450</xdr:rowOff>
                  </from>
                  <to>
                    <xdr:col>6</xdr:col>
                    <xdr:colOff>9525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0" r:id="rId18" name="Check Box 68">
              <controlPr defaultSize="0" autoLine="0" autoPict="0">
                <anchor moveWithCells="1">
                  <from>
                    <xdr:col>5</xdr:col>
                    <xdr:colOff>133350</xdr:colOff>
                    <xdr:row>14</xdr:row>
                    <xdr:rowOff>180975</xdr:rowOff>
                  </from>
                  <to>
                    <xdr:col>6</xdr:col>
                    <xdr:colOff>9525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19" name="Check Box 69">
              <controlPr defaultSize="0" autoLine="0" autoPict="0">
                <anchor moveWithCells="1">
                  <from>
                    <xdr:col>5</xdr:col>
                    <xdr:colOff>142875</xdr:colOff>
                    <xdr:row>17</xdr:row>
                    <xdr:rowOff>180975</xdr:rowOff>
                  </from>
                  <to>
                    <xdr:col>6</xdr:col>
                    <xdr:colOff>19050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2" r:id="rId20" name="Check Box 70">
              <controlPr defaultSize="0" autoLine="0" autoPict="0">
                <anchor moveWithCells="1">
                  <from>
                    <xdr:col>5</xdr:col>
                    <xdr:colOff>142875</xdr:colOff>
                    <xdr:row>16</xdr:row>
                    <xdr:rowOff>180975</xdr:rowOff>
                  </from>
                  <to>
                    <xdr:col>6</xdr:col>
                    <xdr:colOff>19050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3" r:id="rId21" name="Check Box 71">
              <controlPr defaultSize="0" autoLine="0" autoPict="0">
                <anchor moveWithCells="1">
                  <from>
                    <xdr:col>5</xdr:col>
                    <xdr:colOff>142875</xdr:colOff>
                    <xdr:row>20</xdr:row>
                    <xdr:rowOff>180975</xdr:rowOff>
                  </from>
                  <to>
                    <xdr:col>6</xdr:col>
                    <xdr:colOff>19050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4" r:id="rId22" name="Check Box 72">
              <controlPr defaultSize="0" autoLine="0" autoPict="0">
                <anchor moveWithCells="1">
                  <from>
                    <xdr:col>5</xdr:col>
                    <xdr:colOff>142875</xdr:colOff>
                    <xdr:row>18</xdr:row>
                    <xdr:rowOff>180975</xdr:rowOff>
                  </from>
                  <to>
                    <xdr:col>6</xdr:col>
                    <xdr:colOff>19050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5" r:id="rId23" name="Check Box 73">
              <controlPr defaultSize="0" autoLine="0" autoPict="0">
                <anchor moveWithCells="1">
                  <from>
                    <xdr:col>5</xdr:col>
                    <xdr:colOff>142875</xdr:colOff>
                    <xdr:row>19</xdr:row>
                    <xdr:rowOff>171450</xdr:rowOff>
                  </from>
                  <to>
                    <xdr:col>6</xdr:col>
                    <xdr:colOff>19050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6" r:id="rId24" name="Check Box 74">
              <controlPr defaultSize="0" autoLine="0" autoPict="0">
                <anchor moveWithCells="1">
                  <from>
                    <xdr:col>5</xdr:col>
                    <xdr:colOff>142875</xdr:colOff>
                    <xdr:row>22</xdr:row>
                    <xdr:rowOff>180975</xdr:rowOff>
                  </from>
                  <to>
                    <xdr:col>6</xdr:col>
                    <xdr:colOff>19050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7" r:id="rId25" name="Check Box 75">
              <controlPr defaultSize="0" autoLine="0" autoPict="0">
                <anchor moveWithCells="1">
                  <from>
                    <xdr:col>5</xdr:col>
                    <xdr:colOff>142875</xdr:colOff>
                    <xdr:row>21</xdr:row>
                    <xdr:rowOff>180975</xdr:rowOff>
                  </from>
                  <to>
                    <xdr:col>6</xdr:col>
                    <xdr:colOff>19050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8" r:id="rId26" name="Check Box 76">
              <controlPr defaultSize="0" autoLine="0" autoPict="0">
                <anchor moveWithCells="1">
                  <from>
                    <xdr:col>5</xdr:col>
                    <xdr:colOff>142875</xdr:colOff>
                    <xdr:row>24</xdr:row>
                    <xdr:rowOff>200025</xdr:rowOff>
                  </from>
                  <to>
                    <xdr:col>6</xdr:col>
                    <xdr:colOff>19050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9" r:id="rId27" name="Check Box 77">
              <controlPr defaultSize="0" autoLine="0" autoPict="0">
                <anchor moveWithCells="1">
                  <from>
                    <xdr:col>5</xdr:col>
                    <xdr:colOff>142875</xdr:colOff>
                    <xdr:row>23</xdr:row>
                    <xdr:rowOff>161925</xdr:rowOff>
                  </from>
                  <to>
                    <xdr:col>6</xdr:col>
                    <xdr:colOff>19050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0" r:id="rId28" name="Check Box 78">
              <controlPr defaultSize="0" autoLine="0" autoPict="0">
                <anchor moveWithCells="1">
                  <from>
                    <xdr:col>5</xdr:col>
                    <xdr:colOff>152400</xdr:colOff>
                    <xdr:row>26</xdr:row>
                    <xdr:rowOff>190500</xdr:rowOff>
                  </from>
                  <to>
                    <xdr:col>6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1" r:id="rId29" name="Check Box 79">
              <controlPr defaultSize="0" autoLine="0" autoPict="0">
                <anchor moveWithCells="1">
                  <from>
                    <xdr:col>5</xdr:col>
                    <xdr:colOff>152400</xdr:colOff>
                    <xdr:row>25</xdr:row>
                    <xdr:rowOff>200025</xdr:rowOff>
                  </from>
                  <to>
                    <xdr:col>6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2" r:id="rId30" name="Check Box 80">
              <controlPr defaultSize="0" autoLine="0" autoPict="0">
                <anchor moveWithCells="1">
                  <from>
                    <xdr:col>5</xdr:col>
                    <xdr:colOff>152400</xdr:colOff>
                    <xdr:row>29</xdr:row>
                    <xdr:rowOff>180975</xdr:rowOff>
                  </from>
                  <to>
                    <xdr:col>6</xdr:col>
                    <xdr:colOff>38100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3" r:id="rId31" name="Check Box 81">
              <controlPr defaultSize="0" autoLine="0" autoPict="0">
                <anchor moveWithCells="1">
                  <from>
                    <xdr:col>5</xdr:col>
                    <xdr:colOff>152400</xdr:colOff>
                    <xdr:row>27</xdr:row>
                    <xdr:rowOff>180975</xdr:rowOff>
                  </from>
                  <to>
                    <xdr:col>6</xdr:col>
                    <xdr:colOff>38100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4" r:id="rId32" name="Check Box 82">
              <controlPr defaultSize="0" autoLine="0" autoPict="0">
                <anchor moveWithCells="1">
                  <from>
                    <xdr:col>5</xdr:col>
                    <xdr:colOff>152400</xdr:colOff>
                    <xdr:row>28</xdr:row>
                    <xdr:rowOff>171450</xdr:rowOff>
                  </from>
                  <to>
                    <xdr:col>6</xdr:col>
                    <xdr:colOff>38100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5" r:id="rId33" name="Check Box 83">
              <controlPr defaultSize="0" autoLine="0" autoPict="0">
                <anchor moveWithCells="1">
                  <from>
                    <xdr:col>5</xdr:col>
                    <xdr:colOff>142875</xdr:colOff>
                    <xdr:row>30</xdr:row>
                    <xdr:rowOff>171450</xdr:rowOff>
                  </from>
                  <to>
                    <xdr:col>6</xdr:col>
                    <xdr:colOff>19050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6" r:id="rId34" name="Check Box 84">
              <controlPr defaultSize="0" autoLine="0" autoPict="0">
                <anchor moveWithCells="1">
                  <from>
                    <xdr:col>5</xdr:col>
                    <xdr:colOff>133350</xdr:colOff>
                    <xdr:row>32</xdr:row>
                    <xdr:rowOff>190500</xdr:rowOff>
                  </from>
                  <to>
                    <xdr:col>6</xdr:col>
                    <xdr:colOff>9525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7" r:id="rId35" name="Check Box 85">
              <controlPr defaultSize="0" autoLine="0" autoPict="0">
                <anchor moveWithCells="1">
                  <from>
                    <xdr:col>5</xdr:col>
                    <xdr:colOff>133350</xdr:colOff>
                    <xdr:row>31</xdr:row>
                    <xdr:rowOff>190500</xdr:rowOff>
                  </from>
                  <to>
                    <xdr:col>6</xdr:col>
                    <xdr:colOff>9525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8" r:id="rId36" name="Check Box 86">
              <controlPr defaultSize="0" autoLine="0" autoPict="0">
                <anchor moveWithCells="1">
                  <from>
                    <xdr:col>5</xdr:col>
                    <xdr:colOff>133350</xdr:colOff>
                    <xdr:row>35</xdr:row>
                    <xdr:rowOff>190500</xdr:rowOff>
                  </from>
                  <to>
                    <xdr:col>6</xdr:col>
                    <xdr:colOff>9525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9" r:id="rId37" name="Check Box 87">
              <controlPr defaultSize="0" autoLine="0" autoPict="0">
                <anchor moveWithCells="1">
                  <from>
                    <xdr:col>5</xdr:col>
                    <xdr:colOff>133350</xdr:colOff>
                    <xdr:row>33</xdr:row>
                    <xdr:rowOff>190500</xdr:rowOff>
                  </from>
                  <to>
                    <xdr:col>6</xdr:col>
                    <xdr:colOff>9525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0" r:id="rId38" name="Check Box 88">
              <controlPr defaultSize="0" autoLine="0" autoPict="0">
                <anchor moveWithCells="1">
                  <from>
                    <xdr:col>5</xdr:col>
                    <xdr:colOff>133350</xdr:colOff>
                    <xdr:row>34</xdr:row>
                    <xdr:rowOff>180975</xdr:rowOff>
                  </from>
                  <to>
                    <xdr:col>6</xdr:col>
                    <xdr:colOff>9525</xdr:colOff>
                    <xdr:row>36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/>
  <cols>
    <col min="1" max="60" width="2.77734375" style="59" customWidth="1"/>
    <col min="61" max="16384" width="2.77734375" style="59"/>
  </cols>
  <sheetData>
    <row r="1" spans="1:63" ht="24.95" customHeight="1">
      <c r="A1" s="256" t="s">
        <v>74</v>
      </c>
      <c r="B1" s="257"/>
      <c r="C1" s="257"/>
      <c r="D1" s="257"/>
      <c r="E1" s="257"/>
      <c r="F1" s="257"/>
      <c r="G1" s="257"/>
      <c r="H1" s="257"/>
      <c r="I1" s="257"/>
      <c r="J1" s="258"/>
      <c r="K1" s="256" t="s">
        <v>75</v>
      </c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8"/>
      <c r="W1" s="265" t="str">
        <f>IF(表紙!W1="","",表紙!W1)</f>
        <v>基本設計書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18" t="s">
        <v>76</v>
      </c>
      <c r="AQ1" s="219"/>
      <c r="AR1" s="219"/>
      <c r="AS1" s="220"/>
      <c r="AT1" s="218" t="s">
        <v>77</v>
      </c>
      <c r="AU1" s="219"/>
      <c r="AV1" s="219"/>
      <c r="AW1" s="219"/>
      <c r="AX1" s="220"/>
      <c r="AY1" s="218" t="s">
        <v>78</v>
      </c>
      <c r="AZ1" s="219"/>
      <c r="BA1" s="219"/>
      <c r="BB1" s="220"/>
      <c r="BC1" s="218" t="s">
        <v>79</v>
      </c>
      <c r="BD1" s="219"/>
      <c r="BE1" s="219"/>
      <c r="BF1" s="219"/>
      <c r="BG1" s="220"/>
      <c r="BH1" s="218" t="s">
        <v>80</v>
      </c>
      <c r="BI1" s="219"/>
      <c r="BJ1" s="219"/>
      <c r="BK1" s="220"/>
    </row>
    <row r="2" spans="1:63" ht="15" customHeight="1">
      <c r="A2" s="259" t="str">
        <f>IF(表紙!A2="","",表紙!A2)</f>
        <v>POSサーバー</v>
      </c>
      <c r="B2" s="260"/>
      <c r="C2" s="260"/>
      <c r="D2" s="260"/>
      <c r="E2" s="260"/>
      <c r="F2" s="260"/>
      <c r="G2" s="260"/>
      <c r="H2" s="260"/>
      <c r="I2" s="260"/>
      <c r="J2" s="261"/>
      <c r="K2" s="259" t="str">
        <f>IF(表紙!K2="","",表紙!K2)</f>
        <v>POSサーバ</v>
      </c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1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192" t="str">
        <f>IF(表紙!AP2="","",表紙!AP2)</f>
        <v>DuNT</v>
      </c>
      <c r="AQ2" s="193"/>
      <c r="AR2" s="193"/>
      <c r="AS2" s="194"/>
      <c r="AT2" s="217">
        <f>IF(表紙!AT2="","",表紙!AT2)</f>
        <v>45511</v>
      </c>
      <c r="AU2" s="224"/>
      <c r="AV2" s="224"/>
      <c r="AW2" s="224"/>
      <c r="AX2" s="225"/>
      <c r="AY2" s="192" t="str">
        <f>IF(表紙!AY2="","",表紙!AY2)</f>
        <v>DuNT</v>
      </c>
      <c r="AZ2" s="193"/>
      <c r="BA2" s="193"/>
      <c r="BB2" s="194"/>
      <c r="BC2" s="217">
        <f>IF(表紙!BC2="","",表紙!BC2)</f>
        <v>45539</v>
      </c>
      <c r="BD2" s="224"/>
      <c r="BE2" s="224"/>
      <c r="BF2" s="224"/>
      <c r="BG2" s="225"/>
      <c r="BH2" s="192">
        <f>IF(表紙!BH2="","",表紙!BH2)</f>
        <v>0.2</v>
      </c>
      <c r="BI2" s="193"/>
      <c r="BJ2" s="193"/>
      <c r="BK2" s="194"/>
    </row>
    <row r="3" spans="1:63" ht="15" customHeight="1">
      <c r="A3" s="262"/>
      <c r="B3" s="263"/>
      <c r="C3" s="263"/>
      <c r="D3" s="263"/>
      <c r="E3" s="263"/>
      <c r="F3" s="263"/>
      <c r="G3" s="263"/>
      <c r="H3" s="263"/>
      <c r="I3" s="263"/>
      <c r="J3" s="264"/>
      <c r="K3" s="262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4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195"/>
      <c r="AQ3" s="196"/>
      <c r="AR3" s="196"/>
      <c r="AS3" s="197"/>
      <c r="AT3" s="226"/>
      <c r="AU3" s="227"/>
      <c r="AV3" s="227"/>
      <c r="AW3" s="227"/>
      <c r="AX3" s="228"/>
      <c r="AY3" s="195"/>
      <c r="AZ3" s="196"/>
      <c r="BA3" s="196"/>
      <c r="BB3" s="197"/>
      <c r="BC3" s="226"/>
      <c r="BD3" s="227"/>
      <c r="BE3" s="227"/>
      <c r="BF3" s="227"/>
      <c r="BG3" s="228"/>
      <c r="BH3" s="195"/>
      <c r="BI3" s="196"/>
      <c r="BJ3" s="196"/>
      <c r="BK3" s="197"/>
    </row>
    <row r="4" spans="1:63" ht="24.95" customHeight="1">
      <c r="A4" s="256" t="s">
        <v>81</v>
      </c>
      <c r="B4" s="257"/>
      <c r="C4" s="257"/>
      <c r="D4" s="257"/>
      <c r="E4" s="257"/>
      <c r="F4" s="257"/>
      <c r="G4" s="258"/>
      <c r="H4" s="255" t="str">
        <f>IF(表紙!H4="","",表紙!H4)</f>
        <v>16_保留・保留解除</v>
      </c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4"/>
      <c r="U4" s="256" t="s">
        <v>82</v>
      </c>
      <c r="V4" s="257"/>
      <c r="W4" s="257"/>
      <c r="X4" s="257"/>
      <c r="Y4" s="258"/>
      <c r="Z4" s="255" t="str">
        <f>IF(表紙!Z4="","",表紙!Z4)</f>
        <v>概要設計</v>
      </c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4"/>
      <c r="AP4" s="252" t="str">
        <f ca="1">MID(CELL("filename",A1),FIND("]",CELL("filename",A1))+1,255)</f>
        <v>テンプレート</v>
      </c>
      <c r="AQ4" s="253"/>
      <c r="AR4" s="253"/>
      <c r="AS4" s="253"/>
      <c r="AT4" s="253"/>
      <c r="AU4" s="253"/>
      <c r="AV4" s="253"/>
      <c r="AW4" s="253"/>
      <c r="AX4" s="253"/>
      <c r="AY4" s="253"/>
      <c r="AZ4" s="253"/>
      <c r="BA4" s="253"/>
      <c r="BB4" s="253"/>
      <c r="BC4" s="253"/>
      <c r="BD4" s="253"/>
      <c r="BE4" s="253"/>
      <c r="BF4" s="253"/>
      <c r="BG4" s="253"/>
      <c r="BH4" s="253"/>
      <c r="BI4" s="253"/>
      <c r="BJ4" s="253"/>
      <c r="BK4" s="254"/>
    </row>
    <row r="5" spans="1:63" ht="5.0999999999999996" customHeight="1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2"/>
    </row>
    <row r="6" spans="1:63" ht="15" customHeight="1">
      <c r="A6" s="63"/>
      <c r="BK6" s="64"/>
    </row>
    <row r="7" spans="1:63" ht="15" customHeight="1">
      <c r="A7" s="63"/>
      <c r="B7" s="73"/>
      <c r="C7" s="74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6"/>
      <c r="U7" s="74"/>
      <c r="V7" s="75"/>
      <c r="W7" s="75"/>
      <c r="X7" s="75"/>
      <c r="Y7" s="75"/>
      <c r="Z7" s="75"/>
      <c r="AA7" s="75"/>
      <c r="AB7" s="75"/>
      <c r="AC7" s="76"/>
      <c r="AD7" s="74"/>
      <c r="AE7" s="75"/>
      <c r="AF7" s="75"/>
      <c r="AG7" s="75"/>
      <c r="AH7" s="75"/>
      <c r="AI7" s="75"/>
      <c r="AJ7" s="75"/>
      <c r="AK7" s="75"/>
      <c r="AL7" s="76"/>
      <c r="AM7" s="74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6"/>
      <c r="BJ7" s="75"/>
      <c r="BK7" s="64"/>
    </row>
    <row r="8" spans="1:63" ht="15" customHeight="1">
      <c r="A8" s="63"/>
      <c r="C8" s="77"/>
      <c r="U8" s="77"/>
      <c r="AD8" s="77"/>
      <c r="AM8" s="77"/>
      <c r="BI8" s="79"/>
    </row>
    <row r="9" spans="1:63" ht="15" customHeight="1">
      <c r="A9" s="63"/>
      <c r="C9" s="77"/>
      <c r="U9" s="77"/>
      <c r="AD9" s="77"/>
      <c r="AM9" s="77"/>
      <c r="BI9" s="79"/>
    </row>
    <row r="10" spans="1:63" ht="15" customHeight="1">
      <c r="A10" s="63"/>
      <c r="C10" s="77"/>
      <c r="U10" s="77"/>
      <c r="AD10" s="77"/>
      <c r="AM10" s="77"/>
      <c r="BI10" s="79"/>
    </row>
    <row r="11" spans="1:63" ht="15" customHeight="1">
      <c r="A11" s="63"/>
      <c r="C11" s="77"/>
      <c r="U11" s="77"/>
      <c r="AD11" s="77"/>
      <c r="AM11" s="77"/>
      <c r="BI11" s="79"/>
    </row>
    <row r="12" spans="1:63" ht="15" customHeight="1">
      <c r="A12" s="63"/>
      <c r="C12" s="77"/>
      <c r="U12" s="77"/>
      <c r="AD12" s="77"/>
      <c r="AM12" s="77"/>
      <c r="AX12" s="59" t="s">
        <v>21</v>
      </c>
      <c r="BI12" s="79"/>
    </row>
    <row r="13" spans="1:63" ht="15" customHeight="1">
      <c r="A13" s="63"/>
      <c r="C13" s="77"/>
      <c r="U13" s="77"/>
      <c r="AD13" s="77"/>
      <c r="AM13" s="77"/>
      <c r="BI13" s="79"/>
    </row>
    <row r="14" spans="1:63" ht="15" customHeight="1">
      <c r="A14" s="63"/>
      <c r="C14" s="77"/>
      <c r="U14" s="77"/>
      <c r="AD14" s="77"/>
      <c r="AM14" s="77"/>
      <c r="BI14" s="79"/>
    </row>
    <row r="15" spans="1:63" ht="15" customHeight="1">
      <c r="A15" s="63"/>
      <c r="C15" s="77"/>
      <c r="U15" s="77"/>
      <c r="AD15" s="77"/>
      <c r="AM15" s="77"/>
      <c r="BI15" s="79"/>
    </row>
    <row r="16" spans="1:63" ht="15" customHeight="1">
      <c r="A16" s="63"/>
      <c r="C16" s="77"/>
      <c r="U16" s="77"/>
      <c r="AD16" s="77"/>
      <c r="AM16" s="77"/>
      <c r="BI16" s="79"/>
    </row>
    <row r="17" spans="1:61" ht="15" customHeight="1">
      <c r="A17" s="63"/>
      <c r="C17" s="77"/>
      <c r="U17" s="77"/>
      <c r="AD17" s="77"/>
      <c r="AM17" s="77"/>
      <c r="BI17" s="79"/>
    </row>
    <row r="18" spans="1:61" ht="15" customHeight="1">
      <c r="A18" s="63"/>
      <c r="C18" s="77"/>
      <c r="U18" s="77"/>
      <c r="AD18" s="77"/>
      <c r="AM18" s="77"/>
      <c r="BI18" s="79"/>
    </row>
    <row r="19" spans="1:61" ht="15" customHeight="1">
      <c r="A19" s="63"/>
      <c r="C19" s="77"/>
      <c r="U19" s="77"/>
      <c r="AD19" s="77"/>
      <c r="AM19" s="77"/>
      <c r="BI19" s="79"/>
    </row>
    <row r="20" spans="1:61" ht="15" customHeight="1">
      <c r="A20" s="63"/>
      <c r="C20" s="77"/>
      <c r="U20" s="77"/>
      <c r="AD20" s="77"/>
      <c r="AM20" s="77"/>
      <c r="BI20" s="79"/>
    </row>
    <row r="21" spans="1:61" ht="15" customHeight="1">
      <c r="A21" s="63"/>
      <c r="C21" s="77"/>
      <c r="U21" s="77"/>
      <c r="AD21" s="77"/>
      <c r="AM21" s="77"/>
      <c r="BI21" s="79"/>
    </row>
    <row r="22" spans="1:61" ht="15" customHeight="1">
      <c r="A22" s="63"/>
      <c r="C22" s="77"/>
      <c r="U22" s="77"/>
      <c r="AD22" s="77"/>
      <c r="AM22" s="77"/>
      <c r="BI22" s="79"/>
    </row>
    <row r="23" spans="1:61" ht="15" customHeight="1">
      <c r="A23" s="63"/>
      <c r="C23" s="77"/>
      <c r="U23" s="77"/>
      <c r="AD23" s="77"/>
      <c r="AM23" s="77"/>
      <c r="BI23" s="79"/>
    </row>
    <row r="24" spans="1:61" ht="15" customHeight="1">
      <c r="A24" s="63"/>
      <c r="C24" s="77"/>
      <c r="U24" s="77"/>
      <c r="AD24" s="77"/>
      <c r="AM24" s="77"/>
      <c r="BI24" s="79"/>
    </row>
    <row r="25" spans="1:61" ht="15" customHeight="1">
      <c r="A25" s="63"/>
      <c r="C25" s="77"/>
      <c r="U25" s="77"/>
      <c r="AD25" s="77"/>
      <c r="AM25" s="77"/>
      <c r="BI25" s="79"/>
    </row>
    <row r="26" spans="1:61" ht="15" customHeight="1">
      <c r="A26" s="63"/>
      <c r="C26" s="77"/>
      <c r="U26" s="77"/>
      <c r="AD26" s="77"/>
      <c r="AM26" s="77"/>
      <c r="BI26" s="79"/>
    </row>
    <row r="27" spans="1:61" ht="15" customHeight="1">
      <c r="A27" s="63"/>
      <c r="C27" s="77"/>
      <c r="U27" s="77"/>
      <c r="AD27" s="77"/>
      <c r="AM27" s="77"/>
      <c r="BI27" s="79"/>
    </row>
    <row r="28" spans="1:61" ht="15" customHeight="1">
      <c r="A28" s="63"/>
      <c r="C28" s="77"/>
      <c r="U28" s="77"/>
      <c r="AD28" s="77"/>
      <c r="AM28" s="77"/>
      <c r="BI28" s="79"/>
    </row>
    <row r="29" spans="1:61" ht="15" customHeight="1">
      <c r="A29" s="63"/>
      <c r="C29" s="77"/>
      <c r="U29" s="77"/>
      <c r="AD29" s="77"/>
      <c r="AM29" s="77"/>
      <c r="BI29" s="79"/>
    </row>
    <row r="30" spans="1:61" ht="15" customHeight="1">
      <c r="A30" s="63"/>
      <c r="C30" s="77"/>
      <c r="U30" s="77"/>
      <c r="AD30" s="77"/>
      <c r="AM30" s="77"/>
      <c r="BI30" s="79"/>
    </row>
    <row r="31" spans="1:61" ht="15" customHeight="1">
      <c r="A31" s="63"/>
      <c r="C31" s="77"/>
      <c r="U31" s="77"/>
      <c r="AD31" s="77"/>
      <c r="AM31" s="77"/>
      <c r="BI31" s="79"/>
    </row>
    <row r="32" spans="1:61" ht="15" customHeight="1">
      <c r="A32" s="63"/>
      <c r="C32" s="77"/>
      <c r="U32" s="77"/>
      <c r="AD32" s="77"/>
      <c r="AM32" s="77"/>
      <c r="BI32" s="79"/>
    </row>
    <row r="33" spans="1:61" ht="15" customHeight="1">
      <c r="A33" s="63"/>
      <c r="C33" s="77"/>
      <c r="U33" s="77"/>
      <c r="AD33" s="77"/>
      <c r="AM33" s="77"/>
      <c r="BI33" s="79"/>
    </row>
    <row r="34" spans="1:61" ht="15" customHeight="1">
      <c r="A34" s="63"/>
      <c r="C34" s="77"/>
      <c r="U34" s="77"/>
      <c r="AD34" s="77"/>
      <c r="AM34" s="77"/>
      <c r="BI34" s="79"/>
    </row>
    <row r="35" spans="1:61" ht="15" customHeight="1">
      <c r="A35" s="63"/>
      <c r="C35" s="77"/>
      <c r="U35" s="77"/>
      <c r="AD35" s="77"/>
      <c r="AM35" s="77"/>
      <c r="BI35" s="79"/>
    </row>
    <row r="36" spans="1:61" ht="15" customHeight="1">
      <c r="A36" s="63"/>
      <c r="C36" s="77"/>
      <c r="U36" s="77"/>
      <c r="AD36" s="77"/>
      <c r="AM36" s="77"/>
      <c r="BI36" s="79"/>
    </row>
    <row r="37" spans="1:61" ht="15" customHeight="1">
      <c r="A37" s="63"/>
      <c r="C37" s="77"/>
      <c r="U37" s="77"/>
      <c r="AD37" s="77"/>
      <c r="AM37" s="77"/>
      <c r="BI37" s="79"/>
    </row>
    <row r="38" spans="1:61" ht="15" customHeight="1">
      <c r="A38" s="63"/>
      <c r="C38" s="77"/>
      <c r="U38" s="77"/>
      <c r="AD38" s="77"/>
      <c r="AM38" s="77"/>
      <c r="BI38" s="79"/>
    </row>
    <row r="39" spans="1:61" ht="15" customHeight="1">
      <c r="A39" s="63"/>
      <c r="C39" s="77"/>
      <c r="U39" s="77"/>
      <c r="AD39" s="77"/>
      <c r="AM39" s="77"/>
      <c r="BI39" s="79"/>
    </row>
    <row r="40" spans="1:61" ht="15" customHeight="1">
      <c r="A40" s="63"/>
      <c r="C40" s="77"/>
      <c r="U40" s="77"/>
      <c r="AD40" s="77"/>
      <c r="AM40" s="77"/>
      <c r="BI40" s="79"/>
    </row>
    <row r="41" spans="1:61" ht="15" customHeight="1">
      <c r="A41" s="63"/>
      <c r="C41" s="77"/>
      <c r="U41" s="77"/>
      <c r="AD41" s="77"/>
      <c r="AM41" s="77"/>
      <c r="BI41" s="79"/>
    </row>
    <row r="42" spans="1:61" ht="15" customHeight="1">
      <c r="A42" s="63"/>
      <c r="C42" s="77"/>
      <c r="U42" s="77"/>
      <c r="AD42" s="77"/>
      <c r="AM42" s="77"/>
      <c r="BI42" s="79"/>
    </row>
    <row r="43" spans="1:61" ht="15" customHeight="1">
      <c r="A43" s="63"/>
      <c r="C43" s="77"/>
      <c r="U43" s="77"/>
      <c r="AD43" s="77"/>
      <c r="AM43" s="77"/>
      <c r="BI43" s="79"/>
    </row>
    <row r="44" spans="1:61" ht="15" customHeight="1">
      <c r="A44" s="63"/>
      <c r="C44" s="77"/>
      <c r="U44" s="77"/>
      <c r="AD44" s="77"/>
      <c r="AM44" s="77"/>
      <c r="BI44" s="79"/>
    </row>
    <row r="45" spans="1:61" ht="15" customHeight="1">
      <c r="A45" s="63"/>
      <c r="C45" s="77"/>
      <c r="U45" s="77"/>
      <c r="AD45" s="77"/>
      <c r="AM45" s="77"/>
      <c r="BI45" s="79"/>
    </row>
    <row r="46" spans="1:61" ht="15" customHeight="1">
      <c r="A46" s="63"/>
      <c r="C46" s="77"/>
      <c r="U46" s="77"/>
      <c r="AD46" s="77"/>
      <c r="AM46" s="77"/>
      <c r="BI46" s="79"/>
    </row>
    <row r="47" spans="1:61" ht="15" customHeight="1">
      <c r="A47" s="63"/>
      <c r="C47" s="77"/>
      <c r="U47" s="77"/>
      <c r="AD47" s="77"/>
      <c r="AM47" s="77"/>
      <c r="BI47" s="79"/>
    </row>
    <row r="48" spans="1:61" ht="15" customHeight="1">
      <c r="A48" s="63"/>
      <c r="C48" s="77"/>
      <c r="U48" s="77"/>
      <c r="AD48" s="77"/>
      <c r="AM48" s="77"/>
      <c r="BI48" s="79"/>
    </row>
    <row r="49" spans="1:63" ht="15" customHeight="1">
      <c r="A49" s="63"/>
      <c r="C49" s="77"/>
      <c r="U49" s="77"/>
      <c r="AD49" s="77"/>
      <c r="AM49" s="77"/>
      <c r="BI49" s="79"/>
    </row>
    <row r="50" spans="1:63" ht="15" customHeight="1">
      <c r="A50" s="63"/>
      <c r="C50" s="77"/>
      <c r="U50" s="77"/>
      <c r="AD50" s="77"/>
      <c r="AM50" s="77"/>
      <c r="BI50" s="79"/>
    </row>
    <row r="51" spans="1:63" ht="15" customHeight="1">
      <c r="A51" s="63"/>
      <c r="C51" s="77"/>
      <c r="U51" s="77"/>
      <c r="AD51" s="77"/>
      <c r="AM51" s="77"/>
      <c r="BI51" s="79"/>
    </row>
    <row r="52" spans="1:63" ht="15" customHeight="1">
      <c r="A52" s="63"/>
      <c r="C52" s="77"/>
      <c r="U52" s="77"/>
      <c r="AD52" s="77"/>
      <c r="AM52" s="77"/>
      <c r="BI52" s="79"/>
    </row>
    <row r="53" spans="1:63" ht="15" customHeight="1">
      <c r="A53" s="63"/>
      <c r="C53" s="77"/>
      <c r="U53" s="77"/>
      <c r="AD53" s="77"/>
      <c r="AM53" s="77"/>
      <c r="BI53" s="79"/>
    </row>
    <row r="54" spans="1:63" ht="15" customHeight="1">
      <c r="A54" s="63"/>
      <c r="C54" s="77"/>
      <c r="U54" s="77"/>
      <c r="AD54" s="77"/>
      <c r="AM54" s="77"/>
      <c r="BI54" s="79"/>
    </row>
    <row r="55" spans="1:63" ht="15" customHeight="1">
      <c r="A55" s="60"/>
      <c r="B55" s="8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81"/>
      <c r="V55" s="61"/>
      <c r="W55" s="61"/>
      <c r="X55" s="61"/>
      <c r="Y55" s="61"/>
      <c r="Z55" s="61"/>
      <c r="AA55" s="61"/>
      <c r="AB55" s="61"/>
      <c r="AC55" s="61"/>
      <c r="AD55" s="81"/>
      <c r="AE55" s="61"/>
      <c r="AF55" s="61"/>
      <c r="AG55" s="61"/>
      <c r="AH55" s="61"/>
      <c r="AI55" s="61"/>
      <c r="AJ55" s="61"/>
      <c r="AK55" s="61"/>
      <c r="AL55" s="61"/>
      <c r="AM55" s="8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82"/>
      <c r="BJ55" s="61"/>
      <c r="BK55" s="62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表紙</vt:lpstr>
      <vt:lpstr>改訂履歴</vt:lpstr>
      <vt:lpstr>指摘履歴</vt:lpstr>
      <vt:lpstr>業務フロー</vt:lpstr>
      <vt:lpstr>機能概要説明</vt:lpstr>
      <vt:lpstr>機能概要</vt:lpstr>
      <vt:lpstr>画面イメージ</vt:lpstr>
      <vt:lpstr>テンプレート</vt:lpstr>
      <vt:lpstr>テンプレート!Print_Area</vt:lpstr>
      <vt:lpstr>指摘履歴!Print_Area</vt:lpstr>
      <vt:lpstr>改訂履歴!Print_Area</vt:lpstr>
      <vt:lpstr>業務フロー!Print_Area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cp:lastPrinted>2024-08-06T09:39:40Z</cp:lastPrinted>
  <dcterms:created xsi:type="dcterms:W3CDTF">2015-06-05T18:19:34Z</dcterms:created>
  <dcterms:modified xsi:type="dcterms:W3CDTF">2024-09-11T04:21:57Z</dcterms:modified>
  <cp:category/>
  <cp:contentStatus/>
</cp:coreProperties>
</file>