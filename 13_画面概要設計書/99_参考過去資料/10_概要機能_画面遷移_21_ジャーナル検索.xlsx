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A2C63432-705A-4ACE-B6CF-BD2D397EDD1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" sheetId="6" r:id="rId3"/>
    <sheet name="機能概要説明" sheetId="9" r:id="rId4"/>
    <sheet name="機能概要" sheetId="5" r:id="rId5"/>
    <sheet name="画面設計書" sheetId="7" r:id="rId6"/>
    <sheet name="レジ" sheetId="8" r:id="rId7"/>
    <sheet name="テンプレート" sheetId="2" r:id="rId8"/>
  </sheets>
  <definedNames>
    <definedName name="_xlnm.Print_Area" localSheetId="7">テンプレート!$A$1:$BK$55</definedName>
    <definedName name="_xlnm.Print_Area" localSheetId="6">レジ!$A$1:$BK$54</definedName>
    <definedName name="_xlnm.Print_Area" localSheetId="1">改訂履歴!$A$1:$BK$57</definedName>
    <definedName name="_xlnm.Print_Area" localSheetId="4">機能概要!$A$1:$BK$102</definedName>
    <definedName name="_xlnm.Print_Area" localSheetId="3">機能概要説明!$A$1:$BK$53</definedName>
    <definedName name="_xlnm.Print_Area" localSheetId="0">表紙!$A$1:$BK$55</definedName>
    <definedName name="_xlnm.Print_Titles" localSheetId="7">テンプレート!$1:$5</definedName>
    <definedName name="_xlnm.Print_Titles" localSheetId="6">レジ!$1:$5</definedName>
    <definedName name="_xlnm.Print_Titles" localSheetId="1">改訂履歴!$1:$5</definedName>
    <definedName name="_xlnm.Print_Titles" localSheetId="2">業務フロー!$1:$5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8"/>
  <c r="Z4" i="8"/>
  <c r="H4" i="8"/>
  <c r="K2" i="8"/>
  <c r="A2" i="8"/>
  <c r="W1" i="8"/>
  <c r="AP4" i="7"/>
  <c r="Z4" i="7"/>
  <c r="H4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102" i="5" s="1"/>
  <c r="AP4" i="5" a="1"/>
  <c r="AP4" i="5" s="1"/>
  <c r="Z4" i="5"/>
  <c r="H4" i="5"/>
  <c r="K2" i="5"/>
  <c r="A2" i="5"/>
  <c r="W1" i="5"/>
  <c r="AP4" i="9"/>
  <c r="Z4" i="9"/>
  <c r="H4" i="9"/>
  <c r="K2" i="9"/>
  <c r="A2" i="9"/>
  <c r="W1" i="9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9" s="1"/>
  <c r="BC2" i="4"/>
  <c r="BC2" i="2" s="1"/>
  <c r="AY2" i="4"/>
  <c r="AY2" i="8" s="1"/>
  <c r="AT2" i="4"/>
  <c r="AT2" i="7" s="1"/>
  <c r="AP2" i="4"/>
  <c r="AP2" i="9" s="1"/>
  <c r="AP2" i="3" l="1"/>
  <c r="BH2" i="3"/>
  <c r="AP2" i="6"/>
  <c r="AT2" i="9"/>
  <c r="AY2" i="5"/>
  <c r="AY2" i="7"/>
  <c r="BC2" i="8"/>
  <c r="AP2" i="2"/>
  <c r="BH2" i="2"/>
  <c r="AT2" i="3"/>
  <c r="AY2" i="6"/>
  <c r="AY2" i="9"/>
  <c r="BC2" i="5"/>
  <c r="BC2" i="7"/>
  <c r="AP2" i="8"/>
  <c r="BH2" i="8"/>
  <c r="AT2" i="2"/>
  <c r="AY2" i="3"/>
  <c r="BC2" i="6"/>
  <c r="BC2" i="9"/>
  <c r="AP2" i="5"/>
  <c r="BH2" i="5"/>
  <c r="AP2" i="7"/>
  <c r="BH2" i="7"/>
  <c r="AT2" i="8"/>
  <c r="AY2" i="2"/>
  <c r="BC2" i="3"/>
  <c r="BH2" i="6"/>
  <c r="AT2" i="5"/>
</calcChain>
</file>

<file path=xl/sharedStrings.xml><?xml version="1.0" encoding="utf-8"?>
<sst xmlns="http://schemas.openxmlformats.org/spreadsheetml/2006/main" count="234" uniqueCount="106">
  <si>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</si>
  <si>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</si>
  <si>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</si>
  <si>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</si>
  <si>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</si>
  <si>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</si>
  <si>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</si>
  <si>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</si>
  <si>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</si>
  <si>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</si>
  <si>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</si>
  <si>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</si>
  <si>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</si>
  <si>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</si>
  <si>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8"/>
        <color rgb="FF000000"/>
        <rFont val="Meiryo UI"/>
        <family val="3"/>
      </rPr>
      <t>基本設計書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</si>
  <si>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</si>
  <si>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</si>
  <si>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</si>
  <si>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</si>
  <si>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</si>
  <si>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</si>
  <si>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</si>
  <si>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</si>
  <si>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</si>
  <si>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</si>
  <si>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</si>
  <si>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</si>
  <si>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</si>
  <si>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</si>
  <si>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</si>
  <si>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</si>
  <si>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</si>
  <si>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</si>
  <si>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</si>
  <si>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</si>
  <si>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</si>
  <si>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POSサーバー</t>
    </r>
  </si>
  <si>
    <t>`</t>
  </si>
  <si>
    <r>
      <rPr>
        <sz val="24"/>
        <color rgb="FF000000"/>
        <rFont val="Meiryo UI"/>
        <family val="3"/>
      </rPr>
      <t>POSサーバーの基本設計書</t>
    </r>
  </si>
  <si>
    <r>
      <rPr>
        <sz val="11"/>
        <color rgb="FF000000"/>
        <rFont val="Meiryo UI"/>
        <family val="2"/>
      </rPr>
      <t>21_ジャーナル検索</t>
    </r>
  </si>
  <si>
    <r>
      <rPr>
        <sz val="11"/>
        <color rgb="FF000000"/>
        <rFont val="Meiryo UI"/>
        <family val="2"/>
      </rPr>
      <t>150: セルフPOSサービスカウンター</t>
    </r>
  </si>
  <si>
    <r>
      <rPr>
        <sz val="11"/>
        <color rgb="FF000000"/>
        <rFont val="Meiryo UI"/>
        <family val="2"/>
      </rPr>
      <t>151：セルフPOSキャッシュレス</t>
    </r>
  </si>
  <si>
    <r>
      <rPr>
        <sz val="11"/>
        <color rgb="FF000000"/>
        <rFont val="Meiryo UI"/>
        <family val="2"/>
      </rPr>
      <t>152：移動販売</t>
    </r>
  </si>
  <si>
    <r>
      <rPr>
        <sz val="11"/>
        <color rgb="FF000000"/>
        <rFont val="Meiryo UI"/>
        <family val="2"/>
      </rPr>
      <t>153：テナントレジ</t>
    </r>
  </si>
  <si>
    <r>
      <rPr>
        <sz val="11"/>
        <color rgb="FF000000"/>
        <rFont val="Meiryo UI"/>
        <family val="2"/>
      </rPr>
      <t>154：セルフPOSキャッシュ</t>
    </r>
  </si>
  <si>
    <r>
      <rPr>
        <sz val="11"/>
        <color rgb="FF000000"/>
        <rFont val="Meiryo UI"/>
        <family val="2"/>
      </rPr>
      <t>155：テナントレジ</t>
    </r>
  </si>
  <si>
    <r>
      <rPr>
        <sz val="11"/>
        <color rgb="FF000000"/>
        <rFont val="Meiryo UI"/>
        <family val="2"/>
      </rPr>
      <t>180：代表レジ</t>
    </r>
  </si>
  <si>
    <r>
      <rPr>
        <sz val="11"/>
        <color rgb="FF000000"/>
        <rFont val="Meiryo UI"/>
        <family val="2"/>
      </rPr>
      <t>181：子レジ1</t>
    </r>
  </si>
  <si>
    <r>
      <rPr>
        <sz val="11"/>
        <color rgb="FF000000"/>
        <rFont val="Meiryo UI"/>
        <family val="2"/>
      </rPr>
      <t>182：教育レジ1</t>
    </r>
  </si>
  <si>
    <r>
      <rPr>
        <sz val="11"/>
        <color rgb="FF000000"/>
        <rFont val="Meiryo UI"/>
        <family val="2"/>
      </rPr>
      <t>183：教育レジ2</t>
    </r>
  </si>
  <si>
    <r>
      <rPr>
        <sz val="11"/>
        <color rgb="FF000000"/>
        <rFont val="Meiryo UI"/>
        <family val="2"/>
      </rPr>
      <t>184：教育レジ3</t>
    </r>
  </si>
  <si>
    <r>
      <rPr>
        <sz val="11"/>
        <color rgb="FF000000"/>
        <rFont val="Meiryo UI"/>
        <family val="2"/>
      </rPr>
      <t>185：教育レジ4</t>
    </r>
  </si>
  <si>
    <r>
      <rPr>
        <sz val="11"/>
        <color rgb="FF000000"/>
        <rFont val="Meiryo UI"/>
        <family val="2"/>
      </rPr>
      <t>186：教育レジ5</t>
    </r>
  </si>
  <si>
    <r>
      <rPr>
        <sz val="11"/>
        <color rgb="FF000000"/>
        <rFont val="Meiryo UI"/>
        <family val="2"/>
      </rPr>
      <t>187：教育レジ6</t>
    </r>
  </si>
  <si>
    <r>
      <rPr>
        <sz val="11"/>
        <color rgb="FF000000"/>
        <rFont val="Meiryo UI"/>
        <family val="2"/>
      </rPr>
      <t>190：スマートPOS</t>
    </r>
  </si>
  <si>
    <r>
      <rPr>
        <sz val="11"/>
        <color rgb="FF000000"/>
        <rFont val="Meiryo UI"/>
        <family val="2"/>
      </rPr>
      <t>191：ネットスーパー</t>
    </r>
  </si>
  <si>
    <r>
      <rPr>
        <sz val="11"/>
        <color rgb="FF000000"/>
        <rFont val="Meiryo UI"/>
        <family val="2"/>
      </rPr>
      <t>192：スマートPOS</t>
    </r>
  </si>
  <si>
    <r>
      <rPr>
        <sz val="11"/>
        <color rgb="FF000000"/>
        <rFont val="Meiryo UI"/>
        <family val="2"/>
      </rPr>
      <t>319：通常レジ（２人制）</t>
    </r>
  </si>
  <si>
    <r>
      <rPr>
        <sz val="11"/>
        <color rgb="FF000000"/>
        <rFont val="Meiryo UI"/>
        <family val="2"/>
      </rPr>
      <t>329：WAON現金チャージ</t>
    </r>
  </si>
  <si>
    <r>
      <rPr>
        <sz val="11"/>
        <color rgb="FF000000"/>
        <rFont val="Meiryo UI"/>
        <family val="2"/>
      </rPr>
      <t>380：アテンダントステージョン</t>
    </r>
  </si>
  <si>
    <r>
      <rPr>
        <sz val="11"/>
        <color rgb="FF000000"/>
        <rFont val="Meiryo UI"/>
        <family val="2"/>
      </rPr>
      <t>401：セルフPOS</t>
    </r>
  </si>
  <si>
    <r>
      <rPr>
        <sz val="11"/>
        <color rgb="FF000000"/>
        <rFont val="Meiryo UI"/>
        <family val="2"/>
      </rPr>
      <t>1000：スマートPOS</t>
    </r>
  </si>
  <si>
    <r>
      <rPr>
        <sz val="11"/>
        <color rgb="FF000000"/>
        <rFont val="Meiryo UI"/>
        <family val="2"/>
      </rPr>
      <t>ジャーナル検索機能には次のことが可能になる。</t>
    </r>
  </si>
  <si>
    <r>
      <rPr>
        <sz val="11"/>
        <color rgb="FF000000"/>
        <rFont val="Meiryo UI"/>
        <family val="2"/>
      </rPr>
      <t>また、レシートNo.、担当者、任意文字列（キーワード）からも検索できる。</t>
    </r>
  </si>
  <si>
    <r>
      <rPr>
        <sz val="11"/>
        <color rgb="FF000000"/>
        <rFont val="Meiryo UI"/>
        <family val="2"/>
      </rPr>
      <t>・開始・終了日、開始・終了時刻の時間帯、最大検索件数によりジャーナル一覧を検索する。</t>
    </r>
  </si>
  <si>
    <r>
      <rPr>
        <sz val="11"/>
        <color rgb="FF000000"/>
        <rFont val="Meiryo UI"/>
        <family val="2"/>
      </rPr>
      <t>・検索結果取得後</t>
    </r>
  </si>
  <si>
    <r>
      <rPr>
        <sz val="11"/>
        <color rgb="FF000000"/>
        <rFont val="Meiryo UI"/>
        <family val="2"/>
      </rPr>
      <t>・ユーザーが選択しているレシートのイメージ一覧を表示できる。</t>
    </r>
  </si>
  <si>
    <r>
      <rPr>
        <sz val="11"/>
        <color rgb="FF000000"/>
        <rFont val="Meiryo UI"/>
        <family val="2"/>
      </rPr>
      <t>・ユーザーが選択しているレシートのイメージ一覧を印刷できる。</t>
    </r>
  </si>
  <si>
    <r>
      <rPr>
        <sz val="11"/>
        <color rgb="FF000000"/>
        <rFont val="Meiryo UI"/>
        <family val="2"/>
      </rPr>
      <t>コメントによる更新：エリア削除、検索方式追加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</si>
  <si>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</si>
  <si>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000000"/>
        <rFont val="Meiryo UI"/>
        <family val="2"/>
      </rPr>
      <t>DuNT</t>
    </r>
  </si>
  <si>
    <t xml:space="preserve"> 機能概要</t>
  </si>
  <si>
    <t>LoiLV</t>
  </si>
  <si>
    <t>APIコードの更新</t>
  </si>
  <si>
    <t>TinNH</t>
  </si>
  <si>
    <t>・レイアウトを変更</t>
  </si>
  <si>
    <t>・【任意文字列2】項目を追加</t>
  </si>
  <si>
    <t>・and検索とor検索を記載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</si>
  <si>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</si>
  <si>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</si>
  <si>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</si>
  <si>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</si>
  <si>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</si>
  <si>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</si>
  <si>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</si>
  <si>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</si>
  <si>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</si>
  <si>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21_ジャーナル検索</t>
  </si>
  <si>
    <t>■画面項目定義</t>
  </si>
  <si>
    <t>画面項目ID</t>
  </si>
  <si>
    <t>項目</t>
  </si>
  <si>
    <t>タイプ</t>
  </si>
  <si>
    <t>多言語対象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</si>
  <si>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</si>
  <si>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</si>
  <si>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</si>
  <si>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</si>
  <si>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</si>
  <si>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</si>
  <si>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</si>
  <si>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</si>
  <si>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</si>
  <si>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</si>
  <si>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Android POS Control</t>
  </si>
  <si>
    <r>
      <rPr>
        <sz val="11"/>
        <color rgb="FF000000"/>
        <rFont val="Meiryo UI"/>
        <family val="2"/>
      </rPr>
      <t>User ID</t>
    </r>
  </si>
  <si>
    <r>
      <rPr>
        <sz val="11"/>
        <color rgb="FF000000"/>
        <rFont val="Meiryo UI"/>
        <family val="2"/>
      </rPr>
      <t>Login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</si>
</sst>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10"/>
      <color rgb="FF000000"/>
      <name val="Meiryo UI"/>
      <family val="2"/>
    </font>
    <font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00FF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3" fillId="0" borderId="0">
      <alignment vertical="center"/>
    </xf>
  </cellStyleXfs>
  <cellXfs count="347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1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8" fillId="0" borderId="0" xfId="6" applyFont="1" applyAlignment="1">
      <alignment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vertical="center"/>
    </xf>
    <xf numFmtId="0" fontId="7" fillId="0" borderId="23" xfId="6" applyFont="1" applyBorder="1" applyAlignment="1">
      <alignment vertical="center"/>
    </xf>
    <xf numFmtId="0" fontId="7" fillId="0" borderId="25" xfId="6" applyFont="1" applyBorder="1" applyAlignment="1">
      <alignment horizontal="center" vertical="center"/>
    </xf>
    <xf numFmtId="0" fontId="7" fillId="0" borderId="26" xfId="6" applyFont="1" applyBorder="1" applyAlignment="1">
      <alignment horizontal="center" vertical="center"/>
    </xf>
    <xf numFmtId="0" fontId="7" fillId="0" borderId="26" xfId="6" applyFont="1" applyBorder="1" applyAlignment="1">
      <alignment vertical="center"/>
    </xf>
    <xf numFmtId="0" fontId="12" fillId="0" borderId="0" xfId="0" applyFont="1"/>
    <xf numFmtId="0" fontId="2" fillId="2" borderId="5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0" fillId="0" borderId="22" xfId="0" applyBorder="1"/>
    <xf numFmtId="0" fontId="0" fillId="0" borderId="31" xfId="0" applyBorder="1"/>
    <xf numFmtId="0" fontId="0" fillId="0" borderId="32" xfId="0" applyBorder="1"/>
    <xf numFmtId="0" fontId="0" fillId="0" borderId="3" xfId="0" applyBorder="1"/>
    <xf numFmtId="0" fontId="0" fillId="0" borderId="5" xfId="0" applyBorder="1"/>
    <xf numFmtId="0" fontId="0" fillId="0" borderId="30" xfId="0" applyBorder="1"/>
    <xf numFmtId="0" fontId="0" fillId="0" borderId="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2" fillId="2" borderId="0" xfId="0" applyFont="1" applyFill="1"/>
    <xf numFmtId="0" fontId="0" fillId="0" borderId="0" xfId="0"/>
    <xf numFmtId="0" fontId="0" fillId="0" borderId="4" xfId="0" applyBorder="1"/>
    <xf numFmtId="0" fontId="0" fillId="0" borderId="1" xfId="0" applyBorder="1"/>
    <xf numFmtId="0" fontId="7" fillId="0" borderId="30" xfId="6" applyFont="1" applyBorder="1" applyAlignment="1">
      <alignment horizontal="center" vertical="center"/>
    </xf>
    <xf numFmtId="0" fontId="7" fillId="0" borderId="31" xfId="6" applyFont="1" applyBorder="1" applyAlignment="1">
      <alignment horizontal="center" vertical="center"/>
    </xf>
    <xf numFmtId="0" fontId="7" fillId="0" borderId="32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7" fillId="0" borderId="27" xfId="6" applyFont="1" applyBorder="1" applyAlignment="1">
      <alignment horizontal="center" vertical="center"/>
    </xf>
    <xf numFmtId="0" fontId="7" fillId="0" borderId="28" xfId="6" applyFont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8" fillId="0" borderId="27" xfId="6" applyFont="1" applyBorder="1" applyAlignment="1">
      <alignment horizontal="center" vertical="center"/>
    </xf>
    <xf numFmtId="0" fontId="8" fillId="6" borderId="30" xfId="6" applyFont="1" applyFill="1" applyBorder="1" applyAlignment="1">
      <alignment vertical="center" wrapText="1"/>
    </xf>
    <xf numFmtId="0" fontId="7" fillId="6" borderId="32" xfId="6" applyFont="1" applyFill="1" applyBorder="1" applyAlignment="1">
      <alignment vertical="center"/>
    </xf>
    <xf numFmtId="0" fontId="7" fillId="6" borderId="1" xfId="6" applyFont="1" applyFill="1" applyBorder="1" applyAlignment="1">
      <alignment vertical="center"/>
    </xf>
    <xf numFmtId="0" fontId="7" fillId="6" borderId="4" xfId="6" applyFont="1" applyFill="1" applyBorder="1" applyAlignment="1">
      <alignment vertical="center"/>
    </xf>
    <xf numFmtId="0" fontId="7" fillId="6" borderId="2" xfId="6" applyFont="1" applyFill="1" applyBorder="1" applyAlignment="1">
      <alignment vertical="center"/>
    </xf>
    <xf numFmtId="0" fontId="7" fillId="6" borderId="5" xfId="6" applyFont="1" applyFill="1" applyBorder="1" applyAlignment="1">
      <alignment vertical="center"/>
    </xf>
    <xf numFmtId="0" fontId="8" fillId="6" borderId="30" xfId="6" applyFont="1" applyFill="1" applyBorder="1" applyAlignment="1">
      <alignment vertical="center"/>
    </xf>
    <xf numFmtId="0" fontId="7" fillId="6" borderId="31" xfId="6" applyFont="1" applyFill="1" applyBorder="1" applyAlignment="1">
      <alignment vertical="center"/>
    </xf>
    <xf numFmtId="0" fontId="7" fillId="6" borderId="0" xfId="6" applyFont="1" applyFill="1" applyAlignment="1">
      <alignment vertical="center"/>
    </xf>
    <xf numFmtId="0" fontId="7" fillId="6" borderId="3" xfId="6" applyFont="1" applyFill="1" applyBorder="1" applyAlignment="1">
      <alignment vertical="center"/>
    </xf>
    <xf numFmtId="0" fontId="7" fillId="6" borderId="47" xfId="6" applyFont="1" applyFill="1" applyBorder="1" applyAlignment="1">
      <alignment vertical="center" shrinkToFit="1"/>
    </xf>
    <xf numFmtId="0" fontId="7" fillId="6" borderId="49" xfId="6" applyFont="1" applyFill="1" applyBorder="1" applyAlignment="1">
      <alignment vertical="center" shrinkToFit="1"/>
    </xf>
    <xf numFmtId="0" fontId="7" fillId="6" borderId="48" xfId="6" applyFont="1" applyFill="1" applyBorder="1" applyAlignment="1">
      <alignment vertical="center" shrinkToFit="1"/>
    </xf>
    <xf numFmtId="0" fontId="8" fillId="6" borderId="47" xfId="6" applyFont="1" applyFill="1" applyBorder="1" applyAlignment="1">
      <alignment vertical="center" wrapText="1"/>
    </xf>
    <xf numFmtId="0" fontId="8" fillId="6" borderId="49" xfId="6" applyFont="1" applyFill="1" applyBorder="1" applyAlignment="1">
      <alignment vertical="center" wrapText="1"/>
    </xf>
    <xf numFmtId="0" fontId="8" fillId="6" borderId="48" xfId="6" applyFont="1" applyFill="1" applyBorder="1" applyAlignment="1">
      <alignment vertical="center" wrapText="1"/>
    </xf>
    <xf numFmtId="0" fontId="8" fillId="4" borderId="27" xfId="6" applyFont="1" applyFill="1" applyBorder="1" applyAlignment="1">
      <alignment vertical="center"/>
    </xf>
    <xf numFmtId="0" fontId="7" fillId="4" borderId="28" xfId="6" applyFont="1" applyFill="1" applyBorder="1" applyAlignment="1">
      <alignment vertical="center"/>
    </xf>
    <xf numFmtId="0" fontId="7" fillId="4" borderId="50" xfId="6" applyFont="1" applyFill="1" applyBorder="1" applyAlignment="1">
      <alignment vertical="center"/>
    </xf>
    <xf numFmtId="0" fontId="8" fillId="4" borderId="51" xfId="6" applyFont="1" applyFill="1" applyBorder="1" applyAlignment="1">
      <alignment vertical="center"/>
    </xf>
    <xf numFmtId="0" fontId="7" fillId="4" borderId="29" xfId="6" applyFont="1" applyFill="1" applyBorder="1" applyAlignment="1">
      <alignment vertical="center"/>
    </xf>
    <xf numFmtId="0" fontId="7" fillId="0" borderId="36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36" xfId="6" applyFont="1" applyBorder="1" applyAlignment="1">
      <alignment vertical="center"/>
    </xf>
    <xf numFmtId="0" fontId="7" fillId="0" borderId="37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41" xfId="6" applyFont="1" applyBorder="1" applyAlignment="1">
      <alignment vertical="center"/>
    </xf>
    <xf numFmtId="0" fontId="7" fillId="0" borderId="42" xfId="6" applyFont="1" applyBorder="1" applyAlignment="1">
      <alignment vertical="center"/>
    </xf>
    <xf numFmtId="0" fontId="7" fillId="0" borderId="43" xfId="6" applyFont="1" applyBorder="1" applyAlignment="1">
      <alignment vertical="center"/>
    </xf>
    <xf numFmtId="0" fontId="8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8" fillId="3" borderId="27" xfId="6" applyFont="1" applyFill="1" applyBorder="1" applyAlignment="1">
      <alignment vertical="center"/>
    </xf>
    <xf numFmtId="0" fontId="7" fillId="3" borderId="28" xfId="6" applyFont="1" applyFill="1" applyBorder="1" applyAlignment="1">
      <alignment vertical="center"/>
    </xf>
    <xf numFmtId="0" fontId="7" fillId="3" borderId="29" xfId="6" applyFont="1" applyFill="1" applyBorder="1" applyAlignment="1">
      <alignment vertical="center"/>
    </xf>
    <xf numFmtId="0" fontId="8" fillId="5" borderId="30" xfId="6" applyFont="1" applyFill="1" applyBorder="1" applyAlignment="1">
      <alignment vertical="center"/>
    </xf>
    <xf numFmtId="0" fontId="7" fillId="5" borderId="31" xfId="6" applyFont="1" applyFill="1" applyBorder="1" applyAlignment="1">
      <alignment vertical="center"/>
    </xf>
    <xf numFmtId="0" fontId="7" fillId="5" borderId="32" xfId="6" applyFont="1" applyFill="1" applyBorder="1" applyAlignment="1">
      <alignment vertical="center"/>
    </xf>
    <xf numFmtId="0" fontId="7" fillId="5" borderId="1" xfId="6" applyFont="1" applyFill="1" applyBorder="1" applyAlignment="1">
      <alignment vertical="center"/>
    </xf>
    <xf numFmtId="0" fontId="7" fillId="5" borderId="0" xfId="6" applyFont="1" applyFill="1" applyAlignment="1">
      <alignment vertical="center"/>
    </xf>
    <xf numFmtId="0" fontId="7" fillId="5" borderId="4" xfId="6" applyFont="1" applyFill="1" applyBorder="1" applyAlignment="1">
      <alignment vertical="center"/>
    </xf>
    <xf numFmtId="0" fontId="7" fillId="5" borderId="2" xfId="6" applyFont="1" applyFill="1" applyBorder="1" applyAlignment="1">
      <alignment vertical="center"/>
    </xf>
    <xf numFmtId="0" fontId="7" fillId="5" borderId="3" xfId="6" applyFont="1" applyFill="1" applyBorder="1" applyAlignment="1">
      <alignment vertical="center"/>
    </xf>
    <xf numFmtId="0" fontId="7" fillId="5" borderId="5" xfId="6" applyFont="1" applyFill="1" applyBorder="1" applyAlignment="1">
      <alignment vertical="center"/>
    </xf>
    <xf numFmtId="0" fontId="8" fillId="3" borderId="27" xfId="6" applyFont="1" applyFill="1" applyBorder="1"/>
    <xf numFmtId="0" fontId="8" fillId="3" borderId="28" xfId="6" applyFont="1" applyFill="1" applyBorder="1"/>
    <xf numFmtId="0" fontId="8" fillId="3" borderId="29" xfId="6" applyFont="1" applyFill="1" applyBorder="1"/>
    <xf numFmtId="0" fontId="8" fillId="3" borderId="30" xfId="6" applyFont="1" applyFill="1" applyBorder="1" applyAlignment="1">
      <alignment vertical="center"/>
    </xf>
    <xf numFmtId="0" fontId="7" fillId="3" borderId="31" xfId="6" applyFont="1" applyFill="1" applyBorder="1" applyAlignment="1">
      <alignment vertical="center"/>
    </xf>
    <xf numFmtId="0" fontId="7" fillId="3" borderId="32" xfId="6" applyFont="1" applyFill="1" applyBorder="1" applyAlignment="1">
      <alignment vertical="center"/>
    </xf>
    <xf numFmtId="0" fontId="7" fillId="3" borderId="2" xfId="6" applyFont="1" applyFill="1" applyBorder="1" applyAlignment="1">
      <alignment vertical="center"/>
    </xf>
    <xf numFmtId="0" fontId="7" fillId="3" borderId="3" xfId="6" applyFont="1" applyFill="1" applyBorder="1" applyAlignment="1">
      <alignment vertical="center"/>
    </xf>
    <xf numFmtId="0" fontId="7" fillId="3" borderId="5" xfId="6" applyFont="1" applyFill="1" applyBorder="1" applyAlignment="1">
      <alignment vertical="center"/>
    </xf>
    <xf numFmtId="0" fontId="7" fillId="4" borderId="30" xfId="6" applyFont="1" applyFill="1" applyBorder="1" applyAlignment="1">
      <alignment vertical="center" wrapText="1"/>
    </xf>
    <xf numFmtId="0" fontId="7" fillId="4" borderId="2" xfId="6" applyFont="1" applyFill="1" applyBorder="1" applyAlignment="1">
      <alignment vertical="center" wrapText="1"/>
    </xf>
    <xf numFmtId="0" fontId="8" fillId="4" borderId="47" xfId="6" applyFont="1" applyFill="1" applyBorder="1" applyAlignment="1">
      <alignment vertical="center" wrapText="1"/>
    </xf>
    <xf numFmtId="0" fontId="8" fillId="4" borderId="48" xfId="6" applyFont="1" applyFill="1" applyBorder="1" applyAlignment="1">
      <alignment vertical="center" wrapText="1"/>
    </xf>
    <xf numFmtId="0" fontId="8" fillId="4" borderId="32" xfId="6" applyFont="1" applyFill="1" applyBorder="1" applyAlignment="1">
      <alignment vertical="center" wrapText="1"/>
    </xf>
    <xf numFmtId="0" fontId="8" fillId="4" borderId="5" xfId="6" applyFont="1" applyFill="1" applyBorder="1" applyAlignment="1">
      <alignment vertical="center" wrapText="1"/>
    </xf>
    <xf numFmtId="0" fontId="8" fillId="0" borderId="36" xfId="6" applyFont="1" applyBorder="1" applyAlignment="1">
      <alignment horizontal="center" vertical="center" wrapText="1"/>
    </xf>
    <xf numFmtId="0" fontId="8" fillId="0" borderId="37" xfId="6" applyFont="1" applyBorder="1" applyAlignment="1">
      <alignment horizontal="center" vertical="center" wrapText="1"/>
    </xf>
    <xf numFmtId="0" fontId="8" fillId="0" borderId="22" xfId="6" applyFont="1" applyBorder="1" applyAlignment="1">
      <alignment horizontal="center" vertical="center" wrapText="1"/>
    </xf>
    <xf numFmtId="0" fontId="7" fillId="0" borderId="36" xfId="6" applyFont="1" applyBorder="1" applyAlignment="1">
      <alignment horizontal="left" vertical="center"/>
    </xf>
    <xf numFmtId="0" fontId="7" fillId="0" borderId="37" xfId="6" applyFont="1" applyBorder="1" applyAlignment="1">
      <alignment horizontal="left" vertical="center"/>
    </xf>
    <xf numFmtId="0" fontId="7" fillId="0" borderId="22" xfId="6" applyFont="1" applyBorder="1" applyAlignment="1">
      <alignment horizontal="left" vertical="center"/>
    </xf>
    <xf numFmtId="0" fontId="7" fillId="0" borderId="41" xfId="6" applyFont="1" applyBorder="1" applyAlignment="1">
      <alignment horizontal="center" vertical="center"/>
    </xf>
    <xf numFmtId="0" fontId="7" fillId="0" borderId="43" xfId="6" applyFont="1" applyBorder="1" applyAlignment="1">
      <alignment horizontal="center" vertical="center"/>
    </xf>
    <xf numFmtId="0" fontId="7" fillId="0" borderId="41" xfId="6" quotePrefix="1" applyFont="1" applyBorder="1" applyAlignment="1">
      <alignment vertical="center" wrapText="1"/>
    </xf>
    <xf numFmtId="0" fontId="7" fillId="0" borderId="42" xfId="6" quotePrefix="1" applyFont="1" applyBorder="1" applyAlignment="1">
      <alignment vertical="center" wrapText="1"/>
    </xf>
    <xf numFmtId="0" fontId="7" fillId="0" borderId="43" xfId="6" quotePrefix="1" applyFont="1" applyBorder="1" applyAlignment="1">
      <alignment vertical="center" wrapText="1"/>
    </xf>
    <xf numFmtId="0" fontId="8" fillId="0" borderId="41" xfId="6" applyFont="1" applyBorder="1" applyAlignment="1">
      <alignment horizontal="center" vertical="center"/>
    </xf>
    <xf numFmtId="0" fontId="7" fillId="0" borderId="42" xfId="6" applyFont="1" applyBorder="1" applyAlignment="1">
      <alignment horizontal="center" vertical="center"/>
    </xf>
    <xf numFmtId="0" fontId="7" fillId="0" borderId="41" xfId="6" quotePrefix="1" applyFont="1" applyBorder="1" applyAlignment="1">
      <alignment vertical="center"/>
    </xf>
    <xf numFmtId="0" fontId="7" fillId="0" borderId="42" xfId="6" quotePrefix="1" applyFont="1" applyBorder="1" applyAlignment="1">
      <alignment vertical="center"/>
    </xf>
    <xf numFmtId="0" fontId="7" fillId="0" borderId="43" xfId="6" quotePrefix="1" applyFont="1" applyBorder="1" applyAlignment="1">
      <alignment vertical="center"/>
    </xf>
    <xf numFmtId="0" fontId="8" fillId="0" borderId="41" xfId="6" quotePrefix="1" applyFont="1" applyBorder="1" applyAlignment="1">
      <alignment horizontal="center" vertical="center" wrapText="1"/>
    </xf>
    <xf numFmtId="0" fontId="8" fillId="0" borderId="42" xfId="6" applyFont="1" applyBorder="1" applyAlignment="1">
      <alignment horizontal="center" vertical="center" wrapText="1"/>
    </xf>
    <xf numFmtId="0" fontId="8" fillId="0" borderId="43" xfId="6" applyFont="1" applyBorder="1" applyAlignment="1">
      <alignment horizontal="center" vertical="center" wrapText="1"/>
    </xf>
    <xf numFmtId="0" fontId="7" fillId="0" borderId="41" xfId="6" applyFont="1" applyBorder="1" applyAlignment="1">
      <alignment horizontal="left" vertical="center"/>
    </xf>
    <xf numFmtId="0" fontId="7" fillId="0" borderId="42" xfId="6" applyFont="1" applyBorder="1" applyAlignment="1">
      <alignment horizontal="left" vertical="center"/>
    </xf>
    <xf numFmtId="0" fontId="7" fillId="0" borderId="43" xfId="6" applyFont="1" applyBorder="1" applyAlignment="1">
      <alignment horizontal="left" vertical="center"/>
    </xf>
    <xf numFmtId="0" fontId="9" fillId="0" borderId="41" xfId="6" applyFont="1" applyBorder="1" applyAlignment="1">
      <alignment vertical="center" wrapText="1"/>
    </xf>
    <xf numFmtId="0" fontId="8" fillId="0" borderId="41" xfId="6" quotePrefix="1" applyFont="1" applyBorder="1" applyAlignment="1">
      <alignment horizontal="center" vertical="center"/>
    </xf>
    <xf numFmtId="0" fontId="8" fillId="0" borderId="42" xfId="6" applyFont="1" applyBorder="1" applyAlignment="1">
      <alignment horizontal="center" vertical="center"/>
    </xf>
    <xf numFmtId="0" fontId="8" fillId="0" borderId="43" xfId="6" applyFont="1" applyBorder="1" applyAlignment="1">
      <alignment horizontal="center" vertical="center"/>
    </xf>
    <xf numFmtId="0" fontId="7" fillId="0" borderId="41" xfId="6" quotePrefix="1" applyFont="1" applyBorder="1" applyAlignment="1">
      <alignment horizontal="center" vertical="center"/>
    </xf>
    <xf numFmtId="0" fontId="7" fillId="0" borderId="33" xfId="6" applyFont="1" applyBorder="1" applyAlignment="1">
      <alignment horizontal="center" vertical="center"/>
    </xf>
    <xf numFmtId="0" fontId="7" fillId="0" borderId="34" xfId="6" applyFont="1" applyBorder="1" applyAlignment="1">
      <alignment horizontal="center" vertical="center"/>
    </xf>
    <xf numFmtId="0" fontId="7" fillId="0" borderId="35" xfId="6" applyFont="1" applyBorder="1" applyAlignment="1">
      <alignment horizontal="center" vertical="center"/>
    </xf>
    <xf numFmtId="0" fontId="7" fillId="0" borderId="33" xfId="6" applyFont="1" applyBorder="1" applyAlignment="1">
      <alignment horizontal="left" vertical="center"/>
    </xf>
    <xf numFmtId="0" fontId="7" fillId="0" borderId="34" xfId="6" applyFont="1" applyBorder="1" applyAlignment="1">
      <alignment horizontal="left" vertical="center"/>
    </xf>
    <xf numFmtId="0" fontId="7" fillId="0" borderId="35" xfId="6" applyFont="1" applyBorder="1" applyAlignment="1">
      <alignment horizontal="left" vertical="center"/>
    </xf>
    <xf numFmtId="0" fontId="7" fillId="0" borderId="33" xfId="6" quotePrefix="1" applyFont="1" applyBorder="1" applyAlignment="1">
      <alignment vertical="center"/>
    </xf>
    <xf numFmtId="0" fontId="7" fillId="0" borderId="34" xfId="6" quotePrefix="1" applyFont="1" applyBorder="1" applyAlignment="1">
      <alignment vertical="center"/>
    </xf>
    <xf numFmtId="0" fontId="7" fillId="0" borderId="35" xfId="6" quotePrefix="1" applyFont="1" applyBorder="1" applyAlignment="1">
      <alignment vertical="center"/>
    </xf>
    <xf numFmtId="0" fontId="7" fillId="0" borderId="33" xfId="6" applyFont="1" applyBorder="1" applyAlignment="1">
      <alignment vertical="center"/>
    </xf>
    <xf numFmtId="0" fontId="7" fillId="0" borderId="34" xfId="6" applyFont="1" applyBorder="1" applyAlignment="1">
      <alignment vertical="center"/>
    </xf>
    <xf numFmtId="0" fontId="7" fillId="0" borderId="35" xfId="6" applyFont="1" applyBorder="1" applyAlignment="1">
      <alignment vertical="center"/>
    </xf>
    <xf numFmtId="0" fontId="8" fillId="0" borderId="33" xfId="6" quotePrefix="1" applyFont="1" applyBorder="1" applyAlignment="1">
      <alignment horizontal="center" vertical="center"/>
    </xf>
    <xf numFmtId="0" fontId="8" fillId="0" borderId="34" xfId="6" applyFont="1" applyBorder="1" applyAlignment="1">
      <alignment horizontal="center" vertical="center"/>
    </xf>
    <xf numFmtId="0" fontId="8" fillId="0" borderId="35" xfId="6" applyFont="1" applyBorder="1" applyAlignment="1">
      <alignment horizontal="center" vertical="center"/>
    </xf>
    <xf numFmtId="14" fontId="14" fillId="0" borderId="30" xfId="0" applyNumberFormat="1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6" xfId="0" applyFont="1" applyBorder="1"/>
    <xf numFmtId="0" fontId="14" fillId="0" borderId="37" xfId="0" applyFont="1" applyBorder="1"/>
    <xf numFmtId="0" fontId="14" fillId="0" borderId="22" xfId="0" applyFont="1" applyBorder="1"/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33" xfId="0" applyFont="1" applyBorder="1"/>
    <xf numFmtId="0" fontId="14" fillId="0" borderId="34" xfId="0" applyFont="1" applyBorder="1"/>
    <xf numFmtId="0" fontId="14" fillId="0" borderId="35" xfId="0" applyFont="1" applyBorder="1"/>
    <xf numFmtId="14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6" xfId="0" applyFont="1" applyBorder="1"/>
    <xf numFmtId="0" fontId="15" fillId="0" borderId="37" xfId="0" applyFont="1" applyBorder="1"/>
    <xf numFmtId="0" fontId="15" fillId="0" borderId="22" xfId="0" applyFont="1" applyBorder="1"/>
    <xf numFmtId="14" fontId="15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8" xfId="0" quotePrefix="1" applyFont="1" applyBorder="1" applyAlignment="1">
      <alignment horizontal="left"/>
    </xf>
    <xf numFmtId="0" fontId="15" fillId="0" borderId="39" xfId="0" applyFont="1" applyBorder="1" applyAlignment="1">
      <alignment horizontal="left"/>
    </xf>
    <xf numFmtId="0" fontId="15" fillId="0" borderId="40" xfId="0" applyFont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33" xfId="0" quotePrefix="1" applyFont="1" applyBorder="1" applyAlignment="1">
      <alignment horizontal="left"/>
    </xf>
    <xf numFmtId="0" fontId="15" fillId="0" borderId="34" xfId="0" applyFont="1" applyBorder="1" applyAlignment="1">
      <alignment horizontal="left"/>
    </xf>
    <xf numFmtId="0" fontId="15" fillId="0" borderId="35" xfId="0" applyFont="1" applyBorder="1" applyAlignment="1">
      <alignment horizontal="left"/>
    </xf>
    <xf numFmtId="0" fontId="0" fillId="0" borderId="0" xfId="0" applyFont="1"/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4" fontId="0" fillId="0" borderId="30" xfId="0" applyNumberFormat="1" applyFont="1" applyBorder="1" applyAlignment="1">
      <alignment horizontal="center" vertical="center"/>
    </xf>
    <xf numFmtId="14" fontId="0" fillId="0" borderId="31" xfId="0" applyNumberFormat="1" applyFont="1" applyBorder="1" applyAlignment="1">
      <alignment horizontal="center" vertical="center"/>
    </xf>
    <xf numFmtId="14" fontId="0" fillId="0" borderId="3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6" fillId="2" borderId="27" xfId="6" applyFont="1" applyFill="1" applyBorder="1" applyAlignment="1">
      <alignment horizontal="center" vertical="center"/>
    </xf>
    <xf numFmtId="0" fontId="16" fillId="2" borderId="28" xfId="6" applyFont="1" applyFill="1" applyBorder="1" applyAlignment="1">
      <alignment horizontal="center" vertical="center"/>
    </xf>
    <xf numFmtId="0" fontId="16" fillId="2" borderId="29" xfId="6" applyFont="1" applyFill="1" applyBorder="1" applyAlignment="1">
      <alignment horizontal="center" vertical="center"/>
    </xf>
    <xf numFmtId="0" fontId="18" fillId="0" borderId="30" xfId="6" applyFont="1" applyBorder="1" applyAlignment="1">
      <alignment horizontal="center" vertical="center"/>
    </xf>
    <xf numFmtId="0" fontId="18" fillId="0" borderId="31" xfId="6" applyFont="1" applyBorder="1" applyAlignment="1">
      <alignment horizontal="center" vertical="center"/>
    </xf>
    <xf numFmtId="0" fontId="18" fillId="0" borderId="32" xfId="6" applyFont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/>
    </xf>
    <xf numFmtId="0" fontId="19" fillId="0" borderId="0" xfId="0" applyFont="1"/>
    <xf numFmtId="0" fontId="18" fillId="0" borderId="1" xfId="6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8" fillId="0" borderId="4" xfId="6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14" fontId="19" fillId="0" borderId="30" xfId="0" applyNumberFormat="1" applyFont="1" applyBorder="1" applyAlignment="1">
      <alignment horizontal="center" vertical="center"/>
    </xf>
    <xf numFmtId="14" fontId="19" fillId="0" borderId="31" xfId="0" applyNumberFormat="1" applyFont="1" applyBorder="1" applyAlignment="1">
      <alignment horizontal="center" vertical="center"/>
    </xf>
    <xf numFmtId="14" fontId="19" fillId="0" borderId="32" xfId="0" applyNumberFormat="1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0" xfId="0" quotePrefix="1" applyFont="1"/>
    <xf numFmtId="0" fontId="18" fillId="0" borderId="3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4" xfId="0" applyFont="1" applyBorder="1"/>
    <xf numFmtId="0" fontId="17" fillId="2" borderId="0" xfId="0" applyFont="1" applyFill="1" applyAlignment="1">
      <alignment vertical="center"/>
    </xf>
    <xf numFmtId="0" fontId="16" fillId="2" borderId="16" xfId="0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6" fillId="2" borderId="17" xfId="0" applyFont="1" applyFill="1" applyBorder="1" applyAlignment="1">
      <alignment vertical="center"/>
    </xf>
    <xf numFmtId="0" fontId="19" fillId="0" borderId="18" xfId="0" applyFont="1" applyBorder="1"/>
    <xf numFmtId="0" fontId="19" fillId="0" borderId="19" xfId="7" applyFont="1" applyBorder="1">
      <alignment vertical="center"/>
    </xf>
    <xf numFmtId="0" fontId="19" fillId="0" borderId="19" xfId="0" applyFont="1" applyBorder="1"/>
    <xf numFmtId="0" fontId="19" fillId="0" borderId="1" xfId="7" applyFont="1" applyBorder="1">
      <alignment vertical="center"/>
    </xf>
    <xf numFmtId="0" fontId="19" fillId="0" borderId="0" xfId="7" applyFont="1">
      <alignment vertical="center"/>
    </xf>
    <xf numFmtId="0" fontId="19" fillId="0" borderId="18" xfId="7" applyFont="1" applyBorder="1">
      <alignment vertical="center"/>
    </xf>
    <xf numFmtId="0" fontId="19" fillId="0" borderId="4" xfId="7" applyFont="1" applyBorder="1">
      <alignment vertical="center"/>
    </xf>
    <xf numFmtId="0" fontId="19" fillId="0" borderId="2" xfId="7" applyFont="1" applyBorder="1">
      <alignment vertical="center"/>
    </xf>
    <xf numFmtId="0" fontId="19" fillId="0" borderId="20" xfId="7" applyFont="1" applyBorder="1">
      <alignment vertical="center"/>
    </xf>
    <xf numFmtId="0" fontId="19" fillId="0" borderId="3" xfId="7" applyFont="1" applyBorder="1">
      <alignment vertical="center"/>
    </xf>
    <xf numFmtId="0" fontId="19" fillId="0" borderId="21" xfId="7" applyFont="1" applyBorder="1">
      <alignment vertical="center"/>
    </xf>
    <xf numFmtId="0" fontId="19" fillId="0" borderId="5" xfId="7" applyFont="1" applyBorder="1">
      <alignment vertical="center"/>
    </xf>
    <xf numFmtId="0" fontId="19" fillId="0" borderId="0" xfId="6" applyFont="1" applyAlignment="1">
      <alignment vertical="center"/>
    </xf>
    <xf numFmtId="0" fontId="19" fillId="0" borderId="36" xfId="6" applyFont="1" applyBorder="1" applyAlignment="1">
      <alignment vertical="center" wrapText="1"/>
    </xf>
    <xf numFmtId="0" fontId="19" fillId="0" borderId="37" xfId="6" applyFont="1" applyBorder="1" applyAlignment="1">
      <alignment vertical="center" wrapText="1"/>
    </xf>
    <xf numFmtId="0" fontId="19" fillId="0" borderId="22" xfId="6" applyFont="1" applyBorder="1" applyAlignment="1">
      <alignment vertical="center" wrapText="1"/>
    </xf>
    <xf numFmtId="0" fontId="19" fillId="0" borderId="42" xfId="6" applyFont="1" applyBorder="1" applyAlignment="1">
      <alignment vertical="center"/>
    </xf>
    <xf numFmtId="0" fontId="19" fillId="0" borderId="43" xfId="6" applyFont="1" applyBorder="1" applyAlignment="1">
      <alignment vertical="center"/>
    </xf>
    <xf numFmtId="0" fontId="19" fillId="0" borderId="41" xfId="6" applyFont="1" applyBorder="1" applyAlignment="1">
      <alignment vertical="center"/>
    </xf>
    <xf numFmtId="0" fontId="19" fillId="0" borderId="44" xfId="6" quotePrefix="1" applyFont="1" applyBorder="1" applyAlignment="1">
      <alignment vertical="center"/>
    </xf>
    <xf numFmtId="0" fontId="19" fillId="0" borderId="45" xfId="6" quotePrefix="1" applyFont="1" applyBorder="1" applyAlignment="1">
      <alignment vertical="center"/>
    </xf>
    <xf numFmtId="0" fontId="19" fillId="0" borderId="46" xfId="6" quotePrefix="1" applyFont="1" applyBorder="1" applyAlignment="1">
      <alignment vertical="center"/>
    </xf>
    <xf numFmtId="0" fontId="19" fillId="0" borderId="44" xfId="6" applyFont="1" applyBorder="1" applyAlignment="1">
      <alignment vertical="center"/>
    </xf>
    <xf numFmtId="0" fontId="19" fillId="0" borderId="45" xfId="6" applyFont="1" applyBorder="1" applyAlignment="1">
      <alignment vertical="center"/>
    </xf>
    <xf numFmtId="0" fontId="19" fillId="0" borderId="46" xfId="6" applyFont="1" applyBorder="1" applyAlignment="1">
      <alignment vertical="center"/>
    </xf>
    <xf numFmtId="0" fontId="19" fillId="0" borderId="33" xfId="6" applyFont="1" applyBorder="1" applyAlignment="1">
      <alignment vertical="center"/>
    </xf>
    <xf numFmtId="0" fontId="19" fillId="0" borderId="34" xfId="6" applyFont="1" applyBorder="1" applyAlignment="1">
      <alignment vertical="center"/>
    </xf>
    <xf numFmtId="0" fontId="19" fillId="0" borderId="35" xfId="6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20" xfId="0" applyFont="1" applyBorder="1"/>
    <xf numFmtId="0" fontId="19" fillId="0" borderId="21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81</xdr:row>
      <xdr:rowOff>7</xdr:rowOff>
    </xdr:from>
    <xdr:to>
      <xdr:col>61</xdr:col>
      <xdr:colOff>0</xdr:colOff>
      <xdr:row>92</xdr:row>
      <xdr:rowOff>7</xdr:rowOff>
    </xdr:to>
    <xdr:sp macro="" textlink="" fLocksText="0">
      <xdr:nvSpPr>
        <xdr:cNvPr id="87" name="吹き出し: 線 2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10134600" y="15544800"/>
          <a:ext cx="6134100" cy="2095500"/>
        </a:xfrm>
        <a:prstGeom prst="borderCallout1">
          <a:avLst>
            <a:gd name="adj1" fmla="val 48210"/>
            <a:gd name="adj2" fmla="val 884"/>
            <a:gd name="adj3" fmla="val -64477"/>
            <a:gd name="adj4" fmla="val -13444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レコード結果にレコードが存在している場合、「全選択」ボタンと「全解除」ボタンが表示され、「検索結果が2件を超えたため、最初の{ユーザーが入力した最大件数}件を表示しています。」が表示される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複数のレコードを選択できる。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全選択をタッチすると、画面上の全てのレコードを選択し、SC2101_ジャーナル検索画面で選択したレシートイメージ一覧が表示される。ブラウザの検索キーの組合せ (Ctrl+F など) を使用する時、検索ボックスに入力されたテキストに基づいて検索ジャーナルを実行する。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「全解除」をタッチすると、画面上の全てのレコードの選択を解除する。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レコードの行1をタッチすると、ジャーナル検索画面SC2101で選択したレシート詳細が表示される。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95</xdr:row>
      <xdr:rowOff>7</xdr:rowOff>
    </xdr:from>
    <xdr:to>
      <xdr:col>61</xdr:col>
      <xdr:colOff>0</xdr:colOff>
      <xdr:row>97</xdr:row>
      <xdr:rowOff>7</xdr:rowOff>
    </xdr:to>
    <xdr:sp macro="" textlink="" fLocksText="0">
      <xdr:nvSpPr>
        <xdr:cNvPr id="104" name="吹き出し: 線 12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10134600" y="18211800"/>
          <a:ext cx="6134100" cy="381000"/>
        </a:xfrm>
        <a:prstGeom prst="borderCallout1">
          <a:avLst>
            <a:gd name="adj1" fmla="val 75416"/>
            <a:gd name="adj2" fmla="val -565"/>
            <a:gd name="adj3" fmla="val -398383"/>
            <a:gd name="adj4" fmla="val -4776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選択されたレシート一覧でレシートを1つずつ印刷する。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67</xdr:row>
      <xdr:rowOff>168088</xdr:rowOff>
    </xdr:from>
    <xdr:to>
      <xdr:col>61</xdr:col>
      <xdr:colOff>0</xdr:colOff>
      <xdr:row>80</xdr:row>
      <xdr:rowOff>7</xdr:rowOff>
    </xdr:to>
    <xdr:sp macro="" textlink="" fLocksText="0">
      <xdr:nvSpPr>
        <xdr:cNvPr id="55" name="吹き出し: 線 2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10134600" y="13049250"/>
          <a:ext cx="6134100" cy="2305050"/>
        </a:xfrm>
        <a:prstGeom prst="borderCallout1">
          <a:avLst>
            <a:gd name="adj1" fmla="val 48210"/>
            <a:gd name="adj2" fmla="val 884"/>
            <a:gd name="adj3" fmla="val -21306"/>
            <a:gd name="adj4" fmla="val -1474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ユーザーが画面で入力した検索条件に基づいてジャーナル一覧を取得する。レコードがある場合、SC2101_ジャーナル検索画面に以下の情報を含む検索結果が表示される。: 　店舗情報 (店舗コード: 店舗名称), レジ番号、取引日時、レシートNo.、ジャーナルNo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レコードがない場合、返されたバックエンドエラーモーダルが表示される。</a:t>
          </a:r>
        </a:p>
      </xdr:txBody>
    </xdr:sp>
    <xdr:clientData/>
  </xdr:twoCellAnchor>
  <xdr:twoCellAnchor>
    <xdr:from>
      <xdr:col>38</xdr:col>
      <xdr:colOff>0</xdr:colOff>
      <xdr:row>47</xdr:row>
      <xdr:rowOff>0</xdr:rowOff>
    </xdr:from>
    <xdr:to>
      <xdr:col>61</xdr:col>
      <xdr:colOff>0</xdr:colOff>
      <xdr:row>49</xdr:row>
      <xdr:rowOff>0</xdr:rowOff>
    </xdr:to>
    <xdr:sp macro="" textlink="" fLocksText="0">
      <xdr:nvSpPr>
        <xdr:cNvPr id="54" name="吹き出し: 線 2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10134600" y="9067800"/>
          <a:ext cx="6134100" cy="381000"/>
        </a:xfrm>
        <a:prstGeom prst="borderCallout1">
          <a:avLst>
            <a:gd name="adj1" fmla="val 48210"/>
            <a:gd name="adj2" fmla="val 884"/>
            <a:gd name="adj3" fmla="val 74448"/>
            <a:gd name="adj4" fmla="val -14086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ユーザーが選択した店舗に基づいて従業員一覧を取得する。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40</xdr:row>
      <xdr:rowOff>0</xdr:rowOff>
    </xdr:from>
    <xdr:to>
      <xdr:col>61</xdr:col>
      <xdr:colOff>0</xdr:colOff>
      <xdr:row>42</xdr:row>
      <xdr:rowOff>0</xdr:rowOff>
    </xdr:to>
    <xdr:sp macro="" textlink="" fLocksText="0">
      <xdr:nvSpPr>
        <xdr:cNvPr id="53" name="吹き出し: 線 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10134600" y="7734300"/>
          <a:ext cx="6134100" cy="381000"/>
        </a:xfrm>
        <a:prstGeom prst="borderCallout1">
          <a:avLst>
            <a:gd name="adj1" fmla="val 48210"/>
            <a:gd name="adj2" fmla="val 884"/>
            <a:gd name="adj3" fmla="val 74448"/>
            <a:gd name="adj4" fmla="val -14086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レジ種別一覧取得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8</xdr:col>
      <xdr:colOff>451</xdr:colOff>
      <xdr:row>12</xdr:row>
      <xdr:rowOff>1200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8</xdr:col>
      <xdr:colOff>0</xdr:colOff>
      <xdr:row>14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2400300"/>
          <a:ext cx="16002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21ジャーナル検索</a:t>
          </a:r>
        </a:p>
      </xdr:txBody>
    </xdr:sp>
    <xdr:clientData/>
  </xdr:twoCellAnchor>
  <xdr:twoCellAnchor>
    <xdr:from>
      <xdr:col>4</xdr:col>
      <xdr:colOff>235323</xdr:colOff>
      <xdr:row>14</xdr:row>
      <xdr:rowOff>0</xdr:rowOff>
    </xdr:from>
    <xdr:to>
      <xdr:col>5</xdr:col>
      <xdr:colOff>0</xdr:colOff>
      <xdr:row>17</xdr:row>
      <xdr:rowOff>0</xdr:rowOff>
    </xdr:to>
    <xdr:cxnSp macro="">
      <xdr:nvCxnSpPr>
        <xdr:cNvPr id="4" name="直線矢印コネクタ 1010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2"/>
          <a:endCxn id="5" idx="0"/>
        </xdr:cNvCxnSpPr>
      </xdr:nvCxnSpPr>
      <xdr:spPr>
        <a:xfrm flipH="1">
          <a:off x="1304925" y="2781300"/>
          <a:ext cx="28575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</xdr:row>
      <xdr:rowOff>0</xdr:rowOff>
    </xdr:from>
    <xdr:to>
      <xdr:col>7</xdr:col>
      <xdr:colOff>235322</xdr:colOff>
      <xdr:row>21</xdr:row>
      <xdr:rowOff>0</xdr:rowOff>
    </xdr:to>
    <xdr:sp macro="" textlink="" fLocksText="0">
      <xdr:nvSpPr>
        <xdr:cNvPr id="5" name="正方形/長方形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33400" y="3352800"/>
          <a:ext cx="157162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SC2101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ジャーナル検索画面</a:t>
          </a:r>
        </a:p>
      </xdr:txBody>
    </xdr:sp>
    <xdr:clientData/>
  </xdr:twoCellAnchor>
  <xdr:twoCellAnchor>
    <xdr:from>
      <xdr:col>4</xdr:col>
      <xdr:colOff>235323</xdr:colOff>
      <xdr:row>21</xdr:row>
      <xdr:rowOff>0</xdr:rowOff>
    </xdr:from>
    <xdr:to>
      <xdr:col>5</xdr:col>
      <xdr:colOff>0</xdr:colOff>
      <xdr:row>23</xdr:row>
      <xdr:rowOff>13607</xdr:rowOff>
    </xdr:to>
    <xdr:cxnSp macro="">
      <xdr:nvCxnSpPr>
        <xdr:cNvPr id="7" name="直線矢印コネクタ 1010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>
          <a:stCxn id="5" idx="2"/>
          <a:endCxn id="9" idx="0"/>
        </xdr:cNvCxnSpPr>
      </xdr:nvCxnSpPr>
      <xdr:spPr>
        <a:xfrm>
          <a:off x="1304925" y="4114800"/>
          <a:ext cx="28575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23</xdr:row>
      <xdr:rowOff>1</xdr:rowOff>
    </xdr:from>
    <xdr:to>
      <xdr:col>13</xdr:col>
      <xdr:colOff>0</xdr:colOff>
      <xdr:row>25</xdr:row>
      <xdr:rowOff>0</xdr:rowOff>
    </xdr:to>
    <xdr:sp macro="" textlink="" fLocksText="0">
      <xdr:nvSpPr>
        <xdr:cNvPr id="8" name="四角形: 角を丸くする 110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2400300" y="4495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3</xdr:col>
      <xdr:colOff>0</xdr:colOff>
      <xdr:row>23</xdr:row>
      <xdr:rowOff>13607</xdr:rowOff>
    </xdr:from>
    <xdr:to>
      <xdr:col>7</xdr:col>
      <xdr:colOff>0</xdr:colOff>
      <xdr:row>24</xdr:row>
      <xdr:rowOff>0</xdr:rowOff>
    </xdr:to>
    <xdr:sp macro="" textlink="" fLocksText="0">
      <xdr:nvSpPr>
        <xdr:cNvPr id="9" name="四角形: 角を丸くする 110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00100" y="4505325"/>
          <a:ext cx="1066800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235323</xdr:colOff>
      <xdr:row>20</xdr:row>
      <xdr:rowOff>190499</xdr:rowOff>
    </xdr:from>
    <xdr:to>
      <xdr:col>11</xdr:col>
      <xdr:colOff>1</xdr:colOff>
      <xdr:row>23</xdr:row>
      <xdr:rowOff>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5" idx="2"/>
          <a:endCxn id="8" idx="0"/>
        </xdr:cNvCxnSpPr>
      </xdr:nvCxnSpPr>
      <xdr:spPr>
        <a:xfrm rot="16200000" flipH="1">
          <a:off x="1304925" y="4114800"/>
          <a:ext cx="162877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25</xdr:row>
      <xdr:rowOff>0</xdr:rowOff>
    </xdr:from>
    <xdr:to>
      <xdr:col>11</xdr:col>
      <xdr:colOff>1</xdr:colOff>
      <xdr:row>29</xdr:row>
      <xdr:rowOff>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8" idx="2"/>
          <a:endCxn id="16" idx="0"/>
        </xdr:cNvCxnSpPr>
      </xdr:nvCxnSpPr>
      <xdr:spPr>
        <a:xfrm rot="5400000">
          <a:off x="1333500" y="48768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</xdr:row>
      <xdr:rowOff>0</xdr:rowOff>
    </xdr:from>
    <xdr:to>
      <xdr:col>5</xdr:col>
      <xdr:colOff>0</xdr:colOff>
      <xdr:row>29</xdr:row>
      <xdr:rowOff>0</xdr:rowOff>
    </xdr:to>
    <xdr:cxnSp macro="">
      <xdr:nvCxnSpPr>
        <xdr:cNvPr id="12" name="直線矢印コネクタ 1010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9" idx="2"/>
          <a:endCxn id="16" idx="0"/>
        </xdr:cNvCxnSpPr>
      </xdr:nvCxnSpPr>
      <xdr:spPr>
        <a:xfrm>
          <a:off x="1333500" y="46863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20</xdr:row>
      <xdr:rowOff>0</xdr:rowOff>
    </xdr:from>
    <xdr:to>
      <xdr:col>61</xdr:col>
      <xdr:colOff>0</xdr:colOff>
      <xdr:row>24</xdr:row>
      <xdr:rowOff>0</xdr:rowOff>
    </xdr:to>
    <xdr:sp macro="" textlink="" fLocksText="0">
      <xdr:nvSpPr>
        <xdr:cNvPr id="13" name="吹き出し: 線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134600" y="3924300"/>
          <a:ext cx="6134100" cy="762000"/>
        </a:xfrm>
        <a:prstGeom prst="borderCallout1">
          <a:avLst>
            <a:gd name="adj1" fmla="val 51887"/>
            <a:gd name="adj2" fmla="val 470"/>
            <a:gd name="adj3" fmla="val 102369"/>
            <a:gd name="adj4" fmla="val -10902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店舗情報をタッチすると、共通機能を実行する。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ログインしているアカウントのユーザーロールに基づいて、操作可能店舗一覧を取得する。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16" name="正方形/長方形 19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MD0101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6</xdr:col>
      <xdr:colOff>0</xdr:colOff>
      <xdr:row>37</xdr:row>
      <xdr:rowOff>0</xdr:rowOff>
    </xdr:to>
    <xdr:sp macro="" textlink="" fLocksText="0">
      <xdr:nvSpPr>
        <xdr:cNvPr id="19" name="四角形: 角を丸くする 1101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66800" y="6781800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13</xdr:col>
      <xdr:colOff>0</xdr:colOff>
      <xdr:row>37</xdr:row>
      <xdr:rowOff>0</xdr:rowOff>
    </xdr:to>
    <xdr:sp macro="" textlink="" fLocksText="0">
      <xdr:nvSpPr>
        <xdr:cNvPr id="20" name="四角形: 角を丸くする 1101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2933700" y="6781800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5</xdr:col>
      <xdr:colOff>0</xdr:colOff>
      <xdr:row>33</xdr:row>
      <xdr:rowOff>0</xdr:rowOff>
    </xdr:from>
    <xdr:to>
      <xdr:col>5</xdr:col>
      <xdr:colOff>0</xdr:colOff>
      <xdr:row>35</xdr:row>
      <xdr:rowOff>0</xdr:rowOff>
    </xdr:to>
    <xdr:cxnSp macro="">
      <xdr:nvCxnSpPr>
        <xdr:cNvPr id="21" name="直線矢印コネクタ 101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16" idx="2"/>
          <a:endCxn id="19" idx="0"/>
        </xdr:cNvCxnSpPr>
      </xdr:nvCxnSpPr>
      <xdr:spPr>
        <a:xfrm>
          <a:off x="1333500" y="6400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33</xdr:row>
      <xdr:rowOff>0</xdr:rowOff>
    </xdr:from>
    <xdr:to>
      <xdr:col>12</xdr:col>
      <xdr:colOff>0</xdr:colOff>
      <xdr:row>35</xdr:row>
      <xdr:rowOff>0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6" idx="2"/>
          <a:endCxn id="20" idx="0"/>
        </xdr:cNvCxnSpPr>
      </xdr:nvCxnSpPr>
      <xdr:spPr>
        <a:xfrm rot="16200000" flipH="1">
          <a:off x="1304925" y="6400800"/>
          <a:ext cx="189547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33</xdr:row>
      <xdr:rowOff>0</xdr:rowOff>
    </xdr:from>
    <xdr:to>
      <xdr:col>61</xdr:col>
      <xdr:colOff>0</xdr:colOff>
      <xdr:row>37</xdr:row>
      <xdr:rowOff>0</xdr:rowOff>
    </xdr:to>
    <xdr:sp macro="" textlink="" fLocksText="0">
      <xdr:nvSpPr>
        <xdr:cNvPr id="25" name="吹き出し: 線 2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10134600" y="6400800"/>
          <a:ext cx="6134100" cy="762000"/>
        </a:xfrm>
        <a:prstGeom prst="borderCallout1">
          <a:avLst>
            <a:gd name="adj1" fmla="val 48210"/>
            <a:gd name="adj2" fmla="val 884"/>
            <a:gd name="adj3" fmla="val 74448"/>
            <a:gd name="adj4" fmla="val -14086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・決定ボタン：店舗一覧モダールMD0101でユーザーが選択したstoreIdを使用してKN0201_レジ種別一覧取得機能を実行する。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・取消ボタン：モーダルを閉じて、SCX101_メインメニュー画面に戻る。</a:t>
          </a:r>
        </a:p>
      </xdr:txBody>
    </xdr:sp>
    <xdr:clientData/>
  </xdr:twoCellAnchor>
  <xdr:twoCellAnchor>
    <xdr:from>
      <xdr:col>2</xdr:col>
      <xdr:colOff>1</xdr:colOff>
      <xdr:row>54</xdr:row>
      <xdr:rowOff>0</xdr:rowOff>
    </xdr:from>
    <xdr:to>
      <xdr:col>8</xdr:col>
      <xdr:colOff>0</xdr:colOff>
      <xdr:row>58</xdr:row>
      <xdr:rowOff>0</xdr:rowOff>
    </xdr:to>
    <xdr:sp macro="" textlink="" fLocksText="0">
      <xdr:nvSpPr>
        <xdr:cNvPr id="26" name="正方形/長方形 1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533400" y="10401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SC2101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ジャーナル検索画面</a:t>
          </a:r>
        </a:p>
      </xdr:txBody>
    </xdr:sp>
    <xdr:clientData/>
  </xdr:twoCellAnchor>
  <xdr:twoCellAnchor>
    <xdr:from>
      <xdr:col>5</xdr:col>
      <xdr:colOff>0</xdr:colOff>
      <xdr:row>37</xdr:row>
      <xdr:rowOff>0</xdr:rowOff>
    </xdr:from>
    <xdr:to>
      <xdr:col>5</xdr:col>
      <xdr:colOff>0</xdr:colOff>
      <xdr:row>40</xdr:row>
      <xdr:rowOff>0</xdr:rowOff>
    </xdr:to>
    <xdr:cxnSp macro="">
      <xdr:nvCxnSpPr>
        <xdr:cNvPr id="27" name="直線矢印コネクタ 1010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19" idx="2"/>
          <a:endCxn id="24" idx="0"/>
        </xdr:cNvCxnSpPr>
      </xdr:nvCxnSpPr>
      <xdr:spPr>
        <a:xfrm>
          <a:off x="1333500" y="7162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60</xdr:row>
      <xdr:rowOff>0</xdr:rowOff>
    </xdr:from>
    <xdr:to>
      <xdr:col>6</xdr:col>
      <xdr:colOff>0</xdr:colOff>
      <xdr:row>61</xdr:row>
      <xdr:rowOff>0</xdr:rowOff>
    </xdr:to>
    <xdr:sp macro="" textlink="" fLocksText="0">
      <xdr:nvSpPr>
        <xdr:cNvPr id="30" name="四角形: 角を丸くする 1101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1066800" y="115443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38</xdr:col>
      <xdr:colOff>0</xdr:colOff>
      <xdr:row>50</xdr:row>
      <xdr:rowOff>0</xdr:rowOff>
    </xdr:from>
    <xdr:to>
      <xdr:col>61</xdr:col>
      <xdr:colOff>0</xdr:colOff>
      <xdr:row>67</xdr:row>
      <xdr:rowOff>0</xdr:rowOff>
    </xdr:to>
    <xdr:sp macro="" textlink="" fLocksText="0">
      <xdr:nvSpPr>
        <xdr:cNvPr id="31" name="吹き出し: 線 2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10134600" y="9639300"/>
          <a:ext cx="6134100" cy="3238500"/>
        </a:xfrm>
        <a:prstGeom prst="borderCallout1">
          <a:avLst>
            <a:gd name="adj1" fmla="val 48210"/>
            <a:gd name="adj2" fmla="val 884"/>
            <a:gd name="adj3" fmla="val 29736"/>
            <a:gd name="adj4" fmla="val -1317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・検索時に以下のジャーナル検索情報の入力が必須である。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営業日：開始日・終了日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時間帯：開始時刻・終了時刻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最大表示件数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・以下の検索情報は必須ではない。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レジ: レジ一覧から選択する。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開始レシートNo.、終了レシートNo.: 数字のみ入力可能、最大15桁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担当者：担当者一覧から選択する。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任意文字列：数字、文字、特殊文字を長さ制限なく入力できる。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任意文字列2：数字、文字、特殊文字を長さ制限なく入力できる。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任意文字列と任意文字列2に対して、「論理積(AND)」又は「論理和(OR)」の検索条件で検索する(「論理積」：両方の条件を満たす必要がある。「論理和」：いずれか1つの条件を満たせばよい)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金額: 最大数字の6桁入力可能。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画面初期化の場合：検索ボタンのみを表示する。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・検索ボタンをタッチすると、検索条件でジャーナル検索を実行する。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 lang="en-US"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29</xdr:col>
      <xdr:colOff>0</xdr:colOff>
      <xdr:row>63</xdr:row>
      <xdr:rowOff>0</xdr:rowOff>
    </xdr:from>
    <xdr:to>
      <xdr:col>35</xdr:col>
      <xdr:colOff>16808</xdr:colOff>
      <xdr:row>67</xdr:row>
      <xdr:rowOff>0</xdr:rowOff>
    </xdr:to>
    <xdr:sp macro="" textlink="" fLocksText="0">
      <xdr:nvSpPr>
        <xdr:cNvPr id="32" name="フローチャート: 磁気ディスク 23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7734300" y="12115800"/>
          <a:ext cx="161925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AP2102</a:t>
          </a:r>
          <a:endParaRPr lang="ja-JP" altLang="en-US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ジャーナル検索</a:t>
          </a:r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8</xdr:col>
      <xdr:colOff>0</xdr:colOff>
      <xdr:row>67</xdr:row>
      <xdr:rowOff>0</xdr:rowOff>
    </xdr:to>
    <xdr:sp macro="" textlink="" fLocksText="0">
      <xdr:nvSpPr>
        <xdr:cNvPr id="33" name="四角形: 角を丸くする 3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533400" y="12115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KN2103</a:t>
          </a:r>
        </a:p>
        <a:p>
          <a:pPr algn="ctr">
            <a:defRPr lang="en-US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ジャーナル検索</a:t>
          </a:r>
        </a:p>
      </xdr:txBody>
    </xdr:sp>
    <xdr:clientData/>
  </xdr:twoCellAnchor>
  <xdr:twoCellAnchor>
    <xdr:from>
      <xdr:col>5</xdr:col>
      <xdr:colOff>0</xdr:colOff>
      <xdr:row>61</xdr:row>
      <xdr:rowOff>0</xdr:rowOff>
    </xdr:from>
    <xdr:to>
      <xdr:col>5</xdr:col>
      <xdr:colOff>0</xdr:colOff>
      <xdr:row>63</xdr:row>
      <xdr:rowOff>0</xdr:rowOff>
    </xdr:to>
    <xdr:cxnSp macro="">
      <xdr:nvCxnSpPr>
        <xdr:cNvPr id="34" name="直線矢印コネクタ 1010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>
          <a:stCxn id="30" idx="2"/>
          <a:endCxn id="33" idx="0"/>
        </xdr:cNvCxnSpPr>
      </xdr:nvCxnSpPr>
      <xdr:spPr>
        <a:xfrm>
          <a:off x="1333500" y="11734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65</xdr:row>
      <xdr:rowOff>0</xdr:rowOff>
    </xdr:from>
    <xdr:to>
      <xdr:col>29</xdr:col>
      <xdr:colOff>0</xdr:colOff>
      <xdr:row>65</xdr:row>
      <xdr:rowOff>0</xdr:rowOff>
    </xdr:to>
    <xdr:cxnSp macro="">
      <xdr:nvCxnSpPr>
        <xdr:cNvPr id="39" name="直線矢印コネクタ 741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33" idx="3"/>
          <a:endCxn id="32" idx="2"/>
        </xdr:cNvCxnSpPr>
      </xdr:nvCxnSpPr>
      <xdr:spPr>
        <a:xfrm>
          <a:off x="2133600" y="124968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40</xdr:row>
      <xdr:rowOff>0</xdr:rowOff>
    </xdr:from>
    <xdr:to>
      <xdr:col>35</xdr:col>
      <xdr:colOff>16808</xdr:colOff>
      <xdr:row>44</xdr:row>
      <xdr:rowOff>0</xdr:rowOff>
    </xdr:to>
    <xdr:sp macro="" textlink="" fLocksText="0">
      <xdr:nvSpPr>
        <xdr:cNvPr id="23" name="フローチャート: 磁気ディスク 23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7734300" y="7734300"/>
          <a:ext cx="161925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AP7103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レジ種別一覧</a:t>
          </a:r>
        </a:p>
      </xdr:txBody>
    </xdr:sp>
    <xdr:clientData/>
  </xdr:twoCellAnchor>
  <xdr:twoCellAnchor>
    <xdr:from>
      <xdr:col>2</xdr:col>
      <xdr:colOff>0</xdr:colOff>
      <xdr:row>40</xdr:row>
      <xdr:rowOff>0</xdr:rowOff>
    </xdr:from>
    <xdr:to>
      <xdr:col>8</xdr:col>
      <xdr:colOff>0</xdr:colOff>
      <xdr:row>44</xdr:row>
      <xdr:rowOff>0</xdr:rowOff>
    </xdr:to>
    <xdr:sp macro="" textlink="" fLocksText="0">
      <xdr:nvSpPr>
        <xdr:cNvPr id="24" name="四角形: 角を丸くする 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533400" y="7734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KN2101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  <a:p>
          <a:pPr algn="ctr">
            <a:defRPr lang="en-US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レジ種別一覧取得</a:t>
          </a:r>
        </a:p>
      </xdr:txBody>
    </xdr:sp>
    <xdr:clientData/>
  </xdr:twoCellAnchor>
  <xdr:twoCellAnchor>
    <xdr:from>
      <xdr:col>8</xdr:col>
      <xdr:colOff>0</xdr:colOff>
      <xdr:row>42</xdr:row>
      <xdr:rowOff>0</xdr:rowOff>
    </xdr:from>
    <xdr:to>
      <xdr:col>29</xdr:col>
      <xdr:colOff>0</xdr:colOff>
      <xdr:row>42</xdr:row>
      <xdr:rowOff>0</xdr:rowOff>
    </xdr:to>
    <xdr:cxnSp macro="">
      <xdr:nvCxnSpPr>
        <xdr:cNvPr id="28" name="直線矢印コネクタ 741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24" idx="3"/>
          <a:endCxn id="23" idx="2"/>
        </xdr:cNvCxnSpPr>
      </xdr:nvCxnSpPr>
      <xdr:spPr>
        <a:xfrm>
          <a:off x="2133600" y="8115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46</xdr:row>
      <xdr:rowOff>0</xdr:rowOff>
    </xdr:from>
    <xdr:to>
      <xdr:col>35</xdr:col>
      <xdr:colOff>16808</xdr:colOff>
      <xdr:row>50</xdr:row>
      <xdr:rowOff>0</xdr:rowOff>
    </xdr:to>
    <xdr:sp macro="" textlink="" fLocksText="0">
      <xdr:nvSpPr>
        <xdr:cNvPr id="29" name="フローチャート: 磁気ディスク 23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7734300" y="8877300"/>
          <a:ext cx="161925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AP4001</a:t>
          </a:r>
          <a:endParaRPr lang="ja-JP" altLang="en-US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店舗従業員一覧</a:t>
          </a:r>
        </a:p>
      </xdr:txBody>
    </xdr:sp>
    <xdr:clientData/>
  </xdr:twoCellAnchor>
  <xdr:twoCellAnchor>
    <xdr:from>
      <xdr:col>2</xdr:col>
      <xdr:colOff>0</xdr:colOff>
      <xdr:row>46</xdr:row>
      <xdr:rowOff>0</xdr:rowOff>
    </xdr:from>
    <xdr:to>
      <xdr:col>8</xdr:col>
      <xdr:colOff>0</xdr:colOff>
      <xdr:row>50</xdr:row>
      <xdr:rowOff>0</xdr:rowOff>
    </xdr:to>
    <xdr:sp macro="" textlink="" fLocksText="0">
      <xdr:nvSpPr>
        <xdr:cNvPr id="35" name="四角形: 角を丸くする 3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533400" y="8877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KN2102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  <a:p>
          <a:pPr algn="ctr">
            <a:defRPr lang="en-US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店舗従業員一覧取得</a:t>
          </a:r>
        </a:p>
      </xdr:txBody>
    </xdr:sp>
    <xdr:clientData/>
  </xdr:twoCellAnchor>
  <xdr:twoCellAnchor>
    <xdr:from>
      <xdr:col>8</xdr:col>
      <xdr:colOff>0</xdr:colOff>
      <xdr:row>48</xdr:row>
      <xdr:rowOff>0</xdr:rowOff>
    </xdr:from>
    <xdr:to>
      <xdr:col>29</xdr:col>
      <xdr:colOff>0</xdr:colOff>
      <xdr:row>48</xdr:row>
      <xdr:rowOff>0</xdr:rowOff>
    </xdr:to>
    <xdr:cxnSp macro="">
      <xdr:nvCxnSpPr>
        <xdr:cNvPr id="36" name="直線矢印コネクタ 741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>
          <a:stCxn id="35" idx="3"/>
          <a:endCxn id="29" idx="2"/>
        </xdr:cNvCxnSpPr>
      </xdr:nvCxnSpPr>
      <xdr:spPr>
        <a:xfrm>
          <a:off x="2133600" y="9258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50</xdr:row>
      <xdr:rowOff>0</xdr:rowOff>
    </xdr:from>
    <xdr:to>
      <xdr:col>5</xdr:col>
      <xdr:colOff>0</xdr:colOff>
      <xdr:row>54</xdr:row>
      <xdr:rowOff>0</xdr:rowOff>
    </xdr:to>
    <xdr:cxnSp macro="">
      <xdr:nvCxnSpPr>
        <xdr:cNvPr id="40" name="直線矢印コネクタ 1010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35" idx="2"/>
          <a:endCxn id="26" idx="0"/>
        </xdr:cNvCxnSpPr>
      </xdr:nvCxnSpPr>
      <xdr:spPr>
        <a:xfrm>
          <a:off x="1333500" y="9639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44</xdr:row>
      <xdr:rowOff>0</xdr:rowOff>
    </xdr:from>
    <xdr:to>
      <xdr:col>5</xdr:col>
      <xdr:colOff>0</xdr:colOff>
      <xdr:row>46</xdr:row>
      <xdr:rowOff>0</xdr:rowOff>
    </xdr:to>
    <xdr:cxnSp macro="">
      <xdr:nvCxnSpPr>
        <xdr:cNvPr id="43" name="直線矢印コネクタ 1010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24" idx="2"/>
          <a:endCxn id="35" idx="0"/>
        </xdr:cNvCxnSpPr>
      </xdr:nvCxnSpPr>
      <xdr:spPr>
        <a:xfrm>
          <a:off x="1333500" y="8496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58</xdr:row>
      <xdr:rowOff>0</xdr:rowOff>
    </xdr:from>
    <xdr:to>
      <xdr:col>5</xdr:col>
      <xdr:colOff>0</xdr:colOff>
      <xdr:row>60</xdr:row>
      <xdr:rowOff>0</xdr:rowOff>
    </xdr:to>
    <xdr:cxnSp macro="">
      <xdr:nvCxnSpPr>
        <xdr:cNvPr id="46" name="直線矢印コネクタ 1010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>
          <a:stCxn id="35" idx="2"/>
          <a:endCxn id="30" idx="0"/>
        </xdr:cNvCxnSpPr>
      </xdr:nvCxnSpPr>
      <xdr:spPr>
        <a:xfrm>
          <a:off x="1333500" y="11163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72</xdr:row>
      <xdr:rowOff>0</xdr:rowOff>
    </xdr:from>
    <xdr:to>
      <xdr:col>7</xdr:col>
      <xdr:colOff>235322</xdr:colOff>
      <xdr:row>76</xdr:row>
      <xdr:rowOff>0</xdr:rowOff>
    </xdr:to>
    <xdr:sp macro="" textlink="" fLocksText="0">
      <xdr:nvSpPr>
        <xdr:cNvPr id="58" name="正方形/長方形 1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>
          <a:off x="533400" y="13830300"/>
          <a:ext cx="157162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SC2101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ジャーナル検索画面</a:t>
          </a:r>
        </a:p>
      </xdr:txBody>
    </xdr:sp>
    <xdr:clientData/>
  </xdr:twoCellAnchor>
  <xdr:twoCellAnchor>
    <xdr:from>
      <xdr:col>4</xdr:col>
      <xdr:colOff>235323</xdr:colOff>
      <xdr:row>68</xdr:row>
      <xdr:rowOff>179294</xdr:rowOff>
    </xdr:from>
    <xdr:to>
      <xdr:col>5</xdr:col>
      <xdr:colOff>0</xdr:colOff>
      <xdr:row>72</xdr:row>
      <xdr:rowOff>0</xdr:rowOff>
    </xdr:to>
    <xdr:cxnSp macro="">
      <xdr:nvCxnSpPr>
        <xdr:cNvPr id="59" name="直線矢印コネクタ 1010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>
          <a:stCxn id="62" idx="2"/>
          <a:endCxn id="58" idx="0"/>
        </xdr:cNvCxnSpPr>
      </xdr:nvCxnSpPr>
      <xdr:spPr>
        <a:xfrm flipH="1">
          <a:off x="1304925" y="13249275"/>
          <a:ext cx="28575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68</xdr:row>
      <xdr:rowOff>0</xdr:rowOff>
    </xdr:from>
    <xdr:to>
      <xdr:col>8</xdr:col>
      <xdr:colOff>0</xdr:colOff>
      <xdr:row>68</xdr:row>
      <xdr:rowOff>179294</xdr:rowOff>
    </xdr:to>
    <xdr:sp macro="" textlink="" fLocksText="0">
      <xdr:nvSpPr>
        <xdr:cNvPr id="62" name="四角形: 角を丸くする 294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533400" y="13068300"/>
          <a:ext cx="1600200" cy="1809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ジャーナルのレコードがある</a:t>
          </a:r>
          <a:endParaRPr lang="ja-JP" altLang="en-US" sz="8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67</xdr:row>
      <xdr:rowOff>0</xdr:rowOff>
    </xdr:from>
    <xdr:to>
      <xdr:col>5</xdr:col>
      <xdr:colOff>0</xdr:colOff>
      <xdr:row>68</xdr:row>
      <xdr:rowOff>0</xdr:rowOff>
    </xdr:to>
    <xdr:cxnSp macro="">
      <xdr:nvCxnSpPr>
        <xdr:cNvPr id="64" name="直線矢印コネクタ 1010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CxnSpPr>
          <a:stCxn id="33" idx="2"/>
          <a:endCxn id="62" idx="0"/>
        </xdr:cNvCxnSpPr>
      </xdr:nvCxnSpPr>
      <xdr:spPr>
        <a:xfrm>
          <a:off x="1333500" y="128778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78</xdr:row>
      <xdr:rowOff>0</xdr:rowOff>
    </xdr:from>
    <xdr:to>
      <xdr:col>6</xdr:col>
      <xdr:colOff>0</xdr:colOff>
      <xdr:row>79</xdr:row>
      <xdr:rowOff>0</xdr:rowOff>
    </xdr:to>
    <xdr:sp macro="" textlink="" fLocksText="0">
      <xdr:nvSpPr>
        <xdr:cNvPr id="75" name="四角形: 角を丸くする 1101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1066800" y="149733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9</xdr:col>
      <xdr:colOff>0</xdr:colOff>
      <xdr:row>78</xdr:row>
      <xdr:rowOff>0</xdr:rowOff>
    </xdr:from>
    <xdr:to>
      <xdr:col>12</xdr:col>
      <xdr:colOff>0</xdr:colOff>
      <xdr:row>79</xdr:row>
      <xdr:rowOff>0</xdr:rowOff>
    </xdr:to>
    <xdr:sp macro="" textlink="" fLocksText="0">
      <xdr:nvSpPr>
        <xdr:cNvPr id="76" name="四角形: 角を丸くする 1101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2400300" y="14973300"/>
          <a:ext cx="8001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全選択 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14</xdr:col>
      <xdr:colOff>0</xdr:colOff>
      <xdr:row>78</xdr:row>
      <xdr:rowOff>0</xdr:rowOff>
    </xdr:from>
    <xdr:to>
      <xdr:col>17</xdr:col>
      <xdr:colOff>0</xdr:colOff>
      <xdr:row>79</xdr:row>
      <xdr:rowOff>0</xdr:rowOff>
    </xdr:to>
    <xdr:sp macro="" textlink="" fLocksText="0">
      <xdr:nvSpPr>
        <xdr:cNvPr id="77" name="四角形: 角を丸くする 1101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3733800" y="14973300"/>
          <a:ext cx="8001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全解除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235323</xdr:colOff>
      <xdr:row>76</xdr:row>
      <xdr:rowOff>0</xdr:rowOff>
    </xdr:from>
    <xdr:to>
      <xdr:col>5</xdr:col>
      <xdr:colOff>0</xdr:colOff>
      <xdr:row>78</xdr:row>
      <xdr:rowOff>0</xdr:rowOff>
    </xdr:to>
    <xdr:cxnSp macro="">
      <xdr:nvCxnSpPr>
        <xdr:cNvPr id="78" name="直線矢印コネクタ 1010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CxnSpPr>
          <a:stCxn id="58" idx="2"/>
          <a:endCxn id="75" idx="0"/>
        </xdr:cNvCxnSpPr>
      </xdr:nvCxnSpPr>
      <xdr:spPr>
        <a:xfrm>
          <a:off x="1304925" y="145923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76</xdr:row>
      <xdr:rowOff>0</xdr:rowOff>
    </xdr:from>
    <xdr:to>
      <xdr:col>10</xdr:col>
      <xdr:colOff>117662</xdr:colOff>
      <xdr:row>78</xdr:row>
      <xdr:rowOff>0</xdr:rowOff>
    </xdr:to>
    <xdr:cxnSp macro="">
      <xdr:nvCxnSpPr>
        <xdr:cNvPr id="84" name="Connector: Elbow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CxnSpPr>
          <a:stCxn id="58" idx="2"/>
          <a:endCxn id="76" idx="0"/>
        </xdr:cNvCxnSpPr>
      </xdr:nvCxnSpPr>
      <xdr:spPr>
        <a:xfrm rot="16200000" flipH="1">
          <a:off x="1304925" y="14592300"/>
          <a:ext cx="1476375" cy="381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76</xdr:row>
      <xdr:rowOff>0</xdr:rowOff>
    </xdr:from>
    <xdr:to>
      <xdr:col>15</xdr:col>
      <xdr:colOff>117662</xdr:colOff>
      <xdr:row>78</xdr:row>
      <xdr:rowOff>0</xdr:rowOff>
    </xdr:to>
    <xdr:cxnSp macro="">
      <xdr:nvCxnSpPr>
        <xdr:cNvPr id="86" name="Connector: Elbow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CxnSpPr>
          <a:stCxn id="58" idx="2"/>
          <a:endCxn id="77" idx="0"/>
        </xdr:cNvCxnSpPr>
      </xdr:nvCxnSpPr>
      <xdr:spPr>
        <a:xfrm rot="16200000" flipH="1">
          <a:off x="1304925" y="14592300"/>
          <a:ext cx="2809875" cy="381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218515</xdr:colOff>
      <xdr:row>78</xdr:row>
      <xdr:rowOff>0</xdr:rowOff>
    </xdr:from>
    <xdr:to>
      <xdr:col>21</xdr:col>
      <xdr:colOff>218515</xdr:colOff>
      <xdr:row>80</xdr:row>
      <xdr:rowOff>0</xdr:rowOff>
    </xdr:to>
    <xdr:sp macro="" textlink="" fLocksText="0">
      <xdr:nvSpPr>
        <xdr:cNvPr id="92" name="四角形: 角を丸くする 110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/>
      </xdr:nvSpPr>
      <xdr:spPr>
        <a:xfrm>
          <a:off x="5019675" y="14973300"/>
          <a:ext cx="8001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レコードの1行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235322</xdr:colOff>
      <xdr:row>76</xdr:row>
      <xdr:rowOff>0</xdr:rowOff>
    </xdr:from>
    <xdr:to>
      <xdr:col>20</xdr:col>
      <xdr:colOff>100852</xdr:colOff>
      <xdr:row>78</xdr:row>
      <xdr:rowOff>0</xdr:rowOff>
    </xdr:to>
    <xdr:cxnSp macro="">
      <xdr:nvCxnSpPr>
        <xdr:cNvPr id="93" name="Connector: Elbow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CxnSpPr>
          <a:stCxn id="58" idx="2"/>
          <a:endCxn id="92" idx="0"/>
        </xdr:cNvCxnSpPr>
      </xdr:nvCxnSpPr>
      <xdr:spPr>
        <a:xfrm rot="16200000" flipH="1">
          <a:off x="1304925" y="14592300"/>
          <a:ext cx="413385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78</xdr:row>
      <xdr:rowOff>0</xdr:rowOff>
    </xdr:from>
    <xdr:to>
      <xdr:col>28</xdr:col>
      <xdr:colOff>0</xdr:colOff>
      <xdr:row>80</xdr:row>
      <xdr:rowOff>0</xdr:rowOff>
    </xdr:to>
    <xdr:sp macro="" textlink="" fLocksText="0">
      <xdr:nvSpPr>
        <xdr:cNvPr id="99" name="四角形: 角を丸くする 1101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/>
      </xdr:nvSpPr>
      <xdr:spPr>
        <a:xfrm>
          <a:off x="6400800" y="14973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ヘッダー上の印刷アイコン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235322</xdr:colOff>
      <xdr:row>76</xdr:row>
      <xdr:rowOff>0</xdr:rowOff>
    </xdr:from>
    <xdr:to>
      <xdr:col>25</xdr:col>
      <xdr:colOff>235323</xdr:colOff>
      <xdr:row>78</xdr:row>
      <xdr:rowOff>0</xdr:rowOff>
    </xdr:to>
    <xdr:cxnSp macro="">
      <xdr:nvCxnSpPr>
        <xdr:cNvPr id="100" name="Connector: Elbow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CxnSpPr>
          <a:stCxn id="58" idx="2"/>
          <a:endCxn id="99" idx="0"/>
        </xdr:cNvCxnSpPr>
      </xdr:nvCxnSpPr>
      <xdr:spPr>
        <a:xfrm rot="16200000" flipH="1">
          <a:off x="1304925" y="14592300"/>
          <a:ext cx="56007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85</xdr:row>
      <xdr:rowOff>0</xdr:rowOff>
    </xdr:from>
    <xdr:to>
      <xdr:col>29</xdr:col>
      <xdr:colOff>0</xdr:colOff>
      <xdr:row>89</xdr:row>
      <xdr:rowOff>0</xdr:rowOff>
    </xdr:to>
    <xdr:sp macro="" textlink="" fLocksText="0">
      <xdr:nvSpPr>
        <xdr:cNvPr id="103" name="フローチャート: 書類 11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6134100" y="16306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PR2101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ジャーナルイメージ一覧</a:t>
          </a:r>
        </a:p>
      </xdr:txBody>
    </xdr:sp>
    <xdr:clientData/>
  </xdr:twoCellAnchor>
  <xdr:twoCellAnchor>
    <xdr:from>
      <xdr:col>26</xdr:col>
      <xdr:colOff>0</xdr:colOff>
      <xdr:row>80</xdr:row>
      <xdr:rowOff>0</xdr:rowOff>
    </xdr:from>
    <xdr:to>
      <xdr:col>26</xdr:col>
      <xdr:colOff>0</xdr:colOff>
      <xdr:row>85</xdr:row>
      <xdr:rowOff>0</xdr:rowOff>
    </xdr:to>
    <xdr:cxnSp macro="">
      <xdr:nvCxnSpPr>
        <xdr:cNvPr id="107" name="直線矢印コネクタ 1010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CxnSpPr>
          <a:stCxn id="99" idx="2"/>
          <a:endCxn id="103" idx="0"/>
        </xdr:cNvCxnSpPr>
      </xdr:nvCxnSpPr>
      <xdr:spPr>
        <a:xfrm>
          <a:off x="6934200" y="153543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0</xdr:colOff>
      <xdr:row>49</xdr:row>
      <xdr:rowOff>0</xdr:rowOff>
    </xdr:from>
    <xdr:to>
      <xdr:col>99</xdr:col>
      <xdr:colOff>1820</xdr:colOff>
      <xdr:row>67</xdr:row>
      <xdr:rowOff>104333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21250" y="9448800"/>
          <a:ext cx="8801100" cy="3533775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73</xdr:row>
      <xdr:rowOff>0</xdr:rowOff>
    </xdr:from>
    <xdr:to>
      <xdr:col>99</xdr:col>
      <xdr:colOff>8542</xdr:colOff>
      <xdr:row>91</xdr:row>
      <xdr:rowOff>123381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21250" y="14020800"/>
          <a:ext cx="8810625" cy="3552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1"/>
      <c r="K1" s="49" t="s">
        <v>2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1"/>
      <c r="W1" s="70" t="s">
        <v>14</v>
      </c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2"/>
      <c r="AP1" s="49" t="s">
        <v>3</v>
      </c>
      <c r="AQ1" s="50"/>
      <c r="AR1" s="50"/>
      <c r="AS1" s="51"/>
      <c r="AT1" s="49" t="s">
        <v>4</v>
      </c>
      <c r="AU1" s="50"/>
      <c r="AV1" s="50"/>
      <c r="AW1" s="50"/>
      <c r="AX1" s="51"/>
      <c r="AY1" s="49" t="s">
        <v>5</v>
      </c>
      <c r="AZ1" s="50"/>
      <c r="BA1" s="50"/>
      <c r="BB1" s="51"/>
      <c r="BC1" s="49" t="s">
        <v>6</v>
      </c>
      <c r="BD1" s="50"/>
      <c r="BE1" s="50"/>
      <c r="BF1" s="50"/>
      <c r="BG1" s="51"/>
      <c r="BH1" s="49" t="s">
        <v>7</v>
      </c>
      <c r="BI1" s="50"/>
      <c r="BJ1" s="50"/>
      <c r="BK1" s="51"/>
    </row>
    <row r="2" spans="1:63" ht="15" customHeight="1" x14ac:dyDescent="0.25">
      <c r="A2" s="69" t="s">
        <v>36</v>
      </c>
      <c r="B2" s="13"/>
      <c r="C2" s="13"/>
      <c r="D2" s="13"/>
      <c r="E2" s="13"/>
      <c r="F2" s="13"/>
      <c r="G2" s="13"/>
      <c r="H2" s="13"/>
      <c r="I2" s="13"/>
      <c r="J2" s="12"/>
      <c r="K2" s="14" t="s">
        <v>13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73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5"/>
      <c r="AP2" s="14" t="str">
        <f>改訂履歴!$H$11</f>
        <v>DuNT</v>
      </c>
      <c r="AQ2" s="13"/>
      <c r="AR2" s="13"/>
      <c r="AS2" s="12"/>
      <c r="AT2" s="63">
        <f>改訂履歴!$B$11</f>
        <v>45406</v>
      </c>
      <c r="AU2" s="64"/>
      <c r="AV2" s="64"/>
      <c r="AW2" s="64"/>
      <c r="AX2" s="65"/>
      <c r="AY2" s="14" t="str">
        <f>LOOKUP(2,1/(改訂履歴!H11:H30002&lt;&gt;""),改訂履歴!H11:H30002)</f>
        <v>TinNH</v>
      </c>
      <c r="AZ2" s="13"/>
      <c r="BA2" s="13"/>
      <c r="BB2" s="12"/>
      <c r="BC2" s="63">
        <f>LOOKUP(2,1/(改訂履歴!B11:B30002&lt;&gt;""),改訂履歴!B11:B30002)</f>
        <v>45498</v>
      </c>
      <c r="BD2" s="64"/>
      <c r="BE2" s="64"/>
      <c r="BF2" s="64"/>
      <c r="BG2" s="65"/>
      <c r="BH2" s="57">
        <f>LOOKUP(2,1/(改訂履歴!O11:O30002&lt;&gt;""),改訂履歴!O11:O30002)</f>
        <v>0.3</v>
      </c>
      <c r="BI2" s="58"/>
      <c r="BJ2" s="58"/>
      <c r="BK2" s="59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76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8"/>
      <c r="AP3" s="8"/>
      <c r="AQ3" s="7"/>
      <c r="AR3" s="7"/>
      <c r="AS3" s="6"/>
      <c r="AT3" s="66"/>
      <c r="AU3" s="67"/>
      <c r="AV3" s="67"/>
      <c r="AW3" s="67"/>
      <c r="AX3" s="68"/>
      <c r="AY3" s="8"/>
      <c r="AZ3" s="7"/>
      <c r="BA3" s="7"/>
      <c r="BB3" s="6"/>
      <c r="BC3" s="66"/>
      <c r="BD3" s="67"/>
      <c r="BE3" s="67"/>
      <c r="BF3" s="67"/>
      <c r="BG3" s="68"/>
      <c r="BH3" s="60"/>
      <c r="BI3" s="61"/>
      <c r="BJ3" s="61"/>
      <c r="BK3" s="62"/>
    </row>
    <row r="4" spans="1:63" ht="24.95" customHeight="1" x14ac:dyDescent="0.25">
      <c r="A4" s="49" t="s">
        <v>1</v>
      </c>
      <c r="B4" s="50"/>
      <c r="C4" s="50"/>
      <c r="D4" s="50"/>
      <c r="E4" s="50"/>
      <c r="F4" s="50"/>
      <c r="G4" s="51"/>
      <c r="H4" s="54" t="s">
        <v>39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6"/>
      <c r="U4" s="49" t="s">
        <v>8</v>
      </c>
      <c r="V4" s="50"/>
      <c r="W4" s="50"/>
      <c r="X4" s="50"/>
      <c r="Y4" s="51"/>
      <c r="Z4" s="54" t="s">
        <v>15</v>
      </c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6"/>
      <c r="AP4" s="54" t="str">
        <f t="array" aca="1" ref="AP4" ca="1">RIGHT(CELL("filename",$A$1),LEN(CELL("filename",$A$1))-FIND("]",CELL("filename",$A$1)))</f>
        <v>表紙</v>
      </c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6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52" t="s">
        <v>38</v>
      </c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26"/>
      <c r="BK16" s="18"/>
    </row>
    <row r="17" spans="1:63" ht="15" customHeight="1" x14ac:dyDescent="0.25">
      <c r="A17" s="15"/>
      <c r="K17" s="20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26"/>
      <c r="BK17" s="18"/>
    </row>
    <row r="18" spans="1:63" ht="15" customHeight="1" x14ac:dyDescent="0.25">
      <c r="A18" s="15"/>
      <c r="K18" s="20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26"/>
      <c r="BK18" s="18"/>
    </row>
    <row r="19" spans="1:63" ht="15" customHeight="1" x14ac:dyDescent="0.25">
      <c r="A19" s="15"/>
      <c r="K19" s="20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26"/>
      <c r="BK19" s="18"/>
    </row>
    <row r="20" spans="1:63" ht="15" customHeight="1" x14ac:dyDescent="0.25">
      <c r="A20" s="15"/>
      <c r="K20" s="20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26"/>
      <c r="BK20" s="18"/>
    </row>
    <row r="21" spans="1:63" ht="15" customHeight="1" x14ac:dyDescent="0.25">
      <c r="A21" s="15"/>
      <c r="K21" s="20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53" t="str">
        <f>K2&amp;"/"&amp;H4&amp;"/"&amp;Z4</f>
        <v>POSサーバ/21_ジャーナル検索/概要設計</v>
      </c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26"/>
      <c r="BK24" s="18"/>
    </row>
    <row r="25" spans="1:63" ht="15" customHeight="1" x14ac:dyDescent="0.25">
      <c r="A25" s="15"/>
      <c r="K25" s="20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26"/>
      <c r="BK25" s="18"/>
    </row>
    <row r="26" spans="1:63" ht="15" customHeight="1" x14ac:dyDescent="0.25">
      <c r="A26" s="15"/>
      <c r="K26" s="20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26"/>
      <c r="BK26" s="18"/>
    </row>
    <row r="27" spans="1:63" ht="15" customHeight="1" x14ac:dyDescent="0.25">
      <c r="A27" s="15"/>
      <c r="K27" s="20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26"/>
      <c r="BK27" s="18"/>
    </row>
    <row r="28" spans="1:63" ht="15" customHeight="1" x14ac:dyDescent="0.25">
      <c r="A28" s="15"/>
      <c r="K28" s="20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26"/>
      <c r="BK28" s="18"/>
    </row>
    <row r="29" spans="1:63" ht="15" customHeight="1" x14ac:dyDescent="0.25">
      <c r="A29" s="15"/>
      <c r="K29" s="20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26"/>
      <c r="BK29" s="18"/>
    </row>
    <row r="30" spans="1:63" ht="15" customHeight="1" x14ac:dyDescent="0.25">
      <c r="A30" s="15"/>
      <c r="K30" s="20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26"/>
      <c r="BK30" s="18"/>
    </row>
    <row r="31" spans="1:63" ht="15" customHeight="1" x14ac:dyDescent="0.25">
      <c r="A31" s="15"/>
      <c r="K31" s="20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26"/>
      <c r="BK31" s="18"/>
    </row>
    <row r="32" spans="1:63" ht="15" customHeight="1" x14ac:dyDescent="0.25">
      <c r="A32" s="15"/>
      <c r="K32" s="20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26"/>
      <c r="BK32" s="18"/>
    </row>
    <row r="33" spans="1:63" ht="15" customHeight="1" x14ac:dyDescent="0.25">
      <c r="A33" s="15"/>
      <c r="K33" s="20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26"/>
      <c r="BK33" s="18"/>
    </row>
    <row r="34" spans="1:63" ht="15" customHeight="1" x14ac:dyDescent="0.25">
      <c r="A34" s="15"/>
      <c r="K34" s="20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26"/>
      <c r="BK34" s="18"/>
    </row>
    <row r="35" spans="1:63" ht="15" customHeight="1" x14ac:dyDescent="0.25">
      <c r="A35" s="15"/>
      <c r="K35" s="20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26"/>
      <c r="BK35" s="18"/>
    </row>
    <row r="36" spans="1:63" ht="15" customHeight="1" x14ac:dyDescent="0.25">
      <c r="A36" s="15"/>
      <c r="K36" s="20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5" t="s">
        <v>11</v>
      </c>
      <c r="R44" s="4"/>
      <c r="S44" s="4"/>
      <c r="T44" s="4"/>
      <c r="U44" s="4"/>
      <c r="V44" s="4"/>
      <c r="W44" s="4"/>
      <c r="X44" s="4"/>
      <c r="Y44" s="4"/>
      <c r="Z44" s="3"/>
      <c r="AA44" s="5" t="s">
        <v>12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3"/>
      <c r="AQ44" s="5" t="s">
        <v>7</v>
      </c>
      <c r="AR44" s="4"/>
      <c r="AS44" s="4"/>
      <c r="AT44" s="4"/>
      <c r="AU44" s="3"/>
      <c r="BK44" s="18"/>
    </row>
    <row r="45" spans="1:63" ht="15" customHeight="1" x14ac:dyDescent="0.25">
      <c r="A45" s="15"/>
      <c r="Q45" s="2"/>
      <c r="R45" s="1"/>
      <c r="S45" s="1"/>
      <c r="T45" s="1"/>
      <c r="U45" s="1"/>
      <c r="V45" s="1"/>
      <c r="W45" s="1"/>
      <c r="X45" s="1"/>
      <c r="Y45" s="1"/>
      <c r="Z45" s="48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48"/>
      <c r="AQ45" s="2"/>
      <c r="AR45" s="1"/>
      <c r="AS45" s="1"/>
      <c r="AT45" s="1"/>
      <c r="AU45" s="48"/>
      <c r="BK45" s="18"/>
    </row>
    <row r="46" spans="1:63" ht="15" customHeight="1" x14ac:dyDescent="0.25">
      <c r="A46" s="15"/>
      <c r="Q46" s="14"/>
      <c r="R46" s="13"/>
      <c r="S46" s="13"/>
      <c r="T46" s="13"/>
      <c r="U46" s="13"/>
      <c r="V46" s="13"/>
      <c r="W46" s="13"/>
      <c r="X46" s="13"/>
      <c r="Y46" s="13"/>
      <c r="Z46" s="12"/>
      <c r="AA46" s="14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2"/>
      <c r="AQ46" s="14"/>
      <c r="AR46" s="13"/>
      <c r="AS46" s="13"/>
      <c r="AT46" s="13"/>
      <c r="AU46" s="12"/>
      <c r="BK46" s="18"/>
    </row>
    <row r="47" spans="1:63" ht="15" customHeight="1" x14ac:dyDescent="0.25">
      <c r="A47" s="15"/>
      <c r="Q47" s="11"/>
      <c r="R47" s="10"/>
      <c r="S47" s="10"/>
      <c r="T47" s="10"/>
      <c r="U47" s="10"/>
      <c r="V47" s="10"/>
      <c r="W47" s="10"/>
      <c r="X47" s="10"/>
      <c r="Y47" s="10"/>
      <c r="Z47" s="9"/>
      <c r="AA47" s="11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9"/>
      <c r="AQ47" s="11"/>
      <c r="AR47" s="10"/>
      <c r="AS47" s="10"/>
      <c r="AT47" s="10"/>
      <c r="AU47" s="9"/>
      <c r="BK47" s="18"/>
    </row>
    <row r="48" spans="1:63" ht="15" customHeight="1" x14ac:dyDescent="0.25">
      <c r="A48" s="15"/>
      <c r="Q48" s="11"/>
      <c r="R48" s="10"/>
      <c r="S48" s="10"/>
      <c r="T48" s="10"/>
      <c r="U48" s="10"/>
      <c r="V48" s="10"/>
      <c r="W48" s="10"/>
      <c r="X48" s="10"/>
      <c r="Y48" s="10"/>
      <c r="Z48" s="9"/>
      <c r="AA48" s="11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9"/>
      <c r="AQ48" s="11"/>
      <c r="AR48" s="10"/>
      <c r="AS48" s="10"/>
      <c r="AT48" s="10"/>
      <c r="AU48" s="9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7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1"/>
      <c r="K1" s="49" t="s">
        <v>2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1"/>
      <c r="W1" s="70" t="str">
        <f>IF(表紙!W1="","",表紙!W1)</f>
        <v>基本設計書</v>
      </c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2"/>
      <c r="AP1" s="49" t="s">
        <v>3</v>
      </c>
      <c r="AQ1" s="50"/>
      <c r="AR1" s="50"/>
      <c r="AS1" s="51"/>
      <c r="AT1" s="49" t="s">
        <v>4</v>
      </c>
      <c r="AU1" s="50"/>
      <c r="AV1" s="50"/>
      <c r="AW1" s="50"/>
      <c r="AX1" s="51"/>
      <c r="AY1" s="49" t="s">
        <v>5</v>
      </c>
      <c r="AZ1" s="50"/>
      <c r="BA1" s="50"/>
      <c r="BB1" s="51"/>
      <c r="BC1" s="49" t="s">
        <v>6</v>
      </c>
      <c r="BD1" s="50"/>
      <c r="BE1" s="50"/>
      <c r="BF1" s="50"/>
      <c r="BG1" s="51"/>
      <c r="BH1" s="49" t="s">
        <v>7</v>
      </c>
      <c r="BI1" s="50"/>
      <c r="BJ1" s="50"/>
      <c r="BK1" s="51"/>
    </row>
    <row r="2" spans="1:63" ht="15" customHeight="1" x14ac:dyDescent="0.25">
      <c r="A2" s="14" t="str">
        <f>IF(表紙!A2="","",表紙!A2)</f>
        <v>POSサーバー</v>
      </c>
      <c r="B2" s="13"/>
      <c r="C2" s="13"/>
      <c r="D2" s="13"/>
      <c r="E2" s="13"/>
      <c r="F2" s="13"/>
      <c r="G2" s="13"/>
      <c r="H2" s="13"/>
      <c r="I2" s="13"/>
      <c r="J2" s="12"/>
      <c r="K2" s="14" t="str">
        <f>IF(表紙!K2="","",表紙!K2)</f>
        <v>POSサーバ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73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5"/>
      <c r="AP2" s="14" t="str">
        <f>IF(表紙!AP2="","",表紙!AP2)</f>
        <v>DuNT</v>
      </c>
      <c r="AQ2" s="13"/>
      <c r="AR2" s="13"/>
      <c r="AS2" s="12"/>
      <c r="AT2" s="63">
        <f>IF(表紙!AT2="","",表紙!AT2)</f>
        <v>45406</v>
      </c>
      <c r="AU2" s="64"/>
      <c r="AV2" s="64"/>
      <c r="AW2" s="64"/>
      <c r="AX2" s="65"/>
      <c r="AY2" s="14" t="str">
        <f>IF(表紙!AY2="","",表紙!AY2)</f>
        <v>TinNH</v>
      </c>
      <c r="AZ2" s="13"/>
      <c r="BA2" s="13"/>
      <c r="BB2" s="12"/>
      <c r="BC2" s="63">
        <f>IF(表紙!BC2="","",表紙!BC2)</f>
        <v>45498</v>
      </c>
      <c r="BD2" s="64"/>
      <c r="BE2" s="64"/>
      <c r="BF2" s="64"/>
      <c r="BG2" s="65"/>
      <c r="BH2" s="14">
        <f>IF(表紙!BH2="","",表紙!BH2)</f>
        <v>0.3</v>
      </c>
      <c r="BI2" s="13"/>
      <c r="BJ2" s="13"/>
      <c r="BK2" s="12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76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8"/>
      <c r="AP3" s="8"/>
      <c r="AQ3" s="7"/>
      <c r="AR3" s="7"/>
      <c r="AS3" s="6"/>
      <c r="AT3" s="66"/>
      <c r="AU3" s="67"/>
      <c r="AV3" s="67"/>
      <c r="AW3" s="67"/>
      <c r="AX3" s="68"/>
      <c r="AY3" s="8"/>
      <c r="AZ3" s="7"/>
      <c r="BA3" s="7"/>
      <c r="BB3" s="6"/>
      <c r="BC3" s="66"/>
      <c r="BD3" s="67"/>
      <c r="BE3" s="67"/>
      <c r="BF3" s="67"/>
      <c r="BG3" s="68"/>
      <c r="BH3" s="8"/>
      <c r="BI3" s="7"/>
      <c r="BJ3" s="7"/>
      <c r="BK3" s="6"/>
    </row>
    <row r="4" spans="1:63" ht="24.95" customHeight="1" x14ac:dyDescent="0.25">
      <c r="A4" s="49" t="s">
        <v>69</v>
      </c>
      <c r="B4" s="50"/>
      <c r="C4" s="50"/>
      <c r="D4" s="50"/>
      <c r="E4" s="50"/>
      <c r="F4" s="50"/>
      <c r="G4" s="51"/>
      <c r="H4" s="54" t="str">
        <f>IF(表紙!H4="","",表紙!H4)</f>
        <v>21_ジャーナル検索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6"/>
      <c r="U4" s="49" t="s">
        <v>8</v>
      </c>
      <c r="V4" s="50"/>
      <c r="W4" s="50"/>
      <c r="X4" s="50"/>
      <c r="Y4" s="51"/>
      <c r="Z4" s="54" t="str">
        <f>IF(表紙!Z4="","",表紙!Z4)</f>
        <v>概要設計</v>
      </c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6"/>
      <c r="AP4" s="54" t="str">
        <f t="array" aca="1" ref="AP4" ca="1">RIGHT(CELL("filename",$A$1),LEN(CELL("filename",$A$1))-FIND("]",CELL("filename",$A$1)))</f>
        <v>改訂履歴</v>
      </c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6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91" t="s">
        <v>6</v>
      </c>
      <c r="C10" s="91"/>
      <c r="D10" s="91"/>
      <c r="E10" s="91"/>
      <c r="F10" s="91"/>
      <c r="G10" s="91"/>
      <c r="H10" s="91" t="s">
        <v>5</v>
      </c>
      <c r="I10" s="91"/>
      <c r="J10" s="91"/>
      <c r="K10" s="91"/>
      <c r="L10" s="91"/>
      <c r="M10" s="91"/>
      <c r="N10" s="91"/>
      <c r="O10" s="91" t="s">
        <v>7</v>
      </c>
      <c r="P10" s="91"/>
      <c r="Q10" s="91"/>
      <c r="R10" s="91"/>
      <c r="S10" s="91" t="s">
        <v>10</v>
      </c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 t="s">
        <v>11</v>
      </c>
      <c r="AY10" s="91"/>
      <c r="AZ10" s="91"/>
      <c r="BA10" s="91"/>
      <c r="BB10" s="91"/>
      <c r="BC10" s="91"/>
      <c r="BD10" s="91" t="s">
        <v>12</v>
      </c>
      <c r="BE10" s="91"/>
      <c r="BF10" s="91"/>
      <c r="BG10" s="91"/>
      <c r="BH10" s="91"/>
      <c r="BI10" s="91"/>
      <c r="BJ10" s="91"/>
      <c r="BK10" s="18"/>
    </row>
    <row r="11" spans="1:63" ht="15" customHeight="1" x14ac:dyDescent="0.25">
      <c r="A11" s="15"/>
      <c r="B11" s="63">
        <v>45406</v>
      </c>
      <c r="C11" s="13"/>
      <c r="D11" s="13"/>
      <c r="E11" s="13"/>
      <c r="F11" s="13"/>
      <c r="G11" s="12"/>
      <c r="H11" s="69" t="s">
        <v>70</v>
      </c>
      <c r="I11" s="13"/>
      <c r="J11" s="13"/>
      <c r="K11" s="13"/>
      <c r="L11" s="13"/>
      <c r="M11" s="13"/>
      <c r="N11" s="12"/>
      <c r="O11" s="14">
        <v>0.1</v>
      </c>
      <c r="P11" s="13"/>
      <c r="Q11" s="13"/>
      <c r="R11" s="13"/>
      <c r="S11" s="79" t="s">
        <v>19</v>
      </c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1"/>
      <c r="AX11" s="82"/>
      <c r="AY11" s="82"/>
      <c r="AZ11" s="82"/>
      <c r="BA11" s="82"/>
      <c r="BB11" s="82"/>
      <c r="BC11" s="83"/>
      <c r="BD11" s="86"/>
      <c r="BE11" s="82"/>
      <c r="BF11" s="82"/>
      <c r="BG11" s="82"/>
      <c r="BH11" s="82"/>
      <c r="BI11" s="82"/>
      <c r="BJ11" s="83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88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90"/>
      <c r="AX12" s="84"/>
      <c r="AY12" s="84"/>
      <c r="AZ12" s="84"/>
      <c r="BA12" s="84"/>
      <c r="BB12" s="84"/>
      <c r="BC12" s="85"/>
      <c r="BD12" s="87"/>
      <c r="BE12" s="84"/>
      <c r="BF12" s="84"/>
      <c r="BG12" s="84"/>
      <c r="BH12" s="84"/>
      <c r="BI12" s="84"/>
      <c r="BJ12" s="85"/>
      <c r="BK12" s="18"/>
    </row>
    <row r="13" spans="1:63" ht="15" customHeight="1" x14ac:dyDescent="0.25">
      <c r="A13" s="15"/>
      <c r="B13" s="63">
        <v>45457</v>
      </c>
      <c r="C13" s="13"/>
      <c r="D13" s="13"/>
      <c r="E13" s="13"/>
      <c r="F13" s="13"/>
      <c r="G13" s="12"/>
      <c r="H13" s="14" t="s">
        <v>35</v>
      </c>
      <c r="I13" s="13"/>
      <c r="J13" s="13"/>
      <c r="K13" s="13"/>
      <c r="L13" s="13"/>
      <c r="M13" s="13"/>
      <c r="N13" s="12"/>
      <c r="O13" s="14">
        <v>0.2</v>
      </c>
      <c r="P13" s="13"/>
      <c r="Q13" s="13"/>
      <c r="R13" s="13"/>
      <c r="S13" s="79" t="s">
        <v>68</v>
      </c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1"/>
      <c r="AX13" s="82"/>
      <c r="AY13" s="82"/>
      <c r="AZ13" s="82"/>
      <c r="BA13" s="82"/>
      <c r="BB13" s="82"/>
      <c r="BC13" s="83"/>
      <c r="BD13" s="86"/>
      <c r="BE13" s="82"/>
      <c r="BF13" s="82"/>
      <c r="BG13" s="82"/>
      <c r="BH13" s="82"/>
      <c r="BI13" s="82"/>
      <c r="BJ13" s="83"/>
      <c r="BK13" s="18"/>
    </row>
    <row r="14" spans="1:63" ht="15" customHeight="1" x14ac:dyDescent="0.25">
      <c r="A14" s="15"/>
      <c r="B14" s="8"/>
      <c r="C14" s="7"/>
      <c r="D14" s="7"/>
      <c r="E14" s="7"/>
      <c r="F14" s="7"/>
      <c r="G14" s="6"/>
      <c r="H14" s="8"/>
      <c r="I14" s="7"/>
      <c r="J14" s="7"/>
      <c r="K14" s="7"/>
      <c r="L14" s="7"/>
      <c r="M14" s="7"/>
      <c r="N14" s="6"/>
      <c r="O14" s="8"/>
      <c r="P14" s="7"/>
      <c r="Q14" s="7"/>
      <c r="R14" s="7"/>
      <c r="S14" s="88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90"/>
      <c r="AX14" s="84"/>
      <c r="AY14" s="84"/>
      <c r="AZ14" s="84"/>
      <c r="BA14" s="84"/>
      <c r="BB14" s="84"/>
      <c r="BC14" s="85"/>
      <c r="BD14" s="87"/>
      <c r="BE14" s="84"/>
      <c r="BF14" s="84"/>
      <c r="BG14" s="84"/>
      <c r="BH14" s="84"/>
      <c r="BI14" s="84"/>
      <c r="BJ14" s="85"/>
      <c r="BK14" s="18"/>
    </row>
    <row r="15" spans="1:63" ht="15" customHeight="1" x14ac:dyDescent="0.25">
      <c r="A15" s="15"/>
      <c r="B15" s="205">
        <v>45468</v>
      </c>
      <c r="C15" s="206"/>
      <c r="D15" s="206"/>
      <c r="E15" s="206"/>
      <c r="F15" s="206"/>
      <c r="G15" s="207"/>
      <c r="H15" s="208" t="s">
        <v>72</v>
      </c>
      <c r="I15" s="206"/>
      <c r="J15" s="206"/>
      <c r="K15" s="206"/>
      <c r="L15" s="206"/>
      <c r="M15" s="206"/>
      <c r="N15" s="207"/>
      <c r="O15" s="208">
        <v>0.21</v>
      </c>
      <c r="P15" s="206"/>
      <c r="Q15" s="206"/>
      <c r="R15" s="206"/>
      <c r="S15" s="209" t="s">
        <v>73</v>
      </c>
      <c r="T15" s="210"/>
      <c r="U15" s="21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0"/>
      <c r="AG15" s="210"/>
      <c r="AH15" s="210"/>
      <c r="AI15" s="210"/>
      <c r="AJ15" s="210"/>
      <c r="AK15" s="210"/>
      <c r="AL15" s="210"/>
      <c r="AM15" s="210"/>
      <c r="AN15" s="210"/>
      <c r="AO15" s="210"/>
      <c r="AP15" s="210"/>
      <c r="AQ15" s="210"/>
      <c r="AR15" s="210"/>
      <c r="AS15" s="210"/>
      <c r="AT15" s="210"/>
      <c r="AU15" s="210"/>
      <c r="AV15" s="210"/>
      <c r="AW15" s="211"/>
      <c r="AX15" s="82"/>
      <c r="AY15" s="82"/>
      <c r="AZ15" s="82"/>
      <c r="BA15" s="82"/>
      <c r="BB15" s="82"/>
      <c r="BC15" s="83"/>
      <c r="BD15" s="86"/>
      <c r="BE15" s="82"/>
      <c r="BF15" s="82"/>
      <c r="BG15" s="82"/>
      <c r="BH15" s="82"/>
      <c r="BI15" s="82"/>
      <c r="BJ15" s="83"/>
      <c r="BK15" s="18"/>
    </row>
    <row r="16" spans="1:63" ht="15" customHeight="1" x14ac:dyDescent="0.25">
      <c r="A16" s="15"/>
      <c r="B16" s="212"/>
      <c r="C16" s="213"/>
      <c r="D16" s="213"/>
      <c r="E16" s="213"/>
      <c r="F16" s="213"/>
      <c r="G16" s="214"/>
      <c r="H16" s="212"/>
      <c r="I16" s="213"/>
      <c r="J16" s="213"/>
      <c r="K16" s="213"/>
      <c r="L16" s="213"/>
      <c r="M16" s="213"/>
      <c r="N16" s="214"/>
      <c r="O16" s="212"/>
      <c r="P16" s="213"/>
      <c r="Q16" s="213"/>
      <c r="R16" s="213"/>
      <c r="S16" s="215"/>
      <c r="T16" s="216"/>
      <c r="U16" s="216"/>
      <c r="V16" s="216"/>
      <c r="W16" s="216"/>
      <c r="X16" s="216"/>
      <c r="Y16" s="216"/>
      <c r="Z16" s="216"/>
      <c r="AA16" s="216"/>
      <c r="AB16" s="216"/>
      <c r="AC16" s="216"/>
      <c r="AD16" s="216"/>
      <c r="AE16" s="216"/>
      <c r="AF16" s="216"/>
      <c r="AG16" s="216"/>
      <c r="AH16" s="216"/>
      <c r="AI16" s="216"/>
      <c r="AJ16" s="216"/>
      <c r="AK16" s="216"/>
      <c r="AL16" s="216"/>
      <c r="AM16" s="216"/>
      <c r="AN16" s="216"/>
      <c r="AO16" s="216"/>
      <c r="AP16" s="216"/>
      <c r="AQ16" s="216"/>
      <c r="AR16" s="216"/>
      <c r="AS16" s="216"/>
      <c r="AT16" s="216"/>
      <c r="AU16" s="216"/>
      <c r="AV16" s="216"/>
      <c r="AW16" s="217"/>
      <c r="AX16" s="84"/>
      <c r="AY16" s="84"/>
      <c r="AZ16" s="84"/>
      <c r="BA16" s="84"/>
      <c r="BB16" s="84"/>
      <c r="BC16" s="85"/>
      <c r="BD16" s="87"/>
      <c r="BE16" s="84"/>
      <c r="BF16" s="84"/>
      <c r="BG16" s="84"/>
      <c r="BH16" s="84"/>
      <c r="BI16" s="84"/>
      <c r="BJ16" s="85"/>
      <c r="BK16" s="18"/>
    </row>
    <row r="17" spans="1:63" ht="15" customHeight="1" x14ac:dyDescent="0.25">
      <c r="A17" s="15"/>
      <c r="B17" s="218">
        <v>45498</v>
      </c>
      <c r="C17" s="219"/>
      <c r="D17" s="219"/>
      <c r="E17" s="219"/>
      <c r="F17" s="219"/>
      <c r="G17" s="220"/>
      <c r="H17" s="221" t="s">
        <v>74</v>
      </c>
      <c r="I17" s="219"/>
      <c r="J17" s="219"/>
      <c r="K17" s="219"/>
      <c r="L17" s="219"/>
      <c r="M17" s="219"/>
      <c r="N17" s="220"/>
      <c r="O17" s="221">
        <v>0.3</v>
      </c>
      <c r="P17" s="219"/>
      <c r="Q17" s="219"/>
      <c r="R17" s="219"/>
      <c r="S17" s="222" t="s">
        <v>71</v>
      </c>
      <c r="T17" s="223"/>
      <c r="U17" s="223"/>
      <c r="V17" s="223"/>
      <c r="W17" s="223"/>
      <c r="X17" s="223"/>
      <c r="Y17" s="223"/>
      <c r="Z17" s="223"/>
      <c r="AA17" s="223"/>
      <c r="AB17" s="223"/>
      <c r="AC17" s="223"/>
      <c r="AD17" s="223"/>
      <c r="AE17" s="223"/>
      <c r="AF17" s="223"/>
      <c r="AG17" s="223"/>
      <c r="AH17" s="223"/>
      <c r="AI17" s="223"/>
      <c r="AJ17" s="223"/>
      <c r="AK17" s="223"/>
      <c r="AL17" s="223"/>
      <c r="AM17" s="223"/>
      <c r="AN17" s="223"/>
      <c r="AO17" s="223"/>
      <c r="AP17" s="223"/>
      <c r="AQ17" s="223"/>
      <c r="AR17" s="223"/>
      <c r="AS17" s="223"/>
      <c r="AT17" s="223"/>
      <c r="AU17" s="223"/>
      <c r="AV17" s="223"/>
      <c r="AW17" s="224"/>
      <c r="AX17" s="82"/>
      <c r="AY17" s="82"/>
      <c r="AZ17" s="82"/>
      <c r="BA17" s="82"/>
      <c r="BB17" s="82"/>
      <c r="BC17" s="83"/>
      <c r="BD17" s="86"/>
      <c r="BE17" s="82"/>
      <c r="BF17" s="82"/>
      <c r="BG17" s="82"/>
      <c r="BH17" s="82"/>
      <c r="BI17" s="82"/>
      <c r="BJ17" s="83"/>
      <c r="BK17" s="18"/>
    </row>
    <row r="18" spans="1:63" ht="15" customHeight="1" x14ac:dyDescent="0.25">
      <c r="A18" s="15"/>
      <c r="B18" s="225"/>
      <c r="C18" s="226"/>
      <c r="D18" s="226"/>
      <c r="E18" s="226"/>
      <c r="F18" s="226"/>
      <c r="G18" s="227"/>
      <c r="H18" s="228"/>
      <c r="I18" s="226"/>
      <c r="J18" s="226"/>
      <c r="K18" s="226"/>
      <c r="L18" s="226"/>
      <c r="M18" s="226"/>
      <c r="N18" s="227"/>
      <c r="O18" s="228"/>
      <c r="P18" s="226"/>
      <c r="Q18" s="226"/>
      <c r="R18" s="226"/>
      <c r="S18" s="229" t="s">
        <v>75</v>
      </c>
      <c r="T18" s="230"/>
      <c r="U18" s="230"/>
      <c r="V18" s="230"/>
      <c r="W18" s="230"/>
      <c r="X18" s="230"/>
      <c r="Y18" s="230"/>
      <c r="Z18" s="230"/>
      <c r="AA18" s="230"/>
      <c r="AB18" s="230"/>
      <c r="AC18" s="230"/>
      <c r="AD18" s="230"/>
      <c r="AE18" s="230"/>
      <c r="AF18" s="230"/>
      <c r="AG18" s="230"/>
      <c r="AH18" s="230"/>
      <c r="AI18" s="230"/>
      <c r="AJ18" s="230"/>
      <c r="AK18" s="230"/>
      <c r="AL18" s="230"/>
      <c r="AM18" s="230"/>
      <c r="AN18" s="230"/>
      <c r="AO18" s="230"/>
      <c r="AP18" s="230"/>
      <c r="AQ18" s="230"/>
      <c r="AR18" s="230"/>
      <c r="AS18" s="230"/>
      <c r="AT18" s="230"/>
      <c r="AU18" s="230"/>
      <c r="AV18" s="230"/>
      <c r="AW18" s="231"/>
      <c r="AX18" s="92"/>
      <c r="AY18" s="92"/>
      <c r="AZ18" s="92"/>
      <c r="BA18" s="92"/>
      <c r="BB18" s="92"/>
      <c r="BC18" s="93"/>
      <c r="BD18" s="94"/>
      <c r="BE18" s="92"/>
      <c r="BF18" s="92"/>
      <c r="BG18" s="92"/>
      <c r="BH18" s="92"/>
      <c r="BI18" s="92"/>
      <c r="BJ18" s="93"/>
      <c r="BK18" s="18"/>
    </row>
    <row r="19" spans="1:63" ht="15" customHeight="1" x14ac:dyDescent="0.25">
      <c r="A19" s="15"/>
      <c r="B19" s="225"/>
      <c r="C19" s="226"/>
      <c r="D19" s="226"/>
      <c r="E19" s="226"/>
      <c r="F19" s="226"/>
      <c r="G19" s="227"/>
      <c r="H19" s="228"/>
      <c r="I19" s="226"/>
      <c r="J19" s="226"/>
      <c r="K19" s="226"/>
      <c r="L19" s="226"/>
      <c r="M19" s="226"/>
      <c r="N19" s="227"/>
      <c r="O19" s="228"/>
      <c r="P19" s="226"/>
      <c r="Q19" s="226"/>
      <c r="R19" s="226"/>
      <c r="S19" s="229" t="s">
        <v>76</v>
      </c>
      <c r="T19" s="230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0"/>
      <c r="AI19" s="230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0"/>
      <c r="AU19" s="230"/>
      <c r="AV19" s="230"/>
      <c r="AW19" s="231"/>
      <c r="AX19" s="92"/>
      <c r="AY19" s="92"/>
      <c r="AZ19" s="92"/>
      <c r="BA19" s="92"/>
      <c r="BB19" s="92"/>
      <c r="BC19" s="93"/>
      <c r="BD19" s="94"/>
      <c r="BE19" s="92"/>
      <c r="BF19" s="92"/>
      <c r="BG19" s="92"/>
      <c r="BH19" s="92"/>
      <c r="BI19" s="92"/>
      <c r="BJ19" s="93"/>
      <c r="BK19" s="18"/>
    </row>
    <row r="20" spans="1:63" ht="15" customHeight="1" x14ac:dyDescent="0.25">
      <c r="A20" s="15"/>
      <c r="B20" s="232"/>
      <c r="C20" s="233"/>
      <c r="D20" s="233"/>
      <c r="E20" s="233"/>
      <c r="F20" s="233"/>
      <c r="G20" s="234"/>
      <c r="H20" s="232"/>
      <c r="I20" s="233"/>
      <c r="J20" s="233"/>
      <c r="K20" s="233"/>
      <c r="L20" s="233"/>
      <c r="M20" s="233"/>
      <c r="N20" s="234"/>
      <c r="O20" s="232"/>
      <c r="P20" s="233"/>
      <c r="Q20" s="233"/>
      <c r="R20" s="233"/>
      <c r="S20" s="235" t="s">
        <v>77</v>
      </c>
      <c r="T20" s="236"/>
      <c r="U20" s="236"/>
      <c r="V20" s="236"/>
      <c r="W20" s="236"/>
      <c r="X20" s="236"/>
      <c r="Y20" s="236"/>
      <c r="Z20" s="236"/>
      <c r="AA20" s="236"/>
      <c r="AB20" s="236"/>
      <c r="AC20" s="236"/>
      <c r="AD20" s="236"/>
      <c r="AE20" s="236"/>
      <c r="AF20" s="236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  <c r="AS20" s="236"/>
      <c r="AT20" s="236"/>
      <c r="AU20" s="236"/>
      <c r="AV20" s="236"/>
      <c r="AW20" s="237"/>
      <c r="AX20" s="84"/>
      <c r="AY20" s="84"/>
      <c r="AZ20" s="84"/>
      <c r="BA20" s="84"/>
      <c r="BB20" s="84"/>
      <c r="BC20" s="85"/>
      <c r="BD20" s="87"/>
      <c r="BE20" s="84"/>
      <c r="BF20" s="84"/>
      <c r="BG20" s="84"/>
      <c r="BH20" s="84"/>
      <c r="BI20" s="84"/>
      <c r="BJ20" s="85"/>
      <c r="BK20" s="18"/>
    </row>
    <row r="21" spans="1:63" ht="15" customHeight="1" x14ac:dyDescent="0.25">
      <c r="A21" s="15"/>
      <c r="B21" s="14"/>
      <c r="C21" s="13"/>
      <c r="D21" s="13"/>
      <c r="E21" s="13"/>
      <c r="F21" s="13"/>
      <c r="G21" s="12"/>
      <c r="H21" s="14"/>
      <c r="I21" s="13"/>
      <c r="J21" s="13"/>
      <c r="K21" s="13"/>
      <c r="L21" s="13"/>
      <c r="M21" s="13"/>
      <c r="N21" s="12"/>
      <c r="O21" s="14"/>
      <c r="P21" s="13"/>
      <c r="Q21" s="13"/>
      <c r="R21" s="13"/>
      <c r="S21" s="79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1"/>
      <c r="AX21" s="82"/>
      <c r="AY21" s="82"/>
      <c r="AZ21" s="82"/>
      <c r="BA21" s="82"/>
      <c r="BB21" s="82"/>
      <c r="BC21" s="83"/>
      <c r="BD21" s="86"/>
      <c r="BE21" s="82"/>
      <c r="BF21" s="82"/>
      <c r="BG21" s="82"/>
      <c r="BH21" s="82"/>
      <c r="BI21" s="82"/>
      <c r="BJ21" s="83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88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90"/>
      <c r="AX22" s="84"/>
      <c r="AY22" s="84"/>
      <c r="AZ22" s="84"/>
      <c r="BA22" s="84"/>
      <c r="BB22" s="84"/>
      <c r="BC22" s="85"/>
      <c r="BD22" s="87"/>
      <c r="BE22" s="84"/>
      <c r="BF22" s="84"/>
      <c r="BG22" s="84"/>
      <c r="BH22" s="84"/>
      <c r="BI22" s="84"/>
      <c r="BJ22" s="85"/>
      <c r="BK22" s="18"/>
    </row>
    <row r="23" spans="1:63" ht="15" customHeight="1" x14ac:dyDescent="0.25">
      <c r="A23" s="15"/>
      <c r="B23" s="14"/>
      <c r="C23" s="13"/>
      <c r="D23" s="13"/>
      <c r="E23" s="13"/>
      <c r="F23" s="13"/>
      <c r="G23" s="12"/>
      <c r="H23" s="14"/>
      <c r="I23" s="13"/>
      <c r="J23" s="13"/>
      <c r="K23" s="13"/>
      <c r="L23" s="13"/>
      <c r="M23" s="13"/>
      <c r="N23" s="12"/>
      <c r="O23" s="14"/>
      <c r="P23" s="13"/>
      <c r="Q23" s="13"/>
      <c r="R23" s="13"/>
      <c r="S23" s="79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1"/>
      <c r="AX23" s="82"/>
      <c r="AY23" s="82"/>
      <c r="AZ23" s="82"/>
      <c r="BA23" s="82"/>
      <c r="BB23" s="82"/>
      <c r="BC23" s="83"/>
      <c r="BD23" s="86"/>
      <c r="BE23" s="82"/>
      <c r="BF23" s="82"/>
      <c r="BG23" s="82"/>
      <c r="BH23" s="82"/>
      <c r="BI23" s="82"/>
      <c r="BJ23" s="83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88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90"/>
      <c r="AX24" s="84"/>
      <c r="AY24" s="84"/>
      <c r="AZ24" s="84"/>
      <c r="BA24" s="84"/>
      <c r="BB24" s="84"/>
      <c r="BC24" s="85"/>
      <c r="BD24" s="87"/>
      <c r="BE24" s="84"/>
      <c r="BF24" s="84"/>
      <c r="BG24" s="84"/>
      <c r="BH24" s="84"/>
      <c r="BI24" s="84"/>
      <c r="BJ24" s="85"/>
      <c r="BK24" s="18"/>
    </row>
    <row r="25" spans="1:63" ht="15" customHeight="1" x14ac:dyDescent="0.25">
      <c r="A25" s="15"/>
      <c r="B25" s="14"/>
      <c r="C25" s="13"/>
      <c r="D25" s="13"/>
      <c r="E25" s="13"/>
      <c r="F25" s="13"/>
      <c r="G25" s="12"/>
      <c r="H25" s="14"/>
      <c r="I25" s="13"/>
      <c r="J25" s="13"/>
      <c r="K25" s="13"/>
      <c r="L25" s="13"/>
      <c r="M25" s="13"/>
      <c r="N25" s="12"/>
      <c r="O25" s="14"/>
      <c r="P25" s="13"/>
      <c r="Q25" s="13"/>
      <c r="R25" s="13"/>
      <c r="S25" s="79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1"/>
      <c r="AX25" s="82"/>
      <c r="AY25" s="82"/>
      <c r="AZ25" s="82"/>
      <c r="BA25" s="82"/>
      <c r="BB25" s="82"/>
      <c r="BC25" s="83"/>
      <c r="BD25" s="86"/>
      <c r="BE25" s="82"/>
      <c r="BF25" s="82"/>
      <c r="BG25" s="82"/>
      <c r="BH25" s="82"/>
      <c r="BI25" s="82"/>
      <c r="BJ25" s="83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88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90"/>
      <c r="AX26" s="84"/>
      <c r="AY26" s="84"/>
      <c r="AZ26" s="84"/>
      <c r="BA26" s="84"/>
      <c r="BB26" s="84"/>
      <c r="BC26" s="85"/>
      <c r="BD26" s="87"/>
      <c r="BE26" s="84"/>
      <c r="BF26" s="84"/>
      <c r="BG26" s="84"/>
      <c r="BH26" s="84"/>
      <c r="BI26" s="84"/>
      <c r="BJ26" s="85"/>
      <c r="BK26" s="18"/>
    </row>
    <row r="27" spans="1:63" ht="15" customHeight="1" x14ac:dyDescent="0.25">
      <c r="A27" s="15"/>
      <c r="B27" s="14"/>
      <c r="C27" s="13"/>
      <c r="D27" s="13"/>
      <c r="E27" s="13"/>
      <c r="F27" s="13"/>
      <c r="G27" s="12"/>
      <c r="H27" s="14"/>
      <c r="I27" s="13"/>
      <c r="J27" s="13"/>
      <c r="K27" s="13"/>
      <c r="L27" s="13"/>
      <c r="M27" s="13"/>
      <c r="N27" s="12"/>
      <c r="O27" s="14"/>
      <c r="P27" s="13"/>
      <c r="Q27" s="13"/>
      <c r="R27" s="13"/>
      <c r="S27" s="79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1"/>
      <c r="AX27" s="82"/>
      <c r="AY27" s="82"/>
      <c r="AZ27" s="82"/>
      <c r="BA27" s="82"/>
      <c r="BB27" s="82"/>
      <c r="BC27" s="83"/>
      <c r="BD27" s="86"/>
      <c r="BE27" s="82"/>
      <c r="BF27" s="82"/>
      <c r="BG27" s="82"/>
      <c r="BH27" s="82"/>
      <c r="BI27" s="82"/>
      <c r="BJ27" s="83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88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90"/>
      <c r="AX28" s="84"/>
      <c r="AY28" s="84"/>
      <c r="AZ28" s="84"/>
      <c r="BA28" s="84"/>
      <c r="BB28" s="84"/>
      <c r="BC28" s="85"/>
      <c r="BD28" s="87"/>
      <c r="BE28" s="84"/>
      <c r="BF28" s="84"/>
      <c r="BG28" s="84"/>
      <c r="BH28" s="84"/>
      <c r="BI28" s="84"/>
      <c r="BJ28" s="85"/>
      <c r="BK28" s="18"/>
    </row>
    <row r="29" spans="1:63" ht="15" customHeight="1" x14ac:dyDescent="0.25">
      <c r="A29" s="15"/>
      <c r="B29" s="14"/>
      <c r="C29" s="13"/>
      <c r="D29" s="13"/>
      <c r="E29" s="13"/>
      <c r="F29" s="13"/>
      <c r="G29" s="12"/>
      <c r="H29" s="14"/>
      <c r="I29" s="13"/>
      <c r="J29" s="13"/>
      <c r="K29" s="13"/>
      <c r="L29" s="13"/>
      <c r="M29" s="13"/>
      <c r="N29" s="12"/>
      <c r="O29" s="14"/>
      <c r="P29" s="13"/>
      <c r="Q29" s="13"/>
      <c r="R29" s="13"/>
      <c r="S29" s="79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1"/>
      <c r="AX29" s="82"/>
      <c r="AY29" s="82"/>
      <c r="AZ29" s="82"/>
      <c r="BA29" s="82"/>
      <c r="BB29" s="82"/>
      <c r="BC29" s="83"/>
      <c r="BD29" s="86"/>
      <c r="BE29" s="82"/>
      <c r="BF29" s="82"/>
      <c r="BG29" s="82"/>
      <c r="BH29" s="82"/>
      <c r="BI29" s="82"/>
      <c r="BJ29" s="83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88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90"/>
      <c r="AX30" s="84"/>
      <c r="AY30" s="84"/>
      <c r="AZ30" s="84"/>
      <c r="BA30" s="84"/>
      <c r="BB30" s="84"/>
      <c r="BC30" s="85"/>
      <c r="BD30" s="87"/>
      <c r="BE30" s="84"/>
      <c r="BF30" s="84"/>
      <c r="BG30" s="84"/>
      <c r="BH30" s="84"/>
      <c r="BI30" s="84"/>
      <c r="BJ30" s="85"/>
      <c r="BK30" s="18"/>
    </row>
    <row r="31" spans="1:63" ht="15" customHeight="1" x14ac:dyDescent="0.25">
      <c r="A31" s="15"/>
      <c r="B31" s="14"/>
      <c r="C31" s="13"/>
      <c r="D31" s="13"/>
      <c r="E31" s="13"/>
      <c r="F31" s="13"/>
      <c r="G31" s="12"/>
      <c r="H31" s="14"/>
      <c r="I31" s="13"/>
      <c r="J31" s="13"/>
      <c r="K31" s="13"/>
      <c r="L31" s="13"/>
      <c r="M31" s="13"/>
      <c r="N31" s="12"/>
      <c r="O31" s="14"/>
      <c r="P31" s="13"/>
      <c r="Q31" s="13"/>
      <c r="R31" s="13"/>
      <c r="S31" s="79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1"/>
      <c r="AX31" s="82"/>
      <c r="AY31" s="82"/>
      <c r="AZ31" s="82"/>
      <c r="BA31" s="82"/>
      <c r="BB31" s="82"/>
      <c r="BC31" s="83"/>
      <c r="BD31" s="86"/>
      <c r="BE31" s="82"/>
      <c r="BF31" s="82"/>
      <c r="BG31" s="82"/>
      <c r="BH31" s="82"/>
      <c r="BI31" s="82"/>
      <c r="BJ31" s="83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88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90"/>
      <c r="AX32" s="84"/>
      <c r="AY32" s="84"/>
      <c r="AZ32" s="84"/>
      <c r="BA32" s="84"/>
      <c r="BB32" s="84"/>
      <c r="BC32" s="85"/>
      <c r="BD32" s="87"/>
      <c r="BE32" s="84"/>
      <c r="BF32" s="84"/>
      <c r="BG32" s="84"/>
      <c r="BH32" s="84"/>
      <c r="BI32" s="84"/>
      <c r="BJ32" s="85"/>
      <c r="BK32" s="18"/>
    </row>
    <row r="33" spans="1:63" ht="15" customHeight="1" x14ac:dyDescent="0.25">
      <c r="A33" s="15"/>
      <c r="B33" s="14"/>
      <c r="C33" s="13"/>
      <c r="D33" s="13"/>
      <c r="E33" s="13"/>
      <c r="F33" s="13"/>
      <c r="G33" s="12"/>
      <c r="H33" s="14"/>
      <c r="I33" s="13"/>
      <c r="J33" s="13"/>
      <c r="K33" s="13"/>
      <c r="L33" s="13"/>
      <c r="M33" s="13"/>
      <c r="N33" s="12"/>
      <c r="O33" s="14"/>
      <c r="P33" s="13"/>
      <c r="Q33" s="13"/>
      <c r="R33" s="13"/>
      <c r="S33" s="79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1"/>
      <c r="AX33" s="82"/>
      <c r="AY33" s="82"/>
      <c r="AZ33" s="82"/>
      <c r="BA33" s="82"/>
      <c r="BB33" s="82"/>
      <c r="BC33" s="83"/>
      <c r="BD33" s="86"/>
      <c r="BE33" s="82"/>
      <c r="BF33" s="82"/>
      <c r="BG33" s="82"/>
      <c r="BH33" s="82"/>
      <c r="BI33" s="82"/>
      <c r="BJ33" s="83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88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90"/>
      <c r="AX34" s="84"/>
      <c r="AY34" s="84"/>
      <c r="AZ34" s="84"/>
      <c r="BA34" s="84"/>
      <c r="BB34" s="84"/>
      <c r="BC34" s="85"/>
      <c r="BD34" s="87"/>
      <c r="BE34" s="84"/>
      <c r="BF34" s="84"/>
      <c r="BG34" s="84"/>
      <c r="BH34" s="84"/>
      <c r="BI34" s="84"/>
      <c r="BJ34" s="85"/>
      <c r="BK34" s="18"/>
    </row>
    <row r="35" spans="1:63" ht="15" customHeight="1" x14ac:dyDescent="0.25">
      <c r="A35" s="15"/>
      <c r="B35" s="14"/>
      <c r="C35" s="13"/>
      <c r="D35" s="13"/>
      <c r="E35" s="13"/>
      <c r="F35" s="13"/>
      <c r="G35" s="12"/>
      <c r="H35" s="14"/>
      <c r="I35" s="13"/>
      <c r="J35" s="13"/>
      <c r="K35" s="13"/>
      <c r="L35" s="13"/>
      <c r="M35" s="13"/>
      <c r="N35" s="12"/>
      <c r="O35" s="14"/>
      <c r="P35" s="13"/>
      <c r="Q35" s="13"/>
      <c r="R35" s="13"/>
      <c r="S35" s="79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1"/>
      <c r="AX35" s="82"/>
      <c r="AY35" s="82"/>
      <c r="AZ35" s="82"/>
      <c r="BA35" s="82"/>
      <c r="BB35" s="82"/>
      <c r="BC35" s="83"/>
      <c r="BD35" s="86"/>
      <c r="BE35" s="82"/>
      <c r="BF35" s="82"/>
      <c r="BG35" s="82"/>
      <c r="BH35" s="82"/>
      <c r="BI35" s="82"/>
      <c r="BJ35" s="83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88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90"/>
      <c r="AX36" s="84"/>
      <c r="AY36" s="84"/>
      <c r="AZ36" s="84"/>
      <c r="BA36" s="84"/>
      <c r="BB36" s="84"/>
      <c r="BC36" s="85"/>
      <c r="BD36" s="87"/>
      <c r="BE36" s="84"/>
      <c r="BF36" s="84"/>
      <c r="BG36" s="84"/>
      <c r="BH36" s="84"/>
      <c r="BI36" s="84"/>
      <c r="BJ36" s="85"/>
      <c r="BK36" s="18"/>
    </row>
    <row r="37" spans="1:63" ht="15" customHeight="1" x14ac:dyDescent="0.25">
      <c r="A37" s="15"/>
      <c r="B37" s="14"/>
      <c r="C37" s="13"/>
      <c r="D37" s="13"/>
      <c r="E37" s="13"/>
      <c r="F37" s="13"/>
      <c r="G37" s="12"/>
      <c r="H37" s="14"/>
      <c r="I37" s="13"/>
      <c r="J37" s="13"/>
      <c r="K37" s="13"/>
      <c r="L37" s="13"/>
      <c r="M37" s="13"/>
      <c r="N37" s="12"/>
      <c r="O37" s="14"/>
      <c r="P37" s="13"/>
      <c r="Q37" s="13"/>
      <c r="R37" s="13"/>
      <c r="S37" s="79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1"/>
      <c r="AX37" s="82"/>
      <c r="AY37" s="82"/>
      <c r="AZ37" s="82"/>
      <c r="BA37" s="82"/>
      <c r="BB37" s="82"/>
      <c r="BC37" s="83"/>
      <c r="BD37" s="86"/>
      <c r="BE37" s="82"/>
      <c r="BF37" s="82"/>
      <c r="BG37" s="82"/>
      <c r="BH37" s="82"/>
      <c r="BI37" s="82"/>
      <c r="BJ37" s="83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88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90"/>
      <c r="AX38" s="84"/>
      <c r="AY38" s="84"/>
      <c r="AZ38" s="84"/>
      <c r="BA38" s="84"/>
      <c r="BB38" s="84"/>
      <c r="BC38" s="85"/>
      <c r="BD38" s="87"/>
      <c r="BE38" s="84"/>
      <c r="BF38" s="84"/>
      <c r="BG38" s="84"/>
      <c r="BH38" s="84"/>
      <c r="BI38" s="84"/>
      <c r="BJ38" s="85"/>
      <c r="BK38" s="18"/>
    </row>
    <row r="39" spans="1:63" ht="15" customHeight="1" x14ac:dyDescent="0.25">
      <c r="A39" s="15"/>
      <c r="B39" s="14"/>
      <c r="C39" s="13"/>
      <c r="D39" s="13"/>
      <c r="E39" s="13"/>
      <c r="F39" s="13"/>
      <c r="G39" s="12"/>
      <c r="H39" s="14"/>
      <c r="I39" s="13"/>
      <c r="J39" s="13"/>
      <c r="K39" s="13"/>
      <c r="L39" s="13"/>
      <c r="M39" s="13"/>
      <c r="N39" s="12"/>
      <c r="O39" s="14"/>
      <c r="P39" s="13"/>
      <c r="Q39" s="13"/>
      <c r="R39" s="13"/>
      <c r="S39" s="79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1"/>
      <c r="AX39" s="82"/>
      <c r="AY39" s="82"/>
      <c r="AZ39" s="82"/>
      <c r="BA39" s="82"/>
      <c r="BB39" s="82"/>
      <c r="BC39" s="83"/>
      <c r="BD39" s="86"/>
      <c r="BE39" s="82"/>
      <c r="BF39" s="82"/>
      <c r="BG39" s="82"/>
      <c r="BH39" s="82"/>
      <c r="BI39" s="82"/>
      <c r="BJ39" s="83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88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90"/>
      <c r="AX40" s="84"/>
      <c r="AY40" s="84"/>
      <c r="AZ40" s="84"/>
      <c r="BA40" s="84"/>
      <c r="BB40" s="84"/>
      <c r="BC40" s="85"/>
      <c r="BD40" s="87"/>
      <c r="BE40" s="84"/>
      <c r="BF40" s="84"/>
      <c r="BG40" s="84"/>
      <c r="BH40" s="84"/>
      <c r="BI40" s="84"/>
      <c r="BJ40" s="85"/>
      <c r="BK40" s="18"/>
    </row>
    <row r="41" spans="1:63" ht="15" customHeight="1" x14ac:dyDescent="0.25">
      <c r="A41" s="15"/>
      <c r="B41" s="14"/>
      <c r="C41" s="13"/>
      <c r="D41" s="13"/>
      <c r="E41" s="13"/>
      <c r="F41" s="13"/>
      <c r="G41" s="12"/>
      <c r="H41" s="14"/>
      <c r="I41" s="13"/>
      <c r="J41" s="13"/>
      <c r="K41" s="13"/>
      <c r="L41" s="13"/>
      <c r="M41" s="13"/>
      <c r="N41" s="12"/>
      <c r="O41" s="14"/>
      <c r="P41" s="13"/>
      <c r="Q41" s="13"/>
      <c r="R41" s="13"/>
      <c r="S41" s="79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1"/>
      <c r="AX41" s="82"/>
      <c r="AY41" s="82"/>
      <c r="AZ41" s="82"/>
      <c r="BA41" s="82"/>
      <c r="BB41" s="82"/>
      <c r="BC41" s="83"/>
      <c r="BD41" s="86"/>
      <c r="BE41" s="82"/>
      <c r="BF41" s="82"/>
      <c r="BG41" s="82"/>
      <c r="BH41" s="82"/>
      <c r="BI41" s="82"/>
      <c r="BJ41" s="83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88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90"/>
      <c r="AX42" s="84"/>
      <c r="AY42" s="84"/>
      <c r="AZ42" s="84"/>
      <c r="BA42" s="84"/>
      <c r="BB42" s="84"/>
      <c r="BC42" s="85"/>
      <c r="BD42" s="87"/>
      <c r="BE42" s="84"/>
      <c r="BF42" s="84"/>
      <c r="BG42" s="84"/>
      <c r="BH42" s="84"/>
      <c r="BI42" s="84"/>
      <c r="BJ42" s="85"/>
      <c r="BK42" s="18"/>
    </row>
    <row r="43" spans="1:63" ht="15" customHeight="1" x14ac:dyDescent="0.25">
      <c r="A43" s="15"/>
      <c r="B43" s="14"/>
      <c r="C43" s="13"/>
      <c r="D43" s="13"/>
      <c r="E43" s="13"/>
      <c r="F43" s="13"/>
      <c r="G43" s="12"/>
      <c r="H43" s="14"/>
      <c r="I43" s="13"/>
      <c r="J43" s="13"/>
      <c r="K43" s="13"/>
      <c r="L43" s="13"/>
      <c r="M43" s="13"/>
      <c r="N43" s="12"/>
      <c r="O43" s="14"/>
      <c r="P43" s="13"/>
      <c r="Q43" s="13"/>
      <c r="R43" s="13"/>
      <c r="S43" s="79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1"/>
      <c r="AX43" s="82"/>
      <c r="AY43" s="82"/>
      <c r="AZ43" s="82"/>
      <c r="BA43" s="82"/>
      <c r="BB43" s="82"/>
      <c r="BC43" s="83"/>
      <c r="BD43" s="86"/>
      <c r="BE43" s="82"/>
      <c r="BF43" s="82"/>
      <c r="BG43" s="82"/>
      <c r="BH43" s="82"/>
      <c r="BI43" s="82"/>
      <c r="BJ43" s="83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88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90"/>
      <c r="AX44" s="84"/>
      <c r="AY44" s="84"/>
      <c r="AZ44" s="84"/>
      <c r="BA44" s="84"/>
      <c r="BB44" s="84"/>
      <c r="BC44" s="85"/>
      <c r="BD44" s="87"/>
      <c r="BE44" s="84"/>
      <c r="BF44" s="84"/>
      <c r="BG44" s="84"/>
      <c r="BH44" s="84"/>
      <c r="BI44" s="84"/>
      <c r="BJ44" s="85"/>
      <c r="BK44" s="18"/>
    </row>
    <row r="45" spans="1:63" ht="15" customHeight="1" x14ac:dyDescent="0.25">
      <c r="A45" s="15"/>
      <c r="B45" s="14"/>
      <c r="C45" s="13"/>
      <c r="D45" s="13"/>
      <c r="E45" s="13"/>
      <c r="F45" s="13"/>
      <c r="G45" s="12"/>
      <c r="H45" s="14"/>
      <c r="I45" s="13"/>
      <c r="J45" s="13"/>
      <c r="K45" s="13"/>
      <c r="L45" s="13"/>
      <c r="M45" s="13"/>
      <c r="N45" s="12"/>
      <c r="O45" s="14"/>
      <c r="P45" s="13"/>
      <c r="Q45" s="13"/>
      <c r="R45" s="13"/>
      <c r="S45" s="79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1"/>
      <c r="AX45" s="82"/>
      <c r="AY45" s="82"/>
      <c r="AZ45" s="82"/>
      <c r="BA45" s="82"/>
      <c r="BB45" s="82"/>
      <c r="BC45" s="83"/>
      <c r="BD45" s="86"/>
      <c r="BE45" s="82"/>
      <c r="BF45" s="82"/>
      <c r="BG45" s="82"/>
      <c r="BH45" s="82"/>
      <c r="BI45" s="82"/>
      <c r="BJ45" s="83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88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90"/>
      <c r="AX46" s="84"/>
      <c r="AY46" s="84"/>
      <c r="AZ46" s="84"/>
      <c r="BA46" s="84"/>
      <c r="BB46" s="84"/>
      <c r="BC46" s="85"/>
      <c r="BD46" s="87"/>
      <c r="BE46" s="84"/>
      <c r="BF46" s="84"/>
      <c r="BG46" s="84"/>
      <c r="BH46" s="84"/>
      <c r="BI46" s="84"/>
      <c r="BJ46" s="85"/>
      <c r="BK46" s="18"/>
    </row>
    <row r="47" spans="1:63" ht="15" customHeight="1" x14ac:dyDescent="0.25">
      <c r="A47" s="15"/>
      <c r="B47" s="14"/>
      <c r="C47" s="13"/>
      <c r="D47" s="13"/>
      <c r="E47" s="13"/>
      <c r="F47" s="13"/>
      <c r="G47" s="12"/>
      <c r="H47" s="14"/>
      <c r="I47" s="13"/>
      <c r="J47" s="13"/>
      <c r="K47" s="13"/>
      <c r="L47" s="13"/>
      <c r="M47" s="13"/>
      <c r="N47" s="12"/>
      <c r="O47" s="14"/>
      <c r="P47" s="13"/>
      <c r="Q47" s="13"/>
      <c r="R47" s="13"/>
      <c r="S47" s="79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1"/>
      <c r="AX47" s="82"/>
      <c r="AY47" s="82"/>
      <c r="AZ47" s="82"/>
      <c r="BA47" s="82"/>
      <c r="BB47" s="82"/>
      <c r="BC47" s="83"/>
      <c r="BD47" s="86"/>
      <c r="BE47" s="82"/>
      <c r="BF47" s="82"/>
      <c r="BG47" s="82"/>
      <c r="BH47" s="82"/>
      <c r="BI47" s="82"/>
      <c r="BJ47" s="83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88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90"/>
      <c r="AX48" s="84"/>
      <c r="AY48" s="84"/>
      <c r="AZ48" s="84"/>
      <c r="BA48" s="84"/>
      <c r="BB48" s="84"/>
      <c r="BC48" s="85"/>
      <c r="BD48" s="87"/>
      <c r="BE48" s="84"/>
      <c r="BF48" s="84"/>
      <c r="BG48" s="84"/>
      <c r="BH48" s="84"/>
      <c r="BI48" s="84"/>
      <c r="BJ48" s="85"/>
      <c r="BK48" s="18"/>
    </row>
    <row r="49" spans="1:63" ht="15" customHeight="1" x14ac:dyDescent="0.25">
      <c r="A49" s="15"/>
      <c r="B49" s="14"/>
      <c r="C49" s="13"/>
      <c r="D49" s="13"/>
      <c r="E49" s="13"/>
      <c r="F49" s="13"/>
      <c r="G49" s="12"/>
      <c r="H49" s="14"/>
      <c r="I49" s="13"/>
      <c r="J49" s="13"/>
      <c r="K49" s="13"/>
      <c r="L49" s="13"/>
      <c r="M49" s="13"/>
      <c r="N49" s="12"/>
      <c r="O49" s="14"/>
      <c r="P49" s="13"/>
      <c r="Q49" s="13"/>
      <c r="R49" s="13"/>
      <c r="S49" s="79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1"/>
      <c r="AX49" s="82"/>
      <c r="AY49" s="82"/>
      <c r="AZ49" s="82"/>
      <c r="BA49" s="82"/>
      <c r="BB49" s="82"/>
      <c r="BC49" s="83"/>
      <c r="BD49" s="86"/>
      <c r="BE49" s="82"/>
      <c r="BF49" s="82"/>
      <c r="BG49" s="82"/>
      <c r="BH49" s="82"/>
      <c r="BI49" s="82"/>
      <c r="BJ49" s="83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88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90"/>
      <c r="AX50" s="84"/>
      <c r="AY50" s="84"/>
      <c r="AZ50" s="84"/>
      <c r="BA50" s="84"/>
      <c r="BB50" s="84"/>
      <c r="BC50" s="85"/>
      <c r="BD50" s="87"/>
      <c r="BE50" s="84"/>
      <c r="BF50" s="84"/>
      <c r="BG50" s="84"/>
      <c r="BH50" s="84"/>
      <c r="BI50" s="84"/>
      <c r="BJ50" s="85"/>
      <c r="BK50" s="18"/>
    </row>
    <row r="51" spans="1:63" ht="15" customHeight="1" x14ac:dyDescent="0.25">
      <c r="A51" s="15"/>
      <c r="B51" s="14"/>
      <c r="C51" s="13"/>
      <c r="D51" s="13"/>
      <c r="E51" s="13"/>
      <c r="F51" s="13"/>
      <c r="G51" s="12"/>
      <c r="H51" s="14"/>
      <c r="I51" s="13"/>
      <c r="J51" s="13"/>
      <c r="K51" s="13"/>
      <c r="L51" s="13"/>
      <c r="M51" s="13"/>
      <c r="N51" s="12"/>
      <c r="O51" s="14"/>
      <c r="P51" s="13"/>
      <c r="Q51" s="13"/>
      <c r="R51" s="13"/>
      <c r="S51" s="79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1"/>
      <c r="AX51" s="82"/>
      <c r="AY51" s="82"/>
      <c r="AZ51" s="82"/>
      <c r="BA51" s="82"/>
      <c r="BB51" s="82"/>
      <c r="BC51" s="83"/>
      <c r="BD51" s="86"/>
      <c r="BE51" s="82"/>
      <c r="BF51" s="82"/>
      <c r="BG51" s="82"/>
      <c r="BH51" s="82"/>
      <c r="BI51" s="82"/>
      <c r="BJ51" s="83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88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90"/>
      <c r="AX52" s="84"/>
      <c r="AY52" s="84"/>
      <c r="AZ52" s="84"/>
      <c r="BA52" s="84"/>
      <c r="BB52" s="84"/>
      <c r="BC52" s="85"/>
      <c r="BD52" s="87"/>
      <c r="BE52" s="84"/>
      <c r="BF52" s="84"/>
      <c r="BG52" s="84"/>
      <c r="BH52" s="84"/>
      <c r="BI52" s="84"/>
      <c r="BJ52" s="85"/>
      <c r="BK52" s="18"/>
    </row>
    <row r="53" spans="1:63" ht="15" customHeight="1" x14ac:dyDescent="0.25">
      <c r="A53" s="15"/>
      <c r="B53" s="14"/>
      <c r="C53" s="13"/>
      <c r="D53" s="13"/>
      <c r="E53" s="13"/>
      <c r="F53" s="13"/>
      <c r="G53" s="12"/>
      <c r="H53" s="14"/>
      <c r="I53" s="13"/>
      <c r="J53" s="13"/>
      <c r="K53" s="13"/>
      <c r="L53" s="13"/>
      <c r="M53" s="13"/>
      <c r="N53" s="12"/>
      <c r="O53" s="14"/>
      <c r="P53" s="13"/>
      <c r="Q53" s="13"/>
      <c r="R53" s="13"/>
      <c r="S53" s="79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1"/>
      <c r="AX53" s="82"/>
      <c r="AY53" s="82"/>
      <c r="AZ53" s="82"/>
      <c r="BA53" s="82"/>
      <c r="BB53" s="82"/>
      <c r="BC53" s="83"/>
      <c r="BD53" s="86"/>
      <c r="BE53" s="82"/>
      <c r="BF53" s="82"/>
      <c r="BG53" s="82"/>
      <c r="BH53" s="82"/>
      <c r="BI53" s="82"/>
      <c r="BJ53" s="83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88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90"/>
      <c r="AX54" s="84"/>
      <c r="AY54" s="84"/>
      <c r="AZ54" s="84"/>
      <c r="BA54" s="84"/>
      <c r="BB54" s="84"/>
      <c r="BC54" s="85"/>
      <c r="BD54" s="87"/>
      <c r="BE54" s="84"/>
      <c r="BF54" s="84"/>
      <c r="BG54" s="84"/>
      <c r="BH54" s="84"/>
      <c r="BI54" s="84"/>
      <c r="BJ54" s="85"/>
      <c r="BK54" s="18"/>
    </row>
    <row r="55" spans="1:63" ht="15" customHeight="1" x14ac:dyDescent="0.25">
      <c r="A55" s="15"/>
      <c r="B55" s="14"/>
      <c r="C55" s="13"/>
      <c r="D55" s="13"/>
      <c r="E55" s="13"/>
      <c r="F55" s="13"/>
      <c r="G55" s="12"/>
      <c r="H55" s="14"/>
      <c r="I55" s="13"/>
      <c r="J55" s="13"/>
      <c r="K55" s="13"/>
      <c r="L55" s="13"/>
      <c r="M55" s="13"/>
      <c r="N55" s="12"/>
      <c r="O55" s="14"/>
      <c r="P55" s="13"/>
      <c r="Q55" s="13"/>
      <c r="R55" s="13"/>
      <c r="S55" s="79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1"/>
      <c r="AX55" s="82"/>
      <c r="AY55" s="82"/>
      <c r="AZ55" s="82"/>
      <c r="BA55" s="82"/>
      <c r="BB55" s="82"/>
      <c r="BC55" s="83"/>
      <c r="BD55" s="86"/>
      <c r="BE55" s="82"/>
      <c r="BF55" s="82"/>
      <c r="BG55" s="82"/>
      <c r="BH55" s="82"/>
      <c r="BI55" s="82"/>
      <c r="BJ55" s="83"/>
      <c r="BK55" s="18"/>
    </row>
    <row r="56" spans="1:63" ht="15" customHeight="1" x14ac:dyDescent="0.25">
      <c r="A56" s="15"/>
      <c r="B56" s="8"/>
      <c r="C56" s="7"/>
      <c r="D56" s="7"/>
      <c r="E56" s="7"/>
      <c r="F56" s="7"/>
      <c r="G56" s="6"/>
      <c r="H56" s="8"/>
      <c r="I56" s="7"/>
      <c r="J56" s="7"/>
      <c r="K56" s="7"/>
      <c r="L56" s="7"/>
      <c r="M56" s="7"/>
      <c r="N56" s="6"/>
      <c r="O56" s="8"/>
      <c r="P56" s="7"/>
      <c r="Q56" s="7"/>
      <c r="R56" s="7"/>
      <c r="S56" s="88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90"/>
      <c r="AX56" s="84"/>
      <c r="AY56" s="84"/>
      <c r="AZ56" s="84"/>
      <c r="BA56" s="84"/>
      <c r="BB56" s="84"/>
      <c r="BC56" s="85"/>
      <c r="BD56" s="87"/>
      <c r="BE56" s="84"/>
      <c r="BF56" s="84"/>
      <c r="BG56" s="84"/>
      <c r="BH56" s="84"/>
      <c r="BI56" s="84"/>
      <c r="BJ56" s="85"/>
      <c r="BK56" s="18"/>
    </row>
    <row r="57" spans="1:63" ht="15" customHeight="1" x14ac:dyDescent="0.25">
      <c r="A57" s="16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9"/>
    </row>
  </sheetData>
  <mergeCells count="182">
    <mergeCell ref="BD11:BJ12"/>
    <mergeCell ref="AX11:BC12"/>
    <mergeCell ref="S12:AW12"/>
    <mergeCell ref="S11:AW11"/>
    <mergeCell ref="O11:R12"/>
    <mergeCell ref="H11:N12"/>
    <mergeCell ref="A1:J1"/>
    <mergeCell ref="AP4:BK4"/>
    <mergeCell ref="Z4:AO4"/>
    <mergeCell ref="BH1:BK1"/>
    <mergeCell ref="BC1:BG1"/>
    <mergeCell ref="AY1:BB1"/>
    <mergeCell ref="AT1:AX1"/>
    <mergeCell ref="AP1:AS1"/>
    <mergeCell ref="W1:AO3"/>
    <mergeCell ref="K1:V1"/>
    <mergeCell ref="BD10:BJ10"/>
    <mergeCell ref="AX10:BC10"/>
    <mergeCell ref="S10:AW10"/>
    <mergeCell ref="O10:R10"/>
    <mergeCell ref="H10:N10"/>
    <mergeCell ref="U4:Y4"/>
    <mergeCell ref="H4:T4"/>
    <mergeCell ref="A4:G4"/>
    <mergeCell ref="BH2:BK3"/>
    <mergeCell ref="BC2:BG3"/>
    <mergeCell ref="AY2:BB3"/>
    <mergeCell ref="AT2:AX3"/>
    <mergeCell ref="AP2:AS3"/>
    <mergeCell ref="B10:G10"/>
    <mergeCell ref="K2:V3"/>
    <mergeCell ref="A2:J3"/>
    <mergeCell ref="AX17:BC20"/>
    <mergeCell ref="BD17:BJ20"/>
    <mergeCell ref="S20:AW20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S18:AW18"/>
    <mergeCell ref="S19:AW19"/>
    <mergeCell ref="AX13:BC14"/>
    <mergeCell ref="B11:G12"/>
    <mergeCell ref="B13:G14"/>
    <mergeCell ref="H13:N14"/>
    <mergeCell ref="O13:R14"/>
    <mergeCell ref="S13:AW13"/>
    <mergeCell ref="B23:G24"/>
    <mergeCell ref="H23:N24"/>
    <mergeCell ref="O23:R24"/>
    <mergeCell ref="S23:AW23"/>
    <mergeCell ref="B17:G20"/>
    <mergeCell ref="H17:N20"/>
    <mergeCell ref="O17:R20"/>
    <mergeCell ref="S17:AW17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55:G56"/>
    <mergeCell ref="H55:N56"/>
    <mergeCell ref="O55:R56"/>
    <mergeCell ref="S55:AW55"/>
    <mergeCell ref="AX55:BC56"/>
    <mergeCell ref="BD55:BJ56"/>
    <mergeCell ref="S56:AW56"/>
    <mergeCell ref="B53:G54"/>
    <mergeCell ref="H53:N54"/>
    <mergeCell ref="O53:R54"/>
    <mergeCell ref="S53:AW53"/>
    <mergeCell ref="AX53:BC54"/>
    <mergeCell ref="BD53:BJ54"/>
    <mergeCell ref="S54:AW5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dimension ref="A1:BK55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38" customWidth="1"/>
    <col min="64" max="16384" width="8.88671875" style="238"/>
  </cols>
  <sheetData>
    <row r="1" spans="1:63" ht="24.95" customHeight="1" x14ac:dyDescent="0.25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1"/>
      <c r="K1" s="49" t="s">
        <v>2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1"/>
      <c r="W1" s="70" t="str">
        <f>IF(表紙!W1="","",表紙!W1)</f>
        <v>基本設計書</v>
      </c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2"/>
      <c r="AP1" s="49" t="s">
        <v>3</v>
      </c>
      <c r="AQ1" s="50"/>
      <c r="AR1" s="50"/>
      <c r="AS1" s="51"/>
      <c r="AT1" s="49" t="s">
        <v>4</v>
      </c>
      <c r="AU1" s="50"/>
      <c r="AV1" s="50"/>
      <c r="AW1" s="50"/>
      <c r="AX1" s="51"/>
      <c r="AY1" s="49" t="s">
        <v>5</v>
      </c>
      <c r="AZ1" s="50"/>
      <c r="BA1" s="50"/>
      <c r="BB1" s="51"/>
      <c r="BC1" s="49" t="s">
        <v>6</v>
      </c>
      <c r="BD1" s="50"/>
      <c r="BE1" s="50"/>
      <c r="BF1" s="50"/>
      <c r="BG1" s="51"/>
      <c r="BH1" s="49" t="s">
        <v>7</v>
      </c>
      <c r="BI1" s="50"/>
      <c r="BJ1" s="50"/>
      <c r="BK1" s="51"/>
    </row>
    <row r="2" spans="1:63" ht="15" customHeight="1" x14ac:dyDescent="0.25">
      <c r="A2" s="239" t="str">
        <f>IF(表紙!A2="","",表紙!A2)</f>
        <v>POSサーバー</v>
      </c>
      <c r="B2" s="240"/>
      <c r="C2" s="240"/>
      <c r="D2" s="240"/>
      <c r="E2" s="240"/>
      <c r="F2" s="240"/>
      <c r="G2" s="240"/>
      <c r="H2" s="240"/>
      <c r="I2" s="240"/>
      <c r="J2" s="241"/>
      <c r="K2" s="239" t="str">
        <f>IF(表紙!K2="","",表紙!K2)</f>
        <v>POSサーバ</v>
      </c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1"/>
      <c r="W2" s="73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5"/>
      <c r="AP2" s="239" t="str">
        <f>IF(表紙!AP2="","",表紙!AP2)</f>
        <v>DuNT</v>
      </c>
      <c r="AQ2" s="240"/>
      <c r="AR2" s="240"/>
      <c r="AS2" s="241"/>
      <c r="AT2" s="242">
        <v>45084</v>
      </c>
      <c r="AU2" s="243"/>
      <c r="AV2" s="243"/>
      <c r="AW2" s="243"/>
      <c r="AX2" s="244"/>
      <c r="AY2" s="239" t="str">
        <f>IF(表紙!AY2="","",表紙!AY2)</f>
        <v>TinNH</v>
      </c>
      <c r="AZ2" s="240"/>
      <c r="BA2" s="240"/>
      <c r="BB2" s="241"/>
      <c r="BC2" s="242">
        <f>IF(表紙!BC2="","",表紙!BC2)</f>
        <v>45498</v>
      </c>
      <c r="BD2" s="243"/>
      <c r="BE2" s="243"/>
      <c r="BF2" s="243"/>
      <c r="BG2" s="244"/>
      <c r="BH2" s="239">
        <f>IF(表紙!BH2="","",表紙!BH2)</f>
        <v>0.3</v>
      </c>
      <c r="BI2" s="240"/>
      <c r="BJ2" s="240"/>
      <c r="BK2" s="241"/>
    </row>
    <row r="3" spans="1:63" ht="15" customHeight="1" x14ac:dyDescent="0.25">
      <c r="A3" s="245"/>
      <c r="B3" s="246"/>
      <c r="C3" s="246"/>
      <c r="D3" s="246"/>
      <c r="E3" s="246"/>
      <c r="F3" s="246"/>
      <c r="G3" s="246"/>
      <c r="H3" s="246"/>
      <c r="I3" s="246"/>
      <c r="J3" s="247"/>
      <c r="K3" s="245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7"/>
      <c r="W3" s="76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8"/>
      <c r="AP3" s="245"/>
      <c r="AQ3" s="246"/>
      <c r="AR3" s="246"/>
      <c r="AS3" s="247"/>
      <c r="AT3" s="248"/>
      <c r="AU3" s="249"/>
      <c r="AV3" s="249"/>
      <c r="AW3" s="249"/>
      <c r="AX3" s="250"/>
      <c r="AY3" s="245"/>
      <c r="AZ3" s="246"/>
      <c r="BA3" s="246"/>
      <c r="BB3" s="247"/>
      <c r="BC3" s="248"/>
      <c r="BD3" s="249"/>
      <c r="BE3" s="249"/>
      <c r="BF3" s="249"/>
      <c r="BG3" s="250"/>
      <c r="BH3" s="245"/>
      <c r="BI3" s="246"/>
      <c r="BJ3" s="246"/>
      <c r="BK3" s="247"/>
    </row>
    <row r="4" spans="1:63" ht="24.95" customHeight="1" x14ac:dyDescent="0.25">
      <c r="A4" s="49" t="s">
        <v>69</v>
      </c>
      <c r="B4" s="50"/>
      <c r="C4" s="50"/>
      <c r="D4" s="50"/>
      <c r="E4" s="50"/>
      <c r="F4" s="50"/>
      <c r="G4" s="51"/>
      <c r="H4" s="251" t="str">
        <f>IF(表紙!H4="","",表紙!H4)</f>
        <v>21_ジャーナル検索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3"/>
      <c r="U4" s="49" t="s">
        <v>8</v>
      </c>
      <c r="V4" s="50"/>
      <c r="W4" s="50"/>
      <c r="X4" s="50"/>
      <c r="Y4" s="51"/>
      <c r="Z4" s="251" t="str">
        <f>IF(表紙!Z4="","",表紙!Z4)</f>
        <v>概要設計</v>
      </c>
      <c r="AA4" s="252"/>
      <c r="AB4" s="252"/>
      <c r="AC4" s="252"/>
      <c r="AD4" s="252"/>
      <c r="AE4" s="252"/>
      <c r="AF4" s="252"/>
      <c r="AG4" s="252"/>
      <c r="AH4" s="252"/>
      <c r="AI4" s="252"/>
      <c r="AJ4" s="252"/>
      <c r="AK4" s="252"/>
      <c r="AL4" s="252"/>
      <c r="AM4" s="252"/>
      <c r="AN4" s="252"/>
      <c r="AO4" s="253"/>
      <c r="AP4" s="251" t="str">
        <f t="array" aca="1" ref="AP4" ca="1">RIGHT(CELL("filename",$A$1),LEN(CELL("filename",$A$1))-FIND("]",CELL("filename",$A$1)))</f>
        <v>業務フロー</v>
      </c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52"/>
      <c r="BK4" s="253"/>
    </row>
    <row r="5" spans="1:63" ht="5.0999999999999996" customHeight="1" x14ac:dyDescent="0.25">
      <c r="A5" s="254"/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/>
      <c r="AT5" s="255"/>
      <c r="AU5" s="255"/>
      <c r="AV5" s="255"/>
      <c r="AW5" s="255"/>
      <c r="AX5" s="255"/>
      <c r="AY5" s="255"/>
      <c r="AZ5" s="255"/>
      <c r="BA5" s="255"/>
      <c r="BB5" s="255"/>
      <c r="BC5" s="255"/>
      <c r="BD5" s="255"/>
      <c r="BE5" s="255"/>
      <c r="BF5" s="255"/>
      <c r="BG5" s="255"/>
      <c r="BH5" s="255"/>
      <c r="BI5" s="255"/>
      <c r="BJ5" s="255"/>
      <c r="BK5" s="256"/>
    </row>
    <row r="6" spans="1:63" ht="15" customHeight="1" x14ac:dyDescent="0.25">
      <c r="A6" s="257"/>
      <c r="B6" s="258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60"/>
      <c r="AF6" s="258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259"/>
      <c r="BB6" s="259"/>
      <c r="BC6" s="259"/>
      <c r="BD6" s="259"/>
      <c r="BE6" s="259"/>
      <c r="BF6" s="259"/>
      <c r="BG6" s="259"/>
      <c r="BH6" s="259"/>
      <c r="BI6" s="260"/>
      <c r="BJ6" s="259"/>
      <c r="BK6" s="261"/>
    </row>
    <row r="7" spans="1:63" ht="15" customHeight="1" x14ac:dyDescent="0.25">
      <c r="A7" s="257"/>
      <c r="B7" s="31" t="s">
        <v>16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2"/>
      <c r="AF7" s="31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2"/>
      <c r="BJ7" s="30"/>
      <c r="BK7" s="261"/>
    </row>
    <row r="8" spans="1:63" ht="15" customHeight="1" x14ac:dyDescent="0.25">
      <c r="A8" s="257"/>
      <c r="B8" s="258"/>
      <c r="C8" s="259"/>
      <c r="D8" s="259"/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60"/>
      <c r="AF8" s="258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  <c r="BD8" s="259"/>
      <c r="BE8" s="259"/>
      <c r="BF8" s="259"/>
      <c r="BG8" s="259"/>
      <c r="BH8" s="259"/>
      <c r="BI8" s="260"/>
      <c r="BJ8" s="259"/>
      <c r="BK8" s="261"/>
    </row>
    <row r="9" spans="1:63" ht="15" customHeight="1" x14ac:dyDescent="0.25">
      <c r="A9" s="257"/>
      <c r="B9" s="258"/>
      <c r="C9" s="259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60"/>
      <c r="AF9" s="258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59"/>
      <c r="BG9" s="259"/>
      <c r="BH9" s="259"/>
      <c r="BI9" s="260"/>
      <c r="BJ9" s="259"/>
      <c r="BK9" s="261"/>
    </row>
    <row r="10" spans="1:63" ht="15" customHeight="1" x14ac:dyDescent="0.25">
      <c r="A10" s="257"/>
      <c r="B10" s="258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60"/>
      <c r="AF10" s="258"/>
      <c r="AG10" s="259"/>
      <c r="AH10" s="259"/>
      <c r="AI10" s="259"/>
      <c r="AJ10" s="259"/>
      <c r="AK10" s="259"/>
      <c r="AL10" s="259"/>
      <c r="AM10" s="259"/>
      <c r="AN10" s="259"/>
      <c r="AO10" s="259"/>
      <c r="AP10" s="259"/>
      <c r="AQ10" s="259"/>
      <c r="AR10" s="259"/>
      <c r="AS10" s="259"/>
      <c r="AT10" s="259"/>
      <c r="AU10" s="259"/>
      <c r="AV10" s="259"/>
      <c r="AW10" s="259"/>
      <c r="AX10" s="259"/>
      <c r="AY10" s="259"/>
      <c r="AZ10" s="259"/>
      <c r="BA10" s="259"/>
      <c r="BB10" s="259"/>
      <c r="BC10" s="259"/>
      <c r="BD10" s="259"/>
      <c r="BE10" s="259"/>
      <c r="BF10" s="259"/>
      <c r="BG10" s="259"/>
      <c r="BH10" s="259"/>
      <c r="BI10" s="260"/>
      <c r="BJ10" s="259"/>
      <c r="BK10" s="261"/>
    </row>
    <row r="11" spans="1:63" ht="15" customHeight="1" x14ac:dyDescent="0.25">
      <c r="A11" s="257"/>
      <c r="B11" s="258"/>
      <c r="C11" s="259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60"/>
      <c r="AF11" s="258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59"/>
      <c r="AW11" s="259"/>
      <c r="AX11" s="259"/>
      <c r="AY11" s="259"/>
      <c r="AZ11" s="259"/>
      <c r="BA11" s="259"/>
      <c r="BB11" s="259"/>
      <c r="BC11" s="259"/>
      <c r="BD11" s="259"/>
      <c r="BE11" s="259"/>
      <c r="BF11" s="259"/>
      <c r="BG11" s="259"/>
      <c r="BH11" s="259"/>
      <c r="BI11" s="260"/>
      <c r="BJ11" s="259"/>
      <c r="BK11" s="261"/>
    </row>
    <row r="12" spans="1:63" ht="15" customHeight="1" x14ac:dyDescent="0.25">
      <c r="A12" s="257"/>
      <c r="B12" s="258"/>
      <c r="C12" s="259"/>
      <c r="D12" s="259"/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60"/>
      <c r="AF12" s="258"/>
      <c r="AG12" s="259"/>
      <c r="AH12" s="259"/>
      <c r="AI12" s="259"/>
      <c r="AJ12" s="259"/>
      <c r="AK12" s="259"/>
      <c r="AL12" s="259"/>
      <c r="AM12" s="259"/>
      <c r="AN12" s="259"/>
      <c r="AO12" s="259"/>
      <c r="AP12" s="259"/>
      <c r="AQ12" s="259"/>
      <c r="AR12" s="259"/>
      <c r="AS12" s="259"/>
      <c r="AT12" s="259"/>
      <c r="AU12" s="259"/>
      <c r="AV12" s="259"/>
      <c r="AW12" s="259"/>
      <c r="AX12" s="259"/>
      <c r="AY12" s="259"/>
      <c r="AZ12" s="259"/>
      <c r="BA12" s="259"/>
      <c r="BB12" s="259"/>
      <c r="BC12" s="259"/>
      <c r="BD12" s="259"/>
      <c r="BE12" s="259"/>
      <c r="BF12" s="259"/>
      <c r="BG12" s="259"/>
      <c r="BH12" s="259"/>
      <c r="BI12" s="260"/>
      <c r="BJ12" s="259"/>
      <c r="BK12" s="261"/>
    </row>
    <row r="13" spans="1:63" ht="15" customHeight="1" x14ac:dyDescent="0.25">
      <c r="A13" s="257"/>
      <c r="B13" s="258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60"/>
      <c r="AF13" s="258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59"/>
      <c r="BB13" s="259"/>
      <c r="BC13" s="259"/>
      <c r="BD13" s="259"/>
      <c r="BE13" s="259"/>
      <c r="BF13" s="259"/>
      <c r="BG13" s="259"/>
      <c r="BH13" s="259"/>
      <c r="BI13" s="260"/>
      <c r="BJ13" s="259"/>
      <c r="BK13" s="261"/>
    </row>
    <row r="14" spans="1:63" ht="15" customHeight="1" x14ac:dyDescent="0.25">
      <c r="A14" s="257"/>
      <c r="B14" s="258"/>
      <c r="C14" s="259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60"/>
      <c r="AF14" s="258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259"/>
      <c r="AV14" s="259"/>
      <c r="AW14" s="259"/>
      <c r="AX14" s="259"/>
      <c r="AY14" s="259"/>
      <c r="AZ14" s="259"/>
      <c r="BA14" s="259"/>
      <c r="BB14" s="259"/>
      <c r="BC14" s="259"/>
      <c r="BD14" s="259"/>
      <c r="BE14" s="259"/>
      <c r="BF14" s="259"/>
      <c r="BG14" s="259"/>
      <c r="BH14" s="259"/>
      <c r="BI14" s="260"/>
      <c r="BJ14" s="259"/>
      <c r="BK14" s="261"/>
    </row>
    <row r="15" spans="1:63" ht="15" customHeight="1" x14ac:dyDescent="0.25">
      <c r="A15" s="257"/>
      <c r="B15" s="258"/>
      <c r="C15" s="259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60"/>
      <c r="AF15" s="258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59"/>
      <c r="BB15" s="259"/>
      <c r="BC15" s="259"/>
      <c r="BD15" s="259"/>
      <c r="BE15" s="259"/>
      <c r="BF15" s="259"/>
      <c r="BG15" s="259"/>
      <c r="BH15" s="259"/>
      <c r="BI15" s="260"/>
      <c r="BJ15" s="259"/>
      <c r="BK15" s="261"/>
    </row>
    <row r="16" spans="1:63" ht="15" customHeight="1" x14ac:dyDescent="0.25">
      <c r="A16" s="257"/>
      <c r="B16" s="258"/>
      <c r="C16" s="259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60"/>
      <c r="AF16" s="258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  <c r="BD16" s="259"/>
      <c r="BE16" s="259"/>
      <c r="BF16" s="259"/>
      <c r="BG16" s="259"/>
      <c r="BH16" s="259"/>
      <c r="BI16" s="260"/>
      <c r="BJ16" s="259"/>
      <c r="BK16" s="261"/>
    </row>
    <row r="17" spans="1:63" ht="15" customHeight="1" x14ac:dyDescent="0.25">
      <c r="A17" s="257"/>
      <c r="B17" s="258"/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60"/>
      <c r="AF17" s="258"/>
      <c r="AG17" s="259"/>
      <c r="AH17" s="259"/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59"/>
      <c r="BG17" s="259"/>
      <c r="BH17" s="259"/>
      <c r="BI17" s="260"/>
      <c r="BJ17" s="259"/>
      <c r="BK17" s="261"/>
    </row>
    <row r="18" spans="1:63" ht="15" customHeight="1" x14ac:dyDescent="0.25">
      <c r="A18" s="257"/>
      <c r="B18" s="258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60"/>
      <c r="AF18" s="258"/>
      <c r="AG18" s="259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G18" s="259"/>
      <c r="BH18" s="259"/>
      <c r="BI18" s="260"/>
      <c r="BJ18" s="259"/>
      <c r="BK18" s="261"/>
    </row>
    <row r="19" spans="1:63" ht="15" customHeight="1" x14ac:dyDescent="0.25">
      <c r="A19" s="257"/>
      <c r="B19" s="258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60"/>
      <c r="AF19" s="258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59"/>
      <c r="BI19" s="260"/>
      <c r="BJ19" s="259"/>
      <c r="BK19" s="261"/>
    </row>
    <row r="20" spans="1:63" ht="15" customHeight="1" x14ac:dyDescent="0.25">
      <c r="A20" s="257"/>
      <c r="B20" s="258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60"/>
      <c r="AF20" s="258"/>
      <c r="AG20" s="259"/>
      <c r="AH20" s="259"/>
      <c r="AI20" s="259"/>
      <c r="AJ20" s="259"/>
      <c r="AK20" s="259"/>
      <c r="AL20" s="259"/>
      <c r="AM20" s="259"/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59"/>
      <c r="BI20" s="260"/>
      <c r="BJ20" s="259"/>
      <c r="BK20" s="261"/>
    </row>
    <row r="21" spans="1:63" ht="15" customHeight="1" x14ac:dyDescent="0.25">
      <c r="A21" s="257"/>
      <c r="B21" s="258"/>
      <c r="C21" s="259"/>
      <c r="D21" s="259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60"/>
      <c r="AF21" s="258"/>
      <c r="AG21" s="259"/>
      <c r="AH21" s="259"/>
      <c r="AI21" s="259"/>
      <c r="AJ21" s="259"/>
      <c r="AK21" s="259"/>
      <c r="AL21" s="259"/>
      <c r="AM21" s="259"/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59"/>
      <c r="BI21" s="260"/>
      <c r="BJ21" s="259"/>
      <c r="BK21" s="261"/>
    </row>
    <row r="22" spans="1:63" ht="15" customHeight="1" x14ac:dyDescent="0.25">
      <c r="A22" s="257"/>
      <c r="B22" s="31" t="s">
        <v>17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2"/>
      <c r="AF22" s="31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2"/>
      <c r="BJ22" s="30"/>
      <c r="BK22" s="261"/>
    </row>
    <row r="23" spans="1:63" ht="15" customHeight="1" x14ac:dyDescent="0.25">
      <c r="A23" s="257"/>
      <c r="B23" s="258"/>
      <c r="C23" s="259"/>
      <c r="D23" s="259"/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60"/>
      <c r="AF23" s="258"/>
      <c r="AG23" s="259"/>
      <c r="AH23" s="259"/>
      <c r="AI23" s="259"/>
      <c r="AJ23" s="259"/>
      <c r="AK23" s="259"/>
      <c r="AL23" s="259"/>
      <c r="AM23" s="259"/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60"/>
      <c r="BJ23" s="259"/>
      <c r="BK23" s="261"/>
    </row>
    <row r="24" spans="1:63" ht="15" customHeight="1" x14ac:dyDescent="0.25">
      <c r="A24" s="257"/>
      <c r="B24" s="258"/>
      <c r="C24" s="259"/>
      <c r="D24" s="259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60"/>
      <c r="AF24" s="258"/>
      <c r="AG24" s="259"/>
      <c r="AH24" s="259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60"/>
      <c r="BJ24" s="259"/>
      <c r="BK24" s="261"/>
    </row>
    <row r="25" spans="1:63" ht="15" customHeight="1" x14ac:dyDescent="0.25">
      <c r="A25" s="257"/>
      <c r="B25" s="258"/>
      <c r="C25" s="259"/>
      <c r="D25" s="259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60"/>
      <c r="AF25" s="258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60"/>
      <c r="BJ25" s="259"/>
      <c r="BK25" s="261"/>
    </row>
    <row r="26" spans="1:63" ht="15" customHeight="1" x14ac:dyDescent="0.25">
      <c r="A26" s="257"/>
      <c r="B26" s="258"/>
      <c r="C26" s="259"/>
      <c r="D26" s="259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60"/>
      <c r="AF26" s="258"/>
      <c r="AG26" s="259"/>
      <c r="AH26" s="259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60"/>
      <c r="BJ26" s="259"/>
      <c r="BK26" s="261"/>
    </row>
    <row r="27" spans="1:63" ht="15" customHeight="1" x14ac:dyDescent="0.25">
      <c r="A27" s="257"/>
      <c r="B27" s="258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60"/>
      <c r="AF27" s="258"/>
      <c r="AG27" s="259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60"/>
      <c r="BJ27" s="259"/>
      <c r="BK27" s="261"/>
    </row>
    <row r="28" spans="1:63" ht="15" customHeight="1" x14ac:dyDescent="0.25">
      <c r="A28" s="257"/>
      <c r="B28" s="258"/>
      <c r="C28" s="259"/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60"/>
      <c r="AF28" s="258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60"/>
      <c r="BJ28" s="259"/>
      <c r="BK28" s="261"/>
    </row>
    <row r="29" spans="1:63" ht="15" customHeight="1" x14ac:dyDescent="0.25">
      <c r="A29" s="257"/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60"/>
      <c r="AF29" s="258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60"/>
      <c r="BJ29" s="259"/>
      <c r="BK29" s="261"/>
    </row>
    <row r="30" spans="1:63" ht="15" customHeight="1" x14ac:dyDescent="0.25">
      <c r="A30" s="257"/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60"/>
      <c r="AF30" s="258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59"/>
      <c r="BI30" s="260"/>
      <c r="BJ30" s="259"/>
      <c r="BK30" s="261"/>
    </row>
    <row r="31" spans="1:63" ht="15" customHeight="1" x14ac:dyDescent="0.25">
      <c r="A31" s="257"/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60"/>
      <c r="AF31" s="258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60"/>
      <c r="BJ31" s="259"/>
      <c r="BK31" s="261"/>
    </row>
    <row r="32" spans="1:63" ht="15" customHeight="1" x14ac:dyDescent="0.25">
      <c r="A32" s="257"/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60"/>
      <c r="AF32" s="258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59"/>
      <c r="BI32" s="260"/>
      <c r="BJ32" s="259"/>
      <c r="BK32" s="261"/>
    </row>
    <row r="33" spans="1:63" ht="15" customHeight="1" x14ac:dyDescent="0.25">
      <c r="A33" s="257"/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60"/>
      <c r="AF33" s="258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59"/>
      <c r="BI33" s="260"/>
      <c r="BJ33" s="259"/>
      <c r="BK33" s="261"/>
    </row>
    <row r="34" spans="1:63" ht="15" customHeight="1" x14ac:dyDescent="0.25">
      <c r="A34" s="257"/>
      <c r="B34" s="258"/>
      <c r="C34" s="259"/>
      <c r="D34" s="259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60"/>
      <c r="AF34" s="258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60"/>
      <c r="BJ34" s="259"/>
      <c r="BK34" s="261"/>
    </row>
    <row r="35" spans="1:63" ht="15" customHeight="1" x14ac:dyDescent="0.25">
      <c r="A35" s="257"/>
      <c r="B35" s="258"/>
      <c r="C35" s="259"/>
      <c r="D35" s="259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60"/>
      <c r="AF35" s="258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59"/>
      <c r="BI35" s="260"/>
      <c r="BJ35" s="259"/>
      <c r="BK35" s="261"/>
    </row>
    <row r="36" spans="1:63" ht="15" customHeight="1" x14ac:dyDescent="0.25">
      <c r="A36" s="257"/>
      <c r="B36" s="258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60"/>
      <c r="AF36" s="258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60"/>
      <c r="BJ36" s="259"/>
      <c r="BK36" s="261"/>
    </row>
    <row r="37" spans="1:63" ht="15" customHeight="1" x14ac:dyDescent="0.25">
      <c r="A37" s="257"/>
      <c r="B37" s="258"/>
      <c r="C37" s="259"/>
      <c r="D37" s="259"/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59"/>
      <c r="R37" s="259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8"/>
      <c r="AG37" s="259"/>
      <c r="AH37" s="259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  <c r="BD37" s="259"/>
      <c r="BE37" s="259"/>
      <c r="BF37" s="259"/>
      <c r="BG37" s="259"/>
      <c r="BH37" s="259"/>
      <c r="BI37" s="260"/>
      <c r="BJ37" s="259"/>
      <c r="BK37" s="261"/>
    </row>
    <row r="38" spans="1:63" ht="15" customHeight="1" x14ac:dyDescent="0.25">
      <c r="A38" s="257"/>
      <c r="B38" s="258"/>
      <c r="C38" s="259"/>
      <c r="D38" s="259"/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8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59"/>
      <c r="BI38" s="260"/>
      <c r="BJ38" s="259"/>
      <c r="BK38" s="261"/>
    </row>
    <row r="39" spans="1:63" ht="15" customHeight="1" x14ac:dyDescent="0.25">
      <c r="A39" s="257"/>
      <c r="B39" s="258"/>
      <c r="C39" s="259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59"/>
      <c r="R39" s="25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8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  <c r="BD39" s="259"/>
      <c r="BE39" s="259"/>
      <c r="BF39" s="259"/>
      <c r="BG39" s="259"/>
      <c r="BH39" s="259"/>
      <c r="BI39" s="260"/>
      <c r="BJ39" s="259"/>
      <c r="BK39" s="261"/>
    </row>
    <row r="40" spans="1:63" ht="15" customHeight="1" x14ac:dyDescent="0.25">
      <c r="A40" s="257"/>
      <c r="B40" s="258"/>
      <c r="C40" s="259"/>
      <c r="D40" s="259"/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8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259"/>
      <c r="BC40" s="259"/>
      <c r="BD40" s="259"/>
      <c r="BE40" s="259"/>
      <c r="BF40" s="259"/>
      <c r="BG40" s="259"/>
      <c r="BH40" s="259"/>
      <c r="BI40" s="260"/>
      <c r="BJ40" s="259"/>
      <c r="BK40" s="261"/>
    </row>
    <row r="41" spans="1:63" ht="15" customHeight="1" x14ac:dyDescent="0.25">
      <c r="A41" s="257"/>
      <c r="B41" s="258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8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59"/>
      <c r="BI41" s="260"/>
      <c r="BJ41" s="259"/>
      <c r="BK41" s="261"/>
    </row>
    <row r="42" spans="1:63" ht="15" customHeight="1" x14ac:dyDescent="0.25">
      <c r="A42" s="257"/>
      <c r="B42" s="31" t="s">
        <v>18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2"/>
      <c r="AF42" s="31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2"/>
      <c r="BJ42" s="30"/>
      <c r="BK42" s="261"/>
    </row>
    <row r="43" spans="1:63" ht="15" customHeight="1" x14ac:dyDescent="0.25">
      <c r="A43" s="257"/>
      <c r="B43" s="258"/>
      <c r="C43" s="259"/>
      <c r="D43" s="259"/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60"/>
      <c r="AF43" s="258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59"/>
      <c r="BI43" s="260"/>
      <c r="BJ43" s="259"/>
      <c r="BK43" s="261"/>
    </row>
    <row r="44" spans="1:63" ht="15" customHeight="1" x14ac:dyDescent="0.25">
      <c r="A44" s="257"/>
      <c r="B44" s="258"/>
      <c r="C44" s="259"/>
      <c r="D44" s="259"/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60"/>
      <c r="AF44" s="258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59"/>
      <c r="BA44" s="259"/>
      <c r="BB44" s="259"/>
      <c r="BC44" s="259"/>
      <c r="BD44" s="259"/>
      <c r="BE44" s="259"/>
      <c r="BF44" s="259"/>
      <c r="BG44" s="259"/>
      <c r="BH44" s="259"/>
      <c r="BI44" s="260"/>
      <c r="BJ44" s="259"/>
      <c r="BK44" s="261"/>
    </row>
    <row r="45" spans="1:63" ht="15" customHeight="1" x14ac:dyDescent="0.25">
      <c r="A45" s="257"/>
      <c r="B45" s="258"/>
      <c r="C45" s="259"/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60"/>
      <c r="AF45" s="258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V45" s="259"/>
      <c r="AW45" s="259"/>
      <c r="AX45" s="259"/>
      <c r="AY45" s="259"/>
      <c r="AZ45" s="259"/>
      <c r="BA45" s="259"/>
      <c r="BB45" s="259"/>
      <c r="BC45" s="259"/>
      <c r="BD45" s="259"/>
      <c r="BE45" s="259"/>
      <c r="BF45" s="259"/>
      <c r="BG45" s="259"/>
      <c r="BH45" s="259"/>
      <c r="BI45" s="260"/>
      <c r="BJ45" s="259"/>
      <c r="BK45" s="261"/>
    </row>
    <row r="46" spans="1:63" ht="15" customHeight="1" x14ac:dyDescent="0.25">
      <c r="A46" s="257"/>
      <c r="B46" s="258"/>
      <c r="C46" s="259"/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60"/>
      <c r="AF46" s="258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  <c r="AS46" s="259"/>
      <c r="AT46" s="259"/>
      <c r="AU46" s="259"/>
      <c r="AV46" s="259"/>
      <c r="AW46" s="259"/>
      <c r="AX46" s="259"/>
      <c r="AY46" s="259"/>
      <c r="AZ46" s="259"/>
      <c r="BA46" s="259"/>
      <c r="BB46" s="259"/>
      <c r="BC46" s="259"/>
      <c r="BD46" s="259"/>
      <c r="BE46" s="259"/>
      <c r="BF46" s="259"/>
      <c r="BG46" s="259"/>
      <c r="BH46" s="259"/>
      <c r="BI46" s="260"/>
      <c r="BJ46" s="259"/>
      <c r="BK46" s="261"/>
    </row>
    <row r="47" spans="1:63" ht="15" customHeight="1" x14ac:dyDescent="0.25">
      <c r="A47" s="257"/>
      <c r="B47" s="258"/>
      <c r="C47" s="259"/>
      <c r="D47" s="259"/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60"/>
      <c r="AF47" s="258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  <c r="BD47" s="259"/>
      <c r="BE47" s="259"/>
      <c r="BF47" s="259"/>
      <c r="BG47" s="259"/>
      <c r="BH47" s="259"/>
      <c r="BI47" s="260"/>
      <c r="BJ47" s="259"/>
      <c r="BK47" s="261"/>
    </row>
    <row r="48" spans="1:63" ht="15" customHeight="1" x14ac:dyDescent="0.25">
      <c r="A48" s="257"/>
      <c r="B48" s="258"/>
      <c r="C48" s="259"/>
      <c r="D48" s="259"/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60"/>
      <c r="AF48" s="258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59"/>
      <c r="AY48" s="259"/>
      <c r="AZ48" s="259"/>
      <c r="BA48" s="259"/>
      <c r="BB48" s="259"/>
      <c r="BC48" s="259"/>
      <c r="BD48" s="259"/>
      <c r="BE48" s="259"/>
      <c r="BF48" s="259"/>
      <c r="BG48" s="259"/>
      <c r="BH48" s="259"/>
      <c r="BI48" s="260"/>
      <c r="BJ48" s="259"/>
      <c r="BK48" s="261"/>
    </row>
    <row r="49" spans="1:63" ht="15" customHeight="1" x14ac:dyDescent="0.25">
      <c r="A49" s="257"/>
      <c r="B49" s="258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8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59"/>
      <c r="AY49" s="259"/>
      <c r="AZ49" s="259"/>
      <c r="BA49" s="259"/>
      <c r="BB49" s="259"/>
      <c r="BC49" s="259"/>
      <c r="BD49" s="259"/>
      <c r="BE49" s="259"/>
      <c r="BF49" s="259"/>
      <c r="BG49" s="259"/>
      <c r="BH49" s="259"/>
      <c r="BI49" s="260"/>
      <c r="BJ49" s="259"/>
      <c r="BK49" s="261"/>
    </row>
    <row r="50" spans="1:63" ht="15" customHeight="1" x14ac:dyDescent="0.25">
      <c r="A50" s="257"/>
      <c r="B50" s="258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8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  <c r="BD50" s="259"/>
      <c r="BE50" s="259"/>
      <c r="BF50" s="259"/>
      <c r="BG50" s="259"/>
      <c r="BH50" s="259"/>
      <c r="BI50" s="260"/>
      <c r="BJ50" s="259"/>
      <c r="BK50" s="261"/>
    </row>
    <row r="51" spans="1:63" ht="15" customHeight="1" x14ac:dyDescent="0.25">
      <c r="A51" s="257"/>
      <c r="B51" s="258"/>
      <c r="C51" s="259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8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59"/>
      <c r="AY51" s="259"/>
      <c r="AZ51" s="259"/>
      <c r="BA51" s="259"/>
      <c r="BB51" s="259"/>
      <c r="BC51" s="259"/>
      <c r="BD51" s="259"/>
      <c r="BE51" s="259"/>
      <c r="BF51" s="259"/>
      <c r="BG51" s="259"/>
      <c r="BH51" s="259"/>
      <c r="BI51" s="260"/>
      <c r="BJ51" s="259"/>
      <c r="BK51" s="261"/>
    </row>
    <row r="52" spans="1:63" ht="15" customHeight="1" x14ac:dyDescent="0.25">
      <c r="A52" s="257"/>
      <c r="B52" s="258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8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59"/>
      <c r="AY52" s="259"/>
      <c r="AZ52" s="259"/>
      <c r="BA52" s="259"/>
      <c r="BB52" s="259"/>
      <c r="BC52" s="259"/>
      <c r="BD52" s="259"/>
      <c r="BE52" s="259"/>
      <c r="BF52" s="259"/>
      <c r="BG52" s="259"/>
      <c r="BH52" s="259"/>
      <c r="BI52" s="260"/>
      <c r="BJ52" s="259"/>
      <c r="BK52" s="261"/>
    </row>
    <row r="53" spans="1:63" ht="15" customHeight="1" x14ac:dyDescent="0.25">
      <c r="A53" s="257"/>
      <c r="B53" s="258"/>
      <c r="C53" s="259"/>
      <c r="D53" s="259"/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8"/>
      <c r="AG53" s="259"/>
      <c r="AH53" s="259"/>
      <c r="AI53" s="259"/>
      <c r="AJ53" s="259"/>
      <c r="AK53" s="259"/>
      <c r="AL53" s="259"/>
      <c r="AM53" s="259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  <c r="BD53" s="259"/>
      <c r="BE53" s="259"/>
      <c r="BF53" s="259"/>
      <c r="BG53" s="259"/>
      <c r="BH53" s="259"/>
      <c r="BI53" s="260"/>
      <c r="BJ53" s="259"/>
      <c r="BK53" s="261"/>
    </row>
    <row r="54" spans="1:63" ht="15" customHeight="1" x14ac:dyDescent="0.25">
      <c r="A54" s="257"/>
      <c r="B54" s="258"/>
      <c r="C54" s="259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8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59"/>
      <c r="AY54" s="259"/>
      <c r="AZ54" s="259"/>
      <c r="BA54" s="259"/>
      <c r="BB54" s="259"/>
      <c r="BC54" s="259"/>
      <c r="BD54" s="259"/>
      <c r="BE54" s="259"/>
      <c r="BF54" s="259"/>
      <c r="BG54" s="259"/>
      <c r="BH54" s="259"/>
      <c r="BI54" s="260"/>
      <c r="BJ54" s="259"/>
      <c r="BK54" s="261"/>
    </row>
    <row r="55" spans="1:63" ht="15" customHeight="1" x14ac:dyDescent="0.25">
      <c r="A55" s="262"/>
      <c r="B55" s="263"/>
      <c r="C55" s="262"/>
      <c r="D55" s="262"/>
      <c r="E55" s="262"/>
      <c r="F55" s="262"/>
      <c r="G55" s="262"/>
      <c r="H55" s="262"/>
      <c r="I55" s="262"/>
      <c r="J55" s="262"/>
      <c r="K55" s="262"/>
      <c r="L55" s="262"/>
      <c r="M55" s="262"/>
      <c r="N55" s="262"/>
      <c r="O55" s="262"/>
      <c r="P55" s="262"/>
      <c r="Q55" s="262"/>
      <c r="R55" s="262"/>
      <c r="S55" s="262"/>
      <c r="T55" s="262"/>
      <c r="U55" s="262"/>
      <c r="V55" s="262"/>
      <c r="W55" s="262"/>
      <c r="X55" s="262"/>
      <c r="Y55" s="262"/>
      <c r="Z55" s="262"/>
      <c r="AA55" s="262"/>
      <c r="AB55" s="262"/>
      <c r="AC55" s="262"/>
      <c r="AD55" s="262"/>
      <c r="AE55" s="264"/>
      <c r="AF55" s="263"/>
      <c r="AG55" s="262"/>
      <c r="AH55" s="262"/>
      <c r="AI55" s="262"/>
      <c r="AJ55" s="262"/>
      <c r="AK55" s="262"/>
      <c r="AL55" s="262"/>
      <c r="AM55" s="262"/>
      <c r="AN55" s="262"/>
      <c r="AO55" s="262"/>
      <c r="AP55" s="262"/>
      <c r="AQ55" s="262"/>
      <c r="AR55" s="262"/>
      <c r="AS55" s="262"/>
      <c r="AT55" s="262"/>
      <c r="AU55" s="262"/>
      <c r="AV55" s="262"/>
      <c r="AW55" s="262"/>
      <c r="AX55" s="262"/>
      <c r="AY55" s="262"/>
      <c r="AZ55" s="262"/>
      <c r="BA55" s="262"/>
      <c r="BB55" s="262"/>
      <c r="BC55" s="262"/>
      <c r="BD55" s="262"/>
      <c r="BE55" s="262"/>
      <c r="BF55" s="262"/>
      <c r="BG55" s="262"/>
      <c r="BH55" s="262"/>
      <c r="BI55" s="264"/>
      <c r="BJ55" s="262"/>
      <c r="BK55" s="26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0332-CF97-4FB5-90F9-B6E5CBACE091}">
  <sheetPr>
    <pageSetUpPr fitToPage="1"/>
  </sheetPr>
  <dimension ref="A1:BK53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75" customWidth="1"/>
    <col min="61" max="16384" width="2.77734375" style="275"/>
  </cols>
  <sheetData>
    <row r="1" spans="1:63" ht="24.95" customHeight="1" x14ac:dyDescent="0.25">
      <c r="A1" s="266" t="s">
        <v>78</v>
      </c>
      <c r="B1" s="267"/>
      <c r="C1" s="267"/>
      <c r="D1" s="267"/>
      <c r="E1" s="267"/>
      <c r="F1" s="267"/>
      <c r="G1" s="267"/>
      <c r="H1" s="267"/>
      <c r="I1" s="267"/>
      <c r="J1" s="268"/>
      <c r="K1" s="266" t="s">
        <v>79</v>
      </c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8"/>
      <c r="W1" s="269" t="str">
        <f>IF(表紙!W1="","",表紙!W1)</f>
        <v>基本設計書</v>
      </c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1"/>
      <c r="AP1" s="272" t="s">
        <v>80</v>
      </c>
      <c r="AQ1" s="273"/>
      <c r="AR1" s="273"/>
      <c r="AS1" s="274"/>
      <c r="AT1" s="272" t="s">
        <v>81</v>
      </c>
      <c r="AU1" s="273"/>
      <c r="AV1" s="273"/>
      <c r="AW1" s="273"/>
      <c r="AX1" s="274"/>
      <c r="AY1" s="272" t="s">
        <v>82</v>
      </c>
      <c r="AZ1" s="273"/>
      <c r="BA1" s="273"/>
      <c r="BB1" s="274"/>
      <c r="BC1" s="272" t="s">
        <v>83</v>
      </c>
      <c r="BD1" s="273"/>
      <c r="BE1" s="273"/>
      <c r="BF1" s="273"/>
      <c r="BG1" s="274"/>
      <c r="BH1" s="272" t="s">
        <v>84</v>
      </c>
      <c r="BI1" s="273"/>
      <c r="BJ1" s="273"/>
      <c r="BK1" s="274"/>
    </row>
    <row r="2" spans="1:63" ht="15" customHeight="1" x14ac:dyDescent="0.25">
      <c r="A2" s="95" t="str">
        <f>IF(表紙!A2="","",表紙!A2)</f>
        <v>POSサーバー</v>
      </c>
      <c r="B2" s="96"/>
      <c r="C2" s="96"/>
      <c r="D2" s="96"/>
      <c r="E2" s="96"/>
      <c r="F2" s="96"/>
      <c r="G2" s="96"/>
      <c r="H2" s="96"/>
      <c r="I2" s="96"/>
      <c r="J2" s="97"/>
      <c r="K2" s="95" t="str">
        <f>IF(表紙!K2="","",表紙!K2)</f>
        <v>POSサーバ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7"/>
      <c r="W2" s="276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7"/>
      <c r="AJ2" s="277"/>
      <c r="AK2" s="277"/>
      <c r="AL2" s="277"/>
      <c r="AM2" s="277"/>
      <c r="AN2" s="277"/>
      <c r="AO2" s="278"/>
      <c r="AP2" s="279" t="str">
        <f>IF(表紙!AP2="","",表紙!AP2)</f>
        <v>DuNT</v>
      </c>
      <c r="AQ2" s="280"/>
      <c r="AR2" s="280"/>
      <c r="AS2" s="281"/>
      <c r="AT2" s="282">
        <f>IF(表紙!AT2="","",表紙!AT2)</f>
        <v>45406</v>
      </c>
      <c r="AU2" s="283"/>
      <c r="AV2" s="283"/>
      <c r="AW2" s="283"/>
      <c r="AX2" s="284"/>
      <c r="AY2" s="279" t="str">
        <f>IF(表紙!AY2="","",表紙!AY2)</f>
        <v>TinNH</v>
      </c>
      <c r="AZ2" s="280"/>
      <c r="BA2" s="280"/>
      <c r="BB2" s="281"/>
      <c r="BC2" s="282">
        <f>IF(表紙!BC2="","",表紙!BC2)</f>
        <v>45498</v>
      </c>
      <c r="BD2" s="283"/>
      <c r="BE2" s="283"/>
      <c r="BF2" s="283"/>
      <c r="BG2" s="284"/>
      <c r="BH2" s="279">
        <f>IF(表紙!BH2="","",表紙!BH2)</f>
        <v>0.3</v>
      </c>
      <c r="BI2" s="280"/>
      <c r="BJ2" s="280"/>
      <c r="BK2" s="281"/>
    </row>
    <row r="3" spans="1:63" ht="15" customHeight="1" x14ac:dyDescent="0.25">
      <c r="A3" s="98"/>
      <c r="B3" s="99"/>
      <c r="C3" s="99"/>
      <c r="D3" s="99"/>
      <c r="E3" s="99"/>
      <c r="F3" s="99"/>
      <c r="G3" s="99"/>
      <c r="H3" s="99"/>
      <c r="I3" s="99"/>
      <c r="J3" s="100"/>
      <c r="K3" s="98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285"/>
      <c r="X3" s="286"/>
      <c r="Y3" s="286"/>
      <c r="Z3" s="286"/>
      <c r="AA3" s="286"/>
      <c r="AB3" s="286"/>
      <c r="AC3" s="286"/>
      <c r="AD3" s="286"/>
      <c r="AE3" s="286"/>
      <c r="AF3" s="286"/>
      <c r="AG3" s="286"/>
      <c r="AH3" s="286"/>
      <c r="AI3" s="286"/>
      <c r="AJ3" s="286"/>
      <c r="AK3" s="286"/>
      <c r="AL3" s="286"/>
      <c r="AM3" s="286"/>
      <c r="AN3" s="286"/>
      <c r="AO3" s="287"/>
      <c r="AP3" s="288"/>
      <c r="AQ3" s="289"/>
      <c r="AR3" s="289"/>
      <c r="AS3" s="290"/>
      <c r="AT3" s="291"/>
      <c r="AU3" s="292"/>
      <c r="AV3" s="292"/>
      <c r="AW3" s="292"/>
      <c r="AX3" s="293"/>
      <c r="AY3" s="288"/>
      <c r="AZ3" s="289"/>
      <c r="BA3" s="289"/>
      <c r="BB3" s="290"/>
      <c r="BC3" s="291"/>
      <c r="BD3" s="292"/>
      <c r="BE3" s="292"/>
      <c r="BF3" s="292"/>
      <c r="BG3" s="293"/>
      <c r="BH3" s="288"/>
      <c r="BI3" s="289"/>
      <c r="BJ3" s="289"/>
      <c r="BK3" s="290"/>
    </row>
    <row r="4" spans="1:63" ht="24.95" customHeight="1" x14ac:dyDescent="0.25">
      <c r="A4" s="266" t="s">
        <v>85</v>
      </c>
      <c r="B4" s="267"/>
      <c r="C4" s="267"/>
      <c r="D4" s="267"/>
      <c r="E4" s="267"/>
      <c r="F4" s="267"/>
      <c r="G4" s="268"/>
      <c r="H4" s="101" t="str">
        <f>IF(表紙!H4="","",表紙!H4)</f>
        <v>21_ジャーナル検索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3"/>
      <c r="U4" s="266" t="s">
        <v>86</v>
      </c>
      <c r="V4" s="267"/>
      <c r="W4" s="267"/>
      <c r="X4" s="267"/>
      <c r="Y4" s="268"/>
      <c r="Z4" s="101" t="str">
        <f>IF(表紙!Z4="","",表紙!Z4)</f>
        <v>概要設計</v>
      </c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3"/>
      <c r="AP4" s="104" t="str">
        <f ca="1">MID(CELL("filename",A1),FIND("]",CELL("filename",A1))+1,255)</f>
        <v>機能概要説明</v>
      </c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3"/>
    </row>
    <row r="5" spans="1:63" ht="5.0999999999999996" customHeight="1" x14ac:dyDescent="0.25">
      <c r="A5" s="294"/>
      <c r="B5" s="295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5"/>
      <c r="U5" s="295"/>
      <c r="V5" s="295"/>
      <c r="W5" s="295"/>
      <c r="X5" s="295"/>
      <c r="Y5" s="295"/>
      <c r="Z5" s="295"/>
      <c r="AA5" s="295"/>
      <c r="AB5" s="295"/>
      <c r="AC5" s="295"/>
      <c r="AD5" s="295"/>
      <c r="AE5" s="295"/>
      <c r="AF5" s="295"/>
      <c r="AG5" s="295"/>
      <c r="AH5" s="295"/>
      <c r="AI5" s="295"/>
      <c r="AJ5" s="295"/>
      <c r="AK5" s="295"/>
      <c r="AL5" s="295"/>
      <c r="AM5" s="295"/>
      <c r="AN5" s="295"/>
      <c r="AO5" s="295"/>
      <c r="AP5" s="295"/>
      <c r="AQ5" s="295"/>
      <c r="AR5" s="295"/>
      <c r="AS5" s="295"/>
      <c r="AT5" s="295"/>
      <c r="AU5" s="295"/>
      <c r="AV5" s="295"/>
      <c r="AW5" s="295"/>
      <c r="AX5" s="295"/>
      <c r="AY5" s="295"/>
      <c r="AZ5" s="295"/>
      <c r="BA5" s="295"/>
      <c r="BB5" s="295"/>
      <c r="BC5" s="295"/>
      <c r="BD5" s="295"/>
      <c r="BE5" s="295"/>
      <c r="BF5" s="295"/>
      <c r="BG5" s="295"/>
      <c r="BH5" s="295"/>
      <c r="BI5" s="295"/>
      <c r="BJ5" s="295"/>
      <c r="BK5" s="296"/>
    </row>
    <row r="6" spans="1:63" ht="15" customHeight="1" x14ac:dyDescent="0.25">
      <c r="A6" s="297"/>
    </row>
    <row r="7" spans="1:63" ht="15" customHeight="1" x14ac:dyDescent="0.25">
      <c r="A7" s="297"/>
      <c r="B7" s="275" t="s">
        <v>62</v>
      </c>
    </row>
    <row r="8" spans="1:63" ht="15" customHeight="1" x14ac:dyDescent="0.25">
      <c r="A8" s="297"/>
      <c r="C8" s="275" t="s">
        <v>64</v>
      </c>
    </row>
    <row r="9" spans="1:63" ht="15" customHeight="1" x14ac:dyDescent="0.25">
      <c r="A9" s="297"/>
      <c r="D9" s="275" t="s">
        <v>63</v>
      </c>
    </row>
    <row r="10" spans="1:63" ht="15" customHeight="1" x14ac:dyDescent="0.25">
      <c r="A10" s="297"/>
      <c r="C10" s="275" t="s">
        <v>65</v>
      </c>
      <c r="AX10" s="275" t="s">
        <v>37</v>
      </c>
    </row>
    <row r="11" spans="1:63" ht="15" customHeight="1" x14ac:dyDescent="0.25">
      <c r="A11" s="297"/>
      <c r="D11" s="298" t="s">
        <v>66</v>
      </c>
    </row>
    <row r="12" spans="1:63" ht="15" customHeight="1" x14ac:dyDescent="0.25">
      <c r="A12" s="297"/>
      <c r="D12" s="298" t="s">
        <v>67</v>
      </c>
      <c r="AO12" s="47"/>
    </row>
    <row r="13" spans="1:63" ht="15" customHeight="1" x14ac:dyDescent="0.25">
      <c r="A13" s="297"/>
      <c r="AO13" s="47"/>
    </row>
    <row r="14" spans="1:63" ht="15" customHeight="1" x14ac:dyDescent="0.25">
      <c r="A14" s="297"/>
      <c r="AO14" s="47"/>
    </row>
    <row r="15" spans="1:63" ht="15" customHeight="1" x14ac:dyDescent="0.25">
      <c r="A15" s="297"/>
      <c r="AO15" s="47"/>
    </row>
    <row r="16" spans="1:63" ht="15" customHeight="1" x14ac:dyDescent="0.25">
      <c r="A16" s="297"/>
      <c r="AO16" s="47"/>
    </row>
    <row r="17" spans="1:1" ht="15" customHeight="1" x14ac:dyDescent="0.25">
      <c r="A17" s="297"/>
    </row>
    <row r="18" spans="1:1" ht="15" customHeight="1" x14ac:dyDescent="0.25">
      <c r="A18" s="297"/>
    </row>
    <row r="19" spans="1:1" ht="15" customHeight="1" x14ac:dyDescent="0.25">
      <c r="A19" s="297"/>
    </row>
    <row r="20" spans="1:1" ht="15" customHeight="1" x14ac:dyDescent="0.25">
      <c r="A20" s="297"/>
    </row>
    <row r="21" spans="1:1" ht="15" customHeight="1" x14ac:dyDescent="0.25">
      <c r="A21" s="297"/>
    </row>
    <row r="22" spans="1:1" ht="15" customHeight="1" x14ac:dyDescent="0.25">
      <c r="A22" s="297"/>
    </row>
    <row r="23" spans="1:1" ht="15" customHeight="1" x14ac:dyDescent="0.25">
      <c r="A23" s="297"/>
    </row>
    <row r="24" spans="1:1" ht="15" customHeight="1" x14ac:dyDescent="0.25">
      <c r="A24" s="297"/>
    </row>
    <row r="25" spans="1:1" ht="15" customHeight="1" x14ac:dyDescent="0.25">
      <c r="A25" s="297"/>
    </row>
    <row r="26" spans="1:1" ht="15" customHeight="1" x14ac:dyDescent="0.25">
      <c r="A26" s="297"/>
    </row>
    <row r="27" spans="1:1" ht="15" customHeight="1" x14ac:dyDescent="0.25">
      <c r="A27" s="297"/>
    </row>
    <row r="28" spans="1:1" ht="15" customHeight="1" x14ac:dyDescent="0.25">
      <c r="A28" s="297"/>
    </row>
    <row r="29" spans="1:1" ht="15" customHeight="1" x14ac:dyDescent="0.25">
      <c r="A29" s="297"/>
    </row>
    <row r="30" spans="1:1" ht="15" customHeight="1" x14ac:dyDescent="0.25">
      <c r="A30" s="297"/>
    </row>
    <row r="31" spans="1:1" ht="15" customHeight="1" x14ac:dyDescent="0.25">
      <c r="A31" s="297"/>
    </row>
    <row r="32" spans="1:1" ht="15" customHeight="1" x14ac:dyDescent="0.25">
      <c r="A32" s="297"/>
    </row>
    <row r="33" spans="1:1" ht="15" customHeight="1" x14ac:dyDescent="0.25">
      <c r="A33" s="297"/>
    </row>
    <row r="34" spans="1:1" ht="15" customHeight="1" x14ac:dyDescent="0.25">
      <c r="A34" s="297"/>
    </row>
    <row r="35" spans="1:1" ht="15" customHeight="1" x14ac:dyDescent="0.25">
      <c r="A35" s="297"/>
    </row>
    <row r="36" spans="1:1" ht="15" customHeight="1" x14ac:dyDescent="0.25">
      <c r="A36" s="297"/>
    </row>
    <row r="37" spans="1:1" ht="15" customHeight="1" x14ac:dyDescent="0.25">
      <c r="A37" s="297"/>
    </row>
    <row r="38" spans="1:1" ht="15" customHeight="1" x14ac:dyDescent="0.25">
      <c r="A38" s="297"/>
    </row>
    <row r="39" spans="1:1" ht="15" customHeight="1" x14ac:dyDescent="0.25">
      <c r="A39" s="297"/>
    </row>
    <row r="40" spans="1:1" ht="15" customHeight="1" x14ac:dyDescent="0.25">
      <c r="A40" s="297"/>
    </row>
    <row r="41" spans="1:1" ht="15" customHeight="1" x14ac:dyDescent="0.25">
      <c r="A41" s="297"/>
    </row>
    <row r="42" spans="1:1" ht="15" customHeight="1" x14ac:dyDescent="0.25">
      <c r="A42" s="297"/>
    </row>
    <row r="43" spans="1:1" ht="15" customHeight="1" x14ac:dyDescent="0.25">
      <c r="A43" s="297"/>
    </row>
    <row r="44" spans="1:1" ht="15" customHeight="1" x14ac:dyDescent="0.25">
      <c r="A44" s="297"/>
    </row>
    <row r="45" spans="1:1" ht="15" customHeight="1" x14ac:dyDescent="0.25">
      <c r="A45" s="297"/>
    </row>
    <row r="46" spans="1:1" ht="15" customHeight="1" x14ac:dyDescent="0.25">
      <c r="A46" s="297"/>
    </row>
    <row r="47" spans="1:1" ht="15" customHeight="1" x14ac:dyDescent="0.25">
      <c r="A47" s="297"/>
    </row>
    <row r="48" spans="1:1" ht="15" customHeight="1" x14ac:dyDescent="0.25">
      <c r="A48" s="297"/>
    </row>
    <row r="49" spans="1:63" ht="15" customHeight="1" x14ac:dyDescent="0.25">
      <c r="A49" s="297"/>
    </row>
    <row r="50" spans="1:63" ht="15" customHeight="1" x14ac:dyDescent="0.25">
      <c r="A50" s="297"/>
    </row>
    <row r="51" spans="1:63" ht="15" customHeight="1" x14ac:dyDescent="0.25">
      <c r="A51" s="297"/>
    </row>
    <row r="52" spans="1:63" ht="15" customHeight="1" x14ac:dyDescent="0.25">
      <c r="A52" s="297"/>
    </row>
    <row r="53" spans="1:63" ht="15" customHeight="1" x14ac:dyDescent="0.25">
      <c r="A53" s="294"/>
      <c r="B53" s="295"/>
      <c r="C53" s="295"/>
      <c r="D53" s="295"/>
      <c r="E53" s="295"/>
      <c r="F53" s="295"/>
      <c r="G53" s="295"/>
      <c r="H53" s="295"/>
      <c r="I53" s="295"/>
      <c r="J53" s="295"/>
      <c r="K53" s="295"/>
      <c r="L53" s="295"/>
      <c r="M53" s="295"/>
      <c r="N53" s="295"/>
      <c r="O53" s="295"/>
      <c r="P53" s="295"/>
      <c r="Q53" s="295"/>
      <c r="R53" s="295"/>
      <c r="S53" s="295"/>
      <c r="T53" s="295"/>
      <c r="U53" s="295"/>
      <c r="V53" s="295"/>
      <c r="W53" s="295"/>
      <c r="X53" s="295"/>
      <c r="Y53" s="295"/>
      <c r="Z53" s="295"/>
      <c r="AA53" s="295"/>
      <c r="AB53" s="295"/>
      <c r="AC53" s="295"/>
      <c r="AD53" s="295"/>
      <c r="AE53" s="295"/>
      <c r="AF53" s="295"/>
      <c r="AG53" s="295"/>
      <c r="AH53" s="295"/>
      <c r="AI53" s="295"/>
      <c r="AJ53" s="295"/>
      <c r="AK53" s="295"/>
      <c r="AL53" s="295"/>
      <c r="AM53" s="295"/>
      <c r="AN53" s="295"/>
      <c r="AO53" s="295"/>
      <c r="AP53" s="295"/>
      <c r="AQ53" s="295"/>
      <c r="AR53" s="295"/>
      <c r="AS53" s="295"/>
      <c r="AT53" s="295"/>
      <c r="AU53" s="295"/>
      <c r="AV53" s="295"/>
      <c r="AW53" s="295"/>
      <c r="AX53" s="295"/>
      <c r="AY53" s="295"/>
      <c r="AZ53" s="295"/>
      <c r="BA53" s="295"/>
      <c r="BB53" s="295"/>
      <c r="BC53" s="295"/>
      <c r="BD53" s="295"/>
      <c r="BE53" s="295"/>
      <c r="BF53" s="295"/>
      <c r="BG53" s="295"/>
      <c r="BH53" s="295"/>
      <c r="BI53" s="295"/>
      <c r="BJ53" s="295"/>
      <c r="BK53" s="29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BM102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4" width="2.77734375" style="275" customWidth="1"/>
    <col min="65" max="65" width="3" style="275" bestFit="1" customWidth="1"/>
    <col min="66" max="16384" width="2.77734375" style="275"/>
  </cols>
  <sheetData>
    <row r="1" spans="1:65" s="275" customFormat="1" ht="24.95" customHeight="1" x14ac:dyDescent="0.25">
      <c r="A1" s="272" t="s">
        <v>78</v>
      </c>
      <c r="B1" s="273"/>
      <c r="C1" s="273"/>
      <c r="D1" s="273"/>
      <c r="E1" s="273"/>
      <c r="F1" s="273"/>
      <c r="G1" s="273"/>
      <c r="H1" s="273"/>
      <c r="I1" s="273"/>
      <c r="J1" s="274"/>
      <c r="K1" s="272" t="s">
        <v>79</v>
      </c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4"/>
      <c r="W1" s="299" t="str">
        <f>IF(表紙!W1="","",表紙!W1)</f>
        <v>基本設計書</v>
      </c>
      <c r="X1" s="300"/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300"/>
      <c r="AM1" s="300"/>
      <c r="AN1" s="300"/>
      <c r="AO1" s="301"/>
      <c r="AP1" s="272" t="s">
        <v>80</v>
      </c>
      <c r="AQ1" s="273"/>
      <c r="AR1" s="273"/>
      <c r="AS1" s="274"/>
      <c r="AT1" s="272" t="s">
        <v>81</v>
      </c>
      <c r="AU1" s="273"/>
      <c r="AV1" s="273"/>
      <c r="AW1" s="273"/>
      <c r="AX1" s="274"/>
      <c r="AY1" s="272" t="s">
        <v>82</v>
      </c>
      <c r="AZ1" s="273"/>
      <c r="BA1" s="273"/>
      <c r="BB1" s="274"/>
      <c r="BC1" s="272" t="s">
        <v>83</v>
      </c>
      <c r="BD1" s="273"/>
      <c r="BE1" s="273"/>
      <c r="BF1" s="273"/>
      <c r="BG1" s="274"/>
      <c r="BH1" s="272" t="s">
        <v>84</v>
      </c>
      <c r="BI1" s="273"/>
      <c r="BJ1" s="273"/>
      <c r="BK1" s="274"/>
    </row>
    <row r="2" spans="1:65" s="275" customFormat="1" ht="15" customHeight="1" x14ac:dyDescent="0.25">
      <c r="A2" s="279" t="str">
        <f>IF(表紙!A2="","",表紙!A2)</f>
        <v>POSサーバー</v>
      </c>
      <c r="B2" s="280"/>
      <c r="C2" s="280"/>
      <c r="D2" s="280"/>
      <c r="E2" s="280"/>
      <c r="F2" s="280"/>
      <c r="G2" s="280"/>
      <c r="H2" s="280"/>
      <c r="I2" s="280"/>
      <c r="J2" s="281"/>
      <c r="K2" s="279" t="str">
        <f>IF(表紙!K2="","",表紙!K2)</f>
        <v>POSサーバ</v>
      </c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1"/>
      <c r="W2" s="302"/>
      <c r="X2" s="303"/>
      <c r="Y2" s="303"/>
      <c r="Z2" s="30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03"/>
      <c r="AO2" s="304"/>
      <c r="AP2" s="279" t="str">
        <f>IF(表紙!AP2="","",表紙!AP2)</f>
        <v>DuNT</v>
      </c>
      <c r="AQ2" s="280"/>
      <c r="AR2" s="280"/>
      <c r="AS2" s="281"/>
      <c r="AT2" s="282">
        <f>IF(表紙!AT2="","",表紙!AT2)</f>
        <v>45406</v>
      </c>
      <c r="AU2" s="283"/>
      <c r="AV2" s="283"/>
      <c r="AW2" s="283"/>
      <c r="AX2" s="284"/>
      <c r="AY2" s="279" t="str">
        <f>IF(表紙!AY2="","",表紙!AY2)</f>
        <v>TinNH</v>
      </c>
      <c r="AZ2" s="280"/>
      <c r="BA2" s="280"/>
      <c r="BB2" s="281"/>
      <c r="BC2" s="282">
        <f>IF(表紙!BC2="","",表紙!BC2)</f>
        <v>45498</v>
      </c>
      <c r="BD2" s="283"/>
      <c r="BE2" s="283"/>
      <c r="BF2" s="283"/>
      <c r="BG2" s="284"/>
      <c r="BH2" s="279">
        <f>IF(表紙!BH2="","",表紙!BH2)</f>
        <v>0.3</v>
      </c>
      <c r="BI2" s="280"/>
      <c r="BJ2" s="280"/>
      <c r="BK2" s="281"/>
    </row>
    <row r="3" spans="1:65" s="275" customFormat="1" ht="15" customHeight="1" x14ac:dyDescent="0.25">
      <c r="A3" s="288"/>
      <c r="B3" s="289"/>
      <c r="C3" s="289"/>
      <c r="D3" s="289"/>
      <c r="E3" s="289"/>
      <c r="F3" s="289"/>
      <c r="G3" s="289"/>
      <c r="H3" s="289"/>
      <c r="I3" s="289"/>
      <c r="J3" s="290"/>
      <c r="K3" s="288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90"/>
      <c r="W3" s="305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/>
      <c r="AM3" s="306"/>
      <c r="AN3" s="306"/>
      <c r="AO3" s="307"/>
      <c r="AP3" s="288"/>
      <c r="AQ3" s="289"/>
      <c r="AR3" s="289"/>
      <c r="AS3" s="290"/>
      <c r="AT3" s="291"/>
      <c r="AU3" s="292"/>
      <c r="AV3" s="292"/>
      <c r="AW3" s="292"/>
      <c r="AX3" s="293"/>
      <c r="AY3" s="288"/>
      <c r="AZ3" s="289"/>
      <c r="BA3" s="289"/>
      <c r="BB3" s="290"/>
      <c r="BC3" s="291"/>
      <c r="BD3" s="292"/>
      <c r="BE3" s="292"/>
      <c r="BF3" s="292"/>
      <c r="BG3" s="293"/>
      <c r="BH3" s="288"/>
      <c r="BI3" s="289"/>
      <c r="BJ3" s="289"/>
      <c r="BK3" s="290"/>
    </row>
    <row r="4" spans="1:65" s="275" customFormat="1" ht="24.95" customHeight="1" x14ac:dyDescent="0.25">
      <c r="A4" s="272" t="s">
        <v>85</v>
      </c>
      <c r="B4" s="273"/>
      <c r="C4" s="273"/>
      <c r="D4" s="273"/>
      <c r="E4" s="273"/>
      <c r="F4" s="273"/>
      <c r="G4" s="274"/>
      <c r="H4" s="308" t="str">
        <f>IF(表紙!H4="","",表紙!H4)</f>
        <v>21_ジャーナル検索</v>
      </c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10"/>
      <c r="U4" s="272" t="s">
        <v>86</v>
      </c>
      <c r="V4" s="273"/>
      <c r="W4" s="273"/>
      <c r="X4" s="273"/>
      <c r="Y4" s="274"/>
      <c r="Z4" s="308" t="str">
        <f>IF(表紙!Z4="","",表紙!Z4)</f>
        <v>概要設計</v>
      </c>
      <c r="AA4" s="309"/>
      <c r="AB4" s="309"/>
      <c r="AC4" s="309"/>
      <c r="AD4" s="309"/>
      <c r="AE4" s="309"/>
      <c r="AF4" s="309"/>
      <c r="AG4" s="309"/>
      <c r="AH4" s="309"/>
      <c r="AI4" s="309"/>
      <c r="AJ4" s="309"/>
      <c r="AK4" s="309"/>
      <c r="AL4" s="309"/>
      <c r="AM4" s="309"/>
      <c r="AN4" s="309"/>
      <c r="AO4" s="310"/>
      <c r="AP4" s="308" t="str">
        <f t="array" aca="1" ref="AP4" ca="1">RIGHT(CELL("filename",$A$1),LEN(CELL("filename",$A$1))-FIND("]",CELL("filename",$A$1)))</f>
        <v>機能概要</v>
      </c>
      <c r="AQ4" s="309"/>
      <c r="AR4" s="309"/>
      <c r="AS4" s="309"/>
      <c r="AT4" s="309"/>
      <c r="AU4" s="309"/>
      <c r="AV4" s="309"/>
      <c r="AW4" s="309"/>
      <c r="AX4" s="309"/>
      <c r="AY4" s="309"/>
      <c r="AZ4" s="309"/>
      <c r="BA4" s="309"/>
      <c r="BB4" s="309"/>
      <c r="BC4" s="309"/>
      <c r="BD4" s="309"/>
      <c r="BE4" s="309"/>
      <c r="BF4" s="309"/>
      <c r="BG4" s="309"/>
      <c r="BH4" s="309"/>
      <c r="BI4" s="309"/>
      <c r="BJ4" s="309"/>
      <c r="BK4" s="310"/>
    </row>
    <row r="5" spans="1:65" s="275" customFormat="1" ht="5.0999999999999996" customHeight="1" x14ac:dyDescent="0.25">
      <c r="A5" s="294"/>
      <c r="B5" s="295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5"/>
      <c r="U5" s="295"/>
      <c r="V5" s="295"/>
      <c r="W5" s="295"/>
      <c r="X5" s="295"/>
      <c r="Y5" s="295"/>
      <c r="Z5" s="295"/>
      <c r="AA5" s="295"/>
      <c r="AB5" s="295"/>
      <c r="AC5" s="295"/>
      <c r="AD5" s="295"/>
      <c r="AE5" s="295"/>
      <c r="AF5" s="295"/>
      <c r="AG5" s="295"/>
      <c r="AH5" s="295"/>
      <c r="AI5" s="295"/>
      <c r="AJ5" s="295"/>
      <c r="AK5" s="295"/>
      <c r="AL5" s="295"/>
      <c r="AM5" s="295"/>
      <c r="AN5" s="295"/>
      <c r="AO5" s="295"/>
      <c r="AP5" s="295"/>
      <c r="AQ5" s="295"/>
      <c r="AR5" s="295"/>
      <c r="AS5" s="295"/>
      <c r="AT5" s="295"/>
      <c r="AU5" s="295"/>
      <c r="AV5" s="295"/>
      <c r="AW5" s="295"/>
      <c r="AX5" s="295"/>
      <c r="AY5" s="295"/>
      <c r="AZ5" s="295"/>
      <c r="BA5" s="295"/>
      <c r="BB5" s="295"/>
      <c r="BC5" s="295"/>
      <c r="BD5" s="295"/>
      <c r="BE5" s="295"/>
      <c r="BF5" s="295"/>
      <c r="BG5" s="295"/>
      <c r="BH5" s="295"/>
      <c r="BI5" s="295"/>
      <c r="BJ5" s="295"/>
      <c r="BK5" s="296"/>
    </row>
    <row r="6" spans="1:65" s="275" customFormat="1" ht="15" customHeight="1" x14ac:dyDescent="0.25">
      <c r="A6" s="297"/>
      <c r="BK6" s="311"/>
    </row>
    <row r="7" spans="1:65" s="275" customFormat="1" ht="15" customHeight="1" x14ac:dyDescent="0.25">
      <c r="A7" s="297"/>
      <c r="B7" s="312" t="s">
        <v>87</v>
      </c>
      <c r="C7" s="313"/>
      <c r="D7" s="314"/>
      <c r="E7" s="314"/>
      <c r="F7" s="314"/>
      <c r="G7" s="314"/>
      <c r="H7" s="314"/>
      <c r="I7" s="314"/>
      <c r="J7" s="314"/>
      <c r="K7" s="315"/>
      <c r="L7" s="314"/>
      <c r="M7" s="314"/>
      <c r="N7" s="314"/>
      <c r="O7" s="314"/>
      <c r="P7" s="314"/>
      <c r="Q7" s="314"/>
      <c r="R7" s="314"/>
      <c r="S7" s="314"/>
      <c r="T7" s="315"/>
      <c r="U7" s="313"/>
      <c r="V7" s="314"/>
      <c r="W7" s="314"/>
      <c r="X7" s="314"/>
      <c r="Y7" s="314"/>
      <c r="Z7" s="314"/>
      <c r="AA7" s="314"/>
      <c r="AB7" s="314"/>
      <c r="AC7" s="315"/>
      <c r="AD7" s="313"/>
      <c r="AE7" s="314"/>
      <c r="AF7" s="314"/>
      <c r="AG7" s="314"/>
      <c r="AH7" s="314"/>
      <c r="AI7" s="314"/>
      <c r="AJ7" s="314"/>
      <c r="AK7" s="314"/>
      <c r="AL7" s="315"/>
      <c r="AM7" s="313"/>
      <c r="AN7" s="314"/>
      <c r="AO7" s="314"/>
      <c r="AP7" s="314"/>
      <c r="AQ7" s="314"/>
      <c r="AR7" s="314"/>
      <c r="AS7" s="314"/>
      <c r="AT7" s="314"/>
      <c r="AU7" s="314"/>
      <c r="AV7" s="314"/>
      <c r="AW7" s="314"/>
      <c r="AX7" s="314"/>
      <c r="AY7" s="314"/>
      <c r="AZ7" s="314"/>
      <c r="BA7" s="314"/>
      <c r="BB7" s="314"/>
      <c r="BC7" s="314"/>
      <c r="BD7" s="314"/>
      <c r="BE7" s="314"/>
      <c r="BF7" s="314"/>
      <c r="BG7" s="314"/>
      <c r="BH7" s="314"/>
      <c r="BI7" s="315"/>
      <c r="BJ7" s="314"/>
      <c r="BK7" s="311"/>
    </row>
    <row r="8" spans="1:65" s="275" customFormat="1" ht="15" customHeight="1" x14ac:dyDescent="0.25">
      <c r="A8" s="297"/>
      <c r="B8" s="316"/>
      <c r="K8" s="317"/>
      <c r="U8" s="316"/>
      <c r="AD8" s="316"/>
      <c r="AM8" s="316"/>
      <c r="BI8" s="318"/>
      <c r="BK8" s="311"/>
      <c r="BM8" s="33">
        <f t="shared" ref="BM8:BM29" si="0">IF(BM7=50,1,BM7+1)</f>
        <v>1</v>
      </c>
    </row>
    <row r="9" spans="1:65" s="275" customFormat="1" ht="15" customHeight="1" x14ac:dyDescent="0.25">
      <c r="A9" s="297"/>
      <c r="B9" s="316"/>
      <c r="K9" s="317"/>
      <c r="U9" s="316"/>
      <c r="AD9" s="316"/>
      <c r="AM9" s="316"/>
      <c r="BI9" s="318"/>
      <c r="BK9" s="311"/>
      <c r="BM9" s="33">
        <f t="shared" si="0"/>
        <v>2</v>
      </c>
    </row>
    <row r="10" spans="1:65" s="275" customFormat="1" ht="15" customHeight="1" x14ac:dyDescent="0.25">
      <c r="A10" s="297"/>
      <c r="B10" s="316"/>
      <c r="K10" s="317"/>
      <c r="U10" s="316"/>
      <c r="AD10" s="316"/>
      <c r="AM10" s="316"/>
      <c r="BI10" s="318"/>
      <c r="BK10" s="311"/>
      <c r="BM10" s="33">
        <f t="shared" si="0"/>
        <v>3</v>
      </c>
    </row>
    <row r="11" spans="1:65" s="275" customFormat="1" ht="15" customHeight="1" x14ac:dyDescent="0.25">
      <c r="A11" s="297"/>
      <c r="B11" s="316"/>
      <c r="K11" s="317"/>
      <c r="U11" s="316"/>
      <c r="AD11" s="316"/>
      <c r="AM11" s="316"/>
      <c r="BI11" s="318"/>
      <c r="BK11" s="311"/>
      <c r="BM11" s="33">
        <f t="shared" si="0"/>
        <v>4</v>
      </c>
    </row>
    <row r="12" spans="1:65" s="275" customFormat="1" ht="15" customHeight="1" x14ac:dyDescent="0.25">
      <c r="A12" s="297"/>
      <c r="B12" s="316"/>
      <c r="K12" s="317"/>
      <c r="U12" s="316"/>
      <c r="AD12" s="316"/>
      <c r="AM12" s="316"/>
      <c r="BI12" s="318"/>
      <c r="BK12" s="311"/>
      <c r="BM12" s="33">
        <f t="shared" si="0"/>
        <v>5</v>
      </c>
    </row>
    <row r="13" spans="1:65" s="275" customFormat="1" ht="15" customHeight="1" x14ac:dyDescent="0.25">
      <c r="A13" s="297"/>
      <c r="B13" s="316"/>
      <c r="K13" s="317"/>
      <c r="U13" s="316"/>
      <c r="AD13" s="316"/>
      <c r="AM13" s="316"/>
      <c r="BI13" s="318"/>
      <c r="BK13" s="311"/>
      <c r="BM13" s="33">
        <f t="shared" si="0"/>
        <v>6</v>
      </c>
    </row>
    <row r="14" spans="1:65" s="275" customFormat="1" ht="15" customHeight="1" x14ac:dyDescent="0.25">
      <c r="A14" s="297"/>
      <c r="B14" s="316"/>
      <c r="K14" s="317"/>
      <c r="U14" s="316"/>
      <c r="AD14" s="316"/>
      <c r="AM14" s="316"/>
      <c r="BI14" s="318"/>
      <c r="BK14" s="311"/>
      <c r="BM14" s="33">
        <f t="shared" si="0"/>
        <v>7</v>
      </c>
    </row>
    <row r="15" spans="1:65" s="275" customFormat="1" ht="15" customHeight="1" x14ac:dyDescent="0.25">
      <c r="A15" s="297"/>
      <c r="B15" s="316"/>
      <c r="K15" s="317"/>
      <c r="U15" s="316"/>
      <c r="AD15" s="316"/>
      <c r="AM15" s="316"/>
      <c r="BI15" s="318"/>
      <c r="BK15" s="311"/>
      <c r="BM15" s="33">
        <f t="shared" si="0"/>
        <v>8</v>
      </c>
    </row>
    <row r="16" spans="1:65" s="275" customFormat="1" ht="15" customHeight="1" x14ac:dyDescent="0.25">
      <c r="A16" s="297"/>
      <c r="B16" s="316"/>
      <c r="K16" s="317"/>
      <c r="U16" s="316"/>
      <c r="AD16" s="316"/>
      <c r="AM16" s="316"/>
      <c r="BI16" s="318"/>
      <c r="BK16" s="311"/>
      <c r="BM16" s="33">
        <f t="shared" si="0"/>
        <v>9</v>
      </c>
    </row>
    <row r="17" spans="1:65" s="275" customFormat="1" ht="15" customHeight="1" x14ac:dyDescent="0.25">
      <c r="A17" s="297"/>
      <c r="B17" s="316"/>
      <c r="K17" s="317"/>
      <c r="U17" s="316"/>
      <c r="AD17" s="316"/>
      <c r="AM17" s="316"/>
      <c r="BI17" s="318"/>
      <c r="BK17" s="311"/>
      <c r="BM17" s="33">
        <f t="shared" si="0"/>
        <v>10</v>
      </c>
    </row>
    <row r="18" spans="1:65" s="275" customFormat="1" ht="15" customHeight="1" x14ac:dyDescent="0.25">
      <c r="A18" s="297"/>
      <c r="B18" s="316"/>
      <c r="K18" s="317"/>
      <c r="U18" s="316"/>
      <c r="AD18" s="316"/>
      <c r="AM18" s="316"/>
      <c r="BI18" s="318"/>
      <c r="BK18" s="311"/>
      <c r="BM18" s="33">
        <f t="shared" si="0"/>
        <v>11</v>
      </c>
    </row>
    <row r="19" spans="1:65" s="275" customFormat="1" ht="15" customHeight="1" x14ac:dyDescent="0.25">
      <c r="A19" s="297"/>
      <c r="B19" s="316"/>
      <c r="K19" s="317"/>
      <c r="U19" s="316"/>
      <c r="AD19" s="316"/>
      <c r="AM19" s="316"/>
      <c r="BI19" s="318"/>
      <c r="BK19" s="311"/>
      <c r="BM19" s="33">
        <f t="shared" si="0"/>
        <v>12</v>
      </c>
    </row>
    <row r="20" spans="1:65" s="275" customFormat="1" ht="15" customHeight="1" x14ac:dyDescent="0.25">
      <c r="A20" s="297"/>
      <c r="B20" s="316"/>
      <c r="K20" s="317"/>
      <c r="U20" s="316"/>
      <c r="AD20" s="316"/>
      <c r="AM20" s="316"/>
      <c r="BI20" s="318"/>
      <c r="BK20" s="311"/>
      <c r="BM20" s="33">
        <f t="shared" si="0"/>
        <v>13</v>
      </c>
    </row>
    <row r="21" spans="1:65" s="275" customFormat="1" ht="15" customHeight="1" x14ac:dyDescent="0.25">
      <c r="A21" s="297"/>
      <c r="B21" s="316"/>
      <c r="K21" s="317"/>
      <c r="U21" s="316"/>
      <c r="AD21" s="316"/>
      <c r="AM21" s="316"/>
      <c r="BI21" s="318"/>
      <c r="BK21" s="311"/>
      <c r="BM21" s="33">
        <f t="shared" si="0"/>
        <v>14</v>
      </c>
    </row>
    <row r="22" spans="1:65" s="320" customFormat="1" ht="15" customHeight="1" x14ac:dyDescent="0.25">
      <c r="A22" s="319"/>
      <c r="B22" s="316"/>
      <c r="K22" s="317"/>
      <c r="L22" s="321"/>
      <c r="T22" s="317"/>
      <c r="U22" s="321"/>
      <c r="AC22" s="317"/>
      <c r="AD22" s="321"/>
      <c r="AL22" s="317"/>
      <c r="AM22" s="321"/>
      <c r="BI22" s="317"/>
      <c r="BK22" s="322"/>
      <c r="BM22" s="33">
        <f t="shared" si="0"/>
        <v>15</v>
      </c>
    </row>
    <row r="23" spans="1:65" s="320" customFormat="1" ht="15" customHeight="1" x14ac:dyDescent="0.25">
      <c r="A23" s="319"/>
      <c r="B23" s="316"/>
      <c r="K23" s="317"/>
      <c r="L23" s="321"/>
      <c r="T23" s="317"/>
      <c r="U23" s="321"/>
      <c r="AC23" s="317"/>
      <c r="AD23" s="321"/>
      <c r="AL23" s="317"/>
      <c r="AM23" s="321"/>
      <c r="BI23" s="317"/>
      <c r="BK23" s="322"/>
      <c r="BM23" s="33">
        <f t="shared" si="0"/>
        <v>16</v>
      </c>
    </row>
    <row r="24" spans="1:65" s="320" customFormat="1" ht="15" customHeight="1" x14ac:dyDescent="0.25">
      <c r="A24" s="319"/>
      <c r="B24" s="316"/>
      <c r="K24" s="317"/>
      <c r="L24" s="321"/>
      <c r="T24" s="317"/>
      <c r="U24" s="321"/>
      <c r="AC24" s="317"/>
      <c r="AD24" s="321"/>
      <c r="AL24" s="317"/>
      <c r="AM24" s="321"/>
      <c r="BI24" s="317"/>
      <c r="BK24" s="322"/>
      <c r="BM24" s="33">
        <f t="shared" si="0"/>
        <v>17</v>
      </c>
    </row>
    <row r="25" spans="1:65" s="320" customFormat="1" ht="15" customHeight="1" x14ac:dyDescent="0.25">
      <c r="A25" s="319"/>
      <c r="B25" s="316"/>
      <c r="K25" s="317"/>
      <c r="L25" s="321"/>
      <c r="T25" s="317"/>
      <c r="U25" s="321"/>
      <c r="AC25" s="317"/>
      <c r="AD25" s="321"/>
      <c r="AL25" s="317"/>
      <c r="AM25" s="321"/>
      <c r="BI25" s="317"/>
      <c r="BK25" s="322"/>
      <c r="BM25" s="33">
        <f t="shared" si="0"/>
        <v>18</v>
      </c>
    </row>
    <row r="26" spans="1:65" s="320" customFormat="1" ht="15" customHeight="1" x14ac:dyDescent="0.25">
      <c r="A26" s="319"/>
      <c r="B26" s="316"/>
      <c r="K26" s="317"/>
      <c r="L26" s="321"/>
      <c r="T26" s="317"/>
      <c r="U26" s="321"/>
      <c r="AC26" s="317"/>
      <c r="AD26" s="321"/>
      <c r="AL26" s="317"/>
      <c r="AM26" s="321"/>
      <c r="BI26" s="317"/>
      <c r="BK26" s="322"/>
      <c r="BM26" s="33">
        <f t="shared" si="0"/>
        <v>19</v>
      </c>
    </row>
    <row r="27" spans="1:65" s="320" customFormat="1" ht="15" customHeight="1" x14ac:dyDescent="0.25">
      <c r="A27" s="319"/>
      <c r="B27" s="316"/>
      <c r="K27" s="317"/>
      <c r="L27" s="321"/>
      <c r="T27" s="317"/>
      <c r="U27" s="321"/>
      <c r="AC27" s="317"/>
      <c r="AD27" s="321"/>
      <c r="AL27" s="317"/>
      <c r="AM27" s="321"/>
      <c r="BI27" s="317"/>
      <c r="BK27" s="322"/>
      <c r="BM27" s="33">
        <f t="shared" si="0"/>
        <v>20</v>
      </c>
    </row>
    <row r="28" spans="1:65" s="320" customFormat="1" ht="15" customHeight="1" x14ac:dyDescent="0.25">
      <c r="A28" s="319"/>
      <c r="B28" s="316"/>
      <c r="K28" s="317"/>
      <c r="L28" s="321"/>
      <c r="T28" s="317"/>
      <c r="U28" s="321"/>
      <c r="AC28" s="317"/>
      <c r="AD28" s="321"/>
      <c r="AL28" s="317"/>
      <c r="AM28" s="321"/>
      <c r="BI28" s="317"/>
      <c r="BK28" s="322"/>
      <c r="BM28" s="33">
        <f t="shared" si="0"/>
        <v>21</v>
      </c>
    </row>
    <row r="29" spans="1:65" s="320" customFormat="1" ht="15" customHeight="1" x14ac:dyDescent="0.25">
      <c r="A29" s="319"/>
      <c r="B29" s="316"/>
      <c r="K29" s="317"/>
      <c r="L29" s="321"/>
      <c r="T29" s="317"/>
      <c r="U29" s="321"/>
      <c r="AC29" s="317"/>
      <c r="AD29" s="321"/>
      <c r="AL29" s="317"/>
      <c r="AM29" s="321"/>
      <c r="BI29" s="317"/>
      <c r="BK29" s="322"/>
      <c r="BM29" s="33">
        <f t="shared" si="0"/>
        <v>22</v>
      </c>
    </row>
    <row r="30" spans="1:65" s="320" customFormat="1" ht="15" customHeight="1" x14ac:dyDescent="0.25">
      <c r="A30" s="319"/>
      <c r="B30" s="316"/>
      <c r="K30" s="317"/>
      <c r="L30" s="321"/>
      <c r="T30" s="317"/>
      <c r="U30" s="321"/>
      <c r="AC30" s="317"/>
      <c r="AD30" s="321"/>
      <c r="AL30" s="317"/>
      <c r="AM30" s="321"/>
      <c r="BI30" s="317"/>
      <c r="BK30" s="322"/>
      <c r="BM30" s="33">
        <f t="shared" ref="BM30:BM88" si="1">IF(BM29=50,1,BM29+1)</f>
        <v>23</v>
      </c>
    </row>
    <row r="31" spans="1:65" s="320" customFormat="1" ht="15" customHeight="1" x14ac:dyDescent="0.25">
      <c r="A31" s="319"/>
      <c r="B31" s="316"/>
      <c r="K31" s="317"/>
      <c r="L31" s="321"/>
      <c r="T31" s="317"/>
      <c r="U31" s="321"/>
      <c r="AC31" s="317"/>
      <c r="AD31" s="321"/>
      <c r="AL31" s="317"/>
      <c r="AM31" s="321"/>
      <c r="BI31" s="317"/>
      <c r="BK31" s="322"/>
      <c r="BM31" s="33">
        <f t="shared" si="1"/>
        <v>24</v>
      </c>
    </row>
    <row r="32" spans="1:65" s="320" customFormat="1" ht="15" customHeight="1" x14ac:dyDescent="0.25">
      <c r="A32" s="319"/>
      <c r="B32" s="316"/>
      <c r="K32" s="317"/>
      <c r="L32" s="321"/>
      <c r="T32" s="317"/>
      <c r="U32" s="321"/>
      <c r="AC32" s="317"/>
      <c r="AD32" s="321"/>
      <c r="AL32" s="317"/>
      <c r="AM32" s="321"/>
      <c r="BI32" s="317"/>
      <c r="BK32" s="322"/>
      <c r="BM32" s="33">
        <f t="shared" si="1"/>
        <v>25</v>
      </c>
    </row>
    <row r="33" spans="1:65" s="320" customFormat="1" ht="15" customHeight="1" x14ac:dyDescent="0.25">
      <c r="A33" s="319"/>
      <c r="B33" s="316"/>
      <c r="K33" s="317"/>
      <c r="L33" s="321"/>
      <c r="T33" s="317"/>
      <c r="U33" s="321"/>
      <c r="AC33" s="317"/>
      <c r="AD33" s="321"/>
      <c r="AL33" s="317"/>
      <c r="AM33" s="321"/>
      <c r="BI33" s="317"/>
      <c r="BK33" s="322"/>
      <c r="BM33" s="33">
        <f t="shared" si="1"/>
        <v>26</v>
      </c>
    </row>
    <row r="34" spans="1:65" s="320" customFormat="1" ht="15" customHeight="1" x14ac:dyDescent="0.25">
      <c r="A34" s="319"/>
      <c r="B34" s="316"/>
      <c r="K34" s="317"/>
      <c r="L34" s="321"/>
      <c r="T34" s="317"/>
      <c r="U34" s="321"/>
      <c r="AC34" s="317"/>
      <c r="AD34" s="321"/>
      <c r="AL34" s="317"/>
      <c r="AM34" s="321"/>
      <c r="BI34" s="317"/>
      <c r="BK34" s="322"/>
      <c r="BM34" s="33">
        <f t="shared" si="1"/>
        <v>27</v>
      </c>
    </row>
    <row r="35" spans="1:65" s="320" customFormat="1" ht="15" customHeight="1" x14ac:dyDescent="0.25">
      <c r="A35" s="319"/>
      <c r="B35" s="316"/>
      <c r="K35" s="317"/>
      <c r="L35" s="321"/>
      <c r="T35" s="317"/>
      <c r="U35" s="321"/>
      <c r="AC35" s="317"/>
      <c r="AD35" s="321"/>
      <c r="AL35" s="317"/>
      <c r="AM35" s="321"/>
      <c r="BI35" s="317"/>
      <c r="BK35" s="322"/>
      <c r="BM35" s="33">
        <f t="shared" si="1"/>
        <v>28</v>
      </c>
    </row>
    <row r="36" spans="1:65" s="320" customFormat="1" ht="15" customHeight="1" x14ac:dyDescent="0.25">
      <c r="A36" s="319"/>
      <c r="B36" s="316"/>
      <c r="K36" s="317"/>
      <c r="L36" s="321"/>
      <c r="T36" s="317"/>
      <c r="U36" s="321"/>
      <c r="AC36" s="317"/>
      <c r="AD36" s="321"/>
      <c r="AL36" s="317"/>
      <c r="AM36" s="321"/>
      <c r="BI36" s="317"/>
      <c r="BK36" s="322"/>
      <c r="BM36" s="33">
        <f t="shared" si="1"/>
        <v>29</v>
      </c>
    </row>
    <row r="37" spans="1:65" s="320" customFormat="1" ht="15" customHeight="1" x14ac:dyDescent="0.25">
      <c r="A37" s="319"/>
      <c r="B37" s="316"/>
      <c r="K37" s="317"/>
      <c r="L37" s="321"/>
      <c r="T37" s="317"/>
      <c r="U37" s="321"/>
      <c r="AC37" s="317"/>
      <c r="AD37" s="321"/>
      <c r="AL37" s="317"/>
      <c r="AM37" s="321"/>
      <c r="BI37" s="317"/>
      <c r="BK37" s="322"/>
      <c r="BM37" s="33">
        <f t="shared" si="1"/>
        <v>30</v>
      </c>
    </row>
    <row r="38" spans="1:65" s="320" customFormat="1" ht="15" customHeight="1" x14ac:dyDescent="0.25">
      <c r="A38" s="319"/>
      <c r="B38" s="316"/>
      <c r="K38" s="317"/>
      <c r="L38" s="321"/>
      <c r="T38" s="317"/>
      <c r="U38" s="321"/>
      <c r="AC38" s="317"/>
      <c r="AD38" s="321"/>
      <c r="AL38" s="317"/>
      <c r="AM38" s="321"/>
      <c r="BI38" s="317"/>
      <c r="BK38" s="322"/>
      <c r="BM38" s="33">
        <f t="shared" si="1"/>
        <v>31</v>
      </c>
    </row>
    <row r="39" spans="1:65" s="320" customFormat="1" ht="15" customHeight="1" x14ac:dyDescent="0.25">
      <c r="A39" s="319"/>
      <c r="B39" s="316"/>
      <c r="K39" s="317"/>
      <c r="L39" s="321"/>
      <c r="T39" s="317"/>
      <c r="U39" s="321"/>
      <c r="AC39" s="317"/>
      <c r="AD39" s="321"/>
      <c r="AL39" s="317"/>
      <c r="AM39" s="321"/>
      <c r="BI39" s="317"/>
      <c r="BK39" s="322"/>
      <c r="BM39" s="33">
        <f t="shared" si="1"/>
        <v>32</v>
      </c>
    </row>
    <row r="40" spans="1:65" s="320" customFormat="1" ht="15" customHeight="1" x14ac:dyDescent="0.25">
      <c r="A40" s="319"/>
      <c r="B40" s="316"/>
      <c r="K40" s="317"/>
      <c r="L40" s="321"/>
      <c r="T40" s="317"/>
      <c r="U40" s="321"/>
      <c r="AC40" s="317"/>
      <c r="AD40" s="321"/>
      <c r="AL40" s="317"/>
      <c r="AM40" s="321"/>
      <c r="BI40" s="317"/>
      <c r="BK40" s="322"/>
      <c r="BM40" s="33">
        <f t="shared" si="1"/>
        <v>33</v>
      </c>
    </row>
    <row r="41" spans="1:65" s="320" customFormat="1" ht="15" customHeight="1" x14ac:dyDescent="0.25">
      <c r="A41" s="319"/>
      <c r="B41" s="321"/>
      <c r="K41" s="317"/>
      <c r="L41" s="321"/>
      <c r="T41" s="317"/>
      <c r="U41" s="321"/>
      <c r="AC41" s="317"/>
      <c r="AD41" s="321"/>
      <c r="AL41" s="317"/>
      <c r="AM41" s="321"/>
      <c r="BI41" s="317"/>
      <c r="BK41" s="322"/>
      <c r="BM41" s="33">
        <f t="shared" si="1"/>
        <v>34</v>
      </c>
    </row>
    <row r="42" spans="1:65" s="320" customFormat="1" ht="15" customHeight="1" x14ac:dyDescent="0.25">
      <c r="A42" s="319"/>
      <c r="B42" s="321"/>
      <c r="K42" s="317"/>
      <c r="L42" s="321"/>
      <c r="T42" s="317"/>
      <c r="U42" s="321"/>
      <c r="AC42" s="317"/>
      <c r="AD42" s="321"/>
      <c r="AL42" s="317"/>
      <c r="AM42" s="321"/>
      <c r="BI42" s="317"/>
      <c r="BK42" s="322"/>
      <c r="BM42" s="33">
        <f t="shared" si="1"/>
        <v>35</v>
      </c>
    </row>
    <row r="43" spans="1:65" s="320" customFormat="1" ht="15" customHeight="1" x14ac:dyDescent="0.25">
      <c r="A43" s="319"/>
      <c r="B43" s="321"/>
      <c r="K43" s="317"/>
      <c r="L43" s="321"/>
      <c r="T43" s="317"/>
      <c r="U43" s="321"/>
      <c r="AC43" s="317"/>
      <c r="AD43" s="321"/>
      <c r="AL43" s="317"/>
      <c r="AM43" s="321"/>
      <c r="BI43" s="317"/>
      <c r="BK43" s="322"/>
      <c r="BM43" s="33">
        <f t="shared" si="1"/>
        <v>36</v>
      </c>
    </row>
    <row r="44" spans="1:65" s="320" customFormat="1" ht="15" customHeight="1" x14ac:dyDescent="0.25">
      <c r="A44" s="319"/>
      <c r="B44" s="321"/>
      <c r="K44" s="317"/>
      <c r="L44" s="321"/>
      <c r="T44" s="317"/>
      <c r="U44" s="321"/>
      <c r="AC44" s="317"/>
      <c r="AD44" s="321"/>
      <c r="AL44" s="317"/>
      <c r="AM44" s="321"/>
      <c r="BI44" s="317"/>
      <c r="BK44" s="322"/>
      <c r="BM44" s="33">
        <f t="shared" si="1"/>
        <v>37</v>
      </c>
    </row>
    <row r="45" spans="1:65" s="320" customFormat="1" ht="15" customHeight="1" x14ac:dyDescent="0.25">
      <c r="A45" s="319"/>
      <c r="B45" s="321"/>
      <c r="K45" s="317"/>
      <c r="L45" s="321"/>
      <c r="T45" s="317"/>
      <c r="U45" s="321"/>
      <c r="AC45" s="317"/>
      <c r="AD45" s="321"/>
      <c r="AL45" s="317"/>
      <c r="AM45" s="321"/>
      <c r="BI45" s="317"/>
      <c r="BK45" s="322"/>
      <c r="BM45" s="33">
        <f t="shared" si="1"/>
        <v>38</v>
      </c>
    </row>
    <row r="46" spans="1:65" s="320" customFormat="1" ht="15" customHeight="1" x14ac:dyDescent="0.25">
      <c r="A46" s="319"/>
      <c r="B46" s="321"/>
      <c r="K46" s="317"/>
      <c r="L46" s="321"/>
      <c r="T46" s="317"/>
      <c r="U46" s="321"/>
      <c r="AC46" s="317"/>
      <c r="AD46" s="321"/>
      <c r="AL46" s="317"/>
      <c r="AM46" s="321"/>
      <c r="BI46" s="317"/>
      <c r="BK46" s="322"/>
      <c r="BM46" s="33">
        <f t="shared" si="1"/>
        <v>39</v>
      </c>
    </row>
    <row r="47" spans="1:65" s="320" customFormat="1" ht="15" customHeight="1" x14ac:dyDescent="0.25">
      <c r="A47" s="319"/>
      <c r="B47" s="321"/>
      <c r="K47" s="317"/>
      <c r="L47" s="321"/>
      <c r="T47" s="317"/>
      <c r="U47" s="321"/>
      <c r="AC47" s="317"/>
      <c r="AD47" s="321"/>
      <c r="AL47" s="317"/>
      <c r="AM47" s="321"/>
      <c r="BI47" s="317"/>
      <c r="BK47" s="322"/>
      <c r="BM47" s="33">
        <f t="shared" si="1"/>
        <v>40</v>
      </c>
    </row>
    <row r="48" spans="1:65" s="320" customFormat="1" ht="15" customHeight="1" x14ac:dyDescent="0.25">
      <c r="A48" s="319"/>
      <c r="B48" s="321"/>
      <c r="K48" s="317"/>
      <c r="L48" s="321"/>
      <c r="T48" s="317"/>
      <c r="U48" s="321"/>
      <c r="AC48" s="317"/>
      <c r="AD48" s="321"/>
      <c r="AL48" s="317"/>
      <c r="AM48" s="321"/>
      <c r="BI48" s="317"/>
      <c r="BK48" s="322"/>
      <c r="BM48" s="33">
        <f t="shared" si="1"/>
        <v>41</v>
      </c>
    </row>
    <row r="49" spans="1:65" s="320" customFormat="1" ht="15" customHeight="1" x14ac:dyDescent="0.25">
      <c r="A49" s="319"/>
      <c r="B49" s="321"/>
      <c r="K49" s="317"/>
      <c r="L49" s="321"/>
      <c r="T49" s="317"/>
      <c r="U49" s="321"/>
      <c r="AC49" s="317"/>
      <c r="AD49" s="321"/>
      <c r="AL49" s="317"/>
      <c r="AM49" s="321"/>
      <c r="BI49" s="317"/>
      <c r="BK49" s="322"/>
      <c r="BM49" s="33">
        <f t="shared" si="1"/>
        <v>42</v>
      </c>
    </row>
    <row r="50" spans="1:65" s="320" customFormat="1" ht="15" customHeight="1" x14ac:dyDescent="0.25">
      <c r="A50" s="319"/>
      <c r="B50" s="321"/>
      <c r="K50" s="317"/>
      <c r="L50" s="321"/>
      <c r="T50" s="317"/>
      <c r="U50" s="321"/>
      <c r="AC50" s="317"/>
      <c r="AD50" s="321"/>
      <c r="AL50" s="317"/>
      <c r="AM50" s="321"/>
      <c r="BI50" s="317"/>
      <c r="BK50" s="322"/>
      <c r="BM50" s="33">
        <f t="shared" si="1"/>
        <v>43</v>
      </c>
    </row>
    <row r="51" spans="1:65" s="320" customFormat="1" ht="15" customHeight="1" x14ac:dyDescent="0.25">
      <c r="A51" s="319"/>
      <c r="B51" s="316"/>
      <c r="K51" s="317"/>
      <c r="L51" s="321"/>
      <c r="T51" s="317"/>
      <c r="U51" s="321"/>
      <c r="AC51" s="317"/>
      <c r="AD51" s="321"/>
      <c r="AL51" s="317"/>
      <c r="AM51" s="321"/>
      <c r="BI51" s="317"/>
      <c r="BK51" s="322"/>
      <c r="BM51" s="33">
        <f t="shared" si="1"/>
        <v>44</v>
      </c>
    </row>
    <row r="52" spans="1:65" s="320" customFormat="1" ht="15" customHeight="1" x14ac:dyDescent="0.25">
      <c r="A52" s="319"/>
      <c r="B52" s="316"/>
      <c r="K52" s="317"/>
      <c r="L52" s="321"/>
      <c r="T52" s="317"/>
      <c r="U52" s="321"/>
      <c r="AC52" s="317"/>
      <c r="AD52" s="321"/>
      <c r="AL52" s="317"/>
      <c r="AM52" s="321"/>
      <c r="BI52" s="317"/>
      <c r="BK52" s="322"/>
      <c r="BM52" s="33">
        <f t="shared" si="1"/>
        <v>45</v>
      </c>
    </row>
    <row r="53" spans="1:65" s="320" customFormat="1" ht="15" customHeight="1" x14ac:dyDescent="0.25">
      <c r="A53" s="319"/>
      <c r="B53" s="321"/>
      <c r="K53" s="317"/>
      <c r="L53" s="321"/>
      <c r="T53" s="317"/>
      <c r="U53" s="321"/>
      <c r="AC53" s="317"/>
      <c r="AD53" s="321"/>
      <c r="AL53" s="317"/>
      <c r="AM53" s="321"/>
      <c r="BI53" s="317"/>
      <c r="BK53" s="322"/>
      <c r="BM53" s="33">
        <f t="shared" si="1"/>
        <v>46</v>
      </c>
    </row>
    <row r="54" spans="1:65" s="320" customFormat="1" ht="15" customHeight="1" x14ac:dyDescent="0.25">
      <c r="A54" s="319"/>
      <c r="B54" s="321"/>
      <c r="K54" s="317"/>
      <c r="L54" s="321"/>
      <c r="Q54" s="47"/>
      <c r="T54" s="317"/>
      <c r="U54" s="321"/>
      <c r="AC54" s="317"/>
      <c r="AD54" s="321"/>
      <c r="AL54" s="317"/>
      <c r="AM54" s="321"/>
      <c r="BI54" s="317"/>
      <c r="BK54" s="322"/>
      <c r="BM54" s="33">
        <f t="shared" si="1"/>
        <v>47</v>
      </c>
    </row>
    <row r="55" spans="1:65" s="320" customFormat="1" ht="15" customHeight="1" x14ac:dyDescent="0.25">
      <c r="A55" s="319"/>
      <c r="B55" s="321"/>
      <c r="K55" s="317"/>
      <c r="L55" s="321"/>
      <c r="Q55" s="47"/>
      <c r="T55" s="317"/>
      <c r="U55" s="321"/>
      <c r="AC55" s="317"/>
      <c r="AL55" s="317"/>
      <c r="AM55" s="321"/>
      <c r="BI55" s="317"/>
      <c r="BK55" s="322"/>
      <c r="BM55" s="33">
        <f t="shared" si="1"/>
        <v>48</v>
      </c>
    </row>
    <row r="56" spans="1:65" s="320" customFormat="1" ht="15" customHeight="1" x14ac:dyDescent="0.25">
      <c r="A56" s="319"/>
      <c r="B56" s="321"/>
      <c r="K56" s="317"/>
      <c r="L56" s="321"/>
      <c r="Q56" s="47"/>
      <c r="T56" s="317"/>
      <c r="U56" s="321"/>
      <c r="AC56" s="317"/>
      <c r="AD56" s="321"/>
      <c r="AL56" s="317"/>
      <c r="AM56" s="321"/>
      <c r="BI56" s="317"/>
      <c r="BK56" s="322"/>
      <c r="BM56" s="33">
        <f t="shared" si="1"/>
        <v>49</v>
      </c>
    </row>
    <row r="57" spans="1:65" s="320" customFormat="1" ht="15" customHeight="1" x14ac:dyDescent="0.25">
      <c r="A57" s="319"/>
      <c r="B57" s="321"/>
      <c r="K57" s="317"/>
      <c r="L57" s="321"/>
      <c r="T57" s="317"/>
      <c r="U57" s="321"/>
      <c r="AC57" s="317"/>
      <c r="AD57" s="321"/>
      <c r="AL57" s="317"/>
      <c r="AM57" s="321"/>
      <c r="BI57" s="317"/>
      <c r="BK57" s="322"/>
      <c r="BM57" s="33">
        <f t="shared" si="1"/>
        <v>50</v>
      </c>
    </row>
    <row r="58" spans="1:65" s="320" customFormat="1" ht="15" customHeight="1" x14ac:dyDescent="0.25">
      <c r="A58" s="319"/>
      <c r="B58" s="321"/>
      <c r="K58" s="317"/>
      <c r="L58" s="321"/>
      <c r="T58" s="317"/>
      <c r="U58" s="321"/>
      <c r="AC58" s="317"/>
      <c r="AD58" s="321"/>
      <c r="AL58" s="317"/>
      <c r="AM58" s="321"/>
      <c r="BI58" s="317"/>
      <c r="BK58" s="322"/>
      <c r="BM58" s="33">
        <f t="shared" si="1"/>
        <v>1</v>
      </c>
    </row>
    <row r="59" spans="1:65" s="320" customFormat="1" ht="15" customHeight="1" x14ac:dyDescent="0.25">
      <c r="A59" s="319"/>
      <c r="B59" s="321"/>
      <c r="K59" s="317"/>
      <c r="L59" s="321"/>
      <c r="T59" s="317"/>
      <c r="U59" s="321"/>
      <c r="AC59" s="317"/>
      <c r="AD59" s="321"/>
      <c r="AL59" s="317"/>
      <c r="AM59" s="321"/>
      <c r="BI59" s="317"/>
      <c r="BK59" s="322"/>
      <c r="BM59" s="33">
        <f t="shared" si="1"/>
        <v>2</v>
      </c>
    </row>
    <row r="60" spans="1:65" s="320" customFormat="1" ht="15" customHeight="1" x14ac:dyDescent="0.25">
      <c r="A60" s="319"/>
      <c r="B60" s="321"/>
      <c r="K60" s="317"/>
      <c r="L60" s="321"/>
      <c r="T60" s="317"/>
      <c r="U60" s="321"/>
      <c r="AC60" s="317"/>
      <c r="AD60" s="321"/>
      <c r="AL60" s="317"/>
      <c r="AM60" s="321"/>
      <c r="BI60" s="317"/>
      <c r="BK60" s="322"/>
      <c r="BM60" s="33">
        <f t="shared" si="1"/>
        <v>3</v>
      </c>
    </row>
    <row r="61" spans="1:65" s="320" customFormat="1" ht="15" customHeight="1" x14ac:dyDescent="0.25">
      <c r="A61" s="319"/>
      <c r="B61" s="321"/>
      <c r="K61" s="317"/>
      <c r="L61" s="321"/>
      <c r="T61" s="317"/>
      <c r="U61" s="321"/>
      <c r="AC61" s="317"/>
      <c r="AD61" s="321"/>
      <c r="AL61" s="317"/>
      <c r="AM61" s="321"/>
      <c r="BI61" s="317"/>
      <c r="BK61" s="322"/>
      <c r="BM61" s="33">
        <f t="shared" si="1"/>
        <v>4</v>
      </c>
    </row>
    <row r="62" spans="1:65" s="320" customFormat="1" ht="15" customHeight="1" x14ac:dyDescent="0.25">
      <c r="A62" s="319"/>
      <c r="B62" s="321"/>
      <c r="K62" s="317"/>
      <c r="L62" s="321"/>
      <c r="T62" s="317"/>
      <c r="U62" s="321"/>
      <c r="AC62" s="317"/>
      <c r="AD62" s="321"/>
      <c r="AL62" s="317"/>
      <c r="AM62" s="321"/>
      <c r="BI62" s="317"/>
      <c r="BK62" s="322"/>
      <c r="BM62" s="33">
        <f t="shared" si="1"/>
        <v>5</v>
      </c>
    </row>
    <row r="63" spans="1:65" s="320" customFormat="1" ht="15" customHeight="1" x14ac:dyDescent="0.25">
      <c r="A63" s="319"/>
      <c r="B63" s="321"/>
      <c r="K63" s="317"/>
      <c r="L63" s="321"/>
      <c r="T63" s="317"/>
      <c r="U63" s="321"/>
      <c r="AC63" s="317"/>
      <c r="AD63" s="321"/>
      <c r="AL63" s="317"/>
      <c r="AM63" s="321"/>
      <c r="BI63" s="317"/>
      <c r="BK63" s="322"/>
      <c r="BM63" s="33">
        <f t="shared" si="1"/>
        <v>6</v>
      </c>
    </row>
    <row r="64" spans="1:65" s="320" customFormat="1" ht="15" customHeight="1" x14ac:dyDescent="0.25">
      <c r="A64" s="319"/>
      <c r="B64" s="321"/>
      <c r="K64" s="317"/>
      <c r="L64" s="321"/>
      <c r="T64" s="317"/>
      <c r="U64" s="321"/>
      <c r="AC64" s="317"/>
      <c r="AD64" s="321"/>
      <c r="AL64" s="317"/>
      <c r="AM64" s="321"/>
      <c r="BI64" s="317"/>
      <c r="BK64" s="322"/>
      <c r="BM64" s="33">
        <f t="shared" si="1"/>
        <v>7</v>
      </c>
    </row>
    <row r="65" spans="1:65" s="320" customFormat="1" ht="15" customHeight="1" x14ac:dyDescent="0.25">
      <c r="A65" s="319"/>
      <c r="B65" s="321"/>
      <c r="K65" s="317"/>
      <c r="L65" s="321"/>
      <c r="T65" s="317"/>
      <c r="U65" s="321"/>
      <c r="AC65" s="317"/>
      <c r="AD65" s="321"/>
      <c r="AL65" s="317"/>
      <c r="AM65" s="321"/>
      <c r="BI65" s="317"/>
      <c r="BK65" s="322"/>
      <c r="BM65" s="33">
        <f t="shared" si="1"/>
        <v>8</v>
      </c>
    </row>
    <row r="66" spans="1:65" s="320" customFormat="1" ht="15" customHeight="1" x14ac:dyDescent="0.25">
      <c r="A66" s="319"/>
      <c r="B66" s="321"/>
      <c r="K66" s="317"/>
      <c r="L66" s="321"/>
      <c r="T66" s="317"/>
      <c r="U66" s="321"/>
      <c r="AC66" s="317"/>
      <c r="AD66" s="321"/>
      <c r="AL66" s="317"/>
      <c r="AM66" s="321"/>
      <c r="BI66" s="317"/>
      <c r="BK66" s="322"/>
      <c r="BM66" s="33">
        <f t="shared" si="1"/>
        <v>9</v>
      </c>
    </row>
    <row r="67" spans="1:65" s="320" customFormat="1" ht="15" customHeight="1" x14ac:dyDescent="0.25">
      <c r="A67" s="319"/>
      <c r="B67" s="321"/>
      <c r="K67" s="317"/>
      <c r="L67" s="321"/>
      <c r="T67" s="317"/>
      <c r="U67" s="321"/>
      <c r="AC67" s="317"/>
      <c r="AD67" s="321"/>
      <c r="AL67" s="317"/>
      <c r="AM67" s="321"/>
      <c r="BI67" s="317"/>
      <c r="BK67" s="322"/>
      <c r="BM67" s="33">
        <f t="shared" si="1"/>
        <v>10</v>
      </c>
    </row>
    <row r="68" spans="1:65" s="320" customFormat="1" ht="15" customHeight="1" x14ac:dyDescent="0.25">
      <c r="A68" s="319"/>
      <c r="B68" s="321"/>
      <c r="K68" s="317"/>
      <c r="L68" s="321"/>
      <c r="T68" s="317"/>
      <c r="U68" s="321"/>
      <c r="AC68" s="317"/>
      <c r="AD68" s="321"/>
      <c r="AL68" s="317"/>
      <c r="AM68" s="321"/>
      <c r="BI68" s="317"/>
      <c r="BK68" s="322"/>
      <c r="BM68" s="33">
        <f t="shared" si="1"/>
        <v>11</v>
      </c>
    </row>
    <row r="69" spans="1:65" s="320" customFormat="1" ht="15" customHeight="1" x14ac:dyDescent="0.25">
      <c r="A69" s="319"/>
      <c r="B69" s="321"/>
      <c r="K69" s="317"/>
      <c r="L69" s="321"/>
      <c r="T69" s="317"/>
      <c r="U69" s="321"/>
      <c r="AC69" s="317"/>
      <c r="AD69" s="321"/>
      <c r="AL69" s="317"/>
      <c r="AM69" s="321"/>
      <c r="BI69" s="317"/>
      <c r="BK69" s="322"/>
      <c r="BM69" s="33">
        <f t="shared" si="1"/>
        <v>12</v>
      </c>
    </row>
    <row r="70" spans="1:65" s="320" customFormat="1" ht="15" customHeight="1" x14ac:dyDescent="0.25">
      <c r="A70" s="319"/>
      <c r="B70" s="321"/>
      <c r="K70" s="317"/>
      <c r="L70" s="321"/>
      <c r="T70" s="317"/>
      <c r="U70" s="321"/>
      <c r="AC70" s="317"/>
      <c r="AD70" s="321"/>
      <c r="AL70" s="317"/>
      <c r="AM70" s="321"/>
      <c r="BI70" s="317"/>
      <c r="BK70" s="322"/>
      <c r="BM70" s="33">
        <f t="shared" si="1"/>
        <v>13</v>
      </c>
    </row>
    <row r="71" spans="1:65" s="320" customFormat="1" ht="15" customHeight="1" x14ac:dyDescent="0.25">
      <c r="A71" s="319"/>
      <c r="B71" s="321"/>
      <c r="K71" s="317"/>
      <c r="L71" s="321"/>
      <c r="T71" s="317"/>
      <c r="U71" s="321"/>
      <c r="AC71" s="317"/>
      <c r="AD71" s="321"/>
      <c r="AL71" s="317"/>
      <c r="AM71" s="321"/>
      <c r="BI71" s="317"/>
      <c r="BK71" s="322"/>
      <c r="BM71" s="33">
        <f t="shared" si="1"/>
        <v>14</v>
      </c>
    </row>
    <row r="72" spans="1:65" s="320" customFormat="1" ht="15" customHeight="1" x14ac:dyDescent="0.25">
      <c r="A72" s="319"/>
      <c r="B72" s="321"/>
      <c r="K72" s="317"/>
      <c r="L72" s="321"/>
      <c r="T72" s="317"/>
      <c r="U72" s="321"/>
      <c r="AC72" s="317"/>
      <c r="AD72" s="321"/>
      <c r="AL72" s="317"/>
      <c r="AM72" s="321"/>
      <c r="BI72" s="317"/>
      <c r="BK72" s="322"/>
      <c r="BM72" s="33">
        <f t="shared" si="1"/>
        <v>15</v>
      </c>
    </row>
    <row r="73" spans="1:65" s="320" customFormat="1" ht="15" customHeight="1" x14ac:dyDescent="0.25">
      <c r="A73" s="319"/>
      <c r="B73" s="321"/>
      <c r="K73" s="317"/>
      <c r="L73" s="321"/>
      <c r="T73" s="317"/>
      <c r="U73" s="321"/>
      <c r="AC73" s="317"/>
      <c r="AD73" s="321"/>
      <c r="AL73" s="317"/>
      <c r="AM73" s="321"/>
      <c r="BI73" s="317"/>
      <c r="BK73" s="322"/>
      <c r="BM73" s="33">
        <f t="shared" si="1"/>
        <v>16</v>
      </c>
    </row>
    <row r="74" spans="1:65" s="320" customFormat="1" ht="15" customHeight="1" x14ac:dyDescent="0.25">
      <c r="A74" s="319"/>
      <c r="B74" s="321"/>
      <c r="K74" s="317"/>
      <c r="L74" s="321"/>
      <c r="T74" s="317"/>
      <c r="U74" s="321"/>
      <c r="AC74" s="317"/>
      <c r="AD74" s="321"/>
      <c r="AL74" s="317"/>
      <c r="AM74" s="321"/>
      <c r="BI74" s="317"/>
      <c r="BK74" s="322"/>
      <c r="BM74" s="33">
        <f t="shared" si="1"/>
        <v>17</v>
      </c>
    </row>
    <row r="75" spans="1:65" s="320" customFormat="1" ht="15" customHeight="1" x14ac:dyDescent="0.25">
      <c r="A75" s="319"/>
      <c r="B75" s="321"/>
      <c r="K75" s="317"/>
      <c r="L75" s="321"/>
      <c r="T75" s="317"/>
      <c r="U75" s="321"/>
      <c r="AC75" s="317"/>
      <c r="AD75" s="321"/>
      <c r="AL75" s="317"/>
      <c r="AM75" s="321"/>
      <c r="BI75" s="317"/>
      <c r="BK75" s="322"/>
      <c r="BM75" s="33">
        <f t="shared" si="1"/>
        <v>18</v>
      </c>
    </row>
    <row r="76" spans="1:65" s="320" customFormat="1" ht="15" customHeight="1" x14ac:dyDescent="0.25">
      <c r="A76" s="319"/>
      <c r="B76" s="321"/>
      <c r="K76" s="317"/>
      <c r="L76" s="321"/>
      <c r="T76" s="317"/>
      <c r="U76" s="321"/>
      <c r="AC76" s="317"/>
      <c r="AD76" s="321"/>
      <c r="AL76" s="317"/>
      <c r="AM76" s="321"/>
      <c r="BI76" s="317"/>
      <c r="BK76" s="322"/>
      <c r="BM76" s="33">
        <f t="shared" si="1"/>
        <v>19</v>
      </c>
    </row>
    <row r="77" spans="1:65" s="320" customFormat="1" ht="15" customHeight="1" x14ac:dyDescent="0.25">
      <c r="A77" s="319"/>
      <c r="B77" s="321"/>
      <c r="K77" s="317"/>
      <c r="L77" s="321"/>
      <c r="T77" s="317"/>
      <c r="U77" s="321"/>
      <c r="AC77" s="317"/>
      <c r="AD77" s="321"/>
      <c r="AL77" s="317"/>
      <c r="AM77" s="321"/>
      <c r="BI77" s="317"/>
      <c r="BK77" s="322"/>
      <c r="BM77" s="33">
        <f t="shared" si="1"/>
        <v>20</v>
      </c>
    </row>
    <row r="78" spans="1:65" s="320" customFormat="1" ht="15" customHeight="1" x14ac:dyDescent="0.25">
      <c r="A78" s="319"/>
      <c r="B78" s="321"/>
      <c r="K78" s="317"/>
      <c r="L78" s="321"/>
      <c r="T78" s="317"/>
      <c r="U78" s="321"/>
      <c r="AC78" s="317"/>
      <c r="AD78" s="321"/>
      <c r="AL78" s="317"/>
      <c r="AM78" s="321"/>
      <c r="BI78" s="317"/>
      <c r="BK78" s="322"/>
      <c r="BM78" s="33">
        <f t="shared" si="1"/>
        <v>21</v>
      </c>
    </row>
    <row r="79" spans="1:65" s="320" customFormat="1" ht="15" customHeight="1" x14ac:dyDescent="0.25">
      <c r="A79" s="319"/>
      <c r="B79" s="321"/>
      <c r="K79" s="317"/>
      <c r="L79" s="321"/>
      <c r="T79" s="317"/>
      <c r="U79" s="321"/>
      <c r="AC79" s="317"/>
      <c r="AD79" s="321"/>
      <c r="AL79" s="317"/>
      <c r="AM79" s="321"/>
      <c r="BI79" s="317"/>
      <c r="BK79" s="322"/>
      <c r="BM79" s="33">
        <f t="shared" si="1"/>
        <v>22</v>
      </c>
    </row>
    <row r="80" spans="1:65" s="320" customFormat="1" ht="15" customHeight="1" x14ac:dyDescent="0.25">
      <c r="A80" s="319"/>
      <c r="B80" s="321"/>
      <c r="K80" s="317"/>
      <c r="L80" s="321"/>
      <c r="T80" s="317"/>
      <c r="U80" s="321"/>
      <c r="AC80" s="317"/>
      <c r="AD80" s="321"/>
      <c r="AL80" s="317"/>
      <c r="AM80" s="321"/>
      <c r="BI80" s="317"/>
      <c r="BK80" s="322"/>
      <c r="BM80" s="33">
        <f t="shared" si="1"/>
        <v>23</v>
      </c>
    </row>
    <row r="81" spans="1:65" s="320" customFormat="1" ht="15" customHeight="1" x14ac:dyDescent="0.25">
      <c r="A81" s="319"/>
      <c r="B81" s="321"/>
      <c r="K81" s="317"/>
      <c r="L81" s="321"/>
      <c r="T81" s="317"/>
      <c r="U81" s="321"/>
      <c r="AC81" s="317"/>
      <c r="AD81" s="321"/>
      <c r="AL81" s="317"/>
      <c r="AM81" s="321"/>
      <c r="BI81" s="317"/>
      <c r="BK81" s="322"/>
      <c r="BM81" s="33">
        <f t="shared" si="1"/>
        <v>24</v>
      </c>
    </row>
    <row r="82" spans="1:65" s="320" customFormat="1" ht="15" customHeight="1" x14ac:dyDescent="0.25">
      <c r="A82" s="319"/>
      <c r="B82" s="321"/>
      <c r="K82" s="317"/>
      <c r="L82" s="321"/>
      <c r="T82" s="317"/>
      <c r="U82" s="321"/>
      <c r="AC82" s="317"/>
      <c r="AD82" s="321"/>
      <c r="AL82" s="317"/>
      <c r="AM82" s="321"/>
      <c r="BI82" s="317"/>
      <c r="BK82" s="322"/>
      <c r="BM82" s="33">
        <f t="shared" si="1"/>
        <v>25</v>
      </c>
    </row>
    <row r="83" spans="1:65" s="320" customFormat="1" ht="15" customHeight="1" x14ac:dyDescent="0.25">
      <c r="A83" s="319"/>
      <c r="B83" s="321"/>
      <c r="K83" s="317"/>
      <c r="L83" s="321"/>
      <c r="T83" s="317"/>
      <c r="U83" s="321"/>
      <c r="AC83" s="317"/>
      <c r="AD83" s="321"/>
      <c r="AL83" s="317"/>
      <c r="AM83" s="321"/>
      <c r="BI83" s="317"/>
      <c r="BK83" s="322"/>
      <c r="BM83" s="33">
        <f t="shared" si="1"/>
        <v>26</v>
      </c>
    </row>
    <row r="84" spans="1:65" s="320" customFormat="1" ht="15" customHeight="1" x14ac:dyDescent="0.25">
      <c r="A84" s="319"/>
      <c r="B84" s="321"/>
      <c r="K84" s="317"/>
      <c r="L84" s="321"/>
      <c r="T84" s="317"/>
      <c r="U84" s="321"/>
      <c r="AC84" s="317"/>
      <c r="AD84" s="321"/>
      <c r="AL84" s="317"/>
      <c r="AM84" s="321"/>
      <c r="BI84" s="317"/>
      <c r="BK84" s="322"/>
      <c r="BM84" s="33">
        <f t="shared" si="1"/>
        <v>27</v>
      </c>
    </row>
    <row r="85" spans="1:65" s="320" customFormat="1" ht="15" customHeight="1" x14ac:dyDescent="0.25">
      <c r="A85" s="319"/>
      <c r="B85" s="321"/>
      <c r="K85" s="317"/>
      <c r="L85" s="321"/>
      <c r="T85" s="317"/>
      <c r="U85" s="321"/>
      <c r="AC85" s="317"/>
      <c r="AD85" s="321"/>
      <c r="AL85" s="317"/>
      <c r="AM85" s="321"/>
      <c r="BI85" s="317"/>
      <c r="BK85" s="322"/>
      <c r="BM85" s="33">
        <f t="shared" si="1"/>
        <v>28</v>
      </c>
    </row>
    <row r="86" spans="1:65" s="320" customFormat="1" ht="15" customHeight="1" x14ac:dyDescent="0.25">
      <c r="A86" s="319"/>
      <c r="B86" s="321"/>
      <c r="K86" s="317"/>
      <c r="L86" s="321"/>
      <c r="T86" s="317"/>
      <c r="U86" s="321"/>
      <c r="AC86" s="317"/>
      <c r="AD86" s="321"/>
      <c r="AL86" s="317"/>
      <c r="AM86" s="321"/>
      <c r="BI86" s="317"/>
      <c r="BK86" s="322"/>
      <c r="BM86" s="33">
        <f t="shared" si="1"/>
        <v>29</v>
      </c>
    </row>
    <row r="87" spans="1:65" s="320" customFormat="1" ht="15" customHeight="1" x14ac:dyDescent="0.25">
      <c r="A87" s="319"/>
      <c r="B87" s="321"/>
      <c r="K87" s="317"/>
      <c r="L87" s="321"/>
      <c r="T87" s="317"/>
      <c r="U87" s="321"/>
      <c r="AC87" s="317"/>
      <c r="AD87" s="321"/>
      <c r="AL87" s="317"/>
      <c r="AM87" s="321"/>
      <c r="BI87" s="317"/>
      <c r="BK87" s="322"/>
      <c r="BM87" s="33">
        <f t="shared" si="1"/>
        <v>30</v>
      </c>
    </row>
    <row r="88" spans="1:65" s="320" customFormat="1" ht="15" customHeight="1" x14ac:dyDescent="0.25">
      <c r="A88" s="319"/>
      <c r="B88" s="321"/>
      <c r="K88" s="317"/>
      <c r="L88" s="321"/>
      <c r="T88" s="317"/>
      <c r="U88" s="321"/>
      <c r="AC88" s="317"/>
      <c r="AD88" s="321"/>
      <c r="AL88" s="317"/>
      <c r="AM88" s="321"/>
      <c r="BI88" s="317"/>
      <c r="BK88" s="322"/>
      <c r="BM88" s="33">
        <f t="shared" si="1"/>
        <v>31</v>
      </c>
    </row>
    <row r="89" spans="1:65" s="320" customFormat="1" ht="15" customHeight="1" x14ac:dyDescent="0.25">
      <c r="A89" s="319"/>
      <c r="B89" s="321"/>
      <c r="K89" s="317"/>
      <c r="L89" s="321"/>
      <c r="T89" s="317"/>
      <c r="U89" s="321"/>
      <c r="AC89" s="317"/>
      <c r="AD89" s="321"/>
      <c r="AL89" s="317"/>
      <c r="AM89" s="321"/>
      <c r="BI89" s="317"/>
      <c r="BK89" s="322"/>
      <c r="BM89" s="33">
        <f t="shared" ref="BM89" si="2">IF(BM88=50,1,BM88+1)</f>
        <v>32</v>
      </c>
    </row>
    <row r="90" spans="1:65" s="320" customFormat="1" ht="15" customHeight="1" x14ac:dyDescent="0.25">
      <c r="A90" s="319"/>
      <c r="B90" s="321"/>
      <c r="K90" s="317"/>
      <c r="L90" s="321"/>
      <c r="T90" s="317"/>
      <c r="U90" s="321"/>
      <c r="AC90" s="317"/>
      <c r="AD90" s="321"/>
      <c r="AL90" s="317"/>
      <c r="AM90" s="321"/>
      <c r="BI90" s="317"/>
      <c r="BK90" s="322"/>
      <c r="BM90" s="33">
        <f>IF(BM89=50,1,BM89+1)</f>
        <v>33</v>
      </c>
    </row>
    <row r="91" spans="1:65" s="320" customFormat="1" ht="15" customHeight="1" x14ac:dyDescent="0.25">
      <c r="A91" s="319"/>
      <c r="B91" s="321"/>
      <c r="K91" s="317"/>
      <c r="L91" s="321"/>
      <c r="T91" s="317"/>
      <c r="U91" s="321"/>
      <c r="AC91" s="317"/>
      <c r="AD91" s="321"/>
      <c r="AL91" s="317"/>
      <c r="AM91" s="321"/>
      <c r="BI91" s="317"/>
      <c r="BK91" s="322"/>
      <c r="BM91" s="33"/>
    </row>
    <row r="92" spans="1:65" s="320" customFormat="1" ht="15" customHeight="1" x14ac:dyDescent="0.25">
      <c r="A92" s="319"/>
      <c r="B92" s="321"/>
      <c r="K92" s="317"/>
      <c r="L92" s="321"/>
      <c r="T92" s="317"/>
      <c r="U92" s="321"/>
      <c r="AC92" s="317"/>
      <c r="AD92" s="321"/>
      <c r="AL92" s="317"/>
      <c r="AM92" s="321"/>
      <c r="BI92" s="317"/>
      <c r="BK92" s="322"/>
      <c r="BM92" s="33"/>
    </row>
    <row r="93" spans="1:65" s="320" customFormat="1" ht="15" customHeight="1" x14ac:dyDescent="0.25">
      <c r="A93" s="319"/>
      <c r="B93" s="321"/>
      <c r="K93" s="317"/>
      <c r="L93" s="321"/>
      <c r="T93" s="317"/>
      <c r="U93" s="321"/>
      <c r="AC93" s="317"/>
      <c r="AD93" s="321"/>
      <c r="AL93" s="317"/>
      <c r="AM93" s="321"/>
      <c r="BI93" s="317"/>
      <c r="BK93" s="322"/>
      <c r="BM93" s="33"/>
    </row>
    <row r="94" spans="1:65" s="320" customFormat="1" ht="15" customHeight="1" x14ac:dyDescent="0.25">
      <c r="A94" s="319"/>
      <c r="B94" s="321"/>
      <c r="K94" s="317"/>
      <c r="L94" s="321"/>
      <c r="T94" s="317"/>
      <c r="U94" s="321"/>
      <c r="AC94" s="317"/>
      <c r="AD94" s="321"/>
      <c r="AL94" s="317"/>
      <c r="AM94" s="321"/>
      <c r="BI94" s="317"/>
      <c r="BK94" s="322"/>
      <c r="BM94" s="33"/>
    </row>
    <row r="95" spans="1:65" s="320" customFormat="1" ht="15" customHeight="1" x14ac:dyDescent="0.25">
      <c r="A95" s="319"/>
      <c r="B95" s="321"/>
      <c r="K95" s="317"/>
      <c r="L95" s="321"/>
      <c r="T95" s="317"/>
      <c r="U95" s="321"/>
      <c r="AC95" s="317"/>
      <c r="AD95" s="321"/>
      <c r="AL95" s="317"/>
      <c r="AM95" s="321"/>
      <c r="BI95" s="317"/>
      <c r="BK95" s="322"/>
      <c r="BM95" s="33"/>
    </row>
    <row r="96" spans="1:65" s="320" customFormat="1" ht="15" customHeight="1" x14ac:dyDescent="0.25">
      <c r="A96" s="319"/>
      <c r="B96" s="321"/>
      <c r="K96" s="317"/>
      <c r="L96" s="321"/>
      <c r="T96" s="317"/>
      <c r="U96" s="321"/>
      <c r="AC96" s="317"/>
      <c r="AD96" s="321"/>
      <c r="AL96" s="317"/>
      <c r="AM96" s="321"/>
      <c r="BI96" s="317"/>
      <c r="BK96" s="322"/>
      <c r="BM96" s="33"/>
    </row>
    <row r="97" spans="1:65" s="320" customFormat="1" ht="15" customHeight="1" x14ac:dyDescent="0.25">
      <c r="A97" s="319"/>
      <c r="B97" s="321"/>
      <c r="K97" s="317"/>
      <c r="L97" s="321"/>
      <c r="T97" s="317"/>
      <c r="U97" s="321"/>
      <c r="AC97" s="317"/>
      <c r="AD97" s="321"/>
      <c r="AL97" s="317"/>
      <c r="AM97" s="321"/>
      <c r="BI97" s="317"/>
      <c r="BK97" s="322"/>
      <c r="BM97" s="33"/>
    </row>
    <row r="98" spans="1:65" s="320" customFormat="1" ht="15" customHeight="1" x14ac:dyDescent="0.25">
      <c r="A98" s="319"/>
      <c r="B98" s="321"/>
      <c r="K98" s="317"/>
      <c r="L98" s="321"/>
      <c r="T98" s="317"/>
      <c r="U98" s="321"/>
      <c r="AC98" s="317"/>
      <c r="AD98" s="321"/>
      <c r="AL98" s="317"/>
      <c r="AM98" s="321"/>
      <c r="BI98" s="317"/>
      <c r="BK98" s="322"/>
      <c r="BM98" s="33"/>
    </row>
    <row r="99" spans="1:65" s="320" customFormat="1" ht="15" customHeight="1" x14ac:dyDescent="0.25">
      <c r="A99" s="319"/>
      <c r="B99" s="321"/>
      <c r="K99" s="317"/>
      <c r="L99" s="321"/>
      <c r="T99" s="317"/>
      <c r="U99" s="321"/>
      <c r="AC99" s="317"/>
      <c r="AD99" s="321"/>
      <c r="AL99" s="317"/>
      <c r="AM99" s="321"/>
      <c r="BI99" s="317"/>
      <c r="BK99" s="322"/>
      <c r="BM99" s="33"/>
    </row>
    <row r="100" spans="1:65" s="320" customFormat="1" ht="15" customHeight="1" x14ac:dyDescent="0.25">
      <c r="A100" s="319"/>
      <c r="B100" s="321"/>
      <c r="K100" s="317"/>
      <c r="L100" s="321"/>
      <c r="T100" s="317"/>
      <c r="U100" s="321"/>
      <c r="AC100" s="317"/>
      <c r="AD100" s="321"/>
      <c r="AL100" s="317"/>
      <c r="AM100" s="321"/>
      <c r="BI100" s="317"/>
      <c r="BK100" s="322"/>
      <c r="BM100" s="33"/>
    </row>
    <row r="101" spans="1:65" s="320" customFormat="1" ht="15" customHeight="1" x14ac:dyDescent="0.25">
      <c r="A101" s="319"/>
      <c r="B101" s="321"/>
      <c r="K101" s="317"/>
      <c r="L101" s="321"/>
      <c r="T101" s="317"/>
      <c r="U101" s="321"/>
      <c r="AC101" s="317"/>
      <c r="AD101" s="321"/>
      <c r="AL101" s="317"/>
      <c r="AM101" s="321"/>
      <c r="BI101" s="317"/>
      <c r="BK101" s="322"/>
      <c r="BM101" s="33"/>
    </row>
    <row r="102" spans="1:65" s="320" customFormat="1" ht="15" customHeight="1" x14ac:dyDescent="0.25">
      <c r="A102" s="323"/>
      <c r="B102" s="324"/>
      <c r="C102" s="325"/>
      <c r="D102" s="325"/>
      <c r="E102" s="325"/>
      <c r="F102" s="325"/>
      <c r="G102" s="325"/>
      <c r="H102" s="325"/>
      <c r="I102" s="325"/>
      <c r="J102" s="325"/>
      <c r="K102" s="326"/>
      <c r="L102" s="324"/>
      <c r="M102" s="325"/>
      <c r="N102" s="325"/>
      <c r="O102" s="325"/>
      <c r="P102" s="325"/>
      <c r="Q102" s="325"/>
      <c r="R102" s="325"/>
      <c r="S102" s="325"/>
      <c r="T102" s="326"/>
      <c r="U102" s="324"/>
      <c r="V102" s="325"/>
      <c r="W102" s="325"/>
      <c r="X102" s="325"/>
      <c r="Y102" s="325"/>
      <c r="Z102" s="325"/>
      <c r="AA102" s="325"/>
      <c r="AB102" s="325"/>
      <c r="AC102" s="326"/>
      <c r="AD102" s="324"/>
      <c r="AE102" s="325"/>
      <c r="AF102" s="325"/>
      <c r="AG102" s="325"/>
      <c r="AH102" s="325"/>
      <c r="AI102" s="325"/>
      <c r="AJ102" s="325"/>
      <c r="AK102" s="325"/>
      <c r="AL102" s="326"/>
      <c r="AM102" s="324"/>
      <c r="AN102" s="325"/>
      <c r="AO102" s="325"/>
      <c r="AP102" s="325"/>
      <c r="AQ102" s="325"/>
      <c r="AR102" s="325"/>
      <c r="AS102" s="325"/>
      <c r="AT102" s="325"/>
      <c r="AU102" s="325"/>
      <c r="AV102" s="325"/>
      <c r="AW102" s="325"/>
      <c r="AX102" s="325"/>
      <c r="AY102" s="325"/>
      <c r="AZ102" s="325"/>
      <c r="BA102" s="325"/>
      <c r="BB102" s="325"/>
      <c r="BC102" s="325"/>
      <c r="BD102" s="325"/>
      <c r="BE102" s="325"/>
      <c r="BF102" s="325"/>
      <c r="BG102" s="325"/>
      <c r="BH102" s="325"/>
      <c r="BI102" s="326"/>
      <c r="BJ102" s="325"/>
      <c r="BK102" s="327"/>
      <c r="BM102" s="33">
        <f>IF(BM90=50,1,BM90+1)</f>
        <v>34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33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33" customWidth="1"/>
    <col min="64" max="16384" width="10.109375" style="33"/>
  </cols>
  <sheetData>
    <row r="1" spans="1:63" ht="24.95" customHeight="1" x14ac:dyDescent="0.25">
      <c r="A1" s="266" t="s">
        <v>78</v>
      </c>
      <c r="B1" s="267"/>
      <c r="C1" s="267"/>
      <c r="D1" s="267"/>
      <c r="E1" s="267"/>
      <c r="F1" s="267"/>
      <c r="G1" s="267"/>
      <c r="H1" s="267"/>
      <c r="I1" s="267"/>
      <c r="J1" s="268"/>
      <c r="K1" s="266" t="s">
        <v>79</v>
      </c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8"/>
      <c r="W1" s="269" t="str">
        <f>IF(表紙!W1="","",表紙!W1)</f>
        <v>基本設計書</v>
      </c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1"/>
      <c r="AP1" s="272" t="s">
        <v>80</v>
      </c>
      <c r="AQ1" s="273"/>
      <c r="AR1" s="273"/>
      <c r="AS1" s="274"/>
      <c r="AT1" s="272" t="s">
        <v>81</v>
      </c>
      <c r="AU1" s="273"/>
      <c r="AV1" s="273"/>
      <c r="AW1" s="273"/>
      <c r="AX1" s="274"/>
      <c r="AY1" s="272" t="s">
        <v>82</v>
      </c>
      <c r="AZ1" s="273"/>
      <c r="BA1" s="273"/>
      <c r="BB1" s="274"/>
      <c r="BC1" s="272" t="s">
        <v>83</v>
      </c>
      <c r="BD1" s="273"/>
      <c r="BE1" s="273"/>
      <c r="BF1" s="273"/>
      <c r="BG1" s="274"/>
      <c r="BH1" s="272" t="s">
        <v>84</v>
      </c>
      <c r="BI1" s="273"/>
      <c r="BJ1" s="273"/>
      <c r="BK1" s="274"/>
    </row>
    <row r="2" spans="1:63" ht="15" customHeight="1" x14ac:dyDescent="0.25">
      <c r="A2" s="95" t="str">
        <f>IF(表紙!A2="","",表紙!A2)</f>
        <v>POSサーバー</v>
      </c>
      <c r="B2" s="96"/>
      <c r="C2" s="96"/>
      <c r="D2" s="96"/>
      <c r="E2" s="96"/>
      <c r="F2" s="96"/>
      <c r="G2" s="96"/>
      <c r="H2" s="96"/>
      <c r="I2" s="96"/>
      <c r="J2" s="97"/>
      <c r="K2" s="95" t="str">
        <f>IF(表紙!K2="","",表紙!K2)</f>
        <v>POSサーバ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7"/>
      <c r="W2" s="276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7"/>
      <c r="AJ2" s="277"/>
      <c r="AK2" s="277"/>
      <c r="AL2" s="277"/>
      <c r="AM2" s="277"/>
      <c r="AN2" s="277"/>
      <c r="AO2" s="278"/>
      <c r="AP2" s="279" t="str">
        <f>IF(表紙!AP2="","",表紙!AP2)</f>
        <v>DuNT</v>
      </c>
      <c r="AQ2" s="280"/>
      <c r="AR2" s="280"/>
      <c r="AS2" s="281"/>
      <c r="AT2" s="282">
        <f>IF(表紙!AT2="","",表紙!AT2)</f>
        <v>45406</v>
      </c>
      <c r="AU2" s="283"/>
      <c r="AV2" s="283"/>
      <c r="AW2" s="283"/>
      <c r="AX2" s="284"/>
      <c r="AY2" s="279" t="str">
        <f>IF(表紙!AY2="","",表紙!AY2)</f>
        <v>TinNH</v>
      </c>
      <c r="AZ2" s="280"/>
      <c r="BA2" s="280"/>
      <c r="BB2" s="281"/>
      <c r="BC2" s="282">
        <f>IF(表紙!BC2="","",表紙!BC2)</f>
        <v>45498</v>
      </c>
      <c r="BD2" s="283"/>
      <c r="BE2" s="283"/>
      <c r="BF2" s="283"/>
      <c r="BG2" s="284"/>
      <c r="BH2" s="279">
        <f>IF(表紙!BH2="","",表紙!BH2)</f>
        <v>0.3</v>
      </c>
      <c r="BI2" s="280"/>
      <c r="BJ2" s="280"/>
      <c r="BK2" s="281"/>
    </row>
    <row r="3" spans="1:63" ht="15" customHeight="1" x14ac:dyDescent="0.25">
      <c r="A3" s="98"/>
      <c r="B3" s="99"/>
      <c r="C3" s="99"/>
      <c r="D3" s="99"/>
      <c r="E3" s="99"/>
      <c r="F3" s="99"/>
      <c r="G3" s="99"/>
      <c r="H3" s="99"/>
      <c r="I3" s="99"/>
      <c r="J3" s="100"/>
      <c r="K3" s="98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285"/>
      <c r="X3" s="286"/>
      <c r="Y3" s="286"/>
      <c r="Z3" s="286"/>
      <c r="AA3" s="286"/>
      <c r="AB3" s="286"/>
      <c r="AC3" s="286"/>
      <c r="AD3" s="286"/>
      <c r="AE3" s="286"/>
      <c r="AF3" s="286"/>
      <c r="AG3" s="286"/>
      <c r="AH3" s="286"/>
      <c r="AI3" s="286"/>
      <c r="AJ3" s="286"/>
      <c r="AK3" s="286"/>
      <c r="AL3" s="286"/>
      <c r="AM3" s="286"/>
      <c r="AN3" s="286"/>
      <c r="AO3" s="287"/>
      <c r="AP3" s="288"/>
      <c r="AQ3" s="289"/>
      <c r="AR3" s="289"/>
      <c r="AS3" s="290"/>
      <c r="AT3" s="291"/>
      <c r="AU3" s="292"/>
      <c r="AV3" s="292"/>
      <c r="AW3" s="292"/>
      <c r="AX3" s="293"/>
      <c r="AY3" s="288"/>
      <c r="AZ3" s="289"/>
      <c r="BA3" s="289"/>
      <c r="BB3" s="290"/>
      <c r="BC3" s="291"/>
      <c r="BD3" s="292"/>
      <c r="BE3" s="292"/>
      <c r="BF3" s="292"/>
      <c r="BG3" s="293"/>
      <c r="BH3" s="288"/>
      <c r="BI3" s="289"/>
      <c r="BJ3" s="289"/>
      <c r="BK3" s="290"/>
    </row>
    <row r="4" spans="1:63" ht="24.95" customHeight="1" x14ac:dyDescent="0.25">
      <c r="A4" s="266" t="s">
        <v>85</v>
      </c>
      <c r="B4" s="267"/>
      <c r="C4" s="267"/>
      <c r="D4" s="267"/>
      <c r="E4" s="267"/>
      <c r="F4" s="267"/>
      <c r="G4" s="268"/>
      <c r="H4" s="101" t="str">
        <f>IF(表紙!H4="","",表紙!H4)</f>
        <v>21_ジャーナル検索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3"/>
      <c r="U4" s="266" t="s">
        <v>86</v>
      </c>
      <c r="V4" s="267"/>
      <c r="W4" s="267"/>
      <c r="X4" s="267"/>
      <c r="Y4" s="268"/>
      <c r="Z4" s="101" t="str">
        <f>IF(表紙!Z4="","",表紙!Z4)</f>
        <v>概要設計</v>
      </c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3"/>
      <c r="AP4" s="104" t="str">
        <f ca="1">MID(CELL("filename",A1),FIND("]",CELL("filename",A1))+1,255)</f>
        <v>画面設計書</v>
      </c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3"/>
    </row>
    <row r="5" spans="1:63" ht="5.0999999999999996" customHeight="1" x14ac:dyDescent="0.25">
      <c r="A5" s="34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6"/>
    </row>
    <row r="6" spans="1:63" ht="15" customHeight="1" x14ac:dyDescent="0.25">
      <c r="A6" s="37"/>
      <c r="BK6" s="38"/>
    </row>
    <row r="7" spans="1:63" ht="15" customHeight="1" x14ac:dyDescent="0.25">
      <c r="A7" s="37"/>
      <c r="B7" s="328" t="s">
        <v>20</v>
      </c>
      <c r="C7" s="328"/>
      <c r="D7" s="328"/>
      <c r="E7" s="328"/>
      <c r="F7" s="328"/>
      <c r="G7" s="328"/>
      <c r="H7" s="328"/>
      <c r="I7" s="328"/>
      <c r="J7" s="328"/>
      <c r="AE7" s="39"/>
      <c r="BK7" s="38"/>
    </row>
    <row r="8" spans="1:63" ht="15" customHeight="1" x14ac:dyDescent="0.25">
      <c r="A8" s="37"/>
      <c r="BK8" s="38"/>
    </row>
    <row r="9" spans="1:63" ht="15" customHeight="1" x14ac:dyDescent="0.25">
      <c r="A9" s="37"/>
      <c r="BK9" s="38"/>
    </row>
    <row r="10" spans="1:63" ht="15" customHeight="1" x14ac:dyDescent="0.25">
      <c r="A10" s="37"/>
      <c r="BK10" s="38"/>
    </row>
    <row r="11" spans="1:63" ht="15" customHeight="1" x14ac:dyDescent="0.25">
      <c r="A11" s="37"/>
      <c r="BK11" s="38"/>
    </row>
    <row r="12" spans="1:63" ht="15" customHeight="1" x14ac:dyDescent="0.25">
      <c r="A12" s="37"/>
      <c r="BK12" s="38"/>
    </row>
    <row r="13" spans="1:63" ht="15" customHeight="1" x14ac:dyDescent="0.25">
      <c r="A13" s="37"/>
      <c r="BK13" s="38"/>
    </row>
    <row r="14" spans="1:63" ht="15" customHeight="1" x14ac:dyDescent="0.25">
      <c r="A14" s="37"/>
      <c r="BK14" s="38"/>
    </row>
    <row r="15" spans="1:63" ht="15" customHeight="1" x14ac:dyDescent="0.25">
      <c r="A15" s="37"/>
      <c r="BK15" s="38"/>
    </row>
    <row r="16" spans="1:63" ht="15" customHeight="1" x14ac:dyDescent="0.25">
      <c r="A16" s="37"/>
      <c r="BK16" s="38"/>
    </row>
    <row r="17" spans="1:63" ht="15" customHeight="1" x14ac:dyDescent="0.25">
      <c r="A17" s="37"/>
      <c r="BK17" s="38"/>
    </row>
    <row r="18" spans="1:63" ht="15" customHeight="1" x14ac:dyDescent="0.25">
      <c r="A18" s="37"/>
      <c r="BK18" s="38"/>
    </row>
    <row r="19" spans="1:63" ht="15" customHeight="1" x14ac:dyDescent="0.25">
      <c r="A19" s="37"/>
      <c r="BK19" s="38"/>
    </row>
    <row r="20" spans="1:63" ht="15" customHeight="1" x14ac:dyDescent="0.25">
      <c r="A20" s="37"/>
      <c r="BK20" s="38"/>
    </row>
    <row r="21" spans="1:63" ht="15" customHeight="1" x14ac:dyDescent="0.25">
      <c r="A21" s="37"/>
      <c r="BK21" s="38"/>
    </row>
    <row r="22" spans="1:63" ht="15" customHeight="1" x14ac:dyDescent="0.25">
      <c r="A22" s="37"/>
      <c r="BK22" s="38"/>
    </row>
    <row r="23" spans="1:63" ht="15" customHeight="1" x14ac:dyDescent="0.25">
      <c r="A23" s="37"/>
      <c r="BK23" s="38"/>
    </row>
    <row r="24" spans="1:63" ht="15" customHeight="1" x14ac:dyDescent="0.25">
      <c r="A24" s="37"/>
      <c r="BK24" s="38"/>
    </row>
    <row r="25" spans="1:63" ht="14.25" customHeight="1" x14ac:dyDescent="0.25">
      <c r="A25" s="37"/>
      <c r="BK25" s="38"/>
    </row>
    <row r="26" spans="1:63" ht="15" customHeight="1" x14ac:dyDescent="0.25">
      <c r="A26" s="37"/>
      <c r="BK26" s="38"/>
    </row>
    <row r="27" spans="1:63" ht="15" customHeight="1" x14ac:dyDescent="0.25">
      <c r="A27" s="37"/>
      <c r="BK27" s="38"/>
    </row>
    <row r="28" spans="1:63" x14ac:dyDescent="0.25">
      <c r="BK28" s="38"/>
    </row>
    <row r="29" spans="1:63" x14ac:dyDescent="0.25">
      <c r="BK29" s="38"/>
    </row>
    <row r="30" spans="1:63" x14ac:dyDescent="0.25">
      <c r="BK30" s="38"/>
    </row>
    <row r="31" spans="1:63" x14ac:dyDescent="0.25">
      <c r="BK31" s="38"/>
    </row>
    <row r="32" spans="1:63" x14ac:dyDescent="0.25">
      <c r="BK32" s="38"/>
    </row>
    <row r="33" spans="1:63" x14ac:dyDescent="0.25">
      <c r="BK33" s="38"/>
    </row>
    <row r="34" spans="1:63" x14ac:dyDescent="0.25">
      <c r="BK34" s="38"/>
    </row>
    <row r="35" spans="1:63" ht="15" customHeight="1" x14ac:dyDescent="0.25">
      <c r="A35" s="37"/>
      <c r="B35" s="39" t="s">
        <v>88</v>
      </c>
      <c r="BK35" s="38"/>
    </row>
    <row r="36" spans="1:63" x14ac:dyDescent="0.25">
      <c r="BK36" s="38"/>
    </row>
    <row r="37" spans="1:63" ht="15.75" customHeight="1" x14ac:dyDescent="0.25">
      <c r="B37" s="105" t="s">
        <v>89</v>
      </c>
      <c r="C37" s="106"/>
      <c r="D37" s="111" t="s">
        <v>90</v>
      </c>
      <c r="E37" s="112"/>
      <c r="F37" s="112"/>
      <c r="G37" s="112"/>
      <c r="H37" s="112"/>
      <c r="I37" s="112"/>
      <c r="J37" s="106"/>
      <c r="K37" s="111" t="s">
        <v>91</v>
      </c>
      <c r="L37" s="112"/>
      <c r="M37" s="106"/>
      <c r="N37" s="115" t="s">
        <v>21</v>
      </c>
      <c r="O37" s="118" t="s">
        <v>92</v>
      </c>
      <c r="P37" s="136" t="s">
        <v>93</v>
      </c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8"/>
      <c r="AR37" s="121" t="s">
        <v>94</v>
      </c>
      <c r="AS37" s="122"/>
      <c r="AT37" s="122"/>
      <c r="AU37" s="122"/>
      <c r="AV37" s="122"/>
      <c r="AW37" s="122"/>
      <c r="AX37" s="122"/>
      <c r="AY37" s="122"/>
      <c r="AZ37" s="122"/>
      <c r="BA37" s="122"/>
      <c r="BB37" s="125"/>
      <c r="BC37" s="139" t="s">
        <v>95</v>
      </c>
      <c r="BD37" s="140"/>
      <c r="BE37" s="140"/>
      <c r="BF37" s="140"/>
      <c r="BG37" s="140"/>
      <c r="BH37" s="140"/>
      <c r="BI37" s="140"/>
      <c r="BJ37" s="141"/>
      <c r="BK37" s="38"/>
    </row>
    <row r="38" spans="1:63" ht="15.75" customHeight="1" x14ac:dyDescent="0.25">
      <c r="B38" s="107"/>
      <c r="C38" s="108"/>
      <c r="D38" s="107"/>
      <c r="E38" s="113"/>
      <c r="F38" s="113"/>
      <c r="G38" s="113"/>
      <c r="H38" s="113"/>
      <c r="I38" s="113"/>
      <c r="J38" s="108"/>
      <c r="K38" s="107"/>
      <c r="L38" s="113"/>
      <c r="M38" s="108"/>
      <c r="N38" s="116"/>
      <c r="O38" s="119"/>
      <c r="P38" s="148" t="s">
        <v>96</v>
      </c>
      <c r="Q38" s="149"/>
      <c r="R38" s="149"/>
      <c r="S38" s="149"/>
      <c r="T38" s="149"/>
      <c r="U38" s="149"/>
      <c r="V38" s="149"/>
      <c r="W38" s="150"/>
      <c r="X38" s="151" t="s">
        <v>97</v>
      </c>
      <c r="Y38" s="152"/>
      <c r="Z38" s="153"/>
      <c r="AA38" s="151" t="s">
        <v>98</v>
      </c>
      <c r="AB38" s="152"/>
      <c r="AC38" s="152"/>
      <c r="AD38" s="152"/>
      <c r="AE38" s="152"/>
      <c r="AF38" s="152"/>
      <c r="AG38" s="152"/>
      <c r="AH38" s="153"/>
      <c r="AI38" s="151" t="s">
        <v>99</v>
      </c>
      <c r="AJ38" s="152"/>
      <c r="AK38" s="152"/>
      <c r="AL38" s="152"/>
      <c r="AM38" s="152"/>
      <c r="AN38" s="152"/>
      <c r="AO38" s="152"/>
      <c r="AP38" s="152"/>
      <c r="AQ38" s="153"/>
      <c r="AR38" s="157" t="s">
        <v>22</v>
      </c>
      <c r="AS38" s="159" t="s">
        <v>100</v>
      </c>
      <c r="AT38" s="161" t="s">
        <v>101</v>
      </c>
      <c r="AU38" s="121" t="s">
        <v>96</v>
      </c>
      <c r="AV38" s="122"/>
      <c r="AW38" s="122"/>
      <c r="AX38" s="122"/>
      <c r="AY38" s="122"/>
      <c r="AZ38" s="122"/>
      <c r="BA38" s="122"/>
      <c r="BB38" s="125"/>
      <c r="BC38" s="142"/>
      <c r="BD38" s="143"/>
      <c r="BE38" s="143"/>
      <c r="BF38" s="143"/>
      <c r="BG38" s="143"/>
      <c r="BH38" s="143"/>
      <c r="BI38" s="143"/>
      <c r="BJ38" s="144"/>
      <c r="BK38" s="38"/>
    </row>
    <row r="39" spans="1:63" x14ac:dyDescent="0.25">
      <c r="B39" s="109"/>
      <c r="C39" s="110"/>
      <c r="D39" s="109"/>
      <c r="E39" s="114"/>
      <c r="F39" s="114"/>
      <c r="G39" s="114"/>
      <c r="H39" s="114"/>
      <c r="I39" s="114"/>
      <c r="J39" s="110"/>
      <c r="K39" s="109"/>
      <c r="L39" s="114"/>
      <c r="M39" s="110"/>
      <c r="N39" s="117"/>
      <c r="O39" s="120"/>
      <c r="P39" s="136" t="s">
        <v>102</v>
      </c>
      <c r="Q39" s="137"/>
      <c r="R39" s="137"/>
      <c r="S39" s="138"/>
      <c r="T39" s="136" t="s">
        <v>90</v>
      </c>
      <c r="U39" s="137"/>
      <c r="V39" s="137"/>
      <c r="W39" s="138"/>
      <c r="X39" s="154"/>
      <c r="Y39" s="155"/>
      <c r="Z39" s="156"/>
      <c r="AA39" s="154"/>
      <c r="AB39" s="155"/>
      <c r="AC39" s="155"/>
      <c r="AD39" s="155"/>
      <c r="AE39" s="155"/>
      <c r="AF39" s="155"/>
      <c r="AG39" s="155"/>
      <c r="AH39" s="156"/>
      <c r="AI39" s="154"/>
      <c r="AJ39" s="155"/>
      <c r="AK39" s="155"/>
      <c r="AL39" s="155"/>
      <c r="AM39" s="155"/>
      <c r="AN39" s="155"/>
      <c r="AO39" s="155"/>
      <c r="AP39" s="155"/>
      <c r="AQ39" s="156"/>
      <c r="AR39" s="158"/>
      <c r="AS39" s="160"/>
      <c r="AT39" s="162"/>
      <c r="AU39" s="121" t="s">
        <v>102</v>
      </c>
      <c r="AV39" s="122"/>
      <c r="AW39" s="122"/>
      <c r="AX39" s="123"/>
      <c r="AY39" s="124" t="s">
        <v>90</v>
      </c>
      <c r="AZ39" s="122"/>
      <c r="BA39" s="122"/>
      <c r="BB39" s="125"/>
      <c r="BC39" s="145"/>
      <c r="BD39" s="146"/>
      <c r="BE39" s="146"/>
      <c r="BF39" s="146"/>
      <c r="BG39" s="146"/>
      <c r="BH39" s="146"/>
      <c r="BI39" s="146"/>
      <c r="BJ39" s="147"/>
      <c r="BK39" s="38"/>
    </row>
    <row r="40" spans="1:63" ht="15.75" customHeight="1" x14ac:dyDescent="0.25">
      <c r="B40" s="126">
        <v>1</v>
      </c>
      <c r="C40" s="127"/>
      <c r="D40" s="128"/>
      <c r="E40" s="129"/>
      <c r="F40" s="129"/>
      <c r="G40" s="129"/>
      <c r="H40" s="129"/>
      <c r="I40" s="129"/>
      <c r="J40" s="130"/>
      <c r="K40" s="131" t="s">
        <v>23</v>
      </c>
      <c r="L40" s="132"/>
      <c r="M40" s="133"/>
      <c r="N40" s="40" t="s">
        <v>24</v>
      </c>
      <c r="O40" s="41" t="s">
        <v>25</v>
      </c>
      <c r="P40" s="134" t="s">
        <v>24</v>
      </c>
      <c r="Q40" s="135"/>
      <c r="R40" s="135"/>
      <c r="S40" s="127"/>
      <c r="T40" s="134" t="s">
        <v>24</v>
      </c>
      <c r="U40" s="135"/>
      <c r="V40" s="135"/>
      <c r="W40" s="127"/>
      <c r="X40" s="163" t="s">
        <v>103</v>
      </c>
      <c r="Y40" s="164"/>
      <c r="Z40" s="165"/>
      <c r="AA40" s="126" t="s">
        <v>26</v>
      </c>
      <c r="AB40" s="135"/>
      <c r="AC40" s="135"/>
      <c r="AD40" s="135"/>
      <c r="AE40" s="135"/>
      <c r="AF40" s="135"/>
      <c r="AG40" s="135"/>
      <c r="AH40" s="127"/>
      <c r="AI40" s="166" t="s">
        <v>24</v>
      </c>
      <c r="AJ40" s="167"/>
      <c r="AK40" s="167"/>
      <c r="AL40" s="167"/>
      <c r="AM40" s="167"/>
      <c r="AN40" s="167"/>
      <c r="AO40" s="167"/>
      <c r="AP40" s="167"/>
      <c r="AQ40" s="168"/>
      <c r="AR40" s="42" t="s">
        <v>24</v>
      </c>
      <c r="AS40" s="42" t="s">
        <v>26</v>
      </c>
      <c r="AT40" s="42" t="s">
        <v>26</v>
      </c>
      <c r="AU40" s="126" t="s">
        <v>27</v>
      </c>
      <c r="AV40" s="135"/>
      <c r="AW40" s="135"/>
      <c r="AX40" s="127"/>
      <c r="AY40" s="126" t="s">
        <v>26</v>
      </c>
      <c r="AZ40" s="135"/>
      <c r="BA40" s="135"/>
      <c r="BB40" s="127"/>
      <c r="BC40" s="329"/>
      <c r="BD40" s="330"/>
      <c r="BE40" s="330"/>
      <c r="BF40" s="330"/>
      <c r="BG40" s="330"/>
      <c r="BH40" s="330"/>
      <c r="BI40" s="330"/>
      <c r="BJ40" s="331"/>
      <c r="BK40" s="38"/>
    </row>
    <row r="41" spans="1:63" x14ac:dyDescent="0.25">
      <c r="B41" s="169">
        <v>2</v>
      </c>
      <c r="C41" s="170"/>
      <c r="D41" s="176"/>
      <c r="E41" s="177"/>
      <c r="F41" s="177"/>
      <c r="G41" s="177"/>
      <c r="H41" s="177"/>
      <c r="I41" s="177"/>
      <c r="J41" s="178"/>
      <c r="K41" s="131" t="s">
        <v>23</v>
      </c>
      <c r="L41" s="132"/>
      <c r="M41" s="133"/>
      <c r="N41" s="41" t="s">
        <v>28</v>
      </c>
      <c r="O41" s="41" t="s">
        <v>25</v>
      </c>
      <c r="P41" s="169" t="s">
        <v>27</v>
      </c>
      <c r="Q41" s="175"/>
      <c r="R41" s="175"/>
      <c r="S41" s="170"/>
      <c r="T41" s="169" t="s">
        <v>27</v>
      </c>
      <c r="U41" s="175"/>
      <c r="V41" s="175"/>
      <c r="W41" s="170"/>
      <c r="X41" s="186" t="s">
        <v>104</v>
      </c>
      <c r="Y41" s="187"/>
      <c r="Z41" s="188"/>
      <c r="AA41" s="169" t="s">
        <v>26</v>
      </c>
      <c r="AB41" s="175"/>
      <c r="AC41" s="175"/>
      <c r="AD41" s="175"/>
      <c r="AE41" s="175"/>
      <c r="AF41" s="175"/>
      <c r="AG41" s="175"/>
      <c r="AH41" s="170"/>
      <c r="AI41" s="182" t="s">
        <v>26</v>
      </c>
      <c r="AJ41" s="183"/>
      <c r="AK41" s="183"/>
      <c r="AL41" s="183"/>
      <c r="AM41" s="183"/>
      <c r="AN41" s="183"/>
      <c r="AO41" s="183"/>
      <c r="AP41" s="183"/>
      <c r="AQ41" s="184"/>
      <c r="AR41" s="43" t="s">
        <v>24</v>
      </c>
      <c r="AS41" s="43" t="s">
        <v>26</v>
      </c>
      <c r="AT41" s="43" t="s">
        <v>26</v>
      </c>
      <c r="AU41" s="169" t="s">
        <v>27</v>
      </c>
      <c r="AV41" s="175"/>
      <c r="AW41" s="175"/>
      <c r="AX41" s="170"/>
      <c r="AY41" s="169" t="s">
        <v>26</v>
      </c>
      <c r="AZ41" s="175"/>
      <c r="BA41" s="175"/>
      <c r="BB41" s="170"/>
      <c r="BC41" s="185"/>
      <c r="BD41" s="332"/>
      <c r="BE41" s="332"/>
      <c r="BF41" s="332"/>
      <c r="BG41" s="332"/>
      <c r="BH41" s="332"/>
      <c r="BI41" s="332"/>
      <c r="BJ41" s="333"/>
      <c r="BK41" s="38"/>
    </row>
    <row r="42" spans="1:63" x14ac:dyDescent="0.25">
      <c r="B42" s="169">
        <v>3</v>
      </c>
      <c r="C42" s="170"/>
      <c r="D42" s="171"/>
      <c r="E42" s="172"/>
      <c r="F42" s="172"/>
      <c r="G42" s="172"/>
      <c r="H42" s="172"/>
      <c r="I42" s="172"/>
      <c r="J42" s="173"/>
      <c r="K42" s="131" t="s">
        <v>23</v>
      </c>
      <c r="L42" s="132"/>
      <c r="M42" s="133"/>
      <c r="N42" s="41" t="s">
        <v>29</v>
      </c>
      <c r="O42" s="41" t="s">
        <v>24</v>
      </c>
      <c r="P42" s="174" t="s">
        <v>24</v>
      </c>
      <c r="Q42" s="175"/>
      <c r="R42" s="175"/>
      <c r="S42" s="170"/>
      <c r="T42" s="169"/>
      <c r="U42" s="175"/>
      <c r="V42" s="175"/>
      <c r="W42" s="170"/>
      <c r="X42" s="179" t="s">
        <v>24</v>
      </c>
      <c r="Y42" s="180"/>
      <c r="Z42" s="181"/>
      <c r="AA42" s="169" t="s">
        <v>26</v>
      </c>
      <c r="AB42" s="175"/>
      <c r="AC42" s="175"/>
      <c r="AD42" s="175"/>
      <c r="AE42" s="175"/>
      <c r="AF42" s="175"/>
      <c r="AG42" s="175"/>
      <c r="AH42" s="170"/>
      <c r="AI42" s="182" t="s">
        <v>26</v>
      </c>
      <c r="AJ42" s="183"/>
      <c r="AK42" s="183"/>
      <c r="AL42" s="183"/>
      <c r="AM42" s="183"/>
      <c r="AN42" s="183"/>
      <c r="AO42" s="183"/>
      <c r="AP42" s="183"/>
      <c r="AQ42" s="184"/>
      <c r="AR42" s="43" t="s">
        <v>24</v>
      </c>
      <c r="AS42" s="43" t="s">
        <v>26</v>
      </c>
      <c r="AT42" s="43" t="s">
        <v>26</v>
      </c>
      <c r="AU42" s="169" t="s">
        <v>27</v>
      </c>
      <c r="AV42" s="175"/>
      <c r="AW42" s="175"/>
      <c r="AX42" s="170"/>
      <c r="AY42" s="169" t="s">
        <v>26</v>
      </c>
      <c r="AZ42" s="175"/>
      <c r="BA42" s="175"/>
      <c r="BB42" s="170"/>
      <c r="BC42" s="334"/>
      <c r="BD42" s="332"/>
      <c r="BE42" s="332"/>
      <c r="BF42" s="332"/>
      <c r="BG42" s="332"/>
      <c r="BH42" s="332"/>
      <c r="BI42" s="332"/>
      <c r="BJ42" s="333"/>
      <c r="BK42" s="38"/>
    </row>
    <row r="43" spans="1:63" x14ac:dyDescent="0.25">
      <c r="B43" s="169">
        <v>4</v>
      </c>
      <c r="C43" s="170"/>
      <c r="D43" s="335"/>
      <c r="E43" s="336"/>
      <c r="F43" s="336"/>
      <c r="G43" s="336"/>
      <c r="H43" s="336"/>
      <c r="I43" s="336"/>
      <c r="J43" s="337"/>
      <c r="K43" s="131" t="s">
        <v>23</v>
      </c>
      <c r="L43" s="132"/>
      <c r="M43" s="133"/>
      <c r="N43" s="44" t="s">
        <v>28</v>
      </c>
      <c r="O43" s="41" t="s">
        <v>25</v>
      </c>
      <c r="P43" s="169" t="s">
        <v>27</v>
      </c>
      <c r="Q43" s="175"/>
      <c r="R43" s="175"/>
      <c r="S43" s="170"/>
      <c r="T43" s="169" t="s">
        <v>27</v>
      </c>
      <c r="U43" s="175"/>
      <c r="V43" s="175"/>
      <c r="W43" s="170"/>
      <c r="X43" s="189" t="s">
        <v>30</v>
      </c>
      <c r="Y43" s="175"/>
      <c r="Z43" s="170"/>
      <c r="AA43" s="169" t="s">
        <v>26</v>
      </c>
      <c r="AB43" s="175"/>
      <c r="AC43" s="175"/>
      <c r="AD43" s="175"/>
      <c r="AE43" s="175"/>
      <c r="AF43" s="175"/>
      <c r="AG43" s="175"/>
      <c r="AH43" s="170"/>
      <c r="AI43" s="182" t="s">
        <v>26</v>
      </c>
      <c r="AJ43" s="183"/>
      <c r="AK43" s="183"/>
      <c r="AL43" s="183"/>
      <c r="AM43" s="183"/>
      <c r="AN43" s="183"/>
      <c r="AO43" s="183"/>
      <c r="AP43" s="183"/>
      <c r="AQ43" s="184"/>
      <c r="AR43" s="43" t="s">
        <v>24</v>
      </c>
      <c r="AS43" s="43" t="s">
        <v>26</v>
      </c>
      <c r="AT43" s="43" t="s">
        <v>26</v>
      </c>
      <c r="AU43" s="169" t="s">
        <v>27</v>
      </c>
      <c r="AV43" s="175"/>
      <c r="AW43" s="175"/>
      <c r="AX43" s="170"/>
      <c r="AY43" s="169" t="s">
        <v>26</v>
      </c>
      <c r="AZ43" s="175"/>
      <c r="BA43" s="175"/>
      <c r="BB43" s="170"/>
      <c r="BC43" s="338"/>
      <c r="BD43" s="339"/>
      <c r="BE43" s="339"/>
      <c r="BF43" s="339"/>
      <c r="BG43" s="339"/>
      <c r="BH43" s="339"/>
      <c r="BI43" s="339"/>
      <c r="BJ43" s="340"/>
      <c r="BK43" s="38"/>
    </row>
    <row r="44" spans="1:63" x14ac:dyDescent="0.25">
      <c r="B44" s="169">
        <v>5</v>
      </c>
      <c r="C44" s="170"/>
      <c r="D44" s="171"/>
      <c r="E44" s="172"/>
      <c r="F44" s="172"/>
      <c r="G44" s="172"/>
      <c r="H44" s="172"/>
      <c r="I44" s="172"/>
      <c r="J44" s="173"/>
      <c r="K44" s="131" t="s">
        <v>31</v>
      </c>
      <c r="L44" s="132"/>
      <c r="M44" s="133"/>
      <c r="N44" s="44" t="s">
        <v>29</v>
      </c>
      <c r="O44" s="41" t="s">
        <v>24</v>
      </c>
      <c r="P44" s="169" t="s">
        <v>27</v>
      </c>
      <c r="Q44" s="175"/>
      <c r="R44" s="175"/>
      <c r="S44" s="170"/>
      <c r="T44" s="169" t="s">
        <v>27</v>
      </c>
      <c r="U44" s="175"/>
      <c r="V44" s="175"/>
      <c r="W44" s="170"/>
      <c r="X44" s="189" t="s">
        <v>24</v>
      </c>
      <c r="Y44" s="175"/>
      <c r="Z44" s="170"/>
      <c r="AA44" s="169" t="s">
        <v>26</v>
      </c>
      <c r="AB44" s="175"/>
      <c r="AC44" s="175"/>
      <c r="AD44" s="175"/>
      <c r="AE44" s="175"/>
      <c r="AF44" s="175"/>
      <c r="AG44" s="175"/>
      <c r="AH44" s="170"/>
      <c r="AI44" s="182" t="s">
        <v>26</v>
      </c>
      <c r="AJ44" s="183"/>
      <c r="AK44" s="183"/>
      <c r="AL44" s="183"/>
      <c r="AM44" s="183"/>
      <c r="AN44" s="183"/>
      <c r="AO44" s="183"/>
      <c r="AP44" s="183"/>
      <c r="AQ44" s="184"/>
      <c r="AR44" s="43" t="s">
        <v>24</v>
      </c>
      <c r="AS44" s="43" t="s">
        <v>26</v>
      </c>
      <c r="AT44" s="43" t="s">
        <v>26</v>
      </c>
      <c r="AU44" s="169" t="s">
        <v>27</v>
      </c>
      <c r="AV44" s="175"/>
      <c r="AW44" s="175"/>
      <c r="AX44" s="170"/>
      <c r="AY44" s="169" t="s">
        <v>26</v>
      </c>
      <c r="AZ44" s="175"/>
      <c r="BA44" s="175"/>
      <c r="BB44" s="170"/>
      <c r="BC44" s="334"/>
      <c r="BD44" s="332"/>
      <c r="BE44" s="332"/>
      <c r="BF44" s="332"/>
      <c r="BG44" s="332"/>
      <c r="BH44" s="332"/>
      <c r="BI44" s="332"/>
      <c r="BJ44" s="333"/>
      <c r="BK44" s="38"/>
    </row>
    <row r="45" spans="1:63" x14ac:dyDescent="0.25">
      <c r="B45" s="190">
        <v>6</v>
      </c>
      <c r="C45" s="192"/>
      <c r="D45" s="196"/>
      <c r="E45" s="197"/>
      <c r="F45" s="197"/>
      <c r="G45" s="197"/>
      <c r="H45" s="197"/>
      <c r="I45" s="197"/>
      <c r="J45" s="198"/>
      <c r="K45" s="199" t="s">
        <v>32</v>
      </c>
      <c r="L45" s="200"/>
      <c r="M45" s="201"/>
      <c r="N45" s="45" t="s">
        <v>29</v>
      </c>
      <c r="O45" s="45" t="s">
        <v>25</v>
      </c>
      <c r="P45" s="190" t="s">
        <v>27</v>
      </c>
      <c r="Q45" s="191"/>
      <c r="R45" s="191"/>
      <c r="S45" s="192"/>
      <c r="T45" s="190" t="s">
        <v>27</v>
      </c>
      <c r="U45" s="191"/>
      <c r="V45" s="191"/>
      <c r="W45" s="192"/>
      <c r="X45" s="202" t="s">
        <v>105</v>
      </c>
      <c r="Y45" s="203"/>
      <c r="Z45" s="204"/>
      <c r="AA45" s="190" t="s">
        <v>26</v>
      </c>
      <c r="AB45" s="191"/>
      <c r="AC45" s="191"/>
      <c r="AD45" s="191"/>
      <c r="AE45" s="191"/>
      <c r="AF45" s="191"/>
      <c r="AG45" s="191"/>
      <c r="AH45" s="192"/>
      <c r="AI45" s="193" t="s">
        <v>33</v>
      </c>
      <c r="AJ45" s="194"/>
      <c r="AK45" s="194"/>
      <c r="AL45" s="194"/>
      <c r="AM45" s="194"/>
      <c r="AN45" s="194"/>
      <c r="AO45" s="194"/>
      <c r="AP45" s="194"/>
      <c r="AQ45" s="195"/>
      <c r="AR45" s="46" t="s">
        <v>24</v>
      </c>
      <c r="AS45" s="46" t="s">
        <v>26</v>
      </c>
      <c r="AT45" s="46" t="s">
        <v>26</v>
      </c>
      <c r="AU45" s="190" t="s">
        <v>27</v>
      </c>
      <c r="AV45" s="191"/>
      <c r="AW45" s="191"/>
      <c r="AX45" s="192"/>
      <c r="AY45" s="190" t="s">
        <v>26</v>
      </c>
      <c r="AZ45" s="191"/>
      <c r="BA45" s="191"/>
      <c r="BB45" s="192"/>
      <c r="BC45" s="341" t="s">
        <v>34</v>
      </c>
      <c r="BD45" s="342"/>
      <c r="BE45" s="342"/>
      <c r="BF45" s="342"/>
      <c r="BG45" s="342"/>
      <c r="BH45" s="342"/>
      <c r="BI45" s="342"/>
      <c r="BJ45" s="343"/>
      <c r="BK45" s="38"/>
    </row>
    <row r="46" spans="1:63" x14ac:dyDescent="0.25">
      <c r="BK46" s="38"/>
    </row>
    <row r="47" spans="1:63" x14ac:dyDescent="0.25">
      <c r="BK47" s="38"/>
    </row>
    <row r="48" spans="1:63" x14ac:dyDescent="0.25">
      <c r="BK48" s="38"/>
    </row>
    <row r="49" spans="1:63" x14ac:dyDescent="0.25">
      <c r="BK49" s="38"/>
    </row>
    <row r="50" spans="1:63" x14ac:dyDescent="0.25">
      <c r="BK50" s="38"/>
    </row>
    <row r="51" spans="1:63" x14ac:dyDescent="0.25">
      <c r="BK51" s="38"/>
    </row>
    <row r="52" spans="1:63" x14ac:dyDescent="0.25">
      <c r="BK52" s="38"/>
    </row>
    <row r="53" spans="1:63" x14ac:dyDescent="0.25">
      <c r="BK53" s="38"/>
    </row>
    <row r="54" spans="1:63" x14ac:dyDescent="0.25">
      <c r="BK54" s="38"/>
    </row>
    <row r="55" spans="1:63" x14ac:dyDescent="0.2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6"/>
    </row>
  </sheetData>
  <mergeCells count="106"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C148-774F-486A-A65C-DB99BAF12D47}">
  <sheetPr>
    <pageSetUpPr fitToPage="1"/>
  </sheetPr>
  <dimension ref="A1:BK54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75" customWidth="1"/>
    <col min="61" max="16384" width="2.77734375" style="275"/>
  </cols>
  <sheetData>
    <row r="1" spans="1:63" ht="24.95" customHeight="1" x14ac:dyDescent="0.25">
      <c r="A1" s="266" t="s">
        <v>78</v>
      </c>
      <c r="B1" s="267"/>
      <c r="C1" s="267"/>
      <c r="D1" s="267"/>
      <c r="E1" s="267"/>
      <c r="F1" s="267"/>
      <c r="G1" s="267"/>
      <c r="H1" s="267"/>
      <c r="I1" s="267"/>
      <c r="J1" s="268"/>
      <c r="K1" s="266" t="s">
        <v>79</v>
      </c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8"/>
      <c r="W1" s="269" t="str">
        <f>IF(表紙!W1="","",表紙!W1)</f>
        <v>基本設計書</v>
      </c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1"/>
      <c r="AP1" s="272" t="s">
        <v>80</v>
      </c>
      <c r="AQ1" s="273"/>
      <c r="AR1" s="273"/>
      <c r="AS1" s="274"/>
      <c r="AT1" s="272" t="s">
        <v>81</v>
      </c>
      <c r="AU1" s="273"/>
      <c r="AV1" s="273"/>
      <c r="AW1" s="273"/>
      <c r="AX1" s="274"/>
      <c r="AY1" s="272" t="s">
        <v>82</v>
      </c>
      <c r="AZ1" s="273"/>
      <c r="BA1" s="273"/>
      <c r="BB1" s="274"/>
      <c r="BC1" s="272" t="s">
        <v>83</v>
      </c>
      <c r="BD1" s="273"/>
      <c r="BE1" s="273"/>
      <c r="BF1" s="273"/>
      <c r="BG1" s="274"/>
      <c r="BH1" s="272" t="s">
        <v>84</v>
      </c>
      <c r="BI1" s="273"/>
      <c r="BJ1" s="273"/>
      <c r="BK1" s="274"/>
    </row>
    <row r="2" spans="1:63" ht="15" customHeight="1" x14ac:dyDescent="0.25">
      <c r="A2" s="95" t="str">
        <f>IF(表紙!A2="","",表紙!A2)</f>
        <v>POSサーバー</v>
      </c>
      <c r="B2" s="96"/>
      <c r="C2" s="96"/>
      <c r="D2" s="96"/>
      <c r="E2" s="96"/>
      <c r="F2" s="96"/>
      <c r="G2" s="96"/>
      <c r="H2" s="96"/>
      <c r="I2" s="96"/>
      <c r="J2" s="97"/>
      <c r="K2" s="95" t="str">
        <f>IF(表紙!K2="","",表紙!K2)</f>
        <v>POSサーバ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7"/>
      <c r="W2" s="276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7"/>
      <c r="AJ2" s="277"/>
      <c r="AK2" s="277"/>
      <c r="AL2" s="277"/>
      <c r="AM2" s="277"/>
      <c r="AN2" s="277"/>
      <c r="AO2" s="278"/>
      <c r="AP2" s="279" t="str">
        <f>IF(表紙!AP2="","",表紙!AP2)</f>
        <v>DuNT</v>
      </c>
      <c r="AQ2" s="280"/>
      <c r="AR2" s="280"/>
      <c r="AS2" s="281"/>
      <c r="AT2" s="282">
        <f>IF(表紙!AT2="","",表紙!AT2)</f>
        <v>45406</v>
      </c>
      <c r="AU2" s="283"/>
      <c r="AV2" s="283"/>
      <c r="AW2" s="283"/>
      <c r="AX2" s="284"/>
      <c r="AY2" s="279" t="str">
        <f>IF(表紙!AY2="","",表紙!AY2)</f>
        <v>TinNH</v>
      </c>
      <c r="AZ2" s="280"/>
      <c r="BA2" s="280"/>
      <c r="BB2" s="281"/>
      <c r="BC2" s="282">
        <f>IF(表紙!BC2="","",表紙!BC2)</f>
        <v>45498</v>
      </c>
      <c r="BD2" s="283"/>
      <c r="BE2" s="283"/>
      <c r="BF2" s="283"/>
      <c r="BG2" s="284"/>
      <c r="BH2" s="279">
        <f>IF(表紙!BH2="","",表紙!BH2)</f>
        <v>0.3</v>
      </c>
      <c r="BI2" s="280"/>
      <c r="BJ2" s="280"/>
      <c r="BK2" s="281"/>
    </row>
    <row r="3" spans="1:63" ht="15" customHeight="1" x14ac:dyDescent="0.25">
      <c r="A3" s="98"/>
      <c r="B3" s="99"/>
      <c r="C3" s="99"/>
      <c r="D3" s="99"/>
      <c r="E3" s="99"/>
      <c r="F3" s="99"/>
      <c r="G3" s="99"/>
      <c r="H3" s="99"/>
      <c r="I3" s="99"/>
      <c r="J3" s="100"/>
      <c r="K3" s="98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285"/>
      <c r="X3" s="286"/>
      <c r="Y3" s="286"/>
      <c r="Z3" s="286"/>
      <c r="AA3" s="286"/>
      <c r="AB3" s="286"/>
      <c r="AC3" s="286"/>
      <c r="AD3" s="286"/>
      <c r="AE3" s="286"/>
      <c r="AF3" s="286"/>
      <c r="AG3" s="286"/>
      <c r="AH3" s="286"/>
      <c r="AI3" s="286"/>
      <c r="AJ3" s="286"/>
      <c r="AK3" s="286"/>
      <c r="AL3" s="286"/>
      <c r="AM3" s="286"/>
      <c r="AN3" s="286"/>
      <c r="AO3" s="287"/>
      <c r="AP3" s="288"/>
      <c r="AQ3" s="289"/>
      <c r="AR3" s="289"/>
      <c r="AS3" s="290"/>
      <c r="AT3" s="291"/>
      <c r="AU3" s="292"/>
      <c r="AV3" s="292"/>
      <c r="AW3" s="292"/>
      <c r="AX3" s="293"/>
      <c r="AY3" s="288"/>
      <c r="AZ3" s="289"/>
      <c r="BA3" s="289"/>
      <c r="BB3" s="290"/>
      <c r="BC3" s="291"/>
      <c r="BD3" s="292"/>
      <c r="BE3" s="292"/>
      <c r="BF3" s="292"/>
      <c r="BG3" s="293"/>
      <c r="BH3" s="288"/>
      <c r="BI3" s="289"/>
      <c r="BJ3" s="289"/>
      <c r="BK3" s="290"/>
    </row>
    <row r="4" spans="1:63" ht="24.95" customHeight="1" x14ac:dyDescent="0.25">
      <c r="A4" s="266" t="s">
        <v>85</v>
      </c>
      <c r="B4" s="267"/>
      <c r="C4" s="267"/>
      <c r="D4" s="267"/>
      <c r="E4" s="267"/>
      <c r="F4" s="267"/>
      <c r="G4" s="268"/>
      <c r="H4" s="101" t="str">
        <f>IF(表紙!H4="","",表紙!H4)</f>
        <v>21_ジャーナル検索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3"/>
      <c r="U4" s="266" t="s">
        <v>86</v>
      </c>
      <c r="V4" s="267"/>
      <c r="W4" s="267"/>
      <c r="X4" s="267"/>
      <c r="Y4" s="268"/>
      <c r="Z4" s="101" t="str">
        <f>IF(表紙!Z4="","",表紙!Z4)</f>
        <v>概要設計</v>
      </c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3"/>
      <c r="AP4" s="104" t="str">
        <f ca="1">MID(CELL("filename",A1),FIND("]",CELL("filename",A1))+1,255)</f>
        <v>レジ</v>
      </c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3"/>
    </row>
    <row r="5" spans="1:63" ht="5.0999999999999996" customHeight="1" x14ac:dyDescent="0.25">
      <c r="A5" s="294"/>
      <c r="B5" s="295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5"/>
      <c r="U5" s="295"/>
      <c r="V5" s="295"/>
      <c r="W5" s="295"/>
      <c r="X5" s="295"/>
      <c r="Y5" s="295"/>
      <c r="Z5" s="295"/>
      <c r="AA5" s="295"/>
      <c r="AB5" s="295"/>
      <c r="AC5" s="295"/>
      <c r="AD5" s="295"/>
      <c r="AE5" s="295"/>
      <c r="AF5" s="295"/>
      <c r="AG5" s="295"/>
      <c r="AH5" s="295"/>
      <c r="AI5" s="295"/>
      <c r="AJ5" s="295"/>
      <c r="AK5" s="295"/>
      <c r="AL5" s="295"/>
      <c r="AM5" s="295"/>
      <c r="AN5" s="295"/>
      <c r="AO5" s="295"/>
      <c r="AP5" s="295"/>
      <c r="AQ5" s="295"/>
      <c r="AR5" s="295"/>
      <c r="AS5" s="295"/>
      <c r="AT5" s="295"/>
      <c r="AU5" s="295"/>
      <c r="AV5" s="295"/>
      <c r="AW5" s="295"/>
      <c r="AX5" s="295"/>
      <c r="AY5" s="295"/>
      <c r="AZ5" s="295"/>
      <c r="BA5" s="295"/>
      <c r="BB5" s="295"/>
      <c r="BC5" s="295"/>
      <c r="BD5" s="295"/>
      <c r="BE5" s="295"/>
      <c r="BF5" s="295"/>
      <c r="BG5" s="295"/>
      <c r="BH5" s="295"/>
      <c r="BI5" s="295"/>
      <c r="BJ5" s="295"/>
      <c r="BK5" s="296"/>
    </row>
    <row r="6" spans="1:63" ht="15" customHeight="1" x14ac:dyDescent="0.25">
      <c r="A6" s="297"/>
      <c r="C6" s="316"/>
      <c r="U6" s="316"/>
      <c r="AD6" s="316"/>
      <c r="AM6" s="316"/>
      <c r="BI6" s="318"/>
    </row>
    <row r="7" spans="1:63" ht="15" customHeight="1" x14ac:dyDescent="0.25">
      <c r="A7" s="297"/>
      <c r="C7" s="316" t="s">
        <v>40</v>
      </c>
      <c r="D7" s="344"/>
      <c r="E7" s="344"/>
      <c r="U7" s="316"/>
      <c r="AD7" s="316"/>
      <c r="AM7" s="316"/>
      <c r="BI7" s="318"/>
    </row>
    <row r="8" spans="1:63" ht="15" customHeight="1" x14ac:dyDescent="0.25">
      <c r="A8" s="297"/>
      <c r="C8" s="316" t="s">
        <v>41</v>
      </c>
      <c r="D8" s="344"/>
      <c r="E8" s="344"/>
      <c r="U8" s="316"/>
      <c r="AD8" s="316"/>
      <c r="AM8" s="316"/>
      <c r="BI8" s="318"/>
    </row>
    <row r="9" spans="1:63" ht="15" customHeight="1" x14ac:dyDescent="0.25">
      <c r="A9" s="297"/>
      <c r="C9" s="316" t="s">
        <v>42</v>
      </c>
      <c r="D9" s="344"/>
      <c r="E9" s="344"/>
      <c r="U9" s="316"/>
      <c r="AD9" s="316"/>
      <c r="AM9" s="316"/>
      <c r="BI9" s="318"/>
    </row>
    <row r="10" spans="1:63" ht="15" customHeight="1" x14ac:dyDescent="0.25">
      <c r="A10" s="297"/>
      <c r="C10" s="316" t="s">
        <v>43</v>
      </c>
      <c r="D10" s="344"/>
      <c r="E10" s="344"/>
      <c r="U10" s="316"/>
      <c r="AD10" s="316"/>
      <c r="AM10" s="316"/>
      <c r="BI10" s="318"/>
    </row>
    <row r="11" spans="1:63" ht="15" customHeight="1" x14ac:dyDescent="0.25">
      <c r="A11" s="297"/>
      <c r="C11" s="316" t="s">
        <v>44</v>
      </c>
      <c r="D11" s="344"/>
      <c r="E11" s="344"/>
      <c r="U11" s="316"/>
      <c r="AD11" s="316"/>
      <c r="AM11" s="316"/>
      <c r="AX11" s="275" t="s">
        <v>37</v>
      </c>
      <c r="BI11" s="318"/>
    </row>
    <row r="12" spans="1:63" ht="15" customHeight="1" x14ac:dyDescent="0.25">
      <c r="A12" s="297"/>
      <c r="C12" s="316" t="s">
        <v>45</v>
      </c>
      <c r="D12" s="344"/>
      <c r="E12" s="344"/>
      <c r="U12" s="316"/>
      <c r="AD12" s="316"/>
      <c r="AM12" s="316"/>
      <c r="BI12" s="318"/>
    </row>
    <row r="13" spans="1:63" ht="15" customHeight="1" x14ac:dyDescent="0.25">
      <c r="A13" s="297"/>
      <c r="C13" s="316" t="s">
        <v>46</v>
      </c>
      <c r="D13" s="344"/>
      <c r="E13" s="344"/>
      <c r="U13" s="316"/>
      <c r="AD13" s="316"/>
      <c r="AM13" s="316"/>
      <c r="BI13" s="318"/>
    </row>
    <row r="14" spans="1:63" ht="15" customHeight="1" x14ac:dyDescent="0.25">
      <c r="A14" s="297"/>
      <c r="C14" s="316" t="s">
        <v>47</v>
      </c>
      <c r="D14" s="344"/>
      <c r="E14" s="344"/>
      <c r="U14" s="316"/>
      <c r="AD14" s="316"/>
      <c r="AM14" s="316"/>
      <c r="BI14" s="318"/>
    </row>
    <row r="15" spans="1:63" ht="15" customHeight="1" x14ac:dyDescent="0.25">
      <c r="A15" s="297"/>
      <c r="C15" s="316" t="s">
        <v>48</v>
      </c>
      <c r="D15" s="344"/>
      <c r="E15" s="344"/>
      <c r="U15" s="316"/>
      <c r="AD15" s="316"/>
      <c r="AM15" s="316"/>
      <c r="BI15" s="318"/>
    </row>
    <row r="16" spans="1:63" ht="15" customHeight="1" x14ac:dyDescent="0.25">
      <c r="A16" s="297"/>
      <c r="C16" s="316" t="s">
        <v>49</v>
      </c>
      <c r="D16" s="344"/>
      <c r="E16" s="344"/>
      <c r="U16" s="316"/>
      <c r="AD16" s="316"/>
      <c r="AM16" s="316"/>
      <c r="BI16" s="318"/>
    </row>
    <row r="17" spans="1:61" ht="15" customHeight="1" x14ac:dyDescent="0.25">
      <c r="A17" s="297"/>
      <c r="C17" s="316" t="s">
        <v>50</v>
      </c>
      <c r="D17" s="344"/>
      <c r="E17" s="344"/>
      <c r="U17" s="316"/>
      <c r="AD17" s="316"/>
      <c r="AM17" s="316"/>
      <c r="BI17" s="318"/>
    </row>
    <row r="18" spans="1:61" ht="15" customHeight="1" x14ac:dyDescent="0.25">
      <c r="A18" s="297"/>
      <c r="C18" s="316" t="s">
        <v>51</v>
      </c>
      <c r="D18" s="344"/>
      <c r="E18" s="344"/>
      <c r="U18" s="316"/>
      <c r="AD18" s="316"/>
      <c r="AM18" s="316"/>
      <c r="BI18" s="318"/>
    </row>
    <row r="19" spans="1:61" ht="15" customHeight="1" x14ac:dyDescent="0.25">
      <c r="A19" s="297"/>
      <c r="C19" s="316" t="s">
        <v>52</v>
      </c>
      <c r="D19" s="344"/>
      <c r="E19" s="344"/>
      <c r="U19" s="316"/>
      <c r="AD19" s="316"/>
      <c r="AM19" s="316"/>
      <c r="BI19" s="318"/>
    </row>
    <row r="20" spans="1:61" ht="15" customHeight="1" x14ac:dyDescent="0.25">
      <c r="A20" s="297"/>
      <c r="C20" s="316" t="s">
        <v>53</v>
      </c>
      <c r="D20" s="344"/>
      <c r="E20" s="344"/>
      <c r="U20" s="316"/>
      <c r="AD20" s="316"/>
      <c r="AM20" s="316"/>
      <c r="BI20" s="318"/>
    </row>
    <row r="21" spans="1:61" ht="15" customHeight="1" x14ac:dyDescent="0.25">
      <c r="A21" s="297"/>
      <c r="C21" s="316" t="s">
        <v>54</v>
      </c>
      <c r="D21" s="344"/>
      <c r="E21" s="344"/>
      <c r="U21" s="316"/>
      <c r="AD21" s="316"/>
      <c r="AM21" s="316"/>
      <c r="BI21" s="318"/>
    </row>
    <row r="22" spans="1:61" ht="15" customHeight="1" x14ac:dyDescent="0.25">
      <c r="A22" s="297"/>
      <c r="C22" s="316" t="s">
        <v>55</v>
      </c>
      <c r="D22" s="344"/>
      <c r="E22" s="344"/>
      <c r="U22" s="316"/>
      <c r="AD22" s="316"/>
      <c r="AM22" s="316"/>
      <c r="BI22" s="318"/>
    </row>
    <row r="23" spans="1:61" ht="15" customHeight="1" x14ac:dyDescent="0.25">
      <c r="A23" s="297"/>
      <c r="C23" s="316" t="s">
        <v>56</v>
      </c>
      <c r="D23" s="344"/>
      <c r="E23" s="344"/>
      <c r="U23" s="316"/>
      <c r="AD23" s="316"/>
      <c r="AM23" s="316"/>
      <c r="BI23" s="318"/>
    </row>
    <row r="24" spans="1:61" ht="15" customHeight="1" x14ac:dyDescent="0.25">
      <c r="A24" s="297"/>
      <c r="C24" s="316" t="s">
        <v>57</v>
      </c>
      <c r="D24" s="344"/>
      <c r="E24" s="344"/>
      <c r="U24" s="316"/>
      <c r="AD24" s="316"/>
      <c r="AM24" s="316"/>
      <c r="BI24" s="318"/>
    </row>
    <row r="25" spans="1:61" ht="15" customHeight="1" x14ac:dyDescent="0.25">
      <c r="A25" s="297"/>
      <c r="C25" s="316" t="s">
        <v>58</v>
      </c>
      <c r="D25" s="344"/>
      <c r="E25" s="344"/>
      <c r="U25" s="316"/>
      <c r="AD25" s="316"/>
      <c r="AM25" s="316"/>
      <c r="BI25" s="318"/>
    </row>
    <row r="26" spans="1:61" ht="15" customHeight="1" x14ac:dyDescent="0.25">
      <c r="A26" s="297"/>
      <c r="C26" s="316" t="s">
        <v>59</v>
      </c>
      <c r="D26" s="344"/>
      <c r="E26" s="344"/>
      <c r="U26" s="316"/>
      <c r="AD26" s="316"/>
      <c r="AM26" s="316"/>
      <c r="BI26" s="318"/>
    </row>
    <row r="27" spans="1:61" ht="15" customHeight="1" x14ac:dyDescent="0.25">
      <c r="A27" s="297"/>
      <c r="C27" s="316" t="s">
        <v>60</v>
      </c>
      <c r="D27" s="344"/>
      <c r="E27" s="344"/>
      <c r="U27" s="316"/>
      <c r="AD27" s="316"/>
      <c r="AM27" s="316"/>
      <c r="BI27" s="318"/>
    </row>
    <row r="28" spans="1:61" ht="15" customHeight="1" x14ac:dyDescent="0.25">
      <c r="A28" s="297"/>
      <c r="C28" s="316" t="s">
        <v>61</v>
      </c>
      <c r="D28" s="344"/>
      <c r="E28" s="344"/>
      <c r="U28" s="316"/>
      <c r="AD28" s="316"/>
      <c r="AM28" s="316"/>
      <c r="BI28" s="318"/>
    </row>
    <row r="29" spans="1:61" ht="15" customHeight="1" x14ac:dyDescent="0.25">
      <c r="A29" s="297"/>
      <c r="C29" s="316"/>
      <c r="U29" s="316"/>
      <c r="AD29" s="316"/>
      <c r="AM29" s="316"/>
      <c r="BI29" s="318"/>
    </row>
    <row r="30" spans="1:61" ht="15" customHeight="1" x14ac:dyDescent="0.25">
      <c r="A30" s="297"/>
      <c r="C30" s="316"/>
      <c r="U30" s="316"/>
      <c r="AD30" s="316"/>
      <c r="AM30" s="316"/>
      <c r="BI30" s="318"/>
    </row>
    <row r="31" spans="1:61" ht="15" customHeight="1" x14ac:dyDescent="0.25">
      <c r="A31" s="297"/>
      <c r="C31" s="316"/>
      <c r="U31" s="316"/>
      <c r="AD31" s="316"/>
      <c r="AM31" s="316"/>
      <c r="BI31" s="318"/>
    </row>
    <row r="32" spans="1:61" ht="15" customHeight="1" x14ac:dyDescent="0.25">
      <c r="A32" s="297"/>
      <c r="C32" s="316"/>
      <c r="U32" s="316"/>
      <c r="AD32" s="316"/>
      <c r="AM32" s="316"/>
      <c r="BI32" s="318"/>
    </row>
    <row r="33" spans="1:61" ht="15" customHeight="1" x14ac:dyDescent="0.25">
      <c r="A33" s="297"/>
      <c r="C33" s="316"/>
      <c r="U33" s="316"/>
      <c r="AD33" s="316"/>
      <c r="AM33" s="316"/>
      <c r="BI33" s="318"/>
    </row>
    <row r="34" spans="1:61" ht="15" customHeight="1" x14ac:dyDescent="0.25">
      <c r="A34" s="297"/>
      <c r="C34" s="316"/>
      <c r="U34" s="316"/>
      <c r="AD34" s="316"/>
      <c r="AM34" s="316"/>
      <c r="BI34" s="318"/>
    </row>
    <row r="35" spans="1:61" ht="15" customHeight="1" x14ac:dyDescent="0.25">
      <c r="A35" s="297"/>
      <c r="C35" s="316"/>
      <c r="U35" s="316"/>
      <c r="AD35" s="316"/>
      <c r="AM35" s="316"/>
      <c r="BI35" s="318"/>
    </row>
    <row r="36" spans="1:61" ht="15" customHeight="1" x14ac:dyDescent="0.25">
      <c r="A36" s="297"/>
      <c r="C36" s="316"/>
      <c r="U36" s="316"/>
      <c r="AD36" s="316"/>
      <c r="AM36" s="316"/>
      <c r="BI36" s="318"/>
    </row>
    <row r="37" spans="1:61" ht="15" customHeight="1" x14ac:dyDescent="0.25">
      <c r="A37" s="297"/>
      <c r="C37" s="316"/>
      <c r="U37" s="316"/>
      <c r="AD37" s="316"/>
      <c r="AM37" s="316"/>
      <c r="BI37" s="318"/>
    </row>
    <row r="38" spans="1:61" ht="15" customHeight="1" x14ac:dyDescent="0.25">
      <c r="A38" s="297"/>
      <c r="C38" s="316"/>
      <c r="U38" s="316"/>
      <c r="AD38" s="316"/>
      <c r="AM38" s="316"/>
      <c r="BI38" s="318"/>
    </row>
    <row r="39" spans="1:61" ht="15" customHeight="1" x14ac:dyDescent="0.25">
      <c r="A39" s="297"/>
      <c r="C39" s="316"/>
      <c r="U39" s="316"/>
      <c r="AD39" s="316"/>
      <c r="AM39" s="316"/>
      <c r="BI39" s="318"/>
    </row>
    <row r="40" spans="1:61" ht="15" customHeight="1" x14ac:dyDescent="0.25">
      <c r="A40" s="297"/>
      <c r="C40" s="316"/>
      <c r="U40" s="316"/>
      <c r="AD40" s="316"/>
      <c r="AM40" s="316"/>
      <c r="BI40" s="318"/>
    </row>
    <row r="41" spans="1:61" ht="15" customHeight="1" x14ac:dyDescent="0.25">
      <c r="A41" s="297"/>
      <c r="C41" s="316"/>
      <c r="U41" s="316"/>
      <c r="AD41" s="316"/>
      <c r="AM41" s="316"/>
      <c r="BI41" s="318"/>
    </row>
    <row r="42" spans="1:61" ht="15" customHeight="1" x14ac:dyDescent="0.25">
      <c r="A42" s="297"/>
      <c r="C42" s="316"/>
      <c r="U42" s="316"/>
      <c r="AD42" s="316"/>
      <c r="AM42" s="316"/>
      <c r="BI42" s="318"/>
    </row>
    <row r="43" spans="1:61" ht="15" customHeight="1" x14ac:dyDescent="0.25">
      <c r="A43" s="297"/>
      <c r="C43" s="316"/>
      <c r="U43" s="316"/>
      <c r="AD43" s="316"/>
      <c r="AM43" s="316"/>
      <c r="BI43" s="318"/>
    </row>
    <row r="44" spans="1:61" ht="15" customHeight="1" x14ac:dyDescent="0.25">
      <c r="A44" s="297"/>
      <c r="C44" s="316"/>
      <c r="U44" s="316"/>
      <c r="AD44" s="316"/>
      <c r="AM44" s="316"/>
      <c r="BI44" s="318"/>
    </row>
    <row r="45" spans="1:61" ht="15" customHeight="1" x14ac:dyDescent="0.25">
      <c r="A45" s="297"/>
      <c r="C45" s="316"/>
      <c r="U45" s="316"/>
      <c r="AD45" s="316"/>
      <c r="AM45" s="316"/>
      <c r="BI45" s="318"/>
    </row>
    <row r="46" spans="1:61" ht="15" customHeight="1" x14ac:dyDescent="0.25">
      <c r="A46" s="297"/>
      <c r="C46" s="316"/>
      <c r="U46" s="316"/>
      <c r="AD46" s="316"/>
      <c r="AM46" s="316"/>
      <c r="BI46" s="318"/>
    </row>
    <row r="47" spans="1:61" ht="15" customHeight="1" x14ac:dyDescent="0.25">
      <c r="A47" s="297"/>
      <c r="C47" s="316"/>
      <c r="U47" s="316"/>
      <c r="AD47" s="316"/>
      <c r="AM47" s="316"/>
      <c r="BI47" s="318"/>
    </row>
    <row r="48" spans="1:61" ht="15" customHeight="1" x14ac:dyDescent="0.25">
      <c r="A48" s="297"/>
      <c r="C48" s="316"/>
      <c r="U48" s="316"/>
      <c r="AD48" s="316"/>
      <c r="AM48" s="316"/>
      <c r="BI48" s="318"/>
    </row>
    <row r="49" spans="1:63" ht="15" customHeight="1" x14ac:dyDescent="0.25">
      <c r="A49" s="297"/>
      <c r="C49" s="316"/>
      <c r="U49" s="316"/>
      <c r="AD49" s="316"/>
      <c r="AM49" s="316"/>
      <c r="BI49" s="318"/>
    </row>
    <row r="50" spans="1:63" ht="15" customHeight="1" x14ac:dyDescent="0.25">
      <c r="A50" s="297"/>
      <c r="C50" s="316"/>
      <c r="U50" s="316"/>
      <c r="AD50" s="316"/>
      <c r="AM50" s="316"/>
      <c r="BI50" s="318"/>
    </row>
    <row r="51" spans="1:63" ht="15" customHeight="1" x14ac:dyDescent="0.25">
      <c r="A51" s="297"/>
      <c r="C51" s="316"/>
      <c r="U51" s="316"/>
      <c r="AD51" s="316"/>
      <c r="AM51" s="316"/>
      <c r="BI51" s="318"/>
    </row>
    <row r="52" spans="1:63" ht="15" customHeight="1" x14ac:dyDescent="0.25">
      <c r="A52" s="297"/>
      <c r="C52" s="316"/>
      <c r="U52" s="316"/>
      <c r="AD52" s="316"/>
      <c r="AM52" s="316"/>
      <c r="BI52" s="318"/>
    </row>
    <row r="53" spans="1:63" ht="15" customHeight="1" x14ac:dyDescent="0.25">
      <c r="A53" s="297"/>
      <c r="C53" s="316"/>
      <c r="U53" s="316"/>
      <c r="AD53" s="316"/>
      <c r="AM53" s="316"/>
      <c r="BI53" s="318"/>
    </row>
    <row r="54" spans="1:63" ht="15" customHeight="1" x14ac:dyDescent="0.25">
      <c r="A54" s="294"/>
      <c r="B54" s="345"/>
      <c r="C54" s="295"/>
      <c r="D54" s="295"/>
      <c r="E54" s="295"/>
      <c r="F54" s="295"/>
      <c r="G54" s="295"/>
      <c r="H54" s="295"/>
      <c r="I54" s="295"/>
      <c r="J54" s="295"/>
      <c r="K54" s="295"/>
      <c r="L54" s="295"/>
      <c r="M54" s="295"/>
      <c r="N54" s="295"/>
      <c r="O54" s="295"/>
      <c r="P54" s="295"/>
      <c r="Q54" s="295"/>
      <c r="R54" s="295"/>
      <c r="S54" s="295"/>
      <c r="T54" s="295"/>
      <c r="U54" s="345"/>
      <c r="V54" s="295"/>
      <c r="W54" s="295"/>
      <c r="X54" s="295"/>
      <c r="Y54" s="295"/>
      <c r="Z54" s="295"/>
      <c r="AA54" s="295"/>
      <c r="AB54" s="295"/>
      <c r="AC54" s="295"/>
      <c r="AD54" s="345"/>
      <c r="AE54" s="295"/>
      <c r="AF54" s="295"/>
      <c r="AG54" s="295"/>
      <c r="AH54" s="295"/>
      <c r="AI54" s="295"/>
      <c r="AJ54" s="295"/>
      <c r="AK54" s="295"/>
      <c r="AL54" s="295"/>
      <c r="AM54" s="345"/>
      <c r="AN54" s="295"/>
      <c r="AO54" s="295"/>
      <c r="AP54" s="295"/>
      <c r="AQ54" s="295"/>
      <c r="AR54" s="295"/>
      <c r="AS54" s="295"/>
      <c r="AT54" s="295"/>
      <c r="AU54" s="295"/>
      <c r="AV54" s="295"/>
      <c r="AW54" s="295"/>
      <c r="AX54" s="295"/>
      <c r="AY54" s="295"/>
      <c r="AZ54" s="295"/>
      <c r="BA54" s="295"/>
      <c r="BB54" s="295"/>
      <c r="BC54" s="295"/>
      <c r="BD54" s="295"/>
      <c r="BE54" s="295"/>
      <c r="BF54" s="295"/>
      <c r="BG54" s="295"/>
      <c r="BH54" s="295"/>
      <c r="BI54" s="346"/>
      <c r="BJ54" s="295"/>
      <c r="BK54" s="296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75" customWidth="1"/>
    <col min="61" max="16384" width="2.77734375" style="275"/>
  </cols>
  <sheetData>
    <row r="1" spans="1:63" ht="24.95" customHeight="1" x14ac:dyDescent="0.25">
      <c r="A1" s="266" t="s">
        <v>78</v>
      </c>
      <c r="B1" s="267"/>
      <c r="C1" s="267"/>
      <c r="D1" s="267"/>
      <c r="E1" s="267"/>
      <c r="F1" s="267"/>
      <c r="G1" s="267"/>
      <c r="H1" s="267"/>
      <c r="I1" s="267"/>
      <c r="J1" s="268"/>
      <c r="K1" s="266" t="s">
        <v>79</v>
      </c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8"/>
      <c r="W1" s="269" t="str">
        <f>IF(表紙!W1="","",表紙!W1)</f>
        <v>基本設計書</v>
      </c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1"/>
      <c r="AP1" s="272" t="s">
        <v>80</v>
      </c>
      <c r="AQ1" s="273"/>
      <c r="AR1" s="273"/>
      <c r="AS1" s="274"/>
      <c r="AT1" s="272" t="s">
        <v>81</v>
      </c>
      <c r="AU1" s="273"/>
      <c r="AV1" s="273"/>
      <c r="AW1" s="273"/>
      <c r="AX1" s="274"/>
      <c r="AY1" s="272" t="s">
        <v>82</v>
      </c>
      <c r="AZ1" s="273"/>
      <c r="BA1" s="273"/>
      <c r="BB1" s="274"/>
      <c r="BC1" s="272" t="s">
        <v>83</v>
      </c>
      <c r="BD1" s="273"/>
      <c r="BE1" s="273"/>
      <c r="BF1" s="273"/>
      <c r="BG1" s="274"/>
      <c r="BH1" s="272" t="s">
        <v>84</v>
      </c>
      <c r="BI1" s="273"/>
      <c r="BJ1" s="273"/>
      <c r="BK1" s="274"/>
    </row>
    <row r="2" spans="1:63" ht="15" customHeight="1" x14ac:dyDescent="0.25">
      <c r="A2" s="95" t="str">
        <f>IF(表紙!A2="","",表紙!A2)</f>
        <v>POSサーバー</v>
      </c>
      <c r="B2" s="96"/>
      <c r="C2" s="96"/>
      <c r="D2" s="96"/>
      <c r="E2" s="96"/>
      <c r="F2" s="96"/>
      <c r="G2" s="96"/>
      <c r="H2" s="96"/>
      <c r="I2" s="96"/>
      <c r="J2" s="97"/>
      <c r="K2" s="95" t="str">
        <f>IF(表紙!K2="","",表紙!K2)</f>
        <v>POSサーバ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7"/>
      <c r="W2" s="276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7"/>
      <c r="AJ2" s="277"/>
      <c r="AK2" s="277"/>
      <c r="AL2" s="277"/>
      <c r="AM2" s="277"/>
      <c r="AN2" s="277"/>
      <c r="AO2" s="278"/>
      <c r="AP2" s="279" t="str">
        <f>IF(表紙!AP2="","",表紙!AP2)</f>
        <v>DuNT</v>
      </c>
      <c r="AQ2" s="280"/>
      <c r="AR2" s="280"/>
      <c r="AS2" s="281"/>
      <c r="AT2" s="282">
        <f>IF(表紙!AT2="","",表紙!AT2)</f>
        <v>45406</v>
      </c>
      <c r="AU2" s="283"/>
      <c r="AV2" s="283"/>
      <c r="AW2" s="283"/>
      <c r="AX2" s="284"/>
      <c r="AY2" s="279" t="str">
        <f>IF(表紙!AY2="","",表紙!AY2)</f>
        <v>TinNH</v>
      </c>
      <c r="AZ2" s="280"/>
      <c r="BA2" s="280"/>
      <c r="BB2" s="281"/>
      <c r="BC2" s="282">
        <f>IF(表紙!BC2="","",表紙!BC2)</f>
        <v>45498</v>
      </c>
      <c r="BD2" s="283"/>
      <c r="BE2" s="283"/>
      <c r="BF2" s="283"/>
      <c r="BG2" s="284"/>
      <c r="BH2" s="279">
        <f>IF(表紙!BH2="","",表紙!BH2)</f>
        <v>0.3</v>
      </c>
      <c r="BI2" s="280"/>
      <c r="BJ2" s="280"/>
      <c r="BK2" s="281"/>
    </row>
    <row r="3" spans="1:63" ht="15" customHeight="1" x14ac:dyDescent="0.25">
      <c r="A3" s="98"/>
      <c r="B3" s="99"/>
      <c r="C3" s="99"/>
      <c r="D3" s="99"/>
      <c r="E3" s="99"/>
      <c r="F3" s="99"/>
      <c r="G3" s="99"/>
      <c r="H3" s="99"/>
      <c r="I3" s="99"/>
      <c r="J3" s="100"/>
      <c r="K3" s="98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  <c r="W3" s="285"/>
      <c r="X3" s="286"/>
      <c r="Y3" s="286"/>
      <c r="Z3" s="286"/>
      <c r="AA3" s="286"/>
      <c r="AB3" s="286"/>
      <c r="AC3" s="286"/>
      <c r="AD3" s="286"/>
      <c r="AE3" s="286"/>
      <c r="AF3" s="286"/>
      <c r="AG3" s="286"/>
      <c r="AH3" s="286"/>
      <c r="AI3" s="286"/>
      <c r="AJ3" s="286"/>
      <c r="AK3" s="286"/>
      <c r="AL3" s="286"/>
      <c r="AM3" s="286"/>
      <c r="AN3" s="286"/>
      <c r="AO3" s="287"/>
      <c r="AP3" s="288"/>
      <c r="AQ3" s="289"/>
      <c r="AR3" s="289"/>
      <c r="AS3" s="290"/>
      <c r="AT3" s="291"/>
      <c r="AU3" s="292"/>
      <c r="AV3" s="292"/>
      <c r="AW3" s="292"/>
      <c r="AX3" s="293"/>
      <c r="AY3" s="288"/>
      <c r="AZ3" s="289"/>
      <c r="BA3" s="289"/>
      <c r="BB3" s="290"/>
      <c r="BC3" s="291"/>
      <c r="BD3" s="292"/>
      <c r="BE3" s="292"/>
      <c r="BF3" s="292"/>
      <c r="BG3" s="293"/>
      <c r="BH3" s="288"/>
      <c r="BI3" s="289"/>
      <c r="BJ3" s="289"/>
      <c r="BK3" s="290"/>
    </row>
    <row r="4" spans="1:63" ht="24.95" customHeight="1" x14ac:dyDescent="0.25">
      <c r="A4" s="266" t="s">
        <v>85</v>
      </c>
      <c r="B4" s="267"/>
      <c r="C4" s="267"/>
      <c r="D4" s="267"/>
      <c r="E4" s="267"/>
      <c r="F4" s="267"/>
      <c r="G4" s="268"/>
      <c r="H4" s="101" t="str">
        <f>IF(表紙!H4="","",表紙!H4)</f>
        <v>21_ジャーナル検索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3"/>
      <c r="U4" s="266" t="s">
        <v>86</v>
      </c>
      <c r="V4" s="267"/>
      <c r="W4" s="267"/>
      <c r="X4" s="267"/>
      <c r="Y4" s="268"/>
      <c r="Z4" s="101" t="str">
        <f>IF(表紙!Z4="","",表紙!Z4)</f>
        <v>概要設計</v>
      </c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3"/>
      <c r="AP4" s="104" t="str">
        <f ca="1">MID(CELL("filename",A1),FIND("]",CELL("filename",A1))+1,255)</f>
        <v>テンプレート</v>
      </c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3"/>
    </row>
    <row r="5" spans="1:63" ht="5.0999999999999996" customHeight="1" x14ac:dyDescent="0.25">
      <c r="A5" s="294"/>
      <c r="B5" s="295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5"/>
      <c r="U5" s="295"/>
      <c r="V5" s="295"/>
      <c r="W5" s="295"/>
      <c r="X5" s="295"/>
      <c r="Y5" s="295"/>
      <c r="Z5" s="295"/>
      <c r="AA5" s="295"/>
      <c r="AB5" s="295"/>
      <c r="AC5" s="295"/>
      <c r="AD5" s="295"/>
      <c r="AE5" s="295"/>
      <c r="AF5" s="295"/>
      <c r="AG5" s="295"/>
      <c r="AH5" s="295"/>
      <c r="AI5" s="295"/>
      <c r="AJ5" s="295"/>
      <c r="AK5" s="295"/>
      <c r="AL5" s="295"/>
      <c r="AM5" s="295"/>
      <c r="AN5" s="295"/>
      <c r="AO5" s="295"/>
      <c r="AP5" s="295"/>
      <c r="AQ5" s="295"/>
      <c r="AR5" s="295"/>
      <c r="AS5" s="295"/>
      <c r="AT5" s="295"/>
      <c r="AU5" s="295"/>
      <c r="AV5" s="295"/>
      <c r="AW5" s="295"/>
      <c r="AX5" s="295"/>
      <c r="AY5" s="295"/>
      <c r="AZ5" s="295"/>
      <c r="BA5" s="295"/>
      <c r="BB5" s="295"/>
      <c r="BC5" s="295"/>
      <c r="BD5" s="295"/>
      <c r="BE5" s="295"/>
      <c r="BF5" s="295"/>
      <c r="BG5" s="295"/>
      <c r="BH5" s="295"/>
      <c r="BI5" s="295"/>
      <c r="BJ5" s="295"/>
      <c r="BK5" s="296"/>
    </row>
    <row r="6" spans="1:63" ht="15" customHeight="1" x14ac:dyDescent="0.25">
      <c r="A6" s="297"/>
      <c r="BK6" s="311"/>
    </row>
    <row r="7" spans="1:63" ht="15" customHeight="1" x14ac:dyDescent="0.25">
      <c r="A7" s="297"/>
      <c r="B7" s="312"/>
      <c r="C7" s="313"/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5"/>
      <c r="U7" s="313"/>
      <c r="V7" s="314"/>
      <c r="W7" s="314"/>
      <c r="X7" s="314"/>
      <c r="Y7" s="314"/>
      <c r="Z7" s="314"/>
      <c r="AA7" s="314"/>
      <c r="AB7" s="314"/>
      <c r="AC7" s="315"/>
      <c r="AD7" s="313"/>
      <c r="AE7" s="314"/>
      <c r="AF7" s="314"/>
      <c r="AG7" s="314"/>
      <c r="AH7" s="314"/>
      <c r="AI7" s="314"/>
      <c r="AJ7" s="314"/>
      <c r="AK7" s="314"/>
      <c r="AL7" s="315"/>
      <c r="AM7" s="313"/>
      <c r="AN7" s="314"/>
      <c r="AO7" s="314"/>
      <c r="AP7" s="314"/>
      <c r="AQ7" s="314"/>
      <c r="AR7" s="314"/>
      <c r="AS7" s="314"/>
      <c r="AT7" s="314"/>
      <c r="AU7" s="314"/>
      <c r="AV7" s="314"/>
      <c r="AW7" s="314"/>
      <c r="AX7" s="314"/>
      <c r="AY7" s="314"/>
      <c r="AZ7" s="314"/>
      <c r="BA7" s="314"/>
      <c r="BB7" s="314"/>
      <c r="BC7" s="314"/>
      <c r="BD7" s="314"/>
      <c r="BE7" s="314"/>
      <c r="BF7" s="314"/>
      <c r="BG7" s="314"/>
      <c r="BH7" s="314"/>
      <c r="BI7" s="315"/>
      <c r="BJ7" s="314"/>
      <c r="BK7" s="311"/>
    </row>
    <row r="8" spans="1:63" ht="15" customHeight="1" x14ac:dyDescent="0.25">
      <c r="A8" s="297"/>
      <c r="C8" s="316"/>
      <c r="U8" s="316"/>
      <c r="AD8" s="316"/>
      <c r="AM8" s="316"/>
      <c r="BI8" s="318"/>
    </row>
    <row r="9" spans="1:63" ht="15" customHeight="1" x14ac:dyDescent="0.25">
      <c r="A9" s="297"/>
      <c r="C9" s="316"/>
      <c r="U9" s="316"/>
      <c r="AD9" s="316"/>
      <c r="AM9" s="316"/>
      <c r="BI9" s="318"/>
    </row>
    <row r="10" spans="1:63" ht="15" customHeight="1" x14ac:dyDescent="0.25">
      <c r="A10" s="297"/>
      <c r="C10" s="316"/>
      <c r="U10" s="316"/>
      <c r="AD10" s="316"/>
      <c r="AM10" s="316"/>
      <c r="BI10" s="318"/>
    </row>
    <row r="11" spans="1:63" ht="15" customHeight="1" x14ac:dyDescent="0.25">
      <c r="A11" s="297"/>
      <c r="C11" s="316"/>
      <c r="U11" s="316"/>
      <c r="AD11" s="316"/>
      <c r="AM11" s="316"/>
      <c r="BI11" s="318"/>
    </row>
    <row r="12" spans="1:63" ht="15" customHeight="1" x14ac:dyDescent="0.25">
      <c r="A12" s="297"/>
      <c r="C12" s="316"/>
      <c r="U12" s="316"/>
      <c r="AD12" s="316"/>
      <c r="AM12" s="316"/>
      <c r="AX12" s="275" t="s">
        <v>37</v>
      </c>
      <c r="BI12" s="318"/>
    </row>
    <row r="13" spans="1:63" ht="15" customHeight="1" x14ac:dyDescent="0.25">
      <c r="A13" s="297"/>
      <c r="C13" s="316"/>
      <c r="U13" s="316"/>
      <c r="AD13" s="316"/>
      <c r="AM13" s="316"/>
      <c r="BI13" s="318"/>
    </row>
    <row r="14" spans="1:63" ht="15" customHeight="1" x14ac:dyDescent="0.25">
      <c r="A14" s="297"/>
      <c r="C14" s="316"/>
      <c r="U14" s="316"/>
      <c r="AD14" s="316"/>
      <c r="AM14" s="316"/>
      <c r="BI14" s="318"/>
    </row>
    <row r="15" spans="1:63" ht="15" customHeight="1" x14ac:dyDescent="0.25">
      <c r="A15" s="297"/>
      <c r="C15" s="316"/>
      <c r="U15" s="316"/>
      <c r="AD15" s="316"/>
      <c r="AM15" s="316"/>
      <c r="BI15" s="318"/>
    </row>
    <row r="16" spans="1:63" ht="15" customHeight="1" x14ac:dyDescent="0.25">
      <c r="A16" s="297"/>
      <c r="C16" s="316"/>
      <c r="U16" s="316"/>
      <c r="AD16" s="316"/>
      <c r="AM16" s="316"/>
      <c r="BI16" s="318"/>
    </row>
    <row r="17" spans="1:61" ht="15" customHeight="1" x14ac:dyDescent="0.25">
      <c r="A17" s="297"/>
      <c r="C17" s="316"/>
      <c r="U17" s="316"/>
      <c r="AD17" s="316"/>
      <c r="AM17" s="316"/>
      <c r="BI17" s="318"/>
    </row>
    <row r="18" spans="1:61" ht="15" customHeight="1" x14ac:dyDescent="0.25">
      <c r="A18" s="297"/>
      <c r="C18" s="316"/>
      <c r="U18" s="316"/>
      <c r="AD18" s="316"/>
      <c r="AM18" s="316"/>
      <c r="BI18" s="318"/>
    </row>
    <row r="19" spans="1:61" ht="15" customHeight="1" x14ac:dyDescent="0.25">
      <c r="A19" s="297"/>
      <c r="C19" s="316"/>
      <c r="U19" s="316"/>
      <c r="AD19" s="316"/>
      <c r="AM19" s="316"/>
      <c r="BI19" s="318"/>
    </row>
    <row r="20" spans="1:61" ht="15" customHeight="1" x14ac:dyDescent="0.25">
      <c r="A20" s="297"/>
      <c r="C20" s="316"/>
      <c r="U20" s="316"/>
      <c r="AD20" s="316"/>
      <c r="AM20" s="316"/>
      <c r="BI20" s="318"/>
    </row>
    <row r="21" spans="1:61" ht="15" customHeight="1" x14ac:dyDescent="0.25">
      <c r="A21" s="297"/>
      <c r="C21" s="316"/>
      <c r="U21" s="316"/>
      <c r="AD21" s="316"/>
      <c r="AM21" s="316"/>
      <c r="BI21" s="318"/>
    </row>
    <row r="22" spans="1:61" ht="15" customHeight="1" x14ac:dyDescent="0.25">
      <c r="A22" s="297"/>
      <c r="C22" s="316"/>
      <c r="U22" s="316"/>
      <c r="AD22" s="316"/>
      <c r="AM22" s="316"/>
      <c r="BI22" s="318"/>
    </row>
    <row r="23" spans="1:61" ht="15" customHeight="1" x14ac:dyDescent="0.25">
      <c r="A23" s="297"/>
      <c r="C23" s="316"/>
      <c r="U23" s="316"/>
      <c r="AD23" s="316"/>
      <c r="AM23" s="316"/>
      <c r="BI23" s="318"/>
    </row>
    <row r="24" spans="1:61" ht="15" customHeight="1" x14ac:dyDescent="0.25">
      <c r="A24" s="297"/>
      <c r="C24" s="316"/>
      <c r="U24" s="316"/>
      <c r="AD24" s="316"/>
      <c r="AM24" s="316"/>
      <c r="BI24" s="318"/>
    </row>
    <row r="25" spans="1:61" ht="15" customHeight="1" x14ac:dyDescent="0.25">
      <c r="A25" s="297"/>
      <c r="C25" s="316"/>
      <c r="U25" s="316"/>
      <c r="AD25" s="316"/>
      <c r="AM25" s="316"/>
      <c r="BI25" s="318"/>
    </row>
    <row r="26" spans="1:61" ht="15" customHeight="1" x14ac:dyDescent="0.25">
      <c r="A26" s="297"/>
      <c r="C26" s="316"/>
      <c r="U26" s="316"/>
      <c r="AD26" s="316"/>
      <c r="AM26" s="316"/>
      <c r="BI26" s="318"/>
    </row>
    <row r="27" spans="1:61" ht="15" customHeight="1" x14ac:dyDescent="0.25">
      <c r="A27" s="297"/>
      <c r="C27" s="316"/>
      <c r="U27" s="316"/>
      <c r="AD27" s="316"/>
      <c r="AM27" s="316"/>
      <c r="BI27" s="318"/>
    </row>
    <row r="28" spans="1:61" ht="15" customHeight="1" x14ac:dyDescent="0.25">
      <c r="A28" s="297"/>
      <c r="C28" s="316"/>
      <c r="U28" s="316"/>
      <c r="AD28" s="316"/>
      <c r="AM28" s="316"/>
      <c r="BI28" s="318"/>
    </row>
    <row r="29" spans="1:61" ht="15" customHeight="1" x14ac:dyDescent="0.25">
      <c r="A29" s="297"/>
      <c r="C29" s="316"/>
      <c r="U29" s="316"/>
      <c r="AD29" s="316"/>
      <c r="AM29" s="316"/>
      <c r="BI29" s="318"/>
    </row>
    <row r="30" spans="1:61" ht="15" customHeight="1" x14ac:dyDescent="0.25">
      <c r="A30" s="297"/>
      <c r="C30" s="316"/>
      <c r="U30" s="316"/>
      <c r="AD30" s="316"/>
      <c r="AM30" s="316"/>
      <c r="BI30" s="318"/>
    </row>
    <row r="31" spans="1:61" ht="15" customHeight="1" x14ac:dyDescent="0.25">
      <c r="A31" s="297"/>
      <c r="C31" s="316"/>
      <c r="U31" s="316"/>
      <c r="AD31" s="316"/>
      <c r="AM31" s="316"/>
      <c r="BI31" s="318"/>
    </row>
    <row r="32" spans="1:61" ht="15" customHeight="1" x14ac:dyDescent="0.25">
      <c r="A32" s="297"/>
      <c r="C32" s="316"/>
      <c r="U32" s="316"/>
      <c r="AD32" s="316"/>
      <c r="AM32" s="316"/>
      <c r="BI32" s="318"/>
    </row>
    <row r="33" spans="1:61" ht="15" customHeight="1" x14ac:dyDescent="0.25">
      <c r="A33" s="297"/>
      <c r="C33" s="316"/>
      <c r="U33" s="316"/>
      <c r="AD33" s="316"/>
      <c r="AM33" s="316"/>
      <c r="BI33" s="318"/>
    </row>
    <row r="34" spans="1:61" ht="15" customHeight="1" x14ac:dyDescent="0.25">
      <c r="A34" s="297"/>
      <c r="C34" s="316"/>
      <c r="U34" s="316"/>
      <c r="AD34" s="316"/>
      <c r="AM34" s="316"/>
      <c r="BI34" s="318"/>
    </row>
    <row r="35" spans="1:61" ht="15" customHeight="1" x14ac:dyDescent="0.25">
      <c r="A35" s="297"/>
      <c r="C35" s="316"/>
      <c r="U35" s="316"/>
      <c r="AD35" s="316"/>
      <c r="AM35" s="316"/>
      <c r="BI35" s="318"/>
    </row>
    <row r="36" spans="1:61" ht="15" customHeight="1" x14ac:dyDescent="0.25">
      <c r="A36" s="297"/>
      <c r="C36" s="316"/>
      <c r="U36" s="316"/>
      <c r="AD36" s="316"/>
      <c r="AM36" s="316"/>
      <c r="BI36" s="318"/>
    </row>
    <row r="37" spans="1:61" ht="15" customHeight="1" x14ac:dyDescent="0.25">
      <c r="A37" s="297"/>
      <c r="C37" s="316"/>
      <c r="U37" s="316"/>
      <c r="AD37" s="316"/>
      <c r="AM37" s="316"/>
      <c r="BI37" s="318"/>
    </row>
    <row r="38" spans="1:61" ht="15" customHeight="1" x14ac:dyDescent="0.25">
      <c r="A38" s="297"/>
      <c r="C38" s="316"/>
      <c r="U38" s="316"/>
      <c r="AD38" s="316"/>
      <c r="AM38" s="316"/>
      <c r="BI38" s="318"/>
    </row>
    <row r="39" spans="1:61" ht="15" customHeight="1" x14ac:dyDescent="0.25">
      <c r="A39" s="297"/>
      <c r="C39" s="316"/>
      <c r="U39" s="316"/>
      <c r="AD39" s="316"/>
      <c r="AM39" s="316"/>
      <c r="BI39" s="318"/>
    </row>
    <row r="40" spans="1:61" ht="15" customHeight="1" x14ac:dyDescent="0.25">
      <c r="A40" s="297"/>
      <c r="C40" s="316"/>
      <c r="U40" s="316"/>
      <c r="AD40" s="316"/>
      <c r="AM40" s="316"/>
      <c r="BI40" s="318"/>
    </row>
    <row r="41" spans="1:61" ht="15" customHeight="1" x14ac:dyDescent="0.25">
      <c r="A41" s="297"/>
      <c r="C41" s="316"/>
      <c r="U41" s="316"/>
      <c r="AD41" s="316"/>
      <c r="AM41" s="316"/>
      <c r="BI41" s="318"/>
    </row>
    <row r="42" spans="1:61" ht="15" customHeight="1" x14ac:dyDescent="0.25">
      <c r="A42" s="297"/>
      <c r="C42" s="316"/>
      <c r="U42" s="316"/>
      <c r="AD42" s="316"/>
      <c r="AM42" s="316"/>
      <c r="BI42" s="318"/>
    </row>
    <row r="43" spans="1:61" ht="15" customHeight="1" x14ac:dyDescent="0.25">
      <c r="A43" s="297"/>
      <c r="C43" s="316"/>
      <c r="U43" s="316"/>
      <c r="AD43" s="316"/>
      <c r="AM43" s="316"/>
      <c r="BI43" s="318"/>
    </row>
    <row r="44" spans="1:61" ht="15" customHeight="1" x14ac:dyDescent="0.25">
      <c r="A44" s="297"/>
      <c r="C44" s="316"/>
      <c r="U44" s="316"/>
      <c r="AD44" s="316"/>
      <c r="AM44" s="316"/>
      <c r="BI44" s="318"/>
    </row>
    <row r="45" spans="1:61" ht="15" customHeight="1" x14ac:dyDescent="0.25">
      <c r="A45" s="297"/>
      <c r="C45" s="316"/>
      <c r="U45" s="316"/>
      <c r="AD45" s="316"/>
      <c r="AM45" s="316"/>
      <c r="BI45" s="318"/>
    </row>
    <row r="46" spans="1:61" ht="15" customHeight="1" x14ac:dyDescent="0.25">
      <c r="A46" s="297"/>
      <c r="C46" s="316"/>
      <c r="U46" s="316"/>
      <c r="AD46" s="316"/>
      <c r="AM46" s="316"/>
      <c r="BI46" s="318"/>
    </row>
    <row r="47" spans="1:61" ht="15" customHeight="1" x14ac:dyDescent="0.25">
      <c r="A47" s="297"/>
      <c r="C47" s="316"/>
      <c r="U47" s="316"/>
      <c r="AD47" s="316"/>
      <c r="AM47" s="316"/>
      <c r="BI47" s="318"/>
    </row>
    <row r="48" spans="1:61" ht="15" customHeight="1" x14ac:dyDescent="0.25">
      <c r="A48" s="297"/>
      <c r="C48" s="316"/>
      <c r="U48" s="316"/>
      <c r="AD48" s="316"/>
      <c r="AM48" s="316"/>
      <c r="BI48" s="318"/>
    </row>
    <row r="49" spans="1:63" ht="15" customHeight="1" x14ac:dyDescent="0.25">
      <c r="A49" s="297"/>
      <c r="C49" s="316"/>
      <c r="U49" s="316"/>
      <c r="AD49" s="316"/>
      <c r="AM49" s="316"/>
      <c r="BI49" s="318"/>
    </row>
    <row r="50" spans="1:63" ht="15" customHeight="1" x14ac:dyDescent="0.25">
      <c r="A50" s="297"/>
      <c r="C50" s="316"/>
      <c r="U50" s="316"/>
      <c r="AD50" s="316"/>
      <c r="AM50" s="316"/>
      <c r="BI50" s="318"/>
    </row>
    <row r="51" spans="1:63" ht="15" customHeight="1" x14ac:dyDescent="0.25">
      <c r="A51" s="297"/>
      <c r="C51" s="316"/>
      <c r="U51" s="316"/>
      <c r="AD51" s="316"/>
      <c r="AM51" s="316"/>
      <c r="BI51" s="318"/>
    </row>
    <row r="52" spans="1:63" ht="15" customHeight="1" x14ac:dyDescent="0.25">
      <c r="A52" s="297"/>
      <c r="C52" s="316"/>
      <c r="U52" s="316"/>
      <c r="AD52" s="316"/>
      <c r="AM52" s="316"/>
      <c r="BI52" s="318"/>
    </row>
    <row r="53" spans="1:63" ht="15" customHeight="1" x14ac:dyDescent="0.25">
      <c r="A53" s="297"/>
      <c r="C53" s="316"/>
      <c r="U53" s="316"/>
      <c r="AD53" s="316"/>
      <c r="AM53" s="316"/>
      <c r="BI53" s="318"/>
    </row>
    <row r="54" spans="1:63" ht="15" customHeight="1" x14ac:dyDescent="0.25">
      <c r="A54" s="297"/>
      <c r="C54" s="316"/>
      <c r="U54" s="316"/>
      <c r="AD54" s="316"/>
      <c r="AM54" s="316"/>
      <c r="BI54" s="318"/>
    </row>
    <row r="55" spans="1:63" ht="15" customHeight="1" x14ac:dyDescent="0.25">
      <c r="A55" s="294"/>
      <c r="B55" s="345"/>
      <c r="C55" s="295"/>
      <c r="D55" s="295"/>
      <c r="E55" s="295"/>
      <c r="F55" s="295"/>
      <c r="G55" s="295"/>
      <c r="H55" s="295"/>
      <c r="I55" s="295"/>
      <c r="J55" s="295"/>
      <c r="K55" s="295"/>
      <c r="L55" s="295"/>
      <c r="M55" s="295"/>
      <c r="N55" s="295"/>
      <c r="O55" s="295"/>
      <c r="P55" s="295"/>
      <c r="Q55" s="295"/>
      <c r="R55" s="295"/>
      <c r="S55" s="295"/>
      <c r="T55" s="295"/>
      <c r="U55" s="345"/>
      <c r="V55" s="295"/>
      <c r="W55" s="295"/>
      <c r="X55" s="295"/>
      <c r="Y55" s="295"/>
      <c r="Z55" s="295"/>
      <c r="AA55" s="295"/>
      <c r="AB55" s="295"/>
      <c r="AC55" s="295"/>
      <c r="AD55" s="345"/>
      <c r="AE55" s="295"/>
      <c r="AF55" s="295"/>
      <c r="AG55" s="295"/>
      <c r="AH55" s="295"/>
      <c r="AI55" s="295"/>
      <c r="AJ55" s="295"/>
      <c r="AK55" s="295"/>
      <c r="AL55" s="295"/>
      <c r="AM55" s="345"/>
      <c r="AN55" s="295"/>
      <c r="AO55" s="295"/>
      <c r="AP55" s="295"/>
      <c r="AQ55" s="295"/>
      <c r="AR55" s="295"/>
      <c r="AS55" s="295"/>
      <c r="AT55" s="295"/>
      <c r="AU55" s="295"/>
      <c r="AV55" s="295"/>
      <c r="AW55" s="295"/>
      <c r="AX55" s="295"/>
      <c r="AY55" s="295"/>
      <c r="AZ55" s="295"/>
      <c r="BA55" s="295"/>
      <c r="BB55" s="295"/>
      <c r="BC55" s="295"/>
      <c r="BD55" s="295"/>
      <c r="BE55" s="295"/>
      <c r="BF55" s="295"/>
      <c r="BG55" s="295"/>
      <c r="BH55" s="295"/>
      <c r="BI55" s="346"/>
      <c r="BJ55" s="295"/>
      <c r="BK55" s="296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表紙</vt:lpstr>
      <vt:lpstr>改訂履歴</vt:lpstr>
      <vt:lpstr>業務フロー</vt:lpstr>
      <vt:lpstr>機能概要説明</vt:lpstr>
      <vt:lpstr>機能概要</vt:lpstr>
      <vt:lpstr>画面設計書</vt:lpstr>
      <vt:lpstr>レジ</vt:lpstr>
      <vt:lpstr>テンプレート</vt:lpstr>
      <vt:lpstr>テンプレート!Print_Area</vt:lpstr>
      <vt:lpstr>レジ!Print_Area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レジ!Print_Titles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2024-08-21T03:39:32Z</dcterms:modified>
  <cp:category/>
  <cp:contentStatus/>
</cp:coreProperties>
</file>