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82882034-829B-4FF3-97CC-05703A8CFD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10" r:id="rId3"/>
    <sheet name="業務フロー凡例" sheetId="6" r:id="rId4"/>
    <sheet name="機能概要説明" sheetId="8" r:id="rId5"/>
    <sheet name="機能概要" sheetId="5" r:id="rId6"/>
    <sheet name="画面設計書" sheetId="7" r:id="rId7"/>
    <sheet name="取扱有無と下位階層も同設定の詳細" sheetId="9" r:id="rId8"/>
    <sheet name="テンプレート" sheetId="2" r:id="rId9"/>
  </sheets>
  <externalReferences>
    <externalReference r:id="rId10"/>
  </externalReferences>
  <definedNames>
    <definedName name="_xlnm.Print_Area" localSheetId="8">テンプレート!$A$1:$BK$55</definedName>
    <definedName name="_xlnm.Print_Area" localSheetId="7">取扱有無と下位階層も同設定の詳細!$A$1:$BK$130</definedName>
    <definedName name="_xlnm.Print_Area" localSheetId="2">指摘履歴!$A$1:$BK$55</definedName>
    <definedName name="_xlnm.Print_Area" localSheetId="1">改訂履歴!$A$1:$BK$55</definedName>
    <definedName name="_xlnm.Print_Area" localSheetId="5">機能概要!$A$1:$BK$109</definedName>
    <definedName name="_xlnm.Print_Area" localSheetId="4">機能概要説明!$A$1:$BK$58</definedName>
    <definedName name="_xlnm.Print_Area" localSheetId="0">表紙!$A$1:$BK$55</definedName>
    <definedName name="_xlnm.Print_Titles" localSheetId="8">テンプレート!$1:$5</definedName>
    <definedName name="_xlnm.Print_Titles" localSheetId="7">取扱有無と下位階層も同設定の詳細!$1:$5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業務フロー凡例!$1:$5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0" l="1"/>
  <c r="A2" i="10"/>
  <c r="K2" i="10"/>
  <c r="H4" i="10"/>
  <c r="Z4" i="10"/>
  <c r="AP4" i="2" l="1"/>
  <c r="Z4" i="2"/>
  <c r="H4" i="2"/>
  <c r="K2" i="2"/>
  <c r="A2" i="2"/>
  <c r="W1" i="2"/>
  <c r="AP4" i="9" a="1"/>
  <c r="AP4" i="9" s="1"/>
  <c r="Z4" i="9"/>
  <c r="H4" i="9"/>
  <c r="K2" i="9"/>
  <c r="A2" i="9"/>
  <c r="W1" i="9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AP4" i="5" a="1"/>
  <c r="AP4" i="5" s="1"/>
  <c r="Z4" i="5"/>
  <c r="H4" i="5"/>
  <c r="K2" i="5"/>
  <c r="A2" i="5"/>
  <c r="W1" i="5"/>
  <c r="BM9" i="8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BM8" i="8"/>
  <c r="BM7" i="8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7" s="1"/>
  <c r="AT2" i="4"/>
  <c r="AT2" i="7" s="1"/>
  <c r="AP2" i="4"/>
  <c r="AP2" i="5" s="1"/>
  <c r="BC2" i="3" l="1"/>
  <c r="BH2" i="6"/>
  <c r="AP2" i="8"/>
  <c r="BH2" i="8"/>
  <c r="AT2" i="5"/>
  <c r="BC2" i="7"/>
  <c r="AP2" i="9"/>
  <c r="BH2" i="9"/>
  <c r="AP2" i="2"/>
  <c r="BH2" i="2"/>
  <c r="AP2" i="3"/>
  <c r="BH2" i="3"/>
  <c r="AP2" i="6"/>
  <c r="AT2" i="8"/>
  <c r="AY2" i="5"/>
  <c r="AP2" i="7"/>
  <c r="BH2" i="7"/>
  <c r="AT2" i="9"/>
  <c r="AT2" i="2"/>
  <c r="AT2" i="3"/>
  <c r="AY2" i="6"/>
  <c r="AY2" i="8"/>
  <c r="BC2" i="5"/>
  <c r="AY2" i="9"/>
  <c r="AY2" i="2"/>
  <c r="AY2" i="3"/>
  <c r="BC2" i="6"/>
  <c r="BC2" i="8"/>
  <c r="BC2" i="9"/>
</calcChain>
</file>

<file path=xl/sharedStrings.xml><?xml version="1.0" encoding="utf-8"?>
<sst xmlns="http://schemas.openxmlformats.org/spreadsheetml/2006/main" count="889" uniqueCount="181">
  <si>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</si>
  <si>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</si>
  <si>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</si>
  <si>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</si>
  <si>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</si>
  <si>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</si>
  <si>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</si>
  <si>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</si>
  <si>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</si>
  <si>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</si>
  <si>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</si>
  <si>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</si>
  <si>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</si>
  <si>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</si>
  <si>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</si>
  <si>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</si>
  <si>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</si>
  <si>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</si>
  <si>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</si>
  <si>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</si>
  <si>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</si>
  <si>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</si>
  <si>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</si>
  <si>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</si>
  <si>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</si>
  <si>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</si>
  <si>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</si>
  <si>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</si>
  <si>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</si>
  <si>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</si>
  <si>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</si>
  <si>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SC2501_取扱設定マスタ設定(KSM)画面</t>
    </r>
  </si>
  <si>
    <r>
      <rPr>
        <sz val="11"/>
        <color rgb="FF000000"/>
        <rFont val="Meiryo UI"/>
        <family val="2"/>
      </rPr>
      <t>更新</t>
    </r>
  </si>
  <si>
    <r>
      <rPr>
        <sz val="11"/>
        <color rgb="FF000000"/>
        <rFont val="Meiryo UI"/>
        <family val="2"/>
      </rPr>
      <t>0.3.1</t>
    </r>
  </si>
  <si>
    <r>
      <rPr>
        <sz val="11"/>
        <color rgb="FF000000"/>
        <rFont val="Meiryo UI"/>
        <family val="2"/>
      </rPr>
      <t>修正前</t>
    </r>
  </si>
  <si>
    <r>
      <rPr>
        <b/>
        <sz val="11"/>
        <color rgb="FF000000"/>
        <rFont val="Meiryo UI"/>
        <family val="2"/>
      </rPr>
      <t>取扱有無と下位階層も同設定のボタン状態を変更する。</t>
    </r>
  </si>
  <si>
    <t>-</t>
  </si>
  <si>
    <t>=&gt;</t>
  </si>
  <si>
    <r>
      <rPr>
        <sz val="11"/>
        <color rgb="FF000000"/>
        <rFont val="Meiryo UI"/>
        <family val="2"/>
      </rPr>
      <t>品群、品種、分類のレコードの取扱有無を部門に従って設定する。</t>
    </r>
  </si>
  <si>
    <r>
      <rPr>
        <sz val="11"/>
        <color rgb="FF000000"/>
        <rFont val="Meiryo UI"/>
        <family val="2"/>
      </rPr>
      <t>品種、分類のレコードの取扱有無を品群に従って設定する。</t>
    </r>
  </si>
  <si>
    <r>
      <rPr>
        <sz val="11"/>
        <color rgb="FF000000"/>
        <rFont val="Meiryo UI"/>
        <family val="2"/>
      </rPr>
      <t>・下位階層も同設定で黒四角を設定した場合、</t>
    </r>
  </si>
  <si>
    <r>
      <rPr>
        <sz val="11"/>
        <color rgb="FF000000"/>
        <rFont val="Meiryo UI"/>
        <family val="2"/>
      </rPr>
      <t>+ 品種のレコードで</t>
    </r>
  </si>
  <si>
    <r>
      <rPr>
        <sz val="11"/>
        <color rgb="FF000000"/>
        <rFont val="Meiryo UI"/>
        <family val="2"/>
      </rPr>
      <t>分類のレコードを品種に従って設定する。</t>
    </r>
  </si>
  <si>
    <r>
      <rPr>
        <sz val="11"/>
        <color rgb="FF000000"/>
        <rFont val="Meiryo UI"/>
        <family val="2"/>
      </rPr>
      <t>+分類のレコードで</t>
    </r>
  </si>
  <si>
    <r>
      <rPr>
        <sz val="11"/>
        <color rgb="FF000000"/>
        <rFont val="Meiryo UI"/>
        <family val="2"/>
      </rPr>
      <t>他のレコードの取扱有無を変更しない。</t>
    </r>
  </si>
  <si>
    <r>
      <rPr>
        <sz val="11"/>
        <color rgb="FF000000"/>
        <rFont val="Meiryo UI"/>
        <family val="2"/>
      </rPr>
      <t>・下位階層も同設定で白い四角を設定した場合</t>
    </r>
  </si>
  <si>
    <r>
      <rPr>
        <sz val="11"/>
        <color rgb="FF000000"/>
        <rFont val="Meiryo UI"/>
        <family val="2"/>
      </rPr>
      <t>‣部門、品群、品種のレコードで</t>
    </r>
  </si>
  <si>
    <t xml:space="preserve"> </t>
  </si>
  <si>
    <r>
      <rPr>
        <sz val="11"/>
        <color rgb="FF000000"/>
        <rFont val="Meiryo UI"/>
        <family val="2"/>
      </rPr>
      <t>‣部門、品群、品種の状態：全コピー/■、カスタム/□</t>
    </r>
  </si>
  <si>
    <r>
      <rPr>
        <sz val="11"/>
        <color rgb="FF000000"/>
        <rFont val="Meiryo UI"/>
        <family val="2"/>
      </rPr>
      <t>‣分類の状態：「-」（品種に従って表示する）</t>
    </r>
  </si>
  <si>
    <r>
      <rPr>
        <sz val="11"/>
        <color rgb="FF000000"/>
        <rFont val="Meiryo UI"/>
        <family val="2"/>
      </rPr>
      <t>25_取扱設定マスタ設定(KSM)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</si>
  <si>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</si>
  <si>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</si>
  <si>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</si>
  <si>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</si>
  <si>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</si>
  <si>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</si>
  <si>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</si>
  <si>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</si>
  <si>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</si>
  <si>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</si>
  <si>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</si>
  <si>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</si>
  <si>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</si>
  <si>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</si>
  <si>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</si>
  <si>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</si>
  <si>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</si>
  <si>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r>
      <rPr>
        <sz val="11"/>
        <color rgb="FF000000"/>
        <rFont val="Meiryo UI"/>
        <family val="2"/>
      </rPr>
      <t xml:space="preserve">更新 </t>
    </r>
  </si>
  <si>
    <t>0.3.2</t>
  </si>
  <si>
    <t>2024年05月23日のコメントによる更新</t>
  </si>
  <si>
    <t>KSM</t>
  </si>
  <si>
    <t>0.3.5</t>
  </si>
  <si>
    <t>2024年06月06日のコメントによる更新</t>
  </si>
  <si>
    <t>・商品部門の取扱有無を設定: 有、無</t>
  </si>
  <si>
    <t>・部門の一括取扱有無を設定する。</t>
  </si>
  <si>
    <t>25_取扱設定マスタ設定(KSM)</t>
  </si>
  <si>
    <t xml:space="preserve">SC2501_取扱設定マスタ設定(KSM)画面 </t>
  </si>
  <si>
    <t>修正後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</si>
  <si>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</si>
  <si>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</si>
  <si>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</si>
  <si>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</si>
  <si>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</si>
  <si>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</si>
  <si>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</si>
  <si>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</si>
  <si>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</si>
  <si>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</si>
  <si>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</si>
  <si>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</si>
  <si>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</si>
  <si>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</si>
  <si>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</si>
  <si>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</si>
  <si>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</si>
  <si>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</si>
  <si>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</si>
  <si>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取扱有無と下位階層も同設定の詳細説明</t>
  </si>
  <si>
    <r>
      <rPr>
        <sz val="11"/>
        <color rgb="FF000000"/>
        <rFont val="Meiryo UI"/>
        <family val="2"/>
      </rPr>
      <t xml:space="preserve">‣部門のレコードで </t>
    </r>
  </si>
  <si>
    <r>
      <rPr>
        <sz val="11"/>
        <color rgb="FF000000"/>
        <rFont val="Meiryo UI"/>
        <family val="2"/>
      </rPr>
      <t xml:space="preserve">‣品群のレコードで </t>
    </r>
  </si>
  <si>
    <t>01 : 部門</t>
  </si>
  <si>
    <t>有</t>
  </si>
  <si>
    <t>無</t>
  </si>
  <si>
    <t>1001 : 品群</t>
  </si>
  <si>
    <t>1090 : 品種</t>
  </si>
  <si>
    <t>1091 : 分類</t>
  </si>
  <si>
    <t>0.3.6</t>
  </si>
  <si>
    <t>「取扱有無と下位階層も同設定の詳細」シート：2024年06月06日のコメントによる更新</t>
  </si>
  <si>
    <t>取扱設定マスタ設定(KSM)では次のことが可能になる。</t>
  </si>
  <si>
    <t>・各レベルに分類された商品部門を閲覧する。</t>
  </si>
  <si>
    <t>・この設定は商品部門に関連する画面、機能に適用される。</t>
  </si>
  <si>
    <t>・カスミ様の店舗のみ適用</t>
  </si>
  <si>
    <t>1. 商品に取扱有無が設定されていない場合、</t>
  </si>
  <si>
    <t>・取扱有無：ブランク</t>
  </si>
  <si>
    <t>・下位階層も同設定：ブランク</t>
  </si>
  <si>
    <t>取扱有無</t>
  </si>
  <si>
    <t>下位階層も同設定</t>
  </si>
  <si>
    <t>・白い四角ボタンをタッチする。</t>
  </si>
  <si>
    <t>+部門、品群、品種のレコード: 取扱有無、下位階層も同設定を変更しない。</t>
  </si>
  <si>
    <t>+他の分類のレコード： 取扱有無、下位階層も同設定を表示しない。</t>
  </si>
  <si>
    <t>0.3.3</t>
  </si>
  <si>
    <t>2024年06月04日のコメントによる更新</t>
  </si>
  <si>
    <t>0.3.4</t>
  </si>
  <si>
    <t>コメントによる更新</t>
  </si>
  <si>
    <t>2. 部門の取扱有無の設定を変更する。</t>
  </si>
  <si>
    <t>・「下位階層も同設定」項目では白い四角ボタンを表示する。</t>
  </si>
  <si>
    <t>‣編集中の部門レコード: 下位階層も同設定で黒い四角ボタンを表示する。</t>
  </si>
  <si>
    <t>‣編集中の部門に属する品群、品種、分類のレコード（同一部門コード）：</t>
  </si>
  <si>
    <t>▸ 取扱有無を編集中の部門の状態に変更する。</t>
  </si>
  <si>
    <r>
      <t>▸ 品群、品種、分類の下位階層も同設定：黒い四角ボタンを表示する</t>
    </r>
    <r>
      <rPr>
        <strike/>
        <sz val="11"/>
        <color theme="1"/>
        <rFont val="Meiryo UI"/>
        <family val="2"/>
      </rPr>
      <t>。分類：「-」を表示する。</t>
    </r>
  </si>
  <si>
    <t>部門</t>
  </si>
  <si>
    <t>品群</t>
  </si>
  <si>
    <t>品種</t>
  </si>
  <si>
    <t>分類</t>
  </si>
  <si>
    <t>1092 : 分類</t>
  </si>
  <si>
    <t>1093 : 分類</t>
  </si>
  <si>
    <t>1094 : 分類</t>
  </si>
  <si>
    <t>02 : 部門</t>
  </si>
  <si>
    <t>=&gt; (3)</t>
  </si>
  <si>
    <t>3. 品群の取扱有無の設定を変更する。</t>
  </si>
  <si>
    <t>・「下位階層も同設定」項目: 編集中のレコードと編集レコードを含む部門のレコードでは白い四角ボタンを表示する。</t>
  </si>
  <si>
    <t>‣部門レコード: 取扱有無、下位階層も同設定を変更しない。</t>
  </si>
  <si>
    <t xml:space="preserve">‣編集中の品群に属している品種、分類のレコード (同一品群コード): </t>
  </si>
  <si>
    <t>▸ 取扱有無を編集中の品群の状態に変更する。</t>
  </si>
  <si>
    <r>
      <t>▸品種、分類の下位階層も同設定：黒い四角ボタンを表示する</t>
    </r>
    <r>
      <rPr>
        <strike/>
        <sz val="11"/>
        <color theme="1"/>
        <rFont val="Meiryo UI"/>
        <family val="2"/>
      </rPr>
      <t>。分類：「-」を表示する。</t>
    </r>
  </si>
  <si>
    <t>(3)=&gt;</t>
  </si>
  <si>
    <t>=&gt; (4)</t>
  </si>
  <si>
    <t>4. 品種の取扱有無の設定を変更する。</t>
  </si>
  <si>
    <t>・下位階層も同設定：編集中のレコードと編集レコードを含む部門、品群のレコードでは白い四角ボタンを表示する。</t>
  </si>
  <si>
    <t>‣部門、品群レコード: 取扱有無、下位階層も同設定を変更しない。</t>
  </si>
  <si>
    <t xml:space="preserve">‣編集中の品種に属している分類のレコード(同一品種コード): </t>
  </si>
  <si>
    <t>▸ 取扱有無を編集中の品種の状態に変更する。</t>
  </si>
  <si>
    <t>▸ 下位階層も同設定：黒い四角ボタンを表示する。</t>
  </si>
  <si>
    <t>(4)=&gt;</t>
  </si>
  <si>
    <t>5. 分類の取扱有無の設定を変更する。</t>
  </si>
  <si>
    <t>・「下位階層も同設定」項目: 編集中のレコードを含む部門、品群、品種のレコードでは白い四角ボタンを表示する。</t>
  </si>
  <si>
    <t>6. 部門：「下位階層も同設定」項目では黒い四角ボタンを表示する。</t>
  </si>
  <si>
    <t>・黒い四角ボタンをタッチする。</t>
  </si>
  <si>
    <t>‣他のレコードでは取扱有無、下位階層も同設定を変更しない。</t>
  </si>
  <si>
    <t>‣下位階層も同設定項目では白い四角ボタンを表示する。</t>
  </si>
  <si>
    <t>・品群、品種、分類をタッチした場合の動作と同様</t>
  </si>
  <si>
    <t>0.3.7</t>
  </si>
  <si>
    <t>シート：機能概要、取扱有無と下位階層も同設定の詳細</t>
  </si>
  <si>
    <t>・下位階層同設定ボタンは常に押下可能という認識です。_x000B_</t>
  </si>
  <si>
    <t>取扱有無と下位階層も同設定の詳細</t>
  </si>
  <si>
    <t>カスミ　佐々木</t>
    <rPh sb="4" eb="7">
      <t>ササキ</t>
    </rPh>
    <phoneticPr fontId="1"/>
  </si>
  <si>
    <t>・「1. 商品には取扱有無が設定されていない場合」とはどんな場合でしょうか
　※ 【商品採用店舗確認】画面で設定のことでしょうか？</t>
  </si>
  <si>
    <t>この画面は部門設定の画面でした。
　「単品で【商品採用店舗確認】画面で設定が行われている場合は除外する」は無効として下さい。</t>
  </si>
  <si>
    <t>機能概要</t>
    <phoneticPr fontId="1"/>
  </si>
  <si>
    <t>・単品で【商品採用店舗確認】画面で設定が行われている場合は除外する</t>
  </si>
  <si>
    <t>・「編集」ボタンをタッチすると、MD2501_商品部門編集モダールが表示される。選択行がない場合、「明細行が選択されていません。」エラーモダールが表示される。
＝＞編集ボタン、MD2501_商品部門編集モダールはなくなる認識</t>
  </si>
  <si>
    <t>・部門コード: 名称：データありが必須‣品郡コード: 名称：設定がない場合、「-」を表示する。
・品種コード: 名称：設定がない場合、「-」を表示する。
・分類コード: 名称：設定がない場合、「-」を表示する。
＝＞「ー」表示はなくなる。</t>
  </si>
  <si>
    <t xml:space="preserve">・有:●〇、無: 〇●を有:●、無: 〇で表示することの方が見易い </t>
  </si>
  <si>
    <t>連携されていない場合、「選択された店舗はテナント連携が行われている店舗で はないため、当機能は利用できません。」メッセージを含むエラーモダールが表示される。=&gt;店舗マスタに【ウエルシア社扱い区分】で対象店を設定する。という考慮が必要</t>
  </si>
  <si>
    <t>指摘履歴</t>
  </si>
  <si>
    <t>佐々木</t>
  </si>
  <si>
    <t>カスミ</t>
  </si>
  <si>
    <t>指摘履歴シートによる更新</t>
  </si>
  <si>
    <r>
      <rPr>
        <sz val="11"/>
        <color rgb="FF000000"/>
        <rFont val="Meiryo UI"/>
        <family val="2"/>
      </rPr>
      <t>・取扱有無は</t>
    </r>
    <r>
      <rPr>
        <strike/>
        <sz val="11"/>
        <color rgb="FF0000FF"/>
        <rFont val="Meiryo UI"/>
        <family val="2"/>
      </rPr>
      <t>取扱設定マスタ編集モダール又は</t>
    </r>
    <r>
      <rPr>
        <sz val="11"/>
        <color rgb="FF000000"/>
        <rFont val="Meiryo UI"/>
        <family val="2"/>
      </rPr>
      <t>各レコードの「下位階層も同設定」項目にある四角をタッチすることで変更可能</t>
    </r>
  </si>
  <si>
    <r>
      <rPr>
        <sz val="11"/>
        <color rgb="FF000000"/>
        <rFont val="Meiryo UI"/>
        <family val="2"/>
      </rPr>
      <t>・「下位階層も同設定」項目の状態：</t>
    </r>
    <r>
      <rPr>
        <sz val="11"/>
        <color rgb="FF0000FF"/>
        <rFont val="Meiryo UI"/>
        <family val="2"/>
      </rPr>
      <t>「下位階層も同設定」ボタンが常に有効になる。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</si>
</sst>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sz val="11"/>
      <color rgb="FF00206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7030A0"/>
      <name val="Meiryo UI"/>
      <family val="2"/>
    </font>
    <font>
      <sz val="11"/>
      <color rgb="FFFF0000"/>
      <name val="Meiryo UI"/>
      <family val="2"/>
    </font>
    <font>
      <strike/>
      <sz val="11"/>
      <color theme="1"/>
      <name val="Meiryo UI"/>
      <family val="2"/>
    </font>
    <font>
      <b/>
      <sz val="11"/>
      <color theme="1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10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/>
  </cellStyleXfs>
  <cellXfs count="389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9" fillId="0" borderId="19" xfId="0" applyFont="1" applyBorder="1"/>
    <xf numFmtId="0" fontId="6" fillId="0" borderId="0" xfId="0" applyFont="1"/>
    <xf numFmtId="0" fontId="10" fillId="0" borderId="0" xfId="7" applyFont="1">
      <alignment vertical="center"/>
    </xf>
    <xf numFmtId="0" fontId="10" fillId="0" borderId="0" xfId="0" applyFont="1"/>
    <xf numFmtId="0" fontId="6" fillId="0" borderId="0" xfId="7" applyFont="1">
      <alignment vertical="center"/>
    </xf>
    <xf numFmtId="0" fontId="11" fillId="0" borderId="0" xfId="7" applyFont="1">
      <alignment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8" fillId="0" borderId="0" xfId="7" applyFont="1">
      <alignment vertical="center"/>
    </xf>
    <xf numFmtId="0" fontId="18" fillId="0" borderId="0" xfId="0" quotePrefix="1" applyFont="1"/>
    <xf numFmtId="0" fontId="18" fillId="0" borderId="1" xfId="7" applyFont="1" applyBorder="1">
      <alignment vertical="center"/>
    </xf>
    <xf numFmtId="0" fontId="18" fillId="0" borderId="0" xfId="7" quotePrefix="1" applyFont="1">
      <alignment vertical="center"/>
    </xf>
    <xf numFmtId="0" fontId="18" fillId="0" borderId="4" xfId="7" applyFont="1" applyBorder="1">
      <alignment vertical="center"/>
    </xf>
    <xf numFmtId="0" fontId="21" fillId="0" borderId="0" xfId="7" applyFont="1">
      <alignment vertical="center"/>
    </xf>
    <xf numFmtId="0" fontId="18" fillId="0" borderId="2" xfId="7" applyFont="1" applyBorder="1">
      <alignment vertical="center"/>
    </xf>
    <xf numFmtId="0" fontId="18" fillId="0" borderId="3" xfId="7" applyFont="1" applyBorder="1">
      <alignment vertical="center"/>
    </xf>
    <xf numFmtId="0" fontId="18" fillId="0" borderId="5" xfId="7" applyFont="1" applyBorder="1">
      <alignment vertical="center"/>
    </xf>
    <xf numFmtId="0" fontId="15" fillId="2" borderId="0" xfId="0" applyFont="1" applyFill="1" applyAlignment="1">
      <alignment vertical="center"/>
    </xf>
    <xf numFmtId="0" fontId="14" fillId="2" borderId="16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17" xfId="0" applyFont="1" applyFill="1" applyBorder="1" applyAlignment="1">
      <alignment vertical="center"/>
    </xf>
    <xf numFmtId="0" fontId="18" fillId="0" borderId="18" xfId="0" applyFont="1" applyBorder="1"/>
    <xf numFmtId="0" fontId="18" fillId="0" borderId="19" xfId="7" applyFont="1" applyBorder="1">
      <alignment vertical="center"/>
    </xf>
    <xf numFmtId="0" fontId="18" fillId="0" borderId="19" xfId="0" applyFont="1" applyBorder="1"/>
    <xf numFmtId="0" fontId="18" fillId="0" borderId="18" xfId="7" applyFont="1" applyBorder="1">
      <alignment vertical="center"/>
    </xf>
    <xf numFmtId="0" fontId="18" fillId="0" borderId="27" xfId="7" applyFont="1" applyBorder="1">
      <alignment vertical="center"/>
    </xf>
    <xf numFmtId="0" fontId="18" fillId="0" borderId="0" xfId="0" applyFont="1" applyAlignment="1">
      <alignment wrapText="1"/>
    </xf>
    <xf numFmtId="0" fontId="18" fillId="0" borderId="21" xfId="0" applyFont="1" applyBorder="1"/>
    <xf numFmtId="0" fontId="18" fillId="0" borderId="20" xfId="0" applyFont="1" applyBorder="1"/>
    <xf numFmtId="0" fontId="18" fillId="0" borderId="0" xfId="6" applyFont="1" applyAlignment="1">
      <alignment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2" fontId="18" fillId="0" borderId="32" xfId="0" applyNumberFormat="1" applyFont="1" applyBorder="1" applyAlignment="1">
      <alignment horizontal="center" vertical="center"/>
    </xf>
    <xf numFmtId="2" fontId="18" fillId="0" borderId="33" xfId="0" applyNumberFormat="1" applyFont="1" applyBorder="1" applyAlignment="1">
      <alignment horizontal="center" vertical="center"/>
    </xf>
    <xf numFmtId="2" fontId="18" fillId="0" borderId="34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32" xfId="0" applyNumberFormat="1" applyFont="1" applyBorder="1" applyAlignment="1">
      <alignment horizontal="center" vertical="center"/>
    </xf>
    <xf numFmtId="14" fontId="18" fillId="0" borderId="33" xfId="0" applyNumberFormat="1" applyFont="1" applyBorder="1" applyAlignment="1">
      <alignment horizontal="center" vertical="center"/>
    </xf>
    <xf numFmtId="14" fontId="18" fillId="0" borderId="34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35" xfId="0" applyFont="1" applyBorder="1"/>
    <xf numFmtId="0" fontId="18" fillId="0" borderId="36" xfId="0" applyFont="1" applyBorder="1"/>
    <xf numFmtId="0" fontId="18" fillId="0" borderId="22" xfId="0" applyFont="1" applyBorder="1"/>
    <xf numFmtId="0" fontId="18" fillId="0" borderId="33" xfId="0" applyFont="1" applyBorder="1"/>
    <xf numFmtId="0" fontId="18" fillId="0" borderId="34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32" xfId="0" applyFont="1" applyBorder="1"/>
    <xf numFmtId="0" fontId="18" fillId="0" borderId="2" xfId="0" applyFont="1" applyBorder="1"/>
    <xf numFmtId="0" fontId="18" fillId="0" borderId="37" xfId="0" applyFont="1" applyBorder="1"/>
    <xf numFmtId="0" fontId="18" fillId="0" borderId="38" xfId="0" applyFont="1" applyBorder="1"/>
    <xf numFmtId="0" fontId="18" fillId="0" borderId="39" xfId="0" applyFont="1" applyBorder="1"/>
    <xf numFmtId="0" fontId="14" fillId="2" borderId="0" xfId="0" applyFont="1" applyFill="1"/>
    <xf numFmtId="14" fontId="6" fillId="0" borderId="32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22" xfId="0" applyFont="1" applyBorder="1"/>
    <xf numFmtId="0" fontId="6" fillId="0" borderId="37" xfId="0" applyFont="1" applyBorder="1"/>
    <xf numFmtId="0" fontId="6" fillId="0" borderId="38" xfId="0" applyFont="1" applyBorder="1"/>
    <xf numFmtId="0" fontId="6" fillId="0" borderId="39" xfId="0" applyFont="1" applyBorder="1"/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4" fillId="2" borderId="29" xfId="6" applyFont="1" applyFill="1" applyBorder="1" applyAlignment="1">
      <alignment horizontal="center" vertical="center"/>
    </xf>
    <xf numFmtId="0" fontId="14" fillId="2" borderId="30" xfId="6" applyFont="1" applyFill="1" applyBorder="1" applyAlignment="1">
      <alignment horizontal="center" vertical="center"/>
    </xf>
    <xf numFmtId="0" fontId="14" fillId="2" borderId="31" xfId="6" applyFont="1" applyFill="1" applyBorder="1" applyAlignment="1">
      <alignment horizontal="center" vertical="center"/>
    </xf>
    <xf numFmtId="0" fontId="16" fillId="0" borderId="32" xfId="6" applyFont="1" applyBorder="1" applyAlignment="1">
      <alignment horizontal="center" vertical="center"/>
    </xf>
    <xf numFmtId="0" fontId="16" fillId="0" borderId="33" xfId="6" applyFont="1" applyBorder="1" applyAlignment="1">
      <alignment horizontal="center" vertical="center"/>
    </xf>
    <xf numFmtId="0" fontId="16" fillId="0" borderId="34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7" borderId="32" xfId="6" applyFont="1" applyFill="1" applyBorder="1" applyAlignment="1">
      <alignment vertical="center" wrapText="1"/>
    </xf>
    <xf numFmtId="0" fontId="6" fillId="7" borderId="34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2" xfId="6" applyFont="1" applyFill="1" applyBorder="1" applyAlignment="1">
      <alignment vertical="center"/>
    </xf>
    <xf numFmtId="0" fontId="6" fillId="7" borderId="33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6" xfId="6" applyFont="1" applyFill="1" applyBorder="1" applyAlignment="1">
      <alignment vertical="center" shrinkToFit="1"/>
    </xf>
    <xf numFmtId="0" fontId="6" fillId="7" borderId="48" xfId="6" applyFont="1" applyFill="1" applyBorder="1" applyAlignment="1">
      <alignment vertical="center" shrinkToFit="1"/>
    </xf>
    <xf numFmtId="0" fontId="6" fillId="7" borderId="47" xfId="6" applyFont="1" applyFill="1" applyBorder="1" applyAlignment="1">
      <alignment vertical="center" shrinkToFit="1"/>
    </xf>
    <xf numFmtId="0" fontId="7" fillId="7" borderId="46" xfId="6" applyFont="1" applyFill="1" applyBorder="1" applyAlignment="1">
      <alignment vertical="center" wrapText="1"/>
    </xf>
    <xf numFmtId="0" fontId="7" fillId="7" borderId="48" xfId="6" applyFont="1" applyFill="1" applyBorder="1" applyAlignment="1">
      <alignment vertical="center" wrapText="1"/>
    </xf>
    <xf numFmtId="0" fontId="7" fillId="7" borderId="47" xfId="6" applyFont="1" applyFill="1" applyBorder="1" applyAlignment="1">
      <alignment vertical="center" wrapText="1"/>
    </xf>
    <xf numFmtId="0" fontId="7" fillId="5" borderId="29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/>
    </xf>
    <xf numFmtId="0" fontId="6" fillId="5" borderId="49" xfId="6" applyFont="1" applyFill="1" applyBorder="1" applyAlignment="1">
      <alignment vertical="center"/>
    </xf>
    <xf numFmtId="0" fontId="7" fillId="5" borderId="5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0" borderId="35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6" fillId="0" borderId="42" xfId="6" applyFont="1" applyBorder="1" applyAlignment="1">
      <alignment vertical="center"/>
    </xf>
    <xf numFmtId="0" fontId="7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7" fillId="4" borderId="29" xfId="6" applyFont="1" applyFill="1" applyBorder="1" applyAlignment="1">
      <alignment vertical="center"/>
    </xf>
    <xf numFmtId="0" fontId="6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7" fillId="6" borderId="32" xfId="6" applyFont="1" applyFill="1" applyBorder="1" applyAlignment="1">
      <alignment vertical="center"/>
    </xf>
    <xf numFmtId="0" fontId="6" fillId="6" borderId="33" xfId="6" applyFont="1" applyFill="1" applyBorder="1" applyAlignment="1">
      <alignment vertical="center"/>
    </xf>
    <xf numFmtId="0" fontId="6" fillId="6" borderId="34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9" xfId="6" applyFont="1" applyFill="1" applyBorder="1"/>
    <xf numFmtId="0" fontId="7" fillId="4" borderId="30" xfId="6" applyFont="1" applyFill="1" applyBorder="1"/>
    <xf numFmtId="0" fontId="7" fillId="4" borderId="31" xfId="6" applyFont="1" applyFill="1" applyBorder="1"/>
    <xf numFmtId="0" fontId="7" fillId="4" borderId="32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6" fillId="4" borderId="34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6" xfId="6" applyFont="1" applyFill="1" applyBorder="1" applyAlignment="1">
      <alignment vertical="center" wrapText="1"/>
    </xf>
    <xf numFmtId="0" fontId="7" fillId="5" borderId="47" xfId="6" applyFont="1" applyFill="1" applyBorder="1" applyAlignment="1">
      <alignment vertical="center" wrapText="1"/>
    </xf>
    <xf numFmtId="0" fontId="7" fillId="5" borderId="34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5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8" fillId="0" borderId="35" xfId="6" applyFont="1" applyBorder="1" applyAlignment="1">
      <alignment vertical="center" wrapText="1"/>
    </xf>
    <xf numFmtId="0" fontId="18" fillId="0" borderId="36" xfId="6" applyFont="1" applyBorder="1" applyAlignment="1">
      <alignment vertical="center" wrapText="1"/>
    </xf>
    <xf numFmtId="0" fontId="18" fillId="0" borderId="22" xfId="6" applyFont="1" applyBorder="1" applyAlignment="1">
      <alignment vertical="center" wrapText="1"/>
    </xf>
    <xf numFmtId="0" fontId="6" fillId="0" borderId="40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0" xfId="6" quotePrefix="1" applyFont="1" applyBorder="1" applyAlignment="1">
      <alignment vertical="center" wrapText="1"/>
    </xf>
    <xf numFmtId="0" fontId="6" fillId="0" borderId="41" xfId="6" quotePrefix="1" applyFont="1" applyBorder="1" applyAlignment="1">
      <alignment vertical="center" wrapText="1"/>
    </xf>
    <xf numFmtId="0" fontId="6" fillId="0" borderId="42" xfId="6" quotePrefix="1" applyFont="1" applyBorder="1" applyAlignment="1">
      <alignment vertical="center" wrapText="1"/>
    </xf>
    <xf numFmtId="0" fontId="7" fillId="0" borderId="40" xfId="6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42" xfId="6" quotePrefix="1" applyFont="1" applyBorder="1" applyAlignment="1">
      <alignment vertical="center"/>
    </xf>
    <xf numFmtId="0" fontId="7" fillId="0" borderId="40" xfId="6" quotePrefix="1" applyFont="1" applyBorder="1" applyAlignment="1">
      <alignment horizontal="center" vertical="center" wrapText="1"/>
    </xf>
    <xf numFmtId="0" fontId="7" fillId="0" borderId="41" xfId="6" applyFont="1" applyBorder="1" applyAlignment="1">
      <alignment horizontal="center" vertical="center" wrapText="1"/>
    </xf>
    <xf numFmtId="0" fontId="7" fillId="0" borderId="42" xfId="6" applyFont="1" applyBorder="1" applyAlignment="1">
      <alignment horizontal="center" vertical="center" wrapText="1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42" xfId="6" applyFont="1" applyBorder="1" applyAlignment="1">
      <alignment horizontal="left" vertical="center"/>
    </xf>
    <xf numFmtId="0" fontId="18" fillId="0" borderId="40" xfId="6" applyFont="1" applyBorder="1" applyAlignment="1">
      <alignment vertical="center"/>
    </xf>
    <xf numFmtId="0" fontId="18" fillId="0" borderId="41" xfId="6" applyFont="1" applyBorder="1" applyAlignment="1">
      <alignment vertical="center"/>
    </xf>
    <xf numFmtId="0" fontId="18" fillId="0" borderId="42" xfId="6" applyFont="1" applyBorder="1" applyAlignment="1">
      <alignment vertical="center"/>
    </xf>
    <xf numFmtId="0" fontId="8" fillId="0" borderId="40" xfId="6" applyFont="1" applyBorder="1" applyAlignment="1">
      <alignment vertical="center" wrapText="1"/>
    </xf>
    <xf numFmtId="0" fontId="7" fillId="0" borderId="40" xfId="6" quotePrefix="1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18" fillId="0" borderId="43" xfId="6" quotePrefix="1" applyFont="1" applyBorder="1" applyAlignment="1">
      <alignment vertical="center"/>
    </xf>
    <xf numFmtId="0" fontId="18" fillId="0" borderId="44" xfId="6" quotePrefix="1" applyFont="1" applyBorder="1" applyAlignment="1">
      <alignment vertical="center"/>
    </xf>
    <xf numFmtId="0" fontId="18" fillId="0" borderId="45" xfId="6" quotePrefix="1" applyFont="1" applyBorder="1" applyAlignment="1">
      <alignment vertical="center"/>
    </xf>
    <xf numFmtId="0" fontId="6" fillId="0" borderId="40" xfId="6" quotePrefix="1" applyFont="1" applyBorder="1" applyAlignment="1">
      <alignment horizontal="center" vertical="center"/>
    </xf>
    <xf numFmtId="0" fontId="18" fillId="0" borderId="43" xfId="6" applyFont="1" applyBorder="1" applyAlignment="1">
      <alignment vertical="center"/>
    </xf>
    <xf numFmtId="0" fontId="18" fillId="0" borderId="44" xfId="6" applyFont="1" applyBorder="1" applyAlignment="1">
      <alignment vertical="center"/>
    </xf>
    <xf numFmtId="0" fontId="18" fillId="0" borderId="45" xfId="6" applyFont="1" applyBorder="1" applyAlignment="1">
      <alignment vertical="center"/>
    </xf>
    <xf numFmtId="0" fontId="6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18" fillId="0" borderId="37" xfId="6" applyFont="1" applyBorder="1" applyAlignment="1">
      <alignment vertical="center"/>
    </xf>
    <xf numFmtId="0" fontId="18" fillId="0" borderId="38" xfId="6" applyFont="1" applyBorder="1" applyAlignment="1">
      <alignment vertical="center"/>
    </xf>
    <xf numFmtId="0" fontId="18" fillId="0" borderId="39" xfId="6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7" fillId="0" borderId="37" xfId="6" quotePrefix="1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6" fillId="0" borderId="51" xfId="0" quotePrefix="1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9" xfId="0" quotePrefix="1" applyFont="1" applyBorder="1" applyAlignment="1">
      <alignment horizontal="center" vertical="center"/>
    </xf>
    <xf numFmtId="0" fontId="6" fillId="0" borderId="30" xfId="0" quotePrefix="1" applyFont="1" applyBorder="1" applyAlignment="1">
      <alignment horizontal="center" vertical="center"/>
    </xf>
    <xf numFmtId="0" fontId="6" fillId="0" borderId="31" xfId="0" quotePrefix="1" applyFont="1" applyBorder="1" applyAlignment="1">
      <alignment horizontal="center" vertical="center"/>
    </xf>
    <xf numFmtId="0" fontId="6" fillId="0" borderId="1" xfId="0" applyFont="1" applyBorder="1"/>
    <xf numFmtId="0" fontId="6" fillId="0" borderId="18" xfId="0" applyFont="1" applyBorder="1"/>
    <xf numFmtId="0" fontId="6" fillId="0" borderId="0" xfId="0" quotePrefix="1" applyFont="1"/>
    <xf numFmtId="0" fontId="6" fillId="0" borderId="19" xfId="0" applyFont="1" applyBorder="1"/>
    <xf numFmtId="0" fontId="23" fillId="0" borderId="1" xfId="0" applyFont="1" applyBorder="1"/>
    <xf numFmtId="0" fontId="23" fillId="0" borderId="0" xfId="0" applyFont="1"/>
    <xf numFmtId="0" fontId="23" fillId="0" borderId="18" xfId="0" applyFont="1" applyBorder="1"/>
    <xf numFmtId="0" fontId="23" fillId="0" borderId="19" xfId="0" applyFont="1" applyBorder="1"/>
    <xf numFmtId="0" fontId="23" fillId="0" borderId="0" xfId="0" quotePrefix="1" applyFont="1"/>
    <xf numFmtId="0" fontId="24" fillId="8" borderId="51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9" borderId="30" xfId="0" applyFont="1" applyFill="1" applyBorder="1" applyAlignment="1">
      <alignment horizontal="center" vertical="center"/>
    </xf>
    <xf numFmtId="0" fontId="24" fillId="9" borderId="31" xfId="0" applyFont="1" applyFill="1" applyBorder="1" applyAlignment="1">
      <alignment horizontal="center" vertical="center"/>
    </xf>
    <xf numFmtId="0" fontId="24" fillId="9" borderId="29" xfId="0" applyFont="1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6" fillId="0" borderId="53" xfId="0" applyFont="1" applyBorder="1" applyAlignment="1">
      <alignment horizontal="center" vertical="center"/>
    </xf>
    <xf numFmtId="0" fontId="6" fillId="3" borderId="28" xfId="0" applyFont="1" applyFill="1" applyBorder="1" applyAlignment="1">
      <alignment vertical="center"/>
    </xf>
    <xf numFmtId="0" fontId="23" fillId="0" borderId="29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23" fillId="0" borderId="53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18" fillId="0" borderId="39" xfId="0" applyFont="1" applyBorder="1" applyAlignment="1">
      <alignment vertical="top"/>
    </xf>
    <xf numFmtId="0" fontId="18" fillId="0" borderId="38" xfId="0" applyFont="1" applyBorder="1" applyAlignment="1">
      <alignment vertical="top"/>
    </xf>
    <xf numFmtId="0" fontId="18" fillId="0" borderId="37" xfId="0" applyFont="1" applyBorder="1" applyAlignment="1">
      <alignment vertical="top" wrapText="1"/>
    </xf>
    <xf numFmtId="0" fontId="18" fillId="0" borderId="37" xfId="0" applyFont="1" applyBorder="1" applyAlignment="1">
      <alignment wrapText="1"/>
    </xf>
    <xf numFmtId="0" fontId="18" fillId="0" borderId="45" xfId="0" applyFont="1" applyBorder="1"/>
    <xf numFmtId="0" fontId="18" fillId="0" borderId="44" xfId="0" applyFont="1" applyBorder="1"/>
    <xf numFmtId="0" fontId="18" fillId="0" borderId="43" xfId="0" applyFont="1" applyBorder="1"/>
    <xf numFmtId="0" fontId="18" fillId="0" borderId="54" xfId="0" applyFont="1" applyBorder="1"/>
    <xf numFmtId="0" fontId="18" fillId="0" borderId="55" xfId="0" applyFont="1" applyBorder="1"/>
    <xf numFmtId="0" fontId="18" fillId="0" borderId="56" xfId="0" applyFont="1" applyBorder="1" applyAlignment="1">
      <alignment wrapText="1"/>
    </xf>
    <xf numFmtId="0" fontId="18" fillId="0" borderId="4" xfId="0" applyFont="1" applyBorder="1"/>
    <xf numFmtId="0" fontId="18" fillId="0" borderId="0" xfId="0" applyFont="1"/>
    <xf numFmtId="0" fontId="18" fillId="0" borderId="1" xfId="0" applyFont="1" applyBorder="1"/>
    <xf numFmtId="0" fontId="18" fillId="0" borderId="57" xfId="0" applyFont="1" applyBorder="1"/>
    <xf numFmtId="0" fontId="18" fillId="0" borderId="58" xfId="0" applyFont="1" applyBorder="1"/>
    <xf numFmtId="0" fontId="18" fillId="0" borderId="59" xfId="0" applyFont="1" applyBorder="1" applyAlignment="1">
      <alignment wrapText="1"/>
    </xf>
    <xf numFmtId="0" fontId="22" fillId="0" borderId="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0" borderId="60" xfId="0" applyFont="1" applyBorder="1"/>
    <xf numFmtId="0" fontId="18" fillId="0" borderId="61" xfId="0" applyFont="1" applyBorder="1"/>
    <xf numFmtId="0" fontId="18" fillId="0" borderId="62" xfId="0" applyFont="1" applyBorder="1"/>
    <xf numFmtId="0" fontId="22" fillId="0" borderId="33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8" fillId="0" borderId="63" xfId="0" applyFont="1" applyBorder="1"/>
    <xf numFmtId="0" fontId="18" fillId="0" borderId="64" xfId="0" applyFont="1" applyBorder="1"/>
    <xf numFmtId="0" fontId="18" fillId="0" borderId="65" xfId="0" applyFont="1" applyBorder="1" applyAlignment="1">
      <alignment wrapText="1"/>
    </xf>
    <xf numFmtId="14" fontId="25" fillId="0" borderId="32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5" xfId="0" applyFont="1" applyBorder="1"/>
    <xf numFmtId="0" fontId="25" fillId="0" borderId="36" xfId="0" applyFont="1" applyBorder="1"/>
    <xf numFmtId="0" fontId="25" fillId="0" borderId="22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37" xfId="0" applyFont="1" applyBorder="1"/>
    <xf numFmtId="0" fontId="25" fillId="0" borderId="38" xfId="0" applyFont="1" applyBorder="1"/>
    <xf numFmtId="0" fontId="25" fillId="0" borderId="39" xfId="0" applyFont="1" applyBorder="1"/>
    <xf numFmtId="0" fontId="18" fillId="0" borderId="69" xfId="0" applyFont="1" applyBorder="1"/>
    <xf numFmtId="14" fontId="18" fillId="0" borderId="32" xfId="0" applyNumberFormat="1" applyFont="1" applyBorder="1"/>
    <xf numFmtId="0" fontId="18" fillId="0" borderId="68" xfId="0" applyFont="1" applyBorder="1"/>
    <xf numFmtId="0" fontId="18" fillId="0" borderId="67" xfId="0" applyFont="1" applyBorder="1"/>
    <xf numFmtId="0" fontId="18" fillId="0" borderId="66" xfId="0" applyFont="1" applyBorder="1"/>
    <xf numFmtId="0" fontId="25" fillId="0" borderId="0" xfId="0" applyFont="1"/>
    <xf numFmtId="0" fontId="25" fillId="0" borderId="0" xfId="7" applyFo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  <cellStyle name="標準 2 2" xfId="8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80</xdr:row>
      <xdr:rowOff>0</xdr:rowOff>
    </xdr:from>
    <xdr:to>
      <xdr:col>61</xdr:col>
      <xdr:colOff>0</xdr:colOff>
      <xdr:row>85</xdr:row>
      <xdr:rowOff>0</xdr:rowOff>
    </xdr:to>
    <xdr:sp macro="" textlink="" fLocksText="0">
      <xdr:nvSpPr>
        <xdr:cNvPr id="52" name="吹き出し: 線 2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10134600" y="15354300"/>
          <a:ext cx="6134100" cy="952500"/>
        </a:xfrm>
        <a:prstGeom prst="borderCallout1">
          <a:avLst>
            <a:gd name="adj1" fmla="val 48210"/>
            <a:gd name="adj2" fmla="val 884"/>
            <a:gd name="adj3" fmla="val -214536"/>
            <a:gd name="adj4" fmla="val -1312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・APIを呼び出して、商品部門の検索条件（レベル別検索）でデータを取得する。レベル：部門、品群、品種、分類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・商品部門結果一覧は以下のように昇順で並び替える。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部門コード-&gt; 品群コード -&gt; 品種コード -&gt; 分類コード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86</xdr:row>
      <xdr:rowOff>0</xdr:rowOff>
    </xdr:from>
    <xdr:to>
      <xdr:col>61</xdr:col>
      <xdr:colOff>0</xdr:colOff>
      <xdr:row>97</xdr:row>
      <xdr:rowOff>0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10134600" y="16497300"/>
          <a:ext cx="6134100" cy="2095500"/>
        </a:xfrm>
        <a:prstGeom prst="borderCallout1">
          <a:avLst>
            <a:gd name="adj1" fmla="val 48210"/>
            <a:gd name="adj2" fmla="val 884"/>
            <a:gd name="adj3" fmla="val -5566"/>
            <a:gd name="adj4" fmla="val -696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・商品部門の取扱有無更新を実行し、複数の商品部門更新が可能 変更がない場合、「更新データがありません。」通知モダールを表示する。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・商品部門に関連する機能フローがあるデータベース内のテーブルの取扱有無を更新する。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‣05_ミックスマッチ設定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 06_1, 7, 8 定番売価変更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 08_カテゴリ値引・割引設定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商品部門に関連する処理フローは取扱有無に基づいてその商品部門を表示かどうかを決定する。</a:t>
          </a:r>
        </a:p>
      </xdr:txBody>
    </xdr:sp>
    <xdr:clientData/>
  </xdr:twoCellAnchor>
  <xdr:twoCellAnchor>
    <xdr:from>
      <xdr:col>38</xdr:col>
      <xdr:colOff>0</xdr:colOff>
      <xdr:row>17</xdr:row>
      <xdr:rowOff>0</xdr:rowOff>
    </xdr:from>
    <xdr:to>
      <xdr:col>61</xdr:col>
      <xdr:colOff>0</xdr:colOff>
      <xdr:row>21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0134600" y="3352800"/>
          <a:ext cx="6134100" cy="762000"/>
        </a:xfrm>
        <a:prstGeom prst="borderCallout1">
          <a:avLst>
            <a:gd name="adj1" fmla="val 51887"/>
            <a:gd name="adj2" fmla="val 470"/>
            <a:gd name="adj3" fmla="val 96284"/>
            <a:gd name="adj4" fmla="val -1326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29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4495800"/>
          <a:ext cx="6134100" cy="1143000"/>
        </a:xfrm>
        <a:prstGeom prst="borderCallout1">
          <a:avLst>
            <a:gd name="adj1" fmla="val 46845"/>
            <a:gd name="adj2" fmla="val 677"/>
            <a:gd name="adj3" fmla="val 157595"/>
            <a:gd name="adj4" fmla="val -131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顧客が選択した店舗を保存する。SC2501_取扱設定マスタ設定(KSM)画面に戻ると、観客が選択した店舗を表示する。SCX0101_メインメニュー画面に戻ると、顧客が選択した店舗をクリアする。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38</xdr:col>
      <xdr:colOff>0</xdr:colOff>
      <xdr:row>30</xdr:row>
      <xdr:rowOff>0</xdr:rowOff>
    </xdr:from>
    <xdr:to>
      <xdr:col>61</xdr:col>
      <xdr:colOff>0</xdr:colOff>
      <xdr:row>34</xdr:row>
      <xdr:rowOff>67235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134600" y="5829300"/>
          <a:ext cx="6134100" cy="828675"/>
        </a:xfrm>
        <a:prstGeom prst="borderCallout1">
          <a:avLst>
            <a:gd name="adj1" fmla="val 48210"/>
            <a:gd name="adj2" fmla="val 884"/>
            <a:gd name="adj3" fmla="val 175986"/>
            <a:gd name="adj4" fmla="val -1401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・「決定」ボタン：KN2601_KSM連携店舗情報確認機能を呼び出す。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・「取消」ボタン：モダールを閉じて、SCX101_メインメニュー画面に戻る。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11209</xdr:colOff>
      <xdr:row>9</xdr:row>
      <xdr:rowOff>0</xdr:rowOff>
    </xdr:from>
    <xdr:to>
      <xdr:col>8</xdr:col>
      <xdr:colOff>0</xdr:colOff>
      <xdr:row>13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2925" y="18288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13</xdr:row>
      <xdr:rowOff>0</xdr:rowOff>
    </xdr:from>
    <xdr:to>
      <xdr:col>8</xdr:col>
      <xdr:colOff>0</xdr:colOff>
      <xdr:row>16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590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25 取扱設定マスタ設定(KSM)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8</xdr:col>
      <xdr:colOff>0</xdr:colOff>
      <xdr:row>23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SC2501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取扱設定マスタ設定(KSM)画面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</xdr:colOff>
      <xdr:row>19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13335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</xdr:row>
      <xdr:rowOff>0</xdr:rowOff>
    </xdr:from>
    <xdr:to>
      <xdr:col>8</xdr:col>
      <xdr:colOff>0</xdr:colOff>
      <xdr:row>35</xdr:row>
      <xdr:rowOff>0</xdr:rowOff>
    </xdr:to>
    <xdr:sp macro="" textlink="" fLocksText="0">
      <xdr:nvSpPr>
        <xdr:cNvPr id="6" name="正方形/長方形 1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33400" y="601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6</xdr:col>
      <xdr:colOff>0</xdr:colOff>
      <xdr:row>39</xdr:row>
      <xdr:rowOff>0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66800" y="7162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25</xdr:row>
      <xdr:rowOff>1</xdr:rowOff>
    </xdr:from>
    <xdr:to>
      <xdr:col>13</xdr:col>
      <xdr:colOff>0</xdr:colOff>
      <xdr:row>27</xdr:row>
      <xdr:rowOff>0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400300" y="487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0</xdr:colOff>
      <xdr:row>25</xdr:row>
      <xdr:rowOff>1</xdr:rowOff>
    </xdr:from>
    <xdr:to>
      <xdr:col>7</xdr:col>
      <xdr:colOff>0</xdr:colOff>
      <xdr:row>26</xdr:row>
      <xdr:rowOff>1</xdr:rowOff>
    </xdr:to>
    <xdr:sp macro="" textlink="" fLocksText="0">
      <xdr:nvSpPr>
        <xdr:cNvPr id="9" name="四角形: 角を丸くする 110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00100" y="48768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27</xdr:row>
      <xdr:rowOff>1</xdr:rowOff>
    </xdr:from>
    <xdr:to>
      <xdr:col>11</xdr:col>
      <xdr:colOff>1</xdr:colOff>
      <xdr:row>31</xdr:row>
      <xdr:rowOff>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8" idx="2"/>
          <a:endCxn id="6" idx="0"/>
        </xdr:cNvCxnSpPr>
      </xdr:nvCxnSpPr>
      <xdr:spPr>
        <a:xfrm rot="5400000">
          <a:off x="1333500" y="5257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</xdr:row>
      <xdr:rowOff>1</xdr:rowOff>
    </xdr:from>
    <xdr:to>
      <xdr:col>5</xdr:col>
      <xdr:colOff>0</xdr:colOff>
      <xdr:row>31</xdr:row>
      <xdr:rowOff>0</xdr:rowOff>
    </xdr:to>
    <xdr:cxnSp macro="">
      <xdr:nvCxnSpPr>
        <xdr:cNvPr id="11" name="直線矢印コネクタ 10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9" idx="2"/>
          <a:endCxn id="6" idx="0"/>
        </xdr:cNvCxnSpPr>
      </xdr:nvCxnSpPr>
      <xdr:spPr>
        <a:xfrm>
          <a:off x="1333500" y="5067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190499</xdr:rowOff>
    </xdr:from>
    <xdr:to>
      <xdr:col>11</xdr:col>
      <xdr:colOff>1</xdr:colOff>
      <xdr:row>25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2"/>
          <a:endCxn id="8" idx="0"/>
        </xdr:cNvCxnSpPr>
      </xdr:nvCxnSpPr>
      <xdr:spPr>
        <a:xfrm rot="16200000" flipH="1">
          <a:off x="1333500" y="4495800"/>
          <a:ext cx="16002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39</xdr:row>
      <xdr:rowOff>0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7162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0</xdr:colOff>
      <xdr:row>25</xdr:row>
      <xdr:rowOff>1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4" idx="2"/>
          <a:endCxn id="9" idx="0"/>
        </xdr:cNvCxnSpPr>
      </xdr:nvCxnSpPr>
      <xdr:spPr>
        <a:xfrm>
          <a:off x="1333500" y="449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0</xdr:colOff>
      <xdr:row>37</xdr:row>
      <xdr:rowOff>0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6" idx="2"/>
          <a:endCxn id="7" idx="0"/>
        </xdr:cNvCxnSpPr>
      </xdr:nvCxnSpPr>
      <xdr:spPr>
        <a:xfrm>
          <a:off x="1333500" y="678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39</xdr:row>
      <xdr:rowOff>0</xdr:rowOff>
    </xdr:from>
    <xdr:to>
      <xdr:col>5</xdr:col>
      <xdr:colOff>0</xdr:colOff>
      <xdr:row>41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7" idx="2"/>
        </xdr:cNvCxnSpPr>
      </xdr:nvCxnSpPr>
      <xdr:spPr>
        <a:xfrm flipH="1">
          <a:off x="1304925" y="7543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35</xdr:row>
      <xdr:rowOff>0</xdr:rowOff>
    </xdr:from>
    <xdr:to>
      <xdr:col>12</xdr:col>
      <xdr:colOff>0</xdr:colOff>
      <xdr:row>37</xdr:row>
      <xdr:rowOff>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6" idx="2"/>
          <a:endCxn id="14" idx="0"/>
        </xdr:cNvCxnSpPr>
      </xdr:nvCxnSpPr>
      <xdr:spPr>
        <a:xfrm rot="16200000" flipH="1">
          <a:off x="1304925" y="6781800"/>
          <a:ext cx="18954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0</xdr:rowOff>
    </xdr:from>
    <xdr:to>
      <xdr:col>61</xdr:col>
      <xdr:colOff>0</xdr:colOff>
      <xdr:row>79</xdr:row>
      <xdr:rowOff>0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942294" y="8494059"/>
          <a:ext cx="5412441" cy="6667500"/>
        </a:xfrm>
        <a:prstGeom prst="borderCallout1">
          <a:avLst>
            <a:gd name="adj1" fmla="val 48210"/>
            <a:gd name="adj2" fmla="val 884"/>
            <a:gd name="adj3" fmla="val 43503"/>
            <a:gd name="adj4" fmla="val -13158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・[部門コード]：有効、ブランク、数字2文字まで入力可能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・[F12:検索]ボタンが有効になり、部門コードの検索条件でKN2501_商品部門一覧取得機能を実行する。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‣部門コードを入力しない場合、全ての部門を検索する。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‣部門を正しく入力しない場合、部門入力のエラーモダールを表示する。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‣上記以外の場合、データを取得して商品部門一覧に表示する。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・商品部門一覧にデータがある場合、「編集」ボタン、「確定」ボタンが有効になる。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商品部門一覧はブランクで以下の欄を含む。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‣部門コード: 名称：</a:t>
          </a: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データありが必須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‣品郡コード: 名称：</a:t>
          </a: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設定がない場合、「-」を表示する。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‣品種コード: 名称：</a:t>
          </a: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設定がない場合、「-」を表示する。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‣分類コード: 名称：</a:t>
          </a: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, 設定がない場合、「-」を表示する。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‣取扱有無: 以下2つの状態を含む：有:●〇、無: 〇●。初期化の場合、デフォルト：無/〇●。タッチすると、 有と無の2つの状態が切り替わる。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‣下位階層も同設定： [取扱有無と下位階層も同設定の詳細]シートをご参照ください。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・部門のレコードの場合、品群、品種、分類の欄に「ー」を表示する。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・品群のレコードの場合、品種、分類の欄に「ー」を表示する。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・品種のレコードの場合、分類の欄に「ー」を表示する。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アクション：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・「編集」ボタンをタッチすると、MD2501_商品部門編集モダールが表示される。選択行がない場合、「明細行が選択されていません。」エラーモダールが表示される。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・「確定」ボタンをタッチしてKN2502_商品部門状態更新機能を実行する。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・「F09:確定」ボタンをタッチしてKN2503_商品部門状態更新機能を実行する。</a:t>
          </a:r>
        </a:p>
      </xdr:txBody>
    </xdr:sp>
    <xdr:clientData/>
  </xdr:twoCellAnchor>
  <xdr:twoCellAnchor>
    <xdr:from>
      <xdr:col>29</xdr:col>
      <xdr:colOff>0</xdr:colOff>
      <xdr:row>41</xdr:row>
      <xdr:rowOff>0</xdr:rowOff>
    </xdr:from>
    <xdr:to>
      <xdr:col>35</xdr:col>
      <xdr:colOff>0</xdr:colOff>
      <xdr:row>45</xdr:row>
      <xdr:rowOff>0</xdr:rowOff>
    </xdr:to>
    <xdr:sp macro="" textlink="" fLocksText="0">
      <xdr:nvSpPr>
        <xdr:cNvPr id="50" name="フローチャート: 磁気ディスク 194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7734300" y="7924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AP2601</a:t>
          </a:r>
        </a:p>
        <a:p>
          <a:pPr algn="ctr">
            <a:defRPr lang="en-US" altLang="ja-JP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店舗とKSMの連携情報取得</a:t>
          </a:r>
        </a:p>
      </xdr:txBody>
    </xdr:sp>
    <xdr:clientData/>
  </xdr:twoCellAnchor>
  <xdr:twoCellAnchor>
    <xdr:from>
      <xdr:col>7</xdr:col>
      <xdr:colOff>235322</xdr:colOff>
      <xdr:row>43</xdr:row>
      <xdr:rowOff>0</xdr:rowOff>
    </xdr:from>
    <xdr:to>
      <xdr:col>29</xdr:col>
      <xdr:colOff>0</xdr:colOff>
      <xdr:row>43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endCxn id="50" idx="2"/>
        </xdr:cNvCxnSpPr>
      </xdr:nvCxnSpPr>
      <xdr:spPr>
        <a:xfrm>
          <a:off x="2105025" y="83058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56</xdr:row>
      <xdr:rowOff>0</xdr:rowOff>
    </xdr:from>
    <xdr:to>
      <xdr:col>8</xdr:col>
      <xdr:colOff>0</xdr:colOff>
      <xdr:row>60</xdr:row>
      <xdr:rowOff>0</xdr:rowOff>
    </xdr:to>
    <xdr:sp macro="" textlink="" fLocksText="0">
      <xdr:nvSpPr>
        <xdr:cNvPr id="68" name="正方形/長方形 1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533400" y="10782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SC2501</a:t>
          </a:r>
        </a:p>
        <a:p>
          <a:pPr algn="ctr"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取扱設定マスタ設定(KSM)画面</a:t>
          </a:r>
        </a:p>
      </xdr:txBody>
    </xdr:sp>
    <xdr:clientData/>
  </xdr:twoCellAnchor>
  <xdr:twoCellAnchor>
    <xdr:from>
      <xdr:col>5</xdr:col>
      <xdr:colOff>0</xdr:colOff>
      <xdr:row>48</xdr:row>
      <xdr:rowOff>0</xdr:rowOff>
    </xdr:from>
    <xdr:to>
      <xdr:col>5</xdr:col>
      <xdr:colOff>0</xdr:colOff>
      <xdr:row>56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73" idx="2"/>
          <a:endCxn id="68" idx="0"/>
        </xdr:cNvCxnSpPr>
      </xdr:nvCxnSpPr>
      <xdr:spPr>
        <a:xfrm>
          <a:off x="1333500" y="92583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62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74" name="四角形: 角を丸くする 110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3467100" y="119253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strike="sngStrik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ja-JP" altLang="en-US" sz="1000" strike="sngStrike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21</xdr:col>
      <xdr:colOff>0</xdr:colOff>
      <xdr:row>64</xdr:row>
      <xdr:rowOff>0</xdr:rowOff>
    </xdr:to>
    <xdr:sp macro="" textlink="" fLocksText="0">
      <xdr:nvSpPr>
        <xdr:cNvPr id="75" name="四角形: 角を丸くする 1101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4533900" y="11925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endParaRPr lang="en-US" altLang="ja-JP" sz="10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</a:p>
        <a:p>
          <a:pPr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238124</xdr:colOff>
      <xdr:row>60</xdr:row>
      <xdr:rowOff>0</xdr:rowOff>
    </xdr:from>
    <xdr:to>
      <xdr:col>13</xdr:col>
      <xdr:colOff>238124</xdr:colOff>
      <xdr:row>62</xdr:row>
      <xdr:rowOff>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68" idx="2"/>
          <a:endCxn id="74" idx="0"/>
        </xdr:cNvCxnSpPr>
      </xdr:nvCxnSpPr>
      <xdr:spPr>
        <a:xfrm rot="16200000" flipH="1">
          <a:off x="1304925" y="115443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19</xdr:col>
      <xdr:colOff>0</xdr:colOff>
      <xdr:row>62</xdr:row>
      <xdr:rowOff>0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>
          <a:stCxn id="68" idx="2"/>
          <a:endCxn id="75" idx="0"/>
        </xdr:cNvCxnSpPr>
      </xdr:nvCxnSpPr>
      <xdr:spPr>
        <a:xfrm rot="16200000" flipH="1">
          <a:off x="1333500" y="11544300"/>
          <a:ext cx="37338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62</xdr:row>
      <xdr:rowOff>0</xdr:rowOff>
    </xdr:from>
    <xdr:to>
      <xdr:col>7</xdr:col>
      <xdr:colOff>0</xdr:colOff>
      <xdr:row>64</xdr:row>
      <xdr:rowOff>0</xdr:rowOff>
    </xdr:to>
    <xdr:sp macro="" textlink="" fLocksText="0">
      <xdr:nvSpPr>
        <xdr:cNvPr id="79" name="四角形: 角を丸くする 1101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800100" y="11925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 検索</a:t>
          </a:r>
        </a:p>
      </xdr:txBody>
    </xdr:sp>
    <xdr:clientData/>
  </xdr:twoCellAnchor>
  <xdr:twoCellAnchor>
    <xdr:from>
      <xdr:col>5</xdr:col>
      <xdr:colOff>0</xdr:colOff>
      <xdr:row>60</xdr:row>
      <xdr:rowOff>0</xdr:rowOff>
    </xdr:from>
    <xdr:to>
      <xdr:col>5</xdr:col>
      <xdr:colOff>0</xdr:colOff>
      <xdr:row>62</xdr:row>
      <xdr:rowOff>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CxnSpPr>
          <a:stCxn id="68" idx="2"/>
          <a:endCxn id="79" idx="0"/>
        </xdr:cNvCxnSpPr>
      </xdr:nvCxnSpPr>
      <xdr:spPr>
        <a:xfrm>
          <a:off x="1333500" y="1154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8</xdr:col>
      <xdr:colOff>0</xdr:colOff>
      <xdr:row>86</xdr:row>
      <xdr:rowOff>0</xdr:rowOff>
    </xdr:to>
    <xdr:sp macro="" textlink="" fLocksText="0">
      <xdr:nvSpPr>
        <xdr:cNvPr id="87" name="正方形/長方形 19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533400" y="1573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MD2501</a:t>
          </a:r>
        </a:p>
        <a:p>
          <a:pPr algn="ctr">
            <a:defRPr lang="en-US" altLang="ja-JP" sz="1100" b="0" i="0" u="none" strike="sngStrike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取扱設定マスタ編集モダール</a:t>
          </a:r>
        </a:p>
      </xdr:txBody>
    </xdr:sp>
    <xdr:clientData/>
  </xdr:twoCellAnchor>
  <xdr:twoCellAnchor>
    <xdr:from>
      <xdr:col>5</xdr:col>
      <xdr:colOff>0</xdr:colOff>
      <xdr:row>64</xdr:row>
      <xdr:rowOff>1</xdr:rowOff>
    </xdr:from>
    <xdr:to>
      <xdr:col>14</xdr:col>
      <xdr:colOff>0</xdr:colOff>
      <xdr:row>82</xdr:row>
      <xdr:rowOff>1</xdr:rowOff>
    </xdr:to>
    <xdr:cxnSp macro="">
      <xdr:nvCxnSpPr>
        <xdr:cNvPr id="88" name="Connector: Elbow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74" idx="2"/>
          <a:endCxn id="87" idx="0"/>
        </xdr:cNvCxnSpPr>
      </xdr:nvCxnSpPr>
      <xdr:spPr>
        <a:xfrm rot="5400000">
          <a:off x="1333500" y="12306300"/>
          <a:ext cx="2400300" cy="3429000"/>
        </a:xfrm>
        <a:prstGeom prst="bentConnector3">
          <a:avLst>
            <a:gd name="adj1" fmla="val 9416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64</xdr:row>
      <xdr:rowOff>0</xdr:rowOff>
    </xdr:from>
    <xdr:to>
      <xdr:col>19</xdr:col>
      <xdr:colOff>1401</xdr:colOff>
      <xdr:row>82</xdr:row>
      <xdr:rowOff>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75" idx="2"/>
          <a:endCxn id="137" idx="0"/>
        </xdr:cNvCxnSpPr>
      </xdr:nvCxnSpPr>
      <xdr:spPr>
        <a:xfrm>
          <a:off x="5067300" y="12306300"/>
          <a:ext cx="0" cy="3429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88</xdr:row>
      <xdr:rowOff>0</xdr:rowOff>
    </xdr:from>
    <xdr:to>
      <xdr:col>7</xdr:col>
      <xdr:colOff>0</xdr:colOff>
      <xdr:row>90</xdr:row>
      <xdr:rowOff>0</xdr:rowOff>
    </xdr:to>
    <xdr:sp macro="" textlink="" fLocksText="0">
      <xdr:nvSpPr>
        <xdr:cNvPr id="96" name="四角形: 角を丸くする 1101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705971" y="16876059"/>
          <a:ext cx="941294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strike="sngStrik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strike="sngStrik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12</xdr:col>
      <xdr:colOff>0</xdr:colOff>
      <xdr:row>90</xdr:row>
      <xdr:rowOff>0</xdr:rowOff>
    </xdr:to>
    <xdr:sp macro="" textlink="" fLocksText="0">
      <xdr:nvSpPr>
        <xdr:cNvPr id="97" name="四角形: 角を丸くする 110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2133600" y="16878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strike="sngStrik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86</xdr:row>
      <xdr:rowOff>0</xdr:rowOff>
    </xdr:from>
    <xdr:to>
      <xdr:col>5</xdr:col>
      <xdr:colOff>0</xdr:colOff>
      <xdr:row>88</xdr:row>
      <xdr:rowOff>0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>
          <a:stCxn id="87" idx="2"/>
          <a:endCxn id="96" idx="0"/>
        </xdr:cNvCxnSpPr>
      </xdr:nvCxnSpPr>
      <xdr:spPr>
        <a:xfrm>
          <a:off x="1333500" y="1649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86</xdr:row>
      <xdr:rowOff>0</xdr:rowOff>
    </xdr:from>
    <xdr:to>
      <xdr:col>9</xdr:col>
      <xdr:colOff>235322</xdr:colOff>
      <xdr:row>88</xdr:row>
      <xdr:rowOff>0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>
          <a:stCxn id="87" idx="2"/>
          <a:endCxn id="97" idx="0"/>
        </xdr:cNvCxnSpPr>
      </xdr:nvCxnSpPr>
      <xdr:spPr>
        <a:xfrm rot="16200000" flipH="1">
          <a:off x="1304925" y="16497300"/>
          <a:ext cx="1333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51</xdr:row>
      <xdr:rowOff>0</xdr:rowOff>
    </xdr:from>
    <xdr:to>
      <xdr:col>4</xdr:col>
      <xdr:colOff>0</xdr:colOff>
      <xdr:row>52</xdr:row>
      <xdr:rowOff>0</xdr:rowOff>
    </xdr:to>
    <xdr:sp macro="" textlink="" fLocksText="0">
      <xdr:nvSpPr>
        <xdr:cNvPr id="104" name="Rectangle: Rounded Corners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533400" y="9829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25</a:t>
          </a:r>
        </a:p>
      </xdr:txBody>
    </xdr:sp>
    <xdr:clientData/>
  </xdr:twoCellAnchor>
  <xdr:twoCellAnchor>
    <xdr:from>
      <xdr:col>4</xdr:col>
      <xdr:colOff>0</xdr:colOff>
      <xdr:row>51</xdr:row>
      <xdr:rowOff>95250</xdr:rowOff>
    </xdr:from>
    <xdr:to>
      <xdr:col>5</xdr:col>
      <xdr:colOff>0</xdr:colOff>
      <xdr:row>56</xdr:row>
      <xdr:rowOff>0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>
          <a:stCxn id="104" idx="3"/>
          <a:endCxn id="68" idx="0"/>
        </xdr:cNvCxnSpPr>
      </xdr:nvCxnSpPr>
      <xdr:spPr>
        <a:xfrm>
          <a:off x="1066800" y="9925050"/>
          <a:ext cx="2667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92</xdr:row>
      <xdr:rowOff>0</xdr:rowOff>
    </xdr:from>
    <xdr:to>
      <xdr:col>6</xdr:col>
      <xdr:colOff>0</xdr:colOff>
      <xdr:row>93</xdr:row>
      <xdr:rowOff>11206</xdr:rowOff>
    </xdr:to>
    <xdr:sp macro="" textlink="" fLocksText="0">
      <xdr:nvSpPr>
        <xdr:cNvPr id="109" name="Rectangle: Rounded Corners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066800" y="17640300"/>
          <a:ext cx="5334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25</a:t>
          </a:r>
        </a:p>
      </xdr:txBody>
    </xdr:sp>
    <xdr:clientData/>
  </xdr:twoCellAnchor>
  <xdr:twoCellAnchor>
    <xdr:from>
      <xdr:col>5</xdr:col>
      <xdr:colOff>0</xdr:colOff>
      <xdr:row>90</xdr:row>
      <xdr:rowOff>0</xdr:rowOff>
    </xdr:from>
    <xdr:to>
      <xdr:col>5</xdr:col>
      <xdr:colOff>0</xdr:colOff>
      <xdr:row>92</xdr:row>
      <xdr:rowOff>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CxnSpPr>
          <a:stCxn id="96" idx="2"/>
          <a:endCxn id="109" idx="0"/>
        </xdr:cNvCxnSpPr>
      </xdr:nvCxnSpPr>
      <xdr:spPr>
        <a:xfrm>
          <a:off x="1333500" y="1725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90</xdr:row>
      <xdr:rowOff>1</xdr:rowOff>
    </xdr:from>
    <xdr:to>
      <xdr:col>10</xdr:col>
      <xdr:colOff>0</xdr:colOff>
      <xdr:row>92</xdr:row>
      <xdr:rowOff>1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CxnSpPr>
          <a:stCxn id="97" idx="2"/>
          <a:endCxn id="109" idx="0"/>
        </xdr:cNvCxnSpPr>
      </xdr:nvCxnSpPr>
      <xdr:spPr>
        <a:xfrm rot="5400000">
          <a:off x="1333500" y="17259300"/>
          <a:ext cx="1333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98</xdr:row>
      <xdr:rowOff>0</xdr:rowOff>
    </xdr:from>
    <xdr:to>
      <xdr:col>61</xdr:col>
      <xdr:colOff>0</xdr:colOff>
      <xdr:row>108</xdr:row>
      <xdr:rowOff>0</xdr:rowOff>
    </xdr:to>
    <xdr:sp macro="" textlink="" fLocksText="0">
      <xdr:nvSpPr>
        <xdr:cNvPr id="136" name="吹き出し: 線 2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10134600" y="18783300"/>
          <a:ext cx="6134100" cy="1905000"/>
        </a:xfrm>
        <a:prstGeom prst="borderCallout1">
          <a:avLst>
            <a:gd name="adj1" fmla="val 48210"/>
            <a:gd name="adj2" fmla="val 884"/>
            <a:gd name="adj3" fmla="val -125536"/>
            <a:gd name="adj4" fmla="val -13127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モーダルには商品部門情報がレベル別に表示する。</a:t>
          </a:r>
        </a:p>
        <a:p>
          <a:pPr>
            <a:defRPr lang="en-US" altLang="ja-JP" sz="1000" b="0" i="0" u="none" strike="sngStrik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・4レベルに該当する4行を表示する。</a:t>
          </a:r>
        </a:p>
        <a:p>
          <a:pPr>
            <a:defRPr lang="en-US" altLang="ja-JP" sz="1000" b="0" i="0" u="none" strike="sngStrik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・商品部門を「コード：名称」形式で表示する。 </a:t>
          </a:r>
        </a:p>
        <a:p>
          <a:pPr>
            <a:defRPr lang="en-US" altLang="ja-JP" sz="1000" b="0" i="0" u="none" strike="sngStrik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・商品部門がいずれかのレベルにある場合、そのレベルを含む行を有効にする。</a:t>
          </a:r>
        </a:p>
        <a:p>
          <a:pPr>
            <a:defRPr lang="en-US" altLang="ja-JP" sz="1000" b="0" i="0" u="none" strike="sngStrik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・商品部門が有効になる取扱有無のみ編集可能：有、無</a:t>
          </a:r>
        </a:p>
        <a:p>
          <a:pPr>
            <a:defRPr lang="en-US" altLang="ja-JP" sz="1000" b="0" i="0" u="none" strike="sngStrik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・「取消」ボタンをタッチしてモダールを取り消す。</a:t>
          </a:r>
        </a:p>
        <a:p>
          <a:pPr>
            <a:defRPr lang="en-US" altLang="ja-JP" sz="1000" b="0" i="0" u="none" strike="sngStrik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・「更新」をタッチして、SC2501_取扱設定マスタ設定(KSM)画面一覧の編集行の取扱有無を更新する。 取扱有無は古い状態から新しい状態への変更状態を表示する。</a:t>
          </a:r>
        </a:p>
      </xdr:txBody>
    </xdr:sp>
    <xdr:clientData/>
  </xdr:twoCellAnchor>
  <xdr:twoCellAnchor>
    <xdr:from>
      <xdr:col>16</xdr:col>
      <xdr:colOff>2801</xdr:colOff>
      <xdr:row>82</xdr:row>
      <xdr:rowOff>0</xdr:rowOff>
    </xdr:from>
    <xdr:to>
      <xdr:col>22</xdr:col>
      <xdr:colOff>0</xdr:colOff>
      <xdr:row>86</xdr:row>
      <xdr:rowOff>0</xdr:rowOff>
    </xdr:to>
    <xdr:sp macro="" textlink="" fLocksText="0">
      <xdr:nvSpPr>
        <xdr:cNvPr id="137" name="四角形: 角を丸くする 3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4267200" y="1573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KN2502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商品部門状態更新機能</a:t>
          </a:r>
        </a:p>
      </xdr:txBody>
    </xdr:sp>
    <xdr:clientData/>
  </xdr:twoCellAnchor>
  <xdr:twoCellAnchor>
    <xdr:from>
      <xdr:col>29</xdr:col>
      <xdr:colOff>0</xdr:colOff>
      <xdr:row>82</xdr:row>
      <xdr:rowOff>0</xdr:rowOff>
    </xdr:from>
    <xdr:to>
      <xdr:col>35</xdr:col>
      <xdr:colOff>0</xdr:colOff>
      <xdr:row>86</xdr:row>
      <xdr:rowOff>0</xdr:rowOff>
    </xdr:to>
    <xdr:sp macro="" textlink="" fLocksText="0">
      <xdr:nvSpPr>
        <xdr:cNvPr id="153" name="フローチャート: 磁気ディスク 194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7734300" y="15735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AP2502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商品部門フラグ更新</a:t>
          </a:r>
        </a:p>
      </xdr:txBody>
    </xdr:sp>
    <xdr:clientData/>
  </xdr:twoCellAnchor>
  <xdr:twoCellAnchor>
    <xdr:from>
      <xdr:col>22</xdr:col>
      <xdr:colOff>0</xdr:colOff>
      <xdr:row>84</xdr:row>
      <xdr:rowOff>0</xdr:rowOff>
    </xdr:from>
    <xdr:to>
      <xdr:col>29</xdr:col>
      <xdr:colOff>0</xdr:colOff>
      <xdr:row>84</xdr:row>
      <xdr:rowOff>0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CxnSpPr>
          <a:stCxn id="137" idx="3"/>
          <a:endCxn id="153" idx="2"/>
        </xdr:cNvCxnSpPr>
      </xdr:nvCxnSpPr>
      <xdr:spPr>
        <a:xfrm>
          <a:off x="5867400" y="16116300"/>
          <a:ext cx="18669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86</xdr:row>
      <xdr:rowOff>1</xdr:rowOff>
    </xdr:from>
    <xdr:to>
      <xdr:col>19</xdr:col>
      <xdr:colOff>1401</xdr:colOff>
      <xdr:row>92</xdr:row>
      <xdr:rowOff>1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137" idx="2"/>
          <a:endCxn id="109" idx="0"/>
        </xdr:cNvCxnSpPr>
      </xdr:nvCxnSpPr>
      <xdr:spPr>
        <a:xfrm rot="5400000">
          <a:off x="1333500" y="16497300"/>
          <a:ext cx="3733800" cy="1143000"/>
        </a:xfrm>
        <a:prstGeom prst="bentConnector3">
          <a:avLst>
            <a:gd name="adj1" fmla="val 8235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66</xdr:row>
      <xdr:rowOff>0</xdr:rowOff>
    </xdr:from>
    <xdr:to>
      <xdr:col>8</xdr:col>
      <xdr:colOff>0</xdr:colOff>
      <xdr:row>70</xdr:row>
      <xdr:rowOff>0</xdr:rowOff>
    </xdr:to>
    <xdr:sp macro="" textlink="" fLocksText="0">
      <xdr:nvSpPr>
        <xdr:cNvPr id="21" name="四角形: 角を丸くする 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33400" y="12687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KN2501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商品部門一覧取得機能</a:t>
          </a:r>
        </a:p>
      </xdr:txBody>
    </xdr:sp>
    <xdr:clientData/>
  </xdr:twoCellAnchor>
  <xdr:twoCellAnchor>
    <xdr:from>
      <xdr:col>8</xdr:col>
      <xdr:colOff>0</xdr:colOff>
      <xdr:row>68</xdr:row>
      <xdr:rowOff>0</xdr:rowOff>
    </xdr:from>
    <xdr:to>
      <xdr:col>29</xdr:col>
      <xdr:colOff>0</xdr:colOff>
      <xdr:row>68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21" idx="3"/>
          <a:endCxn id="37" idx="2"/>
        </xdr:cNvCxnSpPr>
      </xdr:nvCxnSpPr>
      <xdr:spPr>
        <a:xfrm>
          <a:off x="2133600" y="13068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72</xdr:row>
      <xdr:rowOff>0</xdr:rowOff>
    </xdr:from>
    <xdr:to>
      <xdr:col>7</xdr:col>
      <xdr:colOff>0</xdr:colOff>
      <xdr:row>74</xdr:row>
      <xdr:rowOff>0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00100" y="13830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部門コード存在</a:t>
          </a:r>
        </a:p>
      </xdr:txBody>
    </xdr:sp>
    <xdr:clientData/>
  </xdr:twoCellAnchor>
  <xdr:twoCellAnchor>
    <xdr:from>
      <xdr:col>8</xdr:col>
      <xdr:colOff>0</xdr:colOff>
      <xdr:row>72</xdr:row>
      <xdr:rowOff>0</xdr:rowOff>
    </xdr:from>
    <xdr:to>
      <xdr:col>12</xdr:col>
      <xdr:colOff>0</xdr:colOff>
      <xdr:row>74</xdr:row>
      <xdr:rowOff>0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2133600" y="13830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不在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75</xdr:row>
      <xdr:rowOff>0</xdr:rowOff>
    </xdr:from>
    <xdr:to>
      <xdr:col>13</xdr:col>
      <xdr:colOff>0</xdr:colOff>
      <xdr:row>79</xdr:row>
      <xdr:rowOff>0</xdr:rowOff>
    </xdr:to>
    <xdr:sp macro="" textlink="" fLocksText="0">
      <xdr:nvSpPr>
        <xdr:cNvPr id="35" name="正方形/長方形 19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866900" y="14401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存在部門入力エラーモダール</a:t>
          </a:r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0</xdr:colOff>
      <xdr:row>75</xdr:row>
      <xdr:rowOff>0</xdr:rowOff>
    </xdr:to>
    <xdr:cxnSp macro="">
      <xdr:nvCxnSpPr>
        <xdr:cNvPr id="36" name="Connector: Elbow 64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4" idx="2"/>
          <a:endCxn id="35" idx="0"/>
        </xdr:cNvCxnSpPr>
      </xdr:nvCxnSpPr>
      <xdr:spPr>
        <a:xfrm>
          <a:off x="2667000" y="14211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66</xdr:row>
      <xdr:rowOff>0</xdr:rowOff>
    </xdr:from>
    <xdr:to>
      <xdr:col>35</xdr:col>
      <xdr:colOff>0</xdr:colOff>
      <xdr:row>70</xdr:row>
      <xdr:rowOff>0</xdr:rowOff>
    </xdr:to>
    <xdr:sp macro="" textlink="" fLocksText="0">
      <xdr:nvSpPr>
        <xdr:cNvPr id="37" name="フローチャート: 磁気ディスク 19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7734300" y="12687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AP2501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</a:t>
          </a:r>
        </a:p>
      </xdr:txBody>
    </xdr:sp>
    <xdr:clientData/>
  </xdr:twoCellAnchor>
  <xdr:twoCellAnchor>
    <xdr:from>
      <xdr:col>5</xdr:col>
      <xdr:colOff>0</xdr:colOff>
      <xdr:row>70</xdr:row>
      <xdr:rowOff>0</xdr:rowOff>
    </xdr:from>
    <xdr:to>
      <xdr:col>5</xdr:col>
      <xdr:colOff>1</xdr:colOff>
      <xdr:row>72</xdr:row>
      <xdr:rowOff>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21" idx="2"/>
          <a:endCxn id="33" idx="0"/>
        </xdr:cNvCxnSpPr>
      </xdr:nvCxnSpPr>
      <xdr:spPr>
        <a:xfrm flipH="1">
          <a:off x="1333500" y="1344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70</xdr:row>
      <xdr:rowOff>0</xdr:rowOff>
    </xdr:from>
    <xdr:to>
      <xdr:col>10</xdr:col>
      <xdr:colOff>0</xdr:colOff>
      <xdr:row>72</xdr:row>
      <xdr:rowOff>0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21" idx="2"/>
          <a:endCxn id="34" idx="0"/>
        </xdr:cNvCxnSpPr>
      </xdr:nvCxnSpPr>
      <xdr:spPr>
        <a:xfrm rot="16200000" flipH="1">
          <a:off x="1333500" y="13449300"/>
          <a:ext cx="1333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64</xdr:row>
      <xdr:rowOff>0</xdr:rowOff>
    </xdr:from>
    <xdr:to>
      <xdr:col>5</xdr:col>
      <xdr:colOff>1</xdr:colOff>
      <xdr:row>66</xdr:row>
      <xdr:rowOff>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79" idx="2"/>
          <a:endCxn id="21" idx="0"/>
        </xdr:cNvCxnSpPr>
      </xdr:nvCxnSpPr>
      <xdr:spPr>
        <a:xfrm>
          <a:off x="1333500" y="12306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41</xdr:row>
      <xdr:rowOff>0</xdr:rowOff>
    </xdr:from>
    <xdr:to>
      <xdr:col>8</xdr:col>
      <xdr:colOff>0</xdr:colOff>
      <xdr:row>45</xdr:row>
      <xdr:rowOff>0</xdr:rowOff>
    </xdr:to>
    <xdr:sp macro="" textlink="" fLocksText="0">
      <xdr:nvSpPr>
        <xdr:cNvPr id="72" name="四角形: 角を丸くする 3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33400" y="7924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KSM連携店舗情報確認機能</a:t>
          </a:r>
        </a:p>
      </xdr:txBody>
    </xdr:sp>
    <xdr:clientData/>
  </xdr:twoCellAnchor>
  <xdr:twoCellAnchor>
    <xdr:from>
      <xdr:col>3</xdr:col>
      <xdr:colOff>0</xdr:colOff>
      <xdr:row>46</xdr:row>
      <xdr:rowOff>179294</xdr:rowOff>
    </xdr:from>
    <xdr:to>
      <xdr:col>7</xdr:col>
      <xdr:colOff>0</xdr:colOff>
      <xdr:row>48</xdr:row>
      <xdr:rowOff>0</xdr:rowOff>
    </xdr:to>
    <xdr:sp macro="" textlink="" fLocksText="0">
      <xdr:nvSpPr>
        <xdr:cNvPr id="73" name="四角形: 角を丸くする 294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800100" y="9058275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連携あり</a:t>
          </a:r>
        </a:p>
      </xdr:txBody>
    </xdr:sp>
    <xdr:clientData/>
  </xdr:twoCellAnchor>
  <xdr:twoCellAnchor>
    <xdr:from>
      <xdr:col>11</xdr:col>
      <xdr:colOff>238124</xdr:colOff>
      <xdr:row>47</xdr:row>
      <xdr:rowOff>0</xdr:rowOff>
    </xdr:from>
    <xdr:to>
      <xdr:col>16</xdr:col>
      <xdr:colOff>0</xdr:colOff>
      <xdr:row>48</xdr:row>
      <xdr:rowOff>0</xdr:rowOff>
    </xdr:to>
    <xdr:sp macro="" textlink="" fLocksText="0">
      <xdr:nvSpPr>
        <xdr:cNvPr id="80" name="四角形: 角を丸くする 294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3171825" y="9067800"/>
          <a:ext cx="109537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連携なし</a:t>
          </a:r>
        </a:p>
      </xdr:txBody>
    </xdr:sp>
    <xdr:clientData/>
  </xdr:twoCellAnchor>
  <xdr:twoCellAnchor>
    <xdr:from>
      <xdr:col>10</xdr:col>
      <xdr:colOff>238124</xdr:colOff>
      <xdr:row>49</xdr:row>
      <xdr:rowOff>0</xdr:rowOff>
    </xdr:from>
    <xdr:to>
      <xdr:col>17</xdr:col>
      <xdr:colOff>0</xdr:colOff>
      <xdr:row>53</xdr:row>
      <xdr:rowOff>0</xdr:rowOff>
    </xdr:to>
    <xdr:sp macro="" textlink="" fLocksText="0">
      <xdr:nvSpPr>
        <xdr:cNvPr id="82" name="正方形/長方形 19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2905125" y="9448800"/>
          <a:ext cx="16287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KSMと連携しない店舗</a:t>
          </a:r>
        </a:p>
      </xdr:txBody>
    </xdr:sp>
    <xdr:clientData/>
  </xdr:twoCellAnchor>
  <xdr:twoCellAnchor>
    <xdr:from>
      <xdr:col>13</xdr:col>
      <xdr:colOff>0</xdr:colOff>
      <xdr:row>52</xdr:row>
      <xdr:rowOff>190498</xdr:rowOff>
    </xdr:from>
    <xdr:to>
      <xdr:col>15</xdr:col>
      <xdr:colOff>0</xdr:colOff>
      <xdr:row>54</xdr:row>
      <xdr:rowOff>0</xdr:rowOff>
    </xdr:to>
    <xdr:sp macro="" textlink="" fLocksText="0">
      <xdr:nvSpPr>
        <xdr:cNvPr id="83" name="四角形: 角を丸くする 294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3467100" y="10210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17</xdr:col>
      <xdr:colOff>0</xdr:colOff>
      <xdr:row>60</xdr:row>
      <xdr:rowOff>0</xdr:rowOff>
    </xdr:to>
    <xdr:sp macro="" textlink="" fLocksText="0">
      <xdr:nvSpPr>
        <xdr:cNvPr id="85" name="正方形/長方形 27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933700" y="10782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SCX101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メニュー画面</a:t>
          </a:r>
        </a:p>
      </xdr:txBody>
    </xdr:sp>
    <xdr:clientData/>
  </xdr:twoCellAnchor>
  <xdr:twoCellAnchor>
    <xdr:from>
      <xdr:col>5</xdr:col>
      <xdr:colOff>0</xdr:colOff>
      <xdr:row>45</xdr:row>
      <xdr:rowOff>0</xdr:rowOff>
    </xdr:from>
    <xdr:to>
      <xdr:col>5</xdr:col>
      <xdr:colOff>0</xdr:colOff>
      <xdr:row>46</xdr:row>
      <xdr:rowOff>179294</xdr:rowOff>
    </xdr:to>
    <xdr:cxnSp macro="">
      <xdr:nvCxnSpPr>
        <xdr:cNvPr id="86" name="Connector: Elbow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>
          <a:stCxn id="72" idx="2"/>
          <a:endCxn id="73" idx="0"/>
        </xdr:cNvCxnSpPr>
      </xdr:nvCxnSpPr>
      <xdr:spPr>
        <a:xfrm>
          <a:off x="1333500" y="8686800"/>
          <a:ext cx="0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238124</xdr:colOff>
      <xdr:row>45</xdr:row>
      <xdr:rowOff>0</xdr:rowOff>
    </xdr:from>
    <xdr:to>
      <xdr:col>13</xdr:col>
      <xdr:colOff>238124</xdr:colOff>
      <xdr:row>47</xdr:row>
      <xdr:rowOff>0</xdr:rowOff>
    </xdr:to>
    <xdr:cxnSp macro="">
      <xdr:nvCxnSpPr>
        <xdr:cNvPr id="93" name="Connector: Elbow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CxnSpPr>
          <a:stCxn id="72" idx="2"/>
          <a:endCxn id="80" idx="0"/>
        </xdr:cNvCxnSpPr>
      </xdr:nvCxnSpPr>
      <xdr:spPr>
        <a:xfrm rot="16200000" flipH="1">
          <a:off x="1304925" y="86868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48</xdr:row>
      <xdr:rowOff>0</xdr:rowOff>
    </xdr:from>
    <xdr:to>
      <xdr:col>14</xdr:col>
      <xdr:colOff>0</xdr:colOff>
      <xdr:row>49</xdr:row>
      <xdr:rowOff>0</xdr:rowOff>
    </xdr:to>
    <xdr:cxnSp macro="">
      <xdr:nvCxnSpPr>
        <xdr:cNvPr id="115" name="Connector: Elbow 85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stCxn id="80" idx="2"/>
          <a:endCxn id="82" idx="0"/>
        </xdr:cNvCxnSpPr>
      </xdr:nvCxnSpPr>
      <xdr:spPr>
        <a:xfrm>
          <a:off x="3733800" y="9258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0</xdr:colOff>
      <xdr:row>56</xdr:row>
      <xdr:rowOff>0</xdr:rowOff>
    </xdr:to>
    <xdr:cxnSp macro="">
      <xdr:nvCxnSpPr>
        <xdr:cNvPr id="121" name="Connector: Elbow 85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83" idx="2"/>
          <a:endCxn id="85" idx="0"/>
        </xdr:cNvCxnSpPr>
      </xdr:nvCxnSpPr>
      <xdr:spPr>
        <a:xfrm>
          <a:off x="3733800" y="10401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0</xdr:rowOff>
    </xdr:from>
    <xdr:to>
      <xdr:col>61</xdr:col>
      <xdr:colOff>0</xdr:colOff>
      <xdr:row>43</xdr:row>
      <xdr:rowOff>0</xdr:rowOff>
    </xdr:to>
    <xdr:sp macro="" textlink="" fLocksText="0">
      <xdr:nvSpPr>
        <xdr:cNvPr id="173" name="吹き出し: 線 2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10134600" y="6972300"/>
          <a:ext cx="6134100" cy="1333500"/>
        </a:xfrm>
        <a:prstGeom prst="borderCallout1">
          <a:avLst>
            <a:gd name="adj1" fmla="val 50269"/>
            <a:gd name="adj2" fmla="val -151"/>
            <a:gd name="adj3" fmla="val 90512"/>
            <a:gd name="adj4" fmla="val -1305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▪選択した店舗情報がKSMと連携されているかを確認する。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・連携されている場合、SC2501_取扱設定マスタ設定(KSM)画面に遷移する。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・連携されていない場合、「選択された店舗はテナント連携が行われている店舗で はないため、当機能は利用できません。」メッセージを含むエラーモダールが表示される。</a:t>
          </a:r>
        </a:p>
      </xdr:txBody>
    </xdr:sp>
    <xdr:clientData/>
  </xdr:twoCellAnchor>
  <xdr:twoCellAnchor>
    <xdr:from>
      <xdr:col>66</xdr:col>
      <xdr:colOff>0</xdr:colOff>
      <xdr:row>21</xdr:row>
      <xdr:rowOff>180975</xdr:rowOff>
    </xdr:from>
    <xdr:to>
      <xdr:col>100</xdr:col>
      <xdr:colOff>19050</xdr:colOff>
      <xdr:row>41</xdr:row>
      <xdr:rowOff>95446</xdr:rowOff>
    </xdr:to>
    <xdr:pic>
      <xdr:nvPicPr>
        <xdr:cNvPr id="175" name="img447393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4295775"/>
          <a:ext cx="9086850" cy="3724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58</xdr:row>
      <xdr:rowOff>1</xdr:rowOff>
    </xdr:from>
    <xdr:to>
      <xdr:col>5</xdr:col>
      <xdr:colOff>0</xdr:colOff>
      <xdr:row>74</xdr:row>
      <xdr:rowOff>1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33" idx="2"/>
          <a:endCxn id="68" idx="1"/>
        </xdr:cNvCxnSpPr>
      </xdr:nvCxnSpPr>
      <xdr:spPr>
        <a:xfrm rot="5400000" flipH="1">
          <a:off x="533400" y="11163300"/>
          <a:ext cx="800100" cy="3048000"/>
        </a:xfrm>
        <a:prstGeom prst="bentConnector4">
          <a:avLst>
            <a:gd name="adj1" fmla="val -6397"/>
            <a:gd name="adj2" fmla="val 1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67235</xdr:colOff>
      <xdr:row>61</xdr:row>
      <xdr:rowOff>111197</xdr:rowOff>
    </xdr:from>
    <xdr:to>
      <xdr:col>97</xdr:col>
      <xdr:colOff>9697</xdr:colOff>
      <xdr:row>63</xdr:row>
      <xdr:rowOff>37927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E7BED85-8645-0AB0-9C72-4F12983DF804}"/>
            </a:ext>
          </a:extLst>
        </xdr:cNvPr>
        <xdr:cNvSpPr/>
      </xdr:nvSpPr>
      <xdr:spPr>
        <a:xfrm>
          <a:off x="22210059" y="11843756"/>
          <a:ext cx="648432" cy="307730"/>
        </a:xfrm>
        <a:prstGeom prst="rect">
          <a:avLst/>
        </a:prstGeom>
        <a:solidFill>
          <a:srgbClr val="FFFF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65</xdr:col>
      <xdr:colOff>190501</xdr:colOff>
      <xdr:row>45</xdr:row>
      <xdr:rowOff>156882</xdr:rowOff>
    </xdr:from>
    <xdr:to>
      <xdr:col>99</xdr:col>
      <xdr:colOff>190500</xdr:colOff>
      <xdr:row>65</xdr:row>
      <xdr:rowOff>19108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9C68F23-6704-470A-89C5-E38B02B7A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8942" y="8841441"/>
          <a:ext cx="8000999" cy="3672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201705</xdr:colOff>
      <xdr:row>45</xdr:row>
      <xdr:rowOff>156882</xdr:rowOff>
    </xdr:from>
    <xdr:to>
      <xdr:col>134</xdr:col>
      <xdr:colOff>201705</xdr:colOff>
      <xdr:row>65</xdr:row>
      <xdr:rowOff>86283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B3AEEFD-FEC5-4A33-AD35-7F16FFCA8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0" y="8841441"/>
          <a:ext cx="8001000" cy="3739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THIN~1\AppData\Local\Temp\10_&#27010;&#35201;&#27231;&#33021;_&#30011;&#38754;&#36983;&#31227;_25_&#21462;&#25201;&#35373;&#23450;&#12510;&#12473;&#12479;&#35373;&#23450;(KSM)_20240530.xlsx-revHEAD.svn000.tmp.xlsx" TargetMode="External"/><Relationship Id="rId1" Type="http://schemas.openxmlformats.org/officeDocument/2006/relationships/externalLinkPath" Target="file:///C:\Users\LETHIN~1\AppData\Local\Temp\10_&#27010;&#35201;&#27231;&#33021;_&#30011;&#38754;&#36983;&#31227;_25_&#21462;&#25201;&#35373;&#23450;&#12510;&#12473;&#12479;&#35373;&#23450;(KSM)_20240530.xlsx-revHEAD.svn000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訂履歴"/>
      <sheetName val="業務フロー凡例"/>
      <sheetName val="機能概要説明"/>
      <sheetName val="機能概要"/>
      <sheetName val="画面設計書"/>
      <sheetName val="取扱有無と下位階層も同設定の詳細"/>
      <sheetName val="テンプレート"/>
    </sheetNames>
    <sheetDataSet>
      <sheetData sheetId="0">
        <row r="1">
          <cell r="W1" t="str">
            <v>基本設計書</v>
          </cell>
        </row>
        <row r="2">
          <cell r="A2" t="str">
            <v>POSサーバー</v>
          </cell>
          <cell r="K2" t="str">
            <v>POSサーバー</v>
          </cell>
        </row>
        <row r="4">
          <cell r="H4" t="str">
            <v>25_取扱設定マスタ設定(KSM)</v>
          </cell>
          <cell r="Z4" t="str">
            <v>概要設計書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4" customWidth="1"/>
    <col min="61" max="16384" width="2.77734375" style="24"/>
  </cols>
  <sheetData>
    <row r="1" spans="1:63" ht="24.95" customHeight="1" x14ac:dyDescent="0.25">
      <c r="A1" s="89" t="s">
        <v>52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53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10" t="s">
        <v>54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89" t="s">
        <v>55</v>
      </c>
      <c r="AQ1" s="90"/>
      <c r="AR1" s="90"/>
      <c r="AS1" s="91"/>
      <c r="AT1" s="89" t="s">
        <v>56</v>
      </c>
      <c r="AU1" s="90"/>
      <c r="AV1" s="90"/>
      <c r="AW1" s="90"/>
      <c r="AX1" s="91"/>
      <c r="AY1" s="89" t="s">
        <v>57</v>
      </c>
      <c r="AZ1" s="90"/>
      <c r="BA1" s="90"/>
      <c r="BB1" s="91"/>
      <c r="BC1" s="89" t="s">
        <v>58</v>
      </c>
      <c r="BD1" s="90"/>
      <c r="BE1" s="90"/>
      <c r="BF1" s="90"/>
      <c r="BG1" s="91"/>
      <c r="BH1" s="89" t="s">
        <v>59</v>
      </c>
      <c r="BI1" s="90"/>
      <c r="BJ1" s="90"/>
      <c r="BK1" s="91"/>
    </row>
    <row r="2" spans="1:63" ht="15" customHeight="1" x14ac:dyDescent="0.25">
      <c r="A2" s="109" t="s">
        <v>60</v>
      </c>
      <c r="B2" s="75"/>
      <c r="C2" s="75"/>
      <c r="D2" s="75"/>
      <c r="E2" s="75"/>
      <c r="F2" s="75"/>
      <c r="G2" s="75"/>
      <c r="H2" s="75"/>
      <c r="I2" s="75"/>
      <c r="J2" s="76"/>
      <c r="K2" s="74" t="s">
        <v>10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74" t="str">
        <f>改訂履歴!$H$11</f>
        <v>LoiLV</v>
      </c>
      <c r="AQ2" s="75"/>
      <c r="AR2" s="75"/>
      <c r="AS2" s="76"/>
      <c r="AT2" s="103">
        <f>改訂履歴!$B$11</f>
        <v>45421</v>
      </c>
      <c r="AU2" s="104"/>
      <c r="AV2" s="104"/>
      <c r="AW2" s="104"/>
      <c r="AX2" s="105"/>
      <c r="AY2" s="74" t="str">
        <f>LOOKUP(2,1/(改訂履歴!H11:H30000&lt;&gt;""),改訂履歴!H11:H30000)</f>
        <v>LoiLV</v>
      </c>
      <c r="AZ2" s="75"/>
      <c r="BA2" s="75"/>
      <c r="BB2" s="76"/>
      <c r="BC2" s="103">
        <f>LOOKUP(2,1/(改訂履歴!B11:B30000&lt;&gt;""),改訂履歴!B11:B30000)</f>
        <v>45517</v>
      </c>
      <c r="BD2" s="104"/>
      <c r="BE2" s="104"/>
      <c r="BF2" s="104"/>
      <c r="BG2" s="105"/>
      <c r="BH2" s="97" t="str">
        <f>LOOKUP(2,1/(改訂履歴!O11:O30000&lt;&gt;""),改訂履歴!O11:O30000)</f>
        <v>0.3.7</v>
      </c>
      <c r="BI2" s="98"/>
      <c r="BJ2" s="98"/>
      <c r="BK2" s="99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80"/>
      <c r="AQ3" s="81"/>
      <c r="AR3" s="81"/>
      <c r="AS3" s="82"/>
      <c r="AT3" s="106"/>
      <c r="AU3" s="107"/>
      <c r="AV3" s="107"/>
      <c r="AW3" s="107"/>
      <c r="AX3" s="108"/>
      <c r="AY3" s="80"/>
      <c r="AZ3" s="81"/>
      <c r="BA3" s="81"/>
      <c r="BB3" s="82"/>
      <c r="BC3" s="106"/>
      <c r="BD3" s="107"/>
      <c r="BE3" s="107"/>
      <c r="BF3" s="107"/>
      <c r="BG3" s="108"/>
      <c r="BH3" s="100"/>
      <c r="BI3" s="101"/>
      <c r="BJ3" s="101"/>
      <c r="BK3" s="102"/>
    </row>
    <row r="4" spans="1:63" ht="24.95" customHeight="1" x14ac:dyDescent="0.25">
      <c r="A4" s="89" t="s">
        <v>61</v>
      </c>
      <c r="B4" s="90"/>
      <c r="C4" s="90"/>
      <c r="D4" s="90"/>
      <c r="E4" s="90"/>
      <c r="F4" s="90"/>
      <c r="G4" s="91"/>
      <c r="H4" s="94" t="s">
        <v>50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62</v>
      </c>
      <c r="V4" s="90"/>
      <c r="W4" s="90"/>
      <c r="X4" s="90"/>
      <c r="Y4" s="91"/>
      <c r="Z4" s="94" t="s">
        <v>11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表紙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7"/>
    </row>
    <row r="6" spans="1:63" ht="15" customHeight="1" x14ac:dyDescent="0.25">
      <c r="A6" s="28"/>
      <c r="BK6" s="29"/>
    </row>
    <row r="7" spans="1:63" ht="15" customHeight="1" x14ac:dyDescent="0.25">
      <c r="A7" s="28"/>
      <c r="BK7" s="29"/>
    </row>
    <row r="8" spans="1:63" ht="15" customHeight="1" x14ac:dyDescent="0.25">
      <c r="A8" s="28"/>
      <c r="BK8" s="29"/>
    </row>
    <row r="9" spans="1:63" ht="15" customHeight="1" x14ac:dyDescent="0.25">
      <c r="A9" s="28"/>
      <c r="BK9" s="29"/>
    </row>
    <row r="10" spans="1:63" ht="15" customHeight="1" x14ac:dyDescent="0.25">
      <c r="A10" s="28"/>
      <c r="BK10" s="29"/>
    </row>
    <row r="11" spans="1:63" ht="15" customHeight="1" x14ac:dyDescent="0.25">
      <c r="A11" s="28"/>
      <c r="BK11" s="29"/>
    </row>
    <row r="12" spans="1:63" ht="15" customHeight="1" x14ac:dyDescent="0.25">
      <c r="A12" s="28"/>
      <c r="BK12" s="29"/>
    </row>
    <row r="13" spans="1:63" ht="15" customHeight="1" x14ac:dyDescent="0.25">
      <c r="A13" s="28"/>
      <c r="BK13" s="29"/>
    </row>
    <row r="14" spans="1:63" ht="15" customHeight="1" thickBot="1" x14ac:dyDescent="0.3">
      <c r="A14" s="28"/>
      <c r="BK14" s="29"/>
    </row>
    <row r="15" spans="1:63" ht="15" customHeight="1" thickTop="1" x14ac:dyDescent="0.25">
      <c r="A15" s="28"/>
      <c r="K15" s="30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2"/>
      <c r="BK15" s="29"/>
    </row>
    <row r="16" spans="1:63" ht="15" customHeight="1" x14ac:dyDescent="0.25">
      <c r="A16" s="28"/>
      <c r="K16" s="33"/>
      <c r="L16" s="92" t="s">
        <v>63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34"/>
      <c r="BK16" s="29"/>
    </row>
    <row r="17" spans="1:63" ht="15" customHeight="1" x14ac:dyDescent="0.25">
      <c r="A17" s="28"/>
      <c r="K17" s="3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34"/>
      <c r="BK17" s="29"/>
    </row>
    <row r="18" spans="1:63" ht="15" customHeight="1" x14ac:dyDescent="0.25">
      <c r="A18" s="28"/>
      <c r="K18" s="3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34"/>
      <c r="BK18" s="29"/>
    </row>
    <row r="19" spans="1:63" ht="15" customHeight="1" x14ac:dyDescent="0.25">
      <c r="A19" s="28"/>
      <c r="K19" s="3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34"/>
      <c r="BK19" s="29"/>
    </row>
    <row r="20" spans="1:63" ht="15" customHeight="1" x14ac:dyDescent="0.25">
      <c r="A20" s="28"/>
      <c r="K20" s="3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34"/>
      <c r="BK20" s="29"/>
    </row>
    <row r="21" spans="1:63" ht="15" customHeight="1" x14ac:dyDescent="0.25">
      <c r="A21" s="28"/>
      <c r="K21" s="3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34"/>
      <c r="BK21" s="29"/>
    </row>
    <row r="22" spans="1:63" ht="15" customHeight="1" thickBot="1" x14ac:dyDescent="0.3">
      <c r="A22" s="28"/>
      <c r="K22" s="33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4"/>
      <c r="BK22" s="29"/>
    </row>
    <row r="23" spans="1:63" ht="15" customHeight="1" x14ac:dyDescent="0.25">
      <c r="A23" s="28"/>
      <c r="K23" s="33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4"/>
      <c r="BK23" s="29"/>
    </row>
    <row r="24" spans="1:63" ht="15" customHeight="1" x14ac:dyDescent="0.25">
      <c r="A24" s="28"/>
      <c r="K24" s="33"/>
      <c r="L24" s="93" t="str">
        <f>K2&amp;"/"&amp;H4&amp;"/"&amp;Z4</f>
        <v>POSサーバー/25_取扱設定マスタ設定(KSM)/概要設計書</v>
      </c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34"/>
      <c r="BK24" s="29"/>
    </row>
    <row r="25" spans="1:63" ht="15" customHeight="1" x14ac:dyDescent="0.25">
      <c r="A25" s="28"/>
      <c r="K25" s="3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34"/>
      <c r="BK25" s="29"/>
    </row>
    <row r="26" spans="1:63" ht="15" customHeight="1" x14ac:dyDescent="0.25">
      <c r="A26" s="28"/>
      <c r="K26" s="3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34"/>
      <c r="BK26" s="29"/>
    </row>
    <row r="27" spans="1:63" ht="15" customHeight="1" x14ac:dyDescent="0.25">
      <c r="A27" s="28"/>
      <c r="K27" s="3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34"/>
      <c r="BK27" s="29"/>
    </row>
    <row r="28" spans="1:63" ht="15" customHeight="1" x14ac:dyDescent="0.25">
      <c r="A28" s="28"/>
      <c r="K28" s="3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34"/>
      <c r="BK28" s="29"/>
    </row>
    <row r="29" spans="1:63" ht="15" customHeight="1" x14ac:dyDescent="0.25">
      <c r="A29" s="28"/>
      <c r="K29" s="3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34"/>
      <c r="BK29" s="29"/>
    </row>
    <row r="30" spans="1:63" ht="15" customHeight="1" x14ac:dyDescent="0.25">
      <c r="A30" s="28"/>
      <c r="K30" s="3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34"/>
      <c r="BK30" s="29"/>
    </row>
    <row r="31" spans="1:63" ht="15" customHeight="1" x14ac:dyDescent="0.25">
      <c r="A31" s="28"/>
      <c r="K31" s="3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34"/>
      <c r="BK31" s="29"/>
    </row>
    <row r="32" spans="1:63" ht="15" customHeight="1" x14ac:dyDescent="0.25">
      <c r="A32" s="28"/>
      <c r="K32" s="3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34"/>
      <c r="BK32" s="29"/>
    </row>
    <row r="33" spans="1:63" ht="15" customHeight="1" x14ac:dyDescent="0.25">
      <c r="A33" s="28"/>
      <c r="K33" s="3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34"/>
      <c r="BK33" s="29"/>
    </row>
    <row r="34" spans="1:63" ht="15" customHeight="1" x14ac:dyDescent="0.25">
      <c r="A34" s="28"/>
      <c r="K34" s="3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34"/>
      <c r="BK34" s="29"/>
    </row>
    <row r="35" spans="1:63" ht="15" customHeight="1" x14ac:dyDescent="0.25">
      <c r="A35" s="28"/>
      <c r="K35" s="3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34"/>
      <c r="BK35" s="29"/>
    </row>
    <row r="36" spans="1:63" ht="15" customHeight="1" x14ac:dyDescent="0.25">
      <c r="A36" s="28"/>
      <c r="K36" s="3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34"/>
      <c r="BK36" s="29"/>
    </row>
    <row r="37" spans="1:63" ht="15" customHeight="1" thickBot="1" x14ac:dyDescent="0.3">
      <c r="A37" s="28"/>
      <c r="K37" s="37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9"/>
      <c r="BK37" s="29"/>
    </row>
    <row r="38" spans="1:63" ht="15" customHeight="1" thickTop="1" x14ac:dyDescent="0.25">
      <c r="A38" s="28"/>
      <c r="BK38" s="29"/>
    </row>
    <row r="39" spans="1:63" ht="15" customHeight="1" x14ac:dyDescent="0.25">
      <c r="A39" s="28"/>
      <c r="BK39" s="29"/>
    </row>
    <row r="40" spans="1:63" ht="15" customHeight="1" x14ac:dyDescent="0.25">
      <c r="A40" s="28"/>
      <c r="BK40" s="29"/>
    </row>
    <row r="41" spans="1:63" ht="15" customHeight="1" x14ac:dyDescent="0.25">
      <c r="A41" s="28"/>
      <c r="BK41" s="29"/>
    </row>
    <row r="42" spans="1:63" ht="15" customHeight="1" x14ac:dyDescent="0.25">
      <c r="A42" s="28"/>
      <c r="BK42" s="29"/>
    </row>
    <row r="43" spans="1:63" ht="15" customHeight="1" x14ac:dyDescent="0.25">
      <c r="A43" s="28"/>
      <c r="BK43" s="29"/>
    </row>
    <row r="44" spans="1:63" ht="15" customHeight="1" x14ac:dyDescent="0.25">
      <c r="A44" s="28"/>
      <c r="Q44" s="83" t="s">
        <v>64</v>
      </c>
      <c r="R44" s="84"/>
      <c r="S44" s="84"/>
      <c r="T44" s="84"/>
      <c r="U44" s="84"/>
      <c r="V44" s="84"/>
      <c r="W44" s="84"/>
      <c r="X44" s="84"/>
      <c r="Y44" s="84"/>
      <c r="Z44" s="85"/>
      <c r="AA44" s="83" t="s">
        <v>65</v>
      </c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5"/>
      <c r="AQ44" s="83" t="s">
        <v>59</v>
      </c>
      <c r="AR44" s="84"/>
      <c r="AS44" s="84"/>
      <c r="AT44" s="84"/>
      <c r="AU44" s="85"/>
      <c r="BK44" s="29"/>
    </row>
    <row r="45" spans="1:63" ht="15" customHeight="1" x14ac:dyDescent="0.25">
      <c r="A45" s="28"/>
      <c r="Q45" s="86"/>
      <c r="R45" s="87"/>
      <c r="S45" s="87"/>
      <c r="T45" s="87"/>
      <c r="U45" s="87"/>
      <c r="V45" s="87"/>
      <c r="W45" s="87"/>
      <c r="X45" s="87"/>
      <c r="Y45" s="87"/>
      <c r="Z45" s="88"/>
      <c r="AA45" s="86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8"/>
      <c r="AQ45" s="86"/>
      <c r="AR45" s="87"/>
      <c r="AS45" s="87"/>
      <c r="AT45" s="87"/>
      <c r="AU45" s="88"/>
      <c r="BK45" s="29"/>
    </row>
    <row r="46" spans="1:63" ht="15" customHeight="1" x14ac:dyDescent="0.25">
      <c r="A46" s="28"/>
      <c r="Q46" s="74"/>
      <c r="R46" s="75"/>
      <c r="S46" s="75"/>
      <c r="T46" s="75"/>
      <c r="U46" s="75"/>
      <c r="V46" s="75"/>
      <c r="W46" s="75"/>
      <c r="X46" s="75"/>
      <c r="Y46" s="75"/>
      <c r="Z46" s="76"/>
      <c r="AA46" s="74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6"/>
      <c r="AQ46" s="74"/>
      <c r="AR46" s="75"/>
      <c r="AS46" s="75"/>
      <c r="AT46" s="75"/>
      <c r="AU46" s="76"/>
      <c r="BK46" s="29"/>
    </row>
    <row r="47" spans="1:63" ht="15" customHeight="1" x14ac:dyDescent="0.25">
      <c r="A47" s="28"/>
      <c r="Q47" s="77"/>
      <c r="R47" s="78"/>
      <c r="S47" s="78"/>
      <c r="T47" s="78"/>
      <c r="U47" s="78"/>
      <c r="V47" s="78"/>
      <c r="W47" s="78"/>
      <c r="X47" s="78"/>
      <c r="Y47" s="78"/>
      <c r="Z47" s="79"/>
      <c r="AA47" s="77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9"/>
      <c r="AQ47" s="77"/>
      <c r="AR47" s="78"/>
      <c r="AS47" s="78"/>
      <c r="AT47" s="78"/>
      <c r="AU47" s="79"/>
      <c r="BK47" s="29"/>
    </row>
    <row r="48" spans="1:63" ht="15" customHeight="1" x14ac:dyDescent="0.25">
      <c r="A48" s="28"/>
      <c r="Q48" s="77"/>
      <c r="R48" s="78"/>
      <c r="S48" s="78"/>
      <c r="T48" s="78"/>
      <c r="U48" s="78"/>
      <c r="V48" s="78"/>
      <c r="W48" s="78"/>
      <c r="X48" s="78"/>
      <c r="Y48" s="78"/>
      <c r="Z48" s="79"/>
      <c r="AA48" s="77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9"/>
      <c r="AQ48" s="77"/>
      <c r="AR48" s="78"/>
      <c r="AS48" s="78"/>
      <c r="AT48" s="78"/>
      <c r="AU48" s="79"/>
      <c r="BK48" s="29"/>
    </row>
    <row r="49" spans="1:63" ht="15" customHeight="1" x14ac:dyDescent="0.25">
      <c r="A49" s="28"/>
      <c r="Q49" s="80"/>
      <c r="R49" s="81"/>
      <c r="S49" s="81"/>
      <c r="T49" s="81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2"/>
      <c r="AQ49" s="80"/>
      <c r="AR49" s="81"/>
      <c r="AS49" s="81"/>
      <c r="AT49" s="81"/>
      <c r="AU49" s="82"/>
      <c r="BK49" s="29"/>
    </row>
    <row r="50" spans="1:63" ht="15" customHeight="1" x14ac:dyDescent="0.25">
      <c r="A50" s="28"/>
      <c r="BK50" s="29"/>
    </row>
    <row r="51" spans="1:63" ht="15" customHeight="1" x14ac:dyDescent="0.25">
      <c r="A51" s="28"/>
      <c r="BK51" s="29"/>
    </row>
    <row r="52" spans="1:63" ht="15" customHeight="1" x14ac:dyDescent="0.25">
      <c r="A52" s="28"/>
      <c r="BK52" s="29"/>
    </row>
    <row r="53" spans="1:63" ht="15" customHeight="1" x14ac:dyDescent="0.25">
      <c r="A53" s="28"/>
      <c r="BK53" s="29"/>
    </row>
    <row r="54" spans="1:63" ht="15" customHeight="1" x14ac:dyDescent="0.25">
      <c r="A54" s="28"/>
      <c r="BK54" s="29"/>
    </row>
    <row r="55" spans="1:63" ht="15" customHeight="1" x14ac:dyDescent="0.25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4" customWidth="1"/>
    <col min="61" max="16384" width="2.77734375" style="24"/>
  </cols>
  <sheetData>
    <row r="1" spans="1:63" ht="24.95" customHeight="1" x14ac:dyDescent="0.25">
      <c r="A1" s="89" t="s">
        <v>52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53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10" t="str">
        <f>IF(表紙!W1="","",表紙!W1)</f>
        <v>基本設計書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89" t="s">
        <v>55</v>
      </c>
      <c r="AQ1" s="90"/>
      <c r="AR1" s="90"/>
      <c r="AS1" s="91"/>
      <c r="AT1" s="89" t="s">
        <v>56</v>
      </c>
      <c r="AU1" s="90"/>
      <c r="AV1" s="90"/>
      <c r="AW1" s="90"/>
      <c r="AX1" s="91"/>
      <c r="AY1" s="89" t="s">
        <v>57</v>
      </c>
      <c r="AZ1" s="90"/>
      <c r="BA1" s="90"/>
      <c r="BB1" s="91"/>
      <c r="BC1" s="89" t="s">
        <v>58</v>
      </c>
      <c r="BD1" s="90"/>
      <c r="BE1" s="90"/>
      <c r="BF1" s="90"/>
      <c r="BG1" s="91"/>
      <c r="BH1" s="89" t="s">
        <v>59</v>
      </c>
      <c r="BI1" s="90"/>
      <c r="BJ1" s="90"/>
      <c r="BK1" s="91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POSサーバー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74" t="str">
        <f>IF(表紙!AP2="","",表紙!AP2)</f>
        <v>LoiLV</v>
      </c>
      <c r="AQ2" s="75"/>
      <c r="AR2" s="75"/>
      <c r="AS2" s="76"/>
      <c r="AT2" s="103">
        <f>IF(表紙!AT2="","",表紙!AT2)</f>
        <v>45421</v>
      </c>
      <c r="AU2" s="104"/>
      <c r="AV2" s="104"/>
      <c r="AW2" s="104"/>
      <c r="AX2" s="105"/>
      <c r="AY2" s="74" t="str">
        <f>IF(表紙!AY2="","",表紙!AY2)</f>
        <v>LoiLV</v>
      </c>
      <c r="AZ2" s="75"/>
      <c r="BA2" s="75"/>
      <c r="BB2" s="76"/>
      <c r="BC2" s="103">
        <f>IF(表紙!BC2="","",表紙!BC2)</f>
        <v>45517</v>
      </c>
      <c r="BD2" s="104"/>
      <c r="BE2" s="104"/>
      <c r="BF2" s="104"/>
      <c r="BG2" s="105"/>
      <c r="BH2" s="74" t="str">
        <f>IF(表紙!BH2="","",表紙!BH2)</f>
        <v>0.3.7</v>
      </c>
      <c r="BI2" s="75"/>
      <c r="BJ2" s="75"/>
      <c r="BK2" s="76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80"/>
      <c r="AQ3" s="81"/>
      <c r="AR3" s="81"/>
      <c r="AS3" s="82"/>
      <c r="AT3" s="106"/>
      <c r="AU3" s="107"/>
      <c r="AV3" s="107"/>
      <c r="AW3" s="107"/>
      <c r="AX3" s="108"/>
      <c r="AY3" s="80"/>
      <c r="AZ3" s="81"/>
      <c r="BA3" s="81"/>
      <c r="BB3" s="82"/>
      <c r="BC3" s="106"/>
      <c r="BD3" s="107"/>
      <c r="BE3" s="107"/>
      <c r="BF3" s="107"/>
      <c r="BG3" s="108"/>
      <c r="BH3" s="80"/>
      <c r="BI3" s="81"/>
      <c r="BJ3" s="81"/>
      <c r="BK3" s="82"/>
    </row>
    <row r="4" spans="1:63" ht="24.95" customHeight="1" x14ac:dyDescent="0.25">
      <c r="A4" s="89" t="s">
        <v>61</v>
      </c>
      <c r="B4" s="90"/>
      <c r="C4" s="90"/>
      <c r="D4" s="90"/>
      <c r="E4" s="90"/>
      <c r="F4" s="90"/>
      <c r="G4" s="91"/>
      <c r="H4" s="94" t="str">
        <f>IF(表紙!H4="","",表紙!H4)</f>
        <v>25_取扱設定マスタ設定(KSM)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62</v>
      </c>
      <c r="V4" s="90"/>
      <c r="W4" s="90"/>
      <c r="X4" s="90"/>
      <c r="Y4" s="91"/>
      <c r="Z4" s="94" t="str">
        <f>IF(表紙!Z4="","",表紙!Z4)</f>
        <v>概要設計書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改訂履歴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7"/>
    </row>
    <row r="6" spans="1:63" ht="15" customHeight="1" x14ac:dyDescent="0.25">
      <c r="A6" s="28"/>
      <c r="BK6" s="29"/>
    </row>
    <row r="7" spans="1:63" ht="15" customHeight="1" x14ac:dyDescent="0.25">
      <c r="A7" s="28"/>
      <c r="BK7" s="29"/>
    </row>
    <row r="8" spans="1:63" ht="15" customHeight="1" x14ac:dyDescent="0.25">
      <c r="A8" s="28"/>
      <c r="B8" s="24" t="s">
        <v>9</v>
      </c>
      <c r="BK8" s="29"/>
    </row>
    <row r="9" spans="1:63" ht="15" customHeight="1" x14ac:dyDescent="0.25">
      <c r="A9" s="28"/>
      <c r="BK9" s="29"/>
    </row>
    <row r="10" spans="1:63" ht="15" customHeight="1" x14ac:dyDescent="0.25">
      <c r="A10" s="28"/>
      <c r="B10" s="131" t="s">
        <v>58</v>
      </c>
      <c r="C10" s="131"/>
      <c r="D10" s="131"/>
      <c r="E10" s="131"/>
      <c r="F10" s="131"/>
      <c r="G10" s="131"/>
      <c r="H10" s="131" t="s">
        <v>57</v>
      </c>
      <c r="I10" s="131"/>
      <c r="J10" s="131"/>
      <c r="K10" s="131"/>
      <c r="L10" s="131"/>
      <c r="M10" s="131"/>
      <c r="N10" s="131"/>
      <c r="O10" s="131" t="s">
        <v>59</v>
      </c>
      <c r="P10" s="131"/>
      <c r="Q10" s="131"/>
      <c r="R10" s="131"/>
      <c r="S10" s="131" t="s">
        <v>66</v>
      </c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 t="s">
        <v>64</v>
      </c>
      <c r="AY10" s="131"/>
      <c r="AZ10" s="131"/>
      <c r="BA10" s="131"/>
      <c r="BB10" s="131"/>
      <c r="BC10" s="131"/>
      <c r="BD10" s="131" t="s">
        <v>65</v>
      </c>
      <c r="BE10" s="131"/>
      <c r="BF10" s="131"/>
      <c r="BG10" s="131"/>
      <c r="BH10" s="131"/>
      <c r="BI10" s="131"/>
      <c r="BJ10" s="131"/>
      <c r="BK10" s="29"/>
    </row>
    <row r="11" spans="1:63" ht="15" customHeight="1" x14ac:dyDescent="0.25">
      <c r="A11" s="28"/>
      <c r="B11" s="103">
        <v>45421</v>
      </c>
      <c r="C11" s="75"/>
      <c r="D11" s="75"/>
      <c r="E11" s="75"/>
      <c r="F11" s="75"/>
      <c r="G11" s="76"/>
      <c r="H11" s="109" t="s">
        <v>67</v>
      </c>
      <c r="I11" s="75"/>
      <c r="J11" s="75"/>
      <c r="K11" s="75"/>
      <c r="L11" s="75"/>
      <c r="M11" s="75"/>
      <c r="N11" s="76"/>
      <c r="O11" s="74">
        <v>0.1</v>
      </c>
      <c r="P11" s="75"/>
      <c r="Q11" s="75"/>
      <c r="R11" s="75"/>
      <c r="S11" s="119" t="s">
        <v>15</v>
      </c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1"/>
      <c r="AX11" s="122"/>
      <c r="AY11" s="122"/>
      <c r="AZ11" s="122"/>
      <c r="BA11" s="122"/>
      <c r="BB11" s="122"/>
      <c r="BC11" s="123"/>
      <c r="BD11" s="126"/>
      <c r="BE11" s="122"/>
      <c r="BF11" s="122"/>
      <c r="BG11" s="122"/>
      <c r="BH11" s="122"/>
      <c r="BI11" s="122"/>
      <c r="BJ11" s="123"/>
      <c r="BK11" s="29"/>
    </row>
    <row r="12" spans="1:63" ht="15" customHeight="1" x14ac:dyDescent="0.25">
      <c r="A12" s="28"/>
      <c r="B12" s="80"/>
      <c r="C12" s="81"/>
      <c r="D12" s="81"/>
      <c r="E12" s="81"/>
      <c r="F12" s="81"/>
      <c r="G12" s="82"/>
      <c r="H12" s="80"/>
      <c r="I12" s="81"/>
      <c r="J12" s="81"/>
      <c r="K12" s="81"/>
      <c r="L12" s="81"/>
      <c r="M12" s="81"/>
      <c r="N12" s="82"/>
      <c r="O12" s="80"/>
      <c r="P12" s="81"/>
      <c r="Q12" s="81"/>
      <c r="R12" s="81"/>
      <c r="S12" s="128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30"/>
      <c r="AX12" s="124"/>
      <c r="AY12" s="124"/>
      <c r="AZ12" s="124"/>
      <c r="BA12" s="124"/>
      <c r="BB12" s="124"/>
      <c r="BC12" s="125"/>
      <c r="BD12" s="127"/>
      <c r="BE12" s="124"/>
      <c r="BF12" s="124"/>
      <c r="BG12" s="124"/>
      <c r="BH12" s="124"/>
      <c r="BI12" s="124"/>
      <c r="BJ12" s="125"/>
      <c r="BK12" s="29"/>
    </row>
    <row r="13" spans="1:63" ht="15" customHeight="1" x14ac:dyDescent="0.25">
      <c r="A13" s="28"/>
      <c r="B13" s="132">
        <v>45426</v>
      </c>
      <c r="C13" s="133"/>
      <c r="D13" s="133"/>
      <c r="E13" s="133"/>
      <c r="F13" s="133"/>
      <c r="G13" s="134"/>
      <c r="H13" s="138" t="s">
        <v>51</v>
      </c>
      <c r="I13" s="133"/>
      <c r="J13" s="133"/>
      <c r="K13" s="133"/>
      <c r="L13" s="133"/>
      <c r="M13" s="133"/>
      <c r="N13" s="134"/>
      <c r="O13" s="138">
        <v>0.2</v>
      </c>
      <c r="P13" s="133"/>
      <c r="Q13" s="133"/>
      <c r="R13" s="133"/>
      <c r="S13" s="139" t="s">
        <v>32</v>
      </c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1"/>
      <c r="AX13" s="122"/>
      <c r="AY13" s="122"/>
      <c r="AZ13" s="122"/>
      <c r="BA13" s="122"/>
      <c r="BB13" s="122"/>
      <c r="BC13" s="123"/>
      <c r="BD13" s="126"/>
      <c r="BE13" s="122"/>
      <c r="BF13" s="122"/>
      <c r="BG13" s="122"/>
      <c r="BH13" s="122"/>
      <c r="BI13" s="122"/>
      <c r="BJ13" s="123"/>
      <c r="BK13" s="29"/>
    </row>
    <row r="14" spans="1:63" ht="15" customHeight="1" x14ac:dyDescent="0.25">
      <c r="A14" s="28"/>
      <c r="B14" s="135"/>
      <c r="C14" s="136"/>
      <c r="D14" s="136"/>
      <c r="E14" s="136"/>
      <c r="F14" s="136"/>
      <c r="G14" s="137"/>
      <c r="H14" s="135"/>
      <c r="I14" s="136"/>
      <c r="J14" s="136"/>
      <c r="K14" s="136"/>
      <c r="L14" s="136"/>
      <c r="M14" s="136"/>
      <c r="N14" s="137"/>
      <c r="O14" s="135"/>
      <c r="P14" s="136"/>
      <c r="Q14" s="136"/>
      <c r="R14" s="136"/>
      <c r="S14" s="142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4"/>
      <c r="AX14" s="124"/>
      <c r="AY14" s="124"/>
      <c r="AZ14" s="124"/>
      <c r="BA14" s="124"/>
      <c r="BB14" s="124"/>
      <c r="BC14" s="125"/>
      <c r="BD14" s="127"/>
      <c r="BE14" s="124"/>
      <c r="BF14" s="124"/>
      <c r="BG14" s="124"/>
      <c r="BH14" s="124"/>
      <c r="BI14" s="124"/>
      <c r="BJ14" s="125"/>
      <c r="BK14" s="29"/>
    </row>
    <row r="15" spans="1:63" ht="15" customHeight="1" x14ac:dyDescent="0.25">
      <c r="A15" s="28"/>
      <c r="B15" s="132">
        <v>45428</v>
      </c>
      <c r="C15" s="133"/>
      <c r="D15" s="133"/>
      <c r="E15" s="133"/>
      <c r="F15" s="133"/>
      <c r="G15" s="134"/>
      <c r="H15" s="138" t="s">
        <v>51</v>
      </c>
      <c r="I15" s="133"/>
      <c r="J15" s="133"/>
      <c r="K15" s="133"/>
      <c r="L15" s="133"/>
      <c r="M15" s="133"/>
      <c r="N15" s="134"/>
      <c r="O15" s="138">
        <v>0.3</v>
      </c>
      <c r="P15" s="133"/>
      <c r="Q15" s="133"/>
      <c r="R15" s="133"/>
      <c r="S15" s="139" t="s">
        <v>32</v>
      </c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1"/>
      <c r="AX15" s="122"/>
      <c r="AY15" s="122"/>
      <c r="AZ15" s="122"/>
      <c r="BA15" s="122"/>
      <c r="BB15" s="122"/>
      <c r="BC15" s="123"/>
      <c r="BD15" s="126"/>
      <c r="BE15" s="122"/>
      <c r="BF15" s="122"/>
      <c r="BG15" s="122"/>
      <c r="BH15" s="122"/>
      <c r="BI15" s="122"/>
      <c r="BJ15" s="123"/>
      <c r="BK15" s="29"/>
    </row>
    <row r="16" spans="1:63" ht="15" customHeight="1" x14ac:dyDescent="0.25">
      <c r="A16" s="28"/>
      <c r="B16" s="135"/>
      <c r="C16" s="136"/>
      <c r="D16" s="136"/>
      <c r="E16" s="136"/>
      <c r="F16" s="136"/>
      <c r="G16" s="137"/>
      <c r="H16" s="135"/>
      <c r="I16" s="136"/>
      <c r="J16" s="136"/>
      <c r="K16" s="136"/>
      <c r="L16" s="136"/>
      <c r="M16" s="136"/>
      <c r="N16" s="137"/>
      <c r="O16" s="135"/>
      <c r="P16" s="136"/>
      <c r="Q16" s="136"/>
      <c r="R16" s="136"/>
      <c r="S16" s="142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4"/>
      <c r="AX16" s="124"/>
      <c r="AY16" s="124"/>
      <c r="AZ16" s="124"/>
      <c r="BA16" s="124"/>
      <c r="BB16" s="124"/>
      <c r="BC16" s="125"/>
      <c r="BD16" s="127"/>
      <c r="BE16" s="124"/>
      <c r="BF16" s="124"/>
      <c r="BG16" s="124"/>
      <c r="BH16" s="124"/>
      <c r="BI16" s="124"/>
      <c r="BJ16" s="125"/>
      <c r="BK16" s="29"/>
    </row>
    <row r="17" spans="1:63" ht="15" customHeight="1" x14ac:dyDescent="0.25">
      <c r="A17" s="28"/>
      <c r="B17" s="132">
        <v>45429</v>
      </c>
      <c r="C17" s="133"/>
      <c r="D17" s="133"/>
      <c r="E17" s="133"/>
      <c r="F17" s="133"/>
      <c r="G17" s="134"/>
      <c r="H17" s="138" t="s">
        <v>51</v>
      </c>
      <c r="I17" s="133"/>
      <c r="J17" s="133"/>
      <c r="K17" s="133"/>
      <c r="L17" s="133"/>
      <c r="M17" s="133"/>
      <c r="N17" s="134"/>
      <c r="O17" s="138" t="s">
        <v>33</v>
      </c>
      <c r="P17" s="133"/>
      <c r="Q17" s="133"/>
      <c r="R17" s="133"/>
      <c r="S17" s="139" t="s">
        <v>68</v>
      </c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1"/>
      <c r="AX17" s="122"/>
      <c r="AY17" s="122"/>
      <c r="AZ17" s="122"/>
      <c r="BA17" s="122"/>
      <c r="BB17" s="122"/>
      <c r="BC17" s="123"/>
      <c r="BD17" s="126"/>
      <c r="BE17" s="122"/>
      <c r="BF17" s="122"/>
      <c r="BG17" s="122"/>
      <c r="BH17" s="122"/>
      <c r="BI17" s="122"/>
      <c r="BJ17" s="123"/>
      <c r="BK17" s="29"/>
    </row>
    <row r="18" spans="1:63" ht="15" customHeight="1" x14ac:dyDescent="0.25">
      <c r="A18" s="28"/>
      <c r="B18" s="135"/>
      <c r="C18" s="136"/>
      <c r="D18" s="136"/>
      <c r="E18" s="136"/>
      <c r="F18" s="136"/>
      <c r="G18" s="137"/>
      <c r="H18" s="135"/>
      <c r="I18" s="136"/>
      <c r="J18" s="136"/>
      <c r="K18" s="136"/>
      <c r="L18" s="136"/>
      <c r="M18" s="136"/>
      <c r="N18" s="137"/>
      <c r="O18" s="135"/>
      <c r="P18" s="136"/>
      <c r="Q18" s="136"/>
      <c r="R18" s="136"/>
      <c r="S18" s="142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4"/>
      <c r="AX18" s="124"/>
      <c r="AY18" s="124"/>
      <c r="AZ18" s="124"/>
      <c r="BA18" s="124"/>
      <c r="BB18" s="124"/>
      <c r="BC18" s="125"/>
      <c r="BD18" s="127"/>
      <c r="BE18" s="124"/>
      <c r="BF18" s="124"/>
      <c r="BG18" s="124"/>
      <c r="BH18" s="124"/>
      <c r="BI18" s="124"/>
      <c r="BJ18" s="125"/>
      <c r="BK18" s="29"/>
    </row>
    <row r="19" spans="1:63" ht="15" customHeight="1" x14ac:dyDescent="0.25">
      <c r="A19" s="28"/>
      <c r="B19" s="132">
        <v>45439</v>
      </c>
      <c r="C19" s="133"/>
      <c r="D19" s="133"/>
      <c r="E19" s="133"/>
      <c r="F19" s="133"/>
      <c r="G19" s="134"/>
      <c r="H19" s="138" t="s">
        <v>67</v>
      </c>
      <c r="I19" s="133"/>
      <c r="J19" s="133"/>
      <c r="K19" s="133"/>
      <c r="L19" s="133"/>
      <c r="M19" s="133"/>
      <c r="N19" s="134"/>
      <c r="O19" s="138" t="s">
        <v>69</v>
      </c>
      <c r="P19" s="133"/>
      <c r="Q19" s="133"/>
      <c r="R19" s="133"/>
      <c r="S19" s="139" t="s">
        <v>70</v>
      </c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1"/>
      <c r="AX19" s="122"/>
      <c r="AY19" s="122"/>
      <c r="AZ19" s="122"/>
      <c r="BA19" s="122"/>
      <c r="BB19" s="122"/>
      <c r="BC19" s="123"/>
      <c r="BD19" s="126"/>
      <c r="BE19" s="122"/>
      <c r="BF19" s="122"/>
      <c r="BG19" s="122"/>
      <c r="BH19" s="122"/>
      <c r="BI19" s="122"/>
      <c r="BJ19" s="123"/>
      <c r="BK19" s="29"/>
    </row>
    <row r="20" spans="1:63" ht="15" customHeight="1" x14ac:dyDescent="0.25">
      <c r="A20" s="28"/>
      <c r="B20" s="135"/>
      <c r="C20" s="136"/>
      <c r="D20" s="136"/>
      <c r="E20" s="136"/>
      <c r="F20" s="136"/>
      <c r="G20" s="137"/>
      <c r="H20" s="135"/>
      <c r="I20" s="136"/>
      <c r="J20" s="136"/>
      <c r="K20" s="136"/>
      <c r="L20" s="136"/>
      <c r="M20" s="136"/>
      <c r="N20" s="137"/>
      <c r="O20" s="135"/>
      <c r="P20" s="136"/>
      <c r="Q20" s="136"/>
      <c r="R20" s="136"/>
      <c r="S20" s="142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4"/>
      <c r="AX20" s="124"/>
      <c r="AY20" s="124"/>
      <c r="AZ20" s="124"/>
      <c r="BA20" s="124"/>
      <c r="BB20" s="124"/>
      <c r="BC20" s="125"/>
      <c r="BD20" s="127"/>
      <c r="BE20" s="124"/>
      <c r="BF20" s="124"/>
      <c r="BG20" s="124"/>
      <c r="BH20" s="124"/>
      <c r="BI20" s="124"/>
      <c r="BJ20" s="125"/>
      <c r="BK20" s="29"/>
    </row>
    <row r="21" spans="1:63" ht="15" customHeight="1" x14ac:dyDescent="0.25">
      <c r="A21" s="28"/>
      <c r="B21" s="132">
        <v>45448</v>
      </c>
      <c r="C21" s="133"/>
      <c r="D21" s="133"/>
      <c r="E21" s="133"/>
      <c r="F21" s="133"/>
      <c r="G21" s="134"/>
      <c r="H21" s="138" t="s">
        <v>67</v>
      </c>
      <c r="I21" s="133"/>
      <c r="J21" s="133"/>
      <c r="K21" s="133"/>
      <c r="L21" s="133"/>
      <c r="M21" s="133"/>
      <c r="N21" s="134"/>
      <c r="O21" s="138" t="s">
        <v>121</v>
      </c>
      <c r="P21" s="133"/>
      <c r="Q21" s="133"/>
      <c r="R21" s="133"/>
      <c r="S21" s="139" t="s">
        <v>122</v>
      </c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1"/>
      <c r="AX21" s="122"/>
      <c r="AY21" s="122"/>
      <c r="AZ21" s="122"/>
      <c r="BA21" s="122"/>
      <c r="BB21" s="122"/>
      <c r="BC21" s="123"/>
      <c r="BD21" s="126"/>
      <c r="BE21" s="122"/>
      <c r="BF21" s="122"/>
      <c r="BG21" s="122"/>
      <c r="BH21" s="122"/>
      <c r="BI21" s="122"/>
      <c r="BJ21" s="123"/>
      <c r="BK21" s="29"/>
    </row>
    <row r="22" spans="1:63" ht="15" customHeight="1" x14ac:dyDescent="0.25">
      <c r="A22" s="28"/>
      <c r="B22" s="135"/>
      <c r="C22" s="136"/>
      <c r="D22" s="136"/>
      <c r="E22" s="136"/>
      <c r="F22" s="136"/>
      <c r="G22" s="137"/>
      <c r="H22" s="135"/>
      <c r="I22" s="136"/>
      <c r="J22" s="136"/>
      <c r="K22" s="136"/>
      <c r="L22" s="136"/>
      <c r="M22" s="136"/>
      <c r="N22" s="137"/>
      <c r="O22" s="135"/>
      <c r="P22" s="136"/>
      <c r="Q22" s="136"/>
      <c r="R22" s="136"/>
      <c r="S22" s="142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4"/>
      <c r="AX22" s="124"/>
      <c r="AY22" s="124"/>
      <c r="AZ22" s="124"/>
      <c r="BA22" s="124"/>
      <c r="BB22" s="124"/>
      <c r="BC22" s="125"/>
      <c r="BD22" s="127"/>
      <c r="BE22" s="124"/>
      <c r="BF22" s="124"/>
      <c r="BG22" s="124"/>
      <c r="BH22" s="124"/>
      <c r="BI22" s="124"/>
      <c r="BJ22" s="125"/>
      <c r="BK22" s="29"/>
    </row>
    <row r="23" spans="1:63" ht="15" customHeight="1" x14ac:dyDescent="0.25">
      <c r="A23" s="28"/>
      <c r="B23" s="132">
        <v>45447</v>
      </c>
      <c r="C23" s="133"/>
      <c r="D23" s="133"/>
      <c r="E23" s="133"/>
      <c r="F23" s="133"/>
      <c r="G23" s="134"/>
      <c r="H23" s="138" t="s">
        <v>71</v>
      </c>
      <c r="I23" s="133"/>
      <c r="J23" s="133"/>
      <c r="K23" s="133"/>
      <c r="L23" s="133"/>
      <c r="M23" s="133"/>
      <c r="N23" s="134"/>
      <c r="O23" s="138" t="s">
        <v>123</v>
      </c>
      <c r="P23" s="133"/>
      <c r="Q23" s="133"/>
      <c r="R23" s="133"/>
      <c r="S23" s="139" t="s">
        <v>124</v>
      </c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1"/>
      <c r="AX23" s="122"/>
      <c r="AY23" s="122"/>
      <c r="AZ23" s="122"/>
      <c r="BA23" s="122"/>
      <c r="BB23" s="122"/>
      <c r="BC23" s="123"/>
      <c r="BD23" s="126"/>
      <c r="BE23" s="122"/>
      <c r="BF23" s="122"/>
      <c r="BG23" s="122"/>
      <c r="BH23" s="122"/>
      <c r="BI23" s="122"/>
      <c r="BJ23" s="123"/>
      <c r="BK23" s="29"/>
    </row>
    <row r="24" spans="1:63" ht="15" customHeight="1" x14ac:dyDescent="0.25">
      <c r="A24" s="28"/>
      <c r="B24" s="135"/>
      <c r="C24" s="136"/>
      <c r="D24" s="136"/>
      <c r="E24" s="136"/>
      <c r="F24" s="136"/>
      <c r="G24" s="137"/>
      <c r="H24" s="135"/>
      <c r="I24" s="136"/>
      <c r="J24" s="136"/>
      <c r="K24" s="136"/>
      <c r="L24" s="136"/>
      <c r="M24" s="136"/>
      <c r="N24" s="137"/>
      <c r="O24" s="135"/>
      <c r="P24" s="136"/>
      <c r="Q24" s="136"/>
      <c r="R24" s="136"/>
      <c r="S24" s="142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4"/>
      <c r="AX24" s="124"/>
      <c r="AY24" s="124"/>
      <c r="AZ24" s="124"/>
      <c r="BA24" s="124"/>
      <c r="BB24" s="124"/>
      <c r="BC24" s="125"/>
      <c r="BD24" s="127"/>
      <c r="BE24" s="124"/>
      <c r="BF24" s="124"/>
      <c r="BG24" s="124"/>
      <c r="BH24" s="124"/>
      <c r="BI24" s="124"/>
      <c r="BJ24" s="125"/>
      <c r="BK24" s="29"/>
    </row>
    <row r="25" spans="1:63" ht="15" customHeight="1" x14ac:dyDescent="0.25">
      <c r="A25" s="28"/>
      <c r="B25" s="132">
        <v>45453</v>
      </c>
      <c r="C25" s="133"/>
      <c r="D25" s="133"/>
      <c r="E25" s="133"/>
      <c r="F25" s="133"/>
      <c r="G25" s="134"/>
      <c r="H25" s="138" t="s">
        <v>71</v>
      </c>
      <c r="I25" s="133"/>
      <c r="J25" s="133"/>
      <c r="K25" s="133"/>
      <c r="L25" s="133"/>
      <c r="M25" s="133"/>
      <c r="N25" s="134"/>
      <c r="O25" s="138" t="s">
        <v>72</v>
      </c>
      <c r="P25" s="133"/>
      <c r="Q25" s="133"/>
      <c r="R25" s="133"/>
      <c r="S25" s="139" t="s">
        <v>73</v>
      </c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1"/>
      <c r="AX25" s="122"/>
      <c r="AY25" s="122"/>
      <c r="AZ25" s="122"/>
      <c r="BA25" s="122"/>
      <c r="BB25" s="122"/>
      <c r="BC25" s="123"/>
      <c r="BD25" s="126"/>
      <c r="BE25" s="122"/>
      <c r="BF25" s="122"/>
      <c r="BG25" s="122"/>
      <c r="BH25" s="122"/>
      <c r="BI25" s="122"/>
      <c r="BJ25" s="123"/>
      <c r="BK25" s="29"/>
    </row>
    <row r="26" spans="1:63" ht="15" customHeight="1" x14ac:dyDescent="0.25">
      <c r="A26" s="28"/>
      <c r="B26" s="135"/>
      <c r="C26" s="136"/>
      <c r="D26" s="136"/>
      <c r="E26" s="136"/>
      <c r="F26" s="136"/>
      <c r="G26" s="137"/>
      <c r="H26" s="135"/>
      <c r="I26" s="136"/>
      <c r="J26" s="136"/>
      <c r="K26" s="136"/>
      <c r="L26" s="136"/>
      <c r="M26" s="136"/>
      <c r="N26" s="137"/>
      <c r="O26" s="135"/>
      <c r="P26" s="136"/>
      <c r="Q26" s="136"/>
      <c r="R26" s="136"/>
      <c r="S26" s="142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4"/>
      <c r="AX26" s="124"/>
      <c r="AY26" s="124"/>
      <c r="AZ26" s="124"/>
      <c r="BA26" s="124"/>
      <c r="BB26" s="124"/>
      <c r="BC26" s="125"/>
      <c r="BD26" s="127"/>
      <c r="BE26" s="124"/>
      <c r="BF26" s="124"/>
      <c r="BG26" s="124"/>
      <c r="BH26" s="124"/>
      <c r="BI26" s="124"/>
      <c r="BJ26" s="125"/>
      <c r="BK26" s="29"/>
    </row>
    <row r="27" spans="1:63" ht="15" customHeight="1" x14ac:dyDescent="0.25">
      <c r="A27" s="28"/>
      <c r="B27" s="132">
        <v>45457</v>
      </c>
      <c r="C27" s="133"/>
      <c r="D27" s="133"/>
      <c r="E27" s="133"/>
      <c r="F27" s="133"/>
      <c r="G27" s="134"/>
      <c r="H27" s="138" t="s">
        <v>71</v>
      </c>
      <c r="I27" s="133"/>
      <c r="J27" s="133"/>
      <c r="K27" s="133"/>
      <c r="L27" s="133"/>
      <c r="M27" s="133"/>
      <c r="N27" s="134"/>
      <c r="O27" s="138" t="s">
        <v>107</v>
      </c>
      <c r="P27" s="133"/>
      <c r="Q27" s="133"/>
      <c r="R27" s="133"/>
      <c r="S27" s="139" t="s">
        <v>108</v>
      </c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1"/>
      <c r="AX27" s="122"/>
      <c r="AY27" s="122"/>
      <c r="AZ27" s="122"/>
      <c r="BA27" s="122"/>
      <c r="BB27" s="122"/>
      <c r="BC27" s="123"/>
      <c r="BD27" s="126"/>
      <c r="BE27" s="122"/>
      <c r="BF27" s="122"/>
      <c r="BG27" s="122"/>
      <c r="BH27" s="122"/>
      <c r="BI27" s="122"/>
      <c r="BJ27" s="123"/>
      <c r="BK27" s="29"/>
    </row>
    <row r="28" spans="1:63" ht="15" customHeight="1" x14ac:dyDescent="0.25">
      <c r="A28" s="28"/>
      <c r="B28" s="135"/>
      <c r="C28" s="136"/>
      <c r="D28" s="136"/>
      <c r="E28" s="136"/>
      <c r="F28" s="136"/>
      <c r="G28" s="137"/>
      <c r="H28" s="135"/>
      <c r="I28" s="136"/>
      <c r="J28" s="136"/>
      <c r="K28" s="136"/>
      <c r="L28" s="136"/>
      <c r="M28" s="136"/>
      <c r="N28" s="137"/>
      <c r="O28" s="135"/>
      <c r="P28" s="136"/>
      <c r="Q28" s="136"/>
      <c r="R28" s="136"/>
      <c r="S28" s="142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4"/>
      <c r="AX28" s="124"/>
      <c r="AY28" s="124"/>
      <c r="AZ28" s="124"/>
      <c r="BA28" s="124"/>
      <c r="BB28" s="124"/>
      <c r="BC28" s="125"/>
      <c r="BD28" s="127"/>
      <c r="BE28" s="124"/>
      <c r="BF28" s="124"/>
      <c r="BG28" s="124"/>
      <c r="BH28" s="124"/>
      <c r="BI28" s="124"/>
      <c r="BJ28" s="125"/>
      <c r="BK28" s="29"/>
    </row>
    <row r="29" spans="1:63" ht="15" customHeight="1" x14ac:dyDescent="0.25">
      <c r="A29" s="28"/>
      <c r="B29" s="369">
        <v>45517</v>
      </c>
      <c r="C29" s="370"/>
      <c r="D29" s="370"/>
      <c r="E29" s="370"/>
      <c r="F29" s="370"/>
      <c r="G29" s="371"/>
      <c r="H29" s="372" t="s">
        <v>67</v>
      </c>
      <c r="I29" s="370"/>
      <c r="J29" s="370"/>
      <c r="K29" s="370"/>
      <c r="L29" s="370"/>
      <c r="M29" s="370"/>
      <c r="N29" s="371"/>
      <c r="O29" s="372" t="s">
        <v>162</v>
      </c>
      <c r="P29" s="370"/>
      <c r="Q29" s="370"/>
      <c r="R29" s="370"/>
      <c r="S29" s="373" t="s">
        <v>163</v>
      </c>
      <c r="T29" s="374"/>
      <c r="U29" s="374"/>
      <c r="V29" s="374"/>
      <c r="W29" s="374"/>
      <c r="X29" s="374"/>
      <c r="Y29" s="374"/>
      <c r="Z29" s="374"/>
      <c r="AA29" s="374"/>
      <c r="AB29" s="374"/>
      <c r="AC29" s="374"/>
      <c r="AD29" s="374"/>
      <c r="AE29" s="374"/>
      <c r="AF29" s="374"/>
      <c r="AG29" s="374"/>
      <c r="AH29" s="374"/>
      <c r="AI29" s="374"/>
      <c r="AJ29" s="374"/>
      <c r="AK29" s="374"/>
      <c r="AL29" s="374"/>
      <c r="AM29" s="374"/>
      <c r="AN29" s="374"/>
      <c r="AO29" s="374"/>
      <c r="AP29" s="374"/>
      <c r="AQ29" s="374"/>
      <c r="AR29" s="374"/>
      <c r="AS29" s="374"/>
      <c r="AT29" s="374"/>
      <c r="AU29" s="374"/>
      <c r="AV29" s="374"/>
      <c r="AW29" s="375"/>
      <c r="AX29" s="122"/>
      <c r="AY29" s="122"/>
      <c r="AZ29" s="122"/>
      <c r="BA29" s="122"/>
      <c r="BB29" s="122"/>
      <c r="BC29" s="123"/>
      <c r="BD29" s="126"/>
      <c r="BE29" s="122"/>
      <c r="BF29" s="122"/>
      <c r="BG29" s="122"/>
      <c r="BH29" s="122"/>
      <c r="BI29" s="122"/>
      <c r="BJ29" s="123"/>
      <c r="BK29" s="29"/>
    </row>
    <row r="30" spans="1:63" ht="15" customHeight="1" x14ac:dyDescent="0.25">
      <c r="A30" s="28"/>
      <c r="B30" s="376"/>
      <c r="C30" s="377"/>
      <c r="D30" s="377"/>
      <c r="E30" s="377"/>
      <c r="F30" s="377"/>
      <c r="G30" s="378"/>
      <c r="H30" s="376"/>
      <c r="I30" s="377"/>
      <c r="J30" s="377"/>
      <c r="K30" s="377"/>
      <c r="L30" s="377"/>
      <c r="M30" s="377"/>
      <c r="N30" s="378"/>
      <c r="O30" s="376"/>
      <c r="P30" s="377"/>
      <c r="Q30" s="377"/>
      <c r="R30" s="377"/>
      <c r="S30" s="379" t="s">
        <v>178</v>
      </c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  <c r="AL30" s="380"/>
      <c r="AM30" s="380"/>
      <c r="AN30" s="380"/>
      <c r="AO30" s="380"/>
      <c r="AP30" s="380"/>
      <c r="AQ30" s="380"/>
      <c r="AR30" s="380"/>
      <c r="AS30" s="380"/>
      <c r="AT30" s="380"/>
      <c r="AU30" s="380"/>
      <c r="AV30" s="380"/>
      <c r="AW30" s="381"/>
      <c r="AX30" s="124"/>
      <c r="AY30" s="124"/>
      <c r="AZ30" s="124"/>
      <c r="BA30" s="124"/>
      <c r="BB30" s="124"/>
      <c r="BC30" s="125"/>
      <c r="BD30" s="127"/>
      <c r="BE30" s="124"/>
      <c r="BF30" s="124"/>
      <c r="BG30" s="124"/>
      <c r="BH30" s="124"/>
      <c r="BI30" s="124"/>
      <c r="BJ30" s="125"/>
      <c r="BK30" s="29"/>
    </row>
    <row r="31" spans="1:63" ht="15" customHeight="1" x14ac:dyDescent="0.25">
      <c r="A31" s="28"/>
      <c r="B31" s="74"/>
      <c r="C31" s="75"/>
      <c r="D31" s="75"/>
      <c r="E31" s="75"/>
      <c r="F31" s="75"/>
      <c r="G31" s="76"/>
      <c r="H31" s="74"/>
      <c r="I31" s="75"/>
      <c r="J31" s="75"/>
      <c r="K31" s="75"/>
      <c r="L31" s="75"/>
      <c r="M31" s="75"/>
      <c r="N31" s="76"/>
      <c r="O31" s="74"/>
      <c r="P31" s="75"/>
      <c r="Q31" s="75"/>
      <c r="R31" s="75"/>
      <c r="S31" s="119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1"/>
      <c r="AX31" s="122"/>
      <c r="AY31" s="122"/>
      <c r="AZ31" s="122"/>
      <c r="BA31" s="122"/>
      <c r="BB31" s="122"/>
      <c r="BC31" s="123"/>
      <c r="BD31" s="126"/>
      <c r="BE31" s="122"/>
      <c r="BF31" s="122"/>
      <c r="BG31" s="122"/>
      <c r="BH31" s="122"/>
      <c r="BI31" s="122"/>
      <c r="BJ31" s="123"/>
      <c r="BK31" s="29"/>
    </row>
    <row r="32" spans="1:63" ht="15" customHeight="1" x14ac:dyDescent="0.25">
      <c r="A32" s="28"/>
      <c r="B32" s="80"/>
      <c r="C32" s="81"/>
      <c r="D32" s="81"/>
      <c r="E32" s="81"/>
      <c r="F32" s="81"/>
      <c r="G32" s="82"/>
      <c r="H32" s="80"/>
      <c r="I32" s="81"/>
      <c r="J32" s="81"/>
      <c r="K32" s="81"/>
      <c r="L32" s="81"/>
      <c r="M32" s="81"/>
      <c r="N32" s="82"/>
      <c r="O32" s="80"/>
      <c r="P32" s="81"/>
      <c r="Q32" s="81"/>
      <c r="R32" s="81"/>
      <c r="S32" s="128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30"/>
      <c r="AX32" s="124"/>
      <c r="AY32" s="124"/>
      <c r="AZ32" s="124"/>
      <c r="BA32" s="124"/>
      <c r="BB32" s="124"/>
      <c r="BC32" s="125"/>
      <c r="BD32" s="127"/>
      <c r="BE32" s="124"/>
      <c r="BF32" s="124"/>
      <c r="BG32" s="124"/>
      <c r="BH32" s="124"/>
      <c r="BI32" s="124"/>
      <c r="BJ32" s="125"/>
      <c r="BK32" s="29"/>
    </row>
    <row r="33" spans="1:63" ht="15" customHeight="1" x14ac:dyDescent="0.25">
      <c r="A33" s="28"/>
      <c r="B33" s="74"/>
      <c r="C33" s="75"/>
      <c r="D33" s="75"/>
      <c r="E33" s="75"/>
      <c r="F33" s="75"/>
      <c r="G33" s="76"/>
      <c r="H33" s="74"/>
      <c r="I33" s="75"/>
      <c r="J33" s="75"/>
      <c r="K33" s="75"/>
      <c r="L33" s="75"/>
      <c r="M33" s="75"/>
      <c r="N33" s="76"/>
      <c r="O33" s="74"/>
      <c r="P33" s="75"/>
      <c r="Q33" s="75"/>
      <c r="R33" s="75"/>
      <c r="S33" s="119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1"/>
      <c r="AX33" s="122"/>
      <c r="AY33" s="122"/>
      <c r="AZ33" s="122"/>
      <c r="BA33" s="122"/>
      <c r="BB33" s="122"/>
      <c r="BC33" s="123"/>
      <c r="BD33" s="126"/>
      <c r="BE33" s="122"/>
      <c r="BF33" s="122"/>
      <c r="BG33" s="122"/>
      <c r="BH33" s="122"/>
      <c r="BI33" s="122"/>
      <c r="BJ33" s="123"/>
      <c r="BK33" s="29"/>
    </row>
    <row r="34" spans="1:63" ht="15" customHeight="1" x14ac:dyDescent="0.25">
      <c r="A34" s="28"/>
      <c r="B34" s="80"/>
      <c r="C34" s="81"/>
      <c r="D34" s="81"/>
      <c r="E34" s="81"/>
      <c r="F34" s="81"/>
      <c r="G34" s="82"/>
      <c r="H34" s="80"/>
      <c r="I34" s="81"/>
      <c r="J34" s="81"/>
      <c r="K34" s="81"/>
      <c r="L34" s="81"/>
      <c r="M34" s="81"/>
      <c r="N34" s="82"/>
      <c r="O34" s="80"/>
      <c r="P34" s="81"/>
      <c r="Q34" s="81"/>
      <c r="R34" s="81"/>
      <c r="S34" s="128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30"/>
      <c r="AX34" s="124"/>
      <c r="AY34" s="124"/>
      <c r="AZ34" s="124"/>
      <c r="BA34" s="124"/>
      <c r="BB34" s="124"/>
      <c r="BC34" s="125"/>
      <c r="BD34" s="127"/>
      <c r="BE34" s="124"/>
      <c r="BF34" s="124"/>
      <c r="BG34" s="124"/>
      <c r="BH34" s="124"/>
      <c r="BI34" s="124"/>
      <c r="BJ34" s="125"/>
      <c r="BK34" s="29"/>
    </row>
    <row r="35" spans="1:63" ht="15" customHeight="1" x14ac:dyDescent="0.25">
      <c r="A35" s="28"/>
      <c r="B35" s="74"/>
      <c r="C35" s="75"/>
      <c r="D35" s="75"/>
      <c r="E35" s="75"/>
      <c r="F35" s="75"/>
      <c r="G35" s="76"/>
      <c r="H35" s="74"/>
      <c r="I35" s="75"/>
      <c r="J35" s="75"/>
      <c r="K35" s="75"/>
      <c r="L35" s="75"/>
      <c r="M35" s="75"/>
      <c r="N35" s="76"/>
      <c r="O35" s="74"/>
      <c r="P35" s="75"/>
      <c r="Q35" s="75"/>
      <c r="R35" s="75"/>
      <c r="S35" s="119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1"/>
      <c r="AX35" s="122"/>
      <c r="AY35" s="122"/>
      <c r="AZ35" s="122"/>
      <c r="BA35" s="122"/>
      <c r="BB35" s="122"/>
      <c r="BC35" s="123"/>
      <c r="BD35" s="126"/>
      <c r="BE35" s="122"/>
      <c r="BF35" s="122"/>
      <c r="BG35" s="122"/>
      <c r="BH35" s="122"/>
      <c r="BI35" s="122"/>
      <c r="BJ35" s="123"/>
      <c r="BK35" s="29"/>
    </row>
    <row r="36" spans="1:63" ht="15" customHeight="1" x14ac:dyDescent="0.25">
      <c r="A36" s="28"/>
      <c r="B36" s="80"/>
      <c r="C36" s="81"/>
      <c r="D36" s="81"/>
      <c r="E36" s="81"/>
      <c r="F36" s="81"/>
      <c r="G36" s="82"/>
      <c r="H36" s="80"/>
      <c r="I36" s="81"/>
      <c r="J36" s="81"/>
      <c r="K36" s="81"/>
      <c r="L36" s="81"/>
      <c r="M36" s="81"/>
      <c r="N36" s="82"/>
      <c r="O36" s="80"/>
      <c r="P36" s="81"/>
      <c r="Q36" s="81"/>
      <c r="R36" s="81"/>
      <c r="S36" s="128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30"/>
      <c r="AX36" s="124"/>
      <c r="AY36" s="124"/>
      <c r="AZ36" s="124"/>
      <c r="BA36" s="124"/>
      <c r="BB36" s="124"/>
      <c r="BC36" s="125"/>
      <c r="BD36" s="127"/>
      <c r="BE36" s="124"/>
      <c r="BF36" s="124"/>
      <c r="BG36" s="124"/>
      <c r="BH36" s="124"/>
      <c r="BI36" s="124"/>
      <c r="BJ36" s="125"/>
      <c r="BK36" s="29"/>
    </row>
    <row r="37" spans="1:63" ht="15" customHeight="1" x14ac:dyDescent="0.25">
      <c r="A37" s="28"/>
      <c r="B37" s="74"/>
      <c r="C37" s="75"/>
      <c r="D37" s="75"/>
      <c r="E37" s="75"/>
      <c r="F37" s="75"/>
      <c r="G37" s="76"/>
      <c r="H37" s="74"/>
      <c r="I37" s="75"/>
      <c r="J37" s="75"/>
      <c r="K37" s="75"/>
      <c r="L37" s="75"/>
      <c r="M37" s="75"/>
      <c r="N37" s="76"/>
      <c r="O37" s="74"/>
      <c r="P37" s="75"/>
      <c r="Q37" s="75"/>
      <c r="R37" s="75"/>
      <c r="S37" s="119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1"/>
      <c r="AX37" s="122"/>
      <c r="AY37" s="122"/>
      <c r="AZ37" s="122"/>
      <c r="BA37" s="122"/>
      <c r="BB37" s="122"/>
      <c r="BC37" s="123"/>
      <c r="BD37" s="126"/>
      <c r="BE37" s="122"/>
      <c r="BF37" s="122"/>
      <c r="BG37" s="122"/>
      <c r="BH37" s="122"/>
      <c r="BI37" s="122"/>
      <c r="BJ37" s="123"/>
      <c r="BK37" s="29"/>
    </row>
    <row r="38" spans="1:63" ht="15" customHeight="1" x14ac:dyDescent="0.25">
      <c r="A38" s="28"/>
      <c r="B38" s="80"/>
      <c r="C38" s="81"/>
      <c r="D38" s="81"/>
      <c r="E38" s="81"/>
      <c r="F38" s="81"/>
      <c r="G38" s="82"/>
      <c r="H38" s="80"/>
      <c r="I38" s="81"/>
      <c r="J38" s="81"/>
      <c r="K38" s="81"/>
      <c r="L38" s="81"/>
      <c r="M38" s="81"/>
      <c r="N38" s="82"/>
      <c r="O38" s="80"/>
      <c r="P38" s="81"/>
      <c r="Q38" s="81"/>
      <c r="R38" s="81"/>
      <c r="S38" s="128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30"/>
      <c r="AX38" s="124"/>
      <c r="AY38" s="124"/>
      <c r="AZ38" s="124"/>
      <c r="BA38" s="124"/>
      <c r="BB38" s="124"/>
      <c r="BC38" s="125"/>
      <c r="BD38" s="127"/>
      <c r="BE38" s="124"/>
      <c r="BF38" s="124"/>
      <c r="BG38" s="124"/>
      <c r="BH38" s="124"/>
      <c r="BI38" s="124"/>
      <c r="BJ38" s="125"/>
      <c r="BK38" s="29"/>
    </row>
    <row r="39" spans="1:63" ht="15" customHeight="1" x14ac:dyDescent="0.25">
      <c r="A39" s="28"/>
      <c r="B39" s="74"/>
      <c r="C39" s="75"/>
      <c r="D39" s="75"/>
      <c r="E39" s="75"/>
      <c r="F39" s="75"/>
      <c r="G39" s="76"/>
      <c r="H39" s="74"/>
      <c r="I39" s="75"/>
      <c r="J39" s="75"/>
      <c r="K39" s="75"/>
      <c r="L39" s="75"/>
      <c r="M39" s="75"/>
      <c r="N39" s="76"/>
      <c r="O39" s="74"/>
      <c r="P39" s="75"/>
      <c r="Q39" s="75"/>
      <c r="R39" s="75"/>
      <c r="S39" s="119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1"/>
      <c r="AX39" s="122"/>
      <c r="AY39" s="122"/>
      <c r="AZ39" s="122"/>
      <c r="BA39" s="122"/>
      <c r="BB39" s="122"/>
      <c r="BC39" s="123"/>
      <c r="BD39" s="126"/>
      <c r="BE39" s="122"/>
      <c r="BF39" s="122"/>
      <c r="BG39" s="122"/>
      <c r="BH39" s="122"/>
      <c r="BI39" s="122"/>
      <c r="BJ39" s="123"/>
      <c r="BK39" s="29"/>
    </row>
    <row r="40" spans="1:63" ht="15" customHeight="1" x14ac:dyDescent="0.25">
      <c r="A40" s="28"/>
      <c r="B40" s="80"/>
      <c r="C40" s="81"/>
      <c r="D40" s="81"/>
      <c r="E40" s="81"/>
      <c r="F40" s="81"/>
      <c r="G40" s="82"/>
      <c r="H40" s="80"/>
      <c r="I40" s="81"/>
      <c r="J40" s="81"/>
      <c r="K40" s="81"/>
      <c r="L40" s="81"/>
      <c r="M40" s="81"/>
      <c r="N40" s="82"/>
      <c r="O40" s="80"/>
      <c r="P40" s="81"/>
      <c r="Q40" s="81"/>
      <c r="R40" s="81"/>
      <c r="S40" s="128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30"/>
      <c r="AX40" s="124"/>
      <c r="AY40" s="124"/>
      <c r="AZ40" s="124"/>
      <c r="BA40" s="124"/>
      <c r="BB40" s="124"/>
      <c r="BC40" s="125"/>
      <c r="BD40" s="127"/>
      <c r="BE40" s="124"/>
      <c r="BF40" s="124"/>
      <c r="BG40" s="124"/>
      <c r="BH40" s="124"/>
      <c r="BI40" s="124"/>
      <c r="BJ40" s="125"/>
      <c r="BK40" s="29"/>
    </row>
    <row r="41" spans="1:63" ht="15" customHeight="1" x14ac:dyDescent="0.25">
      <c r="A41" s="28"/>
      <c r="B41" s="74"/>
      <c r="C41" s="75"/>
      <c r="D41" s="75"/>
      <c r="E41" s="75"/>
      <c r="F41" s="75"/>
      <c r="G41" s="76"/>
      <c r="H41" s="74"/>
      <c r="I41" s="75"/>
      <c r="J41" s="75"/>
      <c r="K41" s="75"/>
      <c r="L41" s="75"/>
      <c r="M41" s="75"/>
      <c r="N41" s="76"/>
      <c r="O41" s="74"/>
      <c r="P41" s="75"/>
      <c r="Q41" s="75"/>
      <c r="R41" s="75"/>
      <c r="S41" s="119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1"/>
      <c r="AX41" s="122"/>
      <c r="AY41" s="122"/>
      <c r="AZ41" s="122"/>
      <c r="BA41" s="122"/>
      <c r="BB41" s="122"/>
      <c r="BC41" s="123"/>
      <c r="BD41" s="126"/>
      <c r="BE41" s="122"/>
      <c r="BF41" s="122"/>
      <c r="BG41" s="122"/>
      <c r="BH41" s="122"/>
      <c r="BI41" s="122"/>
      <c r="BJ41" s="123"/>
      <c r="BK41" s="29"/>
    </row>
    <row r="42" spans="1:63" ht="15" customHeight="1" x14ac:dyDescent="0.25">
      <c r="A42" s="28"/>
      <c r="B42" s="80"/>
      <c r="C42" s="81"/>
      <c r="D42" s="81"/>
      <c r="E42" s="81"/>
      <c r="F42" s="81"/>
      <c r="G42" s="82"/>
      <c r="H42" s="80"/>
      <c r="I42" s="81"/>
      <c r="J42" s="81"/>
      <c r="K42" s="81"/>
      <c r="L42" s="81"/>
      <c r="M42" s="81"/>
      <c r="N42" s="82"/>
      <c r="O42" s="80"/>
      <c r="P42" s="81"/>
      <c r="Q42" s="81"/>
      <c r="R42" s="81"/>
      <c r="S42" s="128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30"/>
      <c r="AX42" s="124"/>
      <c r="AY42" s="124"/>
      <c r="AZ42" s="124"/>
      <c r="BA42" s="124"/>
      <c r="BB42" s="124"/>
      <c r="BC42" s="125"/>
      <c r="BD42" s="127"/>
      <c r="BE42" s="124"/>
      <c r="BF42" s="124"/>
      <c r="BG42" s="124"/>
      <c r="BH42" s="124"/>
      <c r="BI42" s="124"/>
      <c r="BJ42" s="125"/>
      <c r="BK42" s="29"/>
    </row>
    <row r="43" spans="1:63" ht="15" customHeight="1" x14ac:dyDescent="0.25">
      <c r="A43" s="28"/>
      <c r="B43" s="74"/>
      <c r="C43" s="75"/>
      <c r="D43" s="75"/>
      <c r="E43" s="75"/>
      <c r="F43" s="75"/>
      <c r="G43" s="76"/>
      <c r="H43" s="74"/>
      <c r="I43" s="75"/>
      <c r="J43" s="75"/>
      <c r="K43" s="75"/>
      <c r="L43" s="75"/>
      <c r="M43" s="75"/>
      <c r="N43" s="76"/>
      <c r="O43" s="74"/>
      <c r="P43" s="75"/>
      <c r="Q43" s="75"/>
      <c r="R43" s="75"/>
      <c r="S43" s="119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1"/>
      <c r="AX43" s="122"/>
      <c r="AY43" s="122"/>
      <c r="AZ43" s="122"/>
      <c r="BA43" s="122"/>
      <c r="BB43" s="122"/>
      <c r="BC43" s="123"/>
      <c r="BD43" s="126"/>
      <c r="BE43" s="122"/>
      <c r="BF43" s="122"/>
      <c r="BG43" s="122"/>
      <c r="BH43" s="122"/>
      <c r="BI43" s="122"/>
      <c r="BJ43" s="123"/>
      <c r="BK43" s="29"/>
    </row>
    <row r="44" spans="1:63" ht="15" customHeight="1" x14ac:dyDescent="0.25">
      <c r="A44" s="28"/>
      <c r="B44" s="80"/>
      <c r="C44" s="81"/>
      <c r="D44" s="81"/>
      <c r="E44" s="81"/>
      <c r="F44" s="81"/>
      <c r="G44" s="82"/>
      <c r="H44" s="80"/>
      <c r="I44" s="81"/>
      <c r="J44" s="81"/>
      <c r="K44" s="81"/>
      <c r="L44" s="81"/>
      <c r="M44" s="81"/>
      <c r="N44" s="82"/>
      <c r="O44" s="80"/>
      <c r="P44" s="81"/>
      <c r="Q44" s="81"/>
      <c r="R44" s="81"/>
      <c r="S44" s="128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30"/>
      <c r="AX44" s="124"/>
      <c r="AY44" s="124"/>
      <c r="AZ44" s="124"/>
      <c r="BA44" s="124"/>
      <c r="BB44" s="124"/>
      <c r="BC44" s="125"/>
      <c r="BD44" s="127"/>
      <c r="BE44" s="124"/>
      <c r="BF44" s="124"/>
      <c r="BG44" s="124"/>
      <c r="BH44" s="124"/>
      <c r="BI44" s="124"/>
      <c r="BJ44" s="125"/>
      <c r="BK44" s="29"/>
    </row>
    <row r="45" spans="1:63" ht="15" customHeight="1" x14ac:dyDescent="0.25">
      <c r="A45" s="28"/>
      <c r="B45" s="74"/>
      <c r="C45" s="75"/>
      <c r="D45" s="75"/>
      <c r="E45" s="75"/>
      <c r="F45" s="75"/>
      <c r="G45" s="76"/>
      <c r="H45" s="74"/>
      <c r="I45" s="75"/>
      <c r="J45" s="75"/>
      <c r="K45" s="75"/>
      <c r="L45" s="75"/>
      <c r="M45" s="75"/>
      <c r="N45" s="76"/>
      <c r="O45" s="74"/>
      <c r="P45" s="75"/>
      <c r="Q45" s="75"/>
      <c r="R45" s="75"/>
      <c r="S45" s="119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1"/>
      <c r="AX45" s="122"/>
      <c r="AY45" s="122"/>
      <c r="AZ45" s="122"/>
      <c r="BA45" s="122"/>
      <c r="BB45" s="122"/>
      <c r="BC45" s="123"/>
      <c r="BD45" s="126"/>
      <c r="BE45" s="122"/>
      <c r="BF45" s="122"/>
      <c r="BG45" s="122"/>
      <c r="BH45" s="122"/>
      <c r="BI45" s="122"/>
      <c r="BJ45" s="123"/>
      <c r="BK45" s="29"/>
    </row>
    <row r="46" spans="1:63" ht="15" customHeight="1" x14ac:dyDescent="0.25">
      <c r="A46" s="28"/>
      <c r="B46" s="80"/>
      <c r="C46" s="81"/>
      <c r="D46" s="81"/>
      <c r="E46" s="81"/>
      <c r="F46" s="81"/>
      <c r="G46" s="82"/>
      <c r="H46" s="80"/>
      <c r="I46" s="81"/>
      <c r="J46" s="81"/>
      <c r="K46" s="81"/>
      <c r="L46" s="81"/>
      <c r="M46" s="81"/>
      <c r="N46" s="82"/>
      <c r="O46" s="80"/>
      <c r="P46" s="81"/>
      <c r="Q46" s="81"/>
      <c r="R46" s="81"/>
      <c r="S46" s="128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30"/>
      <c r="AX46" s="124"/>
      <c r="AY46" s="124"/>
      <c r="AZ46" s="124"/>
      <c r="BA46" s="124"/>
      <c r="BB46" s="124"/>
      <c r="BC46" s="125"/>
      <c r="BD46" s="127"/>
      <c r="BE46" s="124"/>
      <c r="BF46" s="124"/>
      <c r="BG46" s="124"/>
      <c r="BH46" s="124"/>
      <c r="BI46" s="124"/>
      <c r="BJ46" s="125"/>
      <c r="BK46" s="29"/>
    </row>
    <row r="47" spans="1:63" ht="15" customHeight="1" x14ac:dyDescent="0.25">
      <c r="A47" s="28"/>
      <c r="B47" s="74"/>
      <c r="C47" s="75"/>
      <c r="D47" s="75"/>
      <c r="E47" s="75"/>
      <c r="F47" s="75"/>
      <c r="G47" s="76"/>
      <c r="H47" s="74"/>
      <c r="I47" s="75"/>
      <c r="J47" s="75"/>
      <c r="K47" s="75"/>
      <c r="L47" s="75"/>
      <c r="M47" s="75"/>
      <c r="N47" s="76"/>
      <c r="O47" s="74"/>
      <c r="P47" s="75"/>
      <c r="Q47" s="75"/>
      <c r="R47" s="75"/>
      <c r="S47" s="119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1"/>
      <c r="AX47" s="122"/>
      <c r="AY47" s="122"/>
      <c r="AZ47" s="122"/>
      <c r="BA47" s="122"/>
      <c r="BB47" s="122"/>
      <c r="BC47" s="123"/>
      <c r="BD47" s="126"/>
      <c r="BE47" s="122"/>
      <c r="BF47" s="122"/>
      <c r="BG47" s="122"/>
      <c r="BH47" s="122"/>
      <c r="BI47" s="122"/>
      <c r="BJ47" s="123"/>
      <c r="BK47" s="29"/>
    </row>
    <row r="48" spans="1:63" ht="15" customHeight="1" x14ac:dyDescent="0.25">
      <c r="A48" s="28"/>
      <c r="B48" s="80"/>
      <c r="C48" s="81"/>
      <c r="D48" s="81"/>
      <c r="E48" s="81"/>
      <c r="F48" s="81"/>
      <c r="G48" s="82"/>
      <c r="H48" s="80"/>
      <c r="I48" s="81"/>
      <c r="J48" s="81"/>
      <c r="K48" s="81"/>
      <c r="L48" s="81"/>
      <c r="M48" s="81"/>
      <c r="N48" s="82"/>
      <c r="O48" s="80"/>
      <c r="P48" s="81"/>
      <c r="Q48" s="81"/>
      <c r="R48" s="81"/>
      <c r="S48" s="128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30"/>
      <c r="AX48" s="124"/>
      <c r="AY48" s="124"/>
      <c r="AZ48" s="124"/>
      <c r="BA48" s="124"/>
      <c r="BB48" s="124"/>
      <c r="BC48" s="125"/>
      <c r="BD48" s="127"/>
      <c r="BE48" s="124"/>
      <c r="BF48" s="124"/>
      <c r="BG48" s="124"/>
      <c r="BH48" s="124"/>
      <c r="BI48" s="124"/>
      <c r="BJ48" s="125"/>
      <c r="BK48" s="29"/>
    </row>
    <row r="49" spans="1:63" ht="15" customHeight="1" x14ac:dyDescent="0.25">
      <c r="A49" s="28"/>
      <c r="B49" s="74"/>
      <c r="C49" s="75"/>
      <c r="D49" s="75"/>
      <c r="E49" s="75"/>
      <c r="F49" s="75"/>
      <c r="G49" s="76"/>
      <c r="H49" s="74"/>
      <c r="I49" s="75"/>
      <c r="J49" s="75"/>
      <c r="K49" s="75"/>
      <c r="L49" s="75"/>
      <c r="M49" s="75"/>
      <c r="N49" s="76"/>
      <c r="O49" s="74"/>
      <c r="P49" s="75"/>
      <c r="Q49" s="75"/>
      <c r="R49" s="75"/>
      <c r="S49" s="119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1"/>
      <c r="AX49" s="122"/>
      <c r="AY49" s="122"/>
      <c r="AZ49" s="122"/>
      <c r="BA49" s="122"/>
      <c r="BB49" s="122"/>
      <c r="BC49" s="123"/>
      <c r="BD49" s="126"/>
      <c r="BE49" s="122"/>
      <c r="BF49" s="122"/>
      <c r="BG49" s="122"/>
      <c r="BH49" s="122"/>
      <c r="BI49" s="122"/>
      <c r="BJ49" s="123"/>
      <c r="BK49" s="29"/>
    </row>
    <row r="50" spans="1:63" ht="15" customHeight="1" x14ac:dyDescent="0.25">
      <c r="A50" s="28"/>
      <c r="B50" s="80"/>
      <c r="C50" s="81"/>
      <c r="D50" s="81"/>
      <c r="E50" s="81"/>
      <c r="F50" s="81"/>
      <c r="G50" s="82"/>
      <c r="H50" s="80"/>
      <c r="I50" s="81"/>
      <c r="J50" s="81"/>
      <c r="K50" s="81"/>
      <c r="L50" s="81"/>
      <c r="M50" s="81"/>
      <c r="N50" s="82"/>
      <c r="O50" s="80"/>
      <c r="P50" s="81"/>
      <c r="Q50" s="81"/>
      <c r="R50" s="81"/>
      <c r="S50" s="128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30"/>
      <c r="AX50" s="124"/>
      <c r="AY50" s="124"/>
      <c r="AZ50" s="124"/>
      <c r="BA50" s="124"/>
      <c r="BB50" s="124"/>
      <c r="BC50" s="125"/>
      <c r="BD50" s="127"/>
      <c r="BE50" s="124"/>
      <c r="BF50" s="124"/>
      <c r="BG50" s="124"/>
      <c r="BH50" s="124"/>
      <c r="BI50" s="124"/>
      <c r="BJ50" s="125"/>
      <c r="BK50" s="29"/>
    </row>
    <row r="51" spans="1:63" ht="15" customHeight="1" x14ac:dyDescent="0.25">
      <c r="A51" s="28"/>
      <c r="B51" s="74"/>
      <c r="C51" s="75"/>
      <c r="D51" s="75"/>
      <c r="E51" s="75"/>
      <c r="F51" s="75"/>
      <c r="G51" s="76"/>
      <c r="H51" s="74"/>
      <c r="I51" s="75"/>
      <c r="J51" s="75"/>
      <c r="K51" s="75"/>
      <c r="L51" s="75"/>
      <c r="M51" s="75"/>
      <c r="N51" s="76"/>
      <c r="O51" s="74"/>
      <c r="P51" s="75"/>
      <c r="Q51" s="75"/>
      <c r="R51" s="75"/>
      <c r="S51" s="119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1"/>
      <c r="AX51" s="122"/>
      <c r="AY51" s="122"/>
      <c r="AZ51" s="122"/>
      <c r="BA51" s="122"/>
      <c r="BB51" s="122"/>
      <c r="BC51" s="123"/>
      <c r="BD51" s="126"/>
      <c r="BE51" s="122"/>
      <c r="BF51" s="122"/>
      <c r="BG51" s="122"/>
      <c r="BH51" s="122"/>
      <c r="BI51" s="122"/>
      <c r="BJ51" s="123"/>
      <c r="BK51" s="29"/>
    </row>
    <row r="52" spans="1:63" ht="15" customHeight="1" x14ac:dyDescent="0.25">
      <c r="A52" s="28"/>
      <c r="B52" s="80"/>
      <c r="C52" s="81"/>
      <c r="D52" s="81"/>
      <c r="E52" s="81"/>
      <c r="F52" s="81"/>
      <c r="G52" s="82"/>
      <c r="H52" s="80"/>
      <c r="I52" s="81"/>
      <c r="J52" s="81"/>
      <c r="K52" s="81"/>
      <c r="L52" s="81"/>
      <c r="M52" s="81"/>
      <c r="N52" s="82"/>
      <c r="O52" s="80"/>
      <c r="P52" s="81"/>
      <c r="Q52" s="81"/>
      <c r="R52" s="81"/>
      <c r="S52" s="128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30"/>
      <c r="AX52" s="124"/>
      <c r="AY52" s="124"/>
      <c r="AZ52" s="124"/>
      <c r="BA52" s="124"/>
      <c r="BB52" s="124"/>
      <c r="BC52" s="125"/>
      <c r="BD52" s="127"/>
      <c r="BE52" s="124"/>
      <c r="BF52" s="124"/>
      <c r="BG52" s="124"/>
      <c r="BH52" s="124"/>
      <c r="BI52" s="124"/>
      <c r="BJ52" s="125"/>
      <c r="BK52" s="29"/>
    </row>
    <row r="53" spans="1:63" ht="15" customHeight="1" x14ac:dyDescent="0.25">
      <c r="A53" s="28"/>
      <c r="B53" s="74"/>
      <c r="C53" s="75"/>
      <c r="D53" s="75"/>
      <c r="E53" s="75"/>
      <c r="F53" s="75"/>
      <c r="G53" s="76"/>
      <c r="H53" s="74"/>
      <c r="I53" s="75"/>
      <c r="J53" s="75"/>
      <c r="K53" s="75"/>
      <c r="L53" s="75"/>
      <c r="M53" s="75"/>
      <c r="N53" s="76"/>
      <c r="O53" s="74"/>
      <c r="P53" s="75"/>
      <c r="Q53" s="75"/>
      <c r="R53" s="75"/>
      <c r="S53" s="119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1"/>
      <c r="AX53" s="122"/>
      <c r="AY53" s="122"/>
      <c r="AZ53" s="122"/>
      <c r="BA53" s="122"/>
      <c r="BB53" s="122"/>
      <c r="BC53" s="123"/>
      <c r="BD53" s="126"/>
      <c r="BE53" s="122"/>
      <c r="BF53" s="122"/>
      <c r="BG53" s="122"/>
      <c r="BH53" s="122"/>
      <c r="BI53" s="122"/>
      <c r="BJ53" s="123"/>
      <c r="BK53" s="29"/>
    </row>
    <row r="54" spans="1:63" ht="15" customHeight="1" x14ac:dyDescent="0.25">
      <c r="A54" s="28"/>
      <c r="B54" s="80"/>
      <c r="C54" s="81"/>
      <c r="D54" s="81"/>
      <c r="E54" s="81"/>
      <c r="F54" s="81"/>
      <c r="G54" s="82"/>
      <c r="H54" s="80"/>
      <c r="I54" s="81"/>
      <c r="J54" s="81"/>
      <c r="K54" s="81"/>
      <c r="L54" s="81"/>
      <c r="M54" s="81"/>
      <c r="N54" s="82"/>
      <c r="O54" s="80"/>
      <c r="P54" s="81"/>
      <c r="Q54" s="81"/>
      <c r="R54" s="81"/>
      <c r="S54" s="128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30"/>
      <c r="AX54" s="124"/>
      <c r="AY54" s="124"/>
      <c r="AZ54" s="124"/>
      <c r="BA54" s="124"/>
      <c r="BB54" s="124"/>
      <c r="BC54" s="125"/>
      <c r="BD54" s="127"/>
      <c r="BE54" s="124"/>
      <c r="BF54" s="124"/>
      <c r="BG54" s="124"/>
      <c r="BH54" s="124"/>
      <c r="BI54" s="124"/>
      <c r="BJ54" s="125"/>
      <c r="BK54" s="29"/>
    </row>
    <row r="55" spans="1:63" ht="15" customHeight="1" x14ac:dyDescent="0.25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7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AFC2-2132-4FEE-A7D7-6EA6B6899BA1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4" customWidth="1"/>
    <col min="61" max="16384" width="2.77734375" style="24"/>
  </cols>
  <sheetData>
    <row r="1" spans="1:63" ht="24.95" customHeight="1" x14ac:dyDescent="0.25">
      <c r="A1" s="89" t="s">
        <v>52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53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10" t="str">
        <f>IF([1]表紙!W1="","",[1]表紙!W1)</f>
        <v>基本設計書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89" t="s">
        <v>55</v>
      </c>
      <c r="AQ1" s="90"/>
      <c r="AR1" s="90"/>
      <c r="AS1" s="91"/>
      <c r="AT1" s="89" t="s">
        <v>56</v>
      </c>
      <c r="AU1" s="90"/>
      <c r="AV1" s="90"/>
      <c r="AW1" s="90"/>
      <c r="AX1" s="91"/>
      <c r="AY1" s="89" t="s">
        <v>57</v>
      </c>
      <c r="AZ1" s="90"/>
      <c r="BA1" s="90"/>
      <c r="BB1" s="91"/>
      <c r="BC1" s="89" t="s">
        <v>58</v>
      </c>
      <c r="BD1" s="90"/>
      <c r="BE1" s="90"/>
      <c r="BF1" s="90"/>
      <c r="BG1" s="91"/>
      <c r="BH1" s="89" t="s">
        <v>59</v>
      </c>
      <c r="BI1" s="90"/>
      <c r="BJ1" s="90"/>
      <c r="BK1" s="91"/>
    </row>
    <row r="2" spans="1:63" ht="15" customHeight="1" x14ac:dyDescent="0.25">
      <c r="A2" s="74" t="str">
        <f>IF([1]表紙!A2="","",[1]表紙!A2)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IF([1]表紙!K2="","",[1]表紙!K2)</f>
        <v>POSサーバー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126" t="s">
        <v>177</v>
      </c>
      <c r="AQ2" s="122"/>
      <c r="AR2" s="122"/>
      <c r="AS2" s="382"/>
      <c r="AT2" s="383">
        <v>45488</v>
      </c>
      <c r="AU2" s="122"/>
      <c r="AV2" s="122"/>
      <c r="AW2" s="122"/>
      <c r="AX2" s="382"/>
      <c r="AY2" s="126" t="s">
        <v>176</v>
      </c>
      <c r="AZ2" s="122"/>
      <c r="BA2" s="122"/>
      <c r="BB2" s="382"/>
      <c r="BC2" s="383">
        <v>45488</v>
      </c>
      <c r="BD2" s="122"/>
      <c r="BE2" s="122"/>
      <c r="BF2" s="122"/>
      <c r="BG2" s="382"/>
      <c r="BH2" s="74"/>
      <c r="BI2" s="75"/>
      <c r="BJ2" s="75"/>
      <c r="BK2" s="76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384"/>
      <c r="AQ3" s="385"/>
      <c r="AR3" s="385"/>
      <c r="AS3" s="386"/>
      <c r="AT3" s="384"/>
      <c r="AU3" s="385"/>
      <c r="AV3" s="385"/>
      <c r="AW3" s="385"/>
      <c r="AX3" s="386"/>
      <c r="AY3" s="384"/>
      <c r="AZ3" s="385"/>
      <c r="BA3" s="385"/>
      <c r="BB3" s="386"/>
      <c r="BC3" s="384"/>
      <c r="BD3" s="385"/>
      <c r="BE3" s="385"/>
      <c r="BF3" s="385"/>
      <c r="BG3" s="386"/>
      <c r="BH3" s="80"/>
      <c r="BI3" s="81"/>
      <c r="BJ3" s="81"/>
      <c r="BK3" s="82"/>
    </row>
    <row r="4" spans="1:63" ht="24.95" customHeight="1" x14ac:dyDescent="0.25">
      <c r="A4" s="89" t="s">
        <v>61</v>
      </c>
      <c r="B4" s="90"/>
      <c r="C4" s="90"/>
      <c r="D4" s="90"/>
      <c r="E4" s="90"/>
      <c r="F4" s="90"/>
      <c r="G4" s="91"/>
      <c r="H4" s="94" t="str">
        <f>IF([1]表紙!H4="","",[1]表紙!H4)</f>
        <v>25_取扱設定マスタ設定(KSM)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62</v>
      </c>
      <c r="V4" s="90"/>
      <c r="W4" s="90"/>
      <c r="X4" s="90"/>
      <c r="Y4" s="91"/>
      <c r="Z4" s="94" t="str">
        <f>IF([1]表紙!Z4="","",[1]表紙!Z4)</f>
        <v>概要設計書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">
        <v>175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7"/>
    </row>
    <row r="6" spans="1:63" ht="15" customHeight="1" x14ac:dyDescent="0.25">
      <c r="A6" s="28"/>
      <c r="BK6" s="29"/>
    </row>
    <row r="7" spans="1:63" ht="15" customHeight="1" x14ac:dyDescent="0.25">
      <c r="A7" s="28"/>
      <c r="BK7" s="29"/>
    </row>
    <row r="8" spans="1:63" ht="15" customHeight="1" x14ac:dyDescent="0.25">
      <c r="A8" s="28"/>
      <c r="B8" s="24" t="s">
        <v>9</v>
      </c>
      <c r="BK8" s="29"/>
    </row>
    <row r="9" spans="1:63" ht="15" customHeight="1" x14ac:dyDescent="0.25">
      <c r="A9" s="28"/>
      <c r="BK9" s="29"/>
    </row>
    <row r="10" spans="1:63" ht="15" customHeight="1" x14ac:dyDescent="0.25">
      <c r="A10" s="28"/>
      <c r="B10" s="131" t="s">
        <v>58</v>
      </c>
      <c r="C10" s="131"/>
      <c r="D10" s="131"/>
      <c r="E10" s="131"/>
      <c r="F10" s="131"/>
      <c r="G10" s="131"/>
      <c r="H10" s="131" t="s">
        <v>57</v>
      </c>
      <c r="I10" s="131"/>
      <c r="J10" s="131"/>
      <c r="K10" s="131"/>
      <c r="L10" s="131"/>
      <c r="M10" s="131"/>
      <c r="N10" s="131"/>
      <c r="O10" s="131" t="s">
        <v>59</v>
      </c>
      <c r="P10" s="131"/>
      <c r="Q10" s="131"/>
      <c r="R10" s="131"/>
      <c r="S10" s="131" t="s">
        <v>66</v>
      </c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 t="s">
        <v>64</v>
      </c>
      <c r="AY10" s="131"/>
      <c r="AZ10" s="131"/>
      <c r="BA10" s="131"/>
      <c r="BB10" s="131"/>
      <c r="BC10" s="131"/>
      <c r="BD10" s="131" t="s">
        <v>65</v>
      </c>
      <c r="BE10" s="131"/>
      <c r="BF10" s="131"/>
      <c r="BG10" s="131"/>
      <c r="BH10" s="131"/>
      <c r="BI10" s="131"/>
      <c r="BJ10" s="131"/>
      <c r="BK10" s="29"/>
    </row>
    <row r="11" spans="1:63" ht="15" customHeight="1" x14ac:dyDescent="0.25">
      <c r="A11" s="28"/>
      <c r="B11" s="103">
        <v>45449</v>
      </c>
      <c r="C11" s="75"/>
      <c r="D11" s="75"/>
      <c r="E11" s="75"/>
      <c r="F11" s="75"/>
      <c r="G11" s="76"/>
      <c r="H11" s="109" t="s">
        <v>166</v>
      </c>
      <c r="I11" s="75"/>
      <c r="J11" s="75"/>
      <c r="K11" s="75"/>
      <c r="L11" s="75"/>
      <c r="M11" s="75"/>
      <c r="N11" s="76"/>
      <c r="O11" s="74"/>
      <c r="P11" s="75"/>
      <c r="Q11" s="75"/>
      <c r="R11" s="75"/>
      <c r="S11" s="119" t="s">
        <v>169</v>
      </c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1"/>
      <c r="AX11" s="122"/>
      <c r="AY11" s="122"/>
      <c r="AZ11" s="122"/>
      <c r="BA11" s="122"/>
      <c r="BB11" s="122"/>
      <c r="BC11" s="123"/>
      <c r="BD11" s="126"/>
      <c r="BE11" s="122"/>
      <c r="BF11" s="122"/>
      <c r="BG11" s="122"/>
      <c r="BH11" s="122"/>
      <c r="BI11" s="122"/>
      <c r="BJ11" s="123"/>
      <c r="BK11" s="29"/>
    </row>
    <row r="12" spans="1:63" ht="67.5" customHeight="1" x14ac:dyDescent="0.25">
      <c r="A12" s="28"/>
      <c r="B12" s="80"/>
      <c r="C12" s="81"/>
      <c r="D12" s="81"/>
      <c r="E12" s="81"/>
      <c r="F12" s="81"/>
      <c r="G12" s="82"/>
      <c r="H12" s="80"/>
      <c r="I12" s="81"/>
      <c r="J12" s="81"/>
      <c r="K12" s="81"/>
      <c r="L12" s="81"/>
      <c r="M12" s="81"/>
      <c r="N12" s="82"/>
      <c r="O12" s="80"/>
      <c r="P12" s="81"/>
      <c r="Q12" s="81"/>
      <c r="R12" s="81"/>
      <c r="S12" s="368" t="s">
        <v>174</v>
      </c>
      <c r="T12" s="367"/>
      <c r="U12" s="367"/>
      <c r="V12" s="367"/>
      <c r="W12" s="367"/>
      <c r="X12" s="367"/>
      <c r="Y12" s="367"/>
      <c r="Z12" s="367"/>
      <c r="AA12" s="367"/>
      <c r="AB12" s="367"/>
      <c r="AC12" s="367"/>
      <c r="AD12" s="367"/>
      <c r="AE12" s="367"/>
      <c r="AF12" s="367"/>
      <c r="AG12" s="367"/>
      <c r="AH12" s="367"/>
      <c r="AI12" s="367"/>
      <c r="AJ12" s="367"/>
      <c r="AK12" s="367"/>
      <c r="AL12" s="367"/>
      <c r="AM12" s="367"/>
      <c r="AN12" s="367"/>
      <c r="AO12" s="367"/>
      <c r="AP12" s="367"/>
      <c r="AQ12" s="367"/>
      <c r="AR12" s="367"/>
      <c r="AS12" s="367"/>
      <c r="AT12" s="367"/>
      <c r="AU12" s="367"/>
      <c r="AV12" s="367"/>
      <c r="AW12" s="366"/>
      <c r="AX12" s="124"/>
      <c r="AY12" s="124"/>
      <c r="AZ12" s="124"/>
      <c r="BA12" s="124"/>
      <c r="BB12" s="124"/>
      <c r="BC12" s="125"/>
      <c r="BD12" s="127"/>
      <c r="BE12" s="124"/>
      <c r="BF12" s="124"/>
      <c r="BG12" s="124"/>
      <c r="BH12" s="124"/>
      <c r="BI12" s="124"/>
      <c r="BJ12" s="125"/>
      <c r="BK12" s="29"/>
    </row>
    <row r="13" spans="1:63" ht="15" customHeight="1" x14ac:dyDescent="0.25">
      <c r="A13" s="28"/>
      <c r="B13" s="103">
        <v>45449</v>
      </c>
      <c r="C13" s="75"/>
      <c r="D13" s="75"/>
      <c r="E13" s="75"/>
      <c r="F13" s="75"/>
      <c r="G13" s="76"/>
      <c r="H13" s="109" t="s">
        <v>166</v>
      </c>
      <c r="I13" s="75"/>
      <c r="J13" s="75"/>
      <c r="K13" s="75"/>
      <c r="L13" s="75"/>
      <c r="M13" s="75"/>
      <c r="N13" s="76"/>
      <c r="O13" s="365"/>
      <c r="P13" s="364"/>
      <c r="Q13" s="364"/>
      <c r="R13" s="364"/>
      <c r="S13" s="363" t="s">
        <v>169</v>
      </c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  <c r="AH13" s="362"/>
      <c r="AI13" s="362"/>
      <c r="AJ13" s="362"/>
      <c r="AK13" s="362"/>
      <c r="AL13" s="362"/>
      <c r="AM13" s="362"/>
      <c r="AN13" s="362"/>
      <c r="AO13" s="362"/>
      <c r="AP13" s="362"/>
      <c r="AQ13" s="362"/>
      <c r="AR13" s="362"/>
      <c r="AS13" s="362"/>
      <c r="AT13" s="362"/>
      <c r="AU13" s="362"/>
      <c r="AV13" s="362"/>
      <c r="AW13" s="361"/>
      <c r="AX13" s="122"/>
      <c r="AY13" s="122"/>
      <c r="AZ13" s="122"/>
      <c r="BA13" s="122"/>
      <c r="BB13" s="122"/>
      <c r="BC13" s="123"/>
      <c r="BD13" s="126"/>
      <c r="BE13" s="122"/>
      <c r="BF13" s="122"/>
      <c r="BG13" s="122"/>
      <c r="BH13" s="122"/>
      <c r="BI13" s="122"/>
      <c r="BJ13" s="123"/>
      <c r="BK13" s="29"/>
    </row>
    <row r="14" spans="1:63" ht="15" customHeight="1" x14ac:dyDescent="0.25">
      <c r="A14" s="28"/>
      <c r="B14" s="80"/>
      <c r="C14" s="81"/>
      <c r="D14" s="81"/>
      <c r="E14" s="81"/>
      <c r="F14" s="81"/>
      <c r="G14" s="82"/>
      <c r="H14" s="80"/>
      <c r="I14" s="81"/>
      <c r="J14" s="81"/>
      <c r="K14" s="81"/>
      <c r="L14" s="81"/>
      <c r="M14" s="81"/>
      <c r="N14" s="82"/>
      <c r="O14" s="360"/>
      <c r="P14" s="359"/>
      <c r="Q14" s="359"/>
      <c r="R14" s="359"/>
      <c r="S14" s="358" t="s">
        <v>173</v>
      </c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357"/>
      <c r="AN14" s="357"/>
      <c r="AO14" s="357"/>
      <c r="AP14" s="357"/>
      <c r="AQ14" s="357"/>
      <c r="AR14" s="357"/>
      <c r="AS14" s="357"/>
      <c r="AT14" s="357"/>
      <c r="AU14" s="357"/>
      <c r="AV14" s="357"/>
      <c r="AW14" s="356"/>
      <c r="AX14" s="124"/>
      <c r="AY14" s="124"/>
      <c r="AZ14" s="124"/>
      <c r="BA14" s="124"/>
      <c r="BB14" s="124"/>
      <c r="BC14" s="125"/>
      <c r="BD14" s="127"/>
      <c r="BE14" s="124"/>
      <c r="BF14" s="124"/>
      <c r="BG14" s="124"/>
      <c r="BH14" s="124"/>
      <c r="BI14" s="124"/>
      <c r="BJ14" s="125"/>
      <c r="BK14" s="29"/>
    </row>
    <row r="15" spans="1:63" ht="15" customHeight="1" x14ac:dyDescent="0.25">
      <c r="A15" s="28"/>
      <c r="B15" s="103">
        <v>45449</v>
      </c>
      <c r="C15" s="75"/>
      <c r="D15" s="75"/>
      <c r="E15" s="75"/>
      <c r="F15" s="75"/>
      <c r="G15" s="76"/>
      <c r="H15" s="109" t="s">
        <v>166</v>
      </c>
      <c r="I15" s="75"/>
      <c r="J15" s="75"/>
      <c r="K15" s="75"/>
      <c r="L15" s="75"/>
      <c r="M15" s="75"/>
      <c r="N15" s="76"/>
      <c r="O15" s="74"/>
      <c r="P15" s="75"/>
      <c r="Q15" s="75"/>
      <c r="R15" s="75"/>
      <c r="S15" s="355" t="s">
        <v>169</v>
      </c>
      <c r="T15" s="354"/>
      <c r="U15" s="354"/>
      <c r="V15" s="354"/>
      <c r="W15" s="354"/>
      <c r="X15" s="354"/>
      <c r="Y15" s="354"/>
      <c r="Z15" s="354"/>
      <c r="AA15" s="354"/>
      <c r="AB15" s="354"/>
      <c r="AC15" s="354"/>
      <c r="AD15" s="354"/>
      <c r="AE15" s="354"/>
      <c r="AF15" s="354"/>
      <c r="AG15" s="354"/>
      <c r="AH15" s="354"/>
      <c r="AI15" s="354"/>
      <c r="AJ15" s="354"/>
      <c r="AK15" s="354"/>
      <c r="AL15" s="354"/>
      <c r="AM15" s="354"/>
      <c r="AN15" s="354"/>
      <c r="AO15" s="354"/>
      <c r="AP15" s="354"/>
      <c r="AQ15" s="354"/>
      <c r="AR15" s="354"/>
      <c r="AS15" s="354"/>
      <c r="AT15" s="354"/>
      <c r="AU15" s="354"/>
      <c r="AV15" s="354"/>
      <c r="AW15" s="353"/>
      <c r="AX15" s="122"/>
      <c r="AY15" s="122"/>
      <c r="AZ15" s="122"/>
      <c r="BA15" s="122"/>
      <c r="BB15" s="122"/>
      <c r="BC15" s="123"/>
      <c r="BD15" s="126"/>
      <c r="BE15" s="122"/>
      <c r="BF15" s="122"/>
      <c r="BG15" s="122"/>
      <c r="BH15" s="122"/>
      <c r="BI15" s="122"/>
      <c r="BJ15" s="123"/>
      <c r="BK15" s="29"/>
    </row>
    <row r="16" spans="1:63" ht="60.75" customHeight="1" x14ac:dyDescent="0.25">
      <c r="A16" s="28"/>
      <c r="B16" s="80"/>
      <c r="C16" s="81"/>
      <c r="D16" s="81"/>
      <c r="E16" s="81"/>
      <c r="F16" s="81"/>
      <c r="G16" s="82"/>
      <c r="H16" s="80"/>
      <c r="I16" s="81"/>
      <c r="J16" s="81"/>
      <c r="K16" s="81"/>
      <c r="L16" s="81"/>
      <c r="M16" s="81"/>
      <c r="N16" s="82"/>
      <c r="O16" s="80"/>
      <c r="P16" s="81"/>
      <c r="Q16" s="81"/>
      <c r="R16" s="81"/>
      <c r="S16" s="352" t="s">
        <v>172</v>
      </c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1"/>
      <c r="AK16" s="351"/>
      <c r="AL16" s="351"/>
      <c r="AM16" s="351"/>
      <c r="AN16" s="351"/>
      <c r="AO16" s="351"/>
      <c r="AP16" s="351"/>
      <c r="AQ16" s="351"/>
      <c r="AR16" s="351"/>
      <c r="AS16" s="351"/>
      <c r="AT16" s="351"/>
      <c r="AU16" s="351"/>
      <c r="AV16" s="351"/>
      <c r="AW16" s="350"/>
      <c r="AX16" s="124"/>
      <c r="AY16" s="124"/>
      <c r="AZ16" s="124"/>
      <c r="BA16" s="124"/>
      <c r="BB16" s="124"/>
      <c r="BC16" s="125"/>
      <c r="BD16" s="127"/>
      <c r="BE16" s="124"/>
      <c r="BF16" s="124"/>
      <c r="BG16" s="124"/>
      <c r="BH16" s="124"/>
      <c r="BI16" s="124"/>
      <c r="BJ16" s="125"/>
      <c r="BK16" s="29"/>
    </row>
    <row r="17" spans="1:63" ht="15" customHeight="1" x14ac:dyDescent="0.25">
      <c r="A17" s="28"/>
      <c r="B17" s="103">
        <v>45449</v>
      </c>
      <c r="C17" s="75"/>
      <c r="D17" s="75"/>
      <c r="E17" s="75"/>
      <c r="F17" s="75"/>
      <c r="G17" s="76"/>
      <c r="H17" s="109" t="s">
        <v>166</v>
      </c>
      <c r="I17" s="75"/>
      <c r="J17" s="75"/>
      <c r="K17" s="75"/>
      <c r="L17" s="75"/>
      <c r="M17" s="75"/>
      <c r="N17" s="76"/>
      <c r="O17" s="74"/>
      <c r="P17" s="75"/>
      <c r="Q17" s="75"/>
      <c r="R17" s="75"/>
      <c r="S17" s="349" t="s">
        <v>169</v>
      </c>
      <c r="T17" s="348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  <c r="AE17" s="348"/>
      <c r="AF17" s="348"/>
      <c r="AG17" s="348"/>
      <c r="AH17" s="348"/>
      <c r="AI17" s="348"/>
      <c r="AJ17" s="348"/>
      <c r="AK17" s="348"/>
      <c r="AL17" s="348"/>
      <c r="AM17" s="348"/>
      <c r="AN17" s="348"/>
      <c r="AO17" s="348"/>
      <c r="AP17" s="348"/>
      <c r="AQ17" s="348"/>
      <c r="AR17" s="348"/>
      <c r="AS17" s="348"/>
      <c r="AT17" s="348"/>
      <c r="AU17" s="348"/>
      <c r="AV17" s="348"/>
      <c r="AW17" s="347"/>
      <c r="AX17" s="122"/>
      <c r="AY17" s="122"/>
      <c r="AZ17" s="122"/>
      <c r="BA17" s="122"/>
      <c r="BB17" s="122"/>
      <c r="BC17" s="123"/>
      <c r="BD17" s="126"/>
      <c r="BE17" s="122"/>
      <c r="BF17" s="122"/>
      <c r="BG17" s="122"/>
      <c r="BH17" s="122"/>
      <c r="BI17" s="122"/>
      <c r="BJ17" s="123"/>
      <c r="BK17" s="29"/>
    </row>
    <row r="18" spans="1:63" ht="52.5" customHeight="1" x14ac:dyDescent="0.25">
      <c r="A18" s="28"/>
      <c r="B18" s="80"/>
      <c r="C18" s="81"/>
      <c r="D18" s="81"/>
      <c r="E18" s="81"/>
      <c r="F18" s="81"/>
      <c r="G18" s="82"/>
      <c r="H18" s="80"/>
      <c r="I18" s="81"/>
      <c r="J18" s="81"/>
      <c r="K18" s="81"/>
      <c r="L18" s="81"/>
      <c r="M18" s="81"/>
      <c r="N18" s="82"/>
      <c r="O18" s="80"/>
      <c r="P18" s="81"/>
      <c r="Q18" s="81"/>
      <c r="R18" s="81"/>
      <c r="S18" s="346" t="s">
        <v>171</v>
      </c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30"/>
      <c r="AX18" s="124"/>
      <c r="AY18" s="124"/>
      <c r="AZ18" s="124"/>
      <c r="BA18" s="124"/>
      <c r="BB18" s="124"/>
      <c r="BC18" s="125"/>
      <c r="BD18" s="127"/>
      <c r="BE18" s="124"/>
      <c r="BF18" s="124"/>
      <c r="BG18" s="124"/>
      <c r="BH18" s="124"/>
      <c r="BI18" s="124"/>
      <c r="BJ18" s="125"/>
      <c r="BK18" s="29"/>
    </row>
    <row r="19" spans="1:63" ht="15" customHeight="1" x14ac:dyDescent="0.25">
      <c r="A19" s="28"/>
      <c r="B19" s="103">
        <v>45449</v>
      </c>
      <c r="C19" s="75"/>
      <c r="D19" s="75"/>
      <c r="E19" s="75"/>
      <c r="F19" s="75"/>
      <c r="G19" s="76"/>
      <c r="H19" s="109" t="s">
        <v>166</v>
      </c>
      <c r="I19" s="75"/>
      <c r="J19" s="75"/>
      <c r="K19" s="75"/>
      <c r="L19" s="75"/>
      <c r="M19" s="75"/>
      <c r="N19" s="76"/>
      <c r="O19" s="74"/>
      <c r="P19" s="75"/>
      <c r="Q19" s="75"/>
      <c r="R19" s="75"/>
      <c r="S19" s="119" t="s">
        <v>169</v>
      </c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1"/>
      <c r="AX19" s="122"/>
      <c r="AY19" s="122"/>
      <c r="AZ19" s="122"/>
      <c r="BA19" s="122"/>
      <c r="BB19" s="122"/>
      <c r="BC19" s="123"/>
      <c r="BD19" s="126"/>
      <c r="BE19" s="122"/>
      <c r="BF19" s="122"/>
      <c r="BG19" s="122"/>
      <c r="BH19" s="122"/>
      <c r="BI19" s="122"/>
      <c r="BJ19" s="123"/>
      <c r="BK19" s="29"/>
    </row>
    <row r="20" spans="1:63" ht="27.75" customHeight="1" x14ac:dyDescent="0.25">
      <c r="A20" s="28"/>
      <c r="B20" s="80"/>
      <c r="C20" s="81"/>
      <c r="D20" s="81"/>
      <c r="E20" s="81"/>
      <c r="F20" s="81"/>
      <c r="G20" s="82"/>
      <c r="H20" s="80"/>
      <c r="I20" s="81"/>
      <c r="J20" s="81"/>
      <c r="K20" s="81"/>
      <c r="L20" s="81"/>
      <c r="M20" s="81"/>
      <c r="N20" s="82"/>
      <c r="O20" s="80"/>
      <c r="P20" s="81"/>
      <c r="Q20" s="81"/>
      <c r="R20" s="81"/>
      <c r="S20" s="345" t="s">
        <v>170</v>
      </c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3"/>
      <c r="AX20" s="124"/>
      <c r="AY20" s="124"/>
      <c r="AZ20" s="124"/>
      <c r="BA20" s="124"/>
      <c r="BB20" s="124"/>
      <c r="BC20" s="125"/>
      <c r="BD20" s="127"/>
      <c r="BE20" s="124"/>
      <c r="BF20" s="124"/>
      <c r="BG20" s="124"/>
      <c r="BH20" s="124"/>
      <c r="BI20" s="124"/>
      <c r="BJ20" s="125"/>
      <c r="BK20" s="29"/>
    </row>
    <row r="21" spans="1:63" ht="15" customHeight="1" x14ac:dyDescent="0.25">
      <c r="A21" s="28"/>
      <c r="B21" s="103">
        <v>45449</v>
      </c>
      <c r="C21" s="75"/>
      <c r="D21" s="75"/>
      <c r="E21" s="75"/>
      <c r="F21" s="75"/>
      <c r="G21" s="76"/>
      <c r="H21" s="109" t="s">
        <v>166</v>
      </c>
      <c r="I21" s="75"/>
      <c r="J21" s="75"/>
      <c r="K21" s="75"/>
      <c r="L21" s="75"/>
      <c r="M21" s="75"/>
      <c r="N21" s="76"/>
      <c r="O21" s="74"/>
      <c r="P21" s="75"/>
      <c r="Q21" s="75"/>
      <c r="R21" s="75"/>
      <c r="S21" s="119" t="s">
        <v>169</v>
      </c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1"/>
      <c r="AX21" s="122"/>
      <c r="AY21" s="122"/>
      <c r="AZ21" s="122"/>
      <c r="BA21" s="122"/>
      <c r="BB21" s="122"/>
      <c r="BC21" s="123"/>
      <c r="BD21" s="126"/>
      <c r="BE21" s="122"/>
      <c r="BF21" s="122"/>
      <c r="BG21" s="122"/>
      <c r="BH21" s="122"/>
      <c r="BI21" s="122"/>
      <c r="BJ21" s="123"/>
      <c r="BK21" s="29"/>
    </row>
    <row r="22" spans="1:63" ht="43.5" customHeight="1" x14ac:dyDescent="0.25">
      <c r="A22" s="28"/>
      <c r="B22" s="80"/>
      <c r="C22" s="81"/>
      <c r="D22" s="81"/>
      <c r="E22" s="81"/>
      <c r="F22" s="81"/>
      <c r="G22" s="82"/>
      <c r="H22" s="80"/>
      <c r="I22" s="81"/>
      <c r="J22" s="81"/>
      <c r="K22" s="81"/>
      <c r="L22" s="81"/>
      <c r="M22" s="81"/>
      <c r="N22" s="82"/>
      <c r="O22" s="80"/>
      <c r="P22" s="81"/>
      <c r="Q22" s="81"/>
      <c r="R22" s="81"/>
      <c r="S22" s="345" t="s">
        <v>168</v>
      </c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3"/>
      <c r="AX22" s="124"/>
      <c r="AY22" s="124"/>
      <c r="AZ22" s="124"/>
      <c r="BA22" s="124"/>
      <c r="BB22" s="124"/>
      <c r="BC22" s="125"/>
      <c r="BD22" s="127"/>
      <c r="BE22" s="124"/>
      <c r="BF22" s="124"/>
      <c r="BG22" s="124"/>
      <c r="BH22" s="124"/>
      <c r="BI22" s="124"/>
      <c r="BJ22" s="125"/>
      <c r="BK22" s="29"/>
    </row>
    <row r="23" spans="1:63" ht="15" customHeight="1" x14ac:dyDescent="0.25">
      <c r="A23" s="28"/>
      <c r="B23" s="103">
        <v>45449</v>
      </c>
      <c r="C23" s="75"/>
      <c r="D23" s="75"/>
      <c r="E23" s="75"/>
      <c r="F23" s="75"/>
      <c r="G23" s="76"/>
      <c r="H23" s="109" t="s">
        <v>166</v>
      </c>
      <c r="I23" s="75"/>
      <c r="J23" s="75"/>
      <c r="K23" s="75"/>
      <c r="L23" s="75"/>
      <c r="M23" s="75"/>
      <c r="N23" s="76"/>
      <c r="O23" s="74"/>
      <c r="P23" s="75"/>
      <c r="Q23" s="75"/>
      <c r="R23" s="75"/>
      <c r="S23" s="119" t="s">
        <v>165</v>
      </c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1"/>
      <c r="AX23" s="122"/>
      <c r="AY23" s="122"/>
      <c r="AZ23" s="122"/>
      <c r="BA23" s="122"/>
      <c r="BB23" s="122"/>
      <c r="BC23" s="123"/>
      <c r="BD23" s="126"/>
      <c r="BE23" s="122"/>
      <c r="BF23" s="122"/>
      <c r="BG23" s="122"/>
      <c r="BH23" s="122"/>
      <c r="BI23" s="122"/>
      <c r="BJ23" s="123"/>
      <c r="BK23" s="29"/>
    </row>
    <row r="24" spans="1:63" ht="37.5" customHeight="1" x14ac:dyDescent="0.25">
      <c r="A24" s="28"/>
      <c r="B24" s="80"/>
      <c r="C24" s="81"/>
      <c r="D24" s="81"/>
      <c r="E24" s="81"/>
      <c r="F24" s="81"/>
      <c r="G24" s="82"/>
      <c r="H24" s="80"/>
      <c r="I24" s="81"/>
      <c r="J24" s="81"/>
      <c r="K24" s="81"/>
      <c r="L24" s="81"/>
      <c r="M24" s="81"/>
      <c r="N24" s="82"/>
      <c r="O24" s="80"/>
      <c r="P24" s="81"/>
      <c r="Q24" s="81"/>
      <c r="R24" s="81"/>
      <c r="S24" s="345" t="s">
        <v>167</v>
      </c>
      <c r="T24" s="344"/>
      <c r="U24" s="344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344"/>
      <c r="AR24" s="344"/>
      <c r="AS24" s="344"/>
      <c r="AT24" s="344"/>
      <c r="AU24" s="344"/>
      <c r="AV24" s="344"/>
      <c r="AW24" s="343"/>
      <c r="AX24" s="124"/>
      <c r="AY24" s="124"/>
      <c r="AZ24" s="124"/>
      <c r="BA24" s="124"/>
      <c r="BB24" s="124"/>
      <c r="BC24" s="125"/>
      <c r="BD24" s="127"/>
      <c r="BE24" s="124"/>
      <c r="BF24" s="124"/>
      <c r="BG24" s="124"/>
      <c r="BH24" s="124"/>
      <c r="BI24" s="124"/>
      <c r="BJ24" s="125"/>
      <c r="BK24" s="29"/>
    </row>
    <row r="25" spans="1:63" ht="15" customHeight="1" x14ac:dyDescent="0.25">
      <c r="A25" s="28"/>
      <c r="B25" s="103">
        <v>45449</v>
      </c>
      <c r="C25" s="75"/>
      <c r="D25" s="75"/>
      <c r="E25" s="75"/>
      <c r="F25" s="75"/>
      <c r="G25" s="76"/>
      <c r="H25" s="109" t="s">
        <v>166</v>
      </c>
      <c r="I25" s="75"/>
      <c r="J25" s="75"/>
      <c r="K25" s="75"/>
      <c r="L25" s="75"/>
      <c r="M25" s="75"/>
      <c r="N25" s="76"/>
      <c r="O25" s="74"/>
      <c r="P25" s="75"/>
      <c r="Q25" s="75"/>
      <c r="R25" s="75"/>
      <c r="S25" s="119" t="s">
        <v>165</v>
      </c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1"/>
      <c r="AX25" s="122"/>
      <c r="AY25" s="122"/>
      <c r="AZ25" s="122"/>
      <c r="BA25" s="122"/>
      <c r="BB25" s="122"/>
      <c r="BC25" s="123"/>
      <c r="BD25" s="126"/>
      <c r="BE25" s="122"/>
      <c r="BF25" s="122"/>
      <c r="BG25" s="122"/>
      <c r="BH25" s="122"/>
      <c r="BI25" s="122"/>
      <c r="BJ25" s="123"/>
      <c r="BK25" s="29"/>
    </row>
    <row r="26" spans="1:63" ht="15" customHeight="1" x14ac:dyDescent="0.25">
      <c r="A26" s="28"/>
      <c r="B26" s="80"/>
      <c r="C26" s="81"/>
      <c r="D26" s="81"/>
      <c r="E26" s="81"/>
      <c r="F26" s="81"/>
      <c r="G26" s="82"/>
      <c r="H26" s="80"/>
      <c r="I26" s="81"/>
      <c r="J26" s="81"/>
      <c r="K26" s="81"/>
      <c r="L26" s="81"/>
      <c r="M26" s="81"/>
      <c r="N26" s="82"/>
      <c r="O26" s="80"/>
      <c r="P26" s="81"/>
      <c r="Q26" s="81"/>
      <c r="R26" s="81"/>
      <c r="S26" s="128" t="s">
        <v>164</v>
      </c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30"/>
      <c r="AX26" s="124"/>
      <c r="AY26" s="124"/>
      <c r="AZ26" s="124"/>
      <c r="BA26" s="124"/>
      <c r="BB26" s="124"/>
      <c r="BC26" s="125"/>
      <c r="BD26" s="127"/>
      <c r="BE26" s="124"/>
      <c r="BF26" s="124"/>
      <c r="BG26" s="124"/>
      <c r="BH26" s="124"/>
      <c r="BI26" s="124"/>
      <c r="BJ26" s="125"/>
      <c r="BK26" s="29"/>
    </row>
    <row r="27" spans="1:63" ht="15" customHeight="1" x14ac:dyDescent="0.25">
      <c r="A27" s="28"/>
      <c r="B27" s="74"/>
      <c r="C27" s="75"/>
      <c r="D27" s="75"/>
      <c r="E27" s="75"/>
      <c r="F27" s="75"/>
      <c r="G27" s="76"/>
      <c r="H27" s="74"/>
      <c r="I27" s="75"/>
      <c r="J27" s="75"/>
      <c r="K27" s="75"/>
      <c r="L27" s="75"/>
      <c r="M27" s="75"/>
      <c r="N27" s="76"/>
      <c r="O27" s="74"/>
      <c r="P27" s="75"/>
      <c r="Q27" s="75"/>
      <c r="R27" s="75"/>
      <c r="S27" s="119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1"/>
      <c r="AX27" s="122"/>
      <c r="AY27" s="122"/>
      <c r="AZ27" s="122"/>
      <c r="BA27" s="122"/>
      <c r="BB27" s="122"/>
      <c r="BC27" s="123"/>
      <c r="BD27" s="126"/>
      <c r="BE27" s="122"/>
      <c r="BF27" s="122"/>
      <c r="BG27" s="122"/>
      <c r="BH27" s="122"/>
      <c r="BI27" s="122"/>
      <c r="BJ27" s="123"/>
      <c r="BK27" s="29"/>
    </row>
    <row r="28" spans="1:63" ht="15" customHeight="1" x14ac:dyDescent="0.25">
      <c r="A28" s="28"/>
      <c r="B28" s="80"/>
      <c r="C28" s="81"/>
      <c r="D28" s="81"/>
      <c r="E28" s="81"/>
      <c r="F28" s="81"/>
      <c r="G28" s="82"/>
      <c r="H28" s="80"/>
      <c r="I28" s="81"/>
      <c r="J28" s="81"/>
      <c r="K28" s="81"/>
      <c r="L28" s="81"/>
      <c r="M28" s="81"/>
      <c r="N28" s="82"/>
      <c r="O28" s="80"/>
      <c r="P28" s="81"/>
      <c r="Q28" s="81"/>
      <c r="R28" s="81"/>
      <c r="S28" s="128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30"/>
      <c r="AX28" s="124"/>
      <c r="AY28" s="124"/>
      <c r="AZ28" s="124"/>
      <c r="BA28" s="124"/>
      <c r="BB28" s="124"/>
      <c r="BC28" s="125"/>
      <c r="BD28" s="127"/>
      <c r="BE28" s="124"/>
      <c r="BF28" s="124"/>
      <c r="BG28" s="124"/>
      <c r="BH28" s="124"/>
      <c r="BI28" s="124"/>
      <c r="BJ28" s="125"/>
      <c r="BK28" s="29"/>
    </row>
    <row r="29" spans="1:63" ht="15" customHeight="1" x14ac:dyDescent="0.25">
      <c r="A29" s="28"/>
      <c r="B29" s="74"/>
      <c r="C29" s="75"/>
      <c r="D29" s="75"/>
      <c r="E29" s="75"/>
      <c r="F29" s="75"/>
      <c r="G29" s="76"/>
      <c r="H29" s="74"/>
      <c r="I29" s="75"/>
      <c r="J29" s="75"/>
      <c r="K29" s="75"/>
      <c r="L29" s="75"/>
      <c r="M29" s="75"/>
      <c r="N29" s="76"/>
      <c r="O29" s="74"/>
      <c r="P29" s="75"/>
      <c r="Q29" s="75"/>
      <c r="R29" s="75"/>
      <c r="S29" s="119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1"/>
      <c r="AX29" s="122"/>
      <c r="AY29" s="122"/>
      <c r="AZ29" s="122"/>
      <c r="BA29" s="122"/>
      <c r="BB29" s="122"/>
      <c r="BC29" s="123"/>
      <c r="BD29" s="126"/>
      <c r="BE29" s="122"/>
      <c r="BF29" s="122"/>
      <c r="BG29" s="122"/>
      <c r="BH29" s="122"/>
      <c r="BI29" s="122"/>
      <c r="BJ29" s="123"/>
      <c r="BK29" s="29"/>
    </row>
    <row r="30" spans="1:63" ht="15" customHeight="1" x14ac:dyDescent="0.25">
      <c r="A30" s="28"/>
      <c r="B30" s="80"/>
      <c r="C30" s="81"/>
      <c r="D30" s="81"/>
      <c r="E30" s="81"/>
      <c r="F30" s="81"/>
      <c r="G30" s="82"/>
      <c r="H30" s="80"/>
      <c r="I30" s="81"/>
      <c r="J30" s="81"/>
      <c r="K30" s="81"/>
      <c r="L30" s="81"/>
      <c r="M30" s="81"/>
      <c r="N30" s="82"/>
      <c r="O30" s="80"/>
      <c r="P30" s="81"/>
      <c r="Q30" s="81"/>
      <c r="R30" s="81"/>
      <c r="S30" s="128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30"/>
      <c r="AX30" s="124"/>
      <c r="AY30" s="124"/>
      <c r="AZ30" s="124"/>
      <c r="BA30" s="124"/>
      <c r="BB30" s="124"/>
      <c r="BC30" s="125"/>
      <c r="BD30" s="127"/>
      <c r="BE30" s="124"/>
      <c r="BF30" s="124"/>
      <c r="BG30" s="124"/>
      <c r="BH30" s="124"/>
      <c r="BI30" s="124"/>
      <c r="BJ30" s="125"/>
      <c r="BK30" s="29"/>
    </row>
    <row r="31" spans="1:63" ht="15" customHeight="1" x14ac:dyDescent="0.25">
      <c r="A31" s="28"/>
      <c r="B31" s="74"/>
      <c r="C31" s="75"/>
      <c r="D31" s="75"/>
      <c r="E31" s="75"/>
      <c r="F31" s="75"/>
      <c r="G31" s="76"/>
      <c r="H31" s="74"/>
      <c r="I31" s="75"/>
      <c r="J31" s="75"/>
      <c r="K31" s="75"/>
      <c r="L31" s="75"/>
      <c r="M31" s="75"/>
      <c r="N31" s="76"/>
      <c r="O31" s="74"/>
      <c r="P31" s="75"/>
      <c r="Q31" s="75"/>
      <c r="R31" s="75"/>
      <c r="S31" s="119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1"/>
      <c r="AX31" s="122"/>
      <c r="AY31" s="122"/>
      <c r="AZ31" s="122"/>
      <c r="BA31" s="122"/>
      <c r="BB31" s="122"/>
      <c r="BC31" s="123"/>
      <c r="BD31" s="126"/>
      <c r="BE31" s="122"/>
      <c r="BF31" s="122"/>
      <c r="BG31" s="122"/>
      <c r="BH31" s="122"/>
      <c r="BI31" s="122"/>
      <c r="BJ31" s="123"/>
      <c r="BK31" s="29"/>
    </row>
    <row r="32" spans="1:63" ht="15" customHeight="1" x14ac:dyDescent="0.25">
      <c r="A32" s="28"/>
      <c r="B32" s="80"/>
      <c r="C32" s="81"/>
      <c r="D32" s="81"/>
      <c r="E32" s="81"/>
      <c r="F32" s="81"/>
      <c r="G32" s="82"/>
      <c r="H32" s="80"/>
      <c r="I32" s="81"/>
      <c r="J32" s="81"/>
      <c r="K32" s="81"/>
      <c r="L32" s="81"/>
      <c r="M32" s="81"/>
      <c r="N32" s="82"/>
      <c r="O32" s="80"/>
      <c r="P32" s="81"/>
      <c r="Q32" s="81"/>
      <c r="R32" s="81"/>
      <c r="S32" s="128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30"/>
      <c r="AX32" s="124"/>
      <c r="AY32" s="124"/>
      <c r="AZ32" s="124"/>
      <c r="BA32" s="124"/>
      <c r="BB32" s="124"/>
      <c r="BC32" s="125"/>
      <c r="BD32" s="127"/>
      <c r="BE32" s="124"/>
      <c r="BF32" s="124"/>
      <c r="BG32" s="124"/>
      <c r="BH32" s="124"/>
      <c r="BI32" s="124"/>
      <c r="BJ32" s="125"/>
      <c r="BK32" s="29"/>
    </row>
    <row r="33" spans="1:63" ht="15" customHeight="1" x14ac:dyDescent="0.25">
      <c r="A33" s="28"/>
      <c r="B33" s="74"/>
      <c r="C33" s="75"/>
      <c r="D33" s="75"/>
      <c r="E33" s="75"/>
      <c r="F33" s="75"/>
      <c r="G33" s="76"/>
      <c r="H33" s="74"/>
      <c r="I33" s="75"/>
      <c r="J33" s="75"/>
      <c r="K33" s="75"/>
      <c r="L33" s="75"/>
      <c r="M33" s="75"/>
      <c r="N33" s="76"/>
      <c r="O33" s="74"/>
      <c r="P33" s="75"/>
      <c r="Q33" s="75"/>
      <c r="R33" s="75"/>
      <c r="S33" s="119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1"/>
      <c r="AX33" s="122"/>
      <c r="AY33" s="122"/>
      <c r="AZ33" s="122"/>
      <c r="BA33" s="122"/>
      <c r="BB33" s="122"/>
      <c r="BC33" s="123"/>
      <c r="BD33" s="126"/>
      <c r="BE33" s="122"/>
      <c r="BF33" s="122"/>
      <c r="BG33" s="122"/>
      <c r="BH33" s="122"/>
      <c r="BI33" s="122"/>
      <c r="BJ33" s="123"/>
      <c r="BK33" s="29"/>
    </row>
    <row r="34" spans="1:63" ht="15" customHeight="1" x14ac:dyDescent="0.25">
      <c r="A34" s="28"/>
      <c r="B34" s="80"/>
      <c r="C34" s="81"/>
      <c r="D34" s="81"/>
      <c r="E34" s="81"/>
      <c r="F34" s="81"/>
      <c r="G34" s="82"/>
      <c r="H34" s="80"/>
      <c r="I34" s="81"/>
      <c r="J34" s="81"/>
      <c r="K34" s="81"/>
      <c r="L34" s="81"/>
      <c r="M34" s="81"/>
      <c r="N34" s="82"/>
      <c r="O34" s="80"/>
      <c r="P34" s="81"/>
      <c r="Q34" s="81"/>
      <c r="R34" s="81"/>
      <c r="S34" s="128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30"/>
      <c r="AX34" s="124"/>
      <c r="AY34" s="124"/>
      <c r="AZ34" s="124"/>
      <c r="BA34" s="124"/>
      <c r="BB34" s="124"/>
      <c r="BC34" s="125"/>
      <c r="BD34" s="127"/>
      <c r="BE34" s="124"/>
      <c r="BF34" s="124"/>
      <c r="BG34" s="124"/>
      <c r="BH34" s="124"/>
      <c r="BI34" s="124"/>
      <c r="BJ34" s="125"/>
      <c r="BK34" s="29"/>
    </row>
    <row r="35" spans="1:63" ht="15" customHeight="1" x14ac:dyDescent="0.25">
      <c r="A35" s="28"/>
      <c r="B35" s="74"/>
      <c r="C35" s="75"/>
      <c r="D35" s="75"/>
      <c r="E35" s="75"/>
      <c r="F35" s="75"/>
      <c r="G35" s="76"/>
      <c r="H35" s="74"/>
      <c r="I35" s="75"/>
      <c r="J35" s="75"/>
      <c r="K35" s="75"/>
      <c r="L35" s="75"/>
      <c r="M35" s="75"/>
      <c r="N35" s="76"/>
      <c r="O35" s="74"/>
      <c r="P35" s="75"/>
      <c r="Q35" s="75"/>
      <c r="R35" s="75"/>
      <c r="S35" s="119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1"/>
      <c r="AX35" s="122"/>
      <c r="AY35" s="122"/>
      <c r="AZ35" s="122"/>
      <c r="BA35" s="122"/>
      <c r="BB35" s="122"/>
      <c r="BC35" s="123"/>
      <c r="BD35" s="126"/>
      <c r="BE35" s="122"/>
      <c r="BF35" s="122"/>
      <c r="BG35" s="122"/>
      <c r="BH35" s="122"/>
      <c r="BI35" s="122"/>
      <c r="BJ35" s="123"/>
      <c r="BK35" s="29"/>
    </row>
    <row r="36" spans="1:63" ht="15" customHeight="1" x14ac:dyDescent="0.25">
      <c r="A36" s="28"/>
      <c r="B36" s="80"/>
      <c r="C36" s="81"/>
      <c r="D36" s="81"/>
      <c r="E36" s="81"/>
      <c r="F36" s="81"/>
      <c r="G36" s="82"/>
      <c r="H36" s="80"/>
      <c r="I36" s="81"/>
      <c r="J36" s="81"/>
      <c r="K36" s="81"/>
      <c r="L36" s="81"/>
      <c r="M36" s="81"/>
      <c r="N36" s="82"/>
      <c r="O36" s="80"/>
      <c r="P36" s="81"/>
      <c r="Q36" s="81"/>
      <c r="R36" s="81"/>
      <c r="S36" s="128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30"/>
      <c r="AX36" s="124"/>
      <c r="AY36" s="124"/>
      <c r="AZ36" s="124"/>
      <c r="BA36" s="124"/>
      <c r="BB36" s="124"/>
      <c r="BC36" s="125"/>
      <c r="BD36" s="127"/>
      <c r="BE36" s="124"/>
      <c r="BF36" s="124"/>
      <c r="BG36" s="124"/>
      <c r="BH36" s="124"/>
      <c r="BI36" s="124"/>
      <c r="BJ36" s="125"/>
      <c r="BK36" s="29"/>
    </row>
    <row r="37" spans="1:63" ht="15" customHeight="1" x14ac:dyDescent="0.25">
      <c r="A37" s="28"/>
      <c r="B37" s="74"/>
      <c r="C37" s="75"/>
      <c r="D37" s="75"/>
      <c r="E37" s="75"/>
      <c r="F37" s="75"/>
      <c r="G37" s="76"/>
      <c r="H37" s="74"/>
      <c r="I37" s="75"/>
      <c r="J37" s="75"/>
      <c r="K37" s="75"/>
      <c r="L37" s="75"/>
      <c r="M37" s="75"/>
      <c r="N37" s="76"/>
      <c r="O37" s="74"/>
      <c r="P37" s="75"/>
      <c r="Q37" s="75"/>
      <c r="R37" s="75"/>
      <c r="S37" s="119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1"/>
      <c r="AX37" s="122"/>
      <c r="AY37" s="122"/>
      <c r="AZ37" s="122"/>
      <c r="BA37" s="122"/>
      <c r="BB37" s="122"/>
      <c r="BC37" s="123"/>
      <c r="BD37" s="126"/>
      <c r="BE37" s="122"/>
      <c r="BF37" s="122"/>
      <c r="BG37" s="122"/>
      <c r="BH37" s="122"/>
      <c r="BI37" s="122"/>
      <c r="BJ37" s="123"/>
      <c r="BK37" s="29"/>
    </row>
    <row r="38" spans="1:63" ht="15" customHeight="1" x14ac:dyDescent="0.25">
      <c r="A38" s="28"/>
      <c r="B38" s="80"/>
      <c r="C38" s="81"/>
      <c r="D38" s="81"/>
      <c r="E38" s="81"/>
      <c r="F38" s="81"/>
      <c r="G38" s="82"/>
      <c r="H38" s="80"/>
      <c r="I38" s="81"/>
      <c r="J38" s="81"/>
      <c r="K38" s="81"/>
      <c r="L38" s="81"/>
      <c r="M38" s="81"/>
      <c r="N38" s="82"/>
      <c r="O38" s="80"/>
      <c r="P38" s="81"/>
      <c r="Q38" s="81"/>
      <c r="R38" s="81"/>
      <c r="S38" s="128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30"/>
      <c r="AX38" s="124"/>
      <c r="AY38" s="124"/>
      <c r="AZ38" s="124"/>
      <c r="BA38" s="124"/>
      <c r="BB38" s="124"/>
      <c r="BC38" s="125"/>
      <c r="BD38" s="127"/>
      <c r="BE38" s="124"/>
      <c r="BF38" s="124"/>
      <c r="BG38" s="124"/>
      <c r="BH38" s="124"/>
      <c r="BI38" s="124"/>
      <c r="BJ38" s="125"/>
      <c r="BK38" s="29"/>
    </row>
    <row r="39" spans="1:63" ht="15" customHeight="1" x14ac:dyDescent="0.25">
      <c r="A39" s="28"/>
      <c r="B39" s="74"/>
      <c r="C39" s="75"/>
      <c r="D39" s="75"/>
      <c r="E39" s="75"/>
      <c r="F39" s="75"/>
      <c r="G39" s="76"/>
      <c r="H39" s="74"/>
      <c r="I39" s="75"/>
      <c r="J39" s="75"/>
      <c r="K39" s="75"/>
      <c r="L39" s="75"/>
      <c r="M39" s="75"/>
      <c r="N39" s="76"/>
      <c r="O39" s="74"/>
      <c r="P39" s="75"/>
      <c r="Q39" s="75"/>
      <c r="R39" s="75"/>
      <c r="S39" s="119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1"/>
      <c r="AX39" s="122"/>
      <c r="AY39" s="122"/>
      <c r="AZ39" s="122"/>
      <c r="BA39" s="122"/>
      <c r="BB39" s="122"/>
      <c r="BC39" s="123"/>
      <c r="BD39" s="126"/>
      <c r="BE39" s="122"/>
      <c r="BF39" s="122"/>
      <c r="BG39" s="122"/>
      <c r="BH39" s="122"/>
      <c r="BI39" s="122"/>
      <c r="BJ39" s="123"/>
      <c r="BK39" s="29"/>
    </row>
    <row r="40" spans="1:63" ht="15" customHeight="1" x14ac:dyDescent="0.25">
      <c r="A40" s="28"/>
      <c r="B40" s="80"/>
      <c r="C40" s="81"/>
      <c r="D40" s="81"/>
      <c r="E40" s="81"/>
      <c r="F40" s="81"/>
      <c r="G40" s="82"/>
      <c r="H40" s="80"/>
      <c r="I40" s="81"/>
      <c r="J40" s="81"/>
      <c r="K40" s="81"/>
      <c r="L40" s="81"/>
      <c r="M40" s="81"/>
      <c r="N40" s="82"/>
      <c r="O40" s="80"/>
      <c r="P40" s="81"/>
      <c r="Q40" s="81"/>
      <c r="R40" s="81"/>
      <c r="S40" s="128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30"/>
      <c r="AX40" s="124"/>
      <c r="AY40" s="124"/>
      <c r="AZ40" s="124"/>
      <c r="BA40" s="124"/>
      <c r="BB40" s="124"/>
      <c r="BC40" s="125"/>
      <c r="BD40" s="127"/>
      <c r="BE40" s="124"/>
      <c r="BF40" s="124"/>
      <c r="BG40" s="124"/>
      <c r="BH40" s="124"/>
      <c r="BI40" s="124"/>
      <c r="BJ40" s="125"/>
      <c r="BK40" s="29"/>
    </row>
    <row r="41" spans="1:63" ht="15" customHeight="1" x14ac:dyDescent="0.25">
      <c r="A41" s="28"/>
      <c r="B41" s="74"/>
      <c r="C41" s="75"/>
      <c r="D41" s="75"/>
      <c r="E41" s="75"/>
      <c r="F41" s="75"/>
      <c r="G41" s="76"/>
      <c r="H41" s="74"/>
      <c r="I41" s="75"/>
      <c r="J41" s="75"/>
      <c r="K41" s="75"/>
      <c r="L41" s="75"/>
      <c r="M41" s="75"/>
      <c r="N41" s="76"/>
      <c r="O41" s="74"/>
      <c r="P41" s="75"/>
      <c r="Q41" s="75"/>
      <c r="R41" s="75"/>
      <c r="S41" s="119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1"/>
      <c r="AX41" s="122"/>
      <c r="AY41" s="122"/>
      <c r="AZ41" s="122"/>
      <c r="BA41" s="122"/>
      <c r="BB41" s="122"/>
      <c r="BC41" s="123"/>
      <c r="BD41" s="126"/>
      <c r="BE41" s="122"/>
      <c r="BF41" s="122"/>
      <c r="BG41" s="122"/>
      <c r="BH41" s="122"/>
      <c r="BI41" s="122"/>
      <c r="BJ41" s="123"/>
      <c r="BK41" s="29"/>
    </row>
    <row r="42" spans="1:63" ht="15" customHeight="1" x14ac:dyDescent="0.25">
      <c r="A42" s="28"/>
      <c r="B42" s="80"/>
      <c r="C42" s="81"/>
      <c r="D42" s="81"/>
      <c r="E42" s="81"/>
      <c r="F42" s="81"/>
      <c r="G42" s="82"/>
      <c r="H42" s="80"/>
      <c r="I42" s="81"/>
      <c r="J42" s="81"/>
      <c r="K42" s="81"/>
      <c r="L42" s="81"/>
      <c r="M42" s="81"/>
      <c r="N42" s="82"/>
      <c r="O42" s="80"/>
      <c r="P42" s="81"/>
      <c r="Q42" s="81"/>
      <c r="R42" s="81"/>
      <c r="S42" s="128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30"/>
      <c r="AX42" s="124"/>
      <c r="AY42" s="124"/>
      <c r="AZ42" s="124"/>
      <c r="BA42" s="124"/>
      <c r="BB42" s="124"/>
      <c r="BC42" s="125"/>
      <c r="BD42" s="127"/>
      <c r="BE42" s="124"/>
      <c r="BF42" s="124"/>
      <c r="BG42" s="124"/>
      <c r="BH42" s="124"/>
      <c r="BI42" s="124"/>
      <c r="BJ42" s="125"/>
      <c r="BK42" s="29"/>
    </row>
    <row r="43" spans="1:63" ht="15" customHeight="1" x14ac:dyDescent="0.25">
      <c r="A43" s="28"/>
      <c r="B43" s="74"/>
      <c r="C43" s="75"/>
      <c r="D43" s="75"/>
      <c r="E43" s="75"/>
      <c r="F43" s="75"/>
      <c r="G43" s="76"/>
      <c r="H43" s="74"/>
      <c r="I43" s="75"/>
      <c r="J43" s="75"/>
      <c r="K43" s="75"/>
      <c r="L43" s="75"/>
      <c r="M43" s="75"/>
      <c r="N43" s="76"/>
      <c r="O43" s="74"/>
      <c r="P43" s="75"/>
      <c r="Q43" s="75"/>
      <c r="R43" s="75"/>
      <c r="S43" s="119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1"/>
      <c r="AX43" s="122"/>
      <c r="AY43" s="122"/>
      <c r="AZ43" s="122"/>
      <c r="BA43" s="122"/>
      <c r="BB43" s="122"/>
      <c r="BC43" s="123"/>
      <c r="BD43" s="126"/>
      <c r="BE43" s="122"/>
      <c r="BF43" s="122"/>
      <c r="BG43" s="122"/>
      <c r="BH43" s="122"/>
      <c r="BI43" s="122"/>
      <c r="BJ43" s="123"/>
      <c r="BK43" s="29"/>
    </row>
    <row r="44" spans="1:63" ht="15" customHeight="1" x14ac:dyDescent="0.25">
      <c r="A44" s="28"/>
      <c r="B44" s="80"/>
      <c r="C44" s="81"/>
      <c r="D44" s="81"/>
      <c r="E44" s="81"/>
      <c r="F44" s="81"/>
      <c r="G44" s="82"/>
      <c r="H44" s="80"/>
      <c r="I44" s="81"/>
      <c r="J44" s="81"/>
      <c r="K44" s="81"/>
      <c r="L44" s="81"/>
      <c r="M44" s="81"/>
      <c r="N44" s="82"/>
      <c r="O44" s="80"/>
      <c r="P44" s="81"/>
      <c r="Q44" s="81"/>
      <c r="R44" s="81"/>
      <c r="S44" s="128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30"/>
      <c r="AX44" s="124"/>
      <c r="AY44" s="124"/>
      <c r="AZ44" s="124"/>
      <c r="BA44" s="124"/>
      <c r="BB44" s="124"/>
      <c r="BC44" s="125"/>
      <c r="BD44" s="127"/>
      <c r="BE44" s="124"/>
      <c r="BF44" s="124"/>
      <c r="BG44" s="124"/>
      <c r="BH44" s="124"/>
      <c r="BI44" s="124"/>
      <c r="BJ44" s="125"/>
      <c r="BK44" s="29"/>
    </row>
    <row r="45" spans="1:63" ht="15" customHeight="1" x14ac:dyDescent="0.25">
      <c r="A45" s="28"/>
      <c r="B45" s="74"/>
      <c r="C45" s="75"/>
      <c r="D45" s="75"/>
      <c r="E45" s="75"/>
      <c r="F45" s="75"/>
      <c r="G45" s="76"/>
      <c r="H45" s="74"/>
      <c r="I45" s="75"/>
      <c r="J45" s="75"/>
      <c r="K45" s="75"/>
      <c r="L45" s="75"/>
      <c r="M45" s="75"/>
      <c r="N45" s="76"/>
      <c r="O45" s="74"/>
      <c r="P45" s="75"/>
      <c r="Q45" s="75"/>
      <c r="R45" s="75"/>
      <c r="S45" s="119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1"/>
      <c r="AX45" s="122"/>
      <c r="AY45" s="122"/>
      <c r="AZ45" s="122"/>
      <c r="BA45" s="122"/>
      <c r="BB45" s="122"/>
      <c r="BC45" s="123"/>
      <c r="BD45" s="126"/>
      <c r="BE45" s="122"/>
      <c r="BF45" s="122"/>
      <c r="BG45" s="122"/>
      <c r="BH45" s="122"/>
      <c r="BI45" s="122"/>
      <c r="BJ45" s="123"/>
      <c r="BK45" s="29"/>
    </row>
    <row r="46" spans="1:63" ht="15" customHeight="1" x14ac:dyDescent="0.25">
      <c r="A46" s="28"/>
      <c r="B46" s="80"/>
      <c r="C46" s="81"/>
      <c r="D46" s="81"/>
      <c r="E46" s="81"/>
      <c r="F46" s="81"/>
      <c r="G46" s="82"/>
      <c r="H46" s="80"/>
      <c r="I46" s="81"/>
      <c r="J46" s="81"/>
      <c r="K46" s="81"/>
      <c r="L46" s="81"/>
      <c r="M46" s="81"/>
      <c r="N46" s="82"/>
      <c r="O46" s="80"/>
      <c r="P46" s="81"/>
      <c r="Q46" s="81"/>
      <c r="R46" s="81"/>
      <c r="S46" s="128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30"/>
      <c r="AX46" s="124"/>
      <c r="AY46" s="124"/>
      <c r="AZ46" s="124"/>
      <c r="BA46" s="124"/>
      <c r="BB46" s="124"/>
      <c r="BC46" s="125"/>
      <c r="BD46" s="127"/>
      <c r="BE46" s="124"/>
      <c r="BF46" s="124"/>
      <c r="BG46" s="124"/>
      <c r="BH46" s="124"/>
      <c r="BI46" s="124"/>
      <c r="BJ46" s="125"/>
      <c r="BK46" s="29"/>
    </row>
    <row r="47" spans="1:63" ht="15" customHeight="1" x14ac:dyDescent="0.25">
      <c r="A47" s="28"/>
      <c r="B47" s="74"/>
      <c r="C47" s="75"/>
      <c r="D47" s="75"/>
      <c r="E47" s="75"/>
      <c r="F47" s="75"/>
      <c r="G47" s="76"/>
      <c r="H47" s="74"/>
      <c r="I47" s="75"/>
      <c r="J47" s="75"/>
      <c r="K47" s="75"/>
      <c r="L47" s="75"/>
      <c r="M47" s="75"/>
      <c r="N47" s="76"/>
      <c r="O47" s="74"/>
      <c r="P47" s="75"/>
      <c r="Q47" s="75"/>
      <c r="R47" s="75"/>
      <c r="S47" s="119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1"/>
      <c r="AX47" s="122"/>
      <c r="AY47" s="122"/>
      <c r="AZ47" s="122"/>
      <c r="BA47" s="122"/>
      <c r="BB47" s="122"/>
      <c r="BC47" s="123"/>
      <c r="BD47" s="126"/>
      <c r="BE47" s="122"/>
      <c r="BF47" s="122"/>
      <c r="BG47" s="122"/>
      <c r="BH47" s="122"/>
      <c r="BI47" s="122"/>
      <c r="BJ47" s="123"/>
      <c r="BK47" s="29"/>
    </row>
    <row r="48" spans="1:63" ht="15" customHeight="1" x14ac:dyDescent="0.25">
      <c r="A48" s="28"/>
      <c r="B48" s="80"/>
      <c r="C48" s="81"/>
      <c r="D48" s="81"/>
      <c r="E48" s="81"/>
      <c r="F48" s="81"/>
      <c r="G48" s="82"/>
      <c r="H48" s="80"/>
      <c r="I48" s="81"/>
      <c r="J48" s="81"/>
      <c r="K48" s="81"/>
      <c r="L48" s="81"/>
      <c r="M48" s="81"/>
      <c r="N48" s="82"/>
      <c r="O48" s="80"/>
      <c r="P48" s="81"/>
      <c r="Q48" s="81"/>
      <c r="R48" s="81"/>
      <c r="S48" s="128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30"/>
      <c r="AX48" s="124"/>
      <c r="AY48" s="124"/>
      <c r="AZ48" s="124"/>
      <c r="BA48" s="124"/>
      <c r="BB48" s="124"/>
      <c r="BC48" s="125"/>
      <c r="BD48" s="127"/>
      <c r="BE48" s="124"/>
      <c r="BF48" s="124"/>
      <c r="BG48" s="124"/>
      <c r="BH48" s="124"/>
      <c r="BI48" s="124"/>
      <c r="BJ48" s="125"/>
      <c r="BK48" s="29"/>
    </row>
    <row r="49" spans="1:63" ht="15" customHeight="1" x14ac:dyDescent="0.25">
      <c r="A49" s="28"/>
      <c r="B49" s="74"/>
      <c r="C49" s="75"/>
      <c r="D49" s="75"/>
      <c r="E49" s="75"/>
      <c r="F49" s="75"/>
      <c r="G49" s="76"/>
      <c r="H49" s="74"/>
      <c r="I49" s="75"/>
      <c r="J49" s="75"/>
      <c r="K49" s="75"/>
      <c r="L49" s="75"/>
      <c r="M49" s="75"/>
      <c r="N49" s="76"/>
      <c r="O49" s="74"/>
      <c r="P49" s="75"/>
      <c r="Q49" s="75"/>
      <c r="R49" s="75"/>
      <c r="S49" s="119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1"/>
      <c r="AX49" s="122"/>
      <c r="AY49" s="122"/>
      <c r="AZ49" s="122"/>
      <c r="BA49" s="122"/>
      <c r="BB49" s="122"/>
      <c r="BC49" s="123"/>
      <c r="BD49" s="126"/>
      <c r="BE49" s="122"/>
      <c r="BF49" s="122"/>
      <c r="BG49" s="122"/>
      <c r="BH49" s="122"/>
      <c r="BI49" s="122"/>
      <c r="BJ49" s="123"/>
      <c r="BK49" s="29"/>
    </row>
    <row r="50" spans="1:63" ht="15" customHeight="1" x14ac:dyDescent="0.25">
      <c r="A50" s="28"/>
      <c r="B50" s="80"/>
      <c r="C50" s="81"/>
      <c r="D50" s="81"/>
      <c r="E50" s="81"/>
      <c r="F50" s="81"/>
      <c r="G50" s="82"/>
      <c r="H50" s="80"/>
      <c r="I50" s="81"/>
      <c r="J50" s="81"/>
      <c r="K50" s="81"/>
      <c r="L50" s="81"/>
      <c r="M50" s="81"/>
      <c r="N50" s="82"/>
      <c r="O50" s="80"/>
      <c r="P50" s="81"/>
      <c r="Q50" s="81"/>
      <c r="R50" s="81"/>
      <c r="S50" s="128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30"/>
      <c r="AX50" s="124"/>
      <c r="AY50" s="124"/>
      <c r="AZ50" s="124"/>
      <c r="BA50" s="124"/>
      <c r="BB50" s="124"/>
      <c r="BC50" s="125"/>
      <c r="BD50" s="127"/>
      <c r="BE50" s="124"/>
      <c r="BF50" s="124"/>
      <c r="BG50" s="124"/>
      <c r="BH50" s="124"/>
      <c r="BI50" s="124"/>
      <c r="BJ50" s="125"/>
      <c r="BK50" s="29"/>
    </row>
    <row r="51" spans="1:63" ht="15" customHeight="1" x14ac:dyDescent="0.25">
      <c r="A51" s="28"/>
      <c r="B51" s="74"/>
      <c r="C51" s="75"/>
      <c r="D51" s="75"/>
      <c r="E51" s="75"/>
      <c r="F51" s="75"/>
      <c r="G51" s="76"/>
      <c r="H51" s="74"/>
      <c r="I51" s="75"/>
      <c r="J51" s="75"/>
      <c r="K51" s="75"/>
      <c r="L51" s="75"/>
      <c r="M51" s="75"/>
      <c r="N51" s="76"/>
      <c r="O51" s="74"/>
      <c r="P51" s="75"/>
      <c r="Q51" s="75"/>
      <c r="R51" s="75"/>
      <c r="S51" s="119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1"/>
      <c r="AX51" s="122"/>
      <c r="AY51" s="122"/>
      <c r="AZ51" s="122"/>
      <c r="BA51" s="122"/>
      <c r="BB51" s="122"/>
      <c r="BC51" s="123"/>
      <c r="BD51" s="126"/>
      <c r="BE51" s="122"/>
      <c r="BF51" s="122"/>
      <c r="BG51" s="122"/>
      <c r="BH51" s="122"/>
      <c r="BI51" s="122"/>
      <c r="BJ51" s="123"/>
      <c r="BK51" s="29"/>
    </row>
    <row r="52" spans="1:63" ht="15" customHeight="1" x14ac:dyDescent="0.25">
      <c r="A52" s="28"/>
      <c r="B52" s="80"/>
      <c r="C52" s="81"/>
      <c r="D52" s="81"/>
      <c r="E52" s="81"/>
      <c r="F52" s="81"/>
      <c r="G52" s="82"/>
      <c r="H52" s="80"/>
      <c r="I52" s="81"/>
      <c r="J52" s="81"/>
      <c r="K52" s="81"/>
      <c r="L52" s="81"/>
      <c r="M52" s="81"/>
      <c r="N52" s="82"/>
      <c r="O52" s="80"/>
      <c r="P52" s="81"/>
      <c r="Q52" s="81"/>
      <c r="R52" s="81"/>
      <c r="S52" s="128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30"/>
      <c r="AX52" s="124"/>
      <c r="AY52" s="124"/>
      <c r="AZ52" s="124"/>
      <c r="BA52" s="124"/>
      <c r="BB52" s="124"/>
      <c r="BC52" s="125"/>
      <c r="BD52" s="127"/>
      <c r="BE52" s="124"/>
      <c r="BF52" s="124"/>
      <c r="BG52" s="124"/>
      <c r="BH52" s="124"/>
      <c r="BI52" s="124"/>
      <c r="BJ52" s="125"/>
      <c r="BK52" s="29"/>
    </row>
    <row r="53" spans="1:63" ht="15" customHeight="1" x14ac:dyDescent="0.25">
      <c r="A53" s="28"/>
      <c r="B53" s="74"/>
      <c r="C53" s="75"/>
      <c r="D53" s="75"/>
      <c r="E53" s="75"/>
      <c r="F53" s="75"/>
      <c r="G53" s="76"/>
      <c r="H53" s="74"/>
      <c r="I53" s="75"/>
      <c r="J53" s="75"/>
      <c r="K53" s="75"/>
      <c r="L53" s="75"/>
      <c r="M53" s="75"/>
      <c r="N53" s="76"/>
      <c r="O53" s="74"/>
      <c r="P53" s="75"/>
      <c r="Q53" s="75"/>
      <c r="R53" s="75"/>
      <c r="S53" s="119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1"/>
      <c r="AX53" s="122"/>
      <c r="AY53" s="122"/>
      <c r="AZ53" s="122"/>
      <c r="BA53" s="122"/>
      <c r="BB53" s="122"/>
      <c r="BC53" s="123"/>
      <c r="BD53" s="126"/>
      <c r="BE53" s="122"/>
      <c r="BF53" s="122"/>
      <c r="BG53" s="122"/>
      <c r="BH53" s="122"/>
      <c r="BI53" s="122"/>
      <c r="BJ53" s="123"/>
      <c r="BK53" s="29"/>
    </row>
    <row r="54" spans="1:63" ht="15" customHeight="1" x14ac:dyDescent="0.25">
      <c r="A54" s="28"/>
      <c r="B54" s="80"/>
      <c r="C54" s="81"/>
      <c r="D54" s="81"/>
      <c r="E54" s="81"/>
      <c r="F54" s="81"/>
      <c r="G54" s="82"/>
      <c r="H54" s="80"/>
      <c r="I54" s="81"/>
      <c r="J54" s="81"/>
      <c r="K54" s="81"/>
      <c r="L54" s="81"/>
      <c r="M54" s="81"/>
      <c r="N54" s="82"/>
      <c r="O54" s="80"/>
      <c r="P54" s="81"/>
      <c r="Q54" s="81"/>
      <c r="R54" s="81"/>
      <c r="S54" s="128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30"/>
      <c r="AX54" s="124"/>
      <c r="AY54" s="124"/>
      <c r="AZ54" s="124"/>
      <c r="BA54" s="124"/>
      <c r="BB54" s="124"/>
      <c r="BC54" s="125"/>
      <c r="BD54" s="127"/>
      <c r="BE54" s="124"/>
      <c r="BF54" s="124"/>
      <c r="BG54" s="124"/>
      <c r="BH54" s="124"/>
      <c r="BI54" s="124"/>
      <c r="BJ54" s="125"/>
      <c r="BK54" s="29"/>
    </row>
    <row r="55" spans="1:63" ht="15" customHeight="1" x14ac:dyDescent="0.25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7"/>
    </row>
  </sheetData>
  <mergeCells count="180">
    <mergeCell ref="K1:V1"/>
    <mergeCell ref="W1:AO3"/>
    <mergeCell ref="AP1:AS1"/>
    <mergeCell ref="AT1:AX1"/>
    <mergeCell ref="AY1:BB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3:G14"/>
    <mergeCell ref="H13:N14"/>
    <mergeCell ref="O13:R14"/>
    <mergeCell ref="S13:AW13"/>
    <mergeCell ref="AX13:BC14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8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7"/>
      <c r="K1" s="145" t="s">
        <v>2</v>
      </c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60" t="str">
        <f>IF(表紙!W1="","",表紙!W1)</f>
        <v>基本設計書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145" t="s">
        <v>3</v>
      </c>
      <c r="AQ1" s="146"/>
      <c r="AR1" s="146"/>
      <c r="AS1" s="147"/>
      <c r="AT1" s="145" t="s">
        <v>4</v>
      </c>
      <c r="AU1" s="146"/>
      <c r="AV1" s="146"/>
      <c r="AW1" s="146"/>
      <c r="AX1" s="147"/>
      <c r="AY1" s="145" t="s">
        <v>5</v>
      </c>
      <c r="AZ1" s="146"/>
      <c r="BA1" s="146"/>
      <c r="BB1" s="147"/>
      <c r="BC1" s="145" t="s">
        <v>6</v>
      </c>
      <c r="BD1" s="146"/>
      <c r="BE1" s="146"/>
      <c r="BF1" s="146"/>
      <c r="BG1" s="147"/>
      <c r="BH1" s="145" t="s">
        <v>7</v>
      </c>
      <c r="BI1" s="146"/>
      <c r="BJ1" s="146"/>
      <c r="BK1" s="147"/>
    </row>
    <row r="2" spans="1:63" ht="15" customHeight="1" x14ac:dyDescent="0.25">
      <c r="A2" s="148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48" t="str">
        <f>IF(表紙!K2="","",表紙!K2)</f>
        <v>POSサーバー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148" t="str">
        <f>IF(表紙!AP2="","",表紙!AP2)</f>
        <v>LoiLV</v>
      </c>
      <c r="AQ2" s="149"/>
      <c r="AR2" s="149"/>
      <c r="AS2" s="150"/>
      <c r="AT2" s="154">
        <v>45084</v>
      </c>
      <c r="AU2" s="155"/>
      <c r="AV2" s="155"/>
      <c r="AW2" s="155"/>
      <c r="AX2" s="156"/>
      <c r="AY2" s="148" t="str">
        <f>IF(表紙!AY2="","",表紙!AY2)</f>
        <v>LoiLV</v>
      </c>
      <c r="AZ2" s="149"/>
      <c r="BA2" s="149"/>
      <c r="BB2" s="150"/>
      <c r="BC2" s="154">
        <f>IF(表紙!BC2="","",表紙!BC2)</f>
        <v>45517</v>
      </c>
      <c r="BD2" s="155"/>
      <c r="BE2" s="155"/>
      <c r="BF2" s="155"/>
      <c r="BG2" s="156"/>
      <c r="BH2" s="148" t="str">
        <f>IF(表紙!BH2="","",表紙!BH2)</f>
        <v>0.3.7</v>
      </c>
      <c r="BI2" s="149"/>
      <c r="BJ2" s="149"/>
      <c r="BK2" s="150"/>
    </row>
    <row r="3" spans="1:63" ht="15" customHeight="1" x14ac:dyDescent="0.25">
      <c r="A3" s="151"/>
      <c r="B3" s="152"/>
      <c r="C3" s="152"/>
      <c r="D3" s="152"/>
      <c r="E3" s="152"/>
      <c r="F3" s="152"/>
      <c r="G3" s="152"/>
      <c r="H3" s="152"/>
      <c r="I3" s="152"/>
      <c r="J3" s="153"/>
      <c r="K3" s="151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3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51"/>
      <c r="AQ3" s="152"/>
      <c r="AR3" s="152"/>
      <c r="AS3" s="153"/>
      <c r="AT3" s="157"/>
      <c r="AU3" s="158"/>
      <c r="AV3" s="158"/>
      <c r="AW3" s="158"/>
      <c r="AX3" s="159"/>
      <c r="AY3" s="151"/>
      <c r="AZ3" s="152"/>
      <c r="BA3" s="152"/>
      <c r="BB3" s="153"/>
      <c r="BC3" s="157"/>
      <c r="BD3" s="158"/>
      <c r="BE3" s="158"/>
      <c r="BF3" s="158"/>
      <c r="BG3" s="159"/>
      <c r="BH3" s="151"/>
      <c r="BI3" s="152"/>
      <c r="BJ3" s="152"/>
      <c r="BK3" s="153"/>
    </row>
    <row r="4" spans="1:63" ht="24.95" customHeight="1" x14ac:dyDescent="0.25">
      <c r="A4" s="145" t="s">
        <v>1</v>
      </c>
      <c r="B4" s="146"/>
      <c r="C4" s="146"/>
      <c r="D4" s="146"/>
      <c r="E4" s="146"/>
      <c r="F4" s="146"/>
      <c r="G4" s="147"/>
      <c r="H4" s="169" t="str">
        <f>IF(表紙!H4="","",表紙!H4)</f>
        <v>25_取扱設定マスタ設定(KSM)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5" t="s">
        <v>8</v>
      </c>
      <c r="V4" s="146"/>
      <c r="W4" s="146"/>
      <c r="X4" s="146"/>
      <c r="Y4" s="147"/>
      <c r="Z4" s="169" t="str">
        <f>IF(表紙!Z4="","",表紙!Z4)</f>
        <v>概要設計書</v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tr">
        <f t="array" aca="1" ref="AP4" ca="1">RIGHT(CELL("filename",$A$1),LEN(CELL("filename",$A$1))-FIND("]",CELL("filename",$A$1)))</f>
        <v>業務フロー凡例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2"/>
    </row>
    <row r="6" spans="1:63" ht="15" customHeight="1" x14ac:dyDescent="0.25">
      <c r="A6" s="43"/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6"/>
      <c r="AF6" s="44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6"/>
      <c r="BJ6" s="45"/>
      <c r="BK6" s="47"/>
    </row>
    <row r="7" spans="1:63" ht="15" customHeight="1" x14ac:dyDescent="0.25">
      <c r="A7" s="43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7"/>
    </row>
    <row r="8" spans="1:63" ht="15" customHeight="1" x14ac:dyDescent="0.25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6"/>
      <c r="AF8" s="44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6"/>
      <c r="BJ8" s="45"/>
      <c r="BK8" s="47"/>
    </row>
    <row r="9" spans="1:63" ht="15" customHeight="1" x14ac:dyDescent="0.25">
      <c r="A9" s="43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/>
      <c r="AF9" s="44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6"/>
      <c r="BJ9" s="45"/>
      <c r="BK9" s="47"/>
    </row>
    <row r="10" spans="1:63" ht="15" customHeight="1" x14ac:dyDescent="0.25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6"/>
      <c r="AF10" s="44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6"/>
      <c r="BJ10" s="45"/>
      <c r="BK10" s="47"/>
    </row>
    <row r="11" spans="1:63" ht="15" customHeight="1" x14ac:dyDescent="0.25">
      <c r="A11" s="43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6"/>
      <c r="AF11" s="44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6"/>
      <c r="BJ11" s="45"/>
      <c r="BK11" s="47"/>
    </row>
    <row r="12" spans="1:63" ht="15" customHeight="1" x14ac:dyDescent="0.25">
      <c r="A12" s="43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6"/>
      <c r="AF12" s="44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6"/>
      <c r="BJ12" s="45"/>
      <c r="BK12" s="47"/>
    </row>
    <row r="13" spans="1:63" ht="15" customHeight="1" x14ac:dyDescent="0.25">
      <c r="A13" s="43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6"/>
      <c r="AF13" s="44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6"/>
      <c r="BJ13" s="45"/>
      <c r="BK13" s="47"/>
    </row>
    <row r="14" spans="1:63" ht="15" customHeight="1" x14ac:dyDescent="0.25">
      <c r="A14" s="43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6"/>
      <c r="AF14" s="44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6"/>
      <c r="BJ14" s="45"/>
      <c r="BK14" s="47"/>
    </row>
    <row r="15" spans="1:63" ht="15" customHeight="1" x14ac:dyDescent="0.25">
      <c r="A15" s="43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6"/>
      <c r="AF15" s="44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6"/>
      <c r="BJ15" s="45"/>
      <c r="BK15" s="47"/>
    </row>
    <row r="16" spans="1:63" ht="15" customHeight="1" x14ac:dyDescent="0.25">
      <c r="A16" s="43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6"/>
      <c r="AF16" s="44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6"/>
      <c r="BJ16" s="45"/>
      <c r="BK16" s="47"/>
    </row>
    <row r="17" spans="1:63" ht="15" customHeight="1" x14ac:dyDescent="0.25">
      <c r="A17" s="43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6"/>
      <c r="AF17" s="44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6"/>
      <c r="BJ17" s="45"/>
      <c r="BK17" s="47"/>
    </row>
    <row r="18" spans="1:63" ht="15" customHeight="1" x14ac:dyDescent="0.25">
      <c r="A18" s="43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6"/>
      <c r="AF18" s="44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6"/>
      <c r="BJ18" s="45"/>
      <c r="BK18" s="47"/>
    </row>
    <row r="19" spans="1:63" ht="15" customHeight="1" x14ac:dyDescent="0.25">
      <c r="A19" s="43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6"/>
      <c r="AF19" s="44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6"/>
      <c r="BJ19" s="45"/>
      <c r="BK19" s="47"/>
    </row>
    <row r="20" spans="1:63" ht="15" customHeight="1" x14ac:dyDescent="0.25">
      <c r="A20" s="43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6"/>
      <c r="AF20" s="44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6"/>
      <c r="BJ20" s="45"/>
      <c r="BK20" s="47"/>
    </row>
    <row r="21" spans="1:63" ht="15" customHeight="1" x14ac:dyDescent="0.25">
      <c r="A21" s="43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6"/>
      <c r="AF21" s="44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6"/>
      <c r="BJ21" s="45"/>
      <c r="BK21" s="47"/>
    </row>
    <row r="22" spans="1:63" ht="15" customHeight="1" x14ac:dyDescent="0.25">
      <c r="A22" s="43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7"/>
    </row>
    <row r="23" spans="1:63" ht="15" customHeight="1" x14ac:dyDescent="0.25">
      <c r="A23" s="43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6"/>
      <c r="AF23" s="44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6"/>
      <c r="BJ23" s="45"/>
      <c r="BK23" s="47"/>
    </row>
    <row r="24" spans="1:63" ht="15" customHeight="1" x14ac:dyDescent="0.25">
      <c r="A24" s="43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6"/>
      <c r="AF24" s="44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6"/>
      <c r="BJ24" s="45"/>
      <c r="BK24" s="47"/>
    </row>
    <row r="25" spans="1:63" ht="15" customHeight="1" x14ac:dyDescent="0.25">
      <c r="A25" s="43"/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6"/>
      <c r="AF25" s="44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6"/>
      <c r="BJ25" s="45"/>
      <c r="BK25" s="47"/>
    </row>
    <row r="26" spans="1:63" ht="15" customHeight="1" x14ac:dyDescent="0.25">
      <c r="A26" s="43"/>
      <c r="B26" s="44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6"/>
      <c r="AF26" s="44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6"/>
      <c r="BJ26" s="45"/>
      <c r="BK26" s="47"/>
    </row>
    <row r="27" spans="1:63" ht="15" customHeight="1" x14ac:dyDescent="0.25">
      <c r="A27" s="43"/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6"/>
      <c r="AF27" s="44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6"/>
      <c r="BJ27" s="45"/>
      <c r="BK27" s="47"/>
    </row>
    <row r="28" spans="1:63" ht="15" customHeight="1" x14ac:dyDescent="0.25">
      <c r="A28" s="43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6"/>
      <c r="AF28" s="44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6"/>
      <c r="BJ28" s="45"/>
      <c r="BK28" s="47"/>
    </row>
    <row r="29" spans="1:63" ht="15" customHeight="1" x14ac:dyDescent="0.25">
      <c r="A29" s="43"/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6"/>
      <c r="AF29" s="44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6"/>
      <c r="BJ29" s="45"/>
      <c r="BK29" s="47"/>
    </row>
    <row r="30" spans="1:63" ht="15" customHeight="1" x14ac:dyDescent="0.25">
      <c r="A30" s="43"/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6"/>
      <c r="AF30" s="44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6"/>
      <c r="BJ30" s="45"/>
      <c r="BK30" s="47"/>
    </row>
    <row r="31" spans="1:63" ht="15" customHeight="1" x14ac:dyDescent="0.25">
      <c r="A31" s="43"/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6"/>
      <c r="AF31" s="44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6"/>
      <c r="BJ31" s="45"/>
      <c r="BK31" s="47"/>
    </row>
    <row r="32" spans="1:63" ht="15" customHeight="1" x14ac:dyDescent="0.25">
      <c r="A32" s="43"/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6"/>
      <c r="AF32" s="44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6"/>
      <c r="BJ32" s="45"/>
      <c r="BK32" s="47"/>
    </row>
    <row r="33" spans="1:63" ht="15" customHeight="1" x14ac:dyDescent="0.25">
      <c r="A33" s="43"/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6"/>
      <c r="AF33" s="44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6"/>
      <c r="BJ33" s="45"/>
      <c r="BK33" s="47"/>
    </row>
    <row r="34" spans="1:63" ht="15" customHeight="1" x14ac:dyDescent="0.25">
      <c r="A34" s="43"/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6"/>
      <c r="AF34" s="44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6"/>
      <c r="BJ34" s="45"/>
      <c r="BK34" s="47"/>
    </row>
    <row r="35" spans="1:63" ht="15" customHeight="1" x14ac:dyDescent="0.25">
      <c r="A35" s="43"/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6"/>
      <c r="AF35" s="44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6"/>
      <c r="BJ35" s="45"/>
      <c r="BK35" s="47"/>
    </row>
    <row r="36" spans="1:63" ht="15" customHeight="1" x14ac:dyDescent="0.25">
      <c r="A36" s="43"/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6"/>
      <c r="AF36" s="44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6"/>
      <c r="BJ36" s="45"/>
      <c r="BK36" s="47"/>
    </row>
    <row r="37" spans="1:63" ht="15" customHeight="1" x14ac:dyDescent="0.25">
      <c r="A37" s="43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4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6"/>
      <c r="BJ37" s="45"/>
      <c r="BK37" s="47"/>
    </row>
    <row r="38" spans="1:63" ht="15" customHeight="1" x14ac:dyDescent="0.25">
      <c r="A38" s="43"/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4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6"/>
      <c r="BJ38" s="45"/>
      <c r="BK38" s="47"/>
    </row>
    <row r="39" spans="1:63" ht="15" customHeight="1" x14ac:dyDescent="0.25">
      <c r="A39" s="43"/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4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6"/>
      <c r="BJ39" s="45"/>
      <c r="BK39" s="47"/>
    </row>
    <row r="40" spans="1:63" ht="15" customHeight="1" x14ac:dyDescent="0.25">
      <c r="A40" s="43"/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4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6"/>
      <c r="BJ40" s="45"/>
      <c r="BK40" s="47"/>
    </row>
    <row r="41" spans="1:63" ht="15" customHeight="1" x14ac:dyDescent="0.25">
      <c r="A41" s="43"/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4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6"/>
      <c r="BJ41" s="45"/>
      <c r="BK41" s="47"/>
    </row>
    <row r="42" spans="1:63" ht="15" customHeight="1" x14ac:dyDescent="0.25">
      <c r="A42" s="43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7"/>
    </row>
    <row r="43" spans="1:63" ht="15" customHeight="1" x14ac:dyDescent="0.25">
      <c r="A43" s="43"/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6"/>
      <c r="AF43" s="44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6"/>
      <c r="BJ43" s="45"/>
      <c r="BK43" s="47"/>
    </row>
    <row r="44" spans="1:63" ht="15" customHeight="1" x14ac:dyDescent="0.25">
      <c r="A44" s="43"/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6"/>
      <c r="AF44" s="44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6"/>
      <c r="BJ44" s="45"/>
      <c r="BK44" s="47"/>
    </row>
    <row r="45" spans="1:63" ht="15" customHeight="1" x14ac:dyDescent="0.25">
      <c r="A45" s="43"/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6"/>
      <c r="AF45" s="44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6"/>
      <c r="BJ45" s="45"/>
      <c r="BK45" s="47"/>
    </row>
    <row r="46" spans="1:63" ht="15" customHeight="1" x14ac:dyDescent="0.25">
      <c r="A46" s="43"/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6"/>
      <c r="AF46" s="44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6"/>
      <c r="BJ46" s="45"/>
      <c r="BK46" s="47"/>
    </row>
    <row r="47" spans="1:63" ht="15" customHeight="1" x14ac:dyDescent="0.25">
      <c r="A47" s="43"/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6"/>
      <c r="AF47" s="44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6"/>
      <c r="BJ47" s="45"/>
      <c r="BK47" s="47"/>
    </row>
    <row r="48" spans="1:63" ht="15" customHeight="1" x14ac:dyDescent="0.25">
      <c r="A48" s="43"/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6"/>
      <c r="AF48" s="44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6"/>
      <c r="BJ48" s="45"/>
      <c r="BK48" s="47"/>
    </row>
    <row r="49" spans="1:63" ht="15" customHeight="1" x14ac:dyDescent="0.25">
      <c r="A49" s="43"/>
      <c r="B49" s="44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4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6"/>
      <c r="BJ49" s="45"/>
      <c r="BK49" s="47"/>
    </row>
    <row r="50" spans="1:63" ht="15" customHeight="1" x14ac:dyDescent="0.25">
      <c r="A50" s="43"/>
      <c r="B50" s="44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4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6"/>
      <c r="BJ50" s="45"/>
      <c r="BK50" s="47"/>
    </row>
    <row r="51" spans="1:63" ht="15" customHeight="1" x14ac:dyDescent="0.25">
      <c r="A51" s="43"/>
      <c r="B51" s="44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4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6"/>
      <c r="BJ51" s="45"/>
      <c r="BK51" s="47"/>
    </row>
    <row r="52" spans="1:63" ht="15" customHeight="1" x14ac:dyDescent="0.25">
      <c r="A52" s="43"/>
      <c r="B52" s="44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4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6"/>
      <c r="BJ52" s="45"/>
      <c r="BK52" s="47"/>
    </row>
    <row r="53" spans="1:63" ht="15" customHeight="1" x14ac:dyDescent="0.25">
      <c r="A53" s="43"/>
      <c r="B53" s="44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4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6"/>
      <c r="BJ53" s="45"/>
      <c r="BK53" s="47"/>
    </row>
    <row r="54" spans="1:63" ht="15" customHeight="1" x14ac:dyDescent="0.25">
      <c r="A54" s="43"/>
      <c r="B54" s="44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4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6"/>
      <c r="BJ54" s="45"/>
      <c r="BK54" s="47"/>
    </row>
    <row r="55" spans="1:63" ht="15" customHeight="1" x14ac:dyDescent="0.25">
      <c r="A55" s="43"/>
      <c r="B55" s="44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4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6"/>
      <c r="BJ55" s="45"/>
      <c r="BK55" s="47"/>
    </row>
    <row r="56" spans="1:63" ht="15" customHeight="1" x14ac:dyDescent="0.25">
      <c r="A56" s="43"/>
      <c r="B56" s="44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4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6"/>
      <c r="BJ56" s="45"/>
      <c r="BK56" s="47"/>
    </row>
    <row r="57" spans="1:63" ht="15" customHeight="1" x14ac:dyDescent="0.25">
      <c r="A57" s="43"/>
      <c r="B57" s="44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4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6"/>
      <c r="BJ57" s="45"/>
      <c r="BK57" s="47"/>
    </row>
    <row r="58" spans="1:63" ht="15" customHeight="1" x14ac:dyDescent="0.25">
      <c r="A58" s="43"/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4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6"/>
      <c r="BJ58" s="45"/>
      <c r="BK58" s="47"/>
    </row>
    <row r="59" spans="1:63" ht="15" customHeight="1" x14ac:dyDescent="0.25">
      <c r="A59" s="43"/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4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6"/>
      <c r="BJ59" s="45"/>
      <c r="BK59" s="47"/>
    </row>
    <row r="60" spans="1:63" ht="15" customHeight="1" x14ac:dyDescent="0.25">
      <c r="A60" s="43"/>
      <c r="B60" s="44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4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6"/>
      <c r="BJ60" s="45"/>
      <c r="BK60" s="47"/>
    </row>
    <row r="61" spans="1:63" ht="15" customHeight="1" x14ac:dyDescent="0.25">
      <c r="A61" s="43"/>
      <c r="B61" s="44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4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6"/>
      <c r="BJ61" s="45"/>
      <c r="BK61" s="47"/>
    </row>
    <row r="62" spans="1:63" ht="15" customHeight="1" x14ac:dyDescent="0.25">
      <c r="A62" s="48"/>
      <c r="B62" s="49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50"/>
      <c r="AF62" s="49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50"/>
      <c r="BJ62" s="48"/>
      <c r="BK62" s="51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8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4" customWidth="1"/>
    <col min="66" max="16384" width="2.77734375" style="24"/>
  </cols>
  <sheetData>
    <row r="1" spans="1:65" ht="24.95" customHeight="1" x14ac:dyDescent="0.25">
      <c r="A1" s="89" t="s">
        <v>52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53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10" t="str">
        <f>IF(表紙!W1="","",表紙!W1)</f>
        <v>基本設計書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89" t="s">
        <v>55</v>
      </c>
      <c r="AQ1" s="90"/>
      <c r="AR1" s="90"/>
      <c r="AS1" s="91"/>
      <c r="AT1" s="89" t="s">
        <v>56</v>
      </c>
      <c r="AU1" s="90"/>
      <c r="AV1" s="90"/>
      <c r="AW1" s="90"/>
      <c r="AX1" s="91"/>
      <c r="AY1" s="89" t="s">
        <v>57</v>
      </c>
      <c r="AZ1" s="90"/>
      <c r="BA1" s="90"/>
      <c r="BB1" s="91"/>
      <c r="BC1" s="89" t="s">
        <v>58</v>
      </c>
      <c r="BD1" s="90"/>
      <c r="BE1" s="90"/>
      <c r="BF1" s="90"/>
      <c r="BG1" s="91"/>
      <c r="BH1" s="89" t="s">
        <v>59</v>
      </c>
      <c r="BI1" s="90"/>
      <c r="BJ1" s="90"/>
      <c r="BK1" s="91"/>
    </row>
    <row r="2" spans="1:65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POSサーバー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74" t="str">
        <f>IF(表紙!AP2="","",表紙!AP2)</f>
        <v>LoiLV</v>
      </c>
      <c r="AQ2" s="75"/>
      <c r="AR2" s="75"/>
      <c r="AS2" s="76"/>
      <c r="AT2" s="103">
        <f>IF(表紙!AT2="","",表紙!AT2)</f>
        <v>45421</v>
      </c>
      <c r="AU2" s="104"/>
      <c r="AV2" s="104"/>
      <c r="AW2" s="104"/>
      <c r="AX2" s="105"/>
      <c r="AY2" s="74" t="str">
        <f>IF(表紙!AY2="","",表紙!AY2)</f>
        <v>LoiLV</v>
      </c>
      <c r="AZ2" s="75"/>
      <c r="BA2" s="75"/>
      <c r="BB2" s="76"/>
      <c r="BC2" s="103">
        <f>IF(表紙!BC2="","",表紙!BC2)</f>
        <v>45517</v>
      </c>
      <c r="BD2" s="104"/>
      <c r="BE2" s="104"/>
      <c r="BF2" s="104"/>
      <c r="BG2" s="105"/>
      <c r="BH2" s="74" t="str">
        <f>IF(表紙!BH2="","",表紙!BH2)</f>
        <v>0.3.7</v>
      </c>
      <c r="BI2" s="75"/>
      <c r="BJ2" s="75"/>
      <c r="BK2" s="76"/>
    </row>
    <row r="3" spans="1:65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80"/>
      <c r="AQ3" s="81"/>
      <c r="AR3" s="81"/>
      <c r="AS3" s="82"/>
      <c r="AT3" s="106"/>
      <c r="AU3" s="107"/>
      <c r="AV3" s="107"/>
      <c r="AW3" s="107"/>
      <c r="AX3" s="108"/>
      <c r="AY3" s="80"/>
      <c r="AZ3" s="81"/>
      <c r="BA3" s="81"/>
      <c r="BB3" s="82"/>
      <c r="BC3" s="106"/>
      <c r="BD3" s="107"/>
      <c r="BE3" s="107"/>
      <c r="BF3" s="107"/>
      <c r="BG3" s="108"/>
      <c r="BH3" s="80"/>
      <c r="BI3" s="81"/>
      <c r="BJ3" s="81"/>
      <c r="BK3" s="82"/>
    </row>
    <row r="4" spans="1:65" ht="24.95" customHeight="1" x14ac:dyDescent="0.25">
      <c r="A4" s="89" t="s">
        <v>61</v>
      </c>
      <c r="B4" s="90"/>
      <c r="C4" s="90"/>
      <c r="D4" s="90"/>
      <c r="E4" s="90"/>
      <c r="F4" s="90"/>
      <c r="G4" s="91"/>
      <c r="H4" s="94" t="str">
        <f>IF(表紙!H4="","",表紙!H4)</f>
        <v>25_取扱設定マスタ設定(KSM)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62</v>
      </c>
      <c r="V4" s="90"/>
      <c r="W4" s="90"/>
      <c r="X4" s="90"/>
      <c r="Y4" s="91"/>
      <c r="Z4" s="94" t="str">
        <f>IF(表紙!Z4="","",表紙!Z4)</f>
        <v>概要設計書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機能概要説明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5" ht="5.0999999999999996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7"/>
    </row>
    <row r="6" spans="1:65" ht="15" customHeight="1" x14ac:dyDescent="0.25">
      <c r="A6" s="28"/>
      <c r="BK6" s="29"/>
    </row>
    <row r="7" spans="1:65" ht="15" customHeight="1" x14ac:dyDescent="0.25">
      <c r="A7" s="28"/>
      <c r="B7" s="24" t="s">
        <v>109</v>
      </c>
      <c r="K7" s="52"/>
      <c r="BK7" s="29"/>
      <c r="BM7" s="4">
        <f t="shared" ref="BM7:BM9" si="0">IF(BM6=50,1,BM6+1)</f>
        <v>1</v>
      </c>
    </row>
    <row r="8" spans="1:65" ht="15" customHeight="1" x14ac:dyDescent="0.25">
      <c r="A8" s="28"/>
      <c r="C8" s="53" t="s">
        <v>110</v>
      </c>
      <c r="K8" s="52"/>
      <c r="BK8" s="29"/>
      <c r="BM8" s="4">
        <f t="shared" si="0"/>
        <v>2</v>
      </c>
    </row>
    <row r="9" spans="1:65" ht="15" customHeight="1" x14ac:dyDescent="0.25">
      <c r="A9" s="28"/>
      <c r="C9" s="53" t="s">
        <v>74</v>
      </c>
      <c r="K9" s="52"/>
      <c r="R9" s="21"/>
      <c r="S9" s="21"/>
      <c r="T9" s="21"/>
      <c r="U9" s="21"/>
      <c r="V9" s="21"/>
      <c r="W9" s="21"/>
      <c r="X9" s="21"/>
      <c r="BK9" s="29"/>
      <c r="BM9" s="4">
        <f t="shared" si="0"/>
        <v>3</v>
      </c>
    </row>
    <row r="10" spans="1:65" ht="15" customHeight="1" x14ac:dyDescent="0.25">
      <c r="A10" s="28"/>
      <c r="C10" s="53" t="s">
        <v>75</v>
      </c>
      <c r="K10" s="52"/>
      <c r="R10" s="21"/>
      <c r="S10" s="21"/>
      <c r="T10" s="21"/>
      <c r="U10" s="21"/>
      <c r="V10" s="21"/>
      <c r="W10" s="21"/>
      <c r="X10" s="21"/>
      <c r="BK10" s="29"/>
      <c r="BM10" s="4"/>
    </row>
    <row r="11" spans="1:65" ht="15" customHeight="1" x14ac:dyDescent="0.25">
      <c r="A11" s="28"/>
      <c r="C11" s="53" t="s">
        <v>111</v>
      </c>
      <c r="K11" s="52"/>
      <c r="BK11" s="29"/>
      <c r="BM11" s="4">
        <f>IF(BM9=50,1,BM9+1)</f>
        <v>4</v>
      </c>
    </row>
    <row r="12" spans="1:65" s="52" customFormat="1" ht="15" customHeight="1" x14ac:dyDescent="0.25">
      <c r="A12" s="54"/>
      <c r="C12" s="55" t="s">
        <v>112</v>
      </c>
      <c r="BK12" s="56"/>
      <c r="BM12" s="4">
        <f>IF(BM11=50,1,BM11+1)</f>
        <v>5</v>
      </c>
    </row>
    <row r="13" spans="1:65" s="52" customFormat="1" ht="15" customHeight="1" x14ac:dyDescent="0.25">
      <c r="A13" s="54"/>
      <c r="BK13" s="56"/>
      <c r="BM13" s="4">
        <f t="shared" ref="BM13:BM45" si="1">IF(BM12=50,1,BM12+1)</f>
        <v>6</v>
      </c>
    </row>
    <row r="14" spans="1:65" s="52" customFormat="1" ht="15" customHeight="1" x14ac:dyDescent="0.25">
      <c r="A14" s="54"/>
      <c r="BK14" s="56"/>
      <c r="BM14" s="4">
        <f t="shared" si="1"/>
        <v>7</v>
      </c>
    </row>
    <row r="15" spans="1:65" s="52" customFormat="1" ht="15" customHeight="1" x14ac:dyDescent="0.25">
      <c r="A15" s="54"/>
      <c r="BK15" s="56"/>
      <c r="BM15" s="4">
        <f t="shared" si="1"/>
        <v>8</v>
      </c>
    </row>
    <row r="16" spans="1:65" s="52" customFormat="1" ht="15" customHeight="1" x14ac:dyDescent="0.25">
      <c r="A16" s="54"/>
      <c r="BK16" s="56"/>
      <c r="BM16" s="4">
        <f t="shared" si="1"/>
        <v>9</v>
      </c>
    </row>
    <row r="17" spans="1:65" s="52" customFormat="1" ht="15" customHeight="1" x14ac:dyDescent="0.25">
      <c r="A17" s="54"/>
      <c r="BK17" s="56"/>
      <c r="BM17" s="4">
        <f t="shared" si="1"/>
        <v>10</v>
      </c>
    </row>
    <row r="18" spans="1:65" s="52" customFormat="1" ht="15" customHeight="1" x14ac:dyDescent="0.25">
      <c r="A18" s="54"/>
      <c r="BK18" s="56"/>
      <c r="BM18" s="4">
        <f t="shared" si="1"/>
        <v>11</v>
      </c>
    </row>
    <row r="19" spans="1:65" s="52" customFormat="1" ht="15" customHeight="1" x14ac:dyDescent="0.25">
      <c r="A19" s="54"/>
      <c r="BK19" s="56"/>
      <c r="BM19" s="4">
        <f t="shared" si="1"/>
        <v>12</v>
      </c>
    </row>
    <row r="20" spans="1:65" s="52" customFormat="1" ht="15" customHeight="1" x14ac:dyDescent="0.25">
      <c r="A20" s="54"/>
      <c r="BK20" s="56"/>
      <c r="BM20" s="4">
        <f t="shared" si="1"/>
        <v>13</v>
      </c>
    </row>
    <row r="21" spans="1:65" s="52" customFormat="1" ht="15" customHeight="1" x14ac:dyDescent="0.25">
      <c r="A21" s="54"/>
      <c r="AG21" s="57"/>
      <c r="BK21" s="56"/>
      <c r="BM21" s="4">
        <f t="shared" si="1"/>
        <v>14</v>
      </c>
    </row>
    <row r="22" spans="1:65" s="52" customFormat="1" ht="15" customHeight="1" x14ac:dyDescent="0.25">
      <c r="A22" s="54"/>
      <c r="BK22" s="56"/>
      <c r="BM22" s="4">
        <f t="shared" si="1"/>
        <v>15</v>
      </c>
    </row>
    <row r="23" spans="1:65" s="52" customFormat="1" ht="15" customHeight="1" x14ac:dyDescent="0.25">
      <c r="A23" s="54"/>
      <c r="BK23" s="56"/>
      <c r="BM23" s="4">
        <f t="shared" si="1"/>
        <v>16</v>
      </c>
    </row>
    <row r="24" spans="1:65" s="52" customFormat="1" ht="15" customHeight="1" x14ac:dyDescent="0.25">
      <c r="A24" s="54"/>
      <c r="BK24" s="56"/>
      <c r="BM24" s="4">
        <f t="shared" si="1"/>
        <v>17</v>
      </c>
    </row>
    <row r="25" spans="1:65" s="52" customFormat="1" ht="15" customHeight="1" x14ac:dyDescent="0.25">
      <c r="A25" s="54"/>
      <c r="BK25" s="56"/>
      <c r="BM25" s="4">
        <f t="shared" si="1"/>
        <v>18</v>
      </c>
    </row>
    <row r="26" spans="1:65" s="52" customFormat="1" ht="15" customHeight="1" x14ac:dyDescent="0.25">
      <c r="A26" s="54"/>
      <c r="BK26" s="56"/>
      <c r="BM26" s="4">
        <f t="shared" si="1"/>
        <v>19</v>
      </c>
    </row>
    <row r="27" spans="1:65" s="52" customFormat="1" ht="15" customHeight="1" x14ac:dyDescent="0.25">
      <c r="A27" s="54"/>
      <c r="BK27" s="56"/>
      <c r="BM27" s="4">
        <f t="shared" si="1"/>
        <v>20</v>
      </c>
    </row>
    <row r="28" spans="1:65" s="52" customFormat="1" ht="15" customHeight="1" x14ac:dyDescent="0.25">
      <c r="A28" s="54"/>
      <c r="BK28" s="56"/>
      <c r="BM28" s="4">
        <f t="shared" si="1"/>
        <v>21</v>
      </c>
    </row>
    <row r="29" spans="1:65" s="52" customFormat="1" ht="15" customHeight="1" x14ac:dyDescent="0.25">
      <c r="A29" s="54"/>
      <c r="BK29" s="56"/>
      <c r="BM29" s="4">
        <f t="shared" si="1"/>
        <v>22</v>
      </c>
    </row>
    <row r="30" spans="1:65" s="52" customFormat="1" ht="15" customHeight="1" x14ac:dyDescent="0.25">
      <c r="A30" s="54"/>
      <c r="BK30" s="56"/>
      <c r="BM30" s="4">
        <f t="shared" si="1"/>
        <v>23</v>
      </c>
    </row>
    <row r="31" spans="1:65" s="52" customFormat="1" ht="15" customHeight="1" x14ac:dyDescent="0.25">
      <c r="A31" s="54"/>
      <c r="BK31" s="56"/>
      <c r="BM31" s="4">
        <f t="shared" si="1"/>
        <v>24</v>
      </c>
    </row>
    <row r="32" spans="1:65" s="52" customFormat="1" ht="15" customHeight="1" x14ac:dyDescent="0.25">
      <c r="A32" s="54"/>
      <c r="BK32" s="56"/>
      <c r="BM32" s="4">
        <f t="shared" si="1"/>
        <v>25</v>
      </c>
    </row>
    <row r="33" spans="1:65" s="52" customFormat="1" ht="15" customHeight="1" x14ac:dyDescent="0.25">
      <c r="A33" s="54"/>
      <c r="BK33" s="56"/>
      <c r="BM33" s="4">
        <f t="shared" si="1"/>
        <v>26</v>
      </c>
    </row>
    <row r="34" spans="1:65" s="52" customFormat="1" ht="15" customHeight="1" x14ac:dyDescent="0.25">
      <c r="A34" s="54"/>
      <c r="BK34" s="56"/>
      <c r="BM34" s="4">
        <f t="shared" si="1"/>
        <v>27</v>
      </c>
    </row>
    <row r="35" spans="1:65" s="52" customFormat="1" ht="15" customHeight="1" x14ac:dyDescent="0.25">
      <c r="A35" s="54"/>
      <c r="BK35" s="56"/>
      <c r="BM35" s="4">
        <f t="shared" si="1"/>
        <v>28</v>
      </c>
    </row>
    <row r="36" spans="1:65" s="52" customFormat="1" ht="15" customHeight="1" x14ac:dyDescent="0.25">
      <c r="A36" s="54"/>
      <c r="BK36" s="56"/>
      <c r="BM36" s="4">
        <f t="shared" si="1"/>
        <v>29</v>
      </c>
    </row>
    <row r="37" spans="1:65" s="52" customFormat="1" ht="15" customHeight="1" x14ac:dyDescent="0.25">
      <c r="A37" s="54"/>
      <c r="BK37" s="56"/>
      <c r="BM37" s="4">
        <f t="shared" si="1"/>
        <v>30</v>
      </c>
    </row>
    <row r="38" spans="1:65" s="52" customFormat="1" ht="15" customHeight="1" x14ac:dyDescent="0.25">
      <c r="A38" s="54"/>
      <c r="BK38" s="56"/>
      <c r="BM38" s="4">
        <f t="shared" si="1"/>
        <v>31</v>
      </c>
    </row>
    <row r="39" spans="1:65" s="52" customFormat="1" ht="15" customHeight="1" x14ac:dyDescent="0.25">
      <c r="A39" s="54"/>
      <c r="BK39" s="56"/>
      <c r="BM39" s="4">
        <f t="shared" si="1"/>
        <v>32</v>
      </c>
    </row>
    <row r="40" spans="1:65" s="52" customFormat="1" ht="15" customHeight="1" x14ac:dyDescent="0.25">
      <c r="A40" s="54"/>
      <c r="BK40" s="56"/>
      <c r="BM40" s="4">
        <f t="shared" si="1"/>
        <v>33</v>
      </c>
    </row>
    <row r="41" spans="1:65" s="52" customFormat="1" ht="15" customHeight="1" x14ac:dyDescent="0.25">
      <c r="A41" s="54"/>
      <c r="BK41" s="56"/>
      <c r="BM41" s="4">
        <f t="shared" si="1"/>
        <v>34</v>
      </c>
    </row>
    <row r="42" spans="1:65" s="52" customFormat="1" ht="15" customHeight="1" x14ac:dyDescent="0.25">
      <c r="A42" s="54"/>
      <c r="BK42" s="56"/>
      <c r="BM42" s="4">
        <f t="shared" si="1"/>
        <v>35</v>
      </c>
    </row>
    <row r="43" spans="1:65" s="52" customFormat="1" ht="15" customHeight="1" x14ac:dyDescent="0.25">
      <c r="A43" s="54"/>
      <c r="BK43" s="56"/>
      <c r="BM43" s="4">
        <f t="shared" si="1"/>
        <v>36</v>
      </c>
    </row>
    <row r="44" spans="1:65" s="52" customFormat="1" ht="15" customHeight="1" x14ac:dyDescent="0.25">
      <c r="A44" s="54"/>
      <c r="BK44" s="56"/>
      <c r="BM44" s="4">
        <f t="shared" si="1"/>
        <v>37</v>
      </c>
    </row>
    <row r="45" spans="1:65" s="52" customFormat="1" ht="15" customHeight="1" x14ac:dyDescent="0.25">
      <c r="A45" s="54"/>
      <c r="BK45" s="56"/>
      <c r="BM45" s="4">
        <f t="shared" si="1"/>
        <v>38</v>
      </c>
    </row>
    <row r="46" spans="1:65" s="52" customFormat="1" ht="15" customHeight="1" x14ac:dyDescent="0.25">
      <c r="A46" s="54"/>
      <c r="BK46" s="56"/>
      <c r="BM46" s="4">
        <f t="shared" ref="BM46:BM58" si="2">IF(BM45=50,1,BM45+1)</f>
        <v>39</v>
      </c>
    </row>
    <row r="47" spans="1:65" s="52" customFormat="1" ht="15" customHeight="1" x14ac:dyDescent="0.25">
      <c r="A47" s="54"/>
      <c r="BK47" s="56"/>
      <c r="BM47" s="4">
        <f t="shared" si="2"/>
        <v>40</v>
      </c>
    </row>
    <row r="48" spans="1:65" s="52" customFormat="1" ht="15" customHeight="1" x14ac:dyDescent="0.25">
      <c r="A48" s="54"/>
      <c r="BK48" s="56"/>
      <c r="BM48" s="4">
        <f t="shared" si="2"/>
        <v>41</v>
      </c>
    </row>
    <row r="49" spans="1:65" s="52" customFormat="1" ht="15" customHeight="1" x14ac:dyDescent="0.25">
      <c r="A49" s="54"/>
      <c r="BK49" s="56"/>
      <c r="BM49" s="4">
        <f t="shared" si="2"/>
        <v>42</v>
      </c>
    </row>
    <row r="50" spans="1:65" s="52" customFormat="1" ht="15" customHeight="1" x14ac:dyDescent="0.25">
      <c r="A50" s="54"/>
      <c r="BK50" s="56"/>
      <c r="BM50" s="4">
        <f t="shared" si="2"/>
        <v>43</v>
      </c>
    </row>
    <row r="51" spans="1:65" s="52" customFormat="1" ht="15" customHeight="1" x14ac:dyDescent="0.25">
      <c r="A51" s="54"/>
      <c r="BK51" s="56"/>
      <c r="BM51" s="4">
        <f t="shared" si="2"/>
        <v>44</v>
      </c>
    </row>
    <row r="52" spans="1:65" s="52" customFormat="1" ht="15" customHeight="1" x14ac:dyDescent="0.25">
      <c r="A52" s="54"/>
      <c r="BK52" s="56"/>
      <c r="BM52" s="4">
        <f t="shared" si="2"/>
        <v>45</v>
      </c>
    </row>
    <row r="53" spans="1:65" s="52" customFormat="1" ht="15" customHeight="1" x14ac:dyDescent="0.25">
      <c r="A53" s="54"/>
      <c r="BK53" s="56"/>
      <c r="BM53" s="4">
        <f t="shared" si="2"/>
        <v>46</v>
      </c>
    </row>
    <row r="54" spans="1:65" s="52" customFormat="1" ht="15" customHeight="1" x14ac:dyDescent="0.25">
      <c r="A54" s="54"/>
      <c r="BK54" s="56"/>
      <c r="BM54" s="4">
        <f t="shared" si="2"/>
        <v>47</v>
      </c>
    </row>
    <row r="55" spans="1:65" s="52" customFormat="1" ht="15" customHeight="1" x14ac:dyDescent="0.25">
      <c r="A55" s="54"/>
      <c r="BK55" s="56"/>
      <c r="BM55" s="4">
        <f t="shared" si="2"/>
        <v>48</v>
      </c>
    </row>
    <row r="56" spans="1:65" s="52" customFormat="1" ht="15" customHeight="1" x14ac:dyDescent="0.25">
      <c r="A56" s="54"/>
      <c r="BK56" s="56"/>
      <c r="BM56" s="4">
        <f t="shared" si="2"/>
        <v>49</v>
      </c>
    </row>
    <row r="57" spans="1:65" s="52" customFormat="1" ht="15" customHeight="1" x14ac:dyDescent="0.25">
      <c r="A57" s="54"/>
      <c r="BK57" s="56"/>
      <c r="BM57" s="4">
        <f t="shared" si="2"/>
        <v>50</v>
      </c>
    </row>
    <row r="58" spans="1:65" s="52" customFormat="1" ht="15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60"/>
      <c r="BM58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DE109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24" customWidth="1"/>
    <col min="65" max="65" width="3" style="24" bestFit="1" customWidth="1"/>
    <col min="66" max="102" width="2.77734375" style="24" customWidth="1"/>
    <col min="103" max="16384" width="2.77734375" style="24"/>
  </cols>
  <sheetData>
    <row r="1" spans="1:65" ht="24.95" customHeight="1" x14ac:dyDescent="0.25">
      <c r="A1" s="89" t="s">
        <v>52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53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10" t="str">
        <f>IF(表紙!W1="","",表紙!W1)</f>
        <v>基本設計書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89" t="s">
        <v>55</v>
      </c>
      <c r="AQ1" s="90"/>
      <c r="AR1" s="90"/>
      <c r="AS1" s="91"/>
      <c r="AT1" s="89" t="s">
        <v>56</v>
      </c>
      <c r="AU1" s="90"/>
      <c r="AV1" s="90"/>
      <c r="AW1" s="90"/>
      <c r="AX1" s="91"/>
      <c r="AY1" s="89" t="s">
        <v>57</v>
      </c>
      <c r="AZ1" s="90"/>
      <c r="BA1" s="90"/>
      <c r="BB1" s="91"/>
      <c r="BC1" s="89" t="s">
        <v>58</v>
      </c>
      <c r="BD1" s="90"/>
      <c r="BE1" s="90"/>
      <c r="BF1" s="90"/>
      <c r="BG1" s="91"/>
      <c r="BH1" s="89" t="s">
        <v>59</v>
      </c>
      <c r="BI1" s="90"/>
      <c r="BJ1" s="90"/>
      <c r="BK1" s="91"/>
    </row>
    <row r="2" spans="1:65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POSサーバー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74" t="str">
        <f>IF(表紙!AP2="","",表紙!AP2)</f>
        <v>LoiLV</v>
      </c>
      <c r="AQ2" s="75"/>
      <c r="AR2" s="75"/>
      <c r="AS2" s="76"/>
      <c r="AT2" s="103">
        <f>IF(表紙!AT2="","",表紙!AT2)</f>
        <v>45421</v>
      </c>
      <c r="AU2" s="104"/>
      <c r="AV2" s="104"/>
      <c r="AW2" s="104"/>
      <c r="AX2" s="105"/>
      <c r="AY2" s="74" t="str">
        <f>IF(表紙!AY2="","",表紙!AY2)</f>
        <v>LoiLV</v>
      </c>
      <c r="AZ2" s="75"/>
      <c r="BA2" s="75"/>
      <c r="BB2" s="76"/>
      <c r="BC2" s="103">
        <f>IF(表紙!BC2="","",表紙!BC2)</f>
        <v>45517</v>
      </c>
      <c r="BD2" s="104"/>
      <c r="BE2" s="104"/>
      <c r="BF2" s="104"/>
      <c r="BG2" s="105"/>
      <c r="BH2" s="74" t="str">
        <f>IF(表紙!BH2="","",表紙!BH2)</f>
        <v>0.3.7</v>
      </c>
      <c r="BI2" s="75"/>
      <c r="BJ2" s="75"/>
      <c r="BK2" s="76"/>
    </row>
    <row r="3" spans="1:65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80"/>
      <c r="AQ3" s="81"/>
      <c r="AR3" s="81"/>
      <c r="AS3" s="82"/>
      <c r="AT3" s="106"/>
      <c r="AU3" s="107"/>
      <c r="AV3" s="107"/>
      <c r="AW3" s="107"/>
      <c r="AX3" s="108"/>
      <c r="AY3" s="80"/>
      <c r="AZ3" s="81"/>
      <c r="BA3" s="81"/>
      <c r="BB3" s="82"/>
      <c r="BC3" s="106"/>
      <c r="BD3" s="107"/>
      <c r="BE3" s="107"/>
      <c r="BF3" s="107"/>
      <c r="BG3" s="108"/>
      <c r="BH3" s="80"/>
      <c r="BI3" s="81"/>
      <c r="BJ3" s="81"/>
      <c r="BK3" s="82"/>
    </row>
    <row r="4" spans="1:65" ht="24.95" customHeight="1" x14ac:dyDescent="0.25">
      <c r="A4" s="89" t="s">
        <v>61</v>
      </c>
      <c r="B4" s="90"/>
      <c r="C4" s="90"/>
      <c r="D4" s="90"/>
      <c r="E4" s="90"/>
      <c r="F4" s="90"/>
      <c r="G4" s="91"/>
      <c r="H4" s="94" t="str">
        <f>IF(表紙!H4="","",表紙!H4)</f>
        <v>25_取扱設定マスタ設定(KSM)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62</v>
      </c>
      <c r="V4" s="90"/>
      <c r="W4" s="90"/>
      <c r="X4" s="90"/>
      <c r="Y4" s="91"/>
      <c r="Z4" s="94" t="str">
        <f>IF(表紙!Z4="","",表紙!Z4)</f>
        <v>概要設計書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機能概要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5" ht="5.0999999999999996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7"/>
    </row>
    <row r="6" spans="1:65" ht="15" customHeight="1" x14ac:dyDescent="0.25">
      <c r="A6" s="28"/>
      <c r="BK6" s="29"/>
    </row>
    <row r="7" spans="1:65" ht="15" customHeight="1" x14ac:dyDescent="0.25">
      <c r="A7" s="28"/>
      <c r="B7" s="61" t="s">
        <v>76</v>
      </c>
      <c r="C7" s="62"/>
      <c r="D7" s="63"/>
      <c r="E7" s="63"/>
      <c r="F7" s="63"/>
      <c r="G7" s="63"/>
      <c r="H7" s="63"/>
      <c r="I7" s="63"/>
      <c r="J7" s="63"/>
      <c r="K7" s="64"/>
      <c r="L7" s="63"/>
      <c r="M7" s="63"/>
      <c r="N7" s="63"/>
      <c r="O7" s="63"/>
      <c r="P7" s="63"/>
      <c r="Q7" s="63"/>
      <c r="R7" s="63"/>
      <c r="S7" s="63"/>
      <c r="T7" s="64"/>
      <c r="U7" s="62"/>
      <c r="V7" s="63"/>
      <c r="W7" s="63"/>
      <c r="X7" s="63"/>
      <c r="Y7" s="63"/>
      <c r="Z7" s="63"/>
      <c r="AA7" s="63"/>
      <c r="AB7" s="63"/>
      <c r="AC7" s="64"/>
      <c r="AD7" s="62"/>
      <c r="AE7" s="63"/>
      <c r="AF7" s="63"/>
      <c r="AG7" s="63"/>
      <c r="AH7" s="63"/>
      <c r="AI7" s="63"/>
      <c r="AJ7" s="63"/>
      <c r="AK7" s="63"/>
      <c r="AL7" s="64"/>
      <c r="AM7" s="62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29"/>
    </row>
    <row r="8" spans="1:65" ht="15" customHeight="1" x14ac:dyDescent="0.25">
      <c r="A8" s="28"/>
      <c r="B8" s="65"/>
      <c r="K8" s="66"/>
      <c r="U8" s="65"/>
      <c r="AD8" s="65"/>
      <c r="AM8" s="65"/>
      <c r="BI8" s="67"/>
      <c r="BK8" s="29"/>
      <c r="BM8" s="4">
        <f t="shared" ref="BM8:BM21" si="0">IF(BM7=50,1,BM7+1)</f>
        <v>1</v>
      </c>
    </row>
    <row r="9" spans="1:65" ht="15" customHeight="1" x14ac:dyDescent="0.25">
      <c r="A9" s="28"/>
      <c r="B9" s="65"/>
      <c r="K9" s="66"/>
      <c r="U9" s="65"/>
      <c r="AD9" s="65"/>
      <c r="AM9" s="65"/>
      <c r="BI9" s="67"/>
      <c r="BK9" s="29"/>
      <c r="BM9" s="4">
        <f t="shared" si="0"/>
        <v>2</v>
      </c>
    </row>
    <row r="10" spans="1:65" ht="15" customHeight="1" x14ac:dyDescent="0.25">
      <c r="A10" s="28"/>
      <c r="B10" s="65"/>
      <c r="K10" s="66"/>
      <c r="U10" s="65"/>
      <c r="AD10" s="65"/>
      <c r="AM10" s="65"/>
      <c r="BI10" s="67"/>
      <c r="BK10" s="29"/>
      <c r="BM10" s="4">
        <f t="shared" si="0"/>
        <v>3</v>
      </c>
    </row>
    <row r="11" spans="1:65" ht="15" customHeight="1" x14ac:dyDescent="0.25">
      <c r="A11" s="28"/>
      <c r="B11" s="65"/>
      <c r="K11" s="66"/>
      <c r="U11" s="65"/>
      <c r="AD11" s="65"/>
      <c r="AM11" s="65"/>
      <c r="BI11" s="67"/>
      <c r="BK11" s="29"/>
      <c r="BM11" s="4">
        <f t="shared" si="0"/>
        <v>4</v>
      </c>
    </row>
    <row r="12" spans="1:65" ht="15" customHeight="1" x14ac:dyDescent="0.25">
      <c r="A12" s="28"/>
      <c r="B12" s="65"/>
      <c r="K12" s="66"/>
      <c r="U12" s="65"/>
      <c r="AD12" s="65"/>
      <c r="AM12" s="65"/>
      <c r="BI12" s="67"/>
      <c r="BK12" s="29"/>
      <c r="BM12" s="4">
        <f t="shared" si="0"/>
        <v>5</v>
      </c>
    </row>
    <row r="13" spans="1:65" ht="15" customHeight="1" x14ac:dyDescent="0.25">
      <c r="A13" s="28"/>
      <c r="B13" s="65"/>
      <c r="K13" s="66"/>
      <c r="U13" s="65"/>
      <c r="AD13" s="65"/>
      <c r="AM13" s="65"/>
      <c r="BI13" s="67"/>
      <c r="BK13" s="29"/>
      <c r="BM13" s="4">
        <f t="shared" si="0"/>
        <v>6</v>
      </c>
    </row>
    <row r="14" spans="1:65" ht="15" customHeight="1" x14ac:dyDescent="0.25">
      <c r="A14" s="28"/>
      <c r="B14" s="65"/>
      <c r="K14" s="66"/>
      <c r="U14" s="65"/>
      <c r="AD14" s="65"/>
      <c r="AM14" s="65"/>
      <c r="BI14" s="67"/>
      <c r="BK14" s="29"/>
      <c r="BM14" s="4">
        <f t="shared" si="0"/>
        <v>7</v>
      </c>
    </row>
    <row r="15" spans="1:65" ht="15" customHeight="1" x14ac:dyDescent="0.25">
      <c r="A15" s="28"/>
      <c r="B15" s="65"/>
      <c r="K15" s="66"/>
      <c r="U15" s="65"/>
      <c r="AD15" s="65"/>
      <c r="AM15" s="65"/>
      <c r="BI15" s="67"/>
      <c r="BK15" s="29"/>
      <c r="BM15" s="4">
        <f t="shared" si="0"/>
        <v>8</v>
      </c>
    </row>
    <row r="16" spans="1:65" ht="15" customHeight="1" x14ac:dyDescent="0.25">
      <c r="A16" s="28"/>
      <c r="B16" s="65"/>
      <c r="K16" s="66"/>
      <c r="U16" s="65"/>
      <c r="AD16" s="65"/>
      <c r="AM16" s="65"/>
      <c r="BI16" s="67"/>
      <c r="BK16" s="29"/>
      <c r="BM16" s="4">
        <f t="shared" si="0"/>
        <v>9</v>
      </c>
    </row>
    <row r="17" spans="1:109" ht="15" customHeight="1" x14ac:dyDescent="0.25">
      <c r="A17" s="28"/>
      <c r="B17" s="65"/>
      <c r="K17" s="66"/>
      <c r="U17" s="65"/>
      <c r="AD17" s="65"/>
      <c r="AM17" s="65"/>
      <c r="BI17" s="67"/>
      <c r="BK17" s="29"/>
      <c r="BM17" s="4">
        <f t="shared" si="0"/>
        <v>10</v>
      </c>
    </row>
    <row r="18" spans="1:109" ht="15" customHeight="1" x14ac:dyDescent="0.25">
      <c r="A18" s="28"/>
      <c r="B18" s="65"/>
      <c r="K18" s="66"/>
      <c r="U18" s="65"/>
      <c r="AD18" s="65"/>
      <c r="AM18" s="65"/>
      <c r="BI18" s="67"/>
      <c r="BK18" s="29"/>
      <c r="BM18" s="4">
        <f t="shared" si="0"/>
        <v>11</v>
      </c>
    </row>
    <row r="19" spans="1:109" ht="15" customHeight="1" x14ac:dyDescent="0.25">
      <c r="A19" s="28"/>
      <c r="B19" s="65"/>
      <c r="K19" s="66"/>
      <c r="U19" s="65"/>
      <c r="AD19" s="65"/>
      <c r="AM19" s="65"/>
      <c r="BI19" s="67"/>
      <c r="BK19" s="29"/>
      <c r="BM19" s="4">
        <f t="shared" si="0"/>
        <v>12</v>
      </c>
    </row>
    <row r="20" spans="1:109" ht="15" customHeight="1" x14ac:dyDescent="0.25">
      <c r="A20" s="28"/>
      <c r="B20" s="65"/>
      <c r="K20" s="66"/>
      <c r="U20" s="65"/>
      <c r="AD20" s="65"/>
      <c r="AM20" s="65"/>
      <c r="BI20" s="67"/>
      <c r="BK20" s="29"/>
      <c r="BM20" s="4">
        <f t="shared" si="0"/>
        <v>13</v>
      </c>
    </row>
    <row r="21" spans="1:109" ht="15" customHeight="1" x14ac:dyDescent="0.25">
      <c r="A21" s="28"/>
      <c r="B21" s="65"/>
      <c r="K21" s="66"/>
      <c r="U21" s="65"/>
      <c r="AD21" s="65"/>
      <c r="AM21" s="65"/>
      <c r="BI21" s="67"/>
      <c r="BK21" s="29"/>
      <c r="BM21" s="4">
        <f t="shared" si="0"/>
        <v>14</v>
      </c>
      <c r="BO21" s="24" t="s">
        <v>31</v>
      </c>
    </row>
    <row r="22" spans="1:109" s="52" customFormat="1" ht="15" customHeight="1" x14ac:dyDescent="0.25">
      <c r="A22" s="54"/>
      <c r="B22" s="65"/>
      <c r="K22" s="66"/>
      <c r="L22" s="68"/>
      <c r="T22" s="66"/>
      <c r="U22" s="68"/>
      <c r="AC22" s="66"/>
      <c r="AD22" s="68"/>
      <c r="AL22" s="66"/>
      <c r="AM22" s="68"/>
      <c r="BI22" s="66"/>
      <c r="BK22" s="56"/>
      <c r="BM22" s="4">
        <f t="shared" ref="BM22:BM57" si="1">IF(BM21=50,1,BM21+1)</f>
        <v>15</v>
      </c>
    </row>
    <row r="23" spans="1:109" s="52" customFormat="1" ht="15" customHeight="1" x14ac:dyDescent="0.25">
      <c r="A23" s="54"/>
      <c r="B23" s="65"/>
      <c r="K23" s="66"/>
      <c r="L23" s="68"/>
      <c r="T23" s="66"/>
      <c r="U23" s="68"/>
      <c r="AC23" s="66"/>
      <c r="AD23" s="68"/>
      <c r="AL23" s="66"/>
      <c r="AM23" s="68"/>
      <c r="BI23" s="66"/>
      <c r="BK23" s="56"/>
      <c r="BM23" s="4">
        <f t="shared" si="1"/>
        <v>16</v>
      </c>
    </row>
    <row r="24" spans="1:109" s="52" customFormat="1" ht="15" customHeight="1" x14ac:dyDescent="0.25">
      <c r="A24" s="54"/>
      <c r="B24" s="65"/>
      <c r="K24" s="66"/>
      <c r="L24" s="68"/>
      <c r="T24" s="66"/>
      <c r="U24" s="68"/>
      <c r="AC24" s="66"/>
      <c r="AD24" s="68"/>
      <c r="AL24" s="66"/>
      <c r="AM24" s="68"/>
      <c r="BI24" s="66"/>
      <c r="BK24" s="56"/>
      <c r="BM24" s="4">
        <f t="shared" si="1"/>
        <v>17</v>
      </c>
    </row>
    <row r="25" spans="1:109" s="52" customFormat="1" ht="15" customHeight="1" x14ac:dyDescent="0.25">
      <c r="A25" s="54"/>
      <c r="B25" s="65"/>
      <c r="K25" s="66"/>
      <c r="L25" s="68"/>
      <c r="T25" s="66"/>
      <c r="U25" s="68"/>
      <c r="AC25" s="66"/>
      <c r="AD25" s="68"/>
      <c r="AL25" s="66"/>
      <c r="AM25" s="68"/>
      <c r="BI25" s="66"/>
      <c r="BK25" s="56"/>
      <c r="BM25" s="4">
        <f t="shared" si="1"/>
        <v>18</v>
      </c>
    </row>
    <row r="26" spans="1:109" s="52" customFormat="1" ht="15" customHeight="1" x14ac:dyDescent="0.25">
      <c r="A26" s="54"/>
      <c r="B26" s="65"/>
      <c r="K26" s="66"/>
      <c r="L26" s="68"/>
      <c r="T26" s="66"/>
      <c r="U26" s="68"/>
      <c r="AC26" s="66"/>
      <c r="AD26" s="68"/>
      <c r="AL26" s="66"/>
      <c r="AM26" s="68"/>
      <c r="BI26" s="66"/>
      <c r="BK26" s="56"/>
      <c r="BM26" s="4">
        <f t="shared" si="1"/>
        <v>19</v>
      </c>
      <c r="BO26" s="24"/>
    </row>
    <row r="27" spans="1:109" s="52" customFormat="1" ht="15" customHeight="1" x14ac:dyDescent="0.25">
      <c r="A27" s="54"/>
      <c r="B27" s="65"/>
      <c r="K27" s="66"/>
      <c r="L27" s="68"/>
      <c r="T27" s="66"/>
      <c r="U27" s="68"/>
      <c r="AC27" s="66"/>
      <c r="AD27" s="68"/>
      <c r="AL27" s="66"/>
      <c r="AM27" s="68"/>
      <c r="BI27" s="66"/>
      <c r="BK27" s="56"/>
      <c r="BM27" s="4">
        <f t="shared" si="1"/>
        <v>20</v>
      </c>
    </row>
    <row r="28" spans="1:109" s="52" customFormat="1" ht="15" customHeight="1" x14ac:dyDescent="0.25">
      <c r="A28" s="54"/>
      <c r="B28" s="65"/>
      <c r="K28" s="66"/>
      <c r="L28" s="68"/>
      <c r="T28" s="66"/>
      <c r="U28" s="68"/>
      <c r="AC28" s="66"/>
      <c r="AD28" s="68"/>
      <c r="AL28" s="66"/>
      <c r="AM28" s="68"/>
      <c r="BI28" s="66"/>
      <c r="BK28" s="56"/>
      <c r="BM28" s="4">
        <f t="shared" si="1"/>
        <v>21</v>
      </c>
    </row>
    <row r="29" spans="1:109" s="52" customFormat="1" ht="15" customHeight="1" x14ac:dyDescent="0.25">
      <c r="A29" s="54"/>
      <c r="B29" s="65"/>
      <c r="K29" s="66"/>
      <c r="L29" s="68"/>
      <c r="T29" s="66"/>
      <c r="U29" s="68"/>
      <c r="AC29" s="66"/>
      <c r="AD29" s="68"/>
      <c r="AL29" s="66"/>
      <c r="AM29" s="68"/>
      <c r="BI29" s="66"/>
      <c r="BK29" s="56"/>
      <c r="BM29" s="4">
        <f t="shared" si="1"/>
        <v>22</v>
      </c>
      <c r="DE29" s="24"/>
    </row>
    <row r="30" spans="1:109" s="52" customFormat="1" ht="15" customHeight="1" x14ac:dyDescent="0.25">
      <c r="A30" s="54"/>
      <c r="B30" s="65"/>
      <c r="K30" s="66"/>
      <c r="L30" s="68"/>
      <c r="T30" s="66"/>
      <c r="U30" s="68"/>
      <c r="AC30" s="66"/>
      <c r="AD30" s="68"/>
      <c r="AL30" s="66"/>
      <c r="AM30" s="68"/>
      <c r="BI30" s="66"/>
      <c r="BK30" s="56"/>
      <c r="BM30" s="4">
        <f t="shared" si="1"/>
        <v>23</v>
      </c>
    </row>
    <row r="31" spans="1:109" s="52" customFormat="1" ht="15" customHeight="1" x14ac:dyDescent="0.25">
      <c r="A31" s="54"/>
      <c r="B31" s="65"/>
      <c r="K31" s="66"/>
      <c r="L31" s="68"/>
      <c r="T31" s="66"/>
      <c r="U31" s="68"/>
      <c r="AC31" s="66"/>
      <c r="AD31" s="68"/>
      <c r="AL31" s="66"/>
      <c r="AM31" s="68"/>
      <c r="BI31" s="66"/>
      <c r="BK31" s="56"/>
      <c r="BM31" s="4">
        <f t="shared" si="1"/>
        <v>24</v>
      </c>
    </row>
    <row r="32" spans="1:109" s="52" customFormat="1" ht="15" customHeight="1" x14ac:dyDescent="0.25">
      <c r="A32" s="54"/>
      <c r="B32" s="65"/>
      <c r="K32" s="66"/>
      <c r="L32" s="68"/>
      <c r="T32" s="66"/>
      <c r="U32" s="68"/>
      <c r="AC32" s="66"/>
      <c r="AD32" s="68"/>
      <c r="AL32" s="66"/>
      <c r="AM32" s="68"/>
      <c r="BI32" s="66"/>
      <c r="BK32" s="56"/>
      <c r="BM32" s="4">
        <f t="shared" si="1"/>
        <v>25</v>
      </c>
    </row>
    <row r="33" spans="1:109" s="52" customFormat="1" ht="15" customHeight="1" x14ac:dyDescent="0.25">
      <c r="A33" s="54"/>
      <c r="B33" s="65"/>
      <c r="K33" s="66"/>
      <c r="L33" s="68"/>
      <c r="T33" s="66"/>
      <c r="U33" s="68"/>
      <c r="AC33" s="66"/>
      <c r="AD33" s="68"/>
      <c r="AL33" s="66"/>
      <c r="AM33" s="68"/>
      <c r="BI33" s="66"/>
      <c r="BK33" s="56"/>
      <c r="BM33" s="4">
        <f t="shared" si="1"/>
        <v>26</v>
      </c>
    </row>
    <row r="34" spans="1:109" s="52" customFormat="1" ht="15" customHeight="1" x14ac:dyDescent="0.25">
      <c r="A34" s="54"/>
      <c r="B34" s="65"/>
      <c r="K34" s="66"/>
      <c r="L34" s="68"/>
      <c r="T34" s="66"/>
      <c r="U34" s="68"/>
      <c r="AC34" s="66"/>
      <c r="AD34" s="68"/>
      <c r="AL34" s="66"/>
      <c r="AM34" s="68"/>
      <c r="BI34" s="66"/>
      <c r="BK34" s="56"/>
      <c r="BM34" s="4">
        <f t="shared" si="1"/>
        <v>27</v>
      </c>
    </row>
    <row r="35" spans="1:109" s="52" customFormat="1" ht="15" customHeight="1" x14ac:dyDescent="0.25">
      <c r="A35" s="54"/>
      <c r="B35" s="65"/>
      <c r="K35" s="66"/>
      <c r="L35" s="68"/>
      <c r="T35" s="66"/>
      <c r="U35" s="68"/>
      <c r="AC35" s="66"/>
      <c r="AD35" s="68"/>
      <c r="AL35" s="66"/>
      <c r="AM35" s="68"/>
      <c r="BI35" s="66"/>
      <c r="BK35" s="56"/>
      <c r="BM35" s="4">
        <f t="shared" si="1"/>
        <v>28</v>
      </c>
    </row>
    <row r="36" spans="1:109" s="52" customFormat="1" ht="15" customHeight="1" x14ac:dyDescent="0.25">
      <c r="A36" s="54"/>
      <c r="B36" s="65"/>
      <c r="K36" s="66"/>
      <c r="L36" s="68"/>
      <c r="T36" s="66"/>
      <c r="U36" s="68"/>
      <c r="AC36" s="66"/>
      <c r="AD36" s="68"/>
      <c r="AL36" s="66"/>
      <c r="AM36" s="68"/>
      <c r="BI36" s="66"/>
      <c r="BK36" s="56"/>
      <c r="BM36" s="4">
        <f t="shared" si="1"/>
        <v>29</v>
      </c>
    </row>
    <row r="37" spans="1:109" s="52" customFormat="1" ht="15" customHeight="1" x14ac:dyDescent="0.25">
      <c r="A37" s="54"/>
      <c r="B37" s="65"/>
      <c r="K37" s="66"/>
      <c r="L37" s="68"/>
      <c r="T37" s="66"/>
      <c r="U37" s="68"/>
      <c r="AC37" s="66"/>
      <c r="AD37" s="68"/>
      <c r="AL37" s="66"/>
      <c r="AM37" s="68"/>
      <c r="BI37" s="66"/>
      <c r="BK37" s="56"/>
      <c r="BM37" s="4">
        <f t="shared" si="1"/>
        <v>30</v>
      </c>
    </row>
    <row r="38" spans="1:109" s="52" customFormat="1" ht="15" customHeight="1" x14ac:dyDescent="0.25">
      <c r="A38" s="54"/>
      <c r="B38" s="65"/>
      <c r="K38" s="66"/>
      <c r="L38" s="68"/>
      <c r="T38" s="66"/>
      <c r="U38" s="68"/>
      <c r="AC38" s="66"/>
      <c r="AD38" s="68"/>
      <c r="AL38" s="66"/>
      <c r="AM38" s="68"/>
      <c r="BI38" s="66"/>
      <c r="BK38" s="56"/>
      <c r="BM38" s="4">
        <f t="shared" si="1"/>
        <v>31</v>
      </c>
    </row>
    <row r="39" spans="1:109" s="52" customFormat="1" ht="15" customHeight="1" x14ac:dyDescent="0.25">
      <c r="A39" s="54"/>
      <c r="B39" s="65"/>
      <c r="K39" s="66"/>
      <c r="L39" s="68"/>
      <c r="T39" s="66"/>
      <c r="U39" s="68"/>
      <c r="AC39" s="66"/>
      <c r="AD39" s="68"/>
      <c r="AL39" s="66"/>
      <c r="AM39" s="68"/>
      <c r="BI39" s="66"/>
      <c r="BK39" s="56"/>
      <c r="BM39" s="4">
        <f t="shared" si="1"/>
        <v>32</v>
      </c>
    </row>
    <row r="40" spans="1:109" s="52" customFormat="1" ht="15" customHeight="1" x14ac:dyDescent="0.25">
      <c r="A40" s="54"/>
      <c r="B40" s="65"/>
      <c r="K40" s="66"/>
      <c r="L40" s="68"/>
      <c r="T40" s="66"/>
      <c r="U40" s="68"/>
      <c r="AC40" s="66"/>
      <c r="AD40" s="68"/>
      <c r="AL40" s="66"/>
      <c r="AM40" s="68"/>
      <c r="BI40" s="66"/>
      <c r="BK40" s="56"/>
      <c r="BM40" s="4">
        <f t="shared" si="1"/>
        <v>33</v>
      </c>
    </row>
    <row r="41" spans="1:109" s="52" customFormat="1" ht="15" customHeight="1" x14ac:dyDescent="0.25">
      <c r="A41" s="54"/>
      <c r="B41" s="65"/>
      <c r="K41" s="66"/>
      <c r="L41" s="68"/>
      <c r="T41" s="66"/>
      <c r="U41" s="68"/>
      <c r="AC41" s="66"/>
      <c r="AD41" s="68"/>
      <c r="AL41" s="66"/>
      <c r="AM41" s="68"/>
      <c r="BI41" s="66"/>
      <c r="BK41" s="56"/>
      <c r="BM41" s="4">
        <f t="shared" si="1"/>
        <v>34</v>
      </c>
    </row>
    <row r="42" spans="1:109" s="52" customFormat="1" ht="15" customHeight="1" x14ac:dyDescent="0.25">
      <c r="A42" s="54"/>
      <c r="B42" s="65"/>
      <c r="K42" s="66"/>
      <c r="L42" s="68"/>
      <c r="T42" s="66"/>
      <c r="U42" s="68"/>
      <c r="AC42" s="66"/>
      <c r="AD42" s="68"/>
      <c r="AL42" s="66"/>
      <c r="AM42" s="68"/>
      <c r="BI42" s="66"/>
      <c r="BK42" s="56"/>
      <c r="BM42" s="4">
        <f t="shared" si="1"/>
        <v>35</v>
      </c>
    </row>
    <row r="43" spans="1:109" s="52" customFormat="1" ht="15" customHeight="1" x14ac:dyDescent="0.25">
      <c r="A43" s="54"/>
      <c r="B43" s="68"/>
      <c r="K43" s="66"/>
      <c r="L43" s="68"/>
      <c r="T43" s="66"/>
      <c r="U43" s="68"/>
      <c r="AC43" s="66"/>
      <c r="AD43" s="68"/>
      <c r="AL43" s="66"/>
      <c r="AM43" s="68"/>
      <c r="BI43" s="66"/>
      <c r="BK43" s="56"/>
      <c r="BM43" s="4">
        <f t="shared" si="1"/>
        <v>36</v>
      </c>
    </row>
    <row r="44" spans="1:109" s="52" customFormat="1" ht="15" customHeight="1" x14ac:dyDescent="0.25">
      <c r="A44" s="54"/>
      <c r="B44" s="68"/>
      <c r="K44" s="66"/>
      <c r="L44" s="68"/>
      <c r="T44" s="66"/>
      <c r="U44" s="68"/>
      <c r="AC44" s="66"/>
      <c r="AD44" s="68"/>
      <c r="AL44" s="66"/>
      <c r="AM44" s="68"/>
      <c r="BI44" s="66"/>
      <c r="BK44" s="56"/>
      <c r="BM44" s="4">
        <f t="shared" si="1"/>
        <v>37</v>
      </c>
      <c r="BO44" s="387" t="s">
        <v>77</v>
      </c>
      <c r="BP44" s="388"/>
      <c r="BQ44" s="388"/>
      <c r="BR44" s="388"/>
      <c r="BS44" s="388"/>
      <c r="BT44" s="388"/>
      <c r="BU44" s="388"/>
      <c r="BV44" s="388"/>
      <c r="BW44" s="388"/>
      <c r="BX44" s="388"/>
      <c r="BY44" s="388"/>
      <c r="BZ44" s="388"/>
      <c r="CA44" s="388"/>
      <c r="CB44" s="23"/>
      <c r="CC44" s="23"/>
      <c r="CD44" s="23"/>
      <c r="CE44" s="23"/>
      <c r="CF44" s="23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</row>
    <row r="45" spans="1:109" s="52" customFormat="1" ht="15" customHeight="1" x14ac:dyDescent="0.25">
      <c r="A45" s="54"/>
      <c r="B45" s="68"/>
      <c r="K45" s="66"/>
      <c r="L45" s="68"/>
      <c r="T45" s="66"/>
      <c r="U45" s="68"/>
      <c r="AC45" s="66"/>
      <c r="AL45" s="66"/>
      <c r="AM45" s="68"/>
      <c r="BI45" s="66"/>
      <c r="BK45" s="56"/>
      <c r="BM45" s="4">
        <f t="shared" si="1"/>
        <v>38</v>
      </c>
      <c r="BO45" s="388" t="s">
        <v>78</v>
      </c>
      <c r="BP45" s="388"/>
      <c r="BQ45" s="388"/>
      <c r="BR45" s="388"/>
      <c r="BS45" s="388"/>
      <c r="BT45" s="388"/>
      <c r="BU45" s="388"/>
      <c r="BV45" s="388"/>
      <c r="BW45" s="388"/>
      <c r="BX45" s="388"/>
      <c r="BY45" s="388"/>
      <c r="BZ45" s="388"/>
      <c r="CA45" s="388"/>
      <c r="CB45" s="23"/>
      <c r="CC45" s="23"/>
      <c r="CD45" s="23"/>
      <c r="CE45" s="23"/>
      <c r="CF45" s="23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2" t="s">
        <v>34</v>
      </c>
      <c r="CY45" s="22"/>
      <c r="CZ45" s="22"/>
      <c r="DA45" s="22"/>
      <c r="DB45" s="22"/>
      <c r="DC45" s="20"/>
      <c r="DD45" s="20"/>
      <c r="DE45" s="20"/>
    </row>
    <row r="46" spans="1:109" s="52" customFormat="1" ht="15" customHeight="1" x14ac:dyDescent="0.25">
      <c r="A46" s="54"/>
      <c r="B46" s="68"/>
      <c r="K46" s="66"/>
      <c r="L46" s="68"/>
      <c r="T46" s="66"/>
      <c r="U46" s="68"/>
      <c r="AC46" s="66"/>
      <c r="AD46" s="68"/>
      <c r="AL46" s="66"/>
      <c r="AM46" s="68"/>
      <c r="BI46" s="66"/>
      <c r="BK46" s="56"/>
      <c r="BM46" s="4">
        <f t="shared" si="1"/>
        <v>39</v>
      </c>
      <c r="BO46" s="24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</row>
    <row r="47" spans="1:109" s="52" customFormat="1" ht="15" customHeight="1" x14ac:dyDescent="0.25">
      <c r="A47" s="54"/>
      <c r="B47" s="68"/>
      <c r="K47" s="66"/>
      <c r="L47" s="68"/>
      <c r="T47" s="66"/>
      <c r="U47" s="68"/>
      <c r="AC47" s="66"/>
      <c r="AD47" s="68"/>
      <c r="AL47" s="66"/>
      <c r="AM47" s="68"/>
      <c r="BI47" s="66"/>
      <c r="BK47" s="56"/>
      <c r="BM47" s="4">
        <f t="shared" si="1"/>
        <v>40</v>
      </c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</row>
    <row r="48" spans="1:109" s="52" customFormat="1" ht="15" customHeight="1" x14ac:dyDescent="0.25">
      <c r="A48" s="54"/>
      <c r="B48" s="68"/>
      <c r="K48" s="66"/>
      <c r="L48" s="68"/>
      <c r="T48" s="66"/>
      <c r="U48" s="68"/>
      <c r="AC48" s="66"/>
      <c r="AD48" s="68"/>
      <c r="AL48" s="66"/>
      <c r="AM48" s="68"/>
      <c r="BI48" s="66"/>
      <c r="BK48" s="56"/>
      <c r="BM48" s="4">
        <f t="shared" si="1"/>
        <v>41</v>
      </c>
    </row>
    <row r="49" spans="1:65" s="52" customFormat="1" ht="15" customHeight="1" x14ac:dyDescent="0.25">
      <c r="A49" s="54"/>
      <c r="B49" s="68"/>
      <c r="K49" s="66"/>
      <c r="L49" s="68"/>
      <c r="T49" s="66"/>
      <c r="U49" s="68"/>
      <c r="AC49" s="66"/>
      <c r="AD49" s="68"/>
      <c r="AL49" s="66"/>
      <c r="AM49" s="68"/>
      <c r="BI49" s="66"/>
      <c r="BK49" s="56"/>
      <c r="BM49" s="4">
        <f t="shared" si="1"/>
        <v>42</v>
      </c>
    </row>
    <row r="50" spans="1:65" s="52" customFormat="1" ht="15" customHeight="1" x14ac:dyDescent="0.25">
      <c r="A50" s="54"/>
      <c r="B50" s="68"/>
      <c r="K50" s="66"/>
      <c r="L50" s="68"/>
      <c r="T50" s="66"/>
      <c r="U50" s="68"/>
      <c r="AC50" s="66"/>
      <c r="AD50" s="68"/>
      <c r="AL50" s="66"/>
      <c r="AM50" s="68"/>
      <c r="BI50" s="66"/>
      <c r="BK50" s="56"/>
      <c r="BM50" s="4">
        <f t="shared" si="1"/>
        <v>43</v>
      </c>
    </row>
    <row r="51" spans="1:65" s="52" customFormat="1" ht="15" customHeight="1" x14ac:dyDescent="0.25">
      <c r="A51" s="54"/>
      <c r="B51" s="68"/>
      <c r="K51" s="66"/>
      <c r="L51" s="68"/>
      <c r="T51" s="66"/>
      <c r="U51" s="68"/>
      <c r="AC51" s="66"/>
      <c r="AD51" s="68"/>
      <c r="AL51" s="66"/>
      <c r="AM51" s="68"/>
      <c r="BI51" s="66"/>
      <c r="BK51" s="56"/>
      <c r="BM51" s="4">
        <f t="shared" si="1"/>
        <v>44</v>
      </c>
    </row>
    <row r="52" spans="1:65" s="52" customFormat="1" ht="15" customHeight="1" x14ac:dyDescent="0.25">
      <c r="A52" s="54"/>
      <c r="B52" s="68"/>
      <c r="K52" s="66"/>
      <c r="L52" s="68"/>
      <c r="T52" s="66"/>
      <c r="U52" s="68"/>
      <c r="AC52" s="66"/>
      <c r="AD52" s="68"/>
      <c r="AL52" s="66"/>
      <c r="AM52" s="68"/>
      <c r="BI52" s="66"/>
      <c r="BK52" s="56"/>
      <c r="BM52" s="4">
        <f t="shared" si="1"/>
        <v>45</v>
      </c>
    </row>
    <row r="53" spans="1:65" s="52" customFormat="1" ht="15" customHeight="1" x14ac:dyDescent="0.25">
      <c r="A53" s="54"/>
      <c r="B53" s="68"/>
      <c r="K53" s="66"/>
      <c r="L53" s="68"/>
      <c r="T53" s="66"/>
      <c r="U53" s="68"/>
      <c r="AC53" s="66"/>
      <c r="AD53" s="68"/>
      <c r="AL53" s="66"/>
      <c r="AM53" s="68"/>
      <c r="BI53" s="66"/>
      <c r="BK53" s="56"/>
      <c r="BM53" s="4">
        <f t="shared" si="1"/>
        <v>46</v>
      </c>
    </row>
    <row r="54" spans="1:65" s="52" customFormat="1" ht="15" customHeight="1" x14ac:dyDescent="0.25">
      <c r="A54" s="54"/>
      <c r="B54" s="68"/>
      <c r="K54" s="66"/>
      <c r="L54" s="68"/>
      <c r="T54" s="66"/>
      <c r="U54" s="68"/>
      <c r="AC54" s="66"/>
      <c r="AD54" s="68"/>
      <c r="AL54" s="66"/>
      <c r="AM54" s="68"/>
      <c r="BI54" s="66"/>
      <c r="BK54" s="56"/>
      <c r="BM54" s="4">
        <f t="shared" si="1"/>
        <v>47</v>
      </c>
    </row>
    <row r="55" spans="1:65" s="52" customFormat="1" ht="15" customHeight="1" x14ac:dyDescent="0.25">
      <c r="A55" s="54"/>
      <c r="B55" s="68"/>
      <c r="K55" s="66"/>
      <c r="L55" s="68"/>
      <c r="T55" s="66"/>
      <c r="U55" s="68"/>
      <c r="AC55" s="66"/>
      <c r="AD55" s="68"/>
      <c r="AL55" s="66"/>
      <c r="AM55" s="68"/>
      <c r="BI55" s="66"/>
      <c r="BK55" s="56"/>
      <c r="BM55" s="4">
        <f t="shared" si="1"/>
        <v>48</v>
      </c>
    </row>
    <row r="56" spans="1:65" s="52" customFormat="1" ht="15" customHeight="1" x14ac:dyDescent="0.25">
      <c r="A56" s="54"/>
      <c r="B56" s="68"/>
      <c r="K56" s="66"/>
      <c r="L56" s="68"/>
      <c r="T56" s="66"/>
      <c r="U56" s="68"/>
      <c r="AC56" s="66"/>
      <c r="AD56" s="68"/>
      <c r="AL56" s="66"/>
      <c r="AM56" s="68"/>
      <c r="BI56" s="66"/>
      <c r="BK56" s="56"/>
      <c r="BM56" s="4">
        <f t="shared" si="1"/>
        <v>49</v>
      </c>
    </row>
    <row r="57" spans="1:65" s="52" customFormat="1" ht="15" customHeight="1" x14ac:dyDescent="0.25">
      <c r="A57" s="69"/>
      <c r="B57" s="68"/>
      <c r="J57" s="24"/>
      <c r="K57" s="67"/>
      <c r="L57" s="65"/>
      <c r="S57" s="24"/>
      <c r="T57" s="67"/>
      <c r="U57" s="65"/>
      <c r="AB57" s="24"/>
      <c r="AC57" s="67"/>
      <c r="AD57" s="65"/>
      <c r="AK57" s="24"/>
      <c r="AL57" s="67"/>
      <c r="AM57" s="65"/>
      <c r="BH57" s="24"/>
      <c r="BI57" s="67"/>
      <c r="BJ57" s="65"/>
      <c r="BK57" s="56"/>
      <c r="BM57" s="4">
        <f t="shared" si="1"/>
        <v>50</v>
      </c>
    </row>
    <row r="58" spans="1:65" ht="15" customHeight="1" x14ac:dyDescent="0.25">
      <c r="A58" s="67"/>
      <c r="B58" s="65"/>
      <c r="K58" s="67"/>
      <c r="L58" s="65"/>
      <c r="T58" s="67"/>
      <c r="U58" s="65"/>
      <c r="AC58" s="67"/>
      <c r="AD58" s="65"/>
      <c r="AL58" s="67"/>
      <c r="AM58" s="65"/>
      <c r="BI58" s="67"/>
      <c r="BJ58" s="65"/>
      <c r="BM58" s="24">
        <v>1</v>
      </c>
    </row>
    <row r="59" spans="1:65" ht="15" customHeight="1" x14ac:dyDescent="0.25">
      <c r="A59" s="67"/>
      <c r="B59" s="65"/>
      <c r="K59" s="67"/>
      <c r="L59" s="65"/>
      <c r="T59" s="67"/>
      <c r="U59" s="65"/>
      <c r="AC59" s="67"/>
      <c r="AD59" s="65"/>
      <c r="AL59" s="67"/>
      <c r="AM59" s="65"/>
      <c r="BI59" s="67"/>
      <c r="BJ59" s="65"/>
      <c r="BM59" s="24">
        <v>2</v>
      </c>
    </row>
    <row r="60" spans="1:65" ht="15" customHeight="1" x14ac:dyDescent="0.25">
      <c r="A60" s="67"/>
      <c r="B60" s="65"/>
      <c r="K60" s="67"/>
      <c r="L60" s="65"/>
      <c r="T60" s="67"/>
      <c r="U60" s="65"/>
      <c r="AC60" s="67"/>
      <c r="AD60" s="65"/>
      <c r="AL60" s="67"/>
      <c r="AM60" s="65"/>
      <c r="BI60" s="67"/>
      <c r="BJ60" s="65"/>
      <c r="BM60" s="24">
        <v>3</v>
      </c>
    </row>
    <row r="61" spans="1:65" ht="15" customHeight="1" x14ac:dyDescent="0.25">
      <c r="A61" s="67"/>
      <c r="B61" s="65"/>
      <c r="K61" s="67"/>
      <c r="L61" s="65"/>
      <c r="T61" s="67"/>
      <c r="U61" s="65"/>
      <c r="AC61" s="67"/>
      <c r="AD61" s="65"/>
      <c r="AL61" s="67"/>
      <c r="AM61" s="65"/>
      <c r="BI61" s="67"/>
      <c r="BJ61" s="65"/>
      <c r="BM61" s="24">
        <v>4</v>
      </c>
    </row>
    <row r="62" spans="1:65" ht="15" customHeight="1" x14ac:dyDescent="0.25">
      <c r="A62" s="67"/>
      <c r="B62" s="65"/>
      <c r="K62" s="67"/>
      <c r="L62" s="65"/>
      <c r="T62" s="67"/>
      <c r="U62" s="65"/>
      <c r="AC62" s="67"/>
      <c r="AD62" s="65"/>
      <c r="AL62" s="67"/>
      <c r="AM62" s="65"/>
      <c r="BI62" s="67"/>
      <c r="BJ62" s="65"/>
      <c r="BM62" s="24">
        <v>5</v>
      </c>
    </row>
    <row r="63" spans="1:65" ht="15" customHeight="1" x14ac:dyDescent="0.25">
      <c r="A63" s="67"/>
      <c r="B63" s="65"/>
      <c r="K63" s="67"/>
      <c r="L63" s="65"/>
      <c r="T63" s="67"/>
      <c r="U63" s="65"/>
      <c r="AC63" s="67"/>
      <c r="AD63" s="65"/>
      <c r="AL63" s="67"/>
      <c r="AM63" s="65"/>
      <c r="BI63" s="67"/>
      <c r="BJ63" s="65"/>
      <c r="BM63" s="24">
        <v>6</v>
      </c>
    </row>
    <row r="64" spans="1:65" ht="15" customHeight="1" x14ac:dyDescent="0.25">
      <c r="A64" s="67"/>
      <c r="B64" s="65"/>
      <c r="K64" s="67"/>
      <c r="L64" s="65"/>
      <c r="T64" s="67"/>
      <c r="U64" s="65"/>
      <c r="AC64" s="67"/>
      <c r="AD64" s="65"/>
      <c r="AL64" s="67"/>
      <c r="AM64" s="65"/>
      <c r="BI64" s="67"/>
      <c r="BJ64" s="65"/>
      <c r="BM64" s="24">
        <v>7</v>
      </c>
    </row>
    <row r="65" spans="1:67" ht="15" customHeight="1" x14ac:dyDescent="0.25">
      <c r="A65" s="67"/>
      <c r="B65" s="65"/>
      <c r="K65" s="67"/>
      <c r="L65" s="65"/>
      <c r="T65" s="67"/>
      <c r="U65" s="65"/>
      <c r="AC65" s="67"/>
      <c r="AD65" s="65"/>
      <c r="AL65" s="67"/>
      <c r="AM65" s="65"/>
      <c r="BI65" s="67"/>
      <c r="BJ65" s="65"/>
      <c r="BM65" s="24">
        <v>8</v>
      </c>
      <c r="BO65" s="70"/>
    </row>
    <row r="66" spans="1:67" ht="15" customHeight="1" x14ac:dyDescent="0.25">
      <c r="A66" s="67"/>
      <c r="B66" s="65"/>
      <c r="K66" s="67"/>
      <c r="L66" s="65"/>
      <c r="T66" s="67"/>
      <c r="U66" s="65"/>
      <c r="AC66" s="67"/>
      <c r="AD66" s="65"/>
      <c r="AL66" s="67"/>
      <c r="AM66" s="65"/>
      <c r="BI66" s="67"/>
      <c r="BJ66" s="65"/>
      <c r="BM66" s="24">
        <v>9</v>
      </c>
    </row>
    <row r="67" spans="1:67" ht="15" customHeight="1" x14ac:dyDescent="0.25">
      <c r="A67" s="67"/>
      <c r="B67" s="65"/>
      <c r="K67" s="67"/>
      <c r="L67" s="65"/>
      <c r="T67" s="67"/>
      <c r="U67" s="65"/>
      <c r="AC67" s="67"/>
      <c r="AD67" s="65"/>
      <c r="AL67" s="67"/>
      <c r="AM67" s="65"/>
      <c r="BI67" s="67"/>
      <c r="BJ67" s="65"/>
      <c r="BM67" s="24">
        <v>10</v>
      </c>
    </row>
    <row r="68" spans="1:67" ht="15" customHeight="1" x14ac:dyDescent="0.25">
      <c r="A68" s="67"/>
      <c r="B68" s="65"/>
      <c r="K68" s="67"/>
      <c r="L68" s="65"/>
      <c r="T68" s="67"/>
      <c r="U68" s="65"/>
      <c r="AC68" s="67"/>
      <c r="AD68" s="65"/>
      <c r="AL68" s="67"/>
      <c r="AM68" s="65"/>
      <c r="BI68" s="67"/>
      <c r="BJ68" s="65"/>
      <c r="BM68" s="24">
        <v>11</v>
      </c>
    </row>
    <row r="69" spans="1:67" ht="15" customHeight="1" x14ac:dyDescent="0.25">
      <c r="A69" s="67"/>
      <c r="B69" s="65"/>
      <c r="K69" s="67"/>
      <c r="L69" s="65"/>
      <c r="T69" s="67"/>
      <c r="U69" s="65"/>
      <c r="AC69" s="67"/>
      <c r="AD69" s="65"/>
      <c r="AL69" s="67"/>
      <c r="AM69" s="65"/>
      <c r="BI69" s="67"/>
      <c r="BJ69" s="65"/>
      <c r="BM69" s="24">
        <v>12</v>
      </c>
    </row>
    <row r="70" spans="1:67" ht="15" customHeight="1" x14ac:dyDescent="0.25">
      <c r="A70" s="67"/>
      <c r="B70" s="65"/>
      <c r="K70" s="67"/>
      <c r="L70" s="65"/>
      <c r="T70" s="67"/>
      <c r="U70" s="65"/>
      <c r="AC70" s="67"/>
      <c r="AD70" s="65"/>
      <c r="AL70" s="67"/>
      <c r="AM70" s="65"/>
      <c r="BI70" s="67"/>
      <c r="BJ70" s="65"/>
      <c r="BM70" s="24">
        <v>13</v>
      </c>
    </row>
    <row r="71" spans="1:67" ht="15" customHeight="1" x14ac:dyDescent="0.25">
      <c r="A71" s="67"/>
      <c r="B71" s="65"/>
      <c r="K71" s="67"/>
      <c r="L71" s="65"/>
      <c r="T71" s="67"/>
      <c r="U71" s="65"/>
      <c r="AC71" s="67"/>
      <c r="AD71" s="65"/>
      <c r="AL71" s="67"/>
      <c r="AM71" s="65"/>
      <c r="BI71" s="67"/>
      <c r="BJ71" s="65"/>
      <c r="BM71" s="24">
        <v>14</v>
      </c>
    </row>
    <row r="72" spans="1:67" ht="15" customHeight="1" x14ac:dyDescent="0.25">
      <c r="A72" s="67"/>
      <c r="B72" s="65"/>
      <c r="K72" s="67"/>
      <c r="L72" s="65"/>
      <c r="T72" s="67"/>
      <c r="U72" s="65"/>
      <c r="AC72" s="67"/>
      <c r="AD72" s="65"/>
      <c r="AL72" s="67"/>
      <c r="AM72" s="65"/>
      <c r="BI72" s="67"/>
      <c r="BJ72" s="65"/>
      <c r="BM72" s="24">
        <v>15</v>
      </c>
    </row>
    <row r="73" spans="1:67" ht="15" customHeight="1" x14ac:dyDescent="0.25">
      <c r="A73" s="67"/>
      <c r="B73" s="65"/>
      <c r="K73" s="67"/>
      <c r="L73" s="65"/>
      <c r="T73" s="67"/>
      <c r="U73" s="65"/>
      <c r="AC73" s="67"/>
      <c r="AD73" s="65"/>
      <c r="AL73" s="67"/>
      <c r="AM73" s="65"/>
      <c r="BI73" s="67"/>
      <c r="BJ73" s="65"/>
      <c r="BM73" s="24">
        <v>16</v>
      </c>
    </row>
    <row r="74" spans="1:67" ht="15" customHeight="1" x14ac:dyDescent="0.25">
      <c r="A74" s="67"/>
      <c r="B74" s="65"/>
      <c r="K74" s="67"/>
      <c r="L74" s="65"/>
      <c r="T74" s="67"/>
      <c r="U74" s="65"/>
      <c r="AC74" s="67"/>
      <c r="AD74" s="65"/>
      <c r="AL74" s="67"/>
      <c r="AM74" s="65"/>
      <c r="BI74" s="67"/>
      <c r="BJ74" s="65"/>
      <c r="BM74" s="24">
        <v>17</v>
      </c>
    </row>
    <row r="75" spans="1:67" ht="15" customHeight="1" x14ac:dyDescent="0.25">
      <c r="A75" s="67"/>
      <c r="B75" s="65"/>
      <c r="K75" s="67"/>
      <c r="L75" s="65"/>
      <c r="T75" s="67"/>
      <c r="U75" s="65"/>
      <c r="AC75" s="67"/>
      <c r="AD75" s="65"/>
      <c r="AL75" s="67"/>
      <c r="AM75" s="65"/>
      <c r="BI75" s="67"/>
      <c r="BJ75" s="65"/>
      <c r="BM75" s="24">
        <v>18</v>
      </c>
    </row>
    <row r="76" spans="1:67" ht="15" customHeight="1" x14ac:dyDescent="0.25">
      <c r="A76" s="67"/>
      <c r="B76" s="65"/>
      <c r="K76" s="67"/>
      <c r="L76" s="65"/>
      <c r="T76" s="67"/>
      <c r="U76" s="65"/>
      <c r="AC76" s="67"/>
      <c r="AD76" s="65"/>
      <c r="AL76" s="67"/>
      <c r="AM76" s="65"/>
      <c r="BI76" s="67"/>
      <c r="BJ76" s="65"/>
      <c r="BM76" s="24">
        <v>19</v>
      </c>
    </row>
    <row r="77" spans="1:67" ht="15" customHeight="1" x14ac:dyDescent="0.25">
      <c r="A77" s="67"/>
      <c r="B77" s="65"/>
      <c r="K77" s="67"/>
      <c r="L77" s="65"/>
      <c r="T77" s="67"/>
      <c r="U77" s="65"/>
      <c r="AC77" s="67"/>
      <c r="AD77" s="65"/>
      <c r="AL77" s="67"/>
      <c r="AM77" s="65"/>
      <c r="BI77" s="67"/>
      <c r="BJ77" s="65"/>
      <c r="BM77" s="24">
        <v>20</v>
      </c>
    </row>
    <row r="78" spans="1:67" ht="15" customHeight="1" x14ac:dyDescent="0.25">
      <c r="A78" s="67"/>
      <c r="B78" s="65"/>
      <c r="K78" s="67"/>
      <c r="L78" s="65"/>
      <c r="T78" s="67"/>
      <c r="U78" s="65"/>
      <c r="AC78" s="67"/>
      <c r="AD78" s="65"/>
      <c r="AL78" s="67"/>
      <c r="AM78" s="65"/>
      <c r="BI78" s="67"/>
      <c r="BJ78" s="65"/>
      <c r="BM78" s="24">
        <v>21</v>
      </c>
    </row>
    <row r="79" spans="1:67" ht="15" customHeight="1" x14ac:dyDescent="0.25">
      <c r="A79" s="67"/>
      <c r="B79" s="65"/>
      <c r="K79" s="67"/>
      <c r="L79" s="65"/>
      <c r="T79" s="67"/>
      <c r="U79" s="65"/>
      <c r="AC79" s="67"/>
      <c r="AD79" s="65"/>
      <c r="AL79" s="67"/>
      <c r="AM79" s="65"/>
      <c r="BI79" s="67"/>
      <c r="BJ79" s="65"/>
      <c r="BM79" s="24">
        <v>22</v>
      </c>
    </row>
    <row r="80" spans="1:67" ht="15" customHeight="1" x14ac:dyDescent="0.25">
      <c r="A80" s="67"/>
      <c r="B80" s="65"/>
      <c r="K80" s="67"/>
      <c r="L80" s="65"/>
      <c r="T80" s="67"/>
      <c r="U80" s="65"/>
      <c r="AC80" s="67"/>
      <c r="AD80" s="65"/>
      <c r="AL80" s="67"/>
      <c r="AM80" s="65"/>
      <c r="BI80" s="67"/>
      <c r="BJ80" s="65"/>
      <c r="BM80" s="24">
        <v>23</v>
      </c>
    </row>
    <row r="81" spans="1:65" ht="15" customHeight="1" x14ac:dyDescent="0.25">
      <c r="A81" s="67"/>
      <c r="B81" s="65"/>
      <c r="K81" s="67"/>
      <c r="L81" s="65"/>
      <c r="T81" s="67"/>
      <c r="U81" s="65"/>
      <c r="AC81" s="67"/>
      <c r="AD81" s="65"/>
      <c r="AL81" s="67"/>
      <c r="AM81" s="65"/>
      <c r="BI81" s="67"/>
      <c r="BJ81" s="65"/>
      <c r="BM81" s="24">
        <v>24</v>
      </c>
    </row>
    <row r="82" spans="1:65" ht="15" customHeight="1" x14ac:dyDescent="0.25">
      <c r="A82" s="67"/>
      <c r="B82" s="65"/>
      <c r="K82" s="67"/>
      <c r="L82" s="65"/>
      <c r="T82" s="67"/>
      <c r="U82" s="65"/>
      <c r="AC82" s="67"/>
      <c r="AD82" s="65"/>
      <c r="AL82" s="67"/>
      <c r="AM82" s="65"/>
      <c r="BI82" s="67"/>
      <c r="BJ82" s="65"/>
      <c r="BM82" s="24">
        <v>25</v>
      </c>
    </row>
    <row r="83" spans="1:65" ht="15" customHeight="1" x14ac:dyDescent="0.25">
      <c r="A83" s="67"/>
      <c r="B83" s="65"/>
      <c r="K83" s="67"/>
      <c r="L83" s="65"/>
      <c r="T83" s="67"/>
      <c r="U83" s="65"/>
      <c r="AC83" s="67"/>
      <c r="AD83" s="65"/>
      <c r="AL83" s="67"/>
      <c r="AM83" s="65"/>
      <c r="BI83" s="67"/>
      <c r="BJ83" s="65"/>
      <c r="BM83" s="24">
        <v>26</v>
      </c>
    </row>
    <row r="84" spans="1:65" ht="15" customHeight="1" x14ac:dyDescent="0.25">
      <c r="A84" s="67"/>
      <c r="B84" s="65"/>
      <c r="K84" s="67"/>
      <c r="L84" s="65"/>
      <c r="T84" s="67"/>
      <c r="U84" s="65"/>
      <c r="AC84" s="67"/>
      <c r="AD84" s="65"/>
      <c r="AL84" s="67"/>
      <c r="AM84" s="65"/>
      <c r="BI84" s="67"/>
      <c r="BJ84" s="65"/>
      <c r="BM84" s="24">
        <v>27</v>
      </c>
    </row>
    <row r="85" spans="1:65" ht="15" customHeight="1" x14ac:dyDescent="0.25">
      <c r="A85" s="67"/>
      <c r="B85" s="65"/>
      <c r="K85" s="67"/>
      <c r="L85" s="65"/>
      <c r="T85" s="67"/>
      <c r="U85" s="65"/>
      <c r="AC85" s="67"/>
      <c r="AD85" s="65"/>
      <c r="AL85" s="67"/>
      <c r="AM85" s="65"/>
      <c r="BI85" s="67"/>
      <c r="BJ85" s="65"/>
      <c r="BM85" s="24">
        <v>28</v>
      </c>
    </row>
    <row r="86" spans="1:65" ht="15" customHeight="1" x14ac:dyDescent="0.25">
      <c r="A86" s="67"/>
      <c r="B86" s="65"/>
      <c r="K86" s="67"/>
      <c r="L86" s="65"/>
      <c r="T86" s="67"/>
      <c r="U86" s="65"/>
      <c r="AC86" s="67"/>
      <c r="AD86" s="65"/>
      <c r="AL86" s="67"/>
      <c r="AM86" s="65"/>
      <c r="BI86" s="67"/>
      <c r="BJ86" s="65"/>
      <c r="BM86" s="24">
        <v>29</v>
      </c>
    </row>
    <row r="87" spans="1:65" ht="15" customHeight="1" x14ac:dyDescent="0.25">
      <c r="A87" s="67"/>
      <c r="B87" s="65"/>
      <c r="K87" s="67"/>
      <c r="L87" s="65"/>
      <c r="T87" s="67"/>
      <c r="U87" s="65"/>
      <c r="AC87" s="67"/>
      <c r="AD87" s="65"/>
      <c r="AL87" s="67"/>
      <c r="AM87" s="65"/>
      <c r="BI87" s="67"/>
      <c r="BJ87" s="65"/>
      <c r="BM87" s="24">
        <v>30</v>
      </c>
    </row>
    <row r="88" spans="1:65" ht="15" customHeight="1" x14ac:dyDescent="0.25">
      <c r="A88" s="67"/>
      <c r="B88" s="65"/>
      <c r="K88" s="67"/>
      <c r="L88" s="65"/>
      <c r="T88" s="67"/>
      <c r="U88" s="65"/>
      <c r="AC88" s="67"/>
      <c r="AD88" s="65"/>
      <c r="AL88" s="67"/>
      <c r="AM88" s="65"/>
      <c r="BI88" s="67"/>
      <c r="BJ88" s="65"/>
      <c r="BM88" s="24">
        <v>31</v>
      </c>
    </row>
    <row r="89" spans="1:65" ht="15" customHeight="1" x14ac:dyDescent="0.25">
      <c r="A89" s="67"/>
      <c r="B89" s="65"/>
      <c r="K89" s="67"/>
      <c r="L89" s="65"/>
      <c r="T89" s="67"/>
      <c r="U89" s="65"/>
      <c r="AC89" s="67"/>
      <c r="AD89" s="65"/>
      <c r="AL89" s="67"/>
      <c r="AM89" s="65"/>
      <c r="BI89" s="67"/>
      <c r="BJ89" s="65"/>
      <c r="BM89" s="24">
        <v>32</v>
      </c>
    </row>
    <row r="90" spans="1:65" ht="15" customHeight="1" x14ac:dyDescent="0.25">
      <c r="A90" s="67"/>
      <c r="B90" s="65"/>
      <c r="K90" s="67"/>
      <c r="L90" s="65"/>
      <c r="T90" s="67"/>
      <c r="U90" s="65"/>
      <c r="AC90" s="67"/>
      <c r="AD90" s="65"/>
      <c r="AL90" s="67"/>
      <c r="AM90" s="65"/>
      <c r="BI90" s="67"/>
      <c r="BJ90" s="65"/>
      <c r="BM90" s="24">
        <v>33</v>
      </c>
    </row>
    <row r="91" spans="1:65" ht="15" customHeight="1" x14ac:dyDescent="0.25">
      <c r="A91" s="67"/>
      <c r="B91" s="65"/>
      <c r="K91" s="67"/>
      <c r="L91" s="65"/>
      <c r="T91" s="67"/>
      <c r="U91" s="65"/>
      <c r="AC91" s="67"/>
      <c r="AD91" s="65"/>
      <c r="AL91" s="67"/>
      <c r="AM91" s="65"/>
      <c r="BI91" s="67"/>
      <c r="BJ91" s="65"/>
      <c r="BM91" s="24">
        <v>34</v>
      </c>
    </row>
    <row r="92" spans="1:65" ht="15" customHeight="1" x14ac:dyDescent="0.25">
      <c r="A92" s="67"/>
      <c r="B92" s="65"/>
      <c r="K92" s="67"/>
      <c r="L92" s="65"/>
      <c r="T92" s="67"/>
      <c r="U92" s="65"/>
      <c r="AC92" s="67"/>
      <c r="AD92" s="65"/>
      <c r="AL92" s="67"/>
      <c r="AM92" s="65"/>
      <c r="BI92" s="67"/>
      <c r="BJ92" s="65"/>
      <c r="BM92" s="24">
        <v>35</v>
      </c>
    </row>
    <row r="93" spans="1:65" ht="15" customHeight="1" x14ac:dyDescent="0.25">
      <c r="A93" s="67"/>
      <c r="B93" s="65"/>
      <c r="K93" s="67"/>
      <c r="L93" s="65"/>
      <c r="T93" s="67"/>
      <c r="U93" s="65"/>
      <c r="AC93" s="67"/>
      <c r="AD93" s="65"/>
      <c r="AL93" s="67"/>
      <c r="AM93" s="65"/>
      <c r="BI93" s="67"/>
      <c r="BJ93" s="65"/>
      <c r="BM93" s="24">
        <v>36</v>
      </c>
    </row>
    <row r="94" spans="1:65" ht="15" customHeight="1" x14ac:dyDescent="0.25">
      <c r="A94" s="67"/>
      <c r="B94" s="65"/>
      <c r="K94" s="67"/>
      <c r="L94" s="65"/>
      <c r="T94" s="67"/>
      <c r="U94" s="65"/>
      <c r="AC94" s="67"/>
      <c r="AD94" s="65"/>
      <c r="AL94" s="67"/>
      <c r="AM94" s="65"/>
      <c r="BI94" s="67"/>
      <c r="BJ94" s="65"/>
      <c r="BM94" s="24">
        <v>37</v>
      </c>
    </row>
    <row r="95" spans="1:65" ht="15" customHeight="1" x14ac:dyDescent="0.25">
      <c r="A95" s="67"/>
      <c r="B95" s="65"/>
      <c r="K95" s="67"/>
      <c r="L95" s="65"/>
      <c r="T95" s="67"/>
      <c r="U95" s="65"/>
      <c r="AC95" s="67"/>
      <c r="AD95" s="65"/>
      <c r="AL95" s="67"/>
      <c r="AM95" s="65"/>
      <c r="BI95" s="67"/>
      <c r="BJ95" s="65"/>
      <c r="BM95" s="24">
        <v>38</v>
      </c>
    </row>
    <row r="96" spans="1:65" ht="15" customHeight="1" x14ac:dyDescent="0.25">
      <c r="A96" s="67"/>
      <c r="B96" s="65"/>
      <c r="K96" s="67"/>
      <c r="L96" s="65"/>
      <c r="T96" s="67"/>
      <c r="U96" s="65"/>
      <c r="AC96" s="67"/>
      <c r="AD96" s="65"/>
      <c r="AL96" s="67"/>
      <c r="AM96" s="65"/>
      <c r="BI96" s="67"/>
      <c r="BJ96" s="65"/>
      <c r="BM96" s="24">
        <v>39</v>
      </c>
    </row>
    <row r="97" spans="1:65" ht="15" customHeight="1" x14ac:dyDescent="0.25">
      <c r="A97" s="67"/>
      <c r="B97" s="65"/>
      <c r="K97" s="67"/>
      <c r="L97" s="65"/>
      <c r="T97" s="67"/>
      <c r="U97" s="65"/>
      <c r="AC97" s="67"/>
      <c r="AD97" s="65"/>
      <c r="AL97" s="67"/>
      <c r="AM97" s="65"/>
      <c r="BI97" s="67"/>
      <c r="BJ97" s="65"/>
      <c r="BM97" s="24">
        <v>40</v>
      </c>
    </row>
    <row r="98" spans="1:65" ht="15" customHeight="1" x14ac:dyDescent="0.25">
      <c r="A98" s="67"/>
      <c r="B98" s="65"/>
      <c r="K98" s="67"/>
      <c r="L98" s="65"/>
      <c r="T98" s="67"/>
      <c r="U98" s="65"/>
      <c r="AC98" s="67"/>
      <c r="AD98" s="65"/>
      <c r="AL98" s="67"/>
      <c r="AM98" s="65"/>
      <c r="BI98" s="67"/>
      <c r="BJ98" s="65"/>
      <c r="BM98" s="24">
        <v>41</v>
      </c>
    </row>
    <row r="99" spans="1:65" ht="15" customHeight="1" x14ac:dyDescent="0.25">
      <c r="A99" s="67"/>
      <c r="B99" s="65"/>
      <c r="K99" s="67"/>
      <c r="L99" s="65"/>
      <c r="T99" s="67"/>
      <c r="U99" s="65"/>
      <c r="AC99" s="67"/>
      <c r="AD99" s="65"/>
      <c r="AL99" s="67"/>
      <c r="AM99" s="65"/>
      <c r="BI99" s="67"/>
      <c r="BJ99" s="65"/>
      <c r="BM99" s="24">
        <v>42</v>
      </c>
    </row>
    <row r="100" spans="1:65" ht="15" customHeight="1" x14ac:dyDescent="0.25">
      <c r="A100" s="67"/>
      <c r="B100" s="65"/>
      <c r="K100" s="67"/>
      <c r="L100" s="65"/>
      <c r="T100" s="67"/>
      <c r="U100" s="65"/>
      <c r="AC100" s="67"/>
      <c r="AD100" s="65"/>
      <c r="AL100" s="67"/>
      <c r="AM100" s="65"/>
      <c r="BI100" s="67"/>
      <c r="BJ100" s="65"/>
      <c r="BM100" s="24">
        <v>43</v>
      </c>
    </row>
    <row r="101" spans="1:65" ht="15" customHeight="1" x14ac:dyDescent="0.25">
      <c r="A101" s="67"/>
      <c r="B101" s="65"/>
      <c r="K101" s="67"/>
      <c r="L101" s="65"/>
      <c r="T101" s="67"/>
      <c r="U101" s="65"/>
      <c r="AC101" s="67"/>
      <c r="AD101" s="65"/>
      <c r="AL101" s="67"/>
      <c r="AM101" s="65"/>
      <c r="BI101" s="67"/>
      <c r="BJ101" s="65"/>
      <c r="BM101" s="24">
        <v>44</v>
      </c>
    </row>
    <row r="102" spans="1:65" ht="15" customHeight="1" x14ac:dyDescent="0.25">
      <c r="A102" s="67"/>
      <c r="B102" s="65"/>
      <c r="K102" s="67"/>
      <c r="L102" s="65"/>
      <c r="T102" s="67"/>
      <c r="U102" s="65"/>
      <c r="AC102" s="67"/>
      <c r="AD102" s="65"/>
      <c r="AL102" s="67"/>
      <c r="AM102" s="65"/>
      <c r="BI102" s="67"/>
      <c r="BJ102" s="65"/>
      <c r="BM102" s="24">
        <v>45</v>
      </c>
    </row>
    <row r="103" spans="1:65" ht="15" customHeight="1" x14ac:dyDescent="0.25">
      <c r="A103" s="67"/>
      <c r="B103" s="65"/>
      <c r="K103" s="67"/>
      <c r="L103" s="65"/>
      <c r="T103" s="67"/>
      <c r="U103" s="65"/>
      <c r="AC103" s="67"/>
      <c r="AD103" s="65"/>
      <c r="AL103" s="67"/>
      <c r="AM103" s="65"/>
      <c r="BI103" s="67"/>
      <c r="BJ103" s="65"/>
      <c r="BM103" s="24">
        <v>46</v>
      </c>
    </row>
    <row r="104" spans="1:65" ht="15" customHeight="1" x14ac:dyDescent="0.25">
      <c r="A104" s="67"/>
      <c r="B104" s="65"/>
      <c r="K104" s="67"/>
      <c r="L104" s="65"/>
      <c r="T104" s="67"/>
      <c r="U104" s="65"/>
      <c r="AC104" s="67"/>
      <c r="AD104" s="65"/>
      <c r="AL104" s="67"/>
      <c r="AM104" s="65"/>
      <c r="BI104" s="67"/>
      <c r="BJ104" s="65"/>
      <c r="BM104" s="24">
        <v>47</v>
      </c>
    </row>
    <row r="105" spans="1:65" ht="15" customHeight="1" x14ac:dyDescent="0.25">
      <c r="A105" s="67"/>
      <c r="B105" s="65"/>
      <c r="K105" s="67"/>
      <c r="L105" s="65"/>
      <c r="T105" s="67"/>
      <c r="U105" s="65"/>
      <c r="AC105" s="67"/>
      <c r="AD105" s="65"/>
      <c r="AL105" s="67"/>
      <c r="AM105" s="65"/>
      <c r="BI105" s="67"/>
      <c r="BJ105" s="65"/>
      <c r="BM105" s="24">
        <v>48</v>
      </c>
    </row>
    <row r="106" spans="1:65" ht="15" customHeight="1" x14ac:dyDescent="0.25">
      <c r="A106" s="67"/>
      <c r="B106" s="65"/>
      <c r="K106" s="67"/>
      <c r="L106" s="65"/>
      <c r="T106" s="67"/>
      <c r="U106" s="65"/>
      <c r="AC106" s="67"/>
      <c r="AD106" s="65"/>
      <c r="AL106" s="67"/>
      <c r="AM106" s="65"/>
      <c r="BI106" s="67"/>
      <c r="BJ106" s="65"/>
      <c r="BM106" s="24">
        <v>49</v>
      </c>
    </row>
    <row r="107" spans="1:65" ht="15" customHeight="1" x14ac:dyDescent="0.25">
      <c r="A107" s="67"/>
      <c r="B107" s="65"/>
      <c r="K107" s="67"/>
      <c r="L107" s="65"/>
      <c r="T107" s="67"/>
      <c r="U107" s="65"/>
      <c r="AC107" s="67"/>
      <c r="AD107" s="65"/>
      <c r="AL107" s="67"/>
      <c r="AM107" s="65"/>
      <c r="BI107" s="67"/>
      <c r="BJ107" s="65"/>
      <c r="BM107" s="24">
        <v>50</v>
      </c>
    </row>
    <row r="108" spans="1:65" ht="15" customHeight="1" x14ac:dyDescent="0.25">
      <c r="A108" s="67"/>
      <c r="B108" s="65"/>
      <c r="K108" s="67"/>
      <c r="L108" s="65"/>
      <c r="T108" s="67"/>
      <c r="U108" s="65"/>
      <c r="AC108" s="67"/>
      <c r="AD108" s="65"/>
      <c r="AL108" s="67"/>
      <c r="AM108" s="65"/>
      <c r="BI108" s="67"/>
      <c r="BJ108" s="65"/>
      <c r="BM108" s="24">
        <v>1</v>
      </c>
    </row>
    <row r="109" spans="1:65" ht="15" customHeight="1" x14ac:dyDescent="0.25">
      <c r="A109" s="71"/>
      <c r="B109" s="72"/>
      <c r="C109" s="26"/>
      <c r="D109" s="26"/>
      <c r="E109" s="26"/>
      <c r="F109" s="26"/>
      <c r="G109" s="26"/>
      <c r="H109" s="26"/>
      <c r="I109" s="26"/>
      <c r="J109" s="26"/>
      <c r="K109" s="71"/>
      <c r="L109" s="72"/>
      <c r="M109" s="26"/>
      <c r="N109" s="26"/>
      <c r="O109" s="26"/>
      <c r="P109" s="26"/>
      <c r="Q109" s="26"/>
      <c r="R109" s="26"/>
      <c r="S109" s="26"/>
      <c r="T109" s="71"/>
      <c r="U109" s="72"/>
      <c r="V109" s="26"/>
      <c r="W109" s="26"/>
      <c r="X109" s="26"/>
      <c r="Y109" s="26"/>
      <c r="Z109" s="26"/>
      <c r="AA109" s="26"/>
      <c r="AB109" s="26"/>
      <c r="AC109" s="71"/>
      <c r="AD109" s="72"/>
      <c r="AE109" s="26"/>
      <c r="AF109" s="26"/>
      <c r="AG109" s="26"/>
      <c r="AH109" s="26"/>
      <c r="AI109" s="26"/>
      <c r="AJ109" s="26"/>
      <c r="AK109" s="26"/>
      <c r="AL109" s="71"/>
      <c r="AM109" s="72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71"/>
      <c r="BJ109" s="72"/>
      <c r="BK109" s="26"/>
      <c r="BM109" s="24">
        <v>2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1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178" t="s">
        <v>52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53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81" t="str">
        <f>IF(表紙!W1="","",表紙!W1)</f>
        <v>基本設計書</v>
      </c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3"/>
      <c r="AP1" s="89" t="s">
        <v>55</v>
      </c>
      <c r="AQ1" s="90"/>
      <c r="AR1" s="90"/>
      <c r="AS1" s="91"/>
      <c r="AT1" s="89" t="s">
        <v>56</v>
      </c>
      <c r="AU1" s="90"/>
      <c r="AV1" s="90"/>
      <c r="AW1" s="90"/>
      <c r="AX1" s="91"/>
      <c r="AY1" s="89" t="s">
        <v>57</v>
      </c>
      <c r="AZ1" s="90"/>
      <c r="BA1" s="90"/>
      <c r="BB1" s="91"/>
      <c r="BC1" s="89" t="s">
        <v>58</v>
      </c>
      <c r="BD1" s="90"/>
      <c r="BE1" s="90"/>
      <c r="BF1" s="90"/>
      <c r="BG1" s="91"/>
      <c r="BH1" s="89" t="s">
        <v>59</v>
      </c>
      <c r="BI1" s="90"/>
      <c r="BJ1" s="90"/>
      <c r="BK1" s="91"/>
    </row>
    <row r="2" spans="1:63" ht="15" customHeight="1" x14ac:dyDescent="0.25">
      <c r="A2" s="172" t="str">
        <f>IF(表紙!A2="","",表紙!A2)</f>
        <v>POSサーバー</v>
      </c>
      <c r="B2" s="173"/>
      <c r="C2" s="173"/>
      <c r="D2" s="173"/>
      <c r="E2" s="173"/>
      <c r="F2" s="173"/>
      <c r="G2" s="173"/>
      <c r="H2" s="173"/>
      <c r="I2" s="173"/>
      <c r="J2" s="174"/>
      <c r="K2" s="172" t="str">
        <f>IF(表紙!K2="","",表紙!K2)</f>
        <v>POSサーバー</v>
      </c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4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74" t="str">
        <f>IF(表紙!AP2="","",表紙!AP2)</f>
        <v>LoiLV</v>
      </c>
      <c r="AQ2" s="75"/>
      <c r="AR2" s="75"/>
      <c r="AS2" s="76"/>
      <c r="AT2" s="103">
        <f>IF(表紙!AT2="","",表紙!AT2)</f>
        <v>45421</v>
      </c>
      <c r="AU2" s="104"/>
      <c r="AV2" s="104"/>
      <c r="AW2" s="104"/>
      <c r="AX2" s="105"/>
      <c r="AY2" s="74" t="str">
        <f>IF(表紙!AY2="","",表紙!AY2)</f>
        <v>LoiLV</v>
      </c>
      <c r="AZ2" s="75"/>
      <c r="BA2" s="75"/>
      <c r="BB2" s="76"/>
      <c r="BC2" s="103">
        <f>IF(表紙!BC2="","",表紙!BC2)</f>
        <v>45517</v>
      </c>
      <c r="BD2" s="104"/>
      <c r="BE2" s="104"/>
      <c r="BF2" s="104"/>
      <c r="BG2" s="105"/>
      <c r="BH2" s="74" t="str">
        <f>IF(表紙!BH2="","",表紙!BH2)</f>
        <v>0.3.7</v>
      </c>
      <c r="BI2" s="75"/>
      <c r="BJ2" s="75"/>
      <c r="BK2" s="76"/>
    </row>
    <row r="3" spans="1:63" ht="15" customHeight="1" x14ac:dyDescent="0.25">
      <c r="A3" s="175"/>
      <c r="B3" s="176"/>
      <c r="C3" s="176"/>
      <c r="D3" s="176"/>
      <c r="E3" s="176"/>
      <c r="F3" s="176"/>
      <c r="G3" s="176"/>
      <c r="H3" s="176"/>
      <c r="I3" s="176"/>
      <c r="J3" s="177"/>
      <c r="K3" s="175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7"/>
      <c r="W3" s="187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9"/>
      <c r="AP3" s="80"/>
      <c r="AQ3" s="81"/>
      <c r="AR3" s="81"/>
      <c r="AS3" s="82"/>
      <c r="AT3" s="106"/>
      <c r="AU3" s="107"/>
      <c r="AV3" s="107"/>
      <c r="AW3" s="107"/>
      <c r="AX3" s="108"/>
      <c r="AY3" s="80"/>
      <c r="AZ3" s="81"/>
      <c r="BA3" s="81"/>
      <c r="BB3" s="82"/>
      <c r="BC3" s="106"/>
      <c r="BD3" s="107"/>
      <c r="BE3" s="107"/>
      <c r="BF3" s="107"/>
      <c r="BG3" s="108"/>
      <c r="BH3" s="80"/>
      <c r="BI3" s="81"/>
      <c r="BJ3" s="81"/>
      <c r="BK3" s="82"/>
    </row>
    <row r="4" spans="1:63" ht="24.95" customHeight="1" x14ac:dyDescent="0.25">
      <c r="A4" s="178" t="s">
        <v>61</v>
      </c>
      <c r="B4" s="179"/>
      <c r="C4" s="179"/>
      <c r="D4" s="179"/>
      <c r="E4" s="179"/>
      <c r="F4" s="179"/>
      <c r="G4" s="180"/>
      <c r="H4" s="190" t="str">
        <f>IF(表紙!H4="","",表紙!H4)</f>
        <v>25_取扱設定マスタ設定(KSM)</v>
      </c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2"/>
      <c r="U4" s="178" t="s">
        <v>62</v>
      </c>
      <c r="V4" s="179"/>
      <c r="W4" s="179"/>
      <c r="X4" s="179"/>
      <c r="Y4" s="180"/>
      <c r="Z4" s="190" t="str">
        <f>IF(表紙!Z4="","",表紙!Z4)</f>
        <v>概要設計書</v>
      </c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2"/>
      <c r="AP4" s="193" t="str">
        <f ca="1">MID(CELL("filename",A1),FIND("]",CELL("filename",A1))+1,255)</f>
        <v>画面設計書</v>
      </c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2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73" t="s">
        <v>16</v>
      </c>
      <c r="C7" s="73"/>
      <c r="D7" s="73"/>
      <c r="E7" s="73"/>
      <c r="F7" s="73"/>
      <c r="G7" s="73"/>
      <c r="H7" s="73"/>
      <c r="I7" s="73"/>
      <c r="J7" s="73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81</v>
      </c>
      <c r="BK35" s="9"/>
    </row>
    <row r="36" spans="1:63" x14ac:dyDescent="0.25">
      <c r="BK36" s="9"/>
    </row>
    <row r="37" spans="1:63" ht="15.75" customHeight="1" x14ac:dyDescent="0.25">
      <c r="B37" s="194" t="s">
        <v>82</v>
      </c>
      <c r="C37" s="195"/>
      <c r="D37" s="200" t="s">
        <v>83</v>
      </c>
      <c r="E37" s="201"/>
      <c r="F37" s="201"/>
      <c r="G37" s="201"/>
      <c r="H37" s="201"/>
      <c r="I37" s="201"/>
      <c r="J37" s="195"/>
      <c r="K37" s="200" t="s">
        <v>84</v>
      </c>
      <c r="L37" s="201"/>
      <c r="M37" s="195"/>
      <c r="N37" s="204" t="s">
        <v>17</v>
      </c>
      <c r="O37" s="207" t="s">
        <v>85</v>
      </c>
      <c r="P37" s="225" t="s">
        <v>86</v>
      </c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7"/>
      <c r="AR37" s="210" t="s">
        <v>87</v>
      </c>
      <c r="AS37" s="211"/>
      <c r="AT37" s="211"/>
      <c r="AU37" s="211"/>
      <c r="AV37" s="211"/>
      <c r="AW37" s="211"/>
      <c r="AX37" s="211"/>
      <c r="AY37" s="211"/>
      <c r="AZ37" s="211"/>
      <c r="BA37" s="211"/>
      <c r="BB37" s="214"/>
      <c r="BC37" s="228" t="s">
        <v>88</v>
      </c>
      <c r="BD37" s="229"/>
      <c r="BE37" s="229"/>
      <c r="BF37" s="229"/>
      <c r="BG37" s="229"/>
      <c r="BH37" s="229"/>
      <c r="BI37" s="229"/>
      <c r="BJ37" s="230"/>
      <c r="BK37" s="9"/>
    </row>
    <row r="38" spans="1:63" ht="15.75" customHeight="1" x14ac:dyDescent="0.25">
      <c r="B38" s="196"/>
      <c r="C38" s="197"/>
      <c r="D38" s="196"/>
      <c r="E38" s="202"/>
      <c r="F38" s="202"/>
      <c r="G38" s="202"/>
      <c r="H38" s="202"/>
      <c r="I38" s="202"/>
      <c r="J38" s="197"/>
      <c r="K38" s="196"/>
      <c r="L38" s="202"/>
      <c r="M38" s="197"/>
      <c r="N38" s="205"/>
      <c r="O38" s="208"/>
      <c r="P38" s="237" t="s">
        <v>89</v>
      </c>
      <c r="Q38" s="238"/>
      <c r="R38" s="238"/>
      <c r="S38" s="238"/>
      <c r="T38" s="238"/>
      <c r="U38" s="238"/>
      <c r="V38" s="238"/>
      <c r="W38" s="239"/>
      <c r="X38" s="240" t="s">
        <v>90</v>
      </c>
      <c r="Y38" s="241"/>
      <c r="Z38" s="242"/>
      <c r="AA38" s="240" t="s">
        <v>91</v>
      </c>
      <c r="AB38" s="241"/>
      <c r="AC38" s="241"/>
      <c r="AD38" s="241"/>
      <c r="AE38" s="241"/>
      <c r="AF38" s="241"/>
      <c r="AG38" s="241"/>
      <c r="AH38" s="242"/>
      <c r="AI38" s="240" t="s">
        <v>92</v>
      </c>
      <c r="AJ38" s="241"/>
      <c r="AK38" s="241"/>
      <c r="AL38" s="241"/>
      <c r="AM38" s="241"/>
      <c r="AN38" s="241"/>
      <c r="AO38" s="241"/>
      <c r="AP38" s="241"/>
      <c r="AQ38" s="242"/>
      <c r="AR38" s="246" t="s">
        <v>18</v>
      </c>
      <c r="AS38" s="248" t="s">
        <v>93</v>
      </c>
      <c r="AT38" s="250" t="s">
        <v>94</v>
      </c>
      <c r="AU38" s="210" t="s">
        <v>89</v>
      </c>
      <c r="AV38" s="211"/>
      <c r="AW38" s="211"/>
      <c r="AX38" s="211"/>
      <c r="AY38" s="211"/>
      <c r="AZ38" s="211"/>
      <c r="BA38" s="211"/>
      <c r="BB38" s="214"/>
      <c r="BC38" s="231"/>
      <c r="BD38" s="232"/>
      <c r="BE38" s="232"/>
      <c r="BF38" s="232"/>
      <c r="BG38" s="232"/>
      <c r="BH38" s="232"/>
      <c r="BI38" s="232"/>
      <c r="BJ38" s="233"/>
      <c r="BK38" s="9"/>
    </row>
    <row r="39" spans="1:63" x14ac:dyDescent="0.25">
      <c r="B39" s="198"/>
      <c r="C39" s="199"/>
      <c r="D39" s="198"/>
      <c r="E39" s="203"/>
      <c r="F39" s="203"/>
      <c r="G39" s="203"/>
      <c r="H39" s="203"/>
      <c r="I39" s="203"/>
      <c r="J39" s="199"/>
      <c r="K39" s="198"/>
      <c r="L39" s="203"/>
      <c r="M39" s="199"/>
      <c r="N39" s="206"/>
      <c r="O39" s="209"/>
      <c r="P39" s="225" t="s">
        <v>95</v>
      </c>
      <c r="Q39" s="226"/>
      <c r="R39" s="226"/>
      <c r="S39" s="227"/>
      <c r="T39" s="225" t="s">
        <v>83</v>
      </c>
      <c r="U39" s="226"/>
      <c r="V39" s="226"/>
      <c r="W39" s="227"/>
      <c r="X39" s="243"/>
      <c r="Y39" s="244"/>
      <c r="Z39" s="245"/>
      <c r="AA39" s="243"/>
      <c r="AB39" s="244"/>
      <c r="AC39" s="244"/>
      <c r="AD39" s="244"/>
      <c r="AE39" s="244"/>
      <c r="AF39" s="244"/>
      <c r="AG39" s="244"/>
      <c r="AH39" s="245"/>
      <c r="AI39" s="243"/>
      <c r="AJ39" s="244"/>
      <c r="AK39" s="244"/>
      <c r="AL39" s="244"/>
      <c r="AM39" s="244"/>
      <c r="AN39" s="244"/>
      <c r="AO39" s="244"/>
      <c r="AP39" s="244"/>
      <c r="AQ39" s="245"/>
      <c r="AR39" s="247"/>
      <c r="AS39" s="249"/>
      <c r="AT39" s="251"/>
      <c r="AU39" s="210" t="s">
        <v>95</v>
      </c>
      <c r="AV39" s="211"/>
      <c r="AW39" s="211"/>
      <c r="AX39" s="212"/>
      <c r="AY39" s="213" t="s">
        <v>83</v>
      </c>
      <c r="AZ39" s="211"/>
      <c r="BA39" s="211"/>
      <c r="BB39" s="214"/>
      <c r="BC39" s="234"/>
      <c r="BD39" s="235"/>
      <c r="BE39" s="235"/>
      <c r="BF39" s="235"/>
      <c r="BG39" s="235"/>
      <c r="BH39" s="235"/>
      <c r="BI39" s="235"/>
      <c r="BJ39" s="236"/>
      <c r="BK39" s="9"/>
    </row>
    <row r="40" spans="1:63" ht="15.75" customHeight="1" x14ac:dyDescent="0.25">
      <c r="B40" s="215">
        <v>1</v>
      </c>
      <c r="C40" s="216"/>
      <c r="D40" s="217"/>
      <c r="E40" s="218"/>
      <c r="F40" s="218"/>
      <c r="G40" s="218"/>
      <c r="H40" s="218"/>
      <c r="I40" s="218"/>
      <c r="J40" s="219"/>
      <c r="K40" s="220" t="s">
        <v>19</v>
      </c>
      <c r="L40" s="221"/>
      <c r="M40" s="222"/>
      <c r="N40" s="11" t="s">
        <v>20</v>
      </c>
      <c r="O40" s="12" t="s">
        <v>21</v>
      </c>
      <c r="P40" s="223" t="s">
        <v>20</v>
      </c>
      <c r="Q40" s="224"/>
      <c r="R40" s="224"/>
      <c r="S40" s="216"/>
      <c r="T40" s="223" t="s">
        <v>20</v>
      </c>
      <c r="U40" s="224"/>
      <c r="V40" s="224"/>
      <c r="W40" s="216"/>
      <c r="X40" s="252" t="s">
        <v>79</v>
      </c>
      <c r="Y40" s="253"/>
      <c r="Z40" s="254"/>
      <c r="AA40" s="215" t="s">
        <v>22</v>
      </c>
      <c r="AB40" s="224"/>
      <c r="AC40" s="224"/>
      <c r="AD40" s="224"/>
      <c r="AE40" s="224"/>
      <c r="AF40" s="224"/>
      <c r="AG40" s="224"/>
      <c r="AH40" s="216"/>
      <c r="AI40" s="255" t="s">
        <v>20</v>
      </c>
      <c r="AJ40" s="256"/>
      <c r="AK40" s="256"/>
      <c r="AL40" s="256"/>
      <c r="AM40" s="256"/>
      <c r="AN40" s="256"/>
      <c r="AO40" s="256"/>
      <c r="AP40" s="256"/>
      <c r="AQ40" s="257"/>
      <c r="AR40" s="13" t="s">
        <v>20</v>
      </c>
      <c r="AS40" s="13" t="s">
        <v>22</v>
      </c>
      <c r="AT40" s="13" t="s">
        <v>22</v>
      </c>
      <c r="AU40" s="215" t="s">
        <v>23</v>
      </c>
      <c r="AV40" s="224"/>
      <c r="AW40" s="224"/>
      <c r="AX40" s="216"/>
      <c r="AY40" s="215" t="s">
        <v>22</v>
      </c>
      <c r="AZ40" s="224"/>
      <c r="BA40" s="224"/>
      <c r="BB40" s="216"/>
      <c r="BC40" s="258"/>
      <c r="BD40" s="259"/>
      <c r="BE40" s="259"/>
      <c r="BF40" s="259"/>
      <c r="BG40" s="259"/>
      <c r="BH40" s="259"/>
      <c r="BI40" s="259"/>
      <c r="BJ40" s="260"/>
      <c r="BK40" s="9"/>
    </row>
    <row r="41" spans="1:63" x14ac:dyDescent="0.25">
      <c r="B41" s="261">
        <v>2</v>
      </c>
      <c r="C41" s="262"/>
      <c r="D41" s="268"/>
      <c r="E41" s="269"/>
      <c r="F41" s="269"/>
      <c r="G41" s="269"/>
      <c r="H41" s="269"/>
      <c r="I41" s="269"/>
      <c r="J41" s="270"/>
      <c r="K41" s="220" t="s">
        <v>19</v>
      </c>
      <c r="L41" s="221"/>
      <c r="M41" s="222"/>
      <c r="N41" s="12" t="s">
        <v>24</v>
      </c>
      <c r="O41" s="12" t="s">
        <v>21</v>
      </c>
      <c r="P41" s="261" t="s">
        <v>23</v>
      </c>
      <c r="Q41" s="267"/>
      <c r="R41" s="267"/>
      <c r="S41" s="262"/>
      <c r="T41" s="261" t="s">
        <v>23</v>
      </c>
      <c r="U41" s="267"/>
      <c r="V41" s="267"/>
      <c r="W41" s="262"/>
      <c r="X41" s="281" t="s">
        <v>96</v>
      </c>
      <c r="Y41" s="282"/>
      <c r="Z41" s="283"/>
      <c r="AA41" s="261" t="s">
        <v>22</v>
      </c>
      <c r="AB41" s="267"/>
      <c r="AC41" s="267"/>
      <c r="AD41" s="267"/>
      <c r="AE41" s="267"/>
      <c r="AF41" s="267"/>
      <c r="AG41" s="267"/>
      <c r="AH41" s="262"/>
      <c r="AI41" s="274" t="s">
        <v>22</v>
      </c>
      <c r="AJ41" s="275"/>
      <c r="AK41" s="275"/>
      <c r="AL41" s="275"/>
      <c r="AM41" s="275"/>
      <c r="AN41" s="275"/>
      <c r="AO41" s="275"/>
      <c r="AP41" s="275"/>
      <c r="AQ41" s="276"/>
      <c r="AR41" s="14" t="s">
        <v>20</v>
      </c>
      <c r="AS41" s="14" t="s">
        <v>22</v>
      </c>
      <c r="AT41" s="14" t="s">
        <v>22</v>
      </c>
      <c r="AU41" s="261" t="s">
        <v>23</v>
      </c>
      <c r="AV41" s="267"/>
      <c r="AW41" s="267"/>
      <c r="AX41" s="262"/>
      <c r="AY41" s="261" t="s">
        <v>22</v>
      </c>
      <c r="AZ41" s="267"/>
      <c r="BA41" s="267"/>
      <c r="BB41" s="262"/>
      <c r="BC41" s="280"/>
      <c r="BD41" s="278"/>
      <c r="BE41" s="278"/>
      <c r="BF41" s="278"/>
      <c r="BG41" s="278"/>
      <c r="BH41" s="278"/>
      <c r="BI41" s="278"/>
      <c r="BJ41" s="279"/>
      <c r="BK41" s="9"/>
    </row>
    <row r="42" spans="1:63" x14ac:dyDescent="0.25">
      <c r="B42" s="261">
        <v>3</v>
      </c>
      <c r="C42" s="262"/>
      <c r="D42" s="263"/>
      <c r="E42" s="264"/>
      <c r="F42" s="264"/>
      <c r="G42" s="264"/>
      <c r="H42" s="264"/>
      <c r="I42" s="264"/>
      <c r="J42" s="265"/>
      <c r="K42" s="220" t="s">
        <v>19</v>
      </c>
      <c r="L42" s="221"/>
      <c r="M42" s="222"/>
      <c r="N42" s="12" t="s">
        <v>25</v>
      </c>
      <c r="O42" s="12" t="s">
        <v>20</v>
      </c>
      <c r="P42" s="266" t="s">
        <v>20</v>
      </c>
      <c r="Q42" s="267"/>
      <c r="R42" s="267"/>
      <c r="S42" s="262"/>
      <c r="T42" s="261"/>
      <c r="U42" s="267"/>
      <c r="V42" s="267"/>
      <c r="W42" s="262"/>
      <c r="X42" s="271" t="s">
        <v>20</v>
      </c>
      <c r="Y42" s="272"/>
      <c r="Z42" s="273"/>
      <c r="AA42" s="261" t="s">
        <v>22</v>
      </c>
      <c r="AB42" s="267"/>
      <c r="AC42" s="267"/>
      <c r="AD42" s="267"/>
      <c r="AE42" s="267"/>
      <c r="AF42" s="267"/>
      <c r="AG42" s="267"/>
      <c r="AH42" s="262"/>
      <c r="AI42" s="274" t="s">
        <v>22</v>
      </c>
      <c r="AJ42" s="275"/>
      <c r="AK42" s="275"/>
      <c r="AL42" s="275"/>
      <c r="AM42" s="275"/>
      <c r="AN42" s="275"/>
      <c r="AO42" s="275"/>
      <c r="AP42" s="275"/>
      <c r="AQ42" s="276"/>
      <c r="AR42" s="14" t="s">
        <v>20</v>
      </c>
      <c r="AS42" s="14" t="s">
        <v>22</v>
      </c>
      <c r="AT42" s="14" t="s">
        <v>22</v>
      </c>
      <c r="AU42" s="261" t="s">
        <v>23</v>
      </c>
      <c r="AV42" s="267"/>
      <c r="AW42" s="267"/>
      <c r="AX42" s="262"/>
      <c r="AY42" s="261" t="s">
        <v>22</v>
      </c>
      <c r="AZ42" s="267"/>
      <c r="BA42" s="267"/>
      <c r="BB42" s="262"/>
      <c r="BC42" s="277"/>
      <c r="BD42" s="278"/>
      <c r="BE42" s="278"/>
      <c r="BF42" s="278"/>
      <c r="BG42" s="278"/>
      <c r="BH42" s="278"/>
      <c r="BI42" s="278"/>
      <c r="BJ42" s="279"/>
      <c r="BK42" s="9"/>
    </row>
    <row r="43" spans="1:63" x14ac:dyDescent="0.25">
      <c r="B43" s="261">
        <v>4</v>
      </c>
      <c r="C43" s="262"/>
      <c r="D43" s="284"/>
      <c r="E43" s="285"/>
      <c r="F43" s="285"/>
      <c r="G43" s="285"/>
      <c r="H43" s="285"/>
      <c r="I43" s="285"/>
      <c r="J43" s="286"/>
      <c r="K43" s="220" t="s">
        <v>19</v>
      </c>
      <c r="L43" s="221"/>
      <c r="M43" s="222"/>
      <c r="N43" s="15" t="s">
        <v>24</v>
      </c>
      <c r="O43" s="12" t="s">
        <v>21</v>
      </c>
      <c r="P43" s="261" t="s">
        <v>23</v>
      </c>
      <c r="Q43" s="267"/>
      <c r="R43" s="267"/>
      <c r="S43" s="262"/>
      <c r="T43" s="261" t="s">
        <v>23</v>
      </c>
      <c r="U43" s="267"/>
      <c r="V43" s="267"/>
      <c r="W43" s="262"/>
      <c r="X43" s="287" t="s">
        <v>80</v>
      </c>
      <c r="Y43" s="267"/>
      <c r="Z43" s="262"/>
      <c r="AA43" s="261" t="s">
        <v>22</v>
      </c>
      <c r="AB43" s="267"/>
      <c r="AC43" s="267"/>
      <c r="AD43" s="267"/>
      <c r="AE43" s="267"/>
      <c r="AF43" s="267"/>
      <c r="AG43" s="267"/>
      <c r="AH43" s="262"/>
      <c r="AI43" s="274" t="s">
        <v>22</v>
      </c>
      <c r="AJ43" s="275"/>
      <c r="AK43" s="275"/>
      <c r="AL43" s="275"/>
      <c r="AM43" s="275"/>
      <c r="AN43" s="275"/>
      <c r="AO43" s="275"/>
      <c r="AP43" s="275"/>
      <c r="AQ43" s="276"/>
      <c r="AR43" s="14" t="s">
        <v>20</v>
      </c>
      <c r="AS43" s="14" t="s">
        <v>22</v>
      </c>
      <c r="AT43" s="14" t="s">
        <v>22</v>
      </c>
      <c r="AU43" s="261" t="s">
        <v>23</v>
      </c>
      <c r="AV43" s="267"/>
      <c r="AW43" s="267"/>
      <c r="AX43" s="262"/>
      <c r="AY43" s="261" t="s">
        <v>22</v>
      </c>
      <c r="AZ43" s="267"/>
      <c r="BA43" s="267"/>
      <c r="BB43" s="262"/>
      <c r="BC43" s="288"/>
      <c r="BD43" s="289"/>
      <c r="BE43" s="289"/>
      <c r="BF43" s="289"/>
      <c r="BG43" s="289"/>
      <c r="BH43" s="289"/>
      <c r="BI43" s="289"/>
      <c r="BJ43" s="290"/>
      <c r="BK43" s="9"/>
    </row>
    <row r="44" spans="1:63" x14ac:dyDescent="0.25">
      <c r="B44" s="261">
        <v>5</v>
      </c>
      <c r="C44" s="262"/>
      <c r="D44" s="263"/>
      <c r="E44" s="264"/>
      <c r="F44" s="264"/>
      <c r="G44" s="264"/>
      <c r="H44" s="264"/>
      <c r="I44" s="264"/>
      <c r="J44" s="265"/>
      <c r="K44" s="220" t="s">
        <v>26</v>
      </c>
      <c r="L44" s="221"/>
      <c r="M44" s="222"/>
      <c r="N44" s="15" t="s">
        <v>25</v>
      </c>
      <c r="O44" s="12" t="s">
        <v>20</v>
      </c>
      <c r="P44" s="261" t="s">
        <v>23</v>
      </c>
      <c r="Q44" s="267"/>
      <c r="R44" s="267"/>
      <c r="S44" s="262"/>
      <c r="T44" s="261" t="s">
        <v>23</v>
      </c>
      <c r="U44" s="267"/>
      <c r="V44" s="267"/>
      <c r="W44" s="262"/>
      <c r="X44" s="287" t="s">
        <v>20</v>
      </c>
      <c r="Y44" s="267"/>
      <c r="Z44" s="262"/>
      <c r="AA44" s="261" t="s">
        <v>22</v>
      </c>
      <c r="AB44" s="267"/>
      <c r="AC44" s="267"/>
      <c r="AD44" s="267"/>
      <c r="AE44" s="267"/>
      <c r="AF44" s="267"/>
      <c r="AG44" s="267"/>
      <c r="AH44" s="262"/>
      <c r="AI44" s="274" t="s">
        <v>22</v>
      </c>
      <c r="AJ44" s="275"/>
      <c r="AK44" s="275"/>
      <c r="AL44" s="275"/>
      <c r="AM44" s="275"/>
      <c r="AN44" s="275"/>
      <c r="AO44" s="275"/>
      <c r="AP44" s="275"/>
      <c r="AQ44" s="276"/>
      <c r="AR44" s="14" t="s">
        <v>20</v>
      </c>
      <c r="AS44" s="14" t="s">
        <v>22</v>
      </c>
      <c r="AT44" s="14" t="s">
        <v>22</v>
      </c>
      <c r="AU44" s="261" t="s">
        <v>23</v>
      </c>
      <c r="AV44" s="267"/>
      <c r="AW44" s="267"/>
      <c r="AX44" s="262"/>
      <c r="AY44" s="261" t="s">
        <v>22</v>
      </c>
      <c r="AZ44" s="267"/>
      <c r="BA44" s="267"/>
      <c r="BB44" s="262"/>
      <c r="BC44" s="277"/>
      <c r="BD44" s="278"/>
      <c r="BE44" s="278"/>
      <c r="BF44" s="278"/>
      <c r="BG44" s="278"/>
      <c r="BH44" s="278"/>
      <c r="BI44" s="278"/>
      <c r="BJ44" s="279"/>
      <c r="BK44" s="9"/>
    </row>
    <row r="45" spans="1:63" x14ac:dyDescent="0.25">
      <c r="B45" s="291">
        <v>6</v>
      </c>
      <c r="C45" s="293"/>
      <c r="D45" s="300"/>
      <c r="E45" s="301"/>
      <c r="F45" s="301"/>
      <c r="G45" s="301"/>
      <c r="H45" s="301"/>
      <c r="I45" s="301"/>
      <c r="J45" s="302"/>
      <c r="K45" s="303" t="s">
        <v>27</v>
      </c>
      <c r="L45" s="304"/>
      <c r="M45" s="305"/>
      <c r="N45" s="16" t="s">
        <v>25</v>
      </c>
      <c r="O45" s="16" t="s">
        <v>21</v>
      </c>
      <c r="P45" s="291" t="s">
        <v>23</v>
      </c>
      <c r="Q45" s="292"/>
      <c r="R45" s="292"/>
      <c r="S45" s="293"/>
      <c r="T45" s="291" t="s">
        <v>23</v>
      </c>
      <c r="U45" s="292"/>
      <c r="V45" s="292"/>
      <c r="W45" s="293"/>
      <c r="X45" s="306" t="s">
        <v>97</v>
      </c>
      <c r="Y45" s="307"/>
      <c r="Z45" s="308"/>
      <c r="AA45" s="291" t="s">
        <v>22</v>
      </c>
      <c r="AB45" s="292"/>
      <c r="AC45" s="292"/>
      <c r="AD45" s="292"/>
      <c r="AE45" s="292"/>
      <c r="AF45" s="292"/>
      <c r="AG45" s="292"/>
      <c r="AH45" s="293"/>
      <c r="AI45" s="294" t="s">
        <v>28</v>
      </c>
      <c r="AJ45" s="295"/>
      <c r="AK45" s="295"/>
      <c r="AL45" s="295"/>
      <c r="AM45" s="295"/>
      <c r="AN45" s="295"/>
      <c r="AO45" s="295"/>
      <c r="AP45" s="295"/>
      <c r="AQ45" s="296"/>
      <c r="AR45" s="17" t="s">
        <v>20</v>
      </c>
      <c r="AS45" s="17" t="s">
        <v>22</v>
      </c>
      <c r="AT45" s="17" t="s">
        <v>22</v>
      </c>
      <c r="AU45" s="291" t="s">
        <v>23</v>
      </c>
      <c r="AV45" s="292"/>
      <c r="AW45" s="292"/>
      <c r="AX45" s="293"/>
      <c r="AY45" s="291" t="s">
        <v>22</v>
      </c>
      <c r="AZ45" s="292"/>
      <c r="BA45" s="292"/>
      <c r="BB45" s="293"/>
      <c r="BC45" s="297" t="s">
        <v>29</v>
      </c>
      <c r="BD45" s="298"/>
      <c r="BE45" s="298"/>
      <c r="BF45" s="298"/>
      <c r="BG45" s="298"/>
      <c r="BH45" s="298"/>
      <c r="BI45" s="298"/>
      <c r="BJ45" s="299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30D4-57FE-4097-BECB-819F8408FDCA}">
  <sheetPr>
    <tabColor rgb="FF0000FF"/>
    <pageSetUpPr fitToPage="1"/>
  </sheetPr>
  <dimension ref="A1:BK130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4" customWidth="1"/>
    <col min="61" max="16384" width="2.77734375" style="24"/>
  </cols>
  <sheetData>
    <row r="1" spans="1:63" ht="24.95" customHeight="1" x14ac:dyDescent="0.25">
      <c r="A1" s="89" t="s">
        <v>52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53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10" t="str">
        <f>IF(表紙!W1="","",表紙!W1)</f>
        <v>基本設計書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89" t="s">
        <v>55</v>
      </c>
      <c r="AQ1" s="90"/>
      <c r="AR1" s="90"/>
      <c r="AS1" s="91"/>
      <c r="AT1" s="89" t="s">
        <v>56</v>
      </c>
      <c r="AU1" s="90"/>
      <c r="AV1" s="90"/>
      <c r="AW1" s="90"/>
      <c r="AX1" s="91"/>
      <c r="AY1" s="89" t="s">
        <v>57</v>
      </c>
      <c r="AZ1" s="90"/>
      <c r="BA1" s="90"/>
      <c r="BB1" s="91"/>
      <c r="BC1" s="89" t="s">
        <v>58</v>
      </c>
      <c r="BD1" s="90"/>
      <c r="BE1" s="90"/>
      <c r="BF1" s="90"/>
      <c r="BG1" s="91"/>
      <c r="BH1" s="89" t="s">
        <v>59</v>
      </c>
      <c r="BI1" s="90"/>
      <c r="BJ1" s="90"/>
      <c r="BK1" s="91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POSサーバー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5"/>
      <c r="AP2" s="74" t="str">
        <f>IF(表紙!AP2="","",表紙!AP2)</f>
        <v>LoiLV</v>
      </c>
      <c r="AQ2" s="75"/>
      <c r="AR2" s="75"/>
      <c r="AS2" s="76"/>
      <c r="AT2" s="103">
        <f>IF(表紙!AT2="","",表紙!AT2)</f>
        <v>45421</v>
      </c>
      <c r="AU2" s="104"/>
      <c r="AV2" s="104"/>
      <c r="AW2" s="104"/>
      <c r="AX2" s="105"/>
      <c r="AY2" s="74" t="str">
        <f>IF(表紙!AY2="","",表紙!AY2)</f>
        <v>LoiLV</v>
      </c>
      <c r="AZ2" s="75"/>
      <c r="BA2" s="75"/>
      <c r="BB2" s="76"/>
      <c r="BC2" s="103">
        <f>IF(表紙!BC2="","",表紙!BC2)</f>
        <v>45517</v>
      </c>
      <c r="BD2" s="104"/>
      <c r="BE2" s="104"/>
      <c r="BF2" s="104"/>
      <c r="BG2" s="105"/>
      <c r="BH2" s="74" t="str">
        <f>IF(表紙!BH2="","",表紙!BH2)</f>
        <v>0.3.7</v>
      </c>
      <c r="BI2" s="75"/>
      <c r="BJ2" s="75"/>
      <c r="BK2" s="76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80"/>
      <c r="AQ3" s="81"/>
      <c r="AR3" s="81"/>
      <c r="AS3" s="82"/>
      <c r="AT3" s="106"/>
      <c r="AU3" s="107"/>
      <c r="AV3" s="107"/>
      <c r="AW3" s="107"/>
      <c r="AX3" s="108"/>
      <c r="AY3" s="80"/>
      <c r="AZ3" s="81"/>
      <c r="BA3" s="81"/>
      <c r="BB3" s="82"/>
      <c r="BC3" s="106"/>
      <c r="BD3" s="107"/>
      <c r="BE3" s="107"/>
      <c r="BF3" s="107"/>
      <c r="BG3" s="108"/>
      <c r="BH3" s="80"/>
      <c r="BI3" s="81"/>
      <c r="BJ3" s="81"/>
      <c r="BK3" s="82"/>
    </row>
    <row r="4" spans="1:63" ht="24.95" customHeight="1" x14ac:dyDescent="0.25">
      <c r="A4" s="89" t="s">
        <v>61</v>
      </c>
      <c r="B4" s="90"/>
      <c r="C4" s="90"/>
      <c r="D4" s="90"/>
      <c r="E4" s="90"/>
      <c r="F4" s="90"/>
      <c r="G4" s="91"/>
      <c r="H4" s="94" t="str">
        <f>IF(表紙!H4="","",表紙!H4)</f>
        <v>25_取扱設定マスタ設定(KSM)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62</v>
      </c>
      <c r="V4" s="90"/>
      <c r="W4" s="90"/>
      <c r="X4" s="90"/>
      <c r="Y4" s="91"/>
      <c r="Z4" s="94" t="str">
        <f>IF(表紙!Z4="","",表紙!Z4)</f>
        <v>概要設計書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取扱有無と下位階層も同設定の詳細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7"/>
    </row>
    <row r="6" spans="1:63" ht="15" customHeight="1" x14ac:dyDescent="0.25">
      <c r="A6" s="28"/>
      <c r="BK6" s="29"/>
    </row>
    <row r="7" spans="1:63" ht="15" customHeight="1" x14ac:dyDescent="0.25">
      <c r="A7" s="28"/>
      <c r="B7" s="61" t="s">
        <v>98</v>
      </c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  <c r="U7" s="62"/>
      <c r="V7" s="63"/>
      <c r="W7" s="63"/>
      <c r="X7" s="63"/>
      <c r="Y7" s="63"/>
      <c r="Z7" s="63"/>
      <c r="AA7" s="63"/>
      <c r="AB7" s="63"/>
      <c r="AC7" s="64"/>
      <c r="AD7" s="62"/>
      <c r="AE7" s="63"/>
      <c r="AF7" s="63"/>
      <c r="AG7" s="63"/>
      <c r="AH7" s="63"/>
      <c r="AI7" s="63"/>
      <c r="AJ7" s="63"/>
      <c r="AK7" s="63"/>
      <c r="AL7" s="64"/>
      <c r="AM7" s="62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29"/>
    </row>
    <row r="8" spans="1:63" ht="15" customHeight="1" x14ac:dyDescent="0.25">
      <c r="A8" s="28"/>
      <c r="C8" s="65"/>
      <c r="U8" s="65"/>
      <c r="AD8" s="65"/>
      <c r="AM8" s="65"/>
      <c r="BI8" s="67"/>
    </row>
    <row r="9" spans="1:63" ht="15" customHeight="1" x14ac:dyDescent="0.25">
      <c r="A9" s="28"/>
      <c r="B9" s="18"/>
      <c r="C9" s="18" t="s">
        <v>35</v>
      </c>
      <c r="U9" s="65"/>
      <c r="AD9" s="65"/>
      <c r="AM9" s="65"/>
      <c r="BI9" s="67"/>
    </row>
    <row r="10" spans="1:63" ht="15" customHeight="1" x14ac:dyDescent="0.25">
      <c r="A10" s="28"/>
      <c r="C10" s="65"/>
      <c r="D10" s="53" t="s">
        <v>179</v>
      </c>
      <c r="U10" s="65"/>
      <c r="AD10" s="65"/>
      <c r="AM10" s="65"/>
      <c r="BI10" s="67"/>
    </row>
    <row r="11" spans="1:63" ht="15" customHeight="1" x14ac:dyDescent="0.25">
      <c r="A11" s="28"/>
      <c r="C11" s="65"/>
      <c r="D11" s="53" t="s">
        <v>180</v>
      </c>
      <c r="U11" s="65"/>
      <c r="AD11" s="65"/>
      <c r="AM11" s="65"/>
      <c r="BI11" s="67"/>
    </row>
    <row r="12" spans="1:63" ht="15" customHeight="1" x14ac:dyDescent="0.25">
      <c r="A12" s="28"/>
      <c r="C12" s="65"/>
      <c r="D12" s="53"/>
      <c r="E12" s="53" t="s">
        <v>48</v>
      </c>
      <c r="U12" s="65"/>
      <c r="AD12" s="65"/>
      <c r="AM12" s="65"/>
      <c r="BI12" s="67"/>
    </row>
    <row r="13" spans="1:63" ht="15" customHeight="1" x14ac:dyDescent="0.25">
      <c r="A13" s="28"/>
      <c r="C13" s="65"/>
      <c r="D13" s="53"/>
      <c r="E13" s="53" t="s">
        <v>49</v>
      </c>
      <c r="U13" s="65"/>
      <c r="AD13" s="65"/>
      <c r="AM13" s="65"/>
      <c r="BI13" s="67"/>
    </row>
    <row r="14" spans="1:63" ht="15" customHeight="1" x14ac:dyDescent="0.25">
      <c r="A14" s="28"/>
      <c r="C14" s="65"/>
      <c r="D14" s="53" t="s">
        <v>40</v>
      </c>
      <c r="U14" s="65"/>
      <c r="AD14" s="65"/>
      <c r="AM14" s="65"/>
      <c r="BI14" s="67"/>
    </row>
    <row r="15" spans="1:63" ht="15" customHeight="1" x14ac:dyDescent="0.25">
      <c r="A15" s="28"/>
      <c r="C15" s="65"/>
      <c r="D15" s="53"/>
      <c r="E15" s="53" t="s">
        <v>99</v>
      </c>
      <c r="U15" s="65"/>
      <c r="AD15" s="65"/>
      <c r="AM15" s="65"/>
      <c r="BI15" s="67"/>
    </row>
    <row r="16" spans="1:63" ht="15" customHeight="1" x14ac:dyDescent="0.25">
      <c r="A16" s="28"/>
      <c r="C16" s="65"/>
      <c r="D16" s="53"/>
      <c r="E16" s="53"/>
      <c r="F16" s="24" t="s">
        <v>38</v>
      </c>
      <c r="U16" s="65"/>
      <c r="AD16" s="65"/>
      <c r="AM16" s="65"/>
      <c r="BI16" s="67"/>
    </row>
    <row r="17" spans="1:61" ht="15" customHeight="1" x14ac:dyDescent="0.25">
      <c r="A17" s="28"/>
      <c r="C17" s="65"/>
      <c r="D17" s="53"/>
      <c r="E17" s="53" t="s">
        <v>100</v>
      </c>
      <c r="U17" s="65"/>
      <c r="AD17" s="65"/>
      <c r="AM17" s="65"/>
      <c r="BI17" s="67"/>
    </row>
    <row r="18" spans="1:61" ht="15" customHeight="1" x14ac:dyDescent="0.25">
      <c r="A18" s="28"/>
      <c r="C18" s="65"/>
      <c r="D18" s="53"/>
      <c r="F18" s="24" t="s">
        <v>39</v>
      </c>
      <c r="U18" s="65"/>
      <c r="AD18" s="65"/>
      <c r="AM18" s="65"/>
      <c r="BI18" s="67"/>
    </row>
    <row r="19" spans="1:61" ht="15" customHeight="1" x14ac:dyDescent="0.25">
      <c r="A19" s="28"/>
      <c r="C19" s="65"/>
      <c r="D19" s="53"/>
      <c r="E19" s="53" t="s">
        <v>41</v>
      </c>
      <c r="U19" s="65"/>
      <c r="AD19" s="65"/>
      <c r="AM19" s="65"/>
      <c r="BI19" s="67"/>
    </row>
    <row r="20" spans="1:61" ht="15" customHeight="1" x14ac:dyDescent="0.25">
      <c r="A20" s="28"/>
      <c r="C20" s="65"/>
      <c r="D20" s="53"/>
      <c r="F20" s="19" t="s">
        <v>42</v>
      </c>
      <c r="U20" s="65"/>
      <c r="AD20" s="65"/>
      <c r="AM20" s="65"/>
      <c r="BI20" s="67"/>
    </row>
    <row r="21" spans="1:61" ht="15" customHeight="1" x14ac:dyDescent="0.25">
      <c r="A21" s="28"/>
      <c r="C21" s="65"/>
      <c r="D21" s="53"/>
      <c r="E21" s="53" t="s">
        <v>43</v>
      </c>
      <c r="U21" s="65"/>
      <c r="AD21" s="65"/>
      <c r="AM21" s="65"/>
      <c r="BI21" s="67"/>
    </row>
    <row r="22" spans="1:61" ht="15" customHeight="1" x14ac:dyDescent="0.25">
      <c r="A22" s="28"/>
      <c r="C22" s="65"/>
      <c r="D22" s="53"/>
      <c r="F22" s="19" t="s">
        <v>44</v>
      </c>
      <c r="U22" s="65"/>
      <c r="AD22" s="65"/>
      <c r="AM22" s="65"/>
      <c r="BI22" s="67"/>
    </row>
    <row r="23" spans="1:61" ht="15" customHeight="1" x14ac:dyDescent="0.25">
      <c r="A23" s="28"/>
      <c r="C23" s="65"/>
      <c r="D23" s="53" t="s">
        <v>45</v>
      </c>
      <c r="U23" s="65"/>
      <c r="AD23" s="65"/>
      <c r="AM23" s="65"/>
      <c r="BI23" s="67"/>
    </row>
    <row r="24" spans="1:61" ht="15" customHeight="1" x14ac:dyDescent="0.25">
      <c r="A24" s="28"/>
      <c r="C24" s="65"/>
      <c r="D24" s="53"/>
      <c r="E24" s="53" t="s">
        <v>46</v>
      </c>
      <c r="U24" s="65"/>
      <c r="AD24" s="65"/>
      <c r="AM24" s="65"/>
      <c r="BI24" s="67"/>
    </row>
    <row r="25" spans="1:61" ht="15" customHeight="1" x14ac:dyDescent="0.25">
      <c r="A25" s="28"/>
      <c r="C25" s="65"/>
      <c r="D25" s="53"/>
      <c r="E25" s="53"/>
      <c r="F25" s="19" t="s">
        <v>44</v>
      </c>
      <c r="U25" s="65"/>
      <c r="AD25" s="65"/>
      <c r="AM25" s="65"/>
      <c r="BI25" s="67"/>
    </row>
    <row r="26" spans="1:61" s="19" customFormat="1" ht="15" customHeight="1" x14ac:dyDescent="0.25">
      <c r="A26" s="317"/>
      <c r="C26" s="318"/>
      <c r="D26" s="319"/>
      <c r="U26" s="318"/>
      <c r="AD26" s="318"/>
      <c r="AM26" s="318"/>
      <c r="BI26" s="320"/>
    </row>
    <row r="27" spans="1:61" s="322" customFormat="1" ht="15" customHeight="1" x14ac:dyDescent="0.25">
      <c r="A27" s="321"/>
      <c r="C27" s="323"/>
      <c r="D27" s="322" t="s">
        <v>113</v>
      </c>
      <c r="U27" s="323"/>
      <c r="AD27" s="323"/>
      <c r="AM27" s="323"/>
      <c r="BI27" s="324"/>
    </row>
    <row r="28" spans="1:61" s="322" customFormat="1" ht="15" customHeight="1" x14ac:dyDescent="0.25">
      <c r="A28" s="321"/>
      <c r="C28" s="323"/>
      <c r="E28" s="325" t="s">
        <v>114</v>
      </c>
      <c r="U28" s="323"/>
      <c r="AD28" s="323"/>
      <c r="AM28" s="323"/>
      <c r="BI28" s="324"/>
    </row>
    <row r="29" spans="1:61" s="322" customFormat="1" ht="15" customHeight="1" x14ac:dyDescent="0.25">
      <c r="A29" s="321"/>
      <c r="C29" s="323"/>
      <c r="E29" s="325" t="s">
        <v>115</v>
      </c>
      <c r="U29" s="323"/>
      <c r="AD29" s="323"/>
      <c r="AM29" s="323"/>
      <c r="BI29" s="324"/>
    </row>
    <row r="30" spans="1:61" s="19" customFormat="1" ht="15" customHeight="1" x14ac:dyDescent="0.25">
      <c r="A30" s="317"/>
      <c r="C30" s="318"/>
      <c r="D30" s="319" t="s">
        <v>125</v>
      </c>
      <c r="U30" s="318"/>
      <c r="AD30" s="318"/>
      <c r="AM30" s="318"/>
      <c r="BI30" s="320"/>
    </row>
    <row r="31" spans="1:61" s="19" customFormat="1" ht="15" customHeight="1" x14ac:dyDescent="0.25">
      <c r="A31" s="317"/>
      <c r="C31" s="318"/>
      <c r="D31" s="319"/>
      <c r="E31" s="319" t="s">
        <v>126</v>
      </c>
      <c r="U31" s="318"/>
      <c r="AD31" s="318"/>
      <c r="AM31" s="318"/>
      <c r="BI31" s="320"/>
    </row>
    <row r="32" spans="1:61" s="19" customFormat="1" ht="15" customHeight="1" x14ac:dyDescent="0.25">
      <c r="A32" s="317"/>
      <c r="C32" s="318"/>
      <c r="D32" s="319"/>
      <c r="E32" s="319" t="s">
        <v>118</v>
      </c>
      <c r="U32" s="318"/>
      <c r="AD32" s="318"/>
      <c r="AM32" s="318"/>
      <c r="BI32" s="320"/>
    </row>
    <row r="33" spans="1:61" s="19" customFormat="1" ht="15" customHeight="1" x14ac:dyDescent="0.25">
      <c r="A33" s="317"/>
      <c r="C33" s="318"/>
      <c r="D33" s="319"/>
      <c r="E33" s="319"/>
      <c r="F33" s="319" t="s">
        <v>127</v>
      </c>
      <c r="U33" s="318"/>
      <c r="AD33" s="318"/>
      <c r="AM33" s="318"/>
      <c r="BI33" s="320"/>
    </row>
    <row r="34" spans="1:61" s="19" customFormat="1" ht="15" customHeight="1" x14ac:dyDescent="0.25">
      <c r="A34" s="317"/>
      <c r="C34" s="318"/>
      <c r="F34" s="319" t="s">
        <v>128</v>
      </c>
      <c r="U34" s="318"/>
      <c r="AD34" s="318"/>
      <c r="AM34" s="318"/>
      <c r="BI34" s="320"/>
    </row>
    <row r="35" spans="1:61" s="19" customFormat="1" ht="15" customHeight="1" x14ac:dyDescent="0.25">
      <c r="A35" s="317"/>
      <c r="C35" s="318"/>
      <c r="F35" s="319"/>
      <c r="G35" s="319" t="s">
        <v>129</v>
      </c>
      <c r="U35" s="318"/>
      <c r="AD35" s="318"/>
      <c r="AM35" s="318"/>
      <c r="BI35" s="320"/>
    </row>
    <row r="36" spans="1:61" s="19" customFormat="1" ht="15" customHeight="1" x14ac:dyDescent="0.25">
      <c r="A36" s="317"/>
      <c r="C36" s="318"/>
      <c r="F36" s="319"/>
      <c r="G36" s="319" t="s">
        <v>130</v>
      </c>
      <c r="U36" s="318"/>
      <c r="AD36" s="318"/>
      <c r="AM36" s="318"/>
      <c r="BI36" s="320"/>
    </row>
    <row r="37" spans="1:61" s="19" customFormat="1" ht="15" customHeight="1" x14ac:dyDescent="0.25">
      <c r="A37" s="317"/>
      <c r="C37" s="318"/>
      <c r="U37" s="318"/>
      <c r="AD37" s="318"/>
      <c r="AM37" s="318"/>
      <c r="BI37" s="320"/>
    </row>
    <row r="38" spans="1:61" s="19" customFormat="1" ht="15" customHeight="1" thickBot="1" x14ac:dyDescent="0.3">
      <c r="A38" s="317"/>
      <c r="C38" s="318"/>
      <c r="F38" s="326" t="s">
        <v>131</v>
      </c>
      <c r="G38" s="326"/>
      <c r="H38" s="326"/>
      <c r="I38" s="326"/>
      <c r="J38" s="327" t="s">
        <v>132</v>
      </c>
      <c r="K38" s="328"/>
      <c r="L38" s="328"/>
      <c r="M38" s="328"/>
      <c r="N38" s="329"/>
      <c r="O38" s="327" t="s">
        <v>133</v>
      </c>
      <c r="P38" s="328"/>
      <c r="Q38" s="328"/>
      <c r="R38" s="328"/>
      <c r="S38" s="329"/>
      <c r="T38" s="327" t="s">
        <v>134</v>
      </c>
      <c r="U38" s="328"/>
      <c r="V38" s="328"/>
      <c r="W38" s="329"/>
      <c r="X38" s="328" t="s">
        <v>116</v>
      </c>
      <c r="Y38" s="328"/>
      <c r="Z38" s="329"/>
      <c r="AA38" s="327" t="s">
        <v>117</v>
      </c>
      <c r="AB38" s="328"/>
      <c r="AC38" s="328"/>
      <c r="AD38" s="328"/>
      <c r="AE38" s="329"/>
      <c r="AG38" s="327" t="s">
        <v>131</v>
      </c>
      <c r="AH38" s="328"/>
      <c r="AI38" s="328"/>
      <c r="AJ38" s="329"/>
      <c r="AK38" s="327" t="s">
        <v>132</v>
      </c>
      <c r="AL38" s="328"/>
      <c r="AM38" s="328"/>
      <c r="AN38" s="328"/>
      <c r="AO38" s="329"/>
      <c r="AP38" s="327" t="s">
        <v>133</v>
      </c>
      <c r="AQ38" s="328"/>
      <c r="AR38" s="328"/>
      <c r="AS38" s="328"/>
      <c r="AT38" s="329"/>
      <c r="AU38" s="327" t="s">
        <v>134</v>
      </c>
      <c r="AV38" s="328"/>
      <c r="AW38" s="328"/>
      <c r="AX38" s="329"/>
      <c r="AY38" s="330" t="s">
        <v>116</v>
      </c>
      <c r="AZ38" s="330"/>
      <c r="BA38" s="331"/>
      <c r="BB38" s="332" t="s">
        <v>117</v>
      </c>
      <c r="BC38" s="330"/>
      <c r="BD38" s="330"/>
      <c r="BE38" s="330"/>
      <c r="BF38" s="331"/>
      <c r="BI38" s="320"/>
    </row>
    <row r="39" spans="1:61" s="19" customFormat="1" ht="15" customHeight="1" thickBot="1" x14ac:dyDescent="0.3">
      <c r="A39" s="317"/>
      <c r="C39" s="318"/>
      <c r="F39" s="309" t="s">
        <v>101</v>
      </c>
      <c r="G39" s="310"/>
      <c r="H39" s="310"/>
      <c r="I39" s="310"/>
      <c r="J39" s="311" t="s">
        <v>36</v>
      </c>
      <c r="K39" s="312"/>
      <c r="L39" s="312"/>
      <c r="M39" s="312"/>
      <c r="N39" s="313"/>
      <c r="O39" s="311" t="s">
        <v>36</v>
      </c>
      <c r="P39" s="312"/>
      <c r="Q39" s="312"/>
      <c r="R39" s="312"/>
      <c r="S39" s="313"/>
      <c r="T39" s="314" t="s">
        <v>36</v>
      </c>
      <c r="U39" s="315"/>
      <c r="V39" s="315"/>
      <c r="W39" s="316"/>
      <c r="X39" s="312" t="s">
        <v>102</v>
      </c>
      <c r="Y39" s="312"/>
      <c r="Z39" s="313"/>
      <c r="AA39" s="311"/>
      <c r="AB39" s="333"/>
      <c r="AC39" s="334"/>
      <c r="AD39" s="335"/>
      <c r="AE39" s="313"/>
      <c r="AG39" s="309" t="s">
        <v>101</v>
      </c>
      <c r="AH39" s="310"/>
      <c r="AI39" s="310"/>
      <c r="AJ39" s="310"/>
      <c r="AK39" s="311" t="s">
        <v>36</v>
      </c>
      <c r="AL39" s="312"/>
      <c r="AM39" s="312"/>
      <c r="AN39" s="312"/>
      <c r="AO39" s="313"/>
      <c r="AP39" s="311" t="s">
        <v>36</v>
      </c>
      <c r="AQ39" s="312"/>
      <c r="AR39" s="312"/>
      <c r="AS39" s="312"/>
      <c r="AT39" s="313"/>
      <c r="AU39" s="314" t="s">
        <v>36</v>
      </c>
      <c r="AV39" s="315"/>
      <c r="AW39" s="315"/>
      <c r="AX39" s="316"/>
      <c r="AY39" s="312" t="s">
        <v>102</v>
      </c>
      <c r="AZ39" s="312"/>
      <c r="BA39" s="313"/>
      <c r="BB39" s="311"/>
      <c r="BC39" s="333"/>
      <c r="BD39" s="336"/>
      <c r="BE39" s="335"/>
      <c r="BF39" s="313"/>
      <c r="BI39" s="320"/>
    </row>
    <row r="40" spans="1:61" s="19" customFormat="1" ht="15" customHeight="1" thickBot="1" x14ac:dyDescent="0.3">
      <c r="A40" s="317"/>
      <c r="C40" s="318"/>
      <c r="F40" s="309" t="s">
        <v>101</v>
      </c>
      <c r="G40" s="310"/>
      <c r="H40" s="310"/>
      <c r="I40" s="310"/>
      <c r="J40" s="311" t="s">
        <v>104</v>
      </c>
      <c r="K40" s="312"/>
      <c r="L40" s="312"/>
      <c r="M40" s="312"/>
      <c r="N40" s="313"/>
      <c r="O40" s="311" t="s">
        <v>36</v>
      </c>
      <c r="P40" s="312"/>
      <c r="Q40" s="312"/>
      <c r="R40" s="312"/>
      <c r="S40" s="313"/>
      <c r="T40" s="311" t="s">
        <v>36</v>
      </c>
      <c r="U40" s="312"/>
      <c r="V40" s="312"/>
      <c r="W40" s="313"/>
      <c r="X40" s="310" t="s">
        <v>103</v>
      </c>
      <c r="Y40" s="310"/>
      <c r="Z40" s="310"/>
      <c r="AA40" s="337"/>
      <c r="AB40" s="338"/>
      <c r="AC40" s="339"/>
      <c r="AD40" s="340"/>
      <c r="AE40" s="341"/>
      <c r="AG40" s="309" t="s">
        <v>101</v>
      </c>
      <c r="AH40" s="310"/>
      <c r="AI40" s="310"/>
      <c r="AJ40" s="310"/>
      <c r="AK40" s="311" t="s">
        <v>104</v>
      </c>
      <c r="AL40" s="312"/>
      <c r="AM40" s="312"/>
      <c r="AN40" s="312"/>
      <c r="AO40" s="313"/>
      <c r="AP40" s="311" t="s">
        <v>36</v>
      </c>
      <c r="AQ40" s="312"/>
      <c r="AR40" s="312"/>
      <c r="AS40" s="312"/>
      <c r="AT40" s="313"/>
      <c r="AU40" s="311" t="s">
        <v>36</v>
      </c>
      <c r="AV40" s="312"/>
      <c r="AW40" s="312"/>
      <c r="AX40" s="313"/>
      <c r="AY40" s="312" t="s">
        <v>102</v>
      </c>
      <c r="AZ40" s="312"/>
      <c r="BA40" s="313"/>
      <c r="BB40" s="311"/>
      <c r="BC40" s="312"/>
      <c r="BD40" s="336"/>
      <c r="BE40" s="312"/>
      <c r="BF40" s="313"/>
      <c r="BI40" s="320"/>
    </row>
    <row r="41" spans="1:61" s="19" customFormat="1" ht="15" customHeight="1" thickBot="1" x14ac:dyDescent="0.3">
      <c r="A41" s="317"/>
      <c r="C41" s="318"/>
      <c r="F41" s="309" t="s">
        <v>101</v>
      </c>
      <c r="G41" s="310"/>
      <c r="H41" s="310"/>
      <c r="I41" s="310"/>
      <c r="J41" s="311" t="s">
        <v>104</v>
      </c>
      <c r="K41" s="312"/>
      <c r="L41" s="312"/>
      <c r="M41" s="312"/>
      <c r="N41" s="313"/>
      <c r="O41" s="311" t="s">
        <v>105</v>
      </c>
      <c r="P41" s="312"/>
      <c r="Q41" s="312"/>
      <c r="R41" s="312"/>
      <c r="S41" s="313"/>
      <c r="T41" s="311" t="s">
        <v>36</v>
      </c>
      <c r="U41" s="312"/>
      <c r="V41" s="312"/>
      <c r="W41" s="313"/>
      <c r="X41" s="310" t="s">
        <v>103</v>
      </c>
      <c r="Y41" s="310"/>
      <c r="Z41" s="310"/>
      <c r="AA41" s="337"/>
      <c r="AB41" s="338"/>
      <c r="AC41" s="339"/>
      <c r="AD41" s="340"/>
      <c r="AE41" s="341"/>
      <c r="AG41" s="309" t="s">
        <v>101</v>
      </c>
      <c r="AH41" s="310"/>
      <c r="AI41" s="310"/>
      <c r="AJ41" s="310"/>
      <c r="AK41" s="311" t="s">
        <v>104</v>
      </c>
      <c r="AL41" s="312"/>
      <c r="AM41" s="312"/>
      <c r="AN41" s="312"/>
      <c r="AO41" s="313"/>
      <c r="AP41" s="311" t="s">
        <v>105</v>
      </c>
      <c r="AQ41" s="312"/>
      <c r="AR41" s="312"/>
      <c r="AS41" s="312"/>
      <c r="AT41" s="313"/>
      <c r="AU41" s="311" t="s">
        <v>36</v>
      </c>
      <c r="AV41" s="312"/>
      <c r="AW41" s="312"/>
      <c r="AX41" s="313"/>
      <c r="AY41" s="312" t="s">
        <v>102</v>
      </c>
      <c r="AZ41" s="312"/>
      <c r="BA41" s="313"/>
      <c r="BB41" s="311"/>
      <c r="BC41" s="312"/>
      <c r="BD41" s="336"/>
      <c r="BE41" s="312"/>
      <c r="BF41" s="313"/>
      <c r="BI41" s="320"/>
    </row>
    <row r="42" spans="1:61" s="19" customFormat="1" ht="15" customHeight="1" thickBot="1" x14ac:dyDescent="0.3">
      <c r="A42" s="317"/>
      <c r="C42" s="318"/>
      <c r="F42" s="309" t="s">
        <v>101</v>
      </c>
      <c r="G42" s="310"/>
      <c r="H42" s="310"/>
      <c r="I42" s="310"/>
      <c r="J42" s="311" t="s">
        <v>104</v>
      </c>
      <c r="K42" s="312"/>
      <c r="L42" s="312"/>
      <c r="M42" s="312"/>
      <c r="N42" s="313"/>
      <c r="O42" s="311" t="s">
        <v>105</v>
      </c>
      <c r="P42" s="312"/>
      <c r="Q42" s="312"/>
      <c r="R42" s="312"/>
      <c r="S42" s="313"/>
      <c r="T42" s="311" t="s">
        <v>106</v>
      </c>
      <c r="U42" s="312"/>
      <c r="V42" s="312"/>
      <c r="W42" s="313"/>
      <c r="X42" s="310" t="s">
        <v>103</v>
      </c>
      <c r="Y42" s="310"/>
      <c r="Z42" s="310"/>
      <c r="AA42" s="337"/>
      <c r="AB42" s="338"/>
      <c r="AC42" s="339"/>
      <c r="AD42" s="340"/>
      <c r="AE42" s="341"/>
      <c r="AF42" s="342" t="s">
        <v>37</v>
      </c>
      <c r="AG42" s="309" t="s">
        <v>101</v>
      </c>
      <c r="AH42" s="310"/>
      <c r="AI42" s="310"/>
      <c r="AJ42" s="310"/>
      <c r="AK42" s="311" t="s">
        <v>104</v>
      </c>
      <c r="AL42" s="312"/>
      <c r="AM42" s="312"/>
      <c r="AN42" s="312"/>
      <c r="AO42" s="313"/>
      <c r="AP42" s="311" t="s">
        <v>105</v>
      </c>
      <c r="AQ42" s="312"/>
      <c r="AR42" s="312"/>
      <c r="AS42" s="312"/>
      <c r="AT42" s="313"/>
      <c r="AU42" s="311" t="s">
        <v>106</v>
      </c>
      <c r="AV42" s="312"/>
      <c r="AW42" s="312"/>
      <c r="AX42" s="313"/>
      <c r="AY42" s="312" t="s">
        <v>102</v>
      </c>
      <c r="AZ42" s="312"/>
      <c r="BA42" s="313"/>
      <c r="BB42" s="311"/>
      <c r="BC42" s="312"/>
      <c r="BD42" s="336"/>
      <c r="BE42" s="312"/>
      <c r="BF42" s="313"/>
      <c r="BI42" s="320"/>
    </row>
    <row r="43" spans="1:61" s="19" customFormat="1" ht="15" customHeight="1" thickBot="1" x14ac:dyDescent="0.3">
      <c r="A43" s="317"/>
      <c r="C43" s="318"/>
      <c r="F43" s="309" t="s">
        <v>101</v>
      </c>
      <c r="G43" s="310"/>
      <c r="H43" s="310"/>
      <c r="I43" s="310"/>
      <c r="J43" s="311" t="s">
        <v>104</v>
      </c>
      <c r="K43" s="312"/>
      <c r="L43" s="312"/>
      <c r="M43" s="312"/>
      <c r="N43" s="313"/>
      <c r="O43" s="311" t="s">
        <v>105</v>
      </c>
      <c r="P43" s="312"/>
      <c r="Q43" s="312"/>
      <c r="R43" s="312"/>
      <c r="S43" s="313"/>
      <c r="T43" s="311" t="s">
        <v>135</v>
      </c>
      <c r="U43" s="312"/>
      <c r="V43" s="312"/>
      <c r="W43" s="313"/>
      <c r="X43" s="310" t="s">
        <v>103</v>
      </c>
      <c r="Y43" s="310"/>
      <c r="Z43" s="310"/>
      <c r="AA43" s="337"/>
      <c r="AB43" s="338"/>
      <c r="AC43" s="339"/>
      <c r="AD43" s="340"/>
      <c r="AE43" s="341"/>
      <c r="AG43" s="309" t="s">
        <v>101</v>
      </c>
      <c r="AH43" s="310"/>
      <c r="AI43" s="310"/>
      <c r="AJ43" s="310"/>
      <c r="AK43" s="311" t="s">
        <v>104</v>
      </c>
      <c r="AL43" s="312"/>
      <c r="AM43" s="312"/>
      <c r="AN43" s="312"/>
      <c r="AO43" s="313"/>
      <c r="AP43" s="311" t="s">
        <v>105</v>
      </c>
      <c r="AQ43" s="312"/>
      <c r="AR43" s="312"/>
      <c r="AS43" s="312"/>
      <c r="AT43" s="313"/>
      <c r="AU43" s="311" t="s">
        <v>135</v>
      </c>
      <c r="AV43" s="312"/>
      <c r="AW43" s="312"/>
      <c r="AX43" s="313"/>
      <c r="AY43" s="312" t="s">
        <v>102</v>
      </c>
      <c r="AZ43" s="312"/>
      <c r="BA43" s="313"/>
      <c r="BB43" s="311"/>
      <c r="BC43" s="312"/>
      <c r="BD43" s="336"/>
      <c r="BE43" s="312"/>
      <c r="BF43" s="313"/>
      <c r="BI43" s="320"/>
    </row>
    <row r="44" spans="1:61" s="19" customFormat="1" ht="15" customHeight="1" thickBot="1" x14ac:dyDescent="0.3">
      <c r="A44" s="317"/>
      <c r="C44" s="318"/>
      <c r="F44" s="309" t="s">
        <v>101</v>
      </c>
      <c r="G44" s="310"/>
      <c r="H44" s="310"/>
      <c r="I44" s="310"/>
      <c r="J44" s="311" t="s">
        <v>104</v>
      </c>
      <c r="K44" s="312"/>
      <c r="L44" s="312"/>
      <c r="M44" s="312"/>
      <c r="N44" s="313"/>
      <c r="O44" s="311" t="s">
        <v>105</v>
      </c>
      <c r="P44" s="312"/>
      <c r="Q44" s="312"/>
      <c r="R44" s="312"/>
      <c r="S44" s="313"/>
      <c r="T44" s="311" t="s">
        <v>136</v>
      </c>
      <c r="U44" s="312"/>
      <c r="V44" s="312"/>
      <c r="W44" s="313"/>
      <c r="X44" s="310" t="s">
        <v>103</v>
      </c>
      <c r="Y44" s="310"/>
      <c r="Z44" s="310"/>
      <c r="AA44" s="337"/>
      <c r="AB44" s="338"/>
      <c r="AC44" s="339"/>
      <c r="AD44" s="340"/>
      <c r="AE44" s="341"/>
      <c r="AG44" s="309" t="s">
        <v>101</v>
      </c>
      <c r="AH44" s="310"/>
      <c r="AI44" s="310"/>
      <c r="AJ44" s="310"/>
      <c r="AK44" s="311" t="s">
        <v>104</v>
      </c>
      <c r="AL44" s="312"/>
      <c r="AM44" s="312"/>
      <c r="AN44" s="312"/>
      <c r="AO44" s="313"/>
      <c r="AP44" s="311" t="s">
        <v>105</v>
      </c>
      <c r="AQ44" s="312"/>
      <c r="AR44" s="312"/>
      <c r="AS44" s="312"/>
      <c r="AT44" s="313"/>
      <c r="AU44" s="311" t="s">
        <v>136</v>
      </c>
      <c r="AV44" s="312"/>
      <c r="AW44" s="312"/>
      <c r="AX44" s="313"/>
      <c r="AY44" s="312" t="s">
        <v>102</v>
      </c>
      <c r="AZ44" s="312"/>
      <c r="BA44" s="313"/>
      <c r="BB44" s="311"/>
      <c r="BC44" s="312"/>
      <c r="BD44" s="336"/>
      <c r="BE44" s="312"/>
      <c r="BF44" s="313"/>
      <c r="BI44" s="320"/>
    </row>
    <row r="45" spans="1:61" s="19" customFormat="1" ht="15" customHeight="1" thickBot="1" x14ac:dyDescent="0.3">
      <c r="A45" s="317"/>
      <c r="C45" s="318"/>
      <c r="F45" s="309" t="s">
        <v>101</v>
      </c>
      <c r="G45" s="310"/>
      <c r="H45" s="310"/>
      <c r="I45" s="310"/>
      <c r="J45" s="311" t="s">
        <v>104</v>
      </c>
      <c r="K45" s="312"/>
      <c r="L45" s="312"/>
      <c r="M45" s="312"/>
      <c r="N45" s="313"/>
      <c r="O45" s="311" t="s">
        <v>105</v>
      </c>
      <c r="P45" s="312"/>
      <c r="Q45" s="312"/>
      <c r="R45" s="312"/>
      <c r="S45" s="313"/>
      <c r="T45" s="311" t="s">
        <v>137</v>
      </c>
      <c r="U45" s="312"/>
      <c r="V45" s="312"/>
      <c r="W45" s="313"/>
      <c r="X45" s="310" t="s">
        <v>103</v>
      </c>
      <c r="Y45" s="310"/>
      <c r="Z45" s="310"/>
      <c r="AA45" s="337"/>
      <c r="AB45" s="338"/>
      <c r="AC45" s="339"/>
      <c r="AD45" s="340"/>
      <c r="AE45" s="341"/>
      <c r="AG45" s="309" t="s">
        <v>101</v>
      </c>
      <c r="AH45" s="310"/>
      <c r="AI45" s="310"/>
      <c r="AJ45" s="310"/>
      <c r="AK45" s="311" t="s">
        <v>104</v>
      </c>
      <c r="AL45" s="312"/>
      <c r="AM45" s="312"/>
      <c r="AN45" s="312"/>
      <c r="AO45" s="313"/>
      <c r="AP45" s="311" t="s">
        <v>105</v>
      </c>
      <c r="AQ45" s="312"/>
      <c r="AR45" s="312"/>
      <c r="AS45" s="312"/>
      <c r="AT45" s="313"/>
      <c r="AU45" s="311" t="s">
        <v>137</v>
      </c>
      <c r="AV45" s="312"/>
      <c r="AW45" s="312"/>
      <c r="AX45" s="313"/>
      <c r="AY45" s="312" t="s">
        <v>102</v>
      </c>
      <c r="AZ45" s="312"/>
      <c r="BA45" s="313"/>
      <c r="BB45" s="311"/>
      <c r="BC45" s="312"/>
      <c r="BD45" s="336"/>
      <c r="BE45" s="312"/>
      <c r="BF45" s="313"/>
      <c r="BI45" s="320"/>
    </row>
    <row r="46" spans="1:61" s="19" customFormat="1" ht="15" customHeight="1" thickBot="1" x14ac:dyDescent="0.3">
      <c r="A46" s="317"/>
      <c r="C46" s="318"/>
      <c r="F46" s="309" t="s">
        <v>138</v>
      </c>
      <c r="G46" s="310"/>
      <c r="H46" s="310"/>
      <c r="I46" s="310"/>
      <c r="J46" s="311" t="s">
        <v>36</v>
      </c>
      <c r="K46" s="312"/>
      <c r="L46" s="312"/>
      <c r="M46" s="312"/>
      <c r="N46" s="313"/>
      <c r="O46" s="311" t="s">
        <v>36</v>
      </c>
      <c r="P46" s="312"/>
      <c r="Q46" s="312"/>
      <c r="R46" s="312"/>
      <c r="S46" s="313"/>
      <c r="T46" s="314" t="s">
        <v>36</v>
      </c>
      <c r="U46" s="315"/>
      <c r="V46" s="315"/>
      <c r="W46" s="316"/>
      <c r="X46" s="310" t="s">
        <v>103</v>
      </c>
      <c r="Y46" s="310"/>
      <c r="Z46" s="310"/>
      <c r="AA46" s="337"/>
      <c r="AB46" s="338"/>
      <c r="AC46" s="339"/>
      <c r="AD46" s="340"/>
      <c r="AE46" s="341"/>
      <c r="AG46" s="309" t="s">
        <v>138</v>
      </c>
      <c r="AH46" s="310"/>
      <c r="AI46" s="310"/>
      <c r="AJ46" s="310"/>
      <c r="AK46" s="311" t="s">
        <v>36</v>
      </c>
      <c r="AL46" s="312"/>
      <c r="AM46" s="312"/>
      <c r="AN46" s="312"/>
      <c r="AO46" s="313"/>
      <c r="AP46" s="311" t="s">
        <v>36</v>
      </c>
      <c r="AQ46" s="312"/>
      <c r="AR46" s="312"/>
      <c r="AS46" s="312"/>
      <c r="AT46" s="313"/>
      <c r="AU46" s="314" t="s">
        <v>36</v>
      </c>
      <c r="AV46" s="315"/>
      <c r="AW46" s="315"/>
      <c r="AX46" s="316"/>
      <c r="AY46" s="310" t="s">
        <v>103</v>
      </c>
      <c r="AZ46" s="310"/>
      <c r="BA46" s="310"/>
      <c r="BB46" s="337"/>
      <c r="BC46" s="338"/>
      <c r="BD46" s="339"/>
      <c r="BE46" s="340"/>
      <c r="BF46" s="341"/>
      <c r="BI46" s="320"/>
    </row>
    <row r="47" spans="1:61" s="19" customFormat="1" ht="15" customHeight="1" x14ac:dyDescent="0.25">
      <c r="A47" s="317"/>
      <c r="C47" s="318"/>
      <c r="U47" s="318"/>
      <c r="AD47" s="318"/>
      <c r="AM47" s="318"/>
      <c r="BI47" s="320"/>
    </row>
    <row r="48" spans="1:61" s="19" customFormat="1" ht="15" customHeight="1" x14ac:dyDescent="0.25">
      <c r="A48" s="317"/>
      <c r="C48" s="318"/>
      <c r="U48" s="318"/>
      <c r="AD48" s="318"/>
      <c r="AM48" s="318"/>
      <c r="BI48" s="320"/>
    </row>
    <row r="49" spans="1:61" s="19" customFormat="1" ht="15" customHeight="1" thickBot="1" x14ac:dyDescent="0.3">
      <c r="A49" s="317"/>
      <c r="C49" s="318"/>
      <c r="F49" s="326" t="s">
        <v>131</v>
      </c>
      <c r="G49" s="326"/>
      <c r="H49" s="326"/>
      <c r="I49" s="326"/>
      <c r="J49" s="327" t="s">
        <v>132</v>
      </c>
      <c r="K49" s="328"/>
      <c r="L49" s="328"/>
      <c r="M49" s="328"/>
      <c r="N49" s="329"/>
      <c r="O49" s="327" t="s">
        <v>133</v>
      </c>
      <c r="P49" s="328"/>
      <c r="Q49" s="328"/>
      <c r="R49" s="328"/>
      <c r="S49" s="329"/>
      <c r="T49" s="327" t="s">
        <v>134</v>
      </c>
      <c r="U49" s="328"/>
      <c r="V49" s="328"/>
      <c r="W49" s="329"/>
      <c r="X49" s="330" t="s">
        <v>116</v>
      </c>
      <c r="Y49" s="330"/>
      <c r="Z49" s="331"/>
      <c r="AA49" s="332" t="s">
        <v>117</v>
      </c>
      <c r="AB49" s="330"/>
      <c r="AC49" s="330"/>
      <c r="AD49" s="330"/>
      <c r="AE49" s="331"/>
      <c r="AG49" s="327" t="s">
        <v>131</v>
      </c>
      <c r="AH49" s="328"/>
      <c r="AI49" s="328"/>
      <c r="AJ49" s="329"/>
      <c r="AK49" s="327" t="s">
        <v>132</v>
      </c>
      <c r="AL49" s="328"/>
      <c r="AM49" s="328"/>
      <c r="AN49" s="328"/>
      <c r="AO49" s="329"/>
      <c r="AP49" s="327" t="s">
        <v>133</v>
      </c>
      <c r="AQ49" s="328"/>
      <c r="AR49" s="328"/>
      <c r="AS49" s="328"/>
      <c r="AT49" s="329"/>
      <c r="AU49" s="327" t="s">
        <v>134</v>
      </c>
      <c r="AV49" s="328"/>
      <c r="AW49" s="328"/>
      <c r="AX49" s="329"/>
      <c r="AY49" s="330" t="s">
        <v>116</v>
      </c>
      <c r="AZ49" s="330"/>
      <c r="BA49" s="331"/>
      <c r="BB49" s="332" t="s">
        <v>117</v>
      </c>
      <c r="BC49" s="330"/>
      <c r="BD49" s="330"/>
      <c r="BE49" s="330"/>
      <c r="BF49" s="331"/>
      <c r="BH49" s="19" t="s">
        <v>47</v>
      </c>
      <c r="BI49" s="320"/>
    </row>
    <row r="50" spans="1:61" s="19" customFormat="1" ht="15" customHeight="1" thickBot="1" x14ac:dyDescent="0.3">
      <c r="A50" s="317"/>
      <c r="C50" s="318"/>
      <c r="F50" s="309" t="s">
        <v>101</v>
      </c>
      <c r="G50" s="310"/>
      <c r="H50" s="310"/>
      <c r="I50" s="310"/>
      <c r="J50" s="311" t="s">
        <v>36</v>
      </c>
      <c r="K50" s="312"/>
      <c r="L50" s="312"/>
      <c r="M50" s="312"/>
      <c r="N50" s="313"/>
      <c r="O50" s="311" t="s">
        <v>36</v>
      </c>
      <c r="P50" s="312"/>
      <c r="Q50" s="312"/>
      <c r="R50" s="312"/>
      <c r="S50" s="313"/>
      <c r="T50" s="314" t="s">
        <v>36</v>
      </c>
      <c r="U50" s="315"/>
      <c r="V50" s="315"/>
      <c r="W50" s="316"/>
      <c r="X50" s="310" t="s">
        <v>103</v>
      </c>
      <c r="Y50" s="310"/>
      <c r="Z50" s="310"/>
      <c r="AA50" s="311"/>
      <c r="AB50" s="333"/>
      <c r="AC50" s="334"/>
      <c r="AD50" s="335"/>
      <c r="AE50" s="313"/>
      <c r="AG50" s="309" t="s">
        <v>101</v>
      </c>
      <c r="AH50" s="310"/>
      <c r="AI50" s="310"/>
      <c r="AJ50" s="310"/>
      <c r="AK50" s="311" t="s">
        <v>36</v>
      </c>
      <c r="AL50" s="312"/>
      <c r="AM50" s="312"/>
      <c r="AN50" s="312"/>
      <c r="AO50" s="313"/>
      <c r="AP50" s="311" t="s">
        <v>36</v>
      </c>
      <c r="AQ50" s="312"/>
      <c r="AR50" s="312"/>
      <c r="AS50" s="312"/>
      <c r="AT50" s="313"/>
      <c r="AU50" s="314" t="s">
        <v>36</v>
      </c>
      <c r="AV50" s="315"/>
      <c r="AW50" s="315"/>
      <c r="AX50" s="316"/>
      <c r="AY50" s="310" t="s">
        <v>103</v>
      </c>
      <c r="AZ50" s="310"/>
      <c r="BA50" s="310"/>
      <c r="BB50" s="311"/>
      <c r="BC50" s="312"/>
      <c r="BD50" s="336"/>
      <c r="BE50" s="312"/>
      <c r="BF50" s="313"/>
      <c r="BI50" s="320"/>
    </row>
    <row r="51" spans="1:61" s="19" customFormat="1" ht="15" customHeight="1" thickBot="1" x14ac:dyDescent="0.3">
      <c r="A51" s="317"/>
      <c r="C51" s="318"/>
      <c r="F51" s="309" t="s">
        <v>101</v>
      </c>
      <c r="G51" s="310"/>
      <c r="H51" s="310"/>
      <c r="I51" s="310"/>
      <c r="J51" s="311" t="s">
        <v>104</v>
      </c>
      <c r="K51" s="312"/>
      <c r="L51" s="312"/>
      <c r="M51" s="312"/>
      <c r="N51" s="313"/>
      <c r="O51" s="311" t="s">
        <v>36</v>
      </c>
      <c r="P51" s="312"/>
      <c r="Q51" s="312"/>
      <c r="R51" s="312"/>
      <c r="S51" s="313"/>
      <c r="T51" s="311" t="s">
        <v>36</v>
      </c>
      <c r="U51" s="312"/>
      <c r="V51" s="312"/>
      <c r="W51" s="313"/>
      <c r="X51" s="312" t="s">
        <v>102</v>
      </c>
      <c r="Y51" s="312"/>
      <c r="Z51" s="313"/>
      <c r="AA51" s="311"/>
      <c r="AB51" s="312"/>
      <c r="AC51" s="336"/>
      <c r="AD51" s="312"/>
      <c r="AE51" s="313"/>
      <c r="AG51" s="309" t="s">
        <v>101</v>
      </c>
      <c r="AH51" s="310"/>
      <c r="AI51" s="310"/>
      <c r="AJ51" s="310"/>
      <c r="AK51" s="311" t="s">
        <v>104</v>
      </c>
      <c r="AL51" s="312"/>
      <c r="AM51" s="312"/>
      <c r="AN51" s="312"/>
      <c r="AO51" s="313"/>
      <c r="AP51" s="311" t="s">
        <v>36</v>
      </c>
      <c r="AQ51" s="312"/>
      <c r="AR51" s="312"/>
      <c r="AS51" s="312"/>
      <c r="AT51" s="313"/>
      <c r="AU51" s="311" t="s">
        <v>36</v>
      </c>
      <c r="AV51" s="312"/>
      <c r="AW51" s="312"/>
      <c r="AX51" s="313"/>
      <c r="AY51" s="310" t="s">
        <v>103</v>
      </c>
      <c r="AZ51" s="310"/>
      <c r="BA51" s="310"/>
      <c r="BB51" s="311"/>
      <c r="BC51" s="312"/>
      <c r="BD51" s="336"/>
      <c r="BE51" s="312"/>
      <c r="BF51" s="313"/>
      <c r="BI51" s="320"/>
    </row>
    <row r="52" spans="1:61" s="19" customFormat="1" ht="15" customHeight="1" thickBot="1" x14ac:dyDescent="0.3">
      <c r="A52" s="317"/>
      <c r="C52" s="318"/>
      <c r="F52" s="309" t="s">
        <v>101</v>
      </c>
      <c r="G52" s="310"/>
      <c r="H52" s="310"/>
      <c r="I52" s="310"/>
      <c r="J52" s="311" t="s">
        <v>104</v>
      </c>
      <c r="K52" s="312"/>
      <c r="L52" s="312"/>
      <c r="M52" s="312"/>
      <c r="N52" s="313"/>
      <c r="O52" s="311" t="s">
        <v>105</v>
      </c>
      <c r="P52" s="312"/>
      <c r="Q52" s="312"/>
      <c r="R52" s="312"/>
      <c r="S52" s="313"/>
      <c r="T52" s="311" t="s">
        <v>36</v>
      </c>
      <c r="U52" s="312"/>
      <c r="V52" s="312"/>
      <c r="W52" s="313"/>
      <c r="X52" s="312" t="s">
        <v>102</v>
      </c>
      <c r="Y52" s="312"/>
      <c r="Z52" s="313"/>
      <c r="AA52" s="311"/>
      <c r="AB52" s="312"/>
      <c r="AC52" s="336"/>
      <c r="AD52" s="312"/>
      <c r="AE52" s="313"/>
      <c r="AG52" s="309" t="s">
        <v>101</v>
      </c>
      <c r="AH52" s="310"/>
      <c r="AI52" s="310"/>
      <c r="AJ52" s="310"/>
      <c r="AK52" s="311" t="s">
        <v>104</v>
      </c>
      <c r="AL52" s="312"/>
      <c r="AM52" s="312"/>
      <c r="AN52" s="312"/>
      <c r="AO52" s="313"/>
      <c r="AP52" s="311" t="s">
        <v>105</v>
      </c>
      <c r="AQ52" s="312"/>
      <c r="AR52" s="312"/>
      <c r="AS52" s="312"/>
      <c r="AT52" s="313"/>
      <c r="AU52" s="311" t="s">
        <v>36</v>
      </c>
      <c r="AV52" s="312"/>
      <c r="AW52" s="312"/>
      <c r="AX52" s="313"/>
      <c r="AY52" s="310" t="s">
        <v>103</v>
      </c>
      <c r="AZ52" s="310"/>
      <c r="BA52" s="310"/>
      <c r="BB52" s="311"/>
      <c r="BC52" s="312"/>
      <c r="BD52" s="336"/>
      <c r="BE52" s="312"/>
      <c r="BF52" s="313"/>
      <c r="BI52" s="320"/>
    </row>
    <row r="53" spans="1:61" s="19" customFormat="1" ht="15" customHeight="1" thickBot="1" x14ac:dyDescent="0.3">
      <c r="A53" s="317"/>
      <c r="C53" s="318"/>
      <c r="F53" s="309" t="s">
        <v>101</v>
      </c>
      <c r="G53" s="310"/>
      <c r="H53" s="310"/>
      <c r="I53" s="310"/>
      <c r="J53" s="311" t="s">
        <v>104</v>
      </c>
      <c r="K53" s="312"/>
      <c r="L53" s="312"/>
      <c r="M53" s="312"/>
      <c r="N53" s="313"/>
      <c r="O53" s="311" t="s">
        <v>105</v>
      </c>
      <c r="P53" s="312"/>
      <c r="Q53" s="312"/>
      <c r="R53" s="312"/>
      <c r="S53" s="313"/>
      <c r="T53" s="311" t="s">
        <v>106</v>
      </c>
      <c r="U53" s="312"/>
      <c r="V53" s="312"/>
      <c r="W53" s="313"/>
      <c r="X53" s="312" t="s">
        <v>102</v>
      </c>
      <c r="Y53" s="312"/>
      <c r="Z53" s="313"/>
      <c r="AA53" s="311"/>
      <c r="AB53" s="312"/>
      <c r="AC53" s="336"/>
      <c r="AD53" s="312"/>
      <c r="AE53" s="313"/>
      <c r="AF53" s="342" t="s">
        <v>37</v>
      </c>
      <c r="AG53" s="309" t="s">
        <v>101</v>
      </c>
      <c r="AH53" s="310"/>
      <c r="AI53" s="310"/>
      <c r="AJ53" s="310"/>
      <c r="AK53" s="311" t="s">
        <v>104</v>
      </c>
      <c r="AL53" s="312"/>
      <c r="AM53" s="312"/>
      <c r="AN53" s="312"/>
      <c r="AO53" s="313"/>
      <c r="AP53" s="311" t="s">
        <v>105</v>
      </c>
      <c r="AQ53" s="312"/>
      <c r="AR53" s="312"/>
      <c r="AS53" s="312"/>
      <c r="AT53" s="313"/>
      <c r="AU53" s="311" t="s">
        <v>106</v>
      </c>
      <c r="AV53" s="312"/>
      <c r="AW53" s="312"/>
      <c r="AX53" s="313"/>
      <c r="AY53" s="310" t="s">
        <v>103</v>
      </c>
      <c r="AZ53" s="310"/>
      <c r="BA53" s="310"/>
      <c r="BB53" s="311"/>
      <c r="BC53" s="312"/>
      <c r="BD53" s="336"/>
      <c r="BE53" s="312"/>
      <c r="BF53" s="313"/>
      <c r="BG53" s="319" t="s">
        <v>139</v>
      </c>
      <c r="BI53" s="320"/>
    </row>
    <row r="54" spans="1:61" s="19" customFormat="1" ht="15" customHeight="1" thickBot="1" x14ac:dyDescent="0.3">
      <c r="A54" s="317"/>
      <c r="C54" s="318"/>
      <c r="E54" s="319"/>
      <c r="F54" s="309" t="s">
        <v>101</v>
      </c>
      <c r="G54" s="310"/>
      <c r="H54" s="310"/>
      <c r="I54" s="310"/>
      <c r="J54" s="311" t="s">
        <v>104</v>
      </c>
      <c r="K54" s="312"/>
      <c r="L54" s="312"/>
      <c r="M54" s="312"/>
      <c r="N54" s="313"/>
      <c r="O54" s="311" t="s">
        <v>105</v>
      </c>
      <c r="P54" s="312"/>
      <c r="Q54" s="312"/>
      <c r="R54" s="312"/>
      <c r="S54" s="313"/>
      <c r="T54" s="311" t="s">
        <v>135</v>
      </c>
      <c r="U54" s="312"/>
      <c r="V54" s="312"/>
      <c r="W54" s="313"/>
      <c r="X54" s="312" t="s">
        <v>102</v>
      </c>
      <c r="Y54" s="312"/>
      <c r="Z54" s="313"/>
      <c r="AA54" s="311"/>
      <c r="AB54" s="312"/>
      <c r="AC54" s="336"/>
      <c r="AD54" s="312"/>
      <c r="AE54" s="313"/>
      <c r="AG54" s="309" t="s">
        <v>101</v>
      </c>
      <c r="AH54" s="310"/>
      <c r="AI54" s="310"/>
      <c r="AJ54" s="310"/>
      <c r="AK54" s="311" t="s">
        <v>104</v>
      </c>
      <c r="AL54" s="312"/>
      <c r="AM54" s="312"/>
      <c r="AN54" s="312"/>
      <c r="AO54" s="313"/>
      <c r="AP54" s="311" t="s">
        <v>105</v>
      </c>
      <c r="AQ54" s="312"/>
      <c r="AR54" s="312"/>
      <c r="AS54" s="312"/>
      <c r="AT54" s="313"/>
      <c r="AU54" s="311" t="s">
        <v>135</v>
      </c>
      <c r="AV54" s="312"/>
      <c r="AW54" s="312"/>
      <c r="AX54" s="313"/>
      <c r="AY54" s="310" t="s">
        <v>103</v>
      </c>
      <c r="AZ54" s="310"/>
      <c r="BA54" s="310"/>
      <c r="BB54" s="311"/>
      <c r="BC54" s="312"/>
      <c r="BD54" s="336"/>
      <c r="BE54" s="312"/>
      <c r="BF54" s="313"/>
      <c r="BI54" s="320"/>
    </row>
    <row r="55" spans="1:61" s="19" customFormat="1" ht="15" customHeight="1" thickBot="1" x14ac:dyDescent="0.3">
      <c r="A55" s="317"/>
      <c r="C55" s="318"/>
      <c r="F55" s="309" t="s">
        <v>101</v>
      </c>
      <c r="G55" s="310"/>
      <c r="H55" s="310"/>
      <c r="I55" s="310"/>
      <c r="J55" s="311" t="s">
        <v>104</v>
      </c>
      <c r="K55" s="312"/>
      <c r="L55" s="312"/>
      <c r="M55" s="312"/>
      <c r="N55" s="313"/>
      <c r="O55" s="311" t="s">
        <v>105</v>
      </c>
      <c r="P55" s="312"/>
      <c r="Q55" s="312"/>
      <c r="R55" s="312"/>
      <c r="S55" s="313"/>
      <c r="T55" s="311" t="s">
        <v>136</v>
      </c>
      <c r="U55" s="312"/>
      <c r="V55" s="312"/>
      <c r="W55" s="313"/>
      <c r="X55" s="312" t="s">
        <v>102</v>
      </c>
      <c r="Y55" s="312"/>
      <c r="Z55" s="313"/>
      <c r="AA55" s="311"/>
      <c r="AB55" s="312"/>
      <c r="AC55" s="336"/>
      <c r="AD55" s="312"/>
      <c r="AE55" s="313"/>
      <c r="AG55" s="309" t="s">
        <v>101</v>
      </c>
      <c r="AH55" s="310"/>
      <c r="AI55" s="310"/>
      <c r="AJ55" s="310"/>
      <c r="AK55" s="311" t="s">
        <v>104</v>
      </c>
      <c r="AL55" s="312"/>
      <c r="AM55" s="312"/>
      <c r="AN55" s="312"/>
      <c r="AO55" s="313"/>
      <c r="AP55" s="311" t="s">
        <v>105</v>
      </c>
      <c r="AQ55" s="312"/>
      <c r="AR55" s="312"/>
      <c r="AS55" s="312"/>
      <c r="AT55" s="313"/>
      <c r="AU55" s="311" t="s">
        <v>136</v>
      </c>
      <c r="AV55" s="312"/>
      <c r="AW55" s="312"/>
      <c r="AX55" s="313"/>
      <c r="AY55" s="310" t="s">
        <v>103</v>
      </c>
      <c r="AZ55" s="310"/>
      <c r="BA55" s="310"/>
      <c r="BB55" s="311"/>
      <c r="BC55" s="312"/>
      <c r="BD55" s="336"/>
      <c r="BE55" s="312"/>
      <c r="BF55" s="313"/>
      <c r="BI55" s="320"/>
    </row>
    <row r="56" spans="1:61" s="19" customFormat="1" ht="15" customHeight="1" thickBot="1" x14ac:dyDescent="0.3">
      <c r="A56" s="317"/>
      <c r="C56" s="318"/>
      <c r="F56" s="309" t="s">
        <v>101</v>
      </c>
      <c r="G56" s="310"/>
      <c r="H56" s="310"/>
      <c r="I56" s="310"/>
      <c r="J56" s="311" t="s">
        <v>104</v>
      </c>
      <c r="K56" s="312"/>
      <c r="L56" s="312"/>
      <c r="M56" s="312"/>
      <c r="N56" s="313"/>
      <c r="O56" s="311" t="s">
        <v>105</v>
      </c>
      <c r="P56" s="312"/>
      <c r="Q56" s="312"/>
      <c r="R56" s="312"/>
      <c r="S56" s="313"/>
      <c r="T56" s="311" t="s">
        <v>137</v>
      </c>
      <c r="U56" s="312"/>
      <c r="V56" s="312"/>
      <c r="W56" s="313"/>
      <c r="X56" s="312" t="s">
        <v>102</v>
      </c>
      <c r="Y56" s="312"/>
      <c r="Z56" s="313"/>
      <c r="AA56" s="311"/>
      <c r="AB56" s="312"/>
      <c r="AC56" s="336"/>
      <c r="AD56" s="312"/>
      <c r="AE56" s="313"/>
      <c r="AG56" s="309" t="s">
        <v>101</v>
      </c>
      <c r="AH56" s="310"/>
      <c r="AI56" s="310"/>
      <c r="AJ56" s="310"/>
      <c r="AK56" s="311" t="s">
        <v>104</v>
      </c>
      <c r="AL56" s="312"/>
      <c r="AM56" s="312"/>
      <c r="AN56" s="312"/>
      <c r="AO56" s="313"/>
      <c r="AP56" s="311" t="s">
        <v>105</v>
      </c>
      <c r="AQ56" s="312"/>
      <c r="AR56" s="312"/>
      <c r="AS56" s="312"/>
      <c r="AT56" s="313"/>
      <c r="AU56" s="311" t="s">
        <v>137</v>
      </c>
      <c r="AV56" s="312"/>
      <c r="AW56" s="312"/>
      <c r="AX56" s="313"/>
      <c r="AY56" s="310" t="s">
        <v>103</v>
      </c>
      <c r="AZ56" s="310"/>
      <c r="BA56" s="310"/>
      <c r="BB56" s="311"/>
      <c r="BC56" s="312"/>
      <c r="BD56" s="336"/>
      <c r="BE56" s="312"/>
      <c r="BF56" s="313"/>
      <c r="BI56" s="320"/>
    </row>
    <row r="57" spans="1:61" s="19" customFormat="1" ht="15" customHeight="1" thickBot="1" x14ac:dyDescent="0.3">
      <c r="A57" s="317"/>
      <c r="C57" s="318"/>
      <c r="F57" s="309" t="s">
        <v>138</v>
      </c>
      <c r="G57" s="310"/>
      <c r="H57" s="310"/>
      <c r="I57" s="310"/>
      <c r="J57" s="311" t="s">
        <v>36</v>
      </c>
      <c r="K57" s="312"/>
      <c r="L57" s="312"/>
      <c r="M57" s="312"/>
      <c r="N57" s="313"/>
      <c r="O57" s="311" t="s">
        <v>36</v>
      </c>
      <c r="P57" s="312"/>
      <c r="Q57" s="312"/>
      <c r="R57" s="312"/>
      <c r="S57" s="313"/>
      <c r="T57" s="314" t="s">
        <v>36</v>
      </c>
      <c r="U57" s="315"/>
      <c r="V57" s="315"/>
      <c r="W57" s="316"/>
      <c r="X57" s="310" t="s">
        <v>103</v>
      </c>
      <c r="Y57" s="310"/>
      <c r="Z57" s="310"/>
      <c r="AA57" s="311"/>
      <c r="AB57" s="312"/>
      <c r="AC57" s="334"/>
      <c r="AD57" s="312"/>
      <c r="AE57" s="313"/>
      <c r="AG57" s="309" t="s">
        <v>138</v>
      </c>
      <c r="AH57" s="310"/>
      <c r="AI57" s="310"/>
      <c r="AJ57" s="310"/>
      <c r="AK57" s="311" t="s">
        <v>36</v>
      </c>
      <c r="AL57" s="312"/>
      <c r="AM57" s="312"/>
      <c r="AN57" s="312"/>
      <c r="AO57" s="313"/>
      <c r="AP57" s="311" t="s">
        <v>36</v>
      </c>
      <c r="AQ57" s="312"/>
      <c r="AR57" s="312"/>
      <c r="AS57" s="312"/>
      <c r="AT57" s="313"/>
      <c r="AU57" s="314" t="s">
        <v>36</v>
      </c>
      <c r="AV57" s="315"/>
      <c r="AW57" s="315"/>
      <c r="AX57" s="316"/>
      <c r="AY57" s="310" t="s">
        <v>103</v>
      </c>
      <c r="AZ57" s="310"/>
      <c r="BA57" s="310"/>
      <c r="BB57" s="311"/>
      <c r="BC57" s="312"/>
      <c r="BD57" s="334"/>
      <c r="BE57" s="312"/>
      <c r="BF57" s="313"/>
      <c r="BI57" s="320"/>
    </row>
    <row r="58" spans="1:61" s="19" customFormat="1" ht="15" customHeight="1" x14ac:dyDescent="0.25">
      <c r="A58" s="317"/>
      <c r="C58" s="318"/>
      <c r="U58" s="318"/>
      <c r="AD58" s="318"/>
      <c r="AM58" s="318"/>
      <c r="BI58" s="320"/>
    </row>
    <row r="59" spans="1:61" s="19" customFormat="1" ht="15" customHeight="1" x14ac:dyDescent="0.25">
      <c r="A59" s="317"/>
      <c r="C59" s="318"/>
      <c r="U59" s="318"/>
      <c r="AD59" s="318"/>
      <c r="AM59" s="318"/>
      <c r="BI59" s="320"/>
    </row>
    <row r="60" spans="1:61" s="19" customFormat="1" ht="15" customHeight="1" x14ac:dyDescent="0.25">
      <c r="A60" s="317"/>
      <c r="C60" s="318"/>
      <c r="D60" s="319" t="s">
        <v>140</v>
      </c>
      <c r="U60" s="318"/>
      <c r="AD60" s="318"/>
      <c r="AM60" s="318"/>
      <c r="BI60" s="320"/>
    </row>
    <row r="61" spans="1:61" s="19" customFormat="1" ht="15" customHeight="1" x14ac:dyDescent="0.25">
      <c r="A61" s="317"/>
      <c r="C61" s="318"/>
      <c r="D61" s="319"/>
      <c r="E61" s="319" t="s">
        <v>141</v>
      </c>
      <c r="U61" s="318"/>
      <c r="AD61" s="318"/>
      <c r="AM61" s="318"/>
      <c r="BI61" s="320"/>
    </row>
    <row r="62" spans="1:61" s="19" customFormat="1" ht="15" customHeight="1" x14ac:dyDescent="0.25">
      <c r="A62" s="317"/>
      <c r="C62" s="318"/>
      <c r="D62" s="319"/>
      <c r="E62" s="319" t="s">
        <v>118</v>
      </c>
      <c r="U62" s="318"/>
      <c r="AD62" s="318"/>
      <c r="AM62" s="318"/>
      <c r="BI62" s="320"/>
    </row>
    <row r="63" spans="1:61" s="19" customFormat="1" ht="15" customHeight="1" x14ac:dyDescent="0.25">
      <c r="A63" s="317"/>
      <c r="C63" s="318"/>
      <c r="D63" s="319"/>
      <c r="E63" s="319"/>
      <c r="F63" s="319" t="s">
        <v>142</v>
      </c>
      <c r="U63" s="318"/>
      <c r="AD63" s="318"/>
      <c r="AM63" s="318"/>
      <c r="BI63" s="320"/>
    </row>
    <row r="64" spans="1:61" s="19" customFormat="1" ht="15" customHeight="1" x14ac:dyDescent="0.25">
      <c r="A64" s="317"/>
      <c r="C64" s="318"/>
      <c r="D64" s="319"/>
      <c r="F64" s="319" t="s">
        <v>143</v>
      </c>
      <c r="U64" s="318"/>
      <c r="AD64" s="318"/>
      <c r="AM64" s="318"/>
      <c r="BI64" s="320"/>
    </row>
    <row r="65" spans="1:61" s="19" customFormat="1" ht="15" customHeight="1" x14ac:dyDescent="0.25">
      <c r="A65" s="317"/>
      <c r="C65" s="318"/>
      <c r="D65" s="319"/>
      <c r="F65" s="319"/>
      <c r="G65" s="319" t="s">
        <v>144</v>
      </c>
      <c r="U65" s="318"/>
      <c r="AD65" s="318"/>
      <c r="AM65" s="318"/>
      <c r="BI65" s="320"/>
    </row>
    <row r="66" spans="1:61" s="19" customFormat="1" ht="15" customHeight="1" x14ac:dyDescent="0.25">
      <c r="A66" s="317"/>
      <c r="C66" s="318"/>
      <c r="F66" s="319"/>
      <c r="G66" s="319" t="s">
        <v>145</v>
      </c>
      <c r="U66" s="318"/>
      <c r="AD66" s="318"/>
      <c r="AM66" s="318"/>
      <c r="BI66" s="320"/>
    </row>
    <row r="67" spans="1:61" s="19" customFormat="1" ht="15" customHeight="1" x14ac:dyDescent="0.25">
      <c r="A67" s="317"/>
      <c r="C67" s="318"/>
      <c r="F67" s="319"/>
      <c r="G67" s="319"/>
      <c r="AD67" s="318"/>
      <c r="BI67" s="320"/>
    </row>
    <row r="68" spans="1:61" s="19" customFormat="1" ht="15" customHeight="1" thickBot="1" x14ac:dyDescent="0.3">
      <c r="A68" s="317"/>
      <c r="C68" s="318"/>
      <c r="F68" s="326" t="s">
        <v>131</v>
      </c>
      <c r="G68" s="326"/>
      <c r="H68" s="326"/>
      <c r="I68" s="326"/>
      <c r="J68" s="327" t="s">
        <v>132</v>
      </c>
      <c r="K68" s="328"/>
      <c r="L68" s="328"/>
      <c r="M68" s="328"/>
      <c r="N68" s="329"/>
      <c r="O68" s="327" t="s">
        <v>133</v>
      </c>
      <c r="P68" s="328"/>
      <c r="Q68" s="328"/>
      <c r="R68" s="328"/>
      <c r="S68" s="329"/>
      <c r="T68" s="327" t="s">
        <v>134</v>
      </c>
      <c r="U68" s="328"/>
      <c r="V68" s="328"/>
      <c r="W68" s="329"/>
      <c r="X68" s="330" t="s">
        <v>116</v>
      </c>
      <c r="Y68" s="330"/>
      <c r="Z68" s="331"/>
      <c r="AA68" s="332" t="s">
        <v>117</v>
      </c>
      <c r="AB68" s="330"/>
      <c r="AC68" s="330"/>
      <c r="AD68" s="330"/>
      <c r="AE68" s="331"/>
      <c r="AG68" s="327" t="s">
        <v>131</v>
      </c>
      <c r="AH68" s="328"/>
      <c r="AI68" s="328"/>
      <c r="AJ68" s="329"/>
      <c r="AK68" s="327" t="s">
        <v>132</v>
      </c>
      <c r="AL68" s="328"/>
      <c r="AM68" s="328"/>
      <c r="AN68" s="328"/>
      <c r="AO68" s="329"/>
      <c r="AP68" s="327" t="s">
        <v>133</v>
      </c>
      <c r="AQ68" s="328"/>
      <c r="AR68" s="328"/>
      <c r="AS68" s="328"/>
      <c r="AT68" s="329"/>
      <c r="AU68" s="327" t="s">
        <v>134</v>
      </c>
      <c r="AV68" s="328"/>
      <c r="AW68" s="328"/>
      <c r="AX68" s="329"/>
      <c r="AY68" s="330" t="s">
        <v>116</v>
      </c>
      <c r="AZ68" s="330"/>
      <c r="BA68" s="331"/>
      <c r="BB68" s="332" t="s">
        <v>117</v>
      </c>
      <c r="BC68" s="330"/>
      <c r="BD68" s="330"/>
      <c r="BE68" s="330"/>
      <c r="BF68" s="331"/>
      <c r="BI68" s="320"/>
    </row>
    <row r="69" spans="1:61" s="19" customFormat="1" ht="15" customHeight="1" thickBot="1" x14ac:dyDescent="0.3">
      <c r="A69" s="317"/>
      <c r="C69" s="318"/>
      <c r="F69" s="309" t="s">
        <v>101</v>
      </c>
      <c r="G69" s="310"/>
      <c r="H69" s="310"/>
      <c r="I69" s="310"/>
      <c r="J69" s="311" t="s">
        <v>36</v>
      </c>
      <c r="K69" s="312"/>
      <c r="L69" s="312"/>
      <c r="M69" s="312"/>
      <c r="N69" s="313"/>
      <c r="O69" s="311" t="s">
        <v>36</v>
      </c>
      <c r="P69" s="312"/>
      <c r="Q69" s="312"/>
      <c r="R69" s="312"/>
      <c r="S69" s="313"/>
      <c r="T69" s="314" t="s">
        <v>36</v>
      </c>
      <c r="U69" s="315"/>
      <c r="V69" s="315"/>
      <c r="W69" s="316"/>
      <c r="X69" s="310" t="s">
        <v>103</v>
      </c>
      <c r="Y69" s="310"/>
      <c r="Z69" s="310"/>
      <c r="AA69" s="311"/>
      <c r="AB69" s="312"/>
      <c r="AC69" s="334"/>
      <c r="AD69" s="312"/>
      <c r="AE69" s="313"/>
      <c r="AG69" s="309" t="s">
        <v>101</v>
      </c>
      <c r="AH69" s="310"/>
      <c r="AI69" s="310"/>
      <c r="AJ69" s="310"/>
      <c r="AK69" s="311" t="s">
        <v>36</v>
      </c>
      <c r="AL69" s="312"/>
      <c r="AM69" s="312"/>
      <c r="AN69" s="312"/>
      <c r="AO69" s="313"/>
      <c r="AP69" s="311" t="s">
        <v>36</v>
      </c>
      <c r="AQ69" s="312"/>
      <c r="AR69" s="312"/>
      <c r="AS69" s="312"/>
      <c r="AT69" s="313"/>
      <c r="AU69" s="314" t="s">
        <v>36</v>
      </c>
      <c r="AV69" s="315"/>
      <c r="AW69" s="315"/>
      <c r="AX69" s="316"/>
      <c r="AY69" s="310" t="s">
        <v>103</v>
      </c>
      <c r="AZ69" s="310"/>
      <c r="BA69" s="310"/>
      <c r="BB69" s="311"/>
      <c r="BC69" s="312"/>
      <c r="BD69" s="334"/>
      <c r="BE69" s="312"/>
      <c r="BF69" s="313"/>
      <c r="BI69" s="320"/>
    </row>
    <row r="70" spans="1:61" s="19" customFormat="1" ht="15" customHeight="1" thickBot="1" x14ac:dyDescent="0.3">
      <c r="A70" s="317"/>
      <c r="C70" s="318"/>
      <c r="F70" s="309" t="s">
        <v>101</v>
      </c>
      <c r="G70" s="310"/>
      <c r="H70" s="310"/>
      <c r="I70" s="310"/>
      <c r="J70" s="311" t="s">
        <v>104</v>
      </c>
      <c r="K70" s="312"/>
      <c r="L70" s="312"/>
      <c r="M70" s="312"/>
      <c r="N70" s="313"/>
      <c r="O70" s="311" t="s">
        <v>36</v>
      </c>
      <c r="P70" s="312"/>
      <c r="Q70" s="312"/>
      <c r="R70" s="312"/>
      <c r="S70" s="313"/>
      <c r="T70" s="311" t="s">
        <v>36</v>
      </c>
      <c r="U70" s="312"/>
      <c r="V70" s="312"/>
      <c r="W70" s="313"/>
      <c r="X70" s="312" t="s">
        <v>102</v>
      </c>
      <c r="Y70" s="312"/>
      <c r="Z70" s="313"/>
      <c r="AA70" s="311"/>
      <c r="AB70" s="312"/>
      <c r="AC70" s="334"/>
      <c r="AD70" s="312"/>
      <c r="AE70" s="313"/>
      <c r="AG70" s="309" t="s">
        <v>101</v>
      </c>
      <c r="AH70" s="310"/>
      <c r="AI70" s="310"/>
      <c r="AJ70" s="310"/>
      <c r="AK70" s="311" t="s">
        <v>104</v>
      </c>
      <c r="AL70" s="312"/>
      <c r="AM70" s="312"/>
      <c r="AN70" s="312"/>
      <c r="AO70" s="313"/>
      <c r="AP70" s="311" t="s">
        <v>36</v>
      </c>
      <c r="AQ70" s="312"/>
      <c r="AR70" s="312"/>
      <c r="AS70" s="312"/>
      <c r="AT70" s="313"/>
      <c r="AU70" s="311" t="s">
        <v>36</v>
      </c>
      <c r="AV70" s="312"/>
      <c r="AW70" s="312"/>
      <c r="AX70" s="313"/>
      <c r="AY70" s="312" t="s">
        <v>102</v>
      </c>
      <c r="AZ70" s="312"/>
      <c r="BA70" s="313"/>
      <c r="BB70" s="311"/>
      <c r="BC70" s="312"/>
      <c r="BD70" s="336"/>
      <c r="BE70" s="312"/>
      <c r="BF70" s="313"/>
      <c r="BI70" s="320"/>
    </row>
    <row r="71" spans="1:61" s="19" customFormat="1" ht="15" customHeight="1" thickBot="1" x14ac:dyDescent="0.3">
      <c r="A71" s="317"/>
      <c r="C71" s="318"/>
      <c r="F71" s="309" t="s">
        <v>101</v>
      </c>
      <c r="G71" s="310"/>
      <c r="H71" s="310"/>
      <c r="I71" s="310"/>
      <c r="J71" s="311" t="s">
        <v>104</v>
      </c>
      <c r="K71" s="312"/>
      <c r="L71" s="312"/>
      <c r="M71" s="312"/>
      <c r="N71" s="313"/>
      <c r="O71" s="311" t="s">
        <v>105</v>
      </c>
      <c r="P71" s="312"/>
      <c r="Q71" s="312"/>
      <c r="R71" s="312"/>
      <c r="S71" s="313"/>
      <c r="T71" s="311" t="s">
        <v>36</v>
      </c>
      <c r="U71" s="312"/>
      <c r="V71" s="312"/>
      <c r="W71" s="313"/>
      <c r="X71" s="310" t="s">
        <v>103</v>
      </c>
      <c r="Y71" s="310"/>
      <c r="Z71" s="310"/>
      <c r="AA71" s="311"/>
      <c r="AB71" s="312"/>
      <c r="AC71" s="336"/>
      <c r="AD71" s="312"/>
      <c r="AE71" s="313"/>
      <c r="AG71" s="309" t="s">
        <v>101</v>
      </c>
      <c r="AH71" s="310"/>
      <c r="AI71" s="310"/>
      <c r="AJ71" s="310"/>
      <c r="AK71" s="311" t="s">
        <v>104</v>
      </c>
      <c r="AL71" s="312"/>
      <c r="AM71" s="312"/>
      <c r="AN71" s="312"/>
      <c r="AO71" s="313"/>
      <c r="AP71" s="311" t="s">
        <v>105</v>
      </c>
      <c r="AQ71" s="312"/>
      <c r="AR71" s="312"/>
      <c r="AS71" s="312"/>
      <c r="AT71" s="313"/>
      <c r="AU71" s="311" t="s">
        <v>36</v>
      </c>
      <c r="AV71" s="312"/>
      <c r="AW71" s="312"/>
      <c r="AX71" s="313"/>
      <c r="AY71" s="312" t="s">
        <v>102</v>
      </c>
      <c r="AZ71" s="312"/>
      <c r="BA71" s="313"/>
      <c r="BB71" s="311"/>
      <c r="BC71" s="312"/>
      <c r="BD71" s="336"/>
      <c r="BE71" s="312"/>
      <c r="BF71" s="313"/>
      <c r="BI71" s="320"/>
    </row>
    <row r="72" spans="1:61" s="19" customFormat="1" ht="15" customHeight="1" thickBot="1" x14ac:dyDescent="0.3">
      <c r="A72" s="317"/>
      <c r="C72" s="318"/>
      <c r="D72" s="319" t="s">
        <v>146</v>
      </c>
      <c r="F72" s="309" t="s">
        <v>101</v>
      </c>
      <c r="G72" s="310"/>
      <c r="H72" s="310"/>
      <c r="I72" s="310"/>
      <c r="J72" s="311" t="s">
        <v>104</v>
      </c>
      <c r="K72" s="312"/>
      <c r="L72" s="312"/>
      <c r="M72" s="312"/>
      <c r="N72" s="313"/>
      <c r="O72" s="311" t="s">
        <v>105</v>
      </c>
      <c r="P72" s="312"/>
      <c r="Q72" s="312"/>
      <c r="R72" s="312"/>
      <c r="S72" s="313"/>
      <c r="T72" s="311" t="s">
        <v>106</v>
      </c>
      <c r="U72" s="312"/>
      <c r="V72" s="312"/>
      <c r="W72" s="313"/>
      <c r="X72" s="310" t="s">
        <v>103</v>
      </c>
      <c r="Y72" s="310"/>
      <c r="Z72" s="310"/>
      <c r="AA72" s="311"/>
      <c r="AB72" s="312"/>
      <c r="AC72" s="336"/>
      <c r="AD72" s="312"/>
      <c r="AE72" s="313"/>
      <c r="AF72" s="342" t="s">
        <v>37</v>
      </c>
      <c r="AG72" s="309" t="s">
        <v>101</v>
      </c>
      <c r="AH72" s="310"/>
      <c r="AI72" s="310"/>
      <c r="AJ72" s="310"/>
      <c r="AK72" s="311" t="s">
        <v>104</v>
      </c>
      <c r="AL72" s="312"/>
      <c r="AM72" s="312"/>
      <c r="AN72" s="312"/>
      <c r="AO72" s="313"/>
      <c r="AP72" s="311" t="s">
        <v>105</v>
      </c>
      <c r="AQ72" s="312"/>
      <c r="AR72" s="312"/>
      <c r="AS72" s="312"/>
      <c r="AT72" s="313"/>
      <c r="AU72" s="311" t="s">
        <v>106</v>
      </c>
      <c r="AV72" s="312"/>
      <c r="AW72" s="312"/>
      <c r="AX72" s="313"/>
      <c r="AY72" s="312" t="s">
        <v>102</v>
      </c>
      <c r="AZ72" s="312"/>
      <c r="BA72" s="313"/>
      <c r="BB72" s="311"/>
      <c r="BC72" s="312"/>
      <c r="BD72" s="336"/>
      <c r="BE72" s="312"/>
      <c r="BF72" s="313"/>
      <c r="BG72" s="319" t="s">
        <v>147</v>
      </c>
      <c r="BI72" s="320"/>
    </row>
    <row r="73" spans="1:61" s="19" customFormat="1" ht="15" customHeight="1" thickBot="1" x14ac:dyDescent="0.3">
      <c r="A73" s="317"/>
      <c r="C73" s="318"/>
      <c r="F73" s="309" t="s">
        <v>101</v>
      </c>
      <c r="G73" s="310"/>
      <c r="H73" s="310"/>
      <c r="I73" s="310"/>
      <c r="J73" s="311" t="s">
        <v>104</v>
      </c>
      <c r="K73" s="312"/>
      <c r="L73" s="312"/>
      <c r="M73" s="312"/>
      <c r="N73" s="313"/>
      <c r="O73" s="311" t="s">
        <v>105</v>
      </c>
      <c r="P73" s="312"/>
      <c r="Q73" s="312"/>
      <c r="R73" s="312"/>
      <c r="S73" s="313"/>
      <c r="T73" s="311" t="s">
        <v>135</v>
      </c>
      <c r="U73" s="312"/>
      <c r="V73" s="312"/>
      <c r="W73" s="313"/>
      <c r="X73" s="310" t="s">
        <v>103</v>
      </c>
      <c r="Y73" s="310"/>
      <c r="Z73" s="310"/>
      <c r="AA73" s="311"/>
      <c r="AB73" s="312"/>
      <c r="AC73" s="336"/>
      <c r="AD73" s="312"/>
      <c r="AE73" s="313"/>
      <c r="AG73" s="309" t="s">
        <v>101</v>
      </c>
      <c r="AH73" s="310"/>
      <c r="AI73" s="310"/>
      <c r="AJ73" s="310"/>
      <c r="AK73" s="311" t="s">
        <v>104</v>
      </c>
      <c r="AL73" s="312"/>
      <c r="AM73" s="312"/>
      <c r="AN73" s="312"/>
      <c r="AO73" s="313"/>
      <c r="AP73" s="311" t="s">
        <v>105</v>
      </c>
      <c r="AQ73" s="312"/>
      <c r="AR73" s="312"/>
      <c r="AS73" s="312"/>
      <c r="AT73" s="313"/>
      <c r="AU73" s="311" t="s">
        <v>135</v>
      </c>
      <c r="AV73" s="312"/>
      <c r="AW73" s="312"/>
      <c r="AX73" s="313"/>
      <c r="AY73" s="312" t="s">
        <v>102</v>
      </c>
      <c r="AZ73" s="312"/>
      <c r="BA73" s="313"/>
      <c r="BB73" s="311"/>
      <c r="BC73" s="312"/>
      <c r="BD73" s="336"/>
      <c r="BE73" s="312"/>
      <c r="BF73" s="313"/>
      <c r="BI73" s="320"/>
    </row>
    <row r="74" spans="1:61" s="19" customFormat="1" ht="15" customHeight="1" thickBot="1" x14ac:dyDescent="0.3">
      <c r="A74" s="317"/>
      <c r="C74" s="318"/>
      <c r="F74" s="309" t="s">
        <v>101</v>
      </c>
      <c r="G74" s="310"/>
      <c r="H74" s="310"/>
      <c r="I74" s="310"/>
      <c r="J74" s="311" t="s">
        <v>104</v>
      </c>
      <c r="K74" s="312"/>
      <c r="L74" s="312"/>
      <c r="M74" s="312"/>
      <c r="N74" s="313"/>
      <c r="O74" s="311" t="s">
        <v>105</v>
      </c>
      <c r="P74" s="312"/>
      <c r="Q74" s="312"/>
      <c r="R74" s="312"/>
      <c r="S74" s="313"/>
      <c r="T74" s="311" t="s">
        <v>136</v>
      </c>
      <c r="U74" s="312"/>
      <c r="V74" s="312"/>
      <c r="W74" s="313"/>
      <c r="X74" s="310" t="s">
        <v>103</v>
      </c>
      <c r="Y74" s="310"/>
      <c r="Z74" s="310"/>
      <c r="AA74" s="311"/>
      <c r="AB74" s="312"/>
      <c r="AC74" s="336"/>
      <c r="AD74" s="312"/>
      <c r="AE74" s="313"/>
      <c r="AG74" s="309" t="s">
        <v>101</v>
      </c>
      <c r="AH74" s="310"/>
      <c r="AI74" s="310"/>
      <c r="AJ74" s="310"/>
      <c r="AK74" s="311" t="s">
        <v>104</v>
      </c>
      <c r="AL74" s="312"/>
      <c r="AM74" s="312"/>
      <c r="AN74" s="312"/>
      <c r="AO74" s="313"/>
      <c r="AP74" s="311" t="s">
        <v>105</v>
      </c>
      <c r="AQ74" s="312"/>
      <c r="AR74" s="312"/>
      <c r="AS74" s="312"/>
      <c r="AT74" s="313"/>
      <c r="AU74" s="311" t="s">
        <v>136</v>
      </c>
      <c r="AV74" s="312"/>
      <c r="AW74" s="312"/>
      <c r="AX74" s="313"/>
      <c r="AY74" s="312" t="s">
        <v>102</v>
      </c>
      <c r="AZ74" s="312"/>
      <c r="BA74" s="313"/>
      <c r="BB74" s="311"/>
      <c r="BC74" s="312"/>
      <c r="BD74" s="336"/>
      <c r="BE74" s="312"/>
      <c r="BF74" s="313"/>
      <c r="BI74" s="320"/>
    </row>
    <row r="75" spans="1:61" s="19" customFormat="1" ht="15" customHeight="1" thickBot="1" x14ac:dyDescent="0.3">
      <c r="A75" s="317"/>
      <c r="C75" s="318"/>
      <c r="F75" s="309" t="s">
        <v>101</v>
      </c>
      <c r="G75" s="310"/>
      <c r="H75" s="310"/>
      <c r="I75" s="310"/>
      <c r="J75" s="311" t="s">
        <v>104</v>
      </c>
      <c r="K75" s="312"/>
      <c r="L75" s="312"/>
      <c r="M75" s="312"/>
      <c r="N75" s="313"/>
      <c r="O75" s="311" t="s">
        <v>105</v>
      </c>
      <c r="P75" s="312"/>
      <c r="Q75" s="312"/>
      <c r="R75" s="312"/>
      <c r="S75" s="313"/>
      <c r="T75" s="311" t="s">
        <v>137</v>
      </c>
      <c r="U75" s="312"/>
      <c r="V75" s="312"/>
      <c r="W75" s="313"/>
      <c r="X75" s="310" t="s">
        <v>103</v>
      </c>
      <c r="Y75" s="310"/>
      <c r="Z75" s="310"/>
      <c r="AA75" s="311"/>
      <c r="AB75" s="312"/>
      <c r="AC75" s="336"/>
      <c r="AD75" s="312"/>
      <c r="AE75" s="313"/>
      <c r="AG75" s="309" t="s">
        <v>101</v>
      </c>
      <c r="AH75" s="310"/>
      <c r="AI75" s="310"/>
      <c r="AJ75" s="310"/>
      <c r="AK75" s="311" t="s">
        <v>104</v>
      </c>
      <c r="AL75" s="312"/>
      <c r="AM75" s="312"/>
      <c r="AN75" s="312"/>
      <c r="AO75" s="313"/>
      <c r="AP75" s="311" t="s">
        <v>105</v>
      </c>
      <c r="AQ75" s="312"/>
      <c r="AR75" s="312"/>
      <c r="AS75" s="312"/>
      <c r="AT75" s="313"/>
      <c r="AU75" s="311" t="s">
        <v>137</v>
      </c>
      <c r="AV75" s="312"/>
      <c r="AW75" s="312"/>
      <c r="AX75" s="313"/>
      <c r="AY75" s="312" t="s">
        <v>102</v>
      </c>
      <c r="AZ75" s="312"/>
      <c r="BA75" s="313"/>
      <c r="BB75" s="311"/>
      <c r="BC75" s="312"/>
      <c r="BD75" s="336"/>
      <c r="BE75" s="312"/>
      <c r="BF75" s="313"/>
      <c r="BI75" s="320"/>
    </row>
    <row r="76" spans="1:61" s="19" customFormat="1" ht="15" customHeight="1" thickBot="1" x14ac:dyDescent="0.3">
      <c r="A76" s="317"/>
      <c r="C76" s="318"/>
      <c r="F76" s="309" t="s">
        <v>138</v>
      </c>
      <c r="G76" s="310"/>
      <c r="H76" s="310"/>
      <c r="I76" s="310"/>
      <c r="J76" s="311" t="s">
        <v>36</v>
      </c>
      <c r="K76" s="312"/>
      <c r="L76" s="312"/>
      <c r="M76" s="312"/>
      <c r="N76" s="313"/>
      <c r="O76" s="311" t="s">
        <v>36</v>
      </c>
      <c r="P76" s="312"/>
      <c r="Q76" s="312"/>
      <c r="R76" s="312"/>
      <c r="S76" s="313"/>
      <c r="T76" s="314" t="s">
        <v>36</v>
      </c>
      <c r="U76" s="315"/>
      <c r="V76" s="315"/>
      <c r="W76" s="316"/>
      <c r="X76" s="310" t="s">
        <v>103</v>
      </c>
      <c r="Y76" s="310"/>
      <c r="Z76" s="310"/>
      <c r="AA76" s="311"/>
      <c r="AB76" s="312"/>
      <c r="AC76" s="334"/>
      <c r="AD76" s="312"/>
      <c r="AE76" s="313"/>
      <c r="AG76" s="309" t="s">
        <v>138</v>
      </c>
      <c r="AH76" s="310"/>
      <c r="AI76" s="310"/>
      <c r="AJ76" s="310"/>
      <c r="AK76" s="311" t="s">
        <v>36</v>
      </c>
      <c r="AL76" s="312"/>
      <c r="AM76" s="312"/>
      <c r="AN76" s="312"/>
      <c r="AO76" s="313"/>
      <c r="AP76" s="311" t="s">
        <v>36</v>
      </c>
      <c r="AQ76" s="312"/>
      <c r="AR76" s="312"/>
      <c r="AS76" s="312"/>
      <c r="AT76" s="313"/>
      <c r="AU76" s="314" t="s">
        <v>36</v>
      </c>
      <c r="AV76" s="315"/>
      <c r="AW76" s="315"/>
      <c r="AX76" s="316"/>
      <c r="AY76" s="310" t="s">
        <v>103</v>
      </c>
      <c r="AZ76" s="310"/>
      <c r="BA76" s="310"/>
      <c r="BB76" s="311"/>
      <c r="BC76" s="312"/>
      <c r="BD76" s="334"/>
      <c r="BE76" s="312"/>
      <c r="BF76" s="313"/>
      <c r="BI76" s="320"/>
    </row>
    <row r="77" spans="1:61" s="19" customFormat="1" ht="15" customHeight="1" x14ac:dyDescent="0.25">
      <c r="A77" s="317"/>
      <c r="C77" s="318"/>
      <c r="U77" s="318"/>
      <c r="AD77" s="318"/>
      <c r="AM77" s="318"/>
      <c r="BI77" s="320"/>
    </row>
    <row r="78" spans="1:61" s="19" customFormat="1" ht="15" customHeight="1" x14ac:dyDescent="0.25">
      <c r="A78" s="317"/>
      <c r="C78" s="318"/>
      <c r="D78" s="319" t="s">
        <v>148</v>
      </c>
      <c r="U78" s="318"/>
      <c r="AD78" s="318"/>
      <c r="AM78" s="318"/>
      <c r="BI78" s="320"/>
    </row>
    <row r="79" spans="1:61" s="19" customFormat="1" ht="15" customHeight="1" x14ac:dyDescent="0.25">
      <c r="A79" s="317"/>
      <c r="C79" s="318"/>
      <c r="D79" s="319"/>
      <c r="E79" s="319" t="s">
        <v>149</v>
      </c>
      <c r="U79" s="318"/>
      <c r="AD79" s="318"/>
      <c r="AM79" s="318"/>
      <c r="BI79" s="320"/>
    </row>
    <row r="80" spans="1:61" s="19" customFormat="1" ht="15" customHeight="1" x14ac:dyDescent="0.25">
      <c r="A80" s="317"/>
      <c r="C80" s="318"/>
      <c r="D80" s="319"/>
      <c r="E80" s="319" t="s">
        <v>118</v>
      </c>
      <c r="U80" s="318"/>
      <c r="AD80" s="318"/>
      <c r="AM80" s="318"/>
      <c r="BI80" s="320"/>
    </row>
    <row r="81" spans="1:61" s="19" customFormat="1" ht="15" customHeight="1" x14ac:dyDescent="0.25">
      <c r="A81" s="317"/>
      <c r="C81" s="318"/>
      <c r="D81" s="319"/>
      <c r="E81" s="319"/>
      <c r="F81" s="319" t="s">
        <v>150</v>
      </c>
      <c r="U81" s="318"/>
      <c r="AD81" s="318"/>
      <c r="AM81" s="318"/>
      <c r="BI81" s="320"/>
    </row>
    <row r="82" spans="1:61" s="19" customFormat="1" ht="15" customHeight="1" x14ac:dyDescent="0.25">
      <c r="A82" s="317"/>
      <c r="C82" s="318"/>
      <c r="D82" s="319"/>
      <c r="F82" s="319" t="s">
        <v>151</v>
      </c>
      <c r="U82" s="318"/>
      <c r="AD82" s="318"/>
      <c r="AM82" s="318"/>
      <c r="BI82" s="320"/>
    </row>
    <row r="83" spans="1:61" s="19" customFormat="1" ht="15" customHeight="1" x14ac:dyDescent="0.25">
      <c r="A83" s="317"/>
      <c r="C83" s="318"/>
      <c r="D83" s="319"/>
      <c r="F83" s="319"/>
      <c r="G83" s="319" t="s">
        <v>152</v>
      </c>
      <c r="U83" s="318"/>
      <c r="AD83" s="318"/>
      <c r="AM83" s="318"/>
      <c r="BI83" s="320"/>
    </row>
    <row r="84" spans="1:61" s="19" customFormat="1" ht="15" customHeight="1" x14ac:dyDescent="0.25">
      <c r="A84" s="317"/>
      <c r="C84" s="318"/>
      <c r="F84" s="319"/>
      <c r="G84" s="319" t="s">
        <v>153</v>
      </c>
      <c r="U84" s="318"/>
      <c r="AD84" s="318"/>
      <c r="AM84" s="318"/>
      <c r="BI84" s="320"/>
    </row>
    <row r="85" spans="1:61" s="19" customFormat="1" ht="15" customHeight="1" x14ac:dyDescent="0.25">
      <c r="A85" s="317"/>
      <c r="C85" s="318"/>
      <c r="F85" s="319"/>
      <c r="G85" s="319"/>
      <c r="AD85" s="318"/>
      <c r="BI85" s="320"/>
    </row>
    <row r="86" spans="1:61" s="19" customFormat="1" ht="15" customHeight="1" thickBot="1" x14ac:dyDescent="0.3">
      <c r="A86" s="317"/>
      <c r="C86" s="318"/>
      <c r="F86" s="326" t="s">
        <v>131</v>
      </c>
      <c r="G86" s="326"/>
      <c r="H86" s="326"/>
      <c r="I86" s="326"/>
      <c r="J86" s="327" t="s">
        <v>132</v>
      </c>
      <c r="K86" s="328"/>
      <c r="L86" s="328"/>
      <c r="M86" s="328"/>
      <c r="N86" s="329"/>
      <c r="O86" s="327" t="s">
        <v>133</v>
      </c>
      <c r="P86" s="328"/>
      <c r="Q86" s="328"/>
      <c r="R86" s="328"/>
      <c r="S86" s="329"/>
      <c r="T86" s="327" t="s">
        <v>134</v>
      </c>
      <c r="U86" s="328"/>
      <c r="V86" s="328"/>
      <c r="W86" s="329"/>
      <c r="X86" s="330" t="s">
        <v>116</v>
      </c>
      <c r="Y86" s="330"/>
      <c r="Z86" s="331"/>
      <c r="AA86" s="332" t="s">
        <v>117</v>
      </c>
      <c r="AB86" s="330"/>
      <c r="AC86" s="330"/>
      <c r="AD86" s="330"/>
      <c r="AE86" s="331"/>
      <c r="AG86" s="327" t="s">
        <v>131</v>
      </c>
      <c r="AH86" s="328"/>
      <c r="AI86" s="328"/>
      <c r="AJ86" s="329"/>
      <c r="AK86" s="327" t="s">
        <v>132</v>
      </c>
      <c r="AL86" s="328"/>
      <c r="AM86" s="328"/>
      <c r="AN86" s="328"/>
      <c r="AO86" s="329"/>
      <c r="AP86" s="327" t="s">
        <v>133</v>
      </c>
      <c r="AQ86" s="328"/>
      <c r="AR86" s="328"/>
      <c r="AS86" s="328"/>
      <c r="AT86" s="329"/>
      <c r="AU86" s="327" t="s">
        <v>134</v>
      </c>
      <c r="AV86" s="328"/>
      <c r="AW86" s="328"/>
      <c r="AX86" s="329"/>
      <c r="AY86" s="330" t="s">
        <v>116</v>
      </c>
      <c r="AZ86" s="330"/>
      <c r="BA86" s="331"/>
      <c r="BB86" s="332" t="s">
        <v>117</v>
      </c>
      <c r="BC86" s="330"/>
      <c r="BD86" s="330"/>
      <c r="BE86" s="330"/>
      <c r="BF86" s="331"/>
      <c r="BI86" s="320"/>
    </row>
    <row r="87" spans="1:61" s="19" customFormat="1" ht="15" customHeight="1" thickBot="1" x14ac:dyDescent="0.3">
      <c r="A87" s="317"/>
      <c r="C87" s="318"/>
      <c r="F87" s="309" t="s">
        <v>101</v>
      </c>
      <c r="G87" s="310"/>
      <c r="H87" s="310"/>
      <c r="I87" s="310"/>
      <c r="J87" s="311" t="s">
        <v>36</v>
      </c>
      <c r="K87" s="312"/>
      <c r="L87" s="312"/>
      <c r="M87" s="312"/>
      <c r="N87" s="313"/>
      <c r="O87" s="311" t="s">
        <v>36</v>
      </c>
      <c r="P87" s="312"/>
      <c r="Q87" s="312"/>
      <c r="R87" s="312"/>
      <c r="S87" s="313"/>
      <c r="T87" s="314" t="s">
        <v>36</v>
      </c>
      <c r="U87" s="315"/>
      <c r="V87" s="315"/>
      <c r="W87" s="316"/>
      <c r="X87" s="310" t="s">
        <v>103</v>
      </c>
      <c r="Y87" s="310"/>
      <c r="Z87" s="310"/>
      <c r="AA87" s="311"/>
      <c r="AB87" s="312"/>
      <c r="AC87" s="334"/>
      <c r="AD87" s="312"/>
      <c r="AE87" s="313"/>
      <c r="AG87" s="309" t="s">
        <v>101</v>
      </c>
      <c r="AH87" s="310"/>
      <c r="AI87" s="310"/>
      <c r="AJ87" s="310"/>
      <c r="AK87" s="311" t="s">
        <v>36</v>
      </c>
      <c r="AL87" s="312"/>
      <c r="AM87" s="312"/>
      <c r="AN87" s="312"/>
      <c r="AO87" s="313"/>
      <c r="AP87" s="311" t="s">
        <v>36</v>
      </c>
      <c r="AQ87" s="312"/>
      <c r="AR87" s="312"/>
      <c r="AS87" s="312"/>
      <c r="AT87" s="313"/>
      <c r="AU87" s="314" t="s">
        <v>36</v>
      </c>
      <c r="AV87" s="315"/>
      <c r="AW87" s="315"/>
      <c r="AX87" s="316"/>
      <c r="AY87" s="310" t="s">
        <v>103</v>
      </c>
      <c r="AZ87" s="310"/>
      <c r="BA87" s="310"/>
      <c r="BB87" s="311"/>
      <c r="BC87" s="312"/>
      <c r="BD87" s="334"/>
      <c r="BE87" s="312"/>
      <c r="BF87" s="313"/>
      <c r="BI87" s="320"/>
    </row>
    <row r="88" spans="1:61" s="19" customFormat="1" ht="15" customHeight="1" thickBot="1" x14ac:dyDescent="0.3">
      <c r="A88" s="317"/>
      <c r="C88" s="318"/>
      <c r="F88" s="309" t="s">
        <v>101</v>
      </c>
      <c r="G88" s="310"/>
      <c r="H88" s="310"/>
      <c r="I88" s="310"/>
      <c r="J88" s="311" t="s">
        <v>104</v>
      </c>
      <c r="K88" s="312"/>
      <c r="L88" s="312"/>
      <c r="M88" s="312"/>
      <c r="N88" s="313"/>
      <c r="O88" s="311" t="s">
        <v>36</v>
      </c>
      <c r="P88" s="312"/>
      <c r="Q88" s="312"/>
      <c r="R88" s="312"/>
      <c r="S88" s="313"/>
      <c r="T88" s="311" t="s">
        <v>36</v>
      </c>
      <c r="U88" s="312"/>
      <c r="V88" s="312"/>
      <c r="W88" s="313"/>
      <c r="X88" s="312" t="s">
        <v>102</v>
      </c>
      <c r="Y88" s="312"/>
      <c r="Z88" s="313"/>
      <c r="AA88" s="311"/>
      <c r="AB88" s="312"/>
      <c r="AC88" s="334"/>
      <c r="AD88" s="312"/>
      <c r="AE88" s="313"/>
      <c r="AG88" s="309" t="s">
        <v>101</v>
      </c>
      <c r="AH88" s="310"/>
      <c r="AI88" s="310"/>
      <c r="AJ88" s="310"/>
      <c r="AK88" s="311" t="s">
        <v>104</v>
      </c>
      <c r="AL88" s="312"/>
      <c r="AM88" s="312"/>
      <c r="AN88" s="312"/>
      <c r="AO88" s="313"/>
      <c r="AP88" s="311" t="s">
        <v>36</v>
      </c>
      <c r="AQ88" s="312"/>
      <c r="AR88" s="312"/>
      <c r="AS88" s="312"/>
      <c r="AT88" s="313"/>
      <c r="AU88" s="311" t="s">
        <v>36</v>
      </c>
      <c r="AV88" s="312"/>
      <c r="AW88" s="312"/>
      <c r="AX88" s="313"/>
      <c r="AY88" s="312" t="s">
        <v>102</v>
      </c>
      <c r="AZ88" s="312"/>
      <c r="BA88" s="313"/>
      <c r="BB88" s="311"/>
      <c r="BC88" s="312"/>
      <c r="BD88" s="334"/>
      <c r="BE88" s="312"/>
      <c r="BF88" s="313"/>
      <c r="BI88" s="320"/>
    </row>
    <row r="89" spans="1:61" s="19" customFormat="1" ht="15" customHeight="1" thickBot="1" x14ac:dyDescent="0.3">
      <c r="A89" s="317"/>
      <c r="C89" s="318"/>
      <c r="F89" s="309" t="s">
        <v>101</v>
      </c>
      <c r="G89" s="310"/>
      <c r="H89" s="310"/>
      <c r="I89" s="310"/>
      <c r="J89" s="311" t="s">
        <v>104</v>
      </c>
      <c r="K89" s="312"/>
      <c r="L89" s="312"/>
      <c r="M89" s="312"/>
      <c r="N89" s="313"/>
      <c r="O89" s="311" t="s">
        <v>105</v>
      </c>
      <c r="P89" s="312"/>
      <c r="Q89" s="312"/>
      <c r="R89" s="312"/>
      <c r="S89" s="313"/>
      <c r="T89" s="311" t="s">
        <v>36</v>
      </c>
      <c r="U89" s="312"/>
      <c r="V89" s="312"/>
      <c r="W89" s="313"/>
      <c r="X89" s="310" t="s">
        <v>103</v>
      </c>
      <c r="Y89" s="310"/>
      <c r="Z89" s="310"/>
      <c r="AA89" s="311"/>
      <c r="AB89" s="312"/>
      <c r="AC89" s="334"/>
      <c r="AD89" s="312"/>
      <c r="AE89" s="313"/>
      <c r="AG89" s="309" t="s">
        <v>101</v>
      </c>
      <c r="AH89" s="310"/>
      <c r="AI89" s="310"/>
      <c r="AJ89" s="310"/>
      <c r="AK89" s="311" t="s">
        <v>104</v>
      </c>
      <c r="AL89" s="312"/>
      <c r="AM89" s="312"/>
      <c r="AN89" s="312"/>
      <c r="AO89" s="313"/>
      <c r="AP89" s="311" t="s">
        <v>105</v>
      </c>
      <c r="AQ89" s="312"/>
      <c r="AR89" s="312"/>
      <c r="AS89" s="312"/>
      <c r="AT89" s="313"/>
      <c r="AU89" s="311" t="s">
        <v>36</v>
      </c>
      <c r="AV89" s="312"/>
      <c r="AW89" s="312"/>
      <c r="AX89" s="313"/>
      <c r="AY89" s="310" t="s">
        <v>103</v>
      </c>
      <c r="AZ89" s="310"/>
      <c r="BA89" s="310"/>
      <c r="BB89" s="311"/>
      <c r="BC89" s="312"/>
      <c r="BD89" s="336"/>
      <c r="BE89" s="312"/>
      <c r="BF89" s="313"/>
      <c r="BI89" s="320"/>
    </row>
    <row r="90" spans="1:61" s="19" customFormat="1" ht="15" customHeight="1" thickBot="1" x14ac:dyDescent="0.3">
      <c r="A90" s="317"/>
      <c r="C90" s="318"/>
      <c r="D90" s="319" t="s">
        <v>154</v>
      </c>
      <c r="F90" s="309" t="s">
        <v>101</v>
      </c>
      <c r="G90" s="310"/>
      <c r="H90" s="310"/>
      <c r="I90" s="310"/>
      <c r="J90" s="311" t="s">
        <v>104</v>
      </c>
      <c r="K90" s="312"/>
      <c r="L90" s="312"/>
      <c r="M90" s="312"/>
      <c r="N90" s="313"/>
      <c r="O90" s="311" t="s">
        <v>105</v>
      </c>
      <c r="P90" s="312"/>
      <c r="Q90" s="312"/>
      <c r="R90" s="312"/>
      <c r="S90" s="313"/>
      <c r="T90" s="311" t="s">
        <v>106</v>
      </c>
      <c r="U90" s="312"/>
      <c r="V90" s="312"/>
      <c r="W90" s="313"/>
      <c r="X90" s="312" t="s">
        <v>102</v>
      </c>
      <c r="Y90" s="312"/>
      <c r="Z90" s="313"/>
      <c r="AA90" s="311"/>
      <c r="AB90" s="312"/>
      <c r="AC90" s="336"/>
      <c r="AD90" s="312"/>
      <c r="AE90" s="313"/>
      <c r="AF90" s="342" t="s">
        <v>37</v>
      </c>
      <c r="AG90" s="309" t="s">
        <v>101</v>
      </c>
      <c r="AH90" s="310"/>
      <c r="AI90" s="310"/>
      <c r="AJ90" s="310"/>
      <c r="AK90" s="311" t="s">
        <v>104</v>
      </c>
      <c r="AL90" s="312"/>
      <c r="AM90" s="312"/>
      <c r="AN90" s="312"/>
      <c r="AO90" s="313"/>
      <c r="AP90" s="311" t="s">
        <v>105</v>
      </c>
      <c r="AQ90" s="312"/>
      <c r="AR90" s="312"/>
      <c r="AS90" s="312"/>
      <c r="AT90" s="313"/>
      <c r="AU90" s="311" t="s">
        <v>106</v>
      </c>
      <c r="AV90" s="312"/>
      <c r="AW90" s="312"/>
      <c r="AX90" s="313"/>
      <c r="AY90" s="310" t="s">
        <v>103</v>
      </c>
      <c r="AZ90" s="310"/>
      <c r="BA90" s="310"/>
      <c r="BB90" s="311"/>
      <c r="BC90" s="312"/>
      <c r="BD90" s="336"/>
      <c r="BE90" s="312"/>
      <c r="BF90" s="313"/>
      <c r="BG90" s="319"/>
      <c r="BI90" s="320"/>
    </row>
    <row r="91" spans="1:61" s="19" customFormat="1" ht="15" customHeight="1" thickBot="1" x14ac:dyDescent="0.3">
      <c r="A91" s="317"/>
      <c r="C91" s="318"/>
      <c r="F91" s="309" t="s">
        <v>101</v>
      </c>
      <c r="G91" s="310"/>
      <c r="H91" s="310"/>
      <c r="I91" s="310"/>
      <c r="J91" s="311" t="s">
        <v>104</v>
      </c>
      <c r="K91" s="312"/>
      <c r="L91" s="312"/>
      <c r="M91" s="312"/>
      <c r="N91" s="313"/>
      <c r="O91" s="311" t="s">
        <v>105</v>
      </c>
      <c r="P91" s="312"/>
      <c r="Q91" s="312"/>
      <c r="R91" s="312"/>
      <c r="S91" s="313"/>
      <c r="T91" s="311" t="s">
        <v>135</v>
      </c>
      <c r="U91" s="312"/>
      <c r="V91" s="312"/>
      <c r="W91" s="313"/>
      <c r="X91" s="312" t="s">
        <v>102</v>
      </c>
      <c r="Y91" s="312"/>
      <c r="Z91" s="313"/>
      <c r="AA91" s="311"/>
      <c r="AB91" s="312"/>
      <c r="AC91" s="336"/>
      <c r="AD91" s="312"/>
      <c r="AE91" s="313"/>
      <c r="AG91" s="309" t="s">
        <v>101</v>
      </c>
      <c r="AH91" s="310"/>
      <c r="AI91" s="310"/>
      <c r="AJ91" s="310"/>
      <c r="AK91" s="311" t="s">
        <v>104</v>
      </c>
      <c r="AL91" s="312"/>
      <c r="AM91" s="312"/>
      <c r="AN91" s="312"/>
      <c r="AO91" s="313"/>
      <c r="AP91" s="311" t="s">
        <v>105</v>
      </c>
      <c r="AQ91" s="312"/>
      <c r="AR91" s="312"/>
      <c r="AS91" s="312"/>
      <c r="AT91" s="313"/>
      <c r="AU91" s="311" t="s">
        <v>135</v>
      </c>
      <c r="AV91" s="312"/>
      <c r="AW91" s="312"/>
      <c r="AX91" s="313"/>
      <c r="AY91" s="310" t="s">
        <v>103</v>
      </c>
      <c r="AZ91" s="310"/>
      <c r="BA91" s="310"/>
      <c r="BB91" s="311"/>
      <c r="BC91" s="312"/>
      <c r="BD91" s="336"/>
      <c r="BE91" s="312"/>
      <c r="BF91" s="313"/>
      <c r="BI91" s="320"/>
    </row>
    <row r="92" spans="1:61" s="19" customFormat="1" ht="15" customHeight="1" thickBot="1" x14ac:dyDescent="0.3">
      <c r="A92" s="317"/>
      <c r="C92" s="318"/>
      <c r="F92" s="309" t="s">
        <v>101</v>
      </c>
      <c r="G92" s="310"/>
      <c r="H92" s="310"/>
      <c r="I92" s="310"/>
      <c r="J92" s="311" t="s">
        <v>104</v>
      </c>
      <c r="K92" s="312"/>
      <c r="L92" s="312"/>
      <c r="M92" s="312"/>
      <c r="N92" s="313"/>
      <c r="O92" s="311" t="s">
        <v>105</v>
      </c>
      <c r="P92" s="312"/>
      <c r="Q92" s="312"/>
      <c r="R92" s="312"/>
      <c r="S92" s="313"/>
      <c r="T92" s="311" t="s">
        <v>136</v>
      </c>
      <c r="U92" s="312"/>
      <c r="V92" s="312"/>
      <c r="W92" s="313"/>
      <c r="X92" s="312" t="s">
        <v>102</v>
      </c>
      <c r="Y92" s="312"/>
      <c r="Z92" s="313"/>
      <c r="AA92" s="311"/>
      <c r="AB92" s="312"/>
      <c r="AC92" s="336"/>
      <c r="AD92" s="312"/>
      <c r="AE92" s="313"/>
      <c r="AG92" s="309" t="s">
        <v>101</v>
      </c>
      <c r="AH92" s="310"/>
      <c r="AI92" s="310"/>
      <c r="AJ92" s="310"/>
      <c r="AK92" s="311" t="s">
        <v>104</v>
      </c>
      <c r="AL92" s="312"/>
      <c r="AM92" s="312"/>
      <c r="AN92" s="312"/>
      <c r="AO92" s="313"/>
      <c r="AP92" s="311" t="s">
        <v>105</v>
      </c>
      <c r="AQ92" s="312"/>
      <c r="AR92" s="312"/>
      <c r="AS92" s="312"/>
      <c r="AT92" s="313"/>
      <c r="AU92" s="311" t="s">
        <v>136</v>
      </c>
      <c r="AV92" s="312"/>
      <c r="AW92" s="312"/>
      <c r="AX92" s="313"/>
      <c r="AY92" s="310" t="s">
        <v>103</v>
      </c>
      <c r="AZ92" s="310"/>
      <c r="BA92" s="310"/>
      <c r="BB92" s="311"/>
      <c r="BC92" s="312"/>
      <c r="BD92" s="336"/>
      <c r="BE92" s="312"/>
      <c r="BF92" s="313"/>
      <c r="BI92" s="320"/>
    </row>
    <row r="93" spans="1:61" s="19" customFormat="1" ht="15" customHeight="1" thickBot="1" x14ac:dyDescent="0.3">
      <c r="A93" s="317"/>
      <c r="C93" s="318"/>
      <c r="F93" s="309" t="s">
        <v>101</v>
      </c>
      <c r="G93" s="310"/>
      <c r="H93" s="310"/>
      <c r="I93" s="310"/>
      <c r="J93" s="311" t="s">
        <v>104</v>
      </c>
      <c r="K93" s="312"/>
      <c r="L93" s="312"/>
      <c r="M93" s="312"/>
      <c r="N93" s="313"/>
      <c r="O93" s="311" t="s">
        <v>105</v>
      </c>
      <c r="P93" s="312"/>
      <c r="Q93" s="312"/>
      <c r="R93" s="312"/>
      <c r="S93" s="313"/>
      <c r="T93" s="311" t="s">
        <v>137</v>
      </c>
      <c r="U93" s="312"/>
      <c r="V93" s="312"/>
      <c r="W93" s="313"/>
      <c r="X93" s="312" t="s">
        <v>102</v>
      </c>
      <c r="Y93" s="312"/>
      <c r="Z93" s="313"/>
      <c r="AA93" s="311"/>
      <c r="AB93" s="312"/>
      <c r="AC93" s="336"/>
      <c r="AD93" s="312"/>
      <c r="AE93" s="313"/>
      <c r="AG93" s="309" t="s">
        <v>101</v>
      </c>
      <c r="AH93" s="310"/>
      <c r="AI93" s="310"/>
      <c r="AJ93" s="310"/>
      <c r="AK93" s="311" t="s">
        <v>104</v>
      </c>
      <c r="AL93" s="312"/>
      <c r="AM93" s="312"/>
      <c r="AN93" s="312"/>
      <c r="AO93" s="313"/>
      <c r="AP93" s="311" t="s">
        <v>105</v>
      </c>
      <c r="AQ93" s="312"/>
      <c r="AR93" s="312"/>
      <c r="AS93" s="312"/>
      <c r="AT93" s="313"/>
      <c r="AU93" s="311" t="s">
        <v>137</v>
      </c>
      <c r="AV93" s="312"/>
      <c r="AW93" s="312"/>
      <c r="AX93" s="313"/>
      <c r="AY93" s="310" t="s">
        <v>103</v>
      </c>
      <c r="AZ93" s="310"/>
      <c r="BA93" s="310"/>
      <c r="BB93" s="311"/>
      <c r="BC93" s="312"/>
      <c r="BD93" s="336"/>
      <c r="BE93" s="312"/>
      <c r="BF93" s="313"/>
      <c r="BI93" s="320"/>
    </row>
    <row r="94" spans="1:61" s="19" customFormat="1" ht="15" customHeight="1" thickBot="1" x14ac:dyDescent="0.3">
      <c r="A94" s="317"/>
      <c r="C94" s="318"/>
      <c r="F94" s="309" t="s">
        <v>138</v>
      </c>
      <c r="G94" s="310"/>
      <c r="H94" s="310"/>
      <c r="I94" s="310"/>
      <c r="J94" s="311" t="s">
        <v>36</v>
      </c>
      <c r="K94" s="312"/>
      <c r="L94" s="312"/>
      <c r="M94" s="312"/>
      <c r="N94" s="313"/>
      <c r="O94" s="311" t="s">
        <v>36</v>
      </c>
      <c r="P94" s="312"/>
      <c r="Q94" s="312"/>
      <c r="R94" s="312"/>
      <c r="S94" s="313"/>
      <c r="T94" s="314" t="s">
        <v>36</v>
      </c>
      <c r="U94" s="315"/>
      <c r="V94" s="315"/>
      <c r="W94" s="316"/>
      <c r="X94" s="310" t="s">
        <v>103</v>
      </c>
      <c r="Y94" s="310"/>
      <c r="Z94" s="310"/>
      <c r="AA94" s="311"/>
      <c r="AB94" s="312"/>
      <c r="AC94" s="334"/>
      <c r="AD94" s="312"/>
      <c r="AE94" s="313"/>
      <c r="AG94" s="309" t="s">
        <v>138</v>
      </c>
      <c r="AH94" s="310"/>
      <c r="AI94" s="310"/>
      <c r="AJ94" s="310"/>
      <c r="AK94" s="311" t="s">
        <v>36</v>
      </c>
      <c r="AL94" s="312"/>
      <c r="AM94" s="312"/>
      <c r="AN94" s="312"/>
      <c r="AO94" s="313"/>
      <c r="AP94" s="311" t="s">
        <v>36</v>
      </c>
      <c r="AQ94" s="312"/>
      <c r="AR94" s="312"/>
      <c r="AS94" s="312"/>
      <c r="AT94" s="313"/>
      <c r="AU94" s="314" t="s">
        <v>36</v>
      </c>
      <c r="AV94" s="315"/>
      <c r="AW94" s="315"/>
      <c r="AX94" s="316"/>
      <c r="AY94" s="310" t="s">
        <v>103</v>
      </c>
      <c r="AZ94" s="310"/>
      <c r="BA94" s="310"/>
      <c r="BB94" s="311"/>
      <c r="BC94" s="312"/>
      <c r="BD94" s="334"/>
      <c r="BE94" s="312"/>
      <c r="BF94" s="313"/>
      <c r="BI94" s="320"/>
    </row>
    <row r="95" spans="1:61" s="19" customFormat="1" ht="15" customHeight="1" x14ac:dyDescent="0.25">
      <c r="A95" s="317"/>
      <c r="C95" s="318"/>
      <c r="N95" s="320"/>
      <c r="BI95" s="320"/>
    </row>
    <row r="96" spans="1:61" s="19" customFormat="1" ht="15" customHeight="1" x14ac:dyDescent="0.25">
      <c r="A96" s="317"/>
      <c r="C96" s="318"/>
      <c r="D96" s="319" t="s">
        <v>155</v>
      </c>
      <c r="U96" s="318"/>
      <c r="AD96" s="318"/>
      <c r="AM96" s="318"/>
      <c r="BI96" s="320"/>
    </row>
    <row r="97" spans="1:61" s="19" customFormat="1" ht="15" customHeight="1" x14ac:dyDescent="0.25">
      <c r="A97" s="317"/>
      <c r="C97" s="318"/>
      <c r="D97" s="319"/>
      <c r="E97" s="319" t="s">
        <v>156</v>
      </c>
      <c r="U97" s="318"/>
      <c r="AD97" s="318"/>
      <c r="AM97" s="318"/>
      <c r="BI97" s="320"/>
    </row>
    <row r="98" spans="1:61" s="19" customFormat="1" ht="15" customHeight="1" x14ac:dyDescent="0.25">
      <c r="A98" s="317"/>
      <c r="C98" s="318"/>
      <c r="D98" s="319"/>
      <c r="E98" s="319" t="s">
        <v>118</v>
      </c>
      <c r="U98" s="318"/>
      <c r="AD98" s="318"/>
      <c r="AM98" s="318"/>
      <c r="BI98" s="320"/>
    </row>
    <row r="99" spans="1:61" s="19" customFormat="1" ht="15" customHeight="1" x14ac:dyDescent="0.25">
      <c r="A99" s="317"/>
      <c r="C99" s="318"/>
      <c r="D99" s="319"/>
      <c r="E99" s="319"/>
      <c r="F99" s="319" t="s">
        <v>119</v>
      </c>
      <c r="U99" s="318"/>
      <c r="AD99" s="318"/>
      <c r="AM99" s="318"/>
      <c r="BI99" s="320"/>
    </row>
    <row r="100" spans="1:61" s="19" customFormat="1" ht="15" customHeight="1" x14ac:dyDescent="0.25">
      <c r="A100" s="317"/>
      <c r="C100" s="318"/>
      <c r="D100" s="319"/>
      <c r="F100" s="319" t="s">
        <v>120</v>
      </c>
      <c r="U100" s="318"/>
      <c r="AD100" s="318"/>
      <c r="AM100" s="318"/>
      <c r="BI100" s="320"/>
    </row>
    <row r="101" spans="1:61" s="19" customFormat="1" ht="15" customHeight="1" x14ac:dyDescent="0.25">
      <c r="A101" s="317"/>
      <c r="C101" s="318"/>
      <c r="F101" s="319"/>
      <c r="G101" s="319"/>
      <c r="AD101" s="318"/>
      <c r="BI101" s="320"/>
    </row>
    <row r="102" spans="1:61" s="19" customFormat="1" ht="15" customHeight="1" thickBot="1" x14ac:dyDescent="0.3">
      <c r="A102" s="317"/>
      <c r="C102" s="318"/>
      <c r="F102" s="326" t="s">
        <v>131</v>
      </c>
      <c r="G102" s="326"/>
      <c r="H102" s="326"/>
      <c r="I102" s="326"/>
      <c r="J102" s="327" t="s">
        <v>132</v>
      </c>
      <c r="K102" s="328"/>
      <c r="L102" s="328"/>
      <c r="M102" s="328"/>
      <c r="N102" s="329"/>
      <c r="O102" s="327" t="s">
        <v>133</v>
      </c>
      <c r="P102" s="328"/>
      <c r="Q102" s="328"/>
      <c r="R102" s="328"/>
      <c r="S102" s="329"/>
      <c r="T102" s="327" t="s">
        <v>134</v>
      </c>
      <c r="U102" s="328"/>
      <c r="V102" s="328"/>
      <c r="W102" s="329"/>
      <c r="X102" s="330" t="s">
        <v>116</v>
      </c>
      <c r="Y102" s="330"/>
      <c r="Z102" s="331"/>
      <c r="AA102" s="332" t="s">
        <v>117</v>
      </c>
      <c r="AB102" s="330"/>
      <c r="AC102" s="330"/>
      <c r="AD102" s="330"/>
      <c r="AE102" s="331"/>
      <c r="AG102" s="327" t="s">
        <v>131</v>
      </c>
      <c r="AH102" s="328"/>
      <c r="AI102" s="328"/>
      <c r="AJ102" s="329"/>
      <c r="AK102" s="327" t="s">
        <v>132</v>
      </c>
      <c r="AL102" s="328"/>
      <c r="AM102" s="328"/>
      <c r="AN102" s="328"/>
      <c r="AO102" s="329"/>
      <c r="AP102" s="327" t="s">
        <v>133</v>
      </c>
      <c r="AQ102" s="328"/>
      <c r="AR102" s="328"/>
      <c r="AS102" s="328"/>
      <c r="AT102" s="329"/>
      <c r="AU102" s="327" t="s">
        <v>134</v>
      </c>
      <c r="AV102" s="328"/>
      <c r="AW102" s="328"/>
      <c r="AX102" s="329"/>
      <c r="AY102" s="330" t="s">
        <v>116</v>
      </c>
      <c r="AZ102" s="330"/>
      <c r="BA102" s="331"/>
      <c r="BB102" s="332" t="s">
        <v>117</v>
      </c>
      <c r="BC102" s="330"/>
      <c r="BD102" s="330"/>
      <c r="BE102" s="330"/>
      <c r="BF102" s="331"/>
      <c r="BI102" s="320"/>
    </row>
    <row r="103" spans="1:61" s="19" customFormat="1" ht="15" customHeight="1" thickBot="1" x14ac:dyDescent="0.3">
      <c r="A103" s="317"/>
      <c r="C103" s="318"/>
      <c r="F103" s="309" t="s">
        <v>101</v>
      </c>
      <c r="G103" s="310"/>
      <c r="H103" s="310"/>
      <c r="I103" s="310"/>
      <c r="J103" s="311" t="s">
        <v>36</v>
      </c>
      <c r="K103" s="312"/>
      <c r="L103" s="312"/>
      <c r="M103" s="312"/>
      <c r="N103" s="313"/>
      <c r="O103" s="311" t="s">
        <v>36</v>
      </c>
      <c r="P103" s="312"/>
      <c r="Q103" s="312"/>
      <c r="R103" s="312"/>
      <c r="S103" s="313"/>
      <c r="T103" s="314" t="s">
        <v>36</v>
      </c>
      <c r="U103" s="315"/>
      <c r="V103" s="315"/>
      <c r="W103" s="316"/>
      <c r="X103" s="310" t="s">
        <v>103</v>
      </c>
      <c r="Y103" s="310"/>
      <c r="Z103" s="310"/>
      <c r="AA103" s="311"/>
      <c r="AB103" s="312"/>
      <c r="AC103" s="334"/>
      <c r="AD103" s="312"/>
      <c r="AE103" s="313"/>
      <c r="AG103" s="309" t="s">
        <v>101</v>
      </c>
      <c r="AH103" s="310"/>
      <c r="AI103" s="310"/>
      <c r="AJ103" s="310"/>
      <c r="AK103" s="311" t="s">
        <v>36</v>
      </c>
      <c r="AL103" s="312"/>
      <c r="AM103" s="312"/>
      <c r="AN103" s="312"/>
      <c r="AO103" s="313"/>
      <c r="AP103" s="311" t="s">
        <v>36</v>
      </c>
      <c r="AQ103" s="312"/>
      <c r="AR103" s="312"/>
      <c r="AS103" s="312"/>
      <c r="AT103" s="313"/>
      <c r="AU103" s="314" t="s">
        <v>36</v>
      </c>
      <c r="AV103" s="315"/>
      <c r="AW103" s="315"/>
      <c r="AX103" s="316"/>
      <c r="AY103" s="310" t="s">
        <v>103</v>
      </c>
      <c r="AZ103" s="310"/>
      <c r="BA103" s="310"/>
      <c r="BB103" s="311"/>
      <c r="BC103" s="312"/>
      <c r="BD103" s="334"/>
      <c r="BE103" s="312"/>
      <c r="BF103" s="313"/>
      <c r="BI103" s="320"/>
    </row>
    <row r="104" spans="1:61" s="19" customFormat="1" ht="15" customHeight="1" thickBot="1" x14ac:dyDescent="0.3">
      <c r="A104" s="317"/>
      <c r="C104" s="318"/>
      <c r="F104" s="309" t="s">
        <v>101</v>
      </c>
      <c r="G104" s="310"/>
      <c r="H104" s="310"/>
      <c r="I104" s="310"/>
      <c r="J104" s="311" t="s">
        <v>104</v>
      </c>
      <c r="K104" s="312"/>
      <c r="L104" s="312"/>
      <c r="M104" s="312"/>
      <c r="N104" s="313"/>
      <c r="O104" s="311" t="s">
        <v>36</v>
      </c>
      <c r="P104" s="312"/>
      <c r="Q104" s="312"/>
      <c r="R104" s="312"/>
      <c r="S104" s="313"/>
      <c r="T104" s="311" t="s">
        <v>36</v>
      </c>
      <c r="U104" s="312"/>
      <c r="V104" s="312"/>
      <c r="W104" s="313"/>
      <c r="X104" s="310" t="s">
        <v>103</v>
      </c>
      <c r="Y104" s="310"/>
      <c r="Z104" s="310"/>
      <c r="AA104" s="311"/>
      <c r="AB104" s="312"/>
      <c r="AC104" s="334"/>
      <c r="AD104" s="312"/>
      <c r="AE104" s="313"/>
      <c r="AG104" s="309" t="s">
        <v>101</v>
      </c>
      <c r="AH104" s="310"/>
      <c r="AI104" s="310"/>
      <c r="AJ104" s="310"/>
      <c r="AK104" s="311" t="s">
        <v>104</v>
      </c>
      <c r="AL104" s="312"/>
      <c r="AM104" s="312"/>
      <c r="AN104" s="312"/>
      <c r="AO104" s="313"/>
      <c r="AP104" s="311" t="s">
        <v>36</v>
      </c>
      <c r="AQ104" s="312"/>
      <c r="AR104" s="312"/>
      <c r="AS104" s="312"/>
      <c r="AT104" s="313"/>
      <c r="AU104" s="311" t="s">
        <v>36</v>
      </c>
      <c r="AV104" s="312"/>
      <c r="AW104" s="312"/>
      <c r="AX104" s="313"/>
      <c r="AY104" s="310" t="s">
        <v>103</v>
      </c>
      <c r="AZ104" s="310"/>
      <c r="BA104" s="310"/>
      <c r="BB104" s="311"/>
      <c r="BC104" s="312"/>
      <c r="BD104" s="334"/>
      <c r="BE104" s="312"/>
      <c r="BF104" s="313"/>
      <c r="BI104" s="320"/>
    </row>
    <row r="105" spans="1:61" s="19" customFormat="1" ht="15" customHeight="1" thickBot="1" x14ac:dyDescent="0.3">
      <c r="A105" s="317"/>
      <c r="C105" s="318"/>
      <c r="F105" s="309" t="s">
        <v>101</v>
      </c>
      <c r="G105" s="310"/>
      <c r="H105" s="310"/>
      <c r="I105" s="310"/>
      <c r="J105" s="311" t="s">
        <v>104</v>
      </c>
      <c r="K105" s="312"/>
      <c r="L105" s="312"/>
      <c r="M105" s="312"/>
      <c r="N105" s="313"/>
      <c r="O105" s="311" t="s">
        <v>105</v>
      </c>
      <c r="P105" s="312"/>
      <c r="Q105" s="312"/>
      <c r="R105" s="312"/>
      <c r="S105" s="313"/>
      <c r="T105" s="311" t="s">
        <v>36</v>
      </c>
      <c r="U105" s="312"/>
      <c r="V105" s="312"/>
      <c r="W105" s="313"/>
      <c r="X105" s="310" t="s">
        <v>103</v>
      </c>
      <c r="Y105" s="310"/>
      <c r="Z105" s="310"/>
      <c r="AA105" s="311"/>
      <c r="AB105" s="312"/>
      <c r="AC105" s="334"/>
      <c r="AD105" s="312"/>
      <c r="AE105" s="313"/>
      <c r="AG105" s="309" t="s">
        <v>101</v>
      </c>
      <c r="AH105" s="310"/>
      <c r="AI105" s="310"/>
      <c r="AJ105" s="310"/>
      <c r="AK105" s="311" t="s">
        <v>104</v>
      </c>
      <c r="AL105" s="312"/>
      <c r="AM105" s="312"/>
      <c r="AN105" s="312"/>
      <c r="AO105" s="313"/>
      <c r="AP105" s="311" t="s">
        <v>105</v>
      </c>
      <c r="AQ105" s="312"/>
      <c r="AR105" s="312"/>
      <c r="AS105" s="312"/>
      <c r="AT105" s="313"/>
      <c r="AU105" s="311" t="s">
        <v>36</v>
      </c>
      <c r="AV105" s="312"/>
      <c r="AW105" s="312"/>
      <c r="AX105" s="313"/>
      <c r="AY105" s="310" t="s">
        <v>103</v>
      </c>
      <c r="AZ105" s="310"/>
      <c r="BA105" s="310"/>
      <c r="BB105" s="311"/>
      <c r="BC105" s="312"/>
      <c r="BD105" s="334"/>
      <c r="BE105" s="312"/>
      <c r="BF105" s="313"/>
      <c r="BI105" s="320"/>
    </row>
    <row r="106" spans="1:61" s="19" customFormat="1" ht="15" customHeight="1" thickBot="1" x14ac:dyDescent="0.3">
      <c r="A106" s="317"/>
      <c r="C106" s="318"/>
      <c r="D106" s="319"/>
      <c r="F106" s="309" t="s">
        <v>101</v>
      </c>
      <c r="G106" s="310"/>
      <c r="H106" s="310"/>
      <c r="I106" s="310"/>
      <c r="J106" s="311" t="s">
        <v>104</v>
      </c>
      <c r="K106" s="312"/>
      <c r="L106" s="312"/>
      <c r="M106" s="312"/>
      <c r="N106" s="313"/>
      <c r="O106" s="311" t="s">
        <v>105</v>
      </c>
      <c r="P106" s="312"/>
      <c r="Q106" s="312"/>
      <c r="R106" s="312"/>
      <c r="S106" s="313"/>
      <c r="T106" s="311" t="s">
        <v>106</v>
      </c>
      <c r="U106" s="312"/>
      <c r="V106" s="312"/>
      <c r="W106" s="313"/>
      <c r="X106" s="310" t="s">
        <v>103</v>
      </c>
      <c r="Y106" s="310"/>
      <c r="Z106" s="310"/>
      <c r="AA106" s="311"/>
      <c r="AB106" s="312"/>
      <c r="AC106" s="334"/>
      <c r="AD106" s="312"/>
      <c r="AE106" s="313"/>
      <c r="AF106" s="342" t="s">
        <v>37</v>
      </c>
      <c r="AG106" s="309" t="s">
        <v>101</v>
      </c>
      <c r="AH106" s="310"/>
      <c r="AI106" s="310"/>
      <c r="AJ106" s="310"/>
      <c r="AK106" s="311" t="s">
        <v>104</v>
      </c>
      <c r="AL106" s="312"/>
      <c r="AM106" s="312"/>
      <c r="AN106" s="312"/>
      <c r="AO106" s="313"/>
      <c r="AP106" s="311" t="s">
        <v>105</v>
      </c>
      <c r="AQ106" s="312"/>
      <c r="AR106" s="312"/>
      <c r="AS106" s="312"/>
      <c r="AT106" s="313"/>
      <c r="AU106" s="311" t="s">
        <v>106</v>
      </c>
      <c r="AV106" s="312"/>
      <c r="AW106" s="312"/>
      <c r="AX106" s="313"/>
      <c r="AY106" s="310" t="s">
        <v>102</v>
      </c>
      <c r="AZ106" s="310"/>
      <c r="BA106" s="310"/>
      <c r="BB106" s="311"/>
      <c r="BC106" s="312"/>
      <c r="BD106" s="336"/>
      <c r="BE106" s="312"/>
      <c r="BF106" s="313"/>
      <c r="BG106" s="319"/>
      <c r="BI106" s="320"/>
    </row>
    <row r="107" spans="1:61" s="19" customFormat="1" ht="15" customHeight="1" thickBot="1" x14ac:dyDescent="0.3">
      <c r="A107" s="317"/>
      <c r="C107" s="318"/>
      <c r="F107" s="309" t="s">
        <v>101</v>
      </c>
      <c r="G107" s="310"/>
      <c r="H107" s="310"/>
      <c r="I107" s="310"/>
      <c r="J107" s="311" t="s">
        <v>104</v>
      </c>
      <c r="K107" s="312"/>
      <c r="L107" s="312"/>
      <c r="M107" s="312"/>
      <c r="N107" s="313"/>
      <c r="O107" s="311" t="s">
        <v>105</v>
      </c>
      <c r="P107" s="312"/>
      <c r="Q107" s="312"/>
      <c r="R107" s="312"/>
      <c r="S107" s="313"/>
      <c r="T107" s="311" t="s">
        <v>135</v>
      </c>
      <c r="U107" s="312"/>
      <c r="V107" s="312"/>
      <c r="W107" s="313"/>
      <c r="X107" s="310" t="s">
        <v>103</v>
      </c>
      <c r="Y107" s="310"/>
      <c r="Z107" s="310"/>
      <c r="AA107" s="311"/>
      <c r="AB107" s="312"/>
      <c r="AC107" s="336"/>
      <c r="AD107" s="312"/>
      <c r="AE107" s="313"/>
      <c r="AG107" s="309" t="s">
        <v>101</v>
      </c>
      <c r="AH107" s="310"/>
      <c r="AI107" s="310"/>
      <c r="AJ107" s="310"/>
      <c r="AK107" s="311" t="s">
        <v>104</v>
      </c>
      <c r="AL107" s="312"/>
      <c r="AM107" s="312"/>
      <c r="AN107" s="312"/>
      <c r="AO107" s="313"/>
      <c r="AP107" s="311" t="s">
        <v>105</v>
      </c>
      <c r="AQ107" s="312"/>
      <c r="AR107" s="312"/>
      <c r="AS107" s="312"/>
      <c r="AT107" s="313"/>
      <c r="AU107" s="311" t="s">
        <v>135</v>
      </c>
      <c r="AV107" s="312"/>
      <c r="AW107" s="312"/>
      <c r="AX107" s="313"/>
      <c r="AY107" s="310" t="s">
        <v>103</v>
      </c>
      <c r="AZ107" s="310"/>
      <c r="BA107" s="310"/>
      <c r="BB107" s="311"/>
      <c r="BC107" s="312"/>
      <c r="BD107" s="336"/>
      <c r="BE107" s="312"/>
      <c r="BF107" s="313"/>
      <c r="BI107" s="320"/>
    </row>
    <row r="108" spans="1:61" s="19" customFormat="1" ht="15" customHeight="1" thickBot="1" x14ac:dyDescent="0.3">
      <c r="A108" s="317"/>
      <c r="C108" s="318"/>
      <c r="F108" s="309" t="s">
        <v>101</v>
      </c>
      <c r="G108" s="310"/>
      <c r="H108" s="310"/>
      <c r="I108" s="310"/>
      <c r="J108" s="311" t="s">
        <v>104</v>
      </c>
      <c r="K108" s="312"/>
      <c r="L108" s="312"/>
      <c r="M108" s="312"/>
      <c r="N108" s="313"/>
      <c r="O108" s="311" t="s">
        <v>105</v>
      </c>
      <c r="P108" s="312"/>
      <c r="Q108" s="312"/>
      <c r="R108" s="312"/>
      <c r="S108" s="313"/>
      <c r="T108" s="311" t="s">
        <v>136</v>
      </c>
      <c r="U108" s="312"/>
      <c r="V108" s="312"/>
      <c r="W108" s="313"/>
      <c r="X108" s="310" t="s">
        <v>103</v>
      </c>
      <c r="Y108" s="310"/>
      <c r="Z108" s="310"/>
      <c r="AA108" s="311"/>
      <c r="AB108" s="312"/>
      <c r="AC108" s="334"/>
      <c r="AD108" s="312"/>
      <c r="AE108" s="313"/>
      <c r="AG108" s="309" t="s">
        <v>101</v>
      </c>
      <c r="AH108" s="310"/>
      <c r="AI108" s="310"/>
      <c r="AJ108" s="310"/>
      <c r="AK108" s="311" t="s">
        <v>104</v>
      </c>
      <c r="AL108" s="312"/>
      <c r="AM108" s="312"/>
      <c r="AN108" s="312"/>
      <c r="AO108" s="313"/>
      <c r="AP108" s="311" t="s">
        <v>105</v>
      </c>
      <c r="AQ108" s="312"/>
      <c r="AR108" s="312"/>
      <c r="AS108" s="312"/>
      <c r="AT108" s="313"/>
      <c r="AU108" s="311" t="s">
        <v>136</v>
      </c>
      <c r="AV108" s="312"/>
      <c r="AW108" s="312"/>
      <c r="AX108" s="313"/>
      <c r="AY108" s="310" t="s">
        <v>103</v>
      </c>
      <c r="AZ108" s="310"/>
      <c r="BA108" s="310"/>
      <c r="BB108" s="311"/>
      <c r="BC108" s="312"/>
      <c r="BD108" s="334"/>
      <c r="BE108" s="312"/>
      <c r="BF108" s="313"/>
      <c r="BI108" s="320"/>
    </row>
    <row r="109" spans="1:61" s="19" customFormat="1" ht="15" customHeight="1" thickBot="1" x14ac:dyDescent="0.3">
      <c r="A109" s="317"/>
      <c r="C109" s="318"/>
      <c r="F109" s="309" t="s">
        <v>101</v>
      </c>
      <c r="G109" s="310"/>
      <c r="H109" s="310"/>
      <c r="I109" s="310"/>
      <c r="J109" s="311" t="s">
        <v>104</v>
      </c>
      <c r="K109" s="312"/>
      <c r="L109" s="312"/>
      <c r="M109" s="312"/>
      <c r="N109" s="313"/>
      <c r="O109" s="311" t="s">
        <v>105</v>
      </c>
      <c r="P109" s="312"/>
      <c r="Q109" s="312"/>
      <c r="R109" s="312"/>
      <c r="S109" s="313"/>
      <c r="T109" s="311" t="s">
        <v>137</v>
      </c>
      <c r="U109" s="312"/>
      <c r="V109" s="312"/>
      <c r="W109" s="313"/>
      <c r="X109" s="310" t="s">
        <v>103</v>
      </c>
      <c r="Y109" s="310"/>
      <c r="Z109" s="310"/>
      <c r="AA109" s="311"/>
      <c r="AB109" s="312"/>
      <c r="AC109" s="336"/>
      <c r="AD109" s="312"/>
      <c r="AE109" s="313"/>
      <c r="AG109" s="309" t="s">
        <v>101</v>
      </c>
      <c r="AH109" s="310"/>
      <c r="AI109" s="310"/>
      <c r="AJ109" s="310"/>
      <c r="AK109" s="311" t="s">
        <v>104</v>
      </c>
      <c r="AL109" s="312"/>
      <c r="AM109" s="312"/>
      <c r="AN109" s="312"/>
      <c r="AO109" s="313"/>
      <c r="AP109" s="311" t="s">
        <v>105</v>
      </c>
      <c r="AQ109" s="312"/>
      <c r="AR109" s="312"/>
      <c r="AS109" s="312"/>
      <c r="AT109" s="313"/>
      <c r="AU109" s="311" t="s">
        <v>137</v>
      </c>
      <c r="AV109" s="312"/>
      <c r="AW109" s="312"/>
      <c r="AX109" s="313"/>
      <c r="AY109" s="310" t="s">
        <v>103</v>
      </c>
      <c r="AZ109" s="310"/>
      <c r="BA109" s="310"/>
      <c r="BB109" s="311"/>
      <c r="BC109" s="312"/>
      <c r="BD109" s="336"/>
      <c r="BE109" s="312"/>
      <c r="BF109" s="313"/>
      <c r="BI109" s="320"/>
    </row>
    <row r="110" spans="1:61" s="19" customFormat="1" ht="15" customHeight="1" thickBot="1" x14ac:dyDescent="0.3">
      <c r="A110" s="317"/>
      <c r="C110" s="318"/>
      <c r="F110" s="309" t="s">
        <v>138</v>
      </c>
      <c r="G110" s="310"/>
      <c r="H110" s="310"/>
      <c r="I110" s="310"/>
      <c r="J110" s="311" t="s">
        <v>36</v>
      </c>
      <c r="K110" s="312"/>
      <c r="L110" s="312"/>
      <c r="M110" s="312"/>
      <c r="N110" s="313"/>
      <c r="O110" s="311" t="s">
        <v>36</v>
      </c>
      <c r="P110" s="312"/>
      <c r="Q110" s="312"/>
      <c r="R110" s="312"/>
      <c r="S110" s="313"/>
      <c r="T110" s="314" t="s">
        <v>36</v>
      </c>
      <c r="U110" s="315"/>
      <c r="V110" s="315"/>
      <c r="W110" s="316"/>
      <c r="X110" s="310" t="s">
        <v>103</v>
      </c>
      <c r="Y110" s="310"/>
      <c r="Z110" s="310"/>
      <c r="AA110" s="311"/>
      <c r="AB110" s="312"/>
      <c r="AC110" s="334"/>
      <c r="AD110" s="312"/>
      <c r="AE110" s="313"/>
      <c r="AG110" s="309" t="s">
        <v>138</v>
      </c>
      <c r="AH110" s="310"/>
      <c r="AI110" s="310"/>
      <c r="AJ110" s="310"/>
      <c r="AK110" s="311" t="s">
        <v>36</v>
      </c>
      <c r="AL110" s="312"/>
      <c r="AM110" s="312"/>
      <c r="AN110" s="312"/>
      <c r="AO110" s="313"/>
      <c r="AP110" s="311" t="s">
        <v>36</v>
      </c>
      <c r="AQ110" s="312"/>
      <c r="AR110" s="312"/>
      <c r="AS110" s="312"/>
      <c r="AT110" s="313"/>
      <c r="AU110" s="314" t="s">
        <v>36</v>
      </c>
      <c r="AV110" s="315"/>
      <c r="AW110" s="315"/>
      <c r="AX110" s="316"/>
      <c r="AY110" s="310" t="s">
        <v>103</v>
      </c>
      <c r="AZ110" s="310"/>
      <c r="BA110" s="310"/>
      <c r="BB110" s="311"/>
      <c r="BC110" s="312"/>
      <c r="BD110" s="334"/>
      <c r="BE110" s="312"/>
      <c r="BF110" s="313"/>
      <c r="BI110" s="320"/>
    </row>
    <row r="111" spans="1:61" s="19" customFormat="1" ht="15" customHeight="1" x14ac:dyDescent="0.25">
      <c r="A111" s="317"/>
      <c r="C111" s="318"/>
      <c r="N111" s="320"/>
      <c r="BI111" s="320"/>
    </row>
    <row r="112" spans="1:61" s="19" customFormat="1" ht="15" customHeight="1" x14ac:dyDescent="0.25">
      <c r="C112" s="318"/>
      <c r="BI112" s="320"/>
    </row>
    <row r="113" spans="3:61" s="19" customFormat="1" ht="15" customHeight="1" x14ac:dyDescent="0.25">
      <c r="C113" s="318"/>
      <c r="D113" s="319" t="s">
        <v>157</v>
      </c>
      <c r="U113" s="318"/>
      <c r="AD113" s="318"/>
      <c r="AM113" s="318"/>
      <c r="BI113" s="320"/>
    </row>
    <row r="114" spans="3:61" s="19" customFormat="1" ht="15" customHeight="1" x14ac:dyDescent="0.25">
      <c r="C114" s="318"/>
      <c r="D114" s="319"/>
      <c r="E114" s="319" t="s">
        <v>158</v>
      </c>
      <c r="U114" s="318"/>
      <c r="AD114" s="318"/>
      <c r="AM114" s="318"/>
      <c r="BI114" s="320"/>
    </row>
    <row r="115" spans="3:61" s="19" customFormat="1" ht="15" customHeight="1" x14ac:dyDescent="0.25">
      <c r="C115" s="318"/>
      <c r="D115" s="319"/>
      <c r="E115" s="319"/>
      <c r="F115" s="319" t="s">
        <v>159</v>
      </c>
      <c r="U115" s="318"/>
      <c r="AD115" s="318"/>
      <c r="AM115" s="318"/>
      <c r="BI115" s="320"/>
    </row>
    <row r="116" spans="3:61" s="19" customFormat="1" ht="15" customHeight="1" x14ac:dyDescent="0.25">
      <c r="C116" s="318"/>
      <c r="D116" s="319"/>
      <c r="E116" s="319"/>
      <c r="F116" s="319" t="s">
        <v>160</v>
      </c>
      <c r="AD116" s="318"/>
      <c r="BI116" s="320"/>
    </row>
    <row r="117" spans="3:61" s="19" customFormat="1" ht="15" customHeight="1" x14ac:dyDescent="0.25">
      <c r="C117" s="318"/>
      <c r="F117" s="319"/>
      <c r="G117" s="319"/>
      <c r="AD117" s="318"/>
      <c r="BI117" s="320"/>
    </row>
    <row r="118" spans="3:61" s="19" customFormat="1" ht="15" customHeight="1" thickBot="1" x14ac:dyDescent="0.3">
      <c r="C118" s="318"/>
      <c r="F118" s="326" t="s">
        <v>131</v>
      </c>
      <c r="G118" s="326"/>
      <c r="H118" s="326"/>
      <c r="I118" s="326"/>
      <c r="J118" s="327" t="s">
        <v>132</v>
      </c>
      <c r="K118" s="328"/>
      <c r="L118" s="328"/>
      <c r="M118" s="328"/>
      <c r="N118" s="329"/>
      <c r="O118" s="327" t="s">
        <v>133</v>
      </c>
      <c r="P118" s="328"/>
      <c r="Q118" s="328"/>
      <c r="R118" s="328"/>
      <c r="S118" s="329"/>
      <c r="T118" s="327" t="s">
        <v>134</v>
      </c>
      <c r="U118" s="328"/>
      <c r="V118" s="328"/>
      <c r="W118" s="329"/>
      <c r="X118" s="330" t="s">
        <v>116</v>
      </c>
      <c r="Y118" s="330"/>
      <c r="Z118" s="331"/>
      <c r="AA118" s="332" t="s">
        <v>117</v>
      </c>
      <c r="AB118" s="330"/>
      <c r="AC118" s="330"/>
      <c r="AD118" s="330"/>
      <c r="AE118" s="331"/>
      <c r="AG118" s="327" t="s">
        <v>131</v>
      </c>
      <c r="AH118" s="328"/>
      <c r="AI118" s="328"/>
      <c r="AJ118" s="329"/>
      <c r="AK118" s="327" t="s">
        <v>132</v>
      </c>
      <c r="AL118" s="328"/>
      <c r="AM118" s="328"/>
      <c r="AN118" s="328"/>
      <c r="AO118" s="329"/>
      <c r="AP118" s="327" t="s">
        <v>133</v>
      </c>
      <c r="AQ118" s="328"/>
      <c r="AR118" s="328"/>
      <c r="AS118" s="328"/>
      <c r="AT118" s="329"/>
      <c r="AU118" s="327" t="s">
        <v>134</v>
      </c>
      <c r="AV118" s="328"/>
      <c r="AW118" s="328"/>
      <c r="AX118" s="329"/>
      <c r="AY118" s="330" t="s">
        <v>116</v>
      </c>
      <c r="AZ118" s="330"/>
      <c r="BA118" s="331"/>
      <c r="BB118" s="332" t="s">
        <v>117</v>
      </c>
      <c r="BC118" s="330"/>
      <c r="BD118" s="330"/>
      <c r="BE118" s="330"/>
      <c r="BF118" s="331"/>
      <c r="BI118" s="320"/>
    </row>
    <row r="119" spans="3:61" s="19" customFormat="1" ht="15" customHeight="1" thickBot="1" x14ac:dyDescent="0.3">
      <c r="C119" s="318"/>
      <c r="F119" s="309" t="s">
        <v>101</v>
      </c>
      <c r="G119" s="310"/>
      <c r="H119" s="310"/>
      <c r="I119" s="310"/>
      <c r="J119" s="311" t="s">
        <v>36</v>
      </c>
      <c r="K119" s="312"/>
      <c r="L119" s="312"/>
      <c r="M119" s="312"/>
      <c r="N119" s="313"/>
      <c r="O119" s="311" t="s">
        <v>36</v>
      </c>
      <c r="P119" s="312"/>
      <c r="Q119" s="312"/>
      <c r="R119" s="312"/>
      <c r="S119" s="313"/>
      <c r="T119" s="314" t="s">
        <v>36</v>
      </c>
      <c r="U119" s="315"/>
      <c r="V119" s="315"/>
      <c r="W119" s="316"/>
      <c r="X119" s="310" t="s">
        <v>103</v>
      </c>
      <c r="Y119" s="310"/>
      <c r="Z119" s="310"/>
      <c r="AA119" s="311"/>
      <c r="AB119" s="312"/>
      <c r="AC119" s="336"/>
      <c r="AD119" s="312"/>
      <c r="AE119" s="313"/>
      <c r="AG119" s="309" t="s">
        <v>101</v>
      </c>
      <c r="AH119" s="310"/>
      <c r="AI119" s="310"/>
      <c r="AJ119" s="310"/>
      <c r="AK119" s="311" t="s">
        <v>36</v>
      </c>
      <c r="AL119" s="312"/>
      <c r="AM119" s="312"/>
      <c r="AN119" s="312"/>
      <c r="AO119" s="313"/>
      <c r="AP119" s="311" t="s">
        <v>36</v>
      </c>
      <c r="AQ119" s="312"/>
      <c r="AR119" s="312"/>
      <c r="AS119" s="312"/>
      <c r="AT119" s="313"/>
      <c r="AU119" s="314" t="s">
        <v>36</v>
      </c>
      <c r="AV119" s="315"/>
      <c r="AW119" s="315"/>
      <c r="AX119" s="316"/>
      <c r="AY119" s="310" t="s">
        <v>103</v>
      </c>
      <c r="AZ119" s="310"/>
      <c r="BA119" s="310"/>
      <c r="BB119" s="311"/>
      <c r="BC119" s="312"/>
      <c r="BD119" s="334"/>
      <c r="BE119" s="312"/>
      <c r="BF119" s="313"/>
      <c r="BI119" s="320"/>
    </row>
    <row r="120" spans="3:61" s="19" customFormat="1" ht="15" customHeight="1" thickBot="1" x14ac:dyDescent="0.3">
      <c r="C120" s="318"/>
      <c r="F120" s="309" t="s">
        <v>101</v>
      </c>
      <c r="G120" s="310"/>
      <c r="H120" s="310"/>
      <c r="I120" s="310"/>
      <c r="J120" s="311" t="s">
        <v>104</v>
      </c>
      <c r="K120" s="312"/>
      <c r="L120" s="312"/>
      <c r="M120" s="312"/>
      <c r="N120" s="313"/>
      <c r="O120" s="311" t="s">
        <v>36</v>
      </c>
      <c r="P120" s="312"/>
      <c r="Q120" s="312"/>
      <c r="R120" s="312"/>
      <c r="S120" s="313"/>
      <c r="T120" s="311" t="s">
        <v>36</v>
      </c>
      <c r="U120" s="312"/>
      <c r="V120" s="312"/>
      <c r="W120" s="313"/>
      <c r="X120" s="312" t="s">
        <v>102</v>
      </c>
      <c r="Y120" s="312"/>
      <c r="Z120" s="313"/>
      <c r="AA120" s="311"/>
      <c r="AB120" s="312"/>
      <c r="AC120" s="336"/>
      <c r="AD120" s="312"/>
      <c r="AE120" s="313"/>
      <c r="AG120" s="309" t="s">
        <v>101</v>
      </c>
      <c r="AH120" s="310"/>
      <c r="AI120" s="310"/>
      <c r="AJ120" s="310"/>
      <c r="AK120" s="311" t="s">
        <v>104</v>
      </c>
      <c r="AL120" s="312"/>
      <c r="AM120" s="312"/>
      <c r="AN120" s="312"/>
      <c r="AO120" s="313"/>
      <c r="AP120" s="311" t="s">
        <v>36</v>
      </c>
      <c r="AQ120" s="312"/>
      <c r="AR120" s="312"/>
      <c r="AS120" s="312"/>
      <c r="AT120" s="313"/>
      <c r="AU120" s="311" t="s">
        <v>36</v>
      </c>
      <c r="AV120" s="312"/>
      <c r="AW120" s="312"/>
      <c r="AX120" s="313"/>
      <c r="AY120" s="312" t="s">
        <v>102</v>
      </c>
      <c r="AZ120" s="312"/>
      <c r="BA120" s="313"/>
      <c r="BB120" s="311"/>
      <c r="BC120" s="312"/>
      <c r="BD120" s="336"/>
      <c r="BE120" s="312"/>
      <c r="BF120" s="313"/>
      <c r="BI120" s="320"/>
    </row>
    <row r="121" spans="3:61" s="19" customFormat="1" ht="15" customHeight="1" thickBot="1" x14ac:dyDescent="0.3">
      <c r="C121" s="318"/>
      <c r="F121" s="309" t="s">
        <v>101</v>
      </c>
      <c r="G121" s="310"/>
      <c r="H121" s="310"/>
      <c r="I121" s="310"/>
      <c r="J121" s="311" t="s">
        <v>104</v>
      </c>
      <c r="K121" s="312"/>
      <c r="L121" s="312"/>
      <c r="M121" s="312"/>
      <c r="N121" s="313"/>
      <c r="O121" s="311" t="s">
        <v>105</v>
      </c>
      <c r="P121" s="312"/>
      <c r="Q121" s="312"/>
      <c r="R121" s="312"/>
      <c r="S121" s="313"/>
      <c r="T121" s="311" t="s">
        <v>36</v>
      </c>
      <c r="U121" s="312"/>
      <c r="V121" s="312"/>
      <c r="W121" s="313"/>
      <c r="X121" s="310" t="s">
        <v>103</v>
      </c>
      <c r="Y121" s="310"/>
      <c r="Z121" s="310"/>
      <c r="AA121" s="311"/>
      <c r="AB121" s="312"/>
      <c r="AC121" s="336"/>
      <c r="AD121" s="312"/>
      <c r="AE121" s="313"/>
      <c r="AG121" s="309" t="s">
        <v>101</v>
      </c>
      <c r="AH121" s="310"/>
      <c r="AI121" s="310"/>
      <c r="AJ121" s="310"/>
      <c r="AK121" s="311" t="s">
        <v>104</v>
      </c>
      <c r="AL121" s="312"/>
      <c r="AM121" s="312"/>
      <c r="AN121" s="312"/>
      <c r="AO121" s="313"/>
      <c r="AP121" s="311" t="s">
        <v>105</v>
      </c>
      <c r="AQ121" s="312"/>
      <c r="AR121" s="312"/>
      <c r="AS121" s="312"/>
      <c r="AT121" s="313"/>
      <c r="AU121" s="311" t="s">
        <v>36</v>
      </c>
      <c r="AV121" s="312"/>
      <c r="AW121" s="312"/>
      <c r="AX121" s="313"/>
      <c r="AY121" s="310" t="s">
        <v>103</v>
      </c>
      <c r="AZ121" s="310"/>
      <c r="BA121" s="310"/>
      <c r="BB121" s="311"/>
      <c r="BC121" s="312"/>
      <c r="BD121" s="336"/>
      <c r="BE121" s="312"/>
      <c r="BF121" s="313"/>
      <c r="BI121" s="320"/>
    </row>
    <row r="122" spans="3:61" s="19" customFormat="1" ht="15" customHeight="1" thickBot="1" x14ac:dyDescent="0.3">
      <c r="C122" s="318"/>
      <c r="F122" s="309" t="s">
        <v>101</v>
      </c>
      <c r="G122" s="310"/>
      <c r="H122" s="310"/>
      <c r="I122" s="310"/>
      <c r="J122" s="311" t="s">
        <v>104</v>
      </c>
      <c r="K122" s="312"/>
      <c r="L122" s="312"/>
      <c r="M122" s="312"/>
      <c r="N122" s="313"/>
      <c r="O122" s="311" t="s">
        <v>105</v>
      </c>
      <c r="P122" s="312"/>
      <c r="Q122" s="312"/>
      <c r="R122" s="312"/>
      <c r="S122" s="313"/>
      <c r="T122" s="311" t="s">
        <v>106</v>
      </c>
      <c r="U122" s="312"/>
      <c r="V122" s="312"/>
      <c r="W122" s="313"/>
      <c r="X122" s="312" t="s">
        <v>102</v>
      </c>
      <c r="Y122" s="312"/>
      <c r="Z122" s="313"/>
      <c r="AA122" s="311"/>
      <c r="AB122" s="312"/>
      <c r="AC122" s="336"/>
      <c r="AD122" s="312"/>
      <c r="AE122" s="313"/>
      <c r="AF122" s="342" t="s">
        <v>37</v>
      </c>
      <c r="AG122" s="309" t="s">
        <v>101</v>
      </c>
      <c r="AH122" s="310"/>
      <c r="AI122" s="310"/>
      <c r="AJ122" s="310"/>
      <c r="AK122" s="311" t="s">
        <v>104</v>
      </c>
      <c r="AL122" s="312"/>
      <c r="AM122" s="312"/>
      <c r="AN122" s="312"/>
      <c r="AO122" s="313"/>
      <c r="AP122" s="311" t="s">
        <v>105</v>
      </c>
      <c r="AQ122" s="312"/>
      <c r="AR122" s="312"/>
      <c r="AS122" s="312"/>
      <c r="AT122" s="313"/>
      <c r="AU122" s="311" t="s">
        <v>106</v>
      </c>
      <c r="AV122" s="312"/>
      <c r="AW122" s="312"/>
      <c r="AX122" s="313"/>
      <c r="AY122" s="312" t="s">
        <v>102</v>
      </c>
      <c r="AZ122" s="312"/>
      <c r="BA122" s="313"/>
      <c r="BB122" s="311"/>
      <c r="BC122" s="312"/>
      <c r="BD122" s="336"/>
      <c r="BE122" s="312"/>
      <c r="BF122" s="313"/>
      <c r="BI122" s="320"/>
    </row>
    <row r="123" spans="3:61" s="19" customFormat="1" ht="15" customHeight="1" thickBot="1" x14ac:dyDescent="0.3">
      <c r="C123" s="318"/>
      <c r="F123" s="309" t="s">
        <v>101</v>
      </c>
      <c r="G123" s="310"/>
      <c r="H123" s="310"/>
      <c r="I123" s="310"/>
      <c r="J123" s="311" t="s">
        <v>104</v>
      </c>
      <c r="K123" s="312"/>
      <c r="L123" s="312"/>
      <c r="M123" s="312"/>
      <c r="N123" s="313"/>
      <c r="O123" s="311" t="s">
        <v>105</v>
      </c>
      <c r="P123" s="312"/>
      <c r="Q123" s="312"/>
      <c r="R123" s="312"/>
      <c r="S123" s="313"/>
      <c r="T123" s="311" t="s">
        <v>135</v>
      </c>
      <c r="U123" s="312"/>
      <c r="V123" s="312"/>
      <c r="W123" s="313"/>
      <c r="X123" s="310" t="s">
        <v>103</v>
      </c>
      <c r="Y123" s="310"/>
      <c r="Z123" s="310"/>
      <c r="AA123" s="311"/>
      <c r="AB123" s="312"/>
      <c r="AC123" s="336"/>
      <c r="AD123" s="312"/>
      <c r="AE123" s="313"/>
      <c r="AG123" s="309" t="s">
        <v>101</v>
      </c>
      <c r="AH123" s="310"/>
      <c r="AI123" s="310"/>
      <c r="AJ123" s="310"/>
      <c r="AK123" s="311" t="s">
        <v>104</v>
      </c>
      <c r="AL123" s="312"/>
      <c r="AM123" s="312"/>
      <c r="AN123" s="312"/>
      <c r="AO123" s="313"/>
      <c r="AP123" s="311" t="s">
        <v>105</v>
      </c>
      <c r="AQ123" s="312"/>
      <c r="AR123" s="312"/>
      <c r="AS123" s="312"/>
      <c r="AT123" s="313"/>
      <c r="AU123" s="311" t="s">
        <v>135</v>
      </c>
      <c r="AV123" s="312"/>
      <c r="AW123" s="312"/>
      <c r="AX123" s="313"/>
      <c r="AY123" s="310" t="s">
        <v>103</v>
      </c>
      <c r="AZ123" s="310"/>
      <c r="BA123" s="310"/>
      <c r="BB123" s="311"/>
      <c r="BC123" s="312"/>
      <c r="BD123" s="336"/>
      <c r="BE123" s="312"/>
      <c r="BF123" s="313"/>
      <c r="BI123" s="320"/>
    </row>
    <row r="124" spans="3:61" s="19" customFormat="1" ht="15" customHeight="1" thickBot="1" x14ac:dyDescent="0.3">
      <c r="C124" s="318"/>
      <c r="F124" s="309" t="s">
        <v>101</v>
      </c>
      <c r="G124" s="310"/>
      <c r="H124" s="310"/>
      <c r="I124" s="310"/>
      <c r="J124" s="311" t="s">
        <v>104</v>
      </c>
      <c r="K124" s="312"/>
      <c r="L124" s="312"/>
      <c r="M124" s="312"/>
      <c r="N124" s="313"/>
      <c r="O124" s="311" t="s">
        <v>105</v>
      </c>
      <c r="P124" s="312"/>
      <c r="Q124" s="312"/>
      <c r="R124" s="312"/>
      <c r="S124" s="313"/>
      <c r="T124" s="311" t="s">
        <v>136</v>
      </c>
      <c r="U124" s="312"/>
      <c r="V124" s="312"/>
      <c r="W124" s="313"/>
      <c r="X124" s="312" t="s">
        <v>102</v>
      </c>
      <c r="Y124" s="312"/>
      <c r="Z124" s="313"/>
      <c r="AA124" s="311"/>
      <c r="AB124" s="312"/>
      <c r="AC124" s="336"/>
      <c r="AD124" s="312"/>
      <c r="AE124" s="313"/>
      <c r="AG124" s="309" t="s">
        <v>101</v>
      </c>
      <c r="AH124" s="310"/>
      <c r="AI124" s="310"/>
      <c r="AJ124" s="310"/>
      <c r="AK124" s="311" t="s">
        <v>104</v>
      </c>
      <c r="AL124" s="312"/>
      <c r="AM124" s="312"/>
      <c r="AN124" s="312"/>
      <c r="AO124" s="313"/>
      <c r="AP124" s="311" t="s">
        <v>105</v>
      </c>
      <c r="AQ124" s="312"/>
      <c r="AR124" s="312"/>
      <c r="AS124" s="312"/>
      <c r="AT124" s="313"/>
      <c r="AU124" s="311" t="s">
        <v>136</v>
      </c>
      <c r="AV124" s="312"/>
      <c r="AW124" s="312"/>
      <c r="AX124" s="313"/>
      <c r="AY124" s="312" t="s">
        <v>102</v>
      </c>
      <c r="AZ124" s="312"/>
      <c r="BA124" s="313"/>
      <c r="BB124" s="311"/>
      <c r="BC124" s="312"/>
      <c r="BD124" s="336"/>
      <c r="BE124" s="312"/>
      <c r="BF124" s="313"/>
      <c r="BI124" s="320"/>
    </row>
    <row r="125" spans="3:61" s="19" customFormat="1" ht="15" customHeight="1" thickBot="1" x14ac:dyDescent="0.3">
      <c r="C125" s="318"/>
      <c r="F125" s="309" t="s">
        <v>101</v>
      </c>
      <c r="G125" s="310"/>
      <c r="H125" s="310"/>
      <c r="I125" s="310"/>
      <c r="J125" s="311" t="s">
        <v>104</v>
      </c>
      <c r="K125" s="312"/>
      <c r="L125" s="312"/>
      <c r="M125" s="312"/>
      <c r="N125" s="313"/>
      <c r="O125" s="311" t="s">
        <v>105</v>
      </c>
      <c r="P125" s="312"/>
      <c r="Q125" s="312"/>
      <c r="R125" s="312"/>
      <c r="S125" s="313"/>
      <c r="T125" s="311" t="s">
        <v>137</v>
      </c>
      <c r="U125" s="312"/>
      <c r="V125" s="312"/>
      <c r="W125" s="313"/>
      <c r="X125" s="312" t="s">
        <v>102</v>
      </c>
      <c r="Y125" s="312"/>
      <c r="Z125" s="313"/>
      <c r="AA125" s="311"/>
      <c r="AB125" s="312"/>
      <c r="AC125" s="336"/>
      <c r="AD125" s="312"/>
      <c r="AE125" s="313"/>
      <c r="AG125" s="309" t="s">
        <v>101</v>
      </c>
      <c r="AH125" s="310"/>
      <c r="AI125" s="310"/>
      <c r="AJ125" s="310"/>
      <c r="AK125" s="311" t="s">
        <v>104</v>
      </c>
      <c r="AL125" s="312"/>
      <c r="AM125" s="312"/>
      <c r="AN125" s="312"/>
      <c r="AO125" s="313"/>
      <c r="AP125" s="311" t="s">
        <v>105</v>
      </c>
      <c r="AQ125" s="312"/>
      <c r="AR125" s="312"/>
      <c r="AS125" s="312"/>
      <c r="AT125" s="313"/>
      <c r="AU125" s="311" t="s">
        <v>137</v>
      </c>
      <c r="AV125" s="312"/>
      <c r="AW125" s="312"/>
      <c r="AX125" s="313"/>
      <c r="AY125" s="312" t="s">
        <v>102</v>
      </c>
      <c r="AZ125" s="312"/>
      <c r="BA125" s="313"/>
      <c r="BB125" s="311"/>
      <c r="BC125" s="312"/>
      <c r="BD125" s="336"/>
      <c r="BE125" s="312"/>
      <c r="BF125" s="313"/>
      <c r="BI125" s="320"/>
    </row>
    <row r="126" spans="3:61" s="19" customFormat="1" ht="15" customHeight="1" thickBot="1" x14ac:dyDescent="0.3">
      <c r="C126" s="318"/>
      <c r="F126" s="309" t="s">
        <v>138</v>
      </c>
      <c r="G126" s="310"/>
      <c r="H126" s="310"/>
      <c r="I126" s="310"/>
      <c r="J126" s="311" t="s">
        <v>36</v>
      </c>
      <c r="K126" s="312"/>
      <c r="L126" s="312"/>
      <c r="M126" s="312"/>
      <c r="N126" s="313"/>
      <c r="O126" s="311" t="s">
        <v>36</v>
      </c>
      <c r="P126" s="312"/>
      <c r="Q126" s="312"/>
      <c r="R126" s="312"/>
      <c r="S126" s="313"/>
      <c r="T126" s="314" t="s">
        <v>36</v>
      </c>
      <c r="U126" s="315"/>
      <c r="V126" s="315"/>
      <c r="W126" s="316"/>
      <c r="X126" s="312" t="s">
        <v>102</v>
      </c>
      <c r="Y126" s="312"/>
      <c r="Z126" s="313"/>
      <c r="AA126" s="311"/>
      <c r="AB126" s="312"/>
      <c r="AC126" s="334"/>
      <c r="AD126" s="312"/>
      <c r="AE126" s="313"/>
      <c r="AG126" s="309" t="s">
        <v>138</v>
      </c>
      <c r="AH126" s="310"/>
      <c r="AI126" s="310"/>
      <c r="AJ126" s="310"/>
      <c r="AK126" s="311" t="s">
        <v>36</v>
      </c>
      <c r="AL126" s="312"/>
      <c r="AM126" s="312"/>
      <c r="AN126" s="312"/>
      <c r="AO126" s="313"/>
      <c r="AP126" s="311" t="s">
        <v>36</v>
      </c>
      <c r="AQ126" s="312"/>
      <c r="AR126" s="312"/>
      <c r="AS126" s="312"/>
      <c r="AT126" s="313"/>
      <c r="AU126" s="314" t="s">
        <v>36</v>
      </c>
      <c r="AV126" s="315"/>
      <c r="AW126" s="315"/>
      <c r="AX126" s="316"/>
      <c r="AY126" s="312" t="s">
        <v>102</v>
      </c>
      <c r="AZ126" s="312"/>
      <c r="BA126" s="313"/>
      <c r="BB126" s="311"/>
      <c r="BC126" s="312"/>
      <c r="BD126" s="334"/>
      <c r="BE126" s="312"/>
      <c r="BF126" s="313"/>
      <c r="BI126" s="320"/>
    </row>
    <row r="127" spans="3:61" s="19" customFormat="1" ht="15" customHeight="1" x14ac:dyDescent="0.25">
      <c r="C127" s="318"/>
      <c r="BI127" s="320"/>
    </row>
    <row r="128" spans="3:61" s="19" customFormat="1" ht="15" customHeight="1" x14ac:dyDescent="0.25">
      <c r="C128" s="318"/>
      <c r="E128" s="319" t="s">
        <v>161</v>
      </c>
      <c r="BI128" s="320"/>
    </row>
    <row r="129" spans="3:61" s="19" customFormat="1" ht="15" customHeight="1" x14ac:dyDescent="0.25">
      <c r="C129" s="318"/>
      <c r="BI129" s="320"/>
    </row>
    <row r="130" spans="3:61" s="19" customFormat="1" ht="15" customHeight="1" x14ac:dyDescent="0.25">
      <c r="C130" s="318"/>
      <c r="BI130" s="320"/>
    </row>
  </sheetData>
  <mergeCells count="764">
    <mergeCell ref="BE110:BF110"/>
    <mergeCell ref="F110:I110"/>
    <mergeCell ref="J110:N110"/>
    <mergeCell ref="O110:S110"/>
    <mergeCell ref="T110:W110"/>
    <mergeCell ref="X110:Z110"/>
    <mergeCell ref="AA110:AB110"/>
    <mergeCell ref="AD110:AE110"/>
    <mergeCell ref="AG110:AJ110"/>
    <mergeCell ref="AK110:AO110"/>
    <mergeCell ref="F108:I108"/>
    <mergeCell ref="J108:N108"/>
    <mergeCell ref="O108:S108"/>
    <mergeCell ref="T108:W108"/>
    <mergeCell ref="X108:Z108"/>
    <mergeCell ref="AG108:AJ108"/>
    <mergeCell ref="AK108:AO108"/>
    <mergeCell ref="AP108:AT108"/>
    <mergeCell ref="BB110:BC110"/>
    <mergeCell ref="F109:I109"/>
    <mergeCell ref="J109:N109"/>
    <mergeCell ref="O109:S109"/>
    <mergeCell ref="T109:W109"/>
    <mergeCell ref="X109:Z109"/>
    <mergeCell ref="AG109:AJ109"/>
    <mergeCell ref="AK109:AO109"/>
    <mergeCell ref="AP109:AT109"/>
    <mergeCell ref="AU109:AX109"/>
    <mergeCell ref="F106:I106"/>
    <mergeCell ref="J106:N106"/>
    <mergeCell ref="O106:S106"/>
    <mergeCell ref="T106:W106"/>
    <mergeCell ref="X106:Z106"/>
    <mergeCell ref="AG106:AJ106"/>
    <mergeCell ref="AK106:AO106"/>
    <mergeCell ref="AP106:AT106"/>
    <mergeCell ref="AU106:AX106"/>
    <mergeCell ref="F107:I107"/>
    <mergeCell ref="J107:N107"/>
    <mergeCell ref="O107:S107"/>
    <mergeCell ref="T107:W107"/>
    <mergeCell ref="X107:Z107"/>
    <mergeCell ref="AG107:AJ107"/>
    <mergeCell ref="AK107:AO107"/>
    <mergeCell ref="AP107:AT107"/>
    <mergeCell ref="AU107:AX107"/>
    <mergeCell ref="BB105:BC105"/>
    <mergeCell ref="BE105:BF105"/>
    <mergeCell ref="F104:I104"/>
    <mergeCell ref="J104:N104"/>
    <mergeCell ref="O104:S104"/>
    <mergeCell ref="T104:W104"/>
    <mergeCell ref="X104:Z104"/>
    <mergeCell ref="AA104:AB104"/>
    <mergeCell ref="AD104:AE104"/>
    <mergeCell ref="AG104:AJ104"/>
    <mergeCell ref="F105:I105"/>
    <mergeCell ref="J105:N105"/>
    <mergeCell ref="O105:S105"/>
    <mergeCell ref="T105:W105"/>
    <mergeCell ref="X105:Z105"/>
    <mergeCell ref="AA105:AB105"/>
    <mergeCell ref="AD105:AE105"/>
    <mergeCell ref="AG105:AJ105"/>
    <mergeCell ref="AK105:AO105"/>
    <mergeCell ref="BB104:BC104"/>
    <mergeCell ref="BB88:BC88"/>
    <mergeCell ref="BE88:BF88"/>
    <mergeCell ref="AU89:AX89"/>
    <mergeCell ref="F103:I103"/>
    <mergeCell ref="J103:N103"/>
    <mergeCell ref="O103:S103"/>
    <mergeCell ref="T103:W103"/>
    <mergeCell ref="X103:Z103"/>
    <mergeCell ref="AA103:AB103"/>
    <mergeCell ref="AD103:AE103"/>
    <mergeCell ref="AG103:AJ103"/>
    <mergeCell ref="AK103:AO103"/>
    <mergeCell ref="BB102:BF102"/>
    <mergeCell ref="AP103:AT103"/>
    <mergeCell ref="AU103:AX103"/>
    <mergeCell ref="AY103:BA103"/>
    <mergeCell ref="BB103:BC103"/>
    <mergeCell ref="BE103:BF103"/>
    <mergeCell ref="BE104:BF104"/>
    <mergeCell ref="AY91:BA91"/>
    <mergeCell ref="AK90:AO90"/>
    <mergeCell ref="AP90:AT90"/>
    <mergeCell ref="AU90:AX90"/>
    <mergeCell ref="AY90:BA90"/>
    <mergeCell ref="AD75:AE75"/>
    <mergeCell ref="BB74:BC74"/>
    <mergeCell ref="BE74:BF74"/>
    <mergeCell ref="BB75:BC75"/>
    <mergeCell ref="BE75:BF75"/>
    <mergeCell ref="AU87:AX87"/>
    <mergeCell ref="AY87:BA87"/>
    <mergeCell ref="BB87:BC87"/>
    <mergeCell ref="BE87:BF87"/>
    <mergeCell ref="AU86:AX86"/>
    <mergeCell ref="AY86:BA86"/>
    <mergeCell ref="AK87:AO87"/>
    <mergeCell ref="AP87:AT87"/>
    <mergeCell ref="BB76:BC76"/>
    <mergeCell ref="BE76:BF76"/>
    <mergeCell ref="J76:N76"/>
    <mergeCell ref="O76:S76"/>
    <mergeCell ref="T76:W76"/>
    <mergeCell ref="X76:Z76"/>
    <mergeCell ref="AA76:AB76"/>
    <mergeCell ref="AD76:AE76"/>
    <mergeCell ref="AG76:AJ76"/>
    <mergeCell ref="AK76:AO76"/>
    <mergeCell ref="AP76:AT76"/>
    <mergeCell ref="AU76:AX76"/>
    <mergeCell ref="AY76:BA76"/>
    <mergeCell ref="BB71:BC71"/>
    <mergeCell ref="BE71:BF71"/>
    <mergeCell ref="J73:N73"/>
    <mergeCell ref="O73:S73"/>
    <mergeCell ref="T73:W73"/>
    <mergeCell ref="X73:Z73"/>
    <mergeCell ref="AG73:AJ73"/>
    <mergeCell ref="AK73:AO73"/>
    <mergeCell ref="AP73:AT73"/>
    <mergeCell ref="AU73:AX73"/>
    <mergeCell ref="AY73:BA73"/>
    <mergeCell ref="AA72:AB72"/>
    <mergeCell ref="AD72:AE72"/>
    <mergeCell ref="AA73:AB73"/>
    <mergeCell ref="AD73:AE73"/>
    <mergeCell ref="BB72:BC72"/>
    <mergeCell ref="BE72:BF72"/>
    <mergeCell ref="BB73:BC73"/>
    <mergeCell ref="BE73:BF73"/>
    <mergeCell ref="AG68:AJ68"/>
    <mergeCell ref="AK68:AO68"/>
    <mergeCell ref="AP68:AT68"/>
    <mergeCell ref="AU68:AX68"/>
    <mergeCell ref="AY68:BA68"/>
    <mergeCell ref="BB69:BC69"/>
    <mergeCell ref="BE69:BF69"/>
    <mergeCell ref="BB70:BC70"/>
    <mergeCell ref="BE70:BF70"/>
    <mergeCell ref="AP70:AT70"/>
    <mergeCell ref="AU70:AX70"/>
    <mergeCell ref="AY70:BA70"/>
    <mergeCell ref="BB68:BF68"/>
    <mergeCell ref="J69:N69"/>
    <mergeCell ref="O69:S69"/>
    <mergeCell ref="T69:W69"/>
    <mergeCell ref="X69:Z69"/>
    <mergeCell ref="AA69:AB69"/>
    <mergeCell ref="AD69:AE69"/>
    <mergeCell ref="AG69:AJ69"/>
    <mergeCell ref="AK69:AO69"/>
    <mergeCell ref="AP69:AT69"/>
    <mergeCell ref="AU54:AX54"/>
    <mergeCell ref="AY54:BA54"/>
    <mergeCell ref="AY57:BA57"/>
    <mergeCell ref="AA54:AB54"/>
    <mergeCell ref="AD54:AE54"/>
    <mergeCell ref="BB54:BC54"/>
    <mergeCell ref="BE54:BF54"/>
    <mergeCell ref="BB55:BC55"/>
    <mergeCell ref="BE55:BF55"/>
    <mergeCell ref="BB56:BC56"/>
    <mergeCell ref="BE56:BF56"/>
    <mergeCell ref="J57:N57"/>
    <mergeCell ref="O57:S57"/>
    <mergeCell ref="T57:W57"/>
    <mergeCell ref="X57:Z57"/>
    <mergeCell ref="AG57:AJ57"/>
    <mergeCell ref="AK57:AO57"/>
    <mergeCell ref="AP57:AT57"/>
    <mergeCell ref="AU57:AX57"/>
    <mergeCell ref="AA57:AB57"/>
    <mergeCell ref="AD57:AE57"/>
    <mergeCell ref="J56:N56"/>
    <mergeCell ref="O56:S56"/>
    <mergeCell ref="T56:W56"/>
    <mergeCell ref="X56:Z56"/>
    <mergeCell ref="AG56:AJ56"/>
    <mergeCell ref="AK56:AO56"/>
    <mergeCell ref="AP56:AT56"/>
    <mergeCell ref="J55:N55"/>
    <mergeCell ref="O55:S55"/>
    <mergeCell ref="T55:W55"/>
    <mergeCell ref="X55:Z55"/>
    <mergeCell ref="AG55:AJ55"/>
    <mergeCell ref="AK55:AO55"/>
    <mergeCell ref="AP55:AT55"/>
    <mergeCell ref="AA55:AB55"/>
    <mergeCell ref="AD55:AE55"/>
    <mergeCell ref="AA56:AB56"/>
    <mergeCell ref="AD56:AE56"/>
    <mergeCell ref="J52:N52"/>
    <mergeCell ref="O52:S52"/>
    <mergeCell ref="T52:W52"/>
    <mergeCell ref="X52:Z52"/>
    <mergeCell ref="AG52:AJ52"/>
    <mergeCell ref="AK52:AO52"/>
    <mergeCell ref="AP52:AT52"/>
    <mergeCell ref="AU50:AX50"/>
    <mergeCell ref="AY50:BA50"/>
    <mergeCell ref="J51:N51"/>
    <mergeCell ref="O51:S51"/>
    <mergeCell ref="T51:W51"/>
    <mergeCell ref="X51:Z51"/>
    <mergeCell ref="AG51:AJ51"/>
    <mergeCell ref="J50:N50"/>
    <mergeCell ref="O50:S50"/>
    <mergeCell ref="T50:W50"/>
    <mergeCell ref="X50:Z50"/>
    <mergeCell ref="AA50:AB50"/>
    <mergeCell ref="AD50:AE50"/>
    <mergeCell ref="AG50:AJ50"/>
    <mergeCell ref="AK50:AO50"/>
    <mergeCell ref="AP50:AT50"/>
    <mergeCell ref="AA51:AB51"/>
    <mergeCell ref="O44:S44"/>
    <mergeCell ref="O45:S45"/>
    <mergeCell ref="O46:S46"/>
    <mergeCell ref="AU44:AX44"/>
    <mergeCell ref="AY44:BA44"/>
    <mergeCell ref="AU45:AX45"/>
    <mergeCell ref="AG46:AJ46"/>
    <mergeCell ref="AK45:AO45"/>
    <mergeCell ref="AP45:AT45"/>
    <mergeCell ref="X46:Z46"/>
    <mergeCell ref="AG45:AJ45"/>
    <mergeCell ref="AA44:AB44"/>
    <mergeCell ref="AD44:AE44"/>
    <mergeCell ref="AA45:AB45"/>
    <mergeCell ref="AD45:AE45"/>
    <mergeCell ref="J49:N49"/>
    <mergeCell ref="O49:S49"/>
    <mergeCell ref="T49:W49"/>
    <mergeCell ref="X49:Z49"/>
    <mergeCell ref="AA49:AE49"/>
    <mergeCell ref="AG49:AJ49"/>
    <mergeCell ref="AK46:AO46"/>
    <mergeCell ref="AP46:AT46"/>
    <mergeCell ref="AU46:AX46"/>
    <mergeCell ref="AA46:AB46"/>
    <mergeCell ref="AD46:AE46"/>
    <mergeCell ref="AA42:AB42"/>
    <mergeCell ref="AD42:AE42"/>
    <mergeCell ref="BB42:BC42"/>
    <mergeCell ref="BE42:BF42"/>
    <mergeCell ref="T43:W43"/>
    <mergeCell ref="AG39:AJ39"/>
    <mergeCell ref="AU39:AX39"/>
    <mergeCell ref="AY39:BA39"/>
    <mergeCell ref="X40:Z40"/>
    <mergeCell ref="X41:Z41"/>
    <mergeCell ref="X42:Z42"/>
    <mergeCell ref="X43:Z43"/>
    <mergeCell ref="AU41:AX41"/>
    <mergeCell ref="AY41:BA41"/>
    <mergeCell ref="AK42:AO42"/>
    <mergeCell ref="AP42:AT42"/>
    <mergeCell ref="AU42:AX42"/>
    <mergeCell ref="AY42:BA42"/>
    <mergeCell ref="AK40:AO40"/>
    <mergeCell ref="AP40:AT40"/>
    <mergeCell ref="AU40:AX40"/>
    <mergeCell ref="AY40:BA40"/>
    <mergeCell ref="AU43:AX43"/>
    <mergeCell ref="AY43:BA43"/>
    <mergeCell ref="BE41:BF41"/>
    <mergeCell ref="BB39:BC39"/>
    <mergeCell ref="BE39:BF39"/>
    <mergeCell ref="AA38:AE38"/>
    <mergeCell ref="AA39:AB39"/>
    <mergeCell ref="AD39:AE39"/>
    <mergeCell ref="AU38:AX38"/>
    <mergeCell ref="AY38:BA38"/>
    <mergeCell ref="AA40:AB40"/>
    <mergeCell ref="AD40:AE40"/>
    <mergeCell ref="AA41:AB41"/>
    <mergeCell ref="AD41:AE41"/>
    <mergeCell ref="F89:I89"/>
    <mergeCell ref="F90:I90"/>
    <mergeCell ref="J90:N90"/>
    <mergeCell ref="O90:S90"/>
    <mergeCell ref="T90:W90"/>
    <mergeCell ref="X90:Z90"/>
    <mergeCell ref="AG90:AJ90"/>
    <mergeCell ref="BB38:BF38"/>
    <mergeCell ref="AG38:AJ38"/>
    <mergeCell ref="AK38:AO38"/>
    <mergeCell ref="AP38:AT38"/>
    <mergeCell ref="AK39:AO39"/>
    <mergeCell ref="AP39:AT39"/>
    <mergeCell ref="AG42:AJ42"/>
    <mergeCell ref="AG43:AJ43"/>
    <mergeCell ref="AK43:AO43"/>
    <mergeCell ref="AP43:AT43"/>
    <mergeCell ref="AG40:AJ40"/>
    <mergeCell ref="AG41:AJ41"/>
    <mergeCell ref="AK41:AO41"/>
    <mergeCell ref="AP41:AT41"/>
    <mergeCell ref="BB40:BC40"/>
    <mergeCell ref="BE40:BF40"/>
    <mergeCell ref="BB41:BC41"/>
    <mergeCell ref="F87:I87"/>
    <mergeCell ref="F88:I88"/>
    <mergeCell ref="J88:N88"/>
    <mergeCell ref="O88:S88"/>
    <mergeCell ref="T88:W88"/>
    <mergeCell ref="X88:Z88"/>
    <mergeCell ref="AA88:AB88"/>
    <mergeCell ref="AD88:AE88"/>
    <mergeCell ref="AG88:AJ88"/>
    <mergeCell ref="J87:N87"/>
    <mergeCell ref="O87:S87"/>
    <mergeCell ref="T87:W87"/>
    <mergeCell ref="X87:Z87"/>
    <mergeCell ref="AA87:AB87"/>
    <mergeCell ref="AD87:AE87"/>
    <mergeCell ref="AG87:AJ87"/>
    <mergeCell ref="F86:I86"/>
    <mergeCell ref="J86:N86"/>
    <mergeCell ref="O86:S86"/>
    <mergeCell ref="T86:W86"/>
    <mergeCell ref="X86:Z86"/>
    <mergeCell ref="AA86:AE86"/>
    <mergeCell ref="AG86:AJ86"/>
    <mergeCell ref="AK86:AO86"/>
    <mergeCell ref="AP86:AT86"/>
    <mergeCell ref="F76:I76"/>
    <mergeCell ref="AP75:AT75"/>
    <mergeCell ref="AU75:AX75"/>
    <mergeCell ref="AY75:BA75"/>
    <mergeCell ref="F75:I75"/>
    <mergeCell ref="AP74:AT74"/>
    <mergeCell ref="AU74:AX74"/>
    <mergeCell ref="AY74:BA74"/>
    <mergeCell ref="F74:I74"/>
    <mergeCell ref="J74:N74"/>
    <mergeCell ref="O74:S74"/>
    <mergeCell ref="T74:W74"/>
    <mergeCell ref="X74:Z74"/>
    <mergeCell ref="AG74:AJ74"/>
    <mergeCell ref="AK74:AO74"/>
    <mergeCell ref="J75:N75"/>
    <mergeCell ref="O75:S75"/>
    <mergeCell ref="T75:W75"/>
    <mergeCell ref="X75:Z75"/>
    <mergeCell ref="AG75:AJ75"/>
    <mergeCell ref="AK75:AO75"/>
    <mergeCell ref="AA74:AB74"/>
    <mergeCell ref="AD74:AE74"/>
    <mergeCell ref="AA75:AB75"/>
    <mergeCell ref="F73:I73"/>
    <mergeCell ref="AP72:AT72"/>
    <mergeCell ref="AU72:AX72"/>
    <mergeCell ref="AY72:BA72"/>
    <mergeCell ref="F72:I72"/>
    <mergeCell ref="AP71:AT71"/>
    <mergeCell ref="AU71:AX71"/>
    <mergeCell ref="AY71:BA71"/>
    <mergeCell ref="F71:I71"/>
    <mergeCell ref="J72:N72"/>
    <mergeCell ref="O72:S72"/>
    <mergeCell ref="T72:W72"/>
    <mergeCell ref="X72:Z72"/>
    <mergeCell ref="AG72:AJ72"/>
    <mergeCell ref="AK72:AO72"/>
    <mergeCell ref="J71:N71"/>
    <mergeCell ref="O71:S71"/>
    <mergeCell ref="T71:W71"/>
    <mergeCell ref="X71:Z71"/>
    <mergeCell ref="AA71:AB71"/>
    <mergeCell ref="AD71:AE71"/>
    <mergeCell ref="AG71:AJ71"/>
    <mergeCell ref="AK71:AO71"/>
    <mergeCell ref="F57:I57"/>
    <mergeCell ref="AU56:AX56"/>
    <mergeCell ref="AY56:BA56"/>
    <mergeCell ref="F56:I56"/>
    <mergeCell ref="AU55:AX55"/>
    <mergeCell ref="AY55:BA55"/>
    <mergeCell ref="F55:I55"/>
    <mergeCell ref="F70:I70"/>
    <mergeCell ref="AU69:AX69"/>
    <mergeCell ref="AY69:BA69"/>
    <mergeCell ref="F69:I69"/>
    <mergeCell ref="F68:I68"/>
    <mergeCell ref="J68:N68"/>
    <mergeCell ref="O68:S68"/>
    <mergeCell ref="T68:W68"/>
    <mergeCell ref="X68:Z68"/>
    <mergeCell ref="J70:N70"/>
    <mergeCell ref="O70:S70"/>
    <mergeCell ref="T70:W70"/>
    <mergeCell ref="X70:Z70"/>
    <mergeCell ref="AA70:AB70"/>
    <mergeCell ref="AD70:AE70"/>
    <mergeCell ref="AG70:AJ70"/>
    <mergeCell ref="AK70:AO70"/>
    <mergeCell ref="F54:I54"/>
    <mergeCell ref="AU53:AX53"/>
    <mergeCell ref="AY53:BA53"/>
    <mergeCell ref="F53:I53"/>
    <mergeCell ref="AU52:AX52"/>
    <mergeCell ref="AY52:BA52"/>
    <mergeCell ref="F52:I52"/>
    <mergeCell ref="AK51:AO51"/>
    <mergeCell ref="AP51:AT51"/>
    <mergeCell ref="AU51:AX51"/>
    <mergeCell ref="AY51:BA51"/>
    <mergeCell ref="F51:I51"/>
    <mergeCell ref="J54:N54"/>
    <mergeCell ref="O54:S54"/>
    <mergeCell ref="T54:W54"/>
    <mergeCell ref="X54:Z54"/>
    <mergeCell ref="AG54:AJ54"/>
    <mergeCell ref="AK54:AO54"/>
    <mergeCell ref="AP54:AT54"/>
    <mergeCell ref="J53:N53"/>
    <mergeCell ref="O53:S53"/>
    <mergeCell ref="T53:W53"/>
    <mergeCell ref="X53:Z53"/>
    <mergeCell ref="AG53:AJ53"/>
    <mergeCell ref="T40:W40"/>
    <mergeCell ref="T41:W41"/>
    <mergeCell ref="T42:W42"/>
    <mergeCell ref="F50:I50"/>
    <mergeCell ref="F49:I49"/>
    <mergeCell ref="AK44:AO44"/>
    <mergeCell ref="AP44:AT44"/>
    <mergeCell ref="AY45:BA45"/>
    <mergeCell ref="F46:I46"/>
    <mergeCell ref="F45:I45"/>
    <mergeCell ref="AG44:AJ44"/>
    <mergeCell ref="F44:I44"/>
    <mergeCell ref="J44:N44"/>
    <mergeCell ref="J45:N45"/>
    <mergeCell ref="J46:N46"/>
    <mergeCell ref="X44:Z44"/>
    <mergeCell ref="X45:Z45"/>
    <mergeCell ref="AK49:AO49"/>
    <mergeCell ref="AP49:AT49"/>
    <mergeCell ref="AU49:AX49"/>
    <mergeCell ref="AY49:BA49"/>
    <mergeCell ref="T44:W44"/>
    <mergeCell ref="T45:W45"/>
    <mergeCell ref="T46:W46"/>
    <mergeCell ref="F43:I43"/>
    <mergeCell ref="F42:I42"/>
    <mergeCell ref="F41:I41"/>
    <mergeCell ref="F40:I40"/>
    <mergeCell ref="F39:I39"/>
    <mergeCell ref="A4:G4"/>
    <mergeCell ref="H4:T4"/>
    <mergeCell ref="U4:Y4"/>
    <mergeCell ref="Z4:AO4"/>
    <mergeCell ref="J43:N43"/>
    <mergeCell ref="O38:S38"/>
    <mergeCell ref="O39:S39"/>
    <mergeCell ref="O40:S40"/>
    <mergeCell ref="O41:S41"/>
    <mergeCell ref="O42:S42"/>
    <mergeCell ref="O43:S43"/>
    <mergeCell ref="J38:N38"/>
    <mergeCell ref="J39:N39"/>
    <mergeCell ref="J40:N40"/>
    <mergeCell ref="J41:N41"/>
    <mergeCell ref="J42:N42"/>
    <mergeCell ref="X39:Z39"/>
    <mergeCell ref="X38:Z38"/>
    <mergeCell ref="T39:W39"/>
    <mergeCell ref="AP4:BK4"/>
    <mergeCell ref="F38:I3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T38:W38"/>
    <mergeCell ref="J89:N89"/>
    <mergeCell ref="O89:S89"/>
    <mergeCell ref="T89:W89"/>
    <mergeCell ref="X89:Z89"/>
    <mergeCell ref="AA89:AB89"/>
    <mergeCell ref="AD89:AE89"/>
    <mergeCell ref="AG89:AJ89"/>
    <mergeCell ref="AK89:AO89"/>
    <mergeCell ref="AP89:AT89"/>
    <mergeCell ref="F91:I91"/>
    <mergeCell ref="J91:N91"/>
    <mergeCell ref="O91:S91"/>
    <mergeCell ref="T91:W91"/>
    <mergeCell ref="X91:Z91"/>
    <mergeCell ref="AG91:AJ91"/>
    <mergeCell ref="AK91:AO91"/>
    <mergeCell ref="AP91:AT91"/>
    <mergeCell ref="AU91:AX91"/>
    <mergeCell ref="AP110:AT110"/>
    <mergeCell ref="AU110:AX110"/>
    <mergeCell ref="AY110:BA110"/>
    <mergeCell ref="AP92:AT92"/>
    <mergeCell ref="AU92:AX92"/>
    <mergeCell ref="AY92:BA92"/>
    <mergeCell ref="F93:I93"/>
    <mergeCell ref="J93:N93"/>
    <mergeCell ref="O93:S93"/>
    <mergeCell ref="T93:W93"/>
    <mergeCell ref="X93:Z93"/>
    <mergeCell ref="AG93:AJ93"/>
    <mergeCell ref="AK93:AO93"/>
    <mergeCell ref="AP93:AT93"/>
    <mergeCell ref="AU93:AX93"/>
    <mergeCell ref="AY93:BA93"/>
    <mergeCell ref="F92:I92"/>
    <mergeCell ref="J92:N92"/>
    <mergeCell ref="O92:S92"/>
    <mergeCell ref="T92:W92"/>
    <mergeCell ref="X92:Z92"/>
    <mergeCell ref="AG92:AJ92"/>
    <mergeCell ref="AK92:AO92"/>
    <mergeCell ref="AK104:AO104"/>
    <mergeCell ref="AP104:AT104"/>
    <mergeCell ref="AU104:AX104"/>
    <mergeCell ref="AY104:BA104"/>
    <mergeCell ref="AU118:AX118"/>
    <mergeCell ref="AY118:BA118"/>
    <mergeCell ref="F94:I94"/>
    <mergeCell ref="J94:N94"/>
    <mergeCell ref="O94:S94"/>
    <mergeCell ref="T94:W94"/>
    <mergeCell ref="X94:Z94"/>
    <mergeCell ref="AA94:AB94"/>
    <mergeCell ref="AD94:AE94"/>
    <mergeCell ref="AG94:AJ94"/>
    <mergeCell ref="AK94:AO94"/>
    <mergeCell ref="F102:I102"/>
    <mergeCell ref="J102:N102"/>
    <mergeCell ref="O102:S102"/>
    <mergeCell ref="T102:W102"/>
    <mergeCell ref="X102:Z102"/>
    <mergeCell ref="AA102:AE102"/>
    <mergeCell ref="AG102:AJ102"/>
    <mergeCell ref="AK102:AO102"/>
    <mergeCell ref="AU108:AX108"/>
    <mergeCell ref="AY108:BA108"/>
    <mergeCell ref="BB118:BF118"/>
    <mergeCell ref="F119:I119"/>
    <mergeCell ref="J119:N119"/>
    <mergeCell ref="O119:S119"/>
    <mergeCell ref="T119:W119"/>
    <mergeCell ref="X119:Z119"/>
    <mergeCell ref="AA119:AB119"/>
    <mergeCell ref="AD119:AE119"/>
    <mergeCell ref="AG119:AJ119"/>
    <mergeCell ref="AK119:AO119"/>
    <mergeCell ref="AP119:AT119"/>
    <mergeCell ref="AU119:AX119"/>
    <mergeCell ref="AY119:BA119"/>
    <mergeCell ref="BB119:BC119"/>
    <mergeCell ref="BE119:BF119"/>
    <mergeCell ref="F118:I118"/>
    <mergeCell ref="J118:N118"/>
    <mergeCell ref="O118:S118"/>
    <mergeCell ref="T118:W118"/>
    <mergeCell ref="X118:Z118"/>
    <mergeCell ref="AA118:AE118"/>
    <mergeCell ref="AG118:AJ118"/>
    <mergeCell ref="AK118:AO118"/>
    <mergeCell ref="AP118:AT118"/>
    <mergeCell ref="F120:I120"/>
    <mergeCell ref="J120:N120"/>
    <mergeCell ref="O120:S120"/>
    <mergeCell ref="T120:W120"/>
    <mergeCell ref="X120:Z120"/>
    <mergeCell ref="AA120:AB120"/>
    <mergeCell ref="AD120:AE120"/>
    <mergeCell ref="AG120:AJ120"/>
    <mergeCell ref="AK120:AO120"/>
    <mergeCell ref="F121:I121"/>
    <mergeCell ref="J121:N121"/>
    <mergeCell ref="O121:S121"/>
    <mergeCell ref="T121:W121"/>
    <mergeCell ref="X121:Z121"/>
    <mergeCell ref="AA121:AB121"/>
    <mergeCell ref="AD121:AE121"/>
    <mergeCell ref="AG121:AJ121"/>
    <mergeCell ref="AK121:AO121"/>
    <mergeCell ref="AP123:AT123"/>
    <mergeCell ref="AU123:AX123"/>
    <mergeCell ref="AY123:BA123"/>
    <mergeCell ref="AA122:AB122"/>
    <mergeCell ref="AP120:AT120"/>
    <mergeCell ref="AU120:AX120"/>
    <mergeCell ref="AY120:BA120"/>
    <mergeCell ref="BB120:BC120"/>
    <mergeCell ref="BE120:BF120"/>
    <mergeCell ref="AP121:AT121"/>
    <mergeCell ref="AU121:AX121"/>
    <mergeCell ref="AY121:BA121"/>
    <mergeCell ref="BB121:BC121"/>
    <mergeCell ref="BE121:BF121"/>
    <mergeCell ref="F123:I123"/>
    <mergeCell ref="J123:N123"/>
    <mergeCell ref="O123:S123"/>
    <mergeCell ref="T123:W123"/>
    <mergeCell ref="X123:Z123"/>
    <mergeCell ref="AG123:AJ123"/>
    <mergeCell ref="AK123:AO123"/>
    <mergeCell ref="F122:I122"/>
    <mergeCell ref="J122:N122"/>
    <mergeCell ref="O122:S122"/>
    <mergeCell ref="T122:W122"/>
    <mergeCell ref="X122:Z122"/>
    <mergeCell ref="AG122:AJ122"/>
    <mergeCell ref="AK122:AO122"/>
    <mergeCell ref="AP126:AT126"/>
    <mergeCell ref="AU126:AX126"/>
    <mergeCell ref="AY126:BA126"/>
    <mergeCell ref="BB126:BC126"/>
    <mergeCell ref="BE126:BF126"/>
    <mergeCell ref="F126:I126"/>
    <mergeCell ref="J126:N126"/>
    <mergeCell ref="O126:S126"/>
    <mergeCell ref="T126:W126"/>
    <mergeCell ref="X126:Z126"/>
    <mergeCell ref="AA126:AB126"/>
    <mergeCell ref="AD126:AE126"/>
    <mergeCell ref="AG126:AJ126"/>
    <mergeCell ref="AK126:AO126"/>
    <mergeCell ref="F125:I125"/>
    <mergeCell ref="J125:N125"/>
    <mergeCell ref="O125:S125"/>
    <mergeCell ref="T125:W125"/>
    <mergeCell ref="X125:Z125"/>
    <mergeCell ref="AG125:AJ125"/>
    <mergeCell ref="AK125:AO125"/>
    <mergeCell ref="AG124:AJ124"/>
    <mergeCell ref="AK124:AO124"/>
    <mergeCell ref="F124:I124"/>
    <mergeCell ref="J124:N124"/>
    <mergeCell ref="O124:S124"/>
    <mergeCell ref="T124:W124"/>
    <mergeCell ref="X124:Z124"/>
    <mergeCell ref="AA68:AE68"/>
    <mergeCell ref="BB94:BC94"/>
    <mergeCell ref="BE94:BF94"/>
    <mergeCell ref="BB86:BF86"/>
    <mergeCell ref="BB49:BF49"/>
    <mergeCell ref="BE51:BF51"/>
    <mergeCell ref="BB50:BC50"/>
    <mergeCell ref="BE50:BF50"/>
    <mergeCell ref="BB52:BC52"/>
    <mergeCell ref="BE52:BF52"/>
    <mergeCell ref="AP94:AT94"/>
    <mergeCell ref="AU94:AX94"/>
    <mergeCell ref="AY94:BA94"/>
    <mergeCell ref="AY89:BA89"/>
    <mergeCell ref="BB89:BC89"/>
    <mergeCell ref="BE89:BF89"/>
    <mergeCell ref="AK88:AO88"/>
    <mergeCell ref="AP88:AT88"/>
    <mergeCell ref="AU88:AX88"/>
    <mergeCell ref="AY88:BA88"/>
    <mergeCell ref="BB57:BC57"/>
    <mergeCell ref="BE57:BF57"/>
    <mergeCell ref="AD51:AE51"/>
    <mergeCell ref="AA52:AB52"/>
    <mergeCell ref="BB43:BC43"/>
    <mergeCell ref="BE43:BF43"/>
    <mergeCell ref="BB44:BC44"/>
    <mergeCell ref="BE44:BF44"/>
    <mergeCell ref="BB45:BC45"/>
    <mergeCell ref="BE45:BF45"/>
    <mergeCell ref="BB46:BC46"/>
    <mergeCell ref="BE46:BF46"/>
    <mergeCell ref="AA53:AB53"/>
    <mergeCell ref="AD53:AE53"/>
    <mergeCell ref="BB53:BC53"/>
    <mergeCell ref="BE53:BF53"/>
    <mergeCell ref="AA43:AB43"/>
    <mergeCell ref="AD43:AE43"/>
    <mergeCell ref="AY46:BA46"/>
    <mergeCell ref="AD52:AE52"/>
    <mergeCell ref="BB51:BC51"/>
    <mergeCell ref="AK53:AO53"/>
    <mergeCell ref="AP53:AT53"/>
    <mergeCell ref="BE90:BF90"/>
    <mergeCell ref="BB91:BC91"/>
    <mergeCell ref="BE91:BF91"/>
    <mergeCell ref="BB92:BC92"/>
    <mergeCell ref="BE92:BF92"/>
    <mergeCell ref="BB93:BC93"/>
    <mergeCell ref="BE93:BF93"/>
    <mergeCell ref="AA106:AB106"/>
    <mergeCell ref="AD106:AE106"/>
    <mergeCell ref="AA90:AB90"/>
    <mergeCell ref="AD90:AE90"/>
    <mergeCell ref="AA91:AB91"/>
    <mergeCell ref="AD91:AE91"/>
    <mergeCell ref="AA92:AB92"/>
    <mergeCell ref="AD92:AE92"/>
    <mergeCell ref="AA93:AB93"/>
    <mergeCell ref="AD93:AE93"/>
    <mergeCell ref="BB90:BC90"/>
    <mergeCell ref="AP102:AT102"/>
    <mergeCell ref="AP105:AT105"/>
    <mergeCell ref="AU105:AX105"/>
    <mergeCell ref="AY105:BA105"/>
    <mergeCell ref="AU102:AX102"/>
    <mergeCell ref="AY102:BA102"/>
    <mergeCell ref="AA107:AB107"/>
    <mergeCell ref="AD107:AE107"/>
    <mergeCell ref="AA108:AB108"/>
    <mergeCell ref="AD108:AE108"/>
    <mergeCell ref="AA109:AB109"/>
    <mergeCell ref="AD109:AE109"/>
    <mergeCell ref="BB106:BC106"/>
    <mergeCell ref="BE106:BF106"/>
    <mergeCell ref="BB107:BC107"/>
    <mergeCell ref="BE107:BF107"/>
    <mergeCell ref="BB108:BC108"/>
    <mergeCell ref="BE108:BF108"/>
    <mergeCell ref="BB109:BC109"/>
    <mergeCell ref="BE109:BF109"/>
    <mergeCell ref="AY107:BA107"/>
    <mergeCell ref="AY106:BA106"/>
    <mergeCell ref="AY109:BA109"/>
    <mergeCell ref="AD122:AE122"/>
    <mergeCell ref="AA123:AB123"/>
    <mergeCell ref="AD123:AE123"/>
    <mergeCell ref="AA124:AB124"/>
    <mergeCell ref="AD124:AE124"/>
    <mergeCell ref="AA125:AB125"/>
    <mergeCell ref="AD125:AE125"/>
    <mergeCell ref="BB122:BC122"/>
    <mergeCell ref="BE122:BF122"/>
    <mergeCell ref="BB123:BC123"/>
    <mergeCell ref="BE123:BF123"/>
    <mergeCell ref="BB124:BC124"/>
    <mergeCell ref="BE124:BF124"/>
    <mergeCell ref="BB125:BC125"/>
    <mergeCell ref="BE125:BF125"/>
    <mergeCell ref="AP124:AT124"/>
    <mergeCell ref="AU124:AX124"/>
    <mergeCell ref="AY124:BA124"/>
    <mergeCell ref="AP125:AT125"/>
    <mergeCell ref="AU125:AX125"/>
    <mergeCell ref="AY125:BA125"/>
    <mergeCell ref="AP122:AT122"/>
    <mergeCell ref="AU122:AX122"/>
    <mergeCell ref="AY122:BA12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6" orientation="landscape" r:id="rId1"/>
  <headerFooter>
    <oddHeader>&amp;R&amp;F</oddHeader>
    <oddFooter>&amp;C&amp;P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4" customWidth="1"/>
    <col min="61" max="16384" width="2.77734375" style="24"/>
  </cols>
  <sheetData>
    <row r="1" spans="1:63" ht="24.95" customHeight="1" x14ac:dyDescent="0.25">
      <c r="A1" s="178" t="s">
        <v>52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53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81" t="str">
        <f>IF(表紙!W1="","",表紙!W1)</f>
        <v>基本設計書</v>
      </c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3"/>
      <c r="AP1" s="89" t="s">
        <v>55</v>
      </c>
      <c r="AQ1" s="90"/>
      <c r="AR1" s="90"/>
      <c r="AS1" s="91"/>
      <c r="AT1" s="89" t="s">
        <v>56</v>
      </c>
      <c r="AU1" s="90"/>
      <c r="AV1" s="90"/>
      <c r="AW1" s="90"/>
      <c r="AX1" s="91"/>
      <c r="AY1" s="89" t="s">
        <v>57</v>
      </c>
      <c r="AZ1" s="90"/>
      <c r="BA1" s="90"/>
      <c r="BB1" s="91"/>
      <c r="BC1" s="89" t="s">
        <v>58</v>
      </c>
      <c r="BD1" s="90"/>
      <c r="BE1" s="90"/>
      <c r="BF1" s="90"/>
      <c r="BG1" s="91"/>
      <c r="BH1" s="89" t="s">
        <v>59</v>
      </c>
      <c r="BI1" s="90"/>
      <c r="BJ1" s="90"/>
      <c r="BK1" s="91"/>
    </row>
    <row r="2" spans="1:63" ht="15" customHeight="1" x14ac:dyDescent="0.25">
      <c r="A2" s="172" t="str">
        <f>IF(表紙!A2="","",表紙!A2)</f>
        <v>POSサーバー</v>
      </c>
      <c r="B2" s="173"/>
      <c r="C2" s="173"/>
      <c r="D2" s="173"/>
      <c r="E2" s="173"/>
      <c r="F2" s="173"/>
      <c r="G2" s="173"/>
      <c r="H2" s="173"/>
      <c r="I2" s="173"/>
      <c r="J2" s="174"/>
      <c r="K2" s="172" t="str">
        <f>IF(表紙!K2="","",表紙!K2)</f>
        <v>POSサーバー</v>
      </c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4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74" t="str">
        <f>IF(表紙!AP2="","",表紙!AP2)</f>
        <v>LoiLV</v>
      </c>
      <c r="AQ2" s="75"/>
      <c r="AR2" s="75"/>
      <c r="AS2" s="76"/>
      <c r="AT2" s="103">
        <f>IF(表紙!AT2="","",表紙!AT2)</f>
        <v>45421</v>
      </c>
      <c r="AU2" s="104"/>
      <c r="AV2" s="104"/>
      <c r="AW2" s="104"/>
      <c r="AX2" s="105"/>
      <c r="AY2" s="74" t="str">
        <f>IF(表紙!AY2="","",表紙!AY2)</f>
        <v>LoiLV</v>
      </c>
      <c r="AZ2" s="75"/>
      <c r="BA2" s="75"/>
      <c r="BB2" s="76"/>
      <c r="BC2" s="103">
        <f>IF(表紙!BC2="","",表紙!BC2)</f>
        <v>45517</v>
      </c>
      <c r="BD2" s="104"/>
      <c r="BE2" s="104"/>
      <c r="BF2" s="104"/>
      <c r="BG2" s="105"/>
      <c r="BH2" s="74" t="str">
        <f>IF(表紙!BH2="","",表紙!BH2)</f>
        <v>0.3.7</v>
      </c>
      <c r="BI2" s="75"/>
      <c r="BJ2" s="75"/>
      <c r="BK2" s="76"/>
    </row>
    <row r="3" spans="1:63" ht="15" customHeight="1" x14ac:dyDescent="0.25">
      <c r="A3" s="175"/>
      <c r="B3" s="176"/>
      <c r="C3" s="176"/>
      <c r="D3" s="176"/>
      <c r="E3" s="176"/>
      <c r="F3" s="176"/>
      <c r="G3" s="176"/>
      <c r="H3" s="176"/>
      <c r="I3" s="176"/>
      <c r="J3" s="177"/>
      <c r="K3" s="175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7"/>
      <c r="W3" s="187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9"/>
      <c r="AP3" s="80"/>
      <c r="AQ3" s="81"/>
      <c r="AR3" s="81"/>
      <c r="AS3" s="82"/>
      <c r="AT3" s="106"/>
      <c r="AU3" s="107"/>
      <c r="AV3" s="107"/>
      <c r="AW3" s="107"/>
      <c r="AX3" s="108"/>
      <c r="AY3" s="80"/>
      <c r="AZ3" s="81"/>
      <c r="BA3" s="81"/>
      <c r="BB3" s="82"/>
      <c r="BC3" s="106"/>
      <c r="BD3" s="107"/>
      <c r="BE3" s="107"/>
      <c r="BF3" s="107"/>
      <c r="BG3" s="108"/>
      <c r="BH3" s="80"/>
      <c r="BI3" s="81"/>
      <c r="BJ3" s="81"/>
      <c r="BK3" s="82"/>
    </row>
    <row r="4" spans="1:63" ht="24.95" customHeight="1" x14ac:dyDescent="0.25">
      <c r="A4" s="178" t="s">
        <v>61</v>
      </c>
      <c r="B4" s="179"/>
      <c r="C4" s="179"/>
      <c r="D4" s="179"/>
      <c r="E4" s="179"/>
      <c r="F4" s="179"/>
      <c r="G4" s="180"/>
      <c r="H4" s="190" t="str">
        <f>IF(表紙!H4="","",表紙!H4)</f>
        <v>25_取扱設定マスタ設定(KSM)</v>
      </c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2"/>
      <c r="U4" s="178" t="s">
        <v>62</v>
      </c>
      <c r="V4" s="179"/>
      <c r="W4" s="179"/>
      <c r="X4" s="179"/>
      <c r="Y4" s="180"/>
      <c r="Z4" s="190" t="str">
        <f>IF(表紙!Z4="","",表紙!Z4)</f>
        <v>概要設計書</v>
      </c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2"/>
      <c r="AP4" s="193" t="str">
        <f ca="1">MID(CELL("filename",A1),FIND("]",CELL("filename",A1))+1,255)</f>
        <v>テンプレート</v>
      </c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2"/>
    </row>
    <row r="5" spans="1:63" ht="5.0999999999999996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7"/>
    </row>
    <row r="6" spans="1:63" ht="15" customHeight="1" x14ac:dyDescent="0.25">
      <c r="A6" s="28"/>
      <c r="BK6" s="29"/>
    </row>
    <row r="7" spans="1:63" ht="15" customHeight="1" x14ac:dyDescent="0.25">
      <c r="A7" s="28"/>
      <c r="B7" s="61"/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  <c r="U7" s="62"/>
      <c r="V7" s="63"/>
      <c r="W7" s="63"/>
      <c r="X7" s="63"/>
      <c r="Y7" s="63"/>
      <c r="Z7" s="63"/>
      <c r="AA7" s="63"/>
      <c r="AB7" s="63"/>
      <c r="AC7" s="64"/>
      <c r="AD7" s="62"/>
      <c r="AE7" s="63"/>
      <c r="AF7" s="63"/>
      <c r="AG7" s="63"/>
      <c r="AH7" s="63"/>
      <c r="AI7" s="63"/>
      <c r="AJ7" s="63"/>
      <c r="AK7" s="63"/>
      <c r="AL7" s="64"/>
      <c r="AM7" s="62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29"/>
    </row>
    <row r="8" spans="1:63" ht="15" customHeight="1" x14ac:dyDescent="0.25">
      <c r="A8" s="28"/>
      <c r="C8" s="65"/>
      <c r="U8" s="65"/>
      <c r="AD8" s="65"/>
      <c r="AM8" s="65"/>
      <c r="BI8" s="67"/>
    </row>
    <row r="9" spans="1:63" ht="15" customHeight="1" x14ac:dyDescent="0.25">
      <c r="A9" s="28"/>
      <c r="C9" s="65"/>
      <c r="U9" s="65"/>
      <c r="AD9" s="65"/>
      <c r="AM9" s="65"/>
      <c r="BI9" s="67"/>
    </row>
    <row r="10" spans="1:63" ht="15" customHeight="1" x14ac:dyDescent="0.25">
      <c r="A10" s="28"/>
      <c r="C10" s="65"/>
      <c r="U10" s="65"/>
      <c r="AD10" s="65"/>
      <c r="AM10" s="65"/>
      <c r="BI10" s="67"/>
    </row>
    <row r="11" spans="1:63" ht="15" customHeight="1" x14ac:dyDescent="0.25">
      <c r="A11" s="28"/>
      <c r="C11" s="65"/>
      <c r="U11" s="65"/>
      <c r="AD11" s="65"/>
      <c r="AM11" s="65"/>
      <c r="BI11" s="67"/>
    </row>
    <row r="12" spans="1:63" ht="15" customHeight="1" x14ac:dyDescent="0.25">
      <c r="A12" s="28"/>
      <c r="C12" s="65"/>
      <c r="U12" s="65"/>
      <c r="AD12" s="65"/>
      <c r="AM12" s="65"/>
      <c r="AX12" s="24" t="s">
        <v>30</v>
      </c>
      <c r="BI12" s="67"/>
    </row>
    <row r="13" spans="1:63" ht="15" customHeight="1" x14ac:dyDescent="0.25">
      <c r="A13" s="28"/>
      <c r="C13" s="65"/>
      <c r="U13" s="65"/>
      <c r="AD13" s="65"/>
      <c r="AM13" s="65"/>
      <c r="BI13" s="67"/>
    </row>
    <row r="14" spans="1:63" ht="15" customHeight="1" x14ac:dyDescent="0.25">
      <c r="A14" s="28"/>
      <c r="C14" s="65"/>
      <c r="U14" s="65"/>
      <c r="AD14" s="65"/>
      <c r="AM14" s="65"/>
      <c r="BI14" s="67"/>
    </row>
    <row r="15" spans="1:63" ht="15" customHeight="1" x14ac:dyDescent="0.25">
      <c r="A15" s="28"/>
      <c r="C15" s="65"/>
      <c r="U15" s="65"/>
      <c r="AD15" s="65"/>
      <c r="AM15" s="65"/>
      <c r="BI15" s="67"/>
    </row>
    <row r="16" spans="1:63" ht="15" customHeight="1" x14ac:dyDescent="0.25">
      <c r="A16" s="28"/>
      <c r="C16" s="65"/>
      <c r="U16" s="65"/>
      <c r="AD16" s="65"/>
      <c r="AM16" s="65"/>
      <c r="BI16" s="67"/>
    </row>
    <row r="17" spans="1:61" ht="15" customHeight="1" x14ac:dyDescent="0.25">
      <c r="A17" s="28"/>
      <c r="C17" s="65"/>
      <c r="U17" s="65"/>
      <c r="AD17" s="65"/>
      <c r="AM17" s="65"/>
      <c r="BI17" s="67"/>
    </row>
    <row r="18" spans="1:61" ht="15" customHeight="1" x14ac:dyDescent="0.25">
      <c r="A18" s="28"/>
      <c r="C18" s="65"/>
      <c r="U18" s="65"/>
      <c r="AD18" s="65"/>
      <c r="AM18" s="65"/>
      <c r="BI18" s="67"/>
    </row>
    <row r="19" spans="1:61" ht="15" customHeight="1" x14ac:dyDescent="0.25">
      <c r="A19" s="28"/>
      <c r="C19" s="65"/>
      <c r="U19" s="65"/>
      <c r="AD19" s="65"/>
      <c r="AM19" s="65"/>
      <c r="BI19" s="67"/>
    </row>
    <row r="20" spans="1:61" ht="15" customHeight="1" x14ac:dyDescent="0.25">
      <c r="A20" s="28"/>
      <c r="C20" s="65"/>
      <c r="U20" s="65"/>
      <c r="AD20" s="65"/>
      <c r="AM20" s="65"/>
      <c r="BI20" s="67"/>
    </row>
    <row r="21" spans="1:61" ht="15" customHeight="1" x14ac:dyDescent="0.25">
      <c r="A21" s="28"/>
      <c r="C21" s="65"/>
      <c r="U21" s="65"/>
      <c r="AD21" s="65"/>
      <c r="AM21" s="65"/>
      <c r="BI21" s="67"/>
    </row>
    <row r="22" spans="1:61" ht="15" customHeight="1" x14ac:dyDescent="0.25">
      <c r="A22" s="28"/>
      <c r="C22" s="65"/>
      <c r="U22" s="65"/>
      <c r="AD22" s="65"/>
      <c r="AM22" s="65"/>
      <c r="BI22" s="67"/>
    </row>
    <row r="23" spans="1:61" ht="15" customHeight="1" x14ac:dyDescent="0.25">
      <c r="A23" s="28"/>
      <c r="C23" s="65"/>
      <c r="U23" s="65"/>
      <c r="AD23" s="65"/>
      <c r="AM23" s="65"/>
      <c r="BI23" s="67"/>
    </row>
    <row r="24" spans="1:61" ht="15" customHeight="1" x14ac:dyDescent="0.25">
      <c r="A24" s="28"/>
      <c r="C24" s="65"/>
      <c r="U24" s="65"/>
      <c r="AD24" s="65"/>
      <c r="AM24" s="65"/>
      <c r="BI24" s="67"/>
    </row>
    <row r="25" spans="1:61" ht="15" customHeight="1" x14ac:dyDescent="0.25">
      <c r="A25" s="28"/>
      <c r="C25" s="65"/>
      <c r="U25" s="65"/>
      <c r="AD25" s="65"/>
      <c r="AM25" s="65"/>
      <c r="BI25" s="67"/>
    </row>
    <row r="26" spans="1:61" ht="15" customHeight="1" x14ac:dyDescent="0.25">
      <c r="A26" s="28"/>
      <c r="C26" s="65"/>
      <c r="U26" s="65"/>
      <c r="AD26" s="65"/>
      <c r="AM26" s="65"/>
      <c r="BI26" s="67"/>
    </row>
    <row r="27" spans="1:61" ht="15" customHeight="1" x14ac:dyDescent="0.25">
      <c r="A27" s="28"/>
      <c r="C27" s="65"/>
      <c r="U27" s="65"/>
      <c r="AD27" s="65"/>
      <c r="AM27" s="65"/>
      <c r="BI27" s="67"/>
    </row>
    <row r="28" spans="1:61" ht="15" customHeight="1" x14ac:dyDescent="0.25">
      <c r="A28" s="28"/>
      <c r="C28" s="65"/>
      <c r="U28" s="65"/>
      <c r="AD28" s="65"/>
      <c r="AM28" s="65"/>
      <c r="BI28" s="67"/>
    </row>
    <row r="29" spans="1:61" ht="15" customHeight="1" x14ac:dyDescent="0.25">
      <c r="A29" s="28"/>
      <c r="C29" s="65"/>
      <c r="U29" s="65"/>
      <c r="AD29" s="65"/>
      <c r="AM29" s="65"/>
      <c r="BI29" s="67"/>
    </row>
    <row r="30" spans="1:61" ht="15" customHeight="1" x14ac:dyDescent="0.25">
      <c r="A30" s="28"/>
      <c r="C30" s="65"/>
      <c r="U30" s="65"/>
      <c r="AD30" s="65"/>
      <c r="AM30" s="65"/>
      <c r="BI30" s="67"/>
    </row>
    <row r="31" spans="1:61" ht="15" customHeight="1" x14ac:dyDescent="0.25">
      <c r="A31" s="28"/>
      <c r="C31" s="65"/>
      <c r="U31" s="65"/>
      <c r="AD31" s="65"/>
      <c r="AM31" s="65"/>
      <c r="BI31" s="67"/>
    </row>
    <row r="32" spans="1:61" ht="15" customHeight="1" x14ac:dyDescent="0.25">
      <c r="A32" s="28"/>
      <c r="C32" s="65"/>
      <c r="U32" s="65"/>
      <c r="AD32" s="65"/>
      <c r="AM32" s="65"/>
      <c r="BI32" s="67"/>
    </row>
    <row r="33" spans="1:61" ht="15" customHeight="1" x14ac:dyDescent="0.25">
      <c r="A33" s="28"/>
      <c r="C33" s="65"/>
      <c r="U33" s="65"/>
      <c r="AD33" s="65"/>
      <c r="AM33" s="65"/>
      <c r="BI33" s="67"/>
    </row>
    <row r="34" spans="1:61" ht="15" customHeight="1" x14ac:dyDescent="0.25">
      <c r="A34" s="28"/>
      <c r="C34" s="65"/>
      <c r="U34" s="65"/>
      <c r="AD34" s="65"/>
      <c r="AM34" s="65"/>
      <c r="BI34" s="67"/>
    </row>
    <row r="35" spans="1:61" ht="15" customHeight="1" x14ac:dyDescent="0.25">
      <c r="A35" s="28"/>
      <c r="C35" s="65"/>
      <c r="U35" s="65"/>
      <c r="AD35" s="65"/>
      <c r="AM35" s="65"/>
      <c r="BI35" s="67"/>
    </row>
    <row r="36" spans="1:61" ht="15" customHeight="1" x14ac:dyDescent="0.25">
      <c r="A36" s="28"/>
      <c r="C36" s="65"/>
      <c r="U36" s="65"/>
      <c r="AD36" s="65"/>
      <c r="AM36" s="65"/>
      <c r="BI36" s="67"/>
    </row>
    <row r="37" spans="1:61" ht="15" customHeight="1" x14ac:dyDescent="0.25">
      <c r="A37" s="28"/>
      <c r="C37" s="65"/>
      <c r="U37" s="65"/>
      <c r="AD37" s="65"/>
      <c r="AM37" s="65"/>
      <c r="BI37" s="67"/>
    </row>
    <row r="38" spans="1:61" ht="15" customHeight="1" x14ac:dyDescent="0.25">
      <c r="A38" s="28"/>
      <c r="C38" s="65"/>
      <c r="U38" s="65"/>
      <c r="AD38" s="65"/>
      <c r="AM38" s="65"/>
      <c r="BI38" s="67"/>
    </row>
    <row r="39" spans="1:61" ht="15" customHeight="1" x14ac:dyDescent="0.25">
      <c r="A39" s="28"/>
      <c r="C39" s="65"/>
      <c r="U39" s="65"/>
      <c r="AD39" s="65"/>
      <c r="AM39" s="65"/>
      <c r="BI39" s="67"/>
    </row>
    <row r="40" spans="1:61" ht="15" customHeight="1" x14ac:dyDescent="0.25">
      <c r="A40" s="28"/>
      <c r="C40" s="65"/>
      <c r="U40" s="65"/>
      <c r="AD40" s="65"/>
      <c r="AM40" s="65"/>
      <c r="BI40" s="67"/>
    </row>
    <row r="41" spans="1:61" ht="15" customHeight="1" x14ac:dyDescent="0.25">
      <c r="A41" s="28"/>
      <c r="C41" s="65"/>
      <c r="U41" s="65"/>
      <c r="AD41" s="65"/>
      <c r="AM41" s="65"/>
      <c r="BI41" s="67"/>
    </row>
    <row r="42" spans="1:61" ht="15" customHeight="1" x14ac:dyDescent="0.25">
      <c r="A42" s="28"/>
      <c r="C42" s="65"/>
      <c r="U42" s="65"/>
      <c r="AD42" s="65"/>
      <c r="AM42" s="65"/>
      <c r="BI42" s="67"/>
    </row>
    <row r="43" spans="1:61" ht="15" customHeight="1" x14ac:dyDescent="0.25">
      <c r="A43" s="28"/>
      <c r="C43" s="65"/>
      <c r="U43" s="65"/>
      <c r="AD43" s="65"/>
      <c r="AM43" s="65"/>
      <c r="BI43" s="67"/>
    </row>
    <row r="44" spans="1:61" ht="15" customHeight="1" x14ac:dyDescent="0.25">
      <c r="A44" s="28"/>
      <c r="C44" s="65"/>
      <c r="U44" s="65"/>
      <c r="AD44" s="65"/>
      <c r="AM44" s="65"/>
      <c r="BI44" s="67"/>
    </row>
    <row r="45" spans="1:61" ht="15" customHeight="1" x14ac:dyDescent="0.25">
      <c r="A45" s="28"/>
      <c r="C45" s="65"/>
      <c r="U45" s="65"/>
      <c r="AD45" s="65"/>
      <c r="AM45" s="65"/>
      <c r="BI45" s="67"/>
    </row>
    <row r="46" spans="1:61" ht="15" customHeight="1" x14ac:dyDescent="0.25">
      <c r="A46" s="28"/>
      <c r="C46" s="65"/>
      <c r="U46" s="65"/>
      <c r="AD46" s="65"/>
      <c r="AM46" s="65"/>
      <c r="BI46" s="67"/>
    </row>
    <row r="47" spans="1:61" ht="15" customHeight="1" x14ac:dyDescent="0.25">
      <c r="A47" s="28"/>
      <c r="C47" s="65"/>
      <c r="U47" s="65"/>
      <c r="AD47" s="65"/>
      <c r="AM47" s="65"/>
      <c r="BI47" s="67"/>
    </row>
    <row r="48" spans="1:61" ht="15" customHeight="1" x14ac:dyDescent="0.25">
      <c r="A48" s="28"/>
      <c r="C48" s="65"/>
      <c r="U48" s="65"/>
      <c r="AD48" s="65"/>
      <c r="AM48" s="65"/>
      <c r="BI48" s="67"/>
    </row>
    <row r="49" spans="1:63" ht="15" customHeight="1" x14ac:dyDescent="0.25">
      <c r="A49" s="28"/>
      <c r="C49" s="65"/>
      <c r="U49" s="65"/>
      <c r="AD49" s="65"/>
      <c r="AM49" s="65"/>
      <c r="BI49" s="67"/>
    </row>
    <row r="50" spans="1:63" ht="15" customHeight="1" x14ac:dyDescent="0.25">
      <c r="A50" s="28"/>
      <c r="C50" s="65"/>
      <c r="U50" s="65"/>
      <c r="AD50" s="65"/>
      <c r="AM50" s="65"/>
      <c r="BI50" s="67"/>
    </row>
    <row r="51" spans="1:63" ht="15" customHeight="1" x14ac:dyDescent="0.25">
      <c r="A51" s="28"/>
      <c r="C51" s="65"/>
      <c r="U51" s="65"/>
      <c r="AD51" s="65"/>
      <c r="AM51" s="65"/>
      <c r="BI51" s="67"/>
    </row>
    <row r="52" spans="1:63" ht="15" customHeight="1" x14ac:dyDescent="0.25">
      <c r="A52" s="28"/>
      <c r="C52" s="65"/>
      <c r="U52" s="65"/>
      <c r="AD52" s="65"/>
      <c r="AM52" s="65"/>
      <c r="BI52" s="67"/>
    </row>
    <row r="53" spans="1:63" ht="15" customHeight="1" x14ac:dyDescent="0.25">
      <c r="A53" s="28"/>
      <c r="C53" s="65"/>
      <c r="U53" s="65"/>
      <c r="AD53" s="65"/>
      <c r="AM53" s="65"/>
      <c r="BI53" s="67"/>
    </row>
    <row r="54" spans="1:63" ht="15" customHeight="1" x14ac:dyDescent="0.25">
      <c r="A54" s="28"/>
      <c r="C54" s="65"/>
      <c r="U54" s="65"/>
      <c r="AD54" s="65"/>
      <c r="AM54" s="65"/>
      <c r="BI54" s="67"/>
    </row>
    <row r="55" spans="1:63" ht="15" customHeight="1" x14ac:dyDescent="0.25">
      <c r="A55" s="25"/>
      <c r="B55" s="72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72"/>
      <c r="V55" s="26"/>
      <c r="W55" s="26"/>
      <c r="X55" s="26"/>
      <c r="Y55" s="26"/>
      <c r="Z55" s="26"/>
      <c r="AA55" s="26"/>
      <c r="AB55" s="26"/>
      <c r="AC55" s="26"/>
      <c r="AD55" s="72"/>
      <c r="AE55" s="26"/>
      <c r="AF55" s="26"/>
      <c r="AG55" s="26"/>
      <c r="AH55" s="26"/>
      <c r="AI55" s="26"/>
      <c r="AJ55" s="26"/>
      <c r="AK55" s="26"/>
      <c r="AL55" s="26"/>
      <c r="AM55" s="72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71"/>
      <c r="BJ55" s="26"/>
      <c r="BK55" s="27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2EE3A4-A261-472E-8B2E-3E0316C044C1}"/>
</file>

<file path=customXml/itemProps2.xml><?xml version="1.0" encoding="utf-8"?>
<ds:datastoreItem xmlns:ds="http://schemas.openxmlformats.org/officeDocument/2006/customXml" ds:itemID="{3FE62545-E76B-466D-BFA6-045D40F1EB27}"/>
</file>

<file path=customXml/itemProps3.xml><?xml version="1.0" encoding="utf-8"?>
<ds:datastoreItem xmlns:ds="http://schemas.openxmlformats.org/officeDocument/2006/customXml" ds:itemID="{47FE55B1-314B-4DFF-B98B-83E8C21BEA4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15</vt:i4>
      </vt:variant>
    </vt:vector>
  </HeadingPairs>
  <TitlesOfParts>
    <vt:vector size="24" baseType="lpstr">
      <vt:lpstr>表紙</vt:lpstr>
      <vt:lpstr>改訂履歴</vt:lpstr>
      <vt:lpstr>指摘履歴</vt:lpstr>
      <vt:lpstr>業務フロー凡例</vt:lpstr>
      <vt:lpstr>機能概要説明</vt:lpstr>
      <vt:lpstr>機能概要</vt:lpstr>
      <vt:lpstr>画面設計書</vt:lpstr>
      <vt:lpstr>取扱有無と下位階層も同設定の詳細</vt:lpstr>
      <vt:lpstr>テンプレート</vt:lpstr>
      <vt:lpstr>テンプレート!Print_Area</vt:lpstr>
      <vt:lpstr>取扱有無と下位階層も同設定の詳細!Print_Area</vt:lpstr>
      <vt:lpstr>指摘履歴!Print_Area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取扱有無と下位階層も同設定の詳細!Print_Titles</vt:lpstr>
      <vt:lpstr>指摘履歴!Print_Titles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2024-08-13T10:07:47Z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