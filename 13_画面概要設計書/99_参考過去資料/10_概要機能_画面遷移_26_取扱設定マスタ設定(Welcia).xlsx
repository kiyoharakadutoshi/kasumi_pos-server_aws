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73FDE3C0-911B-4FF8-8586-74FC803B4A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取扱有無と下位階層も同設定の詳細" sheetId="9" r:id="rId7"/>
    <sheet name="テンプレート" sheetId="2" r:id="rId8"/>
  </sheets>
  <definedNames>
    <definedName name="_xlnm.Print_Area" localSheetId="7">テンプレート!$A$1:$BK$55</definedName>
    <definedName name="_xlnm.Print_Area" localSheetId="6">取扱有無と下位階層も同設定の詳細!$A$1:$BK$136</definedName>
    <definedName name="_xlnm.Print_Area" localSheetId="1">改訂履歴!$A$1:$BK$55</definedName>
    <definedName name="_xlnm.Print_Area" localSheetId="2">業務フロー凡例!$A$1:$BK$61</definedName>
    <definedName name="_xlnm.Print_Area" localSheetId="4">機能概要!$A$1:$BK$119</definedName>
    <definedName name="_xlnm.Print_Area" localSheetId="3">機能概要説明!$A$1:$BK$58</definedName>
    <definedName name="_xlnm.Print_Area" localSheetId="0">表紙!$A$1:$BK$55</definedName>
    <definedName name="_xlnm.Print_Titles" localSheetId="7">テンプレート!$1:$5</definedName>
    <definedName name="_xlnm.Print_Titles" localSheetId="6">取扱有無と下位階層も同設定の詳細!$1:$5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9"/>
  <c r="Z4" i="9"/>
  <c r="H4" i="9"/>
  <c r="K2" i="9"/>
  <c r="A2" i="9"/>
  <c r="W1" i="9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111" i="5" s="1"/>
  <c r="BM112" i="5" s="1"/>
  <c r="BM113" i="5" s="1"/>
  <c r="BM114" i="5" s="1"/>
  <c r="BM115" i="5" s="1"/>
  <c r="BM116" i="5" s="1"/>
  <c r="BM117" i="5" s="1"/>
  <c r="BM118" i="5" s="1"/>
  <c r="AP4" i="5" a="1"/>
  <c r="AP4" i="5" s="1"/>
  <c r="Z4" i="5"/>
  <c r="H4" i="5"/>
  <c r="K2" i="5"/>
  <c r="A2" i="5"/>
  <c r="W1" i="5"/>
  <c r="BM7" i="8"/>
  <c r="BM8" i="8" s="1"/>
  <c r="BM9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5" s="1"/>
  <c r="BC2" i="4"/>
  <c r="BC2" i="2" s="1"/>
  <c r="AY2" i="4"/>
  <c r="AY2" i="9" s="1"/>
  <c r="AT2" i="4"/>
  <c r="AT2" i="7" s="1"/>
  <c r="AP2" i="4"/>
  <c r="AP2" i="5" s="1"/>
  <c r="BC2" i="3" l="1"/>
  <c r="BH2" i="6"/>
  <c r="AP2" i="8"/>
  <c r="BH2" i="8"/>
  <c r="AT2" i="5"/>
  <c r="AY2" i="7"/>
  <c r="BC2" i="9"/>
  <c r="AP2" i="2"/>
  <c r="BH2" i="2"/>
  <c r="AP2" i="3"/>
  <c r="BH2" i="3"/>
  <c r="AP2" i="6"/>
  <c r="AT2" i="8"/>
  <c r="AY2" i="5"/>
  <c r="BC2" i="7"/>
  <c r="AP2" i="9"/>
  <c r="BH2" i="9"/>
  <c r="AT2" i="2"/>
  <c r="AT2" i="3"/>
  <c r="AY2" i="6"/>
  <c r="AY2" i="8"/>
  <c r="BC2" i="5"/>
  <c r="AP2" i="7"/>
  <c r="BH2" i="7"/>
  <c r="AT2" i="9"/>
  <c r="AY2" i="2"/>
  <c r="AY2" i="3"/>
  <c r="BC2" i="6"/>
  <c r="BC2" i="8"/>
</calcChain>
</file>

<file path=xl/sharedStrings.xml><?xml version="1.0" encoding="utf-8"?>
<sst xmlns="http://schemas.openxmlformats.org/spreadsheetml/2006/main" count="741" uniqueCount="140">
  <si>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</si>
  <si>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</si>
  <si>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</si>
  <si>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</si>
  <si>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</si>
  <si>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</si>
  <si>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</si>
  <si>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</si>
  <si>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</si>
  <si>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</si>
  <si>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</si>
  <si>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</si>
  <si>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</si>
  <si>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</si>
  <si>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</si>
  <si>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</si>
  <si>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</si>
  <si>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</si>
  <si>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</si>
  <si>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</si>
  <si>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</si>
  <si>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</si>
  <si>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</si>
  <si>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</si>
  <si>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</si>
  <si>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</si>
  <si>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</si>
  <si>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</si>
  <si>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</si>
  <si>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</si>
  <si>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</si>
  <si>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26 取扱設定マスタ設定(Welcia)</t>
    </r>
  </si>
  <si>
    <r>
      <rPr>
        <sz val="11"/>
        <color rgb="FF000000"/>
        <rFont val="Meiryo UI"/>
        <family val="2"/>
      </rPr>
      <t>取扱設定マスタ設定(Welcia)では次のことが可能になる。</t>
    </r>
  </si>
  <si>
    <r>
      <rPr>
        <sz val="11"/>
        <color rgb="FF000000"/>
        <rFont val="Meiryo UI"/>
        <family val="2"/>
      </rPr>
      <t>・各レベルに分類された分類一覧を閲覧する。</t>
    </r>
  </si>
  <si>
    <r>
      <rPr>
        <sz val="11"/>
        <color rgb="FF000000"/>
        <rFont val="Meiryo UI"/>
        <family val="2"/>
      </rPr>
      <t>・この設定は分類に関連する画面、機能に適用される。</t>
    </r>
  </si>
  <si>
    <r>
      <rPr>
        <sz val="11"/>
        <color rgb="FF000000"/>
        <rFont val="Meiryo UI"/>
        <family val="2"/>
      </rPr>
      <t>・Welcia連携店舗のみが対象となる。</t>
    </r>
  </si>
  <si>
    <r>
      <rPr>
        <b/>
        <sz val="11"/>
        <color rgb="FF000000"/>
        <rFont val="Meiryo UI"/>
        <family val="2"/>
      </rPr>
      <t>大分類</t>
    </r>
  </si>
  <si>
    <r>
      <rPr>
        <b/>
        <sz val="11"/>
        <color rgb="FF000000"/>
        <rFont val="Meiryo UI"/>
        <family val="2"/>
      </rPr>
      <t>中分類</t>
    </r>
  </si>
  <si>
    <r>
      <rPr>
        <b/>
        <sz val="11"/>
        <color rgb="FF000000"/>
        <rFont val="Meiryo UI"/>
        <family val="2"/>
      </rPr>
      <t>小分類</t>
    </r>
  </si>
  <si>
    <r>
      <rPr>
        <b/>
        <sz val="11"/>
        <color rgb="FF000000"/>
        <rFont val="Meiryo UI"/>
        <family val="2"/>
      </rPr>
      <t>取扱有無</t>
    </r>
  </si>
  <si>
    <r>
      <rPr>
        <b/>
        <sz val="11"/>
        <color rgb="FF000000"/>
        <rFont val="Meiryo UI"/>
        <family val="2"/>
      </rPr>
      <t>下位階層も同設定</t>
    </r>
  </si>
  <si>
    <t>-</t>
  </si>
  <si>
    <r>
      <rPr>
        <sz val="11"/>
        <color rgb="FF000000"/>
        <rFont val="Meiryo UI"/>
        <family val="2"/>
      </rPr>
      <t>・対象レコードの取扱有無のみを変更し、他のレコードの取扱有無を保持する。</t>
    </r>
  </si>
  <si>
    <r>
      <rPr>
        <b/>
        <sz val="11"/>
        <color rgb="FF000000"/>
        <rFont val="Meiryo UI"/>
        <family val="2"/>
      </rPr>
      <t>取扱有無と下位階層も同設定のボタン状態を変更する。</t>
    </r>
  </si>
  <si>
    <r>
      <rPr>
        <sz val="11"/>
        <color rgb="FF000000"/>
        <rFont val="Meiryo UI"/>
        <family val="2"/>
      </rPr>
      <t>・以下のように分類の取扱有無を設定する。 有、無</t>
    </r>
  </si>
  <si>
    <r>
      <rPr>
        <sz val="11"/>
        <color rgb="FF000000"/>
        <rFont val="Meiryo UI"/>
        <family val="2"/>
      </rPr>
      <t>+大分類のレコードで：</t>
    </r>
  </si>
  <si>
    <r>
      <rPr>
        <sz val="11"/>
        <color rgb="FF000000"/>
        <rFont val="Meiryo UI"/>
        <family val="2"/>
      </rPr>
      <t>・下位階層も同設定の黒四角の意味：</t>
    </r>
  </si>
  <si>
    <r>
      <rPr>
        <sz val="11"/>
        <color rgb="FF000000"/>
        <rFont val="Meiryo UI"/>
        <family val="2"/>
      </rPr>
      <t>・下位階層も同設定の白四角の意味：</t>
    </r>
  </si>
  <si>
    <r>
      <rPr>
        <sz val="11"/>
        <color rgb="FF000000"/>
        <rFont val="Meiryo UI"/>
        <family val="2"/>
      </rPr>
      <t>中分類の取扱有無が大分類に従う。</t>
    </r>
  </si>
  <si>
    <r>
      <rPr>
        <sz val="11"/>
        <color rgb="FF000000"/>
        <rFont val="Meiryo UI"/>
        <family val="2"/>
      </rPr>
      <t>中分類の取扱有無が大分類に従わない。</t>
    </r>
  </si>
  <si>
    <r>
      <rPr>
        <sz val="11"/>
        <color rgb="FF000000"/>
        <rFont val="Meiryo UI"/>
        <family val="2"/>
      </rPr>
      <t>・下位階層も同設定:</t>
    </r>
  </si>
  <si>
    <r>
      <rPr>
        <sz val="11"/>
        <color rgb="FF000000"/>
        <rFont val="Meiryo UI"/>
        <family val="2"/>
      </rPr>
      <t>中分類と小分類のレコードの取扱有無が大分類に従わない。</t>
    </r>
  </si>
  <si>
    <r>
      <rPr>
        <sz val="11"/>
        <color rgb="FF000000"/>
        <rFont val="Meiryo UI"/>
        <family val="2"/>
      </rPr>
      <t>中分類と小分類のレコードの取扱有無が大分類に従う。</t>
    </r>
  </si>
  <si>
    <r>
      <rPr>
        <sz val="11"/>
        <color rgb="FF000000"/>
        <rFont val="Meiryo UI"/>
        <family val="2"/>
      </rPr>
      <t>小分類のレコードの取扱有無が中分類に従う。</t>
    </r>
  </si>
  <si>
    <r>
      <rPr>
        <sz val="11"/>
        <color rgb="FF000000"/>
        <rFont val="Meiryo UI"/>
        <family val="2"/>
      </rPr>
      <t>小分類のレコードの取扱有無が中分類に従わない。</t>
    </r>
  </si>
  <si>
    <r>
      <rPr>
        <sz val="11"/>
        <color rgb="FF000000"/>
        <rFont val="Meiryo UI"/>
        <family val="2"/>
      </rPr>
      <t>・大分類の白四角ボタンをタッチする。</t>
    </r>
  </si>
  <si>
    <r>
      <rPr>
        <sz val="11"/>
        <color rgb="FF000000"/>
        <rFont val="Meiryo UI"/>
        <family val="2"/>
      </rPr>
      <t>+中分類と小分類の取扱有無は変更した大分類の取扱有無に従う。</t>
    </r>
  </si>
  <si>
    <r>
      <rPr>
        <sz val="11"/>
        <color rgb="FF000000"/>
        <rFont val="Meiryo UI"/>
        <family val="2"/>
      </rPr>
      <t>+大分類と中分類の下位階層も同設定には黒四角ボタンを表示する。</t>
    </r>
  </si>
  <si>
    <r>
      <rPr>
        <sz val="11"/>
        <color rgb="FF000000"/>
        <rFont val="Meiryo UI"/>
        <family val="2"/>
      </rPr>
      <t>・変更した中分類の取扱有無を表示し、変更したレコードの中分類と大分類の四角ボタンを黒から白に変更する。</t>
    </r>
  </si>
  <si>
    <r>
      <rPr>
        <sz val="11"/>
        <color rgb="FF000000"/>
        <rFont val="Meiryo UI"/>
        <family val="2"/>
      </rPr>
      <t>・中分類の黒四角ボタンをタッチする。</t>
    </r>
  </si>
  <si>
    <r>
      <rPr>
        <sz val="11"/>
        <color rgb="FF000000"/>
        <rFont val="Meiryo UI"/>
        <family val="2"/>
      </rPr>
      <t>+小分類の取扱有無は変更した中分類の取扱有無に従う。</t>
    </r>
  </si>
  <si>
    <r>
      <rPr>
        <sz val="11"/>
        <color rgb="FF000000"/>
        <rFont val="Meiryo UI"/>
        <family val="2"/>
      </rPr>
      <t>+中分類の下位階層も同設定には黒四角ボタンを表示し、大分類の下位階層も同設定には白い四角ボタンを表示する。</t>
    </r>
  </si>
  <si>
    <r>
      <rPr>
        <sz val="11"/>
        <color rgb="FF000000"/>
        <rFont val="Meiryo UI"/>
        <family val="2"/>
      </rPr>
      <t>・変更した中分類に属する小分類のレコード、他の中分類と小分類のレコードは状態を保持する。</t>
    </r>
  </si>
  <si>
    <r>
      <rPr>
        <sz val="11"/>
        <color rgb="FF000000"/>
        <rFont val="Meiryo UI"/>
        <family val="2"/>
      </rPr>
      <t>・中分類の下位階層も同設定：四角ボタンを黒から白に変更する。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</si>
  <si>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</si>
  <si>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</si>
  <si>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</si>
  <si>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</si>
  <si>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</si>
  <si>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</si>
  <si>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</si>
  <si>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</si>
  <si>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</si>
  <si>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</si>
  <si>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</si>
  <si>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</si>
  <si>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</si>
  <si>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</si>
  <si>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</si>
  <si>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</si>
  <si>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2024年5月23日のコメントによる更新</t>
  </si>
  <si>
    <t>2024年06月04日のフロー25のコメントによる更新</t>
  </si>
  <si>
    <t>・以下のように分類の医薬品有無を設定する。 有、無</t>
  </si>
  <si>
    <t>12_単品速報/日報</t>
  </si>
  <si>
    <t>編集後のレイアウト</t>
  </si>
  <si>
    <t>古いレイアウト</t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</si>
  <si>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</si>
  <si>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</si>
  <si>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</si>
  <si>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</si>
  <si>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</si>
  <si>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</si>
  <si>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</si>
  <si>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</si>
  <si>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</si>
  <si>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</si>
  <si>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</si>
  <si>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</si>
  <si>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</si>
  <si>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</si>
  <si>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</si>
  <si>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</si>
  <si>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</si>
  <si>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</si>
  <si>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</si>
  <si>
    <t>取扱有無と下位階層も同設定の詳細説明</t>
  </si>
  <si>
    <r>
      <rPr>
        <sz val="11"/>
        <color rgb="FF000000"/>
        <rFont val="Meiryo UI"/>
        <family val="2"/>
      </rPr>
      <t xml:space="preserve">+中分類のレコードで: </t>
    </r>
  </si>
  <si>
    <t>Big-1</t>
  </si>
  <si>
    <t>有</t>
  </si>
  <si>
    <t>Medium-1</t>
  </si>
  <si>
    <t>Small-1</t>
  </si>
  <si>
    <t>Small-2</t>
  </si>
  <si>
    <t>Small-3</t>
  </si>
  <si>
    <t>Medium-2</t>
  </si>
  <si>
    <t>Small-4</t>
  </si>
  <si>
    <t>Small-5</t>
  </si>
  <si>
    <t>Small-6</t>
  </si>
  <si>
    <r>
      <rPr>
        <sz val="11"/>
        <color rgb="FF000000"/>
        <rFont val="Meiryo UI"/>
        <family val="2"/>
      </rPr>
      <t>2. 大分類の取扱有無を変更した場合</t>
    </r>
  </si>
  <si>
    <r>
      <rPr>
        <sz val="11"/>
        <color rgb="FF000000"/>
        <rFont val="Meiryo UI"/>
        <family val="2"/>
      </rPr>
      <t>・変更した大分類の取扱有無を表示し、四角ボタンを黒から白に変更する。中分類と小分類のレコードの状態を保持する。</t>
    </r>
  </si>
  <si>
    <t>無</t>
  </si>
  <si>
    <r>
      <rPr>
        <sz val="11"/>
        <color rgb="FF000000"/>
        <rFont val="Meiryo UI"/>
        <family val="2"/>
      </rPr>
      <t>3. 中分類の取扱有無を変更する。</t>
    </r>
  </si>
  <si>
    <r>
      <rPr>
        <sz val="11"/>
        <color rgb="FF000000"/>
        <rFont val="Meiryo UI"/>
        <family val="2"/>
      </rPr>
      <t>4. 中分類の取扱有無を変更する。</t>
    </r>
  </si>
  <si>
    <t>1. 取扱有無の表示を以下のように更新する： 有:●、無: 〇
2. MD2501_商品部門編集モダールを削除する。
3. 小分類レコード：「下位階層も同設定」に設定ボタンも表示する。</t>
  </si>
  <si>
    <t>シート：機能概要、取扱有無と下位階層も同設定の詳細</t>
  </si>
  <si>
    <r>
      <rPr>
        <sz val="11"/>
        <color rgb="FF000000"/>
        <rFont val="Meiryo UI"/>
        <family val="2"/>
      </rPr>
      <t>・取扱有無は</t>
    </r>
    <r>
      <rPr>
        <strike/>
        <sz val="11"/>
        <color rgb="FF0000FF"/>
        <rFont val="Meiryo UI"/>
        <family val="2"/>
      </rPr>
      <t>取扱設定マスタ編集モダールを使用して</t>
    </r>
    <r>
      <rPr>
        <sz val="11"/>
        <color rgb="FF0000FF"/>
        <rFont val="Meiryo UI"/>
        <family val="2"/>
      </rPr>
      <t>　各レコードの「下位階層も同設定」項目にある四角ボタンをタッチすることで変更可能変更可能。</t>
    </r>
  </si>
  <si>
    <r>
      <rPr>
        <sz val="11"/>
        <color rgb="FF000000"/>
        <rFont val="Meiryo UI"/>
        <family val="2"/>
      </rPr>
      <t>+大分類、中分類、</t>
    </r>
    <r>
      <rPr>
        <sz val="11"/>
        <color rgb="FF0000FF"/>
        <rFont val="Meiryo UI"/>
        <family val="2"/>
      </rPr>
      <t>と小分類</t>
    </r>
    <r>
      <rPr>
        <sz val="11"/>
        <color rgb="FF000000"/>
        <rFont val="Meiryo UI"/>
        <family val="2"/>
      </rPr>
      <t>のレコードに白四角ボタン又は黒四角ボタンを表示する。</t>
    </r>
  </si>
  <si>
    <t>+小分類のレコードに「-」を表示する。</t>
  </si>
  <si>
    <t>+小分類のレコードで：</t>
  </si>
  <si>
    <t>小分類のレコードの取扱有無が中分類に従う。</t>
  </si>
  <si>
    <t>小分類のレコードの取扱有無が中分類に従わない。</t>
  </si>
  <si>
    <t>1. 大分類の取扱有無を設定する。</t>
  </si>
  <si>
    <t>・設定した大分類の取扱有無を表示し、下位階層も同設定には白い四角ボタンを表示する。</t>
  </si>
  <si>
    <t>・白い四角ボタンをタッチする。</t>
  </si>
  <si>
    <t>+上記の大分類に属している中分類と小分類の全てレコードの取扱有無は大分類の取扱有無に従う。</t>
  </si>
  <si>
    <t>+全て中分類のレコードの位階層も同設定には黒い四角ボタンを表示し、小分類レコードの位階層も同設定には「-」を表示する。</t>
  </si>
  <si>
    <t>大分類</t>
  </si>
  <si>
    <t>中分類</t>
  </si>
  <si>
    <t>小分類</t>
  </si>
  <si>
    <t>取扱有無</t>
  </si>
  <si>
    <t>下位階層も同設定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</si>
</sst>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b/>
      <sz val="11"/>
      <name val="Meiryo UI"/>
      <family val="2"/>
    </font>
    <font>
      <sz val="11"/>
      <color rgb="FF00B050"/>
      <name val="Meiryo UI"/>
      <family val="2"/>
    </font>
    <font>
      <sz val="11"/>
      <color rgb="FF0070C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  <font>
      <b/>
      <strike/>
      <sz val="11"/>
      <color rgb="FF0000FF"/>
      <name val="Meiryo UI"/>
      <family val="2"/>
    </font>
    <font>
      <b/>
      <sz val="11"/>
      <color theme="1"/>
      <name val="Meiryo UI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5117038483843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3" fillId="0" borderId="0">
      <alignment vertical="center"/>
    </xf>
  </cellStyleXfs>
  <cellXfs count="376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9" fillId="0" borderId="19" xfId="0" applyFont="1" applyBorder="1"/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0" xfId="0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8" fillId="0" borderId="0" xfId="7" applyFont="1">
      <alignment vertical="center"/>
    </xf>
    <xf numFmtId="0" fontId="18" fillId="0" borderId="0" xfId="0" quotePrefix="1" applyFont="1"/>
    <xf numFmtId="0" fontId="18" fillId="0" borderId="1" xfId="7" applyFont="1" applyBorder="1">
      <alignment vertical="center"/>
    </xf>
    <xf numFmtId="0" fontId="18" fillId="0" borderId="4" xfId="7" applyFont="1" applyBorder="1">
      <alignment vertical="center"/>
    </xf>
    <xf numFmtId="0" fontId="18" fillId="0" borderId="2" xfId="7" applyFont="1" applyBorder="1">
      <alignment vertical="center"/>
    </xf>
    <xf numFmtId="0" fontId="18" fillId="0" borderId="3" xfId="7" applyFont="1" applyBorder="1">
      <alignment vertical="center"/>
    </xf>
    <xf numFmtId="0" fontId="18" fillId="0" borderId="5" xfId="7" applyFont="1" applyBorder="1">
      <alignment vertical="center"/>
    </xf>
    <xf numFmtId="0" fontId="15" fillId="2" borderId="0" xfId="0" applyFont="1" applyFill="1" applyAlignment="1">
      <alignment vertical="center"/>
    </xf>
    <xf numFmtId="0" fontId="14" fillId="2" borderId="16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17" xfId="0" applyFont="1" applyFill="1" applyBorder="1" applyAlignment="1">
      <alignment vertical="center"/>
    </xf>
    <xf numFmtId="0" fontId="18" fillId="0" borderId="18" xfId="0" applyFont="1" applyBorder="1"/>
    <xf numFmtId="0" fontId="18" fillId="0" borderId="19" xfId="7" applyFont="1" applyBorder="1">
      <alignment vertical="center"/>
    </xf>
    <xf numFmtId="0" fontId="18" fillId="0" borderId="19" xfId="0" applyFont="1" applyBorder="1"/>
    <xf numFmtId="0" fontId="18" fillId="0" borderId="18" xfId="7" applyFont="1" applyBorder="1">
      <alignment vertical="center"/>
    </xf>
    <xf numFmtId="0" fontId="21" fillId="0" borderId="0" xfId="7" applyFont="1">
      <alignment vertical="center"/>
    </xf>
    <xf numFmtId="0" fontId="18" fillId="0" borderId="20" xfId="7" applyFont="1" applyBorder="1">
      <alignment vertical="center"/>
    </xf>
    <xf numFmtId="0" fontId="18" fillId="0" borderId="21" xfId="7" applyFont="1" applyBorder="1">
      <alignment vertical="center"/>
    </xf>
    <xf numFmtId="0" fontId="18" fillId="0" borderId="0" xfId="6" applyFont="1" applyAlignment="1">
      <alignment vertical="center"/>
    </xf>
    <xf numFmtId="0" fontId="21" fillId="0" borderId="27" xfId="0" applyFont="1" applyBorder="1" applyAlignment="1">
      <alignment vertical="center"/>
    </xf>
    <xf numFmtId="0" fontId="21" fillId="3" borderId="27" xfId="0" applyFont="1" applyFill="1" applyBorder="1" applyAlignment="1">
      <alignment vertical="center"/>
    </xf>
    <xf numFmtId="0" fontId="18" fillId="3" borderId="27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27" xfId="0" applyFont="1" applyBorder="1" applyAlignment="1">
      <alignment vertical="center"/>
    </xf>
    <xf numFmtId="0" fontId="18" fillId="0" borderId="20" xfId="0" applyFont="1" applyBorder="1"/>
    <xf numFmtId="0" fontId="18" fillId="0" borderId="21" xfId="0" applyFont="1" applyBorder="1"/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2" fontId="18" fillId="0" borderId="32" xfId="0" applyNumberFormat="1" applyFont="1" applyBorder="1" applyAlignment="1">
      <alignment horizontal="center" vertical="center"/>
    </xf>
    <xf numFmtId="2" fontId="18" fillId="0" borderId="33" xfId="0" applyNumberFormat="1" applyFont="1" applyBorder="1" applyAlignment="1">
      <alignment horizontal="center" vertical="center"/>
    </xf>
    <xf numFmtId="2" fontId="18" fillId="0" borderId="34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14" fontId="18" fillId="0" borderId="33" xfId="0" applyNumberFormat="1" applyFont="1" applyBorder="1" applyAlignment="1">
      <alignment horizontal="center" vertical="center"/>
    </xf>
    <xf numFmtId="14" fontId="18" fillId="0" borderId="34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21" fillId="0" borderId="33" xfId="0" applyFont="1" applyBorder="1"/>
    <xf numFmtId="0" fontId="21" fillId="0" borderId="34" xfId="0" applyFont="1" applyBorder="1"/>
    <xf numFmtId="0" fontId="21" fillId="0" borderId="3" xfId="0" applyFont="1" applyBorder="1"/>
    <xf numFmtId="0" fontId="21" fillId="0" borderId="5" xfId="0" applyFont="1" applyBorder="1"/>
    <xf numFmtId="0" fontId="18" fillId="0" borderId="32" xfId="0" applyFont="1" applyBorder="1"/>
    <xf numFmtId="0" fontId="18" fillId="0" borderId="33" xfId="0" applyFont="1" applyBorder="1"/>
    <xf numFmtId="0" fontId="18" fillId="0" borderId="34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37" xfId="0" applyFont="1" applyBorder="1"/>
    <xf numFmtId="0" fontId="18" fillId="0" borderId="38" xfId="0" applyFont="1" applyBorder="1"/>
    <xf numFmtId="0" fontId="18" fillId="0" borderId="39" xfId="0" applyFont="1" applyBorder="1"/>
    <xf numFmtId="0" fontId="18" fillId="0" borderId="35" xfId="0" applyFont="1" applyBorder="1"/>
    <xf numFmtId="0" fontId="18" fillId="0" borderId="36" xfId="0" applyFont="1" applyBorder="1"/>
    <xf numFmtId="0" fontId="18" fillId="0" borderId="22" xfId="0" applyFont="1" applyBorder="1"/>
    <xf numFmtId="0" fontId="14" fillId="2" borderId="0" xfId="0" applyFont="1" applyFill="1"/>
    <xf numFmtId="0" fontId="11" fillId="0" borderId="33" xfId="0" applyFont="1" applyBorder="1"/>
    <xf numFmtId="0" fontId="11" fillId="0" borderId="34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32" xfId="0" applyFont="1" applyBorder="1"/>
    <xf numFmtId="0" fontId="11" fillId="0" borderId="2" xfId="0" applyFont="1" applyBorder="1"/>
    <xf numFmtId="0" fontId="21" fillId="0" borderId="32" xfId="0" applyFont="1" applyBorder="1"/>
    <xf numFmtId="0" fontId="21" fillId="0" borderId="2" xfId="0" applyFont="1" applyBorder="1"/>
    <xf numFmtId="0" fontId="10" fillId="0" borderId="33" xfId="0" applyFont="1" applyBorder="1"/>
    <xf numFmtId="0" fontId="10" fillId="0" borderId="3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32" xfId="0" applyFont="1" applyBorder="1"/>
    <xf numFmtId="0" fontId="10" fillId="0" borderId="2" xfId="0" applyFont="1" applyBorder="1"/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39" xfId="6" applyFont="1" applyBorder="1" applyAlignment="1">
      <alignment horizontal="left" vertical="center"/>
    </xf>
    <xf numFmtId="0" fontId="18" fillId="0" borderId="37" xfId="6" applyFont="1" applyBorder="1" applyAlignment="1">
      <alignment vertical="center"/>
    </xf>
    <xf numFmtId="0" fontId="18" fillId="0" borderId="38" xfId="6" applyFont="1" applyBorder="1" applyAlignment="1">
      <alignment vertical="center"/>
    </xf>
    <xf numFmtId="0" fontId="18" fillId="0" borderId="39" xfId="6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9" xfId="6" quotePrefix="1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6" fillId="0" borderId="39" xfId="6" applyFont="1" applyBorder="1" applyAlignment="1">
      <alignment vertical="center"/>
    </xf>
    <xf numFmtId="0" fontId="7" fillId="0" borderId="37" xfId="6" quotePrefix="1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7" fillId="0" borderId="39" xfId="6" applyFont="1" applyBorder="1" applyAlignment="1">
      <alignment horizontal="center" vertical="center"/>
    </xf>
    <xf numFmtId="0" fontId="6" fillId="0" borderId="40" xfId="6" quotePrefix="1" applyFont="1" applyBorder="1" applyAlignment="1">
      <alignment horizontal="center" vertical="center"/>
    </xf>
    <xf numFmtId="0" fontId="6" fillId="0" borderId="41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40" xfId="6" applyFont="1" applyBorder="1" applyAlignment="1">
      <alignment horizontal="left" vertical="center"/>
    </xf>
    <xf numFmtId="0" fontId="6" fillId="0" borderId="41" xfId="6" applyFont="1" applyBorder="1" applyAlignment="1">
      <alignment horizontal="left" vertical="center"/>
    </xf>
    <xf numFmtId="0" fontId="6" fillId="0" borderId="42" xfId="6" applyFont="1" applyBorder="1" applyAlignment="1">
      <alignment horizontal="left" vertical="center"/>
    </xf>
    <xf numFmtId="0" fontId="18" fillId="0" borderId="40" xfId="6" applyFont="1" applyBorder="1" applyAlignment="1">
      <alignment vertical="center"/>
    </xf>
    <xf numFmtId="0" fontId="18" fillId="0" borderId="41" xfId="6" applyFont="1" applyBorder="1" applyAlignment="1">
      <alignment vertical="center"/>
    </xf>
    <xf numFmtId="0" fontId="18" fillId="0" borderId="42" xfId="6" applyFont="1" applyBorder="1" applyAlignment="1">
      <alignment vertical="center"/>
    </xf>
    <xf numFmtId="0" fontId="18" fillId="0" borderId="43" xfId="6" applyFont="1" applyBorder="1" applyAlignment="1">
      <alignment vertical="center"/>
    </xf>
    <xf numFmtId="0" fontId="18" fillId="0" borderId="44" xfId="6" applyFont="1" applyBorder="1" applyAlignment="1">
      <alignment vertical="center"/>
    </xf>
    <xf numFmtId="0" fontId="18" fillId="0" borderId="45" xfId="6" applyFont="1" applyBorder="1" applyAlignment="1">
      <alignment vertical="center"/>
    </xf>
    <xf numFmtId="0" fontId="6" fillId="0" borderId="40" xfId="6" quotePrefix="1" applyFont="1" applyBorder="1" applyAlignment="1">
      <alignment vertical="center" wrapText="1"/>
    </xf>
    <xf numFmtId="0" fontId="6" fillId="0" borderId="41" xfId="6" quotePrefix="1" applyFont="1" applyBorder="1" applyAlignment="1">
      <alignment vertical="center" wrapText="1"/>
    </xf>
    <xf numFmtId="0" fontId="6" fillId="0" borderId="42" xfId="6" quotePrefix="1" applyFont="1" applyBorder="1" applyAlignment="1">
      <alignment vertical="center" wrapText="1"/>
    </xf>
    <xf numFmtId="0" fontId="6" fillId="0" borderId="40" xfId="6" applyFont="1" applyBorder="1" applyAlignment="1">
      <alignment vertical="center"/>
    </xf>
    <xf numFmtId="0" fontId="6" fillId="0" borderId="41" xfId="6" applyFont="1" applyBorder="1" applyAlignment="1">
      <alignment vertical="center"/>
    </xf>
    <xf numFmtId="0" fontId="6" fillId="0" borderId="42" xfId="6" applyFont="1" applyBorder="1" applyAlignment="1">
      <alignment vertical="center"/>
    </xf>
    <xf numFmtId="0" fontId="18" fillId="0" borderId="43" xfId="6" quotePrefix="1" applyFont="1" applyBorder="1" applyAlignment="1">
      <alignment vertical="center"/>
    </xf>
    <xf numFmtId="0" fontId="18" fillId="0" borderId="44" xfId="6" quotePrefix="1" applyFont="1" applyBorder="1" applyAlignment="1">
      <alignment vertical="center"/>
    </xf>
    <xf numFmtId="0" fontId="18" fillId="0" borderId="45" xfId="6" quotePrefix="1" applyFont="1" applyBorder="1" applyAlignment="1">
      <alignment vertical="center"/>
    </xf>
    <xf numFmtId="0" fontId="7" fillId="0" borderId="40" xfId="6" quotePrefix="1" applyFont="1" applyBorder="1" applyAlignment="1">
      <alignment horizontal="center" vertical="center" wrapText="1"/>
    </xf>
    <xf numFmtId="0" fontId="7" fillId="0" borderId="41" xfId="6" applyFont="1" applyBorder="1" applyAlignment="1">
      <alignment horizontal="center" vertical="center" wrapText="1"/>
    </xf>
    <xf numFmtId="0" fontId="7" fillId="0" borderId="42" xfId="6" applyFont="1" applyBorder="1" applyAlignment="1">
      <alignment horizontal="center" vertical="center" wrapText="1"/>
    </xf>
    <xf numFmtId="0" fontId="8" fillId="0" borderId="40" xfId="6" applyFont="1" applyBorder="1" applyAlignment="1">
      <alignment vertical="center" wrapText="1"/>
    </xf>
    <xf numFmtId="0" fontId="7" fillId="0" borderId="40" xfId="6" quotePrefix="1" applyFont="1" applyBorder="1" applyAlignment="1">
      <alignment horizontal="center" vertical="center"/>
    </xf>
    <xf numFmtId="0" fontId="7" fillId="0" borderId="41" xfId="6" applyFont="1" applyBorder="1" applyAlignment="1">
      <alignment horizontal="center" vertical="center"/>
    </xf>
    <xf numFmtId="0" fontId="7" fillId="0" borderId="42" xfId="6" applyFont="1" applyBorder="1" applyAlignment="1">
      <alignment horizontal="center" vertical="center"/>
    </xf>
    <xf numFmtId="0" fontId="7" fillId="0" borderId="40" xfId="6" applyFont="1" applyBorder="1" applyAlignment="1">
      <alignment horizontal="center" vertical="center"/>
    </xf>
    <xf numFmtId="0" fontId="6" fillId="0" borderId="40" xfId="6" quotePrefix="1" applyFont="1" applyBorder="1" applyAlignment="1">
      <alignment vertical="center"/>
    </xf>
    <xf numFmtId="0" fontId="6" fillId="0" borderId="41" xfId="6" quotePrefix="1" applyFont="1" applyBorder="1" applyAlignment="1">
      <alignment vertical="center"/>
    </xf>
    <xf numFmtId="0" fontId="6" fillId="0" borderId="42" xfId="6" quotePrefix="1" applyFont="1" applyBorder="1" applyAlignment="1">
      <alignment vertical="center"/>
    </xf>
    <xf numFmtId="0" fontId="6" fillId="0" borderId="35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7" fillId="4" borderId="29" xfId="6" applyFont="1" applyFill="1" applyBorder="1" applyAlignment="1">
      <alignment vertical="center"/>
    </xf>
    <xf numFmtId="0" fontId="6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7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7" fillId="6" borderId="32" xfId="6" applyFont="1" applyFill="1" applyBorder="1" applyAlignment="1">
      <alignment vertical="center"/>
    </xf>
    <xf numFmtId="0" fontId="6" fillId="6" borderId="33" xfId="6" applyFont="1" applyFill="1" applyBorder="1" applyAlignment="1">
      <alignment vertical="center"/>
    </xf>
    <xf numFmtId="0" fontId="6" fillId="6" borderId="34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4" borderId="29" xfId="6" applyFont="1" applyFill="1" applyBorder="1"/>
    <xf numFmtId="0" fontId="7" fillId="4" borderId="30" xfId="6" applyFont="1" applyFill="1" applyBorder="1"/>
    <xf numFmtId="0" fontId="7" fillId="4" borderId="31" xfId="6" applyFont="1" applyFill="1" applyBorder="1"/>
    <xf numFmtId="0" fontId="7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6" fillId="4" borderId="34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46" xfId="6" applyFont="1" applyFill="1" applyBorder="1" applyAlignment="1">
      <alignment vertical="center" wrapText="1"/>
    </xf>
    <xf numFmtId="0" fontId="7" fillId="5" borderId="47" xfId="6" applyFont="1" applyFill="1" applyBorder="1" applyAlignment="1">
      <alignment vertical="center" wrapText="1"/>
    </xf>
    <xf numFmtId="0" fontId="7" fillId="5" borderId="34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18" fillId="0" borderId="35" xfId="6" applyFont="1" applyBorder="1" applyAlignment="1">
      <alignment vertical="center" wrapText="1"/>
    </xf>
    <xf numFmtId="0" fontId="18" fillId="0" borderId="36" xfId="6" applyFont="1" applyBorder="1" applyAlignment="1">
      <alignment vertical="center" wrapText="1"/>
    </xf>
    <xf numFmtId="0" fontId="18" fillId="0" borderId="22" xfId="6" applyFont="1" applyBorder="1" applyAlignment="1">
      <alignment vertical="center" wrapText="1"/>
    </xf>
    <xf numFmtId="0" fontId="14" fillId="2" borderId="29" xfId="6" applyFont="1" applyFill="1" applyBorder="1" applyAlignment="1">
      <alignment horizontal="center" vertical="center"/>
    </xf>
    <xf numFmtId="0" fontId="14" fillId="2" borderId="30" xfId="6" applyFont="1" applyFill="1" applyBorder="1" applyAlignment="1">
      <alignment horizontal="center" vertical="center"/>
    </xf>
    <xf numFmtId="0" fontId="14" fillId="2" borderId="31" xfId="6" applyFont="1" applyFill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7" borderId="32" xfId="6" applyFont="1" applyFill="1" applyBorder="1" applyAlignment="1">
      <alignment vertical="center" wrapText="1"/>
    </xf>
    <xf numFmtId="0" fontId="6" fillId="7" borderId="34" xfId="6" applyFont="1" applyFill="1" applyBorder="1" applyAlignment="1">
      <alignment vertical="center"/>
    </xf>
    <xf numFmtId="0" fontId="6" fillId="7" borderId="1" xfId="6" applyFont="1" applyFill="1" applyBorder="1" applyAlignment="1">
      <alignment vertical="center"/>
    </xf>
    <xf numFmtId="0" fontId="6" fillId="7" borderId="4" xfId="6" applyFont="1" applyFill="1" applyBorder="1" applyAlignment="1">
      <alignment vertical="center"/>
    </xf>
    <xf numFmtId="0" fontId="6" fillId="7" borderId="2" xfId="6" applyFont="1" applyFill="1" applyBorder="1" applyAlignment="1">
      <alignment vertical="center"/>
    </xf>
    <xf numFmtId="0" fontId="6" fillId="7" borderId="5" xfId="6" applyFont="1" applyFill="1" applyBorder="1" applyAlignment="1">
      <alignment vertical="center"/>
    </xf>
    <xf numFmtId="0" fontId="7" fillId="7" borderId="32" xfId="6" applyFont="1" applyFill="1" applyBorder="1" applyAlignment="1">
      <alignment vertical="center"/>
    </xf>
    <xf numFmtId="0" fontId="6" fillId="7" borderId="33" xfId="6" applyFont="1" applyFill="1" applyBorder="1" applyAlignment="1">
      <alignment vertical="center"/>
    </xf>
    <xf numFmtId="0" fontId="6" fillId="7" borderId="0" xfId="6" applyFont="1" applyFill="1" applyAlignment="1">
      <alignment vertical="center"/>
    </xf>
    <xf numFmtId="0" fontId="6" fillId="7" borderId="3" xfId="6" applyFont="1" applyFill="1" applyBorder="1" applyAlignment="1">
      <alignment vertical="center"/>
    </xf>
    <xf numFmtId="0" fontId="6" fillId="7" borderId="46" xfId="6" applyFont="1" applyFill="1" applyBorder="1" applyAlignment="1">
      <alignment vertical="center" shrinkToFit="1"/>
    </xf>
    <xf numFmtId="0" fontId="6" fillId="7" borderId="48" xfId="6" applyFont="1" applyFill="1" applyBorder="1" applyAlignment="1">
      <alignment vertical="center" shrinkToFit="1"/>
    </xf>
    <xf numFmtId="0" fontId="6" fillId="7" borderId="47" xfId="6" applyFont="1" applyFill="1" applyBorder="1" applyAlignment="1">
      <alignment vertical="center" shrinkToFit="1"/>
    </xf>
    <xf numFmtId="0" fontId="7" fillId="7" borderId="46" xfId="6" applyFont="1" applyFill="1" applyBorder="1" applyAlignment="1">
      <alignment vertical="center" wrapText="1"/>
    </xf>
    <xf numFmtId="0" fontId="7" fillId="7" borderId="48" xfId="6" applyFont="1" applyFill="1" applyBorder="1" applyAlignment="1">
      <alignment vertical="center" wrapText="1"/>
    </xf>
    <xf numFmtId="0" fontId="7" fillId="7" borderId="47" xfId="6" applyFont="1" applyFill="1" applyBorder="1" applyAlignment="1">
      <alignment vertical="center" wrapText="1"/>
    </xf>
    <xf numFmtId="0" fontId="6" fillId="5" borderId="49" xfId="6" applyFont="1" applyFill="1" applyBorder="1" applyAlignment="1">
      <alignment vertical="center"/>
    </xf>
    <xf numFmtId="0" fontId="7" fillId="5" borderId="50" xfId="6" applyFont="1" applyFill="1" applyBorder="1" applyAlignment="1">
      <alignment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6" fillId="0" borderId="32" xfId="6" applyFont="1" applyBorder="1" applyAlignment="1">
      <alignment horizontal="center" vertical="center"/>
    </xf>
    <xf numFmtId="0" fontId="16" fillId="0" borderId="33" xfId="6" applyFont="1" applyBorder="1" applyAlignment="1">
      <alignment horizontal="center" vertical="center"/>
    </xf>
    <xf numFmtId="0" fontId="16" fillId="0" borderId="34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9" fillId="8" borderId="51" xfId="0" applyFont="1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9" fillId="8" borderId="46" xfId="0" applyFont="1" applyFill="1" applyBorder="1" applyAlignment="1">
      <alignment horizontal="center" vertical="center"/>
    </xf>
    <xf numFmtId="14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22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7" xfId="0" applyFont="1" applyBorder="1"/>
    <xf numFmtId="0" fontId="6" fillId="0" borderId="38" xfId="0" applyFont="1" applyBorder="1"/>
    <xf numFmtId="0" fontId="6" fillId="0" borderId="39" xfId="0" applyFont="1" applyBorder="1"/>
    <xf numFmtId="14" fontId="22" fillId="0" borderId="32" xfId="0" applyNumberFormat="1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5" xfId="0" applyFont="1" applyBorder="1" applyAlignment="1">
      <alignment wrapText="1"/>
    </xf>
    <xf numFmtId="0" fontId="22" fillId="0" borderId="36" xfId="0" applyFont="1" applyBorder="1"/>
    <xf numFmtId="0" fontId="22" fillId="0" borderId="22" xfId="0" applyFont="1" applyBorder="1"/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7" xfId="0" applyFont="1" applyBorder="1" applyAlignment="1">
      <alignment wrapText="1"/>
    </xf>
    <xf numFmtId="0" fontId="22" fillId="0" borderId="38" xfId="0" applyFont="1" applyBorder="1"/>
    <xf numFmtId="0" fontId="22" fillId="0" borderId="39" xfId="0" applyFont="1" applyBorder="1"/>
    <xf numFmtId="0" fontId="6" fillId="0" borderId="0" xfId="0" applyFont="1"/>
    <xf numFmtId="0" fontId="6" fillId="0" borderId="0" xfId="0" quotePrefix="1" applyFont="1"/>
    <xf numFmtId="0" fontId="6" fillId="0" borderId="0" xfId="7" applyFont="1">
      <alignment vertical="center"/>
    </xf>
    <xf numFmtId="0" fontId="22" fillId="0" borderId="0" xfId="7" applyFont="1">
      <alignment vertical="center"/>
    </xf>
    <xf numFmtId="0" fontId="22" fillId="0" borderId="0" xfId="0" quotePrefix="1" applyFont="1"/>
    <xf numFmtId="0" fontId="22" fillId="0" borderId="0" xfId="0" applyFont="1"/>
    <xf numFmtId="0" fontId="23" fillId="0" borderId="0" xfId="0" quotePrefix="1" applyFont="1"/>
    <xf numFmtId="0" fontId="23" fillId="0" borderId="0" xfId="0" applyFont="1"/>
    <xf numFmtId="0" fontId="22" fillId="0" borderId="1" xfId="0" applyFont="1" applyBorder="1"/>
    <xf numFmtId="0" fontId="22" fillId="0" borderId="18" xfId="0" applyFont="1" applyBorder="1"/>
    <xf numFmtId="0" fontId="22" fillId="0" borderId="19" xfId="0" applyFont="1" applyBorder="1"/>
    <xf numFmtId="0" fontId="23" fillId="0" borderId="18" xfId="0" applyFont="1" applyBorder="1"/>
    <xf numFmtId="0" fontId="24" fillId="8" borderId="51" xfId="0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1" xfId="0" applyFont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vertical="center"/>
    </xf>
    <xf numFmtId="0" fontId="23" fillId="3" borderId="28" xfId="0" applyFont="1" applyFill="1" applyBorder="1" applyAlignment="1">
      <alignment vertical="center"/>
    </xf>
    <xf numFmtId="0" fontId="6" fillId="0" borderId="5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3" borderId="27" xfId="0" applyFont="1" applyFill="1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18" xfId="0" applyFont="1" applyBorder="1"/>
    <xf numFmtId="0" fontId="25" fillId="8" borderId="5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107</xdr:row>
      <xdr:rowOff>0</xdr:rowOff>
    </xdr:from>
    <xdr:to>
      <xdr:col>61</xdr:col>
      <xdr:colOff>0</xdr:colOff>
      <xdr:row>112</xdr:row>
      <xdr:rowOff>0</xdr:rowOff>
    </xdr:to>
    <xdr:sp macro="" textlink="" fLocksText="0">
      <xdr:nvSpPr>
        <xdr:cNvPr id="175" name="吹き出し: 線 2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10134600" y="20497800"/>
          <a:ext cx="6134100" cy="952500"/>
        </a:xfrm>
        <a:prstGeom prst="borderCallout1">
          <a:avLst>
            <a:gd name="adj1" fmla="val 39975"/>
            <a:gd name="adj2" fmla="val 470"/>
            <a:gd name="adj3" fmla="val 40335"/>
            <a:gd name="adj4" fmla="val -7402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取扱有無、医薬品有無を更新し、分類の下位階層も同設定を設定し、複数の分類更新が可能。変更がない場合、「更新データがありません。」通知モダールを表示する。</a:t>
          </a:r>
          <a:endParaRPr lang="en-US" altLang="ja-JP" sz="1000" b="0" i="0" u="none" baseline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15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 取扱設定マスタ設定(Welcia)</a:t>
          </a:r>
        </a:p>
      </xdr:txBody>
    </xdr:sp>
    <xdr:clientData/>
  </xdr:twoCellAnchor>
  <xdr:twoCellAnchor>
    <xdr:from>
      <xdr:col>1</xdr:col>
      <xdr:colOff>217715</xdr:colOff>
      <xdr:row>18</xdr:row>
      <xdr:rowOff>0</xdr:rowOff>
    </xdr:from>
    <xdr:to>
      <xdr:col>8</xdr:col>
      <xdr:colOff>15572</xdr:colOff>
      <xdr:row>22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5433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取扱設定マスタ設定(Welcia)画面 </a:t>
          </a:r>
        </a:p>
      </xdr:txBody>
    </xdr:sp>
    <xdr:clientData/>
  </xdr:twoCellAnchor>
  <xdr:twoCellAnchor>
    <xdr:from>
      <xdr:col>4</xdr:col>
      <xdr:colOff>239108</xdr:colOff>
      <xdr:row>15</xdr:row>
      <xdr:rowOff>0</xdr:rowOff>
    </xdr:from>
    <xdr:to>
      <xdr:col>4</xdr:col>
      <xdr:colOff>239108</xdr:colOff>
      <xdr:row>18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36</xdr:row>
      <xdr:rowOff>1</xdr:rowOff>
    </xdr:from>
    <xdr:to>
      <xdr:col>61</xdr:col>
      <xdr:colOff>0</xdr:colOff>
      <xdr:row>40</xdr:row>
      <xdr:rowOff>1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6972300"/>
          <a:ext cx="6134100" cy="762000"/>
        </a:xfrm>
        <a:prstGeom prst="borderCallout1">
          <a:avLst>
            <a:gd name="adj1" fmla="val 50269"/>
            <a:gd name="adj2" fmla="val -151"/>
            <a:gd name="adj3" fmla="val 50217"/>
            <a:gd name="adj4" fmla="val -13920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・決定ボタン：MD0101_店舗一覧モダールでユーザーが選択したstoreIdを使用して店舗連携情報確認機能を実行する。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・取消ボタン：モーダルを閉じて、SCX101_メインメニュー画面に戻る。</a:t>
          </a:r>
        </a:p>
      </xdr:txBody>
    </xdr:sp>
    <xdr:clientData/>
  </xdr:twoCellAnchor>
  <xdr:twoCellAnchor>
    <xdr:from>
      <xdr:col>1</xdr:col>
      <xdr:colOff>217714</xdr:colOff>
      <xdr:row>30</xdr:row>
      <xdr:rowOff>12700</xdr:rowOff>
    </xdr:from>
    <xdr:to>
      <xdr:col>8</xdr:col>
      <xdr:colOff>15572</xdr:colOff>
      <xdr:row>34</xdr:row>
      <xdr:rowOff>12700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485775" y="5838825"/>
          <a:ext cx="1666875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239108</xdr:colOff>
      <xdr:row>22</xdr:row>
      <xdr:rowOff>0</xdr:rowOff>
    </xdr:from>
    <xdr:to>
      <xdr:col>4</xdr:col>
      <xdr:colOff>239108</xdr:colOff>
      <xdr:row>24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30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231976</xdr:colOff>
      <xdr:row>37</xdr:row>
      <xdr:rowOff>2</xdr:rowOff>
    </xdr:from>
    <xdr:to>
      <xdr:col>6</xdr:col>
      <xdr:colOff>1310</xdr:colOff>
      <xdr:row>39</xdr:row>
      <xdr:rowOff>2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8700" y="7162800"/>
          <a:ext cx="5715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232267</xdr:colOff>
      <xdr:row>37</xdr:row>
      <xdr:rowOff>2</xdr:rowOff>
    </xdr:from>
    <xdr:to>
      <xdr:col>13</xdr:col>
      <xdr:colOff>11205</xdr:colOff>
      <xdr:row>39</xdr:row>
      <xdr:rowOff>2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2895600" y="7162800"/>
          <a:ext cx="58102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4</xdr:col>
      <xdr:colOff>234305</xdr:colOff>
      <xdr:row>34</xdr:row>
      <xdr:rowOff>12700</xdr:rowOff>
    </xdr:from>
    <xdr:to>
      <xdr:col>4</xdr:col>
      <xdr:colOff>234305</xdr:colOff>
      <xdr:row>37</xdr:row>
      <xdr:rowOff>2</xdr:rowOff>
    </xdr:to>
    <xdr:cxnSp macro="">
      <xdr:nvCxnSpPr>
        <xdr:cNvPr id="35" name="直線矢印コネクタ 101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0" idx="2"/>
          <a:endCxn id="33" idx="0"/>
        </xdr:cNvCxnSpPr>
      </xdr:nvCxnSpPr>
      <xdr:spPr>
        <a:xfrm>
          <a:off x="1304925" y="6600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34</xdr:row>
      <xdr:rowOff>12700</xdr:rowOff>
    </xdr:from>
    <xdr:to>
      <xdr:col>12</xdr:col>
      <xdr:colOff>4075</xdr:colOff>
      <xdr:row>37</xdr:row>
      <xdr:rowOff>2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0" idx="2"/>
          <a:endCxn id="34" idx="0"/>
        </xdr:cNvCxnSpPr>
      </xdr:nvCxnSpPr>
      <xdr:spPr>
        <a:xfrm rot="16200000" flipH="1">
          <a:off x="1304925" y="6600825"/>
          <a:ext cx="1895475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5099</xdr:colOff>
      <xdr:row>24</xdr:row>
      <xdr:rowOff>1</xdr:rowOff>
    </xdr:from>
    <xdr:to>
      <xdr:col>15</xdr:col>
      <xdr:colOff>33622</xdr:colOff>
      <xdr:row>26</xdr:row>
      <xdr:rowOff>0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2943225" y="4686300"/>
          <a:ext cx="10953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2</xdr:col>
      <xdr:colOff>224846</xdr:colOff>
      <xdr:row>24</xdr:row>
      <xdr:rowOff>13607</xdr:rowOff>
    </xdr:from>
    <xdr:to>
      <xdr:col>7</xdr:col>
      <xdr:colOff>8441</xdr:colOff>
      <xdr:row>25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6958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21</xdr:row>
      <xdr:rowOff>190499</xdr:rowOff>
    </xdr:from>
    <xdr:to>
      <xdr:col>13</xdr:col>
      <xdr:colOff>19361</xdr:colOff>
      <xdr:row>24</xdr:row>
      <xdr:rowOff>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7" idx="2"/>
          <a:endCxn id="37" idx="0"/>
        </xdr:cNvCxnSpPr>
      </xdr:nvCxnSpPr>
      <xdr:spPr>
        <a:xfrm rot="16200000" flipH="1">
          <a:off x="1304925" y="4305300"/>
          <a:ext cx="21812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26</xdr:row>
      <xdr:rowOff>0</xdr:rowOff>
    </xdr:from>
    <xdr:to>
      <xdr:col>13</xdr:col>
      <xdr:colOff>19361</xdr:colOff>
      <xdr:row>30</xdr:row>
      <xdr:rowOff>12700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37" idx="2"/>
          <a:endCxn id="30" idx="0"/>
        </xdr:cNvCxnSpPr>
      </xdr:nvCxnSpPr>
      <xdr:spPr>
        <a:xfrm rot="5400000">
          <a:off x="1304925" y="5067300"/>
          <a:ext cx="2181225" cy="771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239108</xdr:colOff>
      <xdr:row>25</xdr:row>
      <xdr:rowOff>0</xdr:rowOff>
    </xdr:from>
    <xdr:to>
      <xdr:col>4</xdr:col>
      <xdr:colOff>239108</xdr:colOff>
      <xdr:row>30</xdr:row>
      <xdr:rowOff>12700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0" idx="0"/>
        </xdr:cNvCxnSpPr>
      </xdr:nvCxnSpPr>
      <xdr:spPr>
        <a:xfrm>
          <a:off x="1304925" y="48768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234305</xdr:colOff>
      <xdr:row>39</xdr:row>
      <xdr:rowOff>2</xdr:rowOff>
    </xdr:from>
    <xdr:to>
      <xdr:col>4</xdr:col>
      <xdr:colOff>235322</xdr:colOff>
      <xdr:row>42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10" idx="0"/>
        </xdr:cNvCxnSpPr>
      </xdr:nvCxnSpPr>
      <xdr:spPr>
        <a:xfrm>
          <a:off x="1304925" y="7543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64</xdr:row>
      <xdr:rowOff>0</xdr:rowOff>
    </xdr:from>
    <xdr:to>
      <xdr:col>61</xdr:col>
      <xdr:colOff>0</xdr:colOff>
      <xdr:row>105</xdr:row>
      <xdr:rowOff>0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134600" y="12306300"/>
          <a:ext cx="6134100" cy="7810500"/>
        </a:xfrm>
        <a:prstGeom prst="borderCallout1">
          <a:avLst>
            <a:gd name="adj1" fmla="val 12132"/>
            <a:gd name="adj2" fmla="val -358"/>
            <a:gd name="adj3" fmla="val 12199"/>
            <a:gd name="adj4" fmla="val -1303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・大分類コード: ブランク（入力可能）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・分類情報表示一覧エリアにはデータが表示されず、ヘッダー情報のみが表示される。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・「F12:検索」ボタン：有効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・「編集」ボタン、「F09:確定」ボタン：無効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画面のイベント、ロジック: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・大分類コードで分類情報を検索する。具体的には、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‣大分類コードを入力しない場合、Welciaの分類を全て検索する。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‣大分類コードを正しく入力されていない場合、「データが見つかりませんでした。」メッセージを含むエラーモダールを表示する。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‣大分類コードを正しく入力した場合、画面に分類情報を表示する。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・大分類コードは最大4文字入力可能。4文字が足りない場合は、フォーカスアウトすると、前ゼロを自動補填して4文字になる。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 分類情報一覧には以下の項目が含まれている。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‣大分類コード:名称：商品の大分類名称を表示する。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‣中分類コード:名称：商品の中分類名称を表示する。情報がない場合、「-」を表示する。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‣小分類コード:名称：商品の小分類名称を表示する。情報がない場合、「-」を表示する。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‣取扱有無には以下の2つ状態が含まれている。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●: 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〇: 無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初期化の場合、デフォルト：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〇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+タッチすると、 有と無の2つの状態が切り替わる。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‣医薬品有無：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●: 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 〇: 無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+初期化の場合、デフォルト：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〇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  +タッチすると、 有と無の2つの状態が切り替わる。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‣下位階層も同設定：[取扱有無と下位階層も同設定の詳細]シートをご参照ください。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・「F09:確定」ボタンをタッチしてKN2603_分類状態更新機能を実行する。</a:t>
          </a:r>
        </a:p>
      </xdr:txBody>
    </xdr:sp>
    <xdr:clientData/>
  </xdr:twoCellAnchor>
  <xdr:twoCellAnchor>
    <xdr:from>
      <xdr:col>1</xdr:col>
      <xdr:colOff>224117</xdr:colOff>
      <xdr:row>66</xdr:row>
      <xdr:rowOff>179294</xdr:rowOff>
    </xdr:from>
    <xdr:to>
      <xdr:col>8</xdr:col>
      <xdr:colOff>11206</xdr:colOff>
      <xdr:row>70</xdr:row>
      <xdr:rowOff>179294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95300" y="12868275"/>
          <a:ext cx="164782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取扱設定マスタ設定(Welcia)画面 </a:t>
          </a:r>
        </a:p>
      </xdr:txBody>
    </xdr:sp>
    <xdr:clientData/>
  </xdr:twoCellAnchor>
  <xdr:twoCellAnchor>
    <xdr:from>
      <xdr:col>15</xdr:col>
      <xdr:colOff>56044</xdr:colOff>
      <xdr:row>72</xdr:row>
      <xdr:rowOff>190499</xdr:rowOff>
    </xdr:from>
    <xdr:to>
      <xdr:col>20</xdr:col>
      <xdr:colOff>179304</xdr:colOff>
      <xdr:row>75</xdr:row>
      <xdr:rowOff>11208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057650" y="14020800"/>
          <a:ext cx="14573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70</xdr:row>
      <xdr:rowOff>179294</xdr:rowOff>
    </xdr:from>
    <xdr:to>
      <xdr:col>5</xdr:col>
      <xdr:colOff>3</xdr:colOff>
      <xdr:row>73</xdr:row>
      <xdr:rowOff>0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54" idx="2"/>
          <a:endCxn id="7" idx="0"/>
        </xdr:cNvCxnSpPr>
      </xdr:nvCxnSpPr>
      <xdr:spPr>
        <a:xfrm>
          <a:off x="1333500" y="136302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112060</xdr:colOff>
      <xdr:row>73</xdr:row>
      <xdr:rowOff>0</xdr:rowOff>
    </xdr:from>
    <xdr:to>
      <xdr:col>7</xdr:col>
      <xdr:colOff>123269</xdr:colOff>
      <xdr:row>75</xdr:row>
      <xdr:rowOff>11209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47700" y="14020800"/>
          <a:ext cx="13430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</xdr:colOff>
      <xdr:row>70</xdr:row>
      <xdr:rowOff>179293</xdr:rowOff>
    </xdr:from>
    <xdr:to>
      <xdr:col>18</xdr:col>
      <xdr:colOff>13</xdr:colOff>
      <xdr:row>72</xdr:row>
      <xdr:rowOff>190498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54" idx="2"/>
          <a:endCxn id="70" idx="0"/>
        </xdr:cNvCxnSpPr>
      </xdr:nvCxnSpPr>
      <xdr:spPr>
        <a:xfrm rot="16200000" flipH="1">
          <a:off x="1333500" y="13630275"/>
          <a:ext cx="3467100" cy="390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75</xdr:row>
      <xdr:rowOff>11209</xdr:rowOff>
    </xdr:from>
    <xdr:to>
      <xdr:col>5</xdr:col>
      <xdr:colOff>3</xdr:colOff>
      <xdr:row>78</xdr:row>
      <xdr:rowOff>8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CxnSpPr>
          <a:stCxn id="7" idx="2"/>
          <a:endCxn id="67" idx="0"/>
        </xdr:cNvCxnSpPr>
      </xdr:nvCxnSpPr>
      <xdr:spPr>
        <a:xfrm flipH="1">
          <a:off x="1333500" y="14411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11208</xdr:rowOff>
    </xdr:from>
    <xdr:to>
      <xdr:col>18</xdr:col>
      <xdr:colOff>12</xdr:colOff>
      <xdr:row>108</xdr:row>
      <xdr:rowOff>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70" idx="2"/>
          <a:endCxn id="76" idx="0"/>
        </xdr:cNvCxnSpPr>
      </xdr:nvCxnSpPr>
      <xdr:spPr>
        <a:xfrm flipH="1">
          <a:off x="4800600" y="14411325"/>
          <a:ext cx="0" cy="6276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78</xdr:row>
      <xdr:rowOff>8</xdr:rowOff>
    </xdr:from>
    <xdr:to>
      <xdr:col>8</xdr:col>
      <xdr:colOff>0</xdr:colOff>
      <xdr:row>82</xdr:row>
      <xdr:rowOff>8</xdr:rowOff>
    </xdr:to>
    <xdr:sp macro="" textlink="" fLocksText="0">
      <xdr:nvSpPr>
        <xdr:cNvPr id="67" name="四角形: 角を丸くする 3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470647" y="14971067"/>
          <a:ext cx="1411941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分類一覧取得機能</a:t>
          </a:r>
        </a:p>
      </xdr:txBody>
    </xdr:sp>
    <xdr:clientData/>
  </xdr:twoCellAnchor>
  <xdr:twoCellAnchor>
    <xdr:from>
      <xdr:col>28</xdr:col>
      <xdr:colOff>224120</xdr:colOff>
      <xdr:row>78</xdr:row>
      <xdr:rowOff>2</xdr:rowOff>
    </xdr:from>
    <xdr:to>
      <xdr:col>34</xdr:col>
      <xdr:colOff>224121</xdr:colOff>
      <xdr:row>82</xdr:row>
      <xdr:rowOff>2</xdr:rowOff>
    </xdr:to>
    <xdr:sp macro="" textlink="" fLocksText="0">
      <xdr:nvSpPr>
        <xdr:cNvPr id="68" name="フローチャート: 磁気ディスク 194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6813179" y="14971061"/>
          <a:ext cx="1411942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分類一覧取得</a:t>
          </a:r>
        </a:p>
      </xdr:txBody>
    </xdr:sp>
    <xdr:clientData/>
  </xdr:twoCellAnchor>
  <xdr:twoCellAnchor>
    <xdr:from>
      <xdr:col>8</xdr:col>
      <xdr:colOff>0</xdr:colOff>
      <xdr:row>80</xdr:row>
      <xdr:rowOff>2</xdr:rowOff>
    </xdr:from>
    <xdr:to>
      <xdr:col>28</xdr:col>
      <xdr:colOff>224120</xdr:colOff>
      <xdr:row>80</xdr:row>
      <xdr:rowOff>8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67" idx="3"/>
          <a:endCxn id="68" idx="2"/>
        </xdr:cNvCxnSpPr>
      </xdr:nvCxnSpPr>
      <xdr:spPr>
        <a:xfrm flipV="1">
          <a:off x="2133600" y="15354300"/>
          <a:ext cx="5562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108</xdr:row>
      <xdr:rowOff>4</xdr:rowOff>
    </xdr:from>
    <xdr:to>
      <xdr:col>21</xdr:col>
      <xdr:colOff>0</xdr:colOff>
      <xdr:row>112</xdr:row>
      <xdr:rowOff>4</xdr:rowOff>
    </xdr:to>
    <xdr:sp macro="" textlink="" fLocksText="0">
      <xdr:nvSpPr>
        <xdr:cNvPr id="76" name="四角形: 角を丸くする 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4000500" y="20688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KN2603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分類状態更新機能</a:t>
          </a:r>
        </a:p>
      </xdr:txBody>
    </xdr:sp>
    <xdr:clientData/>
  </xdr:twoCellAnchor>
  <xdr:twoCellAnchor>
    <xdr:from>
      <xdr:col>29</xdr:col>
      <xdr:colOff>1</xdr:colOff>
      <xdr:row>108</xdr:row>
      <xdr:rowOff>7</xdr:rowOff>
    </xdr:from>
    <xdr:to>
      <xdr:col>35</xdr:col>
      <xdr:colOff>1</xdr:colOff>
      <xdr:row>112</xdr:row>
      <xdr:rowOff>7</xdr:rowOff>
    </xdr:to>
    <xdr:sp macro="" textlink="" fLocksText="0">
      <xdr:nvSpPr>
        <xdr:cNvPr id="77" name="フローチャート: 磁気ディスク 19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7734300" y="20688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Update sales flag group product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110</xdr:row>
      <xdr:rowOff>4</xdr:rowOff>
    </xdr:from>
    <xdr:to>
      <xdr:col>29</xdr:col>
      <xdr:colOff>1</xdr:colOff>
      <xdr:row>110</xdr:row>
      <xdr:rowOff>7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CxnSpPr>
          <a:stCxn id="76" idx="3"/>
          <a:endCxn id="77" idx="2"/>
        </xdr:cNvCxnSpPr>
      </xdr:nvCxnSpPr>
      <xdr:spPr>
        <a:xfrm>
          <a:off x="5600700" y="21069300"/>
          <a:ext cx="2133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64</xdr:row>
      <xdr:rowOff>0</xdr:rowOff>
    </xdr:from>
    <xdr:to>
      <xdr:col>3</xdr:col>
      <xdr:colOff>0</xdr:colOff>
      <xdr:row>65</xdr:row>
      <xdr:rowOff>0</xdr:rowOff>
    </xdr:to>
    <xdr:sp macro="" textlink="" fLocksText="0">
      <xdr:nvSpPr>
        <xdr:cNvPr id="120" name="Rectangle: Rounded Corners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66700" y="1230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</a:t>
          </a:r>
        </a:p>
      </xdr:txBody>
    </xdr:sp>
    <xdr:clientData/>
  </xdr:twoCellAnchor>
  <xdr:twoCellAnchor>
    <xdr:from>
      <xdr:col>3</xdr:col>
      <xdr:colOff>0</xdr:colOff>
      <xdr:row>64</xdr:row>
      <xdr:rowOff>95250</xdr:rowOff>
    </xdr:from>
    <xdr:to>
      <xdr:col>5</xdr:col>
      <xdr:colOff>0</xdr:colOff>
      <xdr:row>67</xdr:row>
      <xdr:rowOff>0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20" idx="3"/>
        </xdr:cNvCxnSpPr>
      </xdr:nvCxnSpPr>
      <xdr:spPr>
        <a:xfrm>
          <a:off x="800100" y="12401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116</xdr:row>
      <xdr:rowOff>12</xdr:rowOff>
    </xdr:from>
    <xdr:to>
      <xdr:col>6</xdr:col>
      <xdr:colOff>0</xdr:colOff>
      <xdr:row>117</xdr:row>
      <xdr:rowOff>12</xdr:rowOff>
    </xdr:to>
    <xdr:sp macro="" textlink="" fLocksText="0">
      <xdr:nvSpPr>
        <xdr:cNvPr id="122" name="Rectangle: Rounded Corners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066800" y="2221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26</a:t>
          </a:r>
        </a:p>
      </xdr:txBody>
    </xdr:sp>
    <xdr:clientData/>
  </xdr:twoCellAnchor>
  <xdr:twoCellAnchor>
    <xdr:from>
      <xdr:col>5</xdr:col>
      <xdr:colOff>0</xdr:colOff>
      <xdr:row>82</xdr:row>
      <xdr:rowOff>8</xdr:rowOff>
    </xdr:from>
    <xdr:to>
      <xdr:col>5</xdr:col>
      <xdr:colOff>0</xdr:colOff>
      <xdr:row>85</xdr:row>
      <xdr:rowOff>0</xdr:rowOff>
    </xdr:to>
    <xdr:cxnSp macro="">
      <xdr:nvCxnSpPr>
        <xdr:cNvPr id="123" name="Straight Arrow Connector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CxnSpPr>
          <a:stCxn id="67" idx="2"/>
          <a:endCxn id="84" idx="0"/>
        </xdr:cNvCxnSpPr>
      </xdr:nvCxnSpPr>
      <xdr:spPr>
        <a:xfrm>
          <a:off x="1333500" y="15735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235314</xdr:colOff>
      <xdr:row>23</xdr:row>
      <xdr:rowOff>0</xdr:rowOff>
    </xdr:from>
    <xdr:to>
      <xdr:col>60</xdr:col>
      <xdr:colOff>235314</xdr:colOff>
      <xdr:row>26</xdr:row>
      <xdr:rowOff>190499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06025" y="4495800"/>
          <a:ext cx="6134100" cy="762000"/>
        </a:xfrm>
        <a:prstGeom prst="borderCallout1">
          <a:avLst>
            <a:gd name="adj1" fmla="val 49927"/>
            <a:gd name="adj2" fmla="val -182"/>
            <a:gd name="adj3" fmla="val 49428"/>
            <a:gd name="adj4" fmla="val -994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各ユーザーのstoreIdに基づいて、各店舗に該当する店舗一覧を取得する。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34</xdr:row>
      <xdr:rowOff>190499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134600" y="5638800"/>
          <a:ext cx="6134100" cy="1143000"/>
        </a:xfrm>
        <a:prstGeom prst="borderCallout1">
          <a:avLst>
            <a:gd name="adj1" fmla="val 49730"/>
            <a:gd name="adj2" fmla="val 242"/>
            <a:gd name="adj3" fmla="val 50430"/>
            <a:gd name="adj4" fmla="val -1300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顧客が選択した店舗を保存する。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SC1201_商品又はカテゴリ指定売上情報画面に戻ると、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観客が選択した店舗を表示する。SCX0101_メインメニュー画面に戻ると、顧客が選択した店舗をクリアする。</a:t>
          </a:r>
        </a:p>
      </xdr:txBody>
    </xdr:sp>
    <xdr:clientData/>
  </xdr:twoCellAnchor>
  <xdr:twoCellAnchor>
    <xdr:from>
      <xdr:col>1</xdr:col>
      <xdr:colOff>235322</xdr:colOff>
      <xdr:row>42</xdr:row>
      <xdr:rowOff>0</xdr:rowOff>
    </xdr:from>
    <xdr:to>
      <xdr:col>7</xdr:col>
      <xdr:colOff>235321</xdr:colOff>
      <xdr:row>46</xdr:row>
      <xdr:rowOff>0</xdr:rowOff>
    </xdr:to>
    <xdr:sp macro="" textlink="" fLocksText="0">
      <xdr:nvSpPr>
        <xdr:cNvPr id="10" name="四角形: 角を丸くする 3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04825" y="811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Welcia連携店舗情報確認機能</a:t>
          </a:r>
        </a:p>
      </xdr:txBody>
    </xdr:sp>
    <xdr:clientData/>
  </xdr:twoCellAnchor>
  <xdr:twoCellAnchor>
    <xdr:from>
      <xdr:col>3</xdr:col>
      <xdr:colOff>1</xdr:colOff>
      <xdr:row>47</xdr:row>
      <xdr:rowOff>190499</xdr:rowOff>
    </xdr:from>
    <xdr:to>
      <xdr:col>7</xdr:col>
      <xdr:colOff>1</xdr:colOff>
      <xdr:row>49</xdr:row>
      <xdr:rowOff>11205</xdr:rowOff>
    </xdr:to>
    <xdr:sp macro="" textlink="" fLocksText="0">
      <xdr:nvSpPr>
        <xdr:cNvPr id="13" name="四角形: 角を丸くする 294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00100" y="92583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連携あり</a:t>
          </a:r>
        </a:p>
      </xdr:txBody>
    </xdr:sp>
    <xdr:clientData/>
  </xdr:twoCellAnchor>
  <xdr:twoCellAnchor>
    <xdr:from>
      <xdr:col>10</xdr:col>
      <xdr:colOff>235323</xdr:colOff>
      <xdr:row>48</xdr:row>
      <xdr:rowOff>0</xdr:rowOff>
    </xdr:from>
    <xdr:to>
      <xdr:col>14</xdr:col>
      <xdr:colOff>235323</xdr:colOff>
      <xdr:row>49</xdr:row>
      <xdr:rowOff>11206</xdr:rowOff>
    </xdr:to>
    <xdr:sp macro="" textlink="" fLocksText="0">
      <xdr:nvSpPr>
        <xdr:cNvPr id="14" name="四角形: 角を丸くする 29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05125" y="92583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連携なし</a:t>
          </a:r>
        </a:p>
      </xdr:txBody>
    </xdr:sp>
    <xdr:clientData/>
  </xdr:twoCellAnchor>
  <xdr:twoCellAnchor>
    <xdr:from>
      <xdr:col>4</xdr:col>
      <xdr:colOff>235322</xdr:colOff>
      <xdr:row>46</xdr:row>
      <xdr:rowOff>0</xdr:rowOff>
    </xdr:from>
    <xdr:to>
      <xdr:col>5</xdr:col>
      <xdr:colOff>1</xdr:colOff>
      <xdr:row>47</xdr:row>
      <xdr:rowOff>190499</xdr:rowOff>
    </xdr:to>
    <xdr:cxnSp macro="">
      <xdr:nvCxnSpPr>
        <xdr:cNvPr id="19" name="直線矢印コネクタ 1010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0" idx="2"/>
          <a:endCxn id="13" idx="0"/>
        </xdr:cNvCxnSpPr>
      </xdr:nvCxnSpPr>
      <xdr:spPr>
        <a:xfrm>
          <a:off x="1304925" y="8877300"/>
          <a:ext cx="2857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235321</xdr:colOff>
      <xdr:row>46</xdr:row>
      <xdr:rowOff>0</xdr:rowOff>
    </xdr:from>
    <xdr:to>
      <xdr:col>12</xdr:col>
      <xdr:colOff>235322</xdr:colOff>
      <xdr:row>48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0" idx="2"/>
          <a:endCxn id="14" idx="0"/>
        </xdr:cNvCxnSpPr>
      </xdr:nvCxnSpPr>
      <xdr:spPr>
        <a:xfrm rot="16200000" flipH="1">
          <a:off x="1304925" y="88773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49</xdr:row>
      <xdr:rowOff>11205</xdr:rowOff>
    </xdr:from>
    <xdr:to>
      <xdr:col>5</xdr:col>
      <xdr:colOff>1</xdr:colOff>
      <xdr:row>66</xdr:row>
      <xdr:rowOff>179294</xdr:rowOff>
    </xdr:to>
    <xdr:cxnSp macro="">
      <xdr:nvCxnSpPr>
        <xdr:cNvPr id="42" name="直線矢印コネクタ 1010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13" idx="2"/>
          <a:endCxn id="54" idx="0"/>
        </xdr:cNvCxnSpPr>
      </xdr:nvCxnSpPr>
      <xdr:spPr>
        <a:xfrm flipH="1">
          <a:off x="1333500" y="9458325"/>
          <a:ext cx="0" cy="3409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235321</xdr:colOff>
      <xdr:row>51</xdr:row>
      <xdr:rowOff>0</xdr:rowOff>
    </xdr:from>
    <xdr:to>
      <xdr:col>15</xdr:col>
      <xdr:colOff>235321</xdr:colOff>
      <xdr:row>55</xdr:row>
      <xdr:rowOff>0</xdr:rowOff>
    </xdr:to>
    <xdr:sp macro="" textlink="" fLocksText="0">
      <xdr:nvSpPr>
        <xdr:cNvPr id="47" name="正方形/長方形 19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2638425" y="982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Welciaと連携しない店舗</a:t>
          </a:r>
        </a:p>
      </xdr:txBody>
    </xdr:sp>
    <xdr:clientData/>
  </xdr:twoCellAnchor>
  <xdr:twoCellAnchor>
    <xdr:from>
      <xdr:col>12</xdr:col>
      <xdr:colOff>235322</xdr:colOff>
      <xdr:row>49</xdr:row>
      <xdr:rowOff>11206</xdr:rowOff>
    </xdr:from>
    <xdr:to>
      <xdr:col>12</xdr:col>
      <xdr:colOff>235323</xdr:colOff>
      <xdr:row>51</xdr:row>
      <xdr:rowOff>0</xdr:rowOff>
    </xdr:to>
    <xdr:cxnSp macro="">
      <xdr:nvCxnSpPr>
        <xdr:cNvPr id="51" name="直線矢印コネクタ 101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14" idx="2"/>
          <a:endCxn id="47" idx="0"/>
        </xdr:cNvCxnSpPr>
      </xdr:nvCxnSpPr>
      <xdr:spPr>
        <a:xfrm flipH="1">
          <a:off x="3438525" y="94583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0</xdr:rowOff>
    </xdr:from>
    <xdr:to>
      <xdr:col>35</xdr:col>
      <xdr:colOff>0</xdr:colOff>
      <xdr:row>46</xdr:row>
      <xdr:rowOff>0</xdr:rowOff>
    </xdr:to>
    <xdr:sp macro="" textlink="" fLocksText="0">
      <xdr:nvSpPr>
        <xdr:cNvPr id="56" name="フローチャート: 磁気ディスク 194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7734300" y="8115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AP2601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店舗とWelciaの連携情報取得</a:t>
          </a:r>
        </a:p>
      </xdr:txBody>
    </xdr:sp>
    <xdr:clientData/>
  </xdr:twoCellAnchor>
  <xdr:twoCellAnchor>
    <xdr:from>
      <xdr:col>7</xdr:col>
      <xdr:colOff>235321</xdr:colOff>
      <xdr:row>44</xdr:row>
      <xdr:rowOff>0</xdr:rowOff>
    </xdr:from>
    <xdr:to>
      <xdr:col>29</xdr:col>
      <xdr:colOff>0</xdr:colOff>
      <xdr:row>44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10" idx="3"/>
          <a:endCxn id="56" idx="2"/>
        </xdr:cNvCxnSpPr>
      </xdr:nvCxnSpPr>
      <xdr:spPr>
        <a:xfrm>
          <a:off x="2105025" y="8496300"/>
          <a:ext cx="56292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45</xdr:row>
      <xdr:rowOff>5</xdr:rowOff>
    </xdr:from>
    <xdr:to>
      <xdr:col>61</xdr:col>
      <xdr:colOff>0</xdr:colOff>
      <xdr:row>52</xdr:row>
      <xdr:rowOff>5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10134600" y="8686800"/>
          <a:ext cx="6134100" cy="1333500"/>
        </a:xfrm>
        <a:prstGeom prst="borderCallout1">
          <a:avLst>
            <a:gd name="adj1" fmla="val 50269"/>
            <a:gd name="adj2" fmla="val -151"/>
            <a:gd name="adj3" fmla="val -203"/>
            <a:gd name="adj4" fmla="val -130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▪選択した店舗情報がWelciaと連携されているかを確認する。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・連携されている場合、SC2601_取扱設定マスタ設定(Welcia)画面に遷移する。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・連携されていない場合、「選択された店舗はテナント連携が行われている店舗で はないため、当機能は利用できません。」メッセージを含むエラーモダールが表示される。</a:t>
          </a:r>
        </a:p>
      </xdr:txBody>
    </xdr:sp>
    <xdr:clientData/>
  </xdr:twoCellAnchor>
  <xdr:twoCellAnchor>
    <xdr:from>
      <xdr:col>12</xdr:col>
      <xdr:colOff>11204</xdr:colOff>
      <xdr:row>54</xdr:row>
      <xdr:rowOff>190498</xdr:rowOff>
    </xdr:from>
    <xdr:to>
      <xdr:col>14</xdr:col>
      <xdr:colOff>11204</xdr:colOff>
      <xdr:row>55</xdr:row>
      <xdr:rowOff>179294</xdr:rowOff>
    </xdr:to>
    <xdr:sp macro="" textlink="" fLocksText="0">
      <xdr:nvSpPr>
        <xdr:cNvPr id="61" name="四角形: 角を丸くする 294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3209925" y="105918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11207</xdr:colOff>
      <xdr:row>58</xdr:row>
      <xdr:rowOff>11206</xdr:rowOff>
    </xdr:from>
    <xdr:to>
      <xdr:col>16</xdr:col>
      <xdr:colOff>11207</xdr:colOff>
      <xdr:row>62</xdr:row>
      <xdr:rowOff>11206</xdr:rowOff>
    </xdr:to>
    <xdr:sp macro="" textlink="" fLocksText="0">
      <xdr:nvSpPr>
        <xdr:cNvPr id="63" name="正方形/長方形 27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676525" y="1117282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SCX101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メニュー画面</a:t>
          </a:r>
        </a:p>
      </xdr:txBody>
    </xdr:sp>
    <xdr:clientData/>
  </xdr:twoCellAnchor>
  <xdr:twoCellAnchor>
    <xdr:from>
      <xdr:col>13</xdr:col>
      <xdr:colOff>11204</xdr:colOff>
      <xdr:row>55</xdr:row>
      <xdr:rowOff>179294</xdr:rowOff>
    </xdr:from>
    <xdr:to>
      <xdr:col>13</xdr:col>
      <xdr:colOff>11207</xdr:colOff>
      <xdr:row>58</xdr:row>
      <xdr:rowOff>11206</xdr:rowOff>
    </xdr:to>
    <xdr:cxnSp macro="">
      <xdr:nvCxnSpPr>
        <xdr:cNvPr id="64" name="直線矢印コネクタ 1010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CxnSpPr>
          <a:stCxn id="61" idx="2"/>
          <a:endCxn id="63" idx="0"/>
        </xdr:cNvCxnSpPr>
      </xdr:nvCxnSpPr>
      <xdr:spPr>
        <a:xfrm>
          <a:off x="3476625" y="10772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88</xdr:row>
      <xdr:rowOff>0</xdr:rowOff>
    </xdr:from>
    <xdr:to>
      <xdr:col>13</xdr:col>
      <xdr:colOff>1</xdr:colOff>
      <xdr:row>92</xdr:row>
      <xdr:rowOff>0</xdr:rowOff>
    </xdr:to>
    <xdr:sp macro="" textlink="" fLocksText="0">
      <xdr:nvSpPr>
        <xdr:cNvPr id="74" name="正方形/長方形 1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866900" y="1687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データが見つかりませんでした</a:t>
          </a:r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7</xdr:col>
      <xdr:colOff>0</xdr:colOff>
      <xdr:row>86</xdr:row>
      <xdr:rowOff>11206</xdr:rowOff>
    </xdr:to>
    <xdr:sp macro="" textlink="" fLocksText="0">
      <xdr:nvSpPr>
        <xdr:cNvPr id="84" name="四角形: 角を丸くする 294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800100" y="16306800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</a:p>
      </xdr:txBody>
    </xdr:sp>
    <xdr:clientData/>
  </xdr:twoCellAnchor>
  <xdr:twoCellAnchor>
    <xdr:from>
      <xdr:col>8</xdr:col>
      <xdr:colOff>0</xdr:colOff>
      <xdr:row>84</xdr:row>
      <xdr:rowOff>179294</xdr:rowOff>
    </xdr:from>
    <xdr:to>
      <xdr:col>12</xdr:col>
      <xdr:colOff>0</xdr:colOff>
      <xdr:row>86</xdr:row>
      <xdr:rowOff>0</xdr:rowOff>
    </xdr:to>
    <xdr:sp macro="" textlink="" fLocksText="0">
      <xdr:nvSpPr>
        <xdr:cNvPr id="87" name="四角形: 角を丸くする 294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133600" y="16297275"/>
          <a:ext cx="1066800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</a:p>
      </xdr:txBody>
    </xdr:sp>
    <xdr:clientData/>
  </xdr:twoCellAnchor>
  <xdr:twoCellAnchor>
    <xdr:from>
      <xdr:col>4</xdr:col>
      <xdr:colOff>235323</xdr:colOff>
      <xdr:row>82</xdr:row>
      <xdr:rowOff>8</xdr:rowOff>
    </xdr:from>
    <xdr:to>
      <xdr:col>9</xdr:col>
      <xdr:colOff>235322</xdr:colOff>
      <xdr:row>84</xdr:row>
      <xdr:rowOff>179294</xdr:rowOff>
    </xdr:to>
    <xdr:cxnSp macro="">
      <xdr:nvCxnSpPr>
        <xdr:cNvPr id="89" name="Connector: Elbow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67" idx="2"/>
          <a:endCxn id="87" idx="0"/>
        </xdr:cNvCxnSpPr>
      </xdr:nvCxnSpPr>
      <xdr:spPr>
        <a:xfrm rot="16200000" flipH="1">
          <a:off x="1304925" y="15735300"/>
          <a:ext cx="13335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10</xdr:col>
      <xdr:colOff>2</xdr:colOff>
      <xdr:row>88</xdr:row>
      <xdr:rowOff>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7" idx="2"/>
          <a:endCxn id="74" idx="0"/>
        </xdr:cNvCxnSpPr>
      </xdr:nvCxnSpPr>
      <xdr:spPr>
        <a:xfrm>
          <a:off x="2667000" y="1649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91</xdr:row>
      <xdr:rowOff>190498</xdr:rowOff>
    </xdr:from>
    <xdr:to>
      <xdr:col>11</xdr:col>
      <xdr:colOff>0</xdr:colOff>
      <xdr:row>92</xdr:row>
      <xdr:rowOff>179294</xdr:rowOff>
    </xdr:to>
    <xdr:sp macro="" textlink="" fLocksText="0">
      <xdr:nvSpPr>
        <xdr:cNvPr id="95" name="四角形: 角を丸くする 2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2400300" y="17640300"/>
          <a:ext cx="5334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1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86</xdr:row>
      <xdr:rowOff>11206</xdr:rowOff>
    </xdr:from>
    <xdr:to>
      <xdr:col>5</xdr:col>
      <xdr:colOff>0</xdr:colOff>
      <xdr:row>116</xdr:row>
      <xdr:rowOff>12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84" idx="2"/>
          <a:endCxn id="122" idx="0"/>
        </xdr:cNvCxnSpPr>
      </xdr:nvCxnSpPr>
      <xdr:spPr>
        <a:xfrm>
          <a:off x="1333500" y="16506825"/>
          <a:ext cx="0" cy="5705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92</xdr:row>
      <xdr:rowOff>179294</xdr:rowOff>
    </xdr:from>
    <xdr:to>
      <xdr:col>10</xdr:col>
      <xdr:colOff>1</xdr:colOff>
      <xdr:row>116</xdr:row>
      <xdr:rowOff>12</xdr:rowOff>
    </xdr:to>
    <xdr:cxnSp macro="">
      <xdr:nvCxnSpPr>
        <xdr:cNvPr id="99" name="Connector: Elbow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95" idx="2"/>
          <a:endCxn id="122" idx="0"/>
        </xdr:cNvCxnSpPr>
      </xdr:nvCxnSpPr>
      <xdr:spPr>
        <a:xfrm rot="5400000">
          <a:off x="1333500" y="17821275"/>
          <a:ext cx="1333500" cy="4391025"/>
        </a:xfrm>
        <a:prstGeom prst="bentConnector3">
          <a:avLst>
            <a:gd name="adj1" fmla="val 9132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112</xdr:row>
      <xdr:rowOff>4</xdr:rowOff>
    </xdr:from>
    <xdr:to>
      <xdr:col>18</xdr:col>
      <xdr:colOff>0</xdr:colOff>
      <xdr:row>116</xdr:row>
      <xdr:rowOff>12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CxnSpPr>
          <a:stCxn id="76" idx="2"/>
          <a:endCxn id="122" idx="0"/>
        </xdr:cNvCxnSpPr>
      </xdr:nvCxnSpPr>
      <xdr:spPr>
        <a:xfrm rot="5400000">
          <a:off x="1333500" y="21450300"/>
          <a:ext cx="34671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88</xdr:col>
      <xdr:colOff>0</xdr:colOff>
      <xdr:row>61</xdr:row>
      <xdr:rowOff>0</xdr:rowOff>
    </xdr:from>
    <xdr:to>
      <xdr:col>89</xdr:col>
      <xdr:colOff>66675</xdr:colOff>
      <xdr:row>62</xdr:row>
      <xdr:rowOff>114300</xdr:rowOff>
    </xdr:to>
    <xdr:sp macro="" textlink="">
      <xdr:nvSpPr>
        <xdr:cNvPr id="2049" name="AutoShape 1" descr="preview url image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3469600" y="11734800"/>
          <a:ext cx="3333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66</xdr:col>
      <xdr:colOff>0</xdr:colOff>
      <xdr:row>61</xdr:row>
      <xdr:rowOff>0</xdr:rowOff>
    </xdr:from>
    <xdr:to>
      <xdr:col>86</xdr:col>
      <xdr:colOff>59997</xdr:colOff>
      <xdr:row>72</xdr:row>
      <xdr:rowOff>89647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1D1A92-6F93-4881-8B31-FF2F4331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11732559"/>
          <a:ext cx="4766468" cy="2185147"/>
        </a:xfrm>
        <a:prstGeom prst="rect">
          <a:avLst/>
        </a:prstGeom>
      </xdr:spPr>
    </xdr:pic>
    <xdr:clientData/>
  </xdr:twoCellAnchor>
  <xdr:twoCellAnchor editAs="oneCell">
    <xdr:from>
      <xdr:col>87</xdr:col>
      <xdr:colOff>194982</xdr:colOff>
      <xdr:row>60</xdr:row>
      <xdr:rowOff>181535</xdr:rowOff>
    </xdr:from>
    <xdr:to>
      <xdr:col>98</xdr:col>
      <xdr:colOff>223895</xdr:colOff>
      <xdr:row>72</xdr:row>
      <xdr:rowOff>91888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772511-2464-47F5-843E-50B991D68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8129" y="11723594"/>
          <a:ext cx="2617472" cy="2196353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75</xdr:row>
      <xdr:rowOff>67236</xdr:rowOff>
    </xdr:from>
    <xdr:to>
      <xdr:col>86</xdr:col>
      <xdr:colOff>123265</xdr:colOff>
      <xdr:row>86</xdr:row>
      <xdr:rowOff>181651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012D7F-2C18-4C05-9062-35861D1D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1353" y="14466795"/>
          <a:ext cx="4829736" cy="2209915"/>
        </a:xfrm>
        <a:prstGeom prst="rect">
          <a:avLst/>
        </a:prstGeom>
      </xdr:spPr>
    </xdr:pic>
    <xdr:clientData/>
  </xdr:twoCellAnchor>
  <xdr:twoCellAnchor editAs="oneCell">
    <xdr:from>
      <xdr:col>87</xdr:col>
      <xdr:colOff>201706</xdr:colOff>
      <xdr:row>75</xdr:row>
      <xdr:rowOff>78441</xdr:rowOff>
    </xdr:from>
    <xdr:to>
      <xdr:col>108</xdr:col>
      <xdr:colOff>112059</xdr:colOff>
      <xdr:row>87</xdr:row>
      <xdr:rowOff>13518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50C9EF-25F7-4243-8AD2-2A9B5577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74853" y="14478000"/>
          <a:ext cx="4852147" cy="2221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224117</xdr:colOff>
      <xdr:row>75</xdr:row>
      <xdr:rowOff>179295</xdr:rowOff>
    </xdr:from>
    <xdr:to>
      <xdr:col>41</xdr:col>
      <xdr:colOff>22411</xdr:colOff>
      <xdr:row>77</xdr:row>
      <xdr:rowOff>1</xdr:rowOff>
    </xdr:to>
    <xdr:sp macro="" textlink="" fLocksText="0">
      <xdr:nvSpPr>
        <xdr:cNvPr id="2" name="Arrow: Dow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629900" y="13820775"/>
          <a:ext cx="32385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11205</xdr:colOff>
      <xdr:row>37</xdr:row>
      <xdr:rowOff>179293</xdr:rowOff>
    </xdr:from>
    <xdr:to>
      <xdr:col>29</xdr:col>
      <xdr:colOff>11206</xdr:colOff>
      <xdr:row>39</xdr:row>
      <xdr:rowOff>56029</xdr:rowOff>
    </xdr:to>
    <xdr:sp macro="" textlink="" fLocksText="0">
      <xdr:nvSpPr>
        <xdr:cNvPr id="3" name="Arrow: Righ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477125" y="6581775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68</xdr:row>
      <xdr:rowOff>0</xdr:rowOff>
    </xdr:from>
    <xdr:to>
      <xdr:col>29</xdr:col>
      <xdr:colOff>1</xdr:colOff>
      <xdr:row>69</xdr:row>
      <xdr:rowOff>67236</xdr:rowOff>
    </xdr:to>
    <xdr:sp macro="" textlink="" fLocksText="0">
      <xdr:nvSpPr>
        <xdr:cNvPr id="4" name="Arrow: Righ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467600" y="123063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99</xdr:row>
      <xdr:rowOff>0</xdr:rowOff>
    </xdr:from>
    <xdr:to>
      <xdr:col>29</xdr:col>
      <xdr:colOff>1</xdr:colOff>
      <xdr:row>100</xdr:row>
      <xdr:rowOff>67236</xdr:rowOff>
    </xdr:to>
    <xdr:sp macro="" textlink="" fLocksText="0">
      <xdr:nvSpPr>
        <xdr:cNvPr id="5" name="Arrow: Righ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467600" y="182118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224117</xdr:colOff>
      <xdr:row>107</xdr:row>
      <xdr:rowOff>0</xdr:rowOff>
    </xdr:from>
    <xdr:to>
      <xdr:col>41</xdr:col>
      <xdr:colOff>22411</xdr:colOff>
      <xdr:row>108</xdr:row>
      <xdr:rowOff>11206</xdr:rowOff>
    </xdr:to>
    <xdr:sp macro="" textlink="" fLocksText="0">
      <xdr:nvSpPr>
        <xdr:cNvPr id="6" name="Arrow: Dow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0629900" y="19735800"/>
          <a:ext cx="32385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0</xdr:colOff>
      <xdr:row>127</xdr:row>
      <xdr:rowOff>0</xdr:rowOff>
    </xdr:from>
    <xdr:to>
      <xdr:col>29</xdr:col>
      <xdr:colOff>1</xdr:colOff>
      <xdr:row>128</xdr:row>
      <xdr:rowOff>67236</xdr:rowOff>
    </xdr:to>
    <xdr:sp macro="" textlink="" fLocksText="0">
      <xdr:nvSpPr>
        <xdr:cNvPr id="7" name="Arrow: Righ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7467600" y="23545800"/>
          <a:ext cx="266700" cy="2571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0</xdr:colOff>
      <xdr:row>46</xdr:row>
      <xdr:rowOff>0</xdr:rowOff>
    </xdr:from>
    <xdr:to>
      <xdr:col>41</xdr:col>
      <xdr:colOff>33617</xdr:colOff>
      <xdr:row>47</xdr:row>
      <xdr:rowOff>11206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0668000" y="8115300"/>
          <a:ext cx="304800" cy="2000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">
        <v>66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83" t="s">
        <v>72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10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改訂履歴!$H$11</f>
        <v>TuyenNH</v>
      </c>
      <c r="AQ2" s="78"/>
      <c r="AR2" s="78"/>
      <c r="AS2" s="79"/>
      <c r="AT2" s="104">
        <f>改訂履歴!$B$11</f>
        <v>45427</v>
      </c>
      <c r="AU2" s="105"/>
      <c r="AV2" s="105"/>
      <c r="AW2" s="105"/>
      <c r="AX2" s="106"/>
      <c r="AY2" s="77" t="str">
        <f>LOOKUP(2,1/(改訂履歴!H11:H30000&lt;&gt;""),改訂履歴!H11:H30000)</f>
        <v>TuyenNH</v>
      </c>
      <c r="AZ2" s="78"/>
      <c r="BA2" s="78"/>
      <c r="BB2" s="79"/>
      <c r="BC2" s="104">
        <f>LOOKUP(2,1/(改訂履歴!B11:B30000&lt;&gt;""),改訂履歴!B11:B30000)</f>
        <v>45523</v>
      </c>
      <c r="BD2" s="105"/>
      <c r="BE2" s="105"/>
      <c r="BF2" s="105"/>
      <c r="BG2" s="106"/>
      <c r="BH2" s="98">
        <f>LOOKUP(2,1/(改訂履歴!O11:O30000&lt;&gt;""),改訂履歴!O11:O30000)</f>
        <v>0.14000000000000001</v>
      </c>
      <c r="BI2" s="99"/>
      <c r="BJ2" s="99"/>
      <c r="BK2" s="100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">
        <v>31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">
        <v>11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thickBot="1" x14ac:dyDescent="0.3">
      <c r="A14" s="23"/>
      <c r="BK14" s="24"/>
    </row>
    <row r="15" spans="1:63" ht="15" customHeight="1" thickTop="1" x14ac:dyDescent="0.25">
      <c r="A15" s="23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7"/>
      <c r="BK15" s="24"/>
    </row>
    <row r="16" spans="1:63" ht="15" customHeight="1" x14ac:dyDescent="0.25">
      <c r="A16" s="23"/>
      <c r="K16" s="28"/>
      <c r="L16" s="93" t="s">
        <v>75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29"/>
      <c r="BK16" s="24"/>
    </row>
    <row r="17" spans="1:63" ht="15" customHeight="1" x14ac:dyDescent="0.25">
      <c r="A17" s="23"/>
      <c r="K17" s="28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29"/>
      <c r="BK17" s="24"/>
    </row>
    <row r="18" spans="1:63" ht="15" customHeight="1" x14ac:dyDescent="0.25">
      <c r="A18" s="23"/>
      <c r="K18" s="28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29"/>
      <c r="BK18" s="24"/>
    </row>
    <row r="19" spans="1:63" ht="15" customHeight="1" x14ac:dyDescent="0.25">
      <c r="A19" s="23"/>
      <c r="K19" s="28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29"/>
      <c r="BK19" s="24"/>
    </row>
    <row r="20" spans="1:63" ht="15" customHeight="1" x14ac:dyDescent="0.25">
      <c r="A20" s="23"/>
      <c r="K20" s="28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29"/>
      <c r="BK20" s="24"/>
    </row>
    <row r="21" spans="1:63" ht="15" customHeight="1" x14ac:dyDescent="0.25">
      <c r="A21" s="23"/>
      <c r="K21" s="28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29"/>
      <c r="BK21" s="24"/>
    </row>
    <row r="22" spans="1:63" ht="15" customHeight="1" thickBot="1" x14ac:dyDescent="0.3">
      <c r="A22" s="23"/>
      <c r="K22" s="2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29"/>
      <c r="BK22" s="24"/>
    </row>
    <row r="23" spans="1:63" ht="15" customHeight="1" x14ac:dyDescent="0.25">
      <c r="A23" s="23"/>
      <c r="K23" s="28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29"/>
      <c r="BK23" s="24"/>
    </row>
    <row r="24" spans="1:63" ht="15" customHeight="1" x14ac:dyDescent="0.25">
      <c r="A24" s="23"/>
      <c r="K24" s="28"/>
      <c r="L24" s="94" t="str">
        <f>K2&amp;"/"&amp;H4&amp;"/"&amp;Z4</f>
        <v>POSサーバー/26 取扱設定マスタ設定(Welcia)/概要設計書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29"/>
      <c r="BK24" s="24"/>
    </row>
    <row r="25" spans="1:63" ht="15" customHeight="1" x14ac:dyDescent="0.25">
      <c r="A25" s="23"/>
      <c r="K25" s="28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29"/>
      <c r="BK25" s="24"/>
    </row>
    <row r="26" spans="1:63" ht="15" customHeight="1" x14ac:dyDescent="0.25">
      <c r="A26" s="23"/>
      <c r="K26" s="28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29"/>
      <c r="BK26" s="24"/>
    </row>
    <row r="27" spans="1:63" ht="15" customHeight="1" x14ac:dyDescent="0.25">
      <c r="A27" s="23"/>
      <c r="K27" s="28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29"/>
      <c r="BK27" s="24"/>
    </row>
    <row r="28" spans="1:63" ht="15" customHeight="1" x14ac:dyDescent="0.25">
      <c r="A28" s="23"/>
      <c r="K28" s="28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29"/>
      <c r="BK28" s="24"/>
    </row>
    <row r="29" spans="1:63" ht="15" customHeight="1" x14ac:dyDescent="0.25">
      <c r="A29" s="23"/>
      <c r="K29" s="28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29"/>
      <c r="BK29" s="24"/>
    </row>
    <row r="30" spans="1:63" ht="15" customHeight="1" x14ac:dyDescent="0.25">
      <c r="A30" s="23"/>
      <c r="K30" s="28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29"/>
      <c r="BK30" s="24"/>
    </row>
    <row r="31" spans="1:63" ht="15" customHeight="1" x14ac:dyDescent="0.25">
      <c r="A31" s="23"/>
      <c r="K31" s="28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29"/>
      <c r="BK31" s="24"/>
    </row>
    <row r="32" spans="1:63" ht="15" customHeight="1" x14ac:dyDescent="0.25">
      <c r="A32" s="23"/>
      <c r="K32" s="28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29"/>
      <c r="BK32" s="24"/>
    </row>
    <row r="33" spans="1:63" ht="15" customHeight="1" x14ac:dyDescent="0.25">
      <c r="A33" s="23"/>
      <c r="K33" s="28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29"/>
      <c r="BK33" s="24"/>
    </row>
    <row r="34" spans="1:63" ht="15" customHeight="1" x14ac:dyDescent="0.25">
      <c r="A34" s="23"/>
      <c r="K34" s="28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29"/>
      <c r="BK34" s="24"/>
    </row>
    <row r="35" spans="1:63" ht="15" customHeight="1" x14ac:dyDescent="0.25">
      <c r="A35" s="23"/>
      <c r="K35" s="28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29"/>
      <c r="BK35" s="24"/>
    </row>
    <row r="36" spans="1:63" ht="15" customHeight="1" x14ac:dyDescent="0.25">
      <c r="A36" s="23"/>
      <c r="K36" s="28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29"/>
      <c r="BK36" s="24"/>
    </row>
    <row r="37" spans="1:63" ht="15" customHeight="1" thickBot="1" x14ac:dyDescent="0.3">
      <c r="A37" s="23"/>
      <c r="K37" s="32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4"/>
      <c r="BK37" s="24"/>
    </row>
    <row r="38" spans="1:63" ht="15" customHeight="1" thickTop="1" x14ac:dyDescent="0.25">
      <c r="A38" s="23"/>
      <c r="BK38" s="24"/>
    </row>
    <row r="39" spans="1:63" ht="15" customHeight="1" x14ac:dyDescent="0.25">
      <c r="A39" s="23"/>
      <c r="BK39" s="24"/>
    </row>
    <row r="40" spans="1:63" ht="15" customHeight="1" x14ac:dyDescent="0.25">
      <c r="A40" s="23"/>
      <c r="BK40" s="24"/>
    </row>
    <row r="41" spans="1:63" ht="15" customHeight="1" x14ac:dyDescent="0.25">
      <c r="A41" s="23"/>
      <c r="BK41" s="24"/>
    </row>
    <row r="42" spans="1:63" ht="15" customHeight="1" x14ac:dyDescent="0.25">
      <c r="A42" s="23"/>
      <c r="BK42" s="24"/>
    </row>
    <row r="43" spans="1:63" ht="15" customHeight="1" x14ac:dyDescent="0.25">
      <c r="A43" s="23"/>
      <c r="BK43" s="24"/>
    </row>
    <row r="44" spans="1:63" ht="15" customHeight="1" x14ac:dyDescent="0.25">
      <c r="A44" s="23"/>
      <c r="Q44" s="113" t="s">
        <v>76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77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71</v>
      </c>
      <c r="AR44" s="114"/>
      <c r="AS44" s="114"/>
      <c r="AT44" s="114"/>
      <c r="AU44" s="115"/>
      <c r="BK44" s="24"/>
    </row>
    <row r="45" spans="1:63" ht="15" customHeight="1" x14ac:dyDescent="0.25">
      <c r="A45" s="23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24"/>
    </row>
    <row r="46" spans="1:63" ht="15" customHeight="1" x14ac:dyDescent="0.25">
      <c r="A46" s="23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24"/>
    </row>
    <row r="47" spans="1:63" ht="15" customHeight="1" x14ac:dyDescent="0.25">
      <c r="A47" s="23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24"/>
    </row>
    <row r="48" spans="1:63" ht="15" customHeight="1" x14ac:dyDescent="0.25">
      <c r="A48" s="23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24"/>
    </row>
    <row r="49" spans="1:63" ht="15" customHeight="1" x14ac:dyDescent="0.25">
      <c r="A49" s="23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24"/>
    </row>
    <row r="50" spans="1:63" ht="15" customHeight="1" x14ac:dyDescent="0.25">
      <c r="A50" s="23"/>
      <c r="BK50" s="24"/>
    </row>
    <row r="51" spans="1:63" ht="15" customHeight="1" x14ac:dyDescent="0.25">
      <c r="A51" s="23"/>
      <c r="BK51" s="24"/>
    </row>
    <row r="52" spans="1:63" ht="15" customHeight="1" x14ac:dyDescent="0.25">
      <c r="A52" s="23"/>
      <c r="BK52" s="24"/>
    </row>
    <row r="53" spans="1:63" ht="15" customHeight="1" x14ac:dyDescent="0.25">
      <c r="A53" s="23"/>
      <c r="BK53" s="24"/>
    </row>
    <row r="54" spans="1:63" ht="15" customHeight="1" x14ac:dyDescent="0.25">
      <c r="A54" s="23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K7" s="24"/>
    </row>
    <row r="8" spans="1:63" ht="15" customHeight="1" x14ac:dyDescent="0.25">
      <c r="A8" s="23"/>
      <c r="B8" s="19" t="s">
        <v>9</v>
      </c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10" s="135" t="s">
        <v>70</v>
      </c>
      <c r="C10" s="135"/>
      <c r="D10" s="135"/>
      <c r="E10" s="135"/>
      <c r="F10" s="135"/>
      <c r="G10" s="135"/>
      <c r="H10" s="135" t="s">
        <v>69</v>
      </c>
      <c r="I10" s="135"/>
      <c r="J10" s="135"/>
      <c r="K10" s="135"/>
      <c r="L10" s="135"/>
      <c r="M10" s="135"/>
      <c r="N10" s="135"/>
      <c r="O10" s="135" t="s">
        <v>71</v>
      </c>
      <c r="P10" s="135"/>
      <c r="Q10" s="135"/>
      <c r="R10" s="135"/>
      <c r="S10" s="135" t="s">
        <v>78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76</v>
      </c>
      <c r="AY10" s="135"/>
      <c r="AZ10" s="135"/>
      <c r="BA10" s="135"/>
      <c r="BB10" s="135"/>
      <c r="BC10" s="135"/>
      <c r="BD10" s="135" t="s">
        <v>77</v>
      </c>
      <c r="BE10" s="135"/>
      <c r="BF10" s="135"/>
      <c r="BG10" s="135"/>
      <c r="BH10" s="135"/>
      <c r="BI10" s="135"/>
      <c r="BJ10" s="135"/>
      <c r="BK10" s="24"/>
    </row>
    <row r="11" spans="1:63" ht="15" customHeight="1" x14ac:dyDescent="0.25">
      <c r="A11" s="23"/>
      <c r="B11" s="104">
        <v>45427</v>
      </c>
      <c r="C11" s="78"/>
      <c r="D11" s="78"/>
      <c r="E11" s="78"/>
      <c r="F11" s="78"/>
      <c r="G11" s="79"/>
      <c r="H11" s="83" t="s">
        <v>79</v>
      </c>
      <c r="I11" s="78"/>
      <c r="J11" s="78"/>
      <c r="K11" s="78"/>
      <c r="L11" s="78"/>
      <c r="M11" s="78"/>
      <c r="N11" s="79"/>
      <c r="O11" s="77">
        <v>0.1</v>
      </c>
      <c r="P11" s="78"/>
      <c r="Q11" s="78"/>
      <c r="R11" s="78"/>
      <c r="S11" s="132" t="s">
        <v>15</v>
      </c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24"/>
      <c r="AY11" s="124"/>
      <c r="AZ11" s="124"/>
      <c r="BA11" s="124"/>
      <c r="BB11" s="124"/>
      <c r="BC11" s="125"/>
      <c r="BD11" s="123"/>
      <c r="BE11" s="124"/>
      <c r="BF11" s="124"/>
      <c r="BG11" s="124"/>
      <c r="BH11" s="124"/>
      <c r="BI11" s="124"/>
      <c r="BJ11" s="125"/>
      <c r="BK11" s="24"/>
    </row>
    <row r="12" spans="1:63" ht="15" customHeight="1" x14ac:dyDescent="0.25">
      <c r="A12" s="23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7"/>
      <c r="AY12" s="127"/>
      <c r="AZ12" s="127"/>
      <c r="BA12" s="127"/>
      <c r="BB12" s="127"/>
      <c r="BC12" s="128"/>
      <c r="BD12" s="126"/>
      <c r="BE12" s="127"/>
      <c r="BF12" s="127"/>
      <c r="BG12" s="127"/>
      <c r="BH12" s="127"/>
      <c r="BI12" s="127"/>
      <c r="BJ12" s="128"/>
      <c r="BK12" s="24"/>
    </row>
    <row r="13" spans="1:63" ht="15" customHeight="1" x14ac:dyDescent="0.25">
      <c r="A13" s="23"/>
      <c r="B13" s="319">
        <v>45436</v>
      </c>
      <c r="C13" s="320"/>
      <c r="D13" s="320"/>
      <c r="E13" s="320"/>
      <c r="F13" s="320"/>
      <c r="G13" s="321"/>
      <c r="H13" s="322" t="s">
        <v>79</v>
      </c>
      <c r="I13" s="320"/>
      <c r="J13" s="320"/>
      <c r="K13" s="320"/>
      <c r="L13" s="320"/>
      <c r="M13" s="320"/>
      <c r="N13" s="321"/>
      <c r="O13" s="322">
        <v>0.11</v>
      </c>
      <c r="P13" s="320"/>
      <c r="Q13" s="320"/>
      <c r="R13" s="320"/>
      <c r="S13" s="323" t="s">
        <v>80</v>
      </c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5"/>
      <c r="AX13" s="119"/>
      <c r="AY13" s="119"/>
      <c r="AZ13" s="119"/>
      <c r="BA13" s="119"/>
      <c r="BB13" s="119"/>
      <c r="BC13" s="120"/>
      <c r="BD13" s="142"/>
      <c r="BE13" s="119"/>
      <c r="BF13" s="119"/>
      <c r="BG13" s="119"/>
      <c r="BH13" s="119"/>
      <c r="BI13" s="119"/>
      <c r="BJ13" s="120"/>
      <c r="BK13" s="24"/>
    </row>
    <row r="14" spans="1:63" ht="15" customHeight="1" x14ac:dyDescent="0.25">
      <c r="A14" s="23"/>
      <c r="B14" s="326"/>
      <c r="C14" s="327"/>
      <c r="D14" s="327"/>
      <c r="E14" s="327"/>
      <c r="F14" s="327"/>
      <c r="G14" s="328"/>
      <c r="H14" s="326"/>
      <c r="I14" s="327"/>
      <c r="J14" s="327"/>
      <c r="K14" s="327"/>
      <c r="L14" s="327"/>
      <c r="M14" s="327"/>
      <c r="N14" s="328"/>
      <c r="O14" s="326"/>
      <c r="P14" s="327"/>
      <c r="Q14" s="327"/>
      <c r="R14" s="327"/>
      <c r="S14" s="329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330"/>
      <c r="AT14" s="330"/>
      <c r="AU14" s="330"/>
      <c r="AV14" s="330"/>
      <c r="AW14" s="331"/>
      <c r="AX14" s="121"/>
      <c r="AY14" s="121"/>
      <c r="AZ14" s="121"/>
      <c r="BA14" s="121"/>
      <c r="BB14" s="121"/>
      <c r="BC14" s="122"/>
      <c r="BD14" s="143"/>
      <c r="BE14" s="121"/>
      <c r="BF14" s="121"/>
      <c r="BG14" s="121"/>
      <c r="BH14" s="121"/>
      <c r="BI14" s="121"/>
      <c r="BJ14" s="122"/>
      <c r="BK14" s="24"/>
    </row>
    <row r="15" spans="1:63" ht="15" customHeight="1" x14ac:dyDescent="0.25">
      <c r="A15" s="23"/>
      <c r="B15" s="319">
        <v>45449</v>
      </c>
      <c r="C15" s="320"/>
      <c r="D15" s="320"/>
      <c r="E15" s="320"/>
      <c r="F15" s="320"/>
      <c r="G15" s="321"/>
      <c r="H15" s="322" t="s">
        <v>79</v>
      </c>
      <c r="I15" s="320"/>
      <c r="J15" s="320"/>
      <c r="K15" s="320"/>
      <c r="L15" s="320"/>
      <c r="M15" s="320"/>
      <c r="N15" s="321"/>
      <c r="O15" s="322">
        <v>0.12</v>
      </c>
      <c r="P15" s="320"/>
      <c r="Q15" s="320"/>
      <c r="R15" s="320"/>
      <c r="S15" s="323" t="s">
        <v>81</v>
      </c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5"/>
      <c r="AX15" s="144"/>
      <c r="AY15" s="144"/>
      <c r="AZ15" s="144"/>
      <c r="BA15" s="144"/>
      <c r="BB15" s="144"/>
      <c r="BC15" s="145"/>
      <c r="BD15" s="148"/>
      <c r="BE15" s="144"/>
      <c r="BF15" s="144"/>
      <c r="BG15" s="144"/>
      <c r="BH15" s="144"/>
      <c r="BI15" s="144"/>
      <c r="BJ15" s="145"/>
      <c r="BK15" s="24"/>
    </row>
    <row r="16" spans="1:63" ht="15" customHeight="1" x14ac:dyDescent="0.25">
      <c r="A16" s="23"/>
      <c r="B16" s="326"/>
      <c r="C16" s="327"/>
      <c r="D16" s="327"/>
      <c r="E16" s="327"/>
      <c r="F16" s="327"/>
      <c r="G16" s="328"/>
      <c r="H16" s="326"/>
      <c r="I16" s="327"/>
      <c r="J16" s="327"/>
      <c r="K16" s="327"/>
      <c r="L16" s="327"/>
      <c r="M16" s="327"/>
      <c r="N16" s="328"/>
      <c r="O16" s="326"/>
      <c r="P16" s="327"/>
      <c r="Q16" s="327"/>
      <c r="R16" s="327"/>
      <c r="S16" s="329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30"/>
      <c r="AL16" s="330"/>
      <c r="AM16" s="330"/>
      <c r="AN16" s="330"/>
      <c r="AO16" s="330"/>
      <c r="AP16" s="330"/>
      <c r="AQ16" s="330"/>
      <c r="AR16" s="330"/>
      <c r="AS16" s="330"/>
      <c r="AT16" s="330"/>
      <c r="AU16" s="330"/>
      <c r="AV16" s="330"/>
      <c r="AW16" s="331"/>
      <c r="AX16" s="146"/>
      <c r="AY16" s="146"/>
      <c r="AZ16" s="146"/>
      <c r="BA16" s="146"/>
      <c r="BB16" s="146"/>
      <c r="BC16" s="147"/>
      <c r="BD16" s="149"/>
      <c r="BE16" s="146"/>
      <c r="BF16" s="146"/>
      <c r="BG16" s="146"/>
      <c r="BH16" s="146"/>
      <c r="BI16" s="146"/>
      <c r="BJ16" s="147"/>
      <c r="BK16" s="24"/>
    </row>
    <row r="17" spans="1:63" ht="15" customHeight="1" x14ac:dyDescent="0.25">
      <c r="A17" s="23"/>
      <c r="B17" s="319">
        <v>45453</v>
      </c>
      <c r="C17" s="320"/>
      <c r="D17" s="320"/>
      <c r="E17" s="320"/>
      <c r="F17" s="320"/>
      <c r="G17" s="321"/>
      <c r="H17" s="322" t="s">
        <v>79</v>
      </c>
      <c r="I17" s="320"/>
      <c r="J17" s="320"/>
      <c r="K17" s="320"/>
      <c r="L17" s="320"/>
      <c r="M17" s="320"/>
      <c r="N17" s="321"/>
      <c r="O17" s="322">
        <v>0.13</v>
      </c>
      <c r="P17" s="320"/>
      <c r="Q17" s="320"/>
      <c r="R17" s="320"/>
      <c r="S17" s="323" t="s">
        <v>81</v>
      </c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5"/>
      <c r="AX17" s="136"/>
      <c r="AY17" s="136"/>
      <c r="AZ17" s="136"/>
      <c r="BA17" s="136"/>
      <c r="BB17" s="136"/>
      <c r="BC17" s="137"/>
      <c r="BD17" s="140"/>
      <c r="BE17" s="136"/>
      <c r="BF17" s="136"/>
      <c r="BG17" s="136"/>
      <c r="BH17" s="136"/>
      <c r="BI17" s="136"/>
      <c r="BJ17" s="137"/>
      <c r="BK17" s="24"/>
    </row>
    <row r="18" spans="1:63" ht="15" customHeight="1" x14ac:dyDescent="0.25">
      <c r="A18" s="23"/>
      <c r="B18" s="326"/>
      <c r="C18" s="327"/>
      <c r="D18" s="327"/>
      <c r="E18" s="327"/>
      <c r="F18" s="327"/>
      <c r="G18" s="328"/>
      <c r="H18" s="326"/>
      <c r="I18" s="327"/>
      <c r="J18" s="327"/>
      <c r="K18" s="327"/>
      <c r="L18" s="327"/>
      <c r="M18" s="327"/>
      <c r="N18" s="328"/>
      <c r="O18" s="326"/>
      <c r="P18" s="327"/>
      <c r="Q18" s="327"/>
      <c r="R18" s="327"/>
      <c r="S18" s="329"/>
      <c r="T18" s="330"/>
      <c r="U18" s="330"/>
      <c r="V18" s="330"/>
      <c r="W18" s="330"/>
      <c r="X18" s="330"/>
      <c r="Y18" s="330"/>
      <c r="Z18" s="330"/>
      <c r="AA18" s="330"/>
      <c r="AB18" s="330"/>
      <c r="AC18" s="330"/>
      <c r="AD18" s="330"/>
      <c r="AE18" s="330"/>
      <c r="AF18" s="330"/>
      <c r="AG18" s="330"/>
      <c r="AH18" s="330"/>
      <c r="AI18" s="330"/>
      <c r="AJ18" s="330"/>
      <c r="AK18" s="330"/>
      <c r="AL18" s="330"/>
      <c r="AM18" s="330"/>
      <c r="AN18" s="330"/>
      <c r="AO18" s="330"/>
      <c r="AP18" s="330"/>
      <c r="AQ18" s="330"/>
      <c r="AR18" s="330"/>
      <c r="AS18" s="330"/>
      <c r="AT18" s="330"/>
      <c r="AU18" s="330"/>
      <c r="AV18" s="330"/>
      <c r="AW18" s="331"/>
      <c r="AX18" s="138"/>
      <c r="AY18" s="138"/>
      <c r="AZ18" s="138"/>
      <c r="BA18" s="138"/>
      <c r="BB18" s="138"/>
      <c r="BC18" s="139"/>
      <c r="BD18" s="141"/>
      <c r="BE18" s="138"/>
      <c r="BF18" s="138"/>
      <c r="BG18" s="138"/>
      <c r="BH18" s="138"/>
      <c r="BI18" s="138"/>
      <c r="BJ18" s="139"/>
      <c r="BK18" s="24"/>
    </row>
    <row r="19" spans="1:63" ht="15" customHeight="1" x14ac:dyDescent="0.25">
      <c r="A19" s="23"/>
      <c r="B19" s="332">
        <v>45523</v>
      </c>
      <c r="C19" s="333"/>
      <c r="D19" s="333"/>
      <c r="E19" s="333"/>
      <c r="F19" s="333"/>
      <c r="G19" s="334"/>
      <c r="H19" s="335" t="s">
        <v>79</v>
      </c>
      <c r="I19" s="333"/>
      <c r="J19" s="333"/>
      <c r="K19" s="333"/>
      <c r="L19" s="333"/>
      <c r="M19" s="333"/>
      <c r="N19" s="334"/>
      <c r="O19" s="335">
        <v>0.14000000000000001</v>
      </c>
      <c r="P19" s="333"/>
      <c r="Q19" s="333"/>
      <c r="R19" s="333"/>
      <c r="S19" s="336" t="s">
        <v>123</v>
      </c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8"/>
      <c r="AX19" s="124"/>
      <c r="AY19" s="124"/>
      <c r="AZ19" s="124"/>
      <c r="BA19" s="124"/>
      <c r="BB19" s="124"/>
      <c r="BC19" s="125"/>
      <c r="BD19" s="123"/>
      <c r="BE19" s="124"/>
      <c r="BF19" s="124"/>
      <c r="BG19" s="124"/>
      <c r="BH19" s="124"/>
      <c r="BI19" s="124"/>
      <c r="BJ19" s="125"/>
      <c r="BK19" s="24"/>
    </row>
    <row r="20" spans="1:63" ht="48" customHeight="1" x14ac:dyDescent="0.25">
      <c r="A20" s="23"/>
      <c r="B20" s="339"/>
      <c r="C20" s="340"/>
      <c r="D20" s="340"/>
      <c r="E20" s="340"/>
      <c r="F20" s="340"/>
      <c r="G20" s="341"/>
      <c r="H20" s="339"/>
      <c r="I20" s="340"/>
      <c r="J20" s="340"/>
      <c r="K20" s="340"/>
      <c r="L20" s="340"/>
      <c r="M20" s="340"/>
      <c r="N20" s="341"/>
      <c r="O20" s="339"/>
      <c r="P20" s="340"/>
      <c r="Q20" s="340"/>
      <c r="R20" s="340"/>
      <c r="S20" s="342" t="s">
        <v>122</v>
      </c>
      <c r="T20" s="343"/>
      <c r="U20" s="343"/>
      <c r="V20" s="343"/>
      <c r="W20" s="343"/>
      <c r="X20" s="343"/>
      <c r="Y20" s="343"/>
      <c r="Z20" s="343"/>
      <c r="AA20" s="343"/>
      <c r="AB20" s="343"/>
      <c r="AC20" s="343"/>
      <c r="AD20" s="343"/>
      <c r="AE20" s="343"/>
      <c r="AF20" s="343"/>
      <c r="AG20" s="343"/>
      <c r="AH20" s="343"/>
      <c r="AI20" s="343"/>
      <c r="AJ20" s="343"/>
      <c r="AK20" s="343"/>
      <c r="AL20" s="343"/>
      <c r="AM20" s="343"/>
      <c r="AN20" s="343"/>
      <c r="AO20" s="343"/>
      <c r="AP20" s="343"/>
      <c r="AQ20" s="343"/>
      <c r="AR20" s="343"/>
      <c r="AS20" s="343"/>
      <c r="AT20" s="343"/>
      <c r="AU20" s="343"/>
      <c r="AV20" s="343"/>
      <c r="AW20" s="344"/>
      <c r="AX20" s="127"/>
      <c r="AY20" s="127"/>
      <c r="AZ20" s="127"/>
      <c r="BA20" s="127"/>
      <c r="BB20" s="127"/>
      <c r="BC20" s="128"/>
      <c r="BD20" s="126"/>
      <c r="BE20" s="127"/>
      <c r="BF20" s="127"/>
      <c r="BG20" s="127"/>
      <c r="BH20" s="127"/>
      <c r="BI20" s="127"/>
      <c r="BJ20" s="128"/>
      <c r="BK20" s="24"/>
    </row>
    <row r="21" spans="1:63" ht="15" customHeight="1" x14ac:dyDescent="0.25">
      <c r="A21" s="23"/>
      <c r="B21" s="77"/>
      <c r="C21" s="78"/>
      <c r="D21" s="78"/>
      <c r="E21" s="78"/>
      <c r="F21" s="78"/>
      <c r="G21" s="79"/>
      <c r="H21" s="77"/>
      <c r="I21" s="78"/>
      <c r="J21" s="78"/>
      <c r="K21" s="78"/>
      <c r="L21" s="78"/>
      <c r="M21" s="78"/>
      <c r="N21" s="79"/>
      <c r="O21" s="77"/>
      <c r="P21" s="78"/>
      <c r="Q21" s="78"/>
      <c r="R21" s="78"/>
      <c r="S21" s="132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4"/>
      <c r="AX21" s="124"/>
      <c r="AY21" s="124"/>
      <c r="AZ21" s="124"/>
      <c r="BA21" s="124"/>
      <c r="BB21" s="124"/>
      <c r="BC21" s="125"/>
      <c r="BD21" s="123"/>
      <c r="BE21" s="124"/>
      <c r="BF21" s="124"/>
      <c r="BG21" s="124"/>
      <c r="BH21" s="124"/>
      <c r="BI21" s="124"/>
      <c r="BJ21" s="125"/>
      <c r="BK21" s="24"/>
    </row>
    <row r="22" spans="1:63" ht="15" customHeight="1" x14ac:dyDescent="0.25">
      <c r="A22" s="23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7"/>
      <c r="AY22" s="127"/>
      <c r="AZ22" s="127"/>
      <c r="BA22" s="127"/>
      <c r="BB22" s="127"/>
      <c r="BC22" s="128"/>
      <c r="BD22" s="126"/>
      <c r="BE22" s="127"/>
      <c r="BF22" s="127"/>
      <c r="BG22" s="127"/>
      <c r="BH22" s="127"/>
      <c r="BI22" s="127"/>
      <c r="BJ22" s="128"/>
      <c r="BK22" s="24"/>
    </row>
    <row r="23" spans="1:63" ht="15" customHeight="1" x14ac:dyDescent="0.25">
      <c r="A23" s="23"/>
      <c r="B23" s="77"/>
      <c r="C23" s="78"/>
      <c r="D23" s="78"/>
      <c r="E23" s="78"/>
      <c r="F23" s="78"/>
      <c r="G23" s="79"/>
      <c r="H23" s="77"/>
      <c r="I23" s="78"/>
      <c r="J23" s="78"/>
      <c r="K23" s="78"/>
      <c r="L23" s="78"/>
      <c r="M23" s="78"/>
      <c r="N23" s="79"/>
      <c r="O23" s="77"/>
      <c r="P23" s="78"/>
      <c r="Q23" s="78"/>
      <c r="R23" s="78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4"/>
      <c r="AX23" s="124"/>
      <c r="AY23" s="124"/>
      <c r="AZ23" s="124"/>
      <c r="BA23" s="124"/>
      <c r="BB23" s="124"/>
      <c r="BC23" s="125"/>
      <c r="BD23" s="123"/>
      <c r="BE23" s="124"/>
      <c r="BF23" s="124"/>
      <c r="BG23" s="124"/>
      <c r="BH23" s="124"/>
      <c r="BI23" s="124"/>
      <c r="BJ23" s="125"/>
      <c r="BK23" s="24"/>
    </row>
    <row r="24" spans="1:63" ht="15" customHeight="1" x14ac:dyDescent="0.25">
      <c r="A24" s="23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7"/>
      <c r="AY24" s="127"/>
      <c r="AZ24" s="127"/>
      <c r="BA24" s="127"/>
      <c r="BB24" s="127"/>
      <c r="BC24" s="128"/>
      <c r="BD24" s="126"/>
      <c r="BE24" s="127"/>
      <c r="BF24" s="127"/>
      <c r="BG24" s="127"/>
      <c r="BH24" s="127"/>
      <c r="BI24" s="127"/>
      <c r="BJ24" s="128"/>
      <c r="BK24" s="24"/>
    </row>
    <row r="25" spans="1:63" ht="15" customHeight="1" x14ac:dyDescent="0.25">
      <c r="A25" s="23"/>
      <c r="B25" s="77"/>
      <c r="C25" s="78"/>
      <c r="D25" s="78"/>
      <c r="E25" s="78"/>
      <c r="F25" s="78"/>
      <c r="G25" s="79"/>
      <c r="H25" s="77"/>
      <c r="I25" s="78"/>
      <c r="J25" s="78"/>
      <c r="K25" s="78"/>
      <c r="L25" s="78"/>
      <c r="M25" s="78"/>
      <c r="N25" s="79"/>
      <c r="O25" s="77"/>
      <c r="P25" s="78"/>
      <c r="Q25" s="78"/>
      <c r="R25" s="78"/>
      <c r="S25" s="132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4"/>
      <c r="AX25" s="124"/>
      <c r="AY25" s="124"/>
      <c r="AZ25" s="124"/>
      <c r="BA25" s="124"/>
      <c r="BB25" s="124"/>
      <c r="BC25" s="125"/>
      <c r="BD25" s="123"/>
      <c r="BE25" s="124"/>
      <c r="BF25" s="124"/>
      <c r="BG25" s="124"/>
      <c r="BH25" s="124"/>
      <c r="BI25" s="124"/>
      <c r="BJ25" s="125"/>
      <c r="BK25" s="24"/>
    </row>
    <row r="26" spans="1:63" ht="15" customHeight="1" x14ac:dyDescent="0.25">
      <c r="A26" s="23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7"/>
      <c r="AY26" s="127"/>
      <c r="AZ26" s="127"/>
      <c r="BA26" s="127"/>
      <c r="BB26" s="127"/>
      <c r="BC26" s="128"/>
      <c r="BD26" s="126"/>
      <c r="BE26" s="127"/>
      <c r="BF26" s="127"/>
      <c r="BG26" s="127"/>
      <c r="BH26" s="127"/>
      <c r="BI26" s="127"/>
      <c r="BJ26" s="128"/>
      <c r="BK26" s="24"/>
    </row>
    <row r="27" spans="1:63" ht="15" customHeight="1" x14ac:dyDescent="0.25">
      <c r="A27" s="23"/>
      <c r="B27" s="77"/>
      <c r="C27" s="78"/>
      <c r="D27" s="78"/>
      <c r="E27" s="78"/>
      <c r="F27" s="78"/>
      <c r="G27" s="79"/>
      <c r="H27" s="77"/>
      <c r="I27" s="78"/>
      <c r="J27" s="78"/>
      <c r="K27" s="78"/>
      <c r="L27" s="78"/>
      <c r="M27" s="78"/>
      <c r="N27" s="79"/>
      <c r="O27" s="77"/>
      <c r="P27" s="78"/>
      <c r="Q27" s="78"/>
      <c r="R27" s="78"/>
      <c r="S27" s="132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4"/>
      <c r="AX27" s="124"/>
      <c r="AY27" s="124"/>
      <c r="AZ27" s="124"/>
      <c r="BA27" s="124"/>
      <c r="BB27" s="124"/>
      <c r="BC27" s="125"/>
      <c r="BD27" s="123"/>
      <c r="BE27" s="124"/>
      <c r="BF27" s="124"/>
      <c r="BG27" s="124"/>
      <c r="BH27" s="124"/>
      <c r="BI27" s="124"/>
      <c r="BJ27" s="125"/>
      <c r="BK27" s="24"/>
    </row>
    <row r="28" spans="1:63" ht="15" customHeight="1" x14ac:dyDescent="0.25">
      <c r="A28" s="23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7"/>
      <c r="AY28" s="127"/>
      <c r="AZ28" s="127"/>
      <c r="BA28" s="127"/>
      <c r="BB28" s="127"/>
      <c r="BC28" s="128"/>
      <c r="BD28" s="126"/>
      <c r="BE28" s="127"/>
      <c r="BF28" s="127"/>
      <c r="BG28" s="127"/>
      <c r="BH28" s="127"/>
      <c r="BI28" s="127"/>
      <c r="BJ28" s="128"/>
      <c r="BK28" s="24"/>
    </row>
    <row r="29" spans="1:63" ht="15" customHeight="1" x14ac:dyDescent="0.25">
      <c r="A29" s="23"/>
      <c r="B29" s="77"/>
      <c r="C29" s="78"/>
      <c r="D29" s="78"/>
      <c r="E29" s="78"/>
      <c r="F29" s="78"/>
      <c r="G29" s="79"/>
      <c r="H29" s="77"/>
      <c r="I29" s="78"/>
      <c r="J29" s="78"/>
      <c r="K29" s="78"/>
      <c r="L29" s="78"/>
      <c r="M29" s="78"/>
      <c r="N29" s="79"/>
      <c r="O29" s="77"/>
      <c r="P29" s="78"/>
      <c r="Q29" s="78"/>
      <c r="R29" s="78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4"/>
      <c r="AX29" s="124"/>
      <c r="AY29" s="124"/>
      <c r="AZ29" s="124"/>
      <c r="BA29" s="124"/>
      <c r="BB29" s="124"/>
      <c r="BC29" s="125"/>
      <c r="BD29" s="123"/>
      <c r="BE29" s="124"/>
      <c r="BF29" s="124"/>
      <c r="BG29" s="124"/>
      <c r="BH29" s="124"/>
      <c r="BI29" s="124"/>
      <c r="BJ29" s="125"/>
      <c r="BK29" s="24"/>
    </row>
    <row r="30" spans="1:63" ht="15" customHeight="1" x14ac:dyDescent="0.25">
      <c r="A30" s="23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7"/>
      <c r="AY30" s="127"/>
      <c r="AZ30" s="127"/>
      <c r="BA30" s="127"/>
      <c r="BB30" s="127"/>
      <c r="BC30" s="128"/>
      <c r="BD30" s="126"/>
      <c r="BE30" s="127"/>
      <c r="BF30" s="127"/>
      <c r="BG30" s="127"/>
      <c r="BH30" s="127"/>
      <c r="BI30" s="127"/>
      <c r="BJ30" s="128"/>
      <c r="BK30" s="24"/>
    </row>
    <row r="31" spans="1:63" ht="15" customHeight="1" x14ac:dyDescent="0.25">
      <c r="A31" s="23"/>
      <c r="B31" s="77"/>
      <c r="C31" s="78"/>
      <c r="D31" s="78"/>
      <c r="E31" s="78"/>
      <c r="F31" s="78"/>
      <c r="G31" s="79"/>
      <c r="H31" s="77"/>
      <c r="I31" s="78"/>
      <c r="J31" s="78"/>
      <c r="K31" s="78"/>
      <c r="L31" s="78"/>
      <c r="M31" s="78"/>
      <c r="N31" s="79"/>
      <c r="O31" s="77"/>
      <c r="P31" s="78"/>
      <c r="Q31" s="78"/>
      <c r="R31" s="78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4"/>
      <c r="AX31" s="124"/>
      <c r="AY31" s="124"/>
      <c r="AZ31" s="124"/>
      <c r="BA31" s="124"/>
      <c r="BB31" s="124"/>
      <c r="BC31" s="125"/>
      <c r="BD31" s="123"/>
      <c r="BE31" s="124"/>
      <c r="BF31" s="124"/>
      <c r="BG31" s="124"/>
      <c r="BH31" s="124"/>
      <c r="BI31" s="124"/>
      <c r="BJ31" s="125"/>
      <c r="BK31" s="24"/>
    </row>
    <row r="32" spans="1:63" ht="15" customHeight="1" x14ac:dyDescent="0.25">
      <c r="A32" s="23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7"/>
      <c r="AY32" s="127"/>
      <c r="AZ32" s="127"/>
      <c r="BA32" s="127"/>
      <c r="BB32" s="127"/>
      <c r="BC32" s="128"/>
      <c r="BD32" s="126"/>
      <c r="BE32" s="127"/>
      <c r="BF32" s="127"/>
      <c r="BG32" s="127"/>
      <c r="BH32" s="127"/>
      <c r="BI32" s="127"/>
      <c r="BJ32" s="128"/>
      <c r="BK32" s="24"/>
    </row>
    <row r="33" spans="1:63" ht="15" customHeight="1" x14ac:dyDescent="0.25">
      <c r="A33" s="23"/>
      <c r="B33" s="77"/>
      <c r="C33" s="78"/>
      <c r="D33" s="78"/>
      <c r="E33" s="78"/>
      <c r="F33" s="78"/>
      <c r="G33" s="79"/>
      <c r="H33" s="77"/>
      <c r="I33" s="78"/>
      <c r="J33" s="78"/>
      <c r="K33" s="78"/>
      <c r="L33" s="78"/>
      <c r="M33" s="78"/>
      <c r="N33" s="79"/>
      <c r="O33" s="77"/>
      <c r="P33" s="78"/>
      <c r="Q33" s="78"/>
      <c r="R33" s="78"/>
      <c r="S33" s="132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4"/>
      <c r="AX33" s="124"/>
      <c r="AY33" s="124"/>
      <c r="AZ33" s="124"/>
      <c r="BA33" s="124"/>
      <c r="BB33" s="124"/>
      <c r="BC33" s="125"/>
      <c r="BD33" s="123"/>
      <c r="BE33" s="124"/>
      <c r="BF33" s="124"/>
      <c r="BG33" s="124"/>
      <c r="BH33" s="124"/>
      <c r="BI33" s="124"/>
      <c r="BJ33" s="125"/>
      <c r="BK33" s="24"/>
    </row>
    <row r="34" spans="1:63" ht="15" customHeight="1" x14ac:dyDescent="0.25">
      <c r="A34" s="23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7"/>
      <c r="AY34" s="127"/>
      <c r="AZ34" s="127"/>
      <c r="BA34" s="127"/>
      <c r="BB34" s="127"/>
      <c r="BC34" s="128"/>
      <c r="BD34" s="126"/>
      <c r="BE34" s="127"/>
      <c r="BF34" s="127"/>
      <c r="BG34" s="127"/>
      <c r="BH34" s="127"/>
      <c r="BI34" s="127"/>
      <c r="BJ34" s="128"/>
      <c r="BK34" s="24"/>
    </row>
    <row r="35" spans="1:63" ht="15" customHeight="1" x14ac:dyDescent="0.25">
      <c r="A35" s="23"/>
      <c r="B35" s="77"/>
      <c r="C35" s="78"/>
      <c r="D35" s="78"/>
      <c r="E35" s="78"/>
      <c r="F35" s="78"/>
      <c r="G35" s="79"/>
      <c r="H35" s="77"/>
      <c r="I35" s="78"/>
      <c r="J35" s="78"/>
      <c r="K35" s="78"/>
      <c r="L35" s="78"/>
      <c r="M35" s="78"/>
      <c r="N35" s="79"/>
      <c r="O35" s="77"/>
      <c r="P35" s="78"/>
      <c r="Q35" s="78"/>
      <c r="R35" s="78"/>
      <c r="S35" s="132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4"/>
      <c r="AX35" s="124"/>
      <c r="AY35" s="124"/>
      <c r="AZ35" s="124"/>
      <c r="BA35" s="124"/>
      <c r="BB35" s="124"/>
      <c r="BC35" s="125"/>
      <c r="BD35" s="123"/>
      <c r="BE35" s="124"/>
      <c r="BF35" s="124"/>
      <c r="BG35" s="124"/>
      <c r="BH35" s="124"/>
      <c r="BI35" s="124"/>
      <c r="BJ35" s="125"/>
      <c r="BK35" s="24"/>
    </row>
    <row r="36" spans="1:63" ht="15" customHeight="1" x14ac:dyDescent="0.25">
      <c r="A36" s="23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7"/>
      <c r="AY36" s="127"/>
      <c r="AZ36" s="127"/>
      <c r="BA36" s="127"/>
      <c r="BB36" s="127"/>
      <c r="BC36" s="128"/>
      <c r="BD36" s="126"/>
      <c r="BE36" s="127"/>
      <c r="BF36" s="127"/>
      <c r="BG36" s="127"/>
      <c r="BH36" s="127"/>
      <c r="BI36" s="127"/>
      <c r="BJ36" s="128"/>
      <c r="BK36" s="24"/>
    </row>
    <row r="37" spans="1:63" ht="15" customHeight="1" x14ac:dyDescent="0.25">
      <c r="A37" s="23"/>
      <c r="B37" s="77"/>
      <c r="C37" s="78"/>
      <c r="D37" s="78"/>
      <c r="E37" s="78"/>
      <c r="F37" s="78"/>
      <c r="G37" s="79"/>
      <c r="H37" s="77"/>
      <c r="I37" s="78"/>
      <c r="J37" s="78"/>
      <c r="K37" s="78"/>
      <c r="L37" s="78"/>
      <c r="M37" s="78"/>
      <c r="N37" s="79"/>
      <c r="O37" s="77"/>
      <c r="P37" s="78"/>
      <c r="Q37" s="78"/>
      <c r="R37" s="78"/>
      <c r="S37" s="132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4"/>
      <c r="AX37" s="124"/>
      <c r="AY37" s="124"/>
      <c r="AZ37" s="124"/>
      <c r="BA37" s="124"/>
      <c r="BB37" s="124"/>
      <c r="BC37" s="125"/>
      <c r="BD37" s="123"/>
      <c r="BE37" s="124"/>
      <c r="BF37" s="124"/>
      <c r="BG37" s="124"/>
      <c r="BH37" s="124"/>
      <c r="BI37" s="124"/>
      <c r="BJ37" s="125"/>
      <c r="BK37" s="24"/>
    </row>
    <row r="38" spans="1:63" ht="15" customHeight="1" x14ac:dyDescent="0.25">
      <c r="A38" s="23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7"/>
      <c r="AY38" s="127"/>
      <c r="AZ38" s="127"/>
      <c r="BA38" s="127"/>
      <c r="BB38" s="127"/>
      <c r="BC38" s="128"/>
      <c r="BD38" s="126"/>
      <c r="BE38" s="127"/>
      <c r="BF38" s="127"/>
      <c r="BG38" s="127"/>
      <c r="BH38" s="127"/>
      <c r="BI38" s="127"/>
      <c r="BJ38" s="128"/>
      <c r="BK38" s="24"/>
    </row>
    <row r="39" spans="1:63" ht="15" customHeight="1" x14ac:dyDescent="0.25">
      <c r="A39" s="23"/>
      <c r="B39" s="77"/>
      <c r="C39" s="78"/>
      <c r="D39" s="78"/>
      <c r="E39" s="78"/>
      <c r="F39" s="78"/>
      <c r="G39" s="79"/>
      <c r="H39" s="77"/>
      <c r="I39" s="78"/>
      <c r="J39" s="78"/>
      <c r="K39" s="78"/>
      <c r="L39" s="78"/>
      <c r="M39" s="78"/>
      <c r="N39" s="79"/>
      <c r="O39" s="77"/>
      <c r="P39" s="78"/>
      <c r="Q39" s="78"/>
      <c r="R39" s="78"/>
      <c r="S39" s="132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4"/>
      <c r="AX39" s="124"/>
      <c r="AY39" s="124"/>
      <c r="AZ39" s="124"/>
      <c r="BA39" s="124"/>
      <c r="BB39" s="124"/>
      <c r="BC39" s="125"/>
      <c r="BD39" s="123"/>
      <c r="BE39" s="124"/>
      <c r="BF39" s="124"/>
      <c r="BG39" s="124"/>
      <c r="BH39" s="124"/>
      <c r="BI39" s="124"/>
      <c r="BJ39" s="125"/>
      <c r="BK39" s="24"/>
    </row>
    <row r="40" spans="1:63" ht="15" customHeight="1" x14ac:dyDescent="0.25">
      <c r="A40" s="23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7"/>
      <c r="AY40" s="127"/>
      <c r="AZ40" s="127"/>
      <c r="BA40" s="127"/>
      <c r="BB40" s="127"/>
      <c r="BC40" s="128"/>
      <c r="BD40" s="126"/>
      <c r="BE40" s="127"/>
      <c r="BF40" s="127"/>
      <c r="BG40" s="127"/>
      <c r="BH40" s="127"/>
      <c r="BI40" s="127"/>
      <c r="BJ40" s="128"/>
      <c r="BK40" s="24"/>
    </row>
    <row r="41" spans="1:63" ht="15" customHeight="1" x14ac:dyDescent="0.25">
      <c r="A41" s="23"/>
      <c r="B41" s="77"/>
      <c r="C41" s="78"/>
      <c r="D41" s="78"/>
      <c r="E41" s="78"/>
      <c r="F41" s="78"/>
      <c r="G41" s="79"/>
      <c r="H41" s="77"/>
      <c r="I41" s="78"/>
      <c r="J41" s="78"/>
      <c r="K41" s="78"/>
      <c r="L41" s="78"/>
      <c r="M41" s="78"/>
      <c r="N41" s="79"/>
      <c r="O41" s="77"/>
      <c r="P41" s="78"/>
      <c r="Q41" s="78"/>
      <c r="R41" s="78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4"/>
      <c r="AX41" s="124"/>
      <c r="AY41" s="124"/>
      <c r="AZ41" s="124"/>
      <c r="BA41" s="124"/>
      <c r="BB41" s="124"/>
      <c r="BC41" s="125"/>
      <c r="BD41" s="123"/>
      <c r="BE41" s="124"/>
      <c r="BF41" s="124"/>
      <c r="BG41" s="124"/>
      <c r="BH41" s="124"/>
      <c r="BI41" s="124"/>
      <c r="BJ41" s="125"/>
      <c r="BK41" s="24"/>
    </row>
    <row r="42" spans="1:63" ht="15" customHeight="1" x14ac:dyDescent="0.25">
      <c r="A42" s="23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7"/>
      <c r="AY42" s="127"/>
      <c r="AZ42" s="127"/>
      <c r="BA42" s="127"/>
      <c r="BB42" s="127"/>
      <c r="BC42" s="128"/>
      <c r="BD42" s="126"/>
      <c r="BE42" s="127"/>
      <c r="BF42" s="127"/>
      <c r="BG42" s="127"/>
      <c r="BH42" s="127"/>
      <c r="BI42" s="127"/>
      <c r="BJ42" s="128"/>
      <c r="BK42" s="24"/>
    </row>
    <row r="43" spans="1:63" ht="15" customHeight="1" x14ac:dyDescent="0.25">
      <c r="A43" s="23"/>
      <c r="B43" s="77"/>
      <c r="C43" s="78"/>
      <c r="D43" s="78"/>
      <c r="E43" s="78"/>
      <c r="F43" s="78"/>
      <c r="G43" s="79"/>
      <c r="H43" s="77"/>
      <c r="I43" s="78"/>
      <c r="J43" s="78"/>
      <c r="K43" s="78"/>
      <c r="L43" s="78"/>
      <c r="M43" s="78"/>
      <c r="N43" s="79"/>
      <c r="O43" s="77"/>
      <c r="P43" s="78"/>
      <c r="Q43" s="78"/>
      <c r="R43" s="78"/>
      <c r="S43" s="132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4"/>
      <c r="AX43" s="124"/>
      <c r="AY43" s="124"/>
      <c r="AZ43" s="124"/>
      <c r="BA43" s="124"/>
      <c r="BB43" s="124"/>
      <c r="BC43" s="125"/>
      <c r="BD43" s="123"/>
      <c r="BE43" s="124"/>
      <c r="BF43" s="124"/>
      <c r="BG43" s="124"/>
      <c r="BH43" s="124"/>
      <c r="BI43" s="124"/>
      <c r="BJ43" s="125"/>
      <c r="BK43" s="24"/>
    </row>
    <row r="44" spans="1:63" ht="15" customHeight="1" x14ac:dyDescent="0.25">
      <c r="A44" s="23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7"/>
      <c r="AY44" s="127"/>
      <c r="AZ44" s="127"/>
      <c r="BA44" s="127"/>
      <c r="BB44" s="127"/>
      <c r="BC44" s="128"/>
      <c r="BD44" s="126"/>
      <c r="BE44" s="127"/>
      <c r="BF44" s="127"/>
      <c r="BG44" s="127"/>
      <c r="BH44" s="127"/>
      <c r="BI44" s="127"/>
      <c r="BJ44" s="128"/>
      <c r="BK44" s="24"/>
    </row>
    <row r="45" spans="1:63" ht="15" customHeight="1" x14ac:dyDescent="0.25">
      <c r="A45" s="23"/>
      <c r="B45" s="77"/>
      <c r="C45" s="78"/>
      <c r="D45" s="78"/>
      <c r="E45" s="78"/>
      <c r="F45" s="78"/>
      <c r="G45" s="79"/>
      <c r="H45" s="77"/>
      <c r="I45" s="78"/>
      <c r="J45" s="78"/>
      <c r="K45" s="78"/>
      <c r="L45" s="78"/>
      <c r="M45" s="78"/>
      <c r="N45" s="79"/>
      <c r="O45" s="77"/>
      <c r="P45" s="78"/>
      <c r="Q45" s="78"/>
      <c r="R45" s="78"/>
      <c r="S45" s="132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4"/>
      <c r="AX45" s="124"/>
      <c r="AY45" s="124"/>
      <c r="AZ45" s="124"/>
      <c r="BA45" s="124"/>
      <c r="BB45" s="124"/>
      <c r="BC45" s="125"/>
      <c r="BD45" s="123"/>
      <c r="BE45" s="124"/>
      <c r="BF45" s="124"/>
      <c r="BG45" s="124"/>
      <c r="BH45" s="124"/>
      <c r="BI45" s="124"/>
      <c r="BJ45" s="125"/>
      <c r="BK45" s="24"/>
    </row>
    <row r="46" spans="1:63" ht="15" customHeight="1" x14ac:dyDescent="0.25">
      <c r="A46" s="23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7"/>
      <c r="AY46" s="127"/>
      <c r="AZ46" s="127"/>
      <c r="BA46" s="127"/>
      <c r="BB46" s="127"/>
      <c r="BC46" s="128"/>
      <c r="BD46" s="126"/>
      <c r="BE46" s="127"/>
      <c r="BF46" s="127"/>
      <c r="BG46" s="127"/>
      <c r="BH46" s="127"/>
      <c r="BI46" s="127"/>
      <c r="BJ46" s="128"/>
      <c r="BK46" s="24"/>
    </row>
    <row r="47" spans="1:63" ht="15" customHeight="1" x14ac:dyDescent="0.25">
      <c r="A47" s="23"/>
      <c r="B47" s="77"/>
      <c r="C47" s="78"/>
      <c r="D47" s="78"/>
      <c r="E47" s="78"/>
      <c r="F47" s="78"/>
      <c r="G47" s="79"/>
      <c r="H47" s="77"/>
      <c r="I47" s="78"/>
      <c r="J47" s="78"/>
      <c r="K47" s="78"/>
      <c r="L47" s="78"/>
      <c r="M47" s="78"/>
      <c r="N47" s="79"/>
      <c r="O47" s="77"/>
      <c r="P47" s="78"/>
      <c r="Q47" s="78"/>
      <c r="R47" s="78"/>
      <c r="S47" s="132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4"/>
      <c r="AX47" s="124"/>
      <c r="AY47" s="124"/>
      <c r="AZ47" s="124"/>
      <c r="BA47" s="124"/>
      <c r="BB47" s="124"/>
      <c r="BC47" s="125"/>
      <c r="BD47" s="123"/>
      <c r="BE47" s="124"/>
      <c r="BF47" s="124"/>
      <c r="BG47" s="124"/>
      <c r="BH47" s="124"/>
      <c r="BI47" s="124"/>
      <c r="BJ47" s="125"/>
      <c r="BK47" s="24"/>
    </row>
    <row r="48" spans="1:63" ht="15" customHeight="1" x14ac:dyDescent="0.25">
      <c r="A48" s="23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7"/>
      <c r="AY48" s="127"/>
      <c r="AZ48" s="127"/>
      <c r="BA48" s="127"/>
      <c r="BB48" s="127"/>
      <c r="BC48" s="128"/>
      <c r="BD48" s="126"/>
      <c r="BE48" s="127"/>
      <c r="BF48" s="127"/>
      <c r="BG48" s="127"/>
      <c r="BH48" s="127"/>
      <c r="BI48" s="127"/>
      <c r="BJ48" s="128"/>
      <c r="BK48" s="24"/>
    </row>
    <row r="49" spans="1:63" ht="15" customHeight="1" x14ac:dyDescent="0.25">
      <c r="A49" s="23"/>
      <c r="B49" s="77"/>
      <c r="C49" s="78"/>
      <c r="D49" s="78"/>
      <c r="E49" s="78"/>
      <c r="F49" s="78"/>
      <c r="G49" s="79"/>
      <c r="H49" s="77"/>
      <c r="I49" s="78"/>
      <c r="J49" s="78"/>
      <c r="K49" s="78"/>
      <c r="L49" s="78"/>
      <c r="M49" s="78"/>
      <c r="N49" s="79"/>
      <c r="O49" s="77"/>
      <c r="P49" s="78"/>
      <c r="Q49" s="78"/>
      <c r="R49" s="78"/>
      <c r="S49" s="132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4"/>
      <c r="AX49" s="124"/>
      <c r="AY49" s="124"/>
      <c r="AZ49" s="124"/>
      <c r="BA49" s="124"/>
      <c r="BB49" s="124"/>
      <c r="BC49" s="125"/>
      <c r="BD49" s="123"/>
      <c r="BE49" s="124"/>
      <c r="BF49" s="124"/>
      <c r="BG49" s="124"/>
      <c r="BH49" s="124"/>
      <c r="BI49" s="124"/>
      <c r="BJ49" s="125"/>
      <c r="BK49" s="24"/>
    </row>
    <row r="50" spans="1:63" ht="15" customHeight="1" x14ac:dyDescent="0.25">
      <c r="A50" s="23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7"/>
      <c r="AY50" s="127"/>
      <c r="AZ50" s="127"/>
      <c r="BA50" s="127"/>
      <c r="BB50" s="127"/>
      <c r="BC50" s="128"/>
      <c r="BD50" s="126"/>
      <c r="BE50" s="127"/>
      <c r="BF50" s="127"/>
      <c r="BG50" s="127"/>
      <c r="BH50" s="127"/>
      <c r="BI50" s="127"/>
      <c r="BJ50" s="128"/>
      <c r="BK50" s="24"/>
    </row>
    <row r="51" spans="1:63" ht="15" customHeight="1" x14ac:dyDescent="0.25">
      <c r="A51" s="23"/>
      <c r="B51" s="77"/>
      <c r="C51" s="78"/>
      <c r="D51" s="78"/>
      <c r="E51" s="78"/>
      <c r="F51" s="78"/>
      <c r="G51" s="79"/>
      <c r="H51" s="77"/>
      <c r="I51" s="78"/>
      <c r="J51" s="78"/>
      <c r="K51" s="78"/>
      <c r="L51" s="78"/>
      <c r="M51" s="78"/>
      <c r="N51" s="79"/>
      <c r="O51" s="77"/>
      <c r="P51" s="78"/>
      <c r="Q51" s="78"/>
      <c r="R51" s="78"/>
      <c r="S51" s="132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4"/>
      <c r="AX51" s="124"/>
      <c r="AY51" s="124"/>
      <c r="AZ51" s="124"/>
      <c r="BA51" s="124"/>
      <c r="BB51" s="124"/>
      <c r="BC51" s="125"/>
      <c r="BD51" s="123"/>
      <c r="BE51" s="124"/>
      <c r="BF51" s="124"/>
      <c r="BG51" s="124"/>
      <c r="BH51" s="124"/>
      <c r="BI51" s="124"/>
      <c r="BJ51" s="125"/>
      <c r="BK51" s="24"/>
    </row>
    <row r="52" spans="1:63" ht="15" customHeight="1" x14ac:dyDescent="0.25">
      <c r="A52" s="23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7"/>
      <c r="AY52" s="127"/>
      <c r="AZ52" s="127"/>
      <c r="BA52" s="127"/>
      <c r="BB52" s="127"/>
      <c r="BC52" s="128"/>
      <c r="BD52" s="126"/>
      <c r="BE52" s="127"/>
      <c r="BF52" s="127"/>
      <c r="BG52" s="127"/>
      <c r="BH52" s="127"/>
      <c r="BI52" s="127"/>
      <c r="BJ52" s="128"/>
      <c r="BK52" s="24"/>
    </row>
    <row r="53" spans="1:63" ht="15" customHeight="1" x14ac:dyDescent="0.25">
      <c r="A53" s="23"/>
      <c r="B53" s="77"/>
      <c r="C53" s="78"/>
      <c r="D53" s="78"/>
      <c r="E53" s="78"/>
      <c r="F53" s="78"/>
      <c r="G53" s="79"/>
      <c r="H53" s="77"/>
      <c r="I53" s="78"/>
      <c r="J53" s="78"/>
      <c r="K53" s="78"/>
      <c r="L53" s="78"/>
      <c r="M53" s="78"/>
      <c r="N53" s="79"/>
      <c r="O53" s="77"/>
      <c r="P53" s="78"/>
      <c r="Q53" s="78"/>
      <c r="R53" s="78"/>
      <c r="S53" s="132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4"/>
      <c r="AX53" s="124"/>
      <c r="AY53" s="124"/>
      <c r="AZ53" s="124"/>
      <c r="BA53" s="124"/>
      <c r="BB53" s="124"/>
      <c r="BC53" s="125"/>
      <c r="BD53" s="123"/>
      <c r="BE53" s="124"/>
      <c r="BF53" s="124"/>
      <c r="BG53" s="124"/>
      <c r="BH53" s="124"/>
      <c r="BI53" s="124"/>
      <c r="BJ53" s="125"/>
      <c r="BK53" s="24"/>
    </row>
    <row r="54" spans="1:63" ht="15" customHeight="1" x14ac:dyDescent="0.25">
      <c r="A54" s="23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7"/>
      <c r="AY54" s="127"/>
      <c r="AZ54" s="127"/>
      <c r="BA54" s="127"/>
      <c r="BB54" s="127"/>
      <c r="BC54" s="128"/>
      <c r="BD54" s="126"/>
      <c r="BE54" s="127"/>
      <c r="BF54" s="127"/>
      <c r="BG54" s="127"/>
      <c r="BH54" s="127"/>
      <c r="BI54" s="127"/>
      <c r="BJ54" s="128"/>
      <c r="BK54" s="24"/>
    </row>
    <row r="55" spans="1:63" ht="15" customHeight="1" x14ac:dyDescent="0.25">
      <c r="A55" s="20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50" t="s">
        <v>0</v>
      </c>
      <c r="B1" s="151"/>
      <c r="C1" s="151"/>
      <c r="D1" s="151"/>
      <c r="E1" s="151"/>
      <c r="F1" s="151"/>
      <c r="G1" s="151"/>
      <c r="H1" s="151"/>
      <c r="I1" s="151"/>
      <c r="J1" s="152"/>
      <c r="K1" s="150" t="s">
        <v>2</v>
      </c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2"/>
      <c r="W1" s="168" t="str">
        <f>IF(表紙!W1="","",表紙!W1)</f>
        <v>基本設計書</v>
      </c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70"/>
      <c r="AP1" s="150" t="s">
        <v>3</v>
      </c>
      <c r="AQ1" s="151"/>
      <c r="AR1" s="151"/>
      <c r="AS1" s="152"/>
      <c r="AT1" s="150" t="s">
        <v>4</v>
      </c>
      <c r="AU1" s="151"/>
      <c r="AV1" s="151"/>
      <c r="AW1" s="151"/>
      <c r="AX1" s="152"/>
      <c r="AY1" s="150" t="s">
        <v>5</v>
      </c>
      <c r="AZ1" s="151"/>
      <c r="BA1" s="151"/>
      <c r="BB1" s="152"/>
      <c r="BC1" s="150" t="s">
        <v>6</v>
      </c>
      <c r="BD1" s="151"/>
      <c r="BE1" s="151"/>
      <c r="BF1" s="151"/>
      <c r="BG1" s="152"/>
      <c r="BH1" s="150" t="s">
        <v>7</v>
      </c>
      <c r="BI1" s="151"/>
      <c r="BJ1" s="151"/>
      <c r="BK1" s="152"/>
    </row>
    <row r="2" spans="1:63" ht="15" customHeight="1" x14ac:dyDescent="0.25">
      <c r="A2" s="156" t="str">
        <f>IF(表紙!A2="","",表紙!A2)</f>
        <v>POSサーバー</v>
      </c>
      <c r="B2" s="157"/>
      <c r="C2" s="157"/>
      <c r="D2" s="157"/>
      <c r="E2" s="157"/>
      <c r="F2" s="157"/>
      <c r="G2" s="157"/>
      <c r="H2" s="157"/>
      <c r="I2" s="157"/>
      <c r="J2" s="158"/>
      <c r="K2" s="156" t="str">
        <f>IF(表紙!K2="","",表紙!K2)</f>
        <v>POSサーバー</v>
      </c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8"/>
      <c r="W2" s="171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  <c r="AK2" s="172"/>
      <c r="AL2" s="172"/>
      <c r="AM2" s="172"/>
      <c r="AN2" s="172"/>
      <c r="AO2" s="173"/>
      <c r="AP2" s="156" t="str">
        <f>IF(表紙!AP2="","",表紙!AP2)</f>
        <v>TuyenNH</v>
      </c>
      <c r="AQ2" s="157"/>
      <c r="AR2" s="157"/>
      <c r="AS2" s="158"/>
      <c r="AT2" s="162">
        <v>45084</v>
      </c>
      <c r="AU2" s="163"/>
      <c r="AV2" s="163"/>
      <c r="AW2" s="163"/>
      <c r="AX2" s="164"/>
      <c r="AY2" s="156" t="str">
        <f>IF(表紙!AY2="","",表紙!AY2)</f>
        <v>TuyenNH</v>
      </c>
      <c r="AZ2" s="157"/>
      <c r="BA2" s="157"/>
      <c r="BB2" s="158"/>
      <c r="BC2" s="162">
        <f>IF(表紙!BC2="","",表紙!BC2)</f>
        <v>45523</v>
      </c>
      <c r="BD2" s="163"/>
      <c r="BE2" s="163"/>
      <c r="BF2" s="163"/>
      <c r="BG2" s="164"/>
      <c r="BH2" s="156">
        <f>IF(表紙!BH2="","",表紙!BH2)</f>
        <v>0.14000000000000001</v>
      </c>
      <c r="BI2" s="157"/>
      <c r="BJ2" s="157"/>
      <c r="BK2" s="158"/>
    </row>
    <row r="3" spans="1:63" ht="15" customHeight="1" x14ac:dyDescent="0.25">
      <c r="A3" s="159"/>
      <c r="B3" s="160"/>
      <c r="C3" s="160"/>
      <c r="D3" s="160"/>
      <c r="E3" s="160"/>
      <c r="F3" s="160"/>
      <c r="G3" s="160"/>
      <c r="H3" s="160"/>
      <c r="I3" s="160"/>
      <c r="J3" s="161"/>
      <c r="K3" s="159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74"/>
      <c r="X3" s="175"/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5"/>
      <c r="AK3" s="175"/>
      <c r="AL3" s="175"/>
      <c r="AM3" s="175"/>
      <c r="AN3" s="175"/>
      <c r="AO3" s="176"/>
      <c r="AP3" s="159"/>
      <c r="AQ3" s="160"/>
      <c r="AR3" s="160"/>
      <c r="AS3" s="161"/>
      <c r="AT3" s="165"/>
      <c r="AU3" s="166"/>
      <c r="AV3" s="166"/>
      <c r="AW3" s="166"/>
      <c r="AX3" s="167"/>
      <c r="AY3" s="159"/>
      <c r="AZ3" s="160"/>
      <c r="BA3" s="160"/>
      <c r="BB3" s="161"/>
      <c r="BC3" s="165"/>
      <c r="BD3" s="166"/>
      <c r="BE3" s="166"/>
      <c r="BF3" s="166"/>
      <c r="BG3" s="167"/>
      <c r="BH3" s="159"/>
      <c r="BI3" s="160"/>
      <c r="BJ3" s="160"/>
      <c r="BK3" s="161"/>
    </row>
    <row r="4" spans="1:63" ht="24.95" customHeight="1" x14ac:dyDescent="0.25">
      <c r="A4" s="150" t="s">
        <v>1</v>
      </c>
      <c r="B4" s="151"/>
      <c r="C4" s="151"/>
      <c r="D4" s="151"/>
      <c r="E4" s="151"/>
      <c r="F4" s="151"/>
      <c r="G4" s="152"/>
      <c r="H4" s="153" t="str">
        <f>IF(表紙!H4="","",表紙!H4)</f>
        <v>26 取扱設定マスタ設定(Welcia)</v>
      </c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5"/>
      <c r="U4" s="150" t="s">
        <v>8</v>
      </c>
      <c r="V4" s="151"/>
      <c r="W4" s="151"/>
      <c r="X4" s="151"/>
      <c r="Y4" s="152"/>
      <c r="Z4" s="153" t="str">
        <f>IF(表紙!Z4="","",表紙!Z4)</f>
        <v>概要設計書</v>
      </c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5"/>
      <c r="AP4" s="153" t="str">
        <f t="array" aca="1" ref="AP4" ca="1">RIGHT(CELL("filename",$A$1),LEN(CELL("filename",$A$1))-FIND("]",CELL("filename",$A$1)))</f>
        <v>業務フロー凡例</v>
      </c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5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6" s="4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/>
      <c r="AF6" s="40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2"/>
      <c r="BJ6" s="41"/>
      <c r="BK6" s="43"/>
    </row>
    <row r="7" spans="1:63" ht="15" customHeight="1" x14ac:dyDescent="0.25">
      <c r="A7" s="39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43"/>
    </row>
    <row r="8" spans="1:63" ht="15" customHeight="1" x14ac:dyDescent="0.25">
      <c r="A8" s="39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2"/>
      <c r="AF8" s="40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2"/>
      <c r="BJ8" s="41"/>
      <c r="BK8" s="43"/>
    </row>
    <row r="9" spans="1:63" ht="15" customHeight="1" x14ac:dyDescent="0.25">
      <c r="A9" s="39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2"/>
      <c r="AF9" s="40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2"/>
      <c r="BJ9" s="41"/>
      <c r="BK9" s="43"/>
    </row>
    <row r="10" spans="1:63" ht="15" customHeight="1" x14ac:dyDescent="0.25">
      <c r="A10" s="39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2"/>
      <c r="AF10" s="40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2"/>
      <c r="BJ10" s="41"/>
      <c r="BK10" s="43"/>
    </row>
    <row r="11" spans="1:63" ht="15" customHeight="1" x14ac:dyDescent="0.25">
      <c r="A11" s="39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2"/>
      <c r="AF11" s="40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2"/>
      <c r="BJ11" s="41"/>
      <c r="BK11" s="43"/>
    </row>
    <row r="12" spans="1:63" ht="15" customHeight="1" x14ac:dyDescent="0.25">
      <c r="A12" s="39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2"/>
      <c r="AF12" s="40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2"/>
      <c r="BJ12" s="41"/>
      <c r="BK12" s="43"/>
    </row>
    <row r="13" spans="1:63" ht="15" customHeight="1" x14ac:dyDescent="0.25">
      <c r="A13" s="39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0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2"/>
      <c r="BJ13" s="41"/>
      <c r="BK13" s="43"/>
    </row>
    <row r="14" spans="1:63" ht="15" customHeight="1" x14ac:dyDescent="0.25">
      <c r="A14" s="39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2"/>
      <c r="AF14" s="40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2"/>
      <c r="BJ14" s="41"/>
      <c r="BK14" s="43"/>
    </row>
    <row r="15" spans="1:63" ht="15" customHeight="1" x14ac:dyDescent="0.25">
      <c r="A15" s="39"/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2"/>
      <c r="AF15" s="40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2"/>
      <c r="BJ15" s="41"/>
      <c r="BK15" s="43"/>
    </row>
    <row r="16" spans="1:63" ht="15" customHeight="1" x14ac:dyDescent="0.25">
      <c r="A16" s="39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2"/>
      <c r="AF16" s="40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2"/>
      <c r="BJ16" s="41"/>
      <c r="BK16" s="43"/>
    </row>
    <row r="17" spans="1:63" ht="15" customHeight="1" x14ac:dyDescent="0.25">
      <c r="A17" s="39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2"/>
      <c r="AF17" s="40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2"/>
      <c r="BJ17" s="41"/>
      <c r="BK17" s="43"/>
    </row>
    <row r="18" spans="1:63" ht="15" customHeight="1" x14ac:dyDescent="0.25">
      <c r="A18" s="39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2"/>
      <c r="AF18" s="40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2"/>
      <c r="BJ18" s="41"/>
      <c r="BK18" s="43"/>
    </row>
    <row r="19" spans="1:63" ht="15" customHeight="1" x14ac:dyDescent="0.25">
      <c r="A19" s="39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2"/>
      <c r="AF19" s="40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2"/>
      <c r="BJ19" s="41"/>
      <c r="BK19" s="43"/>
    </row>
    <row r="20" spans="1:63" ht="15" customHeight="1" x14ac:dyDescent="0.25">
      <c r="A20" s="39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2"/>
      <c r="AF20" s="40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2"/>
      <c r="BJ20" s="41"/>
      <c r="BK20" s="43"/>
    </row>
    <row r="21" spans="1:63" ht="15" customHeight="1" x14ac:dyDescent="0.25">
      <c r="A21" s="39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2"/>
      <c r="AF21" s="40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2"/>
      <c r="BJ21" s="41"/>
      <c r="BK21" s="43"/>
    </row>
    <row r="22" spans="1:63" ht="15" customHeight="1" x14ac:dyDescent="0.25">
      <c r="A22" s="39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43"/>
    </row>
    <row r="23" spans="1:63" ht="15" customHeight="1" x14ac:dyDescent="0.25">
      <c r="A23" s="39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2"/>
      <c r="AF23" s="40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2"/>
      <c r="BJ23" s="41"/>
      <c r="BK23" s="43"/>
    </row>
    <row r="24" spans="1:63" ht="15" customHeight="1" x14ac:dyDescent="0.25">
      <c r="A24" s="39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2"/>
      <c r="AF24" s="40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2"/>
      <c r="BJ24" s="41"/>
      <c r="BK24" s="43"/>
    </row>
    <row r="25" spans="1:63" ht="15" customHeight="1" x14ac:dyDescent="0.25">
      <c r="A25" s="39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2"/>
      <c r="AF25" s="40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2"/>
      <c r="BJ25" s="41"/>
      <c r="BK25" s="43"/>
    </row>
    <row r="26" spans="1:63" ht="15" customHeight="1" x14ac:dyDescent="0.25">
      <c r="A26" s="39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2"/>
      <c r="AF26" s="40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2"/>
      <c r="BJ26" s="41"/>
      <c r="BK26" s="43"/>
    </row>
    <row r="27" spans="1:63" ht="15" customHeight="1" x14ac:dyDescent="0.25">
      <c r="A27" s="39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2"/>
      <c r="AF27" s="40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2"/>
      <c r="BJ27" s="41"/>
      <c r="BK27" s="43"/>
    </row>
    <row r="28" spans="1:63" ht="15" customHeight="1" x14ac:dyDescent="0.25">
      <c r="A28" s="39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2"/>
      <c r="AF28" s="40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2"/>
      <c r="BJ28" s="41"/>
      <c r="BK28" s="43"/>
    </row>
    <row r="29" spans="1:63" ht="15" customHeight="1" x14ac:dyDescent="0.25">
      <c r="A29" s="39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2"/>
      <c r="AF29" s="40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2"/>
      <c r="BJ29" s="41"/>
      <c r="BK29" s="43"/>
    </row>
    <row r="30" spans="1:63" ht="15" customHeight="1" x14ac:dyDescent="0.25">
      <c r="A30" s="39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2"/>
      <c r="AF30" s="40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2"/>
      <c r="BJ30" s="41"/>
      <c r="BK30" s="43"/>
    </row>
    <row r="31" spans="1:63" ht="15" customHeight="1" x14ac:dyDescent="0.25">
      <c r="A31" s="39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2"/>
      <c r="AF31" s="40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2"/>
      <c r="BJ31" s="41"/>
      <c r="BK31" s="43"/>
    </row>
    <row r="32" spans="1:63" ht="15" customHeight="1" x14ac:dyDescent="0.25">
      <c r="A32" s="39"/>
      <c r="B32" s="40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2"/>
      <c r="AF32" s="40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2"/>
      <c r="BJ32" s="41"/>
      <c r="BK32" s="43"/>
    </row>
    <row r="33" spans="1:63" ht="15" customHeight="1" x14ac:dyDescent="0.25">
      <c r="A33" s="39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2"/>
      <c r="AF33" s="40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2"/>
      <c r="BJ33" s="41"/>
      <c r="BK33" s="43"/>
    </row>
    <row r="34" spans="1:63" ht="15" customHeight="1" x14ac:dyDescent="0.25">
      <c r="A34" s="39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2"/>
      <c r="AF34" s="40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2"/>
      <c r="BJ34" s="41"/>
      <c r="BK34" s="43"/>
    </row>
    <row r="35" spans="1:63" ht="15" customHeight="1" x14ac:dyDescent="0.25">
      <c r="A35" s="39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2"/>
      <c r="AF35" s="40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2"/>
      <c r="BJ35" s="41"/>
      <c r="BK35" s="43"/>
    </row>
    <row r="36" spans="1:63" ht="15" customHeight="1" x14ac:dyDescent="0.25">
      <c r="A36" s="39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2"/>
      <c r="AF36" s="40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2"/>
      <c r="BJ36" s="41"/>
      <c r="BK36" s="43"/>
    </row>
    <row r="37" spans="1:63" ht="15" customHeight="1" x14ac:dyDescent="0.25">
      <c r="A37" s="39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0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2"/>
      <c r="BJ37" s="41"/>
      <c r="BK37" s="43"/>
    </row>
    <row r="38" spans="1:63" ht="15" customHeight="1" x14ac:dyDescent="0.25">
      <c r="A38" s="39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0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2"/>
      <c r="BJ38" s="41"/>
      <c r="BK38" s="43"/>
    </row>
    <row r="39" spans="1:63" ht="15" customHeight="1" x14ac:dyDescent="0.25">
      <c r="A39" s="39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0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2"/>
      <c r="BJ39" s="41"/>
      <c r="BK39" s="43"/>
    </row>
    <row r="40" spans="1:63" ht="15" customHeight="1" x14ac:dyDescent="0.25">
      <c r="A40" s="39"/>
      <c r="B40" s="40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0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2"/>
      <c r="BJ40" s="41"/>
      <c r="BK40" s="43"/>
    </row>
    <row r="41" spans="1:63" ht="15" customHeight="1" x14ac:dyDescent="0.25">
      <c r="A41" s="39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0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2"/>
      <c r="BJ41" s="41"/>
      <c r="BK41" s="43"/>
    </row>
    <row r="42" spans="1:63" ht="15" customHeight="1" x14ac:dyDescent="0.25">
      <c r="A42" s="39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43"/>
    </row>
    <row r="43" spans="1:63" ht="15" customHeight="1" x14ac:dyDescent="0.25">
      <c r="A43" s="39"/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2"/>
      <c r="AF43" s="40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2"/>
      <c r="BJ43" s="41"/>
      <c r="BK43" s="43"/>
    </row>
    <row r="44" spans="1:63" ht="15" customHeight="1" x14ac:dyDescent="0.25">
      <c r="A44" s="39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2"/>
      <c r="AF44" s="40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2"/>
      <c r="BJ44" s="41"/>
      <c r="BK44" s="43"/>
    </row>
    <row r="45" spans="1:63" ht="15" customHeight="1" x14ac:dyDescent="0.25">
      <c r="A45" s="39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2"/>
      <c r="AF45" s="40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2"/>
      <c r="BJ45" s="41"/>
      <c r="BK45" s="43"/>
    </row>
    <row r="46" spans="1:63" ht="15" customHeight="1" x14ac:dyDescent="0.25">
      <c r="A46" s="39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2"/>
      <c r="AF46" s="40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2"/>
      <c r="BJ46" s="41"/>
      <c r="BK46" s="43"/>
    </row>
    <row r="47" spans="1:63" ht="15" customHeight="1" x14ac:dyDescent="0.25">
      <c r="A47" s="39"/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2"/>
      <c r="AF47" s="40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2"/>
      <c r="BJ47" s="41"/>
      <c r="BK47" s="43"/>
    </row>
    <row r="48" spans="1:63" ht="15" customHeight="1" x14ac:dyDescent="0.25">
      <c r="A48" s="39"/>
      <c r="B48" s="40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2"/>
      <c r="AF48" s="40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2"/>
      <c r="BJ48" s="41"/>
      <c r="BK48" s="43"/>
    </row>
    <row r="49" spans="1:63" ht="15" customHeight="1" x14ac:dyDescent="0.25">
      <c r="A49" s="39"/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0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2"/>
      <c r="BJ49" s="41"/>
      <c r="BK49" s="43"/>
    </row>
    <row r="50" spans="1:63" ht="15" customHeight="1" x14ac:dyDescent="0.25">
      <c r="A50" s="39"/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0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2"/>
      <c r="BJ50" s="41"/>
      <c r="BK50" s="43"/>
    </row>
    <row r="51" spans="1:63" ht="15" customHeight="1" x14ac:dyDescent="0.25">
      <c r="A51" s="39"/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0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2"/>
      <c r="BJ51" s="41"/>
      <c r="BK51" s="43"/>
    </row>
    <row r="52" spans="1:63" ht="15" customHeight="1" x14ac:dyDescent="0.25">
      <c r="A52" s="39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0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2"/>
      <c r="BJ52" s="41"/>
      <c r="BK52" s="43"/>
    </row>
    <row r="53" spans="1:63" ht="15" customHeight="1" x14ac:dyDescent="0.25">
      <c r="A53" s="39"/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0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2"/>
      <c r="BJ53" s="41"/>
      <c r="BK53" s="43"/>
    </row>
    <row r="54" spans="1:63" ht="15" customHeight="1" x14ac:dyDescent="0.25">
      <c r="A54" s="39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0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2"/>
      <c r="BJ54" s="41"/>
      <c r="BK54" s="43"/>
    </row>
    <row r="55" spans="1:63" ht="15" customHeight="1" x14ac:dyDescent="0.25">
      <c r="A55" s="41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2"/>
      <c r="AF55" s="40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2"/>
      <c r="BJ55" s="41"/>
      <c r="BK55" s="43"/>
    </row>
    <row r="56" spans="1:63" x14ac:dyDescent="0.25">
      <c r="A56" s="41"/>
      <c r="B56" s="40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2"/>
      <c r="AF56" s="40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2"/>
      <c r="BJ56" s="41"/>
      <c r="BK56" s="43"/>
    </row>
    <row r="57" spans="1:63" x14ac:dyDescent="0.25">
      <c r="A57" s="41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2"/>
      <c r="AF57" s="40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2"/>
      <c r="BJ57" s="41"/>
      <c r="BK57" s="43"/>
    </row>
    <row r="58" spans="1:63" x14ac:dyDescent="0.25">
      <c r="A58" s="41"/>
      <c r="B58" s="40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2"/>
      <c r="AF58" s="40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2"/>
      <c r="BJ58" s="41"/>
      <c r="BK58" s="43"/>
    </row>
    <row r="59" spans="1:63" x14ac:dyDescent="0.25">
      <c r="A59" s="41"/>
      <c r="B59" s="40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2"/>
      <c r="AF59" s="40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2"/>
      <c r="BJ59" s="41"/>
      <c r="BK59" s="43"/>
    </row>
    <row r="60" spans="1:63" x14ac:dyDescent="0.25">
      <c r="A60" s="41"/>
      <c r="B60" s="40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2"/>
      <c r="AF60" s="40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2"/>
      <c r="BJ60" s="41"/>
      <c r="BK60" s="43"/>
    </row>
    <row r="61" spans="1:63" x14ac:dyDescent="0.25">
      <c r="A61" s="44"/>
      <c r="B61" s="45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6"/>
      <c r="AF61" s="45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6"/>
      <c r="BJ61" s="44"/>
      <c r="BK61" s="47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9" customWidth="1"/>
    <col min="66" max="16384" width="2.77734375" style="19"/>
  </cols>
  <sheetData>
    <row r="1" spans="1:65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機能概要説明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C7" s="19" t="s">
        <v>32</v>
      </c>
      <c r="K7" s="48"/>
      <c r="BK7" s="24"/>
      <c r="BM7" s="4">
        <f>IF(BM6=50,1,BM6+1)</f>
        <v>1</v>
      </c>
    </row>
    <row r="8" spans="1:65" ht="15" customHeight="1" x14ac:dyDescent="0.25">
      <c r="A8" s="23"/>
      <c r="D8" s="19" t="s">
        <v>33</v>
      </c>
      <c r="K8" s="48"/>
      <c r="BK8" s="24"/>
      <c r="BM8" s="4">
        <f t="shared" ref="BM8:BM12" si="0">IF(BM7=50,1,BM7+1)</f>
        <v>2</v>
      </c>
    </row>
    <row r="9" spans="1:65" ht="15" customHeight="1" x14ac:dyDescent="0.25">
      <c r="A9" s="23"/>
      <c r="D9" s="19" t="s">
        <v>44</v>
      </c>
      <c r="E9" s="49"/>
      <c r="K9" s="48"/>
      <c r="BK9" s="24"/>
      <c r="BM9" s="4">
        <f t="shared" si="0"/>
        <v>3</v>
      </c>
    </row>
    <row r="10" spans="1:65" ht="15" customHeight="1" x14ac:dyDescent="0.25">
      <c r="A10" s="23"/>
      <c r="D10" s="345" t="s">
        <v>82</v>
      </c>
      <c r="E10" s="346"/>
      <c r="F10" s="345"/>
      <c r="G10" s="345"/>
      <c r="H10" s="345"/>
      <c r="I10" s="345"/>
      <c r="J10" s="345"/>
      <c r="K10" s="347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BK10" s="24"/>
      <c r="BM10" s="4"/>
    </row>
    <row r="11" spans="1:65" ht="15" customHeight="1" x14ac:dyDescent="0.25">
      <c r="A11" s="23"/>
      <c r="D11" s="19" t="s">
        <v>34</v>
      </c>
      <c r="E11" s="49"/>
      <c r="K11" s="48"/>
      <c r="BK11" s="24"/>
      <c r="BM11" s="4">
        <f>IF(BM9=50,1,BM9+1)</f>
        <v>4</v>
      </c>
    </row>
    <row r="12" spans="1:65" s="48" customFormat="1" ht="15" customHeight="1" x14ac:dyDescent="0.25">
      <c r="A12" s="50"/>
      <c r="D12" s="19" t="s">
        <v>35</v>
      </c>
      <c r="BK12" s="51"/>
      <c r="BM12" s="4">
        <f t="shared" si="0"/>
        <v>5</v>
      </c>
    </row>
    <row r="13" spans="1:65" s="48" customFormat="1" ht="15" customHeight="1" x14ac:dyDescent="0.25">
      <c r="A13" s="50"/>
      <c r="BK13" s="51"/>
      <c r="BM13" s="4">
        <f t="shared" ref="BM13:BM45" si="1">IF(BM12=50,1,BM12+1)</f>
        <v>6</v>
      </c>
    </row>
    <row r="14" spans="1:65" s="48" customFormat="1" ht="15" customHeight="1" x14ac:dyDescent="0.25">
      <c r="A14" s="50"/>
      <c r="BK14" s="51"/>
      <c r="BM14" s="4">
        <f t="shared" si="1"/>
        <v>7</v>
      </c>
    </row>
    <row r="15" spans="1:65" s="48" customFormat="1" ht="15" customHeight="1" x14ac:dyDescent="0.25">
      <c r="A15" s="50"/>
      <c r="BK15" s="51"/>
      <c r="BM15" s="4">
        <f t="shared" si="1"/>
        <v>8</v>
      </c>
    </row>
    <row r="16" spans="1:65" s="48" customFormat="1" ht="15" customHeight="1" x14ac:dyDescent="0.25">
      <c r="A16" s="50"/>
      <c r="BK16" s="51"/>
      <c r="BM16" s="4">
        <f t="shared" si="1"/>
        <v>9</v>
      </c>
    </row>
    <row r="17" spans="1:65" s="48" customFormat="1" ht="15" customHeight="1" x14ac:dyDescent="0.25">
      <c r="A17" s="50"/>
      <c r="BK17" s="51"/>
      <c r="BM17" s="4">
        <f t="shared" si="1"/>
        <v>10</v>
      </c>
    </row>
    <row r="18" spans="1:65" s="48" customFormat="1" ht="15" customHeight="1" x14ac:dyDescent="0.25">
      <c r="A18" s="50"/>
      <c r="BK18" s="51"/>
      <c r="BM18" s="4">
        <f t="shared" si="1"/>
        <v>11</v>
      </c>
    </row>
    <row r="19" spans="1:65" s="48" customFormat="1" ht="15" customHeight="1" x14ac:dyDescent="0.25">
      <c r="A19" s="50"/>
      <c r="BK19" s="51"/>
      <c r="BM19" s="4">
        <f t="shared" si="1"/>
        <v>12</v>
      </c>
    </row>
    <row r="20" spans="1:65" s="48" customFormat="1" ht="15" customHeight="1" x14ac:dyDescent="0.25">
      <c r="A20" s="50"/>
      <c r="BK20" s="51"/>
      <c r="BM20" s="4">
        <f t="shared" si="1"/>
        <v>13</v>
      </c>
    </row>
    <row r="21" spans="1:65" s="48" customFormat="1" ht="15" customHeight="1" x14ac:dyDescent="0.25">
      <c r="A21" s="50"/>
      <c r="BK21" s="51"/>
      <c r="BM21" s="4">
        <f t="shared" si="1"/>
        <v>14</v>
      </c>
    </row>
    <row r="22" spans="1:65" s="48" customFormat="1" ht="15" customHeight="1" x14ac:dyDescent="0.25">
      <c r="A22" s="50"/>
      <c r="BK22" s="51"/>
      <c r="BM22" s="4">
        <f t="shared" si="1"/>
        <v>15</v>
      </c>
    </row>
    <row r="23" spans="1:65" s="48" customFormat="1" ht="15" customHeight="1" x14ac:dyDescent="0.25">
      <c r="A23" s="50"/>
      <c r="BK23" s="51"/>
      <c r="BM23" s="4">
        <f t="shared" si="1"/>
        <v>16</v>
      </c>
    </row>
    <row r="24" spans="1:65" s="48" customFormat="1" ht="15" customHeight="1" x14ac:dyDescent="0.25">
      <c r="A24" s="50"/>
      <c r="BK24" s="51"/>
      <c r="BM24" s="4">
        <f t="shared" si="1"/>
        <v>17</v>
      </c>
    </row>
    <row r="25" spans="1:65" s="48" customFormat="1" ht="15" customHeight="1" x14ac:dyDescent="0.25">
      <c r="A25" s="50"/>
      <c r="BK25" s="51"/>
      <c r="BM25" s="4">
        <f t="shared" si="1"/>
        <v>18</v>
      </c>
    </row>
    <row r="26" spans="1:65" s="48" customFormat="1" ht="15" customHeight="1" x14ac:dyDescent="0.25">
      <c r="A26" s="50"/>
      <c r="BK26" s="51"/>
      <c r="BM26" s="4">
        <f t="shared" si="1"/>
        <v>19</v>
      </c>
    </row>
    <row r="27" spans="1:65" s="48" customFormat="1" ht="15" customHeight="1" x14ac:dyDescent="0.25">
      <c r="A27" s="50"/>
      <c r="BK27" s="51"/>
      <c r="BM27" s="4">
        <f t="shared" si="1"/>
        <v>20</v>
      </c>
    </row>
    <row r="28" spans="1:65" s="48" customFormat="1" ht="15" customHeight="1" x14ac:dyDescent="0.25">
      <c r="A28" s="50"/>
      <c r="BK28" s="51"/>
      <c r="BM28" s="4">
        <f t="shared" si="1"/>
        <v>21</v>
      </c>
    </row>
    <row r="29" spans="1:65" s="48" customFormat="1" ht="15" customHeight="1" x14ac:dyDescent="0.25">
      <c r="A29" s="50"/>
      <c r="BK29" s="51"/>
      <c r="BM29" s="4">
        <f t="shared" si="1"/>
        <v>22</v>
      </c>
    </row>
    <row r="30" spans="1:65" s="48" customFormat="1" ht="15" customHeight="1" x14ac:dyDescent="0.25">
      <c r="A30" s="50"/>
      <c r="BK30" s="51"/>
      <c r="BM30" s="4">
        <f t="shared" si="1"/>
        <v>23</v>
      </c>
    </row>
    <row r="31" spans="1:65" s="48" customFormat="1" ht="15" customHeight="1" x14ac:dyDescent="0.25">
      <c r="A31" s="50"/>
      <c r="BK31" s="51"/>
      <c r="BM31" s="4">
        <f t="shared" si="1"/>
        <v>24</v>
      </c>
    </row>
    <row r="32" spans="1:65" s="48" customFormat="1" ht="15" customHeight="1" x14ac:dyDescent="0.25">
      <c r="A32" s="50"/>
      <c r="BK32" s="51"/>
      <c r="BM32" s="4">
        <f t="shared" si="1"/>
        <v>25</v>
      </c>
    </row>
    <row r="33" spans="1:65" s="48" customFormat="1" ht="15" customHeight="1" x14ac:dyDescent="0.25">
      <c r="A33" s="50"/>
      <c r="BK33" s="51"/>
      <c r="BM33" s="4">
        <f t="shared" si="1"/>
        <v>26</v>
      </c>
    </row>
    <row r="34" spans="1:65" s="48" customFormat="1" ht="15" customHeight="1" x14ac:dyDescent="0.25">
      <c r="A34" s="50"/>
      <c r="BK34" s="51"/>
      <c r="BM34" s="4">
        <f t="shared" si="1"/>
        <v>27</v>
      </c>
    </row>
    <row r="35" spans="1:65" s="48" customFormat="1" ht="15" customHeight="1" x14ac:dyDescent="0.25">
      <c r="A35" s="50"/>
      <c r="BK35" s="51"/>
      <c r="BM35" s="4">
        <f t="shared" si="1"/>
        <v>28</v>
      </c>
    </row>
    <row r="36" spans="1:65" s="48" customFormat="1" ht="15" customHeight="1" x14ac:dyDescent="0.25">
      <c r="A36" s="50"/>
      <c r="BK36" s="51"/>
      <c r="BM36" s="4">
        <f t="shared" si="1"/>
        <v>29</v>
      </c>
    </row>
    <row r="37" spans="1:65" s="48" customFormat="1" ht="15" customHeight="1" x14ac:dyDescent="0.25">
      <c r="A37" s="50"/>
      <c r="BK37" s="51"/>
      <c r="BM37" s="4">
        <f t="shared" si="1"/>
        <v>30</v>
      </c>
    </row>
    <row r="38" spans="1:65" s="48" customFormat="1" ht="15" customHeight="1" x14ac:dyDescent="0.25">
      <c r="A38" s="50"/>
      <c r="BK38" s="51"/>
      <c r="BM38" s="4">
        <f t="shared" si="1"/>
        <v>31</v>
      </c>
    </row>
    <row r="39" spans="1:65" s="48" customFormat="1" ht="15" customHeight="1" x14ac:dyDescent="0.25">
      <c r="A39" s="50"/>
      <c r="BK39" s="51"/>
      <c r="BM39" s="4">
        <f t="shared" si="1"/>
        <v>32</v>
      </c>
    </row>
    <row r="40" spans="1:65" s="48" customFormat="1" ht="15" customHeight="1" x14ac:dyDescent="0.25">
      <c r="A40" s="50"/>
      <c r="BK40" s="51"/>
      <c r="BM40" s="4">
        <f t="shared" si="1"/>
        <v>33</v>
      </c>
    </row>
    <row r="41" spans="1:65" s="48" customFormat="1" ht="15" customHeight="1" x14ac:dyDescent="0.25">
      <c r="A41" s="50"/>
      <c r="BK41" s="51"/>
      <c r="BM41" s="4">
        <f t="shared" si="1"/>
        <v>34</v>
      </c>
    </row>
    <row r="42" spans="1:65" s="48" customFormat="1" ht="15" customHeight="1" x14ac:dyDescent="0.25">
      <c r="A42" s="50"/>
      <c r="BK42" s="51"/>
      <c r="BM42" s="4">
        <f t="shared" si="1"/>
        <v>35</v>
      </c>
    </row>
    <row r="43" spans="1:65" s="48" customFormat="1" ht="15" customHeight="1" x14ac:dyDescent="0.25">
      <c r="A43" s="50"/>
      <c r="BK43" s="51"/>
      <c r="BM43" s="4">
        <f t="shared" si="1"/>
        <v>36</v>
      </c>
    </row>
    <row r="44" spans="1:65" s="48" customFormat="1" ht="15" customHeight="1" x14ac:dyDescent="0.25">
      <c r="A44" s="50"/>
      <c r="BK44" s="51"/>
      <c r="BM44" s="4">
        <f t="shared" si="1"/>
        <v>37</v>
      </c>
    </row>
    <row r="45" spans="1:65" s="48" customFormat="1" ht="15" customHeight="1" x14ac:dyDescent="0.25">
      <c r="A45" s="50"/>
      <c r="BK45" s="51"/>
      <c r="BM45" s="4">
        <f t="shared" si="1"/>
        <v>38</v>
      </c>
    </row>
    <row r="46" spans="1:65" s="48" customFormat="1" ht="15" customHeight="1" x14ac:dyDescent="0.25">
      <c r="A46" s="50"/>
      <c r="BK46" s="51"/>
      <c r="BM46" s="4">
        <f t="shared" ref="BM46:BM58" si="2">IF(BM45=50,1,BM45+1)</f>
        <v>39</v>
      </c>
    </row>
    <row r="47" spans="1:65" s="48" customFormat="1" ht="15" customHeight="1" x14ac:dyDescent="0.25">
      <c r="A47" s="50"/>
      <c r="BK47" s="51"/>
      <c r="BM47" s="4">
        <f t="shared" si="2"/>
        <v>40</v>
      </c>
    </row>
    <row r="48" spans="1:65" s="48" customFormat="1" ht="15" customHeight="1" x14ac:dyDescent="0.25">
      <c r="A48" s="50"/>
      <c r="BK48" s="51"/>
      <c r="BM48" s="4">
        <f t="shared" si="2"/>
        <v>41</v>
      </c>
    </row>
    <row r="49" spans="1:65" s="48" customFormat="1" ht="15" customHeight="1" x14ac:dyDescent="0.25">
      <c r="A49" s="50"/>
      <c r="BK49" s="51"/>
      <c r="BM49" s="4">
        <f t="shared" si="2"/>
        <v>42</v>
      </c>
    </row>
    <row r="50" spans="1:65" s="48" customFormat="1" ht="15" customHeight="1" x14ac:dyDescent="0.25">
      <c r="A50" s="50"/>
      <c r="BK50" s="51"/>
      <c r="BM50" s="4">
        <f t="shared" si="2"/>
        <v>43</v>
      </c>
    </row>
    <row r="51" spans="1:65" s="48" customFormat="1" ht="15" customHeight="1" x14ac:dyDescent="0.25">
      <c r="A51" s="50"/>
      <c r="BK51" s="51"/>
      <c r="BM51" s="4">
        <f t="shared" si="2"/>
        <v>44</v>
      </c>
    </row>
    <row r="52" spans="1:65" s="48" customFormat="1" ht="15" customHeight="1" x14ac:dyDescent="0.25">
      <c r="A52" s="50"/>
      <c r="BK52" s="51"/>
      <c r="BM52" s="4">
        <f t="shared" si="2"/>
        <v>45</v>
      </c>
    </row>
    <row r="53" spans="1:65" s="48" customFormat="1" ht="15" customHeight="1" x14ac:dyDescent="0.25">
      <c r="A53" s="50"/>
      <c r="BK53" s="51"/>
      <c r="BM53" s="4">
        <f t="shared" si="2"/>
        <v>46</v>
      </c>
    </row>
    <row r="54" spans="1:65" s="48" customFormat="1" ht="15" customHeight="1" x14ac:dyDescent="0.25">
      <c r="A54" s="50"/>
      <c r="BK54" s="51"/>
      <c r="BM54" s="4">
        <f t="shared" si="2"/>
        <v>47</v>
      </c>
    </row>
    <row r="55" spans="1:65" s="48" customFormat="1" ht="15" customHeight="1" x14ac:dyDescent="0.25">
      <c r="A55" s="50"/>
      <c r="BK55" s="51"/>
      <c r="BM55" s="4">
        <f t="shared" si="2"/>
        <v>48</v>
      </c>
    </row>
    <row r="56" spans="1:65" s="48" customFormat="1" ht="15" customHeight="1" x14ac:dyDescent="0.25">
      <c r="A56" s="50"/>
      <c r="BK56" s="51"/>
      <c r="BM56" s="4">
        <f t="shared" si="2"/>
        <v>49</v>
      </c>
    </row>
    <row r="57" spans="1:65" s="48" customFormat="1" ht="15" customHeight="1" x14ac:dyDescent="0.25">
      <c r="A57" s="50"/>
      <c r="BK57" s="51"/>
      <c r="BM57" s="4">
        <f t="shared" si="2"/>
        <v>50</v>
      </c>
    </row>
    <row r="58" spans="1:65" s="48" customFormat="1" ht="15" customHeight="1" x14ac:dyDescent="0.25">
      <c r="A58" s="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4"/>
      <c r="BM58" s="4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K119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7" width="2.77734375" style="19" customWidth="1"/>
    <col min="68" max="16384" width="2.77734375" style="19"/>
  </cols>
  <sheetData>
    <row r="1" spans="1:65" ht="24.95" customHeight="1" x14ac:dyDescent="0.25">
      <c r="A1" s="74" t="s">
        <v>64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65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tr">
        <f>IF(表紙!W1="","",表紙!W1)</f>
        <v>基本設計書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5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5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5" ht="24.95" customHeight="1" x14ac:dyDescent="0.25">
      <c r="A4" s="74" t="s">
        <v>73</v>
      </c>
      <c r="B4" s="75"/>
      <c r="C4" s="75"/>
      <c r="D4" s="75"/>
      <c r="E4" s="75"/>
      <c r="F4" s="75"/>
      <c r="G4" s="76"/>
      <c r="H4" s="95" t="str">
        <f>IF(表紙!H4="","",表紙!H4)</f>
        <v>26 取扱設定マスタ設定(Welcia)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74</v>
      </c>
      <c r="V4" s="75"/>
      <c r="W4" s="75"/>
      <c r="X4" s="75"/>
      <c r="Y4" s="76"/>
      <c r="Z4" s="95" t="str">
        <f>IF(表紙!Z4="","",表紙!Z4)</f>
        <v>概要設計書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機能概要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5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5" ht="15" customHeight="1" x14ac:dyDescent="0.25">
      <c r="A6" s="23"/>
      <c r="BK6" s="24"/>
    </row>
    <row r="7" spans="1:65" ht="15" customHeight="1" x14ac:dyDescent="0.25">
      <c r="A7" s="23"/>
      <c r="B7" s="55" t="s">
        <v>83</v>
      </c>
      <c r="C7" s="56"/>
      <c r="D7" s="57"/>
      <c r="E7" s="57"/>
      <c r="F7" s="57"/>
      <c r="G7" s="57"/>
      <c r="H7" s="57"/>
      <c r="I7" s="57"/>
      <c r="J7" s="57"/>
      <c r="K7" s="58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5" ht="15" customHeight="1" x14ac:dyDescent="0.25">
      <c r="A8" s="23"/>
      <c r="B8" s="59"/>
      <c r="K8" s="60"/>
      <c r="U8" s="59"/>
      <c r="AD8" s="59"/>
      <c r="AM8" s="59"/>
      <c r="BI8" s="61"/>
      <c r="BK8" s="24"/>
      <c r="BM8" s="4">
        <f t="shared" ref="BM8:BM92" si="0">IF(BM7=50,1,BM7+1)</f>
        <v>1</v>
      </c>
    </row>
    <row r="9" spans="1:65" ht="15" customHeight="1" x14ac:dyDescent="0.25">
      <c r="A9" s="23"/>
      <c r="B9" s="59"/>
      <c r="K9" s="60"/>
      <c r="U9" s="59"/>
      <c r="AD9" s="59"/>
      <c r="AM9" s="59"/>
      <c r="BI9" s="61"/>
      <c r="BK9" s="24"/>
      <c r="BM9" s="4">
        <f t="shared" si="0"/>
        <v>2</v>
      </c>
    </row>
    <row r="10" spans="1:65" ht="15" customHeight="1" x14ac:dyDescent="0.25">
      <c r="A10" s="23"/>
      <c r="B10" s="59"/>
      <c r="K10" s="60"/>
      <c r="U10" s="59"/>
      <c r="AD10" s="59"/>
      <c r="AM10" s="59"/>
      <c r="BI10" s="61"/>
      <c r="BK10" s="24"/>
      <c r="BM10" s="4">
        <f t="shared" si="0"/>
        <v>3</v>
      </c>
    </row>
    <row r="11" spans="1:65" ht="15" customHeight="1" x14ac:dyDescent="0.25">
      <c r="A11" s="23"/>
      <c r="B11" s="59"/>
      <c r="K11" s="60"/>
      <c r="U11" s="59"/>
      <c r="AD11" s="59"/>
      <c r="AM11" s="59"/>
      <c r="BI11" s="61"/>
      <c r="BK11" s="24"/>
      <c r="BM11" s="4">
        <f t="shared" si="0"/>
        <v>4</v>
      </c>
    </row>
    <row r="12" spans="1:65" ht="15" customHeight="1" x14ac:dyDescent="0.25">
      <c r="A12" s="23"/>
      <c r="B12" s="59"/>
      <c r="K12" s="60"/>
      <c r="U12" s="59"/>
      <c r="AD12" s="59"/>
      <c r="AM12" s="59"/>
      <c r="BI12" s="61"/>
      <c r="BK12" s="24"/>
      <c r="BM12" s="4">
        <f t="shared" si="0"/>
        <v>5</v>
      </c>
    </row>
    <row r="13" spans="1:65" ht="15" customHeight="1" x14ac:dyDescent="0.25">
      <c r="A13" s="23"/>
      <c r="B13" s="59"/>
      <c r="K13" s="60"/>
      <c r="U13" s="59"/>
      <c r="AD13" s="59"/>
      <c r="AM13" s="59"/>
      <c r="BI13" s="61"/>
      <c r="BK13" s="24"/>
      <c r="BM13" s="4">
        <f t="shared" si="0"/>
        <v>6</v>
      </c>
    </row>
    <row r="14" spans="1:65" ht="15" customHeight="1" x14ac:dyDescent="0.25">
      <c r="A14" s="23"/>
      <c r="B14" s="59"/>
      <c r="K14" s="60"/>
      <c r="U14" s="59"/>
      <c r="AD14" s="59"/>
      <c r="AM14" s="59"/>
      <c r="BI14" s="61"/>
      <c r="BK14" s="24"/>
      <c r="BM14" s="4">
        <f t="shared" si="0"/>
        <v>7</v>
      </c>
    </row>
    <row r="15" spans="1:65" ht="15" customHeight="1" x14ac:dyDescent="0.25">
      <c r="A15" s="23"/>
      <c r="B15" s="59"/>
      <c r="K15" s="60"/>
      <c r="U15" s="59"/>
      <c r="AD15" s="59"/>
      <c r="AM15" s="59"/>
      <c r="BI15" s="61"/>
      <c r="BK15" s="24"/>
      <c r="BM15" s="4">
        <f t="shared" si="0"/>
        <v>8</v>
      </c>
    </row>
    <row r="16" spans="1:65" ht="15" customHeight="1" x14ac:dyDescent="0.25">
      <c r="A16" s="23"/>
      <c r="B16" s="59"/>
      <c r="K16" s="60"/>
      <c r="U16" s="59"/>
      <c r="AD16" s="59"/>
      <c r="AM16" s="59"/>
      <c r="BI16" s="61"/>
      <c r="BK16" s="24"/>
      <c r="BM16" s="4">
        <f t="shared" si="0"/>
        <v>9</v>
      </c>
    </row>
    <row r="17" spans="1:65" ht="15" customHeight="1" x14ac:dyDescent="0.25">
      <c r="A17" s="23"/>
      <c r="B17" s="59"/>
      <c r="K17" s="60"/>
      <c r="U17" s="59"/>
      <c r="AD17" s="59"/>
      <c r="AM17" s="59"/>
      <c r="BI17" s="61"/>
      <c r="BK17" s="24"/>
      <c r="BM17" s="4">
        <f t="shared" si="0"/>
        <v>10</v>
      </c>
    </row>
    <row r="18" spans="1:65" ht="15" customHeight="1" x14ac:dyDescent="0.25">
      <c r="A18" s="23"/>
      <c r="B18" s="59"/>
      <c r="K18" s="60"/>
      <c r="U18" s="59"/>
      <c r="AD18" s="59"/>
      <c r="AM18" s="59"/>
      <c r="BI18" s="61"/>
      <c r="BK18" s="24"/>
      <c r="BM18" s="4">
        <f t="shared" si="0"/>
        <v>11</v>
      </c>
    </row>
    <row r="19" spans="1:65" ht="15" customHeight="1" x14ac:dyDescent="0.25">
      <c r="A19" s="23"/>
      <c r="B19" s="59"/>
      <c r="K19" s="60"/>
      <c r="U19" s="59"/>
      <c r="AD19" s="59"/>
      <c r="AM19" s="59"/>
      <c r="BI19" s="61"/>
      <c r="BK19" s="24"/>
      <c r="BM19" s="4">
        <f t="shared" si="0"/>
        <v>12</v>
      </c>
    </row>
    <row r="20" spans="1:65" ht="15" customHeight="1" x14ac:dyDescent="0.25">
      <c r="A20" s="23"/>
      <c r="B20" s="59"/>
      <c r="K20" s="60"/>
      <c r="U20" s="59"/>
      <c r="AD20" s="59"/>
      <c r="AM20" s="59"/>
      <c r="BI20" s="61"/>
      <c r="BK20" s="24"/>
      <c r="BM20" s="4">
        <f t="shared" si="0"/>
        <v>13</v>
      </c>
    </row>
    <row r="21" spans="1:65" ht="15" customHeight="1" x14ac:dyDescent="0.25">
      <c r="A21" s="23"/>
      <c r="B21" s="59"/>
      <c r="K21" s="60"/>
      <c r="U21" s="59"/>
      <c r="AD21" s="59"/>
      <c r="AM21" s="59"/>
      <c r="BI21" s="61"/>
      <c r="BK21" s="24"/>
      <c r="BM21" s="4">
        <f t="shared" si="0"/>
        <v>14</v>
      </c>
    </row>
    <row r="22" spans="1:65" ht="15" customHeight="1" x14ac:dyDescent="0.25">
      <c r="A22" s="23"/>
      <c r="B22" s="59"/>
      <c r="K22" s="60"/>
      <c r="U22" s="59"/>
      <c r="AD22" s="59"/>
      <c r="AM22" s="59"/>
      <c r="BI22" s="61"/>
      <c r="BK22" s="24"/>
      <c r="BM22" s="4">
        <f t="shared" si="0"/>
        <v>15</v>
      </c>
    </row>
    <row r="23" spans="1:65" s="48" customFormat="1" ht="15" customHeight="1" x14ac:dyDescent="0.25">
      <c r="A23" s="50"/>
      <c r="B23" s="59"/>
      <c r="K23" s="60"/>
      <c r="L23" s="62"/>
      <c r="T23" s="60"/>
      <c r="U23" s="62"/>
      <c r="AC23" s="60"/>
      <c r="AD23" s="62"/>
      <c r="AL23" s="60"/>
      <c r="AM23" s="62"/>
      <c r="BI23" s="60"/>
      <c r="BK23" s="51"/>
      <c r="BM23" s="4">
        <f t="shared" si="0"/>
        <v>16</v>
      </c>
    </row>
    <row r="24" spans="1:65" s="48" customFormat="1" ht="15" customHeight="1" x14ac:dyDescent="0.25">
      <c r="A24" s="50"/>
      <c r="B24" s="59"/>
      <c r="K24" s="60"/>
      <c r="L24" s="62"/>
      <c r="T24" s="60"/>
      <c r="U24" s="62"/>
      <c r="AC24" s="60"/>
      <c r="AD24" s="62"/>
      <c r="AL24" s="60"/>
      <c r="AM24" s="62"/>
      <c r="BI24" s="60"/>
      <c r="BK24" s="51"/>
      <c r="BM24" s="4">
        <f t="shared" si="0"/>
        <v>17</v>
      </c>
    </row>
    <row r="25" spans="1:65" s="48" customFormat="1" ht="15" customHeight="1" x14ac:dyDescent="0.25">
      <c r="A25" s="50"/>
      <c r="B25" s="59"/>
      <c r="K25" s="60"/>
      <c r="L25" s="62"/>
      <c r="T25" s="60"/>
      <c r="U25" s="62"/>
      <c r="AC25" s="60"/>
      <c r="AD25" s="62"/>
      <c r="AL25" s="60"/>
      <c r="AM25" s="62"/>
      <c r="BI25" s="60"/>
      <c r="BK25" s="51"/>
      <c r="BM25" s="4">
        <f t="shared" si="0"/>
        <v>18</v>
      </c>
    </row>
    <row r="26" spans="1:65" s="48" customFormat="1" ht="15" customHeight="1" x14ac:dyDescent="0.25">
      <c r="A26" s="50"/>
      <c r="B26" s="59"/>
      <c r="K26" s="60"/>
      <c r="L26" s="62"/>
      <c r="T26" s="60"/>
      <c r="U26" s="62"/>
      <c r="AC26" s="60"/>
      <c r="AD26" s="62"/>
      <c r="AL26" s="60"/>
      <c r="AM26" s="62"/>
      <c r="BI26" s="60"/>
      <c r="BK26" s="51"/>
      <c r="BM26" s="4">
        <f t="shared" si="0"/>
        <v>19</v>
      </c>
    </row>
    <row r="27" spans="1:65" s="48" customFormat="1" ht="15" customHeight="1" x14ac:dyDescent="0.25">
      <c r="A27" s="50"/>
      <c r="B27" s="59"/>
      <c r="K27" s="60"/>
      <c r="L27" s="62"/>
      <c r="T27" s="60"/>
      <c r="U27" s="62"/>
      <c r="AC27" s="60"/>
      <c r="AD27" s="62"/>
      <c r="AL27" s="60"/>
      <c r="AM27" s="62"/>
      <c r="BI27" s="60"/>
      <c r="BK27" s="51"/>
      <c r="BM27" s="4">
        <f t="shared" si="0"/>
        <v>20</v>
      </c>
    </row>
    <row r="28" spans="1:65" s="48" customFormat="1" ht="15" customHeight="1" x14ac:dyDescent="0.25">
      <c r="A28" s="50"/>
      <c r="B28" s="59"/>
      <c r="K28" s="60"/>
      <c r="L28" s="62"/>
      <c r="T28" s="60"/>
      <c r="U28" s="62"/>
      <c r="AC28" s="60"/>
      <c r="AD28" s="62"/>
      <c r="AL28" s="60"/>
      <c r="AM28" s="62"/>
      <c r="BI28" s="60"/>
      <c r="BK28" s="51"/>
      <c r="BM28" s="4">
        <f t="shared" si="0"/>
        <v>21</v>
      </c>
    </row>
    <row r="29" spans="1:65" s="48" customFormat="1" ht="15" customHeight="1" x14ac:dyDescent="0.25">
      <c r="A29" s="50"/>
      <c r="B29" s="59"/>
      <c r="K29" s="60"/>
      <c r="L29" s="62"/>
      <c r="T29" s="60"/>
      <c r="U29" s="62"/>
      <c r="AC29" s="60"/>
      <c r="AD29" s="62"/>
      <c r="AL29" s="60"/>
      <c r="AM29" s="62"/>
      <c r="BI29" s="60"/>
      <c r="BK29" s="51"/>
      <c r="BM29" s="4">
        <f t="shared" si="0"/>
        <v>22</v>
      </c>
    </row>
    <row r="30" spans="1:65" s="48" customFormat="1" ht="15" customHeight="1" x14ac:dyDescent="0.25">
      <c r="A30" s="50"/>
      <c r="B30" s="59"/>
      <c r="K30" s="60"/>
      <c r="L30" s="62"/>
      <c r="T30" s="60"/>
      <c r="U30" s="62"/>
      <c r="AC30" s="60"/>
      <c r="AD30" s="62"/>
      <c r="AL30" s="60"/>
      <c r="AM30" s="62"/>
      <c r="BI30" s="60"/>
      <c r="BK30" s="51"/>
      <c r="BM30" s="4">
        <f t="shared" si="0"/>
        <v>23</v>
      </c>
    </row>
    <row r="31" spans="1:65" s="48" customFormat="1" ht="15" customHeight="1" x14ac:dyDescent="0.25">
      <c r="A31" s="50"/>
      <c r="B31" s="59"/>
      <c r="K31" s="60"/>
      <c r="L31" s="62"/>
      <c r="T31" s="60"/>
      <c r="U31" s="62"/>
      <c r="AC31" s="60"/>
      <c r="AD31" s="62"/>
      <c r="AL31" s="60"/>
      <c r="AM31" s="62"/>
      <c r="BI31" s="60"/>
      <c r="BK31" s="51"/>
      <c r="BM31" s="4">
        <f t="shared" si="0"/>
        <v>24</v>
      </c>
    </row>
    <row r="32" spans="1:65" s="48" customFormat="1" ht="15" customHeight="1" x14ac:dyDescent="0.25">
      <c r="A32" s="50"/>
      <c r="B32" s="59"/>
      <c r="K32" s="60"/>
      <c r="L32" s="62"/>
      <c r="T32" s="60"/>
      <c r="U32" s="62"/>
      <c r="AC32" s="60"/>
      <c r="AD32" s="62"/>
      <c r="AL32" s="60"/>
      <c r="AM32" s="62"/>
      <c r="BI32" s="60"/>
      <c r="BK32" s="51"/>
      <c r="BM32" s="4">
        <f t="shared" si="0"/>
        <v>25</v>
      </c>
    </row>
    <row r="33" spans="1:65" s="48" customFormat="1" ht="15" customHeight="1" x14ac:dyDescent="0.25">
      <c r="A33" s="50"/>
      <c r="B33" s="59"/>
      <c r="K33" s="60"/>
      <c r="L33" s="62"/>
      <c r="T33" s="60"/>
      <c r="U33" s="62"/>
      <c r="AC33" s="60"/>
      <c r="AD33" s="62"/>
      <c r="AL33" s="60"/>
      <c r="AM33" s="62"/>
      <c r="BI33" s="60"/>
      <c r="BK33" s="51"/>
      <c r="BM33" s="4">
        <f t="shared" si="0"/>
        <v>26</v>
      </c>
    </row>
    <row r="34" spans="1:65" s="48" customFormat="1" ht="15" customHeight="1" x14ac:dyDescent="0.25">
      <c r="A34" s="50"/>
      <c r="B34" s="59"/>
      <c r="K34" s="60"/>
      <c r="L34" s="62"/>
      <c r="T34" s="60"/>
      <c r="U34" s="62"/>
      <c r="AC34" s="60"/>
      <c r="AD34" s="62"/>
      <c r="AL34" s="60"/>
      <c r="AM34" s="62"/>
      <c r="BI34" s="60"/>
      <c r="BK34" s="51"/>
      <c r="BM34" s="4">
        <f t="shared" si="0"/>
        <v>27</v>
      </c>
    </row>
    <row r="35" spans="1:65" s="48" customFormat="1" ht="15" customHeight="1" x14ac:dyDescent="0.25">
      <c r="A35" s="50"/>
      <c r="B35" s="59"/>
      <c r="K35" s="60"/>
      <c r="L35" s="62"/>
      <c r="T35" s="60"/>
      <c r="U35" s="62"/>
      <c r="AC35" s="60"/>
      <c r="AD35" s="62"/>
      <c r="AL35" s="60"/>
      <c r="AM35" s="62"/>
      <c r="BI35" s="60"/>
      <c r="BK35" s="51"/>
      <c r="BM35" s="4">
        <f t="shared" si="0"/>
        <v>28</v>
      </c>
    </row>
    <row r="36" spans="1:65" s="48" customFormat="1" ht="15" customHeight="1" x14ac:dyDescent="0.25">
      <c r="A36" s="50"/>
      <c r="B36" s="59"/>
      <c r="K36" s="60"/>
      <c r="L36" s="62"/>
      <c r="T36" s="60"/>
      <c r="U36" s="62"/>
      <c r="AC36" s="60"/>
      <c r="AD36" s="62"/>
      <c r="AL36" s="60"/>
      <c r="AM36" s="62"/>
      <c r="BI36" s="60"/>
      <c r="BK36" s="51"/>
      <c r="BM36" s="4">
        <f t="shared" si="0"/>
        <v>29</v>
      </c>
    </row>
    <row r="37" spans="1:65" s="48" customFormat="1" ht="15" customHeight="1" x14ac:dyDescent="0.25">
      <c r="A37" s="50"/>
      <c r="B37" s="59"/>
      <c r="K37" s="60"/>
      <c r="L37" s="62"/>
      <c r="T37" s="60"/>
      <c r="U37" s="62"/>
      <c r="AC37" s="60"/>
      <c r="AD37" s="62"/>
      <c r="AL37" s="60"/>
      <c r="AM37" s="62"/>
      <c r="BI37" s="60"/>
      <c r="BK37" s="51"/>
      <c r="BM37" s="4">
        <f t="shared" si="0"/>
        <v>30</v>
      </c>
    </row>
    <row r="38" spans="1:65" s="48" customFormat="1" ht="15" customHeight="1" x14ac:dyDescent="0.25">
      <c r="A38" s="50"/>
      <c r="B38" s="59"/>
      <c r="K38" s="60"/>
      <c r="L38" s="62"/>
      <c r="T38" s="60"/>
      <c r="U38" s="62"/>
      <c r="AC38" s="60"/>
      <c r="AD38" s="62"/>
      <c r="AL38" s="60"/>
      <c r="AM38" s="62"/>
      <c r="BI38" s="60"/>
      <c r="BK38" s="51"/>
      <c r="BM38" s="4">
        <f t="shared" si="0"/>
        <v>31</v>
      </c>
    </row>
    <row r="39" spans="1:65" s="48" customFormat="1" ht="15" customHeight="1" x14ac:dyDescent="0.25">
      <c r="A39" s="50"/>
      <c r="B39" s="59"/>
      <c r="K39" s="60"/>
      <c r="L39" s="62"/>
      <c r="T39" s="60"/>
      <c r="U39" s="62"/>
      <c r="AC39" s="60"/>
      <c r="AD39" s="62"/>
      <c r="AL39" s="60"/>
      <c r="AM39" s="62"/>
      <c r="BI39" s="60"/>
      <c r="BK39" s="51"/>
      <c r="BM39" s="4">
        <f t="shared" si="0"/>
        <v>32</v>
      </c>
    </row>
    <row r="40" spans="1:65" s="48" customFormat="1" ht="15" customHeight="1" x14ac:dyDescent="0.25">
      <c r="A40" s="50"/>
      <c r="B40" s="59"/>
      <c r="K40" s="60"/>
      <c r="L40" s="62"/>
      <c r="T40" s="60"/>
      <c r="U40" s="62"/>
      <c r="AC40" s="60"/>
      <c r="AD40" s="62"/>
      <c r="AL40" s="60"/>
      <c r="AM40" s="62"/>
      <c r="BI40" s="60"/>
      <c r="BK40" s="51"/>
      <c r="BM40" s="4">
        <f t="shared" si="0"/>
        <v>33</v>
      </c>
    </row>
    <row r="41" spans="1:65" s="48" customFormat="1" ht="15" customHeight="1" x14ac:dyDescent="0.25">
      <c r="A41" s="50"/>
      <c r="B41" s="59"/>
      <c r="K41" s="60"/>
      <c r="L41" s="62"/>
      <c r="T41" s="60"/>
      <c r="U41" s="62"/>
      <c r="AC41" s="60"/>
      <c r="AD41" s="62"/>
      <c r="AL41" s="60"/>
      <c r="AM41" s="62"/>
      <c r="BI41" s="60"/>
      <c r="BK41" s="51"/>
      <c r="BM41" s="4">
        <f t="shared" si="0"/>
        <v>34</v>
      </c>
    </row>
    <row r="42" spans="1:65" s="48" customFormat="1" ht="15" customHeight="1" x14ac:dyDescent="0.25">
      <c r="A42" s="50"/>
      <c r="B42" s="59"/>
      <c r="K42" s="60"/>
      <c r="L42" s="62"/>
      <c r="T42" s="60"/>
      <c r="U42" s="62"/>
      <c r="AC42" s="60"/>
      <c r="AD42" s="62"/>
      <c r="AL42" s="60"/>
      <c r="AM42" s="62"/>
      <c r="BI42" s="60"/>
      <c r="BK42" s="51"/>
      <c r="BM42" s="4">
        <f t="shared" si="0"/>
        <v>35</v>
      </c>
    </row>
    <row r="43" spans="1:65" s="48" customFormat="1" ht="15" customHeight="1" x14ac:dyDescent="0.25">
      <c r="A43" s="50"/>
      <c r="B43" s="59"/>
      <c r="K43" s="60"/>
      <c r="L43" s="62"/>
      <c r="T43" s="60"/>
      <c r="U43" s="62"/>
      <c r="AC43" s="60"/>
      <c r="AD43" s="62"/>
      <c r="AL43" s="60"/>
      <c r="AM43" s="62"/>
      <c r="BI43" s="60"/>
      <c r="BK43" s="51"/>
      <c r="BM43" s="4">
        <f t="shared" si="0"/>
        <v>36</v>
      </c>
    </row>
    <row r="44" spans="1:65" s="48" customFormat="1" ht="15" customHeight="1" x14ac:dyDescent="0.25">
      <c r="A44" s="50"/>
      <c r="B44" s="59"/>
      <c r="K44" s="60"/>
      <c r="L44" s="62"/>
      <c r="T44" s="60"/>
      <c r="U44" s="62"/>
      <c r="AC44" s="60"/>
      <c r="AD44" s="62"/>
      <c r="AL44" s="60"/>
      <c r="AM44" s="62"/>
      <c r="BI44" s="60"/>
      <c r="BK44" s="51"/>
      <c r="BM44" s="4">
        <f t="shared" si="0"/>
        <v>37</v>
      </c>
    </row>
    <row r="45" spans="1:65" s="48" customFormat="1" ht="15" customHeight="1" x14ac:dyDescent="0.25">
      <c r="A45" s="50"/>
      <c r="B45" s="59"/>
      <c r="K45" s="60"/>
      <c r="L45" s="62"/>
      <c r="T45" s="60"/>
      <c r="U45" s="62"/>
      <c r="AC45" s="60"/>
      <c r="AD45" s="62"/>
      <c r="AL45" s="60"/>
      <c r="AM45" s="62"/>
      <c r="BI45" s="60"/>
      <c r="BK45" s="51"/>
      <c r="BM45" s="4">
        <f t="shared" si="0"/>
        <v>38</v>
      </c>
    </row>
    <row r="46" spans="1:65" s="48" customFormat="1" ht="15" customHeight="1" x14ac:dyDescent="0.25">
      <c r="A46" s="50"/>
      <c r="B46" s="59"/>
      <c r="K46" s="60"/>
      <c r="L46" s="62"/>
      <c r="T46" s="60"/>
      <c r="U46" s="62"/>
      <c r="AC46" s="60"/>
      <c r="AD46" s="62"/>
      <c r="AL46" s="60"/>
      <c r="AM46" s="62"/>
      <c r="BI46" s="60"/>
      <c r="BK46" s="51"/>
      <c r="BM46" s="4">
        <f t="shared" si="0"/>
        <v>39</v>
      </c>
    </row>
    <row r="47" spans="1:65" s="48" customFormat="1" ht="15" customHeight="1" x14ac:dyDescent="0.25">
      <c r="A47" s="50"/>
      <c r="B47" s="59"/>
      <c r="K47" s="60"/>
      <c r="L47" s="62"/>
      <c r="T47" s="60"/>
      <c r="U47" s="62"/>
      <c r="AC47" s="60"/>
      <c r="AD47" s="62"/>
      <c r="AL47" s="60"/>
      <c r="AM47" s="62"/>
      <c r="BI47" s="60"/>
      <c r="BK47" s="51"/>
      <c r="BM47" s="4">
        <f t="shared" si="0"/>
        <v>40</v>
      </c>
    </row>
    <row r="48" spans="1:65" s="48" customFormat="1" ht="15" customHeight="1" x14ac:dyDescent="0.25">
      <c r="A48" s="50"/>
      <c r="B48" s="59"/>
      <c r="K48" s="60"/>
      <c r="L48" s="62"/>
      <c r="T48" s="60"/>
      <c r="U48" s="62"/>
      <c r="AC48" s="60"/>
      <c r="AD48" s="62"/>
      <c r="AL48" s="60"/>
      <c r="AM48" s="62"/>
      <c r="BI48" s="60"/>
      <c r="BK48" s="51"/>
      <c r="BM48" s="4">
        <f t="shared" si="0"/>
        <v>41</v>
      </c>
    </row>
    <row r="49" spans="1:89" s="48" customFormat="1" ht="15" customHeight="1" x14ac:dyDescent="0.25">
      <c r="A49" s="50"/>
      <c r="B49" s="59"/>
      <c r="K49" s="60"/>
      <c r="L49" s="62"/>
      <c r="T49" s="60"/>
      <c r="U49" s="62"/>
      <c r="AC49" s="60"/>
      <c r="AD49" s="62"/>
      <c r="AL49" s="60"/>
      <c r="AM49" s="62"/>
      <c r="BI49" s="60"/>
      <c r="BK49" s="51"/>
      <c r="BM49" s="4">
        <f t="shared" si="0"/>
        <v>42</v>
      </c>
    </row>
    <row r="50" spans="1:89" s="48" customFormat="1" ht="15" customHeight="1" x14ac:dyDescent="0.25">
      <c r="A50" s="50"/>
      <c r="B50" s="59"/>
      <c r="K50" s="60"/>
      <c r="L50" s="62"/>
      <c r="T50" s="60"/>
      <c r="U50" s="62"/>
      <c r="AC50" s="60"/>
      <c r="AD50" s="62"/>
      <c r="AL50" s="60"/>
      <c r="AM50" s="62"/>
      <c r="BI50" s="60"/>
      <c r="BK50" s="51"/>
      <c r="BM50" s="4">
        <f t="shared" si="0"/>
        <v>43</v>
      </c>
    </row>
    <row r="51" spans="1:89" s="48" customFormat="1" ht="15" customHeight="1" x14ac:dyDescent="0.25">
      <c r="A51" s="50"/>
      <c r="B51" s="59"/>
      <c r="K51" s="60"/>
      <c r="L51" s="62"/>
      <c r="T51" s="60"/>
      <c r="U51" s="62"/>
      <c r="AC51" s="60"/>
      <c r="AD51" s="62"/>
      <c r="AL51" s="60"/>
      <c r="AM51" s="62"/>
      <c r="BI51" s="60"/>
      <c r="BK51" s="51"/>
      <c r="BM51" s="4">
        <f t="shared" si="0"/>
        <v>44</v>
      </c>
    </row>
    <row r="52" spans="1:89" s="48" customFormat="1" ht="15" customHeight="1" x14ac:dyDescent="0.25">
      <c r="A52" s="50"/>
      <c r="B52" s="59"/>
      <c r="K52" s="60"/>
      <c r="L52" s="62"/>
      <c r="T52" s="60"/>
      <c r="U52" s="62"/>
      <c r="AC52" s="60"/>
      <c r="AD52" s="62"/>
      <c r="AL52" s="60"/>
      <c r="AM52" s="62"/>
      <c r="BI52" s="60"/>
      <c r="BK52" s="51"/>
      <c r="BM52" s="4">
        <f t="shared" si="0"/>
        <v>45</v>
      </c>
    </row>
    <row r="53" spans="1:89" s="48" customFormat="1" ht="15" customHeight="1" x14ac:dyDescent="0.25">
      <c r="A53" s="50"/>
      <c r="B53" s="59"/>
      <c r="K53" s="60"/>
      <c r="L53" s="62"/>
      <c r="T53" s="60"/>
      <c r="U53" s="62"/>
      <c r="AC53" s="60"/>
      <c r="AD53" s="62"/>
      <c r="AL53" s="60"/>
      <c r="AM53" s="62"/>
      <c r="BI53" s="60"/>
      <c r="BK53" s="51"/>
      <c r="BM53" s="4">
        <f t="shared" si="0"/>
        <v>46</v>
      </c>
    </row>
    <row r="54" spans="1:89" s="48" customFormat="1" ht="15" customHeight="1" x14ac:dyDescent="0.25">
      <c r="A54" s="50"/>
      <c r="B54" s="59"/>
      <c r="K54" s="60"/>
      <c r="L54" s="62"/>
      <c r="T54" s="60"/>
      <c r="U54" s="62"/>
      <c r="AC54" s="60"/>
      <c r="AD54" s="62"/>
      <c r="AL54" s="60"/>
      <c r="AM54" s="62"/>
      <c r="BI54" s="60"/>
      <c r="BK54" s="51"/>
      <c r="BM54" s="4">
        <f t="shared" si="0"/>
        <v>47</v>
      </c>
    </row>
    <row r="55" spans="1:89" s="48" customFormat="1" ht="15" customHeight="1" x14ac:dyDescent="0.25">
      <c r="A55" s="50"/>
      <c r="B55" s="59"/>
      <c r="K55" s="60"/>
      <c r="L55" s="62"/>
      <c r="T55" s="60"/>
      <c r="U55" s="62"/>
      <c r="AC55" s="60"/>
      <c r="AD55" s="62"/>
      <c r="AL55" s="60"/>
      <c r="AM55" s="62"/>
      <c r="BI55" s="60"/>
      <c r="BK55" s="51"/>
      <c r="BM55" s="4">
        <f t="shared" si="0"/>
        <v>48</v>
      </c>
    </row>
    <row r="56" spans="1:89" s="48" customFormat="1" ht="15" customHeight="1" x14ac:dyDescent="0.25">
      <c r="A56" s="50"/>
      <c r="B56" s="59"/>
      <c r="K56" s="60"/>
      <c r="L56" s="62"/>
      <c r="T56" s="60"/>
      <c r="U56" s="62"/>
      <c r="AC56" s="60"/>
      <c r="AD56" s="62"/>
      <c r="AL56" s="60"/>
      <c r="AM56" s="62"/>
      <c r="BI56" s="60"/>
      <c r="BK56" s="51"/>
      <c r="BM56" s="4">
        <f t="shared" si="0"/>
        <v>49</v>
      </c>
    </row>
    <row r="57" spans="1:89" s="48" customFormat="1" ht="15" customHeight="1" x14ac:dyDescent="0.25">
      <c r="A57" s="50"/>
      <c r="B57" s="59"/>
      <c r="K57" s="60"/>
      <c r="L57" s="62"/>
      <c r="T57" s="60"/>
      <c r="U57" s="62"/>
      <c r="AC57" s="60"/>
      <c r="AD57" s="62"/>
      <c r="AL57" s="60"/>
      <c r="AM57" s="62"/>
      <c r="BI57" s="60"/>
      <c r="BK57" s="51"/>
      <c r="BM57" s="4">
        <f t="shared" si="0"/>
        <v>50</v>
      </c>
    </row>
    <row r="58" spans="1:89" s="48" customFormat="1" ht="15" customHeight="1" x14ac:dyDescent="0.25">
      <c r="A58" s="50"/>
      <c r="B58" s="59"/>
      <c r="K58" s="60"/>
      <c r="L58" s="62"/>
      <c r="T58" s="60"/>
      <c r="U58" s="62"/>
      <c r="AC58" s="60"/>
      <c r="AD58" s="62"/>
      <c r="AL58" s="60"/>
      <c r="AM58" s="62"/>
      <c r="BI58" s="60"/>
      <c r="BK58" s="51"/>
      <c r="BM58" s="4">
        <f t="shared" si="0"/>
        <v>1</v>
      </c>
    </row>
    <row r="59" spans="1:89" s="48" customFormat="1" ht="15" customHeight="1" x14ac:dyDescent="0.25">
      <c r="A59" s="50"/>
      <c r="B59" s="59"/>
      <c r="K59" s="60"/>
      <c r="L59" s="62"/>
      <c r="T59" s="60"/>
      <c r="U59" s="62"/>
      <c r="AC59" s="60"/>
      <c r="AD59" s="62"/>
      <c r="AL59" s="60"/>
      <c r="AM59" s="62"/>
      <c r="BI59" s="60"/>
      <c r="BK59" s="51"/>
      <c r="BM59" s="4">
        <f t="shared" si="0"/>
        <v>2</v>
      </c>
    </row>
    <row r="60" spans="1:89" s="48" customFormat="1" ht="15" customHeight="1" x14ac:dyDescent="0.25">
      <c r="A60" s="50"/>
      <c r="B60" s="59"/>
      <c r="K60" s="60"/>
      <c r="L60" s="62"/>
      <c r="T60" s="60"/>
      <c r="U60" s="62"/>
      <c r="AC60" s="60"/>
      <c r="AD60" s="62"/>
      <c r="AL60" s="60"/>
      <c r="AM60" s="62"/>
      <c r="BI60" s="60"/>
      <c r="BK60" s="51"/>
      <c r="BM60" s="4">
        <f t="shared" si="0"/>
        <v>3</v>
      </c>
    </row>
    <row r="61" spans="1:89" s="48" customFormat="1" ht="15" customHeight="1" x14ac:dyDescent="0.25">
      <c r="A61" s="50"/>
      <c r="B61" s="59"/>
      <c r="K61" s="60"/>
      <c r="L61" s="62"/>
      <c r="T61" s="60"/>
      <c r="U61" s="62"/>
      <c r="AC61" s="60"/>
      <c r="AD61" s="62"/>
      <c r="AL61" s="60"/>
      <c r="AM61" s="62"/>
      <c r="BI61" s="60"/>
      <c r="BK61" s="51"/>
      <c r="BM61" s="4">
        <f t="shared" si="0"/>
        <v>4</v>
      </c>
      <c r="BO61" s="348" t="s">
        <v>84</v>
      </c>
    </row>
    <row r="62" spans="1:89" s="48" customFormat="1" ht="15" customHeight="1" x14ac:dyDescent="0.25">
      <c r="A62" s="50"/>
      <c r="B62" s="59"/>
      <c r="K62" s="60"/>
      <c r="L62" s="62"/>
      <c r="T62" s="60"/>
      <c r="U62" s="62"/>
      <c r="AC62" s="60"/>
      <c r="AD62" s="62"/>
      <c r="AL62" s="60"/>
      <c r="AM62" s="62"/>
      <c r="BI62" s="60"/>
      <c r="BK62" s="51"/>
      <c r="BM62" s="4">
        <f t="shared" si="0"/>
        <v>5</v>
      </c>
      <c r="CK62" s="19"/>
    </row>
    <row r="63" spans="1:89" s="48" customFormat="1" ht="15" customHeight="1" x14ac:dyDescent="0.25">
      <c r="A63" s="50"/>
      <c r="B63" s="59"/>
      <c r="K63" s="60"/>
      <c r="L63" s="62"/>
      <c r="T63" s="60"/>
      <c r="U63" s="62"/>
      <c r="AC63" s="60"/>
      <c r="AD63" s="62"/>
      <c r="AL63" s="60"/>
      <c r="AM63" s="62"/>
      <c r="BI63" s="60"/>
      <c r="BK63" s="51"/>
      <c r="BM63" s="4">
        <f t="shared" si="0"/>
        <v>6</v>
      </c>
    </row>
    <row r="64" spans="1:89" s="48" customFormat="1" ht="15" customHeight="1" x14ac:dyDescent="0.25">
      <c r="A64" s="50"/>
      <c r="B64" s="59"/>
      <c r="K64" s="60"/>
      <c r="L64" s="62"/>
      <c r="T64" s="60"/>
      <c r="U64" s="62"/>
      <c r="AC64" s="60"/>
      <c r="AD64" s="62"/>
      <c r="AL64" s="60"/>
      <c r="AM64" s="62"/>
      <c r="BI64" s="60"/>
      <c r="BK64" s="51"/>
      <c r="BM64" s="4">
        <f t="shared" si="0"/>
        <v>7</v>
      </c>
    </row>
    <row r="65" spans="1:67" s="48" customFormat="1" ht="15" customHeight="1" x14ac:dyDescent="0.25">
      <c r="A65" s="50"/>
      <c r="B65" s="59"/>
      <c r="K65" s="60"/>
      <c r="L65" s="62"/>
      <c r="T65" s="60"/>
      <c r="U65" s="62"/>
      <c r="AC65" s="60"/>
      <c r="AD65" s="62"/>
      <c r="AL65" s="60"/>
      <c r="AM65" s="62"/>
      <c r="BI65" s="60"/>
      <c r="BK65" s="51"/>
      <c r="BM65" s="4">
        <f t="shared" si="0"/>
        <v>8</v>
      </c>
    </row>
    <row r="66" spans="1:67" s="48" customFormat="1" ht="15" customHeight="1" x14ac:dyDescent="0.25">
      <c r="A66" s="50"/>
      <c r="B66" s="59"/>
      <c r="K66" s="60"/>
      <c r="L66" s="62"/>
      <c r="T66" s="60"/>
      <c r="U66" s="62"/>
      <c r="AC66" s="60"/>
      <c r="AD66" s="62"/>
      <c r="AL66" s="60"/>
      <c r="AM66" s="62"/>
      <c r="BI66" s="60"/>
      <c r="BK66" s="51"/>
      <c r="BM66" s="4">
        <f t="shared" si="0"/>
        <v>9</v>
      </c>
    </row>
    <row r="67" spans="1:67" s="48" customFormat="1" ht="15" customHeight="1" x14ac:dyDescent="0.25">
      <c r="A67" s="50"/>
      <c r="B67" s="59"/>
      <c r="K67" s="60"/>
      <c r="L67" s="62"/>
      <c r="T67" s="60"/>
      <c r="U67" s="62"/>
      <c r="AC67" s="60"/>
      <c r="AD67" s="62"/>
      <c r="AL67" s="60"/>
      <c r="AM67" s="62"/>
      <c r="BI67" s="60"/>
      <c r="BK67" s="51"/>
      <c r="BM67" s="4">
        <f t="shared" si="0"/>
        <v>10</v>
      </c>
    </row>
    <row r="68" spans="1:67" s="48" customFormat="1" ht="15" customHeight="1" x14ac:dyDescent="0.25">
      <c r="A68" s="50"/>
      <c r="B68" s="59"/>
      <c r="K68" s="60"/>
      <c r="L68" s="62"/>
      <c r="T68" s="60"/>
      <c r="U68" s="62"/>
      <c r="AC68" s="60"/>
      <c r="AD68" s="62"/>
      <c r="AL68" s="60"/>
      <c r="AM68" s="62"/>
      <c r="BI68" s="60"/>
      <c r="BK68" s="51"/>
      <c r="BM68" s="4">
        <f t="shared" si="0"/>
        <v>11</v>
      </c>
    </row>
    <row r="69" spans="1:67" s="48" customFormat="1" ht="15" customHeight="1" x14ac:dyDescent="0.25">
      <c r="A69" s="50"/>
      <c r="B69" s="62"/>
      <c r="K69" s="60"/>
      <c r="L69" s="62"/>
      <c r="T69" s="60"/>
      <c r="U69" s="62"/>
      <c r="AC69" s="60"/>
      <c r="AD69" s="62"/>
      <c r="AL69" s="60"/>
      <c r="AM69" s="62"/>
      <c r="BI69" s="60"/>
      <c r="BK69" s="51"/>
      <c r="BM69" s="4">
        <f t="shared" si="0"/>
        <v>12</v>
      </c>
    </row>
    <row r="70" spans="1:67" s="48" customFormat="1" ht="15" customHeight="1" x14ac:dyDescent="0.25">
      <c r="A70" s="50"/>
      <c r="B70" s="62"/>
      <c r="K70" s="60"/>
      <c r="L70" s="62"/>
      <c r="T70" s="60"/>
      <c r="U70" s="62"/>
      <c r="AC70" s="60"/>
      <c r="AD70" s="62"/>
      <c r="AL70" s="60"/>
      <c r="AM70" s="62"/>
      <c r="BI70" s="60"/>
      <c r="BK70" s="51"/>
      <c r="BM70" s="4">
        <f t="shared" si="0"/>
        <v>13</v>
      </c>
    </row>
    <row r="71" spans="1:67" s="48" customFormat="1" ht="15" customHeight="1" x14ac:dyDescent="0.25">
      <c r="A71" s="50"/>
      <c r="B71" s="62"/>
      <c r="K71" s="60"/>
      <c r="L71" s="62"/>
      <c r="T71" s="60"/>
      <c r="U71" s="62"/>
      <c r="AC71" s="60"/>
      <c r="AL71" s="60"/>
      <c r="AM71" s="62"/>
      <c r="BI71" s="60"/>
      <c r="BK71" s="51"/>
      <c r="BM71" s="4">
        <f t="shared" si="0"/>
        <v>14</v>
      </c>
    </row>
    <row r="72" spans="1:67" s="48" customFormat="1" ht="15" customHeight="1" x14ac:dyDescent="0.25">
      <c r="A72" s="50"/>
      <c r="B72" s="62"/>
      <c r="K72" s="60"/>
      <c r="L72" s="62"/>
      <c r="T72" s="60"/>
      <c r="U72" s="62"/>
      <c r="AC72" s="60"/>
      <c r="AD72" s="62"/>
      <c r="AL72" s="60"/>
      <c r="AM72" s="62"/>
      <c r="BI72" s="60"/>
      <c r="BK72" s="51"/>
      <c r="BM72" s="4">
        <f t="shared" si="0"/>
        <v>15</v>
      </c>
    </row>
    <row r="73" spans="1:67" s="48" customFormat="1" ht="15" customHeight="1" x14ac:dyDescent="0.25">
      <c r="A73" s="50"/>
      <c r="B73" s="62"/>
      <c r="K73" s="60"/>
      <c r="L73" s="62"/>
      <c r="T73" s="60"/>
      <c r="U73" s="62"/>
      <c r="AC73" s="60"/>
      <c r="AD73" s="62"/>
      <c r="AL73" s="60"/>
      <c r="AM73" s="62"/>
      <c r="BI73" s="60"/>
      <c r="BK73" s="51"/>
      <c r="BM73" s="4">
        <f t="shared" si="0"/>
        <v>16</v>
      </c>
    </row>
    <row r="74" spans="1:67" s="48" customFormat="1" ht="15" customHeight="1" x14ac:dyDescent="0.25">
      <c r="A74" s="50"/>
      <c r="B74" s="62"/>
      <c r="K74" s="60"/>
      <c r="L74" s="62"/>
      <c r="T74" s="60"/>
      <c r="U74" s="62"/>
      <c r="AC74" s="60"/>
      <c r="AD74" s="62"/>
      <c r="AL74" s="60"/>
      <c r="AM74" s="62"/>
      <c r="BI74" s="60"/>
      <c r="BK74" s="51"/>
      <c r="BM74" s="4">
        <f t="shared" si="0"/>
        <v>17</v>
      </c>
    </row>
    <row r="75" spans="1:67" s="48" customFormat="1" ht="15" customHeight="1" x14ac:dyDescent="0.25">
      <c r="A75" s="50"/>
      <c r="B75" s="62"/>
      <c r="K75" s="60"/>
      <c r="L75" s="62"/>
      <c r="T75" s="60"/>
      <c r="U75" s="62"/>
      <c r="AC75" s="60"/>
      <c r="AD75" s="62"/>
      <c r="AL75" s="60"/>
      <c r="AM75" s="62"/>
      <c r="BI75" s="60"/>
      <c r="BK75" s="51"/>
      <c r="BM75" s="4">
        <f t="shared" si="0"/>
        <v>18</v>
      </c>
      <c r="BO75" s="63" t="s">
        <v>85</v>
      </c>
    </row>
    <row r="76" spans="1:67" s="48" customFormat="1" ht="15" customHeight="1" x14ac:dyDescent="0.25">
      <c r="A76" s="50"/>
      <c r="B76" s="62"/>
      <c r="K76" s="60"/>
      <c r="L76" s="62"/>
      <c r="T76" s="60"/>
      <c r="U76" s="62"/>
      <c r="AC76" s="60"/>
      <c r="AD76" s="62"/>
      <c r="AL76" s="60"/>
      <c r="AM76" s="62"/>
      <c r="BI76" s="60"/>
      <c r="BK76" s="51"/>
      <c r="BM76" s="4">
        <f t="shared" si="0"/>
        <v>19</v>
      </c>
    </row>
    <row r="77" spans="1:67" s="48" customFormat="1" ht="15" customHeight="1" x14ac:dyDescent="0.25">
      <c r="A77" s="50"/>
      <c r="B77" s="62"/>
      <c r="K77" s="60"/>
      <c r="L77" s="62"/>
      <c r="T77" s="60"/>
      <c r="U77" s="62"/>
      <c r="AC77" s="60"/>
      <c r="AD77" s="62"/>
      <c r="AL77" s="60"/>
      <c r="AM77" s="62"/>
      <c r="BI77" s="60"/>
      <c r="BK77" s="51"/>
      <c r="BM77" s="4">
        <f t="shared" si="0"/>
        <v>20</v>
      </c>
    </row>
    <row r="78" spans="1:67" s="48" customFormat="1" ht="15" customHeight="1" x14ac:dyDescent="0.25">
      <c r="A78" s="50"/>
      <c r="B78" s="62"/>
      <c r="K78" s="60"/>
      <c r="L78" s="62"/>
      <c r="T78" s="60"/>
      <c r="U78" s="62"/>
      <c r="AC78" s="60"/>
      <c r="AD78" s="62"/>
      <c r="AL78" s="60"/>
      <c r="AM78" s="62"/>
      <c r="BI78" s="60"/>
      <c r="BK78" s="51"/>
      <c r="BM78" s="4">
        <f t="shared" si="0"/>
        <v>21</v>
      </c>
    </row>
    <row r="79" spans="1:67" s="48" customFormat="1" ht="15" customHeight="1" x14ac:dyDescent="0.25">
      <c r="A79" s="50"/>
      <c r="B79" s="62"/>
      <c r="K79" s="60"/>
      <c r="L79" s="62"/>
      <c r="T79" s="60"/>
      <c r="U79" s="62"/>
      <c r="AC79" s="60"/>
      <c r="AD79" s="62"/>
      <c r="AL79" s="60"/>
      <c r="AM79" s="62"/>
      <c r="BI79" s="60"/>
      <c r="BK79" s="51"/>
      <c r="BM79" s="4">
        <f t="shared" si="0"/>
        <v>22</v>
      </c>
    </row>
    <row r="80" spans="1:67" s="48" customFormat="1" ht="15" customHeight="1" x14ac:dyDescent="0.25">
      <c r="A80" s="50"/>
      <c r="B80" s="62"/>
      <c r="K80" s="60"/>
      <c r="L80" s="62"/>
      <c r="T80" s="60"/>
      <c r="U80" s="62"/>
      <c r="AC80" s="60"/>
      <c r="AD80" s="62"/>
      <c r="AL80" s="60"/>
      <c r="AM80" s="62"/>
      <c r="BI80" s="60"/>
      <c r="BK80" s="51"/>
      <c r="BM80" s="4">
        <f t="shared" si="0"/>
        <v>23</v>
      </c>
    </row>
    <row r="81" spans="1:65" s="48" customFormat="1" ht="15" customHeight="1" x14ac:dyDescent="0.25">
      <c r="A81" s="50"/>
      <c r="B81" s="62"/>
      <c r="K81" s="60"/>
      <c r="L81" s="62"/>
      <c r="T81" s="60"/>
      <c r="U81" s="62"/>
      <c r="AC81" s="60"/>
      <c r="AD81" s="62"/>
      <c r="AL81" s="60"/>
      <c r="AM81" s="62"/>
      <c r="BI81" s="60"/>
      <c r="BK81" s="51"/>
      <c r="BM81" s="4">
        <f t="shared" si="0"/>
        <v>24</v>
      </c>
    </row>
    <row r="82" spans="1:65" s="48" customFormat="1" ht="15" customHeight="1" x14ac:dyDescent="0.25">
      <c r="A82" s="50"/>
      <c r="B82" s="62"/>
      <c r="K82" s="60"/>
      <c r="L82" s="62"/>
      <c r="T82" s="60"/>
      <c r="U82" s="62"/>
      <c r="AC82" s="60"/>
      <c r="AD82" s="62"/>
      <c r="AL82" s="60"/>
      <c r="AM82" s="62"/>
      <c r="BI82" s="60"/>
      <c r="BK82" s="51"/>
      <c r="BM82" s="4">
        <f t="shared" si="0"/>
        <v>25</v>
      </c>
    </row>
    <row r="83" spans="1:65" ht="15" customHeight="1" x14ac:dyDescent="0.25">
      <c r="A83" s="50"/>
      <c r="B83" s="62"/>
      <c r="C83" s="48"/>
      <c r="D83" s="48"/>
      <c r="E83" s="48"/>
      <c r="F83" s="48"/>
      <c r="G83" s="48"/>
      <c r="H83" s="48"/>
      <c r="I83" s="48"/>
      <c r="J83" s="48"/>
      <c r="K83" s="60"/>
      <c r="L83" s="62"/>
      <c r="M83" s="48"/>
      <c r="N83" s="48"/>
      <c r="O83" s="48"/>
      <c r="P83" s="48"/>
      <c r="Q83" s="48"/>
      <c r="R83" s="48"/>
      <c r="S83" s="48"/>
      <c r="T83" s="60"/>
      <c r="U83" s="62"/>
      <c r="V83" s="48"/>
      <c r="W83" s="48"/>
      <c r="X83" s="48"/>
      <c r="Y83" s="48"/>
      <c r="Z83" s="48"/>
      <c r="AA83" s="48"/>
      <c r="AB83" s="48"/>
      <c r="AC83" s="60"/>
      <c r="AD83" s="62"/>
      <c r="AE83" s="48"/>
      <c r="AF83" s="48"/>
      <c r="AG83" s="48"/>
      <c r="AH83" s="48"/>
      <c r="AI83" s="48"/>
      <c r="AJ83" s="48"/>
      <c r="AK83" s="48"/>
      <c r="AL83" s="60"/>
      <c r="AM83" s="62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60"/>
      <c r="BJ83" s="48"/>
      <c r="BK83" s="51"/>
      <c r="BM83" s="4">
        <f t="shared" si="0"/>
        <v>26</v>
      </c>
    </row>
    <row r="84" spans="1:65" ht="15" customHeight="1" x14ac:dyDescent="0.25">
      <c r="A84" s="50"/>
      <c r="B84" s="62"/>
      <c r="C84" s="48"/>
      <c r="D84" s="48"/>
      <c r="E84" s="48"/>
      <c r="F84" s="48"/>
      <c r="G84" s="48"/>
      <c r="H84" s="48"/>
      <c r="I84" s="48"/>
      <c r="J84" s="48"/>
      <c r="K84" s="60"/>
      <c r="L84" s="62"/>
      <c r="M84" s="48"/>
      <c r="N84" s="48"/>
      <c r="O84" s="48"/>
      <c r="P84" s="48"/>
      <c r="Q84" s="48"/>
      <c r="R84" s="48"/>
      <c r="S84" s="48"/>
      <c r="T84" s="60"/>
      <c r="U84" s="62"/>
      <c r="V84" s="48"/>
      <c r="W84" s="48"/>
      <c r="X84" s="48"/>
      <c r="Y84" s="48"/>
      <c r="Z84" s="48"/>
      <c r="AA84" s="48"/>
      <c r="AB84" s="48"/>
      <c r="AC84" s="60"/>
      <c r="AD84" s="62"/>
      <c r="AE84" s="48"/>
      <c r="AF84" s="48"/>
      <c r="AG84" s="48"/>
      <c r="AH84" s="48"/>
      <c r="AI84" s="48"/>
      <c r="AJ84" s="48"/>
      <c r="AK84" s="48"/>
      <c r="AL84" s="60"/>
      <c r="AM84" s="62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60"/>
      <c r="BJ84" s="48"/>
      <c r="BK84" s="51"/>
      <c r="BM84" s="4">
        <f t="shared" si="0"/>
        <v>27</v>
      </c>
    </row>
    <row r="85" spans="1:65" ht="15" customHeight="1" x14ac:dyDescent="0.25">
      <c r="A85" s="50"/>
      <c r="B85" s="62"/>
      <c r="C85" s="48"/>
      <c r="D85" s="48"/>
      <c r="E85" s="48"/>
      <c r="F85" s="48"/>
      <c r="G85" s="48"/>
      <c r="H85" s="48"/>
      <c r="I85" s="48"/>
      <c r="J85" s="48"/>
      <c r="K85" s="60"/>
      <c r="L85" s="62"/>
      <c r="M85" s="48"/>
      <c r="N85" s="48"/>
      <c r="O85" s="48"/>
      <c r="P85" s="48"/>
      <c r="Q85" s="48"/>
      <c r="R85" s="48"/>
      <c r="S85" s="48"/>
      <c r="T85" s="60"/>
      <c r="U85" s="62"/>
      <c r="V85" s="48"/>
      <c r="W85" s="48"/>
      <c r="X85" s="48"/>
      <c r="Y85" s="48"/>
      <c r="Z85" s="48"/>
      <c r="AA85" s="48"/>
      <c r="AB85" s="48"/>
      <c r="AC85" s="60"/>
      <c r="AD85" s="62"/>
      <c r="AE85" s="48"/>
      <c r="AF85" s="48"/>
      <c r="AG85" s="48"/>
      <c r="AH85" s="48"/>
      <c r="AI85" s="48"/>
      <c r="AJ85" s="48"/>
      <c r="AK85" s="48"/>
      <c r="AL85" s="60"/>
      <c r="AM85" s="62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60"/>
      <c r="BJ85" s="48"/>
      <c r="BK85" s="51"/>
      <c r="BM85" s="4">
        <f t="shared" si="0"/>
        <v>28</v>
      </c>
    </row>
    <row r="86" spans="1:65" ht="15" customHeight="1" x14ac:dyDescent="0.25">
      <c r="A86" s="50"/>
      <c r="B86" s="62"/>
      <c r="C86" s="48"/>
      <c r="D86" s="48"/>
      <c r="E86" s="48"/>
      <c r="F86" s="48"/>
      <c r="G86" s="48"/>
      <c r="H86" s="48"/>
      <c r="I86" s="48"/>
      <c r="J86" s="48"/>
      <c r="K86" s="60"/>
      <c r="L86" s="62"/>
      <c r="M86" s="48"/>
      <c r="N86" s="48"/>
      <c r="O86" s="48"/>
      <c r="P86" s="48"/>
      <c r="Q86" s="48"/>
      <c r="R86" s="48"/>
      <c r="S86" s="48"/>
      <c r="T86" s="60"/>
      <c r="U86" s="62"/>
      <c r="V86" s="48"/>
      <c r="W86" s="48"/>
      <c r="X86" s="48"/>
      <c r="Y86" s="48"/>
      <c r="Z86" s="48"/>
      <c r="AA86" s="48"/>
      <c r="AB86" s="48"/>
      <c r="AC86" s="60"/>
      <c r="AD86" s="62"/>
      <c r="AE86" s="48"/>
      <c r="AF86" s="48"/>
      <c r="AG86" s="48"/>
      <c r="AH86" s="48"/>
      <c r="AI86" s="48"/>
      <c r="AJ86" s="48"/>
      <c r="AK86" s="48"/>
      <c r="AL86" s="60"/>
      <c r="AM86" s="62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60"/>
      <c r="BJ86" s="48"/>
      <c r="BK86" s="51"/>
      <c r="BM86" s="4">
        <f t="shared" si="0"/>
        <v>29</v>
      </c>
    </row>
    <row r="87" spans="1:65" ht="15" customHeight="1" x14ac:dyDescent="0.25">
      <c r="A87" s="50"/>
      <c r="B87" s="62"/>
      <c r="C87" s="48"/>
      <c r="D87" s="48"/>
      <c r="E87" s="48"/>
      <c r="F87" s="48"/>
      <c r="G87" s="48"/>
      <c r="H87" s="48"/>
      <c r="I87" s="48"/>
      <c r="J87" s="48"/>
      <c r="K87" s="60"/>
      <c r="L87" s="62"/>
      <c r="M87" s="48"/>
      <c r="N87" s="48"/>
      <c r="O87" s="48"/>
      <c r="P87" s="48"/>
      <c r="Q87" s="48"/>
      <c r="R87" s="48"/>
      <c r="S87" s="48"/>
      <c r="T87" s="60"/>
      <c r="U87" s="62"/>
      <c r="V87" s="48"/>
      <c r="W87" s="48"/>
      <c r="X87" s="48"/>
      <c r="Y87" s="48"/>
      <c r="Z87" s="48"/>
      <c r="AA87" s="48"/>
      <c r="AB87" s="48"/>
      <c r="AC87" s="60"/>
      <c r="AD87" s="62"/>
      <c r="AE87" s="48"/>
      <c r="AF87" s="48"/>
      <c r="AG87" s="48"/>
      <c r="AH87" s="48"/>
      <c r="AI87" s="48"/>
      <c r="AJ87" s="48"/>
      <c r="AK87" s="48"/>
      <c r="AL87" s="60"/>
      <c r="AM87" s="62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60"/>
      <c r="BJ87" s="48"/>
      <c r="BK87" s="51"/>
      <c r="BM87" s="4">
        <f t="shared" si="0"/>
        <v>30</v>
      </c>
    </row>
    <row r="88" spans="1:65" ht="15" customHeight="1" x14ac:dyDescent="0.25">
      <c r="A88" s="50"/>
      <c r="B88" s="62"/>
      <c r="C88" s="48"/>
      <c r="D88" s="48"/>
      <c r="E88" s="48"/>
      <c r="F88" s="48"/>
      <c r="G88" s="48"/>
      <c r="H88" s="48"/>
      <c r="I88" s="48"/>
      <c r="J88" s="48"/>
      <c r="K88" s="60"/>
      <c r="L88" s="62"/>
      <c r="M88" s="48"/>
      <c r="N88" s="48"/>
      <c r="O88" s="48"/>
      <c r="P88" s="48"/>
      <c r="Q88" s="48"/>
      <c r="R88" s="48"/>
      <c r="S88" s="48"/>
      <c r="T88" s="60"/>
      <c r="U88" s="62"/>
      <c r="V88" s="48"/>
      <c r="W88" s="48"/>
      <c r="X88" s="48"/>
      <c r="Y88" s="48"/>
      <c r="Z88" s="48"/>
      <c r="AA88" s="48"/>
      <c r="AB88" s="48"/>
      <c r="AC88" s="60"/>
      <c r="AD88" s="62"/>
      <c r="AE88" s="48"/>
      <c r="AF88" s="48"/>
      <c r="AG88" s="48"/>
      <c r="AH88" s="48"/>
      <c r="AI88" s="48"/>
      <c r="AJ88" s="48"/>
      <c r="AK88" s="48"/>
      <c r="AL88" s="60"/>
      <c r="AM88" s="62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60"/>
      <c r="BJ88" s="48"/>
      <c r="BK88" s="51"/>
      <c r="BM88" s="4">
        <f t="shared" si="0"/>
        <v>31</v>
      </c>
    </row>
    <row r="89" spans="1:65" ht="15" customHeight="1" x14ac:dyDescent="0.25">
      <c r="A89" s="50"/>
      <c r="B89" s="62"/>
      <c r="C89" s="48"/>
      <c r="D89" s="48"/>
      <c r="E89" s="48"/>
      <c r="F89" s="48"/>
      <c r="G89" s="48"/>
      <c r="H89" s="48"/>
      <c r="I89" s="48"/>
      <c r="J89" s="48"/>
      <c r="K89" s="60"/>
      <c r="L89" s="62"/>
      <c r="M89" s="48"/>
      <c r="N89" s="48"/>
      <c r="O89" s="48"/>
      <c r="P89" s="48"/>
      <c r="Q89" s="48"/>
      <c r="R89" s="48"/>
      <c r="S89" s="48"/>
      <c r="T89" s="60"/>
      <c r="U89" s="62"/>
      <c r="V89" s="48"/>
      <c r="W89" s="48"/>
      <c r="X89" s="48"/>
      <c r="Y89" s="48"/>
      <c r="Z89" s="48"/>
      <c r="AA89" s="48"/>
      <c r="AB89" s="48"/>
      <c r="AC89" s="60"/>
      <c r="AD89" s="62"/>
      <c r="AE89" s="48"/>
      <c r="AF89" s="48"/>
      <c r="AG89" s="48"/>
      <c r="AH89" s="48"/>
      <c r="AI89" s="48"/>
      <c r="AJ89" s="48"/>
      <c r="AK89" s="48"/>
      <c r="AL89" s="60"/>
      <c r="AM89" s="62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60"/>
      <c r="BJ89" s="48"/>
      <c r="BK89" s="51"/>
      <c r="BM89" s="4">
        <f t="shared" si="0"/>
        <v>32</v>
      </c>
    </row>
    <row r="90" spans="1:65" ht="15" customHeight="1" x14ac:dyDescent="0.25">
      <c r="A90" s="50"/>
      <c r="B90" s="62"/>
      <c r="C90" s="48"/>
      <c r="D90" s="48"/>
      <c r="E90" s="48"/>
      <c r="F90" s="48"/>
      <c r="G90" s="48"/>
      <c r="H90" s="48"/>
      <c r="I90" s="48"/>
      <c r="J90" s="48"/>
      <c r="K90" s="60"/>
      <c r="L90" s="62"/>
      <c r="M90" s="48"/>
      <c r="N90" s="48"/>
      <c r="O90" s="48"/>
      <c r="P90" s="48"/>
      <c r="Q90" s="48"/>
      <c r="R90" s="48"/>
      <c r="S90" s="48"/>
      <c r="T90" s="60"/>
      <c r="U90" s="62"/>
      <c r="V90" s="48"/>
      <c r="W90" s="48"/>
      <c r="X90" s="48"/>
      <c r="Y90" s="48"/>
      <c r="Z90" s="48"/>
      <c r="AA90" s="48"/>
      <c r="AB90" s="48"/>
      <c r="AC90" s="60"/>
      <c r="AD90" s="62"/>
      <c r="AE90" s="48"/>
      <c r="AF90" s="48"/>
      <c r="AG90" s="48"/>
      <c r="AH90" s="48"/>
      <c r="AI90" s="48"/>
      <c r="AJ90" s="48"/>
      <c r="AK90" s="48"/>
      <c r="AL90" s="60"/>
      <c r="AM90" s="62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60"/>
      <c r="BJ90" s="48"/>
      <c r="BK90" s="51"/>
      <c r="BM90" s="4">
        <f t="shared" si="0"/>
        <v>33</v>
      </c>
    </row>
    <row r="91" spans="1:65" ht="15" customHeight="1" x14ac:dyDescent="0.25">
      <c r="A91" s="50"/>
      <c r="B91" s="62"/>
      <c r="C91" s="48"/>
      <c r="D91" s="48"/>
      <c r="E91" s="48"/>
      <c r="F91" s="48"/>
      <c r="G91" s="48"/>
      <c r="H91" s="48"/>
      <c r="I91" s="48"/>
      <c r="J91" s="48"/>
      <c r="K91" s="60"/>
      <c r="L91" s="62"/>
      <c r="M91" s="48"/>
      <c r="N91" s="48"/>
      <c r="O91" s="48"/>
      <c r="P91" s="48"/>
      <c r="Q91" s="48"/>
      <c r="R91" s="48"/>
      <c r="S91" s="48"/>
      <c r="T91" s="60"/>
      <c r="U91" s="62"/>
      <c r="V91" s="48"/>
      <c r="W91" s="48"/>
      <c r="X91" s="48"/>
      <c r="Y91" s="48"/>
      <c r="Z91" s="48"/>
      <c r="AA91" s="48"/>
      <c r="AB91" s="48"/>
      <c r="AC91" s="60"/>
      <c r="AD91" s="62"/>
      <c r="AE91" s="48"/>
      <c r="AF91" s="48"/>
      <c r="AG91" s="48"/>
      <c r="AH91" s="48"/>
      <c r="AI91" s="48"/>
      <c r="AJ91" s="48"/>
      <c r="AK91" s="48"/>
      <c r="AL91" s="60"/>
      <c r="AM91" s="62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60"/>
      <c r="BJ91" s="48"/>
      <c r="BK91" s="51"/>
      <c r="BM91" s="4">
        <f t="shared" si="0"/>
        <v>34</v>
      </c>
    </row>
    <row r="92" spans="1:65" ht="15" customHeight="1" x14ac:dyDescent="0.25">
      <c r="A92" s="50"/>
      <c r="B92" s="62"/>
      <c r="C92" s="48"/>
      <c r="D92" s="48"/>
      <c r="E92" s="48"/>
      <c r="F92" s="48"/>
      <c r="G92" s="48"/>
      <c r="H92" s="48"/>
      <c r="I92" s="48"/>
      <c r="J92" s="48"/>
      <c r="K92" s="60"/>
      <c r="L92" s="62"/>
      <c r="M92" s="48"/>
      <c r="N92" s="48"/>
      <c r="O92" s="48"/>
      <c r="P92" s="48"/>
      <c r="Q92" s="48"/>
      <c r="R92" s="48"/>
      <c r="S92" s="48"/>
      <c r="T92" s="60"/>
      <c r="U92" s="62"/>
      <c r="V92" s="48"/>
      <c r="W92" s="48"/>
      <c r="X92" s="48"/>
      <c r="Y92" s="48"/>
      <c r="Z92" s="48"/>
      <c r="AA92" s="48"/>
      <c r="AB92" s="48"/>
      <c r="AC92" s="60"/>
      <c r="AD92" s="62"/>
      <c r="AE92" s="48"/>
      <c r="AF92" s="48"/>
      <c r="AG92" s="48"/>
      <c r="AH92" s="48"/>
      <c r="AI92" s="48"/>
      <c r="AJ92" s="48"/>
      <c r="AK92" s="48"/>
      <c r="AL92" s="60"/>
      <c r="AM92" s="62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60"/>
      <c r="BJ92" s="48"/>
      <c r="BK92" s="51"/>
      <c r="BM92" s="4">
        <f t="shared" si="0"/>
        <v>35</v>
      </c>
    </row>
    <row r="93" spans="1:65" ht="15" customHeight="1" x14ac:dyDescent="0.25">
      <c r="A93" s="50"/>
      <c r="B93" s="62"/>
      <c r="C93" s="48"/>
      <c r="D93" s="48"/>
      <c r="E93" s="48"/>
      <c r="F93" s="48"/>
      <c r="G93" s="48"/>
      <c r="H93" s="48"/>
      <c r="I93" s="48"/>
      <c r="J93" s="48"/>
      <c r="K93" s="60"/>
      <c r="L93" s="62"/>
      <c r="M93" s="48"/>
      <c r="N93" s="48"/>
      <c r="O93" s="48"/>
      <c r="P93" s="48"/>
      <c r="Q93" s="48"/>
      <c r="R93" s="48"/>
      <c r="S93" s="48"/>
      <c r="T93" s="60"/>
      <c r="U93" s="62"/>
      <c r="V93" s="48"/>
      <c r="W93" s="48"/>
      <c r="X93" s="48"/>
      <c r="Y93" s="48"/>
      <c r="Z93" s="48"/>
      <c r="AA93" s="48"/>
      <c r="AB93" s="48"/>
      <c r="AC93" s="60"/>
      <c r="AD93" s="62"/>
      <c r="AE93" s="48"/>
      <c r="AF93" s="48"/>
      <c r="AG93" s="48"/>
      <c r="AH93" s="48"/>
      <c r="AI93" s="48"/>
      <c r="AJ93" s="48"/>
      <c r="AK93" s="48"/>
      <c r="AL93" s="60"/>
      <c r="AM93" s="62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60"/>
      <c r="BJ93" s="48"/>
      <c r="BK93" s="51"/>
      <c r="BM93" s="4">
        <f t="shared" ref="BM93:BM118" si="1">IF(BM92=50,1,BM92+1)</f>
        <v>36</v>
      </c>
    </row>
    <row r="94" spans="1:65" ht="15" customHeight="1" x14ac:dyDescent="0.25">
      <c r="A94" s="50"/>
      <c r="B94" s="62"/>
      <c r="C94" s="48"/>
      <c r="D94" s="48"/>
      <c r="E94" s="48"/>
      <c r="F94" s="48"/>
      <c r="G94" s="48"/>
      <c r="H94" s="48"/>
      <c r="I94" s="48"/>
      <c r="J94" s="48"/>
      <c r="K94" s="60"/>
      <c r="L94" s="62"/>
      <c r="M94" s="48"/>
      <c r="N94" s="48"/>
      <c r="O94" s="48"/>
      <c r="P94" s="48"/>
      <c r="Q94" s="48"/>
      <c r="R94" s="48"/>
      <c r="S94" s="48"/>
      <c r="T94" s="60"/>
      <c r="U94" s="62"/>
      <c r="V94" s="48"/>
      <c r="W94" s="48"/>
      <c r="X94" s="48"/>
      <c r="Y94" s="48"/>
      <c r="Z94" s="48"/>
      <c r="AA94" s="48"/>
      <c r="AB94" s="48"/>
      <c r="AC94" s="60"/>
      <c r="AD94" s="62"/>
      <c r="AE94" s="48"/>
      <c r="AF94" s="48"/>
      <c r="AG94" s="48"/>
      <c r="AH94" s="48"/>
      <c r="AI94" s="48"/>
      <c r="AJ94" s="48"/>
      <c r="AK94" s="48"/>
      <c r="AL94" s="60"/>
      <c r="AM94" s="62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60"/>
      <c r="BJ94" s="48"/>
      <c r="BK94" s="51"/>
      <c r="BM94" s="4">
        <f t="shared" si="1"/>
        <v>37</v>
      </c>
    </row>
    <row r="95" spans="1:65" ht="15" customHeight="1" x14ac:dyDescent="0.25">
      <c r="A95" s="50"/>
      <c r="B95" s="62"/>
      <c r="C95" s="48"/>
      <c r="D95" s="48"/>
      <c r="E95" s="48"/>
      <c r="F95" s="48"/>
      <c r="G95" s="48"/>
      <c r="H95" s="48"/>
      <c r="I95" s="48"/>
      <c r="J95" s="48"/>
      <c r="K95" s="60"/>
      <c r="L95" s="62"/>
      <c r="M95" s="48"/>
      <c r="N95" s="48"/>
      <c r="O95" s="48"/>
      <c r="P95" s="48"/>
      <c r="Q95" s="48"/>
      <c r="R95" s="48"/>
      <c r="S95" s="48"/>
      <c r="T95" s="60"/>
      <c r="U95" s="62"/>
      <c r="V95" s="48"/>
      <c r="W95" s="48"/>
      <c r="X95" s="48"/>
      <c r="Y95" s="48"/>
      <c r="Z95" s="48"/>
      <c r="AA95" s="48"/>
      <c r="AB95" s="48"/>
      <c r="AC95" s="60"/>
      <c r="AD95" s="62"/>
      <c r="AE95" s="48"/>
      <c r="AF95" s="48"/>
      <c r="AG95" s="48"/>
      <c r="AH95" s="48"/>
      <c r="AI95" s="48"/>
      <c r="AJ95" s="48"/>
      <c r="AK95" s="48"/>
      <c r="AL95" s="60"/>
      <c r="AM95" s="62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60"/>
      <c r="BJ95" s="48"/>
      <c r="BK95" s="51"/>
      <c r="BM95" s="4">
        <f t="shared" si="1"/>
        <v>38</v>
      </c>
    </row>
    <row r="96" spans="1:65" ht="15" customHeight="1" x14ac:dyDescent="0.25">
      <c r="A96" s="50"/>
      <c r="B96" s="62"/>
      <c r="C96" s="48"/>
      <c r="D96" s="48"/>
      <c r="E96" s="48"/>
      <c r="F96" s="48"/>
      <c r="G96" s="48"/>
      <c r="H96" s="48"/>
      <c r="I96" s="48"/>
      <c r="J96" s="48"/>
      <c r="K96" s="60"/>
      <c r="L96" s="62"/>
      <c r="M96" s="48"/>
      <c r="N96" s="48"/>
      <c r="O96" s="48"/>
      <c r="P96" s="48"/>
      <c r="Q96" s="48"/>
      <c r="R96" s="48"/>
      <c r="S96" s="48"/>
      <c r="T96" s="60"/>
      <c r="U96" s="62"/>
      <c r="V96" s="48"/>
      <c r="W96" s="48"/>
      <c r="X96" s="48"/>
      <c r="Y96" s="48"/>
      <c r="Z96" s="48"/>
      <c r="AA96" s="48"/>
      <c r="AB96" s="48"/>
      <c r="AC96" s="60"/>
      <c r="AD96" s="62"/>
      <c r="AE96" s="48"/>
      <c r="AF96" s="48"/>
      <c r="AG96" s="48"/>
      <c r="AH96" s="48"/>
      <c r="AI96" s="48"/>
      <c r="AJ96" s="48"/>
      <c r="AK96" s="48"/>
      <c r="AL96" s="60"/>
      <c r="AM96" s="62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60"/>
      <c r="BJ96" s="48"/>
      <c r="BK96" s="51"/>
      <c r="BM96" s="4">
        <f t="shared" si="1"/>
        <v>39</v>
      </c>
    </row>
    <row r="97" spans="1:67" ht="15" customHeight="1" x14ac:dyDescent="0.25">
      <c r="A97" s="50"/>
      <c r="B97" s="62"/>
      <c r="C97" s="48"/>
      <c r="D97" s="48"/>
      <c r="E97" s="48"/>
      <c r="F97" s="48"/>
      <c r="G97" s="48"/>
      <c r="H97" s="48"/>
      <c r="I97" s="48"/>
      <c r="J97" s="48"/>
      <c r="K97" s="60"/>
      <c r="L97" s="62"/>
      <c r="M97" s="48"/>
      <c r="N97" s="48"/>
      <c r="O97" s="48"/>
      <c r="P97" s="48"/>
      <c r="Q97" s="48"/>
      <c r="R97" s="48"/>
      <c r="S97" s="48"/>
      <c r="T97" s="60"/>
      <c r="U97" s="62"/>
      <c r="V97" s="48"/>
      <c r="W97" s="48"/>
      <c r="X97" s="48"/>
      <c r="Y97" s="48"/>
      <c r="Z97" s="48"/>
      <c r="AA97" s="48"/>
      <c r="AB97" s="48"/>
      <c r="AC97" s="60"/>
      <c r="AD97" s="62"/>
      <c r="AE97" s="48"/>
      <c r="AF97" s="48"/>
      <c r="AG97" s="48"/>
      <c r="AH97" s="48"/>
      <c r="AI97" s="48"/>
      <c r="AJ97" s="48"/>
      <c r="AK97" s="48"/>
      <c r="AL97" s="60"/>
      <c r="AM97" s="62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60"/>
      <c r="BJ97" s="48"/>
      <c r="BK97" s="51"/>
      <c r="BM97" s="4">
        <f t="shared" si="1"/>
        <v>40</v>
      </c>
    </row>
    <row r="98" spans="1:67" ht="15" customHeight="1" x14ac:dyDescent="0.25">
      <c r="A98" s="50"/>
      <c r="B98" s="62"/>
      <c r="C98" s="48"/>
      <c r="D98" s="48"/>
      <c r="E98" s="48"/>
      <c r="F98" s="48"/>
      <c r="G98" s="48"/>
      <c r="H98" s="48"/>
      <c r="I98" s="48"/>
      <c r="J98" s="48"/>
      <c r="K98" s="60"/>
      <c r="L98" s="62"/>
      <c r="M98" s="48"/>
      <c r="N98" s="48"/>
      <c r="O98" s="48"/>
      <c r="P98" s="48"/>
      <c r="Q98" s="48"/>
      <c r="R98" s="48"/>
      <c r="S98" s="48"/>
      <c r="T98" s="60"/>
      <c r="U98" s="62"/>
      <c r="V98" s="48"/>
      <c r="W98" s="48"/>
      <c r="X98" s="48"/>
      <c r="Y98" s="48"/>
      <c r="Z98" s="48"/>
      <c r="AA98" s="48"/>
      <c r="AB98" s="48"/>
      <c r="AC98" s="60"/>
      <c r="AD98" s="62"/>
      <c r="AE98" s="48"/>
      <c r="AF98" s="48"/>
      <c r="AG98" s="48"/>
      <c r="AH98" s="48"/>
      <c r="AI98" s="48"/>
      <c r="AJ98" s="48"/>
      <c r="AK98" s="48"/>
      <c r="AL98" s="60"/>
      <c r="AM98" s="62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60"/>
      <c r="BJ98" s="48"/>
      <c r="BK98" s="51"/>
      <c r="BM98" s="4">
        <f t="shared" si="1"/>
        <v>41</v>
      </c>
    </row>
    <row r="99" spans="1:67" ht="15" customHeight="1" x14ac:dyDescent="0.25">
      <c r="A99" s="50"/>
      <c r="B99" s="62"/>
      <c r="C99" s="48"/>
      <c r="D99" s="48"/>
      <c r="E99" s="48"/>
      <c r="F99" s="48"/>
      <c r="G99" s="48"/>
      <c r="H99" s="48"/>
      <c r="I99" s="48"/>
      <c r="J99" s="48"/>
      <c r="K99" s="60"/>
      <c r="L99" s="62"/>
      <c r="M99" s="48"/>
      <c r="N99" s="48"/>
      <c r="O99" s="48"/>
      <c r="P99" s="48"/>
      <c r="Q99" s="48"/>
      <c r="R99" s="48"/>
      <c r="S99" s="48"/>
      <c r="T99" s="60"/>
      <c r="U99" s="62"/>
      <c r="V99" s="48"/>
      <c r="W99" s="48"/>
      <c r="X99" s="48"/>
      <c r="Y99" s="48"/>
      <c r="Z99" s="48"/>
      <c r="AA99" s="48"/>
      <c r="AB99" s="48"/>
      <c r="AC99" s="60"/>
      <c r="AD99" s="62"/>
      <c r="AE99" s="48"/>
      <c r="AF99" s="48"/>
      <c r="AG99" s="48"/>
      <c r="AH99" s="48"/>
      <c r="AI99" s="48"/>
      <c r="AJ99" s="48"/>
      <c r="AK99" s="48"/>
      <c r="AL99" s="60"/>
      <c r="AM99" s="62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60"/>
      <c r="BJ99" s="48"/>
      <c r="BK99" s="51"/>
      <c r="BM99" s="4">
        <f t="shared" si="1"/>
        <v>42</v>
      </c>
    </row>
    <row r="100" spans="1:67" ht="15" customHeight="1" x14ac:dyDescent="0.25">
      <c r="A100" s="50"/>
      <c r="B100" s="62"/>
      <c r="C100" s="48"/>
      <c r="D100" s="48"/>
      <c r="E100" s="48"/>
      <c r="F100" s="48"/>
      <c r="G100" s="48"/>
      <c r="H100" s="48"/>
      <c r="I100" s="48"/>
      <c r="J100" s="48"/>
      <c r="K100" s="60"/>
      <c r="L100" s="62"/>
      <c r="M100" s="48"/>
      <c r="N100" s="48"/>
      <c r="O100" s="48"/>
      <c r="P100" s="48"/>
      <c r="Q100" s="48"/>
      <c r="R100" s="48"/>
      <c r="S100" s="48"/>
      <c r="T100" s="60"/>
      <c r="U100" s="62"/>
      <c r="V100" s="48"/>
      <c r="W100" s="48"/>
      <c r="X100" s="48"/>
      <c r="Y100" s="48"/>
      <c r="Z100" s="48"/>
      <c r="AA100" s="48"/>
      <c r="AB100" s="48"/>
      <c r="AC100" s="60"/>
      <c r="AD100" s="62"/>
      <c r="AE100" s="48"/>
      <c r="AF100" s="48"/>
      <c r="AG100" s="48"/>
      <c r="AH100" s="48"/>
      <c r="AI100" s="48"/>
      <c r="AJ100" s="48"/>
      <c r="AK100" s="48"/>
      <c r="AL100" s="60"/>
      <c r="AM100" s="62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60"/>
      <c r="BJ100" s="48"/>
      <c r="BK100" s="51"/>
      <c r="BM100" s="4">
        <f t="shared" si="1"/>
        <v>43</v>
      </c>
    </row>
    <row r="101" spans="1:67" ht="15" customHeight="1" x14ac:dyDescent="0.25">
      <c r="A101" s="50"/>
      <c r="B101" s="62"/>
      <c r="C101" s="48"/>
      <c r="D101" s="48"/>
      <c r="E101" s="48"/>
      <c r="F101" s="48"/>
      <c r="G101" s="48"/>
      <c r="H101" s="48"/>
      <c r="I101" s="48"/>
      <c r="J101" s="48"/>
      <c r="K101" s="60"/>
      <c r="L101" s="62"/>
      <c r="M101" s="48"/>
      <c r="N101" s="48"/>
      <c r="O101" s="48"/>
      <c r="P101" s="48"/>
      <c r="Q101" s="48"/>
      <c r="R101" s="48"/>
      <c r="S101" s="48"/>
      <c r="T101" s="60"/>
      <c r="U101" s="62"/>
      <c r="V101" s="48"/>
      <c r="W101" s="48"/>
      <c r="X101" s="48"/>
      <c r="Y101" s="48"/>
      <c r="Z101" s="48"/>
      <c r="AA101" s="48"/>
      <c r="AB101" s="48"/>
      <c r="AC101" s="60"/>
      <c r="AD101" s="62"/>
      <c r="AE101" s="48"/>
      <c r="AF101" s="48"/>
      <c r="AG101" s="48"/>
      <c r="AH101" s="48"/>
      <c r="AI101" s="48"/>
      <c r="AJ101" s="48"/>
      <c r="AK101" s="48"/>
      <c r="AL101" s="60"/>
      <c r="AM101" s="62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60"/>
      <c r="BJ101" s="48"/>
      <c r="BK101" s="51"/>
      <c r="BM101" s="4">
        <f t="shared" si="1"/>
        <v>44</v>
      </c>
    </row>
    <row r="102" spans="1:67" ht="15" customHeight="1" x14ac:dyDescent="0.25">
      <c r="A102" s="50"/>
      <c r="B102" s="62"/>
      <c r="C102" s="48"/>
      <c r="D102" s="48"/>
      <c r="E102" s="48"/>
      <c r="F102" s="48"/>
      <c r="G102" s="48"/>
      <c r="H102" s="48"/>
      <c r="I102" s="48"/>
      <c r="J102" s="48"/>
      <c r="K102" s="60"/>
      <c r="L102" s="62"/>
      <c r="M102" s="48"/>
      <c r="N102" s="48"/>
      <c r="O102" s="48"/>
      <c r="P102" s="48"/>
      <c r="Q102" s="48"/>
      <c r="R102" s="48"/>
      <c r="S102" s="48"/>
      <c r="T102" s="60"/>
      <c r="U102" s="62"/>
      <c r="V102" s="48"/>
      <c r="W102" s="48"/>
      <c r="X102" s="48"/>
      <c r="Y102" s="48"/>
      <c r="Z102" s="48"/>
      <c r="AA102" s="48"/>
      <c r="AB102" s="48"/>
      <c r="AC102" s="60"/>
      <c r="AD102" s="62"/>
      <c r="AE102" s="48"/>
      <c r="AF102" s="48"/>
      <c r="AG102" s="48"/>
      <c r="AH102" s="48"/>
      <c r="AI102" s="48"/>
      <c r="AJ102" s="48"/>
      <c r="AK102" s="48"/>
      <c r="AL102" s="60"/>
      <c r="AM102" s="62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60"/>
      <c r="BJ102" s="48"/>
      <c r="BK102" s="51"/>
      <c r="BM102" s="4">
        <f t="shared" si="1"/>
        <v>45</v>
      </c>
    </row>
    <row r="103" spans="1:67" ht="15" customHeight="1" x14ac:dyDescent="0.25">
      <c r="A103" s="50"/>
      <c r="B103" s="62"/>
      <c r="C103" s="48"/>
      <c r="D103" s="48"/>
      <c r="E103" s="48"/>
      <c r="F103" s="48"/>
      <c r="G103" s="48"/>
      <c r="H103" s="48"/>
      <c r="I103" s="48"/>
      <c r="J103" s="48"/>
      <c r="K103" s="60"/>
      <c r="L103" s="62"/>
      <c r="M103" s="48"/>
      <c r="N103" s="48"/>
      <c r="O103" s="48"/>
      <c r="P103" s="48"/>
      <c r="Q103" s="48"/>
      <c r="R103" s="48"/>
      <c r="S103" s="48"/>
      <c r="T103" s="60"/>
      <c r="U103" s="62"/>
      <c r="V103" s="48"/>
      <c r="W103" s="48"/>
      <c r="X103" s="48"/>
      <c r="Y103" s="48"/>
      <c r="Z103" s="48"/>
      <c r="AA103" s="48"/>
      <c r="AB103" s="48"/>
      <c r="AC103" s="60"/>
      <c r="AD103" s="62"/>
      <c r="AE103" s="48"/>
      <c r="AF103" s="48"/>
      <c r="AG103" s="48"/>
      <c r="AH103" s="48"/>
      <c r="AI103" s="48"/>
      <c r="AJ103" s="48"/>
      <c r="AK103" s="48"/>
      <c r="AL103" s="60"/>
      <c r="AM103" s="62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60"/>
      <c r="BJ103" s="48"/>
      <c r="BK103" s="51"/>
      <c r="BM103" s="4">
        <f t="shared" si="1"/>
        <v>46</v>
      </c>
    </row>
    <row r="104" spans="1:67" ht="15" customHeight="1" x14ac:dyDescent="0.25">
      <c r="A104" s="50"/>
      <c r="B104" s="62"/>
      <c r="C104" s="48"/>
      <c r="D104" s="48"/>
      <c r="E104" s="48"/>
      <c r="F104" s="48"/>
      <c r="G104" s="48"/>
      <c r="H104" s="48"/>
      <c r="I104" s="48"/>
      <c r="J104" s="48"/>
      <c r="K104" s="60"/>
      <c r="L104" s="62"/>
      <c r="M104" s="48"/>
      <c r="N104" s="48"/>
      <c r="O104" s="48"/>
      <c r="P104" s="48"/>
      <c r="Q104" s="48"/>
      <c r="R104" s="48"/>
      <c r="S104" s="48"/>
      <c r="T104" s="60"/>
      <c r="U104" s="62"/>
      <c r="V104" s="48"/>
      <c r="W104" s="48"/>
      <c r="X104" s="48"/>
      <c r="Y104" s="48"/>
      <c r="Z104" s="48"/>
      <c r="AA104" s="48"/>
      <c r="AB104" s="48"/>
      <c r="AC104" s="60"/>
      <c r="AD104" s="62"/>
      <c r="AE104" s="48"/>
      <c r="AF104" s="48"/>
      <c r="AG104" s="48"/>
      <c r="AH104" s="48"/>
      <c r="AI104" s="48"/>
      <c r="AJ104" s="48"/>
      <c r="AK104" s="48"/>
      <c r="AL104" s="60"/>
      <c r="AM104" s="62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60"/>
      <c r="BJ104" s="48"/>
      <c r="BK104" s="51"/>
      <c r="BM104" s="4">
        <f t="shared" si="1"/>
        <v>47</v>
      </c>
    </row>
    <row r="105" spans="1:67" ht="15" customHeight="1" x14ac:dyDescent="0.25">
      <c r="A105" s="50"/>
      <c r="B105" s="62"/>
      <c r="C105" s="48"/>
      <c r="D105" s="48"/>
      <c r="E105" s="48"/>
      <c r="F105" s="48"/>
      <c r="G105" s="48"/>
      <c r="H105" s="48"/>
      <c r="I105" s="48"/>
      <c r="J105" s="48"/>
      <c r="K105" s="60"/>
      <c r="L105" s="62"/>
      <c r="M105" s="48"/>
      <c r="N105" s="48"/>
      <c r="O105" s="48"/>
      <c r="P105" s="48"/>
      <c r="Q105" s="48"/>
      <c r="R105" s="48"/>
      <c r="S105" s="48"/>
      <c r="T105" s="60"/>
      <c r="U105" s="62"/>
      <c r="V105" s="48"/>
      <c r="W105" s="48"/>
      <c r="X105" s="48"/>
      <c r="Y105" s="48"/>
      <c r="Z105" s="48"/>
      <c r="AA105" s="48"/>
      <c r="AB105" s="48"/>
      <c r="AC105" s="60"/>
      <c r="AD105" s="62"/>
      <c r="AE105" s="48"/>
      <c r="AF105" s="48"/>
      <c r="AG105" s="48"/>
      <c r="AH105" s="48"/>
      <c r="AI105" s="48"/>
      <c r="AJ105" s="48"/>
      <c r="AK105" s="48"/>
      <c r="AL105" s="60"/>
      <c r="AM105" s="62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60"/>
      <c r="BJ105" s="48"/>
      <c r="BK105" s="51"/>
      <c r="BM105" s="4">
        <f t="shared" si="1"/>
        <v>48</v>
      </c>
    </row>
    <row r="106" spans="1:67" ht="15" customHeight="1" x14ac:dyDescent="0.25">
      <c r="A106" s="50"/>
      <c r="B106" s="62"/>
      <c r="C106" s="48"/>
      <c r="D106" s="48"/>
      <c r="E106" s="48"/>
      <c r="F106" s="48"/>
      <c r="G106" s="48"/>
      <c r="H106" s="48"/>
      <c r="I106" s="48"/>
      <c r="J106" s="48"/>
      <c r="K106" s="60"/>
      <c r="L106" s="62"/>
      <c r="M106" s="48"/>
      <c r="N106" s="48"/>
      <c r="O106" s="48"/>
      <c r="P106" s="48"/>
      <c r="Q106" s="48"/>
      <c r="R106" s="48"/>
      <c r="S106" s="48"/>
      <c r="T106" s="60"/>
      <c r="U106" s="62"/>
      <c r="V106" s="48"/>
      <c r="W106" s="48"/>
      <c r="X106" s="48"/>
      <c r="Y106" s="48"/>
      <c r="Z106" s="48"/>
      <c r="AA106" s="48"/>
      <c r="AB106" s="48"/>
      <c r="AC106" s="60"/>
      <c r="AD106" s="62"/>
      <c r="AE106" s="48"/>
      <c r="AF106" s="48"/>
      <c r="AG106" s="48"/>
      <c r="AH106" s="48"/>
      <c r="AI106" s="48"/>
      <c r="AJ106" s="48"/>
      <c r="AK106" s="48"/>
      <c r="AL106" s="60"/>
      <c r="AM106" s="62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60"/>
      <c r="BJ106" s="48"/>
      <c r="BK106" s="51"/>
      <c r="BM106" s="4">
        <f t="shared" si="1"/>
        <v>49</v>
      </c>
    </row>
    <row r="107" spans="1:67" ht="15" customHeight="1" x14ac:dyDescent="0.25">
      <c r="A107" s="50"/>
      <c r="B107" s="62"/>
      <c r="C107" s="48"/>
      <c r="D107" s="48"/>
      <c r="E107" s="48"/>
      <c r="F107" s="48"/>
      <c r="G107" s="48"/>
      <c r="H107" s="48"/>
      <c r="I107" s="48"/>
      <c r="J107" s="48"/>
      <c r="K107" s="60"/>
      <c r="L107" s="62"/>
      <c r="M107" s="48"/>
      <c r="N107" s="48"/>
      <c r="O107" s="48"/>
      <c r="P107" s="48"/>
      <c r="Q107" s="48"/>
      <c r="R107" s="48"/>
      <c r="S107" s="48"/>
      <c r="T107" s="60"/>
      <c r="U107" s="62"/>
      <c r="V107" s="48"/>
      <c r="W107" s="48"/>
      <c r="X107" s="48"/>
      <c r="Y107" s="48"/>
      <c r="Z107" s="48"/>
      <c r="AA107" s="48"/>
      <c r="AB107" s="48"/>
      <c r="AC107" s="60"/>
      <c r="AD107" s="62"/>
      <c r="AE107" s="48"/>
      <c r="AF107" s="48"/>
      <c r="AG107" s="48"/>
      <c r="AH107" s="48"/>
      <c r="AI107" s="48"/>
      <c r="AJ107" s="48"/>
      <c r="AK107" s="48"/>
      <c r="AL107" s="60"/>
      <c r="AM107" s="62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60"/>
      <c r="BJ107" s="48"/>
      <c r="BK107" s="51"/>
      <c r="BM107" s="4">
        <f t="shared" si="1"/>
        <v>50</v>
      </c>
    </row>
    <row r="108" spans="1:67" ht="15" customHeight="1" x14ac:dyDescent="0.25">
      <c r="A108" s="50"/>
      <c r="B108" s="62"/>
      <c r="C108" s="48"/>
      <c r="D108" s="48"/>
      <c r="E108" s="48"/>
      <c r="F108" s="48"/>
      <c r="G108" s="48"/>
      <c r="H108" s="48"/>
      <c r="I108" s="48"/>
      <c r="J108" s="48"/>
      <c r="K108" s="60"/>
      <c r="L108" s="62"/>
      <c r="M108" s="48"/>
      <c r="N108" s="48"/>
      <c r="O108" s="48"/>
      <c r="P108" s="48"/>
      <c r="Q108" s="48"/>
      <c r="R108" s="48"/>
      <c r="S108" s="48"/>
      <c r="T108" s="60"/>
      <c r="U108" s="62"/>
      <c r="V108" s="48"/>
      <c r="W108" s="48"/>
      <c r="X108" s="48"/>
      <c r="Y108" s="48"/>
      <c r="Z108" s="48"/>
      <c r="AA108" s="48"/>
      <c r="AB108" s="48"/>
      <c r="AC108" s="60"/>
      <c r="AD108" s="62"/>
      <c r="AE108" s="48"/>
      <c r="AF108" s="48"/>
      <c r="AG108" s="48"/>
      <c r="AH108" s="48"/>
      <c r="AI108" s="48"/>
      <c r="AJ108" s="48"/>
      <c r="AK108" s="48"/>
      <c r="AL108" s="60"/>
      <c r="AM108" s="62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60"/>
      <c r="BJ108" s="48"/>
      <c r="BK108" s="51"/>
      <c r="BM108" s="4">
        <f t="shared" si="1"/>
        <v>1</v>
      </c>
    </row>
    <row r="109" spans="1:67" ht="15" customHeight="1" x14ac:dyDescent="0.25">
      <c r="A109" s="50"/>
      <c r="B109" s="62"/>
      <c r="C109" s="48"/>
      <c r="D109" s="48"/>
      <c r="E109" s="48"/>
      <c r="F109" s="48"/>
      <c r="G109" s="48"/>
      <c r="H109" s="48"/>
      <c r="I109" s="48"/>
      <c r="J109" s="48"/>
      <c r="K109" s="60"/>
      <c r="L109" s="62"/>
      <c r="M109" s="48"/>
      <c r="N109" s="48"/>
      <c r="O109" s="48"/>
      <c r="P109" s="48"/>
      <c r="Q109" s="48"/>
      <c r="R109" s="48"/>
      <c r="S109" s="48"/>
      <c r="T109" s="60"/>
      <c r="U109" s="62"/>
      <c r="V109" s="48"/>
      <c r="W109" s="48"/>
      <c r="X109" s="48"/>
      <c r="Y109" s="48"/>
      <c r="Z109" s="48"/>
      <c r="AA109" s="48"/>
      <c r="AB109" s="48"/>
      <c r="AC109" s="60"/>
      <c r="AD109" s="62"/>
      <c r="AE109" s="48"/>
      <c r="AF109" s="48"/>
      <c r="AG109" s="48"/>
      <c r="AH109" s="48"/>
      <c r="AI109" s="48"/>
      <c r="AJ109" s="48"/>
      <c r="AK109" s="48"/>
      <c r="AL109" s="60"/>
      <c r="AM109" s="62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60"/>
      <c r="BJ109" s="48"/>
      <c r="BK109" s="51"/>
      <c r="BM109" s="4">
        <f t="shared" si="1"/>
        <v>2</v>
      </c>
    </row>
    <row r="110" spans="1:67" ht="15" customHeight="1" x14ac:dyDescent="0.25">
      <c r="A110" s="50"/>
      <c r="B110" s="62"/>
      <c r="C110" s="48"/>
      <c r="D110" s="48"/>
      <c r="E110" s="48"/>
      <c r="F110" s="48"/>
      <c r="G110" s="48"/>
      <c r="H110" s="48"/>
      <c r="I110" s="48"/>
      <c r="J110" s="48"/>
      <c r="K110" s="60"/>
      <c r="L110" s="62"/>
      <c r="M110" s="48"/>
      <c r="N110" s="48"/>
      <c r="O110" s="48"/>
      <c r="P110" s="48"/>
      <c r="Q110" s="48"/>
      <c r="R110" s="48"/>
      <c r="S110" s="48"/>
      <c r="T110" s="60"/>
      <c r="U110" s="62"/>
      <c r="V110" s="48"/>
      <c r="W110" s="48"/>
      <c r="X110" s="48"/>
      <c r="Y110" s="48"/>
      <c r="Z110" s="48"/>
      <c r="AA110" s="48"/>
      <c r="AB110" s="48"/>
      <c r="AC110" s="60"/>
      <c r="AD110" s="62"/>
      <c r="AE110" s="48"/>
      <c r="AF110" s="48"/>
      <c r="AG110" s="48"/>
      <c r="AH110" s="48"/>
      <c r="AI110" s="48"/>
      <c r="AJ110" s="48"/>
      <c r="AK110" s="48"/>
      <c r="AL110" s="60"/>
      <c r="AM110" s="62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60"/>
      <c r="BJ110" s="48"/>
      <c r="BK110" s="51"/>
      <c r="BM110" s="4">
        <f t="shared" si="1"/>
        <v>3</v>
      </c>
    </row>
    <row r="111" spans="1:67" ht="15" customHeight="1" x14ac:dyDescent="0.25">
      <c r="A111" s="50"/>
      <c r="B111" s="62"/>
      <c r="C111" s="48"/>
      <c r="D111" s="48"/>
      <c r="E111" s="48"/>
      <c r="F111" s="48"/>
      <c r="G111" s="48"/>
      <c r="H111" s="48"/>
      <c r="I111" s="48"/>
      <c r="J111" s="48"/>
      <c r="K111" s="60"/>
      <c r="L111" s="62"/>
      <c r="M111" s="48"/>
      <c r="N111" s="48"/>
      <c r="O111" s="48"/>
      <c r="P111" s="48"/>
      <c r="Q111" s="48"/>
      <c r="R111" s="48"/>
      <c r="S111" s="48"/>
      <c r="T111" s="60"/>
      <c r="U111" s="62"/>
      <c r="V111" s="48"/>
      <c r="W111" s="48"/>
      <c r="X111" s="48"/>
      <c r="Y111" s="48"/>
      <c r="Z111" s="48"/>
      <c r="AA111" s="48"/>
      <c r="AB111" s="48"/>
      <c r="AC111" s="60"/>
      <c r="AD111" s="62"/>
      <c r="AE111" s="48"/>
      <c r="AF111" s="48"/>
      <c r="AG111" s="48"/>
      <c r="AH111" s="48"/>
      <c r="AI111" s="48"/>
      <c r="AJ111" s="48"/>
      <c r="AK111" s="48"/>
      <c r="AL111" s="60"/>
      <c r="AM111" s="62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60"/>
      <c r="BJ111" s="48"/>
      <c r="BK111" s="51"/>
      <c r="BM111" s="4">
        <f t="shared" si="1"/>
        <v>4</v>
      </c>
    </row>
    <row r="112" spans="1:67" ht="15" customHeight="1" x14ac:dyDescent="0.25">
      <c r="A112" s="50"/>
      <c r="B112" s="62"/>
      <c r="C112" s="48"/>
      <c r="D112" s="48"/>
      <c r="E112" s="48"/>
      <c r="F112" s="48"/>
      <c r="G112" s="48"/>
      <c r="H112" s="48"/>
      <c r="I112" s="48"/>
      <c r="J112" s="48"/>
      <c r="K112" s="60"/>
      <c r="L112" s="62"/>
      <c r="M112" s="48"/>
      <c r="N112" s="48"/>
      <c r="O112" s="48"/>
      <c r="P112" s="48"/>
      <c r="Q112" s="48"/>
      <c r="R112" s="48"/>
      <c r="S112" s="48"/>
      <c r="T112" s="60"/>
      <c r="U112" s="62"/>
      <c r="V112" s="48"/>
      <c r="W112" s="48"/>
      <c r="X112" s="48"/>
      <c r="Y112" s="48"/>
      <c r="Z112" s="48"/>
      <c r="AA112" s="48"/>
      <c r="AB112" s="48"/>
      <c r="AC112" s="60"/>
      <c r="AD112" s="62"/>
      <c r="AE112" s="48"/>
      <c r="AF112" s="48"/>
      <c r="AG112" s="48"/>
      <c r="AH112" s="48"/>
      <c r="AI112" s="48"/>
      <c r="AJ112" s="48"/>
      <c r="AK112" s="48"/>
      <c r="AL112" s="60"/>
      <c r="AM112" s="62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60"/>
      <c r="BJ112" s="48"/>
      <c r="BK112" s="51"/>
      <c r="BM112" s="4">
        <f t="shared" si="1"/>
        <v>5</v>
      </c>
      <c r="BO112" s="63"/>
    </row>
    <row r="113" spans="1:65" ht="15" customHeight="1" x14ac:dyDescent="0.25">
      <c r="A113" s="50"/>
      <c r="B113" s="62"/>
      <c r="C113" s="48"/>
      <c r="D113" s="48"/>
      <c r="E113" s="48"/>
      <c r="F113" s="48"/>
      <c r="G113" s="48"/>
      <c r="H113" s="48"/>
      <c r="I113" s="48"/>
      <c r="J113" s="48"/>
      <c r="K113" s="60"/>
      <c r="L113" s="62"/>
      <c r="M113" s="48"/>
      <c r="N113" s="48"/>
      <c r="O113" s="48"/>
      <c r="P113" s="48"/>
      <c r="Q113" s="48"/>
      <c r="R113" s="48"/>
      <c r="S113" s="48"/>
      <c r="T113" s="60"/>
      <c r="U113" s="62"/>
      <c r="V113" s="48"/>
      <c r="W113" s="48"/>
      <c r="X113" s="48"/>
      <c r="Y113" s="48"/>
      <c r="Z113" s="48"/>
      <c r="AA113" s="48"/>
      <c r="AB113" s="48"/>
      <c r="AC113" s="60"/>
      <c r="AD113" s="62"/>
      <c r="AE113" s="48"/>
      <c r="AF113" s="48"/>
      <c r="AG113" s="48"/>
      <c r="AH113" s="48"/>
      <c r="AI113" s="48"/>
      <c r="AJ113" s="48"/>
      <c r="AK113" s="48"/>
      <c r="AL113" s="60"/>
      <c r="AM113" s="62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60"/>
      <c r="BJ113" s="48"/>
      <c r="BK113" s="51"/>
      <c r="BM113" s="4">
        <f t="shared" si="1"/>
        <v>6</v>
      </c>
    </row>
    <row r="114" spans="1:65" ht="15" customHeight="1" x14ac:dyDescent="0.25">
      <c r="A114" s="50"/>
      <c r="B114" s="62"/>
      <c r="C114" s="48"/>
      <c r="D114" s="48"/>
      <c r="E114" s="48"/>
      <c r="F114" s="48"/>
      <c r="G114" s="48"/>
      <c r="H114" s="48"/>
      <c r="I114" s="48"/>
      <c r="J114" s="48"/>
      <c r="K114" s="60"/>
      <c r="L114" s="62"/>
      <c r="M114" s="48"/>
      <c r="N114" s="48"/>
      <c r="O114" s="48"/>
      <c r="P114" s="48"/>
      <c r="Q114" s="48"/>
      <c r="R114" s="48"/>
      <c r="S114" s="48"/>
      <c r="T114" s="60"/>
      <c r="U114" s="62"/>
      <c r="V114" s="48"/>
      <c r="W114" s="48"/>
      <c r="X114" s="48"/>
      <c r="Y114" s="48"/>
      <c r="Z114" s="48"/>
      <c r="AA114" s="48"/>
      <c r="AB114" s="48"/>
      <c r="AC114" s="60"/>
      <c r="AD114" s="62"/>
      <c r="AE114" s="48"/>
      <c r="AF114" s="48"/>
      <c r="AG114" s="48"/>
      <c r="AH114" s="48"/>
      <c r="AI114" s="48"/>
      <c r="AJ114" s="48"/>
      <c r="AK114" s="48"/>
      <c r="AL114" s="60"/>
      <c r="AM114" s="62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60"/>
      <c r="BJ114" s="48"/>
      <c r="BK114" s="51"/>
      <c r="BM114" s="4">
        <f t="shared" si="1"/>
        <v>7</v>
      </c>
    </row>
    <row r="115" spans="1:65" ht="15" customHeight="1" x14ac:dyDescent="0.25">
      <c r="A115" s="50"/>
      <c r="B115" s="62"/>
      <c r="C115" s="48"/>
      <c r="D115" s="48"/>
      <c r="E115" s="48"/>
      <c r="F115" s="48"/>
      <c r="G115" s="48"/>
      <c r="H115" s="48"/>
      <c r="I115" s="48"/>
      <c r="J115" s="48"/>
      <c r="K115" s="60"/>
      <c r="L115" s="62"/>
      <c r="M115" s="48"/>
      <c r="N115" s="48"/>
      <c r="O115" s="48"/>
      <c r="P115" s="48"/>
      <c r="Q115" s="48"/>
      <c r="R115" s="48"/>
      <c r="S115" s="48"/>
      <c r="T115" s="60"/>
      <c r="U115" s="62"/>
      <c r="V115" s="48"/>
      <c r="W115" s="48"/>
      <c r="X115" s="48"/>
      <c r="Y115" s="48"/>
      <c r="Z115" s="48"/>
      <c r="AA115" s="48"/>
      <c r="AB115" s="48"/>
      <c r="AC115" s="60"/>
      <c r="AD115" s="62"/>
      <c r="AE115" s="48"/>
      <c r="AF115" s="48"/>
      <c r="AG115" s="48"/>
      <c r="AH115" s="48"/>
      <c r="AI115" s="48"/>
      <c r="AJ115" s="48"/>
      <c r="AK115" s="48"/>
      <c r="AL115" s="60"/>
      <c r="AM115" s="62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60"/>
      <c r="BJ115" s="48"/>
      <c r="BK115" s="51"/>
      <c r="BM115" s="4">
        <f t="shared" si="1"/>
        <v>8</v>
      </c>
    </row>
    <row r="116" spans="1:65" ht="15" customHeight="1" x14ac:dyDescent="0.25">
      <c r="A116" s="50"/>
      <c r="B116" s="62"/>
      <c r="C116" s="48"/>
      <c r="D116" s="48"/>
      <c r="E116" s="48"/>
      <c r="F116" s="48"/>
      <c r="G116" s="48"/>
      <c r="H116" s="48"/>
      <c r="I116" s="48"/>
      <c r="J116" s="48"/>
      <c r="K116" s="60"/>
      <c r="L116" s="62"/>
      <c r="M116" s="48"/>
      <c r="N116" s="48"/>
      <c r="O116" s="48"/>
      <c r="P116" s="48"/>
      <c r="Q116" s="48"/>
      <c r="R116" s="48"/>
      <c r="S116" s="48"/>
      <c r="T116" s="60"/>
      <c r="U116" s="62"/>
      <c r="V116" s="48"/>
      <c r="W116" s="48"/>
      <c r="X116" s="48"/>
      <c r="Y116" s="48"/>
      <c r="Z116" s="48"/>
      <c r="AA116" s="48"/>
      <c r="AB116" s="48"/>
      <c r="AC116" s="60"/>
      <c r="AD116" s="62"/>
      <c r="AE116" s="48"/>
      <c r="AF116" s="48"/>
      <c r="AG116" s="48"/>
      <c r="AH116" s="48"/>
      <c r="AI116" s="48"/>
      <c r="AJ116" s="48"/>
      <c r="AK116" s="48"/>
      <c r="AL116" s="60"/>
      <c r="AM116" s="62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60"/>
      <c r="BJ116" s="48"/>
      <c r="BK116" s="51"/>
      <c r="BM116" s="4">
        <f t="shared" si="1"/>
        <v>9</v>
      </c>
    </row>
    <row r="117" spans="1:65" ht="15" customHeight="1" x14ac:dyDescent="0.25">
      <c r="A117" s="50"/>
      <c r="B117" s="62"/>
      <c r="C117" s="48"/>
      <c r="D117" s="48"/>
      <c r="E117" s="48"/>
      <c r="F117" s="48"/>
      <c r="G117" s="48"/>
      <c r="H117" s="48"/>
      <c r="I117" s="48"/>
      <c r="J117" s="48"/>
      <c r="K117" s="60"/>
      <c r="L117" s="62"/>
      <c r="M117" s="48"/>
      <c r="N117" s="48"/>
      <c r="O117" s="48"/>
      <c r="P117" s="48"/>
      <c r="Q117" s="48"/>
      <c r="R117" s="48"/>
      <c r="S117" s="48"/>
      <c r="T117" s="60"/>
      <c r="U117" s="62"/>
      <c r="V117" s="48"/>
      <c r="W117" s="48"/>
      <c r="X117" s="48"/>
      <c r="Y117" s="48"/>
      <c r="Z117" s="48"/>
      <c r="AA117" s="48"/>
      <c r="AB117" s="48"/>
      <c r="AC117" s="60"/>
      <c r="AD117" s="62"/>
      <c r="AE117" s="48"/>
      <c r="AF117" s="48"/>
      <c r="AG117" s="48"/>
      <c r="AH117" s="48"/>
      <c r="AI117" s="48"/>
      <c r="AJ117" s="48"/>
      <c r="AK117" s="48"/>
      <c r="AL117" s="60"/>
      <c r="AM117" s="62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60"/>
      <c r="BJ117" s="48"/>
      <c r="BK117" s="51"/>
      <c r="BM117" s="4">
        <f t="shared" si="1"/>
        <v>10</v>
      </c>
    </row>
    <row r="118" spans="1:65" ht="15" customHeight="1" x14ac:dyDescent="0.25">
      <c r="A118" s="50"/>
      <c r="B118" s="62"/>
      <c r="C118" s="48"/>
      <c r="D118" s="48"/>
      <c r="E118" s="48"/>
      <c r="F118" s="48"/>
      <c r="G118" s="48"/>
      <c r="H118" s="48"/>
      <c r="I118" s="48"/>
      <c r="J118" s="48"/>
      <c r="K118" s="60"/>
      <c r="L118" s="62"/>
      <c r="M118" s="48"/>
      <c r="N118" s="48"/>
      <c r="O118" s="48"/>
      <c r="P118" s="48"/>
      <c r="Q118" s="48"/>
      <c r="R118" s="48"/>
      <c r="S118" s="48"/>
      <c r="T118" s="60"/>
      <c r="U118" s="62"/>
      <c r="V118" s="48"/>
      <c r="W118" s="48"/>
      <c r="X118" s="48"/>
      <c r="Y118" s="48"/>
      <c r="Z118" s="48"/>
      <c r="AA118" s="48"/>
      <c r="AB118" s="48"/>
      <c r="AC118" s="60"/>
      <c r="AD118" s="62"/>
      <c r="AE118" s="48"/>
      <c r="AF118" s="48"/>
      <c r="AG118" s="48"/>
      <c r="AH118" s="48"/>
      <c r="AI118" s="48"/>
      <c r="AJ118" s="48"/>
      <c r="AK118" s="48"/>
      <c r="AL118" s="60"/>
      <c r="AM118" s="62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60"/>
      <c r="BJ118" s="48"/>
      <c r="BK118" s="51"/>
      <c r="BM118" s="4">
        <f t="shared" si="1"/>
        <v>11</v>
      </c>
    </row>
    <row r="119" spans="1:65" ht="15" customHeight="1" x14ac:dyDescent="0.25">
      <c r="A119" s="52"/>
      <c r="B119" s="64"/>
      <c r="C119" s="53"/>
      <c r="D119" s="53"/>
      <c r="E119" s="53"/>
      <c r="F119" s="53"/>
      <c r="G119" s="53"/>
      <c r="H119" s="53"/>
      <c r="I119" s="53"/>
      <c r="J119" s="53"/>
      <c r="K119" s="65"/>
      <c r="L119" s="64"/>
      <c r="M119" s="53"/>
      <c r="N119" s="53"/>
      <c r="O119" s="53"/>
      <c r="P119" s="53"/>
      <c r="Q119" s="53"/>
      <c r="R119" s="53"/>
      <c r="S119" s="53"/>
      <c r="T119" s="65"/>
      <c r="U119" s="64"/>
      <c r="V119" s="53"/>
      <c r="W119" s="53"/>
      <c r="X119" s="53"/>
      <c r="Y119" s="53"/>
      <c r="Z119" s="53"/>
      <c r="AA119" s="53"/>
      <c r="AB119" s="53"/>
      <c r="AC119" s="65"/>
      <c r="AD119" s="64"/>
      <c r="AE119" s="53"/>
      <c r="AF119" s="53"/>
      <c r="AG119" s="53"/>
      <c r="AH119" s="53"/>
      <c r="AI119" s="53"/>
      <c r="AJ119" s="53"/>
      <c r="AK119" s="53"/>
      <c r="AL119" s="65"/>
      <c r="AM119" s="64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65"/>
      <c r="BJ119" s="53"/>
      <c r="BK119" s="5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8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4" customWidth="1"/>
    <col min="64" max="16384" width="10.109375" style="4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画面設計書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7"/>
    </row>
    <row r="6" spans="1:63" ht="15" customHeight="1" x14ac:dyDescent="0.25">
      <c r="A6" s="8"/>
      <c r="BK6" s="9"/>
    </row>
    <row r="7" spans="1:63" ht="15" customHeight="1" x14ac:dyDescent="0.25">
      <c r="A7" s="8"/>
      <c r="B7" s="66" t="s">
        <v>16</v>
      </c>
      <c r="C7" s="66"/>
      <c r="D7" s="66"/>
      <c r="E7" s="66"/>
      <c r="F7" s="66"/>
      <c r="G7" s="66"/>
      <c r="H7" s="66"/>
      <c r="I7" s="66"/>
      <c r="J7" s="66"/>
      <c r="AE7" s="10"/>
      <c r="BK7" s="9"/>
    </row>
    <row r="8" spans="1:63" ht="15" customHeight="1" x14ac:dyDescent="0.25">
      <c r="A8" s="8"/>
      <c r="BK8" s="9"/>
    </row>
    <row r="9" spans="1:63" ht="15" customHeight="1" x14ac:dyDescent="0.25">
      <c r="A9" s="8"/>
      <c r="BK9" s="9"/>
    </row>
    <row r="10" spans="1:63" ht="15" customHeight="1" x14ac:dyDescent="0.25">
      <c r="A10" s="8"/>
      <c r="BK10" s="9"/>
    </row>
    <row r="11" spans="1:63" ht="15" customHeight="1" x14ac:dyDescent="0.25">
      <c r="A11" s="8"/>
      <c r="BK11" s="9"/>
    </row>
    <row r="12" spans="1:63" ht="15" customHeight="1" x14ac:dyDescent="0.25">
      <c r="A12" s="8"/>
      <c r="BK12" s="9"/>
    </row>
    <row r="13" spans="1:63" ht="15" customHeight="1" x14ac:dyDescent="0.25">
      <c r="A13" s="8"/>
      <c r="BK13" s="9"/>
    </row>
    <row r="14" spans="1:63" ht="15" customHeight="1" x14ac:dyDescent="0.25">
      <c r="A14" s="8"/>
      <c r="BK14" s="9"/>
    </row>
    <row r="15" spans="1:63" ht="15" customHeight="1" x14ac:dyDescent="0.25">
      <c r="A15" s="8"/>
      <c r="BK15" s="9"/>
    </row>
    <row r="16" spans="1:63" ht="15" customHeight="1" x14ac:dyDescent="0.25">
      <c r="A16" s="8"/>
      <c r="BK16" s="9"/>
    </row>
    <row r="17" spans="1:63" ht="15" customHeight="1" x14ac:dyDescent="0.25">
      <c r="A17" s="8"/>
      <c r="BK17" s="9"/>
    </row>
    <row r="18" spans="1:63" ht="15" customHeight="1" x14ac:dyDescent="0.25">
      <c r="A18" s="8"/>
      <c r="BK18" s="9"/>
    </row>
    <row r="19" spans="1:63" ht="15" customHeight="1" x14ac:dyDescent="0.25">
      <c r="A19" s="8"/>
      <c r="BK19" s="9"/>
    </row>
    <row r="20" spans="1:63" ht="15" customHeight="1" x14ac:dyDescent="0.25">
      <c r="A20" s="8"/>
      <c r="BK20" s="9"/>
    </row>
    <row r="21" spans="1:63" ht="15" customHeight="1" x14ac:dyDescent="0.25">
      <c r="A21" s="8"/>
      <c r="BK21" s="9"/>
    </row>
    <row r="22" spans="1:63" ht="15" customHeight="1" x14ac:dyDescent="0.25">
      <c r="A22" s="8"/>
      <c r="BK22" s="9"/>
    </row>
    <row r="23" spans="1:63" ht="15" customHeight="1" x14ac:dyDescent="0.25">
      <c r="A23" s="8"/>
      <c r="BK23" s="9"/>
    </row>
    <row r="24" spans="1:63" ht="15" customHeight="1" x14ac:dyDescent="0.25">
      <c r="A24" s="8"/>
      <c r="BK24" s="9"/>
    </row>
    <row r="25" spans="1:63" ht="14.25" customHeight="1" x14ac:dyDescent="0.25">
      <c r="A25" s="8"/>
      <c r="BK25" s="9"/>
    </row>
    <row r="26" spans="1:63" ht="15" customHeight="1" x14ac:dyDescent="0.25">
      <c r="A26" s="8"/>
      <c r="BK26" s="9"/>
    </row>
    <row r="27" spans="1:63" ht="15" customHeight="1" x14ac:dyDescent="0.25">
      <c r="A27" s="8"/>
      <c r="BK27" s="9"/>
    </row>
    <row r="28" spans="1:63" x14ac:dyDescent="0.25">
      <c r="BK28" s="9"/>
    </row>
    <row r="29" spans="1:63" x14ac:dyDescent="0.25">
      <c r="BK29" s="9"/>
    </row>
    <row r="30" spans="1:63" x14ac:dyDescent="0.25">
      <c r="BK30" s="9"/>
    </row>
    <row r="31" spans="1:63" x14ac:dyDescent="0.25">
      <c r="BK31" s="9"/>
    </row>
    <row r="32" spans="1:63" x14ac:dyDescent="0.25">
      <c r="BK32" s="9"/>
    </row>
    <row r="33" spans="1:63" x14ac:dyDescent="0.25">
      <c r="BK33" s="9"/>
    </row>
    <row r="34" spans="1:63" x14ac:dyDescent="0.25">
      <c r="BK34" s="9"/>
    </row>
    <row r="35" spans="1:63" ht="15" customHeight="1" x14ac:dyDescent="0.25">
      <c r="A35" s="8"/>
      <c r="B35" s="10" t="s">
        <v>88</v>
      </c>
      <c r="BK35" s="9"/>
    </row>
    <row r="36" spans="1:63" x14ac:dyDescent="0.25">
      <c r="BK36" s="9"/>
    </row>
    <row r="37" spans="1:63" ht="15.75" customHeight="1" x14ac:dyDescent="0.25">
      <c r="B37" s="281" t="s">
        <v>89</v>
      </c>
      <c r="C37" s="282"/>
      <c r="D37" s="287" t="s">
        <v>90</v>
      </c>
      <c r="E37" s="288"/>
      <c r="F37" s="288"/>
      <c r="G37" s="288"/>
      <c r="H37" s="288"/>
      <c r="I37" s="288"/>
      <c r="J37" s="282"/>
      <c r="K37" s="287" t="s">
        <v>91</v>
      </c>
      <c r="L37" s="288"/>
      <c r="M37" s="282"/>
      <c r="N37" s="291" t="s">
        <v>17</v>
      </c>
      <c r="O37" s="294" t="s">
        <v>92</v>
      </c>
      <c r="P37" s="235" t="s">
        <v>93</v>
      </c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7"/>
      <c r="AR37" s="238" t="s">
        <v>94</v>
      </c>
      <c r="AS37" s="239"/>
      <c r="AT37" s="239"/>
      <c r="AU37" s="239"/>
      <c r="AV37" s="239"/>
      <c r="AW37" s="239"/>
      <c r="AX37" s="239"/>
      <c r="AY37" s="239"/>
      <c r="AZ37" s="239"/>
      <c r="BA37" s="239"/>
      <c r="BB37" s="240"/>
      <c r="BC37" s="241" t="s">
        <v>95</v>
      </c>
      <c r="BD37" s="242"/>
      <c r="BE37" s="242"/>
      <c r="BF37" s="242"/>
      <c r="BG37" s="242"/>
      <c r="BH37" s="242"/>
      <c r="BI37" s="242"/>
      <c r="BJ37" s="243"/>
      <c r="BK37" s="9"/>
    </row>
    <row r="38" spans="1:63" ht="15.75" customHeight="1" x14ac:dyDescent="0.25">
      <c r="B38" s="283"/>
      <c r="C38" s="284"/>
      <c r="D38" s="283"/>
      <c r="E38" s="289"/>
      <c r="F38" s="289"/>
      <c r="G38" s="289"/>
      <c r="H38" s="289"/>
      <c r="I38" s="289"/>
      <c r="J38" s="284"/>
      <c r="K38" s="283"/>
      <c r="L38" s="289"/>
      <c r="M38" s="284"/>
      <c r="N38" s="292"/>
      <c r="O38" s="295"/>
      <c r="P38" s="250" t="s">
        <v>96</v>
      </c>
      <c r="Q38" s="251"/>
      <c r="R38" s="251"/>
      <c r="S38" s="251"/>
      <c r="T38" s="251"/>
      <c r="U38" s="251"/>
      <c r="V38" s="251"/>
      <c r="W38" s="252"/>
      <c r="X38" s="253" t="s">
        <v>97</v>
      </c>
      <c r="Y38" s="254"/>
      <c r="Z38" s="255"/>
      <c r="AA38" s="253" t="s">
        <v>98</v>
      </c>
      <c r="AB38" s="254"/>
      <c r="AC38" s="254"/>
      <c r="AD38" s="254"/>
      <c r="AE38" s="254"/>
      <c r="AF38" s="254"/>
      <c r="AG38" s="254"/>
      <c r="AH38" s="255"/>
      <c r="AI38" s="253" t="s">
        <v>99</v>
      </c>
      <c r="AJ38" s="254"/>
      <c r="AK38" s="254"/>
      <c r="AL38" s="254"/>
      <c r="AM38" s="254"/>
      <c r="AN38" s="254"/>
      <c r="AO38" s="254"/>
      <c r="AP38" s="254"/>
      <c r="AQ38" s="255"/>
      <c r="AR38" s="259" t="s">
        <v>18</v>
      </c>
      <c r="AS38" s="261" t="s">
        <v>100</v>
      </c>
      <c r="AT38" s="263" t="s">
        <v>101</v>
      </c>
      <c r="AU38" s="238" t="s">
        <v>96</v>
      </c>
      <c r="AV38" s="239"/>
      <c r="AW38" s="239"/>
      <c r="AX38" s="239"/>
      <c r="AY38" s="239"/>
      <c r="AZ38" s="239"/>
      <c r="BA38" s="239"/>
      <c r="BB38" s="240"/>
      <c r="BC38" s="244"/>
      <c r="BD38" s="245"/>
      <c r="BE38" s="245"/>
      <c r="BF38" s="245"/>
      <c r="BG38" s="245"/>
      <c r="BH38" s="245"/>
      <c r="BI38" s="245"/>
      <c r="BJ38" s="246"/>
      <c r="BK38" s="9"/>
    </row>
    <row r="39" spans="1:63" x14ac:dyDescent="0.25">
      <c r="B39" s="285"/>
      <c r="C39" s="286"/>
      <c r="D39" s="285"/>
      <c r="E39" s="290"/>
      <c r="F39" s="290"/>
      <c r="G39" s="290"/>
      <c r="H39" s="290"/>
      <c r="I39" s="290"/>
      <c r="J39" s="286"/>
      <c r="K39" s="285"/>
      <c r="L39" s="290"/>
      <c r="M39" s="286"/>
      <c r="N39" s="293"/>
      <c r="O39" s="296"/>
      <c r="P39" s="235" t="s">
        <v>102</v>
      </c>
      <c r="Q39" s="236"/>
      <c r="R39" s="236"/>
      <c r="S39" s="237"/>
      <c r="T39" s="235" t="s">
        <v>90</v>
      </c>
      <c r="U39" s="236"/>
      <c r="V39" s="236"/>
      <c r="W39" s="237"/>
      <c r="X39" s="256"/>
      <c r="Y39" s="257"/>
      <c r="Z39" s="258"/>
      <c r="AA39" s="256"/>
      <c r="AB39" s="257"/>
      <c r="AC39" s="257"/>
      <c r="AD39" s="257"/>
      <c r="AE39" s="257"/>
      <c r="AF39" s="257"/>
      <c r="AG39" s="257"/>
      <c r="AH39" s="258"/>
      <c r="AI39" s="256"/>
      <c r="AJ39" s="257"/>
      <c r="AK39" s="257"/>
      <c r="AL39" s="257"/>
      <c r="AM39" s="257"/>
      <c r="AN39" s="257"/>
      <c r="AO39" s="257"/>
      <c r="AP39" s="257"/>
      <c r="AQ39" s="258"/>
      <c r="AR39" s="260"/>
      <c r="AS39" s="262"/>
      <c r="AT39" s="264"/>
      <c r="AU39" s="238" t="s">
        <v>102</v>
      </c>
      <c r="AV39" s="239"/>
      <c r="AW39" s="239"/>
      <c r="AX39" s="297"/>
      <c r="AY39" s="298" t="s">
        <v>90</v>
      </c>
      <c r="AZ39" s="239"/>
      <c r="BA39" s="239"/>
      <c r="BB39" s="240"/>
      <c r="BC39" s="247"/>
      <c r="BD39" s="248"/>
      <c r="BE39" s="248"/>
      <c r="BF39" s="248"/>
      <c r="BG39" s="248"/>
      <c r="BH39" s="248"/>
      <c r="BI39" s="248"/>
      <c r="BJ39" s="249"/>
      <c r="BK39" s="9"/>
    </row>
    <row r="40" spans="1:63" ht="15.75" customHeight="1" x14ac:dyDescent="0.25">
      <c r="B40" s="228">
        <v>1</v>
      </c>
      <c r="C40" s="229"/>
      <c r="D40" s="230"/>
      <c r="E40" s="231"/>
      <c r="F40" s="231"/>
      <c r="G40" s="231"/>
      <c r="H40" s="231"/>
      <c r="I40" s="231"/>
      <c r="J40" s="232"/>
      <c r="K40" s="211" t="s">
        <v>19</v>
      </c>
      <c r="L40" s="212"/>
      <c r="M40" s="213"/>
      <c r="N40" s="11" t="s">
        <v>20</v>
      </c>
      <c r="O40" s="12" t="s">
        <v>21</v>
      </c>
      <c r="P40" s="233" t="s">
        <v>20</v>
      </c>
      <c r="Q40" s="234"/>
      <c r="R40" s="234"/>
      <c r="S40" s="229"/>
      <c r="T40" s="233" t="s">
        <v>20</v>
      </c>
      <c r="U40" s="234"/>
      <c r="V40" s="234"/>
      <c r="W40" s="229"/>
      <c r="X40" s="265" t="s">
        <v>86</v>
      </c>
      <c r="Y40" s="266"/>
      <c r="Z40" s="267"/>
      <c r="AA40" s="228" t="s">
        <v>22</v>
      </c>
      <c r="AB40" s="234"/>
      <c r="AC40" s="234"/>
      <c r="AD40" s="234"/>
      <c r="AE40" s="234"/>
      <c r="AF40" s="234"/>
      <c r="AG40" s="234"/>
      <c r="AH40" s="229"/>
      <c r="AI40" s="268" t="s">
        <v>20</v>
      </c>
      <c r="AJ40" s="269"/>
      <c r="AK40" s="269"/>
      <c r="AL40" s="269"/>
      <c r="AM40" s="269"/>
      <c r="AN40" s="269"/>
      <c r="AO40" s="269"/>
      <c r="AP40" s="269"/>
      <c r="AQ40" s="270"/>
      <c r="AR40" s="13" t="s">
        <v>20</v>
      </c>
      <c r="AS40" s="13" t="s">
        <v>22</v>
      </c>
      <c r="AT40" s="13" t="s">
        <v>22</v>
      </c>
      <c r="AU40" s="228" t="s">
        <v>23</v>
      </c>
      <c r="AV40" s="234"/>
      <c r="AW40" s="234"/>
      <c r="AX40" s="229"/>
      <c r="AY40" s="228" t="s">
        <v>22</v>
      </c>
      <c r="AZ40" s="234"/>
      <c r="BA40" s="234"/>
      <c r="BB40" s="229"/>
      <c r="BC40" s="271"/>
      <c r="BD40" s="272"/>
      <c r="BE40" s="272"/>
      <c r="BF40" s="272"/>
      <c r="BG40" s="272"/>
      <c r="BH40" s="272"/>
      <c r="BI40" s="272"/>
      <c r="BJ40" s="273"/>
      <c r="BK40" s="9"/>
    </row>
    <row r="41" spans="1:63" x14ac:dyDescent="0.25">
      <c r="B41" s="198">
        <v>2</v>
      </c>
      <c r="C41" s="197"/>
      <c r="D41" s="225"/>
      <c r="E41" s="226"/>
      <c r="F41" s="226"/>
      <c r="G41" s="226"/>
      <c r="H41" s="226"/>
      <c r="I41" s="226"/>
      <c r="J41" s="227"/>
      <c r="K41" s="211" t="s">
        <v>19</v>
      </c>
      <c r="L41" s="212"/>
      <c r="M41" s="213"/>
      <c r="N41" s="12" t="s">
        <v>24</v>
      </c>
      <c r="O41" s="12" t="s">
        <v>21</v>
      </c>
      <c r="P41" s="198" t="s">
        <v>23</v>
      </c>
      <c r="Q41" s="196"/>
      <c r="R41" s="196"/>
      <c r="S41" s="197"/>
      <c r="T41" s="198" t="s">
        <v>23</v>
      </c>
      <c r="U41" s="196"/>
      <c r="V41" s="196"/>
      <c r="W41" s="197"/>
      <c r="X41" s="221" t="s">
        <v>103</v>
      </c>
      <c r="Y41" s="222"/>
      <c r="Z41" s="223"/>
      <c r="AA41" s="198" t="s">
        <v>22</v>
      </c>
      <c r="AB41" s="196"/>
      <c r="AC41" s="196"/>
      <c r="AD41" s="196"/>
      <c r="AE41" s="196"/>
      <c r="AF41" s="196"/>
      <c r="AG41" s="196"/>
      <c r="AH41" s="197"/>
      <c r="AI41" s="199" t="s">
        <v>22</v>
      </c>
      <c r="AJ41" s="200"/>
      <c r="AK41" s="200"/>
      <c r="AL41" s="200"/>
      <c r="AM41" s="200"/>
      <c r="AN41" s="200"/>
      <c r="AO41" s="200"/>
      <c r="AP41" s="200"/>
      <c r="AQ41" s="201"/>
      <c r="AR41" s="14" t="s">
        <v>20</v>
      </c>
      <c r="AS41" s="14" t="s">
        <v>22</v>
      </c>
      <c r="AT41" s="14" t="s">
        <v>22</v>
      </c>
      <c r="AU41" s="198" t="s">
        <v>23</v>
      </c>
      <c r="AV41" s="196"/>
      <c r="AW41" s="196"/>
      <c r="AX41" s="197"/>
      <c r="AY41" s="198" t="s">
        <v>22</v>
      </c>
      <c r="AZ41" s="196"/>
      <c r="BA41" s="196"/>
      <c r="BB41" s="197"/>
      <c r="BC41" s="220"/>
      <c r="BD41" s="203"/>
      <c r="BE41" s="203"/>
      <c r="BF41" s="203"/>
      <c r="BG41" s="203"/>
      <c r="BH41" s="203"/>
      <c r="BI41" s="203"/>
      <c r="BJ41" s="204"/>
      <c r="BK41" s="9"/>
    </row>
    <row r="42" spans="1:63" x14ac:dyDescent="0.25">
      <c r="B42" s="198">
        <v>3</v>
      </c>
      <c r="C42" s="197"/>
      <c r="D42" s="208"/>
      <c r="E42" s="209"/>
      <c r="F42" s="209"/>
      <c r="G42" s="209"/>
      <c r="H42" s="209"/>
      <c r="I42" s="209"/>
      <c r="J42" s="210"/>
      <c r="K42" s="211" t="s">
        <v>19</v>
      </c>
      <c r="L42" s="212"/>
      <c r="M42" s="213"/>
      <c r="N42" s="12" t="s">
        <v>25</v>
      </c>
      <c r="O42" s="12" t="s">
        <v>20</v>
      </c>
      <c r="P42" s="224" t="s">
        <v>20</v>
      </c>
      <c r="Q42" s="196"/>
      <c r="R42" s="196"/>
      <c r="S42" s="197"/>
      <c r="T42" s="198"/>
      <c r="U42" s="196"/>
      <c r="V42" s="196"/>
      <c r="W42" s="197"/>
      <c r="X42" s="217" t="s">
        <v>20</v>
      </c>
      <c r="Y42" s="218"/>
      <c r="Z42" s="219"/>
      <c r="AA42" s="198" t="s">
        <v>22</v>
      </c>
      <c r="AB42" s="196"/>
      <c r="AC42" s="196"/>
      <c r="AD42" s="196"/>
      <c r="AE42" s="196"/>
      <c r="AF42" s="196"/>
      <c r="AG42" s="196"/>
      <c r="AH42" s="197"/>
      <c r="AI42" s="199" t="s">
        <v>22</v>
      </c>
      <c r="AJ42" s="200"/>
      <c r="AK42" s="200"/>
      <c r="AL42" s="200"/>
      <c r="AM42" s="200"/>
      <c r="AN42" s="200"/>
      <c r="AO42" s="200"/>
      <c r="AP42" s="200"/>
      <c r="AQ42" s="201"/>
      <c r="AR42" s="14" t="s">
        <v>20</v>
      </c>
      <c r="AS42" s="14" t="s">
        <v>22</v>
      </c>
      <c r="AT42" s="14" t="s">
        <v>22</v>
      </c>
      <c r="AU42" s="198" t="s">
        <v>23</v>
      </c>
      <c r="AV42" s="196"/>
      <c r="AW42" s="196"/>
      <c r="AX42" s="197"/>
      <c r="AY42" s="198" t="s">
        <v>22</v>
      </c>
      <c r="AZ42" s="196"/>
      <c r="BA42" s="196"/>
      <c r="BB42" s="197"/>
      <c r="BC42" s="202"/>
      <c r="BD42" s="203"/>
      <c r="BE42" s="203"/>
      <c r="BF42" s="203"/>
      <c r="BG42" s="203"/>
      <c r="BH42" s="203"/>
      <c r="BI42" s="203"/>
      <c r="BJ42" s="204"/>
      <c r="BK42" s="9"/>
    </row>
    <row r="43" spans="1:63" x14ac:dyDescent="0.25">
      <c r="B43" s="198">
        <v>4</v>
      </c>
      <c r="C43" s="197"/>
      <c r="D43" s="214"/>
      <c r="E43" s="215"/>
      <c r="F43" s="215"/>
      <c r="G43" s="215"/>
      <c r="H43" s="215"/>
      <c r="I43" s="215"/>
      <c r="J43" s="216"/>
      <c r="K43" s="211" t="s">
        <v>19</v>
      </c>
      <c r="L43" s="212"/>
      <c r="M43" s="213"/>
      <c r="N43" s="15" t="s">
        <v>24</v>
      </c>
      <c r="O43" s="12" t="s">
        <v>21</v>
      </c>
      <c r="P43" s="198" t="s">
        <v>23</v>
      </c>
      <c r="Q43" s="196"/>
      <c r="R43" s="196"/>
      <c r="S43" s="197"/>
      <c r="T43" s="198" t="s">
        <v>23</v>
      </c>
      <c r="U43" s="196"/>
      <c r="V43" s="196"/>
      <c r="W43" s="197"/>
      <c r="X43" s="195" t="s">
        <v>87</v>
      </c>
      <c r="Y43" s="196"/>
      <c r="Z43" s="197"/>
      <c r="AA43" s="198" t="s">
        <v>22</v>
      </c>
      <c r="AB43" s="196"/>
      <c r="AC43" s="196"/>
      <c r="AD43" s="196"/>
      <c r="AE43" s="196"/>
      <c r="AF43" s="196"/>
      <c r="AG43" s="196"/>
      <c r="AH43" s="197"/>
      <c r="AI43" s="199" t="s">
        <v>22</v>
      </c>
      <c r="AJ43" s="200"/>
      <c r="AK43" s="200"/>
      <c r="AL43" s="200"/>
      <c r="AM43" s="200"/>
      <c r="AN43" s="200"/>
      <c r="AO43" s="200"/>
      <c r="AP43" s="200"/>
      <c r="AQ43" s="201"/>
      <c r="AR43" s="14" t="s">
        <v>20</v>
      </c>
      <c r="AS43" s="14" t="s">
        <v>22</v>
      </c>
      <c r="AT43" s="14" t="s">
        <v>22</v>
      </c>
      <c r="AU43" s="198" t="s">
        <v>23</v>
      </c>
      <c r="AV43" s="196"/>
      <c r="AW43" s="196"/>
      <c r="AX43" s="197"/>
      <c r="AY43" s="198" t="s">
        <v>22</v>
      </c>
      <c r="AZ43" s="196"/>
      <c r="BA43" s="196"/>
      <c r="BB43" s="197"/>
      <c r="BC43" s="205"/>
      <c r="BD43" s="206"/>
      <c r="BE43" s="206"/>
      <c r="BF43" s="206"/>
      <c r="BG43" s="206"/>
      <c r="BH43" s="206"/>
      <c r="BI43" s="206"/>
      <c r="BJ43" s="207"/>
      <c r="BK43" s="9"/>
    </row>
    <row r="44" spans="1:63" x14ac:dyDescent="0.25">
      <c r="B44" s="198">
        <v>5</v>
      </c>
      <c r="C44" s="197"/>
      <c r="D44" s="208"/>
      <c r="E44" s="209"/>
      <c r="F44" s="209"/>
      <c r="G44" s="209"/>
      <c r="H44" s="209"/>
      <c r="I44" s="209"/>
      <c r="J44" s="210"/>
      <c r="K44" s="211" t="s">
        <v>26</v>
      </c>
      <c r="L44" s="212"/>
      <c r="M44" s="213"/>
      <c r="N44" s="15" t="s">
        <v>25</v>
      </c>
      <c r="O44" s="12" t="s">
        <v>20</v>
      </c>
      <c r="P44" s="198" t="s">
        <v>23</v>
      </c>
      <c r="Q44" s="196"/>
      <c r="R44" s="196"/>
      <c r="S44" s="197"/>
      <c r="T44" s="198" t="s">
        <v>23</v>
      </c>
      <c r="U44" s="196"/>
      <c r="V44" s="196"/>
      <c r="W44" s="197"/>
      <c r="X44" s="195" t="s">
        <v>20</v>
      </c>
      <c r="Y44" s="196"/>
      <c r="Z44" s="197"/>
      <c r="AA44" s="198" t="s">
        <v>22</v>
      </c>
      <c r="AB44" s="196"/>
      <c r="AC44" s="196"/>
      <c r="AD44" s="196"/>
      <c r="AE44" s="196"/>
      <c r="AF44" s="196"/>
      <c r="AG44" s="196"/>
      <c r="AH44" s="197"/>
      <c r="AI44" s="199" t="s">
        <v>22</v>
      </c>
      <c r="AJ44" s="200"/>
      <c r="AK44" s="200"/>
      <c r="AL44" s="200"/>
      <c r="AM44" s="200"/>
      <c r="AN44" s="200"/>
      <c r="AO44" s="200"/>
      <c r="AP44" s="200"/>
      <c r="AQ44" s="201"/>
      <c r="AR44" s="14" t="s">
        <v>20</v>
      </c>
      <c r="AS44" s="14" t="s">
        <v>22</v>
      </c>
      <c r="AT44" s="14" t="s">
        <v>22</v>
      </c>
      <c r="AU44" s="198" t="s">
        <v>23</v>
      </c>
      <c r="AV44" s="196"/>
      <c r="AW44" s="196"/>
      <c r="AX44" s="197"/>
      <c r="AY44" s="198" t="s">
        <v>22</v>
      </c>
      <c r="AZ44" s="196"/>
      <c r="BA44" s="196"/>
      <c r="BB44" s="197"/>
      <c r="BC44" s="202"/>
      <c r="BD44" s="203"/>
      <c r="BE44" s="203"/>
      <c r="BF44" s="203"/>
      <c r="BG44" s="203"/>
      <c r="BH44" s="203"/>
      <c r="BI44" s="203"/>
      <c r="BJ44" s="204"/>
      <c r="BK44" s="9"/>
    </row>
    <row r="45" spans="1:63" x14ac:dyDescent="0.25">
      <c r="B45" s="177">
        <v>6</v>
      </c>
      <c r="C45" s="179"/>
      <c r="D45" s="186"/>
      <c r="E45" s="187"/>
      <c r="F45" s="187"/>
      <c r="G45" s="187"/>
      <c r="H45" s="187"/>
      <c r="I45" s="187"/>
      <c r="J45" s="188"/>
      <c r="K45" s="189" t="s">
        <v>27</v>
      </c>
      <c r="L45" s="190"/>
      <c r="M45" s="191"/>
      <c r="N45" s="16" t="s">
        <v>25</v>
      </c>
      <c r="O45" s="16" t="s">
        <v>21</v>
      </c>
      <c r="P45" s="177" t="s">
        <v>23</v>
      </c>
      <c r="Q45" s="178"/>
      <c r="R45" s="178"/>
      <c r="S45" s="179"/>
      <c r="T45" s="177" t="s">
        <v>23</v>
      </c>
      <c r="U45" s="178"/>
      <c r="V45" s="178"/>
      <c r="W45" s="179"/>
      <c r="X45" s="192" t="s">
        <v>104</v>
      </c>
      <c r="Y45" s="193"/>
      <c r="Z45" s="194"/>
      <c r="AA45" s="177" t="s">
        <v>22</v>
      </c>
      <c r="AB45" s="178"/>
      <c r="AC45" s="178"/>
      <c r="AD45" s="178"/>
      <c r="AE45" s="178"/>
      <c r="AF45" s="178"/>
      <c r="AG45" s="178"/>
      <c r="AH45" s="179"/>
      <c r="AI45" s="180" t="s">
        <v>28</v>
      </c>
      <c r="AJ45" s="181"/>
      <c r="AK45" s="181"/>
      <c r="AL45" s="181"/>
      <c r="AM45" s="181"/>
      <c r="AN45" s="181"/>
      <c r="AO45" s="181"/>
      <c r="AP45" s="181"/>
      <c r="AQ45" s="182"/>
      <c r="AR45" s="17" t="s">
        <v>20</v>
      </c>
      <c r="AS45" s="17" t="s">
        <v>22</v>
      </c>
      <c r="AT45" s="17" t="s">
        <v>22</v>
      </c>
      <c r="AU45" s="177" t="s">
        <v>23</v>
      </c>
      <c r="AV45" s="178"/>
      <c r="AW45" s="178"/>
      <c r="AX45" s="179"/>
      <c r="AY45" s="177" t="s">
        <v>22</v>
      </c>
      <c r="AZ45" s="178"/>
      <c r="BA45" s="178"/>
      <c r="BB45" s="179"/>
      <c r="BC45" s="183" t="s">
        <v>29</v>
      </c>
      <c r="BD45" s="184"/>
      <c r="BE45" s="184"/>
      <c r="BF45" s="184"/>
      <c r="BG45" s="184"/>
      <c r="BH45" s="184"/>
      <c r="BI45" s="184"/>
      <c r="BJ45" s="185"/>
      <c r="BK45" s="9"/>
    </row>
    <row r="46" spans="1:63" x14ac:dyDescent="0.25">
      <c r="BK46" s="9"/>
    </row>
    <row r="47" spans="1:63" x14ac:dyDescent="0.25">
      <c r="BK47" s="9"/>
    </row>
    <row r="48" spans="1:63" x14ac:dyDescent="0.25">
      <c r="BK48" s="9"/>
    </row>
    <row r="49" spans="1:63" x14ac:dyDescent="0.25">
      <c r="BK49" s="9"/>
    </row>
    <row r="50" spans="1:63" x14ac:dyDescent="0.25">
      <c r="BK50" s="9"/>
    </row>
    <row r="51" spans="1:63" x14ac:dyDescent="0.25">
      <c r="BK51" s="9"/>
    </row>
    <row r="52" spans="1:63" x14ac:dyDescent="0.25">
      <c r="BK52" s="9"/>
    </row>
    <row r="53" spans="1:63" x14ac:dyDescent="0.25">
      <c r="BK53" s="9"/>
    </row>
    <row r="54" spans="1:63" x14ac:dyDescent="0.25">
      <c r="BK54" s="9"/>
    </row>
    <row r="55" spans="1:63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7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D765-4F1A-4A0D-8D60-315D1C9F4F8C}">
  <sheetPr>
    <tabColor rgb="FF0000FF"/>
    <pageSetUpPr fitToPage="1"/>
  </sheetPr>
  <dimension ref="A1:BK136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取扱有無と下位階層も同設定の詳細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55" t="s">
        <v>105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3" ht="15" customHeight="1" x14ac:dyDescent="0.25">
      <c r="A8" s="23"/>
      <c r="C8" s="59"/>
      <c r="U8" s="59"/>
      <c r="AD8" s="59"/>
      <c r="AM8" s="59"/>
      <c r="BI8" s="61"/>
    </row>
    <row r="9" spans="1:63" ht="15" customHeight="1" x14ac:dyDescent="0.25">
      <c r="A9" s="23"/>
      <c r="B9" s="18"/>
      <c r="C9" s="18" t="s">
        <v>43</v>
      </c>
      <c r="U9" s="59"/>
      <c r="AD9" s="59"/>
      <c r="AM9" s="59"/>
      <c r="BI9" s="61"/>
    </row>
    <row r="10" spans="1:63" ht="15" customHeight="1" x14ac:dyDescent="0.25">
      <c r="A10" s="23"/>
      <c r="C10" s="59"/>
      <c r="D10" s="49" t="s">
        <v>124</v>
      </c>
      <c r="U10" s="59"/>
      <c r="AD10" s="59"/>
      <c r="AM10" s="59"/>
      <c r="BI10" s="61"/>
    </row>
    <row r="11" spans="1:63" ht="15" customHeight="1" x14ac:dyDescent="0.25">
      <c r="A11" s="23"/>
      <c r="C11" s="59"/>
      <c r="D11" s="49" t="s">
        <v>50</v>
      </c>
      <c r="U11" s="59"/>
      <c r="AD11" s="59"/>
      <c r="AM11" s="59"/>
      <c r="BI11" s="61"/>
    </row>
    <row r="12" spans="1:63" ht="15" customHeight="1" x14ac:dyDescent="0.25">
      <c r="A12" s="23"/>
      <c r="C12" s="59"/>
      <c r="D12" s="49"/>
      <c r="E12" s="49" t="s">
        <v>125</v>
      </c>
      <c r="U12" s="59"/>
      <c r="AD12" s="59"/>
      <c r="AM12" s="59"/>
      <c r="BI12" s="61"/>
    </row>
    <row r="13" spans="1:63" ht="15" customHeight="1" x14ac:dyDescent="0.25">
      <c r="A13" s="23"/>
      <c r="C13" s="59"/>
      <c r="D13" s="49"/>
      <c r="E13" s="351" t="s">
        <v>126</v>
      </c>
      <c r="F13" s="352"/>
      <c r="G13" s="352"/>
      <c r="H13" s="352"/>
      <c r="I13" s="352"/>
      <c r="J13" s="352"/>
      <c r="K13" s="352"/>
      <c r="L13" s="352"/>
      <c r="M13" s="352"/>
      <c r="U13" s="59"/>
      <c r="AD13" s="59"/>
      <c r="AM13" s="59"/>
      <c r="BI13" s="61"/>
    </row>
    <row r="14" spans="1:63" ht="15" customHeight="1" x14ac:dyDescent="0.25">
      <c r="A14" s="23"/>
      <c r="C14" s="59"/>
      <c r="D14" s="49" t="s">
        <v>46</v>
      </c>
      <c r="U14" s="59"/>
      <c r="AD14" s="59"/>
      <c r="AM14" s="59"/>
      <c r="BI14" s="61"/>
    </row>
    <row r="15" spans="1:63" ht="15" customHeight="1" x14ac:dyDescent="0.25">
      <c r="A15" s="23"/>
      <c r="C15" s="59"/>
      <c r="D15" s="49"/>
      <c r="E15" s="49" t="s">
        <v>45</v>
      </c>
      <c r="U15" s="59"/>
      <c r="AD15" s="59"/>
      <c r="AM15" s="59"/>
      <c r="BI15" s="61"/>
    </row>
    <row r="16" spans="1:63" ht="15" customHeight="1" x14ac:dyDescent="0.25">
      <c r="A16" s="23"/>
      <c r="C16" s="59"/>
      <c r="D16" s="49"/>
      <c r="E16" s="49"/>
      <c r="F16" s="19" t="s">
        <v>52</v>
      </c>
      <c r="U16" s="59"/>
      <c r="AD16" s="59"/>
      <c r="AM16" s="59"/>
      <c r="BI16" s="61"/>
    </row>
    <row r="17" spans="1:61" ht="15" customHeight="1" x14ac:dyDescent="0.25">
      <c r="A17" s="23"/>
      <c r="C17" s="59"/>
      <c r="D17" s="49"/>
      <c r="E17" s="49" t="s">
        <v>106</v>
      </c>
      <c r="U17" s="59"/>
      <c r="AD17" s="59"/>
      <c r="AM17" s="59"/>
      <c r="BI17" s="61"/>
    </row>
    <row r="18" spans="1:61" ht="15" customHeight="1" x14ac:dyDescent="0.25">
      <c r="A18" s="23"/>
      <c r="C18" s="59"/>
      <c r="D18" s="49"/>
      <c r="F18" s="19" t="s">
        <v>53</v>
      </c>
      <c r="U18" s="59"/>
      <c r="AD18" s="59"/>
      <c r="AM18" s="59"/>
      <c r="BI18" s="61"/>
    </row>
    <row r="19" spans="1:61" ht="15" customHeight="1" x14ac:dyDescent="0.25">
      <c r="A19" s="23"/>
      <c r="C19" s="59"/>
      <c r="D19" s="49"/>
      <c r="F19" s="19" t="s">
        <v>48</v>
      </c>
      <c r="U19" s="59"/>
      <c r="AD19" s="59"/>
      <c r="AM19" s="59"/>
      <c r="BI19" s="61"/>
    </row>
    <row r="20" spans="1:61" s="350" customFormat="1" ht="15" customHeight="1" x14ac:dyDescent="0.25">
      <c r="A20" s="353"/>
      <c r="C20" s="354"/>
      <c r="D20" s="349"/>
      <c r="E20" s="349" t="s">
        <v>127</v>
      </c>
      <c r="U20" s="354"/>
      <c r="AD20" s="354"/>
      <c r="AM20" s="354"/>
      <c r="BI20" s="355"/>
    </row>
    <row r="21" spans="1:61" s="350" customFormat="1" ht="15" customHeight="1" x14ac:dyDescent="0.25">
      <c r="A21" s="353"/>
      <c r="C21" s="354"/>
      <c r="D21" s="349"/>
      <c r="F21" s="350" t="s">
        <v>128</v>
      </c>
      <c r="U21" s="354"/>
      <c r="AD21" s="354"/>
      <c r="AM21" s="354"/>
      <c r="BI21" s="355"/>
    </row>
    <row r="22" spans="1:61" ht="15" customHeight="1" x14ac:dyDescent="0.25">
      <c r="A22" s="23"/>
      <c r="C22" s="59"/>
      <c r="D22" s="49" t="s">
        <v>47</v>
      </c>
      <c r="U22" s="59"/>
      <c r="AD22" s="59"/>
      <c r="AM22" s="59"/>
      <c r="BI22" s="61"/>
    </row>
    <row r="23" spans="1:61" ht="15" customHeight="1" x14ac:dyDescent="0.25">
      <c r="A23" s="23"/>
      <c r="C23" s="59"/>
      <c r="D23" s="49"/>
      <c r="E23" s="49" t="s">
        <v>45</v>
      </c>
      <c r="U23" s="59"/>
      <c r="AD23" s="59"/>
      <c r="AM23" s="59"/>
      <c r="BI23" s="61"/>
    </row>
    <row r="24" spans="1:61" ht="15" customHeight="1" x14ac:dyDescent="0.25">
      <c r="A24" s="23"/>
      <c r="C24" s="59"/>
      <c r="D24" s="49"/>
      <c r="E24" s="49"/>
      <c r="F24" s="19" t="s">
        <v>51</v>
      </c>
      <c r="U24" s="59"/>
      <c r="AD24" s="59"/>
      <c r="AM24" s="59"/>
      <c r="BI24" s="61"/>
    </row>
    <row r="25" spans="1:61" ht="15" customHeight="1" x14ac:dyDescent="0.25">
      <c r="A25" s="23"/>
      <c r="C25" s="59"/>
      <c r="D25" s="49"/>
      <c r="E25" s="49" t="s">
        <v>106</v>
      </c>
      <c r="U25" s="59"/>
      <c r="AD25" s="59"/>
      <c r="AM25" s="59"/>
      <c r="BI25" s="61"/>
    </row>
    <row r="26" spans="1:61" ht="15" customHeight="1" x14ac:dyDescent="0.25">
      <c r="A26" s="23"/>
      <c r="C26" s="59"/>
      <c r="D26" s="49"/>
      <c r="F26" s="19" t="s">
        <v>54</v>
      </c>
      <c r="U26" s="59"/>
      <c r="AD26" s="59"/>
      <c r="AM26" s="59"/>
      <c r="BI26" s="61"/>
    </row>
    <row r="27" spans="1:61" ht="15" customHeight="1" x14ac:dyDescent="0.25">
      <c r="A27" s="23"/>
      <c r="C27" s="59"/>
      <c r="D27" s="49"/>
      <c r="F27" s="19" t="s">
        <v>49</v>
      </c>
      <c r="U27" s="59"/>
      <c r="AD27" s="59"/>
      <c r="AM27" s="59"/>
      <c r="BI27" s="61"/>
    </row>
    <row r="28" spans="1:61" s="350" customFormat="1" ht="15" customHeight="1" x14ac:dyDescent="0.25">
      <c r="A28" s="353"/>
      <c r="C28" s="354"/>
      <c r="D28" s="349"/>
      <c r="E28" s="349" t="s">
        <v>127</v>
      </c>
      <c r="U28" s="354"/>
      <c r="AD28" s="354"/>
      <c r="AM28" s="354"/>
      <c r="BI28" s="355"/>
    </row>
    <row r="29" spans="1:61" s="350" customFormat="1" ht="15" customHeight="1" x14ac:dyDescent="0.25">
      <c r="A29" s="353"/>
      <c r="C29" s="354"/>
      <c r="D29" s="349"/>
      <c r="F29" s="350" t="s">
        <v>129</v>
      </c>
      <c r="U29" s="354"/>
      <c r="AD29" s="354"/>
      <c r="AM29" s="354"/>
      <c r="BI29" s="355"/>
    </row>
    <row r="30" spans="1:61" ht="15" customHeight="1" x14ac:dyDescent="0.25">
      <c r="A30" s="23"/>
      <c r="C30" s="59"/>
      <c r="D30" s="351" t="s">
        <v>130</v>
      </c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6"/>
      <c r="V30" s="352"/>
      <c r="W30" s="352"/>
      <c r="X30" s="352"/>
      <c r="Y30" s="352"/>
      <c r="Z30" s="352"/>
      <c r="AA30" s="352"/>
      <c r="AB30" s="352"/>
      <c r="AC30" s="352"/>
      <c r="AD30" s="356"/>
      <c r="AE30" s="352"/>
      <c r="AF30" s="352"/>
      <c r="AG30" s="352"/>
      <c r="AH30" s="352"/>
      <c r="AI30" s="352"/>
      <c r="AJ30" s="352"/>
      <c r="AM30" s="59"/>
      <c r="BI30" s="61"/>
    </row>
    <row r="31" spans="1:61" ht="15" customHeight="1" x14ac:dyDescent="0.25">
      <c r="A31" s="23"/>
      <c r="C31" s="59"/>
      <c r="D31" s="351"/>
      <c r="E31" s="351" t="s">
        <v>131</v>
      </c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6"/>
      <c r="V31" s="352"/>
      <c r="W31" s="352"/>
      <c r="X31" s="352"/>
      <c r="Y31" s="352"/>
      <c r="Z31" s="352"/>
      <c r="AA31" s="352"/>
      <c r="AB31" s="352"/>
      <c r="AC31" s="352"/>
      <c r="AD31" s="356"/>
      <c r="AE31" s="352"/>
      <c r="AF31" s="352"/>
      <c r="AG31" s="352"/>
      <c r="AH31" s="352"/>
      <c r="AI31" s="352"/>
      <c r="AJ31" s="352"/>
      <c r="AM31" s="59"/>
      <c r="BI31" s="61"/>
    </row>
    <row r="32" spans="1:61" ht="15" customHeight="1" x14ac:dyDescent="0.25">
      <c r="A32" s="23"/>
      <c r="C32" s="59"/>
      <c r="D32" s="351"/>
      <c r="E32" s="351" t="s">
        <v>132</v>
      </c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6"/>
      <c r="V32" s="352"/>
      <c r="W32" s="352"/>
      <c r="X32" s="352"/>
      <c r="Y32" s="352"/>
      <c r="Z32" s="352"/>
      <c r="AA32" s="352"/>
      <c r="AB32" s="352"/>
      <c r="AC32" s="352"/>
      <c r="AD32" s="356"/>
      <c r="AE32" s="352"/>
      <c r="AF32" s="352"/>
      <c r="AG32" s="352"/>
      <c r="AH32" s="352"/>
      <c r="AI32" s="352"/>
      <c r="AJ32" s="352"/>
      <c r="AM32" s="59"/>
      <c r="BI32" s="61"/>
    </row>
    <row r="33" spans="1:61" ht="15" customHeight="1" x14ac:dyDescent="0.25">
      <c r="A33" s="23"/>
      <c r="C33" s="59"/>
      <c r="D33" s="352"/>
      <c r="E33" s="352"/>
      <c r="F33" s="351" t="s">
        <v>133</v>
      </c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6"/>
      <c r="V33" s="352"/>
      <c r="W33" s="352"/>
      <c r="X33" s="352"/>
      <c r="Y33" s="352"/>
      <c r="Z33" s="352"/>
      <c r="AA33" s="352"/>
      <c r="AB33" s="352"/>
      <c r="AC33" s="352"/>
      <c r="AD33" s="356"/>
      <c r="AE33" s="352"/>
      <c r="AF33" s="352"/>
      <c r="AG33" s="352"/>
      <c r="AH33" s="352"/>
      <c r="AI33" s="352"/>
      <c r="AJ33" s="352"/>
      <c r="AM33" s="59"/>
      <c r="BI33" s="61"/>
    </row>
    <row r="34" spans="1:61" ht="15" customHeight="1" x14ac:dyDescent="0.25">
      <c r="A34" s="23"/>
      <c r="C34" s="59"/>
      <c r="D34" s="352"/>
      <c r="E34" s="352"/>
      <c r="F34" s="351" t="s">
        <v>134</v>
      </c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6"/>
      <c r="V34" s="352"/>
      <c r="W34" s="352"/>
      <c r="X34" s="352"/>
      <c r="Y34" s="352"/>
      <c r="Z34" s="352"/>
      <c r="AA34" s="352"/>
      <c r="AB34" s="352"/>
      <c r="AC34" s="352"/>
      <c r="AD34" s="356"/>
      <c r="AE34" s="352"/>
      <c r="AF34" s="352"/>
      <c r="AG34" s="352"/>
      <c r="AH34" s="352"/>
      <c r="AI34" s="352"/>
      <c r="AJ34" s="352"/>
      <c r="AM34" s="59"/>
      <c r="BI34" s="61"/>
    </row>
    <row r="35" spans="1:61" ht="15" customHeight="1" x14ac:dyDescent="0.25">
      <c r="A35" s="23"/>
      <c r="C35" s="59"/>
      <c r="U35" s="59"/>
      <c r="AD35" s="59"/>
      <c r="AM35" s="59"/>
      <c r="BI35" s="61"/>
    </row>
    <row r="36" spans="1:61" ht="15" customHeight="1" thickBot="1" x14ac:dyDescent="0.3">
      <c r="A36" s="23"/>
      <c r="C36" s="59"/>
      <c r="F36" s="357" t="s">
        <v>135</v>
      </c>
      <c r="G36" s="357"/>
      <c r="H36" s="357"/>
      <c r="I36" s="357"/>
      <c r="J36" s="357" t="s">
        <v>136</v>
      </c>
      <c r="K36" s="357"/>
      <c r="L36" s="357"/>
      <c r="M36" s="357"/>
      <c r="N36" s="357"/>
      <c r="O36" s="357"/>
      <c r="P36" s="357" t="s">
        <v>137</v>
      </c>
      <c r="Q36" s="357"/>
      <c r="R36" s="357"/>
      <c r="S36" s="357"/>
      <c r="T36" s="357" t="s">
        <v>138</v>
      </c>
      <c r="U36" s="357"/>
      <c r="V36" s="357"/>
      <c r="W36" s="357" t="s">
        <v>139</v>
      </c>
      <c r="X36" s="357"/>
      <c r="Y36" s="357"/>
      <c r="Z36" s="357"/>
      <c r="AA36" s="357"/>
      <c r="AB36" s="352"/>
      <c r="AC36" s="352"/>
      <c r="AD36" s="356"/>
      <c r="AE36" s="357" t="s">
        <v>135</v>
      </c>
      <c r="AF36" s="357"/>
      <c r="AG36" s="357"/>
      <c r="AH36" s="357"/>
      <c r="AI36" s="357" t="s">
        <v>136</v>
      </c>
      <c r="AJ36" s="357"/>
      <c r="AK36" s="357"/>
      <c r="AL36" s="357"/>
      <c r="AM36" s="357"/>
      <c r="AN36" s="357"/>
      <c r="AO36" s="357" t="s">
        <v>137</v>
      </c>
      <c r="AP36" s="357"/>
      <c r="AQ36" s="357"/>
      <c r="AR36" s="357"/>
      <c r="AS36" s="357" t="s">
        <v>138</v>
      </c>
      <c r="AT36" s="357"/>
      <c r="AU36" s="357"/>
      <c r="AV36" s="357" t="s">
        <v>139</v>
      </c>
      <c r="AW36" s="357"/>
      <c r="AX36" s="357"/>
      <c r="AY36" s="357"/>
      <c r="AZ36" s="357"/>
      <c r="BI36" s="61"/>
    </row>
    <row r="37" spans="1:61" ht="15" customHeight="1" thickBot="1" x14ac:dyDescent="0.3">
      <c r="A37" s="23"/>
      <c r="C37" s="59"/>
      <c r="F37" s="358" t="s">
        <v>107</v>
      </c>
      <c r="G37" s="358"/>
      <c r="H37" s="358"/>
      <c r="I37" s="358"/>
      <c r="J37" s="358" t="s">
        <v>41</v>
      </c>
      <c r="K37" s="358"/>
      <c r="L37" s="358"/>
      <c r="M37" s="358"/>
      <c r="N37" s="358"/>
      <c r="O37" s="358"/>
      <c r="P37" s="358" t="s">
        <v>41</v>
      </c>
      <c r="Q37" s="358"/>
      <c r="R37" s="358"/>
      <c r="S37" s="358"/>
      <c r="T37" s="358"/>
      <c r="U37" s="358"/>
      <c r="V37" s="358"/>
      <c r="W37" s="358"/>
      <c r="X37" s="358"/>
      <c r="Y37" s="359"/>
      <c r="Z37" s="358"/>
      <c r="AA37" s="358"/>
      <c r="AB37" s="352"/>
      <c r="AC37" s="352"/>
      <c r="AD37" s="356"/>
      <c r="AE37" s="358" t="s">
        <v>107</v>
      </c>
      <c r="AF37" s="358"/>
      <c r="AG37" s="358"/>
      <c r="AH37" s="358"/>
      <c r="AI37" s="358" t="s">
        <v>41</v>
      </c>
      <c r="AJ37" s="358"/>
      <c r="AK37" s="358"/>
      <c r="AL37" s="358"/>
      <c r="AM37" s="358"/>
      <c r="AN37" s="358"/>
      <c r="AO37" s="358" t="s">
        <v>41</v>
      </c>
      <c r="AP37" s="358"/>
      <c r="AQ37" s="358"/>
      <c r="AR37" s="358"/>
      <c r="AS37" s="358" t="s">
        <v>108</v>
      </c>
      <c r="AT37" s="358"/>
      <c r="AU37" s="358"/>
      <c r="AV37" s="360"/>
      <c r="AW37" s="361"/>
      <c r="AX37" s="362"/>
      <c r="AY37" s="361"/>
      <c r="AZ37" s="363"/>
      <c r="BI37" s="61"/>
    </row>
    <row r="38" spans="1:61" ht="15" customHeight="1" x14ac:dyDescent="0.25">
      <c r="A38" s="23"/>
      <c r="C38" s="59"/>
      <c r="F38" s="358" t="s">
        <v>107</v>
      </c>
      <c r="G38" s="358"/>
      <c r="H38" s="358"/>
      <c r="I38" s="358"/>
      <c r="J38" s="358" t="s">
        <v>109</v>
      </c>
      <c r="K38" s="358"/>
      <c r="L38" s="358"/>
      <c r="M38" s="358"/>
      <c r="N38" s="358"/>
      <c r="O38" s="358"/>
      <c r="P38" s="358" t="s">
        <v>41</v>
      </c>
      <c r="Q38" s="358"/>
      <c r="R38" s="358"/>
      <c r="S38" s="358"/>
      <c r="T38" s="358"/>
      <c r="U38" s="358"/>
      <c r="V38" s="358"/>
      <c r="W38" s="358"/>
      <c r="X38" s="358"/>
      <c r="Y38" s="359"/>
      <c r="Z38" s="358"/>
      <c r="AA38" s="358"/>
      <c r="AB38" s="352"/>
      <c r="AC38" s="352"/>
      <c r="AD38" s="356"/>
      <c r="AE38" s="358" t="s">
        <v>107</v>
      </c>
      <c r="AF38" s="358"/>
      <c r="AG38" s="358"/>
      <c r="AH38" s="358"/>
      <c r="AI38" s="358" t="s">
        <v>109</v>
      </c>
      <c r="AJ38" s="358"/>
      <c r="AK38" s="358"/>
      <c r="AL38" s="358"/>
      <c r="AM38" s="358"/>
      <c r="AN38" s="358"/>
      <c r="AO38" s="358" t="s">
        <v>41</v>
      </c>
      <c r="AP38" s="358"/>
      <c r="AQ38" s="358"/>
      <c r="AR38" s="358"/>
      <c r="AS38" s="358"/>
      <c r="AT38" s="358"/>
      <c r="AU38" s="358"/>
      <c r="AV38" s="358"/>
      <c r="AW38" s="358"/>
      <c r="AX38" s="359"/>
      <c r="AY38" s="358"/>
      <c r="AZ38" s="358"/>
      <c r="BI38" s="61"/>
    </row>
    <row r="39" spans="1:61" ht="15" customHeight="1" x14ac:dyDescent="0.25">
      <c r="A39" s="23"/>
      <c r="C39" s="59"/>
      <c r="F39" s="358" t="s">
        <v>107</v>
      </c>
      <c r="G39" s="358"/>
      <c r="H39" s="358"/>
      <c r="I39" s="358"/>
      <c r="J39" s="358" t="s">
        <v>109</v>
      </c>
      <c r="K39" s="358"/>
      <c r="L39" s="358"/>
      <c r="M39" s="358"/>
      <c r="N39" s="358"/>
      <c r="O39" s="358"/>
      <c r="P39" s="358" t="s">
        <v>110</v>
      </c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2"/>
      <c r="AC39" s="352"/>
      <c r="AD39" s="356"/>
      <c r="AE39" s="358" t="s">
        <v>107</v>
      </c>
      <c r="AF39" s="358"/>
      <c r="AG39" s="358"/>
      <c r="AH39" s="358"/>
      <c r="AI39" s="358" t="s">
        <v>109</v>
      </c>
      <c r="AJ39" s="358"/>
      <c r="AK39" s="358"/>
      <c r="AL39" s="358"/>
      <c r="AM39" s="358"/>
      <c r="AN39" s="358"/>
      <c r="AO39" s="358" t="s">
        <v>110</v>
      </c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I39" s="61"/>
    </row>
    <row r="40" spans="1:61" ht="15" customHeight="1" x14ac:dyDescent="0.25">
      <c r="A40" s="23"/>
      <c r="C40" s="59"/>
      <c r="F40" s="358" t="s">
        <v>107</v>
      </c>
      <c r="G40" s="358"/>
      <c r="H40" s="358"/>
      <c r="I40" s="358"/>
      <c r="J40" s="358" t="s">
        <v>109</v>
      </c>
      <c r="K40" s="358"/>
      <c r="L40" s="358"/>
      <c r="M40" s="358"/>
      <c r="N40" s="358"/>
      <c r="O40" s="358"/>
      <c r="P40" s="358" t="s">
        <v>111</v>
      </c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2"/>
      <c r="AC40" s="352"/>
      <c r="AD40" s="356"/>
      <c r="AE40" s="358" t="s">
        <v>107</v>
      </c>
      <c r="AF40" s="358"/>
      <c r="AG40" s="358"/>
      <c r="AH40" s="358"/>
      <c r="AI40" s="358" t="s">
        <v>109</v>
      </c>
      <c r="AJ40" s="358"/>
      <c r="AK40" s="358"/>
      <c r="AL40" s="358"/>
      <c r="AM40" s="358"/>
      <c r="AN40" s="358"/>
      <c r="AO40" s="358" t="s">
        <v>111</v>
      </c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I40" s="61"/>
    </row>
    <row r="41" spans="1:61" ht="15" customHeight="1" x14ac:dyDescent="0.25">
      <c r="A41" s="23"/>
      <c r="C41" s="59"/>
      <c r="F41" s="358" t="s">
        <v>107</v>
      </c>
      <c r="G41" s="358"/>
      <c r="H41" s="358"/>
      <c r="I41" s="358"/>
      <c r="J41" s="358" t="s">
        <v>109</v>
      </c>
      <c r="K41" s="358"/>
      <c r="L41" s="358"/>
      <c r="M41" s="358"/>
      <c r="N41" s="358"/>
      <c r="O41" s="358"/>
      <c r="P41" s="358" t="s">
        <v>112</v>
      </c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2"/>
      <c r="AC41" s="352"/>
      <c r="AD41" s="356"/>
      <c r="AE41" s="358" t="s">
        <v>107</v>
      </c>
      <c r="AF41" s="358"/>
      <c r="AG41" s="358"/>
      <c r="AH41" s="358"/>
      <c r="AI41" s="358" t="s">
        <v>109</v>
      </c>
      <c r="AJ41" s="358"/>
      <c r="AK41" s="358"/>
      <c r="AL41" s="358"/>
      <c r="AM41" s="358"/>
      <c r="AN41" s="358"/>
      <c r="AO41" s="358" t="s">
        <v>112</v>
      </c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I41" s="61"/>
    </row>
    <row r="42" spans="1:61" ht="15" customHeight="1" x14ac:dyDescent="0.25">
      <c r="A42" s="23"/>
      <c r="C42" s="59"/>
      <c r="F42" s="358" t="s">
        <v>107</v>
      </c>
      <c r="G42" s="358"/>
      <c r="H42" s="358"/>
      <c r="I42" s="358"/>
      <c r="J42" s="358" t="s">
        <v>113</v>
      </c>
      <c r="K42" s="358"/>
      <c r="L42" s="358"/>
      <c r="M42" s="358"/>
      <c r="N42" s="358"/>
      <c r="O42" s="358"/>
      <c r="P42" s="358" t="s">
        <v>41</v>
      </c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2"/>
      <c r="AC42" s="352"/>
      <c r="AD42" s="356"/>
      <c r="AE42" s="358" t="s">
        <v>107</v>
      </c>
      <c r="AF42" s="358"/>
      <c r="AG42" s="358"/>
      <c r="AH42" s="358"/>
      <c r="AI42" s="358" t="s">
        <v>113</v>
      </c>
      <c r="AJ42" s="358"/>
      <c r="AK42" s="358"/>
      <c r="AL42" s="358"/>
      <c r="AM42" s="358"/>
      <c r="AN42" s="358"/>
      <c r="AO42" s="358" t="s">
        <v>41</v>
      </c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I42" s="61"/>
    </row>
    <row r="43" spans="1:61" ht="15" customHeight="1" x14ac:dyDescent="0.25">
      <c r="A43" s="23"/>
      <c r="C43" s="59"/>
      <c r="F43" s="358" t="s">
        <v>107</v>
      </c>
      <c r="G43" s="358"/>
      <c r="H43" s="358"/>
      <c r="I43" s="358"/>
      <c r="J43" s="358" t="s">
        <v>113</v>
      </c>
      <c r="K43" s="358"/>
      <c r="L43" s="358"/>
      <c r="M43" s="358"/>
      <c r="N43" s="358"/>
      <c r="O43" s="358"/>
      <c r="P43" s="358" t="s">
        <v>114</v>
      </c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2"/>
      <c r="AC43" s="352"/>
      <c r="AD43" s="356"/>
      <c r="AE43" s="358" t="s">
        <v>107</v>
      </c>
      <c r="AF43" s="358"/>
      <c r="AG43" s="358"/>
      <c r="AH43" s="358"/>
      <c r="AI43" s="358" t="s">
        <v>113</v>
      </c>
      <c r="AJ43" s="358"/>
      <c r="AK43" s="358"/>
      <c r="AL43" s="358"/>
      <c r="AM43" s="358"/>
      <c r="AN43" s="358"/>
      <c r="AO43" s="358" t="s">
        <v>114</v>
      </c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I43" s="61"/>
    </row>
    <row r="44" spans="1:61" ht="15" customHeight="1" x14ac:dyDescent="0.25">
      <c r="A44" s="23"/>
      <c r="C44" s="59"/>
      <c r="F44" s="358" t="s">
        <v>107</v>
      </c>
      <c r="G44" s="358"/>
      <c r="H44" s="358"/>
      <c r="I44" s="358"/>
      <c r="J44" s="358" t="s">
        <v>113</v>
      </c>
      <c r="K44" s="358"/>
      <c r="L44" s="358"/>
      <c r="M44" s="358"/>
      <c r="N44" s="358"/>
      <c r="O44" s="358"/>
      <c r="P44" s="358" t="s">
        <v>115</v>
      </c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2"/>
      <c r="AC44" s="352"/>
      <c r="AD44" s="356"/>
      <c r="AE44" s="358" t="s">
        <v>107</v>
      </c>
      <c r="AF44" s="358"/>
      <c r="AG44" s="358"/>
      <c r="AH44" s="358"/>
      <c r="AI44" s="358" t="s">
        <v>113</v>
      </c>
      <c r="AJ44" s="358"/>
      <c r="AK44" s="358"/>
      <c r="AL44" s="358"/>
      <c r="AM44" s="358"/>
      <c r="AN44" s="358"/>
      <c r="AO44" s="358" t="s">
        <v>115</v>
      </c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I44" s="61"/>
    </row>
    <row r="45" spans="1:61" ht="15" customHeight="1" x14ac:dyDescent="0.25">
      <c r="A45" s="23"/>
      <c r="C45" s="59"/>
      <c r="F45" s="358" t="s">
        <v>107</v>
      </c>
      <c r="G45" s="358"/>
      <c r="H45" s="358"/>
      <c r="I45" s="358"/>
      <c r="J45" s="358" t="s">
        <v>113</v>
      </c>
      <c r="K45" s="358"/>
      <c r="L45" s="358"/>
      <c r="M45" s="358"/>
      <c r="N45" s="358"/>
      <c r="O45" s="358"/>
      <c r="P45" s="358" t="s">
        <v>116</v>
      </c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2"/>
      <c r="AC45" s="352"/>
      <c r="AD45" s="356"/>
      <c r="AE45" s="358" t="s">
        <v>107</v>
      </c>
      <c r="AF45" s="358"/>
      <c r="AG45" s="358"/>
      <c r="AH45" s="358"/>
      <c r="AI45" s="358" t="s">
        <v>113</v>
      </c>
      <c r="AJ45" s="358"/>
      <c r="AK45" s="358"/>
      <c r="AL45" s="358"/>
      <c r="AM45" s="358"/>
      <c r="AN45" s="358"/>
      <c r="AO45" s="358" t="s">
        <v>116</v>
      </c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I45" s="61"/>
    </row>
    <row r="46" spans="1:61" ht="15" customHeight="1" x14ac:dyDescent="0.25">
      <c r="A46" s="23"/>
      <c r="C46" s="59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D46" s="356"/>
      <c r="AE46" s="352"/>
      <c r="AF46" s="352"/>
      <c r="AG46" s="352"/>
      <c r="AH46" s="352"/>
      <c r="AI46" s="352"/>
      <c r="AJ46" s="352"/>
      <c r="AK46" s="352"/>
      <c r="AL46" s="352"/>
      <c r="AM46" s="352"/>
      <c r="AN46" s="352"/>
      <c r="AO46" s="352"/>
      <c r="AP46" s="352"/>
      <c r="AQ46" s="352"/>
      <c r="AR46" s="352"/>
      <c r="AS46" s="352"/>
      <c r="AT46" s="352"/>
      <c r="AU46" s="352"/>
      <c r="AV46" s="352"/>
      <c r="AW46" s="352"/>
      <c r="AX46" s="352"/>
      <c r="AY46" s="352"/>
      <c r="AZ46" s="352"/>
      <c r="BI46" s="61"/>
    </row>
    <row r="47" spans="1:61" ht="15" customHeight="1" x14ac:dyDescent="0.25">
      <c r="A47" s="23"/>
      <c r="C47" s="59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6"/>
      <c r="AE47" s="352"/>
      <c r="AF47" s="352"/>
      <c r="AG47" s="352"/>
      <c r="AH47" s="352"/>
      <c r="AI47" s="352"/>
      <c r="AJ47" s="352"/>
      <c r="AK47" s="352"/>
      <c r="AL47" s="352"/>
      <c r="AM47" s="352"/>
      <c r="AN47" s="352"/>
      <c r="AO47" s="352"/>
      <c r="AP47" s="352"/>
      <c r="AQ47" s="352"/>
      <c r="AR47" s="352"/>
      <c r="AS47" s="352"/>
      <c r="AT47" s="352"/>
      <c r="AU47" s="352"/>
      <c r="AV47" s="352"/>
      <c r="AW47" s="352"/>
      <c r="AX47" s="352"/>
      <c r="AY47" s="352"/>
      <c r="AZ47" s="352"/>
      <c r="BI47" s="61"/>
    </row>
    <row r="48" spans="1:61" ht="15" customHeight="1" x14ac:dyDescent="0.25">
      <c r="A48" s="23"/>
      <c r="C48" s="59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  <c r="Y48" s="352"/>
      <c r="Z48" s="352"/>
      <c r="AA48" s="352"/>
      <c r="AB48" s="352"/>
      <c r="AC48" s="352"/>
      <c r="AD48" s="356"/>
      <c r="AE48" s="352"/>
      <c r="AF48" s="352"/>
      <c r="AG48" s="352"/>
      <c r="AH48" s="352"/>
      <c r="AI48" s="352"/>
      <c r="AJ48" s="352"/>
      <c r="AK48" s="352"/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352"/>
      <c r="AZ48" s="352"/>
      <c r="BI48" s="61"/>
    </row>
    <row r="49" spans="1:61" ht="15" customHeight="1" thickBot="1" x14ac:dyDescent="0.3">
      <c r="A49" s="23"/>
      <c r="C49" s="59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6"/>
      <c r="AE49" s="357" t="s">
        <v>135</v>
      </c>
      <c r="AF49" s="357"/>
      <c r="AG49" s="357"/>
      <c r="AH49" s="357"/>
      <c r="AI49" s="357" t="s">
        <v>136</v>
      </c>
      <c r="AJ49" s="357"/>
      <c r="AK49" s="357"/>
      <c r="AL49" s="357"/>
      <c r="AM49" s="357"/>
      <c r="AN49" s="357"/>
      <c r="AO49" s="357" t="s">
        <v>137</v>
      </c>
      <c r="AP49" s="357"/>
      <c r="AQ49" s="357"/>
      <c r="AR49" s="357"/>
      <c r="AS49" s="357" t="s">
        <v>138</v>
      </c>
      <c r="AT49" s="357"/>
      <c r="AU49" s="357"/>
      <c r="AV49" s="357" t="s">
        <v>139</v>
      </c>
      <c r="AW49" s="357"/>
      <c r="AX49" s="364"/>
      <c r="AY49" s="357"/>
      <c r="AZ49" s="357"/>
      <c r="BI49" s="61"/>
    </row>
    <row r="50" spans="1:61" ht="15" customHeight="1" thickBot="1" x14ac:dyDescent="0.3">
      <c r="A50" s="23"/>
      <c r="C50" s="59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6"/>
      <c r="AE50" s="358" t="s">
        <v>107</v>
      </c>
      <c r="AF50" s="358"/>
      <c r="AG50" s="358"/>
      <c r="AH50" s="358"/>
      <c r="AI50" s="358" t="s">
        <v>41</v>
      </c>
      <c r="AJ50" s="358"/>
      <c r="AK50" s="358"/>
      <c r="AL50" s="358"/>
      <c r="AM50" s="358"/>
      <c r="AN50" s="358"/>
      <c r="AO50" s="358" t="s">
        <v>41</v>
      </c>
      <c r="AP50" s="358"/>
      <c r="AQ50" s="358"/>
      <c r="AR50" s="358"/>
      <c r="AS50" s="358" t="s">
        <v>108</v>
      </c>
      <c r="AT50" s="358"/>
      <c r="AU50" s="358"/>
      <c r="AV50" s="360"/>
      <c r="AW50" s="361"/>
      <c r="AX50" s="365"/>
      <c r="AY50" s="361"/>
      <c r="AZ50" s="363"/>
      <c r="BI50" s="61"/>
    </row>
    <row r="51" spans="1:61" ht="15" customHeight="1" x14ac:dyDescent="0.25">
      <c r="A51" s="23"/>
      <c r="C51" s="59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  <c r="Y51" s="352"/>
      <c r="Z51" s="352"/>
      <c r="AA51" s="352"/>
      <c r="AB51" s="352"/>
      <c r="AC51" s="352"/>
      <c r="AD51" s="356"/>
      <c r="AE51" s="358" t="s">
        <v>107</v>
      </c>
      <c r="AF51" s="358"/>
      <c r="AG51" s="358"/>
      <c r="AH51" s="358"/>
      <c r="AI51" s="358" t="s">
        <v>109</v>
      </c>
      <c r="AJ51" s="358"/>
      <c r="AK51" s="358"/>
      <c r="AL51" s="358"/>
      <c r="AM51" s="358"/>
      <c r="AN51" s="358"/>
      <c r="AO51" s="358" t="s">
        <v>41</v>
      </c>
      <c r="AP51" s="358"/>
      <c r="AQ51" s="358"/>
      <c r="AR51" s="358"/>
      <c r="AS51" s="358" t="s">
        <v>108</v>
      </c>
      <c r="AT51" s="358"/>
      <c r="AU51" s="358"/>
      <c r="AV51" s="360"/>
      <c r="AW51" s="361"/>
      <c r="AX51" s="366"/>
      <c r="AY51" s="361"/>
      <c r="AZ51" s="363"/>
      <c r="BI51" s="61"/>
    </row>
    <row r="52" spans="1:61" ht="15" customHeight="1" x14ac:dyDescent="0.25">
      <c r="A52" s="23"/>
      <c r="C52" s="59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352"/>
      <c r="AB52" s="352"/>
      <c r="AC52" s="352"/>
      <c r="AD52" s="356"/>
      <c r="AE52" s="358" t="s">
        <v>107</v>
      </c>
      <c r="AF52" s="358"/>
      <c r="AG52" s="358"/>
      <c r="AH52" s="358"/>
      <c r="AI52" s="358" t="s">
        <v>109</v>
      </c>
      <c r="AJ52" s="358"/>
      <c r="AK52" s="358"/>
      <c r="AL52" s="358"/>
      <c r="AM52" s="358"/>
      <c r="AN52" s="358"/>
      <c r="AO52" s="358" t="s">
        <v>110</v>
      </c>
      <c r="AP52" s="358"/>
      <c r="AQ52" s="358"/>
      <c r="AR52" s="358"/>
      <c r="AS52" s="358" t="s">
        <v>108</v>
      </c>
      <c r="AT52" s="358"/>
      <c r="AU52" s="358"/>
      <c r="AV52" s="360" t="s">
        <v>41</v>
      </c>
      <c r="AW52" s="361"/>
      <c r="AX52" s="361"/>
      <c r="AY52" s="361"/>
      <c r="AZ52" s="363"/>
      <c r="BI52" s="61"/>
    </row>
    <row r="53" spans="1:61" ht="15" customHeight="1" x14ac:dyDescent="0.25">
      <c r="A53" s="23"/>
      <c r="C53" s="59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1"/>
      <c r="AD53" s="356"/>
      <c r="AE53" s="358" t="s">
        <v>107</v>
      </c>
      <c r="AF53" s="358"/>
      <c r="AG53" s="358"/>
      <c r="AH53" s="358"/>
      <c r="AI53" s="358" t="s">
        <v>109</v>
      </c>
      <c r="AJ53" s="358"/>
      <c r="AK53" s="358"/>
      <c r="AL53" s="358"/>
      <c r="AM53" s="358"/>
      <c r="AN53" s="358"/>
      <c r="AO53" s="358" t="s">
        <v>111</v>
      </c>
      <c r="AP53" s="358"/>
      <c r="AQ53" s="358"/>
      <c r="AR53" s="358"/>
      <c r="AS53" s="358" t="s">
        <v>108</v>
      </c>
      <c r="AT53" s="358"/>
      <c r="AU53" s="358"/>
      <c r="AV53" s="360" t="s">
        <v>41</v>
      </c>
      <c r="AW53" s="361"/>
      <c r="AX53" s="361"/>
      <c r="AY53" s="361"/>
      <c r="AZ53" s="363"/>
      <c r="BI53" s="61"/>
    </row>
    <row r="54" spans="1:61" ht="15" customHeight="1" thickBot="1" x14ac:dyDescent="0.3">
      <c r="A54" s="23"/>
      <c r="C54" s="59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6"/>
      <c r="AE54" s="358" t="s">
        <v>107</v>
      </c>
      <c r="AF54" s="358"/>
      <c r="AG54" s="358"/>
      <c r="AH54" s="358"/>
      <c r="AI54" s="358" t="s">
        <v>109</v>
      </c>
      <c r="AJ54" s="358"/>
      <c r="AK54" s="358"/>
      <c r="AL54" s="358"/>
      <c r="AM54" s="358"/>
      <c r="AN54" s="358"/>
      <c r="AO54" s="358" t="s">
        <v>112</v>
      </c>
      <c r="AP54" s="358"/>
      <c r="AQ54" s="358"/>
      <c r="AR54" s="358"/>
      <c r="AS54" s="358" t="s">
        <v>108</v>
      </c>
      <c r="AT54" s="358"/>
      <c r="AU54" s="358"/>
      <c r="AV54" s="360" t="s">
        <v>41</v>
      </c>
      <c r="AW54" s="361"/>
      <c r="AX54" s="361"/>
      <c r="AY54" s="361"/>
      <c r="AZ54" s="363"/>
      <c r="BI54" s="61"/>
    </row>
    <row r="55" spans="1:61" ht="15" customHeight="1" x14ac:dyDescent="0.25">
      <c r="A55" s="23"/>
      <c r="C55" s="59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6"/>
      <c r="AE55" s="358" t="s">
        <v>107</v>
      </c>
      <c r="AF55" s="358"/>
      <c r="AG55" s="358"/>
      <c r="AH55" s="358"/>
      <c r="AI55" s="358" t="s">
        <v>113</v>
      </c>
      <c r="AJ55" s="358"/>
      <c r="AK55" s="358"/>
      <c r="AL55" s="358"/>
      <c r="AM55" s="358"/>
      <c r="AN55" s="358"/>
      <c r="AO55" s="358" t="s">
        <v>41</v>
      </c>
      <c r="AP55" s="358"/>
      <c r="AQ55" s="358"/>
      <c r="AR55" s="358"/>
      <c r="AS55" s="358" t="s">
        <v>108</v>
      </c>
      <c r="AT55" s="358"/>
      <c r="AU55" s="358"/>
      <c r="AV55" s="360"/>
      <c r="AW55" s="361"/>
      <c r="AX55" s="366"/>
      <c r="AY55" s="361"/>
      <c r="AZ55" s="363"/>
      <c r="BI55" s="61"/>
    </row>
    <row r="56" spans="1:61" ht="15" customHeight="1" x14ac:dyDescent="0.25">
      <c r="A56" s="23"/>
      <c r="C56" s="59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6"/>
      <c r="AE56" s="358" t="s">
        <v>107</v>
      </c>
      <c r="AF56" s="358"/>
      <c r="AG56" s="358"/>
      <c r="AH56" s="358"/>
      <c r="AI56" s="358" t="s">
        <v>113</v>
      </c>
      <c r="AJ56" s="358"/>
      <c r="AK56" s="358"/>
      <c r="AL56" s="358"/>
      <c r="AM56" s="358"/>
      <c r="AN56" s="358"/>
      <c r="AO56" s="358" t="s">
        <v>114</v>
      </c>
      <c r="AP56" s="358"/>
      <c r="AQ56" s="358"/>
      <c r="AR56" s="358"/>
      <c r="AS56" s="358" t="s">
        <v>108</v>
      </c>
      <c r="AT56" s="358"/>
      <c r="AU56" s="358"/>
      <c r="AV56" s="360" t="s">
        <v>41</v>
      </c>
      <c r="AW56" s="361"/>
      <c r="AX56" s="361"/>
      <c r="AY56" s="361"/>
      <c r="AZ56" s="363"/>
      <c r="BI56" s="61"/>
    </row>
    <row r="57" spans="1:61" ht="15" customHeight="1" x14ac:dyDescent="0.25">
      <c r="A57" s="23"/>
      <c r="C57" s="59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6"/>
      <c r="AE57" s="358" t="s">
        <v>107</v>
      </c>
      <c r="AF57" s="358"/>
      <c r="AG57" s="358"/>
      <c r="AH57" s="358"/>
      <c r="AI57" s="358" t="s">
        <v>113</v>
      </c>
      <c r="AJ57" s="358"/>
      <c r="AK57" s="358"/>
      <c r="AL57" s="358"/>
      <c r="AM57" s="358"/>
      <c r="AN57" s="358"/>
      <c r="AO57" s="358" t="s">
        <v>115</v>
      </c>
      <c r="AP57" s="358"/>
      <c r="AQ57" s="358"/>
      <c r="AR57" s="358"/>
      <c r="AS57" s="358" t="s">
        <v>108</v>
      </c>
      <c r="AT57" s="358"/>
      <c r="AU57" s="358"/>
      <c r="AV57" s="360" t="s">
        <v>41</v>
      </c>
      <c r="AW57" s="361"/>
      <c r="AX57" s="361"/>
      <c r="AY57" s="361"/>
      <c r="AZ57" s="363"/>
      <c r="BI57" s="61"/>
    </row>
    <row r="58" spans="1:61" ht="15" customHeight="1" x14ac:dyDescent="0.25">
      <c r="A58" s="23"/>
      <c r="C58" s="59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6"/>
      <c r="AE58" s="358" t="s">
        <v>107</v>
      </c>
      <c r="AF58" s="358"/>
      <c r="AG58" s="358"/>
      <c r="AH58" s="358"/>
      <c r="AI58" s="358" t="s">
        <v>113</v>
      </c>
      <c r="AJ58" s="358"/>
      <c r="AK58" s="358"/>
      <c r="AL58" s="358"/>
      <c r="AM58" s="358"/>
      <c r="AN58" s="358"/>
      <c r="AO58" s="358" t="s">
        <v>116</v>
      </c>
      <c r="AP58" s="358"/>
      <c r="AQ58" s="358"/>
      <c r="AR58" s="358"/>
      <c r="AS58" s="358" t="s">
        <v>108</v>
      </c>
      <c r="AT58" s="358"/>
      <c r="AU58" s="358"/>
      <c r="AV58" s="360" t="s">
        <v>41</v>
      </c>
      <c r="AW58" s="361"/>
      <c r="AX58" s="361"/>
      <c r="AY58" s="361"/>
      <c r="AZ58" s="363"/>
      <c r="BI58" s="61"/>
    </row>
    <row r="59" spans="1:61" ht="15" customHeight="1" x14ac:dyDescent="0.25">
      <c r="A59" s="23"/>
      <c r="C59" s="59"/>
      <c r="U59" s="59"/>
      <c r="AD59" s="59"/>
      <c r="AM59" s="59"/>
      <c r="BI59" s="61"/>
    </row>
    <row r="60" spans="1:61" ht="15" customHeight="1" x14ac:dyDescent="0.25">
      <c r="A60" s="23"/>
      <c r="C60" s="59"/>
      <c r="D60" s="49" t="s">
        <v>117</v>
      </c>
      <c r="U60" s="59"/>
      <c r="AD60" s="59"/>
      <c r="AM60" s="59"/>
      <c r="BI60" s="61"/>
    </row>
    <row r="61" spans="1:61" ht="15" customHeight="1" x14ac:dyDescent="0.25">
      <c r="A61" s="23"/>
      <c r="C61" s="59"/>
      <c r="D61" s="49"/>
      <c r="E61" s="49" t="s">
        <v>118</v>
      </c>
      <c r="U61" s="59"/>
      <c r="AD61" s="59"/>
      <c r="AM61" s="59"/>
      <c r="BI61" s="61"/>
    </row>
    <row r="62" spans="1:61" ht="15" customHeight="1" x14ac:dyDescent="0.25">
      <c r="A62" s="23"/>
      <c r="C62" s="59"/>
      <c r="D62" s="49"/>
      <c r="E62" s="49" t="s">
        <v>55</v>
      </c>
      <c r="U62" s="59"/>
      <c r="AD62" s="59"/>
      <c r="AM62" s="59"/>
      <c r="BI62" s="61"/>
    </row>
    <row r="63" spans="1:61" ht="15" customHeight="1" x14ac:dyDescent="0.25">
      <c r="A63" s="23"/>
      <c r="C63" s="59"/>
      <c r="D63" s="49"/>
      <c r="F63" s="49" t="s">
        <v>56</v>
      </c>
      <c r="U63" s="59"/>
      <c r="AD63" s="59"/>
      <c r="AM63" s="59"/>
      <c r="BI63" s="61"/>
    </row>
    <row r="64" spans="1:61" ht="15" customHeight="1" x14ac:dyDescent="0.25">
      <c r="A64" s="23"/>
      <c r="C64" s="59"/>
      <c r="D64" s="49"/>
      <c r="F64" s="49" t="s">
        <v>57</v>
      </c>
      <c r="U64" s="59"/>
      <c r="AD64" s="59"/>
      <c r="AM64" s="59"/>
      <c r="BI64" s="61"/>
    </row>
    <row r="65" spans="1:61" ht="15" customHeight="1" x14ac:dyDescent="0.25">
      <c r="A65" s="23"/>
      <c r="C65" s="59"/>
      <c r="U65" s="59"/>
      <c r="AD65" s="59"/>
      <c r="AM65" s="59"/>
      <c r="BI65" s="61"/>
    </row>
    <row r="66" spans="1:61" ht="15" customHeight="1" thickBot="1" x14ac:dyDescent="0.3">
      <c r="A66" s="23"/>
      <c r="C66" s="59"/>
      <c r="F66" s="314" t="s">
        <v>36</v>
      </c>
      <c r="G66" s="314"/>
      <c r="H66" s="314"/>
      <c r="I66" s="314"/>
      <c r="J66" s="314" t="s">
        <v>37</v>
      </c>
      <c r="K66" s="314"/>
      <c r="L66" s="314"/>
      <c r="M66" s="314"/>
      <c r="N66" s="314"/>
      <c r="O66" s="314"/>
      <c r="P66" s="314" t="s">
        <v>38</v>
      </c>
      <c r="Q66" s="314"/>
      <c r="R66" s="314"/>
      <c r="S66" s="314"/>
      <c r="T66" s="314" t="s">
        <v>39</v>
      </c>
      <c r="U66" s="314"/>
      <c r="V66" s="314"/>
      <c r="W66" s="314" t="s">
        <v>40</v>
      </c>
      <c r="X66" s="314"/>
      <c r="Y66" s="318"/>
      <c r="Z66" s="314"/>
      <c r="AA66" s="314"/>
      <c r="AD66" s="59"/>
      <c r="AE66" s="314" t="s">
        <v>36</v>
      </c>
      <c r="AF66" s="314"/>
      <c r="AG66" s="314"/>
      <c r="AH66" s="314"/>
      <c r="AI66" s="314" t="s">
        <v>37</v>
      </c>
      <c r="AJ66" s="314"/>
      <c r="AK66" s="314"/>
      <c r="AL66" s="314"/>
      <c r="AM66" s="314"/>
      <c r="AN66" s="314"/>
      <c r="AO66" s="314" t="s">
        <v>38</v>
      </c>
      <c r="AP66" s="314"/>
      <c r="AQ66" s="314"/>
      <c r="AR66" s="314"/>
      <c r="AS66" s="314" t="s">
        <v>39</v>
      </c>
      <c r="AT66" s="314"/>
      <c r="AU66" s="314"/>
      <c r="AV66" s="314" t="s">
        <v>40</v>
      </c>
      <c r="AW66" s="314"/>
      <c r="AX66" s="318"/>
      <c r="AY66" s="314"/>
      <c r="AZ66" s="314"/>
      <c r="BI66" s="61"/>
    </row>
    <row r="67" spans="1:61" ht="15" customHeight="1" thickBot="1" x14ac:dyDescent="0.3">
      <c r="A67" s="23"/>
      <c r="C67" s="59"/>
      <c r="F67" s="367" t="s">
        <v>107</v>
      </c>
      <c r="G67" s="367"/>
      <c r="H67" s="367"/>
      <c r="I67" s="367"/>
      <c r="J67" s="367" t="s">
        <v>41</v>
      </c>
      <c r="K67" s="367"/>
      <c r="L67" s="367"/>
      <c r="M67" s="367"/>
      <c r="N67" s="367"/>
      <c r="O67" s="367"/>
      <c r="P67" s="367" t="s">
        <v>41</v>
      </c>
      <c r="Q67" s="367"/>
      <c r="R67" s="367"/>
      <c r="S67" s="367"/>
      <c r="T67" s="367" t="s">
        <v>108</v>
      </c>
      <c r="U67" s="367"/>
      <c r="V67" s="367"/>
      <c r="W67" s="368"/>
      <c r="X67" s="369"/>
      <c r="Y67" s="370"/>
      <c r="Z67" s="369"/>
      <c r="AA67" s="371"/>
      <c r="AB67" s="345"/>
      <c r="AC67" s="345"/>
      <c r="AD67" s="372"/>
      <c r="AE67" s="367" t="s">
        <v>107</v>
      </c>
      <c r="AF67" s="367"/>
      <c r="AG67" s="367"/>
      <c r="AH67" s="367"/>
      <c r="AI67" s="367" t="s">
        <v>41</v>
      </c>
      <c r="AJ67" s="367"/>
      <c r="AK67" s="367"/>
      <c r="AL67" s="367"/>
      <c r="AM67" s="367"/>
      <c r="AN67" s="367"/>
      <c r="AO67" s="367" t="s">
        <v>41</v>
      </c>
      <c r="AP67" s="367"/>
      <c r="AQ67" s="367"/>
      <c r="AR67" s="367"/>
      <c r="AS67" s="367" t="s">
        <v>119</v>
      </c>
      <c r="AT67" s="367"/>
      <c r="AU67" s="367"/>
      <c r="AV67" s="315"/>
      <c r="AW67" s="316"/>
      <c r="AX67" s="67"/>
      <c r="AY67" s="316"/>
      <c r="AZ67" s="317"/>
      <c r="BI67" s="61"/>
    </row>
    <row r="68" spans="1:61" ht="15" customHeight="1" thickBot="1" x14ac:dyDescent="0.3">
      <c r="A68" s="23"/>
      <c r="C68" s="59"/>
      <c r="F68" s="367" t="s">
        <v>107</v>
      </c>
      <c r="G68" s="367"/>
      <c r="H68" s="367"/>
      <c r="I68" s="367"/>
      <c r="J68" s="367" t="s">
        <v>109</v>
      </c>
      <c r="K68" s="367"/>
      <c r="L68" s="367"/>
      <c r="M68" s="367"/>
      <c r="N68" s="367"/>
      <c r="O68" s="367"/>
      <c r="P68" s="367" t="s">
        <v>41</v>
      </c>
      <c r="Q68" s="367"/>
      <c r="R68" s="367"/>
      <c r="S68" s="367"/>
      <c r="T68" s="367" t="s">
        <v>108</v>
      </c>
      <c r="U68" s="367"/>
      <c r="V68" s="367"/>
      <c r="W68" s="368"/>
      <c r="X68" s="369"/>
      <c r="Y68" s="370"/>
      <c r="Z68" s="369"/>
      <c r="AA68" s="371"/>
      <c r="AB68" s="345"/>
      <c r="AC68" s="345"/>
      <c r="AD68" s="372"/>
      <c r="AE68" s="367" t="s">
        <v>107</v>
      </c>
      <c r="AF68" s="367"/>
      <c r="AG68" s="367"/>
      <c r="AH68" s="367"/>
      <c r="AI68" s="367" t="s">
        <v>109</v>
      </c>
      <c r="AJ68" s="367"/>
      <c r="AK68" s="367"/>
      <c r="AL68" s="367"/>
      <c r="AM68" s="367"/>
      <c r="AN68" s="367"/>
      <c r="AO68" s="367" t="s">
        <v>41</v>
      </c>
      <c r="AP68" s="367"/>
      <c r="AQ68" s="367"/>
      <c r="AR68" s="367"/>
      <c r="AS68" s="367" t="s">
        <v>108</v>
      </c>
      <c r="AT68" s="367"/>
      <c r="AU68" s="367"/>
      <c r="AV68" s="95"/>
      <c r="AW68" s="96"/>
      <c r="AX68" s="69"/>
      <c r="AY68" s="96"/>
      <c r="AZ68" s="97"/>
      <c r="BI68" s="61"/>
    </row>
    <row r="69" spans="1:61" ht="15" customHeight="1" x14ac:dyDescent="0.25">
      <c r="A69" s="23"/>
      <c r="C69" s="59"/>
      <c r="F69" s="367" t="s">
        <v>107</v>
      </c>
      <c r="G69" s="367"/>
      <c r="H69" s="367"/>
      <c r="I69" s="367"/>
      <c r="J69" s="367" t="s">
        <v>109</v>
      </c>
      <c r="K69" s="367"/>
      <c r="L69" s="367"/>
      <c r="M69" s="367"/>
      <c r="N69" s="367"/>
      <c r="O69" s="367"/>
      <c r="P69" s="367" t="s">
        <v>110</v>
      </c>
      <c r="Q69" s="367"/>
      <c r="R69" s="367"/>
      <c r="S69" s="367"/>
      <c r="T69" s="367" t="s">
        <v>108</v>
      </c>
      <c r="U69" s="367"/>
      <c r="V69" s="367"/>
      <c r="W69" s="368" t="s">
        <v>41</v>
      </c>
      <c r="X69" s="369"/>
      <c r="Y69" s="369"/>
      <c r="Z69" s="369"/>
      <c r="AA69" s="371"/>
      <c r="AB69" s="345"/>
      <c r="AC69" s="346"/>
      <c r="AD69" s="372"/>
      <c r="AE69" s="367" t="s">
        <v>107</v>
      </c>
      <c r="AF69" s="367"/>
      <c r="AG69" s="367"/>
      <c r="AH69" s="367"/>
      <c r="AI69" s="367" t="s">
        <v>109</v>
      </c>
      <c r="AJ69" s="367"/>
      <c r="AK69" s="367"/>
      <c r="AL69" s="367"/>
      <c r="AM69" s="367"/>
      <c r="AN69" s="367"/>
      <c r="AO69" s="367" t="s">
        <v>110</v>
      </c>
      <c r="AP69" s="367"/>
      <c r="AQ69" s="367"/>
      <c r="AR69" s="367"/>
      <c r="AS69" s="367" t="s">
        <v>108</v>
      </c>
      <c r="AT69" s="367"/>
      <c r="AU69" s="367"/>
      <c r="AV69" s="95" t="s">
        <v>41</v>
      </c>
      <c r="AW69" s="96"/>
      <c r="AX69" s="96"/>
      <c r="AY69" s="96"/>
      <c r="AZ69" s="97"/>
      <c r="BI69" s="61"/>
    </row>
    <row r="70" spans="1:61" ht="15" customHeight="1" x14ac:dyDescent="0.25">
      <c r="A70" s="23"/>
      <c r="C70" s="59"/>
      <c r="F70" s="367" t="s">
        <v>107</v>
      </c>
      <c r="G70" s="367"/>
      <c r="H70" s="367"/>
      <c r="I70" s="367"/>
      <c r="J70" s="367" t="s">
        <v>109</v>
      </c>
      <c r="K70" s="367"/>
      <c r="L70" s="367"/>
      <c r="M70" s="367"/>
      <c r="N70" s="367"/>
      <c r="O70" s="367"/>
      <c r="P70" s="367" t="s">
        <v>111</v>
      </c>
      <c r="Q70" s="367"/>
      <c r="R70" s="367"/>
      <c r="S70" s="367"/>
      <c r="T70" s="367" t="s">
        <v>108</v>
      </c>
      <c r="U70" s="367"/>
      <c r="V70" s="367"/>
      <c r="W70" s="368" t="s">
        <v>41</v>
      </c>
      <c r="X70" s="369"/>
      <c r="Y70" s="369"/>
      <c r="Z70" s="369"/>
      <c r="AA70" s="371"/>
      <c r="AB70" s="345"/>
      <c r="AC70" s="345"/>
      <c r="AD70" s="372"/>
      <c r="AE70" s="367" t="s">
        <v>107</v>
      </c>
      <c r="AF70" s="367"/>
      <c r="AG70" s="367"/>
      <c r="AH70" s="367"/>
      <c r="AI70" s="367" t="s">
        <v>109</v>
      </c>
      <c r="AJ70" s="367"/>
      <c r="AK70" s="367"/>
      <c r="AL70" s="367"/>
      <c r="AM70" s="367"/>
      <c r="AN70" s="367"/>
      <c r="AO70" s="367" t="s">
        <v>111</v>
      </c>
      <c r="AP70" s="367"/>
      <c r="AQ70" s="367"/>
      <c r="AR70" s="367"/>
      <c r="AS70" s="367" t="s">
        <v>108</v>
      </c>
      <c r="AT70" s="367"/>
      <c r="AU70" s="367"/>
      <c r="AV70" s="95" t="s">
        <v>41</v>
      </c>
      <c r="AW70" s="96"/>
      <c r="AX70" s="96"/>
      <c r="AY70" s="96"/>
      <c r="AZ70" s="97"/>
      <c r="BI70" s="61"/>
    </row>
    <row r="71" spans="1:61" ht="15" customHeight="1" thickBot="1" x14ac:dyDescent="0.3">
      <c r="A71" s="23"/>
      <c r="C71" s="59"/>
      <c r="F71" s="367" t="s">
        <v>107</v>
      </c>
      <c r="G71" s="367"/>
      <c r="H71" s="367"/>
      <c r="I71" s="367"/>
      <c r="J71" s="367" t="s">
        <v>109</v>
      </c>
      <c r="K71" s="367"/>
      <c r="L71" s="367"/>
      <c r="M71" s="367"/>
      <c r="N71" s="367"/>
      <c r="O71" s="367"/>
      <c r="P71" s="367" t="s">
        <v>112</v>
      </c>
      <c r="Q71" s="367"/>
      <c r="R71" s="367"/>
      <c r="S71" s="367"/>
      <c r="T71" s="367" t="s">
        <v>108</v>
      </c>
      <c r="U71" s="367"/>
      <c r="V71" s="367"/>
      <c r="W71" s="368" t="s">
        <v>41</v>
      </c>
      <c r="X71" s="369"/>
      <c r="Y71" s="369"/>
      <c r="Z71" s="369"/>
      <c r="AA71" s="371"/>
      <c r="AB71" s="345"/>
      <c r="AC71" s="345"/>
      <c r="AD71" s="372"/>
      <c r="AE71" s="367" t="s">
        <v>107</v>
      </c>
      <c r="AF71" s="367"/>
      <c r="AG71" s="367"/>
      <c r="AH71" s="367"/>
      <c r="AI71" s="367" t="s">
        <v>109</v>
      </c>
      <c r="AJ71" s="367"/>
      <c r="AK71" s="367"/>
      <c r="AL71" s="367"/>
      <c r="AM71" s="367"/>
      <c r="AN71" s="367"/>
      <c r="AO71" s="367" t="s">
        <v>112</v>
      </c>
      <c r="AP71" s="367"/>
      <c r="AQ71" s="367"/>
      <c r="AR71" s="367"/>
      <c r="AS71" s="367" t="s">
        <v>108</v>
      </c>
      <c r="AT71" s="367"/>
      <c r="AU71" s="367"/>
      <c r="AV71" s="95" t="s">
        <v>41</v>
      </c>
      <c r="AW71" s="96"/>
      <c r="AX71" s="96"/>
      <c r="AY71" s="96"/>
      <c r="AZ71" s="97"/>
      <c r="BI71" s="61"/>
    </row>
    <row r="72" spans="1:61" ht="15" customHeight="1" thickBot="1" x14ac:dyDescent="0.3">
      <c r="A72" s="23"/>
      <c r="C72" s="59"/>
      <c r="F72" s="367" t="s">
        <v>107</v>
      </c>
      <c r="G72" s="367"/>
      <c r="H72" s="367"/>
      <c r="I72" s="367"/>
      <c r="J72" s="367" t="s">
        <v>113</v>
      </c>
      <c r="K72" s="367"/>
      <c r="L72" s="367"/>
      <c r="M72" s="367"/>
      <c r="N72" s="367"/>
      <c r="O72" s="367"/>
      <c r="P72" s="367" t="s">
        <v>41</v>
      </c>
      <c r="Q72" s="367"/>
      <c r="R72" s="367"/>
      <c r="S72" s="367"/>
      <c r="T72" s="367" t="s">
        <v>108</v>
      </c>
      <c r="U72" s="367"/>
      <c r="V72" s="367"/>
      <c r="W72" s="368"/>
      <c r="X72" s="369"/>
      <c r="Y72" s="370"/>
      <c r="Z72" s="369"/>
      <c r="AA72" s="371"/>
      <c r="AB72" s="345"/>
      <c r="AC72" s="345"/>
      <c r="AD72" s="372"/>
      <c r="AE72" s="367" t="s">
        <v>107</v>
      </c>
      <c r="AF72" s="367"/>
      <c r="AG72" s="367"/>
      <c r="AH72" s="367"/>
      <c r="AI72" s="367" t="s">
        <v>113</v>
      </c>
      <c r="AJ72" s="367"/>
      <c r="AK72" s="367"/>
      <c r="AL72" s="367"/>
      <c r="AM72" s="367"/>
      <c r="AN72" s="367"/>
      <c r="AO72" s="367" t="s">
        <v>41</v>
      </c>
      <c r="AP72" s="367"/>
      <c r="AQ72" s="367"/>
      <c r="AR72" s="367"/>
      <c r="AS72" s="367" t="s">
        <v>108</v>
      </c>
      <c r="AT72" s="367"/>
      <c r="AU72" s="367"/>
      <c r="AV72" s="95"/>
      <c r="AW72" s="96"/>
      <c r="AX72" s="69"/>
      <c r="AY72" s="96"/>
      <c r="AZ72" s="97"/>
      <c r="BI72" s="61"/>
    </row>
    <row r="73" spans="1:61" ht="15" customHeight="1" x14ac:dyDescent="0.25">
      <c r="A73" s="23"/>
      <c r="C73" s="59"/>
      <c r="F73" s="367" t="s">
        <v>107</v>
      </c>
      <c r="G73" s="367"/>
      <c r="H73" s="367"/>
      <c r="I73" s="367"/>
      <c r="J73" s="367" t="s">
        <v>113</v>
      </c>
      <c r="K73" s="367"/>
      <c r="L73" s="367"/>
      <c r="M73" s="367"/>
      <c r="N73" s="367"/>
      <c r="O73" s="367"/>
      <c r="P73" s="367" t="s">
        <v>114</v>
      </c>
      <c r="Q73" s="367"/>
      <c r="R73" s="367"/>
      <c r="S73" s="367"/>
      <c r="T73" s="367" t="s">
        <v>108</v>
      </c>
      <c r="U73" s="367"/>
      <c r="V73" s="367"/>
      <c r="W73" s="368" t="s">
        <v>41</v>
      </c>
      <c r="X73" s="369"/>
      <c r="Y73" s="369"/>
      <c r="Z73" s="369"/>
      <c r="AA73" s="371"/>
      <c r="AB73" s="345"/>
      <c r="AC73" s="345"/>
      <c r="AD73" s="372"/>
      <c r="AE73" s="367" t="s">
        <v>107</v>
      </c>
      <c r="AF73" s="367"/>
      <c r="AG73" s="367"/>
      <c r="AH73" s="367"/>
      <c r="AI73" s="367" t="s">
        <v>113</v>
      </c>
      <c r="AJ73" s="367"/>
      <c r="AK73" s="367"/>
      <c r="AL73" s="367"/>
      <c r="AM73" s="367"/>
      <c r="AN73" s="367"/>
      <c r="AO73" s="367" t="s">
        <v>114</v>
      </c>
      <c r="AP73" s="367"/>
      <c r="AQ73" s="367"/>
      <c r="AR73" s="367"/>
      <c r="AS73" s="367" t="s">
        <v>108</v>
      </c>
      <c r="AT73" s="367"/>
      <c r="AU73" s="367"/>
      <c r="AV73" s="95" t="s">
        <v>41</v>
      </c>
      <c r="AW73" s="96"/>
      <c r="AX73" s="96"/>
      <c r="AY73" s="96"/>
      <c r="AZ73" s="97"/>
      <c r="BI73" s="61"/>
    </row>
    <row r="74" spans="1:61" ht="15" customHeight="1" x14ac:dyDescent="0.25">
      <c r="A74" s="23"/>
      <c r="C74" s="59"/>
      <c r="F74" s="367" t="s">
        <v>107</v>
      </c>
      <c r="G74" s="367"/>
      <c r="H74" s="367"/>
      <c r="I74" s="367"/>
      <c r="J74" s="367" t="s">
        <v>113</v>
      </c>
      <c r="K74" s="367"/>
      <c r="L74" s="367"/>
      <c r="M74" s="367"/>
      <c r="N74" s="367"/>
      <c r="O74" s="367"/>
      <c r="P74" s="367" t="s">
        <v>115</v>
      </c>
      <c r="Q74" s="367"/>
      <c r="R74" s="367"/>
      <c r="S74" s="367"/>
      <c r="T74" s="367" t="s">
        <v>108</v>
      </c>
      <c r="U74" s="367"/>
      <c r="V74" s="367"/>
      <c r="W74" s="368" t="s">
        <v>41</v>
      </c>
      <c r="X74" s="369"/>
      <c r="Y74" s="369"/>
      <c r="Z74" s="369"/>
      <c r="AA74" s="371"/>
      <c r="AB74" s="345"/>
      <c r="AC74" s="345"/>
      <c r="AD74" s="372"/>
      <c r="AE74" s="367" t="s">
        <v>107</v>
      </c>
      <c r="AF74" s="367"/>
      <c r="AG74" s="367"/>
      <c r="AH74" s="367"/>
      <c r="AI74" s="367" t="s">
        <v>113</v>
      </c>
      <c r="AJ74" s="367"/>
      <c r="AK74" s="367"/>
      <c r="AL74" s="367"/>
      <c r="AM74" s="367"/>
      <c r="AN74" s="367"/>
      <c r="AO74" s="367" t="s">
        <v>115</v>
      </c>
      <c r="AP74" s="367"/>
      <c r="AQ74" s="367"/>
      <c r="AR74" s="367"/>
      <c r="AS74" s="367" t="s">
        <v>108</v>
      </c>
      <c r="AT74" s="367"/>
      <c r="AU74" s="367"/>
      <c r="AV74" s="95" t="s">
        <v>41</v>
      </c>
      <c r="AW74" s="96"/>
      <c r="AX74" s="96"/>
      <c r="AY74" s="96"/>
      <c r="AZ74" s="97"/>
      <c r="BI74" s="61"/>
    </row>
    <row r="75" spans="1:61" ht="15" customHeight="1" x14ac:dyDescent="0.25">
      <c r="A75" s="23"/>
      <c r="C75" s="59"/>
      <c r="F75" s="367" t="s">
        <v>107</v>
      </c>
      <c r="G75" s="367"/>
      <c r="H75" s="367"/>
      <c r="I75" s="367"/>
      <c r="J75" s="367" t="s">
        <v>113</v>
      </c>
      <c r="K75" s="367"/>
      <c r="L75" s="367"/>
      <c r="M75" s="367"/>
      <c r="N75" s="367"/>
      <c r="O75" s="367"/>
      <c r="P75" s="367" t="s">
        <v>116</v>
      </c>
      <c r="Q75" s="367"/>
      <c r="R75" s="367"/>
      <c r="S75" s="367"/>
      <c r="T75" s="367" t="s">
        <v>108</v>
      </c>
      <c r="U75" s="367"/>
      <c r="V75" s="367"/>
      <c r="W75" s="368" t="s">
        <v>41</v>
      </c>
      <c r="X75" s="369"/>
      <c r="Y75" s="369"/>
      <c r="Z75" s="369"/>
      <c r="AA75" s="371"/>
      <c r="AB75" s="345"/>
      <c r="AC75" s="345"/>
      <c r="AD75" s="372"/>
      <c r="AE75" s="367" t="s">
        <v>107</v>
      </c>
      <c r="AF75" s="367"/>
      <c r="AG75" s="367"/>
      <c r="AH75" s="367"/>
      <c r="AI75" s="367" t="s">
        <v>113</v>
      </c>
      <c r="AJ75" s="367"/>
      <c r="AK75" s="367"/>
      <c r="AL75" s="367"/>
      <c r="AM75" s="367"/>
      <c r="AN75" s="367"/>
      <c r="AO75" s="367" t="s">
        <v>116</v>
      </c>
      <c r="AP75" s="367"/>
      <c r="AQ75" s="367"/>
      <c r="AR75" s="367"/>
      <c r="AS75" s="367" t="s">
        <v>108</v>
      </c>
      <c r="AT75" s="367"/>
      <c r="AU75" s="367"/>
      <c r="AV75" s="95" t="s">
        <v>41</v>
      </c>
      <c r="AW75" s="96"/>
      <c r="AX75" s="96"/>
      <c r="AY75" s="96"/>
      <c r="AZ75" s="97"/>
      <c r="BI75" s="61"/>
    </row>
    <row r="76" spans="1:61" ht="15" customHeight="1" x14ac:dyDescent="0.25">
      <c r="A76" s="23"/>
      <c r="C76" s="59"/>
      <c r="F76" s="345"/>
      <c r="G76" s="345"/>
      <c r="H76" s="345"/>
      <c r="I76" s="345"/>
      <c r="J76" s="345"/>
      <c r="K76" s="345"/>
      <c r="L76" s="345"/>
      <c r="M76" s="345"/>
      <c r="N76" s="345"/>
      <c r="O76" s="345"/>
      <c r="P76" s="345"/>
      <c r="Q76" s="345"/>
      <c r="R76" s="345"/>
      <c r="S76" s="345"/>
      <c r="T76" s="345"/>
      <c r="U76" s="345"/>
      <c r="V76" s="345"/>
      <c r="W76" s="345"/>
      <c r="X76" s="345"/>
      <c r="Y76" s="345"/>
      <c r="Z76" s="345"/>
      <c r="AA76" s="345"/>
      <c r="AB76" s="345"/>
      <c r="AC76" s="345"/>
      <c r="AD76" s="372"/>
      <c r="AE76" s="345"/>
      <c r="AF76" s="345"/>
      <c r="AG76" s="345"/>
      <c r="AH76" s="345"/>
      <c r="AI76" s="345"/>
      <c r="AJ76" s="345"/>
      <c r="AK76" s="345"/>
      <c r="AL76" s="345"/>
      <c r="AM76" s="345"/>
      <c r="AN76" s="345"/>
      <c r="AO76" s="345"/>
      <c r="AP76" s="345"/>
      <c r="AQ76" s="345"/>
      <c r="AR76" s="345"/>
      <c r="AS76" s="345"/>
      <c r="AT76" s="345"/>
      <c r="AU76" s="345"/>
      <c r="BI76" s="61"/>
    </row>
    <row r="77" spans="1:61" ht="15" customHeight="1" x14ac:dyDescent="0.25">
      <c r="A77" s="23"/>
      <c r="C77" s="59"/>
      <c r="F77" s="345"/>
      <c r="G77" s="345"/>
      <c r="H77" s="345"/>
      <c r="I77" s="345"/>
      <c r="J77" s="345"/>
      <c r="K77" s="345"/>
      <c r="L77" s="345"/>
      <c r="M77" s="345"/>
      <c r="N77" s="345"/>
      <c r="O77" s="345"/>
      <c r="P77" s="345"/>
      <c r="Q77" s="345"/>
      <c r="R77" s="345"/>
      <c r="S77" s="345"/>
      <c r="T77" s="345"/>
      <c r="U77" s="345"/>
      <c r="V77" s="345"/>
      <c r="W77" s="345"/>
      <c r="X77" s="345"/>
      <c r="Y77" s="345"/>
      <c r="Z77" s="345"/>
      <c r="AA77" s="345"/>
      <c r="AB77" s="345"/>
      <c r="AC77" s="345"/>
      <c r="AD77" s="372"/>
      <c r="AE77" s="345"/>
      <c r="AF77" s="345"/>
      <c r="AG77" s="345"/>
      <c r="AH77" s="345"/>
      <c r="AI77" s="345"/>
      <c r="AJ77" s="345"/>
      <c r="AK77" s="345"/>
      <c r="AL77" s="345"/>
      <c r="AM77" s="345"/>
      <c r="AN77" s="345"/>
      <c r="AO77" s="345"/>
      <c r="AP77" s="345"/>
      <c r="AQ77" s="345"/>
      <c r="AR77" s="345"/>
      <c r="AS77" s="345"/>
      <c r="AT77" s="345"/>
      <c r="AU77" s="345"/>
      <c r="BI77" s="61"/>
    </row>
    <row r="78" spans="1:61" ht="15" customHeight="1" x14ac:dyDescent="0.25">
      <c r="A78" s="23"/>
      <c r="C78" s="59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/>
      <c r="Q78" s="345"/>
      <c r="R78" s="345"/>
      <c r="S78" s="345"/>
      <c r="T78" s="345"/>
      <c r="U78" s="345"/>
      <c r="V78" s="345"/>
      <c r="W78" s="345"/>
      <c r="X78" s="345"/>
      <c r="Y78" s="345"/>
      <c r="Z78" s="345"/>
      <c r="AA78" s="345"/>
      <c r="AB78" s="345"/>
      <c r="AC78" s="345"/>
      <c r="AD78" s="372"/>
      <c r="AE78" s="345"/>
      <c r="AF78" s="345"/>
      <c r="AG78" s="345"/>
      <c r="AH78" s="345"/>
      <c r="AI78" s="345"/>
      <c r="AJ78" s="345"/>
      <c r="AK78" s="345"/>
      <c r="AL78" s="345"/>
      <c r="AM78" s="345"/>
      <c r="AN78" s="345"/>
      <c r="AO78" s="345"/>
      <c r="AP78" s="345"/>
      <c r="AQ78" s="345"/>
      <c r="AR78" s="345"/>
      <c r="AS78" s="345"/>
      <c r="AT78" s="345"/>
      <c r="AU78" s="345"/>
      <c r="BI78" s="61"/>
    </row>
    <row r="79" spans="1:61" ht="15" customHeight="1" thickBot="1" x14ac:dyDescent="0.3">
      <c r="A79" s="23"/>
      <c r="C79" s="59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345"/>
      <c r="AB79" s="345"/>
      <c r="AC79" s="345"/>
      <c r="AD79" s="372"/>
      <c r="AE79" s="373" t="s">
        <v>135</v>
      </c>
      <c r="AF79" s="373"/>
      <c r="AG79" s="373"/>
      <c r="AH79" s="373"/>
      <c r="AI79" s="373" t="s">
        <v>136</v>
      </c>
      <c r="AJ79" s="373"/>
      <c r="AK79" s="373"/>
      <c r="AL79" s="373"/>
      <c r="AM79" s="373"/>
      <c r="AN79" s="373"/>
      <c r="AO79" s="373" t="s">
        <v>137</v>
      </c>
      <c r="AP79" s="373"/>
      <c r="AQ79" s="373"/>
      <c r="AR79" s="373"/>
      <c r="AS79" s="373" t="s">
        <v>138</v>
      </c>
      <c r="AT79" s="373"/>
      <c r="AU79" s="373"/>
      <c r="AV79" s="314" t="s">
        <v>40</v>
      </c>
      <c r="AW79" s="314"/>
      <c r="AX79" s="318"/>
      <c r="AY79" s="314"/>
      <c r="AZ79" s="314"/>
      <c r="BI79" s="61"/>
    </row>
    <row r="80" spans="1:61" ht="15" customHeight="1" thickBot="1" x14ac:dyDescent="0.3">
      <c r="A80" s="23"/>
      <c r="C80" s="59"/>
      <c r="F80" s="345"/>
      <c r="G80" s="345"/>
      <c r="H80" s="345"/>
      <c r="I80" s="345"/>
      <c r="J80" s="345"/>
      <c r="K80" s="345"/>
      <c r="L80" s="345"/>
      <c r="M80" s="345"/>
      <c r="N80" s="345"/>
      <c r="O80" s="345"/>
      <c r="P80" s="345"/>
      <c r="Q80" s="345"/>
      <c r="R80" s="345"/>
      <c r="S80" s="345"/>
      <c r="T80" s="345"/>
      <c r="U80" s="345"/>
      <c r="V80" s="345"/>
      <c r="W80" s="345"/>
      <c r="X80" s="345"/>
      <c r="Y80" s="345"/>
      <c r="Z80" s="345"/>
      <c r="AA80" s="345"/>
      <c r="AB80" s="345"/>
      <c r="AC80" s="345"/>
      <c r="AD80" s="372"/>
      <c r="AE80" s="367" t="s">
        <v>107</v>
      </c>
      <c r="AF80" s="367"/>
      <c r="AG80" s="367"/>
      <c r="AH80" s="367"/>
      <c r="AI80" s="367" t="s">
        <v>41</v>
      </c>
      <c r="AJ80" s="367"/>
      <c r="AK80" s="367"/>
      <c r="AL80" s="367"/>
      <c r="AM80" s="367"/>
      <c r="AN80" s="367"/>
      <c r="AO80" s="367" t="s">
        <v>41</v>
      </c>
      <c r="AP80" s="367"/>
      <c r="AQ80" s="367"/>
      <c r="AR80" s="367"/>
      <c r="AS80" s="367" t="s">
        <v>119</v>
      </c>
      <c r="AT80" s="367"/>
      <c r="AU80" s="367"/>
      <c r="AV80" s="315"/>
      <c r="AW80" s="316"/>
      <c r="AX80" s="68"/>
      <c r="AY80" s="316"/>
      <c r="AZ80" s="317"/>
      <c r="BI80" s="61"/>
    </row>
    <row r="81" spans="1:61" ht="15" customHeight="1" thickBot="1" x14ac:dyDescent="0.3">
      <c r="A81" s="23"/>
      <c r="C81" s="59"/>
      <c r="F81" s="345"/>
      <c r="G81" s="345"/>
      <c r="H81" s="345"/>
      <c r="I81" s="345"/>
      <c r="J81" s="345"/>
      <c r="K81" s="345"/>
      <c r="L81" s="345"/>
      <c r="M81" s="345"/>
      <c r="N81" s="345"/>
      <c r="O81" s="345"/>
      <c r="P81" s="345"/>
      <c r="Q81" s="345"/>
      <c r="R81" s="345"/>
      <c r="S81" s="345"/>
      <c r="T81" s="345"/>
      <c r="U81" s="345"/>
      <c r="V81" s="345"/>
      <c r="W81" s="345"/>
      <c r="X81" s="345"/>
      <c r="Y81" s="345"/>
      <c r="Z81" s="345"/>
      <c r="AA81" s="345"/>
      <c r="AB81" s="345"/>
      <c r="AC81" s="345"/>
      <c r="AD81" s="372"/>
      <c r="AE81" s="367" t="s">
        <v>107</v>
      </c>
      <c r="AF81" s="367"/>
      <c r="AG81" s="367"/>
      <c r="AH81" s="367"/>
      <c r="AI81" s="367" t="s">
        <v>109</v>
      </c>
      <c r="AJ81" s="367"/>
      <c r="AK81" s="367"/>
      <c r="AL81" s="367"/>
      <c r="AM81" s="367"/>
      <c r="AN81" s="367"/>
      <c r="AO81" s="367" t="s">
        <v>41</v>
      </c>
      <c r="AP81" s="367"/>
      <c r="AQ81" s="367"/>
      <c r="AR81" s="367"/>
      <c r="AS81" s="367" t="s">
        <v>119</v>
      </c>
      <c r="AT81" s="367"/>
      <c r="AU81" s="367"/>
      <c r="AV81" s="315"/>
      <c r="AW81" s="316"/>
      <c r="AX81" s="68"/>
      <c r="AY81" s="316"/>
      <c r="AZ81" s="317"/>
      <c r="BI81" s="61"/>
    </row>
    <row r="82" spans="1:61" ht="15" customHeight="1" x14ac:dyDescent="0.25">
      <c r="A82" s="23"/>
      <c r="C82" s="59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  <c r="AB82" s="345"/>
      <c r="AC82" s="346"/>
      <c r="AD82" s="372"/>
      <c r="AE82" s="367" t="s">
        <v>107</v>
      </c>
      <c r="AF82" s="367"/>
      <c r="AG82" s="367"/>
      <c r="AH82" s="367"/>
      <c r="AI82" s="367" t="s">
        <v>109</v>
      </c>
      <c r="AJ82" s="367"/>
      <c r="AK82" s="367"/>
      <c r="AL82" s="367"/>
      <c r="AM82" s="367"/>
      <c r="AN82" s="367"/>
      <c r="AO82" s="367" t="s">
        <v>110</v>
      </c>
      <c r="AP82" s="367"/>
      <c r="AQ82" s="367"/>
      <c r="AR82" s="367"/>
      <c r="AS82" s="367" t="s">
        <v>119</v>
      </c>
      <c r="AT82" s="367"/>
      <c r="AU82" s="367"/>
      <c r="AV82" s="95" t="s">
        <v>41</v>
      </c>
      <c r="AW82" s="96"/>
      <c r="AX82" s="96"/>
      <c r="AY82" s="96"/>
      <c r="AZ82" s="97"/>
      <c r="BI82" s="61"/>
    </row>
    <row r="83" spans="1:61" ht="15" customHeight="1" x14ac:dyDescent="0.25">
      <c r="A83" s="23"/>
      <c r="C83" s="59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/>
      <c r="Q83" s="345"/>
      <c r="R83" s="345"/>
      <c r="S83" s="345"/>
      <c r="T83" s="345"/>
      <c r="U83" s="345"/>
      <c r="V83" s="345"/>
      <c r="W83" s="345"/>
      <c r="X83" s="345"/>
      <c r="Y83" s="345"/>
      <c r="Z83" s="345"/>
      <c r="AA83" s="345"/>
      <c r="AB83" s="345"/>
      <c r="AC83" s="345"/>
      <c r="AD83" s="372"/>
      <c r="AE83" s="367" t="s">
        <v>107</v>
      </c>
      <c r="AF83" s="367"/>
      <c r="AG83" s="367"/>
      <c r="AH83" s="367"/>
      <c r="AI83" s="367" t="s">
        <v>109</v>
      </c>
      <c r="AJ83" s="367"/>
      <c r="AK83" s="367"/>
      <c r="AL83" s="367"/>
      <c r="AM83" s="367"/>
      <c r="AN83" s="367"/>
      <c r="AO83" s="367" t="s">
        <v>111</v>
      </c>
      <c r="AP83" s="367"/>
      <c r="AQ83" s="367"/>
      <c r="AR83" s="367"/>
      <c r="AS83" s="367" t="s">
        <v>119</v>
      </c>
      <c r="AT83" s="367"/>
      <c r="AU83" s="367"/>
      <c r="AV83" s="95" t="s">
        <v>41</v>
      </c>
      <c r="AW83" s="96"/>
      <c r="AX83" s="96"/>
      <c r="AY83" s="96"/>
      <c r="AZ83" s="97"/>
      <c r="BI83" s="61"/>
    </row>
    <row r="84" spans="1:61" ht="15" customHeight="1" thickBot="1" x14ac:dyDescent="0.3">
      <c r="A84" s="23"/>
      <c r="C84" s="59"/>
      <c r="F84" s="345"/>
      <c r="G84" s="345"/>
      <c r="H84" s="345"/>
      <c r="I84" s="345"/>
      <c r="J84" s="345"/>
      <c r="K84" s="345"/>
      <c r="L84" s="345"/>
      <c r="M84" s="345"/>
      <c r="N84" s="345"/>
      <c r="O84" s="345"/>
      <c r="P84" s="345"/>
      <c r="Q84" s="345"/>
      <c r="R84" s="345"/>
      <c r="S84" s="345"/>
      <c r="T84" s="345"/>
      <c r="U84" s="345"/>
      <c r="V84" s="345"/>
      <c r="W84" s="345"/>
      <c r="X84" s="345"/>
      <c r="Y84" s="345"/>
      <c r="Z84" s="345"/>
      <c r="AA84" s="345"/>
      <c r="AB84" s="345"/>
      <c r="AC84" s="345"/>
      <c r="AD84" s="372"/>
      <c r="AE84" s="367" t="s">
        <v>107</v>
      </c>
      <c r="AF84" s="367"/>
      <c r="AG84" s="367"/>
      <c r="AH84" s="367"/>
      <c r="AI84" s="367" t="s">
        <v>109</v>
      </c>
      <c r="AJ84" s="367"/>
      <c r="AK84" s="367"/>
      <c r="AL84" s="367"/>
      <c r="AM84" s="367"/>
      <c r="AN84" s="367"/>
      <c r="AO84" s="367" t="s">
        <v>112</v>
      </c>
      <c r="AP84" s="367"/>
      <c r="AQ84" s="367"/>
      <c r="AR84" s="367"/>
      <c r="AS84" s="367" t="s">
        <v>119</v>
      </c>
      <c r="AT84" s="367"/>
      <c r="AU84" s="367"/>
      <c r="AV84" s="95" t="s">
        <v>41</v>
      </c>
      <c r="AW84" s="96"/>
      <c r="AX84" s="96"/>
      <c r="AY84" s="96"/>
      <c r="AZ84" s="97"/>
      <c r="BI84" s="61"/>
    </row>
    <row r="85" spans="1:61" ht="15" customHeight="1" thickBot="1" x14ac:dyDescent="0.3">
      <c r="A85" s="23"/>
      <c r="C85" s="59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345"/>
      <c r="AB85" s="345"/>
      <c r="AC85" s="345"/>
      <c r="AD85" s="372"/>
      <c r="AE85" s="367" t="s">
        <v>107</v>
      </c>
      <c r="AF85" s="367"/>
      <c r="AG85" s="367"/>
      <c r="AH85" s="367"/>
      <c r="AI85" s="367" t="s">
        <v>109</v>
      </c>
      <c r="AJ85" s="367"/>
      <c r="AK85" s="367"/>
      <c r="AL85" s="367"/>
      <c r="AM85" s="367"/>
      <c r="AN85" s="367"/>
      <c r="AO85" s="367" t="s">
        <v>41</v>
      </c>
      <c r="AP85" s="367"/>
      <c r="AQ85" s="367"/>
      <c r="AR85" s="367"/>
      <c r="AS85" s="367" t="s">
        <v>119</v>
      </c>
      <c r="AT85" s="367"/>
      <c r="AU85" s="367"/>
      <c r="AV85" s="315"/>
      <c r="AW85" s="316"/>
      <c r="AX85" s="68"/>
      <c r="AY85" s="316"/>
      <c r="AZ85" s="317"/>
      <c r="BI85" s="61"/>
    </row>
    <row r="86" spans="1:61" ht="15" customHeight="1" x14ac:dyDescent="0.25">
      <c r="A86" s="23"/>
      <c r="C86" s="59"/>
      <c r="F86" s="345"/>
      <c r="G86" s="345"/>
      <c r="H86" s="345"/>
      <c r="I86" s="345"/>
      <c r="J86" s="345"/>
      <c r="K86" s="345"/>
      <c r="L86" s="345"/>
      <c r="M86" s="345"/>
      <c r="N86" s="345"/>
      <c r="O86" s="345"/>
      <c r="P86" s="345"/>
      <c r="Q86" s="345"/>
      <c r="R86" s="345"/>
      <c r="S86" s="345"/>
      <c r="T86" s="345"/>
      <c r="U86" s="345"/>
      <c r="V86" s="345"/>
      <c r="W86" s="345"/>
      <c r="X86" s="345"/>
      <c r="Y86" s="345"/>
      <c r="Z86" s="345"/>
      <c r="AA86" s="345"/>
      <c r="AB86" s="345"/>
      <c r="AC86" s="345"/>
      <c r="AD86" s="372"/>
      <c r="AE86" s="367" t="s">
        <v>107</v>
      </c>
      <c r="AF86" s="367"/>
      <c r="AG86" s="367"/>
      <c r="AH86" s="367"/>
      <c r="AI86" s="367" t="s">
        <v>113</v>
      </c>
      <c r="AJ86" s="367"/>
      <c r="AK86" s="367"/>
      <c r="AL86" s="367"/>
      <c r="AM86" s="367"/>
      <c r="AN86" s="367"/>
      <c r="AO86" s="367" t="s">
        <v>114</v>
      </c>
      <c r="AP86" s="367"/>
      <c r="AQ86" s="367"/>
      <c r="AR86" s="367"/>
      <c r="AS86" s="367" t="s">
        <v>119</v>
      </c>
      <c r="AT86" s="367"/>
      <c r="AU86" s="367"/>
      <c r="AV86" s="95" t="s">
        <v>41</v>
      </c>
      <c r="AW86" s="96"/>
      <c r="AX86" s="96"/>
      <c r="AY86" s="96"/>
      <c r="AZ86" s="97"/>
      <c r="BI86" s="61"/>
    </row>
    <row r="87" spans="1:61" ht="15" customHeight="1" x14ac:dyDescent="0.25">
      <c r="A87" s="23"/>
      <c r="C87" s="59"/>
      <c r="F87" s="345"/>
      <c r="G87" s="345"/>
      <c r="H87" s="345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345"/>
      <c r="U87" s="345"/>
      <c r="V87" s="345"/>
      <c r="W87" s="345"/>
      <c r="X87" s="345"/>
      <c r="Y87" s="345"/>
      <c r="Z87" s="345"/>
      <c r="AA87" s="345"/>
      <c r="AB87" s="345"/>
      <c r="AC87" s="345"/>
      <c r="AD87" s="372"/>
      <c r="AE87" s="367" t="s">
        <v>107</v>
      </c>
      <c r="AF87" s="367"/>
      <c r="AG87" s="367"/>
      <c r="AH87" s="367"/>
      <c r="AI87" s="367" t="s">
        <v>113</v>
      </c>
      <c r="AJ87" s="367"/>
      <c r="AK87" s="367"/>
      <c r="AL87" s="367"/>
      <c r="AM87" s="367"/>
      <c r="AN87" s="367"/>
      <c r="AO87" s="367" t="s">
        <v>115</v>
      </c>
      <c r="AP87" s="367"/>
      <c r="AQ87" s="367"/>
      <c r="AR87" s="367"/>
      <c r="AS87" s="367" t="s">
        <v>119</v>
      </c>
      <c r="AT87" s="367"/>
      <c r="AU87" s="367"/>
      <c r="AV87" s="95" t="s">
        <v>41</v>
      </c>
      <c r="AW87" s="96"/>
      <c r="AX87" s="96"/>
      <c r="AY87" s="96"/>
      <c r="AZ87" s="97"/>
      <c r="BI87" s="61"/>
    </row>
    <row r="88" spans="1:61" ht="15" customHeight="1" x14ac:dyDescent="0.25">
      <c r="A88" s="23"/>
      <c r="C88" s="59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5"/>
      <c r="X88" s="345"/>
      <c r="Y88" s="345"/>
      <c r="Z88" s="345"/>
      <c r="AA88" s="345"/>
      <c r="AB88" s="345"/>
      <c r="AC88" s="345"/>
      <c r="AD88" s="372"/>
      <c r="AE88" s="367" t="s">
        <v>107</v>
      </c>
      <c r="AF88" s="367"/>
      <c r="AG88" s="367"/>
      <c r="AH88" s="367"/>
      <c r="AI88" s="367" t="s">
        <v>113</v>
      </c>
      <c r="AJ88" s="367"/>
      <c r="AK88" s="367"/>
      <c r="AL88" s="367"/>
      <c r="AM88" s="367"/>
      <c r="AN88" s="367"/>
      <c r="AO88" s="367" t="s">
        <v>116</v>
      </c>
      <c r="AP88" s="367"/>
      <c r="AQ88" s="367"/>
      <c r="AR88" s="367"/>
      <c r="AS88" s="367" t="s">
        <v>119</v>
      </c>
      <c r="AT88" s="367"/>
      <c r="AU88" s="367"/>
      <c r="AV88" s="95" t="s">
        <v>41</v>
      </c>
      <c r="AW88" s="96"/>
      <c r="AX88" s="96"/>
      <c r="AY88" s="96"/>
      <c r="AZ88" s="97"/>
      <c r="BI88" s="61"/>
    </row>
    <row r="89" spans="1:61" ht="15" customHeight="1" x14ac:dyDescent="0.25">
      <c r="A89" s="23"/>
      <c r="C89" s="59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D89" s="59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35"/>
      <c r="AW89" s="35"/>
      <c r="AX89" s="35"/>
      <c r="AY89" s="35"/>
      <c r="AZ89" s="35"/>
      <c r="BI89" s="61"/>
    </row>
    <row r="90" spans="1:61" ht="15" customHeight="1" x14ac:dyDescent="0.25">
      <c r="A90" s="23"/>
      <c r="C90" s="59"/>
      <c r="D90" s="49" t="s">
        <v>120</v>
      </c>
      <c r="U90" s="59"/>
      <c r="AD90" s="59"/>
      <c r="AM90" s="59"/>
      <c r="BI90" s="61"/>
    </row>
    <row r="91" spans="1:61" ht="15" customHeight="1" x14ac:dyDescent="0.25">
      <c r="A91" s="23"/>
      <c r="C91" s="59"/>
      <c r="D91" s="49"/>
      <c r="E91" s="49" t="s">
        <v>58</v>
      </c>
      <c r="U91" s="59"/>
      <c r="AD91" s="59"/>
      <c r="AM91" s="59"/>
      <c r="BI91" s="61"/>
    </row>
    <row r="92" spans="1:61" ht="15" customHeight="1" x14ac:dyDescent="0.25">
      <c r="E92" s="49" t="s">
        <v>62</v>
      </c>
    </row>
    <row r="93" spans="1:61" ht="15" customHeight="1" x14ac:dyDescent="0.25">
      <c r="E93" s="49" t="s">
        <v>59</v>
      </c>
    </row>
    <row r="94" spans="1:61" ht="15" customHeight="1" x14ac:dyDescent="0.25">
      <c r="A94" s="23"/>
      <c r="C94" s="59"/>
      <c r="F94" s="49" t="s">
        <v>60</v>
      </c>
      <c r="U94" s="59"/>
      <c r="AD94" s="59"/>
      <c r="AM94" s="59"/>
      <c r="BI94" s="61"/>
    </row>
    <row r="95" spans="1:61" ht="15" customHeight="1" x14ac:dyDescent="0.25">
      <c r="A95" s="23"/>
      <c r="C95" s="59"/>
      <c r="F95" s="49" t="s">
        <v>61</v>
      </c>
      <c r="AD95" s="59"/>
      <c r="BI95" s="61"/>
    </row>
    <row r="96" spans="1:61" ht="15" customHeight="1" x14ac:dyDescent="0.25">
      <c r="A96" s="23"/>
      <c r="C96" s="59"/>
      <c r="AD96" s="59"/>
      <c r="BI96" s="61"/>
    </row>
    <row r="97" spans="1:61" ht="15" customHeight="1" thickBot="1" x14ac:dyDescent="0.3">
      <c r="A97" s="23"/>
      <c r="C97" s="59"/>
      <c r="F97" s="314" t="s">
        <v>36</v>
      </c>
      <c r="G97" s="314"/>
      <c r="H97" s="314"/>
      <c r="I97" s="314"/>
      <c r="J97" s="314" t="s">
        <v>37</v>
      </c>
      <c r="K97" s="314"/>
      <c r="L97" s="314"/>
      <c r="M97" s="314"/>
      <c r="N97" s="314"/>
      <c r="O97" s="314"/>
      <c r="P97" s="314" t="s">
        <v>38</v>
      </c>
      <c r="Q97" s="314"/>
      <c r="R97" s="314"/>
      <c r="S97" s="314"/>
      <c r="T97" s="314" t="s">
        <v>39</v>
      </c>
      <c r="U97" s="314"/>
      <c r="V97" s="314"/>
      <c r="W97" s="314" t="s">
        <v>40</v>
      </c>
      <c r="X97" s="314"/>
      <c r="Y97" s="318"/>
      <c r="Z97" s="314"/>
      <c r="AA97" s="314"/>
      <c r="AD97" s="59"/>
      <c r="AE97" s="314" t="s">
        <v>36</v>
      </c>
      <c r="AF97" s="314"/>
      <c r="AG97" s="314"/>
      <c r="AH97" s="314"/>
      <c r="AI97" s="314" t="s">
        <v>37</v>
      </c>
      <c r="AJ97" s="314"/>
      <c r="AK97" s="314"/>
      <c r="AL97" s="314"/>
      <c r="AM97" s="314"/>
      <c r="AN97" s="314"/>
      <c r="AO97" s="314" t="s">
        <v>38</v>
      </c>
      <c r="AP97" s="314"/>
      <c r="AQ97" s="314"/>
      <c r="AR97" s="314"/>
      <c r="AS97" s="314" t="s">
        <v>39</v>
      </c>
      <c r="AT97" s="314"/>
      <c r="AU97" s="314"/>
      <c r="AV97" s="314" t="s">
        <v>40</v>
      </c>
      <c r="AW97" s="314"/>
      <c r="AX97" s="318"/>
      <c r="AY97" s="314"/>
      <c r="AZ97" s="314"/>
      <c r="BI97" s="61"/>
    </row>
    <row r="98" spans="1:61" ht="15" customHeight="1" thickBot="1" x14ac:dyDescent="0.3">
      <c r="A98" s="23"/>
      <c r="C98" s="59"/>
      <c r="F98" s="367" t="s">
        <v>107</v>
      </c>
      <c r="G98" s="367"/>
      <c r="H98" s="367"/>
      <c r="I98" s="367"/>
      <c r="J98" s="367" t="s">
        <v>41</v>
      </c>
      <c r="K98" s="367"/>
      <c r="L98" s="367"/>
      <c r="M98" s="367"/>
      <c r="N98" s="367"/>
      <c r="O98" s="367"/>
      <c r="P98" s="367" t="s">
        <v>41</v>
      </c>
      <c r="Q98" s="367"/>
      <c r="R98" s="367"/>
      <c r="S98" s="367"/>
      <c r="T98" s="367" t="s">
        <v>119</v>
      </c>
      <c r="U98" s="367"/>
      <c r="V98" s="367"/>
      <c r="W98" s="368"/>
      <c r="X98" s="369"/>
      <c r="Y98" s="370"/>
      <c r="Z98" s="369"/>
      <c r="AA98" s="371"/>
      <c r="AB98" s="345"/>
      <c r="AC98" s="345"/>
      <c r="AD98" s="372"/>
      <c r="AE98" s="367" t="s">
        <v>107</v>
      </c>
      <c r="AF98" s="367"/>
      <c r="AG98" s="367"/>
      <c r="AH98" s="367"/>
      <c r="AI98" s="367" t="s">
        <v>41</v>
      </c>
      <c r="AJ98" s="367"/>
      <c r="AK98" s="367"/>
      <c r="AL98" s="367"/>
      <c r="AM98" s="367"/>
      <c r="AN98" s="367"/>
      <c r="AO98" s="367" t="s">
        <v>41</v>
      </c>
      <c r="AP98" s="367"/>
      <c r="AQ98" s="367"/>
      <c r="AR98" s="367"/>
      <c r="AS98" s="367" t="s">
        <v>119</v>
      </c>
      <c r="AT98" s="367"/>
      <c r="AU98" s="367"/>
      <c r="AV98" s="95"/>
      <c r="AW98" s="96"/>
      <c r="AX98" s="71"/>
      <c r="AY98" s="96"/>
      <c r="AZ98" s="97"/>
      <c r="BI98" s="61"/>
    </row>
    <row r="99" spans="1:61" ht="15" customHeight="1" thickBot="1" x14ac:dyDescent="0.3">
      <c r="A99" s="23"/>
      <c r="C99" s="59"/>
      <c r="F99" s="367" t="s">
        <v>107</v>
      </c>
      <c r="G99" s="367"/>
      <c r="H99" s="367"/>
      <c r="I99" s="367"/>
      <c r="J99" s="367" t="s">
        <v>109</v>
      </c>
      <c r="K99" s="367"/>
      <c r="L99" s="367"/>
      <c r="M99" s="367"/>
      <c r="N99" s="367"/>
      <c r="O99" s="367"/>
      <c r="P99" s="367" t="s">
        <v>41</v>
      </c>
      <c r="Q99" s="367"/>
      <c r="R99" s="367"/>
      <c r="S99" s="367"/>
      <c r="T99" s="367" t="s">
        <v>119</v>
      </c>
      <c r="U99" s="367"/>
      <c r="V99" s="367"/>
      <c r="W99" s="368"/>
      <c r="X99" s="369"/>
      <c r="Y99" s="370"/>
      <c r="Z99" s="369"/>
      <c r="AA99" s="371"/>
      <c r="AB99" s="345"/>
      <c r="AC99" s="345"/>
      <c r="AD99" s="372"/>
      <c r="AE99" s="367" t="s">
        <v>107</v>
      </c>
      <c r="AF99" s="367"/>
      <c r="AG99" s="367"/>
      <c r="AH99" s="367"/>
      <c r="AI99" s="367" t="s">
        <v>109</v>
      </c>
      <c r="AJ99" s="367"/>
      <c r="AK99" s="367"/>
      <c r="AL99" s="367"/>
      <c r="AM99" s="367"/>
      <c r="AN99" s="367"/>
      <c r="AO99" s="367" t="s">
        <v>41</v>
      </c>
      <c r="AP99" s="367"/>
      <c r="AQ99" s="367"/>
      <c r="AR99" s="367"/>
      <c r="AS99" s="367" t="s">
        <v>108</v>
      </c>
      <c r="AT99" s="367"/>
      <c r="AU99" s="367"/>
      <c r="AV99" s="315"/>
      <c r="AW99" s="316"/>
      <c r="AX99" s="67"/>
      <c r="AY99" s="316"/>
      <c r="AZ99" s="317"/>
      <c r="BI99" s="61"/>
    </row>
    <row r="100" spans="1:61" ht="15" customHeight="1" x14ac:dyDescent="0.25">
      <c r="A100" s="23"/>
      <c r="C100" s="59"/>
      <c r="F100" s="367" t="s">
        <v>107</v>
      </c>
      <c r="G100" s="367"/>
      <c r="H100" s="367"/>
      <c r="I100" s="367"/>
      <c r="J100" s="367" t="s">
        <v>109</v>
      </c>
      <c r="K100" s="367"/>
      <c r="L100" s="367"/>
      <c r="M100" s="367"/>
      <c r="N100" s="367"/>
      <c r="O100" s="367"/>
      <c r="P100" s="367" t="s">
        <v>110</v>
      </c>
      <c r="Q100" s="367"/>
      <c r="R100" s="367"/>
      <c r="S100" s="367"/>
      <c r="T100" s="367" t="s">
        <v>119</v>
      </c>
      <c r="U100" s="367"/>
      <c r="V100" s="367"/>
      <c r="W100" s="368" t="s">
        <v>41</v>
      </c>
      <c r="X100" s="369"/>
      <c r="Y100" s="369"/>
      <c r="Z100" s="369"/>
      <c r="AA100" s="371"/>
      <c r="AB100" s="345"/>
      <c r="AC100" s="346"/>
      <c r="AD100" s="372"/>
      <c r="AE100" s="367" t="s">
        <v>107</v>
      </c>
      <c r="AF100" s="367"/>
      <c r="AG100" s="367"/>
      <c r="AH100" s="367"/>
      <c r="AI100" s="367" t="s">
        <v>109</v>
      </c>
      <c r="AJ100" s="367"/>
      <c r="AK100" s="367"/>
      <c r="AL100" s="367"/>
      <c r="AM100" s="367"/>
      <c r="AN100" s="367"/>
      <c r="AO100" s="367" t="s">
        <v>110</v>
      </c>
      <c r="AP100" s="367"/>
      <c r="AQ100" s="367"/>
      <c r="AR100" s="367"/>
      <c r="AS100" s="367" t="s">
        <v>119</v>
      </c>
      <c r="AT100" s="367"/>
      <c r="AU100" s="367"/>
      <c r="AV100" s="95" t="s">
        <v>41</v>
      </c>
      <c r="AW100" s="96"/>
      <c r="AX100" s="96"/>
      <c r="AY100" s="96"/>
      <c r="AZ100" s="97"/>
      <c r="BI100" s="61"/>
    </row>
    <row r="101" spans="1:61" ht="15" customHeight="1" x14ac:dyDescent="0.25">
      <c r="A101" s="23"/>
      <c r="C101" s="59"/>
      <c r="F101" s="367" t="s">
        <v>107</v>
      </c>
      <c r="G101" s="367"/>
      <c r="H101" s="367"/>
      <c r="I101" s="367"/>
      <c r="J101" s="367" t="s">
        <v>109</v>
      </c>
      <c r="K101" s="367"/>
      <c r="L101" s="367"/>
      <c r="M101" s="367"/>
      <c r="N101" s="367"/>
      <c r="O101" s="367"/>
      <c r="P101" s="367" t="s">
        <v>111</v>
      </c>
      <c r="Q101" s="367"/>
      <c r="R101" s="367"/>
      <c r="S101" s="367"/>
      <c r="T101" s="367" t="s">
        <v>119</v>
      </c>
      <c r="U101" s="367"/>
      <c r="V101" s="367"/>
      <c r="W101" s="368" t="s">
        <v>41</v>
      </c>
      <c r="X101" s="369"/>
      <c r="Y101" s="369"/>
      <c r="Z101" s="369"/>
      <c r="AA101" s="371"/>
      <c r="AB101" s="345"/>
      <c r="AC101" s="345"/>
      <c r="AD101" s="372"/>
      <c r="AE101" s="367" t="s">
        <v>107</v>
      </c>
      <c r="AF101" s="367"/>
      <c r="AG101" s="367"/>
      <c r="AH101" s="367"/>
      <c r="AI101" s="367" t="s">
        <v>109</v>
      </c>
      <c r="AJ101" s="367"/>
      <c r="AK101" s="367"/>
      <c r="AL101" s="367"/>
      <c r="AM101" s="367"/>
      <c r="AN101" s="367"/>
      <c r="AO101" s="367" t="s">
        <v>111</v>
      </c>
      <c r="AP101" s="367"/>
      <c r="AQ101" s="367"/>
      <c r="AR101" s="367"/>
      <c r="AS101" s="367" t="s">
        <v>119</v>
      </c>
      <c r="AT101" s="367"/>
      <c r="AU101" s="367"/>
      <c r="AV101" s="95" t="s">
        <v>41</v>
      </c>
      <c r="AW101" s="96"/>
      <c r="AX101" s="96"/>
      <c r="AY101" s="96"/>
      <c r="AZ101" s="97"/>
      <c r="BI101" s="61"/>
    </row>
    <row r="102" spans="1:61" ht="15" customHeight="1" thickBot="1" x14ac:dyDescent="0.3">
      <c r="A102" s="23"/>
      <c r="C102" s="59"/>
      <c r="F102" s="367" t="s">
        <v>107</v>
      </c>
      <c r="G102" s="367"/>
      <c r="H102" s="367"/>
      <c r="I102" s="367"/>
      <c r="J102" s="367" t="s">
        <v>109</v>
      </c>
      <c r="K102" s="367"/>
      <c r="L102" s="367"/>
      <c r="M102" s="367"/>
      <c r="N102" s="367"/>
      <c r="O102" s="367"/>
      <c r="P102" s="367" t="s">
        <v>112</v>
      </c>
      <c r="Q102" s="367"/>
      <c r="R102" s="367"/>
      <c r="S102" s="367"/>
      <c r="T102" s="367" t="s">
        <v>119</v>
      </c>
      <c r="U102" s="367"/>
      <c r="V102" s="367"/>
      <c r="W102" s="368" t="s">
        <v>41</v>
      </c>
      <c r="X102" s="369"/>
      <c r="Y102" s="369"/>
      <c r="Z102" s="369"/>
      <c r="AA102" s="371"/>
      <c r="AB102" s="345"/>
      <c r="AC102" s="345"/>
      <c r="AD102" s="372"/>
      <c r="AE102" s="367" t="s">
        <v>107</v>
      </c>
      <c r="AF102" s="367"/>
      <c r="AG102" s="367"/>
      <c r="AH102" s="367"/>
      <c r="AI102" s="367" t="s">
        <v>109</v>
      </c>
      <c r="AJ102" s="367"/>
      <c r="AK102" s="367"/>
      <c r="AL102" s="367"/>
      <c r="AM102" s="367"/>
      <c r="AN102" s="367"/>
      <c r="AO102" s="367" t="s">
        <v>112</v>
      </c>
      <c r="AP102" s="367"/>
      <c r="AQ102" s="367"/>
      <c r="AR102" s="367"/>
      <c r="AS102" s="367" t="s">
        <v>119</v>
      </c>
      <c r="AT102" s="367"/>
      <c r="AU102" s="367"/>
      <c r="AV102" s="95" t="s">
        <v>41</v>
      </c>
      <c r="AW102" s="96"/>
      <c r="AX102" s="96"/>
      <c r="AY102" s="96"/>
      <c r="AZ102" s="97"/>
      <c r="BI102" s="61"/>
    </row>
    <row r="103" spans="1:61" ht="15" customHeight="1" thickBot="1" x14ac:dyDescent="0.3">
      <c r="A103" s="23"/>
      <c r="C103" s="59"/>
      <c r="F103" s="367" t="s">
        <v>107</v>
      </c>
      <c r="G103" s="367"/>
      <c r="H103" s="367"/>
      <c r="I103" s="367"/>
      <c r="J103" s="367" t="s">
        <v>113</v>
      </c>
      <c r="K103" s="367"/>
      <c r="L103" s="367"/>
      <c r="M103" s="367"/>
      <c r="N103" s="367"/>
      <c r="O103" s="367"/>
      <c r="P103" s="367" t="s">
        <v>41</v>
      </c>
      <c r="Q103" s="367"/>
      <c r="R103" s="367"/>
      <c r="S103" s="367"/>
      <c r="T103" s="367" t="s">
        <v>119</v>
      </c>
      <c r="U103" s="367"/>
      <c r="V103" s="367"/>
      <c r="W103" s="368"/>
      <c r="X103" s="369"/>
      <c r="Y103" s="370"/>
      <c r="Z103" s="369"/>
      <c r="AA103" s="371"/>
      <c r="AB103" s="345"/>
      <c r="AC103" s="345"/>
      <c r="AD103" s="372"/>
      <c r="AE103" s="367" t="s">
        <v>107</v>
      </c>
      <c r="AF103" s="367"/>
      <c r="AG103" s="367"/>
      <c r="AH103" s="367"/>
      <c r="AI103" s="367" t="s">
        <v>113</v>
      </c>
      <c r="AJ103" s="367"/>
      <c r="AK103" s="367"/>
      <c r="AL103" s="367"/>
      <c r="AM103" s="367"/>
      <c r="AN103" s="367"/>
      <c r="AO103" s="367" t="s">
        <v>41</v>
      </c>
      <c r="AP103" s="367"/>
      <c r="AQ103" s="367"/>
      <c r="AR103" s="367"/>
      <c r="AS103" s="367" t="s">
        <v>119</v>
      </c>
      <c r="AT103" s="367"/>
      <c r="AU103" s="367"/>
      <c r="AV103" s="95"/>
      <c r="AW103" s="96"/>
      <c r="AX103" s="69"/>
      <c r="AY103" s="96"/>
      <c r="AZ103" s="97"/>
      <c r="BI103" s="61"/>
    </row>
    <row r="104" spans="1:61" ht="15" customHeight="1" x14ac:dyDescent="0.25">
      <c r="A104" s="23"/>
      <c r="C104" s="59"/>
      <c r="F104" s="367" t="s">
        <v>107</v>
      </c>
      <c r="G104" s="367"/>
      <c r="H104" s="367"/>
      <c r="I104" s="367"/>
      <c r="J104" s="367" t="s">
        <v>113</v>
      </c>
      <c r="K104" s="367"/>
      <c r="L104" s="367"/>
      <c r="M104" s="367"/>
      <c r="N104" s="367"/>
      <c r="O104" s="367"/>
      <c r="P104" s="367" t="s">
        <v>114</v>
      </c>
      <c r="Q104" s="367"/>
      <c r="R104" s="367"/>
      <c r="S104" s="367"/>
      <c r="T104" s="367" t="s">
        <v>119</v>
      </c>
      <c r="U104" s="367"/>
      <c r="V104" s="367"/>
      <c r="W104" s="368" t="s">
        <v>41</v>
      </c>
      <c r="X104" s="369"/>
      <c r="Y104" s="369"/>
      <c r="Z104" s="369"/>
      <c r="AA104" s="371"/>
      <c r="AB104" s="345"/>
      <c r="AC104" s="345"/>
      <c r="AD104" s="372"/>
      <c r="AE104" s="367" t="s">
        <v>107</v>
      </c>
      <c r="AF104" s="367"/>
      <c r="AG104" s="367"/>
      <c r="AH104" s="367"/>
      <c r="AI104" s="367" t="s">
        <v>113</v>
      </c>
      <c r="AJ104" s="367"/>
      <c r="AK104" s="367"/>
      <c r="AL104" s="367"/>
      <c r="AM104" s="367"/>
      <c r="AN104" s="367"/>
      <c r="AO104" s="367" t="s">
        <v>114</v>
      </c>
      <c r="AP104" s="367"/>
      <c r="AQ104" s="367"/>
      <c r="AR104" s="367"/>
      <c r="AS104" s="367" t="s">
        <v>119</v>
      </c>
      <c r="AT104" s="367"/>
      <c r="AU104" s="367"/>
      <c r="AV104" s="95" t="s">
        <v>41</v>
      </c>
      <c r="AW104" s="96"/>
      <c r="AX104" s="96"/>
      <c r="AY104" s="96"/>
      <c r="AZ104" s="97"/>
      <c r="BI104" s="61"/>
    </row>
    <row r="105" spans="1:61" ht="15" customHeight="1" x14ac:dyDescent="0.25">
      <c r="A105" s="23"/>
      <c r="C105" s="59"/>
      <c r="F105" s="367" t="s">
        <v>107</v>
      </c>
      <c r="G105" s="367"/>
      <c r="H105" s="367"/>
      <c r="I105" s="367"/>
      <c r="J105" s="367" t="s">
        <v>113</v>
      </c>
      <c r="K105" s="367"/>
      <c r="L105" s="367"/>
      <c r="M105" s="367"/>
      <c r="N105" s="367"/>
      <c r="O105" s="367"/>
      <c r="P105" s="367" t="s">
        <v>115</v>
      </c>
      <c r="Q105" s="367"/>
      <c r="R105" s="367"/>
      <c r="S105" s="367"/>
      <c r="T105" s="367" t="s">
        <v>119</v>
      </c>
      <c r="U105" s="367"/>
      <c r="V105" s="367"/>
      <c r="W105" s="368" t="s">
        <v>41</v>
      </c>
      <c r="X105" s="369"/>
      <c r="Y105" s="369"/>
      <c r="Z105" s="369"/>
      <c r="AA105" s="371"/>
      <c r="AB105" s="345"/>
      <c r="AC105" s="345"/>
      <c r="AD105" s="372"/>
      <c r="AE105" s="367" t="s">
        <v>107</v>
      </c>
      <c r="AF105" s="367"/>
      <c r="AG105" s="367"/>
      <c r="AH105" s="367"/>
      <c r="AI105" s="367" t="s">
        <v>113</v>
      </c>
      <c r="AJ105" s="367"/>
      <c r="AK105" s="367"/>
      <c r="AL105" s="367"/>
      <c r="AM105" s="367"/>
      <c r="AN105" s="367"/>
      <c r="AO105" s="367" t="s">
        <v>115</v>
      </c>
      <c r="AP105" s="367"/>
      <c r="AQ105" s="367"/>
      <c r="AR105" s="367"/>
      <c r="AS105" s="367" t="s">
        <v>119</v>
      </c>
      <c r="AT105" s="367"/>
      <c r="AU105" s="367"/>
      <c r="AV105" s="95" t="s">
        <v>41</v>
      </c>
      <c r="AW105" s="96"/>
      <c r="AX105" s="96"/>
      <c r="AY105" s="96"/>
      <c r="AZ105" s="97"/>
      <c r="BI105" s="61"/>
    </row>
    <row r="106" spans="1:61" ht="15" customHeight="1" x14ac:dyDescent="0.25">
      <c r="A106" s="23"/>
      <c r="C106" s="59"/>
      <c r="F106" s="367" t="s">
        <v>107</v>
      </c>
      <c r="G106" s="367"/>
      <c r="H106" s="367"/>
      <c r="I106" s="367"/>
      <c r="J106" s="367" t="s">
        <v>113</v>
      </c>
      <c r="K106" s="367"/>
      <c r="L106" s="367"/>
      <c r="M106" s="367"/>
      <c r="N106" s="367"/>
      <c r="O106" s="367"/>
      <c r="P106" s="367" t="s">
        <v>116</v>
      </c>
      <c r="Q106" s="367"/>
      <c r="R106" s="367"/>
      <c r="S106" s="367"/>
      <c r="T106" s="367" t="s">
        <v>119</v>
      </c>
      <c r="U106" s="367"/>
      <c r="V106" s="367"/>
      <c r="W106" s="368" t="s">
        <v>41</v>
      </c>
      <c r="X106" s="369"/>
      <c r="Y106" s="369"/>
      <c r="Z106" s="369"/>
      <c r="AA106" s="371"/>
      <c r="AB106" s="345"/>
      <c r="AC106" s="345"/>
      <c r="AD106" s="372"/>
      <c r="AE106" s="367" t="s">
        <v>107</v>
      </c>
      <c r="AF106" s="367"/>
      <c r="AG106" s="367"/>
      <c r="AH106" s="367"/>
      <c r="AI106" s="367" t="s">
        <v>113</v>
      </c>
      <c r="AJ106" s="367"/>
      <c r="AK106" s="367"/>
      <c r="AL106" s="367"/>
      <c r="AM106" s="367"/>
      <c r="AN106" s="367"/>
      <c r="AO106" s="367" t="s">
        <v>116</v>
      </c>
      <c r="AP106" s="367"/>
      <c r="AQ106" s="367"/>
      <c r="AR106" s="367"/>
      <c r="AS106" s="367" t="s">
        <v>119</v>
      </c>
      <c r="AT106" s="367"/>
      <c r="AU106" s="367"/>
      <c r="AV106" s="95" t="s">
        <v>41</v>
      </c>
      <c r="AW106" s="96"/>
      <c r="AX106" s="96"/>
      <c r="AY106" s="96"/>
      <c r="AZ106" s="97"/>
      <c r="BI106" s="61"/>
    </row>
    <row r="107" spans="1:61" ht="15" customHeight="1" x14ac:dyDescent="0.25">
      <c r="A107" s="23"/>
      <c r="C107" s="59"/>
      <c r="F107" s="374"/>
      <c r="G107" s="374"/>
      <c r="H107" s="374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  <c r="AA107" s="374"/>
      <c r="AB107" s="345"/>
      <c r="AC107" s="345"/>
      <c r="AD107" s="372"/>
      <c r="AE107" s="374"/>
      <c r="AF107" s="374"/>
      <c r="AG107" s="374"/>
      <c r="AH107" s="374"/>
      <c r="AI107" s="374"/>
      <c r="AJ107" s="374"/>
      <c r="AK107" s="374"/>
      <c r="AL107" s="374"/>
      <c r="AM107" s="374"/>
      <c r="AN107" s="374"/>
      <c r="AO107" s="374"/>
      <c r="AP107" s="374"/>
      <c r="AQ107" s="374"/>
      <c r="AR107" s="374"/>
      <c r="AS107" s="374"/>
      <c r="AT107" s="374"/>
      <c r="AU107" s="374"/>
      <c r="AV107" s="35"/>
      <c r="AW107" s="35"/>
      <c r="AX107" s="35"/>
      <c r="AY107" s="35"/>
      <c r="AZ107" s="35"/>
      <c r="BI107" s="61"/>
    </row>
    <row r="108" spans="1:61" ht="15" customHeight="1" x14ac:dyDescent="0.25">
      <c r="A108" s="23"/>
      <c r="C108" s="59"/>
      <c r="F108" s="374"/>
      <c r="G108" s="374"/>
      <c r="H108" s="374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  <c r="AA108" s="374"/>
      <c r="AB108" s="345"/>
      <c r="AC108" s="345"/>
      <c r="AD108" s="372"/>
      <c r="AE108" s="374"/>
      <c r="AF108" s="374"/>
      <c r="AG108" s="374"/>
      <c r="AH108" s="374"/>
      <c r="AI108" s="374"/>
      <c r="AJ108" s="374"/>
      <c r="AK108" s="374"/>
      <c r="AL108" s="374"/>
      <c r="AM108" s="374"/>
      <c r="AN108" s="374"/>
      <c r="AO108" s="374"/>
      <c r="AP108" s="374"/>
      <c r="AQ108" s="374"/>
      <c r="AR108" s="374"/>
      <c r="AS108" s="374"/>
      <c r="AT108" s="374"/>
      <c r="AU108" s="374"/>
      <c r="AV108" s="35"/>
      <c r="AW108" s="35"/>
      <c r="AX108" s="35"/>
      <c r="AY108" s="35"/>
      <c r="AZ108" s="35"/>
      <c r="BI108" s="61"/>
    </row>
    <row r="109" spans="1:61" ht="15" customHeight="1" x14ac:dyDescent="0.25">
      <c r="A109" s="23"/>
      <c r="C109" s="59"/>
      <c r="F109" s="374"/>
      <c r="G109" s="374"/>
      <c r="H109" s="374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  <c r="AA109" s="374"/>
      <c r="AB109" s="345"/>
      <c r="AC109" s="345"/>
      <c r="AD109" s="372"/>
      <c r="AE109" s="374"/>
      <c r="AF109" s="374"/>
      <c r="AG109" s="374"/>
      <c r="AH109" s="374"/>
      <c r="AI109" s="374"/>
      <c r="AJ109" s="374"/>
      <c r="AK109" s="374"/>
      <c r="AL109" s="374"/>
      <c r="AM109" s="374"/>
      <c r="AN109" s="374"/>
      <c r="AO109" s="374"/>
      <c r="AP109" s="374"/>
      <c r="AQ109" s="374"/>
      <c r="AR109" s="374"/>
      <c r="AS109" s="374"/>
      <c r="AT109" s="374"/>
      <c r="AU109" s="374"/>
      <c r="AV109" s="35"/>
      <c r="AW109" s="35"/>
      <c r="AX109" s="35"/>
      <c r="AY109" s="35"/>
      <c r="AZ109" s="35"/>
      <c r="BI109" s="61"/>
    </row>
    <row r="110" spans="1:61" ht="15" customHeight="1" thickBot="1" x14ac:dyDescent="0.3">
      <c r="A110" s="23"/>
      <c r="C110" s="59"/>
      <c r="F110" s="374"/>
      <c r="G110" s="374"/>
      <c r="H110" s="374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  <c r="AA110" s="374"/>
      <c r="AB110" s="345"/>
      <c r="AC110" s="345"/>
      <c r="AD110" s="372"/>
      <c r="AE110" s="373" t="s">
        <v>135</v>
      </c>
      <c r="AF110" s="373"/>
      <c r="AG110" s="373"/>
      <c r="AH110" s="373"/>
      <c r="AI110" s="373" t="s">
        <v>136</v>
      </c>
      <c r="AJ110" s="373"/>
      <c r="AK110" s="373"/>
      <c r="AL110" s="373"/>
      <c r="AM110" s="373"/>
      <c r="AN110" s="373"/>
      <c r="AO110" s="373" t="s">
        <v>137</v>
      </c>
      <c r="AP110" s="373"/>
      <c r="AQ110" s="373"/>
      <c r="AR110" s="373"/>
      <c r="AS110" s="373" t="s">
        <v>138</v>
      </c>
      <c r="AT110" s="373"/>
      <c r="AU110" s="373"/>
      <c r="AV110" s="314" t="s">
        <v>40</v>
      </c>
      <c r="AW110" s="314"/>
      <c r="AX110" s="318"/>
      <c r="AY110" s="314"/>
      <c r="AZ110" s="314"/>
      <c r="BI110" s="61"/>
    </row>
    <row r="111" spans="1:61" ht="15" customHeight="1" thickBot="1" x14ac:dyDescent="0.3">
      <c r="A111" s="23"/>
      <c r="C111" s="59"/>
      <c r="F111" s="374"/>
      <c r="G111" s="374"/>
      <c r="H111" s="374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  <c r="AA111" s="374"/>
      <c r="AB111" s="345"/>
      <c r="AC111" s="345"/>
      <c r="AD111" s="372"/>
      <c r="AE111" s="367" t="s">
        <v>107</v>
      </c>
      <c r="AF111" s="367"/>
      <c r="AG111" s="367"/>
      <c r="AH111" s="367"/>
      <c r="AI111" s="367" t="s">
        <v>41</v>
      </c>
      <c r="AJ111" s="367"/>
      <c r="AK111" s="367"/>
      <c r="AL111" s="367"/>
      <c r="AM111" s="367"/>
      <c r="AN111" s="367"/>
      <c r="AO111" s="367" t="s">
        <v>41</v>
      </c>
      <c r="AP111" s="367"/>
      <c r="AQ111" s="367"/>
      <c r="AR111" s="367"/>
      <c r="AS111" s="367" t="s">
        <v>119</v>
      </c>
      <c r="AT111" s="367"/>
      <c r="AU111" s="367"/>
      <c r="AV111" s="95"/>
      <c r="AW111" s="96"/>
      <c r="AX111" s="71"/>
      <c r="AY111" s="96"/>
      <c r="AZ111" s="97"/>
      <c r="BI111" s="61"/>
    </row>
    <row r="112" spans="1:61" ht="15" customHeight="1" thickBot="1" x14ac:dyDescent="0.3">
      <c r="A112" s="23"/>
      <c r="C112" s="59"/>
      <c r="F112" s="374"/>
      <c r="G112" s="374"/>
      <c r="H112" s="374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  <c r="AA112" s="374"/>
      <c r="AB112" s="345"/>
      <c r="AC112" s="345"/>
      <c r="AD112" s="372"/>
      <c r="AE112" s="367" t="s">
        <v>107</v>
      </c>
      <c r="AF112" s="367"/>
      <c r="AG112" s="367"/>
      <c r="AH112" s="367"/>
      <c r="AI112" s="367" t="s">
        <v>109</v>
      </c>
      <c r="AJ112" s="367"/>
      <c r="AK112" s="367"/>
      <c r="AL112" s="367"/>
      <c r="AM112" s="367"/>
      <c r="AN112" s="367"/>
      <c r="AO112" s="367" t="s">
        <v>41</v>
      </c>
      <c r="AP112" s="367"/>
      <c r="AQ112" s="367"/>
      <c r="AR112" s="367"/>
      <c r="AS112" s="367" t="s">
        <v>108</v>
      </c>
      <c r="AT112" s="367"/>
      <c r="AU112" s="367"/>
      <c r="AV112" s="95"/>
      <c r="AW112" s="96"/>
      <c r="AX112" s="69"/>
      <c r="AY112" s="96"/>
      <c r="AZ112" s="97"/>
      <c r="BI112" s="61"/>
    </row>
    <row r="113" spans="1:61" ht="15" customHeight="1" x14ac:dyDescent="0.25">
      <c r="A113" s="23"/>
      <c r="C113" s="59"/>
      <c r="F113" s="374"/>
      <c r="G113" s="374"/>
      <c r="H113" s="374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  <c r="AA113" s="374"/>
      <c r="AB113" s="345"/>
      <c r="AC113" s="345"/>
      <c r="AD113" s="372"/>
      <c r="AE113" s="367" t="s">
        <v>107</v>
      </c>
      <c r="AF113" s="367"/>
      <c r="AG113" s="367"/>
      <c r="AH113" s="367"/>
      <c r="AI113" s="367" t="s">
        <v>109</v>
      </c>
      <c r="AJ113" s="367"/>
      <c r="AK113" s="367"/>
      <c r="AL113" s="367"/>
      <c r="AM113" s="367"/>
      <c r="AN113" s="367"/>
      <c r="AO113" s="367" t="s">
        <v>110</v>
      </c>
      <c r="AP113" s="367"/>
      <c r="AQ113" s="367"/>
      <c r="AR113" s="367"/>
      <c r="AS113" s="367" t="s">
        <v>108</v>
      </c>
      <c r="AT113" s="367"/>
      <c r="AU113" s="367"/>
      <c r="AV113" s="95" t="s">
        <v>41</v>
      </c>
      <c r="AW113" s="96"/>
      <c r="AX113" s="96"/>
      <c r="AY113" s="96"/>
      <c r="AZ113" s="97"/>
      <c r="BI113" s="61"/>
    </row>
    <row r="114" spans="1:61" ht="15" customHeight="1" x14ac:dyDescent="0.25">
      <c r="A114" s="23"/>
      <c r="C114" s="59"/>
      <c r="F114" s="374"/>
      <c r="G114" s="374"/>
      <c r="H114" s="374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  <c r="AA114" s="374"/>
      <c r="AB114" s="345"/>
      <c r="AC114" s="345"/>
      <c r="AD114" s="372"/>
      <c r="AE114" s="367" t="s">
        <v>107</v>
      </c>
      <c r="AF114" s="367"/>
      <c r="AG114" s="367"/>
      <c r="AH114" s="367"/>
      <c r="AI114" s="367" t="s">
        <v>109</v>
      </c>
      <c r="AJ114" s="367"/>
      <c r="AK114" s="367"/>
      <c r="AL114" s="367"/>
      <c r="AM114" s="367"/>
      <c r="AN114" s="367"/>
      <c r="AO114" s="367" t="s">
        <v>111</v>
      </c>
      <c r="AP114" s="367"/>
      <c r="AQ114" s="367"/>
      <c r="AR114" s="367"/>
      <c r="AS114" s="367" t="s">
        <v>108</v>
      </c>
      <c r="AT114" s="367"/>
      <c r="AU114" s="367"/>
      <c r="AV114" s="95" t="s">
        <v>41</v>
      </c>
      <c r="AW114" s="96"/>
      <c r="AX114" s="96"/>
      <c r="AY114" s="96"/>
      <c r="AZ114" s="97"/>
      <c r="BI114" s="61"/>
    </row>
    <row r="115" spans="1:61" ht="15" customHeight="1" thickBot="1" x14ac:dyDescent="0.3">
      <c r="A115" s="23"/>
      <c r="C115" s="59"/>
      <c r="F115" s="374"/>
      <c r="G115" s="374"/>
      <c r="H115" s="374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  <c r="AA115" s="374"/>
      <c r="AB115" s="345"/>
      <c r="AC115" s="345"/>
      <c r="AD115" s="372"/>
      <c r="AE115" s="367" t="s">
        <v>107</v>
      </c>
      <c r="AF115" s="367"/>
      <c r="AG115" s="367"/>
      <c r="AH115" s="367"/>
      <c r="AI115" s="367" t="s">
        <v>109</v>
      </c>
      <c r="AJ115" s="367"/>
      <c r="AK115" s="367"/>
      <c r="AL115" s="367"/>
      <c r="AM115" s="367"/>
      <c r="AN115" s="367"/>
      <c r="AO115" s="367" t="s">
        <v>112</v>
      </c>
      <c r="AP115" s="367"/>
      <c r="AQ115" s="367"/>
      <c r="AR115" s="367"/>
      <c r="AS115" s="367" t="s">
        <v>108</v>
      </c>
      <c r="AT115" s="367"/>
      <c r="AU115" s="367"/>
      <c r="AV115" s="95" t="s">
        <v>41</v>
      </c>
      <c r="AW115" s="96"/>
      <c r="AX115" s="96"/>
      <c r="AY115" s="96"/>
      <c r="AZ115" s="97"/>
      <c r="BI115" s="61"/>
    </row>
    <row r="116" spans="1:61" ht="15" customHeight="1" thickBot="1" x14ac:dyDescent="0.3">
      <c r="A116" s="23"/>
      <c r="C116" s="59"/>
      <c r="F116" s="374"/>
      <c r="G116" s="374"/>
      <c r="H116" s="374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  <c r="AA116" s="374"/>
      <c r="AB116" s="345"/>
      <c r="AC116" s="345"/>
      <c r="AD116" s="372"/>
      <c r="AE116" s="368" t="s">
        <v>107</v>
      </c>
      <c r="AF116" s="369"/>
      <c r="AG116" s="369"/>
      <c r="AH116" s="371"/>
      <c r="AI116" s="368" t="s">
        <v>113</v>
      </c>
      <c r="AJ116" s="369"/>
      <c r="AK116" s="369"/>
      <c r="AL116" s="369"/>
      <c r="AM116" s="369"/>
      <c r="AN116" s="371"/>
      <c r="AO116" s="367" t="s">
        <v>41</v>
      </c>
      <c r="AP116" s="367"/>
      <c r="AQ116" s="367"/>
      <c r="AR116" s="367"/>
      <c r="AS116" s="368" t="s">
        <v>119</v>
      </c>
      <c r="AT116" s="369"/>
      <c r="AU116" s="371"/>
      <c r="AV116" s="95"/>
      <c r="AW116" s="96"/>
      <c r="AX116" s="69"/>
      <c r="AY116" s="96"/>
      <c r="AZ116" s="97"/>
      <c r="BI116" s="61"/>
    </row>
    <row r="117" spans="1:61" ht="15" customHeight="1" x14ac:dyDescent="0.25">
      <c r="A117" s="23"/>
      <c r="C117" s="59"/>
      <c r="F117" s="374"/>
      <c r="G117" s="374"/>
      <c r="H117" s="374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  <c r="AA117" s="374"/>
      <c r="AB117" s="345"/>
      <c r="AC117" s="345"/>
      <c r="AD117" s="372"/>
      <c r="AE117" s="368" t="s">
        <v>107</v>
      </c>
      <c r="AF117" s="369"/>
      <c r="AG117" s="369"/>
      <c r="AH117" s="371"/>
      <c r="AI117" s="368" t="s">
        <v>113</v>
      </c>
      <c r="AJ117" s="369"/>
      <c r="AK117" s="369"/>
      <c r="AL117" s="369"/>
      <c r="AM117" s="369"/>
      <c r="AN117" s="371"/>
      <c r="AO117" s="368" t="s">
        <v>114</v>
      </c>
      <c r="AP117" s="369"/>
      <c r="AQ117" s="369"/>
      <c r="AR117" s="371"/>
      <c r="AS117" s="368" t="s">
        <v>119</v>
      </c>
      <c r="AT117" s="369"/>
      <c r="AU117" s="371"/>
      <c r="AV117" s="95" t="s">
        <v>41</v>
      </c>
      <c r="AW117" s="96"/>
      <c r="AX117" s="96"/>
      <c r="AY117" s="96"/>
      <c r="AZ117" s="97"/>
      <c r="BI117" s="61"/>
    </row>
    <row r="118" spans="1:61" ht="15" customHeight="1" x14ac:dyDescent="0.25">
      <c r="A118" s="23"/>
      <c r="C118" s="59"/>
      <c r="F118" s="374"/>
      <c r="G118" s="374"/>
      <c r="H118" s="374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  <c r="AA118" s="374"/>
      <c r="AB118" s="345"/>
      <c r="AC118" s="345"/>
      <c r="AD118" s="372"/>
      <c r="AE118" s="367" t="s">
        <v>107</v>
      </c>
      <c r="AF118" s="367"/>
      <c r="AG118" s="367"/>
      <c r="AH118" s="367"/>
      <c r="AI118" s="367" t="s">
        <v>113</v>
      </c>
      <c r="AJ118" s="367"/>
      <c r="AK118" s="367"/>
      <c r="AL118" s="367"/>
      <c r="AM118" s="367"/>
      <c r="AN118" s="367"/>
      <c r="AO118" s="367" t="s">
        <v>115</v>
      </c>
      <c r="AP118" s="367"/>
      <c r="AQ118" s="367"/>
      <c r="AR118" s="367"/>
      <c r="AS118" s="367" t="s">
        <v>119</v>
      </c>
      <c r="AT118" s="367"/>
      <c r="AU118" s="367"/>
      <c r="AV118" s="95" t="s">
        <v>41</v>
      </c>
      <c r="AW118" s="96"/>
      <c r="AX118" s="96"/>
      <c r="AY118" s="96"/>
      <c r="AZ118" s="97"/>
      <c r="BI118" s="61"/>
    </row>
    <row r="119" spans="1:61" ht="15" customHeight="1" x14ac:dyDescent="0.25">
      <c r="A119" s="23"/>
      <c r="C119" s="59"/>
      <c r="F119" s="374"/>
      <c r="G119" s="374"/>
      <c r="H119" s="374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  <c r="AA119" s="374"/>
      <c r="AB119" s="345"/>
      <c r="AC119" s="345"/>
      <c r="AD119" s="372"/>
      <c r="AE119" s="367" t="s">
        <v>107</v>
      </c>
      <c r="AF119" s="367"/>
      <c r="AG119" s="367"/>
      <c r="AH119" s="367"/>
      <c r="AI119" s="367" t="s">
        <v>113</v>
      </c>
      <c r="AJ119" s="367"/>
      <c r="AK119" s="367"/>
      <c r="AL119" s="367"/>
      <c r="AM119" s="367"/>
      <c r="AN119" s="367"/>
      <c r="AO119" s="367" t="s">
        <v>116</v>
      </c>
      <c r="AP119" s="367"/>
      <c r="AQ119" s="367"/>
      <c r="AR119" s="367"/>
      <c r="AS119" s="367" t="s">
        <v>119</v>
      </c>
      <c r="AT119" s="367"/>
      <c r="AU119" s="367"/>
      <c r="AV119" s="95" t="s">
        <v>41</v>
      </c>
      <c r="AW119" s="96"/>
      <c r="AX119" s="96"/>
      <c r="AY119" s="96"/>
      <c r="AZ119" s="97"/>
      <c r="BI119" s="61"/>
    </row>
    <row r="120" spans="1:61" ht="15" customHeight="1" x14ac:dyDescent="0.25">
      <c r="A120" s="23"/>
      <c r="C120" s="59"/>
      <c r="F120" s="345"/>
      <c r="G120" s="345"/>
      <c r="H120" s="345"/>
      <c r="I120" s="345"/>
      <c r="J120" s="345"/>
      <c r="K120" s="345"/>
      <c r="L120" s="345"/>
      <c r="M120" s="345"/>
      <c r="N120" s="345"/>
      <c r="O120" s="345"/>
      <c r="P120" s="345"/>
      <c r="Q120" s="345"/>
      <c r="R120" s="345"/>
      <c r="S120" s="345"/>
      <c r="T120" s="345"/>
      <c r="U120" s="372"/>
      <c r="V120" s="345"/>
      <c r="W120" s="345"/>
      <c r="X120" s="374"/>
      <c r="Y120" s="374"/>
      <c r="Z120" s="374"/>
      <c r="AA120" s="374"/>
      <c r="AB120" s="345"/>
      <c r="AC120" s="345"/>
      <c r="AD120" s="372"/>
      <c r="AE120" s="345"/>
      <c r="AF120" s="345"/>
      <c r="AG120" s="345"/>
      <c r="AH120" s="345"/>
      <c r="AI120" s="345"/>
      <c r="AJ120" s="345"/>
      <c r="AK120" s="345"/>
      <c r="AL120" s="345"/>
      <c r="AM120" s="372"/>
      <c r="AN120" s="345"/>
      <c r="AO120" s="345"/>
      <c r="AP120" s="345"/>
      <c r="AQ120" s="345"/>
      <c r="AR120" s="345"/>
      <c r="AS120" s="345"/>
      <c r="AT120" s="345"/>
      <c r="AU120" s="345"/>
      <c r="BI120" s="61"/>
    </row>
    <row r="121" spans="1:61" ht="15" customHeight="1" x14ac:dyDescent="0.25">
      <c r="A121" s="23"/>
      <c r="C121" s="59"/>
      <c r="D121" s="49" t="s">
        <v>121</v>
      </c>
      <c r="U121" s="59"/>
      <c r="AD121" s="59"/>
      <c r="AM121" s="59"/>
      <c r="BI121" s="61"/>
    </row>
    <row r="122" spans="1:61" ht="15" customHeight="1" x14ac:dyDescent="0.25">
      <c r="A122" s="23"/>
      <c r="C122" s="59"/>
      <c r="D122" s="49"/>
      <c r="E122" s="49" t="s">
        <v>42</v>
      </c>
      <c r="U122" s="59"/>
      <c r="AD122" s="59"/>
      <c r="AM122" s="59"/>
      <c r="BI122" s="61"/>
    </row>
    <row r="123" spans="1:61" ht="15" customHeight="1" x14ac:dyDescent="0.25">
      <c r="A123" s="23"/>
      <c r="C123" s="59"/>
      <c r="D123" s="49"/>
      <c r="E123" s="49" t="s">
        <v>63</v>
      </c>
      <c r="U123" s="59"/>
      <c r="AD123" s="59"/>
      <c r="AM123" s="59"/>
      <c r="BI123" s="61"/>
    </row>
    <row r="124" spans="1:61" ht="15" customHeight="1" x14ac:dyDescent="0.25">
      <c r="A124" s="23"/>
      <c r="C124" s="59"/>
      <c r="U124" s="59"/>
      <c r="AD124" s="59"/>
      <c r="AM124" s="59"/>
      <c r="BI124" s="61"/>
    </row>
    <row r="125" spans="1:61" ht="15" customHeight="1" thickBot="1" x14ac:dyDescent="0.3">
      <c r="A125" s="23"/>
      <c r="C125" s="59"/>
      <c r="F125" s="314" t="s">
        <v>36</v>
      </c>
      <c r="G125" s="314"/>
      <c r="H125" s="314"/>
      <c r="I125" s="314"/>
      <c r="J125" s="314" t="s">
        <v>37</v>
      </c>
      <c r="K125" s="314"/>
      <c r="L125" s="314"/>
      <c r="M125" s="314"/>
      <c r="N125" s="314"/>
      <c r="O125" s="314"/>
      <c r="P125" s="314" t="s">
        <v>38</v>
      </c>
      <c r="Q125" s="314"/>
      <c r="R125" s="314"/>
      <c r="S125" s="314"/>
      <c r="T125" s="314" t="s">
        <v>39</v>
      </c>
      <c r="U125" s="314"/>
      <c r="V125" s="314"/>
      <c r="W125" s="314" t="s">
        <v>40</v>
      </c>
      <c r="X125" s="314"/>
      <c r="Y125" s="318"/>
      <c r="Z125" s="314"/>
      <c r="AA125" s="314"/>
      <c r="AD125" s="59"/>
      <c r="AE125" s="314" t="s">
        <v>36</v>
      </c>
      <c r="AF125" s="314"/>
      <c r="AG125" s="314"/>
      <c r="AH125" s="314"/>
      <c r="AI125" s="314" t="s">
        <v>37</v>
      </c>
      <c r="AJ125" s="314"/>
      <c r="AK125" s="314"/>
      <c r="AL125" s="314"/>
      <c r="AM125" s="314"/>
      <c r="AN125" s="314"/>
      <c r="AO125" s="314" t="s">
        <v>38</v>
      </c>
      <c r="AP125" s="314"/>
      <c r="AQ125" s="314"/>
      <c r="AR125" s="314"/>
      <c r="AS125" s="314" t="s">
        <v>39</v>
      </c>
      <c r="AT125" s="314"/>
      <c r="AU125" s="314"/>
      <c r="AV125" s="314" t="s">
        <v>40</v>
      </c>
      <c r="AW125" s="314"/>
      <c r="AX125" s="318"/>
      <c r="AY125" s="314"/>
      <c r="AZ125" s="314"/>
      <c r="BI125" s="61"/>
    </row>
    <row r="126" spans="1:61" ht="15" customHeight="1" thickBot="1" x14ac:dyDescent="0.3">
      <c r="A126" s="23"/>
      <c r="C126" s="59"/>
      <c r="F126" s="367" t="s">
        <v>107</v>
      </c>
      <c r="G126" s="367"/>
      <c r="H126" s="367"/>
      <c r="I126" s="367"/>
      <c r="J126" s="367" t="s">
        <v>41</v>
      </c>
      <c r="K126" s="367"/>
      <c r="L126" s="367"/>
      <c r="M126" s="367"/>
      <c r="N126" s="367"/>
      <c r="O126" s="367"/>
      <c r="P126" s="367" t="s">
        <v>41</v>
      </c>
      <c r="Q126" s="367"/>
      <c r="R126" s="367"/>
      <c r="S126" s="367"/>
      <c r="T126" s="367" t="s">
        <v>119</v>
      </c>
      <c r="U126" s="367"/>
      <c r="V126" s="367"/>
      <c r="W126" s="368"/>
      <c r="X126" s="369"/>
      <c r="Y126" s="375"/>
      <c r="Z126" s="369"/>
      <c r="AA126" s="371"/>
      <c r="AB126" s="345"/>
      <c r="AC126" s="345"/>
      <c r="AD126" s="372"/>
      <c r="AE126" s="367" t="s">
        <v>107</v>
      </c>
      <c r="AF126" s="367"/>
      <c r="AG126" s="367"/>
      <c r="AH126" s="367"/>
      <c r="AI126" s="367" t="s">
        <v>41</v>
      </c>
      <c r="AJ126" s="367"/>
      <c r="AK126" s="367"/>
      <c r="AL126" s="367"/>
      <c r="AM126" s="367"/>
      <c r="AN126" s="367"/>
      <c r="AO126" s="367" t="s">
        <v>41</v>
      </c>
      <c r="AP126" s="367"/>
      <c r="AQ126" s="367"/>
      <c r="AR126" s="367"/>
      <c r="AS126" s="367" t="s">
        <v>119</v>
      </c>
      <c r="AT126" s="367"/>
      <c r="AU126" s="367"/>
      <c r="AV126" s="95"/>
      <c r="AW126" s="96"/>
      <c r="AX126" s="71"/>
      <c r="AY126" s="96"/>
      <c r="AZ126" s="97"/>
      <c r="BI126" s="61"/>
    </row>
    <row r="127" spans="1:61" ht="15" customHeight="1" thickBot="1" x14ac:dyDescent="0.3">
      <c r="A127" s="23"/>
      <c r="C127" s="59"/>
      <c r="F127" s="367" t="s">
        <v>107</v>
      </c>
      <c r="G127" s="367"/>
      <c r="H127" s="367"/>
      <c r="I127" s="367"/>
      <c r="J127" s="367" t="s">
        <v>109</v>
      </c>
      <c r="K127" s="367"/>
      <c r="L127" s="367"/>
      <c r="M127" s="367"/>
      <c r="N127" s="367"/>
      <c r="O127" s="367"/>
      <c r="P127" s="367" t="s">
        <v>41</v>
      </c>
      <c r="Q127" s="367"/>
      <c r="R127" s="367"/>
      <c r="S127" s="367"/>
      <c r="T127" s="367" t="s">
        <v>108</v>
      </c>
      <c r="U127" s="367"/>
      <c r="V127" s="367"/>
      <c r="W127" s="368"/>
      <c r="X127" s="369"/>
      <c r="Y127" s="370"/>
      <c r="Z127" s="369"/>
      <c r="AA127" s="371"/>
      <c r="AB127" s="345"/>
      <c r="AC127" s="345"/>
      <c r="AD127" s="372"/>
      <c r="AE127" s="367" t="s">
        <v>107</v>
      </c>
      <c r="AF127" s="367"/>
      <c r="AG127" s="367"/>
      <c r="AH127" s="367"/>
      <c r="AI127" s="367" t="s">
        <v>109</v>
      </c>
      <c r="AJ127" s="367"/>
      <c r="AK127" s="367"/>
      <c r="AL127" s="367"/>
      <c r="AM127" s="367"/>
      <c r="AN127" s="367"/>
      <c r="AO127" s="367" t="s">
        <v>41</v>
      </c>
      <c r="AP127" s="367"/>
      <c r="AQ127" s="367"/>
      <c r="AR127" s="367"/>
      <c r="AS127" s="367" t="s">
        <v>108</v>
      </c>
      <c r="AT127" s="367"/>
      <c r="AU127" s="367"/>
      <c r="AV127" s="95"/>
      <c r="AW127" s="96"/>
      <c r="AX127" s="71"/>
      <c r="AY127" s="96"/>
      <c r="AZ127" s="97"/>
      <c r="BI127" s="61"/>
    </row>
    <row r="128" spans="1:61" ht="15" customHeight="1" x14ac:dyDescent="0.25">
      <c r="A128" s="23"/>
      <c r="C128" s="59"/>
      <c r="F128" s="367" t="s">
        <v>107</v>
      </c>
      <c r="G128" s="367"/>
      <c r="H128" s="367"/>
      <c r="I128" s="367"/>
      <c r="J128" s="367" t="s">
        <v>109</v>
      </c>
      <c r="K128" s="367"/>
      <c r="L128" s="367"/>
      <c r="M128" s="367"/>
      <c r="N128" s="367"/>
      <c r="O128" s="367"/>
      <c r="P128" s="367" t="s">
        <v>110</v>
      </c>
      <c r="Q128" s="367"/>
      <c r="R128" s="367"/>
      <c r="S128" s="367"/>
      <c r="T128" s="367" t="s">
        <v>108</v>
      </c>
      <c r="U128" s="367"/>
      <c r="V128" s="367"/>
      <c r="W128" s="368" t="s">
        <v>41</v>
      </c>
      <c r="X128" s="369"/>
      <c r="Y128" s="369"/>
      <c r="Z128" s="369"/>
      <c r="AA128" s="371"/>
      <c r="AB128" s="345"/>
      <c r="AC128" s="346"/>
      <c r="AD128" s="372"/>
      <c r="AE128" s="367" t="s">
        <v>107</v>
      </c>
      <c r="AF128" s="367"/>
      <c r="AG128" s="367"/>
      <c r="AH128" s="367"/>
      <c r="AI128" s="367" t="s">
        <v>109</v>
      </c>
      <c r="AJ128" s="367"/>
      <c r="AK128" s="367"/>
      <c r="AL128" s="367"/>
      <c r="AM128" s="367"/>
      <c r="AN128" s="367"/>
      <c r="AO128" s="367" t="s">
        <v>110</v>
      </c>
      <c r="AP128" s="367"/>
      <c r="AQ128" s="367"/>
      <c r="AR128" s="367"/>
      <c r="AS128" s="367" t="s">
        <v>108</v>
      </c>
      <c r="AT128" s="367"/>
      <c r="AU128" s="367"/>
      <c r="AV128" s="95" t="s">
        <v>41</v>
      </c>
      <c r="AW128" s="96"/>
      <c r="AX128" s="96"/>
      <c r="AY128" s="96"/>
      <c r="AZ128" s="97"/>
      <c r="BI128" s="61"/>
    </row>
    <row r="129" spans="1:63" ht="15" customHeight="1" x14ac:dyDescent="0.25">
      <c r="A129" s="23"/>
      <c r="C129" s="59"/>
      <c r="F129" s="367" t="s">
        <v>107</v>
      </c>
      <c r="G129" s="367"/>
      <c r="H129" s="367"/>
      <c r="I129" s="367"/>
      <c r="J129" s="367" t="s">
        <v>109</v>
      </c>
      <c r="K129" s="367"/>
      <c r="L129" s="367"/>
      <c r="M129" s="367"/>
      <c r="N129" s="367"/>
      <c r="O129" s="367"/>
      <c r="P129" s="367" t="s">
        <v>111</v>
      </c>
      <c r="Q129" s="367"/>
      <c r="R129" s="367"/>
      <c r="S129" s="367"/>
      <c r="T129" s="367" t="s">
        <v>108</v>
      </c>
      <c r="U129" s="367"/>
      <c r="V129" s="367"/>
      <c r="W129" s="368" t="s">
        <v>41</v>
      </c>
      <c r="X129" s="369"/>
      <c r="Y129" s="369"/>
      <c r="Z129" s="369"/>
      <c r="AA129" s="371"/>
      <c r="AB129" s="345"/>
      <c r="AC129" s="345"/>
      <c r="AD129" s="372"/>
      <c r="AE129" s="367" t="s">
        <v>107</v>
      </c>
      <c r="AF129" s="367"/>
      <c r="AG129" s="367"/>
      <c r="AH129" s="367"/>
      <c r="AI129" s="367" t="s">
        <v>109</v>
      </c>
      <c r="AJ129" s="367"/>
      <c r="AK129" s="367"/>
      <c r="AL129" s="367"/>
      <c r="AM129" s="367"/>
      <c r="AN129" s="367"/>
      <c r="AO129" s="367" t="s">
        <v>111</v>
      </c>
      <c r="AP129" s="367"/>
      <c r="AQ129" s="367"/>
      <c r="AR129" s="367"/>
      <c r="AS129" s="367" t="s">
        <v>119</v>
      </c>
      <c r="AT129" s="367"/>
      <c r="AU129" s="367"/>
      <c r="AV129" s="315" t="s">
        <v>41</v>
      </c>
      <c r="AW129" s="316"/>
      <c r="AX129" s="316"/>
      <c r="AY129" s="316"/>
      <c r="AZ129" s="317"/>
      <c r="BI129" s="61"/>
    </row>
    <row r="130" spans="1:63" ht="15" customHeight="1" thickBot="1" x14ac:dyDescent="0.3">
      <c r="A130" s="23"/>
      <c r="C130" s="59"/>
      <c r="F130" s="367" t="s">
        <v>107</v>
      </c>
      <c r="G130" s="367"/>
      <c r="H130" s="367"/>
      <c r="I130" s="367"/>
      <c r="J130" s="367" t="s">
        <v>109</v>
      </c>
      <c r="K130" s="367"/>
      <c r="L130" s="367"/>
      <c r="M130" s="367"/>
      <c r="N130" s="367"/>
      <c r="O130" s="367"/>
      <c r="P130" s="367" t="s">
        <v>112</v>
      </c>
      <c r="Q130" s="367"/>
      <c r="R130" s="367"/>
      <c r="S130" s="367"/>
      <c r="T130" s="367" t="s">
        <v>108</v>
      </c>
      <c r="U130" s="367"/>
      <c r="V130" s="367"/>
      <c r="W130" s="368" t="s">
        <v>41</v>
      </c>
      <c r="X130" s="369"/>
      <c r="Y130" s="369"/>
      <c r="Z130" s="369"/>
      <c r="AA130" s="371"/>
      <c r="AB130" s="345"/>
      <c r="AC130" s="345"/>
      <c r="AD130" s="372"/>
      <c r="AE130" s="367" t="s">
        <v>107</v>
      </c>
      <c r="AF130" s="367"/>
      <c r="AG130" s="367"/>
      <c r="AH130" s="367"/>
      <c r="AI130" s="367" t="s">
        <v>109</v>
      </c>
      <c r="AJ130" s="367"/>
      <c r="AK130" s="367"/>
      <c r="AL130" s="367"/>
      <c r="AM130" s="367"/>
      <c r="AN130" s="367"/>
      <c r="AO130" s="367" t="s">
        <v>112</v>
      </c>
      <c r="AP130" s="367"/>
      <c r="AQ130" s="367"/>
      <c r="AR130" s="367"/>
      <c r="AS130" s="367" t="s">
        <v>108</v>
      </c>
      <c r="AT130" s="367"/>
      <c r="AU130" s="367"/>
      <c r="AV130" s="95" t="s">
        <v>41</v>
      </c>
      <c r="AW130" s="96"/>
      <c r="AX130" s="96"/>
      <c r="AY130" s="96"/>
      <c r="AZ130" s="97"/>
      <c r="BI130" s="61"/>
    </row>
    <row r="131" spans="1:63" ht="15" customHeight="1" thickBot="1" x14ac:dyDescent="0.3">
      <c r="A131" s="23"/>
      <c r="C131" s="59"/>
      <c r="F131" s="368" t="s">
        <v>107</v>
      </c>
      <c r="G131" s="369"/>
      <c r="H131" s="369"/>
      <c r="I131" s="371"/>
      <c r="J131" s="368" t="s">
        <v>113</v>
      </c>
      <c r="K131" s="369"/>
      <c r="L131" s="369"/>
      <c r="M131" s="369"/>
      <c r="N131" s="369"/>
      <c r="O131" s="371"/>
      <c r="P131" s="367" t="s">
        <v>41</v>
      </c>
      <c r="Q131" s="367"/>
      <c r="R131" s="367"/>
      <c r="S131" s="367"/>
      <c r="T131" s="368" t="s">
        <v>119</v>
      </c>
      <c r="U131" s="369"/>
      <c r="V131" s="371"/>
      <c r="W131" s="368"/>
      <c r="X131" s="369"/>
      <c r="Y131" s="370"/>
      <c r="Z131" s="369"/>
      <c r="AA131" s="371"/>
      <c r="AB131" s="345"/>
      <c r="AC131" s="345"/>
      <c r="AD131" s="372"/>
      <c r="AE131" s="368" t="s">
        <v>107</v>
      </c>
      <c r="AF131" s="369"/>
      <c r="AG131" s="369"/>
      <c r="AH131" s="371"/>
      <c r="AI131" s="368" t="s">
        <v>113</v>
      </c>
      <c r="AJ131" s="369"/>
      <c r="AK131" s="369"/>
      <c r="AL131" s="369"/>
      <c r="AM131" s="369"/>
      <c r="AN131" s="371"/>
      <c r="AO131" s="367" t="s">
        <v>41</v>
      </c>
      <c r="AP131" s="367"/>
      <c r="AQ131" s="367"/>
      <c r="AR131" s="367"/>
      <c r="AS131" s="368" t="s">
        <v>119</v>
      </c>
      <c r="AT131" s="369"/>
      <c r="AU131" s="371"/>
      <c r="AV131" s="95"/>
      <c r="AW131" s="96"/>
      <c r="AX131" s="69"/>
      <c r="AY131" s="96"/>
      <c r="AZ131" s="97"/>
      <c r="BI131" s="61"/>
    </row>
    <row r="132" spans="1:63" ht="15" customHeight="1" x14ac:dyDescent="0.25">
      <c r="A132" s="23"/>
      <c r="C132" s="59"/>
      <c r="F132" s="368" t="s">
        <v>107</v>
      </c>
      <c r="G132" s="369"/>
      <c r="H132" s="369"/>
      <c r="I132" s="371"/>
      <c r="J132" s="368" t="s">
        <v>113</v>
      </c>
      <c r="K132" s="369"/>
      <c r="L132" s="369"/>
      <c r="M132" s="369"/>
      <c r="N132" s="369"/>
      <c r="O132" s="371"/>
      <c r="P132" s="368" t="s">
        <v>114</v>
      </c>
      <c r="Q132" s="369"/>
      <c r="R132" s="369"/>
      <c r="S132" s="371"/>
      <c r="T132" s="368" t="s">
        <v>119</v>
      </c>
      <c r="U132" s="369"/>
      <c r="V132" s="371"/>
      <c r="W132" s="368" t="s">
        <v>41</v>
      </c>
      <c r="X132" s="369"/>
      <c r="Y132" s="369"/>
      <c r="Z132" s="369"/>
      <c r="AA132" s="371"/>
      <c r="AB132" s="345"/>
      <c r="AC132" s="345"/>
      <c r="AD132" s="372"/>
      <c r="AE132" s="368" t="s">
        <v>107</v>
      </c>
      <c r="AF132" s="369"/>
      <c r="AG132" s="369"/>
      <c r="AH132" s="371"/>
      <c r="AI132" s="368" t="s">
        <v>113</v>
      </c>
      <c r="AJ132" s="369"/>
      <c r="AK132" s="369"/>
      <c r="AL132" s="369"/>
      <c r="AM132" s="369"/>
      <c r="AN132" s="371"/>
      <c r="AO132" s="368" t="s">
        <v>114</v>
      </c>
      <c r="AP132" s="369"/>
      <c r="AQ132" s="369"/>
      <c r="AR132" s="371"/>
      <c r="AS132" s="368" t="s">
        <v>119</v>
      </c>
      <c r="AT132" s="369"/>
      <c r="AU132" s="371"/>
      <c r="AV132" s="95" t="s">
        <v>41</v>
      </c>
      <c r="AW132" s="96"/>
      <c r="AX132" s="96"/>
      <c r="AY132" s="96"/>
      <c r="AZ132" s="97"/>
      <c r="BI132" s="61"/>
    </row>
    <row r="133" spans="1:63" ht="15" customHeight="1" x14ac:dyDescent="0.25">
      <c r="A133" s="23"/>
      <c r="C133" s="59"/>
      <c r="F133" s="367" t="s">
        <v>107</v>
      </c>
      <c r="G133" s="367"/>
      <c r="H133" s="367"/>
      <c r="I133" s="367"/>
      <c r="J133" s="367" t="s">
        <v>113</v>
      </c>
      <c r="K133" s="367"/>
      <c r="L133" s="367"/>
      <c r="M133" s="367"/>
      <c r="N133" s="367"/>
      <c r="O133" s="367"/>
      <c r="P133" s="367" t="s">
        <v>115</v>
      </c>
      <c r="Q133" s="367"/>
      <c r="R133" s="367"/>
      <c r="S133" s="367"/>
      <c r="T133" s="367" t="s">
        <v>119</v>
      </c>
      <c r="U133" s="367"/>
      <c r="V133" s="367"/>
      <c r="W133" s="368" t="s">
        <v>41</v>
      </c>
      <c r="X133" s="369"/>
      <c r="Y133" s="369"/>
      <c r="Z133" s="369"/>
      <c r="AA133" s="371"/>
      <c r="AB133" s="345"/>
      <c r="AC133" s="345"/>
      <c r="AD133" s="372"/>
      <c r="AE133" s="367" t="s">
        <v>107</v>
      </c>
      <c r="AF133" s="367"/>
      <c r="AG133" s="367"/>
      <c r="AH133" s="367"/>
      <c r="AI133" s="367" t="s">
        <v>113</v>
      </c>
      <c r="AJ133" s="367"/>
      <c r="AK133" s="367"/>
      <c r="AL133" s="367"/>
      <c r="AM133" s="367"/>
      <c r="AN133" s="367"/>
      <c r="AO133" s="367" t="s">
        <v>115</v>
      </c>
      <c r="AP133" s="367"/>
      <c r="AQ133" s="367"/>
      <c r="AR133" s="367"/>
      <c r="AS133" s="367" t="s">
        <v>119</v>
      </c>
      <c r="AT133" s="367"/>
      <c r="AU133" s="367"/>
      <c r="AV133" s="95" t="s">
        <v>41</v>
      </c>
      <c r="AW133" s="96"/>
      <c r="AX133" s="96"/>
      <c r="AY133" s="96"/>
      <c r="AZ133" s="97"/>
      <c r="BI133" s="61"/>
    </row>
    <row r="134" spans="1:63" ht="15" customHeight="1" x14ac:dyDescent="0.25">
      <c r="A134" s="23"/>
      <c r="C134" s="59"/>
      <c r="F134" s="367" t="s">
        <v>107</v>
      </c>
      <c r="G134" s="367"/>
      <c r="H134" s="367"/>
      <c r="I134" s="367"/>
      <c r="J134" s="367" t="s">
        <v>113</v>
      </c>
      <c r="K134" s="367"/>
      <c r="L134" s="367"/>
      <c r="M134" s="367"/>
      <c r="N134" s="367"/>
      <c r="O134" s="367"/>
      <c r="P134" s="367" t="s">
        <v>116</v>
      </c>
      <c r="Q134" s="367"/>
      <c r="R134" s="367"/>
      <c r="S134" s="367"/>
      <c r="T134" s="367" t="s">
        <v>119</v>
      </c>
      <c r="U134" s="367"/>
      <c r="V134" s="367"/>
      <c r="W134" s="368" t="s">
        <v>41</v>
      </c>
      <c r="X134" s="369"/>
      <c r="Y134" s="369"/>
      <c r="Z134" s="369"/>
      <c r="AA134" s="371"/>
      <c r="AB134" s="345"/>
      <c r="AC134" s="345"/>
      <c r="AD134" s="372"/>
      <c r="AE134" s="367" t="s">
        <v>107</v>
      </c>
      <c r="AF134" s="367"/>
      <c r="AG134" s="367"/>
      <c r="AH134" s="367"/>
      <c r="AI134" s="367" t="s">
        <v>113</v>
      </c>
      <c r="AJ134" s="367"/>
      <c r="AK134" s="367"/>
      <c r="AL134" s="367"/>
      <c r="AM134" s="367"/>
      <c r="AN134" s="367"/>
      <c r="AO134" s="367" t="s">
        <v>116</v>
      </c>
      <c r="AP134" s="367"/>
      <c r="AQ134" s="367"/>
      <c r="AR134" s="367"/>
      <c r="AS134" s="367" t="s">
        <v>119</v>
      </c>
      <c r="AT134" s="367"/>
      <c r="AU134" s="367"/>
      <c r="AV134" s="95" t="s">
        <v>41</v>
      </c>
      <c r="AW134" s="96"/>
      <c r="AX134" s="96"/>
      <c r="AY134" s="96"/>
      <c r="AZ134" s="97"/>
      <c r="BI134" s="61"/>
    </row>
    <row r="135" spans="1:63" ht="15" customHeight="1" x14ac:dyDescent="0.25">
      <c r="A135" s="23"/>
      <c r="C135" s="59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D135" s="59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I135" s="61"/>
    </row>
    <row r="136" spans="1:63" ht="15" customHeight="1" x14ac:dyDescent="0.25">
      <c r="A136" s="20"/>
      <c r="C136" s="59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72"/>
      <c r="V136" s="21"/>
      <c r="W136" s="21"/>
      <c r="X136" s="21"/>
      <c r="Y136" s="21"/>
      <c r="Z136" s="21"/>
      <c r="AA136" s="21"/>
      <c r="AB136" s="21"/>
      <c r="AC136" s="21"/>
      <c r="AD136" s="72"/>
      <c r="AE136" s="21"/>
      <c r="AF136" s="21"/>
      <c r="AG136" s="21"/>
      <c r="AH136" s="21"/>
      <c r="AI136" s="21"/>
      <c r="AJ136" s="21"/>
      <c r="AK136" s="21"/>
      <c r="AL136" s="21"/>
      <c r="AM136" s="72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73"/>
      <c r="BJ136" s="21"/>
      <c r="BK136" s="22"/>
    </row>
  </sheetData>
  <mergeCells count="59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AS49:AU49"/>
    <mergeCell ref="AV49:AZ49"/>
    <mergeCell ref="AE36:AH36"/>
    <mergeCell ref="AI36:AN36"/>
    <mergeCell ref="AO36:AR36"/>
    <mergeCell ref="AS36:AU36"/>
    <mergeCell ref="AV36:AZ36"/>
    <mergeCell ref="AE37:AH37"/>
    <mergeCell ref="AI37:AN37"/>
    <mergeCell ref="AO37:AR37"/>
    <mergeCell ref="AS37:AU37"/>
    <mergeCell ref="AV37:AW37"/>
    <mergeCell ref="AY37:AZ37"/>
    <mergeCell ref="AE38:AH38"/>
    <mergeCell ref="AE40:AH40"/>
    <mergeCell ref="AI40:AN40"/>
    <mergeCell ref="AO40:AR40"/>
    <mergeCell ref="AS40:AU40"/>
    <mergeCell ref="AV40:AZ40"/>
    <mergeCell ref="AE53:AH53"/>
    <mergeCell ref="AI53:AN53"/>
    <mergeCell ref="AO53:AR53"/>
    <mergeCell ref="AS53:AU53"/>
    <mergeCell ref="AE54:AH54"/>
    <mergeCell ref="AI54:AN54"/>
    <mergeCell ref="AO54:AR54"/>
    <mergeCell ref="AS54:AU54"/>
    <mergeCell ref="AS51:AU51"/>
    <mergeCell ref="AE52:AH52"/>
    <mergeCell ref="AI52:AN52"/>
    <mergeCell ref="AO52:AR52"/>
    <mergeCell ref="AS52:AU52"/>
    <mergeCell ref="AE51:AH51"/>
    <mergeCell ref="AI51:AN51"/>
    <mergeCell ref="AO51:AR51"/>
    <mergeCell ref="AE41:AH41"/>
    <mergeCell ref="AI41:AN41"/>
    <mergeCell ref="AV51:AW51"/>
    <mergeCell ref="AY51:AZ51"/>
    <mergeCell ref="AE50:AH50"/>
    <mergeCell ref="AI50:AN50"/>
    <mergeCell ref="AO50:AR50"/>
    <mergeCell ref="AS50:AU50"/>
    <mergeCell ref="AV50:AW50"/>
    <mergeCell ref="AY50:AZ50"/>
    <mergeCell ref="AE49:AH49"/>
    <mergeCell ref="AI49:AN49"/>
    <mergeCell ref="AO49:AR49"/>
    <mergeCell ref="AO41:AR41"/>
    <mergeCell ref="AS41:AU41"/>
    <mergeCell ref="AV41:AZ41"/>
    <mergeCell ref="AE42:AH42"/>
    <mergeCell ref="AI42:AN42"/>
    <mergeCell ref="AO42:AR42"/>
    <mergeCell ref="AS42:AU42"/>
    <mergeCell ref="AV42:AZ42"/>
    <mergeCell ref="AE43:AH43"/>
    <mergeCell ref="AI43:AN43"/>
    <mergeCell ref="AO43:AR43"/>
    <mergeCell ref="AV55:AW55"/>
    <mergeCell ref="AY55:AZ55"/>
    <mergeCell ref="AE58:AH58"/>
    <mergeCell ref="AI58:AN58"/>
    <mergeCell ref="AO58:AR58"/>
    <mergeCell ref="AS58:AU58"/>
    <mergeCell ref="AE57:AH57"/>
    <mergeCell ref="AI57:AN57"/>
    <mergeCell ref="AO57:AR57"/>
    <mergeCell ref="AS57:AU57"/>
    <mergeCell ref="AE56:AH56"/>
    <mergeCell ref="AI56:AN56"/>
    <mergeCell ref="AO56:AR56"/>
    <mergeCell ref="AS56:AU56"/>
    <mergeCell ref="AE55:AH55"/>
    <mergeCell ref="AI55:AN55"/>
    <mergeCell ref="AO55:AR55"/>
    <mergeCell ref="AS55:AU55"/>
    <mergeCell ref="AS81:AU81"/>
    <mergeCell ref="AV81:AW81"/>
    <mergeCell ref="AY81:AZ81"/>
    <mergeCell ref="AS79:AU79"/>
    <mergeCell ref="AV79:AZ79"/>
    <mergeCell ref="AE80:AH80"/>
    <mergeCell ref="AI80:AN80"/>
    <mergeCell ref="AO80:AR80"/>
    <mergeCell ref="AS80:AU80"/>
    <mergeCell ref="AV80:AW80"/>
    <mergeCell ref="AY80:AZ80"/>
    <mergeCell ref="AE79:AH79"/>
    <mergeCell ref="AI79:AN79"/>
    <mergeCell ref="AO79:AR79"/>
    <mergeCell ref="AE81:AH81"/>
    <mergeCell ref="AI81:AN81"/>
    <mergeCell ref="AO81:AR81"/>
    <mergeCell ref="AE83:AH83"/>
    <mergeCell ref="AI83:AN83"/>
    <mergeCell ref="AO83:AR83"/>
    <mergeCell ref="AS83:AU83"/>
    <mergeCell ref="AE82:AH82"/>
    <mergeCell ref="AI82:AN82"/>
    <mergeCell ref="AO82:AR82"/>
    <mergeCell ref="AS82:AU82"/>
    <mergeCell ref="AV82:AZ82"/>
    <mergeCell ref="AV83:AZ83"/>
    <mergeCell ref="AE86:AH86"/>
    <mergeCell ref="AI86:AN86"/>
    <mergeCell ref="AO86:AR86"/>
    <mergeCell ref="AS86:AU86"/>
    <mergeCell ref="AE84:AH84"/>
    <mergeCell ref="AI84:AN84"/>
    <mergeCell ref="AO84:AR84"/>
    <mergeCell ref="AS84:AU84"/>
    <mergeCell ref="AV84:AZ84"/>
    <mergeCell ref="AV86:AZ86"/>
    <mergeCell ref="AE85:AH85"/>
    <mergeCell ref="AI85:AN85"/>
    <mergeCell ref="AO85:AR85"/>
    <mergeCell ref="AS85:AU85"/>
    <mergeCell ref="AV85:AW85"/>
    <mergeCell ref="AY85:AZ85"/>
    <mergeCell ref="AE88:AH88"/>
    <mergeCell ref="AI88:AN88"/>
    <mergeCell ref="AO88:AR88"/>
    <mergeCell ref="AS88:AU88"/>
    <mergeCell ref="AE87:AH87"/>
    <mergeCell ref="AI87:AN87"/>
    <mergeCell ref="AO87:AR87"/>
    <mergeCell ref="AS87:AU87"/>
    <mergeCell ref="AV87:AZ87"/>
    <mergeCell ref="AV88:AZ88"/>
    <mergeCell ref="Z98:AA98"/>
    <mergeCell ref="F99:I99"/>
    <mergeCell ref="J99:O99"/>
    <mergeCell ref="P99:S99"/>
    <mergeCell ref="T99:V99"/>
    <mergeCell ref="W99:X99"/>
    <mergeCell ref="Z99:AA99"/>
    <mergeCell ref="F97:I97"/>
    <mergeCell ref="J97:O97"/>
    <mergeCell ref="P97:S97"/>
    <mergeCell ref="T97:V97"/>
    <mergeCell ref="W97:AA97"/>
    <mergeCell ref="F98:I98"/>
    <mergeCell ref="J98:O98"/>
    <mergeCell ref="P98:S98"/>
    <mergeCell ref="T98:V98"/>
    <mergeCell ref="W98:X98"/>
    <mergeCell ref="F101:I101"/>
    <mergeCell ref="J101:O101"/>
    <mergeCell ref="P101:S101"/>
    <mergeCell ref="T101:V101"/>
    <mergeCell ref="F100:I100"/>
    <mergeCell ref="J100:O100"/>
    <mergeCell ref="P100:S100"/>
    <mergeCell ref="T100:V100"/>
    <mergeCell ref="W100:AA100"/>
    <mergeCell ref="W101:AA101"/>
    <mergeCell ref="F104:I104"/>
    <mergeCell ref="J104:O104"/>
    <mergeCell ref="P104:S104"/>
    <mergeCell ref="T104:V104"/>
    <mergeCell ref="F102:I102"/>
    <mergeCell ref="J102:O102"/>
    <mergeCell ref="P102:S102"/>
    <mergeCell ref="T102:V102"/>
    <mergeCell ref="W102:AA102"/>
    <mergeCell ref="W104:AA104"/>
    <mergeCell ref="F103:I103"/>
    <mergeCell ref="J103:O103"/>
    <mergeCell ref="P103:S103"/>
    <mergeCell ref="T103:V103"/>
    <mergeCell ref="W103:X103"/>
    <mergeCell ref="Z103:AA103"/>
    <mergeCell ref="F106:I106"/>
    <mergeCell ref="J106:O106"/>
    <mergeCell ref="P106:S106"/>
    <mergeCell ref="T106:V106"/>
    <mergeCell ref="F105:I105"/>
    <mergeCell ref="J105:O105"/>
    <mergeCell ref="P105:S105"/>
    <mergeCell ref="T105:V105"/>
    <mergeCell ref="W105:AA105"/>
    <mergeCell ref="W106:AA106"/>
    <mergeCell ref="AY98:AZ98"/>
    <mergeCell ref="AE99:AH99"/>
    <mergeCell ref="AI99:AN99"/>
    <mergeCell ref="AO99:AR99"/>
    <mergeCell ref="AS99:AU99"/>
    <mergeCell ref="AV99:AW99"/>
    <mergeCell ref="AY99:AZ99"/>
    <mergeCell ref="AE97:AH97"/>
    <mergeCell ref="AI97:AN97"/>
    <mergeCell ref="AO97:AR97"/>
    <mergeCell ref="AS97:AU97"/>
    <mergeCell ref="AV97:AZ97"/>
    <mergeCell ref="AE98:AH98"/>
    <mergeCell ref="AI98:AN98"/>
    <mergeCell ref="AO98:AR98"/>
    <mergeCell ref="AS98:AU98"/>
    <mergeCell ref="AV98:AW98"/>
    <mergeCell ref="AV103:AW103"/>
    <mergeCell ref="AY103:AZ103"/>
    <mergeCell ref="AE101:AH101"/>
    <mergeCell ref="AI101:AN101"/>
    <mergeCell ref="AO101:AR101"/>
    <mergeCell ref="AS101:AU101"/>
    <mergeCell ref="AE100:AH100"/>
    <mergeCell ref="AI100:AN100"/>
    <mergeCell ref="AO100:AR100"/>
    <mergeCell ref="AS100:AU100"/>
    <mergeCell ref="AO105:AR105"/>
    <mergeCell ref="AS105:AU105"/>
    <mergeCell ref="AE104:AH104"/>
    <mergeCell ref="AI104:AN104"/>
    <mergeCell ref="AO104:AR104"/>
    <mergeCell ref="AS104:AU104"/>
    <mergeCell ref="AE102:AH102"/>
    <mergeCell ref="AI102:AN102"/>
    <mergeCell ref="AO102:AR102"/>
    <mergeCell ref="AS102:AU102"/>
    <mergeCell ref="AE103:AH103"/>
    <mergeCell ref="AI103:AN103"/>
    <mergeCell ref="AO103:AR103"/>
    <mergeCell ref="AS103:AU103"/>
    <mergeCell ref="Z126:AA126"/>
    <mergeCell ref="F127:I127"/>
    <mergeCell ref="J127:O127"/>
    <mergeCell ref="P127:S127"/>
    <mergeCell ref="T127:V127"/>
    <mergeCell ref="W127:X127"/>
    <mergeCell ref="Z127:AA127"/>
    <mergeCell ref="F125:I125"/>
    <mergeCell ref="J125:O125"/>
    <mergeCell ref="P125:S125"/>
    <mergeCell ref="T125:V125"/>
    <mergeCell ref="W125:AA125"/>
    <mergeCell ref="F126:I126"/>
    <mergeCell ref="J126:O126"/>
    <mergeCell ref="P126:S126"/>
    <mergeCell ref="T126:V126"/>
    <mergeCell ref="W126:X126"/>
    <mergeCell ref="F129:I129"/>
    <mergeCell ref="J129:O129"/>
    <mergeCell ref="P129:S129"/>
    <mergeCell ref="T129:V129"/>
    <mergeCell ref="F128:I128"/>
    <mergeCell ref="J128:O128"/>
    <mergeCell ref="P128:S128"/>
    <mergeCell ref="T128:V128"/>
    <mergeCell ref="W128:AA128"/>
    <mergeCell ref="W129:AA129"/>
    <mergeCell ref="F131:I131"/>
    <mergeCell ref="J131:O131"/>
    <mergeCell ref="P131:S131"/>
    <mergeCell ref="T131:V131"/>
    <mergeCell ref="W131:X131"/>
    <mergeCell ref="Z131:AA131"/>
    <mergeCell ref="F130:I130"/>
    <mergeCell ref="J130:O130"/>
    <mergeCell ref="P130:S130"/>
    <mergeCell ref="T130:V130"/>
    <mergeCell ref="W130:AA130"/>
    <mergeCell ref="J133:O133"/>
    <mergeCell ref="P133:S133"/>
    <mergeCell ref="T133:V133"/>
    <mergeCell ref="F132:I132"/>
    <mergeCell ref="J132:O132"/>
    <mergeCell ref="P132:S132"/>
    <mergeCell ref="T132:V132"/>
    <mergeCell ref="W132:AA132"/>
    <mergeCell ref="W133:AA133"/>
    <mergeCell ref="AY126:AZ126"/>
    <mergeCell ref="AE127:AH127"/>
    <mergeCell ref="AI127:AN127"/>
    <mergeCell ref="AO127:AR127"/>
    <mergeCell ref="AS127:AU127"/>
    <mergeCell ref="AV127:AW127"/>
    <mergeCell ref="AY127:AZ127"/>
    <mergeCell ref="AE125:AH125"/>
    <mergeCell ref="AI125:AN125"/>
    <mergeCell ref="AO125:AR125"/>
    <mergeCell ref="AS125:AU125"/>
    <mergeCell ref="AV125:AZ125"/>
    <mergeCell ref="AE126:AH126"/>
    <mergeCell ref="AI126:AN126"/>
    <mergeCell ref="AO126:AR126"/>
    <mergeCell ref="AS126:AU126"/>
    <mergeCell ref="AV126:AW126"/>
    <mergeCell ref="AV52:AZ52"/>
    <mergeCell ref="AV53:AZ53"/>
    <mergeCell ref="AV54:AZ54"/>
    <mergeCell ref="AV56:AZ56"/>
    <mergeCell ref="AV57:AZ57"/>
    <mergeCell ref="AV58:AZ58"/>
    <mergeCell ref="AE133:AH133"/>
    <mergeCell ref="AI133:AN133"/>
    <mergeCell ref="AO133:AR133"/>
    <mergeCell ref="AS133:AU133"/>
    <mergeCell ref="AE132:AH132"/>
    <mergeCell ref="AI132:AN132"/>
    <mergeCell ref="AO132:AR132"/>
    <mergeCell ref="AS132:AU132"/>
    <mergeCell ref="AE131:AH131"/>
    <mergeCell ref="AI131:AN131"/>
    <mergeCell ref="AO131:AR131"/>
    <mergeCell ref="AS131:AU131"/>
    <mergeCell ref="AV131:AW131"/>
    <mergeCell ref="AY131:AZ131"/>
    <mergeCell ref="AE130:AH130"/>
    <mergeCell ref="AI130:AN130"/>
    <mergeCell ref="AO130:AR130"/>
    <mergeCell ref="AS130:AU130"/>
    <mergeCell ref="Z67:AA67"/>
    <mergeCell ref="W68:X68"/>
    <mergeCell ref="Z68:AA68"/>
    <mergeCell ref="F66:I66"/>
    <mergeCell ref="J66:O66"/>
    <mergeCell ref="P66:S66"/>
    <mergeCell ref="T66:V66"/>
    <mergeCell ref="W66:AA66"/>
    <mergeCell ref="F69:I69"/>
    <mergeCell ref="J69:O69"/>
    <mergeCell ref="P69:S69"/>
    <mergeCell ref="T69:V69"/>
    <mergeCell ref="W69:AA69"/>
    <mergeCell ref="F67:I67"/>
    <mergeCell ref="J67:O67"/>
    <mergeCell ref="P67:S67"/>
    <mergeCell ref="T67:V67"/>
    <mergeCell ref="F68:I68"/>
    <mergeCell ref="J68:O68"/>
    <mergeCell ref="P68:S68"/>
    <mergeCell ref="T68:V68"/>
    <mergeCell ref="W67:X67"/>
    <mergeCell ref="F70:I70"/>
    <mergeCell ref="J70:O70"/>
    <mergeCell ref="P70:S70"/>
    <mergeCell ref="T70:V70"/>
    <mergeCell ref="W70:AA70"/>
    <mergeCell ref="T73:V73"/>
    <mergeCell ref="W73:AA73"/>
    <mergeCell ref="F74:I74"/>
    <mergeCell ref="J74:O74"/>
    <mergeCell ref="P74:S74"/>
    <mergeCell ref="T74:V74"/>
    <mergeCell ref="W74:AA74"/>
    <mergeCell ref="F71:I71"/>
    <mergeCell ref="J71:O71"/>
    <mergeCell ref="P71:S71"/>
    <mergeCell ref="T71:V71"/>
    <mergeCell ref="W71:AA71"/>
    <mergeCell ref="F72:I72"/>
    <mergeCell ref="J72:O72"/>
    <mergeCell ref="P72:S72"/>
    <mergeCell ref="T72:V72"/>
    <mergeCell ref="W72:X72"/>
    <mergeCell ref="Z72:AA72"/>
    <mergeCell ref="F75:I75"/>
    <mergeCell ref="J75:O75"/>
    <mergeCell ref="P75:S75"/>
    <mergeCell ref="T75:V75"/>
    <mergeCell ref="W75:AA75"/>
    <mergeCell ref="AE66:AH66"/>
    <mergeCell ref="AI66:AN66"/>
    <mergeCell ref="AO66:AR66"/>
    <mergeCell ref="AS66:AU66"/>
    <mergeCell ref="AE69:AH69"/>
    <mergeCell ref="AI69:AN69"/>
    <mergeCell ref="AO69:AR69"/>
    <mergeCell ref="AS69:AU69"/>
    <mergeCell ref="AE72:AH72"/>
    <mergeCell ref="AI72:AN72"/>
    <mergeCell ref="AO72:AR72"/>
    <mergeCell ref="AS72:AU72"/>
    <mergeCell ref="AE75:AH75"/>
    <mergeCell ref="AI75:AN75"/>
    <mergeCell ref="AO75:AR75"/>
    <mergeCell ref="AS75:AU75"/>
    <mergeCell ref="F73:I73"/>
    <mergeCell ref="J73:O73"/>
    <mergeCell ref="P73:S73"/>
    <mergeCell ref="AV66:AZ66"/>
    <mergeCell ref="AE67:AH67"/>
    <mergeCell ref="AI67:AN67"/>
    <mergeCell ref="AO67:AR67"/>
    <mergeCell ref="AS67:AU67"/>
    <mergeCell ref="AV67:AW67"/>
    <mergeCell ref="AY67:AZ67"/>
    <mergeCell ref="AE68:AH68"/>
    <mergeCell ref="AI68:AN68"/>
    <mergeCell ref="AO68:AR68"/>
    <mergeCell ref="AS68:AU68"/>
    <mergeCell ref="AV68:AW68"/>
    <mergeCell ref="AY68:AZ68"/>
    <mergeCell ref="AV69:AZ69"/>
    <mergeCell ref="AE70:AH70"/>
    <mergeCell ref="AI70:AN70"/>
    <mergeCell ref="AO70:AR70"/>
    <mergeCell ref="AS70:AU70"/>
    <mergeCell ref="AV70:AZ70"/>
    <mergeCell ref="AE71:AH71"/>
    <mergeCell ref="AI71:AN71"/>
    <mergeCell ref="AO71:AR71"/>
    <mergeCell ref="AS71:AU71"/>
    <mergeCell ref="AV71:AZ71"/>
    <mergeCell ref="AV72:AW72"/>
    <mergeCell ref="AY72:AZ72"/>
    <mergeCell ref="AE73:AH73"/>
    <mergeCell ref="AI73:AN73"/>
    <mergeCell ref="AO73:AR73"/>
    <mergeCell ref="AS73:AU73"/>
    <mergeCell ref="AV73:AZ73"/>
    <mergeCell ref="AE74:AH74"/>
    <mergeCell ref="AI74:AN74"/>
    <mergeCell ref="AO74:AR74"/>
    <mergeCell ref="AS74:AU74"/>
    <mergeCell ref="AV74:AZ74"/>
    <mergeCell ref="AV75:AZ75"/>
    <mergeCell ref="AE110:AH110"/>
    <mergeCell ref="AI110:AN110"/>
    <mergeCell ref="AO110:AR110"/>
    <mergeCell ref="AS110:AU110"/>
    <mergeCell ref="AV110:AZ110"/>
    <mergeCell ref="AE111:AH111"/>
    <mergeCell ref="AI111:AN111"/>
    <mergeCell ref="AO111:AR111"/>
    <mergeCell ref="AS111:AU111"/>
    <mergeCell ref="AV111:AW111"/>
    <mergeCell ref="AY111:AZ111"/>
    <mergeCell ref="AV100:AZ100"/>
    <mergeCell ref="AV101:AZ101"/>
    <mergeCell ref="AV102:AZ102"/>
    <mergeCell ref="AV104:AZ104"/>
    <mergeCell ref="AV105:AZ105"/>
    <mergeCell ref="AV106:AZ106"/>
    <mergeCell ref="AE106:AH106"/>
    <mergeCell ref="AI106:AN106"/>
    <mergeCell ref="AO106:AR106"/>
    <mergeCell ref="AS106:AU106"/>
    <mergeCell ref="AE105:AH105"/>
    <mergeCell ref="AI105:AN105"/>
    <mergeCell ref="AE112:AH112"/>
    <mergeCell ref="AI112:AN112"/>
    <mergeCell ref="AO112:AR112"/>
    <mergeCell ref="AS112:AU112"/>
    <mergeCell ref="AV112:AW112"/>
    <mergeCell ref="AY112:AZ112"/>
    <mergeCell ref="AE113:AH113"/>
    <mergeCell ref="AI113:AN113"/>
    <mergeCell ref="AO113:AR113"/>
    <mergeCell ref="AS113:AU113"/>
    <mergeCell ref="AV113:AZ113"/>
    <mergeCell ref="AE114:AH114"/>
    <mergeCell ref="AI114:AN114"/>
    <mergeCell ref="AO114:AR114"/>
    <mergeCell ref="AS114:AU114"/>
    <mergeCell ref="AE115:AH115"/>
    <mergeCell ref="AI115:AN115"/>
    <mergeCell ref="AO115:AR115"/>
    <mergeCell ref="AS115:AU115"/>
    <mergeCell ref="AV114:AZ114"/>
    <mergeCell ref="AV115:AZ115"/>
    <mergeCell ref="AE116:AH116"/>
    <mergeCell ref="AI116:AN116"/>
    <mergeCell ref="AO116:AR116"/>
    <mergeCell ref="AS116:AU116"/>
    <mergeCell ref="AV116:AW116"/>
    <mergeCell ref="AY116:AZ116"/>
    <mergeCell ref="AE117:AH117"/>
    <mergeCell ref="AI117:AN117"/>
    <mergeCell ref="AO117:AR117"/>
    <mergeCell ref="AS117:AU117"/>
    <mergeCell ref="AV117:AZ117"/>
    <mergeCell ref="AE118:AH118"/>
    <mergeCell ref="AI118:AN118"/>
    <mergeCell ref="AO118:AR118"/>
    <mergeCell ref="AS118:AU118"/>
    <mergeCell ref="AE119:AH119"/>
    <mergeCell ref="AI119:AN119"/>
    <mergeCell ref="AO119:AR119"/>
    <mergeCell ref="AS119:AU119"/>
    <mergeCell ref="AV118:AZ118"/>
    <mergeCell ref="AV119:AZ119"/>
    <mergeCell ref="F134:I134"/>
    <mergeCell ref="J134:O134"/>
    <mergeCell ref="P134:S134"/>
    <mergeCell ref="T134:V134"/>
    <mergeCell ref="W134:AA134"/>
    <mergeCell ref="AV128:AZ128"/>
    <mergeCell ref="AV129:AZ129"/>
    <mergeCell ref="AV130:AZ130"/>
    <mergeCell ref="AV132:AZ132"/>
    <mergeCell ref="AV133:AZ133"/>
    <mergeCell ref="AE134:AH134"/>
    <mergeCell ref="AI134:AN134"/>
    <mergeCell ref="AO134:AR134"/>
    <mergeCell ref="AS134:AU134"/>
    <mergeCell ref="AV134:AZ134"/>
    <mergeCell ref="AE129:AH129"/>
    <mergeCell ref="AI129:AN129"/>
    <mergeCell ref="AO129:AR129"/>
    <mergeCell ref="AS129:AU129"/>
    <mergeCell ref="AE128:AH128"/>
    <mergeCell ref="AI128:AN128"/>
    <mergeCell ref="AO128:AR128"/>
    <mergeCell ref="AS128:AU128"/>
    <mergeCell ref="F133:I133"/>
    <mergeCell ref="AI38:AN38"/>
    <mergeCell ref="AO38:AR38"/>
    <mergeCell ref="AS38:AU38"/>
    <mergeCell ref="AV38:AZ38"/>
    <mergeCell ref="AE39:AH39"/>
    <mergeCell ref="AI39:AN39"/>
    <mergeCell ref="AO39:AR39"/>
    <mergeCell ref="AS39:AU39"/>
    <mergeCell ref="AV39:AZ39"/>
    <mergeCell ref="AS43:AU43"/>
    <mergeCell ref="AV43:AZ43"/>
    <mergeCell ref="AE44:AH44"/>
    <mergeCell ref="AI44:AN44"/>
    <mergeCell ref="AO44:AR44"/>
    <mergeCell ref="AS44:AU44"/>
    <mergeCell ref="AV44:AZ44"/>
    <mergeCell ref="AE45:AH45"/>
    <mergeCell ref="AI45:AN45"/>
    <mergeCell ref="AO45:AR45"/>
    <mergeCell ref="AS45:AU45"/>
    <mergeCell ref="AV45:AZ45"/>
    <mergeCell ref="F36:I36"/>
    <mergeCell ref="J36:O36"/>
    <mergeCell ref="P36:S36"/>
    <mergeCell ref="T36:V36"/>
    <mergeCell ref="W36:AA36"/>
    <mergeCell ref="F37:I37"/>
    <mergeCell ref="J37:O37"/>
    <mergeCell ref="P37:S37"/>
    <mergeCell ref="T37:V37"/>
    <mergeCell ref="W37:AA37"/>
    <mergeCell ref="F38:I38"/>
    <mergeCell ref="J38:O38"/>
    <mergeCell ref="P38:S38"/>
    <mergeCell ref="T38:V38"/>
    <mergeCell ref="W38:AA38"/>
    <mergeCell ref="F39:I39"/>
    <mergeCell ref="J39:O39"/>
    <mergeCell ref="P39:S39"/>
    <mergeCell ref="T39:V39"/>
    <mergeCell ref="W39:AA39"/>
    <mergeCell ref="F40:I40"/>
    <mergeCell ref="J40:O40"/>
    <mergeCell ref="P40:S40"/>
    <mergeCell ref="T40:V40"/>
    <mergeCell ref="W40:AA40"/>
    <mergeCell ref="F41:I41"/>
    <mergeCell ref="J41:O41"/>
    <mergeCell ref="P41:S41"/>
    <mergeCell ref="T41:V41"/>
    <mergeCell ref="W41:AA41"/>
    <mergeCell ref="F42:I42"/>
    <mergeCell ref="J42:O42"/>
    <mergeCell ref="P42:S42"/>
    <mergeCell ref="T42:V42"/>
    <mergeCell ref="W42:AA42"/>
    <mergeCell ref="F43:I43"/>
    <mergeCell ref="J43:O43"/>
    <mergeCell ref="P43:S43"/>
    <mergeCell ref="T43:V43"/>
    <mergeCell ref="W43:AA43"/>
    <mergeCell ref="F44:I44"/>
    <mergeCell ref="J44:O44"/>
    <mergeCell ref="P44:S44"/>
    <mergeCell ref="T44:V44"/>
    <mergeCell ref="W44:AA44"/>
    <mergeCell ref="F45:I45"/>
    <mergeCell ref="J45:O45"/>
    <mergeCell ref="P45:S45"/>
    <mergeCell ref="T45:V45"/>
    <mergeCell ref="W45:AA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25" orientation="landscape" r:id="rId1"/>
  <headerFooter>
    <oddHeader>&amp;R&amp;F</oddHeader>
    <oddFooter>&amp;C&amp;P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" customWidth="1"/>
    <col min="61" max="16384" width="2.77734375" style="19"/>
  </cols>
  <sheetData>
    <row r="1" spans="1:63" ht="24.95" customHeight="1" x14ac:dyDescent="0.25">
      <c r="A1" s="274" t="s">
        <v>64</v>
      </c>
      <c r="B1" s="275"/>
      <c r="C1" s="275"/>
      <c r="D1" s="275"/>
      <c r="E1" s="275"/>
      <c r="F1" s="275"/>
      <c r="G1" s="275"/>
      <c r="H1" s="275"/>
      <c r="I1" s="275"/>
      <c r="J1" s="276"/>
      <c r="K1" s="274" t="s">
        <v>65</v>
      </c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6"/>
      <c r="W1" s="305" t="str">
        <f>IF(表紙!W1="","",表紙!W1)</f>
        <v>基本設計書</v>
      </c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7"/>
      <c r="AP1" s="74" t="s">
        <v>67</v>
      </c>
      <c r="AQ1" s="75"/>
      <c r="AR1" s="75"/>
      <c r="AS1" s="76"/>
      <c r="AT1" s="74" t="s">
        <v>68</v>
      </c>
      <c r="AU1" s="75"/>
      <c r="AV1" s="75"/>
      <c r="AW1" s="75"/>
      <c r="AX1" s="76"/>
      <c r="AY1" s="74" t="s">
        <v>69</v>
      </c>
      <c r="AZ1" s="75"/>
      <c r="BA1" s="75"/>
      <c r="BB1" s="76"/>
      <c r="BC1" s="74" t="s">
        <v>70</v>
      </c>
      <c r="BD1" s="75"/>
      <c r="BE1" s="75"/>
      <c r="BF1" s="75"/>
      <c r="BG1" s="76"/>
      <c r="BH1" s="74" t="s">
        <v>71</v>
      </c>
      <c r="BI1" s="75"/>
      <c r="BJ1" s="75"/>
      <c r="BK1" s="76"/>
    </row>
    <row r="2" spans="1:63" ht="15" customHeight="1" x14ac:dyDescent="0.25">
      <c r="A2" s="299" t="str">
        <f>IF(表紙!A2="","",表紙!A2)</f>
        <v>POSサーバー</v>
      </c>
      <c r="B2" s="300"/>
      <c r="C2" s="300"/>
      <c r="D2" s="300"/>
      <c r="E2" s="300"/>
      <c r="F2" s="300"/>
      <c r="G2" s="300"/>
      <c r="H2" s="300"/>
      <c r="I2" s="300"/>
      <c r="J2" s="301"/>
      <c r="K2" s="299" t="str">
        <f>IF(表紙!K2="","",表紙!K2)</f>
        <v>POSサーバー</v>
      </c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1"/>
      <c r="W2" s="308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10"/>
      <c r="AP2" s="77" t="str">
        <f>IF(表紙!AP2="","",表紙!AP2)</f>
        <v>TuyenNH</v>
      </c>
      <c r="AQ2" s="78"/>
      <c r="AR2" s="78"/>
      <c r="AS2" s="79"/>
      <c r="AT2" s="104">
        <f>IF(表紙!AT2="","",表紙!AT2)</f>
        <v>45427</v>
      </c>
      <c r="AU2" s="105"/>
      <c r="AV2" s="105"/>
      <c r="AW2" s="105"/>
      <c r="AX2" s="106"/>
      <c r="AY2" s="77" t="str">
        <f>IF(表紙!AY2="","",表紙!AY2)</f>
        <v>TuyenNH</v>
      </c>
      <c r="AZ2" s="78"/>
      <c r="BA2" s="78"/>
      <c r="BB2" s="79"/>
      <c r="BC2" s="104">
        <f>IF(表紙!BC2="","",表紙!BC2)</f>
        <v>45523</v>
      </c>
      <c r="BD2" s="105"/>
      <c r="BE2" s="105"/>
      <c r="BF2" s="105"/>
      <c r="BG2" s="106"/>
      <c r="BH2" s="77">
        <f>IF(表紙!BH2="","",表紙!BH2)</f>
        <v>0.14000000000000001</v>
      </c>
      <c r="BI2" s="78"/>
      <c r="BJ2" s="78"/>
      <c r="BK2" s="79"/>
    </row>
    <row r="3" spans="1:63" ht="15" customHeight="1" x14ac:dyDescent="0.25">
      <c r="A3" s="302"/>
      <c r="B3" s="303"/>
      <c r="C3" s="303"/>
      <c r="D3" s="303"/>
      <c r="E3" s="303"/>
      <c r="F3" s="303"/>
      <c r="G3" s="303"/>
      <c r="H3" s="303"/>
      <c r="I3" s="303"/>
      <c r="J3" s="304"/>
      <c r="K3" s="302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11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3"/>
      <c r="AP3" s="80"/>
      <c r="AQ3" s="81"/>
      <c r="AR3" s="81"/>
      <c r="AS3" s="82"/>
      <c r="AT3" s="107"/>
      <c r="AU3" s="108"/>
      <c r="AV3" s="108"/>
      <c r="AW3" s="108"/>
      <c r="AX3" s="109"/>
      <c r="AY3" s="80"/>
      <c r="AZ3" s="81"/>
      <c r="BA3" s="81"/>
      <c r="BB3" s="82"/>
      <c r="BC3" s="107"/>
      <c r="BD3" s="108"/>
      <c r="BE3" s="108"/>
      <c r="BF3" s="108"/>
      <c r="BG3" s="109"/>
      <c r="BH3" s="80"/>
      <c r="BI3" s="81"/>
      <c r="BJ3" s="81"/>
      <c r="BK3" s="82"/>
    </row>
    <row r="4" spans="1:63" ht="24.95" customHeight="1" x14ac:dyDescent="0.25">
      <c r="A4" s="274" t="s">
        <v>73</v>
      </c>
      <c r="B4" s="275"/>
      <c r="C4" s="275"/>
      <c r="D4" s="275"/>
      <c r="E4" s="275"/>
      <c r="F4" s="275"/>
      <c r="G4" s="276"/>
      <c r="H4" s="277" t="str">
        <f>IF(表紙!H4="","",表紙!H4)</f>
        <v>26 取扱設定マスタ設定(Welcia)</v>
      </c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9"/>
      <c r="U4" s="274" t="s">
        <v>74</v>
      </c>
      <c r="V4" s="275"/>
      <c r="W4" s="275"/>
      <c r="X4" s="275"/>
      <c r="Y4" s="276"/>
      <c r="Z4" s="277" t="str">
        <f>IF(表紙!Z4="","",表紙!Z4)</f>
        <v>概要設計書</v>
      </c>
      <c r="AA4" s="278"/>
      <c r="AB4" s="278"/>
      <c r="AC4" s="278"/>
      <c r="AD4" s="278"/>
      <c r="AE4" s="278"/>
      <c r="AF4" s="278"/>
      <c r="AG4" s="278"/>
      <c r="AH4" s="278"/>
      <c r="AI4" s="278"/>
      <c r="AJ4" s="278"/>
      <c r="AK4" s="278"/>
      <c r="AL4" s="278"/>
      <c r="AM4" s="278"/>
      <c r="AN4" s="278"/>
      <c r="AO4" s="279"/>
      <c r="AP4" s="280" t="str">
        <f ca="1">MID(CELL("filename",A1),FIND("]",CELL("filename",A1))+1,255)</f>
        <v>テンプレート</v>
      </c>
      <c r="AQ4" s="278"/>
      <c r="AR4" s="278"/>
      <c r="AS4" s="278"/>
      <c r="AT4" s="278"/>
      <c r="AU4" s="278"/>
      <c r="AV4" s="278"/>
      <c r="AW4" s="278"/>
      <c r="AX4" s="278"/>
      <c r="AY4" s="278"/>
      <c r="AZ4" s="278"/>
      <c r="BA4" s="278"/>
      <c r="BB4" s="278"/>
      <c r="BC4" s="278"/>
      <c r="BD4" s="278"/>
      <c r="BE4" s="278"/>
      <c r="BF4" s="278"/>
      <c r="BG4" s="278"/>
      <c r="BH4" s="278"/>
      <c r="BI4" s="278"/>
      <c r="BJ4" s="278"/>
      <c r="BK4" s="279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55"/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8"/>
      <c r="U7" s="56"/>
      <c r="V7" s="57"/>
      <c r="W7" s="57"/>
      <c r="X7" s="57"/>
      <c r="Y7" s="57"/>
      <c r="Z7" s="57"/>
      <c r="AA7" s="57"/>
      <c r="AB7" s="57"/>
      <c r="AC7" s="58"/>
      <c r="AD7" s="56"/>
      <c r="AE7" s="57"/>
      <c r="AF7" s="57"/>
      <c r="AG7" s="57"/>
      <c r="AH7" s="57"/>
      <c r="AI7" s="57"/>
      <c r="AJ7" s="57"/>
      <c r="AK7" s="57"/>
      <c r="AL7" s="58"/>
      <c r="AM7" s="56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8"/>
      <c r="BJ7" s="57"/>
      <c r="BK7" s="24"/>
    </row>
    <row r="8" spans="1:63" ht="15" customHeight="1" x14ac:dyDescent="0.25">
      <c r="A8" s="23"/>
      <c r="C8" s="59"/>
      <c r="U8" s="59"/>
      <c r="AD8" s="59"/>
      <c r="AM8" s="59"/>
      <c r="BI8" s="61"/>
    </row>
    <row r="9" spans="1:63" ht="15" customHeight="1" x14ac:dyDescent="0.25">
      <c r="A9" s="23"/>
      <c r="C9" s="59"/>
      <c r="U9" s="59"/>
      <c r="AD9" s="59"/>
      <c r="AM9" s="59"/>
      <c r="BI9" s="61"/>
    </row>
    <row r="10" spans="1:63" ht="15" customHeight="1" x14ac:dyDescent="0.25">
      <c r="A10" s="23"/>
      <c r="C10" s="59"/>
      <c r="U10" s="59"/>
      <c r="AD10" s="59"/>
      <c r="AM10" s="59"/>
      <c r="BI10" s="61"/>
    </row>
    <row r="11" spans="1:63" ht="15" customHeight="1" x14ac:dyDescent="0.25">
      <c r="A11" s="23"/>
      <c r="C11" s="59"/>
      <c r="U11" s="59"/>
      <c r="AD11" s="59"/>
      <c r="AM11" s="59"/>
      <c r="BI11" s="61"/>
    </row>
    <row r="12" spans="1:63" ht="15" customHeight="1" x14ac:dyDescent="0.25">
      <c r="A12" s="23"/>
      <c r="C12" s="59"/>
      <c r="U12" s="59"/>
      <c r="AD12" s="59"/>
      <c r="AM12" s="59"/>
      <c r="AX12" s="19" t="s">
        <v>30</v>
      </c>
      <c r="BI12" s="61"/>
    </row>
    <row r="13" spans="1:63" ht="15" customHeight="1" x14ac:dyDescent="0.25">
      <c r="A13" s="23"/>
      <c r="C13" s="59"/>
      <c r="U13" s="59"/>
      <c r="AD13" s="59"/>
      <c r="AM13" s="59"/>
      <c r="BI13" s="61"/>
    </row>
    <row r="14" spans="1:63" ht="15" customHeight="1" x14ac:dyDescent="0.25">
      <c r="A14" s="23"/>
      <c r="C14" s="59"/>
      <c r="U14" s="59"/>
      <c r="AD14" s="59"/>
      <c r="AM14" s="59"/>
      <c r="BI14" s="61"/>
    </row>
    <row r="15" spans="1:63" ht="15" customHeight="1" x14ac:dyDescent="0.25">
      <c r="A15" s="23"/>
      <c r="C15" s="59"/>
      <c r="U15" s="59"/>
      <c r="AD15" s="59"/>
      <c r="AM15" s="59"/>
      <c r="BI15" s="61"/>
    </row>
    <row r="16" spans="1:63" ht="15" customHeight="1" x14ac:dyDescent="0.25">
      <c r="A16" s="23"/>
      <c r="C16" s="59"/>
      <c r="U16" s="59"/>
      <c r="AD16" s="59"/>
      <c r="AM16" s="59"/>
      <c r="BI16" s="61"/>
    </row>
    <row r="17" spans="1:61" ht="15" customHeight="1" x14ac:dyDescent="0.25">
      <c r="A17" s="23"/>
      <c r="C17" s="59"/>
      <c r="U17" s="59"/>
      <c r="AD17" s="59"/>
      <c r="AM17" s="59"/>
      <c r="BI17" s="61"/>
    </row>
    <row r="18" spans="1:61" ht="15" customHeight="1" x14ac:dyDescent="0.25">
      <c r="A18" s="23"/>
      <c r="C18" s="59"/>
      <c r="U18" s="59"/>
      <c r="AD18" s="59"/>
      <c r="AM18" s="59"/>
      <c r="BI18" s="61"/>
    </row>
    <row r="19" spans="1:61" ht="15" customHeight="1" x14ac:dyDescent="0.25">
      <c r="A19" s="23"/>
      <c r="C19" s="59"/>
      <c r="U19" s="59"/>
      <c r="AD19" s="59"/>
      <c r="AM19" s="59"/>
      <c r="BI19" s="61"/>
    </row>
    <row r="20" spans="1:61" ht="15" customHeight="1" x14ac:dyDescent="0.25">
      <c r="A20" s="23"/>
      <c r="C20" s="59"/>
      <c r="U20" s="59"/>
      <c r="AD20" s="59"/>
      <c r="AM20" s="59"/>
      <c r="BI20" s="61"/>
    </row>
    <row r="21" spans="1:61" ht="15" customHeight="1" x14ac:dyDescent="0.25">
      <c r="A21" s="23"/>
      <c r="C21" s="59"/>
      <c r="U21" s="59"/>
      <c r="AD21" s="59"/>
      <c r="AM21" s="59"/>
      <c r="BI21" s="61"/>
    </row>
    <row r="22" spans="1:61" ht="15" customHeight="1" x14ac:dyDescent="0.25">
      <c r="A22" s="23"/>
      <c r="C22" s="59"/>
      <c r="U22" s="59"/>
      <c r="AD22" s="59"/>
      <c r="AM22" s="59"/>
      <c r="BI22" s="61"/>
    </row>
    <row r="23" spans="1:61" ht="15" customHeight="1" x14ac:dyDescent="0.25">
      <c r="A23" s="23"/>
      <c r="C23" s="59"/>
      <c r="U23" s="59"/>
      <c r="AD23" s="59"/>
      <c r="AM23" s="59"/>
      <c r="BI23" s="61"/>
    </row>
    <row r="24" spans="1:61" ht="15" customHeight="1" x14ac:dyDescent="0.25">
      <c r="A24" s="23"/>
      <c r="C24" s="59"/>
      <c r="U24" s="59"/>
      <c r="AD24" s="59"/>
      <c r="AM24" s="59"/>
      <c r="BI24" s="61"/>
    </row>
    <row r="25" spans="1:61" ht="15" customHeight="1" x14ac:dyDescent="0.25">
      <c r="A25" s="23"/>
      <c r="C25" s="59"/>
      <c r="U25" s="59"/>
      <c r="AD25" s="59"/>
      <c r="AM25" s="59"/>
      <c r="BI25" s="61"/>
    </row>
    <row r="26" spans="1:61" ht="15" customHeight="1" x14ac:dyDescent="0.25">
      <c r="A26" s="23"/>
      <c r="C26" s="59"/>
      <c r="U26" s="59"/>
      <c r="AD26" s="59"/>
      <c r="AM26" s="59"/>
      <c r="BI26" s="61"/>
    </row>
    <row r="27" spans="1:61" ht="15" customHeight="1" x14ac:dyDescent="0.25">
      <c r="A27" s="23"/>
      <c r="C27" s="59"/>
      <c r="U27" s="59"/>
      <c r="AD27" s="59"/>
      <c r="AM27" s="59"/>
      <c r="BI27" s="61"/>
    </row>
    <row r="28" spans="1:61" ht="15" customHeight="1" x14ac:dyDescent="0.25">
      <c r="A28" s="23"/>
      <c r="C28" s="59"/>
      <c r="U28" s="59"/>
      <c r="AD28" s="59"/>
      <c r="AM28" s="59"/>
      <c r="BI28" s="61"/>
    </row>
    <row r="29" spans="1:61" ht="15" customHeight="1" x14ac:dyDescent="0.25">
      <c r="A29" s="23"/>
      <c r="C29" s="59"/>
      <c r="U29" s="59"/>
      <c r="AD29" s="59"/>
      <c r="AM29" s="59"/>
      <c r="BI29" s="61"/>
    </row>
    <row r="30" spans="1:61" ht="15" customHeight="1" x14ac:dyDescent="0.25">
      <c r="A30" s="23"/>
      <c r="C30" s="59"/>
      <c r="U30" s="59"/>
      <c r="AD30" s="59"/>
      <c r="AM30" s="59"/>
      <c r="BI30" s="61"/>
    </row>
    <row r="31" spans="1:61" ht="15" customHeight="1" x14ac:dyDescent="0.25">
      <c r="A31" s="23"/>
      <c r="C31" s="59"/>
      <c r="U31" s="59"/>
      <c r="AD31" s="59"/>
      <c r="AM31" s="59"/>
      <c r="BI31" s="61"/>
    </row>
    <row r="32" spans="1:61" ht="15" customHeight="1" x14ac:dyDescent="0.25">
      <c r="A32" s="23"/>
      <c r="C32" s="59"/>
      <c r="U32" s="59"/>
      <c r="AD32" s="59"/>
      <c r="AM32" s="59"/>
      <c r="BI32" s="61"/>
    </row>
    <row r="33" spans="1:61" ht="15" customHeight="1" x14ac:dyDescent="0.25">
      <c r="A33" s="23"/>
      <c r="C33" s="59"/>
      <c r="U33" s="59"/>
      <c r="AD33" s="59"/>
      <c r="AM33" s="59"/>
      <c r="BI33" s="61"/>
    </row>
    <row r="34" spans="1:61" ht="15" customHeight="1" x14ac:dyDescent="0.25">
      <c r="A34" s="23"/>
      <c r="C34" s="59"/>
      <c r="U34" s="59"/>
      <c r="AD34" s="59"/>
      <c r="AM34" s="59"/>
      <c r="BI34" s="61"/>
    </row>
    <row r="35" spans="1:61" ht="15" customHeight="1" x14ac:dyDescent="0.25">
      <c r="A35" s="23"/>
      <c r="C35" s="59"/>
      <c r="U35" s="59"/>
      <c r="AD35" s="59"/>
      <c r="AM35" s="59"/>
      <c r="BI35" s="61"/>
    </row>
    <row r="36" spans="1:61" ht="15" customHeight="1" x14ac:dyDescent="0.25">
      <c r="A36" s="23"/>
      <c r="C36" s="59"/>
      <c r="U36" s="59"/>
      <c r="AD36" s="59"/>
      <c r="AM36" s="59"/>
      <c r="BI36" s="61"/>
    </row>
    <row r="37" spans="1:61" ht="15" customHeight="1" x14ac:dyDescent="0.25">
      <c r="A37" s="23"/>
      <c r="C37" s="59"/>
      <c r="U37" s="59"/>
      <c r="AD37" s="59"/>
      <c r="AM37" s="59"/>
      <c r="BI37" s="61"/>
    </row>
    <row r="38" spans="1:61" ht="15" customHeight="1" x14ac:dyDescent="0.25">
      <c r="A38" s="23"/>
      <c r="C38" s="59"/>
      <c r="U38" s="59"/>
      <c r="AD38" s="59"/>
      <c r="AM38" s="59"/>
      <c r="BI38" s="61"/>
    </row>
    <row r="39" spans="1:61" ht="15" customHeight="1" x14ac:dyDescent="0.25">
      <c r="A39" s="23"/>
      <c r="C39" s="59"/>
      <c r="U39" s="59"/>
      <c r="AD39" s="59"/>
      <c r="AM39" s="59"/>
      <c r="BI39" s="61"/>
    </row>
    <row r="40" spans="1:61" ht="15" customHeight="1" x14ac:dyDescent="0.25">
      <c r="A40" s="23"/>
      <c r="C40" s="59"/>
      <c r="U40" s="59"/>
      <c r="AD40" s="59"/>
      <c r="AM40" s="59"/>
      <c r="BI40" s="61"/>
    </row>
    <row r="41" spans="1:61" ht="15" customHeight="1" x14ac:dyDescent="0.25">
      <c r="A41" s="23"/>
      <c r="C41" s="59"/>
      <c r="U41" s="59"/>
      <c r="AD41" s="59"/>
      <c r="AM41" s="59"/>
      <c r="BI41" s="61"/>
    </row>
    <row r="42" spans="1:61" ht="15" customHeight="1" x14ac:dyDescent="0.25">
      <c r="A42" s="23"/>
      <c r="C42" s="59"/>
      <c r="U42" s="59"/>
      <c r="AD42" s="59"/>
      <c r="AM42" s="59"/>
      <c r="BI42" s="61"/>
    </row>
    <row r="43" spans="1:61" ht="15" customHeight="1" x14ac:dyDescent="0.25">
      <c r="A43" s="23"/>
      <c r="C43" s="59"/>
      <c r="U43" s="59"/>
      <c r="AD43" s="59"/>
      <c r="AM43" s="59"/>
      <c r="BI43" s="61"/>
    </row>
    <row r="44" spans="1:61" ht="15" customHeight="1" x14ac:dyDescent="0.25">
      <c r="A44" s="23"/>
      <c r="C44" s="59"/>
      <c r="U44" s="59"/>
      <c r="AD44" s="59"/>
      <c r="AM44" s="59"/>
      <c r="BI44" s="61"/>
    </row>
    <row r="45" spans="1:61" ht="15" customHeight="1" x14ac:dyDescent="0.25">
      <c r="A45" s="23"/>
      <c r="C45" s="59"/>
      <c r="U45" s="59"/>
      <c r="AD45" s="59"/>
      <c r="AM45" s="59"/>
      <c r="BI45" s="61"/>
    </row>
    <row r="46" spans="1:61" ht="15" customHeight="1" x14ac:dyDescent="0.25">
      <c r="A46" s="23"/>
      <c r="C46" s="59"/>
      <c r="U46" s="59"/>
      <c r="AD46" s="59"/>
      <c r="AM46" s="59"/>
      <c r="BI46" s="61"/>
    </row>
    <row r="47" spans="1:61" ht="15" customHeight="1" x14ac:dyDescent="0.25">
      <c r="A47" s="23"/>
      <c r="C47" s="59"/>
      <c r="U47" s="59"/>
      <c r="AD47" s="59"/>
      <c r="AM47" s="59"/>
      <c r="BI47" s="61"/>
    </row>
    <row r="48" spans="1:61" ht="15" customHeight="1" x14ac:dyDescent="0.25">
      <c r="A48" s="23"/>
      <c r="C48" s="59"/>
      <c r="U48" s="59"/>
      <c r="AD48" s="59"/>
      <c r="AM48" s="59"/>
      <c r="BI48" s="61"/>
    </row>
    <row r="49" spans="1:63" ht="15" customHeight="1" x14ac:dyDescent="0.25">
      <c r="A49" s="23"/>
      <c r="C49" s="59"/>
      <c r="U49" s="59"/>
      <c r="AD49" s="59"/>
      <c r="AM49" s="59"/>
      <c r="BI49" s="61"/>
    </row>
    <row r="50" spans="1:63" ht="15" customHeight="1" x14ac:dyDescent="0.25">
      <c r="A50" s="23"/>
      <c r="C50" s="59"/>
      <c r="U50" s="59"/>
      <c r="AD50" s="59"/>
      <c r="AM50" s="59"/>
      <c r="BI50" s="61"/>
    </row>
    <row r="51" spans="1:63" ht="15" customHeight="1" x14ac:dyDescent="0.25">
      <c r="A51" s="23"/>
      <c r="C51" s="59"/>
      <c r="U51" s="59"/>
      <c r="AD51" s="59"/>
      <c r="AM51" s="59"/>
      <c r="BI51" s="61"/>
    </row>
    <row r="52" spans="1:63" ht="15" customHeight="1" x14ac:dyDescent="0.25">
      <c r="A52" s="23"/>
      <c r="C52" s="59"/>
      <c r="U52" s="59"/>
      <c r="AD52" s="59"/>
      <c r="AM52" s="59"/>
      <c r="BI52" s="61"/>
    </row>
    <row r="53" spans="1:63" ht="15" customHeight="1" x14ac:dyDescent="0.25">
      <c r="A53" s="23"/>
      <c r="C53" s="59"/>
      <c r="U53" s="59"/>
      <c r="AD53" s="59"/>
      <c r="AM53" s="59"/>
      <c r="BI53" s="61"/>
    </row>
    <row r="54" spans="1:63" ht="15" customHeight="1" x14ac:dyDescent="0.25">
      <c r="A54" s="23"/>
      <c r="C54" s="59"/>
      <c r="U54" s="59"/>
      <c r="AD54" s="59"/>
      <c r="AM54" s="59"/>
      <c r="BI54" s="61"/>
    </row>
    <row r="55" spans="1:63" ht="15" customHeight="1" x14ac:dyDescent="0.25">
      <c r="A55" s="20"/>
      <c r="B55" s="72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72"/>
      <c r="V55" s="21"/>
      <c r="W55" s="21"/>
      <c r="X55" s="21"/>
      <c r="Y55" s="21"/>
      <c r="Z55" s="21"/>
      <c r="AA55" s="21"/>
      <c r="AB55" s="21"/>
      <c r="AC55" s="21"/>
      <c r="AD55" s="72"/>
      <c r="AE55" s="21"/>
      <c r="AF55" s="21"/>
      <c r="AG55" s="21"/>
      <c r="AH55" s="21"/>
      <c r="AI55" s="21"/>
      <c r="AJ55" s="21"/>
      <c r="AK55" s="21"/>
      <c r="AL55" s="21"/>
      <c r="AM55" s="72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73"/>
      <c r="BJ55" s="21"/>
      <c r="BK55" s="22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取扱有無と下位階層も同設定の詳細</vt:lpstr>
      <vt:lpstr>テンプレート</vt:lpstr>
      <vt:lpstr>テンプレート!Print_Area</vt:lpstr>
      <vt:lpstr>取扱有無と下位階層も同設定の詳細!Print_Area</vt:lpstr>
      <vt:lpstr>改訂履歴!Print_Area</vt:lpstr>
      <vt:lpstr>業務フロー凡例!Print_Area</vt:lpstr>
      <vt:lpstr>機能概要!Print_Area</vt:lpstr>
      <vt:lpstr>機能概要説明!Print_Area</vt:lpstr>
      <vt:lpstr>表紙!Print_Area</vt:lpstr>
      <vt:lpstr>テンプレート!Print_Titles</vt:lpstr>
      <vt:lpstr>取扱有無と下位階層も同設定の詳細!Print_Titles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2024-08-21T02:47:03Z</dcterms:modified>
  <cp:category/>
  <cp:contentStatus/>
</cp:coreProperties>
</file>