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S SYSTEM\30_implementation\32_design\JP\30_POSサーバー\10_機能概要_画面遷移\"/>
    </mc:Choice>
  </mc:AlternateContent>
  <xr:revisionPtr revIDLastSave="0" documentId="13_ncr:1_{CA6EA244-926F-45BF-BA4D-325E3BE927B8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レジ別時間他別客数構成比" sheetId="11" r:id="rId7"/>
    <sheet name="画面設計書" sheetId="7" r:id="rId8"/>
    <sheet name="テンプレート" sheetId="2" r:id="rId9"/>
  </sheets>
  <definedNames>
    <definedName name="_xlnm._FilterDatabase" localSheetId="6" hidden="1">レジ別時間他別客数構成比!$A$3:$AZ$20</definedName>
    <definedName name="_xlnm.Print_Area" localSheetId="8">テンプレート!$A$1:$BK$55</definedName>
    <definedName name="_xlnm.Print_Area" localSheetId="2">指摘履歴!$A$1:$BK$55</definedName>
    <definedName name="_xlnm.Print_Area" localSheetId="1">改訂履歴!$A$1:$BK$55</definedName>
    <definedName name="_xlnm.Print_Area" localSheetId="5">機能概要!$A$1:$BK$93</definedName>
    <definedName name="_xlnm.Print_Area" localSheetId="4">機能概要説明!$A$1:$BK$57</definedName>
    <definedName name="_xlnm.Print_Area" localSheetId="0">表紙!$A$1:$BK$55</definedName>
    <definedName name="_xlnm.Print_Titles" localSheetId="8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1" l="1"/>
  <c r="B20" i="11"/>
  <c r="C19" i="11"/>
  <c r="B19" i="11"/>
  <c r="C18" i="11"/>
  <c r="B18" i="11"/>
  <c r="X17" i="11"/>
  <c r="V17" i="11"/>
  <c r="T17" i="11"/>
  <c r="R17" i="11"/>
  <c r="P17" i="11"/>
  <c r="B17" i="11" s="1"/>
  <c r="N17" i="11"/>
  <c r="L17" i="11"/>
  <c r="D17" i="11"/>
  <c r="C17" i="11"/>
  <c r="Z16" i="11"/>
  <c r="X16" i="11"/>
  <c r="V16" i="11"/>
  <c r="T16" i="11"/>
  <c r="R16" i="11"/>
  <c r="P16" i="11"/>
  <c r="N16" i="11"/>
  <c r="L16" i="11"/>
  <c r="J16" i="11"/>
  <c r="H16" i="11"/>
  <c r="F16" i="11"/>
  <c r="D16" i="11"/>
  <c r="C16" i="11"/>
  <c r="B16" i="11"/>
  <c r="Z15" i="11"/>
  <c r="X15" i="11"/>
  <c r="V15" i="11"/>
  <c r="T15" i="11"/>
  <c r="R15" i="11"/>
  <c r="P15" i="11"/>
  <c r="N15" i="11"/>
  <c r="L15" i="11"/>
  <c r="J15" i="11"/>
  <c r="H15" i="11"/>
  <c r="F15" i="11"/>
  <c r="D15" i="11"/>
  <c r="B15" i="11" s="1"/>
  <c r="C15" i="11"/>
  <c r="Z14" i="11"/>
  <c r="X14" i="11"/>
  <c r="V14" i="11"/>
  <c r="T14" i="11"/>
  <c r="R14" i="11"/>
  <c r="P14" i="11"/>
  <c r="B14" i="11" s="1"/>
  <c r="N14" i="11"/>
  <c r="L14" i="11"/>
  <c r="J14" i="11"/>
  <c r="H14" i="11"/>
  <c r="F14" i="11"/>
  <c r="D14" i="11"/>
  <c r="C14" i="11"/>
  <c r="Z13" i="11"/>
  <c r="X13" i="11"/>
  <c r="V13" i="11"/>
  <c r="T13" i="11"/>
  <c r="R13" i="11"/>
  <c r="P13" i="11"/>
  <c r="N13" i="11"/>
  <c r="L13" i="11"/>
  <c r="J13" i="11"/>
  <c r="H13" i="11"/>
  <c r="F13" i="11"/>
  <c r="D13" i="11"/>
  <c r="B13" i="11" s="1"/>
  <c r="C13" i="11"/>
  <c r="Z12" i="11"/>
  <c r="X12" i="11"/>
  <c r="V12" i="11"/>
  <c r="T12" i="11"/>
  <c r="R12" i="11"/>
  <c r="P12" i="11"/>
  <c r="N12" i="11"/>
  <c r="L12" i="11"/>
  <c r="J12" i="11"/>
  <c r="H12" i="11"/>
  <c r="F12" i="11"/>
  <c r="D12" i="11"/>
  <c r="C12" i="11"/>
  <c r="B12" i="11"/>
  <c r="Z11" i="11"/>
  <c r="X11" i="11"/>
  <c r="V11" i="11"/>
  <c r="T11" i="11"/>
  <c r="R11" i="11"/>
  <c r="P11" i="11"/>
  <c r="N11" i="11"/>
  <c r="L11" i="11"/>
  <c r="J11" i="11"/>
  <c r="H11" i="11"/>
  <c r="F11" i="11"/>
  <c r="D11" i="11"/>
  <c r="B11" i="11" s="1"/>
  <c r="C11" i="11"/>
  <c r="Z10" i="11"/>
  <c r="X10" i="11"/>
  <c r="V10" i="11"/>
  <c r="T10" i="11"/>
  <c r="R10" i="11"/>
  <c r="P10" i="11"/>
  <c r="N10" i="11"/>
  <c r="L10" i="11"/>
  <c r="J10" i="11"/>
  <c r="H10" i="11"/>
  <c r="F10" i="11"/>
  <c r="D10" i="11"/>
  <c r="C10" i="11"/>
  <c r="B10" i="11"/>
  <c r="Z9" i="11"/>
  <c r="X9" i="11"/>
  <c r="V9" i="11"/>
  <c r="T9" i="11"/>
  <c r="R9" i="11"/>
  <c r="P9" i="11"/>
  <c r="N9" i="11"/>
  <c r="L9" i="11"/>
  <c r="J9" i="11"/>
  <c r="H9" i="11"/>
  <c r="F9" i="11"/>
  <c r="D9" i="11"/>
  <c r="B9" i="11" s="1"/>
  <c r="C9" i="11"/>
  <c r="Z8" i="11"/>
  <c r="X8" i="11"/>
  <c r="V8" i="11"/>
  <c r="T8" i="11"/>
  <c r="R8" i="11"/>
  <c r="P8" i="11"/>
  <c r="N8" i="11"/>
  <c r="L8" i="11"/>
  <c r="J8" i="11"/>
  <c r="H8" i="11"/>
  <c r="F8" i="11"/>
  <c r="D8" i="11"/>
  <c r="C8" i="11"/>
  <c r="B8" i="11"/>
  <c r="Z7" i="11"/>
  <c r="X7" i="11"/>
  <c r="V7" i="11"/>
  <c r="T7" i="11"/>
  <c r="R7" i="11"/>
  <c r="P7" i="11"/>
  <c r="N7" i="11"/>
  <c r="L7" i="11"/>
  <c r="J7" i="11"/>
  <c r="H7" i="11"/>
  <c r="F7" i="11"/>
  <c r="D7" i="11"/>
  <c r="B7" i="11" s="1"/>
  <c r="C7" i="11"/>
  <c r="Z6" i="11"/>
  <c r="X6" i="11"/>
  <c r="V6" i="11"/>
  <c r="T6" i="11"/>
  <c r="R6" i="11"/>
  <c r="P6" i="11"/>
  <c r="N6" i="11"/>
  <c r="L6" i="11"/>
  <c r="J6" i="11"/>
  <c r="H6" i="11"/>
  <c r="F6" i="11"/>
  <c r="D6" i="11"/>
  <c r="C6" i="11"/>
  <c r="B6" i="11"/>
  <c r="X5" i="11"/>
  <c r="V5" i="11"/>
  <c r="T5" i="11"/>
  <c r="R5" i="11"/>
  <c r="P5" i="11"/>
  <c r="N5" i="11"/>
  <c r="L5" i="11"/>
  <c r="J5" i="11"/>
  <c r="D5" i="11"/>
  <c r="B5" i="11" s="1"/>
  <c r="C5" i="11"/>
  <c r="C4" i="11"/>
  <c r="B4" i="11"/>
  <c r="Z3" i="11"/>
  <c r="X3" i="11"/>
  <c r="V3" i="11"/>
  <c r="T3" i="11"/>
  <c r="R3" i="11"/>
  <c r="P3" i="11"/>
  <c r="N3" i="11"/>
  <c r="B3" i="11" s="1"/>
  <c r="L3" i="11"/>
  <c r="J3" i="11"/>
  <c r="H3" i="11"/>
  <c r="F3" i="11"/>
  <c r="D3" i="11"/>
  <c r="C3" i="11"/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H2" i="3" s="1"/>
  <c r="BC2" i="4"/>
  <c r="BC2" i="2" s="1"/>
  <c r="AY2" i="4"/>
  <c r="AY2" i="7" s="1"/>
  <c r="AT2" i="4"/>
  <c r="AT2" i="3" s="1"/>
  <c r="AP2" i="4"/>
  <c r="AP2" i="6" s="1"/>
  <c r="AY2" i="3" l="1"/>
  <c r="BC2" i="6"/>
  <c r="BC2" i="8"/>
  <c r="AP2" i="5"/>
  <c r="BH2" i="5"/>
  <c r="BC2" i="7"/>
  <c r="AP2" i="2"/>
  <c r="BH2" i="2"/>
  <c r="BC2" i="3"/>
  <c r="BH2" i="6"/>
  <c r="AP2" i="8"/>
  <c r="BH2" i="8"/>
  <c r="AT2" i="5"/>
  <c r="AP2" i="7"/>
  <c r="BH2" i="7"/>
  <c r="AT2" i="2"/>
  <c r="AP2" i="3"/>
  <c r="AT2" i="8"/>
  <c r="AY2" i="5"/>
  <c r="AT2" i="7"/>
  <c r="AY2" i="2"/>
  <c r="AY2" i="6"/>
  <c r="AY2" i="8"/>
  <c r="BC2" i="5"/>
</calcChain>
</file>

<file path=xl/sharedStrings.xml><?xml version="1.0" encoding="utf-8"?>
<sst xmlns="http://schemas.openxmlformats.org/spreadsheetml/2006/main" count="283" uniqueCount="128">
  <si>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</si>
  <si>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</si>
  <si>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</si>
  <si>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</si>
  <si>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</si>
  <si>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</si>
  <si>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</si>
  <si>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</si>
  <si>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</si>
  <si>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</si>
  <si>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</si>
  <si>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</si>
  <si>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</si>
  <si>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</si>
  <si>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</si>
  <si>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</si>
  <si>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</si>
  <si>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</si>
  <si>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</si>
  <si>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</si>
  <si>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</si>
  <si>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</si>
  <si>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多言語対象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</si>
  <si>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</si>
  <si>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</si>
  <si>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</si>
  <si>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</si>
  <si>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</si>
  <si>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</si>
  <si>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</si>
  <si>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</si>
  <si>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</si>
  <si>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</si>
  <si>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</si>
  <si>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</si>
  <si>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</si>
  <si>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</si>
  <si>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</si>
  <si>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</si>
  <si>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</si>
  <si>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</si>
  <si>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</si>
  <si>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</si>
  <si>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</si>
  <si>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</si>
  <si>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</si>
  <si>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</si>
  <si>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</si>
  <si>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</si>
  <si>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</si>
  <si>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</si>
  <si>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</si>
  <si>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</si>
  <si>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</si>
  <si>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</si>
  <si>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</si>
  <si>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11"/>
        <color rgb="FFFFFFFF"/>
        <rFont val="Meiryo UI"/>
        <family val="3"/>
        <charset val="128"/>
      </rPr>
      <t>29_レジ別時間帯別点検</t>
    </r>
  </si>
  <si>
    <r>
      <rPr>
        <sz val="11"/>
        <color rgb="FF000000"/>
        <rFont val="Meiryo UI"/>
        <family val="2"/>
      </rPr>
      <t>レジ別時間帯別点検機能では次のことが可能になる。</t>
    </r>
  </si>
  <si>
    <r>
      <rPr>
        <sz val="11"/>
        <color rgb="FF000000"/>
        <rFont val="Meiryo UI"/>
        <family val="2"/>
      </rPr>
      <t>SC2901_レジ別時間帯別点検画面</t>
    </r>
  </si>
  <si>
    <r>
      <rPr>
        <sz val="11"/>
        <color rgb="FF000000"/>
        <rFont val="Meiryo UI"/>
        <family val="2"/>
      </rPr>
      <t>‣営業日の各時間帯に従う各レジの客数、点数、金額</t>
    </r>
  </si>
  <si>
    <r>
      <rPr>
        <sz val="11"/>
        <color rgb="FF000000"/>
        <rFont val="Meiryo UI"/>
        <family val="2"/>
      </rPr>
      <t>‣各レジの1営業日の総客数、総点数、総金額</t>
    </r>
  </si>
  <si>
    <r>
      <rPr>
        <sz val="11"/>
        <color rgb="FF000000"/>
        <rFont val="Meiryo UI"/>
        <family val="2"/>
      </rPr>
      <t>・各時間帯に従って店舗の各レジの日報を印刷する。レポート情報には以下が含まれている。</t>
    </r>
  </si>
  <si>
    <r>
      <rPr>
        <sz val="11"/>
        <color rgb="FF000000"/>
        <rFont val="Meiryo UI"/>
        <family val="2"/>
      </rPr>
      <t>指摘履歴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</si>
  <si>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</si>
  <si>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</si>
  <si>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0000"/>
        <rFont val="Meiryo UI"/>
        <family val="2"/>
      </rPr>
      <t>機能概要</t>
    </r>
  </si>
  <si>
    <r>
      <rPr>
        <sz val="11"/>
        <color rgb="FF000000"/>
        <rFont val="Meiryo UI"/>
        <family val="2"/>
      </rPr>
      <t>29_レジ別時間帯別点検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</si>
  <si>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</si>
  <si>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000000"/>
        <rFont val="Meiryo UI"/>
        <family val="2"/>
      </rPr>
      <t>PR2901_時間帯別レジ日報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</si>
  <si>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</si>
  <si>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</si>
  <si>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</si>
  <si>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</si>
  <si>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</si>
  <si>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</si>
  <si>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</si>
  <si>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</si>
  <si>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</si>
  <si>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</si>
  <si>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</si>
  <si>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</si>
  <si>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</si>
  <si>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</si>
  <si>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</si>
  <si>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</si>
  <si>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</si>
  <si>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</si>
  <si>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</si>
  <si>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</si>
  <si>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</si>
  <si>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</si>
  <si>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</si>
  <si>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DuNT</t>
  </si>
  <si>
    <t>機能概要</t>
  </si>
  <si>
    <t>店舗選択モーダルを削除する。
2024年08月16日のご指摘により更新</t>
  </si>
  <si>
    <r>
      <rPr>
        <sz val="11"/>
        <color rgb="FFFFFFFF"/>
        <rFont val="Meiryo UI"/>
        <family val="2"/>
      </rPr>
      <t>確認日</t>
    </r>
  </si>
  <si>
    <r>
      <rPr>
        <sz val="11"/>
        <color rgb="FFFFFFFF"/>
        <rFont val="Meiryo UI"/>
        <family val="2"/>
      </rPr>
      <t>確認者</t>
    </r>
  </si>
  <si>
    <t>カスミ　佐々木</t>
  </si>
  <si>
    <r>
      <rPr>
        <sz val="11"/>
        <color rgb="FF000000"/>
        <rFont val="Meiryo UI"/>
        <family val="2"/>
      </rPr>
      <t>　【日報】選択時は前日日付けをセットする。</t>
    </r>
  </si>
  <si>
    <t>Android POS Control</t>
  </si>
  <si>
    <r>
      <rPr>
        <sz val="11"/>
        <color rgb="FF000000"/>
        <rFont val="Meiryo UI"/>
        <family val="2"/>
      </rPr>
      <t>User ID</t>
    </r>
  </si>
  <si>
    <r>
      <rPr>
        <sz val="11"/>
        <color rgb="FF000000"/>
        <rFont val="Meiryo UI"/>
        <family val="2"/>
      </rPr>
      <t>Login</t>
    </r>
  </si>
  <si>
    <t>　時間帯内での【構成比】表示を行う。</t>
  </si>
  <si>
    <t>　検索時に結果を画面に表示する。QA73内容が反映されていない。</t>
  </si>
  <si>
    <t>検索時に結果を画面に表示するようにする
構成比を画面で表示するようにする</t>
  </si>
  <si>
    <t>AnhNM</t>
  </si>
  <si>
    <t>合計</t>
    <rPh sb="0" eb="2">
      <t>ゴウケイ</t>
    </rPh>
    <phoneticPr fontId="1"/>
  </si>
  <si>
    <t>構成比</t>
    <rPh sb="0" eb="3">
      <t>コウセイヒ</t>
    </rPh>
    <phoneticPr fontId="1"/>
  </si>
  <si>
    <t>客数</t>
    <rPh sb="0" eb="2">
      <t>キャクスウ</t>
    </rPh>
    <phoneticPr fontId="1"/>
  </si>
  <si>
    <t>8時</t>
    <rPh sb="1" eb="2">
      <t>ジ</t>
    </rPh>
    <phoneticPr fontId="1"/>
  </si>
  <si>
    <t>9時</t>
    <rPh sb="1" eb="2">
      <t>ジ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</si>
  <si>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</si>
  <si>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</si>
  <si>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12時</t>
    <rPh sb="2" eb="3">
      <t>ジ</t>
    </rPh>
    <phoneticPr fontId="1"/>
  </si>
  <si>
    <t>13時</t>
    <rPh sb="2" eb="3">
      <t>ジ</t>
    </rPh>
    <phoneticPr fontId="1"/>
  </si>
  <si>
    <t>14時</t>
    <rPh sb="2" eb="3">
      <t>ジ</t>
    </rPh>
    <phoneticPr fontId="1"/>
  </si>
  <si>
    <t>15時</t>
    <rPh sb="2" eb="3">
      <t>ジ</t>
    </rPh>
    <phoneticPr fontId="1"/>
  </si>
  <si>
    <t>16時</t>
    <rPh sb="2" eb="3">
      <t>ジ</t>
    </rPh>
    <phoneticPr fontId="1"/>
  </si>
  <si>
    <t>17時</t>
    <rPh sb="2" eb="3">
      <t>ジ</t>
    </rPh>
    <phoneticPr fontId="1"/>
  </si>
  <si>
    <t>18時</t>
    <rPh sb="2" eb="3">
      <t>ジ</t>
    </rPh>
    <phoneticPr fontId="1"/>
  </si>
  <si>
    <t>19時</t>
    <rPh sb="2" eb="3">
      <t>ジ</t>
    </rPh>
    <phoneticPr fontId="1"/>
  </si>
  <si>
    <t>20時</t>
    <rPh sb="2" eb="3">
      <t>ジ</t>
    </rPh>
    <phoneticPr fontId="1"/>
  </si>
  <si>
    <t>21時</t>
    <rPh sb="2" eb="3">
      <t>ジ</t>
    </rPh>
    <phoneticPr fontId="1"/>
  </si>
  <si>
    <t>22時</t>
    <rPh sb="2" eb="3">
      <t>ジ</t>
    </rPh>
    <phoneticPr fontId="1"/>
  </si>
  <si>
    <t>23時</t>
    <rPh sb="2" eb="3">
      <t>ジ</t>
    </rPh>
    <phoneticPr fontId="1"/>
  </si>
  <si>
    <t>24時</t>
    <rPh sb="2" eb="3">
      <t>ジ</t>
    </rPh>
    <phoneticPr fontId="1"/>
  </si>
  <si>
    <t>客数構成比を画面で表示するようにする
グラフの記載を削除</t>
  </si>
  <si>
    <t>・【クリップボード】シートを削除
・営業日は開始日～終了日で検索可能
・CSV出力機能を追加
・レジ別時間帯別実績について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</si>
</sst>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  <numFmt numFmtId="168" formatCode="#,##0.00_ "/>
    <numFmt numFmtId="169" formatCode="#,##0_ "/>
  </numFmts>
  <fonts count="19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theme="1"/>
      <name val="Calibri"/>
      <family val="2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  <xf numFmtId="0" fontId="18" fillId="0" borderId="0">
      <alignment vertical="center"/>
    </xf>
  </cellStyleXfs>
  <cellXfs count="3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2" borderId="0" xfId="0" applyFont="1" applyFill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0" fillId="0" borderId="18" xfId="0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9" fillId="0" borderId="1" xfId="7" applyBorder="1">
      <alignment vertical="center"/>
    </xf>
    <xf numFmtId="0" fontId="9" fillId="0" borderId="0" xfId="7">
      <alignment vertical="center"/>
    </xf>
    <xf numFmtId="0" fontId="9" fillId="0" borderId="18" xfId="7" applyBorder="1">
      <alignment vertical="center"/>
    </xf>
    <xf numFmtId="0" fontId="9" fillId="0" borderId="19" xfId="7" applyBorder="1">
      <alignment vertical="center"/>
    </xf>
    <xf numFmtId="0" fontId="9" fillId="0" borderId="4" xfId="7" applyBorder="1">
      <alignment vertical="center"/>
    </xf>
    <xf numFmtId="0" fontId="9" fillId="0" borderId="2" xfId="7" applyBorder="1">
      <alignment vertical="center"/>
    </xf>
    <xf numFmtId="0" fontId="9" fillId="0" borderId="20" xfId="7" applyBorder="1">
      <alignment vertical="center"/>
    </xf>
    <xf numFmtId="0" fontId="9" fillId="0" borderId="3" xfId="7" applyBorder="1">
      <alignment vertical="center"/>
    </xf>
    <xf numFmtId="0" fontId="9" fillId="0" borderId="21" xfId="7" applyBorder="1">
      <alignment vertical="center"/>
    </xf>
    <xf numFmtId="0" fontId="9" fillId="0" borderId="5" xfId="7" applyBorder="1">
      <alignment vertical="center"/>
    </xf>
    <xf numFmtId="0" fontId="9" fillId="3" borderId="0" xfId="7" applyFill="1">
      <alignment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0" xfId="7" quotePrefix="1" applyFont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8" fillId="0" borderId="59" xfId="8" applyBorder="1" applyAlignment="1">
      <alignment horizontal="center" vertical="center"/>
    </xf>
    <xf numFmtId="0" fontId="18" fillId="0" borderId="0" xfId="8" applyAlignment="1">
      <alignment horizontal="center" vertical="center"/>
    </xf>
    <xf numFmtId="0" fontId="18" fillId="0" borderId="65" xfId="8" applyBorder="1">
      <alignment vertical="center"/>
    </xf>
    <xf numFmtId="168" fontId="18" fillId="8" borderId="66" xfId="8" applyNumberFormat="1" applyFill="1" applyBorder="1">
      <alignment vertical="center"/>
    </xf>
    <xf numFmtId="0" fontId="18" fillId="0" borderId="67" xfId="8" applyBorder="1">
      <alignment vertical="center"/>
    </xf>
    <xf numFmtId="168" fontId="18" fillId="8" borderId="68" xfId="8" applyNumberFormat="1" applyFill="1" applyBorder="1">
      <alignment vertical="center"/>
    </xf>
    <xf numFmtId="0" fontId="18" fillId="0" borderId="69" xfId="8" applyBorder="1">
      <alignment vertical="center"/>
    </xf>
    <xf numFmtId="0" fontId="18" fillId="0" borderId="0" xfId="8">
      <alignment vertical="center"/>
    </xf>
    <xf numFmtId="0" fontId="18" fillId="0" borderId="70" xfId="8" applyBorder="1">
      <alignment vertical="center"/>
    </xf>
    <xf numFmtId="168" fontId="18" fillId="8" borderId="71" xfId="8" applyNumberFormat="1" applyFill="1" applyBorder="1">
      <alignment vertical="center"/>
    </xf>
    <xf numFmtId="0" fontId="18" fillId="0" borderId="72" xfId="8" applyBorder="1">
      <alignment vertical="center"/>
    </xf>
    <xf numFmtId="168" fontId="18" fillId="8" borderId="73" xfId="8" applyNumberFormat="1" applyFill="1" applyBorder="1">
      <alignment vertical="center"/>
    </xf>
    <xf numFmtId="0" fontId="18" fillId="8" borderId="71" xfId="8" applyFill="1" applyBorder="1">
      <alignment vertical="center"/>
    </xf>
    <xf numFmtId="0" fontId="18" fillId="0" borderId="74" xfId="8" applyBorder="1">
      <alignment vertical="center"/>
    </xf>
    <xf numFmtId="169" fontId="18" fillId="8" borderId="71" xfId="8" applyNumberFormat="1" applyFill="1" applyBorder="1">
      <alignment vertical="center"/>
    </xf>
    <xf numFmtId="0" fontId="18" fillId="7" borderId="74" xfId="8" applyFill="1" applyBorder="1">
      <alignment vertical="center"/>
    </xf>
    <xf numFmtId="0" fontId="18" fillId="7" borderId="72" xfId="8" applyFill="1" applyBorder="1">
      <alignment vertical="center"/>
    </xf>
    <xf numFmtId="0" fontId="18" fillId="0" borderId="75" xfId="8" applyBorder="1">
      <alignment vertical="center"/>
    </xf>
    <xf numFmtId="168" fontId="18" fillId="8" borderId="76" xfId="8" applyNumberFormat="1" applyFill="1" applyBorder="1">
      <alignment vertical="center"/>
    </xf>
    <xf numFmtId="0" fontId="18" fillId="0" borderId="77" xfId="8" applyBorder="1">
      <alignment vertical="center"/>
    </xf>
    <xf numFmtId="0" fontId="18" fillId="8" borderId="5" xfId="8" applyFill="1" applyBorder="1">
      <alignment vertical="center"/>
    </xf>
    <xf numFmtId="0" fontId="18" fillId="0" borderId="2" xfId="8" applyBorder="1">
      <alignment vertical="center"/>
    </xf>
    <xf numFmtId="168" fontId="18" fillId="8" borderId="5" xfId="8" applyNumberFormat="1" applyFill="1" applyBorder="1">
      <alignment vertical="center"/>
    </xf>
    <xf numFmtId="169" fontId="18" fillId="8" borderId="5" xfId="8" applyNumberFormat="1" applyFill="1" applyBorder="1">
      <alignment vertical="center"/>
    </xf>
    <xf numFmtId="0" fontId="18" fillId="0" borderId="78" xfId="8" applyBorder="1">
      <alignment vertical="center"/>
    </xf>
    <xf numFmtId="168" fontId="18" fillId="8" borderId="79" xfId="8" applyNumberFormat="1" applyFill="1" applyBorder="1">
      <alignment vertical="center"/>
    </xf>
    <xf numFmtId="0" fontId="18" fillId="0" borderId="80" xfId="8" applyBorder="1">
      <alignment vertical="center"/>
    </xf>
    <xf numFmtId="0" fontId="18" fillId="8" borderId="29" xfId="8" applyFill="1" applyBorder="1">
      <alignment vertical="center"/>
    </xf>
    <xf numFmtId="0" fontId="18" fillId="0" borderId="27" xfId="8" applyBorder="1">
      <alignment vertical="center"/>
    </xf>
    <xf numFmtId="168" fontId="18" fillId="8" borderId="29" xfId="8" applyNumberFormat="1" applyFill="1" applyBorder="1">
      <alignment vertical="center"/>
    </xf>
    <xf numFmtId="169" fontId="18" fillId="8" borderId="29" xfId="8" applyNumberFormat="1" applyFill="1" applyBorder="1">
      <alignment vertical="center"/>
    </xf>
    <xf numFmtId="0" fontId="18" fillId="8" borderId="66" xfId="8" applyFill="1" applyBorder="1">
      <alignment vertical="center"/>
    </xf>
    <xf numFmtId="169" fontId="18" fillId="8" borderId="66" xfId="8" applyNumberFormat="1" applyFill="1" applyBorder="1">
      <alignment vertical="center"/>
    </xf>
    <xf numFmtId="168" fontId="18" fillId="0" borderId="0" xfId="8" applyNumberFormat="1">
      <alignment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2" fontId="14" fillId="0" borderId="31" xfId="0" applyNumberFormat="1" applyFont="1" applyBorder="1" applyAlignment="1">
      <alignment horizontal="center" vertical="center"/>
    </xf>
    <xf numFmtId="2" fontId="14" fillId="0" borderId="32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14" fontId="14" fillId="0" borderId="31" xfId="0" applyNumberFormat="1" applyFont="1" applyBorder="1" applyAlignment="1">
      <alignment horizontal="center" vertical="center"/>
    </xf>
    <xf numFmtId="14" fontId="14" fillId="0" borderId="32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4" xfId="0" applyFont="1" applyBorder="1"/>
    <xf numFmtId="0" fontId="6" fillId="0" borderId="22" xfId="0" applyFont="1" applyBorder="1"/>
    <xf numFmtId="0" fontId="14" fillId="0" borderId="31" xfId="0" applyFont="1" applyBorder="1"/>
    <xf numFmtId="0" fontId="14" fillId="0" borderId="3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30" xfId="0" applyFont="1" applyBorder="1"/>
    <xf numFmtId="0" fontId="14" fillId="0" borderId="2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0" fillId="2" borderId="0" xfId="0" applyFont="1" applyFill="1"/>
    <xf numFmtId="14" fontId="17" fillId="0" borderId="30" xfId="0" applyNumberFormat="1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3" xfId="0" applyFont="1" applyBorder="1"/>
    <xf numFmtId="0" fontId="17" fillId="0" borderId="34" xfId="0" applyFont="1" applyBorder="1"/>
    <xf numFmtId="0" fontId="17" fillId="0" borderId="22" xfId="0" applyFont="1" applyBorder="1"/>
    <xf numFmtId="0" fontId="17" fillId="0" borderId="35" xfId="0" applyFont="1" applyBorder="1" applyAlignment="1">
      <alignment wrapText="1"/>
    </xf>
    <xf numFmtId="0" fontId="17" fillId="0" borderId="36" xfId="0" applyFont="1" applyBorder="1"/>
    <xf numFmtId="0" fontId="17" fillId="0" borderId="37" xfId="0" applyFont="1" applyBorder="1"/>
    <xf numFmtId="0" fontId="7" fillId="0" borderId="35" xfId="0" applyFont="1" applyBorder="1" applyAlignment="1">
      <alignment vertical="top" wrapText="1"/>
    </xf>
    <xf numFmtId="0" fontId="6" fillId="0" borderId="36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14" fillId="0" borderId="35" xfId="0" applyFont="1" applyBorder="1" applyAlignment="1">
      <alignment vertical="top" wrapText="1"/>
    </xf>
    <xf numFmtId="0" fontId="14" fillId="0" borderId="36" xfId="0" applyFont="1" applyBorder="1" applyAlignment="1">
      <alignment vertical="top"/>
    </xf>
    <xf numFmtId="0" fontId="14" fillId="0" borderId="37" xfId="0" applyFont="1" applyBorder="1" applyAlignment="1">
      <alignment vertical="top"/>
    </xf>
    <xf numFmtId="0" fontId="14" fillId="0" borderId="38" xfId="0" applyFont="1" applyBorder="1"/>
    <xf numFmtId="0" fontId="14" fillId="0" borderId="39" xfId="0" applyFont="1" applyBorder="1"/>
    <xf numFmtId="0" fontId="14" fillId="0" borderId="40" xfId="0" applyFont="1" applyBorder="1"/>
    <xf numFmtId="14" fontId="14" fillId="0" borderId="31" xfId="0" applyNumberFormat="1" applyFont="1" applyBorder="1"/>
    <xf numFmtId="0" fontId="14" fillId="0" borderId="41" xfId="0" applyFont="1" applyBorder="1" applyAlignment="1">
      <alignment wrapText="1"/>
    </xf>
    <xf numFmtId="0" fontId="14" fillId="0" borderId="42" xfId="0" applyFont="1" applyBorder="1"/>
    <xf numFmtId="0" fontId="14" fillId="0" borderId="43" xfId="0" applyFont="1" applyBorder="1"/>
    <xf numFmtId="0" fontId="7" fillId="0" borderId="41" xfId="0" applyFont="1" applyBorder="1" applyAlignment="1">
      <alignment wrapText="1"/>
    </xf>
    <xf numFmtId="0" fontId="14" fillId="0" borderId="44" xfId="0" applyFont="1" applyBorder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14" fontId="14" fillId="0" borderId="30" xfId="0" applyNumberFormat="1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31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8" fillId="7" borderId="64" xfId="8" applyFill="1" applyBorder="1" applyAlignment="1">
      <alignment horizontal="center" vertical="center"/>
    </xf>
    <xf numFmtId="0" fontId="18" fillId="7" borderId="61" xfId="8" applyFill="1" applyBorder="1" applyAlignment="1">
      <alignment horizontal="center" vertical="center"/>
    </xf>
    <xf numFmtId="0" fontId="18" fillId="0" borderId="63" xfId="8" applyBorder="1" applyAlignment="1">
      <alignment horizontal="center" vertical="center"/>
    </xf>
    <xf numFmtId="0" fontId="18" fillId="0" borderId="59" xfId="8" applyBorder="1" applyAlignment="1">
      <alignment horizontal="center" vertical="center"/>
    </xf>
    <xf numFmtId="0" fontId="18" fillId="0" borderId="62" xfId="8" applyBorder="1" applyAlignment="1">
      <alignment horizontal="center" vertical="center"/>
    </xf>
    <xf numFmtId="0" fontId="18" fillId="7" borderId="59" xfId="8" applyFill="1" applyBorder="1" applyAlignment="1">
      <alignment horizontal="center" vertical="center"/>
    </xf>
    <xf numFmtId="0" fontId="18" fillId="7" borderId="63" xfId="8" applyFill="1" applyBorder="1" applyAlignment="1">
      <alignment horizontal="center" vertical="center"/>
    </xf>
    <xf numFmtId="0" fontId="18" fillId="0" borderId="60" xfId="8" applyBorder="1" applyAlignment="1">
      <alignment horizontal="center" vertical="center"/>
    </xf>
    <xf numFmtId="0" fontId="18" fillId="0" borderId="61" xfId="8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0" fillId="0" borderId="35" xfId="6" applyFont="1" applyBorder="1" applyAlignment="1">
      <alignment vertical="center"/>
    </xf>
    <xf numFmtId="0" fontId="0" fillId="0" borderId="36" xfId="6" applyFont="1" applyBorder="1" applyAlignment="1">
      <alignment vertical="center"/>
    </xf>
    <xf numFmtId="0" fontId="0" fillId="0" borderId="37" xfId="6" applyFont="1" applyBorder="1" applyAlignment="1">
      <alignment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8" xfId="6" quotePrefix="1" applyFont="1" applyBorder="1" applyAlignment="1">
      <alignment horizontal="center" vertical="center"/>
    </xf>
    <xf numFmtId="0" fontId="6" fillId="0" borderId="49" xfId="6" applyFont="1" applyBorder="1" applyAlignment="1">
      <alignment horizontal="center" vertical="center"/>
    </xf>
    <xf numFmtId="0" fontId="6" fillId="0" borderId="50" xfId="6" applyFont="1" applyBorder="1" applyAlignment="1">
      <alignment horizontal="center" vertical="center"/>
    </xf>
    <xf numFmtId="0" fontId="6" fillId="0" borderId="48" xfId="6" applyFont="1" applyBorder="1" applyAlignment="1">
      <alignment horizontal="center" vertical="center"/>
    </xf>
    <xf numFmtId="0" fontId="6" fillId="0" borderId="48" xfId="6" applyFont="1" applyBorder="1" applyAlignment="1">
      <alignment horizontal="left" vertical="center"/>
    </xf>
    <xf numFmtId="0" fontId="6" fillId="0" borderId="49" xfId="6" applyFont="1" applyBorder="1" applyAlignment="1">
      <alignment horizontal="left" vertical="center"/>
    </xf>
    <xf numFmtId="0" fontId="6" fillId="0" borderId="50" xfId="6" applyFont="1" applyBorder="1" applyAlignment="1">
      <alignment horizontal="left" vertical="center"/>
    </xf>
    <xf numFmtId="0" fontId="0" fillId="0" borderId="48" xfId="6" applyFont="1" applyBorder="1" applyAlignment="1">
      <alignment vertical="center"/>
    </xf>
    <xf numFmtId="0" fontId="0" fillId="0" borderId="49" xfId="6" applyFont="1" applyBorder="1" applyAlignment="1">
      <alignment vertical="center"/>
    </xf>
    <xf numFmtId="0" fontId="0" fillId="0" borderId="50" xfId="6" applyFont="1" applyBorder="1" applyAlignment="1">
      <alignment vertical="center"/>
    </xf>
    <xf numFmtId="0" fontId="0" fillId="0" borderId="51" xfId="6" applyFont="1" applyBorder="1" applyAlignment="1">
      <alignment vertical="center"/>
    </xf>
    <xf numFmtId="0" fontId="0" fillId="0" borderId="52" xfId="6" applyFont="1" applyBorder="1" applyAlignment="1">
      <alignment vertical="center"/>
    </xf>
    <xf numFmtId="0" fontId="0" fillId="0" borderId="53" xfId="6" applyFont="1" applyBorder="1" applyAlignment="1">
      <alignment vertical="center"/>
    </xf>
    <xf numFmtId="0" fontId="6" fillId="0" borderId="48" xfId="6" quotePrefix="1" applyFont="1" applyBorder="1" applyAlignment="1">
      <alignment vertical="center" wrapText="1"/>
    </xf>
    <xf numFmtId="0" fontId="6" fillId="0" borderId="49" xfId="6" quotePrefix="1" applyFont="1" applyBorder="1" applyAlignment="1">
      <alignment vertical="center" wrapText="1"/>
    </xf>
    <xf numFmtId="0" fontId="6" fillId="0" borderId="50" xfId="6" quotePrefix="1" applyFont="1" applyBorder="1" applyAlignment="1">
      <alignment vertical="center" wrapText="1"/>
    </xf>
    <xf numFmtId="0" fontId="6" fillId="0" borderId="48" xfId="6" applyFont="1" applyBorder="1" applyAlignment="1">
      <alignment vertical="center"/>
    </xf>
    <xf numFmtId="0" fontId="6" fillId="0" borderId="49" xfId="6" applyFont="1" applyBorder="1" applyAlignment="1">
      <alignment vertical="center"/>
    </xf>
    <xf numFmtId="0" fontId="6" fillId="0" borderId="50" xfId="6" applyFont="1" applyBorder="1" applyAlignment="1">
      <alignment vertical="center"/>
    </xf>
    <xf numFmtId="0" fontId="0" fillId="0" borderId="51" xfId="6" quotePrefix="1" applyFont="1" applyBorder="1" applyAlignment="1">
      <alignment vertical="center"/>
    </xf>
    <xf numFmtId="0" fontId="0" fillId="0" borderId="52" xfId="6" quotePrefix="1" applyFont="1" applyBorder="1" applyAlignment="1">
      <alignment vertical="center"/>
    </xf>
    <xf numFmtId="0" fontId="0" fillId="0" borderId="53" xfId="6" quotePrefix="1" applyFont="1" applyBorder="1" applyAlignment="1">
      <alignment vertical="center"/>
    </xf>
    <xf numFmtId="0" fontId="7" fillId="0" borderId="48" xfId="6" quotePrefix="1" applyFont="1" applyBorder="1" applyAlignment="1">
      <alignment horizontal="center" vertical="center" wrapText="1"/>
    </xf>
    <xf numFmtId="0" fontId="7" fillId="0" borderId="49" xfId="6" applyFont="1" applyBorder="1" applyAlignment="1">
      <alignment horizontal="center" vertical="center" wrapText="1"/>
    </xf>
    <xf numFmtId="0" fontId="7" fillId="0" borderId="50" xfId="6" applyFont="1" applyBorder="1" applyAlignment="1">
      <alignment horizontal="center" vertical="center" wrapText="1"/>
    </xf>
    <xf numFmtId="0" fontId="8" fillId="0" borderId="48" xfId="6" applyFont="1" applyBorder="1" applyAlignment="1">
      <alignment vertical="center" wrapText="1"/>
    </xf>
    <xf numFmtId="0" fontId="7" fillId="0" borderId="48" xfId="6" quotePrefix="1" applyFont="1" applyBorder="1" applyAlignment="1">
      <alignment horizontal="center" vertical="center"/>
    </xf>
    <xf numFmtId="0" fontId="7" fillId="0" borderId="49" xfId="6" applyFont="1" applyBorder="1" applyAlignment="1">
      <alignment horizontal="center" vertical="center"/>
    </xf>
    <xf numFmtId="0" fontId="7" fillId="0" borderId="50" xfId="6" applyFont="1" applyBorder="1" applyAlignment="1">
      <alignment horizontal="center" vertical="center"/>
    </xf>
    <xf numFmtId="0" fontId="7" fillId="0" borderId="48" xfId="6" applyFont="1" applyBorder="1" applyAlignment="1">
      <alignment horizontal="center" vertical="center"/>
    </xf>
    <xf numFmtId="0" fontId="6" fillId="0" borderId="48" xfId="6" quotePrefix="1" applyFont="1" applyBorder="1" applyAlignment="1">
      <alignment vertical="center"/>
    </xf>
    <xf numFmtId="0" fontId="6" fillId="0" borderId="49" xfId="6" quotePrefix="1" applyFont="1" applyBorder="1" applyAlignment="1">
      <alignment vertical="center"/>
    </xf>
    <xf numFmtId="0" fontId="6" fillId="0" borderId="50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4" borderId="27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/>
    </xf>
    <xf numFmtId="0" fontId="6" fillId="4" borderId="29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7" fillId="3" borderId="30" xfId="6" applyFont="1" applyFill="1" applyBorder="1" applyAlignment="1">
      <alignment vertical="center"/>
    </xf>
    <xf numFmtId="0" fontId="6" fillId="3" borderId="31" xfId="6" applyFont="1" applyFill="1" applyBorder="1" applyAlignment="1">
      <alignment vertical="center"/>
    </xf>
    <xf numFmtId="0" fontId="6" fillId="3" borderId="32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4" borderId="27" xfId="6" applyFont="1" applyFill="1" applyBorder="1"/>
    <xf numFmtId="0" fontId="7" fillId="4" borderId="28" xfId="6" applyFont="1" applyFill="1" applyBorder="1"/>
    <xf numFmtId="0" fontId="7" fillId="4" borderId="29" xfId="6" applyFont="1" applyFill="1" applyBorder="1"/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2" xfId="6" applyFont="1" applyFill="1" applyBorder="1" applyAlignment="1">
      <alignment vertical="center"/>
    </xf>
    <xf numFmtId="0" fontId="6" fillId="4" borderId="3" xfId="6" applyFont="1" applyFill="1" applyBorder="1" applyAlignment="1">
      <alignment vertical="center"/>
    </xf>
    <xf numFmtId="0" fontId="6" fillId="4" borderId="5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 wrapText="1"/>
    </xf>
    <xf numFmtId="0" fontId="6" fillId="5" borderId="2" xfId="6" applyFont="1" applyFill="1" applyBorder="1" applyAlignment="1">
      <alignment vertical="center" wrapText="1"/>
    </xf>
    <xf numFmtId="0" fontId="7" fillId="5" borderId="54" xfId="6" applyFont="1" applyFill="1" applyBorder="1" applyAlignment="1">
      <alignment vertical="center" wrapText="1"/>
    </xf>
    <xf numFmtId="0" fontId="7" fillId="5" borderId="55" xfId="6" applyFont="1" applyFill="1" applyBorder="1" applyAlignment="1">
      <alignment vertical="center" wrapText="1"/>
    </xf>
    <xf numFmtId="0" fontId="7" fillId="5" borderId="32" xfId="6" applyFont="1" applyFill="1" applyBorder="1" applyAlignment="1">
      <alignment vertical="center" wrapText="1"/>
    </xf>
    <xf numFmtId="0" fontId="7" fillId="5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2" fillId="2" borderId="27" xfId="6" applyFont="1" applyFill="1" applyBorder="1" applyAlignment="1">
      <alignment horizontal="center" vertical="center"/>
    </xf>
    <xf numFmtId="0" fontId="2" fillId="2" borderId="28" xfId="6" applyFont="1" applyFill="1" applyBorder="1" applyAlignment="1">
      <alignment horizontal="center" vertical="center"/>
    </xf>
    <xf numFmtId="0" fontId="2" fillId="2" borderId="29" xfId="6" applyFont="1" applyFill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7" fillId="0" borderId="27" xfId="6" applyFont="1" applyBorder="1" applyAlignment="1">
      <alignment horizontal="center" vertical="center"/>
    </xf>
    <xf numFmtId="0" fontId="7" fillId="6" borderId="30" xfId="6" applyFont="1" applyFill="1" applyBorder="1" applyAlignment="1">
      <alignment vertical="center" wrapText="1"/>
    </xf>
    <xf numFmtId="0" fontId="6" fillId="6" borderId="32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6" borderId="30" xfId="6" applyFont="1" applyFill="1" applyBorder="1" applyAlignment="1">
      <alignment vertical="center"/>
    </xf>
    <xf numFmtId="0" fontId="6" fillId="6" borderId="3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4" xfId="6" applyFont="1" applyFill="1" applyBorder="1" applyAlignment="1">
      <alignment vertical="center" shrinkToFit="1"/>
    </xf>
    <xf numFmtId="0" fontId="6" fillId="6" borderId="56" xfId="6" applyFont="1" applyFill="1" applyBorder="1" applyAlignment="1">
      <alignment vertical="center" shrinkToFit="1"/>
    </xf>
    <xf numFmtId="0" fontId="6" fillId="6" borderId="55" xfId="6" applyFont="1" applyFill="1" applyBorder="1" applyAlignment="1">
      <alignment vertical="center" shrinkToFit="1"/>
    </xf>
    <xf numFmtId="0" fontId="7" fillId="6" borderId="54" xfId="6" applyFont="1" applyFill="1" applyBorder="1" applyAlignment="1">
      <alignment vertical="center" wrapText="1"/>
    </xf>
    <xf numFmtId="0" fontId="7" fillId="6" borderId="56" xfId="6" applyFont="1" applyFill="1" applyBorder="1" applyAlignment="1">
      <alignment vertical="center" wrapText="1"/>
    </xf>
    <xf numFmtId="0" fontId="7" fillId="6" borderId="55" xfId="6" applyFont="1" applyFill="1" applyBorder="1" applyAlignment="1">
      <alignment vertical="center" wrapText="1"/>
    </xf>
    <xf numFmtId="0" fontId="6" fillId="5" borderId="57" xfId="6" applyFont="1" applyFill="1" applyBorder="1" applyAlignment="1">
      <alignment vertical="center"/>
    </xf>
    <xf numFmtId="0" fontId="7" fillId="5" borderId="58" xfId="6" applyFont="1" applyFill="1" applyBorder="1" applyAlignment="1">
      <alignment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3" xfId="8" xr:uid="{3B63A5D4-7CE0-40E6-AA54-28DD63855BFF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3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/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57</xdr:row>
      <xdr:rowOff>168088</xdr:rowOff>
    </xdr:from>
    <xdr:to>
      <xdr:col>61</xdr:col>
      <xdr:colOff>0</xdr:colOff>
      <xdr:row>73</xdr:row>
      <xdr:rowOff>22412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8942294" y="11138647"/>
          <a:ext cx="5412441" cy="2902324"/>
        </a:xfrm>
        <a:prstGeom prst="borderCallout1">
          <a:avLst>
            <a:gd name="adj1" fmla="val 48210"/>
            <a:gd name="adj2" fmla="val 884"/>
            <a:gd name="adj3" fmla="val -31438"/>
            <a:gd name="adj4" fmla="val -1329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ヘッダーの [印刷] ボタンをタッチして、時間帯別レジ別日報作成APIを呼び出す。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レポート情報には以下の欄が含まれている。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・「No.」: 2 番目のレコードから連番で1から増加する。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・「時間帯」：画面上の表示の通り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構成比：客数別構成比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・点数: 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・客数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・金額：画面上の表示の通り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点数、金額がレジ別表示される。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レポートを作成した後、レポートを印刷する。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・エラーが発生した場合、「レジ別時間帯別日報」エラーモダールを表示する。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・成功した場合、SC2901_レジ別時間帯別点検画面を表示する。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「※」は、金額が最も高い3つの時間帯のデータ内で、点数と金額に表示される（各レジに適用される）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38</xdr:col>
      <xdr:colOff>0</xdr:colOff>
      <xdr:row>23</xdr:row>
      <xdr:rowOff>11207</xdr:rowOff>
    </xdr:from>
    <xdr:to>
      <xdr:col>61</xdr:col>
      <xdr:colOff>0</xdr:colOff>
      <xdr:row>51</xdr:row>
      <xdr:rowOff>22412</xdr:rowOff>
    </xdr:to>
    <xdr:sp macro="" textlink="" fLocksText="0">
      <xdr:nvSpPr>
        <xdr:cNvPr id="26" name="吹き出し: 線 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8942294" y="4504766"/>
          <a:ext cx="5412441" cy="5345205"/>
        </a:xfrm>
        <a:prstGeom prst="borderCallout1">
          <a:avLst>
            <a:gd name="adj1" fmla="val 48210"/>
            <a:gd name="adj2" fmla="val 884"/>
            <a:gd name="adj3" fmla="val 45954"/>
            <a:gd name="adj4" fmla="val -1303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・ヘッダー：「CSV」ボタンを無効にする。対象店舗が選択された場合、「印刷」ボタンを有効にする。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・[営業種別]項目: [速報]を選択する。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[営業日]項目: 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開始日～終了日で検索可能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・検索されていない場合、テーブルを表示しない（ヘッダーも表示しない）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・「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CSV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」、「印刷」ボタンが有効になる。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アクション、イベント: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・[日報]をタッチすると、[営業日]を有効にし、前日日付けをセットする。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・[速報]をタッチすると、[営業日]：現在日を表示し、無効にする。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・検索エリアの検索ボタンをタッチすると、画面に表示された時間帯別点検一覧を取得する。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一覧には以下の情報が含まれている。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・時間帯：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項目は０時～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24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時で持ち</a:t>
          </a: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、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1時間ごとに表示する。例：08:00、09:00</a:t>
          </a: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。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売上あった行から表示する。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+[営業種別]が速報の場合、レポート時間は当日の始業時間から現在の時間まで計算される。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+[営業種別]が[日報]の場合、レポート時間はレポート作成日の始業時間から終業時間まで計算される。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＊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印字する</a:t>
          </a:r>
          <a:r>
            <a:rPr 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PDF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では、スペースの問題もあるため、項目は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0~7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8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9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時、、、</a:t>
          </a:r>
          <a:r>
            <a:rPr lang="en-US" altLang="ja-JP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24</a:t>
          </a:r>
          <a:r>
            <a:rPr lang="ja-JP" altLang="en-US" b="0" i="0">
              <a:solidFill>
                <a:srgbClr val="0000FF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</a:rPr>
            <a:t>時とする。</a:t>
          </a:r>
          <a:endParaRPr lang="en-US" altLang="ja-JP" b="0" i="0">
            <a:solidFill>
              <a:srgbClr val="0000FF"/>
            </a:solidFill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全レジ、レジ別客数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の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Meiryo UI"/>
              <a:ea typeface="Meiryo UI" panose="020B0604030504040204" pitchFamily="34" charset="-128"/>
              <a:cs typeface="+mn-cs"/>
            </a:rPr>
            <a:t>構成比、</a:t>
          </a: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点数、金額、客数を表示する。各レジのレポートを横スクロールして表示する場合、時間帯の列を固定にする。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レジマスタに構成比除外ＰＯＳ設定可能。その時、合計からも外す。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詳細は「</a:t>
          </a:r>
          <a:r>
            <a:rPr kumimoji="0" lang="ja-JP" altLang="en-US" sz="1000" b="0" i="0" u="none" strike="noStrike" kern="0" cap="none" spc="0" normalizeH="0" baseline="0" noProof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Verdana" panose="020B0604030504040204" pitchFamily="34" charset="0"/>
              <a:ea typeface="Meiryo UI" panose="020B0604030504040204" pitchFamily="34" charset="-128"/>
              <a:cs typeface="+mn-cs"/>
            </a:rPr>
            <a:t>レジ別時間他別客数構成比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」シートをご参照ください。</a:t>
          </a:r>
          <a:endParaRPr lang="en-US" altLang="ja-JP" sz="1000" b="0" i="0" u="none" baseline="0">
            <a:solidFill>
              <a:srgbClr val="0000FF"/>
            </a:solidFill>
            <a:latin typeface="Meiryo UI"/>
            <a:ea typeface="Meiryo UI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最初のレコードには、以下の時間帯に従って各レコードの合計値を表示する。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2番目のレコードには、始業時間から次の時間までのデータを表示する。たとえば、始業時間が午前7 時である場合、2 番目のレコードには午前8時までのデータを表示する。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次のレコードには時間の昇順に表示する。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ysClr val="windowText" lastClr="000000"/>
              </a:solidFill>
              <a:latin typeface="Meiryo UI"/>
              <a:ea typeface="Meiryo UI"/>
            </a:rPr>
            <a:t>「※」は、金額が最も高い3つの時間帯のデータ内で、点数と金額に表示される（各レジに適用される）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2</xdr:col>
      <xdr:colOff>11209</xdr:colOff>
      <xdr:row>9</xdr:row>
      <xdr:rowOff>0</xdr:rowOff>
    </xdr:from>
    <xdr:to>
      <xdr:col>8</xdr:col>
      <xdr:colOff>0</xdr:colOff>
      <xdr:row>13</xdr:row>
      <xdr:rowOff>1200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542925" y="1828800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8</xdr:col>
      <xdr:colOff>0</xdr:colOff>
      <xdr:row>16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3400" y="2590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29_レジ別時間帯別点検</a:t>
          </a:r>
        </a:p>
      </xdr:txBody>
    </xdr:sp>
    <xdr:clientData/>
  </xdr:twoCellAnchor>
  <xdr:twoCellAnchor>
    <xdr:from>
      <xdr:col>2</xdr:col>
      <xdr:colOff>0</xdr:colOff>
      <xdr:row>18</xdr:row>
      <xdr:rowOff>0</xdr:rowOff>
    </xdr:from>
    <xdr:to>
      <xdr:col>8</xdr:col>
      <xdr:colOff>0</xdr:colOff>
      <xdr:row>22</xdr:row>
      <xdr:rowOff>0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レジ別時間帯別点検画面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5</xdr:col>
      <xdr:colOff>0</xdr:colOff>
      <xdr:row>18</xdr:row>
      <xdr:rowOff>0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6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</xdr:row>
      <xdr:rowOff>0</xdr:rowOff>
    </xdr:from>
    <xdr:to>
      <xdr:col>7</xdr:col>
      <xdr:colOff>0</xdr:colOff>
      <xdr:row>25</xdr:row>
      <xdr:rowOff>190499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800100" y="4686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画面初期化</a:t>
          </a:r>
          <a:endParaRPr lang="ja-JP" altLang="en-US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22</xdr:row>
      <xdr:rowOff>0</xdr:rowOff>
    </xdr:from>
    <xdr:to>
      <xdr:col>5</xdr:col>
      <xdr:colOff>0</xdr:colOff>
      <xdr:row>24</xdr:row>
      <xdr:rowOff>0</xdr:rowOff>
    </xdr:to>
    <xdr:cxnSp macro="">
      <xdr:nvCxnSpPr>
        <xdr:cNvPr id="14" name="直線矢印コネクタ 101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stCxn id="4" idx="2"/>
          <a:endCxn id="7" idx="0"/>
        </xdr:cNvCxnSpPr>
      </xdr:nvCxnSpPr>
      <xdr:spPr>
        <a:xfrm>
          <a:off x="1333500" y="430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190499</xdr:rowOff>
    </xdr:from>
    <xdr:to>
      <xdr:col>5</xdr:col>
      <xdr:colOff>0</xdr:colOff>
      <xdr:row>33</xdr:row>
      <xdr:rowOff>11205</xdr:rowOff>
    </xdr:to>
    <xdr:cxnSp macro="">
      <xdr:nvCxnSpPr>
        <xdr:cNvPr id="17" name="直線矢印コネクタ 1010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stCxn id="7" idx="2"/>
          <a:endCxn id="24" idx="0"/>
        </xdr:cNvCxnSpPr>
      </xdr:nvCxnSpPr>
      <xdr:spPr>
        <a:xfrm>
          <a:off x="1333500" y="5067300"/>
          <a:ext cx="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12</xdr:row>
      <xdr:rowOff>0</xdr:rowOff>
    </xdr:from>
    <xdr:to>
      <xdr:col>61</xdr:col>
      <xdr:colOff>0</xdr:colOff>
      <xdr:row>16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10134600" y="2400300"/>
          <a:ext cx="6134100" cy="762000"/>
        </a:xfrm>
        <a:prstGeom prst="borderCallout1">
          <a:avLst>
            <a:gd name="adj1" fmla="val 51887"/>
            <a:gd name="adj2" fmla="val 470"/>
            <a:gd name="adj3" fmla="val 197755"/>
            <a:gd name="adj4" fmla="val -1320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00_共通のフローをご参照ください。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1つの店舗のみ選択可能。店舗が選択された場合にのみ、画面の項目を操作可能とする。</a:t>
          </a:r>
        </a:p>
      </xdr:txBody>
    </xdr:sp>
    <xdr:clientData/>
  </xdr:twoCellAnchor>
  <xdr:twoCellAnchor>
    <xdr:from>
      <xdr:col>2</xdr:col>
      <xdr:colOff>0</xdr:colOff>
      <xdr:row>33</xdr:row>
      <xdr:rowOff>11205</xdr:rowOff>
    </xdr:from>
    <xdr:to>
      <xdr:col>8</xdr:col>
      <xdr:colOff>0</xdr:colOff>
      <xdr:row>37</xdr:row>
      <xdr:rowOff>11205</xdr:rowOff>
    </xdr:to>
    <xdr:sp macro="" textlink="" fLocksText="0">
      <xdr:nvSpPr>
        <xdr:cNvPr id="24" name="正方形/長方形 1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533400" y="641032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レジ別時間帯別点検画面</a:t>
          </a:r>
        </a:p>
      </xdr:txBody>
    </xdr:sp>
    <xdr:clientData/>
  </xdr:twoCellAnchor>
  <xdr:twoCellAnchor>
    <xdr:from>
      <xdr:col>4</xdr:col>
      <xdr:colOff>0</xdr:colOff>
      <xdr:row>40</xdr:row>
      <xdr:rowOff>11206</xdr:rowOff>
    </xdr:from>
    <xdr:to>
      <xdr:col>6</xdr:col>
      <xdr:colOff>0</xdr:colOff>
      <xdr:row>42</xdr:row>
      <xdr:rowOff>11206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066800" y="774382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印刷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11205</xdr:rowOff>
    </xdr:from>
    <xdr:to>
      <xdr:col>5</xdr:col>
      <xdr:colOff>0</xdr:colOff>
      <xdr:row>40</xdr:row>
      <xdr:rowOff>11206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>
          <a:stCxn id="24" idx="2"/>
          <a:endCxn id="27" idx="0"/>
        </xdr:cNvCxnSpPr>
      </xdr:nvCxnSpPr>
      <xdr:spPr>
        <a:xfrm>
          <a:off x="1333500" y="7172325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50</xdr:row>
      <xdr:rowOff>0</xdr:rowOff>
    </xdr:from>
    <xdr:to>
      <xdr:col>8</xdr:col>
      <xdr:colOff>2803</xdr:colOff>
      <xdr:row>54</xdr:row>
      <xdr:rowOff>0</xdr:rowOff>
    </xdr:to>
    <xdr:sp macro="" textlink="" fLocksText="0">
      <xdr:nvSpPr>
        <xdr:cNvPr id="31" name="四角形: 角を丸くする 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33400" y="9639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レジ別時間帯別日報作成機能 </a:t>
          </a:r>
        </a:p>
      </xdr:txBody>
    </xdr:sp>
    <xdr:clientData/>
  </xdr:twoCellAnchor>
  <xdr:twoCellAnchor>
    <xdr:from>
      <xdr:col>5</xdr:col>
      <xdr:colOff>0</xdr:colOff>
      <xdr:row>42</xdr:row>
      <xdr:rowOff>11206</xdr:rowOff>
    </xdr:from>
    <xdr:to>
      <xdr:col>5</xdr:col>
      <xdr:colOff>1401</xdr:colOff>
      <xdr:row>50</xdr:row>
      <xdr:rowOff>0</xdr:rowOff>
    </xdr:to>
    <xdr:cxnSp macro="">
      <xdr:nvCxnSpPr>
        <xdr:cNvPr id="32" name="直線矢印コネクタ 1010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stCxn id="27" idx="2"/>
          <a:endCxn id="31" idx="0"/>
        </xdr:cNvCxnSpPr>
      </xdr:nvCxnSpPr>
      <xdr:spPr>
        <a:xfrm>
          <a:off x="1333500" y="8124825"/>
          <a:ext cx="0" cy="1514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232520</xdr:colOff>
      <xdr:row>50</xdr:row>
      <xdr:rowOff>0</xdr:rowOff>
    </xdr:from>
    <xdr:to>
      <xdr:col>34</xdr:col>
      <xdr:colOff>232521</xdr:colOff>
      <xdr:row>54</xdr:row>
      <xdr:rowOff>0</xdr:rowOff>
    </xdr:to>
    <xdr:sp macro="" textlink="" fLocksText="0">
      <xdr:nvSpPr>
        <xdr:cNvPr id="35" name="フローチャート: 磁気ディスク 19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7696200" y="9639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出力 </a:t>
          </a:r>
        </a:p>
      </xdr:txBody>
    </xdr:sp>
    <xdr:clientData/>
  </xdr:twoCellAnchor>
  <xdr:twoCellAnchor>
    <xdr:from>
      <xdr:col>8</xdr:col>
      <xdr:colOff>2803</xdr:colOff>
      <xdr:row>52</xdr:row>
      <xdr:rowOff>0</xdr:rowOff>
    </xdr:from>
    <xdr:to>
      <xdr:col>28</xdr:col>
      <xdr:colOff>232520</xdr:colOff>
      <xdr:row>52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>
          <a:stCxn id="31" idx="3"/>
          <a:endCxn id="35" idx="2"/>
        </xdr:cNvCxnSpPr>
      </xdr:nvCxnSpPr>
      <xdr:spPr>
        <a:xfrm>
          <a:off x="2133600" y="10020300"/>
          <a:ext cx="5562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57</xdr:row>
      <xdr:rowOff>0</xdr:rowOff>
    </xdr:from>
    <xdr:to>
      <xdr:col>8</xdr:col>
      <xdr:colOff>0</xdr:colOff>
      <xdr:row>61</xdr:row>
      <xdr:rowOff>86678</xdr:rowOff>
    </xdr:to>
    <xdr:sp macro="" textlink="" fLocksText="0">
      <xdr:nvSpPr>
        <xdr:cNvPr id="39" name="フローチャート: 書類 11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533400" y="10972800"/>
          <a:ext cx="1600200" cy="847725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PR2901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レジ別時間帯別日報</a:t>
          </a:r>
        </a:p>
      </xdr:txBody>
    </xdr:sp>
    <xdr:clientData/>
  </xdr:twoCellAnchor>
  <xdr:twoCellAnchor>
    <xdr:from>
      <xdr:col>5</xdr:col>
      <xdr:colOff>1401</xdr:colOff>
      <xdr:row>54</xdr:row>
      <xdr:rowOff>0</xdr:rowOff>
    </xdr:from>
    <xdr:to>
      <xdr:col>5</xdr:col>
      <xdr:colOff>1401</xdr:colOff>
      <xdr:row>57</xdr:row>
      <xdr:rowOff>0</xdr:rowOff>
    </xdr:to>
    <xdr:cxnSp macro="">
      <xdr:nvCxnSpPr>
        <xdr:cNvPr id="40" name="直線矢印コネクタ 1010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31" idx="2"/>
        </xdr:cNvCxnSpPr>
      </xdr:nvCxnSpPr>
      <xdr:spPr>
        <a:xfrm>
          <a:off x="1333500" y="10401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66170</xdr:colOff>
      <xdr:row>55</xdr:row>
      <xdr:rowOff>117794</xdr:rowOff>
    </xdr:from>
    <xdr:to>
      <xdr:col>103</xdr:col>
      <xdr:colOff>224118</xdr:colOff>
      <xdr:row>73</xdr:row>
      <xdr:rowOff>67235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68875" y="10706100"/>
          <a:ext cx="10029825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0</xdr:colOff>
      <xdr:row>40</xdr:row>
      <xdr:rowOff>0</xdr:rowOff>
    </xdr:from>
    <xdr:to>
      <xdr:col>15</xdr:col>
      <xdr:colOff>0</xdr:colOff>
      <xdr:row>42</xdr:row>
      <xdr:rowOff>0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467100" y="7734300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/>
              <a:ea typeface="Meiryo UI"/>
            </a:rPr>
            <a:t>検索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37</xdr:row>
      <xdr:rowOff>11204</xdr:rowOff>
    </xdr:from>
    <xdr:to>
      <xdr:col>14</xdr:col>
      <xdr:colOff>2</xdr:colOff>
      <xdr:row>39</xdr:row>
      <xdr:rowOff>190499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CxnSpPr>
          <a:stCxn id="24" idx="2"/>
          <a:endCxn id="6" idx="0"/>
        </xdr:cNvCxnSpPr>
      </xdr:nvCxnSpPr>
      <xdr:spPr>
        <a:xfrm rot="16200000" flipH="1">
          <a:off x="1333500" y="7172325"/>
          <a:ext cx="2400300" cy="561975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45</xdr:row>
      <xdr:rowOff>0</xdr:rowOff>
    </xdr:from>
    <xdr:to>
      <xdr:col>17</xdr:col>
      <xdr:colOff>2803</xdr:colOff>
      <xdr:row>49</xdr:row>
      <xdr:rowOff>0</xdr:rowOff>
    </xdr:to>
    <xdr:sp macro="" textlink="" fLocksText="0">
      <xdr:nvSpPr>
        <xdr:cNvPr id="13" name="四角形: 角を丸くする 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933700" y="8686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KN2901</a:t>
          </a:r>
        </a:p>
        <a:p>
          <a:pPr algn="ctr">
            <a:defRPr lang="en-US" altLang="ja-JP" sz="8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レジ別時間帯別日報</a:t>
          </a:r>
        </a:p>
        <a:p>
          <a:pPr algn="ctr">
            <a:defRPr lang="en-US" altLang="ja-JP" sz="8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検索機能 </a:t>
          </a:r>
        </a:p>
      </xdr:txBody>
    </xdr:sp>
    <xdr:clientData/>
  </xdr:twoCellAnchor>
  <xdr:twoCellAnchor>
    <xdr:from>
      <xdr:col>29</xdr:col>
      <xdr:colOff>0</xdr:colOff>
      <xdr:row>45</xdr:row>
      <xdr:rowOff>0</xdr:rowOff>
    </xdr:from>
    <xdr:to>
      <xdr:col>35</xdr:col>
      <xdr:colOff>0</xdr:colOff>
      <xdr:row>49</xdr:row>
      <xdr:rowOff>0</xdr:rowOff>
    </xdr:to>
    <xdr:sp macro="" textlink="" fLocksText="0">
      <xdr:nvSpPr>
        <xdr:cNvPr id="15" name="フローチャート: 磁気ディスク 19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7734300" y="8686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AP2902</a:t>
          </a:r>
        </a:p>
        <a:p>
          <a:pPr algn="ctr">
            <a:def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レジ別時間帯別日報 </a:t>
          </a:r>
        </a:p>
      </xdr:txBody>
    </xdr:sp>
    <xdr:clientData/>
  </xdr:twoCellAnchor>
  <xdr:twoCellAnchor>
    <xdr:from>
      <xdr:col>17</xdr:col>
      <xdr:colOff>2803</xdr:colOff>
      <xdr:row>47</xdr:row>
      <xdr:rowOff>0</xdr:rowOff>
    </xdr:from>
    <xdr:to>
      <xdr:col>29</xdr:col>
      <xdr:colOff>0</xdr:colOff>
      <xdr:row>47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>
          <a:stCxn id="13" idx="3"/>
          <a:endCxn id="15" idx="2"/>
        </xdr:cNvCxnSpPr>
      </xdr:nvCxnSpPr>
      <xdr:spPr>
        <a:xfrm>
          <a:off x="4533900" y="90678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42</xdr:row>
      <xdr:rowOff>0</xdr:rowOff>
    </xdr:from>
    <xdr:to>
      <xdr:col>14</xdr:col>
      <xdr:colOff>1402</xdr:colOff>
      <xdr:row>45</xdr:row>
      <xdr:rowOff>0</xdr:rowOff>
    </xdr:to>
    <xdr:cxnSp macro="">
      <xdr:nvCxnSpPr>
        <xdr:cNvPr id="23" name="直線矢印コネクタ 1010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stCxn id="6" idx="2"/>
          <a:endCxn id="13" idx="0"/>
        </xdr:cNvCxnSpPr>
      </xdr:nvCxnSpPr>
      <xdr:spPr>
        <a:xfrm>
          <a:off x="3733800" y="8115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40</xdr:row>
      <xdr:rowOff>0</xdr:rowOff>
    </xdr:from>
    <xdr:to>
      <xdr:col>24</xdr:col>
      <xdr:colOff>0</xdr:colOff>
      <xdr:row>42</xdr:row>
      <xdr:rowOff>11206</xdr:rowOff>
    </xdr:to>
    <xdr:sp macro="" textlink="" fLocksText="0">
      <xdr:nvSpPr>
        <xdr:cNvPr id="37" name="四角形: 角を丸くする 1101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4800600" y="7734300"/>
          <a:ext cx="1600200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chemeClr val="bg1"/>
              </a:solidFill>
              <a:latin typeface="Meiryo UI"/>
              <a:ea typeface="Meiryo UI"/>
            </a:rPr>
            <a:t>レジ番号をタッチする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37</xdr:row>
      <xdr:rowOff>11204</xdr:rowOff>
    </xdr:from>
    <xdr:to>
      <xdr:col>21</xdr:col>
      <xdr:colOff>1</xdr:colOff>
      <xdr:row>39</xdr:row>
      <xdr:rowOff>190499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stCxn id="24" idx="2"/>
          <a:endCxn id="37" idx="0"/>
        </xdr:cNvCxnSpPr>
      </xdr:nvCxnSpPr>
      <xdr:spPr>
        <a:xfrm rot="16200000" flipH="1">
          <a:off x="1333500" y="7172325"/>
          <a:ext cx="4267200" cy="561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44822</xdr:colOff>
      <xdr:row>25</xdr:row>
      <xdr:rowOff>112058</xdr:rowOff>
    </xdr:from>
    <xdr:to>
      <xdr:col>109</xdr:col>
      <xdr:colOff>157188</xdr:colOff>
      <xdr:row>50</xdr:row>
      <xdr:rowOff>55565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113BFB5-4BF0-43E2-AEAB-DA2DC3F3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76175" y="4986617"/>
          <a:ext cx="10231278" cy="4706007"/>
        </a:xfrm>
        <a:prstGeom prst="rect">
          <a:avLst/>
        </a:prstGeom>
      </xdr:spPr>
    </xdr:pic>
    <xdr:clientData/>
  </xdr:twoCellAnchor>
  <xdr:twoCellAnchor>
    <xdr:from>
      <xdr:col>97</xdr:col>
      <xdr:colOff>112058</xdr:colOff>
      <xdr:row>20</xdr:row>
      <xdr:rowOff>156883</xdr:rowOff>
    </xdr:from>
    <xdr:to>
      <xdr:col>102</xdr:col>
      <xdr:colOff>11205</xdr:colOff>
      <xdr:row>25</xdr:row>
      <xdr:rowOff>11767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71821794-545B-40F6-8793-8EE174AC4222}"/>
            </a:ext>
          </a:extLst>
        </xdr:cNvPr>
        <xdr:cNvSpPr/>
      </xdr:nvSpPr>
      <xdr:spPr>
        <a:xfrm>
          <a:off x="22938440" y="4078942"/>
          <a:ext cx="1075765" cy="807384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CSV</a:t>
          </a:r>
          <a:r>
            <a:rPr lang="ja-JP" altLang="en-US" sz="1100"/>
            <a:t>ボタンが押せる状態になる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52</xdr:col>
      <xdr:colOff>627901</xdr:colOff>
      <xdr:row>41</xdr:row>
      <xdr:rowOff>57573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3943A4-8FFA-4402-9E53-E6EA88E48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371975"/>
          <a:ext cx="13343776" cy="3677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52</xdr:col>
      <xdr:colOff>612660</xdr:colOff>
      <xdr:row>74</xdr:row>
      <xdr:rowOff>2565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CD12364-8750-4AF0-BBB8-85DB3924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62975"/>
          <a:ext cx="13328535" cy="5717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">
        <v>77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8" t="s">
        <v>83</v>
      </c>
      <c r="B2" s="113"/>
      <c r="C2" s="113"/>
      <c r="D2" s="113"/>
      <c r="E2" s="113"/>
      <c r="F2" s="113"/>
      <c r="G2" s="113"/>
      <c r="H2" s="113"/>
      <c r="I2" s="113"/>
      <c r="J2" s="114"/>
      <c r="K2" s="112" t="s">
        <v>10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改訂履歴!$H$11</f>
        <v>LoiLV</v>
      </c>
      <c r="AQ2" s="113"/>
      <c r="AR2" s="113"/>
      <c r="AS2" s="114"/>
      <c r="AT2" s="139">
        <f>改訂履歴!$B$11</f>
        <v>45460</v>
      </c>
      <c r="AU2" s="140"/>
      <c r="AV2" s="140"/>
      <c r="AW2" s="140"/>
      <c r="AX2" s="141"/>
      <c r="AY2" s="112" t="str">
        <f>LOOKUP(2,1/(改訂履歴!H11:H30000&lt;&gt;""),改訂履歴!H11:H30000)</f>
        <v>AnhNM</v>
      </c>
      <c r="AZ2" s="113"/>
      <c r="BA2" s="113"/>
      <c r="BB2" s="114"/>
      <c r="BC2" s="139">
        <f>LOOKUP(2,1/(改訂履歴!B11:B30000&lt;&gt;""),改訂履歴!B11:B30000)</f>
        <v>45583</v>
      </c>
      <c r="BD2" s="140"/>
      <c r="BE2" s="140"/>
      <c r="BF2" s="140"/>
      <c r="BG2" s="141"/>
      <c r="BH2" s="133">
        <f>LOOKUP(2,1/(改訂履歴!O11:O30000&lt;&gt;""),改訂履歴!O11:O30000)</f>
        <v>0.4</v>
      </c>
      <c r="BI2" s="134"/>
      <c r="BJ2" s="134"/>
      <c r="BK2" s="135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36"/>
      <c r="BI3" s="137"/>
      <c r="BJ3" s="137"/>
      <c r="BK3" s="138"/>
    </row>
    <row r="4" spans="1:63" ht="24.95" customHeight="1">
      <c r="A4" s="109" t="s">
        <v>84</v>
      </c>
      <c r="B4" s="110"/>
      <c r="C4" s="110"/>
      <c r="D4" s="110"/>
      <c r="E4" s="110"/>
      <c r="F4" s="110"/>
      <c r="G4" s="111"/>
      <c r="H4" s="130" t="s">
        <v>66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">
        <v>11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表紙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K8" s="47"/>
    </row>
    <row r="9" spans="1:63" ht="15" customHeight="1">
      <c r="A9" s="46"/>
      <c r="BK9" s="47"/>
    </row>
    <row r="10" spans="1:63" ht="15" customHeight="1">
      <c r="A10" s="46"/>
      <c r="BK10" s="47"/>
    </row>
    <row r="11" spans="1:63" ht="15" customHeight="1">
      <c r="A11" s="46"/>
      <c r="BK11" s="47"/>
    </row>
    <row r="12" spans="1:63" ht="15" customHeight="1">
      <c r="A12" s="46"/>
      <c r="BK12" s="47"/>
    </row>
    <row r="13" spans="1:63" ht="15" customHeight="1">
      <c r="A13" s="46"/>
      <c r="BK13" s="47"/>
    </row>
    <row r="14" spans="1:63" ht="15" customHeight="1" thickBot="1">
      <c r="A14" s="46"/>
      <c r="BK14" s="47"/>
    </row>
    <row r="15" spans="1:63" ht="15" customHeight="1" thickTop="1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>
      <c r="A16" s="46"/>
      <c r="K16" s="51"/>
      <c r="L16" s="128" t="s">
        <v>86</v>
      </c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52"/>
      <c r="BK16" s="47"/>
    </row>
    <row r="17" spans="1:63" ht="15" customHeight="1">
      <c r="A17" s="46"/>
      <c r="K17" s="51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52"/>
      <c r="BK17" s="47"/>
    </row>
    <row r="18" spans="1:63" ht="15" customHeight="1">
      <c r="A18" s="46"/>
      <c r="K18" s="51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52"/>
      <c r="BK18" s="47"/>
    </row>
    <row r="19" spans="1:63" ht="15" customHeight="1">
      <c r="A19" s="46"/>
      <c r="K19" s="51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52"/>
      <c r="BK19" s="47"/>
    </row>
    <row r="20" spans="1:63" ht="15" customHeight="1">
      <c r="A20" s="46"/>
      <c r="K20" s="51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52"/>
      <c r="BK20" s="47"/>
    </row>
    <row r="21" spans="1:63" ht="15" customHeight="1">
      <c r="A21" s="46"/>
      <c r="K21" s="51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52"/>
      <c r="BK21" s="47"/>
    </row>
    <row r="22" spans="1:63" ht="15" customHeight="1" thickBot="1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>
      <c r="A24" s="46"/>
      <c r="K24" s="51"/>
      <c r="L24" s="129" t="str">
        <f>K2&amp;"/"&amp;H4&amp;"/"&amp;Z4</f>
        <v>POSサーバ/29_レジ別時間帯別点検/概要設計</v>
      </c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52"/>
      <c r="BK24" s="47"/>
    </row>
    <row r="25" spans="1:63" ht="15" customHeight="1">
      <c r="A25" s="46"/>
      <c r="K25" s="51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52"/>
      <c r="BK25" s="47"/>
    </row>
    <row r="26" spans="1:63" ht="15" customHeight="1">
      <c r="A26" s="46"/>
      <c r="K26" s="51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52"/>
      <c r="BK26" s="47"/>
    </row>
    <row r="27" spans="1:63" ht="15" customHeight="1">
      <c r="A27" s="46"/>
      <c r="K27" s="51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52"/>
      <c r="BK27" s="47"/>
    </row>
    <row r="28" spans="1:63" ht="15" customHeight="1">
      <c r="A28" s="46"/>
      <c r="K28" s="51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52"/>
      <c r="BK28" s="47"/>
    </row>
    <row r="29" spans="1:63" ht="15" customHeight="1">
      <c r="A29" s="46"/>
      <c r="K29" s="51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52"/>
      <c r="BK29" s="47"/>
    </row>
    <row r="30" spans="1:63" ht="15" customHeight="1">
      <c r="A30" s="46"/>
      <c r="K30" s="51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52"/>
      <c r="BK30" s="47"/>
    </row>
    <row r="31" spans="1:63" ht="15" customHeight="1">
      <c r="A31" s="46"/>
      <c r="K31" s="51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52"/>
      <c r="BK31" s="47"/>
    </row>
    <row r="32" spans="1:63" ht="15" customHeight="1">
      <c r="A32" s="46"/>
      <c r="K32" s="51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52"/>
      <c r="BK32" s="47"/>
    </row>
    <row r="33" spans="1:63" ht="15" customHeight="1">
      <c r="A33" s="46"/>
      <c r="K33" s="51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52"/>
      <c r="BK33" s="47"/>
    </row>
    <row r="34" spans="1:63" ht="15" customHeight="1">
      <c r="A34" s="46"/>
      <c r="K34" s="51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52"/>
      <c r="BK34" s="47"/>
    </row>
    <row r="35" spans="1:63" ht="15" customHeight="1">
      <c r="A35" s="46"/>
      <c r="K35" s="51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52"/>
      <c r="BK35" s="47"/>
    </row>
    <row r="36" spans="1:63" ht="15" customHeight="1">
      <c r="A36" s="46"/>
      <c r="K36" s="51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52"/>
      <c r="BK36" s="47"/>
    </row>
    <row r="37" spans="1:63" ht="15" customHeight="1" thickBot="1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>
      <c r="A38" s="46"/>
      <c r="BK38" s="47"/>
    </row>
    <row r="39" spans="1:63" ht="15" customHeight="1">
      <c r="A39" s="46"/>
      <c r="BK39" s="47"/>
    </row>
    <row r="40" spans="1:63" ht="15" customHeight="1">
      <c r="A40" s="46"/>
      <c r="BK40" s="47"/>
    </row>
    <row r="41" spans="1:63" ht="15" customHeight="1">
      <c r="A41" s="46"/>
      <c r="BK41" s="47"/>
    </row>
    <row r="42" spans="1:63" ht="15" customHeight="1">
      <c r="A42" s="46"/>
      <c r="BK42" s="47"/>
    </row>
    <row r="43" spans="1:63" ht="15" customHeight="1">
      <c r="A43" s="46"/>
      <c r="BK43" s="47"/>
    </row>
    <row r="44" spans="1:63" ht="15" customHeight="1">
      <c r="A44" s="46"/>
      <c r="Q44" s="148" t="s">
        <v>87</v>
      </c>
      <c r="R44" s="149"/>
      <c r="S44" s="149"/>
      <c r="T44" s="149"/>
      <c r="U44" s="149"/>
      <c r="V44" s="149"/>
      <c r="W44" s="149"/>
      <c r="X44" s="149"/>
      <c r="Y44" s="149"/>
      <c r="Z44" s="150"/>
      <c r="AA44" s="148" t="s">
        <v>88</v>
      </c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50"/>
      <c r="AQ44" s="148" t="s">
        <v>82</v>
      </c>
      <c r="AR44" s="149"/>
      <c r="AS44" s="149"/>
      <c r="AT44" s="149"/>
      <c r="AU44" s="150"/>
      <c r="BK44" s="47"/>
    </row>
    <row r="45" spans="1:63" ht="15" customHeight="1">
      <c r="A45" s="46"/>
      <c r="Q45" s="151"/>
      <c r="R45" s="152"/>
      <c r="S45" s="152"/>
      <c r="T45" s="152"/>
      <c r="U45" s="152"/>
      <c r="V45" s="152"/>
      <c r="W45" s="152"/>
      <c r="X45" s="152"/>
      <c r="Y45" s="152"/>
      <c r="Z45" s="153"/>
      <c r="AA45" s="151"/>
      <c r="AB45" s="152"/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3"/>
      <c r="AQ45" s="151"/>
      <c r="AR45" s="152"/>
      <c r="AS45" s="152"/>
      <c r="AT45" s="152"/>
      <c r="AU45" s="153"/>
      <c r="BK45" s="47"/>
    </row>
    <row r="46" spans="1:63" ht="15" customHeight="1">
      <c r="A46" s="46"/>
      <c r="Q46" s="112"/>
      <c r="R46" s="113"/>
      <c r="S46" s="113"/>
      <c r="T46" s="113"/>
      <c r="U46" s="113"/>
      <c r="V46" s="113"/>
      <c r="W46" s="113"/>
      <c r="X46" s="113"/>
      <c r="Y46" s="113"/>
      <c r="Z46" s="114"/>
      <c r="AA46" s="112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  <c r="AM46" s="113"/>
      <c r="AN46" s="113"/>
      <c r="AO46" s="113"/>
      <c r="AP46" s="114"/>
      <c r="AQ46" s="112"/>
      <c r="AR46" s="113"/>
      <c r="AS46" s="113"/>
      <c r="AT46" s="113"/>
      <c r="AU46" s="114"/>
      <c r="BK46" s="47"/>
    </row>
    <row r="47" spans="1:63" ht="15" customHeight="1">
      <c r="A47" s="46"/>
      <c r="Q47" s="145"/>
      <c r="R47" s="146"/>
      <c r="S47" s="146"/>
      <c r="T47" s="146"/>
      <c r="U47" s="146"/>
      <c r="V47" s="146"/>
      <c r="W47" s="146"/>
      <c r="X47" s="146"/>
      <c r="Y47" s="146"/>
      <c r="Z47" s="147"/>
      <c r="AA47" s="145"/>
      <c r="AB47" s="146"/>
      <c r="AC47" s="146"/>
      <c r="AD47" s="146"/>
      <c r="AE47" s="146"/>
      <c r="AF47" s="146"/>
      <c r="AG47" s="146"/>
      <c r="AH47" s="146"/>
      <c r="AI47" s="146"/>
      <c r="AJ47" s="146"/>
      <c r="AK47" s="146"/>
      <c r="AL47" s="146"/>
      <c r="AM47" s="146"/>
      <c r="AN47" s="146"/>
      <c r="AO47" s="146"/>
      <c r="AP47" s="147"/>
      <c r="AQ47" s="145"/>
      <c r="AR47" s="146"/>
      <c r="AS47" s="146"/>
      <c r="AT47" s="146"/>
      <c r="AU47" s="147"/>
      <c r="BK47" s="47"/>
    </row>
    <row r="48" spans="1:63" ht="15" customHeight="1">
      <c r="A48" s="46"/>
      <c r="Q48" s="145"/>
      <c r="R48" s="146"/>
      <c r="S48" s="146"/>
      <c r="T48" s="146"/>
      <c r="U48" s="146"/>
      <c r="V48" s="146"/>
      <c r="W48" s="146"/>
      <c r="X48" s="146"/>
      <c r="Y48" s="146"/>
      <c r="Z48" s="147"/>
      <c r="AA48" s="145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7"/>
      <c r="AQ48" s="145"/>
      <c r="AR48" s="146"/>
      <c r="AS48" s="146"/>
      <c r="AT48" s="146"/>
      <c r="AU48" s="147"/>
      <c r="BK48" s="47"/>
    </row>
    <row r="49" spans="1:63" ht="15" customHeight="1">
      <c r="A49" s="46"/>
      <c r="Q49" s="115"/>
      <c r="R49" s="116"/>
      <c r="S49" s="116"/>
      <c r="T49" s="116"/>
      <c r="U49" s="116"/>
      <c r="V49" s="116"/>
      <c r="W49" s="116"/>
      <c r="X49" s="116"/>
      <c r="Y49" s="116"/>
      <c r="Z49" s="117"/>
      <c r="AA49" s="115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7"/>
      <c r="AQ49" s="115"/>
      <c r="AR49" s="116"/>
      <c r="AS49" s="116"/>
      <c r="AT49" s="116"/>
      <c r="AU49" s="117"/>
      <c r="BK49" s="47"/>
    </row>
    <row r="50" spans="1:63" ht="15" customHeight="1">
      <c r="A50" s="46"/>
      <c r="BK50" s="47"/>
    </row>
    <row r="51" spans="1:63" ht="15" customHeight="1">
      <c r="A51" s="46"/>
      <c r="BK51" s="47"/>
    </row>
    <row r="52" spans="1:63" ht="15" customHeight="1">
      <c r="A52" s="46"/>
      <c r="BK52" s="47"/>
    </row>
    <row r="53" spans="1:63" ht="15" customHeight="1">
      <c r="A53" s="46"/>
      <c r="BK53" s="47"/>
    </row>
    <row r="54" spans="1:63" ht="15" customHeight="1">
      <c r="A54" s="46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S20" sqref="S20:AW20"/>
    </sheetView>
  </sheetViews>
  <sheetFormatPr defaultColWidth="2.77734375" defaultRowHeight="15.7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tr">
        <f>IF(表紙!W1="","",表紙!W1)</f>
        <v>基本設計書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IF(表紙!AP2="","",表紙!AP2)</f>
        <v>LoiLV</v>
      </c>
      <c r="AQ2" s="113"/>
      <c r="AR2" s="113"/>
      <c r="AS2" s="114"/>
      <c r="AT2" s="139">
        <f>IF(表紙!AT2="","",表紙!AT2)</f>
        <v>45460</v>
      </c>
      <c r="AU2" s="140"/>
      <c r="AV2" s="140"/>
      <c r="AW2" s="140"/>
      <c r="AX2" s="141"/>
      <c r="AY2" s="112" t="str">
        <f>IF(表紙!AY2="","",表紙!AY2)</f>
        <v>AnhNM</v>
      </c>
      <c r="AZ2" s="113"/>
      <c r="BA2" s="113"/>
      <c r="BB2" s="114"/>
      <c r="BC2" s="139">
        <f>IF(表紙!BC2="","",表紙!BC2)</f>
        <v>45583</v>
      </c>
      <c r="BD2" s="140"/>
      <c r="BE2" s="140"/>
      <c r="BF2" s="140"/>
      <c r="BG2" s="141"/>
      <c r="BH2" s="112">
        <f>IF(表紙!BH2="","",表紙!BH2)</f>
        <v>0.4</v>
      </c>
      <c r="BI2" s="113"/>
      <c r="BJ2" s="113"/>
      <c r="BK2" s="114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15"/>
      <c r="BI3" s="116"/>
      <c r="BJ3" s="116"/>
      <c r="BK3" s="117"/>
    </row>
    <row r="4" spans="1:63" ht="24.95" customHeight="1">
      <c r="A4" s="109" t="s">
        <v>89</v>
      </c>
      <c r="B4" s="110"/>
      <c r="C4" s="110"/>
      <c r="D4" s="110"/>
      <c r="E4" s="110"/>
      <c r="F4" s="110"/>
      <c r="G4" s="111"/>
      <c r="H4" s="130" t="str">
        <f>IF(表紙!H4="","",表紙!H4)</f>
        <v>29_レジ別時間帯別点検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改訂履歴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8" s="42" t="s">
        <v>9</v>
      </c>
      <c r="BK8" s="47"/>
    </row>
    <row r="9" spans="1:63" ht="15" customHeight="1">
      <c r="A9" s="46"/>
      <c r="BK9" s="47"/>
    </row>
    <row r="10" spans="1:63" ht="15" customHeight="1">
      <c r="A10" s="46"/>
      <c r="B10" s="176" t="s">
        <v>81</v>
      </c>
      <c r="C10" s="176"/>
      <c r="D10" s="176"/>
      <c r="E10" s="176"/>
      <c r="F10" s="176"/>
      <c r="G10" s="176"/>
      <c r="H10" s="176" t="s">
        <v>80</v>
      </c>
      <c r="I10" s="176"/>
      <c r="J10" s="176"/>
      <c r="K10" s="176"/>
      <c r="L10" s="176"/>
      <c r="M10" s="176"/>
      <c r="N10" s="176"/>
      <c r="O10" s="176" t="s">
        <v>82</v>
      </c>
      <c r="P10" s="176"/>
      <c r="Q10" s="176"/>
      <c r="R10" s="176"/>
      <c r="S10" s="176" t="s">
        <v>90</v>
      </c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 t="s">
        <v>87</v>
      </c>
      <c r="AY10" s="176"/>
      <c r="AZ10" s="176"/>
      <c r="BA10" s="176"/>
      <c r="BB10" s="176"/>
      <c r="BC10" s="176"/>
      <c r="BD10" s="176" t="s">
        <v>88</v>
      </c>
      <c r="BE10" s="176"/>
      <c r="BF10" s="176"/>
      <c r="BG10" s="176"/>
      <c r="BH10" s="176"/>
      <c r="BI10" s="176"/>
      <c r="BJ10" s="176"/>
      <c r="BK10" s="47"/>
    </row>
    <row r="11" spans="1:63" ht="15" customHeight="1">
      <c r="A11" s="46"/>
      <c r="B11" s="139">
        <v>45460</v>
      </c>
      <c r="C11" s="113"/>
      <c r="D11" s="113"/>
      <c r="E11" s="113"/>
      <c r="F11" s="113"/>
      <c r="G11" s="114"/>
      <c r="H11" s="118" t="s">
        <v>91</v>
      </c>
      <c r="I11" s="113"/>
      <c r="J11" s="113"/>
      <c r="K11" s="113"/>
      <c r="L11" s="113"/>
      <c r="M11" s="113"/>
      <c r="N11" s="114"/>
      <c r="O11" s="112">
        <v>0.1</v>
      </c>
      <c r="P11" s="113"/>
      <c r="Q11" s="113"/>
      <c r="R11" s="113"/>
      <c r="S11" s="173" t="s">
        <v>15</v>
      </c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5"/>
      <c r="AX11" s="164"/>
      <c r="AY11" s="164"/>
      <c r="AZ11" s="164"/>
      <c r="BA11" s="164"/>
      <c r="BB11" s="164"/>
      <c r="BC11" s="165"/>
      <c r="BD11" s="168"/>
      <c r="BE11" s="164"/>
      <c r="BF11" s="164"/>
      <c r="BG11" s="164"/>
      <c r="BH11" s="164"/>
      <c r="BI11" s="164"/>
      <c r="BJ11" s="165"/>
      <c r="BK11" s="47"/>
    </row>
    <row r="12" spans="1:63" ht="15" customHeight="1">
      <c r="A12" s="46"/>
      <c r="B12" s="115"/>
      <c r="C12" s="116"/>
      <c r="D12" s="116"/>
      <c r="E12" s="116"/>
      <c r="F12" s="116"/>
      <c r="G12" s="117"/>
      <c r="H12" s="115"/>
      <c r="I12" s="116"/>
      <c r="J12" s="116"/>
      <c r="K12" s="116"/>
      <c r="L12" s="116"/>
      <c r="M12" s="116"/>
      <c r="N12" s="117"/>
      <c r="O12" s="115"/>
      <c r="P12" s="116"/>
      <c r="Q12" s="116"/>
      <c r="R12" s="116"/>
      <c r="S12" s="170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2"/>
      <c r="AX12" s="166"/>
      <c r="AY12" s="166"/>
      <c r="AZ12" s="166"/>
      <c r="BA12" s="166"/>
      <c r="BB12" s="166"/>
      <c r="BC12" s="167"/>
      <c r="BD12" s="169"/>
      <c r="BE12" s="166"/>
      <c r="BF12" s="166"/>
      <c r="BG12" s="166"/>
      <c r="BH12" s="166"/>
      <c r="BI12" s="166"/>
      <c r="BJ12" s="167"/>
      <c r="BK12" s="47"/>
    </row>
    <row r="13" spans="1:63" ht="15" customHeight="1">
      <c r="A13" s="46"/>
      <c r="B13" s="154">
        <v>45531</v>
      </c>
      <c r="C13" s="155"/>
      <c r="D13" s="155"/>
      <c r="E13" s="155"/>
      <c r="F13" s="155"/>
      <c r="G13" s="156"/>
      <c r="H13" s="160" t="s">
        <v>70</v>
      </c>
      <c r="I13" s="155"/>
      <c r="J13" s="155"/>
      <c r="K13" s="155"/>
      <c r="L13" s="155"/>
      <c r="M13" s="155"/>
      <c r="N13" s="156"/>
      <c r="O13" s="160">
        <v>0.2</v>
      </c>
      <c r="P13" s="155"/>
      <c r="Q13" s="155"/>
      <c r="R13" s="155"/>
      <c r="S13" s="161" t="s">
        <v>93</v>
      </c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3"/>
      <c r="AX13" s="164"/>
      <c r="AY13" s="164"/>
      <c r="AZ13" s="164"/>
      <c r="BA13" s="164"/>
      <c r="BB13" s="164"/>
      <c r="BC13" s="165"/>
      <c r="BD13" s="168"/>
      <c r="BE13" s="164"/>
      <c r="BF13" s="164"/>
      <c r="BG13" s="164"/>
      <c r="BH13" s="164"/>
      <c r="BI13" s="164"/>
      <c r="BJ13" s="165"/>
      <c r="BK13" s="47"/>
    </row>
    <row r="14" spans="1:63" ht="36.75" customHeight="1">
      <c r="A14" s="46"/>
      <c r="B14" s="157"/>
      <c r="C14" s="158"/>
      <c r="D14" s="158"/>
      <c r="E14" s="158"/>
      <c r="F14" s="158"/>
      <c r="G14" s="159"/>
      <c r="H14" s="157"/>
      <c r="I14" s="158"/>
      <c r="J14" s="158"/>
      <c r="K14" s="158"/>
      <c r="L14" s="158"/>
      <c r="M14" s="158"/>
      <c r="N14" s="159"/>
      <c r="O14" s="157"/>
      <c r="P14" s="158"/>
      <c r="Q14" s="158"/>
      <c r="R14" s="158"/>
      <c r="S14" s="190" t="s">
        <v>94</v>
      </c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  <c r="AX14" s="166"/>
      <c r="AY14" s="166"/>
      <c r="AZ14" s="166"/>
      <c r="BA14" s="166"/>
      <c r="BB14" s="166"/>
      <c r="BC14" s="167"/>
      <c r="BD14" s="169"/>
      <c r="BE14" s="166"/>
      <c r="BF14" s="166"/>
      <c r="BG14" s="166"/>
      <c r="BH14" s="166"/>
      <c r="BI14" s="166"/>
      <c r="BJ14" s="167"/>
      <c r="BK14" s="47"/>
    </row>
    <row r="15" spans="1:63" ht="15" customHeight="1">
      <c r="A15" s="46"/>
      <c r="B15" s="139">
        <v>45552</v>
      </c>
      <c r="C15" s="113"/>
      <c r="D15" s="113"/>
      <c r="E15" s="113"/>
      <c r="F15" s="113"/>
      <c r="G15" s="114"/>
      <c r="H15" s="112" t="s">
        <v>92</v>
      </c>
      <c r="I15" s="113"/>
      <c r="J15" s="113"/>
      <c r="K15" s="113"/>
      <c r="L15" s="113"/>
      <c r="M15" s="113"/>
      <c r="N15" s="114"/>
      <c r="O15" s="112">
        <v>0.3</v>
      </c>
      <c r="P15" s="113"/>
      <c r="Q15" s="113"/>
      <c r="R15" s="113"/>
      <c r="S15" s="173" t="s">
        <v>93</v>
      </c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5"/>
      <c r="AX15" s="164"/>
      <c r="AY15" s="164"/>
      <c r="AZ15" s="164"/>
      <c r="BA15" s="164"/>
      <c r="BB15" s="164"/>
      <c r="BC15" s="165"/>
      <c r="BD15" s="168"/>
      <c r="BE15" s="164"/>
      <c r="BF15" s="164"/>
      <c r="BG15" s="164"/>
      <c r="BH15" s="164"/>
      <c r="BI15" s="164"/>
      <c r="BJ15" s="165"/>
      <c r="BK15" s="47"/>
    </row>
    <row r="16" spans="1:63" ht="36" customHeight="1">
      <c r="A16" s="46"/>
      <c r="B16" s="115"/>
      <c r="C16" s="116"/>
      <c r="D16" s="116"/>
      <c r="E16" s="116"/>
      <c r="F16" s="116"/>
      <c r="G16" s="117"/>
      <c r="H16" s="115"/>
      <c r="I16" s="116"/>
      <c r="J16" s="116"/>
      <c r="K16" s="116"/>
      <c r="L16" s="116"/>
      <c r="M16" s="116"/>
      <c r="N16" s="117"/>
      <c r="O16" s="115"/>
      <c r="P16" s="116"/>
      <c r="Q16" s="116"/>
      <c r="R16" s="116"/>
      <c r="S16" s="193" t="s">
        <v>104</v>
      </c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5"/>
      <c r="AX16" s="166"/>
      <c r="AY16" s="166"/>
      <c r="AZ16" s="166"/>
      <c r="BA16" s="166"/>
      <c r="BB16" s="166"/>
      <c r="BC16" s="167"/>
      <c r="BD16" s="169"/>
      <c r="BE16" s="166"/>
      <c r="BF16" s="166"/>
      <c r="BG16" s="166"/>
      <c r="BH16" s="166"/>
      <c r="BI16" s="166"/>
      <c r="BJ16" s="167"/>
      <c r="BK16" s="47"/>
    </row>
    <row r="17" spans="1:63" ht="15" customHeight="1">
      <c r="A17" s="46"/>
      <c r="B17" s="177">
        <v>45573</v>
      </c>
      <c r="C17" s="178"/>
      <c r="D17" s="178"/>
      <c r="E17" s="178"/>
      <c r="F17" s="178"/>
      <c r="G17" s="179"/>
      <c r="H17" s="183" t="s">
        <v>105</v>
      </c>
      <c r="I17" s="178"/>
      <c r="J17" s="178"/>
      <c r="K17" s="178"/>
      <c r="L17" s="178"/>
      <c r="M17" s="178"/>
      <c r="N17" s="179"/>
      <c r="O17" s="183">
        <v>0.4</v>
      </c>
      <c r="P17" s="178"/>
      <c r="Q17" s="178"/>
      <c r="R17" s="178"/>
      <c r="S17" s="184" t="s">
        <v>93</v>
      </c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6"/>
      <c r="AX17" s="164"/>
      <c r="AY17" s="164"/>
      <c r="AZ17" s="164"/>
      <c r="BA17" s="164"/>
      <c r="BB17" s="164"/>
      <c r="BC17" s="165"/>
      <c r="BD17" s="168"/>
      <c r="BE17" s="164"/>
      <c r="BF17" s="164"/>
      <c r="BG17" s="164"/>
      <c r="BH17" s="164"/>
      <c r="BI17" s="164"/>
      <c r="BJ17" s="165"/>
      <c r="BK17" s="47"/>
    </row>
    <row r="18" spans="1:63" ht="30.75" customHeight="1">
      <c r="A18" s="46"/>
      <c r="B18" s="180"/>
      <c r="C18" s="181"/>
      <c r="D18" s="181"/>
      <c r="E18" s="181"/>
      <c r="F18" s="181"/>
      <c r="G18" s="182"/>
      <c r="H18" s="180"/>
      <c r="I18" s="181"/>
      <c r="J18" s="181"/>
      <c r="K18" s="181"/>
      <c r="L18" s="181"/>
      <c r="M18" s="181"/>
      <c r="N18" s="182"/>
      <c r="O18" s="180"/>
      <c r="P18" s="181"/>
      <c r="Q18" s="181"/>
      <c r="R18" s="181"/>
      <c r="S18" s="187" t="s">
        <v>126</v>
      </c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9"/>
      <c r="AX18" s="166"/>
      <c r="AY18" s="166"/>
      <c r="AZ18" s="166"/>
      <c r="BA18" s="166"/>
      <c r="BB18" s="166"/>
      <c r="BC18" s="167"/>
      <c r="BD18" s="169"/>
      <c r="BE18" s="166"/>
      <c r="BF18" s="166"/>
      <c r="BG18" s="166"/>
      <c r="BH18" s="166"/>
      <c r="BI18" s="166"/>
      <c r="BJ18" s="167"/>
      <c r="BK18" s="47"/>
    </row>
    <row r="19" spans="1:63" ht="15" customHeight="1">
      <c r="A19" s="46"/>
      <c r="B19" s="177">
        <v>45583</v>
      </c>
      <c r="C19" s="178"/>
      <c r="D19" s="178"/>
      <c r="E19" s="178"/>
      <c r="F19" s="178"/>
      <c r="G19" s="179"/>
      <c r="H19" s="183" t="s">
        <v>105</v>
      </c>
      <c r="I19" s="178"/>
      <c r="J19" s="178"/>
      <c r="K19" s="178"/>
      <c r="L19" s="178"/>
      <c r="M19" s="178"/>
      <c r="N19" s="179"/>
      <c r="O19" s="183">
        <v>0.4</v>
      </c>
      <c r="P19" s="178"/>
      <c r="Q19" s="178"/>
      <c r="R19" s="178"/>
      <c r="S19" s="184" t="s">
        <v>93</v>
      </c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6"/>
      <c r="AX19" s="164"/>
      <c r="AY19" s="164"/>
      <c r="AZ19" s="164"/>
      <c r="BA19" s="164"/>
      <c r="BB19" s="164"/>
      <c r="BC19" s="165"/>
      <c r="BD19" s="168"/>
      <c r="BE19" s="164"/>
      <c r="BF19" s="164"/>
      <c r="BG19" s="164"/>
      <c r="BH19" s="164"/>
      <c r="BI19" s="164"/>
      <c r="BJ19" s="165"/>
      <c r="BK19" s="47"/>
    </row>
    <row r="20" spans="1:63" ht="63" customHeight="1">
      <c r="A20" s="46"/>
      <c r="B20" s="180"/>
      <c r="C20" s="181"/>
      <c r="D20" s="181"/>
      <c r="E20" s="181"/>
      <c r="F20" s="181"/>
      <c r="G20" s="182"/>
      <c r="H20" s="180"/>
      <c r="I20" s="181"/>
      <c r="J20" s="181"/>
      <c r="K20" s="181"/>
      <c r="L20" s="181"/>
      <c r="M20" s="181"/>
      <c r="N20" s="182"/>
      <c r="O20" s="180"/>
      <c r="P20" s="181"/>
      <c r="Q20" s="181"/>
      <c r="R20" s="181"/>
      <c r="S20" s="187" t="s">
        <v>127</v>
      </c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88"/>
      <c r="AU20" s="188"/>
      <c r="AV20" s="188"/>
      <c r="AW20" s="189"/>
      <c r="AX20" s="166"/>
      <c r="AY20" s="166"/>
      <c r="AZ20" s="166"/>
      <c r="BA20" s="166"/>
      <c r="BB20" s="166"/>
      <c r="BC20" s="167"/>
      <c r="BD20" s="169"/>
      <c r="BE20" s="166"/>
      <c r="BF20" s="166"/>
      <c r="BG20" s="166"/>
      <c r="BH20" s="166"/>
      <c r="BI20" s="166"/>
      <c r="BJ20" s="167"/>
      <c r="BK20" s="47"/>
    </row>
    <row r="21" spans="1:63" ht="15" customHeight="1">
      <c r="A21" s="46"/>
      <c r="B21" s="112"/>
      <c r="C21" s="113"/>
      <c r="D21" s="113"/>
      <c r="E21" s="113"/>
      <c r="F21" s="113"/>
      <c r="G21" s="114"/>
      <c r="H21" s="112"/>
      <c r="I21" s="113"/>
      <c r="J21" s="113"/>
      <c r="K21" s="113"/>
      <c r="L21" s="113"/>
      <c r="M21" s="113"/>
      <c r="N21" s="114"/>
      <c r="O21" s="112"/>
      <c r="P21" s="113"/>
      <c r="Q21" s="113"/>
      <c r="R21" s="113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64"/>
      <c r="AY21" s="164"/>
      <c r="AZ21" s="164"/>
      <c r="BA21" s="164"/>
      <c r="BB21" s="164"/>
      <c r="BC21" s="165"/>
      <c r="BD21" s="168"/>
      <c r="BE21" s="164"/>
      <c r="BF21" s="164"/>
      <c r="BG21" s="164"/>
      <c r="BH21" s="164"/>
      <c r="BI21" s="164"/>
      <c r="BJ21" s="165"/>
      <c r="BK21" s="47"/>
    </row>
    <row r="22" spans="1:63" ht="15" customHeight="1">
      <c r="A22" s="46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66"/>
      <c r="AY22" s="166"/>
      <c r="AZ22" s="166"/>
      <c r="BA22" s="166"/>
      <c r="BB22" s="166"/>
      <c r="BC22" s="167"/>
      <c r="BD22" s="169"/>
      <c r="BE22" s="166"/>
      <c r="BF22" s="166"/>
      <c r="BG22" s="166"/>
      <c r="BH22" s="166"/>
      <c r="BI22" s="166"/>
      <c r="BJ22" s="167"/>
      <c r="BK22" s="47"/>
    </row>
    <row r="23" spans="1:63" ht="15" customHeight="1">
      <c r="A23" s="46"/>
      <c r="B23" s="112"/>
      <c r="C23" s="113"/>
      <c r="D23" s="113"/>
      <c r="E23" s="113"/>
      <c r="F23" s="113"/>
      <c r="G23" s="114"/>
      <c r="H23" s="112"/>
      <c r="I23" s="113"/>
      <c r="J23" s="113"/>
      <c r="K23" s="113"/>
      <c r="L23" s="113"/>
      <c r="M23" s="113"/>
      <c r="N23" s="114"/>
      <c r="O23" s="112"/>
      <c r="P23" s="113"/>
      <c r="Q23" s="113"/>
      <c r="R23" s="113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64"/>
      <c r="AY23" s="164"/>
      <c r="AZ23" s="164"/>
      <c r="BA23" s="164"/>
      <c r="BB23" s="164"/>
      <c r="BC23" s="165"/>
      <c r="BD23" s="168"/>
      <c r="BE23" s="164"/>
      <c r="BF23" s="164"/>
      <c r="BG23" s="164"/>
      <c r="BH23" s="164"/>
      <c r="BI23" s="164"/>
      <c r="BJ23" s="165"/>
      <c r="BK23" s="47"/>
    </row>
    <row r="24" spans="1:63" ht="15" customHeight="1">
      <c r="A24" s="46"/>
      <c r="B24" s="115"/>
      <c r="C24" s="116"/>
      <c r="D24" s="116"/>
      <c r="E24" s="116"/>
      <c r="F24" s="116"/>
      <c r="G24" s="117"/>
      <c r="H24" s="115"/>
      <c r="I24" s="116"/>
      <c r="J24" s="116"/>
      <c r="K24" s="116"/>
      <c r="L24" s="116"/>
      <c r="M24" s="116"/>
      <c r="N24" s="117"/>
      <c r="O24" s="115"/>
      <c r="P24" s="116"/>
      <c r="Q24" s="116"/>
      <c r="R24" s="116"/>
      <c r="S24" s="170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2"/>
      <c r="AX24" s="166"/>
      <c r="AY24" s="166"/>
      <c r="AZ24" s="166"/>
      <c r="BA24" s="166"/>
      <c r="BB24" s="166"/>
      <c r="BC24" s="167"/>
      <c r="BD24" s="169"/>
      <c r="BE24" s="166"/>
      <c r="BF24" s="166"/>
      <c r="BG24" s="166"/>
      <c r="BH24" s="166"/>
      <c r="BI24" s="166"/>
      <c r="BJ24" s="167"/>
      <c r="BK24" s="47"/>
    </row>
    <row r="25" spans="1:63" ht="15" customHeight="1">
      <c r="A25" s="46"/>
      <c r="B25" s="112"/>
      <c r="C25" s="113"/>
      <c r="D25" s="113"/>
      <c r="E25" s="113"/>
      <c r="F25" s="113"/>
      <c r="G25" s="114"/>
      <c r="H25" s="112"/>
      <c r="I25" s="113"/>
      <c r="J25" s="113"/>
      <c r="K25" s="113"/>
      <c r="L25" s="113"/>
      <c r="M25" s="113"/>
      <c r="N25" s="114"/>
      <c r="O25" s="112"/>
      <c r="P25" s="113"/>
      <c r="Q25" s="113"/>
      <c r="R25" s="113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64"/>
      <c r="AY25" s="164"/>
      <c r="AZ25" s="164"/>
      <c r="BA25" s="164"/>
      <c r="BB25" s="164"/>
      <c r="BC25" s="165"/>
      <c r="BD25" s="168"/>
      <c r="BE25" s="164"/>
      <c r="BF25" s="164"/>
      <c r="BG25" s="164"/>
      <c r="BH25" s="164"/>
      <c r="BI25" s="164"/>
      <c r="BJ25" s="165"/>
      <c r="BK25" s="47"/>
    </row>
    <row r="26" spans="1:63" ht="15" customHeight="1">
      <c r="A26" s="46"/>
      <c r="B26" s="115"/>
      <c r="C26" s="116"/>
      <c r="D26" s="116"/>
      <c r="E26" s="116"/>
      <c r="F26" s="116"/>
      <c r="G26" s="117"/>
      <c r="H26" s="115"/>
      <c r="I26" s="116"/>
      <c r="J26" s="116"/>
      <c r="K26" s="116"/>
      <c r="L26" s="116"/>
      <c r="M26" s="116"/>
      <c r="N26" s="117"/>
      <c r="O26" s="115"/>
      <c r="P26" s="116"/>
      <c r="Q26" s="116"/>
      <c r="R26" s="116"/>
      <c r="S26" s="170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2"/>
      <c r="AX26" s="166"/>
      <c r="AY26" s="166"/>
      <c r="AZ26" s="166"/>
      <c r="BA26" s="166"/>
      <c r="BB26" s="166"/>
      <c r="BC26" s="167"/>
      <c r="BD26" s="169"/>
      <c r="BE26" s="166"/>
      <c r="BF26" s="166"/>
      <c r="BG26" s="166"/>
      <c r="BH26" s="166"/>
      <c r="BI26" s="166"/>
      <c r="BJ26" s="167"/>
      <c r="BK26" s="47"/>
    </row>
    <row r="27" spans="1:63" ht="15" customHeight="1">
      <c r="A27" s="46"/>
      <c r="B27" s="112"/>
      <c r="C27" s="113"/>
      <c r="D27" s="113"/>
      <c r="E27" s="113"/>
      <c r="F27" s="113"/>
      <c r="G27" s="114"/>
      <c r="H27" s="112"/>
      <c r="I27" s="113"/>
      <c r="J27" s="113"/>
      <c r="K27" s="113"/>
      <c r="L27" s="113"/>
      <c r="M27" s="113"/>
      <c r="N27" s="114"/>
      <c r="O27" s="112"/>
      <c r="P27" s="113"/>
      <c r="Q27" s="113"/>
      <c r="R27" s="113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64"/>
      <c r="AY27" s="164"/>
      <c r="AZ27" s="164"/>
      <c r="BA27" s="164"/>
      <c r="BB27" s="164"/>
      <c r="BC27" s="165"/>
      <c r="BD27" s="168"/>
      <c r="BE27" s="164"/>
      <c r="BF27" s="164"/>
      <c r="BG27" s="164"/>
      <c r="BH27" s="164"/>
      <c r="BI27" s="164"/>
      <c r="BJ27" s="165"/>
      <c r="BK27" s="47"/>
    </row>
    <row r="28" spans="1:63" ht="15" customHeight="1">
      <c r="A28" s="46"/>
      <c r="B28" s="115"/>
      <c r="C28" s="116"/>
      <c r="D28" s="116"/>
      <c r="E28" s="116"/>
      <c r="F28" s="116"/>
      <c r="G28" s="117"/>
      <c r="H28" s="115"/>
      <c r="I28" s="116"/>
      <c r="J28" s="116"/>
      <c r="K28" s="116"/>
      <c r="L28" s="116"/>
      <c r="M28" s="116"/>
      <c r="N28" s="117"/>
      <c r="O28" s="115"/>
      <c r="P28" s="116"/>
      <c r="Q28" s="116"/>
      <c r="R28" s="116"/>
      <c r="S28" s="170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2"/>
      <c r="AX28" s="166"/>
      <c r="AY28" s="166"/>
      <c r="AZ28" s="166"/>
      <c r="BA28" s="166"/>
      <c r="BB28" s="166"/>
      <c r="BC28" s="167"/>
      <c r="BD28" s="169"/>
      <c r="BE28" s="166"/>
      <c r="BF28" s="166"/>
      <c r="BG28" s="166"/>
      <c r="BH28" s="166"/>
      <c r="BI28" s="166"/>
      <c r="BJ28" s="167"/>
      <c r="BK28" s="47"/>
    </row>
    <row r="29" spans="1:63" ht="15" customHeight="1">
      <c r="A29" s="46"/>
      <c r="B29" s="112"/>
      <c r="C29" s="113"/>
      <c r="D29" s="113"/>
      <c r="E29" s="113"/>
      <c r="F29" s="113"/>
      <c r="G29" s="114"/>
      <c r="H29" s="112"/>
      <c r="I29" s="113"/>
      <c r="J29" s="113"/>
      <c r="K29" s="113"/>
      <c r="L29" s="113"/>
      <c r="M29" s="113"/>
      <c r="N29" s="114"/>
      <c r="O29" s="112"/>
      <c r="P29" s="113"/>
      <c r="Q29" s="113"/>
      <c r="R29" s="113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64"/>
      <c r="AY29" s="164"/>
      <c r="AZ29" s="164"/>
      <c r="BA29" s="164"/>
      <c r="BB29" s="164"/>
      <c r="BC29" s="165"/>
      <c r="BD29" s="168"/>
      <c r="BE29" s="164"/>
      <c r="BF29" s="164"/>
      <c r="BG29" s="164"/>
      <c r="BH29" s="164"/>
      <c r="BI29" s="164"/>
      <c r="BJ29" s="165"/>
      <c r="BK29" s="47"/>
    </row>
    <row r="30" spans="1:63" ht="15" customHeight="1">
      <c r="A30" s="46"/>
      <c r="B30" s="115"/>
      <c r="C30" s="116"/>
      <c r="D30" s="116"/>
      <c r="E30" s="116"/>
      <c r="F30" s="116"/>
      <c r="G30" s="117"/>
      <c r="H30" s="115"/>
      <c r="I30" s="116"/>
      <c r="J30" s="116"/>
      <c r="K30" s="116"/>
      <c r="L30" s="116"/>
      <c r="M30" s="116"/>
      <c r="N30" s="117"/>
      <c r="O30" s="115"/>
      <c r="P30" s="116"/>
      <c r="Q30" s="116"/>
      <c r="R30" s="116"/>
      <c r="S30" s="170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2"/>
      <c r="AX30" s="166"/>
      <c r="AY30" s="166"/>
      <c r="AZ30" s="166"/>
      <c r="BA30" s="166"/>
      <c r="BB30" s="166"/>
      <c r="BC30" s="167"/>
      <c r="BD30" s="169"/>
      <c r="BE30" s="166"/>
      <c r="BF30" s="166"/>
      <c r="BG30" s="166"/>
      <c r="BH30" s="166"/>
      <c r="BI30" s="166"/>
      <c r="BJ30" s="167"/>
      <c r="BK30" s="47"/>
    </row>
    <row r="31" spans="1:63" ht="15" customHeight="1">
      <c r="A31" s="46"/>
      <c r="B31" s="112"/>
      <c r="C31" s="113"/>
      <c r="D31" s="113"/>
      <c r="E31" s="113"/>
      <c r="F31" s="113"/>
      <c r="G31" s="114"/>
      <c r="H31" s="112"/>
      <c r="I31" s="113"/>
      <c r="J31" s="113"/>
      <c r="K31" s="113"/>
      <c r="L31" s="113"/>
      <c r="M31" s="113"/>
      <c r="N31" s="114"/>
      <c r="O31" s="112"/>
      <c r="P31" s="113"/>
      <c r="Q31" s="113"/>
      <c r="R31" s="113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64"/>
      <c r="AY31" s="164"/>
      <c r="AZ31" s="164"/>
      <c r="BA31" s="164"/>
      <c r="BB31" s="164"/>
      <c r="BC31" s="165"/>
      <c r="BD31" s="168"/>
      <c r="BE31" s="164"/>
      <c r="BF31" s="164"/>
      <c r="BG31" s="164"/>
      <c r="BH31" s="164"/>
      <c r="BI31" s="164"/>
      <c r="BJ31" s="165"/>
      <c r="BK31" s="47"/>
    </row>
    <row r="32" spans="1:63" ht="15" customHeight="1">
      <c r="A32" s="46"/>
      <c r="B32" s="115"/>
      <c r="C32" s="116"/>
      <c r="D32" s="116"/>
      <c r="E32" s="116"/>
      <c r="F32" s="116"/>
      <c r="G32" s="117"/>
      <c r="H32" s="115"/>
      <c r="I32" s="116"/>
      <c r="J32" s="116"/>
      <c r="K32" s="116"/>
      <c r="L32" s="116"/>
      <c r="M32" s="116"/>
      <c r="N32" s="117"/>
      <c r="O32" s="115"/>
      <c r="P32" s="116"/>
      <c r="Q32" s="116"/>
      <c r="R32" s="116"/>
      <c r="S32" s="170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2"/>
      <c r="AX32" s="166"/>
      <c r="AY32" s="166"/>
      <c r="AZ32" s="166"/>
      <c r="BA32" s="166"/>
      <c r="BB32" s="166"/>
      <c r="BC32" s="167"/>
      <c r="BD32" s="169"/>
      <c r="BE32" s="166"/>
      <c r="BF32" s="166"/>
      <c r="BG32" s="166"/>
      <c r="BH32" s="166"/>
      <c r="BI32" s="166"/>
      <c r="BJ32" s="167"/>
      <c r="BK32" s="47"/>
    </row>
    <row r="33" spans="1:63" ht="15" customHeight="1">
      <c r="A33" s="46"/>
      <c r="B33" s="112"/>
      <c r="C33" s="113"/>
      <c r="D33" s="113"/>
      <c r="E33" s="113"/>
      <c r="F33" s="113"/>
      <c r="G33" s="114"/>
      <c r="H33" s="112"/>
      <c r="I33" s="113"/>
      <c r="J33" s="113"/>
      <c r="K33" s="113"/>
      <c r="L33" s="113"/>
      <c r="M33" s="113"/>
      <c r="N33" s="114"/>
      <c r="O33" s="112"/>
      <c r="P33" s="113"/>
      <c r="Q33" s="113"/>
      <c r="R33" s="113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64"/>
      <c r="AY33" s="164"/>
      <c r="AZ33" s="164"/>
      <c r="BA33" s="164"/>
      <c r="BB33" s="164"/>
      <c r="BC33" s="165"/>
      <c r="BD33" s="168"/>
      <c r="BE33" s="164"/>
      <c r="BF33" s="164"/>
      <c r="BG33" s="164"/>
      <c r="BH33" s="164"/>
      <c r="BI33" s="164"/>
      <c r="BJ33" s="165"/>
      <c r="BK33" s="47"/>
    </row>
    <row r="34" spans="1:63" ht="15" customHeight="1">
      <c r="A34" s="46"/>
      <c r="B34" s="115"/>
      <c r="C34" s="116"/>
      <c r="D34" s="116"/>
      <c r="E34" s="116"/>
      <c r="F34" s="116"/>
      <c r="G34" s="117"/>
      <c r="H34" s="115"/>
      <c r="I34" s="116"/>
      <c r="J34" s="116"/>
      <c r="K34" s="116"/>
      <c r="L34" s="116"/>
      <c r="M34" s="116"/>
      <c r="N34" s="117"/>
      <c r="O34" s="115"/>
      <c r="P34" s="116"/>
      <c r="Q34" s="116"/>
      <c r="R34" s="116"/>
      <c r="S34" s="170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2"/>
      <c r="AX34" s="166"/>
      <c r="AY34" s="166"/>
      <c r="AZ34" s="166"/>
      <c r="BA34" s="166"/>
      <c r="BB34" s="166"/>
      <c r="BC34" s="167"/>
      <c r="BD34" s="169"/>
      <c r="BE34" s="166"/>
      <c r="BF34" s="166"/>
      <c r="BG34" s="166"/>
      <c r="BH34" s="166"/>
      <c r="BI34" s="166"/>
      <c r="BJ34" s="167"/>
      <c r="BK34" s="47"/>
    </row>
    <row r="35" spans="1:63" ht="15" customHeight="1">
      <c r="A35" s="46"/>
      <c r="B35" s="112"/>
      <c r="C35" s="113"/>
      <c r="D35" s="113"/>
      <c r="E35" s="113"/>
      <c r="F35" s="113"/>
      <c r="G35" s="114"/>
      <c r="H35" s="112"/>
      <c r="I35" s="113"/>
      <c r="J35" s="113"/>
      <c r="K35" s="113"/>
      <c r="L35" s="113"/>
      <c r="M35" s="113"/>
      <c r="N35" s="114"/>
      <c r="O35" s="112"/>
      <c r="P35" s="113"/>
      <c r="Q35" s="113"/>
      <c r="R35" s="113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64"/>
      <c r="AY35" s="164"/>
      <c r="AZ35" s="164"/>
      <c r="BA35" s="164"/>
      <c r="BB35" s="164"/>
      <c r="BC35" s="165"/>
      <c r="BD35" s="168"/>
      <c r="BE35" s="164"/>
      <c r="BF35" s="164"/>
      <c r="BG35" s="164"/>
      <c r="BH35" s="164"/>
      <c r="BI35" s="164"/>
      <c r="BJ35" s="165"/>
      <c r="BK35" s="47"/>
    </row>
    <row r="36" spans="1:63" ht="15" customHeight="1">
      <c r="A36" s="46"/>
      <c r="B36" s="115"/>
      <c r="C36" s="116"/>
      <c r="D36" s="116"/>
      <c r="E36" s="116"/>
      <c r="F36" s="116"/>
      <c r="G36" s="117"/>
      <c r="H36" s="115"/>
      <c r="I36" s="116"/>
      <c r="J36" s="116"/>
      <c r="K36" s="116"/>
      <c r="L36" s="116"/>
      <c r="M36" s="116"/>
      <c r="N36" s="117"/>
      <c r="O36" s="115"/>
      <c r="P36" s="116"/>
      <c r="Q36" s="116"/>
      <c r="R36" s="116"/>
      <c r="S36" s="170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2"/>
      <c r="AX36" s="166"/>
      <c r="AY36" s="166"/>
      <c r="AZ36" s="166"/>
      <c r="BA36" s="166"/>
      <c r="BB36" s="166"/>
      <c r="BC36" s="167"/>
      <c r="BD36" s="169"/>
      <c r="BE36" s="166"/>
      <c r="BF36" s="166"/>
      <c r="BG36" s="166"/>
      <c r="BH36" s="166"/>
      <c r="BI36" s="166"/>
      <c r="BJ36" s="167"/>
      <c r="BK36" s="47"/>
    </row>
    <row r="37" spans="1:63" ht="15" customHeight="1">
      <c r="A37" s="46"/>
      <c r="B37" s="112"/>
      <c r="C37" s="113"/>
      <c r="D37" s="113"/>
      <c r="E37" s="113"/>
      <c r="F37" s="113"/>
      <c r="G37" s="114"/>
      <c r="H37" s="112"/>
      <c r="I37" s="113"/>
      <c r="J37" s="113"/>
      <c r="K37" s="113"/>
      <c r="L37" s="113"/>
      <c r="M37" s="113"/>
      <c r="N37" s="114"/>
      <c r="O37" s="112"/>
      <c r="P37" s="113"/>
      <c r="Q37" s="113"/>
      <c r="R37" s="113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64"/>
      <c r="AY37" s="164"/>
      <c r="AZ37" s="164"/>
      <c r="BA37" s="164"/>
      <c r="BB37" s="164"/>
      <c r="BC37" s="165"/>
      <c r="BD37" s="168"/>
      <c r="BE37" s="164"/>
      <c r="BF37" s="164"/>
      <c r="BG37" s="164"/>
      <c r="BH37" s="164"/>
      <c r="BI37" s="164"/>
      <c r="BJ37" s="165"/>
      <c r="BK37" s="47"/>
    </row>
    <row r="38" spans="1:63" ht="15" customHeight="1">
      <c r="A38" s="46"/>
      <c r="B38" s="115"/>
      <c r="C38" s="116"/>
      <c r="D38" s="116"/>
      <c r="E38" s="116"/>
      <c r="F38" s="116"/>
      <c r="G38" s="117"/>
      <c r="H38" s="115"/>
      <c r="I38" s="116"/>
      <c r="J38" s="116"/>
      <c r="K38" s="116"/>
      <c r="L38" s="116"/>
      <c r="M38" s="116"/>
      <c r="N38" s="117"/>
      <c r="O38" s="115"/>
      <c r="P38" s="116"/>
      <c r="Q38" s="116"/>
      <c r="R38" s="116"/>
      <c r="S38" s="170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2"/>
      <c r="AX38" s="166"/>
      <c r="AY38" s="166"/>
      <c r="AZ38" s="166"/>
      <c r="BA38" s="166"/>
      <c r="BB38" s="166"/>
      <c r="BC38" s="167"/>
      <c r="BD38" s="169"/>
      <c r="BE38" s="166"/>
      <c r="BF38" s="166"/>
      <c r="BG38" s="166"/>
      <c r="BH38" s="166"/>
      <c r="BI38" s="166"/>
      <c r="BJ38" s="167"/>
      <c r="BK38" s="47"/>
    </row>
    <row r="39" spans="1:63" ht="15" customHeight="1">
      <c r="A39" s="46"/>
      <c r="B39" s="112"/>
      <c r="C39" s="113"/>
      <c r="D39" s="113"/>
      <c r="E39" s="113"/>
      <c r="F39" s="113"/>
      <c r="G39" s="114"/>
      <c r="H39" s="112"/>
      <c r="I39" s="113"/>
      <c r="J39" s="113"/>
      <c r="K39" s="113"/>
      <c r="L39" s="113"/>
      <c r="M39" s="113"/>
      <c r="N39" s="114"/>
      <c r="O39" s="112"/>
      <c r="P39" s="113"/>
      <c r="Q39" s="113"/>
      <c r="R39" s="113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64"/>
      <c r="AY39" s="164"/>
      <c r="AZ39" s="164"/>
      <c r="BA39" s="164"/>
      <c r="BB39" s="164"/>
      <c r="BC39" s="165"/>
      <c r="BD39" s="168"/>
      <c r="BE39" s="164"/>
      <c r="BF39" s="164"/>
      <c r="BG39" s="164"/>
      <c r="BH39" s="164"/>
      <c r="BI39" s="164"/>
      <c r="BJ39" s="165"/>
      <c r="BK39" s="47"/>
    </row>
    <row r="40" spans="1:63" ht="15" customHeight="1">
      <c r="A40" s="46"/>
      <c r="B40" s="115"/>
      <c r="C40" s="116"/>
      <c r="D40" s="116"/>
      <c r="E40" s="116"/>
      <c r="F40" s="116"/>
      <c r="G40" s="117"/>
      <c r="H40" s="115"/>
      <c r="I40" s="116"/>
      <c r="J40" s="116"/>
      <c r="K40" s="116"/>
      <c r="L40" s="116"/>
      <c r="M40" s="116"/>
      <c r="N40" s="117"/>
      <c r="O40" s="115"/>
      <c r="P40" s="116"/>
      <c r="Q40" s="116"/>
      <c r="R40" s="116"/>
      <c r="S40" s="170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2"/>
      <c r="AX40" s="166"/>
      <c r="AY40" s="166"/>
      <c r="AZ40" s="166"/>
      <c r="BA40" s="166"/>
      <c r="BB40" s="166"/>
      <c r="BC40" s="167"/>
      <c r="BD40" s="169"/>
      <c r="BE40" s="166"/>
      <c r="BF40" s="166"/>
      <c r="BG40" s="166"/>
      <c r="BH40" s="166"/>
      <c r="BI40" s="166"/>
      <c r="BJ40" s="167"/>
      <c r="BK40" s="47"/>
    </row>
    <row r="41" spans="1:63" ht="15" customHeight="1">
      <c r="A41" s="46"/>
      <c r="B41" s="112"/>
      <c r="C41" s="113"/>
      <c r="D41" s="113"/>
      <c r="E41" s="113"/>
      <c r="F41" s="113"/>
      <c r="G41" s="114"/>
      <c r="H41" s="112"/>
      <c r="I41" s="113"/>
      <c r="J41" s="113"/>
      <c r="K41" s="113"/>
      <c r="L41" s="113"/>
      <c r="M41" s="113"/>
      <c r="N41" s="114"/>
      <c r="O41" s="112"/>
      <c r="P41" s="113"/>
      <c r="Q41" s="113"/>
      <c r="R41" s="113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64"/>
      <c r="AY41" s="164"/>
      <c r="AZ41" s="164"/>
      <c r="BA41" s="164"/>
      <c r="BB41" s="164"/>
      <c r="BC41" s="165"/>
      <c r="BD41" s="168"/>
      <c r="BE41" s="164"/>
      <c r="BF41" s="164"/>
      <c r="BG41" s="164"/>
      <c r="BH41" s="164"/>
      <c r="BI41" s="164"/>
      <c r="BJ41" s="165"/>
      <c r="BK41" s="47"/>
    </row>
    <row r="42" spans="1:63" ht="15" customHeight="1">
      <c r="A42" s="46"/>
      <c r="B42" s="115"/>
      <c r="C42" s="116"/>
      <c r="D42" s="116"/>
      <c r="E42" s="116"/>
      <c r="F42" s="116"/>
      <c r="G42" s="117"/>
      <c r="H42" s="115"/>
      <c r="I42" s="116"/>
      <c r="J42" s="116"/>
      <c r="K42" s="116"/>
      <c r="L42" s="116"/>
      <c r="M42" s="116"/>
      <c r="N42" s="117"/>
      <c r="O42" s="115"/>
      <c r="P42" s="116"/>
      <c r="Q42" s="116"/>
      <c r="R42" s="116"/>
      <c r="S42" s="170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2"/>
      <c r="AX42" s="166"/>
      <c r="AY42" s="166"/>
      <c r="AZ42" s="166"/>
      <c r="BA42" s="166"/>
      <c r="BB42" s="166"/>
      <c r="BC42" s="167"/>
      <c r="BD42" s="169"/>
      <c r="BE42" s="166"/>
      <c r="BF42" s="166"/>
      <c r="BG42" s="166"/>
      <c r="BH42" s="166"/>
      <c r="BI42" s="166"/>
      <c r="BJ42" s="167"/>
      <c r="BK42" s="47"/>
    </row>
    <row r="43" spans="1:63" ht="15" customHeight="1">
      <c r="A43" s="46"/>
      <c r="B43" s="112"/>
      <c r="C43" s="113"/>
      <c r="D43" s="113"/>
      <c r="E43" s="113"/>
      <c r="F43" s="113"/>
      <c r="G43" s="114"/>
      <c r="H43" s="112"/>
      <c r="I43" s="113"/>
      <c r="J43" s="113"/>
      <c r="K43" s="113"/>
      <c r="L43" s="113"/>
      <c r="M43" s="113"/>
      <c r="N43" s="114"/>
      <c r="O43" s="112"/>
      <c r="P43" s="113"/>
      <c r="Q43" s="113"/>
      <c r="R43" s="113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64"/>
      <c r="AY43" s="164"/>
      <c r="AZ43" s="164"/>
      <c r="BA43" s="164"/>
      <c r="BB43" s="164"/>
      <c r="BC43" s="165"/>
      <c r="BD43" s="168"/>
      <c r="BE43" s="164"/>
      <c r="BF43" s="164"/>
      <c r="BG43" s="164"/>
      <c r="BH43" s="164"/>
      <c r="BI43" s="164"/>
      <c r="BJ43" s="165"/>
      <c r="BK43" s="47"/>
    </row>
    <row r="44" spans="1:63" ht="15" customHeight="1">
      <c r="A44" s="46"/>
      <c r="B44" s="115"/>
      <c r="C44" s="116"/>
      <c r="D44" s="116"/>
      <c r="E44" s="116"/>
      <c r="F44" s="116"/>
      <c r="G44" s="117"/>
      <c r="H44" s="115"/>
      <c r="I44" s="116"/>
      <c r="J44" s="116"/>
      <c r="K44" s="116"/>
      <c r="L44" s="116"/>
      <c r="M44" s="116"/>
      <c r="N44" s="117"/>
      <c r="O44" s="115"/>
      <c r="P44" s="116"/>
      <c r="Q44" s="116"/>
      <c r="R44" s="116"/>
      <c r="S44" s="170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2"/>
      <c r="AX44" s="166"/>
      <c r="AY44" s="166"/>
      <c r="AZ44" s="166"/>
      <c r="BA44" s="166"/>
      <c r="BB44" s="166"/>
      <c r="BC44" s="167"/>
      <c r="BD44" s="169"/>
      <c r="BE44" s="166"/>
      <c r="BF44" s="166"/>
      <c r="BG44" s="166"/>
      <c r="BH44" s="166"/>
      <c r="BI44" s="166"/>
      <c r="BJ44" s="167"/>
      <c r="BK44" s="47"/>
    </row>
    <row r="45" spans="1:63" ht="15" customHeight="1">
      <c r="A45" s="46"/>
      <c r="B45" s="112"/>
      <c r="C45" s="113"/>
      <c r="D45" s="113"/>
      <c r="E45" s="113"/>
      <c r="F45" s="113"/>
      <c r="G45" s="114"/>
      <c r="H45" s="112"/>
      <c r="I45" s="113"/>
      <c r="J45" s="113"/>
      <c r="K45" s="113"/>
      <c r="L45" s="113"/>
      <c r="M45" s="113"/>
      <c r="N45" s="114"/>
      <c r="O45" s="112"/>
      <c r="P45" s="113"/>
      <c r="Q45" s="113"/>
      <c r="R45" s="113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64"/>
      <c r="AY45" s="164"/>
      <c r="AZ45" s="164"/>
      <c r="BA45" s="164"/>
      <c r="BB45" s="164"/>
      <c r="BC45" s="165"/>
      <c r="BD45" s="168"/>
      <c r="BE45" s="164"/>
      <c r="BF45" s="164"/>
      <c r="BG45" s="164"/>
      <c r="BH45" s="164"/>
      <c r="BI45" s="164"/>
      <c r="BJ45" s="165"/>
      <c r="BK45" s="47"/>
    </row>
    <row r="46" spans="1:63" ht="15" customHeight="1">
      <c r="A46" s="46"/>
      <c r="B46" s="115"/>
      <c r="C46" s="116"/>
      <c r="D46" s="116"/>
      <c r="E46" s="116"/>
      <c r="F46" s="116"/>
      <c r="G46" s="117"/>
      <c r="H46" s="115"/>
      <c r="I46" s="116"/>
      <c r="J46" s="116"/>
      <c r="K46" s="116"/>
      <c r="L46" s="116"/>
      <c r="M46" s="116"/>
      <c r="N46" s="117"/>
      <c r="O46" s="115"/>
      <c r="P46" s="116"/>
      <c r="Q46" s="116"/>
      <c r="R46" s="116"/>
      <c r="S46" s="170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2"/>
      <c r="AX46" s="166"/>
      <c r="AY46" s="166"/>
      <c r="AZ46" s="166"/>
      <c r="BA46" s="166"/>
      <c r="BB46" s="166"/>
      <c r="BC46" s="167"/>
      <c r="BD46" s="169"/>
      <c r="BE46" s="166"/>
      <c r="BF46" s="166"/>
      <c r="BG46" s="166"/>
      <c r="BH46" s="166"/>
      <c r="BI46" s="166"/>
      <c r="BJ46" s="167"/>
      <c r="BK46" s="47"/>
    </row>
    <row r="47" spans="1:63" ht="15" customHeight="1">
      <c r="A47" s="46"/>
      <c r="B47" s="112"/>
      <c r="C47" s="113"/>
      <c r="D47" s="113"/>
      <c r="E47" s="113"/>
      <c r="F47" s="113"/>
      <c r="G47" s="114"/>
      <c r="H47" s="112"/>
      <c r="I47" s="113"/>
      <c r="J47" s="113"/>
      <c r="K47" s="113"/>
      <c r="L47" s="113"/>
      <c r="M47" s="113"/>
      <c r="N47" s="114"/>
      <c r="O47" s="112"/>
      <c r="P47" s="113"/>
      <c r="Q47" s="113"/>
      <c r="R47" s="113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64"/>
      <c r="AY47" s="164"/>
      <c r="AZ47" s="164"/>
      <c r="BA47" s="164"/>
      <c r="BB47" s="164"/>
      <c r="BC47" s="165"/>
      <c r="BD47" s="168"/>
      <c r="BE47" s="164"/>
      <c r="BF47" s="164"/>
      <c r="BG47" s="164"/>
      <c r="BH47" s="164"/>
      <c r="BI47" s="164"/>
      <c r="BJ47" s="165"/>
      <c r="BK47" s="47"/>
    </row>
    <row r="48" spans="1:63" ht="15" customHeight="1">
      <c r="A48" s="46"/>
      <c r="B48" s="115"/>
      <c r="C48" s="116"/>
      <c r="D48" s="116"/>
      <c r="E48" s="116"/>
      <c r="F48" s="116"/>
      <c r="G48" s="117"/>
      <c r="H48" s="115"/>
      <c r="I48" s="116"/>
      <c r="J48" s="116"/>
      <c r="K48" s="116"/>
      <c r="L48" s="116"/>
      <c r="M48" s="116"/>
      <c r="N48" s="117"/>
      <c r="O48" s="115"/>
      <c r="P48" s="116"/>
      <c r="Q48" s="116"/>
      <c r="R48" s="116"/>
      <c r="S48" s="170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2"/>
      <c r="AX48" s="166"/>
      <c r="AY48" s="166"/>
      <c r="AZ48" s="166"/>
      <c r="BA48" s="166"/>
      <c r="BB48" s="166"/>
      <c r="BC48" s="167"/>
      <c r="BD48" s="169"/>
      <c r="BE48" s="166"/>
      <c r="BF48" s="166"/>
      <c r="BG48" s="166"/>
      <c r="BH48" s="166"/>
      <c r="BI48" s="166"/>
      <c r="BJ48" s="167"/>
      <c r="BK48" s="47"/>
    </row>
    <row r="49" spans="1:63" ht="15" customHeight="1">
      <c r="A49" s="46"/>
      <c r="B49" s="112"/>
      <c r="C49" s="113"/>
      <c r="D49" s="113"/>
      <c r="E49" s="113"/>
      <c r="F49" s="113"/>
      <c r="G49" s="114"/>
      <c r="H49" s="112"/>
      <c r="I49" s="113"/>
      <c r="J49" s="113"/>
      <c r="K49" s="113"/>
      <c r="L49" s="113"/>
      <c r="M49" s="113"/>
      <c r="N49" s="114"/>
      <c r="O49" s="112"/>
      <c r="P49" s="113"/>
      <c r="Q49" s="113"/>
      <c r="R49" s="113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64"/>
      <c r="AY49" s="164"/>
      <c r="AZ49" s="164"/>
      <c r="BA49" s="164"/>
      <c r="BB49" s="164"/>
      <c r="BC49" s="165"/>
      <c r="BD49" s="168"/>
      <c r="BE49" s="164"/>
      <c r="BF49" s="164"/>
      <c r="BG49" s="164"/>
      <c r="BH49" s="164"/>
      <c r="BI49" s="164"/>
      <c r="BJ49" s="165"/>
      <c r="BK49" s="47"/>
    </row>
    <row r="50" spans="1:63" ht="15" customHeight="1">
      <c r="A50" s="46"/>
      <c r="B50" s="115"/>
      <c r="C50" s="116"/>
      <c r="D50" s="116"/>
      <c r="E50" s="116"/>
      <c r="F50" s="116"/>
      <c r="G50" s="117"/>
      <c r="H50" s="115"/>
      <c r="I50" s="116"/>
      <c r="J50" s="116"/>
      <c r="K50" s="116"/>
      <c r="L50" s="116"/>
      <c r="M50" s="116"/>
      <c r="N50" s="117"/>
      <c r="O50" s="115"/>
      <c r="P50" s="116"/>
      <c r="Q50" s="116"/>
      <c r="R50" s="116"/>
      <c r="S50" s="170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2"/>
      <c r="AX50" s="166"/>
      <c r="AY50" s="166"/>
      <c r="AZ50" s="166"/>
      <c r="BA50" s="166"/>
      <c r="BB50" s="166"/>
      <c r="BC50" s="167"/>
      <c r="BD50" s="169"/>
      <c r="BE50" s="166"/>
      <c r="BF50" s="166"/>
      <c r="BG50" s="166"/>
      <c r="BH50" s="166"/>
      <c r="BI50" s="166"/>
      <c r="BJ50" s="167"/>
      <c r="BK50" s="47"/>
    </row>
    <row r="51" spans="1:63" ht="15" customHeight="1">
      <c r="A51" s="46"/>
      <c r="B51" s="112"/>
      <c r="C51" s="113"/>
      <c r="D51" s="113"/>
      <c r="E51" s="113"/>
      <c r="F51" s="113"/>
      <c r="G51" s="114"/>
      <c r="H51" s="112"/>
      <c r="I51" s="113"/>
      <c r="J51" s="113"/>
      <c r="K51" s="113"/>
      <c r="L51" s="113"/>
      <c r="M51" s="113"/>
      <c r="N51" s="114"/>
      <c r="O51" s="112"/>
      <c r="P51" s="113"/>
      <c r="Q51" s="113"/>
      <c r="R51" s="113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64"/>
      <c r="AY51" s="164"/>
      <c r="AZ51" s="164"/>
      <c r="BA51" s="164"/>
      <c r="BB51" s="164"/>
      <c r="BC51" s="165"/>
      <c r="BD51" s="168"/>
      <c r="BE51" s="164"/>
      <c r="BF51" s="164"/>
      <c r="BG51" s="164"/>
      <c r="BH51" s="164"/>
      <c r="BI51" s="164"/>
      <c r="BJ51" s="165"/>
      <c r="BK51" s="47"/>
    </row>
    <row r="52" spans="1:63" ht="15" customHeight="1">
      <c r="A52" s="46"/>
      <c r="B52" s="115"/>
      <c r="C52" s="116"/>
      <c r="D52" s="116"/>
      <c r="E52" s="116"/>
      <c r="F52" s="116"/>
      <c r="G52" s="117"/>
      <c r="H52" s="115"/>
      <c r="I52" s="116"/>
      <c r="J52" s="116"/>
      <c r="K52" s="116"/>
      <c r="L52" s="116"/>
      <c r="M52" s="116"/>
      <c r="N52" s="117"/>
      <c r="O52" s="115"/>
      <c r="P52" s="116"/>
      <c r="Q52" s="116"/>
      <c r="R52" s="116"/>
      <c r="S52" s="170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2"/>
      <c r="AX52" s="166"/>
      <c r="AY52" s="166"/>
      <c r="AZ52" s="166"/>
      <c r="BA52" s="166"/>
      <c r="BB52" s="166"/>
      <c r="BC52" s="167"/>
      <c r="BD52" s="169"/>
      <c r="BE52" s="166"/>
      <c r="BF52" s="166"/>
      <c r="BG52" s="166"/>
      <c r="BH52" s="166"/>
      <c r="BI52" s="166"/>
      <c r="BJ52" s="167"/>
      <c r="BK52" s="47"/>
    </row>
    <row r="53" spans="1:63" ht="15" customHeight="1">
      <c r="A53" s="46"/>
      <c r="B53" s="112"/>
      <c r="C53" s="113"/>
      <c r="D53" s="113"/>
      <c r="E53" s="113"/>
      <c r="F53" s="113"/>
      <c r="G53" s="114"/>
      <c r="H53" s="112"/>
      <c r="I53" s="113"/>
      <c r="J53" s="113"/>
      <c r="K53" s="113"/>
      <c r="L53" s="113"/>
      <c r="M53" s="113"/>
      <c r="N53" s="114"/>
      <c r="O53" s="112"/>
      <c r="P53" s="113"/>
      <c r="Q53" s="113"/>
      <c r="R53" s="113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64"/>
      <c r="AY53" s="164"/>
      <c r="AZ53" s="164"/>
      <c r="BA53" s="164"/>
      <c r="BB53" s="164"/>
      <c r="BC53" s="165"/>
      <c r="BD53" s="168"/>
      <c r="BE53" s="164"/>
      <c r="BF53" s="164"/>
      <c r="BG53" s="164"/>
      <c r="BH53" s="164"/>
      <c r="BI53" s="164"/>
      <c r="BJ53" s="165"/>
      <c r="BK53" s="47"/>
    </row>
    <row r="54" spans="1:63" ht="15" customHeight="1">
      <c r="A54" s="46"/>
      <c r="B54" s="115"/>
      <c r="C54" s="116"/>
      <c r="D54" s="116"/>
      <c r="E54" s="116"/>
      <c r="F54" s="116"/>
      <c r="G54" s="117"/>
      <c r="H54" s="115"/>
      <c r="I54" s="116"/>
      <c r="J54" s="116"/>
      <c r="K54" s="116"/>
      <c r="L54" s="116"/>
      <c r="M54" s="116"/>
      <c r="N54" s="117"/>
      <c r="O54" s="115"/>
      <c r="P54" s="116"/>
      <c r="Q54" s="116"/>
      <c r="R54" s="116"/>
      <c r="S54" s="170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2"/>
      <c r="AX54" s="166"/>
      <c r="AY54" s="166"/>
      <c r="AZ54" s="166"/>
      <c r="BA54" s="166"/>
      <c r="BB54" s="166"/>
      <c r="BC54" s="167"/>
      <c r="BD54" s="169"/>
      <c r="BE54" s="166"/>
      <c r="BF54" s="166"/>
      <c r="BG54" s="166"/>
      <c r="BH54" s="166"/>
      <c r="BI54" s="166"/>
      <c r="BJ54" s="167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36B59-87DC-48D9-93A8-B4E7D9A63AF1}">
  <sheetPr>
    <tabColor rgb="FF0000FF"/>
    <pageSetUpPr fitToPage="1"/>
  </sheetPr>
  <dimension ref="A1:BK55"/>
  <sheetViews>
    <sheetView view="pageBreakPreview" zoomScale="85" zoomScaleNormal="75" zoomScaleSheetLayoutView="85" workbookViewId="0">
      <selection activeCell="H45" sqref="H45:N46"/>
    </sheetView>
  </sheetViews>
  <sheetFormatPr defaultColWidth="2.77734375" defaultRowHeight="15.75" customHeight="1"/>
  <cols>
    <col min="1" max="60" width="2.77734375" style="42" customWidth="1"/>
    <col min="61" max="16384" width="2.77734375" style="42"/>
  </cols>
  <sheetData>
    <row r="1" spans="1:63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">
        <v>77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3" ht="15" customHeight="1">
      <c r="A2" s="112" t="s">
        <v>54</v>
      </c>
      <c r="B2" s="113"/>
      <c r="C2" s="113"/>
      <c r="D2" s="113"/>
      <c r="E2" s="113"/>
      <c r="F2" s="113"/>
      <c r="G2" s="113"/>
      <c r="H2" s="113"/>
      <c r="I2" s="113"/>
      <c r="J2" s="114"/>
      <c r="K2" s="112" t="s">
        <v>54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68" t="s">
        <v>64</v>
      </c>
      <c r="AQ2" s="164"/>
      <c r="AR2" s="164"/>
      <c r="AS2" s="204"/>
      <c r="AT2" s="208">
        <v>45520</v>
      </c>
      <c r="AU2" s="164"/>
      <c r="AV2" s="164"/>
      <c r="AW2" s="164"/>
      <c r="AX2" s="204"/>
      <c r="AY2" s="168" t="s">
        <v>63</v>
      </c>
      <c r="AZ2" s="164"/>
      <c r="BA2" s="164"/>
      <c r="BB2" s="204"/>
      <c r="BC2" s="208">
        <v>45520</v>
      </c>
      <c r="BD2" s="164"/>
      <c r="BE2" s="164"/>
      <c r="BF2" s="164"/>
      <c r="BG2" s="204"/>
      <c r="BH2" s="112"/>
      <c r="BI2" s="113"/>
      <c r="BJ2" s="113"/>
      <c r="BK2" s="114"/>
    </row>
    <row r="3" spans="1:63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205"/>
      <c r="AQ3" s="206"/>
      <c r="AR3" s="206"/>
      <c r="AS3" s="207"/>
      <c r="AT3" s="205"/>
      <c r="AU3" s="206"/>
      <c r="AV3" s="206"/>
      <c r="AW3" s="206"/>
      <c r="AX3" s="207"/>
      <c r="AY3" s="205"/>
      <c r="AZ3" s="206"/>
      <c r="BA3" s="206"/>
      <c r="BB3" s="207"/>
      <c r="BC3" s="205"/>
      <c r="BD3" s="206"/>
      <c r="BE3" s="206"/>
      <c r="BF3" s="206"/>
      <c r="BG3" s="207"/>
      <c r="BH3" s="115"/>
      <c r="BI3" s="116"/>
      <c r="BJ3" s="116"/>
      <c r="BK3" s="117"/>
    </row>
    <row r="4" spans="1:63" ht="24.95" customHeight="1">
      <c r="A4" s="109" t="s">
        <v>84</v>
      </c>
      <c r="B4" s="110"/>
      <c r="C4" s="110"/>
      <c r="D4" s="110"/>
      <c r="E4" s="110"/>
      <c r="F4" s="110"/>
      <c r="G4" s="111"/>
      <c r="H4" s="130" t="s">
        <v>66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">
        <v>67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">
        <v>62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3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>
      <c r="A6" s="46"/>
      <c r="BK6" s="47"/>
    </row>
    <row r="7" spans="1:63" ht="15" customHeight="1">
      <c r="A7" s="46"/>
      <c r="BK7" s="47"/>
    </row>
    <row r="8" spans="1:63" ht="15" customHeight="1">
      <c r="A8" s="46"/>
      <c r="B8" s="42" t="s">
        <v>9</v>
      </c>
      <c r="BK8" s="47"/>
    </row>
    <row r="9" spans="1:63" ht="15" customHeight="1">
      <c r="A9" s="46"/>
      <c r="BK9" s="47"/>
    </row>
    <row r="10" spans="1:63" ht="15" customHeight="1">
      <c r="A10" s="46"/>
      <c r="B10" s="176" t="s">
        <v>81</v>
      </c>
      <c r="C10" s="176"/>
      <c r="D10" s="176"/>
      <c r="E10" s="176"/>
      <c r="F10" s="176"/>
      <c r="G10" s="176"/>
      <c r="H10" s="176" t="s">
        <v>80</v>
      </c>
      <c r="I10" s="176"/>
      <c r="J10" s="176"/>
      <c r="K10" s="176"/>
      <c r="L10" s="176"/>
      <c r="M10" s="176"/>
      <c r="N10" s="176"/>
      <c r="O10" s="176" t="s">
        <v>82</v>
      </c>
      <c r="P10" s="176"/>
      <c r="Q10" s="176"/>
      <c r="R10" s="176"/>
      <c r="S10" s="176" t="s">
        <v>90</v>
      </c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  <c r="AT10" s="176"/>
      <c r="AU10" s="176"/>
      <c r="AV10" s="176"/>
      <c r="AW10" s="176"/>
      <c r="AX10" s="176" t="s">
        <v>95</v>
      </c>
      <c r="AY10" s="176"/>
      <c r="AZ10" s="176"/>
      <c r="BA10" s="176"/>
      <c r="BB10" s="176"/>
      <c r="BC10" s="176"/>
      <c r="BD10" s="176" t="s">
        <v>96</v>
      </c>
      <c r="BE10" s="176"/>
      <c r="BF10" s="176"/>
      <c r="BG10" s="176"/>
      <c r="BH10" s="176"/>
      <c r="BI10" s="176"/>
      <c r="BJ10" s="176"/>
      <c r="BK10" s="47"/>
    </row>
    <row r="11" spans="1:63" ht="15" customHeight="1">
      <c r="A11" s="46"/>
      <c r="B11" s="139">
        <v>45520</v>
      </c>
      <c r="C11" s="113"/>
      <c r="D11" s="113"/>
      <c r="E11" s="113"/>
      <c r="F11" s="113"/>
      <c r="G11" s="114"/>
      <c r="H11" s="118" t="s">
        <v>97</v>
      </c>
      <c r="I11" s="113"/>
      <c r="J11" s="113"/>
      <c r="K11" s="113"/>
      <c r="L11" s="113"/>
      <c r="M11" s="113"/>
      <c r="N11" s="114"/>
      <c r="O11" s="112"/>
      <c r="P11" s="113"/>
      <c r="Q11" s="113"/>
      <c r="R11" s="113"/>
      <c r="S11" s="196" t="s">
        <v>65</v>
      </c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8"/>
      <c r="AX11" s="164"/>
      <c r="AY11" s="164"/>
      <c r="AZ11" s="164"/>
      <c r="BA11" s="164"/>
      <c r="BB11" s="164"/>
      <c r="BC11" s="165"/>
      <c r="BD11" s="168"/>
      <c r="BE11" s="164"/>
      <c r="BF11" s="164"/>
      <c r="BG11" s="164"/>
      <c r="BH11" s="164"/>
      <c r="BI11" s="164"/>
      <c r="BJ11" s="165"/>
      <c r="BK11" s="47"/>
    </row>
    <row r="12" spans="1:63" ht="15" customHeight="1">
      <c r="A12" s="46"/>
      <c r="B12" s="115"/>
      <c r="C12" s="116"/>
      <c r="D12" s="116"/>
      <c r="E12" s="116"/>
      <c r="F12" s="116"/>
      <c r="G12" s="117"/>
      <c r="H12" s="115"/>
      <c r="I12" s="116"/>
      <c r="J12" s="116"/>
      <c r="K12" s="116"/>
      <c r="L12" s="116"/>
      <c r="M12" s="116"/>
      <c r="N12" s="117"/>
      <c r="O12" s="115"/>
      <c r="P12" s="116"/>
      <c r="Q12" s="116"/>
      <c r="R12" s="116"/>
      <c r="S12" s="203" t="s">
        <v>103</v>
      </c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2"/>
      <c r="AX12" s="166"/>
      <c r="AY12" s="166"/>
      <c r="AZ12" s="166"/>
      <c r="BA12" s="166"/>
      <c r="BB12" s="166"/>
      <c r="BC12" s="167"/>
      <c r="BD12" s="169"/>
      <c r="BE12" s="166"/>
      <c r="BF12" s="166"/>
      <c r="BG12" s="166"/>
      <c r="BH12" s="166"/>
      <c r="BI12" s="166"/>
      <c r="BJ12" s="167"/>
      <c r="BK12" s="47"/>
    </row>
    <row r="13" spans="1:63" ht="15" customHeight="1">
      <c r="A13" s="46"/>
      <c r="B13" s="139">
        <v>45520</v>
      </c>
      <c r="C13" s="113"/>
      <c r="D13" s="113"/>
      <c r="E13" s="113"/>
      <c r="F13" s="113"/>
      <c r="G13" s="114"/>
      <c r="H13" s="118" t="s">
        <v>97</v>
      </c>
      <c r="I13" s="113"/>
      <c r="J13" s="113"/>
      <c r="K13" s="113"/>
      <c r="L13" s="113"/>
      <c r="M13" s="113"/>
      <c r="N13" s="114"/>
      <c r="O13" s="112"/>
      <c r="P13" s="113"/>
      <c r="Q13" s="113"/>
      <c r="R13" s="113"/>
      <c r="S13" s="196" t="s">
        <v>65</v>
      </c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8"/>
      <c r="AX13" s="164"/>
      <c r="AY13" s="164"/>
      <c r="AZ13" s="164"/>
      <c r="BA13" s="164"/>
      <c r="BB13" s="164"/>
      <c r="BC13" s="165"/>
      <c r="BD13" s="168"/>
      <c r="BE13" s="164"/>
      <c r="BF13" s="164"/>
      <c r="BG13" s="164"/>
      <c r="BH13" s="164"/>
      <c r="BI13" s="164"/>
      <c r="BJ13" s="165"/>
      <c r="BK13" s="47"/>
    </row>
    <row r="14" spans="1:63" ht="15" customHeight="1">
      <c r="A14" s="46"/>
      <c r="B14" s="115"/>
      <c r="C14" s="116"/>
      <c r="D14" s="116"/>
      <c r="E14" s="116"/>
      <c r="F14" s="116"/>
      <c r="G14" s="117"/>
      <c r="H14" s="115"/>
      <c r="I14" s="116"/>
      <c r="J14" s="116"/>
      <c r="K14" s="116"/>
      <c r="L14" s="116"/>
      <c r="M14" s="116"/>
      <c r="N14" s="117"/>
      <c r="O14" s="115"/>
      <c r="P14" s="116"/>
      <c r="Q14" s="116"/>
      <c r="R14" s="116"/>
      <c r="S14" s="203" t="s">
        <v>102</v>
      </c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2"/>
      <c r="AX14" s="166"/>
      <c r="AY14" s="166"/>
      <c r="AZ14" s="166"/>
      <c r="BA14" s="166"/>
      <c r="BB14" s="166"/>
      <c r="BC14" s="167"/>
      <c r="BD14" s="169"/>
      <c r="BE14" s="166"/>
      <c r="BF14" s="166"/>
      <c r="BG14" s="166"/>
      <c r="BH14" s="166"/>
      <c r="BI14" s="166"/>
      <c r="BJ14" s="167"/>
      <c r="BK14" s="47"/>
    </row>
    <row r="15" spans="1:63" ht="15" customHeight="1">
      <c r="A15" s="46"/>
      <c r="B15" s="139">
        <v>45520</v>
      </c>
      <c r="C15" s="113"/>
      <c r="D15" s="113"/>
      <c r="E15" s="113"/>
      <c r="F15" s="113"/>
      <c r="G15" s="114"/>
      <c r="H15" s="118" t="s">
        <v>97</v>
      </c>
      <c r="I15" s="113"/>
      <c r="J15" s="113"/>
      <c r="K15" s="113"/>
      <c r="L15" s="113"/>
      <c r="M15" s="113"/>
      <c r="N15" s="114"/>
      <c r="O15" s="112"/>
      <c r="P15" s="113"/>
      <c r="Q15" s="113"/>
      <c r="R15" s="113"/>
      <c r="S15" s="196" t="s">
        <v>65</v>
      </c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8"/>
      <c r="AX15" s="199">
        <v>45537</v>
      </c>
      <c r="AY15" s="164"/>
      <c r="AZ15" s="164"/>
      <c r="BA15" s="164"/>
      <c r="BB15" s="164"/>
      <c r="BC15" s="165"/>
      <c r="BD15" s="168" t="s">
        <v>63</v>
      </c>
      <c r="BE15" s="164"/>
      <c r="BF15" s="164"/>
      <c r="BG15" s="164"/>
      <c r="BH15" s="164"/>
      <c r="BI15" s="164"/>
      <c r="BJ15" s="165"/>
      <c r="BK15" s="47"/>
    </row>
    <row r="16" spans="1:63" ht="15" customHeight="1">
      <c r="A16" s="46"/>
      <c r="B16" s="115"/>
      <c r="C16" s="116"/>
      <c r="D16" s="116"/>
      <c r="E16" s="116"/>
      <c r="F16" s="116"/>
      <c r="G16" s="117"/>
      <c r="H16" s="115"/>
      <c r="I16" s="116"/>
      <c r="J16" s="116"/>
      <c r="K16" s="116"/>
      <c r="L16" s="116"/>
      <c r="M16" s="116"/>
      <c r="N16" s="117"/>
      <c r="O16" s="115"/>
      <c r="P16" s="116"/>
      <c r="Q16" s="116"/>
      <c r="R16" s="116"/>
      <c r="S16" s="200" t="s">
        <v>98</v>
      </c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2"/>
      <c r="AX16" s="166"/>
      <c r="AY16" s="166"/>
      <c r="AZ16" s="166"/>
      <c r="BA16" s="166"/>
      <c r="BB16" s="166"/>
      <c r="BC16" s="167"/>
      <c r="BD16" s="169"/>
      <c r="BE16" s="166"/>
      <c r="BF16" s="166"/>
      <c r="BG16" s="166"/>
      <c r="BH16" s="166"/>
      <c r="BI16" s="166"/>
      <c r="BJ16" s="167"/>
      <c r="BK16" s="47"/>
    </row>
    <row r="17" spans="1:63" ht="15" customHeight="1">
      <c r="A17" s="46"/>
      <c r="B17" s="112"/>
      <c r="C17" s="113"/>
      <c r="D17" s="113"/>
      <c r="E17" s="113"/>
      <c r="F17" s="113"/>
      <c r="G17" s="114"/>
      <c r="H17" s="112"/>
      <c r="I17" s="113"/>
      <c r="J17" s="113"/>
      <c r="K17" s="113"/>
      <c r="L17" s="113"/>
      <c r="M17" s="113"/>
      <c r="N17" s="114"/>
      <c r="O17" s="112"/>
      <c r="P17" s="113"/>
      <c r="Q17" s="113"/>
      <c r="R17" s="113"/>
      <c r="S17" s="173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5"/>
      <c r="AX17" s="164"/>
      <c r="AY17" s="164"/>
      <c r="AZ17" s="164"/>
      <c r="BA17" s="164"/>
      <c r="BB17" s="164"/>
      <c r="BC17" s="165"/>
      <c r="BD17" s="168"/>
      <c r="BE17" s="164"/>
      <c r="BF17" s="164"/>
      <c r="BG17" s="164"/>
      <c r="BH17" s="164"/>
      <c r="BI17" s="164"/>
      <c r="BJ17" s="165"/>
      <c r="BK17" s="47"/>
    </row>
    <row r="18" spans="1:63" ht="15" customHeight="1">
      <c r="A18" s="46"/>
      <c r="B18" s="115"/>
      <c r="C18" s="116"/>
      <c r="D18" s="116"/>
      <c r="E18" s="116"/>
      <c r="F18" s="116"/>
      <c r="G18" s="117"/>
      <c r="H18" s="115"/>
      <c r="I18" s="116"/>
      <c r="J18" s="116"/>
      <c r="K18" s="116"/>
      <c r="L18" s="116"/>
      <c r="M18" s="116"/>
      <c r="N18" s="117"/>
      <c r="O18" s="115"/>
      <c r="P18" s="116"/>
      <c r="Q18" s="116"/>
      <c r="R18" s="116"/>
      <c r="S18" s="170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2"/>
      <c r="AX18" s="166"/>
      <c r="AY18" s="166"/>
      <c r="AZ18" s="166"/>
      <c r="BA18" s="166"/>
      <c r="BB18" s="166"/>
      <c r="BC18" s="167"/>
      <c r="BD18" s="169"/>
      <c r="BE18" s="166"/>
      <c r="BF18" s="166"/>
      <c r="BG18" s="166"/>
      <c r="BH18" s="166"/>
      <c r="BI18" s="166"/>
      <c r="BJ18" s="167"/>
      <c r="BK18" s="47"/>
    </row>
    <row r="19" spans="1:63" ht="15" customHeight="1">
      <c r="A19" s="46"/>
      <c r="B19" s="112"/>
      <c r="C19" s="113"/>
      <c r="D19" s="113"/>
      <c r="E19" s="113"/>
      <c r="F19" s="113"/>
      <c r="G19" s="114"/>
      <c r="H19" s="112"/>
      <c r="I19" s="113"/>
      <c r="J19" s="113"/>
      <c r="K19" s="113"/>
      <c r="L19" s="113"/>
      <c r="M19" s="113"/>
      <c r="N19" s="114"/>
      <c r="O19" s="112"/>
      <c r="P19" s="113"/>
      <c r="Q19" s="113"/>
      <c r="R19" s="113"/>
      <c r="S19" s="173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5"/>
      <c r="AX19" s="164"/>
      <c r="AY19" s="164"/>
      <c r="AZ19" s="164"/>
      <c r="BA19" s="164"/>
      <c r="BB19" s="164"/>
      <c r="BC19" s="165"/>
      <c r="BD19" s="168"/>
      <c r="BE19" s="164"/>
      <c r="BF19" s="164"/>
      <c r="BG19" s="164"/>
      <c r="BH19" s="164"/>
      <c r="BI19" s="164"/>
      <c r="BJ19" s="165"/>
      <c r="BK19" s="47"/>
    </row>
    <row r="20" spans="1:63" ht="15" customHeight="1">
      <c r="A20" s="46"/>
      <c r="B20" s="115"/>
      <c r="C20" s="116"/>
      <c r="D20" s="116"/>
      <c r="E20" s="116"/>
      <c r="F20" s="116"/>
      <c r="G20" s="117"/>
      <c r="H20" s="115"/>
      <c r="I20" s="116"/>
      <c r="J20" s="116"/>
      <c r="K20" s="116"/>
      <c r="L20" s="116"/>
      <c r="M20" s="116"/>
      <c r="N20" s="117"/>
      <c r="O20" s="115"/>
      <c r="P20" s="116"/>
      <c r="Q20" s="116"/>
      <c r="R20" s="116"/>
      <c r="S20" s="170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2"/>
      <c r="AX20" s="166"/>
      <c r="AY20" s="166"/>
      <c r="AZ20" s="166"/>
      <c r="BA20" s="166"/>
      <c r="BB20" s="166"/>
      <c r="BC20" s="167"/>
      <c r="BD20" s="169"/>
      <c r="BE20" s="166"/>
      <c r="BF20" s="166"/>
      <c r="BG20" s="166"/>
      <c r="BH20" s="166"/>
      <c r="BI20" s="166"/>
      <c r="BJ20" s="167"/>
      <c r="BK20" s="47"/>
    </row>
    <row r="21" spans="1:63" ht="15" customHeight="1">
      <c r="A21" s="46"/>
      <c r="B21" s="112"/>
      <c r="C21" s="113"/>
      <c r="D21" s="113"/>
      <c r="E21" s="113"/>
      <c r="F21" s="113"/>
      <c r="G21" s="114"/>
      <c r="H21" s="112"/>
      <c r="I21" s="113"/>
      <c r="J21" s="113"/>
      <c r="K21" s="113"/>
      <c r="L21" s="113"/>
      <c r="M21" s="113"/>
      <c r="N21" s="114"/>
      <c r="O21" s="112"/>
      <c r="P21" s="113"/>
      <c r="Q21" s="113"/>
      <c r="R21" s="113"/>
      <c r="S21" s="173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5"/>
      <c r="AX21" s="164"/>
      <c r="AY21" s="164"/>
      <c r="AZ21" s="164"/>
      <c r="BA21" s="164"/>
      <c r="BB21" s="164"/>
      <c r="BC21" s="165"/>
      <c r="BD21" s="168"/>
      <c r="BE21" s="164"/>
      <c r="BF21" s="164"/>
      <c r="BG21" s="164"/>
      <c r="BH21" s="164"/>
      <c r="BI21" s="164"/>
      <c r="BJ21" s="165"/>
      <c r="BK21" s="47"/>
    </row>
    <row r="22" spans="1:63" ht="15" customHeight="1">
      <c r="A22" s="46"/>
      <c r="B22" s="115"/>
      <c r="C22" s="116"/>
      <c r="D22" s="116"/>
      <c r="E22" s="116"/>
      <c r="F22" s="116"/>
      <c r="G22" s="117"/>
      <c r="H22" s="115"/>
      <c r="I22" s="116"/>
      <c r="J22" s="116"/>
      <c r="K22" s="116"/>
      <c r="L22" s="116"/>
      <c r="M22" s="116"/>
      <c r="N22" s="117"/>
      <c r="O22" s="115"/>
      <c r="P22" s="116"/>
      <c r="Q22" s="116"/>
      <c r="R22" s="116"/>
      <c r="S22" s="170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2"/>
      <c r="AX22" s="166"/>
      <c r="AY22" s="166"/>
      <c r="AZ22" s="166"/>
      <c r="BA22" s="166"/>
      <c r="BB22" s="166"/>
      <c r="BC22" s="167"/>
      <c r="BD22" s="169"/>
      <c r="BE22" s="166"/>
      <c r="BF22" s="166"/>
      <c r="BG22" s="166"/>
      <c r="BH22" s="166"/>
      <c r="BI22" s="166"/>
      <c r="BJ22" s="167"/>
      <c r="BK22" s="47"/>
    </row>
    <row r="23" spans="1:63" ht="15" customHeight="1">
      <c r="A23" s="46"/>
      <c r="B23" s="112"/>
      <c r="C23" s="113"/>
      <c r="D23" s="113"/>
      <c r="E23" s="113"/>
      <c r="F23" s="113"/>
      <c r="G23" s="114"/>
      <c r="H23" s="112"/>
      <c r="I23" s="113"/>
      <c r="J23" s="113"/>
      <c r="K23" s="113"/>
      <c r="L23" s="113"/>
      <c r="M23" s="113"/>
      <c r="N23" s="114"/>
      <c r="O23" s="112"/>
      <c r="P23" s="113"/>
      <c r="Q23" s="113"/>
      <c r="R23" s="113"/>
      <c r="S23" s="173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5"/>
      <c r="AX23" s="164"/>
      <c r="AY23" s="164"/>
      <c r="AZ23" s="164"/>
      <c r="BA23" s="164"/>
      <c r="BB23" s="164"/>
      <c r="BC23" s="165"/>
      <c r="BD23" s="168"/>
      <c r="BE23" s="164"/>
      <c r="BF23" s="164"/>
      <c r="BG23" s="164"/>
      <c r="BH23" s="164"/>
      <c r="BI23" s="164"/>
      <c r="BJ23" s="165"/>
      <c r="BK23" s="47"/>
    </row>
    <row r="24" spans="1:63" ht="15" customHeight="1">
      <c r="A24" s="46"/>
      <c r="B24" s="115"/>
      <c r="C24" s="116"/>
      <c r="D24" s="116"/>
      <c r="E24" s="116"/>
      <c r="F24" s="116"/>
      <c r="G24" s="117"/>
      <c r="H24" s="115"/>
      <c r="I24" s="116"/>
      <c r="J24" s="116"/>
      <c r="K24" s="116"/>
      <c r="L24" s="116"/>
      <c r="M24" s="116"/>
      <c r="N24" s="117"/>
      <c r="O24" s="115"/>
      <c r="P24" s="116"/>
      <c r="Q24" s="116"/>
      <c r="R24" s="116"/>
      <c r="S24" s="170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2"/>
      <c r="AX24" s="166"/>
      <c r="AY24" s="166"/>
      <c r="AZ24" s="166"/>
      <c r="BA24" s="166"/>
      <c r="BB24" s="166"/>
      <c r="BC24" s="167"/>
      <c r="BD24" s="169"/>
      <c r="BE24" s="166"/>
      <c r="BF24" s="166"/>
      <c r="BG24" s="166"/>
      <c r="BH24" s="166"/>
      <c r="BI24" s="166"/>
      <c r="BJ24" s="167"/>
      <c r="BK24" s="47"/>
    </row>
    <row r="25" spans="1:63" ht="15" customHeight="1">
      <c r="A25" s="46"/>
      <c r="B25" s="112"/>
      <c r="C25" s="113"/>
      <c r="D25" s="113"/>
      <c r="E25" s="113"/>
      <c r="F25" s="113"/>
      <c r="G25" s="114"/>
      <c r="H25" s="112"/>
      <c r="I25" s="113"/>
      <c r="J25" s="113"/>
      <c r="K25" s="113"/>
      <c r="L25" s="113"/>
      <c r="M25" s="113"/>
      <c r="N25" s="114"/>
      <c r="O25" s="112"/>
      <c r="P25" s="113"/>
      <c r="Q25" s="113"/>
      <c r="R25" s="113"/>
      <c r="S25" s="173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5"/>
      <c r="AX25" s="164"/>
      <c r="AY25" s="164"/>
      <c r="AZ25" s="164"/>
      <c r="BA25" s="164"/>
      <c r="BB25" s="164"/>
      <c r="BC25" s="165"/>
      <c r="BD25" s="168"/>
      <c r="BE25" s="164"/>
      <c r="BF25" s="164"/>
      <c r="BG25" s="164"/>
      <c r="BH25" s="164"/>
      <c r="BI25" s="164"/>
      <c r="BJ25" s="165"/>
      <c r="BK25" s="47"/>
    </row>
    <row r="26" spans="1:63" ht="15" customHeight="1">
      <c r="A26" s="46"/>
      <c r="B26" s="115"/>
      <c r="C26" s="116"/>
      <c r="D26" s="116"/>
      <c r="E26" s="116"/>
      <c r="F26" s="116"/>
      <c r="G26" s="117"/>
      <c r="H26" s="115"/>
      <c r="I26" s="116"/>
      <c r="J26" s="116"/>
      <c r="K26" s="116"/>
      <c r="L26" s="116"/>
      <c r="M26" s="116"/>
      <c r="N26" s="117"/>
      <c r="O26" s="115"/>
      <c r="P26" s="116"/>
      <c r="Q26" s="116"/>
      <c r="R26" s="116"/>
      <c r="S26" s="170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2"/>
      <c r="AX26" s="166"/>
      <c r="AY26" s="166"/>
      <c r="AZ26" s="166"/>
      <c r="BA26" s="166"/>
      <c r="BB26" s="166"/>
      <c r="BC26" s="167"/>
      <c r="BD26" s="169"/>
      <c r="BE26" s="166"/>
      <c r="BF26" s="166"/>
      <c r="BG26" s="166"/>
      <c r="BH26" s="166"/>
      <c r="BI26" s="166"/>
      <c r="BJ26" s="167"/>
      <c r="BK26" s="47"/>
    </row>
    <row r="27" spans="1:63" ht="15" customHeight="1">
      <c r="A27" s="46"/>
      <c r="B27" s="112"/>
      <c r="C27" s="113"/>
      <c r="D27" s="113"/>
      <c r="E27" s="113"/>
      <c r="F27" s="113"/>
      <c r="G27" s="114"/>
      <c r="H27" s="112"/>
      <c r="I27" s="113"/>
      <c r="J27" s="113"/>
      <c r="K27" s="113"/>
      <c r="L27" s="113"/>
      <c r="M27" s="113"/>
      <c r="N27" s="114"/>
      <c r="O27" s="112"/>
      <c r="P27" s="113"/>
      <c r="Q27" s="113"/>
      <c r="R27" s="113"/>
      <c r="S27" s="173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5"/>
      <c r="AX27" s="164"/>
      <c r="AY27" s="164"/>
      <c r="AZ27" s="164"/>
      <c r="BA27" s="164"/>
      <c r="BB27" s="164"/>
      <c r="BC27" s="165"/>
      <c r="BD27" s="168"/>
      <c r="BE27" s="164"/>
      <c r="BF27" s="164"/>
      <c r="BG27" s="164"/>
      <c r="BH27" s="164"/>
      <c r="BI27" s="164"/>
      <c r="BJ27" s="165"/>
      <c r="BK27" s="47"/>
    </row>
    <row r="28" spans="1:63" ht="15" customHeight="1">
      <c r="A28" s="46"/>
      <c r="B28" s="115"/>
      <c r="C28" s="116"/>
      <c r="D28" s="116"/>
      <c r="E28" s="116"/>
      <c r="F28" s="116"/>
      <c r="G28" s="117"/>
      <c r="H28" s="115"/>
      <c r="I28" s="116"/>
      <c r="J28" s="116"/>
      <c r="K28" s="116"/>
      <c r="L28" s="116"/>
      <c r="M28" s="116"/>
      <c r="N28" s="117"/>
      <c r="O28" s="115"/>
      <c r="P28" s="116"/>
      <c r="Q28" s="116"/>
      <c r="R28" s="116"/>
      <c r="S28" s="170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2"/>
      <c r="AX28" s="166"/>
      <c r="AY28" s="166"/>
      <c r="AZ28" s="166"/>
      <c r="BA28" s="166"/>
      <c r="BB28" s="166"/>
      <c r="BC28" s="167"/>
      <c r="BD28" s="169"/>
      <c r="BE28" s="166"/>
      <c r="BF28" s="166"/>
      <c r="BG28" s="166"/>
      <c r="BH28" s="166"/>
      <c r="BI28" s="166"/>
      <c r="BJ28" s="167"/>
      <c r="BK28" s="47"/>
    </row>
    <row r="29" spans="1:63" ht="15" customHeight="1">
      <c r="A29" s="46"/>
      <c r="B29" s="112"/>
      <c r="C29" s="113"/>
      <c r="D29" s="113"/>
      <c r="E29" s="113"/>
      <c r="F29" s="113"/>
      <c r="G29" s="114"/>
      <c r="H29" s="112"/>
      <c r="I29" s="113"/>
      <c r="J29" s="113"/>
      <c r="K29" s="113"/>
      <c r="L29" s="113"/>
      <c r="M29" s="113"/>
      <c r="N29" s="114"/>
      <c r="O29" s="112"/>
      <c r="P29" s="113"/>
      <c r="Q29" s="113"/>
      <c r="R29" s="113"/>
      <c r="S29" s="173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5"/>
      <c r="AX29" s="164"/>
      <c r="AY29" s="164"/>
      <c r="AZ29" s="164"/>
      <c r="BA29" s="164"/>
      <c r="BB29" s="164"/>
      <c r="BC29" s="165"/>
      <c r="BD29" s="168"/>
      <c r="BE29" s="164"/>
      <c r="BF29" s="164"/>
      <c r="BG29" s="164"/>
      <c r="BH29" s="164"/>
      <c r="BI29" s="164"/>
      <c r="BJ29" s="165"/>
      <c r="BK29" s="47"/>
    </row>
    <row r="30" spans="1:63" ht="15" customHeight="1">
      <c r="A30" s="46"/>
      <c r="B30" s="115"/>
      <c r="C30" s="116"/>
      <c r="D30" s="116"/>
      <c r="E30" s="116"/>
      <c r="F30" s="116"/>
      <c r="G30" s="117"/>
      <c r="H30" s="115"/>
      <c r="I30" s="116"/>
      <c r="J30" s="116"/>
      <c r="K30" s="116"/>
      <c r="L30" s="116"/>
      <c r="M30" s="116"/>
      <c r="N30" s="117"/>
      <c r="O30" s="115"/>
      <c r="P30" s="116"/>
      <c r="Q30" s="116"/>
      <c r="R30" s="116"/>
      <c r="S30" s="170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2"/>
      <c r="AX30" s="166"/>
      <c r="AY30" s="166"/>
      <c r="AZ30" s="166"/>
      <c r="BA30" s="166"/>
      <c r="BB30" s="166"/>
      <c r="BC30" s="167"/>
      <c r="BD30" s="169"/>
      <c r="BE30" s="166"/>
      <c r="BF30" s="166"/>
      <c r="BG30" s="166"/>
      <c r="BH30" s="166"/>
      <c r="BI30" s="166"/>
      <c r="BJ30" s="167"/>
      <c r="BK30" s="47"/>
    </row>
    <row r="31" spans="1:63" ht="15" customHeight="1">
      <c r="A31" s="46"/>
      <c r="B31" s="112"/>
      <c r="C31" s="113"/>
      <c r="D31" s="113"/>
      <c r="E31" s="113"/>
      <c r="F31" s="113"/>
      <c r="G31" s="114"/>
      <c r="H31" s="112"/>
      <c r="I31" s="113"/>
      <c r="J31" s="113"/>
      <c r="K31" s="113"/>
      <c r="L31" s="113"/>
      <c r="M31" s="113"/>
      <c r="N31" s="114"/>
      <c r="O31" s="112"/>
      <c r="P31" s="113"/>
      <c r="Q31" s="113"/>
      <c r="R31" s="113"/>
      <c r="S31" s="173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5"/>
      <c r="AX31" s="164"/>
      <c r="AY31" s="164"/>
      <c r="AZ31" s="164"/>
      <c r="BA31" s="164"/>
      <c r="BB31" s="164"/>
      <c r="BC31" s="165"/>
      <c r="BD31" s="168"/>
      <c r="BE31" s="164"/>
      <c r="BF31" s="164"/>
      <c r="BG31" s="164"/>
      <c r="BH31" s="164"/>
      <c r="BI31" s="164"/>
      <c r="BJ31" s="165"/>
      <c r="BK31" s="47"/>
    </row>
    <row r="32" spans="1:63" ht="15" customHeight="1">
      <c r="A32" s="46"/>
      <c r="B32" s="115"/>
      <c r="C32" s="116"/>
      <c r="D32" s="116"/>
      <c r="E32" s="116"/>
      <c r="F32" s="116"/>
      <c r="G32" s="117"/>
      <c r="H32" s="115"/>
      <c r="I32" s="116"/>
      <c r="J32" s="116"/>
      <c r="K32" s="116"/>
      <c r="L32" s="116"/>
      <c r="M32" s="116"/>
      <c r="N32" s="117"/>
      <c r="O32" s="115"/>
      <c r="P32" s="116"/>
      <c r="Q32" s="116"/>
      <c r="R32" s="116"/>
      <c r="S32" s="170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2"/>
      <c r="AX32" s="166"/>
      <c r="AY32" s="166"/>
      <c r="AZ32" s="166"/>
      <c r="BA32" s="166"/>
      <c r="BB32" s="166"/>
      <c r="BC32" s="167"/>
      <c r="BD32" s="169"/>
      <c r="BE32" s="166"/>
      <c r="BF32" s="166"/>
      <c r="BG32" s="166"/>
      <c r="BH32" s="166"/>
      <c r="BI32" s="166"/>
      <c r="BJ32" s="167"/>
      <c r="BK32" s="47"/>
    </row>
    <row r="33" spans="1:63" ht="15" customHeight="1">
      <c r="A33" s="46"/>
      <c r="B33" s="112"/>
      <c r="C33" s="113"/>
      <c r="D33" s="113"/>
      <c r="E33" s="113"/>
      <c r="F33" s="113"/>
      <c r="G33" s="114"/>
      <c r="H33" s="112"/>
      <c r="I33" s="113"/>
      <c r="J33" s="113"/>
      <c r="K33" s="113"/>
      <c r="L33" s="113"/>
      <c r="M33" s="113"/>
      <c r="N33" s="114"/>
      <c r="O33" s="112"/>
      <c r="P33" s="113"/>
      <c r="Q33" s="113"/>
      <c r="R33" s="113"/>
      <c r="S33" s="173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5"/>
      <c r="AX33" s="164"/>
      <c r="AY33" s="164"/>
      <c r="AZ33" s="164"/>
      <c r="BA33" s="164"/>
      <c r="BB33" s="164"/>
      <c r="BC33" s="165"/>
      <c r="BD33" s="168"/>
      <c r="BE33" s="164"/>
      <c r="BF33" s="164"/>
      <c r="BG33" s="164"/>
      <c r="BH33" s="164"/>
      <c r="BI33" s="164"/>
      <c r="BJ33" s="165"/>
      <c r="BK33" s="47"/>
    </row>
    <row r="34" spans="1:63" ht="15" customHeight="1">
      <c r="A34" s="46"/>
      <c r="B34" s="115"/>
      <c r="C34" s="116"/>
      <c r="D34" s="116"/>
      <c r="E34" s="116"/>
      <c r="F34" s="116"/>
      <c r="G34" s="117"/>
      <c r="H34" s="115"/>
      <c r="I34" s="116"/>
      <c r="J34" s="116"/>
      <c r="K34" s="116"/>
      <c r="L34" s="116"/>
      <c r="M34" s="116"/>
      <c r="N34" s="117"/>
      <c r="O34" s="115"/>
      <c r="P34" s="116"/>
      <c r="Q34" s="116"/>
      <c r="R34" s="116"/>
      <c r="S34" s="170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2"/>
      <c r="AX34" s="166"/>
      <c r="AY34" s="166"/>
      <c r="AZ34" s="166"/>
      <c r="BA34" s="166"/>
      <c r="BB34" s="166"/>
      <c r="BC34" s="167"/>
      <c r="BD34" s="169"/>
      <c r="BE34" s="166"/>
      <c r="BF34" s="166"/>
      <c r="BG34" s="166"/>
      <c r="BH34" s="166"/>
      <c r="BI34" s="166"/>
      <c r="BJ34" s="167"/>
      <c r="BK34" s="47"/>
    </row>
    <row r="35" spans="1:63" ht="15" customHeight="1">
      <c r="A35" s="46"/>
      <c r="B35" s="112"/>
      <c r="C35" s="113"/>
      <c r="D35" s="113"/>
      <c r="E35" s="113"/>
      <c r="F35" s="113"/>
      <c r="G35" s="114"/>
      <c r="H35" s="112"/>
      <c r="I35" s="113"/>
      <c r="J35" s="113"/>
      <c r="K35" s="113"/>
      <c r="L35" s="113"/>
      <c r="M35" s="113"/>
      <c r="N35" s="114"/>
      <c r="O35" s="112"/>
      <c r="P35" s="113"/>
      <c r="Q35" s="113"/>
      <c r="R35" s="113"/>
      <c r="S35" s="173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5"/>
      <c r="AX35" s="164"/>
      <c r="AY35" s="164"/>
      <c r="AZ35" s="164"/>
      <c r="BA35" s="164"/>
      <c r="BB35" s="164"/>
      <c r="BC35" s="165"/>
      <c r="BD35" s="168"/>
      <c r="BE35" s="164"/>
      <c r="BF35" s="164"/>
      <c r="BG35" s="164"/>
      <c r="BH35" s="164"/>
      <c r="BI35" s="164"/>
      <c r="BJ35" s="165"/>
      <c r="BK35" s="47"/>
    </row>
    <row r="36" spans="1:63" ht="15" customHeight="1">
      <c r="A36" s="46"/>
      <c r="B36" s="115"/>
      <c r="C36" s="116"/>
      <c r="D36" s="116"/>
      <c r="E36" s="116"/>
      <c r="F36" s="116"/>
      <c r="G36" s="117"/>
      <c r="H36" s="115"/>
      <c r="I36" s="116"/>
      <c r="J36" s="116"/>
      <c r="K36" s="116"/>
      <c r="L36" s="116"/>
      <c r="M36" s="116"/>
      <c r="N36" s="117"/>
      <c r="O36" s="115"/>
      <c r="P36" s="116"/>
      <c r="Q36" s="116"/>
      <c r="R36" s="116"/>
      <c r="S36" s="170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2"/>
      <c r="AX36" s="166"/>
      <c r="AY36" s="166"/>
      <c r="AZ36" s="166"/>
      <c r="BA36" s="166"/>
      <c r="BB36" s="166"/>
      <c r="BC36" s="167"/>
      <c r="BD36" s="169"/>
      <c r="BE36" s="166"/>
      <c r="BF36" s="166"/>
      <c r="BG36" s="166"/>
      <c r="BH36" s="166"/>
      <c r="BI36" s="166"/>
      <c r="BJ36" s="167"/>
      <c r="BK36" s="47"/>
    </row>
    <row r="37" spans="1:63" ht="15" customHeight="1">
      <c r="A37" s="46"/>
      <c r="B37" s="112"/>
      <c r="C37" s="113"/>
      <c r="D37" s="113"/>
      <c r="E37" s="113"/>
      <c r="F37" s="113"/>
      <c r="G37" s="114"/>
      <c r="H37" s="112"/>
      <c r="I37" s="113"/>
      <c r="J37" s="113"/>
      <c r="K37" s="113"/>
      <c r="L37" s="113"/>
      <c r="M37" s="113"/>
      <c r="N37" s="114"/>
      <c r="O37" s="112"/>
      <c r="P37" s="113"/>
      <c r="Q37" s="113"/>
      <c r="R37" s="113"/>
      <c r="S37" s="173"/>
      <c r="T37" s="174"/>
      <c r="U37" s="174"/>
      <c r="V37" s="174"/>
      <c r="W37" s="174"/>
      <c r="X37" s="174"/>
      <c r="Y37" s="174"/>
      <c r="Z37" s="174"/>
      <c r="AA37" s="174"/>
      <c r="AB37" s="174"/>
      <c r="AC37" s="174"/>
      <c r="AD37" s="174"/>
      <c r="AE37" s="174"/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4"/>
      <c r="AS37" s="174"/>
      <c r="AT37" s="174"/>
      <c r="AU37" s="174"/>
      <c r="AV37" s="174"/>
      <c r="AW37" s="175"/>
      <c r="AX37" s="164"/>
      <c r="AY37" s="164"/>
      <c r="AZ37" s="164"/>
      <c r="BA37" s="164"/>
      <c r="BB37" s="164"/>
      <c r="BC37" s="165"/>
      <c r="BD37" s="168"/>
      <c r="BE37" s="164"/>
      <c r="BF37" s="164"/>
      <c r="BG37" s="164"/>
      <c r="BH37" s="164"/>
      <c r="BI37" s="164"/>
      <c r="BJ37" s="165"/>
      <c r="BK37" s="47"/>
    </row>
    <row r="38" spans="1:63" ht="15" customHeight="1">
      <c r="A38" s="46"/>
      <c r="B38" s="115"/>
      <c r="C38" s="116"/>
      <c r="D38" s="116"/>
      <c r="E38" s="116"/>
      <c r="F38" s="116"/>
      <c r="G38" s="117"/>
      <c r="H38" s="115"/>
      <c r="I38" s="116"/>
      <c r="J38" s="116"/>
      <c r="K38" s="116"/>
      <c r="L38" s="116"/>
      <c r="M38" s="116"/>
      <c r="N38" s="117"/>
      <c r="O38" s="115"/>
      <c r="P38" s="116"/>
      <c r="Q38" s="116"/>
      <c r="R38" s="116"/>
      <c r="S38" s="170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2"/>
      <c r="AX38" s="166"/>
      <c r="AY38" s="166"/>
      <c r="AZ38" s="166"/>
      <c r="BA38" s="166"/>
      <c r="BB38" s="166"/>
      <c r="BC38" s="167"/>
      <c r="BD38" s="169"/>
      <c r="BE38" s="166"/>
      <c r="BF38" s="166"/>
      <c r="BG38" s="166"/>
      <c r="BH38" s="166"/>
      <c r="BI38" s="166"/>
      <c r="BJ38" s="167"/>
      <c r="BK38" s="47"/>
    </row>
    <row r="39" spans="1:63" ht="15" customHeight="1">
      <c r="A39" s="46"/>
      <c r="B39" s="112"/>
      <c r="C39" s="113"/>
      <c r="D39" s="113"/>
      <c r="E39" s="113"/>
      <c r="F39" s="113"/>
      <c r="G39" s="114"/>
      <c r="H39" s="112"/>
      <c r="I39" s="113"/>
      <c r="J39" s="113"/>
      <c r="K39" s="113"/>
      <c r="L39" s="113"/>
      <c r="M39" s="113"/>
      <c r="N39" s="114"/>
      <c r="O39" s="112"/>
      <c r="P39" s="113"/>
      <c r="Q39" s="113"/>
      <c r="R39" s="113"/>
      <c r="S39" s="173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4"/>
      <c r="AS39" s="174"/>
      <c r="AT39" s="174"/>
      <c r="AU39" s="174"/>
      <c r="AV39" s="174"/>
      <c r="AW39" s="175"/>
      <c r="AX39" s="164"/>
      <c r="AY39" s="164"/>
      <c r="AZ39" s="164"/>
      <c r="BA39" s="164"/>
      <c r="BB39" s="164"/>
      <c r="BC39" s="165"/>
      <c r="BD39" s="168"/>
      <c r="BE39" s="164"/>
      <c r="BF39" s="164"/>
      <c r="BG39" s="164"/>
      <c r="BH39" s="164"/>
      <c r="BI39" s="164"/>
      <c r="BJ39" s="165"/>
      <c r="BK39" s="47"/>
    </row>
    <row r="40" spans="1:63" ht="15" customHeight="1">
      <c r="A40" s="46"/>
      <c r="B40" s="115"/>
      <c r="C40" s="116"/>
      <c r="D40" s="116"/>
      <c r="E40" s="116"/>
      <c r="F40" s="116"/>
      <c r="G40" s="117"/>
      <c r="H40" s="115"/>
      <c r="I40" s="116"/>
      <c r="J40" s="116"/>
      <c r="K40" s="116"/>
      <c r="L40" s="116"/>
      <c r="M40" s="116"/>
      <c r="N40" s="117"/>
      <c r="O40" s="115"/>
      <c r="P40" s="116"/>
      <c r="Q40" s="116"/>
      <c r="R40" s="116"/>
      <c r="S40" s="170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2"/>
      <c r="AX40" s="166"/>
      <c r="AY40" s="166"/>
      <c r="AZ40" s="166"/>
      <c r="BA40" s="166"/>
      <c r="BB40" s="166"/>
      <c r="BC40" s="167"/>
      <c r="BD40" s="169"/>
      <c r="BE40" s="166"/>
      <c r="BF40" s="166"/>
      <c r="BG40" s="166"/>
      <c r="BH40" s="166"/>
      <c r="BI40" s="166"/>
      <c r="BJ40" s="167"/>
      <c r="BK40" s="47"/>
    </row>
    <row r="41" spans="1:63" ht="15" customHeight="1">
      <c r="A41" s="46"/>
      <c r="B41" s="112"/>
      <c r="C41" s="113"/>
      <c r="D41" s="113"/>
      <c r="E41" s="113"/>
      <c r="F41" s="113"/>
      <c r="G41" s="114"/>
      <c r="H41" s="112"/>
      <c r="I41" s="113"/>
      <c r="J41" s="113"/>
      <c r="K41" s="113"/>
      <c r="L41" s="113"/>
      <c r="M41" s="113"/>
      <c r="N41" s="114"/>
      <c r="O41" s="112"/>
      <c r="P41" s="113"/>
      <c r="Q41" s="113"/>
      <c r="R41" s="113"/>
      <c r="S41" s="173"/>
      <c r="T41" s="174"/>
      <c r="U41" s="174"/>
      <c r="V41" s="174"/>
      <c r="W41" s="174"/>
      <c r="X41" s="174"/>
      <c r="Y41" s="174"/>
      <c r="Z41" s="174"/>
      <c r="AA41" s="174"/>
      <c r="AB41" s="174"/>
      <c r="AC41" s="174"/>
      <c r="AD41" s="174"/>
      <c r="AE41" s="174"/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4"/>
      <c r="AS41" s="174"/>
      <c r="AT41" s="174"/>
      <c r="AU41" s="174"/>
      <c r="AV41" s="174"/>
      <c r="AW41" s="175"/>
      <c r="AX41" s="164"/>
      <c r="AY41" s="164"/>
      <c r="AZ41" s="164"/>
      <c r="BA41" s="164"/>
      <c r="BB41" s="164"/>
      <c r="BC41" s="165"/>
      <c r="BD41" s="168"/>
      <c r="BE41" s="164"/>
      <c r="BF41" s="164"/>
      <c r="BG41" s="164"/>
      <c r="BH41" s="164"/>
      <c r="BI41" s="164"/>
      <c r="BJ41" s="165"/>
      <c r="BK41" s="47"/>
    </row>
    <row r="42" spans="1:63" ht="15" customHeight="1">
      <c r="A42" s="46"/>
      <c r="B42" s="115"/>
      <c r="C42" s="116"/>
      <c r="D42" s="116"/>
      <c r="E42" s="116"/>
      <c r="F42" s="116"/>
      <c r="G42" s="117"/>
      <c r="H42" s="115"/>
      <c r="I42" s="116"/>
      <c r="J42" s="116"/>
      <c r="K42" s="116"/>
      <c r="L42" s="116"/>
      <c r="M42" s="116"/>
      <c r="N42" s="117"/>
      <c r="O42" s="115"/>
      <c r="P42" s="116"/>
      <c r="Q42" s="116"/>
      <c r="R42" s="116"/>
      <c r="S42" s="170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2"/>
      <c r="AX42" s="166"/>
      <c r="AY42" s="166"/>
      <c r="AZ42" s="166"/>
      <c r="BA42" s="166"/>
      <c r="BB42" s="166"/>
      <c r="BC42" s="167"/>
      <c r="BD42" s="169"/>
      <c r="BE42" s="166"/>
      <c r="BF42" s="166"/>
      <c r="BG42" s="166"/>
      <c r="BH42" s="166"/>
      <c r="BI42" s="166"/>
      <c r="BJ42" s="167"/>
      <c r="BK42" s="47"/>
    </row>
    <row r="43" spans="1:63" ht="15" customHeight="1">
      <c r="A43" s="46"/>
      <c r="B43" s="112"/>
      <c r="C43" s="113"/>
      <c r="D43" s="113"/>
      <c r="E43" s="113"/>
      <c r="F43" s="113"/>
      <c r="G43" s="114"/>
      <c r="H43" s="112"/>
      <c r="I43" s="113"/>
      <c r="J43" s="113"/>
      <c r="K43" s="113"/>
      <c r="L43" s="113"/>
      <c r="M43" s="113"/>
      <c r="N43" s="114"/>
      <c r="O43" s="112"/>
      <c r="P43" s="113"/>
      <c r="Q43" s="113"/>
      <c r="R43" s="113"/>
      <c r="S43" s="173"/>
      <c r="T43" s="174"/>
      <c r="U43" s="174"/>
      <c r="V43" s="174"/>
      <c r="W43" s="174"/>
      <c r="X43" s="174"/>
      <c r="Y43" s="174"/>
      <c r="Z43" s="174"/>
      <c r="AA43" s="174"/>
      <c r="AB43" s="174"/>
      <c r="AC43" s="174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174"/>
      <c r="AU43" s="174"/>
      <c r="AV43" s="174"/>
      <c r="AW43" s="175"/>
      <c r="AX43" s="164"/>
      <c r="AY43" s="164"/>
      <c r="AZ43" s="164"/>
      <c r="BA43" s="164"/>
      <c r="BB43" s="164"/>
      <c r="BC43" s="165"/>
      <c r="BD43" s="168"/>
      <c r="BE43" s="164"/>
      <c r="BF43" s="164"/>
      <c r="BG43" s="164"/>
      <c r="BH43" s="164"/>
      <c r="BI43" s="164"/>
      <c r="BJ43" s="165"/>
      <c r="BK43" s="47"/>
    </row>
    <row r="44" spans="1:63" ht="15" customHeight="1">
      <c r="A44" s="46"/>
      <c r="B44" s="115"/>
      <c r="C44" s="116"/>
      <c r="D44" s="116"/>
      <c r="E44" s="116"/>
      <c r="F44" s="116"/>
      <c r="G44" s="117"/>
      <c r="H44" s="115"/>
      <c r="I44" s="116"/>
      <c r="J44" s="116"/>
      <c r="K44" s="116"/>
      <c r="L44" s="116"/>
      <c r="M44" s="116"/>
      <c r="N44" s="117"/>
      <c r="O44" s="115"/>
      <c r="P44" s="116"/>
      <c r="Q44" s="116"/>
      <c r="R44" s="116"/>
      <c r="S44" s="170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2"/>
      <c r="AX44" s="166"/>
      <c r="AY44" s="166"/>
      <c r="AZ44" s="166"/>
      <c r="BA44" s="166"/>
      <c r="BB44" s="166"/>
      <c r="BC44" s="167"/>
      <c r="BD44" s="169"/>
      <c r="BE44" s="166"/>
      <c r="BF44" s="166"/>
      <c r="BG44" s="166"/>
      <c r="BH44" s="166"/>
      <c r="BI44" s="166"/>
      <c r="BJ44" s="167"/>
      <c r="BK44" s="47"/>
    </row>
    <row r="45" spans="1:63" ht="15" customHeight="1">
      <c r="A45" s="46"/>
      <c r="B45" s="112"/>
      <c r="C45" s="113"/>
      <c r="D45" s="113"/>
      <c r="E45" s="113"/>
      <c r="F45" s="113"/>
      <c r="G45" s="114"/>
      <c r="H45" s="112"/>
      <c r="I45" s="113"/>
      <c r="J45" s="113"/>
      <c r="K45" s="113"/>
      <c r="L45" s="113"/>
      <c r="M45" s="113"/>
      <c r="N45" s="114"/>
      <c r="O45" s="112"/>
      <c r="P45" s="113"/>
      <c r="Q45" s="113"/>
      <c r="R45" s="113"/>
      <c r="S45" s="173"/>
      <c r="T45" s="174"/>
      <c r="U45" s="174"/>
      <c r="V45" s="174"/>
      <c r="W45" s="174"/>
      <c r="X45" s="174"/>
      <c r="Y45" s="174"/>
      <c r="Z45" s="174"/>
      <c r="AA45" s="174"/>
      <c r="AB45" s="174"/>
      <c r="AC45" s="174"/>
      <c r="AD45" s="174"/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5"/>
      <c r="AX45" s="164"/>
      <c r="AY45" s="164"/>
      <c r="AZ45" s="164"/>
      <c r="BA45" s="164"/>
      <c r="BB45" s="164"/>
      <c r="BC45" s="165"/>
      <c r="BD45" s="168"/>
      <c r="BE45" s="164"/>
      <c r="BF45" s="164"/>
      <c r="BG45" s="164"/>
      <c r="BH45" s="164"/>
      <c r="BI45" s="164"/>
      <c r="BJ45" s="165"/>
      <c r="BK45" s="47"/>
    </row>
    <row r="46" spans="1:63" ht="15" customHeight="1">
      <c r="A46" s="46"/>
      <c r="B46" s="115"/>
      <c r="C46" s="116"/>
      <c r="D46" s="116"/>
      <c r="E46" s="116"/>
      <c r="F46" s="116"/>
      <c r="G46" s="117"/>
      <c r="H46" s="115"/>
      <c r="I46" s="116"/>
      <c r="J46" s="116"/>
      <c r="K46" s="116"/>
      <c r="L46" s="116"/>
      <c r="M46" s="116"/>
      <c r="N46" s="117"/>
      <c r="O46" s="115"/>
      <c r="P46" s="116"/>
      <c r="Q46" s="116"/>
      <c r="R46" s="116"/>
      <c r="S46" s="170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2"/>
      <c r="AX46" s="166"/>
      <c r="AY46" s="166"/>
      <c r="AZ46" s="166"/>
      <c r="BA46" s="166"/>
      <c r="BB46" s="166"/>
      <c r="BC46" s="167"/>
      <c r="BD46" s="169"/>
      <c r="BE46" s="166"/>
      <c r="BF46" s="166"/>
      <c r="BG46" s="166"/>
      <c r="BH46" s="166"/>
      <c r="BI46" s="166"/>
      <c r="BJ46" s="167"/>
      <c r="BK46" s="47"/>
    </row>
    <row r="47" spans="1:63" ht="15" customHeight="1">
      <c r="A47" s="46"/>
      <c r="B47" s="112"/>
      <c r="C47" s="113"/>
      <c r="D47" s="113"/>
      <c r="E47" s="113"/>
      <c r="F47" s="113"/>
      <c r="G47" s="114"/>
      <c r="H47" s="112"/>
      <c r="I47" s="113"/>
      <c r="J47" s="113"/>
      <c r="K47" s="113"/>
      <c r="L47" s="113"/>
      <c r="M47" s="113"/>
      <c r="N47" s="114"/>
      <c r="O47" s="112"/>
      <c r="P47" s="113"/>
      <c r="Q47" s="113"/>
      <c r="R47" s="113"/>
      <c r="S47" s="173"/>
      <c r="T47" s="174"/>
      <c r="U47" s="174"/>
      <c r="V47" s="174"/>
      <c r="W47" s="174"/>
      <c r="X47" s="174"/>
      <c r="Y47" s="174"/>
      <c r="Z47" s="174"/>
      <c r="AA47" s="174"/>
      <c r="AB47" s="174"/>
      <c r="AC47" s="174"/>
      <c r="AD47" s="174"/>
      <c r="AE47" s="174"/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5"/>
      <c r="AX47" s="164"/>
      <c r="AY47" s="164"/>
      <c r="AZ47" s="164"/>
      <c r="BA47" s="164"/>
      <c r="BB47" s="164"/>
      <c r="BC47" s="165"/>
      <c r="BD47" s="168"/>
      <c r="BE47" s="164"/>
      <c r="BF47" s="164"/>
      <c r="BG47" s="164"/>
      <c r="BH47" s="164"/>
      <c r="BI47" s="164"/>
      <c r="BJ47" s="165"/>
      <c r="BK47" s="47"/>
    </row>
    <row r="48" spans="1:63" ht="15" customHeight="1">
      <c r="A48" s="46"/>
      <c r="B48" s="115"/>
      <c r="C48" s="116"/>
      <c r="D48" s="116"/>
      <c r="E48" s="116"/>
      <c r="F48" s="116"/>
      <c r="G48" s="117"/>
      <c r="H48" s="115"/>
      <c r="I48" s="116"/>
      <c r="J48" s="116"/>
      <c r="K48" s="116"/>
      <c r="L48" s="116"/>
      <c r="M48" s="116"/>
      <c r="N48" s="117"/>
      <c r="O48" s="115"/>
      <c r="P48" s="116"/>
      <c r="Q48" s="116"/>
      <c r="R48" s="116"/>
      <c r="S48" s="170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  <c r="AN48" s="171"/>
      <c r="AO48" s="171"/>
      <c r="AP48" s="171"/>
      <c r="AQ48" s="171"/>
      <c r="AR48" s="171"/>
      <c r="AS48" s="171"/>
      <c r="AT48" s="171"/>
      <c r="AU48" s="171"/>
      <c r="AV48" s="171"/>
      <c r="AW48" s="172"/>
      <c r="AX48" s="166"/>
      <c r="AY48" s="166"/>
      <c r="AZ48" s="166"/>
      <c r="BA48" s="166"/>
      <c r="BB48" s="166"/>
      <c r="BC48" s="167"/>
      <c r="BD48" s="169"/>
      <c r="BE48" s="166"/>
      <c r="BF48" s="166"/>
      <c r="BG48" s="166"/>
      <c r="BH48" s="166"/>
      <c r="BI48" s="166"/>
      <c r="BJ48" s="167"/>
      <c r="BK48" s="47"/>
    </row>
    <row r="49" spans="1:63" ht="15" customHeight="1">
      <c r="A49" s="46"/>
      <c r="B49" s="112"/>
      <c r="C49" s="113"/>
      <c r="D49" s="113"/>
      <c r="E49" s="113"/>
      <c r="F49" s="113"/>
      <c r="G49" s="114"/>
      <c r="H49" s="112"/>
      <c r="I49" s="113"/>
      <c r="J49" s="113"/>
      <c r="K49" s="113"/>
      <c r="L49" s="113"/>
      <c r="M49" s="113"/>
      <c r="N49" s="114"/>
      <c r="O49" s="112"/>
      <c r="P49" s="113"/>
      <c r="Q49" s="113"/>
      <c r="R49" s="113"/>
      <c r="S49" s="173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5"/>
      <c r="AX49" s="164"/>
      <c r="AY49" s="164"/>
      <c r="AZ49" s="164"/>
      <c r="BA49" s="164"/>
      <c r="BB49" s="164"/>
      <c r="BC49" s="165"/>
      <c r="BD49" s="168"/>
      <c r="BE49" s="164"/>
      <c r="BF49" s="164"/>
      <c r="BG49" s="164"/>
      <c r="BH49" s="164"/>
      <c r="BI49" s="164"/>
      <c r="BJ49" s="165"/>
      <c r="BK49" s="47"/>
    </row>
    <row r="50" spans="1:63" ht="15" customHeight="1">
      <c r="A50" s="46"/>
      <c r="B50" s="115"/>
      <c r="C50" s="116"/>
      <c r="D50" s="116"/>
      <c r="E50" s="116"/>
      <c r="F50" s="116"/>
      <c r="G50" s="117"/>
      <c r="H50" s="115"/>
      <c r="I50" s="116"/>
      <c r="J50" s="116"/>
      <c r="K50" s="116"/>
      <c r="L50" s="116"/>
      <c r="M50" s="116"/>
      <c r="N50" s="117"/>
      <c r="O50" s="115"/>
      <c r="P50" s="116"/>
      <c r="Q50" s="116"/>
      <c r="R50" s="116"/>
      <c r="S50" s="170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  <c r="AN50" s="171"/>
      <c r="AO50" s="171"/>
      <c r="AP50" s="171"/>
      <c r="AQ50" s="171"/>
      <c r="AR50" s="171"/>
      <c r="AS50" s="171"/>
      <c r="AT50" s="171"/>
      <c r="AU50" s="171"/>
      <c r="AV50" s="171"/>
      <c r="AW50" s="172"/>
      <c r="AX50" s="166"/>
      <c r="AY50" s="166"/>
      <c r="AZ50" s="166"/>
      <c r="BA50" s="166"/>
      <c r="BB50" s="166"/>
      <c r="BC50" s="167"/>
      <c r="BD50" s="169"/>
      <c r="BE50" s="166"/>
      <c r="BF50" s="166"/>
      <c r="BG50" s="166"/>
      <c r="BH50" s="166"/>
      <c r="BI50" s="166"/>
      <c r="BJ50" s="167"/>
      <c r="BK50" s="47"/>
    </row>
    <row r="51" spans="1:63" ht="15" customHeight="1">
      <c r="A51" s="46"/>
      <c r="B51" s="112"/>
      <c r="C51" s="113"/>
      <c r="D51" s="113"/>
      <c r="E51" s="113"/>
      <c r="F51" s="113"/>
      <c r="G51" s="114"/>
      <c r="H51" s="112"/>
      <c r="I51" s="113"/>
      <c r="J51" s="113"/>
      <c r="K51" s="113"/>
      <c r="L51" s="113"/>
      <c r="M51" s="113"/>
      <c r="N51" s="114"/>
      <c r="O51" s="112"/>
      <c r="P51" s="113"/>
      <c r="Q51" s="113"/>
      <c r="R51" s="113"/>
      <c r="S51" s="173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5"/>
      <c r="AX51" s="164"/>
      <c r="AY51" s="164"/>
      <c r="AZ51" s="164"/>
      <c r="BA51" s="164"/>
      <c r="BB51" s="164"/>
      <c r="BC51" s="165"/>
      <c r="BD51" s="168"/>
      <c r="BE51" s="164"/>
      <c r="BF51" s="164"/>
      <c r="BG51" s="164"/>
      <c r="BH51" s="164"/>
      <c r="BI51" s="164"/>
      <c r="BJ51" s="165"/>
      <c r="BK51" s="47"/>
    </row>
    <row r="52" spans="1:63" ht="15" customHeight="1">
      <c r="A52" s="46"/>
      <c r="B52" s="115"/>
      <c r="C52" s="116"/>
      <c r="D52" s="116"/>
      <c r="E52" s="116"/>
      <c r="F52" s="116"/>
      <c r="G52" s="117"/>
      <c r="H52" s="115"/>
      <c r="I52" s="116"/>
      <c r="J52" s="116"/>
      <c r="K52" s="116"/>
      <c r="L52" s="116"/>
      <c r="M52" s="116"/>
      <c r="N52" s="117"/>
      <c r="O52" s="115"/>
      <c r="P52" s="116"/>
      <c r="Q52" s="116"/>
      <c r="R52" s="116"/>
      <c r="S52" s="170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  <c r="AN52" s="171"/>
      <c r="AO52" s="171"/>
      <c r="AP52" s="171"/>
      <c r="AQ52" s="171"/>
      <c r="AR52" s="171"/>
      <c r="AS52" s="171"/>
      <c r="AT52" s="171"/>
      <c r="AU52" s="171"/>
      <c r="AV52" s="171"/>
      <c r="AW52" s="172"/>
      <c r="AX52" s="166"/>
      <c r="AY52" s="166"/>
      <c r="AZ52" s="166"/>
      <c r="BA52" s="166"/>
      <c r="BB52" s="166"/>
      <c r="BC52" s="167"/>
      <c r="BD52" s="169"/>
      <c r="BE52" s="166"/>
      <c r="BF52" s="166"/>
      <c r="BG52" s="166"/>
      <c r="BH52" s="166"/>
      <c r="BI52" s="166"/>
      <c r="BJ52" s="167"/>
      <c r="BK52" s="47"/>
    </row>
    <row r="53" spans="1:63" ht="15" customHeight="1">
      <c r="A53" s="46"/>
      <c r="B53" s="112"/>
      <c r="C53" s="113"/>
      <c r="D53" s="113"/>
      <c r="E53" s="113"/>
      <c r="F53" s="113"/>
      <c r="G53" s="114"/>
      <c r="H53" s="112"/>
      <c r="I53" s="113"/>
      <c r="J53" s="113"/>
      <c r="K53" s="113"/>
      <c r="L53" s="113"/>
      <c r="M53" s="113"/>
      <c r="N53" s="114"/>
      <c r="O53" s="112"/>
      <c r="P53" s="113"/>
      <c r="Q53" s="113"/>
      <c r="R53" s="113"/>
      <c r="S53" s="173"/>
      <c r="T53" s="174"/>
      <c r="U53" s="174"/>
      <c r="V53" s="174"/>
      <c r="W53" s="174"/>
      <c r="X53" s="174"/>
      <c r="Y53" s="174"/>
      <c r="Z53" s="174"/>
      <c r="AA53" s="174"/>
      <c r="AB53" s="174"/>
      <c r="AC53" s="174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5"/>
      <c r="AX53" s="164"/>
      <c r="AY53" s="164"/>
      <c r="AZ53" s="164"/>
      <c r="BA53" s="164"/>
      <c r="BB53" s="164"/>
      <c r="BC53" s="165"/>
      <c r="BD53" s="168"/>
      <c r="BE53" s="164"/>
      <c r="BF53" s="164"/>
      <c r="BG53" s="164"/>
      <c r="BH53" s="164"/>
      <c r="BI53" s="164"/>
      <c r="BJ53" s="165"/>
      <c r="BK53" s="47"/>
    </row>
    <row r="54" spans="1:63" ht="15" customHeight="1">
      <c r="A54" s="46"/>
      <c r="B54" s="115"/>
      <c r="C54" s="116"/>
      <c r="D54" s="116"/>
      <c r="E54" s="116"/>
      <c r="F54" s="116"/>
      <c r="G54" s="117"/>
      <c r="H54" s="115"/>
      <c r="I54" s="116"/>
      <c r="J54" s="116"/>
      <c r="K54" s="116"/>
      <c r="L54" s="116"/>
      <c r="M54" s="116"/>
      <c r="N54" s="117"/>
      <c r="O54" s="115"/>
      <c r="P54" s="116"/>
      <c r="Q54" s="116"/>
      <c r="R54" s="116"/>
      <c r="S54" s="170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  <c r="AN54" s="171"/>
      <c r="AO54" s="171"/>
      <c r="AP54" s="171"/>
      <c r="AQ54" s="171"/>
      <c r="AR54" s="171"/>
      <c r="AS54" s="171"/>
      <c r="AT54" s="171"/>
      <c r="AU54" s="171"/>
      <c r="AV54" s="171"/>
      <c r="AW54" s="172"/>
      <c r="AX54" s="166"/>
      <c r="AY54" s="166"/>
      <c r="AZ54" s="166"/>
      <c r="BA54" s="166"/>
      <c r="BB54" s="166"/>
      <c r="BC54" s="167"/>
      <c r="BD54" s="169"/>
      <c r="BE54" s="166"/>
      <c r="BF54" s="166"/>
      <c r="BG54" s="166"/>
      <c r="BH54" s="166"/>
      <c r="BI54" s="166"/>
      <c r="BJ54" s="167"/>
      <c r="BK54" s="47"/>
    </row>
    <row r="55" spans="1:63" ht="15" customHeight="1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1"/>
      <c r="K1" s="209" t="s">
        <v>2</v>
      </c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1"/>
      <c r="W1" s="227" t="str">
        <f>IF(表紙!W1="","",表紙!W1)</f>
        <v>基本設計書</v>
      </c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30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2"/>
      <c r="AP2" s="215" t="str">
        <f>IF(表紙!AP2="","",表紙!AP2)</f>
        <v>LoiLV</v>
      </c>
      <c r="AQ2" s="216"/>
      <c r="AR2" s="216"/>
      <c r="AS2" s="217"/>
      <c r="AT2" s="221">
        <v>45084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33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5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209" t="s">
        <v>69</v>
      </c>
      <c r="B4" s="210"/>
      <c r="C4" s="210"/>
      <c r="D4" s="210"/>
      <c r="E4" s="210"/>
      <c r="F4" s="210"/>
      <c r="G4" s="211"/>
      <c r="H4" s="212" t="str">
        <f>IF(表紙!H4="","",表紙!H4)</f>
        <v>29_レジ別時間帯別点検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9" t="s">
        <v>8</v>
      </c>
      <c r="V4" s="210"/>
      <c r="W4" s="210"/>
      <c r="X4" s="210"/>
      <c r="Y4" s="211"/>
      <c r="Z4" s="212" t="str">
        <f>IF(表紙!Z4="","",表紙!Z4)</f>
        <v>概要設計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業務フロー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58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1"/>
      <c r="AF6" s="59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1"/>
      <c r="BJ6" s="60"/>
      <c r="BK6" s="62"/>
    </row>
    <row r="7" spans="1:63" ht="15" customHeight="1">
      <c r="A7" s="58"/>
      <c r="B7" s="10" t="s">
        <v>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1"/>
      <c r="AF7" s="10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11"/>
      <c r="BJ7" s="8"/>
      <c r="BK7" s="62"/>
    </row>
    <row r="8" spans="1:63" ht="15" customHeight="1">
      <c r="A8" s="58"/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1"/>
      <c r="AF8" s="59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1"/>
      <c r="BJ8" s="60"/>
      <c r="BK8" s="62"/>
    </row>
    <row r="9" spans="1:63" ht="15" customHeight="1">
      <c r="A9" s="58"/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1"/>
      <c r="AF9" s="59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1"/>
      <c r="BJ9" s="60"/>
      <c r="BK9" s="62"/>
    </row>
    <row r="10" spans="1:63" ht="15" customHeight="1">
      <c r="A10" s="58"/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1"/>
      <c r="AF10" s="59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1"/>
      <c r="BJ10" s="60"/>
      <c r="BK10" s="62"/>
    </row>
    <row r="11" spans="1:63" ht="15" customHeight="1">
      <c r="A11" s="58"/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1"/>
      <c r="AF11" s="59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1"/>
      <c r="BJ11" s="60"/>
      <c r="BK11" s="62"/>
    </row>
    <row r="12" spans="1:63" ht="15" customHeight="1">
      <c r="A12" s="58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1"/>
      <c r="AF12" s="59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1"/>
      <c r="BJ12" s="60"/>
      <c r="BK12" s="62"/>
    </row>
    <row r="13" spans="1:63" ht="15" customHeight="1">
      <c r="A13" s="58"/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1"/>
      <c r="AF13" s="59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1"/>
      <c r="BJ13" s="60"/>
      <c r="BK13" s="62"/>
    </row>
    <row r="14" spans="1:63" ht="15" customHeight="1">
      <c r="A14" s="58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1"/>
      <c r="AF14" s="59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1"/>
      <c r="BJ14" s="60"/>
      <c r="BK14" s="62"/>
    </row>
    <row r="15" spans="1:63" ht="15" customHeight="1">
      <c r="A15" s="58"/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1"/>
      <c r="AF15" s="59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1"/>
      <c r="BJ15" s="60"/>
      <c r="BK15" s="62"/>
    </row>
    <row r="16" spans="1:63" ht="15" customHeight="1">
      <c r="A16" s="58"/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1"/>
      <c r="AF16" s="59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1"/>
      <c r="BJ16" s="60"/>
      <c r="BK16" s="62"/>
    </row>
    <row r="17" spans="1:63" ht="15" customHeight="1">
      <c r="A17" s="58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1"/>
      <c r="AF17" s="59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1"/>
      <c r="BJ17" s="60"/>
      <c r="BK17" s="62"/>
    </row>
    <row r="18" spans="1:63" ht="15" customHeight="1">
      <c r="A18" s="58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1"/>
      <c r="AF18" s="59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1"/>
      <c r="BJ18" s="60"/>
      <c r="BK18" s="62"/>
    </row>
    <row r="19" spans="1:63" ht="15" customHeight="1">
      <c r="A19" s="58"/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1"/>
      <c r="AF19" s="59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1"/>
      <c r="BJ19" s="60"/>
      <c r="BK19" s="62"/>
    </row>
    <row r="20" spans="1:63" ht="15" customHeight="1">
      <c r="A20" s="58"/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1"/>
      <c r="AF20" s="59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1"/>
      <c r="BJ20" s="60"/>
      <c r="BK20" s="62"/>
    </row>
    <row r="21" spans="1:63" ht="15" customHeight="1">
      <c r="A21" s="58"/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1"/>
      <c r="AF21" s="59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1"/>
      <c r="BJ21" s="60"/>
      <c r="BK21" s="62"/>
    </row>
    <row r="22" spans="1:63" ht="15" customHeight="1">
      <c r="A22" s="58"/>
      <c r="B22" s="10" t="s">
        <v>13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11"/>
      <c r="AF22" s="10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11"/>
      <c r="BJ22" s="8"/>
      <c r="BK22" s="62"/>
    </row>
    <row r="23" spans="1:63" ht="15" customHeight="1">
      <c r="A23" s="58"/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1"/>
      <c r="AF23" s="59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1"/>
      <c r="BJ23" s="60"/>
      <c r="BK23" s="62"/>
    </row>
    <row r="24" spans="1:63" ht="15" customHeight="1">
      <c r="A24" s="58"/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1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1"/>
      <c r="BJ24" s="60"/>
      <c r="BK24" s="62"/>
    </row>
    <row r="25" spans="1:63" ht="15" customHeight="1">
      <c r="A25" s="58"/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1"/>
      <c r="AF25" s="59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1"/>
      <c r="BJ25" s="60"/>
      <c r="BK25" s="62"/>
    </row>
    <row r="26" spans="1:63" ht="15" customHeight="1">
      <c r="A26" s="58"/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1"/>
      <c r="AF26" s="59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1"/>
      <c r="BJ26" s="60"/>
      <c r="BK26" s="62"/>
    </row>
    <row r="27" spans="1:63" ht="15" customHeight="1">
      <c r="A27" s="58"/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1"/>
      <c r="AF27" s="59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1"/>
      <c r="BJ27" s="60"/>
      <c r="BK27" s="62"/>
    </row>
    <row r="28" spans="1:63" ht="15" customHeight="1">
      <c r="A28" s="58"/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1"/>
      <c r="AF28" s="59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1"/>
      <c r="BJ28" s="60"/>
      <c r="BK28" s="62"/>
    </row>
    <row r="29" spans="1:63" ht="15" customHeight="1">
      <c r="A29" s="58"/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1"/>
      <c r="AF29" s="59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1"/>
      <c r="BJ29" s="60"/>
      <c r="BK29" s="62"/>
    </row>
    <row r="30" spans="1:63" ht="15" customHeight="1">
      <c r="A30" s="58"/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1"/>
      <c r="AF30" s="59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1"/>
      <c r="BJ30" s="60"/>
      <c r="BK30" s="62"/>
    </row>
    <row r="31" spans="1:63" ht="15" customHeight="1">
      <c r="A31" s="58"/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1"/>
      <c r="AF31" s="59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1"/>
      <c r="BJ31" s="60"/>
      <c r="BK31" s="62"/>
    </row>
    <row r="32" spans="1:63" ht="15" customHeight="1">
      <c r="A32" s="58"/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1"/>
      <c r="AF32" s="59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1"/>
      <c r="BJ32" s="60"/>
      <c r="BK32" s="62"/>
    </row>
    <row r="33" spans="1:63" ht="15" customHeight="1">
      <c r="A33" s="58"/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1"/>
      <c r="AF33" s="59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1"/>
      <c r="BJ33" s="60"/>
      <c r="BK33" s="62"/>
    </row>
    <row r="34" spans="1:63" ht="15" customHeight="1">
      <c r="A34" s="58"/>
      <c r="B34" s="59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1"/>
      <c r="AF34" s="59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1"/>
      <c r="BJ34" s="60"/>
      <c r="BK34" s="62"/>
    </row>
    <row r="35" spans="1:63" ht="15" customHeight="1">
      <c r="A35" s="58"/>
      <c r="B35" s="59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1"/>
      <c r="AF35" s="59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1"/>
      <c r="BJ35" s="60"/>
      <c r="BK35" s="62"/>
    </row>
    <row r="36" spans="1:63" ht="15" customHeight="1">
      <c r="A36" s="58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1"/>
      <c r="AF36" s="59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1"/>
      <c r="BJ36" s="60"/>
      <c r="BK36" s="62"/>
    </row>
    <row r="37" spans="1:63" ht="15" customHeight="1">
      <c r="A37" s="58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59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1"/>
      <c r="BJ37" s="60"/>
      <c r="BK37" s="62"/>
    </row>
    <row r="38" spans="1:63" ht="15" customHeight="1">
      <c r="A38" s="58"/>
      <c r="B38" s="59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59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1"/>
      <c r="BJ38" s="60"/>
      <c r="BK38" s="62"/>
    </row>
    <row r="39" spans="1:63" ht="15" customHeight="1">
      <c r="A39" s="58"/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59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1"/>
      <c r="BJ39" s="60"/>
      <c r="BK39" s="62"/>
    </row>
    <row r="40" spans="1:63" ht="15" customHeight="1">
      <c r="A40" s="58"/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59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1"/>
      <c r="BJ40" s="60"/>
      <c r="BK40" s="62"/>
    </row>
    <row r="41" spans="1:63" ht="15" customHeight="1">
      <c r="A41" s="58"/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59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1"/>
      <c r="BJ41" s="60"/>
      <c r="BK41" s="62"/>
    </row>
    <row r="42" spans="1:63" ht="15" customHeight="1">
      <c r="A42" s="58"/>
      <c r="B42" s="10" t="s">
        <v>14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11"/>
      <c r="AF42" s="10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11"/>
      <c r="BJ42" s="8"/>
      <c r="BK42" s="62"/>
    </row>
    <row r="43" spans="1:63" ht="15" customHeight="1">
      <c r="A43" s="58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1"/>
      <c r="AF43" s="59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1"/>
      <c r="BJ43" s="60"/>
      <c r="BK43" s="62"/>
    </row>
    <row r="44" spans="1:63" ht="15" customHeight="1">
      <c r="A44" s="58"/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1"/>
      <c r="AF44" s="59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1"/>
      <c r="BJ44" s="60"/>
      <c r="BK44" s="62"/>
    </row>
    <row r="45" spans="1:63" ht="15" customHeight="1">
      <c r="A45" s="58"/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1"/>
      <c r="AF45" s="59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1"/>
      <c r="BJ45" s="60"/>
      <c r="BK45" s="62"/>
    </row>
    <row r="46" spans="1:63" ht="15" customHeight="1">
      <c r="A46" s="58"/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1"/>
      <c r="AF46" s="59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1"/>
      <c r="BJ46" s="60"/>
      <c r="BK46" s="62"/>
    </row>
    <row r="47" spans="1:63" ht="15" customHeight="1">
      <c r="A47" s="58"/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1"/>
      <c r="AF47" s="59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1"/>
      <c r="BJ47" s="60"/>
      <c r="BK47" s="62"/>
    </row>
    <row r="48" spans="1:63" ht="15" customHeight="1">
      <c r="A48" s="58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1"/>
      <c r="AF48" s="59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1"/>
      <c r="BJ48" s="60"/>
      <c r="BK48" s="62"/>
    </row>
    <row r="49" spans="1:63" ht="15" customHeight="1">
      <c r="A49" s="58"/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59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1"/>
      <c r="BJ49" s="60"/>
      <c r="BK49" s="62"/>
    </row>
    <row r="50" spans="1:63" ht="15" customHeight="1">
      <c r="A50" s="58"/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59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1"/>
      <c r="BJ50" s="60"/>
      <c r="BK50" s="62"/>
    </row>
    <row r="51" spans="1:63" ht="15" customHeight="1">
      <c r="A51" s="58"/>
      <c r="B51" s="59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59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1"/>
      <c r="BJ51" s="60"/>
      <c r="BK51" s="62"/>
    </row>
    <row r="52" spans="1:63" ht="15" customHeight="1">
      <c r="A52" s="58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59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1"/>
      <c r="BJ52" s="60"/>
      <c r="BK52" s="62"/>
    </row>
    <row r="53" spans="1:63" ht="15" customHeight="1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59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1"/>
      <c r="BJ53" s="60"/>
      <c r="BK53" s="62"/>
    </row>
    <row r="54" spans="1:63" ht="15" customHeight="1">
      <c r="A54" s="58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59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1"/>
      <c r="BJ54" s="60"/>
      <c r="BK54" s="62"/>
    </row>
    <row r="55" spans="1:63" ht="15" customHeight="1">
      <c r="A55" s="58"/>
      <c r="B55" s="59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59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1"/>
      <c r="BJ55" s="60"/>
      <c r="BK55" s="62"/>
    </row>
    <row r="56" spans="1:63" ht="15" customHeight="1">
      <c r="A56" s="58"/>
      <c r="B56" s="59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59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1"/>
      <c r="BJ56" s="60"/>
      <c r="BK56" s="62"/>
    </row>
    <row r="57" spans="1:63" ht="15" customHeight="1">
      <c r="A57" s="58"/>
      <c r="B57" s="59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59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1"/>
      <c r="BJ57" s="60"/>
      <c r="BK57" s="62"/>
    </row>
    <row r="58" spans="1:63" ht="15" customHeight="1">
      <c r="A58" s="58"/>
      <c r="B58" s="59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59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1"/>
      <c r="BJ58" s="60"/>
      <c r="BK58" s="62"/>
    </row>
    <row r="59" spans="1:63" ht="15" customHeight="1">
      <c r="A59" s="58"/>
      <c r="B59" s="59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59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1"/>
      <c r="BJ59" s="60"/>
      <c r="BK59" s="62"/>
    </row>
    <row r="60" spans="1:63" ht="15" customHeight="1">
      <c r="A60" s="58"/>
      <c r="B60" s="59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59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1"/>
      <c r="BJ60" s="60"/>
      <c r="BK60" s="62"/>
    </row>
    <row r="61" spans="1:63" ht="15" customHeight="1">
      <c r="A61" s="58"/>
      <c r="B61" s="59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59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1"/>
      <c r="BJ61" s="60"/>
      <c r="BK61" s="62"/>
    </row>
    <row r="62" spans="1:63" ht="15" customHeight="1">
      <c r="A62" s="63"/>
      <c r="B62" s="64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5"/>
      <c r="AF62" s="64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  <c r="AZ62" s="63"/>
      <c r="BA62" s="63"/>
      <c r="BB62" s="63"/>
      <c r="BC62" s="63"/>
      <c r="BD62" s="63"/>
      <c r="BE62" s="63"/>
      <c r="BF62" s="63"/>
      <c r="BG62" s="63"/>
      <c r="BH62" s="63"/>
      <c r="BI62" s="65"/>
      <c r="BJ62" s="63"/>
      <c r="BK62" s="66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5" width="2.77734375" style="42" customWidth="1"/>
    <col min="66" max="16384" width="2.77734375" style="42"/>
  </cols>
  <sheetData>
    <row r="1" spans="1:65" ht="24.95" customHeight="1">
      <c r="A1" s="109" t="s">
        <v>75</v>
      </c>
      <c r="B1" s="110"/>
      <c r="C1" s="110"/>
      <c r="D1" s="110"/>
      <c r="E1" s="110"/>
      <c r="F1" s="110"/>
      <c r="G1" s="110"/>
      <c r="H1" s="110"/>
      <c r="I1" s="110"/>
      <c r="J1" s="111"/>
      <c r="K1" s="109" t="s">
        <v>76</v>
      </c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1"/>
      <c r="W1" s="119" t="str">
        <f>IF(表紙!W1="","",表紙!W1)</f>
        <v>基本設計書</v>
      </c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1"/>
      <c r="AP1" s="109" t="s">
        <v>78</v>
      </c>
      <c r="AQ1" s="110"/>
      <c r="AR1" s="110"/>
      <c r="AS1" s="111"/>
      <c r="AT1" s="109" t="s">
        <v>79</v>
      </c>
      <c r="AU1" s="110"/>
      <c r="AV1" s="110"/>
      <c r="AW1" s="110"/>
      <c r="AX1" s="111"/>
      <c r="AY1" s="109" t="s">
        <v>80</v>
      </c>
      <c r="AZ1" s="110"/>
      <c r="BA1" s="110"/>
      <c r="BB1" s="111"/>
      <c r="BC1" s="109" t="s">
        <v>81</v>
      </c>
      <c r="BD1" s="110"/>
      <c r="BE1" s="110"/>
      <c r="BF1" s="110"/>
      <c r="BG1" s="111"/>
      <c r="BH1" s="109" t="s">
        <v>82</v>
      </c>
      <c r="BI1" s="110"/>
      <c r="BJ1" s="110"/>
      <c r="BK1" s="111"/>
    </row>
    <row r="2" spans="1:65" ht="15" customHeight="1">
      <c r="A2" s="112" t="str">
        <f>IF(表紙!A2="","",表紙!A2)</f>
        <v>POSサーバー</v>
      </c>
      <c r="B2" s="113"/>
      <c r="C2" s="113"/>
      <c r="D2" s="113"/>
      <c r="E2" s="113"/>
      <c r="F2" s="113"/>
      <c r="G2" s="113"/>
      <c r="H2" s="113"/>
      <c r="I2" s="113"/>
      <c r="J2" s="114"/>
      <c r="K2" s="112" t="str">
        <f>IF(表紙!K2="","",表紙!K2)</f>
        <v>POSサーバ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4"/>
      <c r="W2" s="122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12" t="str">
        <f>IF(表紙!AP2="","",表紙!AP2)</f>
        <v>LoiLV</v>
      </c>
      <c r="AQ2" s="113"/>
      <c r="AR2" s="113"/>
      <c r="AS2" s="114"/>
      <c r="AT2" s="139">
        <f>IF(表紙!AT2="","",表紙!AT2)</f>
        <v>45460</v>
      </c>
      <c r="AU2" s="140"/>
      <c r="AV2" s="140"/>
      <c r="AW2" s="140"/>
      <c r="AX2" s="141"/>
      <c r="AY2" s="112" t="str">
        <f>IF(表紙!AY2="","",表紙!AY2)</f>
        <v>AnhNM</v>
      </c>
      <c r="AZ2" s="113"/>
      <c r="BA2" s="113"/>
      <c r="BB2" s="114"/>
      <c r="BC2" s="139">
        <f>IF(表紙!BC2="","",表紙!BC2)</f>
        <v>45583</v>
      </c>
      <c r="BD2" s="140"/>
      <c r="BE2" s="140"/>
      <c r="BF2" s="140"/>
      <c r="BG2" s="141"/>
      <c r="BH2" s="112">
        <f>IF(表紙!BH2="","",表紙!BH2)</f>
        <v>0.4</v>
      </c>
      <c r="BI2" s="113"/>
      <c r="BJ2" s="113"/>
      <c r="BK2" s="114"/>
    </row>
    <row r="3" spans="1:65" ht="15" customHeight="1">
      <c r="A3" s="115"/>
      <c r="B3" s="116"/>
      <c r="C3" s="116"/>
      <c r="D3" s="116"/>
      <c r="E3" s="116"/>
      <c r="F3" s="116"/>
      <c r="G3" s="116"/>
      <c r="H3" s="116"/>
      <c r="I3" s="116"/>
      <c r="J3" s="117"/>
      <c r="K3" s="11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7"/>
      <c r="W3" s="125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7"/>
      <c r="AP3" s="115"/>
      <c r="AQ3" s="116"/>
      <c r="AR3" s="116"/>
      <c r="AS3" s="117"/>
      <c r="AT3" s="142"/>
      <c r="AU3" s="143"/>
      <c r="AV3" s="143"/>
      <c r="AW3" s="143"/>
      <c r="AX3" s="144"/>
      <c r="AY3" s="115"/>
      <c r="AZ3" s="116"/>
      <c r="BA3" s="116"/>
      <c r="BB3" s="117"/>
      <c r="BC3" s="142"/>
      <c r="BD3" s="143"/>
      <c r="BE3" s="143"/>
      <c r="BF3" s="143"/>
      <c r="BG3" s="144"/>
      <c r="BH3" s="115"/>
      <c r="BI3" s="116"/>
      <c r="BJ3" s="116"/>
      <c r="BK3" s="117"/>
    </row>
    <row r="4" spans="1:65" ht="24.95" customHeight="1">
      <c r="A4" s="109" t="s">
        <v>84</v>
      </c>
      <c r="B4" s="110"/>
      <c r="C4" s="110"/>
      <c r="D4" s="110"/>
      <c r="E4" s="110"/>
      <c r="F4" s="110"/>
      <c r="G4" s="111"/>
      <c r="H4" s="130" t="str">
        <f>IF(表紙!H4="","",表紙!H4)</f>
        <v>29_レジ別時間帯別点検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2"/>
      <c r="U4" s="109" t="s">
        <v>85</v>
      </c>
      <c r="V4" s="110"/>
      <c r="W4" s="110"/>
      <c r="X4" s="110"/>
      <c r="Y4" s="111"/>
      <c r="Z4" s="130" t="str">
        <f>IF(表紙!Z4="","",表紙!Z4)</f>
        <v>概要設計</v>
      </c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2"/>
      <c r="AP4" s="130" t="str">
        <f t="array" aca="1" ref="AP4" ca="1">RIGHT(CELL("filename",$A$1),LEN(CELL("filename",$A$1))-FIND("]",CELL("filename",$A$1)))</f>
        <v>機能概要説明</v>
      </c>
      <c r="AQ4" s="131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1"/>
      <c r="BF4" s="131"/>
      <c r="BG4" s="131"/>
      <c r="BH4" s="131"/>
      <c r="BI4" s="131"/>
      <c r="BJ4" s="131"/>
      <c r="BK4" s="132"/>
    </row>
    <row r="5" spans="1:65" ht="5.0999999999999996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5" ht="15" customHeight="1">
      <c r="A6" s="46"/>
      <c r="BK6" s="47"/>
    </row>
    <row r="7" spans="1:65" ht="15" customHeight="1">
      <c r="A7" s="46"/>
      <c r="C7" s="42" t="s">
        <v>57</v>
      </c>
      <c r="K7" s="67"/>
      <c r="BK7" s="47"/>
      <c r="BM7" s="12">
        <f t="shared" ref="BM7:BM11" si="0">IF(BM6=50,1,BM6+1)</f>
        <v>1</v>
      </c>
    </row>
    <row r="8" spans="1:65" ht="15" customHeight="1">
      <c r="A8" s="46"/>
      <c r="D8" s="68" t="s">
        <v>61</v>
      </c>
      <c r="K8" s="67"/>
      <c r="BK8" s="47"/>
      <c r="BM8" s="12">
        <f t="shared" si="0"/>
        <v>2</v>
      </c>
    </row>
    <row r="9" spans="1:65" ht="15" customHeight="1">
      <c r="A9" s="46"/>
      <c r="E9" s="68" t="s">
        <v>59</v>
      </c>
      <c r="K9" s="67"/>
      <c r="BK9" s="47"/>
      <c r="BM9" s="12">
        <f t="shared" si="0"/>
        <v>3</v>
      </c>
    </row>
    <row r="10" spans="1:65" ht="15" customHeight="1">
      <c r="A10" s="46"/>
      <c r="E10" s="68" t="s">
        <v>60</v>
      </c>
      <c r="K10" s="67"/>
      <c r="BK10" s="47"/>
      <c r="BM10" s="12">
        <f t="shared" si="0"/>
        <v>4</v>
      </c>
    </row>
    <row r="11" spans="1:65" s="67" customFormat="1" ht="15" customHeight="1">
      <c r="A11" s="69"/>
      <c r="E11" s="70"/>
      <c r="BK11" s="71"/>
      <c r="BM11" s="12">
        <f t="shared" si="0"/>
        <v>5</v>
      </c>
    </row>
    <row r="12" spans="1:65" s="67" customFormat="1" ht="15" customHeight="1">
      <c r="A12" s="69"/>
      <c r="E12" s="70"/>
      <c r="BK12" s="71"/>
      <c r="BM12" s="12">
        <f t="shared" ref="BM12:BM44" si="1">IF(BM11=50,1,BM11+1)</f>
        <v>6</v>
      </c>
    </row>
    <row r="13" spans="1:65" s="67" customFormat="1" ht="15" customHeight="1">
      <c r="A13" s="69"/>
      <c r="BK13" s="71"/>
      <c r="BM13" s="12">
        <f t="shared" si="1"/>
        <v>7</v>
      </c>
    </row>
    <row r="14" spans="1:65" s="67" customFormat="1" ht="15" customHeight="1">
      <c r="A14" s="69"/>
      <c r="BK14" s="71"/>
      <c r="BM14" s="12">
        <f t="shared" si="1"/>
        <v>8</v>
      </c>
    </row>
    <row r="15" spans="1:65" s="67" customFormat="1" ht="15" customHeight="1">
      <c r="A15" s="69"/>
      <c r="BK15" s="71"/>
      <c r="BM15" s="12">
        <f t="shared" si="1"/>
        <v>9</v>
      </c>
    </row>
    <row r="16" spans="1:65" s="67" customFormat="1" ht="15" customHeight="1">
      <c r="A16" s="69"/>
      <c r="BK16" s="71"/>
      <c r="BM16" s="12">
        <f t="shared" si="1"/>
        <v>10</v>
      </c>
    </row>
    <row r="17" spans="1:65" s="67" customFormat="1" ht="15" customHeight="1">
      <c r="A17" s="69"/>
      <c r="BK17" s="71"/>
      <c r="BM17" s="12">
        <f t="shared" si="1"/>
        <v>11</v>
      </c>
    </row>
    <row r="18" spans="1:65" s="67" customFormat="1" ht="15" customHeight="1">
      <c r="A18" s="69"/>
      <c r="BK18" s="71"/>
      <c r="BM18" s="12">
        <f t="shared" si="1"/>
        <v>12</v>
      </c>
    </row>
    <row r="19" spans="1:65" s="67" customFormat="1" ht="15" customHeight="1">
      <c r="A19" s="69"/>
      <c r="BK19" s="71"/>
      <c r="BM19" s="12">
        <f t="shared" si="1"/>
        <v>13</v>
      </c>
    </row>
    <row r="20" spans="1:65" s="67" customFormat="1" ht="15" customHeight="1">
      <c r="A20" s="69"/>
      <c r="BK20" s="71"/>
      <c r="BM20" s="12">
        <f t="shared" si="1"/>
        <v>14</v>
      </c>
    </row>
    <row r="21" spans="1:65" s="67" customFormat="1" ht="15" customHeight="1">
      <c r="A21" s="69"/>
      <c r="BK21" s="71"/>
      <c r="BM21" s="12">
        <f t="shared" si="1"/>
        <v>15</v>
      </c>
    </row>
    <row r="22" spans="1:65" s="67" customFormat="1" ht="15" customHeight="1">
      <c r="A22" s="69"/>
      <c r="BK22" s="71"/>
      <c r="BM22" s="12">
        <f t="shared" si="1"/>
        <v>16</v>
      </c>
    </row>
    <row r="23" spans="1:65" s="67" customFormat="1" ht="15" customHeight="1">
      <c r="A23" s="69"/>
      <c r="BK23" s="71"/>
      <c r="BM23" s="12">
        <f t="shared" si="1"/>
        <v>17</v>
      </c>
    </row>
    <row r="24" spans="1:65" s="67" customFormat="1" ht="15" customHeight="1">
      <c r="A24" s="69"/>
      <c r="BK24" s="71"/>
      <c r="BM24" s="12">
        <f t="shared" si="1"/>
        <v>18</v>
      </c>
    </row>
    <row r="25" spans="1:65" s="67" customFormat="1" ht="15" customHeight="1">
      <c r="A25" s="69"/>
      <c r="BK25" s="71"/>
      <c r="BM25" s="12">
        <f t="shared" si="1"/>
        <v>19</v>
      </c>
    </row>
    <row r="26" spans="1:65" s="67" customFormat="1" ht="15" customHeight="1">
      <c r="A26" s="69"/>
      <c r="BK26" s="71"/>
      <c r="BM26" s="12">
        <f t="shared" si="1"/>
        <v>20</v>
      </c>
    </row>
    <row r="27" spans="1:65" s="67" customFormat="1" ht="15" customHeight="1">
      <c r="A27" s="69"/>
      <c r="BK27" s="71"/>
      <c r="BM27" s="12">
        <f t="shared" si="1"/>
        <v>21</v>
      </c>
    </row>
    <row r="28" spans="1:65" s="67" customFormat="1" ht="15" customHeight="1">
      <c r="A28" s="69"/>
      <c r="BK28" s="71"/>
      <c r="BM28" s="12">
        <f t="shared" si="1"/>
        <v>22</v>
      </c>
    </row>
    <row r="29" spans="1:65" s="67" customFormat="1" ht="15" customHeight="1">
      <c r="A29" s="69"/>
      <c r="BK29" s="71"/>
      <c r="BM29" s="12">
        <f t="shared" si="1"/>
        <v>23</v>
      </c>
    </row>
    <row r="30" spans="1:65" s="67" customFormat="1" ht="15" customHeight="1">
      <c r="A30" s="69"/>
      <c r="BK30" s="71"/>
      <c r="BM30" s="12">
        <f t="shared" si="1"/>
        <v>24</v>
      </c>
    </row>
    <row r="31" spans="1:65" s="67" customFormat="1" ht="15" customHeight="1">
      <c r="A31" s="69"/>
      <c r="BK31" s="71"/>
      <c r="BM31" s="12">
        <f t="shared" si="1"/>
        <v>25</v>
      </c>
    </row>
    <row r="32" spans="1:65" s="67" customFormat="1" ht="15" customHeight="1">
      <c r="A32" s="69"/>
      <c r="BK32" s="71"/>
      <c r="BM32" s="12">
        <f t="shared" si="1"/>
        <v>26</v>
      </c>
    </row>
    <row r="33" spans="1:65" s="67" customFormat="1" ht="15" customHeight="1">
      <c r="A33" s="69"/>
      <c r="BK33" s="71"/>
      <c r="BM33" s="12">
        <f t="shared" si="1"/>
        <v>27</v>
      </c>
    </row>
    <row r="34" spans="1:65" s="67" customFormat="1" ht="15" customHeight="1">
      <c r="A34" s="69"/>
      <c r="BK34" s="71"/>
      <c r="BM34" s="12">
        <f t="shared" si="1"/>
        <v>28</v>
      </c>
    </row>
    <row r="35" spans="1:65" s="67" customFormat="1" ht="15" customHeight="1">
      <c r="A35" s="69"/>
      <c r="BK35" s="71"/>
      <c r="BM35" s="12">
        <f t="shared" si="1"/>
        <v>29</v>
      </c>
    </row>
    <row r="36" spans="1:65" s="67" customFormat="1" ht="15" customHeight="1">
      <c r="A36" s="69"/>
      <c r="BK36" s="71"/>
      <c r="BM36" s="12">
        <f t="shared" si="1"/>
        <v>30</v>
      </c>
    </row>
    <row r="37" spans="1:65" s="67" customFormat="1" ht="15" customHeight="1">
      <c r="A37" s="69"/>
      <c r="BK37" s="71"/>
      <c r="BM37" s="12">
        <f t="shared" si="1"/>
        <v>31</v>
      </c>
    </row>
    <row r="38" spans="1:65" s="67" customFormat="1" ht="15" customHeight="1">
      <c r="A38" s="69"/>
      <c r="BK38" s="71"/>
      <c r="BM38" s="12">
        <f t="shared" si="1"/>
        <v>32</v>
      </c>
    </row>
    <row r="39" spans="1:65" s="67" customFormat="1" ht="15" customHeight="1">
      <c r="A39" s="69"/>
      <c r="BK39" s="71"/>
      <c r="BM39" s="12">
        <f t="shared" si="1"/>
        <v>33</v>
      </c>
    </row>
    <row r="40" spans="1:65" s="67" customFormat="1" ht="15" customHeight="1">
      <c r="A40" s="69"/>
      <c r="BK40" s="71"/>
      <c r="BM40" s="12">
        <f t="shared" si="1"/>
        <v>34</v>
      </c>
    </row>
    <row r="41" spans="1:65" s="67" customFormat="1" ht="15" customHeight="1">
      <c r="A41" s="69"/>
      <c r="BK41" s="71"/>
      <c r="BM41" s="12">
        <f t="shared" si="1"/>
        <v>35</v>
      </c>
    </row>
    <row r="42" spans="1:65" s="67" customFormat="1" ht="15" customHeight="1">
      <c r="A42" s="69"/>
      <c r="BK42" s="71"/>
      <c r="BM42" s="12">
        <f t="shared" si="1"/>
        <v>36</v>
      </c>
    </row>
    <row r="43" spans="1:65" s="67" customFormat="1" ht="15" customHeight="1">
      <c r="A43" s="69"/>
      <c r="BK43" s="71"/>
      <c r="BM43" s="12">
        <f t="shared" si="1"/>
        <v>37</v>
      </c>
    </row>
    <row r="44" spans="1:65" s="67" customFormat="1" ht="15" customHeight="1">
      <c r="A44" s="69"/>
      <c r="BK44" s="71"/>
      <c r="BM44" s="12">
        <f t="shared" si="1"/>
        <v>38</v>
      </c>
    </row>
    <row r="45" spans="1:65" s="67" customFormat="1" ht="15" customHeight="1">
      <c r="A45" s="69"/>
      <c r="BK45" s="71"/>
      <c r="BM45" s="12">
        <f t="shared" ref="BM45:BM57" si="2">IF(BM44=50,1,BM44+1)</f>
        <v>39</v>
      </c>
    </row>
    <row r="46" spans="1:65" s="67" customFormat="1" ht="15" customHeight="1">
      <c r="A46" s="69"/>
      <c r="BK46" s="71"/>
      <c r="BM46" s="12">
        <f t="shared" si="2"/>
        <v>40</v>
      </c>
    </row>
    <row r="47" spans="1:65" s="67" customFormat="1" ht="15" customHeight="1">
      <c r="A47" s="69"/>
      <c r="BK47" s="71"/>
      <c r="BM47" s="12">
        <f t="shared" si="2"/>
        <v>41</v>
      </c>
    </row>
    <row r="48" spans="1:65" s="67" customFormat="1" ht="15" customHeight="1">
      <c r="A48" s="69"/>
      <c r="BK48" s="71"/>
      <c r="BM48" s="12">
        <f t="shared" si="2"/>
        <v>42</v>
      </c>
    </row>
    <row r="49" spans="1:65" s="67" customFormat="1" ht="15" customHeight="1">
      <c r="A49" s="69"/>
      <c r="BK49" s="71"/>
      <c r="BM49" s="12">
        <f t="shared" si="2"/>
        <v>43</v>
      </c>
    </row>
    <row r="50" spans="1:65" s="67" customFormat="1" ht="15" customHeight="1">
      <c r="A50" s="69"/>
      <c r="BK50" s="71"/>
      <c r="BM50" s="12">
        <f t="shared" si="2"/>
        <v>44</v>
      </c>
    </row>
    <row r="51" spans="1:65" s="67" customFormat="1" ht="15" customHeight="1">
      <c r="A51" s="69"/>
      <c r="BK51" s="71"/>
      <c r="BM51" s="12">
        <f t="shared" si="2"/>
        <v>45</v>
      </c>
    </row>
    <row r="52" spans="1:65" s="67" customFormat="1" ht="15" customHeight="1">
      <c r="A52" s="69"/>
      <c r="BK52" s="71"/>
      <c r="BM52" s="12">
        <f t="shared" si="2"/>
        <v>46</v>
      </c>
    </row>
    <row r="53" spans="1:65" s="67" customFormat="1" ht="15" customHeight="1">
      <c r="A53" s="69"/>
      <c r="BK53" s="71"/>
      <c r="BM53" s="12">
        <f t="shared" si="2"/>
        <v>47</v>
      </c>
    </row>
    <row r="54" spans="1:65" s="67" customFormat="1" ht="15" customHeight="1">
      <c r="A54" s="69"/>
      <c r="BK54" s="71"/>
      <c r="BM54" s="12">
        <f t="shared" si="2"/>
        <v>48</v>
      </c>
    </row>
    <row r="55" spans="1:65" s="67" customFormat="1" ht="15" customHeight="1">
      <c r="A55" s="69"/>
      <c r="BK55" s="71"/>
      <c r="BM55" s="12">
        <f t="shared" si="2"/>
        <v>49</v>
      </c>
    </row>
    <row r="56" spans="1:65" s="67" customFormat="1" ht="15" customHeight="1">
      <c r="A56" s="69"/>
      <c r="BK56" s="71"/>
      <c r="BM56" s="12">
        <f t="shared" si="2"/>
        <v>50</v>
      </c>
    </row>
    <row r="57" spans="1:65" s="67" customFormat="1" ht="1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4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CP93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7" width="2.77734375" customWidth="1"/>
  </cols>
  <sheetData>
    <row r="1" spans="1:65" ht="24.95" customHeight="1">
      <c r="A1" s="209" t="s">
        <v>0</v>
      </c>
      <c r="B1" s="210"/>
      <c r="C1" s="210"/>
      <c r="D1" s="210"/>
      <c r="E1" s="210"/>
      <c r="F1" s="210"/>
      <c r="G1" s="210"/>
      <c r="H1" s="210"/>
      <c r="I1" s="210"/>
      <c r="J1" s="211"/>
      <c r="K1" s="209" t="s">
        <v>2</v>
      </c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1"/>
      <c r="W1" s="227" t="str">
        <f>IF(表紙!W1="","",表紙!W1)</f>
        <v>基本設計書</v>
      </c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  <c r="AI1" s="228"/>
      <c r="AJ1" s="228"/>
      <c r="AK1" s="228"/>
      <c r="AL1" s="228"/>
      <c r="AM1" s="228"/>
      <c r="AN1" s="228"/>
      <c r="AO1" s="229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5" ht="15" customHeight="1">
      <c r="A2" s="215" t="str">
        <f>IF(表紙!A2="","",表紙!A2)</f>
        <v>POSサーバー</v>
      </c>
      <c r="B2" s="216"/>
      <c r="C2" s="216"/>
      <c r="D2" s="216"/>
      <c r="E2" s="216"/>
      <c r="F2" s="216"/>
      <c r="G2" s="216"/>
      <c r="H2" s="216"/>
      <c r="I2" s="216"/>
      <c r="J2" s="217"/>
      <c r="K2" s="215" t="str">
        <f>IF(表紙!K2="","",表紙!K2)</f>
        <v>POSサーバ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30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2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5" ht="15" customHeight="1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33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234"/>
      <c r="AM3" s="234"/>
      <c r="AN3" s="234"/>
      <c r="AO3" s="235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5" ht="24.95" customHeight="1">
      <c r="A4" s="209" t="s">
        <v>1</v>
      </c>
      <c r="B4" s="210"/>
      <c r="C4" s="210"/>
      <c r="D4" s="210"/>
      <c r="E4" s="210"/>
      <c r="F4" s="210"/>
      <c r="G4" s="211"/>
      <c r="H4" s="212" t="str">
        <f>IF(表紙!H4="","",表紙!H4)</f>
        <v>29_レジ別時間帯別点検</v>
      </c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4"/>
      <c r="U4" s="209" t="s">
        <v>8</v>
      </c>
      <c r="V4" s="210"/>
      <c r="W4" s="210"/>
      <c r="X4" s="210"/>
      <c r="Y4" s="211"/>
      <c r="Z4" s="212" t="str">
        <f>IF(表紙!Z4="","",表紙!Z4)</f>
        <v>概要設計</v>
      </c>
      <c r="AA4" s="213"/>
      <c r="AB4" s="213"/>
      <c r="AC4" s="213"/>
      <c r="AD4" s="213"/>
      <c r="AE4" s="213"/>
      <c r="AF4" s="213"/>
      <c r="AG4" s="213"/>
      <c r="AH4" s="213"/>
      <c r="AI4" s="213"/>
      <c r="AJ4" s="213"/>
      <c r="AK4" s="213"/>
      <c r="AL4" s="213"/>
      <c r="AM4" s="213"/>
      <c r="AN4" s="213"/>
      <c r="AO4" s="214"/>
      <c r="AP4" s="212" t="str">
        <f t="array" aca="1" ref="AP4" ca="1">RIGHT(CELL("filename",$A$1),LEN(CELL("filename",$A$1))-FIND("]",CELL("filename",$A$1)))</f>
        <v>機能概要</v>
      </c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4"/>
    </row>
    <row r="5" spans="1:65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5" ht="15" customHeight="1">
      <c r="A6" s="1"/>
      <c r="BK6" s="4"/>
    </row>
    <row r="7" spans="1:65" ht="15" customHeight="1">
      <c r="A7" s="1"/>
      <c r="B7" s="6" t="s">
        <v>56</v>
      </c>
      <c r="C7" s="7"/>
      <c r="D7" s="8"/>
      <c r="E7" s="8"/>
      <c r="F7" s="8"/>
      <c r="G7" s="8"/>
      <c r="H7" s="8"/>
      <c r="I7" s="8"/>
      <c r="J7" s="8"/>
      <c r="K7" s="9"/>
      <c r="L7" s="8"/>
      <c r="M7" s="8"/>
      <c r="N7" s="8"/>
      <c r="O7" s="8"/>
      <c r="P7" s="8"/>
      <c r="Q7" s="8"/>
      <c r="R7" s="8"/>
      <c r="S7" s="8"/>
      <c r="T7" s="9"/>
      <c r="U7" s="7"/>
      <c r="V7" s="8"/>
      <c r="W7" s="8"/>
      <c r="X7" s="8"/>
      <c r="Y7" s="8"/>
      <c r="Z7" s="8"/>
      <c r="AA7" s="8"/>
      <c r="AB7" s="8"/>
      <c r="AC7" s="9"/>
      <c r="AD7" s="7"/>
      <c r="AE7" s="8"/>
      <c r="AF7" s="8"/>
      <c r="AG7" s="8"/>
      <c r="AH7" s="8"/>
      <c r="AI7" s="8"/>
      <c r="AJ7" s="8"/>
      <c r="AK7" s="8"/>
      <c r="AL7" s="9"/>
      <c r="AM7" s="7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9"/>
      <c r="BJ7" s="8"/>
      <c r="BK7" s="4"/>
    </row>
    <row r="8" spans="1:65" ht="15" customHeight="1">
      <c r="A8" s="1"/>
      <c r="B8" s="27"/>
      <c r="K8" s="34"/>
      <c r="U8" s="27"/>
      <c r="AD8" s="27"/>
      <c r="AM8" s="27"/>
      <c r="BI8" s="29"/>
      <c r="BK8" s="4"/>
      <c r="BM8" s="12">
        <f t="shared" ref="BM8:BM21" si="0">IF(BM7=50,1,BM7+1)</f>
        <v>1</v>
      </c>
    </row>
    <row r="9" spans="1:65" ht="15" customHeight="1">
      <c r="A9" s="1"/>
      <c r="B9" s="27"/>
      <c r="K9" s="34"/>
      <c r="U9" s="27"/>
      <c r="AD9" s="27"/>
      <c r="AM9" s="27"/>
      <c r="BI9" s="29"/>
      <c r="BK9" s="4"/>
      <c r="BM9" s="12">
        <f t="shared" si="0"/>
        <v>2</v>
      </c>
    </row>
    <row r="10" spans="1:65" ht="15" customHeight="1">
      <c r="A10" s="1"/>
      <c r="B10" s="27"/>
      <c r="K10" s="34"/>
      <c r="U10" s="27"/>
      <c r="AD10" s="27"/>
      <c r="AM10" s="27"/>
      <c r="BI10" s="29"/>
      <c r="BK10" s="4"/>
      <c r="BM10" s="12">
        <f t="shared" si="0"/>
        <v>3</v>
      </c>
    </row>
    <row r="11" spans="1:65" ht="15" customHeight="1">
      <c r="A11" s="1"/>
      <c r="B11" s="27"/>
      <c r="K11" s="34"/>
      <c r="U11" s="27"/>
      <c r="AD11" s="27"/>
      <c r="AM11" s="27"/>
      <c r="BI11" s="29"/>
      <c r="BK11" s="4"/>
      <c r="BM11" s="12">
        <f t="shared" si="0"/>
        <v>4</v>
      </c>
    </row>
    <row r="12" spans="1:65" ht="15" customHeight="1">
      <c r="A12" s="1"/>
      <c r="B12" s="27"/>
      <c r="K12" s="34"/>
      <c r="U12" s="27"/>
      <c r="AD12" s="27"/>
      <c r="AM12" s="27"/>
      <c r="BI12" s="29"/>
      <c r="BK12" s="4"/>
      <c r="BM12" s="12">
        <f t="shared" si="0"/>
        <v>5</v>
      </c>
    </row>
    <row r="13" spans="1:65" ht="15" customHeight="1">
      <c r="A13" s="1"/>
      <c r="B13" s="27"/>
      <c r="K13" s="34"/>
      <c r="U13" s="27"/>
      <c r="AD13" s="27"/>
      <c r="AM13" s="27"/>
      <c r="BI13" s="29"/>
      <c r="BK13" s="4"/>
      <c r="BM13" s="12">
        <f t="shared" si="0"/>
        <v>6</v>
      </c>
    </row>
    <row r="14" spans="1:65" ht="15" customHeight="1">
      <c r="A14" s="1"/>
      <c r="B14" s="27"/>
      <c r="K14" s="34"/>
      <c r="U14" s="27"/>
      <c r="AD14" s="27"/>
      <c r="AM14" s="27"/>
      <c r="BI14" s="29"/>
      <c r="BK14" s="4"/>
      <c r="BM14" s="12">
        <f t="shared" si="0"/>
        <v>7</v>
      </c>
    </row>
    <row r="15" spans="1:65" ht="15" customHeight="1">
      <c r="A15" s="1"/>
      <c r="B15" s="27"/>
      <c r="K15" s="34"/>
      <c r="U15" s="27"/>
      <c r="AD15" s="27"/>
      <c r="AM15" s="27"/>
      <c r="BI15" s="29"/>
      <c r="BK15" s="4"/>
      <c r="BM15" s="12">
        <f t="shared" si="0"/>
        <v>8</v>
      </c>
    </row>
    <row r="16" spans="1:65" ht="15" customHeight="1">
      <c r="A16" s="1"/>
      <c r="B16" s="27"/>
      <c r="K16" s="34"/>
      <c r="U16" s="27"/>
      <c r="AD16" s="27"/>
      <c r="AM16" s="27"/>
      <c r="BI16" s="29"/>
      <c r="BK16" s="4"/>
      <c r="BM16" s="12">
        <f t="shared" si="0"/>
        <v>9</v>
      </c>
    </row>
    <row r="17" spans="1:67" ht="15" customHeight="1">
      <c r="A17" s="1"/>
      <c r="B17" s="27"/>
      <c r="K17" s="34"/>
      <c r="U17" s="27"/>
      <c r="AD17" s="27"/>
      <c r="AM17" s="27"/>
      <c r="BI17" s="29"/>
      <c r="BK17" s="4"/>
      <c r="BM17" s="12">
        <f t="shared" si="0"/>
        <v>10</v>
      </c>
    </row>
    <row r="18" spans="1:67" ht="15" customHeight="1">
      <c r="A18" s="1"/>
      <c r="B18" s="27"/>
      <c r="K18" s="34"/>
      <c r="U18" s="27"/>
      <c r="AD18" s="27"/>
      <c r="AM18" s="27"/>
      <c r="BI18" s="29"/>
      <c r="BK18" s="4"/>
      <c r="BM18" s="12">
        <f t="shared" si="0"/>
        <v>11</v>
      </c>
    </row>
    <row r="19" spans="1:67" ht="15" customHeight="1">
      <c r="A19" s="1"/>
      <c r="B19" s="27"/>
      <c r="K19" s="34"/>
      <c r="U19" s="27"/>
      <c r="AD19" s="27"/>
      <c r="AM19" s="27"/>
      <c r="BI19" s="29"/>
      <c r="BK19" s="4"/>
      <c r="BM19" s="12">
        <f t="shared" si="0"/>
        <v>12</v>
      </c>
    </row>
    <row r="20" spans="1:67" ht="15" customHeight="1">
      <c r="A20" s="1"/>
      <c r="B20" s="27"/>
      <c r="K20" s="34"/>
      <c r="U20" s="27"/>
      <c r="AD20" s="27"/>
      <c r="AM20" s="27"/>
      <c r="BI20" s="29"/>
      <c r="BK20" s="4"/>
      <c r="BM20" s="12">
        <f t="shared" si="0"/>
        <v>13</v>
      </c>
    </row>
    <row r="21" spans="1:67" ht="15" customHeight="1">
      <c r="A21" s="1"/>
      <c r="B21" s="27"/>
      <c r="K21" s="34"/>
      <c r="U21" s="27"/>
      <c r="AD21" s="27"/>
      <c r="AM21" s="27"/>
      <c r="BI21" s="29"/>
      <c r="BK21" s="4"/>
      <c r="BM21" s="12">
        <f t="shared" si="0"/>
        <v>14</v>
      </c>
    </row>
    <row r="22" spans="1:67" s="32" customFormat="1" ht="15" customHeight="1">
      <c r="A22" s="31"/>
      <c r="B22" s="27"/>
      <c r="K22" s="34"/>
      <c r="L22" s="33"/>
      <c r="T22" s="34"/>
      <c r="U22" s="33"/>
      <c r="AC22" s="34"/>
      <c r="AD22" s="33"/>
      <c r="AL22" s="34"/>
      <c r="AM22" s="33"/>
      <c r="BI22" s="34"/>
      <c r="BK22" s="35"/>
      <c r="BM22" s="12">
        <f t="shared" ref="BM22:BM85" si="1">IF(BM21=50,1,BM21+1)</f>
        <v>15</v>
      </c>
    </row>
    <row r="23" spans="1:67" s="32" customFormat="1" ht="15" customHeight="1">
      <c r="A23" s="31"/>
      <c r="B23" s="27"/>
      <c r="K23" s="34"/>
      <c r="L23" s="33"/>
      <c r="T23" s="34"/>
      <c r="U23" s="33"/>
      <c r="AC23" s="34"/>
      <c r="AD23" s="33"/>
      <c r="AL23" s="34"/>
      <c r="AM23" s="33"/>
      <c r="BI23" s="34"/>
      <c r="BK23" s="35"/>
      <c r="BM23" s="12">
        <f t="shared" si="1"/>
        <v>16</v>
      </c>
      <c r="BO23"/>
    </row>
    <row r="24" spans="1:67" s="32" customFormat="1" ht="15" customHeight="1">
      <c r="A24" s="31"/>
      <c r="B24" s="27"/>
      <c r="K24" s="34"/>
      <c r="L24" s="33"/>
      <c r="T24" s="34"/>
      <c r="U24" s="33"/>
      <c r="AC24" s="34"/>
      <c r="AD24" s="33"/>
      <c r="AL24" s="34"/>
      <c r="AM24" s="33"/>
      <c r="BI24" s="34"/>
      <c r="BK24" s="35"/>
      <c r="BM24" s="12">
        <f t="shared" si="1"/>
        <v>17</v>
      </c>
      <c r="BO24" s="32" t="s">
        <v>58</v>
      </c>
    </row>
    <row r="25" spans="1:67" s="32" customFormat="1" ht="15" customHeight="1">
      <c r="A25" s="31"/>
      <c r="B25" s="27"/>
      <c r="K25" s="34"/>
      <c r="L25" s="33"/>
      <c r="T25" s="34"/>
      <c r="U25" s="33"/>
      <c r="AC25" s="34"/>
      <c r="AD25" s="33"/>
      <c r="AL25" s="34"/>
      <c r="AM25" s="33"/>
      <c r="BI25" s="34"/>
      <c r="BK25" s="35"/>
      <c r="BM25" s="12">
        <f t="shared" si="1"/>
        <v>18</v>
      </c>
    </row>
    <row r="26" spans="1:67" s="32" customFormat="1" ht="15" customHeight="1">
      <c r="A26" s="31"/>
      <c r="B26" s="27"/>
      <c r="K26" s="34"/>
      <c r="L26" s="33"/>
      <c r="T26" s="34"/>
      <c r="U26" s="33"/>
      <c r="AC26" s="34"/>
      <c r="AD26" s="33"/>
      <c r="AL26" s="34"/>
      <c r="AM26" s="33"/>
      <c r="BI26" s="34"/>
      <c r="BK26" s="35"/>
      <c r="BM26" s="12">
        <f t="shared" si="1"/>
        <v>19</v>
      </c>
    </row>
    <row r="27" spans="1:67" s="32" customFormat="1" ht="15" customHeight="1">
      <c r="A27" s="31"/>
      <c r="B27" s="27"/>
      <c r="K27" s="34"/>
      <c r="L27" s="33"/>
      <c r="T27" s="34"/>
      <c r="U27" s="33"/>
      <c r="AC27" s="34"/>
      <c r="AD27" s="33"/>
      <c r="AL27" s="34"/>
      <c r="AM27" s="33"/>
      <c r="BI27" s="34"/>
      <c r="BK27" s="35"/>
      <c r="BM27" s="12">
        <f t="shared" si="1"/>
        <v>20</v>
      </c>
    </row>
    <row r="28" spans="1:67" s="32" customFormat="1" ht="15" customHeight="1">
      <c r="A28" s="31"/>
      <c r="B28" s="27"/>
      <c r="K28" s="34"/>
      <c r="L28" s="33"/>
      <c r="T28" s="34"/>
      <c r="U28" s="33"/>
      <c r="AC28" s="34"/>
      <c r="AD28" s="33"/>
      <c r="AL28" s="34"/>
      <c r="AM28" s="33"/>
      <c r="BI28" s="34"/>
      <c r="BK28" s="35"/>
      <c r="BM28" s="12">
        <f t="shared" si="1"/>
        <v>21</v>
      </c>
    </row>
    <row r="29" spans="1:67" s="32" customFormat="1" ht="15" customHeight="1">
      <c r="A29" s="31"/>
      <c r="B29" s="27"/>
      <c r="K29" s="34"/>
      <c r="L29" s="33"/>
      <c r="T29" s="34"/>
      <c r="U29" s="33"/>
      <c r="AC29" s="34"/>
      <c r="AD29" s="33"/>
      <c r="AL29" s="34"/>
      <c r="AM29" s="33"/>
      <c r="BI29" s="34"/>
      <c r="BK29" s="35"/>
      <c r="BM29" s="12">
        <f t="shared" si="1"/>
        <v>22</v>
      </c>
    </row>
    <row r="30" spans="1:67" s="32" customFormat="1" ht="15" customHeight="1">
      <c r="A30" s="31"/>
      <c r="B30" s="27"/>
      <c r="K30" s="34"/>
      <c r="L30" s="33"/>
      <c r="T30" s="34"/>
      <c r="U30" s="33"/>
      <c r="AC30" s="34"/>
      <c r="AD30" s="33"/>
      <c r="AL30" s="34"/>
      <c r="AM30" s="33"/>
      <c r="BI30" s="34"/>
      <c r="BK30" s="35"/>
      <c r="BM30" s="12">
        <f t="shared" si="1"/>
        <v>23</v>
      </c>
    </row>
    <row r="31" spans="1:67" s="32" customFormat="1" ht="15" customHeight="1">
      <c r="A31" s="31"/>
      <c r="B31" s="27"/>
      <c r="K31" s="34"/>
      <c r="L31" s="33"/>
      <c r="T31" s="34"/>
      <c r="U31" s="33"/>
      <c r="AC31" s="34"/>
      <c r="AD31" s="33"/>
      <c r="AL31" s="34"/>
      <c r="AM31" s="33"/>
      <c r="BI31" s="34"/>
      <c r="BK31" s="35"/>
      <c r="BM31" s="12">
        <f t="shared" si="1"/>
        <v>24</v>
      </c>
    </row>
    <row r="32" spans="1:67" s="32" customFormat="1" ht="15" customHeight="1">
      <c r="A32" s="31"/>
      <c r="B32" s="27"/>
      <c r="K32" s="34"/>
      <c r="L32" s="33"/>
      <c r="T32" s="34"/>
      <c r="U32" s="33"/>
      <c r="AC32" s="34"/>
      <c r="AD32" s="33"/>
      <c r="AL32" s="34"/>
      <c r="AM32" s="33"/>
      <c r="BI32" s="34"/>
      <c r="BK32" s="35"/>
      <c r="BM32" s="12">
        <f t="shared" si="1"/>
        <v>25</v>
      </c>
    </row>
    <row r="33" spans="1:65" s="32" customFormat="1" ht="15" customHeight="1">
      <c r="A33" s="31"/>
      <c r="B33" s="27"/>
      <c r="K33" s="34"/>
      <c r="L33" s="33"/>
      <c r="T33" s="34"/>
      <c r="U33" s="33"/>
      <c r="AC33" s="34"/>
      <c r="AD33" s="33"/>
      <c r="AL33" s="34"/>
      <c r="AM33" s="33"/>
      <c r="BI33" s="34"/>
      <c r="BK33" s="35"/>
      <c r="BM33" s="12">
        <f t="shared" si="1"/>
        <v>26</v>
      </c>
    </row>
    <row r="34" spans="1:65" s="32" customFormat="1" ht="15" customHeight="1">
      <c r="A34" s="31"/>
      <c r="B34" s="27"/>
      <c r="K34" s="34"/>
      <c r="L34" s="33"/>
      <c r="T34" s="34"/>
      <c r="U34" s="33"/>
      <c r="AC34" s="34"/>
      <c r="AD34" s="33"/>
      <c r="AL34" s="34"/>
      <c r="AM34" s="33"/>
      <c r="BI34" s="34"/>
      <c r="BK34" s="35"/>
      <c r="BM34" s="12">
        <f t="shared" si="1"/>
        <v>27</v>
      </c>
    </row>
    <row r="35" spans="1:65" s="32" customFormat="1" ht="15" customHeight="1">
      <c r="A35" s="31"/>
      <c r="B35" s="27"/>
      <c r="K35" s="34"/>
      <c r="L35" s="33"/>
      <c r="T35" s="34"/>
      <c r="U35" s="33"/>
      <c r="AC35" s="34"/>
      <c r="AD35" s="33"/>
      <c r="AL35" s="34"/>
      <c r="AM35" s="33"/>
      <c r="BI35" s="34"/>
      <c r="BK35" s="35"/>
      <c r="BM35" s="12">
        <f t="shared" si="1"/>
        <v>28</v>
      </c>
    </row>
    <row r="36" spans="1:65" s="32" customFormat="1" ht="15" customHeight="1">
      <c r="A36" s="31"/>
      <c r="B36" s="27"/>
      <c r="K36" s="34"/>
      <c r="L36" s="33"/>
      <c r="T36" s="34"/>
      <c r="U36" s="33"/>
      <c r="AC36" s="34"/>
      <c r="AD36" s="33"/>
      <c r="AL36" s="34"/>
      <c r="AM36" s="33"/>
      <c r="BI36" s="34"/>
      <c r="BK36" s="35"/>
      <c r="BM36" s="12">
        <f t="shared" si="1"/>
        <v>29</v>
      </c>
    </row>
    <row r="37" spans="1:65" s="32" customFormat="1" ht="15" customHeight="1">
      <c r="A37" s="31"/>
      <c r="B37" s="27"/>
      <c r="K37" s="34"/>
      <c r="L37" s="33"/>
      <c r="T37" s="34"/>
      <c r="U37" s="33"/>
      <c r="AC37" s="34"/>
      <c r="AD37" s="33"/>
      <c r="AL37" s="34"/>
      <c r="AM37" s="33"/>
      <c r="BI37" s="34"/>
      <c r="BK37" s="35"/>
      <c r="BM37" s="12">
        <f t="shared" si="1"/>
        <v>30</v>
      </c>
    </row>
    <row r="38" spans="1:65" s="32" customFormat="1" ht="15" customHeight="1">
      <c r="A38" s="31"/>
      <c r="B38" s="27"/>
      <c r="K38" s="34"/>
      <c r="L38" s="33"/>
      <c r="T38" s="34"/>
      <c r="U38" s="33"/>
      <c r="AC38" s="34"/>
      <c r="AD38" s="33"/>
      <c r="AL38" s="34"/>
      <c r="AM38" s="33"/>
      <c r="BI38" s="34"/>
      <c r="BK38" s="35"/>
      <c r="BM38" s="12">
        <f t="shared" si="1"/>
        <v>31</v>
      </c>
    </row>
    <row r="39" spans="1:65" s="32" customFormat="1" ht="15" customHeight="1">
      <c r="A39" s="31"/>
      <c r="B39" s="27"/>
      <c r="K39" s="34"/>
      <c r="L39" s="33"/>
      <c r="T39" s="34"/>
      <c r="U39" s="33"/>
      <c r="AC39" s="34"/>
      <c r="AD39" s="33"/>
      <c r="AL39" s="34"/>
      <c r="AM39" s="33"/>
      <c r="BI39" s="34"/>
      <c r="BK39" s="35"/>
      <c r="BM39" s="12">
        <f>IF(BM38=50,1,BM38+1)</f>
        <v>32</v>
      </c>
    </row>
    <row r="40" spans="1:65" s="32" customFormat="1" ht="15" customHeight="1">
      <c r="A40" s="31"/>
      <c r="B40" s="27"/>
      <c r="K40" s="34"/>
      <c r="L40" s="33"/>
      <c r="T40" s="34"/>
      <c r="U40" s="33"/>
      <c r="AC40" s="34"/>
      <c r="AD40" s="33"/>
      <c r="AL40" s="34"/>
      <c r="AM40" s="33"/>
      <c r="BI40" s="34"/>
      <c r="BK40" s="35"/>
      <c r="BM40" s="12">
        <f t="shared" si="1"/>
        <v>33</v>
      </c>
    </row>
    <row r="41" spans="1:65" s="32" customFormat="1" ht="15" customHeight="1">
      <c r="A41" s="31"/>
      <c r="B41" s="27"/>
      <c r="K41" s="34"/>
      <c r="L41" s="33"/>
      <c r="T41" s="34"/>
      <c r="U41" s="33"/>
      <c r="AC41" s="34"/>
      <c r="AD41" s="33"/>
      <c r="AL41" s="34"/>
      <c r="AM41" s="33"/>
      <c r="BI41" s="34"/>
      <c r="BK41" s="35"/>
      <c r="BM41" s="12">
        <f t="shared" si="1"/>
        <v>34</v>
      </c>
    </row>
    <row r="42" spans="1:65" s="32" customFormat="1" ht="15" customHeight="1">
      <c r="A42" s="31"/>
      <c r="B42" s="27"/>
      <c r="K42" s="34"/>
      <c r="L42" s="33"/>
      <c r="T42" s="34"/>
      <c r="U42" s="33"/>
      <c r="AC42" s="34"/>
      <c r="AD42" s="33"/>
      <c r="AL42" s="34"/>
      <c r="AM42" s="33"/>
      <c r="BI42" s="34"/>
      <c r="BK42" s="35"/>
      <c r="BM42" s="12">
        <f t="shared" si="1"/>
        <v>35</v>
      </c>
    </row>
    <row r="43" spans="1:65" s="32" customFormat="1" ht="15" customHeight="1">
      <c r="A43" s="31"/>
      <c r="B43" s="33"/>
      <c r="K43" s="34"/>
      <c r="L43" s="33"/>
      <c r="T43" s="34"/>
      <c r="U43" s="33"/>
      <c r="AC43" s="34"/>
      <c r="AD43" s="33"/>
      <c r="AL43" s="34"/>
      <c r="AM43" s="33"/>
      <c r="BI43" s="34"/>
      <c r="BK43" s="35"/>
      <c r="BM43" s="12">
        <f t="shared" si="1"/>
        <v>36</v>
      </c>
    </row>
    <row r="44" spans="1:65" s="32" customFormat="1" ht="15" customHeight="1">
      <c r="A44" s="31"/>
      <c r="B44" s="33"/>
      <c r="K44" s="34"/>
      <c r="L44" s="33"/>
      <c r="T44" s="34"/>
      <c r="U44" s="33"/>
      <c r="AC44" s="34"/>
      <c r="AD44" s="33"/>
      <c r="AL44" s="34"/>
      <c r="AM44" s="33"/>
      <c r="BI44" s="34"/>
      <c r="BK44" s="35"/>
      <c r="BM44" s="12">
        <f t="shared" si="1"/>
        <v>37</v>
      </c>
    </row>
    <row r="45" spans="1:65" s="32" customFormat="1" ht="15" customHeight="1">
      <c r="A45" s="31"/>
      <c r="B45" s="33"/>
      <c r="K45" s="34"/>
      <c r="L45" s="33"/>
      <c r="T45" s="34"/>
      <c r="U45" s="33"/>
      <c r="AC45" s="34"/>
      <c r="AL45" s="34"/>
      <c r="AM45" s="33"/>
      <c r="BI45" s="34"/>
      <c r="BK45" s="35"/>
      <c r="BM45" s="12">
        <f t="shared" si="1"/>
        <v>38</v>
      </c>
    </row>
    <row r="46" spans="1:65" s="32" customFormat="1" ht="15" customHeight="1">
      <c r="A46" s="31"/>
      <c r="B46" s="33"/>
      <c r="K46" s="34"/>
      <c r="L46" s="33"/>
      <c r="T46" s="34"/>
      <c r="U46" s="33"/>
      <c r="AC46" s="34"/>
      <c r="AD46" s="33"/>
      <c r="AL46" s="34"/>
      <c r="AM46" s="33"/>
      <c r="BI46" s="34"/>
      <c r="BK46" s="35"/>
      <c r="BM46" s="12">
        <f t="shared" si="1"/>
        <v>39</v>
      </c>
    </row>
    <row r="47" spans="1:65" s="32" customFormat="1" ht="15" customHeight="1">
      <c r="A47" s="31"/>
      <c r="B47" s="33"/>
      <c r="K47" s="34"/>
      <c r="L47" s="33"/>
      <c r="T47" s="34"/>
      <c r="U47" s="33"/>
      <c r="AC47" s="34"/>
      <c r="AD47" s="33"/>
      <c r="AL47" s="34"/>
      <c r="AM47" s="33"/>
      <c r="BI47" s="34"/>
      <c r="BK47" s="35"/>
      <c r="BM47" s="12">
        <f t="shared" si="1"/>
        <v>40</v>
      </c>
    </row>
    <row r="48" spans="1:65" s="32" customFormat="1" ht="15" customHeight="1">
      <c r="A48" s="31"/>
      <c r="B48" s="33"/>
      <c r="K48" s="34"/>
      <c r="L48" s="33"/>
      <c r="T48" s="34"/>
      <c r="U48" s="33"/>
      <c r="AC48" s="34"/>
      <c r="AD48" s="33"/>
      <c r="AL48" s="34"/>
      <c r="AM48" s="33"/>
      <c r="BI48" s="34"/>
      <c r="BK48" s="35"/>
      <c r="BM48" s="12">
        <f t="shared" si="1"/>
        <v>41</v>
      </c>
    </row>
    <row r="49" spans="1:94" s="32" customFormat="1" ht="15" customHeight="1">
      <c r="A49" s="31"/>
      <c r="B49" s="33"/>
      <c r="K49" s="34"/>
      <c r="L49" s="33"/>
      <c r="T49" s="34"/>
      <c r="U49" s="33"/>
      <c r="AC49" s="34"/>
      <c r="AD49" s="33"/>
      <c r="AL49" s="34"/>
      <c r="AM49" s="33"/>
      <c r="BI49" s="34"/>
      <c r="BK49" s="35"/>
      <c r="BM49" s="12">
        <f t="shared" si="1"/>
        <v>42</v>
      </c>
    </row>
    <row r="50" spans="1:94" s="32" customFormat="1" ht="15" customHeight="1">
      <c r="A50" s="31"/>
      <c r="B50" s="33"/>
      <c r="K50" s="34"/>
      <c r="L50" s="33"/>
      <c r="T50" s="34"/>
      <c r="U50" s="33"/>
      <c r="AC50" s="34"/>
      <c r="AD50" s="33"/>
      <c r="AL50" s="34"/>
      <c r="AM50" s="33"/>
      <c r="BI50" s="34"/>
      <c r="BK50" s="35"/>
      <c r="BM50" s="12">
        <f t="shared" si="1"/>
        <v>43</v>
      </c>
    </row>
    <row r="51" spans="1:94" s="32" customFormat="1" ht="15" customHeight="1">
      <c r="A51" s="31"/>
      <c r="B51" s="33"/>
      <c r="K51" s="34"/>
      <c r="L51" s="33"/>
      <c r="T51" s="34"/>
      <c r="U51" s="33"/>
      <c r="AC51" s="34"/>
      <c r="AD51" s="33"/>
      <c r="AL51" s="34"/>
      <c r="AM51" s="33"/>
      <c r="BI51" s="34"/>
      <c r="BK51" s="35"/>
      <c r="BM51" s="12">
        <f t="shared" si="1"/>
        <v>44</v>
      </c>
      <c r="BO51"/>
    </row>
    <row r="52" spans="1:94" s="32" customFormat="1" ht="15" customHeight="1">
      <c r="A52" s="31"/>
      <c r="B52" s="33"/>
      <c r="K52" s="34"/>
      <c r="L52" s="33"/>
      <c r="T52" s="34"/>
      <c r="U52" s="33"/>
      <c r="AC52" s="34"/>
      <c r="AD52" s="33"/>
      <c r="AL52" s="34"/>
      <c r="AM52" s="33"/>
      <c r="BI52" s="34"/>
      <c r="BK52" s="35"/>
      <c r="BM52" s="12">
        <f t="shared" si="1"/>
        <v>45</v>
      </c>
    </row>
    <row r="53" spans="1:94" s="32" customFormat="1" ht="15" customHeight="1">
      <c r="A53" s="31"/>
      <c r="B53" s="33"/>
      <c r="K53" s="34"/>
      <c r="L53" s="33"/>
      <c r="T53" s="34"/>
      <c r="U53" s="33"/>
      <c r="AC53" s="34"/>
      <c r="AD53" s="33"/>
      <c r="AL53" s="34"/>
      <c r="AM53" s="33"/>
      <c r="BI53" s="34"/>
      <c r="BK53" s="35"/>
      <c r="BM53" s="12">
        <f t="shared" si="1"/>
        <v>46</v>
      </c>
    </row>
    <row r="54" spans="1:94" s="32" customFormat="1" ht="15" customHeight="1">
      <c r="A54" s="31"/>
      <c r="B54" s="33"/>
      <c r="K54" s="34"/>
      <c r="L54" s="33"/>
      <c r="T54" s="34"/>
      <c r="U54" s="33"/>
      <c r="AC54" s="34"/>
      <c r="AD54" s="33"/>
      <c r="AL54" s="34"/>
      <c r="AM54" s="33"/>
      <c r="BI54" s="34"/>
      <c r="BK54" s="35"/>
      <c r="BM54" s="12">
        <f t="shared" si="1"/>
        <v>47</v>
      </c>
      <c r="BO54" s="41" t="s">
        <v>68</v>
      </c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  <c r="CH54" s="41"/>
      <c r="CI54" s="41"/>
      <c r="CJ54" s="41"/>
      <c r="CK54" s="41"/>
      <c r="CL54" s="41"/>
      <c r="CM54" s="41"/>
      <c r="CN54" s="41"/>
      <c r="CO54" s="41"/>
      <c r="CP54" s="41"/>
    </row>
    <row r="55" spans="1:94" s="32" customFormat="1" ht="15" customHeight="1">
      <c r="A55" s="31"/>
      <c r="B55" s="33"/>
      <c r="K55" s="34"/>
      <c r="L55" s="33"/>
      <c r="T55" s="34"/>
      <c r="U55" s="33"/>
      <c r="AC55" s="34"/>
      <c r="AD55" s="33"/>
      <c r="AL55" s="34"/>
      <c r="AM55" s="33"/>
      <c r="BI55" s="34"/>
      <c r="BK55" s="35"/>
      <c r="BM55" s="12">
        <f t="shared" si="1"/>
        <v>48</v>
      </c>
    </row>
    <row r="56" spans="1:94" s="32" customFormat="1" ht="15" customHeight="1">
      <c r="A56" s="31"/>
      <c r="B56" s="33"/>
      <c r="K56" s="34"/>
      <c r="L56" s="33"/>
      <c r="T56" s="34"/>
      <c r="U56" s="33"/>
      <c r="AC56" s="34"/>
      <c r="AD56" s="33"/>
      <c r="AL56" s="34"/>
      <c r="AM56" s="33"/>
      <c r="BI56" s="34"/>
      <c r="BK56" s="35"/>
      <c r="BM56" s="12">
        <f t="shared" si="1"/>
        <v>49</v>
      </c>
    </row>
    <row r="57" spans="1:94" s="32" customFormat="1" ht="15" customHeight="1">
      <c r="A57" s="31"/>
      <c r="B57" s="33"/>
      <c r="K57" s="34"/>
      <c r="L57" s="33"/>
      <c r="T57" s="34"/>
      <c r="U57" s="33"/>
      <c r="AC57" s="34"/>
      <c r="AD57" s="33"/>
      <c r="AL57" s="34"/>
      <c r="AM57" s="33"/>
      <c r="BI57" s="34"/>
      <c r="BK57" s="35"/>
      <c r="BM57" s="12">
        <f t="shared" si="1"/>
        <v>50</v>
      </c>
    </row>
    <row r="58" spans="1:94" s="32" customFormat="1" ht="15" customHeight="1">
      <c r="A58" s="31"/>
      <c r="B58" s="33"/>
      <c r="K58" s="34"/>
      <c r="L58" s="33"/>
      <c r="T58" s="34"/>
      <c r="U58" s="33"/>
      <c r="AC58" s="34"/>
      <c r="AD58" s="33"/>
      <c r="AL58" s="34"/>
      <c r="AM58" s="33"/>
      <c r="BI58" s="34"/>
      <c r="BK58" s="35"/>
      <c r="BM58" s="12">
        <f t="shared" si="1"/>
        <v>1</v>
      </c>
    </row>
    <row r="59" spans="1:94" s="32" customFormat="1" ht="15" customHeight="1">
      <c r="A59" s="31"/>
      <c r="B59" s="33"/>
      <c r="K59" s="34"/>
      <c r="L59" s="33"/>
      <c r="T59" s="34"/>
      <c r="U59" s="33"/>
      <c r="AC59" s="34"/>
      <c r="AD59" s="33"/>
      <c r="AL59" s="34"/>
      <c r="AM59" s="33"/>
      <c r="BI59" s="34"/>
      <c r="BK59" s="35"/>
      <c r="BM59" s="12">
        <f t="shared" si="1"/>
        <v>2</v>
      </c>
    </row>
    <row r="60" spans="1:94" s="32" customFormat="1" ht="15" customHeight="1">
      <c r="A60" s="31"/>
      <c r="B60" s="33"/>
      <c r="K60" s="34"/>
      <c r="L60" s="33"/>
      <c r="T60" s="34"/>
      <c r="U60" s="33"/>
      <c r="AC60" s="34"/>
      <c r="AD60" s="33"/>
      <c r="AL60" s="34"/>
      <c r="AM60" s="33"/>
      <c r="BI60" s="34"/>
      <c r="BK60" s="35"/>
      <c r="BM60" s="12">
        <f t="shared" si="1"/>
        <v>3</v>
      </c>
    </row>
    <row r="61" spans="1:94" s="32" customFormat="1" ht="15" customHeight="1">
      <c r="A61" s="31"/>
      <c r="B61" s="33"/>
      <c r="K61" s="34"/>
      <c r="L61" s="33"/>
      <c r="T61" s="34"/>
      <c r="U61" s="33"/>
      <c r="AC61" s="34"/>
      <c r="AD61" s="33"/>
      <c r="AL61" s="34"/>
      <c r="AM61" s="33"/>
      <c r="BI61" s="34"/>
      <c r="BK61" s="35"/>
      <c r="BM61" s="12">
        <f t="shared" si="1"/>
        <v>4</v>
      </c>
    </row>
    <row r="62" spans="1:94" s="32" customFormat="1" ht="15" customHeight="1">
      <c r="A62" s="31"/>
      <c r="B62" s="33"/>
      <c r="K62" s="34"/>
      <c r="L62" s="33"/>
      <c r="T62" s="34"/>
      <c r="U62" s="33"/>
      <c r="AC62" s="34"/>
      <c r="AD62" s="33"/>
      <c r="AL62" s="34"/>
      <c r="AM62" s="33"/>
      <c r="BI62" s="34"/>
      <c r="BK62" s="35"/>
      <c r="BM62" s="12">
        <f t="shared" si="1"/>
        <v>5</v>
      </c>
    </row>
    <row r="63" spans="1:94" s="32" customFormat="1" ht="15" customHeight="1">
      <c r="A63" s="31"/>
      <c r="B63" s="33"/>
      <c r="K63" s="34"/>
      <c r="L63" s="33"/>
      <c r="T63" s="34"/>
      <c r="U63" s="33"/>
      <c r="AC63" s="34"/>
      <c r="AD63" s="33"/>
      <c r="AL63" s="34"/>
      <c r="AM63" s="33"/>
      <c r="BI63" s="34"/>
      <c r="BK63" s="35"/>
      <c r="BM63" s="12">
        <f t="shared" si="1"/>
        <v>6</v>
      </c>
    </row>
    <row r="64" spans="1:94" s="32" customFormat="1" ht="15" customHeight="1">
      <c r="A64" s="31"/>
      <c r="B64" s="33"/>
      <c r="K64" s="34"/>
      <c r="L64" s="33"/>
      <c r="T64" s="34"/>
      <c r="U64" s="33"/>
      <c r="AC64" s="34"/>
      <c r="AD64" s="33"/>
      <c r="AL64" s="34"/>
      <c r="AM64" s="33"/>
      <c r="BI64" s="34"/>
      <c r="BK64" s="35"/>
      <c r="BM64" s="12">
        <f t="shared" si="1"/>
        <v>7</v>
      </c>
    </row>
    <row r="65" spans="1:65" s="32" customFormat="1" ht="15" customHeight="1">
      <c r="A65" s="31"/>
      <c r="B65" s="33"/>
      <c r="K65" s="34"/>
      <c r="L65" s="33"/>
      <c r="T65" s="34"/>
      <c r="U65" s="33"/>
      <c r="AC65" s="34"/>
      <c r="AD65" s="33"/>
      <c r="AL65" s="34"/>
      <c r="AM65" s="33"/>
      <c r="BI65" s="34"/>
      <c r="BK65" s="35"/>
      <c r="BM65" s="12">
        <f t="shared" si="1"/>
        <v>8</v>
      </c>
    </row>
    <row r="66" spans="1:65" s="32" customFormat="1" ht="15" customHeight="1">
      <c r="A66" s="31"/>
      <c r="B66" s="33"/>
      <c r="K66" s="34"/>
      <c r="L66" s="33"/>
      <c r="T66" s="34"/>
      <c r="U66" s="33"/>
      <c r="AC66" s="34"/>
      <c r="AD66" s="33"/>
      <c r="AL66" s="34"/>
      <c r="AM66" s="33"/>
      <c r="BI66" s="34"/>
      <c r="BK66" s="35"/>
      <c r="BM66" s="12">
        <f t="shared" si="1"/>
        <v>9</v>
      </c>
    </row>
    <row r="67" spans="1:65" s="32" customFormat="1" ht="15" customHeight="1">
      <c r="A67" s="31"/>
      <c r="B67" s="33"/>
      <c r="K67" s="34"/>
      <c r="L67" s="33"/>
      <c r="T67" s="34"/>
      <c r="U67" s="33"/>
      <c r="AC67" s="34"/>
      <c r="AD67" s="33"/>
      <c r="AL67" s="34"/>
      <c r="AM67" s="33"/>
      <c r="BI67" s="34"/>
      <c r="BK67" s="35"/>
      <c r="BM67" s="12">
        <f t="shared" si="1"/>
        <v>10</v>
      </c>
    </row>
    <row r="68" spans="1:65" s="32" customFormat="1" ht="15" customHeight="1">
      <c r="A68" s="31"/>
      <c r="B68" s="33"/>
      <c r="K68" s="34"/>
      <c r="L68" s="33"/>
      <c r="T68" s="34"/>
      <c r="U68" s="33"/>
      <c r="AC68" s="34"/>
      <c r="AD68" s="33"/>
      <c r="AL68" s="34"/>
      <c r="AM68" s="33"/>
      <c r="BI68" s="34"/>
      <c r="BK68" s="35"/>
      <c r="BM68" s="12">
        <f t="shared" si="1"/>
        <v>11</v>
      </c>
    </row>
    <row r="69" spans="1:65" s="32" customFormat="1" ht="15" customHeight="1">
      <c r="A69" s="31"/>
      <c r="B69" s="33"/>
      <c r="K69" s="34"/>
      <c r="L69" s="33"/>
      <c r="T69" s="34"/>
      <c r="U69" s="33"/>
      <c r="AC69" s="34"/>
      <c r="AD69" s="33"/>
      <c r="AL69" s="34"/>
      <c r="AM69" s="33"/>
      <c r="BI69" s="34"/>
      <c r="BK69" s="35"/>
      <c r="BM69" s="12">
        <f t="shared" si="1"/>
        <v>12</v>
      </c>
    </row>
    <row r="70" spans="1:65" s="32" customFormat="1" ht="15" customHeight="1">
      <c r="A70" s="31"/>
      <c r="B70" s="33"/>
      <c r="K70" s="34"/>
      <c r="L70" s="33"/>
      <c r="T70" s="34"/>
      <c r="U70" s="33"/>
      <c r="AC70" s="34"/>
      <c r="AD70" s="33"/>
      <c r="AL70" s="34"/>
      <c r="AM70" s="33"/>
      <c r="BI70" s="34"/>
      <c r="BK70" s="35"/>
      <c r="BM70" s="12">
        <f t="shared" si="1"/>
        <v>13</v>
      </c>
    </row>
    <row r="71" spans="1:65" s="32" customFormat="1" ht="15" customHeight="1">
      <c r="A71" s="31"/>
      <c r="B71" s="33"/>
      <c r="K71" s="34"/>
      <c r="L71" s="33"/>
      <c r="T71" s="34"/>
      <c r="U71" s="33"/>
      <c r="AC71" s="34"/>
      <c r="AD71" s="33"/>
      <c r="AL71" s="34"/>
      <c r="AM71" s="33"/>
      <c r="BI71" s="34"/>
      <c r="BK71" s="35"/>
      <c r="BM71" s="12">
        <f t="shared" si="1"/>
        <v>14</v>
      </c>
    </row>
    <row r="72" spans="1:65" s="32" customFormat="1" ht="15" customHeight="1">
      <c r="A72" s="31"/>
      <c r="B72" s="33"/>
      <c r="K72" s="34"/>
      <c r="L72" s="33"/>
      <c r="T72" s="34"/>
      <c r="U72" s="33"/>
      <c r="AC72" s="34"/>
      <c r="AD72" s="33"/>
      <c r="AL72" s="34"/>
      <c r="AM72" s="33"/>
      <c r="BI72" s="34"/>
      <c r="BK72" s="35"/>
      <c r="BM72" s="12">
        <f t="shared" si="1"/>
        <v>15</v>
      </c>
    </row>
    <row r="73" spans="1:65" s="32" customFormat="1" ht="15" customHeight="1">
      <c r="A73" s="31"/>
      <c r="B73" s="33"/>
      <c r="K73" s="34"/>
      <c r="L73" s="33"/>
      <c r="T73" s="34"/>
      <c r="U73" s="33"/>
      <c r="AC73" s="34"/>
      <c r="AD73" s="33"/>
      <c r="AL73" s="34"/>
      <c r="AM73" s="33"/>
      <c r="BI73" s="34"/>
      <c r="BK73" s="35"/>
      <c r="BM73" s="12">
        <f t="shared" si="1"/>
        <v>16</v>
      </c>
    </row>
    <row r="74" spans="1:65" s="32" customFormat="1" ht="15" customHeight="1">
      <c r="A74" s="31"/>
      <c r="B74" s="33"/>
      <c r="K74" s="34"/>
      <c r="L74" s="33"/>
      <c r="T74" s="34"/>
      <c r="U74" s="33"/>
      <c r="AC74" s="34"/>
      <c r="AD74" s="33"/>
      <c r="AL74" s="34"/>
      <c r="AM74" s="33"/>
      <c r="BI74" s="34"/>
      <c r="BK74" s="35"/>
      <c r="BM74" s="12">
        <f t="shared" si="1"/>
        <v>17</v>
      </c>
    </row>
    <row r="75" spans="1:65" s="32" customFormat="1" ht="15" customHeight="1">
      <c r="A75" s="31"/>
      <c r="B75" s="33"/>
      <c r="K75" s="34"/>
      <c r="L75" s="33"/>
      <c r="T75" s="34"/>
      <c r="U75" s="33"/>
      <c r="AC75" s="34"/>
      <c r="AD75" s="33"/>
      <c r="AL75" s="34"/>
      <c r="AM75" s="33"/>
      <c r="BI75" s="34"/>
      <c r="BK75" s="35"/>
      <c r="BM75" s="12">
        <f t="shared" si="1"/>
        <v>18</v>
      </c>
    </row>
    <row r="76" spans="1:65" s="32" customFormat="1" ht="15" customHeight="1">
      <c r="A76" s="31"/>
      <c r="B76" s="33"/>
      <c r="K76" s="34"/>
      <c r="L76" s="33"/>
      <c r="T76" s="34"/>
      <c r="U76" s="33"/>
      <c r="AC76" s="34"/>
      <c r="AD76" s="33"/>
      <c r="AL76" s="34"/>
      <c r="AM76" s="33"/>
      <c r="BI76" s="34"/>
      <c r="BK76" s="35"/>
      <c r="BM76" s="12">
        <f t="shared" si="1"/>
        <v>19</v>
      </c>
    </row>
    <row r="77" spans="1:65" s="32" customFormat="1" ht="15" customHeight="1">
      <c r="A77" s="31"/>
      <c r="B77" s="33"/>
      <c r="K77" s="34"/>
      <c r="L77" s="33"/>
      <c r="T77" s="34"/>
      <c r="U77" s="33"/>
      <c r="AC77" s="34"/>
      <c r="AD77" s="33"/>
      <c r="AL77" s="34"/>
      <c r="AM77" s="33"/>
      <c r="BI77" s="34"/>
      <c r="BK77" s="35"/>
      <c r="BM77" s="12">
        <f t="shared" si="1"/>
        <v>20</v>
      </c>
    </row>
    <row r="78" spans="1:65" s="32" customFormat="1" ht="15" customHeight="1">
      <c r="A78" s="31"/>
      <c r="B78" s="33"/>
      <c r="K78" s="34"/>
      <c r="L78" s="33"/>
      <c r="T78" s="34"/>
      <c r="U78" s="33"/>
      <c r="AC78" s="34"/>
      <c r="AD78" s="33"/>
      <c r="AL78" s="34"/>
      <c r="AM78" s="33"/>
      <c r="BI78" s="34"/>
      <c r="BK78" s="35"/>
      <c r="BM78" s="12">
        <f t="shared" si="1"/>
        <v>21</v>
      </c>
    </row>
    <row r="79" spans="1:65" s="32" customFormat="1" ht="15" customHeight="1">
      <c r="A79" s="31"/>
      <c r="B79" s="33"/>
      <c r="K79" s="34"/>
      <c r="L79" s="33"/>
      <c r="T79" s="34"/>
      <c r="U79" s="33"/>
      <c r="AC79" s="34"/>
      <c r="AD79" s="33"/>
      <c r="AL79" s="34"/>
      <c r="AM79" s="33"/>
      <c r="BI79" s="34"/>
      <c r="BK79" s="35"/>
      <c r="BM79" s="12">
        <f t="shared" si="1"/>
        <v>22</v>
      </c>
    </row>
    <row r="80" spans="1:65" s="32" customFormat="1" ht="15" customHeight="1">
      <c r="A80" s="31"/>
      <c r="B80" s="33"/>
      <c r="K80" s="34"/>
      <c r="L80" s="33"/>
      <c r="T80" s="34"/>
      <c r="U80" s="33"/>
      <c r="AC80" s="34"/>
      <c r="AD80" s="33"/>
      <c r="AL80" s="34"/>
      <c r="AM80" s="33"/>
      <c r="BI80" s="34"/>
      <c r="BK80" s="35"/>
      <c r="BM80" s="12">
        <f t="shared" si="1"/>
        <v>23</v>
      </c>
    </row>
    <row r="81" spans="1:65" s="32" customFormat="1" ht="15" customHeight="1">
      <c r="A81" s="31"/>
      <c r="B81" s="33"/>
      <c r="K81" s="34"/>
      <c r="L81" s="33"/>
      <c r="T81" s="34"/>
      <c r="U81" s="33"/>
      <c r="AC81" s="34"/>
      <c r="AD81" s="33"/>
      <c r="AL81" s="34"/>
      <c r="AM81" s="33"/>
      <c r="BI81" s="34"/>
      <c r="BK81" s="35"/>
      <c r="BM81" s="12">
        <f t="shared" si="1"/>
        <v>24</v>
      </c>
    </row>
    <row r="82" spans="1:65" s="32" customFormat="1" ht="15" customHeight="1">
      <c r="A82" s="31"/>
      <c r="B82" s="33"/>
      <c r="K82" s="34"/>
      <c r="L82" s="33"/>
      <c r="T82" s="34"/>
      <c r="U82" s="33"/>
      <c r="AC82" s="34"/>
      <c r="AD82" s="33"/>
      <c r="AL82" s="34"/>
      <c r="AM82" s="33"/>
      <c r="BI82" s="34"/>
      <c r="BK82" s="35"/>
      <c r="BM82" s="12">
        <f t="shared" si="1"/>
        <v>25</v>
      </c>
    </row>
    <row r="83" spans="1:65" s="32" customFormat="1" ht="15" customHeight="1">
      <c r="A83" s="31"/>
      <c r="B83" s="33"/>
      <c r="K83" s="34"/>
      <c r="L83" s="33"/>
      <c r="T83" s="34"/>
      <c r="U83" s="33"/>
      <c r="AC83" s="34"/>
      <c r="AD83" s="33"/>
      <c r="AL83" s="34"/>
      <c r="AM83" s="33"/>
      <c r="BI83" s="34"/>
      <c r="BK83" s="35"/>
      <c r="BM83" s="12">
        <f t="shared" si="1"/>
        <v>26</v>
      </c>
    </row>
    <row r="84" spans="1:65" s="32" customFormat="1" ht="15" customHeight="1">
      <c r="A84" s="31"/>
      <c r="B84" s="33"/>
      <c r="K84" s="34"/>
      <c r="L84" s="33"/>
      <c r="T84" s="34"/>
      <c r="U84" s="33"/>
      <c r="AC84" s="34"/>
      <c r="AD84" s="33"/>
      <c r="AL84" s="34"/>
      <c r="AM84" s="33"/>
      <c r="BI84" s="34"/>
      <c r="BK84" s="35"/>
      <c r="BM84" s="12">
        <f t="shared" si="1"/>
        <v>27</v>
      </c>
    </row>
    <row r="85" spans="1:65" s="32" customFormat="1" ht="15" customHeight="1">
      <c r="A85" s="31"/>
      <c r="B85" s="33"/>
      <c r="K85" s="34"/>
      <c r="L85" s="33"/>
      <c r="T85" s="34"/>
      <c r="U85" s="33"/>
      <c r="AC85" s="34"/>
      <c r="AD85" s="33"/>
      <c r="AL85" s="34"/>
      <c r="AM85" s="33"/>
      <c r="BI85" s="34"/>
      <c r="BK85" s="35"/>
      <c r="BM85" s="12">
        <f t="shared" si="1"/>
        <v>28</v>
      </c>
    </row>
    <row r="86" spans="1:65" s="32" customFormat="1" ht="15" customHeight="1">
      <c r="A86" s="31"/>
      <c r="B86" s="33"/>
      <c r="K86" s="34"/>
      <c r="L86" s="33"/>
      <c r="T86" s="34"/>
      <c r="U86" s="33"/>
      <c r="AC86" s="34"/>
      <c r="AD86" s="33"/>
      <c r="AL86" s="34"/>
      <c r="AM86" s="33"/>
      <c r="BI86" s="34"/>
      <c r="BK86" s="35"/>
      <c r="BM86" s="12">
        <f t="shared" ref="BM86:BM93" si="2">IF(BM85=50,1,BM85+1)</f>
        <v>29</v>
      </c>
    </row>
    <row r="87" spans="1:65" s="32" customFormat="1" ht="15" customHeight="1">
      <c r="A87" s="31"/>
      <c r="B87" s="33"/>
      <c r="K87" s="34"/>
      <c r="L87" s="33"/>
      <c r="T87" s="34"/>
      <c r="U87" s="33"/>
      <c r="AC87" s="34"/>
      <c r="AD87" s="33"/>
      <c r="AL87" s="34"/>
      <c r="AM87" s="33"/>
      <c r="BI87" s="34"/>
      <c r="BK87" s="35"/>
      <c r="BM87" s="12">
        <f t="shared" si="2"/>
        <v>30</v>
      </c>
    </row>
    <row r="88" spans="1:65" s="32" customFormat="1" ht="15" customHeight="1">
      <c r="A88" s="31"/>
      <c r="B88" s="33"/>
      <c r="K88" s="34"/>
      <c r="L88" s="33"/>
      <c r="T88" s="34"/>
      <c r="U88" s="33"/>
      <c r="AC88" s="34"/>
      <c r="AD88" s="33"/>
      <c r="AL88" s="34"/>
      <c r="AM88" s="33"/>
      <c r="BI88" s="34"/>
      <c r="BK88" s="35"/>
      <c r="BM88" s="12">
        <f t="shared" si="2"/>
        <v>31</v>
      </c>
    </row>
    <row r="89" spans="1:65" s="32" customFormat="1" ht="15" customHeight="1">
      <c r="A89" s="31"/>
      <c r="B89" s="33"/>
      <c r="K89" s="34"/>
      <c r="L89" s="33"/>
      <c r="T89" s="34"/>
      <c r="U89" s="33"/>
      <c r="AC89" s="34"/>
      <c r="AD89" s="33"/>
      <c r="AL89" s="34"/>
      <c r="AM89" s="33"/>
      <c r="BI89" s="34"/>
      <c r="BK89" s="35"/>
      <c r="BM89" s="12">
        <f t="shared" si="2"/>
        <v>32</v>
      </c>
    </row>
    <row r="90" spans="1:65" s="32" customFormat="1" ht="15" customHeight="1">
      <c r="A90" s="31"/>
      <c r="B90" s="33"/>
      <c r="K90" s="34"/>
      <c r="L90" s="33"/>
      <c r="T90" s="34"/>
      <c r="U90" s="33"/>
      <c r="AC90" s="34"/>
      <c r="AD90" s="33"/>
      <c r="AL90" s="34"/>
      <c r="AM90" s="33"/>
      <c r="BI90" s="34"/>
      <c r="BK90" s="35"/>
      <c r="BM90" s="12">
        <f t="shared" si="2"/>
        <v>33</v>
      </c>
    </row>
    <row r="91" spans="1:65" s="32" customFormat="1" ht="15" customHeight="1">
      <c r="A91" s="31"/>
      <c r="B91" s="33"/>
      <c r="K91" s="34"/>
      <c r="L91" s="33"/>
      <c r="T91" s="34"/>
      <c r="U91" s="33"/>
      <c r="AC91" s="34"/>
      <c r="AD91" s="33"/>
      <c r="AL91" s="34"/>
      <c r="AM91" s="33"/>
      <c r="BI91" s="34"/>
      <c r="BK91" s="35"/>
      <c r="BM91" s="12">
        <f t="shared" si="2"/>
        <v>34</v>
      </c>
    </row>
    <row r="92" spans="1:65" s="32" customFormat="1" ht="15" customHeight="1">
      <c r="A92" s="31"/>
      <c r="B92" s="33"/>
      <c r="K92" s="34"/>
      <c r="L92" s="33"/>
      <c r="T92" s="34"/>
      <c r="U92" s="33"/>
      <c r="AC92" s="34"/>
      <c r="AD92" s="33"/>
      <c r="AL92" s="34"/>
      <c r="AM92" s="33"/>
      <c r="BI92" s="34"/>
      <c r="BK92" s="35"/>
      <c r="BM92" s="12">
        <f t="shared" si="2"/>
        <v>35</v>
      </c>
    </row>
    <row r="93" spans="1:65" s="32" customFormat="1" ht="15" customHeight="1">
      <c r="A93" s="36"/>
      <c r="B93" s="37"/>
      <c r="C93" s="38"/>
      <c r="D93" s="38"/>
      <c r="E93" s="38"/>
      <c r="F93" s="38"/>
      <c r="G93" s="38"/>
      <c r="H93" s="38"/>
      <c r="I93" s="38"/>
      <c r="J93" s="38"/>
      <c r="K93" s="39"/>
      <c r="L93" s="37"/>
      <c r="M93" s="38"/>
      <c r="N93" s="38"/>
      <c r="O93" s="38"/>
      <c r="P93" s="38"/>
      <c r="Q93" s="38"/>
      <c r="R93" s="38"/>
      <c r="S93" s="38"/>
      <c r="T93" s="39"/>
      <c r="U93" s="37"/>
      <c r="V93" s="38"/>
      <c r="W93" s="38"/>
      <c r="X93" s="38"/>
      <c r="Y93" s="38"/>
      <c r="Z93" s="38"/>
      <c r="AA93" s="38"/>
      <c r="AB93" s="38"/>
      <c r="AC93" s="39"/>
      <c r="AD93" s="37"/>
      <c r="AE93" s="38"/>
      <c r="AF93" s="38"/>
      <c r="AG93" s="38"/>
      <c r="AH93" s="38"/>
      <c r="AI93" s="38"/>
      <c r="AJ93" s="38"/>
      <c r="AK93" s="38"/>
      <c r="AL93" s="39"/>
      <c r="AM93" s="37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9"/>
      <c r="BJ93" s="38"/>
      <c r="BK93" s="40"/>
      <c r="BM93" s="12">
        <f t="shared" si="2"/>
        <v>36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6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EAF3-6AC9-428E-BFFF-B5AC28831B35}">
  <dimension ref="A1:AZ20"/>
  <sheetViews>
    <sheetView workbookViewId="0">
      <selection activeCell="BA8" sqref="BA8"/>
    </sheetView>
  </sheetViews>
  <sheetFormatPr defaultRowHeight="15"/>
  <cols>
    <col min="1" max="1" width="4.77734375" style="82" bestFit="1" customWidth="1"/>
    <col min="2" max="2" width="6.6640625" style="82" bestFit="1" customWidth="1"/>
    <col min="3" max="3" width="4.88671875" style="82" bestFit="1" customWidth="1"/>
    <col min="4" max="4" width="6.33203125" style="108" bestFit="1" customWidth="1"/>
    <col min="5" max="5" width="4.6640625" style="82" bestFit="1" customWidth="1"/>
    <col min="6" max="6" width="6.33203125" style="82" bestFit="1" customWidth="1"/>
    <col min="7" max="7" width="4.6640625" style="82" bestFit="1" customWidth="1"/>
    <col min="8" max="8" width="6.33203125" style="82" bestFit="1" customWidth="1"/>
    <col min="9" max="9" width="4.6640625" style="82" bestFit="1" customWidth="1"/>
    <col min="10" max="10" width="6.33203125" style="82" bestFit="1" customWidth="1"/>
    <col min="11" max="11" width="4.6640625" style="82" bestFit="1" customWidth="1"/>
    <col min="12" max="12" width="6.33203125" style="82" bestFit="1" customWidth="1"/>
    <col min="13" max="13" width="4.6640625" style="82" bestFit="1" customWidth="1"/>
    <col min="14" max="14" width="6.33203125" style="82" bestFit="1" customWidth="1"/>
    <col min="15" max="15" width="4.6640625" style="82" bestFit="1" customWidth="1"/>
    <col min="16" max="16" width="6.33203125" style="82" bestFit="1" customWidth="1"/>
    <col min="17" max="17" width="4.6640625" style="82" bestFit="1" customWidth="1"/>
    <col min="18" max="18" width="6.33203125" style="82" bestFit="1" customWidth="1"/>
    <col min="19" max="19" width="4.6640625" style="82" bestFit="1" customWidth="1"/>
    <col min="20" max="20" width="6.33203125" style="82" bestFit="1" customWidth="1"/>
    <col min="21" max="21" width="4.6640625" style="82" bestFit="1" customWidth="1"/>
    <col min="22" max="22" width="6.33203125" style="82" bestFit="1" customWidth="1"/>
    <col min="23" max="23" width="4.6640625" style="82" bestFit="1" customWidth="1"/>
    <col min="24" max="24" width="6.33203125" style="82" bestFit="1" customWidth="1"/>
    <col min="25" max="25" width="4.6640625" style="82" bestFit="1" customWidth="1"/>
    <col min="26" max="26" width="6.33203125" style="82" bestFit="1" customWidth="1"/>
    <col min="27" max="27" width="4.6640625" style="82" customWidth="1"/>
    <col min="28" max="52" width="4.88671875" style="82" hidden="1" customWidth="1"/>
    <col min="53" max="16384" width="8.88671875" style="82"/>
  </cols>
  <sheetData>
    <row r="1" spans="1:52" s="76" customFormat="1">
      <c r="A1" s="75"/>
      <c r="B1" s="243" t="s">
        <v>106</v>
      </c>
      <c r="C1" s="244"/>
      <c r="D1" s="239">
        <v>190</v>
      </c>
      <c r="E1" s="240"/>
      <c r="F1" s="238">
        <v>301</v>
      </c>
      <c r="G1" s="238"/>
      <c r="H1" s="239">
        <v>302</v>
      </c>
      <c r="I1" s="240"/>
      <c r="J1" s="238">
        <v>303</v>
      </c>
      <c r="K1" s="238"/>
      <c r="L1" s="239">
        <v>304</v>
      </c>
      <c r="M1" s="240"/>
      <c r="N1" s="238">
        <v>305</v>
      </c>
      <c r="O1" s="238"/>
      <c r="P1" s="239">
        <v>306</v>
      </c>
      <c r="Q1" s="240"/>
      <c r="R1" s="238">
        <v>307</v>
      </c>
      <c r="S1" s="238"/>
      <c r="T1" s="239">
        <v>308</v>
      </c>
      <c r="U1" s="240"/>
      <c r="V1" s="238">
        <v>309</v>
      </c>
      <c r="W1" s="238"/>
      <c r="X1" s="241">
        <v>320</v>
      </c>
      <c r="Y1" s="242"/>
      <c r="Z1" s="236">
        <v>401</v>
      </c>
      <c r="AA1" s="237"/>
    </row>
    <row r="2" spans="1:52" ht="15.75" thickBot="1">
      <c r="A2" s="77"/>
      <c r="B2" s="78" t="s">
        <v>107</v>
      </c>
      <c r="C2" s="79" t="s">
        <v>108</v>
      </c>
      <c r="D2" s="80" t="s">
        <v>107</v>
      </c>
      <c r="E2" s="79" t="s">
        <v>108</v>
      </c>
      <c r="F2" s="78" t="s">
        <v>107</v>
      </c>
      <c r="G2" s="81" t="s">
        <v>108</v>
      </c>
      <c r="H2" s="80" t="s">
        <v>107</v>
      </c>
      <c r="I2" s="79" t="s">
        <v>108</v>
      </c>
      <c r="J2" s="78" t="s">
        <v>107</v>
      </c>
      <c r="K2" s="81" t="s">
        <v>108</v>
      </c>
      <c r="L2" s="80" t="s">
        <v>107</v>
      </c>
      <c r="M2" s="79" t="s">
        <v>108</v>
      </c>
      <c r="N2" s="78" t="s">
        <v>107</v>
      </c>
      <c r="O2" s="81" t="s">
        <v>108</v>
      </c>
      <c r="P2" s="80" t="s">
        <v>107</v>
      </c>
      <c r="Q2" s="79" t="s">
        <v>108</v>
      </c>
      <c r="R2" s="78" t="s">
        <v>107</v>
      </c>
      <c r="S2" s="81" t="s">
        <v>108</v>
      </c>
      <c r="T2" s="80" t="s">
        <v>107</v>
      </c>
      <c r="U2" s="79" t="s">
        <v>108</v>
      </c>
      <c r="V2" s="78" t="s">
        <v>107</v>
      </c>
      <c r="W2" s="81" t="s">
        <v>108</v>
      </c>
      <c r="X2" s="80" t="s">
        <v>107</v>
      </c>
      <c r="Y2" s="81" t="s">
        <v>108</v>
      </c>
      <c r="Z2" s="80" t="s">
        <v>107</v>
      </c>
      <c r="AA2" s="79" t="s">
        <v>108</v>
      </c>
    </row>
    <row r="3" spans="1:52" ht="15.75" thickBot="1">
      <c r="A3" s="83" t="s">
        <v>106</v>
      </c>
      <c r="B3" s="84">
        <f>D3+H3+J3+L3+N3+P3+R3+T3+V3+X3+Z3</f>
        <v>99.999999999999986</v>
      </c>
      <c r="C3" s="85">
        <f>E3+G3+I3+K3+M3+O3+Q3+S3+U3+W3+Y3+AA3</f>
        <v>1626</v>
      </c>
      <c r="D3" s="86">
        <f>E3/AB3*100</f>
        <v>3.5670356703567037</v>
      </c>
      <c r="E3" s="85">
        <v>58</v>
      </c>
      <c r="F3" s="87">
        <f>G3/AD3*100</f>
        <v>0</v>
      </c>
      <c r="G3" s="88">
        <v>0</v>
      </c>
      <c r="H3" s="86">
        <f>I3/AF3*100</f>
        <v>7.9950799507995081</v>
      </c>
      <c r="I3" s="85">
        <v>130</v>
      </c>
      <c r="J3" s="84">
        <f>K3/AH3*100</f>
        <v>20.664206642066421</v>
      </c>
      <c r="K3" s="88">
        <v>336</v>
      </c>
      <c r="L3" s="86">
        <f>M3/AJ3*100</f>
        <v>8.179581795817958</v>
      </c>
      <c r="M3" s="85">
        <v>133</v>
      </c>
      <c r="N3" s="84">
        <f>O3/AL3*100</f>
        <v>7.3800738007380069</v>
      </c>
      <c r="O3" s="88">
        <v>120</v>
      </c>
      <c r="P3" s="86">
        <f>Q3/AN3*100</f>
        <v>13.345633456334562</v>
      </c>
      <c r="Q3" s="85">
        <v>217</v>
      </c>
      <c r="R3" s="84">
        <f>S3/AP3*100</f>
        <v>12.300123001230013</v>
      </c>
      <c r="S3" s="88">
        <v>200</v>
      </c>
      <c r="T3" s="86">
        <f>U3/AR3*100</f>
        <v>10.639606396063961</v>
      </c>
      <c r="U3" s="85">
        <v>173</v>
      </c>
      <c r="V3" s="89">
        <f>W3/AT3*100</f>
        <v>12.853628536285363</v>
      </c>
      <c r="W3" s="88">
        <v>209</v>
      </c>
      <c r="X3" s="86">
        <f>Y3/AV3*100</f>
        <v>0.86100861008610086</v>
      </c>
      <c r="Y3" s="90">
        <v>14</v>
      </c>
      <c r="Z3" s="86">
        <f>AA3/AX3*100</f>
        <v>2.214022140221402</v>
      </c>
      <c r="AA3" s="91">
        <v>36</v>
      </c>
      <c r="AB3" s="82">
        <v>1626</v>
      </c>
      <c r="AC3" s="82">
        <v>1626</v>
      </c>
      <c r="AD3" s="82">
        <v>1626</v>
      </c>
      <c r="AE3" s="82">
        <v>1626</v>
      </c>
      <c r="AF3" s="82">
        <v>1626</v>
      </c>
      <c r="AG3" s="82">
        <v>1626</v>
      </c>
      <c r="AH3" s="82">
        <v>1626</v>
      </c>
      <c r="AI3" s="82">
        <v>1626</v>
      </c>
      <c r="AJ3" s="82">
        <v>1626</v>
      </c>
      <c r="AK3" s="82">
        <v>1626</v>
      </c>
      <c r="AL3" s="82">
        <v>1626</v>
      </c>
      <c r="AM3" s="82">
        <v>1626</v>
      </c>
      <c r="AN3" s="82">
        <v>1626</v>
      </c>
      <c r="AO3" s="82">
        <v>1626</v>
      </c>
      <c r="AP3" s="82">
        <v>1626</v>
      </c>
      <c r="AQ3" s="82">
        <v>1626</v>
      </c>
      <c r="AR3" s="82">
        <v>1626</v>
      </c>
      <c r="AS3" s="82">
        <v>1626</v>
      </c>
      <c r="AT3" s="82">
        <v>1626</v>
      </c>
      <c r="AU3" s="82">
        <v>1626</v>
      </c>
      <c r="AV3" s="82">
        <v>1626</v>
      </c>
      <c r="AW3" s="82">
        <v>1626</v>
      </c>
      <c r="AX3" s="82">
        <v>1626</v>
      </c>
      <c r="AY3" s="82">
        <v>1626</v>
      </c>
      <c r="AZ3" s="82">
        <v>1626</v>
      </c>
    </row>
    <row r="4" spans="1:52" ht="15.75" thickBot="1">
      <c r="A4" s="92" t="s">
        <v>109</v>
      </c>
      <c r="B4" s="84">
        <f t="shared" ref="B4:B20" si="0">D4+H4+J4+L4+N4+P4+R4+T4+V4+X4+Z4</f>
        <v>0</v>
      </c>
      <c r="C4" s="85">
        <f t="shared" ref="C4:C20" si="1">E4+G4+I4+K4+M4+O4+Q4+S4+U4+W4+Y4+AA4</f>
        <v>0</v>
      </c>
      <c r="D4" s="93">
        <v>0</v>
      </c>
      <c r="E4" s="94">
        <v>0</v>
      </c>
      <c r="F4" s="95">
        <v>0</v>
      </c>
      <c r="G4" s="96">
        <v>0</v>
      </c>
      <c r="H4" s="93">
        <v>0</v>
      </c>
      <c r="I4" s="94">
        <v>0</v>
      </c>
      <c r="J4" s="97">
        <v>0</v>
      </c>
      <c r="K4" s="96">
        <v>0</v>
      </c>
      <c r="L4" s="93">
        <v>0</v>
      </c>
      <c r="M4" s="94">
        <v>0</v>
      </c>
      <c r="N4" s="97">
        <v>0</v>
      </c>
      <c r="O4" s="96">
        <v>0</v>
      </c>
      <c r="P4" s="93">
        <v>0</v>
      </c>
      <c r="Q4" s="94">
        <v>0</v>
      </c>
      <c r="R4" s="97">
        <v>0</v>
      </c>
      <c r="S4" s="96">
        <v>0</v>
      </c>
      <c r="T4" s="93">
        <v>0</v>
      </c>
      <c r="U4" s="94">
        <v>0</v>
      </c>
      <c r="V4" s="98">
        <v>0</v>
      </c>
      <c r="W4" s="96">
        <v>0</v>
      </c>
      <c r="X4" s="93">
        <v>0</v>
      </c>
      <c r="Y4" s="96">
        <v>0</v>
      </c>
      <c r="Z4" s="93">
        <v>0</v>
      </c>
      <c r="AA4" s="94">
        <v>0</v>
      </c>
      <c r="AB4" s="82">
        <v>0</v>
      </c>
      <c r="AC4" s="82">
        <v>0</v>
      </c>
      <c r="AD4" s="82">
        <v>0</v>
      </c>
      <c r="AE4" s="82">
        <v>0</v>
      </c>
      <c r="AF4" s="82">
        <v>0</v>
      </c>
      <c r="AG4" s="82">
        <v>0</v>
      </c>
      <c r="AH4" s="82">
        <v>0</v>
      </c>
      <c r="AI4" s="82">
        <v>0</v>
      </c>
      <c r="AJ4" s="82">
        <v>0</v>
      </c>
      <c r="AK4" s="82">
        <v>0</v>
      </c>
      <c r="AL4" s="82">
        <v>0</v>
      </c>
      <c r="AM4" s="82">
        <v>0</v>
      </c>
      <c r="AN4" s="82">
        <v>0</v>
      </c>
      <c r="AO4" s="82">
        <v>0</v>
      </c>
      <c r="AP4" s="82">
        <v>0</v>
      </c>
      <c r="AQ4" s="82">
        <v>0</v>
      </c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>
        <v>0</v>
      </c>
      <c r="AZ4" s="82">
        <v>0</v>
      </c>
    </row>
    <row r="5" spans="1:52" ht="15.75" thickBot="1">
      <c r="A5" s="99" t="s">
        <v>110</v>
      </c>
      <c r="B5" s="84">
        <f t="shared" si="0"/>
        <v>99.999999999999986</v>
      </c>
      <c r="C5" s="85">
        <f t="shared" si="1"/>
        <v>86</v>
      </c>
      <c r="D5" s="100">
        <f t="shared" ref="D5:D17" si="2">E5/AB5*100</f>
        <v>0</v>
      </c>
      <c r="E5" s="101">
        <v>0</v>
      </c>
      <c r="F5" s="102">
        <v>0</v>
      </c>
      <c r="G5" s="103">
        <v>0</v>
      </c>
      <c r="H5" s="100">
        <v>0</v>
      </c>
      <c r="I5" s="101">
        <v>0</v>
      </c>
      <c r="J5" s="104">
        <f t="shared" ref="J5:J16" si="3">K5/AH5*100</f>
        <v>26.744186046511626</v>
      </c>
      <c r="K5" s="103">
        <v>23</v>
      </c>
      <c r="L5" s="100">
        <f t="shared" ref="L5:L17" si="4">M5/AJ5*100</f>
        <v>6.9767441860465116</v>
      </c>
      <c r="M5" s="101">
        <v>6</v>
      </c>
      <c r="N5" s="104">
        <f t="shared" ref="N5:N17" si="5">O5/AL5*100</f>
        <v>6.9767441860465116</v>
      </c>
      <c r="O5" s="103">
        <v>6</v>
      </c>
      <c r="P5" s="100">
        <f t="shared" ref="P5:P17" si="6">Q5/AN5*100</f>
        <v>13.953488372093023</v>
      </c>
      <c r="Q5" s="101">
        <v>12</v>
      </c>
      <c r="R5" s="104">
        <f t="shared" ref="R5:R17" si="7">S5/AP5*100</f>
        <v>16.279069767441861</v>
      </c>
      <c r="S5" s="103">
        <v>14</v>
      </c>
      <c r="T5" s="100">
        <f t="shared" ref="T5:T17" si="8">U5/AR5*100</f>
        <v>9.3023255813953494</v>
      </c>
      <c r="U5" s="101">
        <v>8</v>
      </c>
      <c r="V5" s="105">
        <f t="shared" ref="V5:V17" si="9">W5/AT5*100</f>
        <v>17.441860465116278</v>
      </c>
      <c r="W5" s="103">
        <v>15</v>
      </c>
      <c r="X5" s="100">
        <f t="shared" ref="X5:X17" si="10">Y5/AV5*100</f>
        <v>2.3255813953488373</v>
      </c>
      <c r="Y5" s="103">
        <v>2</v>
      </c>
      <c r="Z5" s="100">
        <v>0</v>
      </c>
      <c r="AA5" s="101">
        <v>0</v>
      </c>
      <c r="AB5" s="82">
        <v>86</v>
      </c>
      <c r="AC5" s="82">
        <v>86</v>
      </c>
      <c r="AD5" s="82">
        <v>86</v>
      </c>
      <c r="AE5" s="82">
        <v>86</v>
      </c>
      <c r="AF5" s="82">
        <v>86</v>
      </c>
      <c r="AG5" s="82">
        <v>86</v>
      </c>
      <c r="AH5" s="82">
        <v>86</v>
      </c>
      <c r="AI5" s="82">
        <v>86</v>
      </c>
      <c r="AJ5" s="82">
        <v>86</v>
      </c>
      <c r="AK5" s="82">
        <v>86</v>
      </c>
      <c r="AL5" s="82">
        <v>86</v>
      </c>
      <c r="AM5" s="82">
        <v>86</v>
      </c>
      <c r="AN5" s="82">
        <v>86</v>
      </c>
      <c r="AO5" s="82">
        <v>86</v>
      </c>
      <c r="AP5" s="82">
        <v>86</v>
      </c>
      <c r="AQ5" s="82">
        <v>86</v>
      </c>
      <c r="AR5" s="82">
        <v>86</v>
      </c>
      <c r="AS5" s="82">
        <v>86</v>
      </c>
      <c r="AT5" s="82">
        <v>86</v>
      </c>
      <c r="AU5" s="82">
        <v>86</v>
      </c>
      <c r="AV5" s="82">
        <v>86</v>
      </c>
      <c r="AW5" s="82">
        <v>86</v>
      </c>
      <c r="AX5" s="82">
        <v>86</v>
      </c>
      <c r="AY5" s="82">
        <v>86</v>
      </c>
      <c r="AZ5" s="82">
        <v>86</v>
      </c>
    </row>
    <row r="6" spans="1:52" ht="15.75" thickBot="1">
      <c r="A6" s="99" t="s">
        <v>111</v>
      </c>
      <c r="B6" s="84">
        <f t="shared" si="0"/>
        <v>100</v>
      </c>
      <c r="C6" s="85">
        <f t="shared" si="1"/>
        <v>157</v>
      </c>
      <c r="D6" s="100">
        <f t="shared" si="2"/>
        <v>2.547770700636943</v>
      </c>
      <c r="E6" s="101">
        <v>4</v>
      </c>
      <c r="F6" s="102">
        <f t="shared" ref="F6:F16" si="11">G6/AD6*100</f>
        <v>0</v>
      </c>
      <c r="G6" s="103">
        <v>0</v>
      </c>
      <c r="H6" s="100">
        <f t="shared" ref="H6:H16" si="12">I6/AF6*100</f>
        <v>12.101910828025478</v>
      </c>
      <c r="I6" s="101">
        <v>19</v>
      </c>
      <c r="J6" s="104">
        <f t="shared" si="3"/>
        <v>18.471337579617835</v>
      </c>
      <c r="K6" s="103">
        <v>29</v>
      </c>
      <c r="L6" s="100">
        <f t="shared" si="4"/>
        <v>9.5541401273885356</v>
      </c>
      <c r="M6" s="101">
        <v>15</v>
      </c>
      <c r="N6" s="104">
        <f t="shared" si="5"/>
        <v>8.2802547770700627</v>
      </c>
      <c r="O6" s="103">
        <v>13</v>
      </c>
      <c r="P6" s="100">
        <f t="shared" si="6"/>
        <v>15.286624203821656</v>
      </c>
      <c r="Q6" s="101">
        <v>24</v>
      </c>
      <c r="R6" s="104">
        <f t="shared" si="7"/>
        <v>11.464968152866243</v>
      </c>
      <c r="S6" s="103">
        <v>18</v>
      </c>
      <c r="T6" s="100">
        <f t="shared" si="8"/>
        <v>8.2802547770700627</v>
      </c>
      <c r="U6" s="101">
        <v>13</v>
      </c>
      <c r="V6" s="105">
        <f t="shared" si="9"/>
        <v>10.191082802547772</v>
      </c>
      <c r="W6" s="103">
        <v>16</v>
      </c>
      <c r="X6" s="100">
        <f t="shared" si="10"/>
        <v>0.63694267515923575</v>
      </c>
      <c r="Y6" s="103">
        <v>1</v>
      </c>
      <c r="Z6" s="100">
        <f t="shared" ref="Z6:Z16" si="13">AA6/AX6*100</f>
        <v>3.1847133757961785</v>
      </c>
      <c r="AA6" s="101">
        <v>5</v>
      </c>
      <c r="AB6" s="82">
        <v>157</v>
      </c>
      <c r="AC6" s="82">
        <v>157</v>
      </c>
      <c r="AD6" s="82">
        <v>157</v>
      </c>
      <c r="AE6" s="82">
        <v>157</v>
      </c>
      <c r="AF6" s="82">
        <v>157</v>
      </c>
      <c r="AG6" s="82">
        <v>157</v>
      </c>
      <c r="AH6" s="82">
        <v>157</v>
      </c>
      <c r="AI6" s="82">
        <v>157</v>
      </c>
      <c r="AJ6" s="82">
        <v>157</v>
      </c>
      <c r="AK6" s="82">
        <v>157</v>
      </c>
      <c r="AL6" s="82">
        <v>157</v>
      </c>
      <c r="AM6" s="82">
        <v>157</v>
      </c>
      <c r="AN6" s="82">
        <v>157</v>
      </c>
      <c r="AO6" s="82">
        <v>157</v>
      </c>
      <c r="AP6" s="82">
        <v>157</v>
      </c>
      <c r="AQ6" s="82">
        <v>157</v>
      </c>
      <c r="AR6" s="82">
        <v>157</v>
      </c>
      <c r="AS6" s="82">
        <v>157</v>
      </c>
      <c r="AT6" s="82">
        <v>157</v>
      </c>
      <c r="AU6" s="82">
        <v>157</v>
      </c>
      <c r="AV6" s="82">
        <v>157</v>
      </c>
      <c r="AW6" s="82">
        <v>157</v>
      </c>
      <c r="AX6" s="82">
        <v>157</v>
      </c>
      <c r="AY6" s="82">
        <v>157</v>
      </c>
      <c r="AZ6" s="82">
        <v>157</v>
      </c>
    </row>
    <row r="7" spans="1:52" ht="15.75" thickBot="1">
      <c r="A7" s="99" t="s">
        <v>112</v>
      </c>
      <c r="B7" s="84">
        <f t="shared" si="0"/>
        <v>99.999999999999986</v>
      </c>
      <c r="C7" s="85">
        <f t="shared" si="1"/>
        <v>188</v>
      </c>
      <c r="D7" s="100">
        <f t="shared" si="2"/>
        <v>3.7234042553191489</v>
      </c>
      <c r="E7" s="101">
        <v>7</v>
      </c>
      <c r="F7" s="102">
        <f t="shared" si="11"/>
        <v>0</v>
      </c>
      <c r="G7" s="103">
        <v>0</v>
      </c>
      <c r="H7" s="100">
        <f t="shared" si="12"/>
        <v>12.23404255319149</v>
      </c>
      <c r="I7" s="101">
        <v>23</v>
      </c>
      <c r="J7" s="104">
        <f t="shared" si="3"/>
        <v>16.48936170212766</v>
      </c>
      <c r="K7" s="103">
        <v>31</v>
      </c>
      <c r="L7" s="100">
        <f t="shared" si="4"/>
        <v>7.4468085106382977</v>
      </c>
      <c r="M7" s="101">
        <v>14</v>
      </c>
      <c r="N7" s="104">
        <f t="shared" si="5"/>
        <v>7.4468085106382977</v>
      </c>
      <c r="O7" s="103">
        <v>14</v>
      </c>
      <c r="P7" s="100">
        <f t="shared" si="6"/>
        <v>10.638297872340425</v>
      </c>
      <c r="Q7" s="101">
        <v>20</v>
      </c>
      <c r="R7" s="104">
        <f t="shared" si="7"/>
        <v>12.23404255319149</v>
      </c>
      <c r="S7" s="103">
        <v>23</v>
      </c>
      <c r="T7" s="100">
        <f t="shared" si="8"/>
        <v>12.23404255319149</v>
      </c>
      <c r="U7" s="101">
        <v>23</v>
      </c>
      <c r="V7" s="105">
        <f t="shared" si="9"/>
        <v>11.170212765957446</v>
      </c>
      <c r="W7" s="103">
        <v>21</v>
      </c>
      <c r="X7" s="100">
        <f t="shared" si="10"/>
        <v>1.0638297872340425</v>
      </c>
      <c r="Y7" s="103">
        <v>2</v>
      </c>
      <c r="Z7" s="100">
        <f t="shared" si="13"/>
        <v>5.3191489361702127</v>
      </c>
      <c r="AA7" s="101">
        <v>10</v>
      </c>
      <c r="AB7" s="82">
        <v>188</v>
      </c>
      <c r="AC7" s="82">
        <v>188</v>
      </c>
      <c r="AD7" s="82">
        <v>188</v>
      </c>
      <c r="AE7" s="82">
        <v>188</v>
      </c>
      <c r="AF7" s="82">
        <v>188</v>
      </c>
      <c r="AG7" s="82">
        <v>188</v>
      </c>
      <c r="AH7" s="82">
        <v>188</v>
      </c>
      <c r="AI7" s="82">
        <v>188</v>
      </c>
      <c r="AJ7" s="82">
        <v>188</v>
      </c>
      <c r="AK7" s="82">
        <v>188</v>
      </c>
      <c r="AL7" s="82">
        <v>188</v>
      </c>
      <c r="AM7" s="82">
        <v>188</v>
      </c>
      <c r="AN7" s="82">
        <v>188</v>
      </c>
      <c r="AO7" s="82">
        <v>188</v>
      </c>
      <c r="AP7" s="82">
        <v>188</v>
      </c>
      <c r="AQ7" s="82">
        <v>188</v>
      </c>
      <c r="AR7" s="82">
        <v>188</v>
      </c>
      <c r="AS7" s="82">
        <v>188</v>
      </c>
      <c r="AT7" s="82">
        <v>188</v>
      </c>
      <c r="AU7" s="82">
        <v>188</v>
      </c>
      <c r="AV7" s="82">
        <v>188</v>
      </c>
      <c r="AW7" s="82">
        <v>188</v>
      </c>
      <c r="AX7" s="82">
        <v>188</v>
      </c>
      <c r="AY7" s="82">
        <v>188</v>
      </c>
      <c r="AZ7" s="82">
        <v>188</v>
      </c>
    </row>
    <row r="8" spans="1:52" ht="15.75" thickBot="1">
      <c r="A8" s="99" t="s">
        <v>113</v>
      </c>
      <c r="B8" s="84">
        <f t="shared" si="0"/>
        <v>99.999999999999986</v>
      </c>
      <c r="C8" s="85">
        <f t="shared" si="1"/>
        <v>153</v>
      </c>
      <c r="D8" s="100">
        <f t="shared" si="2"/>
        <v>3.2679738562091507</v>
      </c>
      <c r="E8" s="101">
        <v>5</v>
      </c>
      <c r="F8" s="102">
        <f t="shared" si="11"/>
        <v>0</v>
      </c>
      <c r="G8" s="103">
        <v>0</v>
      </c>
      <c r="H8" s="100">
        <f t="shared" si="12"/>
        <v>4.5751633986928102</v>
      </c>
      <c r="I8" s="101">
        <v>7</v>
      </c>
      <c r="J8" s="104">
        <f t="shared" si="3"/>
        <v>24.836601307189543</v>
      </c>
      <c r="K8" s="103">
        <v>38</v>
      </c>
      <c r="L8" s="100">
        <f t="shared" si="4"/>
        <v>9.8039215686274517</v>
      </c>
      <c r="M8" s="101">
        <v>15</v>
      </c>
      <c r="N8" s="104">
        <f t="shared" si="5"/>
        <v>7.8431372549019605</v>
      </c>
      <c r="O8" s="103">
        <v>12</v>
      </c>
      <c r="P8" s="100">
        <f t="shared" si="6"/>
        <v>14.37908496732026</v>
      </c>
      <c r="Q8" s="101">
        <v>22</v>
      </c>
      <c r="R8" s="104">
        <f t="shared" si="7"/>
        <v>12.418300653594772</v>
      </c>
      <c r="S8" s="103">
        <v>19</v>
      </c>
      <c r="T8" s="100">
        <f t="shared" si="8"/>
        <v>9.1503267973856204</v>
      </c>
      <c r="U8" s="101">
        <v>14</v>
      </c>
      <c r="V8" s="105">
        <f t="shared" si="9"/>
        <v>13.071895424836603</v>
      </c>
      <c r="W8" s="103">
        <v>20</v>
      </c>
      <c r="X8" s="100">
        <f t="shared" si="10"/>
        <v>0</v>
      </c>
      <c r="Y8" s="103">
        <v>0</v>
      </c>
      <c r="Z8" s="100">
        <f t="shared" si="13"/>
        <v>0.65359477124183007</v>
      </c>
      <c r="AA8" s="101">
        <v>1</v>
      </c>
      <c r="AB8" s="82">
        <v>153</v>
      </c>
      <c r="AC8" s="82">
        <v>153</v>
      </c>
      <c r="AD8" s="82">
        <v>153</v>
      </c>
      <c r="AE8" s="82">
        <v>153</v>
      </c>
      <c r="AF8" s="82">
        <v>153</v>
      </c>
      <c r="AG8" s="82">
        <v>153</v>
      </c>
      <c r="AH8" s="82">
        <v>153</v>
      </c>
      <c r="AI8" s="82">
        <v>153</v>
      </c>
      <c r="AJ8" s="82">
        <v>153</v>
      </c>
      <c r="AK8" s="82">
        <v>153</v>
      </c>
      <c r="AL8" s="82">
        <v>153</v>
      </c>
      <c r="AM8" s="82">
        <v>153</v>
      </c>
      <c r="AN8" s="82">
        <v>153</v>
      </c>
      <c r="AO8" s="82">
        <v>153</v>
      </c>
      <c r="AP8" s="82">
        <v>153</v>
      </c>
      <c r="AQ8" s="82">
        <v>153</v>
      </c>
      <c r="AR8" s="82">
        <v>153</v>
      </c>
      <c r="AS8" s="82">
        <v>153</v>
      </c>
      <c r="AT8" s="82">
        <v>153</v>
      </c>
      <c r="AU8" s="82">
        <v>153</v>
      </c>
      <c r="AV8" s="82">
        <v>153</v>
      </c>
      <c r="AW8" s="82">
        <v>153</v>
      </c>
      <c r="AX8" s="82">
        <v>153</v>
      </c>
      <c r="AY8" s="82">
        <v>153</v>
      </c>
      <c r="AZ8" s="82">
        <v>153</v>
      </c>
    </row>
    <row r="9" spans="1:52" ht="15.75" thickBot="1">
      <c r="A9" s="99" t="s">
        <v>114</v>
      </c>
      <c r="B9" s="84">
        <f t="shared" si="0"/>
        <v>99.999999999999986</v>
      </c>
      <c r="C9" s="85">
        <f t="shared" si="1"/>
        <v>106</v>
      </c>
      <c r="D9" s="100">
        <f t="shared" si="2"/>
        <v>2.8301886792452833</v>
      </c>
      <c r="E9" s="101">
        <v>3</v>
      </c>
      <c r="F9" s="102">
        <f t="shared" si="11"/>
        <v>0</v>
      </c>
      <c r="G9" s="103">
        <v>0</v>
      </c>
      <c r="H9" s="100">
        <f t="shared" si="12"/>
        <v>1.8867924528301887</v>
      </c>
      <c r="I9" s="101">
        <v>2</v>
      </c>
      <c r="J9" s="104">
        <f t="shared" si="3"/>
        <v>25.471698113207548</v>
      </c>
      <c r="K9" s="103">
        <v>27</v>
      </c>
      <c r="L9" s="100">
        <f t="shared" si="4"/>
        <v>6.6037735849056602</v>
      </c>
      <c r="M9" s="101">
        <v>7</v>
      </c>
      <c r="N9" s="104">
        <f t="shared" si="5"/>
        <v>6.6037735849056602</v>
      </c>
      <c r="O9" s="103">
        <v>7</v>
      </c>
      <c r="P9" s="100">
        <f t="shared" si="6"/>
        <v>14.150943396226415</v>
      </c>
      <c r="Q9" s="101">
        <v>15</v>
      </c>
      <c r="R9" s="104">
        <f t="shared" si="7"/>
        <v>14.150943396226415</v>
      </c>
      <c r="S9" s="103">
        <v>15</v>
      </c>
      <c r="T9" s="100">
        <f t="shared" si="8"/>
        <v>8.4905660377358494</v>
      </c>
      <c r="U9" s="101">
        <v>9</v>
      </c>
      <c r="V9" s="105">
        <f t="shared" si="9"/>
        <v>14.150943396226415</v>
      </c>
      <c r="W9" s="103">
        <v>15</v>
      </c>
      <c r="X9" s="100">
        <f t="shared" si="10"/>
        <v>0.94339622641509435</v>
      </c>
      <c r="Y9" s="103">
        <v>1</v>
      </c>
      <c r="Z9" s="100">
        <f t="shared" si="13"/>
        <v>4.716981132075472</v>
      </c>
      <c r="AA9" s="101">
        <v>5</v>
      </c>
      <c r="AB9" s="82">
        <v>106</v>
      </c>
      <c r="AC9" s="82">
        <v>106</v>
      </c>
      <c r="AD9" s="82">
        <v>106</v>
      </c>
      <c r="AE9" s="82">
        <v>106</v>
      </c>
      <c r="AF9" s="82">
        <v>106</v>
      </c>
      <c r="AG9" s="82">
        <v>106</v>
      </c>
      <c r="AH9" s="82">
        <v>106</v>
      </c>
      <c r="AI9" s="82">
        <v>106</v>
      </c>
      <c r="AJ9" s="82">
        <v>106</v>
      </c>
      <c r="AK9" s="82">
        <v>106</v>
      </c>
      <c r="AL9" s="82">
        <v>106</v>
      </c>
      <c r="AM9" s="82">
        <v>106</v>
      </c>
      <c r="AN9" s="82">
        <v>106</v>
      </c>
      <c r="AO9" s="82">
        <v>106</v>
      </c>
      <c r="AP9" s="82">
        <v>106</v>
      </c>
      <c r="AQ9" s="82">
        <v>106</v>
      </c>
      <c r="AR9" s="82">
        <v>106</v>
      </c>
      <c r="AS9" s="82">
        <v>106</v>
      </c>
      <c r="AT9" s="82">
        <v>106</v>
      </c>
      <c r="AU9" s="82">
        <v>106</v>
      </c>
      <c r="AV9" s="82">
        <v>106</v>
      </c>
      <c r="AW9" s="82">
        <v>106</v>
      </c>
      <c r="AX9" s="82">
        <v>106</v>
      </c>
      <c r="AY9" s="82">
        <v>106</v>
      </c>
      <c r="AZ9" s="82">
        <v>106</v>
      </c>
    </row>
    <row r="10" spans="1:52" ht="15.75" thickBot="1">
      <c r="A10" s="99" t="s">
        <v>115</v>
      </c>
      <c r="B10" s="84">
        <f t="shared" si="0"/>
        <v>100</v>
      </c>
      <c r="C10" s="85">
        <f t="shared" si="1"/>
        <v>122</v>
      </c>
      <c r="D10" s="100">
        <f t="shared" si="2"/>
        <v>4.918032786885246</v>
      </c>
      <c r="E10" s="101">
        <v>6</v>
      </c>
      <c r="F10" s="102">
        <f t="shared" si="11"/>
        <v>0</v>
      </c>
      <c r="G10" s="103">
        <v>0</v>
      </c>
      <c r="H10" s="100">
        <f t="shared" si="12"/>
        <v>4.0983606557377046</v>
      </c>
      <c r="I10" s="101">
        <v>5</v>
      </c>
      <c r="J10" s="104">
        <f t="shared" si="3"/>
        <v>24.590163934426229</v>
      </c>
      <c r="K10" s="103">
        <v>30</v>
      </c>
      <c r="L10" s="100">
        <f t="shared" si="4"/>
        <v>8.1967213114754092</v>
      </c>
      <c r="M10" s="101">
        <v>10</v>
      </c>
      <c r="N10" s="104">
        <f t="shared" si="5"/>
        <v>7.3770491803278686</v>
      </c>
      <c r="O10" s="103">
        <v>9</v>
      </c>
      <c r="P10" s="100">
        <f t="shared" si="6"/>
        <v>13.934426229508196</v>
      </c>
      <c r="Q10" s="101">
        <v>17</v>
      </c>
      <c r="R10" s="104">
        <f t="shared" si="7"/>
        <v>11.475409836065573</v>
      </c>
      <c r="S10" s="103">
        <v>14</v>
      </c>
      <c r="T10" s="100">
        <f t="shared" si="8"/>
        <v>9.0163934426229506</v>
      </c>
      <c r="U10" s="101">
        <v>11</v>
      </c>
      <c r="V10" s="105">
        <f t="shared" si="9"/>
        <v>11.475409836065573</v>
      </c>
      <c r="W10" s="103">
        <v>14</v>
      </c>
      <c r="X10" s="100">
        <f t="shared" si="10"/>
        <v>1.639344262295082</v>
      </c>
      <c r="Y10" s="103">
        <v>2</v>
      </c>
      <c r="Z10" s="100">
        <f t="shared" si="13"/>
        <v>3.278688524590164</v>
      </c>
      <c r="AA10" s="101">
        <v>4</v>
      </c>
      <c r="AB10" s="82">
        <v>122</v>
      </c>
      <c r="AC10" s="82">
        <v>122</v>
      </c>
      <c r="AD10" s="82">
        <v>122</v>
      </c>
      <c r="AE10" s="82">
        <v>122</v>
      </c>
      <c r="AF10" s="82">
        <v>122</v>
      </c>
      <c r="AG10" s="82">
        <v>122</v>
      </c>
      <c r="AH10" s="82">
        <v>122</v>
      </c>
      <c r="AI10" s="82">
        <v>122</v>
      </c>
      <c r="AJ10" s="82">
        <v>122</v>
      </c>
      <c r="AK10" s="82">
        <v>122</v>
      </c>
      <c r="AL10" s="82">
        <v>122</v>
      </c>
      <c r="AM10" s="82">
        <v>122</v>
      </c>
      <c r="AN10" s="82">
        <v>122</v>
      </c>
      <c r="AO10" s="82">
        <v>122</v>
      </c>
      <c r="AP10" s="82">
        <v>122</v>
      </c>
      <c r="AQ10" s="82">
        <v>122</v>
      </c>
      <c r="AR10" s="82">
        <v>122</v>
      </c>
      <c r="AS10" s="82">
        <v>122</v>
      </c>
      <c r="AT10" s="82">
        <v>122</v>
      </c>
      <c r="AU10" s="82">
        <v>122</v>
      </c>
      <c r="AV10" s="82">
        <v>122</v>
      </c>
      <c r="AW10" s="82">
        <v>122</v>
      </c>
      <c r="AX10" s="82">
        <v>122</v>
      </c>
      <c r="AY10" s="82">
        <v>122</v>
      </c>
      <c r="AZ10" s="82">
        <v>122</v>
      </c>
    </row>
    <row r="11" spans="1:52" ht="15.75" thickBot="1">
      <c r="A11" s="99" t="s">
        <v>116</v>
      </c>
      <c r="B11" s="84">
        <f t="shared" si="0"/>
        <v>100</v>
      </c>
      <c r="C11" s="85">
        <f t="shared" si="1"/>
        <v>126</v>
      </c>
      <c r="D11" s="100">
        <f t="shared" si="2"/>
        <v>2.3809523809523809</v>
      </c>
      <c r="E11" s="101">
        <v>3</v>
      </c>
      <c r="F11" s="102">
        <f t="shared" si="11"/>
        <v>0</v>
      </c>
      <c r="G11" s="103">
        <v>0</v>
      </c>
      <c r="H11" s="100">
        <f t="shared" si="12"/>
        <v>9.5238095238095237</v>
      </c>
      <c r="I11" s="101">
        <v>12</v>
      </c>
      <c r="J11" s="104">
        <f t="shared" si="3"/>
        <v>15.079365079365079</v>
      </c>
      <c r="K11" s="103">
        <v>19</v>
      </c>
      <c r="L11" s="100">
        <f t="shared" si="4"/>
        <v>6.3492063492063489</v>
      </c>
      <c r="M11" s="101">
        <v>8</v>
      </c>
      <c r="N11" s="104">
        <f t="shared" si="5"/>
        <v>7.9365079365079358</v>
      </c>
      <c r="O11" s="103">
        <v>10</v>
      </c>
      <c r="P11" s="100">
        <f t="shared" si="6"/>
        <v>12.698412698412698</v>
      </c>
      <c r="Q11" s="101">
        <v>16</v>
      </c>
      <c r="R11" s="104">
        <f t="shared" si="7"/>
        <v>12.698412698412698</v>
      </c>
      <c r="S11" s="103">
        <v>16</v>
      </c>
      <c r="T11" s="100">
        <f t="shared" si="8"/>
        <v>12.698412698412698</v>
      </c>
      <c r="U11" s="101">
        <v>16</v>
      </c>
      <c r="V11" s="105">
        <f t="shared" si="9"/>
        <v>11.904761904761903</v>
      </c>
      <c r="W11" s="103">
        <v>15</v>
      </c>
      <c r="X11" s="100">
        <f t="shared" si="10"/>
        <v>0</v>
      </c>
      <c r="Y11" s="103">
        <v>0</v>
      </c>
      <c r="Z11" s="100">
        <f t="shared" si="13"/>
        <v>8.7301587301587293</v>
      </c>
      <c r="AA11" s="101">
        <v>11</v>
      </c>
      <c r="AB11" s="82">
        <v>126</v>
      </c>
      <c r="AC11" s="82">
        <v>126</v>
      </c>
      <c r="AD11" s="82">
        <v>126</v>
      </c>
      <c r="AE11" s="82">
        <v>126</v>
      </c>
      <c r="AF11" s="82">
        <v>126</v>
      </c>
      <c r="AG11" s="82">
        <v>126</v>
      </c>
      <c r="AH11" s="82">
        <v>126</v>
      </c>
      <c r="AI11" s="82">
        <v>126</v>
      </c>
      <c r="AJ11" s="82">
        <v>126</v>
      </c>
      <c r="AK11" s="82">
        <v>126</v>
      </c>
      <c r="AL11" s="82">
        <v>126</v>
      </c>
      <c r="AM11" s="82">
        <v>126</v>
      </c>
      <c r="AN11" s="82">
        <v>126</v>
      </c>
      <c r="AO11" s="82">
        <v>126</v>
      </c>
      <c r="AP11" s="82">
        <v>126</v>
      </c>
      <c r="AQ11" s="82">
        <v>126</v>
      </c>
      <c r="AR11" s="82">
        <v>126</v>
      </c>
      <c r="AS11" s="82">
        <v>126</v>
      </c>
      <c r="AT11" s="82">
        <v>126</v>
      </c>
      <c r="AU11" s="82">
        <v>126</v>
      </c>
      <c r="AV11" s="82">
        <v>126</v>
      </c>
      <c r="AW11" s="82">
        <v>126</v>
      </c>
      <c r="AX11" s="82">
        <v>126</v>
      </c>
      <c r="AY11" s="82">
        <v>126</v>
      </c>
      <c r="AZ11" s="82">
        <v>126</v>
      </c>
    </row>
    <row r="12" spans="1:52" ht="15.75" thickBot="1">
      <c r="A12" s="99" t="s">
        <v>117</v>
      </c>
      <c r="B12" s="84">
        <f t="shared" si="0"/>
        <v>99.999999999999986</v>
      </c>
      <c r="C12" s="85">
        <f t="shared" si="1"/>
        <v>196</v>
      </c>
      <c r="D12" s="100">
        <f t="shared" si="2"/>
        <v>4.591836734693878</v>
      </c>
      <c r="E12" s="101">
        <v>9</v>
      </c>
      <c r="F12" s="102">
        <f t="shared" si="11"/>
        <v>0</v>
      </c>
      <c r="G12" s="103">
        <v>0</v>
      </c>
      <c r="H12" s="100">
        <f t="shared" si="12"/>
        <v>11.73469387755102</v>
      </c>
      <c r="I12" s="101">
        <v>23</v>
      </c>
      <c r="J12" s="104">
        <f t="shared" si="3"/>
        <v>20.918367346938776</v>
      </c>
      <c r="K12" s="103">
        <v>41</v>
      </c>
      <c r="L12" s="100">
        <f t="shared" si="4"/>
        <v>8.1632653061224492</v>
      </c>
      <c r="M12" s="101">
        <v>16</v>
      </c>
      <c r="N12" s="104">
        <f t="shared" si="5"/>
        <v>6.6326530612244898</v>
      </c>
      <c r="O12" s="103">
        <v>13</v>
      </c>
      <c r="P12" s="100">
        <f t="shared" si="6"/>
        <v>11.224489795918368</v>
      </c>
      <c r="Q12" s="101">
        <v>22</v>
      </c>
      <c r="R12" s="104">
        <f t="shared" si="7"/>
        <v>10.714285714285714</v>
      </c>
      <c r="S12" s="103">
        <v>21</v>
      </c>
      <c r="T12" s="100">
        <f t="shared" si="8"/>
        <v>11.73469387755102</v>
      </c>
      <c r="U12" s="101">
        <v>23</v>
      </c>
      <c r="V12" s="105">
        <f t="shared" si="9"/>
        <v>13.77551020408163</v>
      </c>
      <c r="W12" s="103">
        <v>27</v>
      </c>
      <c r="X12" s="100">
        <f t="shared" si="10"/>
        <v>0.51020408163265307</v>
      </c>
      <c r="Y12" s="103">
        <v>1</v>
      </c>
      <c r="Z12" s="100">
        <f t="shared" si="13"/>
        <v>0</v>
      </c>
      <c r="AA12" s="101">
        <v>0</v>
      </c>
      <c r="AB12" s="82">
        <v>196</v>
      </c>
      <c r="AC12" s="82">
        <v>196</v>
      </c>
      <c r="AD12" s="82">
        <v>196</v>
      </c>
      <c r="AE12" s="82">
        <v>196</v>
      </c>
      <c r="AF12" s="82">
        <v>196</v>
      </c>
      <c r="AG12" s="82">
        <v>196</v>
      </c>
      <c r="AH12" s="82">
        <v>196</v>
      </c>
      <c r="AI12" s="82">
        <v>196</v>
      </c>
      <c r="AJ12" s="82">
        <v>196</v>
      </c>
      <c r="AK12" s="82">
        <v>196</v>
      </c>
      <c r="AL12" s="82">
        <v>196</v>
      </c>
      <c r="AM12" s="82">
        <v>196</v>
      </c>
      <c r="AN12" s="82">
        <v>196</v>
      </c>
      <c r="AO12" s="82">
        <v>196</v>
      </c>
      <c r="AP12" s="82">
        <v>196</v>
      </c>
      <c r="AQ12" s="82">
        <v>196</v>
      </c>
      <c r="AR12" s="82">
        <v>196</v>
      </c>
      <c r="AS12" s="82">
        <v>196</v>
      </c>
      <c r="AT12" s="82">
        <v>196</v>
      </c>
      <c r="AU12" s="82">
        <v>196</v>
      </c>
      <c r="AV12" s="82">
        <v>196</v>
      </c>
      <c r="AW12" s="82">
        <v>196</v>
      </c>
      <c r="AX12" s="82">
        <v>196</v>
      </c>
      <c r="AY12" s="82">
        <v>196</v>
      </c>
      <c r="AZ12" s="82">
        <v>196</v>
      </c>
    </row>
    <row r="13" spans="1:52" ht="15.75" thickBot="1">
      <c r="A13" s="99" t="s">
        <v>118</v>
      </c>
      <c r="B13" s="84">
        <f t="shared" si="0"/>
        <v>99.999999999999986</v>
      </c>
      <c r="C13" s="85">
        <f t="shared" si="1"/>
        <v>189</v>
      </c>
      <c r="D13" s="100">
        <f t="shared" si="2"/>
        <v>4.7619047619047619</v>
      </c>
      <c r="E13" s="101">
        <v>9</v>
      </c>
      <c r="F13" s="102">
        <f t="shared" si="11"/>
        <v>0</v>
      </c>
      <c r="G13" s="103">
        <v>0</v>
      </c>
      <c r="H13" s="100">
        <f t="shared" si="12"/>
        <v>16.402116402116402</v>
      </c>
      <c r="I13" s="101">
        <v>31</v>
      </c>
      <c r="J13" s="104">
        <f t="shared" si="3"/>
        <v>19.047619047619047</v>
      </c>
      <c r="K13" s="103">
        <v>36</v>
      </c>
      <c r="L13" s="100">
        <f t="shared" si="4"/>
        <v>6.8783068783068781</v>
      </c>
      <c r="M13" s="101">
        <v>13</v>
      </c>
      <c r="N13" s="104">
        <f t="shared" si="5"/>
        <v>7.9365079365079358</v>
      </c>
      <c r="O13" s="103">
        <v>15</v>
      </c>
      <c r="P13" s="100">
        <f t="shared" si="6"/>
        <v>11.111111111111111</v>
      </c>
      <c r="Q13" s="101">
        <v>21</v>
      </c>
      <c r="R13" s="104">
        <f t="shared" si="7"/>
        <v>11.640211640211639</v>
      </c>
      <c r="S13" s="103">
        <v>22</v>
      </c>
      <c r="T13" s="100">
        <f t="shared" si="8"/>
        <v>8.9947089947089935</v>
      </c>
      <c r="U13" s="101">
        <v>17</v>
      </c>
      <c r="V13" s="105">
        <f t="shared" si="9"/>
        <v>11.111111111111111</v>
      </c>
      <c r="W13" s="103">
        <v>21</v>
      </c>
      <c r="X13" s="100">
        <f t="shared" si="10"/>
        <v>2.1164021164021163</v>
      </c>
      <c r="Y13" s="103">
        <v>4</v>
      </c>
      <c r="Z13" s="100">
        <f t="shared" si="13"/>
        <v>0</v>
      </c>
      <c r="AA13" s="101">
        <v>0</v>
      </c>
      <c r="AB13" s="82">
        <v>189</v>
      </c>
      <c r="AC13" s="82">
        <v>189</v>
      </c>
      <c r="AD13" s="82">
        <v>189</v>
      </c>
      <c r="AE13" s="82">
        <v>189</v>
      </c>
      <c r="AF13" s="82">
        <v>189</v>
      </c>
      <c r="AG13" s="82">
        <v>189</v>
      </c>
      <c r="AH13" s="82">
        <v>189</v>
      </c>
      <c r="AI13" s="82">
        <v>189</v>
      </c>
      <c r="AJ13" s="82">
        <v>189</v>
      </c>
      <c r="AK13" s="82">
        <v>189</v>
      </c>
      <c r="AL13" s="82">
        <v>189</v>
      </c>
      <c r="AM13" s="82">
        <v>189</v>
      </c>
      <c r="AN13" s="82">
        <v>189</v>
      </c>
      <c r="AO13" s="82">
        <v>189</v>
      </c>
      <c r="AP13" s="82">
        <v>189</v>
      </c>
      <c r="AQ13" s="82">
        <v>189</v>
      </c>
      <c r="AR13" s="82">
        <v>189</v>
      </c>
      <c r="AS13" s="82">
        <v>189</v>
      </c>
      <c r="AT13" s="82">
        <v>189</v>
      </c>
      <c r="AU13" s="82">
        <v>189</v>
      </c>
      <c r="AV13" s="82">
        <v>189</v>
      </c>
      <c r="AW13" s="82">
        <v>189</v>
      </c>
      <c r="AX13" s="82">
        <v>189</v>
      </c>
      <c r="AY13" s="82">
        <v>189</v>
      </c>
      <c r="AZ13" s="82">
        <v>189</v>
      </c>
    </row>
    <row r="14" spans="1:52" ht="15.75" thickBot="1">
      <c r="A14" s="99" t="s">
        <v>119</v>
      </c>
      <c r="B14" s="84">
        <f t="shared" si="0"/>
        <v>100</v>
      </c>
      <c r="C14" s="85">
        <f t="shared" si="1"/>
        <v>139</v>
      </c>
      <c r="D14" s="100">
        <f t="shared" si="2"/>
        <v>5.0359712230215825</v>
      </c>
      <c r="E14" s="101">
        <v>7</v>
      </c>
      <c r="F14" s="102">
        <f t="shared" si="11"/>
        <v>0</v>
      </c>
      <c r="G14" s="103">
        <v>0</v>
      </c>
      <c r="H14" s="100">
        <f t="shared" si="12"/>
        <v>4.3165467625899279</v>
      </c>
      <c r="I14" s="101">
        <v>6</v>
      </c>
      <c r="J14" s="104">
        <f t="shared" si="3"/>
        <v>25.899280575539567</v>
      </c>
      <c r="K14" s="103">
        <v>36</v>
      </c>
      <c r="L14" s="100">
        <f t="shared" si="4"/>
        <v>10.071942446043165</v>
      </c>
      <c r="M14" s="101">
        <v>14</v>
      </c>
      <c r="N14" s="104">
        <f t="shared" si="5"/>
        <v>9.3525179856115113</v>
      </c>
      <c r="O14" s="103">
        <v>13</v>
      </c>
      <c r="P14" s="100">
        <f t="shared" si="6"/>
        <v>15.827338129496402</v>
      </c>
      <c r="Q14" s="101">
        <v>22</v>
      </c>
      <c r="R14" s="104">
        <f t="shared" si="7"/>
        <v>10.071942446043165</v>
      </c>
      <c r="S14" s="103">
        <v>14</v>
      </c>
      <c r="T14" s="100">
        <f t="shared" si="8"/>
        <v>10.071942446043165</v>
      </c>
      <c r="U14" s="101">
        <v>14</v>
      </c>
      <c r="V14" s="105">
        <f t="shared" si="9"/>
        <v>8.6330935251798557</v>
      </c>
      <c r="W14" s="103">
        <v>12</v>
      </c>
      <c r="X14" s="100">
        <f t="shared" si="10"/>
        <v>0.71942446043165476</v>
      </c>
      <c r="Y14" s="103">
        <v>1</v>
      </c>
      <c r="Z14" s="100">
        <f t="shared" si="13"/>
        <v>0</v>
      </c>
      <c r="AA14" s="101">
        <v>0</v>
      </c>
      <c r="AB14" s="82">
        <v>139</v>
      </c>
      <c r="AC14" s="82">
        <v>139</v>
      </c>
      <c r="AD14" s="82">
        <v>139</v>
      </c>
      <c r="AE14" s="82">
        <v>139</v>
      </c>
      <c r="AF14" s="82">
        <v>139</v>
      </c>
      <c r="AG14" s="82">
        <v>139</v>
      </c>
      <c r="AH14" s="82">
        <v>139</v>
      </c>
      <c r="AI14" s="82">
        <v>139</v>
      </c>
      <c r="AJ14" s="82">
        <v>139</v>
      </c>
      <c r="AK14" s="82">
        <v>139</v>
      </c>
      <c r="AL14" s="82">
        <v>139</v>
      </c>
      <c r="AM14" s="82">
        <v>139</v>
      </c>
      <c r="AN14" s="82">
        <v>139</v>
      </c>
      <c r="AO14" s="82">
        <v>139</v>
      </c>
      <c r="AP14" s="82">
        <v>139</v>
      </c>
      <c r="AQ14" s="82">
        <v>139</v>
      </c>
      <c r="AR14" s="82">
        <v>139</v>
      </c>
      <c r="AS14" s="82">
        <v>139</v>
      </c>
      <c r="AT14" s="82">
        <v>139</v>
      </c>
      <c r="AU14" s="82">
        <v>139</v>
      </c>
      <c r="AV14" s="82">
        <v>139</v>
      </c>
      <c r="AW14" s="82">
        <v>139</v>
      </c>
      <c r="AX14" s="82">
        <v>139</v>
      </c>
      <c r="AY14" s="82">
        <v>139</v>
      </c>
      <c r="AZ14" s="82">
        <v>139</v>
      </c>
    </row>
    <row r="15" spans="1:52" ht="15.75" thickBot="1">
      <c r="A15" s="99" t="s">
        <v>120</v>
      </c>
      <c r="B15" s="84">
        <f t="shared" si="0"/>
        <v>100</v>
      </c>
      <c r="C15" s="85">
        <f t="shared" si="1"/>
        <v>91</v>
      </c>
      <c r="D15" s="100">
        <f t="shared" si="2"/>
        <v>4.395604395604396</v>
      </c>
      <c r="E15" s="101">
        <v>4</v>
      </c>
      <c r="F15" s="102">
        <f t="shared" si="11"/>
        <v>0</v>
      </c>
      <c r="G15" s="103">
        <v>0</v>
      </c>
      <c r="H15" s="100">
        <f t="shared" si="12"/>
        <v>2.197802197802198</v>
      </c>
      <c r="I15" s="101">
        <v>2</v>
      </c>
      <c r="J15" s="104">
        <f t="shared" si="3"/>
        <v>28.571428571428569</v>
      </c>
      <c r="K15" s="103">
        <v>26</v>
      </c>
      <c r="L15" s="100">
        <f t="shared" si="4"/>
        <v>7.6923076923076925</v>
      </c>
      <c r="M15" s="101">
        <v>7</v>
      </c>
      <c r="N15" s="104">
        <f t="shared" si="5"/>
        <v>5.4945054945054945</v>
      </c>
      <c r="O15" s="103">
        <v>5</v>
      </c>
      <c r="P15" s="100">
        <f t="shared" si="6"/>
        <v>12.087912087912088</v>
      </c>
      <c r="Q15" s="101">
        <v>11</v>
      </c>
      <c r="R15" s="104">
        <f t="shared" si="7"/>
        <v>14.285714285714285</v>
      </c>
      <c r="S15" s="103">
        <v>13</v>
      </c>
      <c r="T15" s="100">
        <f t="shared" si="8"/>
        <v>9.8901098901098905</v>
      </c>
      <c r="U15" s="101">
        <v>9</v>
      </c>
      <c r="V15" s="105">
        <f t="shared" si="9"/>
        <v>15.384615384615385</v>
      </c>
      <c r="W15" s="103">
        <v>14</v>
      </c>
      <c r="X15" s="100">
        <f t="shared" si="10"/>
        <v>0</v>
      </c>
      <c r="Y15" s="103">
        <v>0</v>
      </c>
      <c r="Z15" s="100">
        <f t="shared" si="13"/>
        <v>0</v>
      </c>
      <c r="AA15" s="101">
        <v>0</v>
      </c>
      <c r="AB15" s="82">
        <v>91</v>
      </c>
      <c r="AC15" s="82">
        <v>91</v>
      </c>
      <c r="AD15" s="82">
        <v>91</v>
      </c>
      <c r="AE15" s="82">
        <v>91</v>
      </c>
      <c r="AF15" s="82">
        <v>91</v>
      </c>
      <c r="AG15" s="82">
        <v>91</v>
      </c>
      <c r="AH15" s="82">
        <v>91</v>
      </c>
      <c r="AI15" s="82">
        <v>91</v>
      </c>
      <c r="AJ15" s="82">
        <v>91</v>
      </c>
      <c r="AK15" s="82">
        <v>91</v>
      </c>
      <c r="AL15" s="82">
        <v>91</v>
      </c>
      <c r="AM15" s="82">
        <v>91</v>
      </c>
      <c r="AN15" s="82">
        <v>91</v>
      </c>
      <c r="AO15" s="82">
        <v>91</v>
      </c>
      <c r="AP15" s="82">
        <v>91</v>
      </c>
      <c r="AQ15" s="82">
        <v>91</v>
      </c>
      <c r="AR15" s="82">
        <v>91</v>
      </c>
      <c r="AS15" s="82">
        <v>91</v>
      </c>
      <c r="AT15" s="82">
        <v>91</v>
      </c>
      <c r="AU15" s="82">
        <v>91</v>
      </c>
      <c r="AV15" s="82">
        <v>91</v>
      </c>
      <c r="AW15" s="82">
        <v>91</v>
      </c>
      <c r="AX15" s="82">
        <v>91</v>
      </c>
      <c r="AY15" s="82">
        <v>91</v>
      </c>
      <c r="AZ15" s="82">
        <v>91</v>
      </c>
    </row>
    <row r="16" spans="1:52" ht="15.75" thickBot="1">
      <c r="A16" s="99" t="s">
        <v>121</v>
      </c>
      <c r="B16" s="84">
        <f t="shared" si="0"/>
        <v>100</v>
      </c>
      <c r="C16" s="85">
        <f t="shared" si="1"/>
        <v>46</v>
      </c>
      <c r="D16" s="100">
        <f t="shared" si="2"/>
        <v>2.1739130434782608</v>
      </c>
      <c r="E16" s="101">
        <v>1</v>
      </c>
      <c r="F16" s="102">
        <f t="shared" si="11"/>
        <v>0</v>
      </c>
      <c r="G16" s="103">
        <v>0</v>
      </c>
      <c r="H16" s="100">
        <f t="shared" si="12"/>
        <v>0</v>
      </c>
      <c r="I16" s="101">
        <v>0</v>
      </c>
      <c r="J16" s="104">
        <f t="shared" si="3"/>
        <v>0</v>
      </c>
      <c r="K16" s="103">
        <v>0</v>
      </c>
      <c r="L16" s="100">
        <f t="shared" si="4"/>
        <v>13.043478260869565</v>
      </c>
      <c r="M16" s="101">
        <v>6</v>
      </c>
      <c r="N16" s="104">
        <f t="shared" si="5"/>
        <v>4.3478260869565215</v>
      </c>
      <c r="O16" s="103">
        <v>2</v>
      </c>
      <c r="P16" s="100">
        <f t="shared" si="6"/>
        <v>17.391304347826086</v>
      </c>
      <c r="Q16" s="101">
        <v>8</v>
      </c>
      <c r="R16" s="104">
        <f t="shared" si="7"/>
        <v>15.217391304347828</v>
      </c>
      <c r="S16" s="103">
        <v>7</v>
      </c>
      <c r="T16" s="100">
        <f t="shared" si="8"/>
        <v>23.913043478260871</v>
      </c>
      <c r="U16" s="101">
        <v>11</v>
      </c>
      <c r="V16" s="105">
        <f t="shared" si="9"/>
        <v>23.913043478260871</v>
      </c>
      <c r="W16" s="103">
        <v>11</v>
      </c>
      <c r="X16" s="100">
        <f t="shared" si="10"/>
        <v>0</v>
      </c>
      <c r="Y16" s="103">
        <v>0</v>
      </c>
      <c r="Z16" s="100">
        <f t="shared" si="13"/>
        <v>0</v>
      </c>
      <c r="AA16" s="101">
        <v>0</v>
      </c>
      <c r="AB16" s="82">
        <v>46</v>
      </c>
      <c r="AC16" s="82">
        <v>46</v>
      </c>
      <c r="AD16" s="82">
        <v>46</v>
      </c>
      <c r="AE16" s="82">
        <v>46</v>
      </c>
      <c r="AF16" s="82">
        <v>46</v>
      </c>
      <c r="AG16" s="82">
        <v>46</v>
      </c>
      <c r="AH16" s="82">
        <v>46</v>
      </c>
      <c r="AI16" s="82">
        <v>46</v>
      </c>
      <c r="AJ16" s="82">
        <v>46</v>
      </c>
      <c r="AK16" s="82">
        <v>46</v>
      </c>
      <c r="AL16" s="82">
        <v>46</v>
      </c>
      <c r="AM16" s="82">
        <v>46</v>
      </c>
      <c r="AN16" s="82">
        <v>46</v>
      </c>
      <c r="AO16" s="82">
        <v>46</v>
      </c>
      <c r="AP16" s="82">
        <v>46</v>
      </c>
      <c r="AQ16" s="82">
        <v>46</v>
      </c>
      <c r="AR16" s="82">
        <v>46</v>
      </c>
      <c r="AS16" s="82">
        <v>46</v>
      </c>
      <c r="AT16" s="82">
        <v>46</v>
      </c>
      <c r="AU16" s="82">
        <v>46</v>
      </c>
      <c r="AV16" s="82">
        <v>46</v>
      </c>
      <c r="AW16" s="82">
        <v>46</v>
      </c>
      <c r="AX16" s="82">
        <v>46</v>
      </c>
      <c r="AY16" s="82">
        <v>46</v>
      </c>
      <c r="AZ16" s="82">
        <v>46</v>
      </c>
    </row>
    <row r="17" spans="1:52" ht="15.75" thickBot="1">
      <c r="A17" s="99" t="s">
        <v>122</v>
      </c>
      <c r="B17" s="84">
        <f t="shared" si="0"/>
        <v>100</v>
      </c>
      <c r="C17" s="85">
        <f t="shared" si="1"/>
        <v>26</v>
      </c>
      <c r="D17" s="100">
        <f t="shared" si="2"/>
        <v>0</v>
      </c>
      <c r="E17" s="101">
        <v>0</v>
      </c>
      <c r="F17" s="102">
        <v>0</v>
      </c>
      <c r="G17" s="103">
        <v>0</v>
      </c>
      <c r="H17" s="100">
        <v>0</v>
      </c>
      <c r="I17" s="101">
        <v>0</v>
      </c>
      <c r="J17" s="104">
        <v>0</v>
      </c>
      <c r="K17" s="103">
        <v>0</v>
      </c>
      <c r="L17" s="100">
        <f t="shared" si="4"/>
        <v>7.6923076923076925</v>
      </c>
      <c r="M17" s="101">
        <v>2</v>
      </c>
      <c r="N17" s="104">
        <f t="shared" si="5"/>
        <v>3.8461538461538463</v>
      </c>
      <c r="O17" s="103">
        <v>1</v>
      </c>
      <c r="P17" s="100">
        <f t="shared" si="6"/>
        <v>26.923076923076923</v>
      </c>
      <c r="Q17" s="101">
        <v>7</v>
      </c>
      <c r="R17" s="104">
        <f t="shared" si="7"/>
        <v>15.384615384615385</v>
      </c>
      <c r="S17" s="103">
        <v>4</v>
      </c>
      <c r="T17" s="100">
        <f t="shared" si="8"/>
        <v>15.384615384615385</v>
      </c>
      <c r="U17" s="101">
        <v>4</v>
      </c>
      <c r="V17" s="105">
        <f t="shared" si="9"/>
        <v>30.76923076923077</v>
      </c>
      <c r="W17" s="103">
        <v>8</v>
      </c>
      <c r="X17" s="100">
        <f t="shared" si="10"/>
        <v>0</v>
      </c>
      <c r="Y17" s="103">
        <v>0</v>
      </c>
      <c r="Z17" s="100">
        <v>0</v>
      </c>
      <c r="AA17" s="101">
        <v>0</v>
      </c>
      <c r="AB17" s="82">
        <v>26</v>
      </c>
      <c r="AC17" s="82">
        <v>26</v>
      </c>
      <c r="AD17" s="82">
        <v>26</v>
      </c>
      <c r="AE17" s="82">
        <v>26</v>
      </c>
      <c r="AF17" s="82">
        <v>26</v>
      </c>
      <c r="AG17" s="82">
        <v>26</v>
      </c>
      <c r="AH17" s="82">
        <v>26</v>
      </c>
      <c r="AI17" s="82">
        <v>26</v>
      </c>
      <c r="AJ17" s="82">
        <v>26</v>
      </c>
      <c r="AK17" s="82">
        <v>26</v>
      </c>
      <c r="AL17" s="82">
        <v>26</v>
      </c>
      <c r="AM17" s="82">
        <v>26</v>
      </c>
      <c r="AN17" s="82">
        <v>26</v>
      </c>
      <c r="AO17" s="82">
        <v>26</v>
      </c>
      <c r="AP17" s="82">
        <v>26</v>
      </c>
      <c r="AQ17" s="82">
        <v>26</v>
      </c>
      <c r="AR17" s="82">
        <v>26</v>
      </c>
      <c r="AS17" s="82">
        <v>26</v>
      </c>
      <c r="AT17" s="82">
        <v>26</v>
      </c>
      <c r="AU17" s="82">
        <v>26</v>
      </c>
      <c r="AV17" s="82">
        <v>26</v>
      </c>
      <c r="AW17" s="82">
        <v>26</v>
      </c>
      <c r="AX17" s="82">
        <v>26</v>
      </c>
      <c r="AY17" s="82">
        <v>26</v>
      </c>
      <c r="AZ17" s="82">
        <v>26</v>
      </c>
    </row>
    <row r="18" spans="1:52" ht="15.75" thickBot="1">
      <c r="A18" s="99" t="s">
        <v>123</v>
      </c>
      <c r="B18" s="84">
        <f t="shared" si="0"/>
        <v>0</v>
      </c>
      <c r="C18" s="85">
        <f t="shared" si="1"/>
        <v>0</v>
      </c>
      <c r="D18" s="100">
        <v>0</v>
      </c>
      <c r="E18" s="101">
        <v>0</v>
      </c>
      <c r="F18" s="102">
        <v>0</v>
      </c>
      <c r="G18" s="103">
        <v>0</v>
      </c>
      <c r="H18" s="100">
        <v>0</v>
      </c>
      <c r="I18" s="101">
        <v>0</v>
      </c>
      <c r="J18" s="104">
        <v>0</v>
      </c>
      <c r="K18" s="103">
        <v>0</v>
      </c>
      <c r="L18" s="100">
        <v>0</v>
      </c>
      <c r="M18" s="101">
        <v>0</v>
      </c>
      <c r="N18" s="104">
        <v>0</v>
      </c>
      <c r="O18" s="103">
        <v>0</v>
      </c>
      <c r="P18" s="100">
        <v>0</v>
      </c>
      <c r="Q18" s="101">
        <v>0</v>
      </c>
      <c r="R18" s="104">
        <v>0</v>
      </c>
      <c r="S18" s="103">
        <v>0</v>
      </c>
      <c r="T18" s="100">
        <v>0</v>
      </c>
      <c r="U18" s="101">
        <v>0</v>
      </c>
      <c r="V18" s="105">
        <v>0</v>
      </c>
      <c r="W18" s="103">
        <v>0</v>
      </c>
      <c r="X18" s="100">
        <v>0</v>
      </c>
      <c r="Y18" s="103">
        <v>0</v>
      </c>
      <c r="Z18" s="100">
        <v>0</v>
      </c>
      <c r="AA18" s="101">
        <v>0</v>
      </c>
      <c r="AB18" s="82">
        <v>0</v>
      </c>
      <c r="AC18" s="82">
        <v>0</v>
      </c>
      <c r="AD18" s="82">
        <v>0</v>
      </c>
      <c r="AE18" s="82">
        <v>0</v>
      </c>
      <c r="AF18" s="82">
        <v>0</v>
      </c>
      <c r="AG18" s="82">
        <v>0</v>
      </c>
      <c r="AH18" s="82">
        <v>0</v>
      </c>
      <c r="AI18" s="82">
        <v>0</v>
      </c>
      <c r="AJ18" s="82">
        <v>0</v>
      </c>
      <c r="AK18" s="82">
        <v>0</v>
      </c>
      <c r="AL18" s="82">
        <v>0</v>
      </c>
      <c r="AM18" s="82">
        <v>0</v>
      </c>
      <c r="AN18" s="82">
        <v>0</v>
      </c>
      <c r="AO18" s="82">
        <v>0</v>
      </c>
      <c r="AP18" s="82">
        <v>0</v>
      </c>
      <c r="AQ18" s="82">
        <v>0</v>
      </c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>
        <v>0</v>
      </c>
      <c r="AZ18" s="82">
        <v>0</v>
      </c>
    </row>
    <row r="19" spans="1:52" ht="15.75" thickBot="1">
      <c r="A19" s="99" t="s">
        <v>124</v>
      </c>
      <c r="B19" s="84">
        <f t="shared" si="0"/>
        <v>0</v>
      </c>
      <c r="C19" s="85">
        <f t="shared" si="1"/>
        <v>0</v>
      </c>
      <c r="D19" s="100">
        <v>0</v>
      </c>
      <c r="E19" s="101">
        <v>0</v>
      </c>
      <c r="F19" s="102">
        <v>0</v>
      </c>
      <c r="G19" s="103">
        <v>0</v>
      </c>
      <c r="H19" s="100">
        <v>0</v>
      </c>
      <c r="I19" s="101">
        <v>0</v>
      </c>
      <c r="J19" s="104">
        <v>0</v>
      </c>
      <c r="K19" s="103">
        <v>0</v>
      </c>
      <c r="L19" s="100">
        <v>0</v>
      </c>
      <c r="M19" s="101">
        <v>0</v>
      </c>
      <c r="N19" s="104">
        <v>0</v>
      </c>
      <c r="O19" s="103">
        <v>0</v>
      </c>
      <c r="P19" s="100">
        <v>0</v>
      </c>
      <c r="Q19" s="101">
        <v>0</v>
      </c>
      <c r="R19" s="104">
        <v>0</v>
      </c>
      <c r="S19" s="103">
        <v>0</v>
      </c>
      <c r="T19" s="100">
        <v>0</v>
      </c>
      <c r="U19" s="101">
        <v>0</v>
      </c>
      <c r="V19" s="105">
        <v>0</v>
      </c>
      <c r="W19" s="103">
        <v>0</v>
      </c>
      <c r="X19" s="100">
        <v>0</v>
      </c>
      <c r="Y19" s="103">
        <v>0</v>
      </c>
      <c r="Z19" s="100">
        <v>0</v>
      </c>
      <c r="AA19" s="101">
        <v>0</v>
      </c>
      <c r="AB19" s="82">
        <v>0</v>
      </c>
      <c r="AC19" s="82">
        <v>0</v>
      </c>
      <c r="AD19" s="82">
        <v>0</v>
      </c>
      <c r="AE19" s="82">
        <v>0</v>
      </c>
      <c r="AF19" s="82">
        <v>0</v>
      </c>
      <c r="AG19" s="82">
        <v>0</v>
      </c>
      <c r="AH19" s="82">
        <v>0</v>
      </c>
      <c r="AI19" s="82">
        <v>0</v>
      </c>
      <c r="AJ19" s="82">
        <v>0</v>
      </c>
      <c r="AK19" s="82">
        <v>0</v>
      </c>
      <c r="AL19" s="82">
        <v>0</v>
      </c>
      <c r="AM19" s="82">
        <v>0</v>
      </c>
      <c r="AN19" s="82">
        <v>0</v>
      </c>
      <c r="AO19" s="82">
        <v>0</v>
      </c>
      <c r="AP19" s="82">
        <v>0</v>
      </c>
      <c r="AQ19" s="82">
        <v>0</v>
      </c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>
        <v>0</v>
      </c>
      <c r="AZ19" s="82">
        <v>0</v>
      </c>
    </row>
    <row r="20" spans="1:52" ht="15.75" thickBot="1">
      <c r="A20" s="77" t="s">
        <v>125</v>
      </c>
      <c r="B20" s="84">
        <f t="shared" si="0"/>
        <v>0</v>
      </c>
      <c r="C20" s="85">
        <f t="shared" si="1"/>
        <v>0</v>
      </c>
      <c r="D20" s="80">
        <v>0</v>
      </c>
      <c r="E20" s="79">
        <v>0</v>
      </c>
      <c r="F20" s="106">
        <v>0</v>
      </c>
      <c r="G20" s="81">
        <v>0</v>
      </c>
      <c r="H20" s="80">
        <v>0</v>
      </c>
      <c r="I20" s="79">
        <v>0</v>
      </c>
      <c r="J20" s="78">
        <v>0</v>
      </c>
      <c r="K20" s="81">
        <v>0</v>
      </c>
      <c r="L20" s="80">
        <v>0</v>
      </c>
      <c r="M20" s="79">
        <v>0</v>
      </c>
      <c r="N20" s="78">
        <v>0</v>
      </c>
      <c r="O20" s="81">
        <v>0</v>
      </c>
      <c r="P20" s="80">
        <v>0</v>
      </c>
      <c r="Q20" s="79">
        <v>0</v>
      </c>
      <c r="R20" s="78">
        <v>0</v>
      </c>
      <c r="S20" s="81">
        <v>0</v>
      </c>
      <c r="T20" s="80">
        <v>0</v>
      </c>
      <c r="U20" s="79">
        <v>0</v>
      </c>
      <c r="V20" s="107">
        <v>0</v>
      </c>
      <c r="W20" s="81">
        <v>0</v>
      </c>
      <c r="X20" s="80">
        <v>0</v>
      </c>
      <c r="Y20" s="81">
        <v>0</v>
      </c>
      <c r="Z20" s="80">
        <v>0</v>
      </c>
      <c r="AA20" s="79">
        <v>0</v>
      </c>
      <c r="AB20" s="82">
        <v>0</v>
      </c>
      <c r="AC20" s="82">
        <v>0</v>
      </c>
      <c r="AD20" s="82">
        <v>0</v>
      </c>
      <c r="AE20" s="82">
        <v>0</v>
      </c>
      <c r="AF20" s="82">
        <v>0</v>
      </c>
      <c r="AG20" s="82">
        <v>0</v>
      </c>
      <c r="AH20" s="82">
        <v>0</v>
      </c>
      <c r="AI20" s="82">
        <v>0</v>
      </c>
      <c r="AJ20" s="82">
        <v>0</v>
      </c>
      <c r="AK20" s="82">
        <v>0</v>
      </c>
      <c r="AL20" s="82">
        <v>0</v>
      </c>
      <c r="AM20" s="82">
        <v>0</v>
      </c>
      <c r="AN20" s="82">
        <v>0</v>
      </c>
      <c r="AO20" s="82">
        <v>0</v>
      </c>
      <c r="AP20" s="82">
        <v>0</v>
      </c>
      <c r="AQ20" s="82">
        <v>0</v>
      </c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>
        <v>0</v>
      </c>
      <c r="AZ20" s="82">
        <v>0</v>
      </c>
    </row>
  </sheetData>
  <mergeCells count="13">
    <mergeCell ref="L1:M1"/>
    <mergeCell ref="B1:C1"/>
    <mergeCell ref="D1:E1"/>
    <mergeCell ref="F1:G1"/>
    <mergeCell ref="H1:I1"/>
    <mergeCell ref="J1:K1"/>
    <mergeCell ref="Z1:AA1"/>
    <mergeCell ref="N1:O1"/>
    <mergeCell ref="P1:Q1"/>
    <mergeCell ref="R1:S1"/>
    <mergeCell ref="T1:U1"/>
    <mergeCell ref="V1:W1"/>
    <mergeCell ref="X1:Y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3.21875" style="12" customWidth="1"/>
    <col min="64" max="16384" width="10.109375" style="12"/>
  </cols>
  <sheetData>
    <row r="1" spans="1:63" ht="24.95" customHeight="1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4"/>
      <c r="K1" s="342" t="s">
        <v>2</v>
      </c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4"/>
      <c r="W1" s="373" t="str">
        <f>IF(表紙!W1="","",表紙!W1)</f>
        <v>基本設計書</v>
      </c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5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367" t="str">
        <f>IF(表紙!A2="","",表紙!A2)</f>
        <v>POSサーバー</v>
      </c>
      <c r="B2" s="368"/>
      <c r="C2" s="368"/>
      <c r="D2" s="368"/>
      <c r="E2" s="368"/>
      <c r="F2" s="368"/>
      <c r="G2" s="368"/>
      <c r="H2" s="368"/>
      <c r="I2" s="368"/>
      <c r="J2" s="369"/>
      <c r="K2" s="367" t="str">
        <f>IF(表紙!K2="","",表紙!K2)</f>
        <v>POSサーバ</v>
      </c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9"/>
      <c r="W2" s="376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8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370"/>
      <c r="B3" s="371"/>
      <c r="C3" s="371"/>
      <c r="D3" s="371"/>
      <c r="E3" s="371"/>
      <c r="F3" s="371"/>
      <c r="G3" s="371"/>
      <c r="H3" s="371"/>
      <c r="I3" s="371"/>
      <c r="J3" s="372"/>
      <c r="K3" s="370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2"/>
      <c r="W3" s="379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1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342" t="s">
        <v>1</v>
      </c>
      <c r="B4" s="343"/>
      <c r="C4" s="343"/>
      <c r="D4" s="343"/>
      <c r="E4" s="343"/>
      <c r="F4" s="343"/>
      <c r="G4" s="344"/>
      <c r="H4" s="345" t="str">
        <f>IF(表紙!H4="","",表紙!H4)</f>
        <v>29_レジ別時間帯別点検</v>
      </c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7"/>
      <c r="U4" s="342" t="s">
        <v>8</v>
      </c>
      <c r="V4" s="343"/>
      <c r="W4" s="343"/>
      <c r="X4" s="343"/>
      <c r="Y4" s="344"/>
      <c r="Z4" s="345" t="str">
        <f>IF(表紙!Z4="","",表紙!Z4)</f>
        <v>概要設計</v>
      </c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7"/>
      <c r="AP4" s="348" t="str">
        <f ca="1">MID(CELL("filename",A1),FIND("]",CELL("filename",A1))+1,255)</f>
        <v>画面設計書</v>
      </c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7"/>
    </row>
    <row r="5" spans="1:63" ht="5.0999999999999996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>
      <c r="A6" s="16"/>
      <c r="BK6" s="17"/>
    </row>
    <row r="7" spans="1:63" ht="15" customHeight="1">
      <c r="A7" s="16"/>
      <c r="B7" s="18" t="s">
        <v>16</v>
      </c>
      <c r="C7" s="18"/>
      <c r="D7" s="18"/>
      <c r="E7" s="18"/>
      <c r="F7" s="18"/>
      <c r="G7" s="18"/>
      <c r="H7" s="18"/>
      <c r="I7" s="18"/>
      <c r="J7" s="18"/>
      <c r="AE7" s="19"/>
      <c r="BK7" s="17"/>
    </row>
    <row r="8" spans="1:63" ht="15" customHeight="1">
      <c r="A8" s="16"/>
      <c r="BK8" s="17"/>
    </row>
    <row r="9" spans="1:63" ht="15" customHeight="1">
      <c r="A9" s="16"/>
      <c r="BK9" s="17"/>
    </row>
    <row r="10" spans="1:63" ht="15" customHeight="1">
      <c r="A10" s="16"/>
      <c r="BK10" s="17"/>
    </row>
    <row r="11" spans="1:63" ht="15" customHeight="1">
      <c r="A11" s="16"/>
      <c r="BK11" s="17"/>
    </row>
    <row r="12" spans="1:63" ht="15" customHeight="1">
      <c r="A12" s="16"/>
      <c r="BK12" s="17"/>
    </row>
    <row r="13" spans="1:63" ht="15" customHeight="1">
      <c r="A13" s="16"/>
      <c r="BK13" s="17"/>
    </row>
    <row r="14" spans="1:63" ht="15" customHeight="1">
      <c r="A14" s="16"/>
      <c r="BK14" s="17"/>
    </row>
    <row r="15" spans="1:63" ht="15" customHeight="1">
      <c r="A15" s="16"/>
      <c r="BK15" s="17"/>
    </row>
    <row r="16" spans="1:63" ht="15" customHeight="1">
      <c r="A16" s="16"/>
      <c r="BK16" s="17"/>
    </row>
    <row r="17" spans="1:63" ht="15" customHeight="1">
      <c r="A17" s="16"/>
      <c r="BK17" s="17"/>
    </row>
    <row r="18" spans="1:63" ht="15" customHeight="1">
      <c r="A18" s="16"/>
      <c r="BK18" s="17"/>
    </row>
    <row r="19" spans="1:63" ht="15" customHeight="1">
      <c r="A19" s="16"/>
      <c r="BK19" s="17"/>
    </row>
    <row r="20" spans="1:63" ht="15" customHeight="1">
      <c r="A20" s="16"/>
      <c r="BK20" s="17"/>
    </row>
    <row r="21" spans="1:63" ht="15" customHeight="1">
      <c r="A21" s="16"/>
      <c r="BK21" s="17"/>
    </row>
    <row r="22" spans="1:63" ht="15" customHeight="1">
      <c r="A22" s="16"/>
      <c r="BK22" s="17"/>
    </row>
    <row r="23" spans="1:63" ht="15" customHeight="1">
      <c r="A23" s="16"/>
      <c r="BK23" s="17"/>
    </row>
    <row r="24" spans="1:63" ht="15" customHeight="1">
      <c r="A24" s="16"/>
      <c r="BK24" s="17"/>
    </row>
    <row r="25" spans="1:63" ht="14.25" customHeight="1">
      <c r="A25" s="16"/>
      <c r="BK25" s="17"/>
    </row>
    <row r="26" spans="1:63" ht="15" customHeight="1">
      <c r="A26" s="16"/>
      <c r="BK26" s="17"/>
    </row>
    <row r="27" spans="1:63" ht="15" customHeight="1">
      <c r="A27" s="16"/>
      <c r="BK27" s="17"/>
    </row>
    <row r="28" spans="1:63">
      <c r="BK28" s="17"/>
    </row>
    <row r="29" spans="1:63">
      <c r="BK29" s="17"/>
    </row>
    <row r="30" spans="1:63">
      <c r="BK30" s="17"/>
    </row>
    <row r="31" spans="1:63">
      <c r="BK31" s="17"/>
    </row>
    <row r="32" spans="1:63">
      <c r="BK32" s="17"/>
    </row>
    <row r="33" spans="1:63">
      <c r="BK33" s="17"/>
    </row>
    <row r="34" spans="1:63">
      <c r="BK34" s="17"/>
    </row>
    <row r="35" spans="1:63" ht="15" customHeight="1">
      <c r="A35" s="16"/>
      <c r="B35" s="19" t="s">
        <v>17</v>
      </c>
      <c r="BK35" s="17"/>
    </row>
    <row r="36" spans="1:63">
      <c r="BK36" s="17"/>
    </row>
    <row r="37" spans="1:63" ht="15.75" customHeight="1">
      <c r="B37" s="349" t="s">
        <v>18</v>
      </c>
      <c r="C37" s="350"/>
      <c r="D37" s="355" t="s">
        <v>71</v>
      </c>
      <c r="E37" s="356"/>
      <c r="F37" s="356"/>
      <c r="G37" s="356"/>
      <c r="H37" s="356"/>
      <c r="I37" s="356"/>
      <c r="J37" s="350"/>
      <c r="K37" s="355" t="s">
        <v>20</v>
      </c>
      <c r="L37" s="356"/>
      <c r="M37" s="350"/>
      <c r="N37" s="359" t="s">
        <v>21</v>
      </c>
      <c r="O37" s="362" t="s">
        <v>22</v>
      </c>
      <c r="P37" s="303" t="s">
        <v>23</v>
      </c>
      <c r="Q37" s="304"/>
      <c r="R37" s="304"/>
      <c r="S37" s="304"/>
      <c r="T37" s="304"/>
      <c r="U37" s="304"/>
      <c r="V37" s="304"/>
      <c r="W37" s="304"/>
      <c r="X37" s="304"/>
      <c r="Y37" s="304"/>
      <c r="Z37" s="304"/>
      <c r="AA37" s="304"/>
      <c r="AB37" s="304"/>
      <c r="AC37" s="304"/>
      <c r="AD37" s="304"/>
      <c r="AE37" s="304"/>
      <c r="AF37" s="304"/>
      <c r="AG37" s="304"/>
      <c r="AH37" s="304"/>
      <c r="AI37" s="304"/>
      <c r="AJ37" s="304"/>
      <c r="AK37" s="304"/>
      <c r="AL37" s="304"/>
      <c r="AM37" s="304"/>
      <c r="AN37" s="304"/>
      <c r="AO37" s="304"/>
      <c r="AP37" s="304"/>
      <c r="AQ37" s="305"/>
      <c r="AR37" s="306" t="s">
        <v>24</v>
      </c>
      <c r="AS37" s="307"/>
      <c r="AT37" s="307"/>
      <c r="AU37" s="307"/>
      <c r="AV37" s="307"/>
      <c r="AW37" s="307"/>
      <c r="AX37" s="307"/>
      <c r="AY37" s="307"/>
      <c r="AZ37" s="307"/>
      <c r="BA37" s="307"/>
      <c r="BB37" s="308"/>
      <c r="BC37" s="309" t="s">
        <v>25</v>
      </c>
      <c r="BD37" s="310"/>
      <c r="BE37" s="310"/>
      <c r="BF37" s="310"/>
      <c r="BG37" s="310"/>
      <c r="BH37" s="310"/>
      <c r="BI37" s="310"/>
      <c r="BJ37" s="311"/>
      <c r="BK37" s="17"/>
    </row>
    <row r="38" spans="1:63" ht="15.75" customHeight="1">
      <c r="B38" s="351"/>
      <c r="C38" s="352"/>
      <c r="D38" s="351"/>
      <c r="E38" s="357"/>
      <c r="F38" s="357"/>
      <c r="G38" s="357"/>
      <c r="H38" s="357"/>
      <c r="I38" s="357"/>
      <c r="J38" s="352"/>
      <c r="K38" s="351"/>
      <c r="L38" s="357"/>
      <c r="M38" s="352"/>
      <c r="N38" s="360"/>
      <c r="O38" s="363"/>
      <c r="P38" s="318" t="s">
        <v>51</v>
      </c>
      <c r="Q38" s="319"/>
      <c r="R38" s="319"/>
      <c r="S38" s="319"/>
      <c r="T38" s="319"/>
      <c r="U38" s="319"/>
      <c r="V38" s="319"/>
      <c r="W38" s="320"/>
      <c r="X38" s="321" t="s">
        <v>27</v>
      </c>
      <c r="Y38" s="322"/>
      <c r="Z38" s="323"/>
      <c r="AA38" s="321" t="s">
        <v>28</v>
      </c>
      <c r="AB38" s="322"/>
      <c r="AC38" s="322"/>
      <c r="AD38" s="322"/>
      <c r="AE38" s="322"/>
      <c r="AF38" s="322"/>
      <c r="AG38" s="322"/>
      <c r="AH38" s="323"/>
      <c r="AI38" s="321" t="s">
        <v>29</v>
      </c>
      <c r="AJ38" s="322"/>
      <c r="AK38" s="322"/>
      <c r="AL38" s="322"/>
      <c r="AM38" s="322"/>
      <c r="AN38" s="322"/>
      <c r="AO38" s="322"/>
      <c r="AP38" s="322"/>
      <c r="AQ38" s="323"/>
      <c r="AR38" s="327" t="s">
        <v>30</v>
      </c>
      <c r="AS38" s="329" t="s">
        <v>31</v>
      </c>
      <c r="AT38" s="331" t="s">
        <v>32</v>
      </c>
      <c r="AU38" s="306" t="s">
        <v>26</v>
      </c>
      <c r="AV38" s="307"/>
      <c r="AW38" s="307"/>
      <c r="AX38" s="307"/>
      <c r="AY38" s="307"/>
      <c r="AZ38" s="307"/>
      <c r="BA38" s="307"/>
      <c r="BB38" s="308"/>
      <c r="BC38" s="312"/>
      <c r="BD38" s="313"/>
      <c r="BE38" s="313"/>
      <c r="BF38" s="313"/>
      <c r="BG38" s="313"/>
      <c r="BH38" s="313"/>
      <c r="BI38" s="313"/>
      <c r="BJ38" s="314"/>
      <c r="BK38" s="17"/>
    </row>
    <row r="39" spans="1:63">
      <c r="B39" s="353"/>
      <c r="C39" s="354"/>
      <c r="D39" s="353"/>
      <c r="E39" s="358"/>
      <c r="F39" s="358"/>
      <c r="G39" s="358"/>
      <c r="H39" s="358"/>
      <c r="I39" s="358"/>
      <c r="J39" s="354"/>
      <c r="K39" s="353"/>
      <c r="L39" s="358"/>
      <c r="M39" s="354"/>
      <c r="N39" s="361"/>
      <c r="O39" s="364"/>
      <c r="P39" s="303" t="s">
        <v>52</v>
      </c>
      <c r="Q39" s="304"/>
      <c r="R39" s="304"/>
      <c r="S39" s="305"/>
      <c r="T39" s="303" t="s">
        <v>47</v>
      </c>
      <c r="U39" s="304"/>
      <c r="V39" s="304"/>
      <c r="W39" s="305"/>
      <c r="X39" s="324"/>
      <c r="Y39" s="325"/>
      <c r="Z39" s="326"/>
      <c r="AA39" s="324"/>
      <c r="AB39" s="325"/>
      <c r="AC39" s="325"/>
      <c r="AD39" s="325"/>
      <c r="AE39" s="325"/>
      <c r="AF39" s="325"/>
      <c r="AG39" s="325"/>
      <c r="AH39" s="326"/>
      <c r="AI39" s="324"/>
      <c r="AJ39" s="325"/>
      <c r="AK39" s="325"/>
      <c r="AL39" s="325"/>
      <c r="AM39" s="325"/>
      <c r="AN39" s="325"/>
      <c r="AO39" s="325"/>
      <c r="AP39" s="325"/>
      <c r="AQ39" s="326"/>
      <c r="AR39" s="328"/>
      <c r="AS39" s="330"/>
      <c r="AT39" s="332"/>
      <c r="AU39" s="306" t="s">
        <v>33</v>
      </c>
      <c r="AV39" s="307"/>
      <c r="AW39" s="307"/>
      <c r="AX39" s="365"/>
      <c r="AY39" s="366" t="s">
        <v>19</v>
      </c>
      <c r="AZ39" s="307"/>
      <c r="BA39" s="307"/>
      <c r="BB39" s="308"/>
      <c r="BC39" s="315"/>
      <c r="BD39" s="316"/>
      <c r="BE39" s="316"/>
      <c r="BF39" s="316"/>
      <c r="BG39" s="316"/>
      <c r="BH39" s="316"/>
      <c r="BI39" s="316"/>
      <c r="BJ39" s="317"/>
      <c r="BK39" s="17"/>
    </row>
    <row r="40" spans="1:63" ht="15.75" customHeight="1">
      <c r="B40" s="296">
        <v>1</v>
      </c>
      <c r="C40" s="297"/>
      <c r="D40" s="298"/>
      <c r="E40" s="299"/>
      <c r="F40" s="299"/>
      <c r="G40" s="299"/>
      <c r="H40" s="299"/>
      <c r="I40" s="299"/>
      <c r="J40" s="300"/>
      <c r="K40" s="279" t="s">
        <v>72</v>
      </c>
      <c r="L40" s="280"/>
      <c r="M40" s="281"/>
      <c r="N40" s="20" t="s">
        <v>35</v>
      </c>
      <c r="O40" s="21" t="s">
        <v>36</v>
      </c>
      <c r="P40" s="301" t="s">
        <v>35</v>
      </c>
      <c r="Q40" s="302"/>
      <c r="R40" s="302"/>
      <c r="S40" s="297"/>
      <c r="T40" s="301" t="s">
        <v>35</v>
      </c>
      <c r="U40" s="302"/>
      <c r="V40" s="302"/>
      <c r="W40" s="297"/>
      <c r="X40" s="333" t="s">
        <v>99</v>
      </c>
      <c r="Y40" s="334"/>
      <c r="Z40" s="335"/>
      <c r="AA40" s="296" t="s">
        <v>74</v>
      </c>
      <c r="AB40" s="302"/>
      <c r="AC40" s="302"/>
      <c r="AD40" s="302"/>
      <c r="AE40" s="302"/>
      <c r="AF40" s="302"/>
      <c r="AG40" s="302"/>
      <c r="AH40" s="297"/>
      <c r="AI40" s="336" t="s">
        <v>35</v>
      </c>
      <c r="AJ40" s="337"/>
      <c r="AK40" s="337"/>
      <c r="AL40" s="337"/>
      <c r="AM40" s="337"/>
      <c r="AN40" s="337"/>
      <c r="AO40" s="337"/>
      <c r="AP40" s="337"/>
      <c r="AQ40" s="338"/>
      <c r="AR40" s="22" t="s">
        <v>35</v>
      </c>
      <c r="AS40" s="22" t="s">
        <v>74</v>
      </c>
      <c r="AT40" s="22" t="s">
        <v>74</v>
      </c>
      <c r="AU40" s="296" t="s">
        <v>38</v>
      </c>
      <c r="AV40" s="302"/>
      <c r="AW40" s="302"/>
      <c r="AX40" s="297"/>
      <c r="AY40" s="296" t="s">
        <v>74</v>
      </c>
      <c r="AZ40" s="302"/>
      <c r="BA40" s="302"/>
      <c r="BB40" s="297"/>
      <c r="BC40" s="339"/>
      <c r="BD40" s="340"/>
      <c r="BE40" s="340"/>
      <c r="BF40" s="340"/>
      <c r="BG40" s="340"/>
      <c r="BH40" s="340"/>
      <c r="BI40" s="340"/>
      <c r="BJ40" s="341"/>
      <c r="BK40" s="17"/>
    </row>
    <row r="41" spans="1:63">
      <c r="B41" s="266">
        <v>2</v>
      </c>
      <c r="C41" s="265"/>
      <c r="D41" s="293"/>
      <c r="E41" s="294"/>
      <c r="F41" s="294"/>
      <c r="G41" s="294"/>
      <c r="H41" s="294"/>
      <c r="I41" s="294"/>
      <c r="J41" s="295"/>
      <c r="K41" s="279" t="s">
        <v>48</v>
      </c>
      <c r="L41" s="280"/>
      <c r="M41" s="281"/>
      <c r="N41" s="21" t="s">
        <v>49</v>
      </c>
      <c r="O41" s="21" t="s">
        <v>36</v>
      </c>
      <c r="P41" s="266" t="s">
        <v>38</v>
      </c>
      <c r="Q41" s="264"/>
      <c r="R41" s="264"/>
      <c r="S41" s="265"/>
      <c r="T41" s="266" t="s">
        <v>38</v>
      </c>
      <c r="U41" s="264"/>
      <c r="V41" s="264"/>
      <c r="W41" s="265"/>
      <c r="X41" s="289" t="s">
        <v>100</v>
      </c>
      <c r="Y41" s="290"/>
      <c r="Z41" s="291"/>
      <c r="AA41" s="266" t="s">
        <v>74</v>
      </c>
      <c r="AB41" s="264"/>
      <c r="AC41" s="264"/>
      <c r="AD41" s="264"/>
      <c r="AE41" s="264"/>
      <c r="AF41" s="264"/>
      <c r="AG41" s="264"/>
      <c r="AH41" s="265"/>
      <c r="AI41" s="267" t="s">
        <v>74</v>
      </c>
      <c r="AJ41" s="268"/>
      <c r="AK41" s="268"/>
      <c r="AL41" s="268"/>
      <c r="AM41" s="268"/>
      <c r="AN41" s="268"/>
      <c r="AO41" s="268"/>
      <c r="AP41" s="268"/>
      <c r="AQ41" s="269"/>
      <c r="AR41" s="23" t="s">
        <v>35</v>
      </c>
      <c r="AS41" s="23" t="s">
        <v>74</v>
      </c>
      <c r="AT41" s="23" t="s">
        <v>74</v>
      </c>
      <c r="AU41" s="266" t="s">
        <v>38</v>
      </c>
      <c r="AV41" s="264"/>
      <c r="AW41" s="264"/>
      <c r="AX41" s="265"/>
      <c r="AY41" s="266" t="s">
        <v>74</v>
      </c>
      <c r="AZ41" s="264"/>
      <c r="BA41" s="264"/>
      <c r="BB41" s="265"/>
      <c r="BC41" s="288"/>
      <c r="BD41" s="271"/>
      <c r="BE41" s="271"/>
      <c r="BF41" s="271"/>
      <c r="BG41" s="271"/>
      <c r="BH41" s="271"/>
      <c r="BI41" s="271"/>
      <c r="BJ41" s="272"/>
      <c r="BK41" s="17"/>
    </row>
    <row r="42" spans="1:63">
      <c r="B42" s="266">
        <v>3</v>
      </c>
      <c r="C42" s="265"/>
      <c r="D42" s="276"/>
      <c r="E42" s="277"/>
      <c r="F42" s="277"/>
      <c r="G42" s="277"/>
      <c r="H42" s="277"/>
      <c r="I42" s="277"/>
      <c r="J42" s="278"/>
      <c r="K42" s="279" t="s">
        <v>40</v>
      </c>
      <c r="L42" s="280"/>
      <c r="M42" s="281"/>
      <c r="N42" s="21" t="s">
        <v>73</v>
      </c>
      <c r="O42" s="21" t="s">
        <v>35</v>
      </c>
      <c r="P42" s="292" t="s">
        <v>35</v>
      </c>
      <c r="Q42" s="264"/>
      <c r="R42" s="264"/>
      <c r="S42" s="265"/>
      <c r="T42" s="266"/>
      <c r="U42" s="264"/>
      <c r="V42" s="264"/>
      <c r="W42" s="265"/>
      <c r="X42" s="285" t="s">
        <v>35</v>
      </c>
      <c r="Y42" s="286"/>
      <c r="Z42" s="287"/>
      <c r="AA42" s="266" t="s">
        <v>74</v>
      </c>
      <c r="AB42" s="264"/>
      <c r="AC42" s="264"/>
      <c r="AD42" s="264"/>
      <c r="AE42" s="264"/>
      <c r="AF42" s="264"/>
      <c r="AG42" s="264"/>
      <c r="AH42" s="265"/>
      <c r="AI42" s="267" t="s">
        <v>74</v>
      </c>
      <c r="AJ42" s="268"/>
      <c r="AK42" s="268"/>
      <c r="AL42" s="268"/>
      <c r="AM42" s="268"/>
      <c r="AN42" s="268"/>
      <c r="AO42" s="268"/>
      <c r="AP42" s="268"/>
      <c r="AQ42" s="269"/>
      <c r="AR42" s="23" t="s">
        <v>35</v>
      </c>
      <c r="AS42" s="23" t="s">
        <v>74</v>
      </c>
      <c r="AT42" s="23" t="s">
        <v>74</v>
      </c>
      <c r="AU42" s="266" t="s">
        <v>38</v>
      </c>
      <c r="AV42" s="264"/>
      <c r="AW42" s="264"/>
      <c r="AX42" s="265"/>
      <c r="AY42" s="266" t="s">
        <v>74</v>
      </c>
      <c r="AZ42" s="264"/>
      <c r="BA42" s="264"/>
      <c r="BB42" s="265"/>
      <c r="BC42" s="270"/>
      <c r="BD42" s="271"/>
      <c r="BE42" s="271"/>
      <c r="BF42" s="271"/>
      <c r="BG42" s="271"/>
      <c r="BH42" s="271"/>
      <c r="BI42" s="271"/>
      <c r="BJ42" s="272"/>
      <c r="BK42" s="17"/>
    </row>
    <row r="43" spans="1:63">
      <c r="B43" s="266">
        <v>4</v>
      </c>
      <c r="C43" s="265"/>
      <c r="D43" s="282"/>
      <c r="E43" s="283"/>
      <c r="F43" s="283"/>
      <c r="G43" s="283"/>
      <c r="H43" s="283"/>
      <c r="I43" s="283"/>
      <c r="J43" s="284"/>
      <c r="K43" s="279" t="s">
        <v>34</v>
      </c>
      <c r="L43" s="280"/>
      <c r="M43" s="281"/>
      <c r="N43" s="24" t="s">
        <v>39</v>
      </c>
      <c r="O43" s="21" t="s">
        <v>36</v>
      </c>
      <c r="P43" s="266" t="s">
        <v>38</v>
      </c>
      <c r="Q43" s="264"/>
      <c r="R43" s="264"/>
      <c r="S43" s="265"/>
      <c r="T43" s="266" t="s">
        <v>38</v>
      </c>
      <c r="U43" s="264"/>
      <c r="V43" s="264"/>
      <c r="W43" s="265"/>
      <c r="X43" s="263" t="s">
        <v>42</v>
      </c>
      <c r="Y43" s="264"/>
      <c r="Z43" s="265"/>
      <c r="AA43" s="266" t="s">
        <v>74</v>
      </c>
      <c r="AB43" s="264"/>
      <c r="AC43" s="264"/>
      <c r="AD43" s="264"/>
      <c r="AE43" s="264"/>
      <c r="AF43" s="264"/>
      <c r="AG43" s="264"/>
      <c r="AH43" s="265"/>
      <c r="AI43" s="267" t="s">
        <v>74</v>
      </c>
      <c r="AJ43" s="268"/>
      <c r="AK43" s="268"/>
      <c r="AL43" s="268"/>
      <c r="AM43" s="268"/>
      <c r="AN43" s="268"/>
      <c r="AO43" s="268"/>
      <c r="AP43" s="268"/>
      <c r="AQ43" s="269"/>
      <c r="AR43" s="23" t="s">
        <v>35</v>
      </c>
      <c r="AS43" s="23" t="s">
        <v>74</v>
      </c>
      <c r="AT43" s="23" t="s">
        <v>74</v>
      </c>
      <c r="AU43" s="266" t="s">
        <v>38</v>
      </c>
      <c r="AV43" s="264"/>
      <c r="AW43" s="264"/>
      <c r="AX43" s="265"/>
      <c r="AY43" s="266" t="s">
        <v>74</v>
      </c>
      <c r="AZ43" s="264"/>
      <c r="BA43" s="264"/>
      <c r="BB43" s="265"/>
      <c r="BC43" s="273"/>
      <c r="BD43" s="274"/>
      <c r="BE43" s="274"/>
      <c r="BF43" s="274"/>
      <c r="BG43" s="274"/>
      <c r="BH43" s="274"/>
      <c r="BI43" s="274"/>
      <c r="BJ43" s="275"/>
      <c r="BK43" s="17"/>
    </row>
    <row r="44" spans="1:63">
      <c r="B44" s="266">
        <v>5</v>
      </c>
      <c r="C44" s="265"/>
      <c r="D44" s="276"/>
      <c r="E44" s="277"/>
      <c r="F44" s="277"/>
      <c r="G44" s="277"/>
      <c r="H44" s="277"/>
      <c r="I44" s="277"/>
      <c r="J44" s="278"/>
      <c r="K44" s="279" t="s">
        <v>43</v>
      </c>
      <c r="L44" s="280"/>
      <c r="M44" s="281"/>
      <c r="N44" s="24" t="s">
        <v>50</v>
      </c>
      <c r="O44" s="21" t="s">
        <v>35</v>
      </c>
      <c r="P44" s="266" t="s">
        <v>38</v>
      </c>
      <c r="Q44" s="264"/>
      <c r="R44" s="264"/>
      <c r="S44" s="265"/>
      <c r="T44" s="266" t="s">
        <v>38</v>
      </c>
      <c r="U44" s="264"/>
      <c r="V44" s="264"/>
      <c r="W44" s="265"/>
      <c r="X44" s="263" t="s">
        <v>35</v>
      </c>
      <c r="Y44" s="264"/>
      <c r="Z44" s="265"/>
      <c r="AA44" s="266" t="s">
        <v>74</v>
      </c>
      <c r="AB44" s="264"/>
      <c r="AC44" s="264"/>
      <c r="AD44" s="264"/>
      <c r="AE44" s="264"/>
      <c r="AF44" s="264"/>
      <c r="AG44" s="264"/>
      <c r="AH44" s="265"/>
      <c r="AI44" s="267" t="s">
        <v>74</v>
      </c>
      <c r="AJ44" s="268"/>
      <c r="AK44" s="268"/>
      <c r="AL44" s="268"/>
      <c r="AM44" s="268"/>
      <c r="AN44" s="268"/>
      <c r="AO44" s="268"/>
      <c r="AP44" s="268"/>
      <c r="AQ44" s="269"/>
      <c r="AR44" s="23" t="s">
        <v>35</v>
      </c>
      <c r="AS44" s="23" t="s">
        <v>74</v>
      </c>
      <c r="AT44" s="23" t="s">
        <v>74</v>
      </c>
      <c r="AU44" s="266" t="s">
        <v>38</v>
      </c>
      <c r="AV44" s="264"/>
      <c r="AW44" s="264"/>
      <c r="AX44" s="265"/>
      <c r="AY44" s="266" t="s">
        <v>53</v>
      </c>
      <c r="AZ44" s="264"/>
      <c r="BA44" s="264"/>
      <c r="BB44" s="265"/>
      <c r="BC44" s="270"/>
      <c r="BD44" s="271"/>
      <c r="BE44" s="271"/>
      <c r="BF44" s="271"/>
      <c r="BG44" s="271"/>
      <c r="BH44" s="271"/>
      <c r="BI44" s="271"/>
      <c r="BJ44" s="272"/>
      <c r="BK44" s="17"/>
    </row>
    <row r="45" spans="1:63">
      <c r="B45" s="245">
        <v>6</v>
      </c>
      <c r="C45" s="247"/>
      <c r="D45" s="254"/>
      <c r="E45" s="255"/>
      <c r="F45" s="255"/>
      <c r="G45" s="255"/>
      <c r="H45" s="255"/>
      <c r="I45" s="255"/>
      <c r="J45" s="256"/>
      <c r="K45" s="257" t="s">
        <v>44</v>
      </c>
      <c r="L45" s="258"/>
      <c r="M45" s="259"/>
      <c r="N45" s="25" t="s">
        <v>41</v>
      </c>
      <c r="O45" s="25" t="s">
        <v>36</v>
      </c>
      <c r="P45" s="245" t="s">
        <v>38</v>
      </c>
      <c r="Q45" s="246"/>
      <c r="R45" s="246"/>
      <c r="S45" s="247"/>
      <c r="T45" s="245" t="s">
        <v>38</v>
      </c>
      <c r="U45" s="246"/>
      <c r="V45" s="246"/>
      <c r="W45" s="247"/>
      <c r="X45" s="260" t="s">
        <v>101</v>
      </c>
      <c r="Y45" s="261"/>
      <c r="Z45" s="262"/>
      <c r="AA45" s="245" t="s">
        <v>53</v>
      </c>
      <c r="AB45" s="246"/>
      <c r="AC45" s="246"/>
      <c r="AD45" s="246"/>
      <c r="AE45" s="246"/>
      <c r="AF45" s="246"/>
      <c r="AG45" s="246"/>
      <c r="AH45" s="247"/>
      <c r="AI45" s="248" t="s">
        <v>45</v>
      </c>
      <c r="AJ45" s="249"/>
      <c r="AK45" s="249"/>
      <c r="AL45" s="249"/>
      <c r="AM45" s="249"/>
      <c r="AN45" s="249"/>
      <c r="AO45" s="249"/>
      <c r="AP45" s="249"/>
      <c r="AQ45" s="250"/>
      <c r="AR45" s="26" t="s">
        <v>35</v>
      </c>
      <c r="AS45" s="26" t="s">
        <v>53</v>
      </c>
      <c r="AT45" s="26" t="s">
        <v>53</v>
      </c>
      <c r="AU45" s="245" t="s">
        <v>38</v>
      </c>
      <c r="AV45" s="246"/>
      <c r="AW45" s="246"/>
      <c r="AX45" s="247"/>
      <c r="AY45" s="245" t="s">
        <v>37</v>
      </c>
      <c r="AZ45" s="246"/>
      <c r="BA45" s="246"/>
      <c r="BB45" s="247"/>
      <c r="BC45" s="251" t="s">
        <v>46</v>
      </c>
      <c r="BD45" s="252"/>
      <c r="BE45" s="252"/>
      <c r="BF45" s="252"/>
      <c r="BG45" s="252"/>
      <c r="BH45" s="252"/>
      <c r="BI45" s="252"/>
      <c r="BJ45" s="253"/>
      <c r="BK45" s="17"/>
    </row>
    <row r="46" spans="1:63">
      <c r="BK46" s="17"/>
    </row>
    <row r="47" spans="1:63">
      <c r="BK47" s="17"/>
    </row>
    <row r="48" spans="1:63">
      <c r="BK48" s="17"/>
    </row>
    <row r="49" spans="1:63">
      <c r="BK49" s="17"/>
    </row>
    <row r="50" spans="1:63">
      <c r="BK50" s="17"/>
    </row>
    <row r="51" spans="1:63">
      <c r="BK51" s="17"/>
    </row>
    <row r="52" spans="1:63">
      <c r="BK52" s="17"/>
    </row>
    <row r="53" spans="1:63">
      <c r="BK53" s="17"/>
    </row>
    <row r="54" spans="1:63">
      <c r="BK54" s="17"/>
    </row>
    <row r="55" spans="1:6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7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/>
  <cols>
    <col min="1" max="60" width="2.77734375" customWidth="1"/>
  </cols>
  <sheetData>
    <row r="1" spans="1:63" ht="24.95" customHeight="1">
      <c r="A1" s="342" t="s">
        <v>0</v>
      </c>
      <c r="B1" s="343"/>
      <c r="C1" s="343"/>
      <c r="D1" s="343"/>
      <c r="E1" s="343"/>
      <c r="F1" s="343"/>
      <c r="G1" s="343"/>
      <c r="H1" s="343"/>
      <c r="I1" s="343"/>
      <c r="J1" s="344"/>
      <c r="K1" s="342" t="s">
        <v>2</v>
      </c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4"/>
      <c r="W1" s="373" t="str">
        <f>IF(表紙!W1="","",表紙!W1)</f>
        <v>基本設計書</v>
      </c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  <c r="AK1" s="374"/>
      <c r="AL1" s="374"/>
      <c r="AM1" s="374"/>
      <c r="AN1" s="374"/>
      <c r="AO1" s="375"/>
      <c r="AP1" s="209" t="s">
        <v>3</v>
      </c>
      <c r="AQ1" s="210"/>
      <c r="AR1" s="210"/>
      <c r="AS1" s="211"/>
      <c r="AT1" s="209" t="s">
        <v>4</v>
      </c>
      <c r="AU1" s="210"/>
      <c r="AV1" s="210"/>
      <c r="AW1" s="210"/>
      <c r="AX1" s="211"/>
      <c r="AY1" s="209" t="s">
        <v>5</v>
      </c>
      <c r="AZ1" s="210"/>
      <c r="BA1" s="210"/>
      <c r="BB1" s="211"/>
      <c r="BC1" s="209" t="s">
        <v>6</v>
      </c>
      <c r="BD1" s="210"/>
      <c r="BE1" s="210"/>
      <c r="BF1" s="210"/>
      <c r="BG1" s="211"/>
      <c r="BH1" s="209" t="s">
        <v>7</v>
      </c>
      <c r="BI1" s="210"/>
      <c r="BJ1" s="210"/>
      <c r="BK1" s="211"/>
    </row>
    <row r="2" spans="1:63" ht="15" customHeight="1">
      <c r="A2" s="367" t="str">
        <f>IF(表紙!A2="","",表紙!A2)</f>
        <v>POSサーバー</v>
      </c>
      <c r="B2" s="368"/>
      <c r="C2" s="368"/>
      <c r="D2" s="368"/>
      <c r="E2" s="368"/>
      <c r="F2" s="368"/>
      <c r="G2" s="368"/>
      <c r="H2" s="368"/>
      <c r="I2" s="368"/>
      <c r="J2" s="369"/>
      <c r="K2" s="367" t="str">
        <f>IF(表紙!K2="","",表紙!K2)</f>
        <v>POSサーバ</v>
      </c>
      <c r="L2" s="368"/>
      <c r="M2" s="368"/>
      <c r="N2" s="368"/>
      <c r="O2" s="368"/>
      <c r="P2" s="368"/>
      <c r="Q2" s="368"/>
      <c r="R2" s="368"/>
      <c r="S2" s="368"/>
      <c r="T2" s="368"/>
      <c r="U2" s="368"/>
      <c r="V2" s="369"/>
      <c r="W2" s="376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7"/>
      <c r="AJ2" s="377"/>
      <c r="AK2" s="377"/>
      <c r="AL2" s="377"/>
      <c r="AM2" s="377"/>
      <c r="AN2" s="377"/>
      <c r="AO2" s="378"/>
      <c r="AP2" s="215" t="str">
        <f>IF(表紙!AP2="","",表紙!AP2)</f>
        <v>LoiLV</v>
      </c>
      <c r="AQ2" s="216"/>
      <c r="AR2" s="216"/>
      <c r="AS2" s="217"/>
      <c r="AT2" s="221">
        <f>IF(表紙!AT2="","",表紙!AT2)</f>
        <v>45460</v>
      </c>
      <c r="AU2" s="222"/>
      <c r="AV2" s="222"/>
      <c r="AW2" s="222"/>
      <c r="AX2" s="223"/>
      <c r="AY2" s="215" t="str">
        <f>IF(表紙!AY2="","",表紙!AY2)</f>
        <v>AnhNM</v>
      </c>
      <c r="AZ2" s="216"/>
      <c r="BA2" s="216"/>
      <c r="BB2" s="217"/>
      <c r="BC2" s="221">
        <f>IF(表紙!BC2="","",表紙!BC2)</f>
        <v>45583</v>
      </c>
      <c r="BD2" s="222"/>
      <c r="BE2" s="222"/>
      <c r="BF2" s="222"/>
      <c r="BG2" s="223"/>
      <c r="BH2" s="215">
        <f>IF(表紙!BH2="","",表紙!BH2)</f>
        <v>0.4</v>
      </c>
      <c r="BI2" s="216"/>
      <c r="BJ2" s="216"/>
      <c r="BK2" s="217"/>
    </row>
    <row r="3" spans="1:63" ht="15" customHeight="1">
      <c r="A3" s="370"/>
      <c r="B3" s="371"/>
      <c r="C3" s="371"/>
      <c r="D3" s="371"/>
      <c r="E3" s="371"/>
      <c r="F3" s="371"/>
      <c r="G3" s="371"/>
      <c r="H3" s="371"/>
      <c r="I3" s="371"/>
      <c r="J3" s="372"/>
      <c r="K3" s="370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2"/>
      <c r="W3" s="379"/>
      <c r="X3" s="380"/>
      <c r="Y3" s="380"/>
      <c r="Z3" s="380"/>
      <c r="AA3" s="380"/>
      <c r="AB3" s="380"/>
      <c r="AC3" s="380"/>
      <c r="AD3" s="380"/>
      <c r="AE3" s="380"/>
      <c r="AF3" s="380"/>
      <c r="AG3" s="380"/>
      <c r="AH3" s="380"/>
      <c r="AI3" s="380"/>
      <c r="AJ3" s="380"/>
      <c r="AK3" s="380"/>
      <c r="AL3" s="380"/>
      <c r="AM3" s="380"/>
      <c r="AN3" s="380"/>
      <c r="AO3" s="381"/>
      <c r="AP3" s="218"/>
      <c r="AQ3" s="219"/>
      <c r="AR3" s="219"/>
      <c r="AS3" s="220"/>
      <c r="AT3" s="224"/>
      <c r="AU3" s="225"/>
      <c r="AV3" s="225"/>
      <c r="AW3" s="225"/>
      <c r="AX3" s="226"/>
      <c r="AY3" s="218"/>
      <c r="AZ3" s="219"/>
      <c r="BA3" s="219"/>
      <c r="BB3" s="220"/>
      <c r="BC3" s="224"/>
      <c r="BD3" s="225"/>
      <c r="BE3" s="225"/>
      <c r="BF3" s="225"/>
      <c r="BG3" s="226"/>
      <c r="BH3" s="218"/>
      <c r="BI3" s="219"/>
      <c r="BJ3" s="219"/>
      <c r="BK3" s="220"/>
    </row>
    <row r="4" spans="1:63" ht="24.95" customHeight="1">
      <c r="A4" s="342" t="s">
        <v>1</v>
      </c>
      <c r="B4" s="343"/>
      <c r="C4" s="343"/>
      <c r="D4" s="343"/>
      <c r="E4" s="343"/>
      <c r="F4" s="343"/>
      <c r="G4" s="344"/>
      <c r="H4" s="345" t="str">
        <f>IF(表紙!H4="","",表紙!H4)</f>
        <v>29_レジ別時間帯別点検</v>
      </c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7"/>
      <c r="U4" s="342" t="s">
        <v>8</v>
      </c>
      <c r="V4" s="343"/>
      <c r="W4" s="343"/>
      <c r="X4" s="343"/>
      <c r="Y4" s="344"/>
      <c r="Z4" s="345" t="str">
        <f>IF(表紙!Z4="","",表紙!Z4)</f>
        <v>概要設計</v>
      </c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7"/>
      <c r="AP4" s="348" t="str">
        <f ca="1">MID(CELL("filename",A1),FIND("]",CELL("filename",A1))+1,255)</f>
        <v>テンプレート</v>
      </c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7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9"/>
      <c r="U7" s="7"/>
      <c r="V7" s="8"/>
      <c r="W7" s="8"/>
      <c r="X7" s="8"/>
      <c r="Y7" s="8"/>
      <c r="Z7" s="8"/>
      <c r="AA7" s="8"/>
      <c r="AB7" s="8"/>
      <c r="AC7" s="9"/>
      <c r="AD7" s="7"/>
      <c r="AE7" s="8"/>
      <c r="AF7" s="8"/>
      <c r="AG7" s="8"/>
      <c r="AH7" s="8"/>
      <c r="AI7" s="8"/>
      <c r="AJ7" s="8"/>
      <c r="AK7" s="8"/>
      <c r="AL7" s="9"/>
      <c r="AM7" s="7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9"/>
      <c r="BJ7" s="8"/>
      <c r="BK7" s="4"/>
    </row>
    <row r="8" spans="1:63" ht="15" customHeight="1">
      <c r="A8" s="1"/>
      <c r="C8" s="27"/>
      <c r="U8" s="27"/>
      <c r="AD8" s="27"/>
      <c r="AM8" s="27"/>
      <c r="BI8" s="29"/>
    </row>
    <row r="9" spans="1:63" ht="15" customHeight="1">
      <c r="A9" s="1"/>
      <c r="C9" s="27"/>
      <c r="U9" s="27"/>
      <c r="AD9" s="27"/>
      <c r="AM9" s="27"/>
      <c r="BI9" s="29"/>
    </row>
    <row r="10" spans="1:63" ht="15" customHeight="1">
      <c r="A10" s="1"/>
      <c r="C10" s="27"/>
      <c r="U10" s="27"/>
      <c r="AD10" s="27"/>
      <c r="AM10" s="27"/>
      <c r="BI10" s="29"/>
    </row>
    <row r="11" spans="1:63" ht="15" customHeight="1">
      <c r="A11" s="1"/>
      <c r="C11" s="27"/>
      <c r="U11" s="27"/>
      <c r="AD11" s="27"/>
      <c r="AM11" s="27"/>
      <c r="BI11" s="29"/>
    </row>
    <row r="12" spans="1:63" ht="15" customHeight="1">
      <c r="A12" s="1"/>
      <c r="C12" s="27"/>
      <c r="U12" s="27"/>
      <c r="AD12" s="27"/>
      <c r="AM12" s="27"/>
      <c r="AX12" t="s">
        <v>55</v>
      </c>
      <c r="BI12" s="29"/>
    </row>
    <row r="13" spans="1:63" ht="15" customHeight="1">
      <c r="A13" s="1"/>
      <c r="C13" s="27"/>
      <c r="U13" s="27"/>
      <c r="AD13" s="27"/>
      <c r="AM13" s="27"/>
      <c r="BI13" s="29"/>
    </row>
    <row r="14" spans="1:63" ht="15" customHeight="1">
      <c r="A14" s="1"/>
      <c r="C14" s="27"/>
      <c r="U14" s="27"/>
      <c r="AD14" s="27"/>
      <c r="AM14" s="27"/>
      <c r="BI14" s="29"/>
    </row>
    <row r="15" spans="1:63" ht="15" customHeight="1">
      <c r="A15" s="1"/>
      <c r="C15" s="27"/>
      <c r="U15" s="27"/>
      <c r="AD15" s="27"/>
      <c r="AM15" s="27"/>
      <c r="BI15" s="29"/>
    </row>
    <row r="16" spans="1:63" ht="15" customHeight="1">
      <c r="A16" s="1"/>
      <c r="C16" s="27"/>
      <c r="U16" s="27"/>
      <c r="AD16" s="27"/>
      <c r="AM16" s="27"/>
      <c r="BI16" s="29"/>
    </row>
    <row r="17" spans="1:61" ht="15" customHeight="1">
      <c r="A17" s="1"/>
      <c r="C17" s="27"/>
      <c r="U17" s="27"/>
      <c r="AD17" s="27"/>
      <c r="AM17" s="27"/>
      <c r="BI17" s="29"/>
    </row>
    <row r="18" spans="1:61" ht="15" customHeight="1">
      <c r="A18" s="1"/>
      <c r="C18" s="27"/>
      <c r="U18" s="27"/>
      <c r="AD18" s="27"/>
      <c r="AM18" s="27"/>
      <c r="BI18" s="29"/>
    </row>
    <row r="19" spans="1:61" ht="15" customHeight="1">
      <c r="A19" s="1"/>
      <c r="C19" s="27"/>
      <c r="U19" s="27"/>
      <c r="AD19" s="27"/>
      <c r="AM19" s="27"/>
      <c r="BI19" s="29"/>
    </row>
    <row r="20" spans="1:61" ht="15" customHeight="1">
      <c r="A20" s="1"/>
      <c r="C20" s="27"/>
      <c r="U20" s="27"/>
      <c r="AD20" s="27"/>
      <c r="AM20" s="27"/>
      <c r="BI20" s="29"/>
    </row>
    <row r="21" spans="1:61" ht="15" customHeight="1">
      <c r="A21" s="1"/>
      <c r="C21" s="27"/>
      <c r="U21" s="27"/>
      <c r="AD21" s="27"/>
      <c r="AM21" s="27"/>
      <c r="BI21" s="29"/>
    </row>
    <row r="22" spans="1:61" ht="15" customHeight="1">
      <c r="A22" s="1"/>
      <c r="C22" s="27"/>
      <c r="U22" s="27"/>
      <c r="AD22" s="27"/>
      <c r="AM22" s="27"/>
      <c r="BI22" s="29"/>
    </row>
    <row r="23" spans="1:61" ht="15" customHeight="1">
      <c r="A23" s="1"/>
      <c r="C23" s="27"/>
      <c r="U23" s="27"/>
      <c r="AD23" s="27"/>
      <c r="AM23" s="27"/>
      <c r="BI23" s="29"/>
    </row>
    <row r="24" spans="1:61" ht="15" customHeight="1">
      <c r="A24" s="1"/>
      <c r="C24" s="27"/>
      <c r="U24" s="27"/>
      <c r="AD24" s="27"/>
      <c r="AM24" s="27"/>
      <c r="BI24" s="29"/>
    </row>
    <row r="25" spans="1:61" ht="15" customHeight="1">
      <c r="A25" s="1"/>
      <c r="C25" s="27"/>
      <c r="U25" s="27"/>
      <c r="AD25" s="27"/>
      <c r="AM25" s="27"/>
      <c r="BI25" s="29"/>
    </row>
    <row r="26" spans="1:61" ht="15" customHeight="1">
      <c r="A26" s="1"/>
      <c r="C26" s="27"/>
      <c r="U26" s="27"/>
      <c r="AD26" s="27"/>
      <c r="AM26" s="27"/>
      <c r="BI26" s="29"/>
    </row>
    <row r="27" spans="1:61" ht="15" customHeight="1">
      <c r="A27" s="1"/>
      <c r="C27" s="27"/>
      <c r="U27" s="27"/>
      <c r="AD27" s="27"/>
      <c r="AM27" s="27"/>
      <c r="BI27" s="29"/>
    </row>
    <row r="28" spans="1:61" ht="15" customHeight="1">
      <c r="A28" s="1"/>
      <c r="C28" s="27"/>
      <c r="U28" s="27"/>
      <c r="AD28" s="27"/>
      <c r="AM28" s="27"/>
      <c r="BI28" s="29"/>
    </row>
    <row r="29" spans="1:61" ht="15" customHeight="1">
      <c r="A29" s="1"/>
      <c r="C29" s="27"/>
      <c r="U29" s="27"/>
      <c r="AD29" s="27"/>
      <c r="AM29" s="27"/>
      <c r="BI29" s="29"/>
    </row>
    <row r="30" spans="1:61" ht="15" customHeight="1">
      <c r="A30" s="1"/>
      <c r="C30" s="27"/>
      <c r="U30" s="27"/>
      <c r="AD30" s="27"/>
      <c r="AM30" s="27"/>
      <c r="BI30" s="29"/>
    </row>
    <row r="31" spans="1:61" ht="15" customHeight="1">
      <c r="A31" s="1"/>
      <c r="C31" s="27"/>
      <c r="U31" s="27"/>
      <c r="AD31" s="27"/>
      <c r="AM31" s="27"/>
      <c r="BI31" s="29"/>
    </row>
    <row r="32" spans="1:61" ht="15" customHeight="1">
      <c r="A32" s="1"/>
      <c r="C32" s="27"/>
      <c r="U32" s="27"/>
      <c r="AD32" s="27"/>
      <c r="AM32" s="27"/>
      <c r="BI32" s="29"/>
    </row>
    <row r="33" spans="1:61" ht="15" customHeight="1">
      <c r="A33" s="1"/>
      <c r="C33" s="27"/>
      <c r="U33" s="27"/>
      <c r="AD33" s="27"/>
      <c r="AM33" s="27"/>
      <c r="BI33" s="29"/>
    </row>
    <row r="34" spans="1:61" ht="15" customHeight="1">
      <c r="A34" s="1"/>
      <c r="C34" s="27"/>
      <c r="U34" s="27"/>
      <c r="AD34" s="27"/>
      <c r="AM34" s="27"/>
      <c r="BI34" s="29"/>
    </row>
    <row r="35" spans="1:61" ht="15" customHeight="1">
      <c r="A35" s="1"/>
      <c r="C35" s="27"/>
      <c r="U35" s="27"/>
      <c r="AD35" s="27"/>
      <c r="AM35" s="27"/>
      <c r="BI35" s="29"/>
    </row>
    <row r="36" spans="1:61" ht="15" customHeight="1">
      <c r="A36" s="1"/>
      <c r="C36" s="27"/>
      <c r="U36" s="27"/>
      <c r="AD36" s="27"/>
      <c r="AM36" s="27"/>
      <c r="BI36" s="29"/>
    </row>
    <row r="37" spans="1:61" ht="15" customHeight="1">
      <c r="A37" s="1"/>
      <c r="C37" s="27"/>
      <c r="U37" s="27"/>
      <c r="AD37" s="27"/>
      <c r="AM37" s="27"/>
      <c r="BI37" s="29"/>
    </row>
    <row r="38" spans="1:61" ht="15" customHeight="1">
      <c r="A38" s="1"/>
      <c r="C38" s="27"/>
      <c r="U38" s="27"/>
      <c r="AD38" s="27"/>
      <c r="AM38" s="27"/>
      <c r="BI38" s="29"/>
    </row>
    <row r="39" spans="1:61" ht="15" customHeight="1">
      <c r="A39" s="1"/>
      <c r="C39" s="27"/>
      <c r="U39" s="27"/>
      <c r="AD39" s="27"/>
      <c r="AM39" s="27"/>
      <c r="BI39" s="29"/>
    </row>
    <row r="40" spans="1:61" ht="15" customHeight="1">
      <c r="A40" s="1"/>
      <c r="C40" s="27"/>
      <c r="U40" s="27"/>
      <c r="AD40" s="27"/>
      <c r="AM40" s="27"/>
      <c r="BI40" s="29"/>
    </row>
    <row r="41" spans="1:61" ht="15" customHeight="1">
      <c r="A41" s="1"/>
      <c r="C41" s="27"/>
      <c r="U41" s="27"/>
      <c r="AD41" s="27"/>
      <c r="AM41" s="27"/>
      <c r="BI41" s="29"/>
    </row>
    <row r="42" spans="1:61" ht="15" customHeight="1">
      <c r="A42" s="1"/>
      <c r="C42" s="27"/>
      <c r="U42" s="27"/>
      <c r="AD42" s="27"/>
      <c r="AM42" s="27"/>
      <c r="BI42" s="29"/>
    </row>
    <row r="43" spans="1:61" ht="15" customHeight="1">
      <c r="A43" s="1"/>
      <c r="C43" s="27"/>
      <c r="U43" s="27"/>
      <c r="AD43" s="27"/>
      <c r="AM43" s="27"/>
      <c r="BI43" s="29"/>
    </row>
    <row r="44" spans="1:61" ht="15" customHeight="1">
      <c r="A44" s="1"/>
      <c r="C44" s="27"/>
      <c r="U44" s="27"/>
      <c r="AD44" s="27"/>
      <c r="AM44" s="27"/>
      <c r="BI44" s="29"/>
    </row>
    <row r="45" spans="1:61" ht="15" customHeight="1">
      <c r="A45" s="1"/>
      <c r="C45" s="27"/>
      <c r="U45" s="27"/>
      <c r="AD45" s="27"/>
      <c r="AM45" s="27"/>
      <c r="BI45" s="29"/>
    </row>
    <row r="46" spans="1:61" ht="15" customHeight="1">
      <c r="A46" s="1"/>
      <c r="C46" s="27"/>
      <c r="U46" s="27"/>
      <c r="AD46" s="27"/>
      <c r="AM46" s="27"/>
      <c r="BI46" s="29"/>
    </row>
    <row r="47" spans="1:61" ht="15" customHeight="1">
      <c r="A47" s="1"/>
      <c r="C47" s="27"/>
      <c r="U47" s="27"/>
      <c r="AD47" s="27"/>
      <c r="AM47" s="27"/>
      <c r="BI47" s="29"/>
    </row>
    <row r="48" spans="1:61" ht="15" customHeight="1">
      <c r="A48" s="1"/>
      <c r="C48" s="27"/>
      <c r="U48" s="27"/>
      <c r="AD48" s="27"/>
      <c r="AM48" s="27"/>
      <c r="BI48" s="29"/>
    </row>
    <row r="49" spans="1:63" ht="15" customHeight="1">
      <c r="A49" s="1"/>
      <c r="C49" s="27"/>
      <c r="U49" s="27"/>
      <c r="AD49" s="27"/>
      <c r="AM49" s="27"/>
      <c r="BI49" s="29"/>
    </row>
    <row r="50" spans="1:63" ht="15" customHeight="1">
      <c r="A50" s="1"/>
      <c r="C50" s="27"/>
      <c r="U50" s="27"/>
      <c r="AD50" s="27"/>
      <c r="AM50" s="27"/>
      <c r="BI50" s="29"/>
    </row>
    <row r="51" spans="1:63" ht="15" customHeight="1">
      <c r="A51" s="1"/>
      <c r="C51" s="27"/>
      <c r="U51" s="27"/>
      <c r="AD51" s="27"/>
      <c r="AM51" s="27"/>
      <c r="BI51" s="29"/>
    </row>
    <row r="52" spans="1:63" ht="15" customHeight="1">
      <c r="A52" s="1"/>
      <c r="C52" s="27"/>
      <c r="U52" s="27"/>
      <c r="AD52" s="27"/>
      <c r="AM52" s="27"/>
      <c r="BI52" s="29"/>
    </row>
    <row r="53" spans="1:63" ht="15" customHeight="1">
      <c r="A53" s="1"/>
      <c r="C53" s="27"/>
      <c r="U53" s="27"/>
      <c r="AD53" s="27"/>
      <c r="AM53" s="27"/>
      <c r="BI53" s="29"/>
    </row>
    <row r="54" spans="1:63" ht="15" customHeight="1">
      <c r="A54" s="1"/>
      <c r="C54" s="27"/>
      <c r="U54" s="27"/>
      <c r="AD54" s="27"/>
      <c r="AM54" s="27"/>
      <c r="BI54" s="29"/>
    </row>
    <row r="55" spans="1:63" ht="15" customHeight="1">
      <c r="A55" s="2"/>
      <c r="B55" s="2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28"/>
      <c r="V55" s="3"/>
      <c r="W55" s="3"/>
      <c r="X55" s="3"/>
      <c r="Y55" s="3"/>
      <c r="Z55" s="3"/>
      <c r="AA55" s="3"/>
      <c r="AB55" s="3"/>
      <c r="AC55" s="3"/>
      <c r="AD55" s="28"/>
      <c r="AE55" s="3"/>
      <c r="AF55" s="3"/>
      <c r="AG55" s="3"/>
      <c r="AH55" s="3"/>
      <c r="AI55" s="3"/>
      <c r="AJ55" s="3"/>
      <c r="AK55" s="3"/>
      <c r="AL55" s="3"/>
      <c r="AM55" s="28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0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表紙</vt:lpstr>
      <vt:lpstr>改訂履歴</vt:lpstr>
      <vt:lpstr>指摘履歴</vt:lpstr>
      <vt:lpstr>業務フロー</vt:lpstr>
      <vt:lpstr>機能概要説明</vt:lpstr>
      <vt:lpstr>機能概要</vt:lpstr>
      <vt:lpstr>レジ別時間他別客数構成比</vt:lpstr>
      <vt:lpstr>画面設計書</vt:lpstr>
      <vt:lpstr>テンプレート</vt:lpstr>
      <vt:lpstr>テンプレート!Print_Area</vt:lpstr>
      <vt:lpstr>指摘履歴!Print_Area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Mai Anh</cp:lastModifiedBy>
  <dcterms:created xsi:type="dcterms:W3CDTF">2015-06-05T18:19:34Z</dcterms:created>
  <dcterms:modified xsi:type="dcterms:W3CDTF">2024-10-18T03:38:04Z</dcterms:modified>
  <cp:category/>
  <cp:contentStatus/>
</cp:coreProperties>
</file>