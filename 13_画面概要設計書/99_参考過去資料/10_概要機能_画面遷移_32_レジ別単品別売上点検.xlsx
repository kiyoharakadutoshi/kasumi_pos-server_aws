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D:\Pos system\10_機能概要_画面遷移\"/>
    </mc:Choice>
  </mc:AlternateContent>
  <xr:revisionPtr revIDLastSave="0" documentId="13_ncr:1_{846F0061-D7C9-48A9-ACFA-67A717DB5B68}"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指摘履歴" sheetId="9" r:id="rId3"/>
    <sheet name="業務フロー" sheetId="6" r:id="rId4"/>
    <sheet name="機能概要説明" sheetId="8" r:id="rId5"/>
    <sheet name="機能概要" sheetId="5" r:id="rId6"/>
    <sheet name="画面設計書" sheetId="7" r:id="rId7"/>
    <sheet name="テンプレート" sheetId="2" r:id="rId8"/>
  </sheets>
  <definedNames>
    <definedName name="_xlnm.Print_Area" localSheetId="7">テンプレート!$A$1:$BK$55</definedName>
    <definedName name="_xlnm.Print_Area" localSheetId="2">指摘履歴!$A$1:$BK$55</definedName>
    <definedName name="_xlnm.Print_Area" localSheetId="1">改訂履歴!$A$1:$BK$55</definedName>
    <definedName name="_xlnm.Print_Area" localSheetId="5">機能概要!$A$1:$BK$201</definedName>
    <definedName name="_xlnm.Print_Area" localSheetId="4">機能概要説明!$A$1:$BK$57</definedName>
    <definedName name="_xlnm.Print_Area" localSheetId="0">表紙!$A$1:$BK$55</definedName>
    <definedName name="_xlnm.Print_Titles" localSheetId="7">テンプレート!$1:$5</definedName>
    <definedName name="_xlnm.Print_Titles" localSheetId="2">指摘履歴!$1:$5</definedName>
    <definedName name="_xlnm.Print_Titles" localSheetId="1">改訂履歴!$1:$5</definedName>
    <definedName name="_xlnm.Print_Titles" localSheetId="3">業務フロー!$1:$5</definedName>
    <definedName name="_xlnm.Print_Titles" localSheetId="5">機能概要!$1:$5</definedName>
    <definedName name="_xlnm.Print_Titles" localSheetId="4">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9" l="1" a="1"/>
  <c r="AP4" i="9" s="1"/>
  <c r="Z4" i="9"/>
  <c r="H4" i="9"/>
  <c r="BH2" i="9"/>
  <c r="BC2" i="9"/>
  <c r="AY2" i="9"/>
  <c r="AT2" i="9"/>
  <c r="AP2" i="9"/>
  <c r="K2" i="9"/>
  <c r="A2" i="9"/>
  <c r="W1" i="9"/>
  <c r="AP4" i="2"/>
  <c r="Z4" i="2"/>
  <c r="H4" i="2"/>
  <c r="AP2" i="2"/>
  <c r="K2" i="2"/>
  <c r="A2" i="2"/>
  <c r="W1" i="2"/>
  <c r="AP4" i="7"/>
  <c r="Z4" i="7"/>
  <c r="H4" i="7"/>
  <c r="AP2" i="7"/>
  <c r="K2" i="7"/>
  <c r="A2" i="7"/>
  <c r="W1" i="7"/>
  <c r="BM8" i="5"/>
  <c r="BM9" i="5" s="1"/>
  <c r="BM10" i="5" s="1"/>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BM96" i="5" s="1"/>
  <c r="BM97" i="5" s="1"/>
  <c r="BM98" i="5" s="1"/>
  <c r="BM99" i="5" s="1"/>
  <c r="BM100" i="5" s="1"/>
  <c r="BM101" i="5" s="1"/>
  <c r="BM102" i="5" s="1"/>
  <c r="BM103" i="5" s="1"/>
  <c r="BM104" i="5" s="1"/>
  <c r="BM105" i="5" s="1"/>
  <c r="BM106" i="5" s="1"/>
  <c r="BM107" i="5" s="1"/>
  <c r="BM108" i="5" s="1"/>
  <c r="BM109" i="5" s="1"/>
  <c r="BM110" i="5" s="1"/>
  <c r="BM111" i="5" s="1"/>
  <c r="BM112" i="5" s="1"/>
  <c r="BM113" i="5" s="1"/>
  <c r="BM114" i="5" s="1"/>
  <c r="BM115" i="5" s="1"/>
  <c r="BM116" i="5" s="1"/>
  <c r="BM117" i="5" s="1"/>
  <c r="BM118" i="5" s="1"/>
  <c r="BM119" i="5" s="1"/>
  <c r="BM120" i="5" s="1"/>
  <c r="BM121" i="5" s="1"/>
  <c r="BM122" i="5" s="1"/>
  <c r="BM123" i="5" s="1"/>
  <c r="BM124" i="5" s="1"/>
  <c r="BM125" i="5" s="1"/>
  <c r="BM126" i="5" s="1"/>
  <c r="BM127" i="5" s="1"/>
  <c r="BM128" i="5" s="1"/>
  <c r="BM129" i="5" s="1"/>
  <c r="BM130" i="5" s="1"/>
  <c r="BM131" i="5" s="1"/>
  <c r="BM132" i="5" s="1"/>
  <c r="BM133" i="5" s="1"/>
  <c r="BM134" i="5" s="1"/>
  <c r="BM135" i="5" s="1"/>
  <c r="BM136" i="5" s="1"/>
  <c r="BM137" i="5" s="1"/>
  <c r="BM138" i="5" s="1"/>
  <c r="BM139" i="5" s="1"/>
  <c r="BM140" i="5" s="1"/>
  <c r="BM141" i="5" s="1"/>
  <c r="BM142" i="5" s="1"/>
  <c r="BM143" i="5" s="1"/>
  <c r="BM144" i="5" s="1"/>
  <c r="BM145" i="5" s="1"/>
  <c r="BM146" i="5" s="1"/>
  <c r="BM147" i="5" s="1"/>
  <c r="BM148" i="5" s="1"/>
  <c r="BM149" i="5" s="1"/>
  <c r="BM150" i="5" s="1"/>
  <c r="BM151" i="5" s="1"/>
  <c r="BM152" i="5" s="1"/>
  <c r="BM153" i="5" s="1"/>
  <c r="BM154" i="5" s="1"/>
  <c r="BM155" i="5" s="1"/>
  <c r="BM156" i="5" s="1"/>
  <c r="BM157" i="5" s="1"/>
  <c r="BM158" i="5" s="1"/>
  <c r="BM159" i="5" s="1"/>
  <c r="BM160" i="5" s="1"/>
  <c r="BM161" i="5" s="1"/>
  <c r="BM162" i="5" s="1"/>
  <c r="BM163" i="5" s="1"/>
  <c r="BM164" i="5" s="1"/>
  <c r="BM165" i="5" s="1"/>
  <c r="BM166" i="5" s="1"/>
  <c r="BM167" i="5" s="1"/>
  <c r="BM168" i="5" s="1"/>
  <c r="BM169" i="5" s="1"/>
  <c r="BM170" i="5" s="1"/>
  <c r="BM171" i="5" s="1"/>
  <c r="BM172" i="5" s="1"/>
  <c r="BM173" i="5" s="1"/>
  <c r="BM174" i="5" s="1"/>
  <c r="BM175" i="5" s="1"/>
  <c r="BM176" i="5" s="1"/>
  <c r="BM177" i="5" s="1"/>
  <c r="BM178" i="5" s="1"/>
  <c r="BM179" i="5" s="1"/>
  <c r="BM180" i="5" s="1"/>
  <c r="BM181" i="5" s="1"/>
  <c r="BM182" i="5" s="1"/>
  <c r="BM183" i="5" s="1"/>
  <c r="BM184" i="5" s="1"/>
  <c r="BM185" i="5" s="1"/>
  <c r="BM186" i="5" s="1"/>
  <c r="BM187" i="5" s="1"/>
  <c r="BM188" i="5" s="1"/>
  <c r="BM189" i="5" s="1"/>
  <c r="BM190" i="5" s="1"/>
  <c r="BM191" i="5" s="1"/>
  <c r="BM192" i="5" s="1"/>
  <c r="BM193" i="5" s="1"/>
  <c r="BM194" i="5" s="1"/>
  <c r="BM195" i="5" s="1"/>
  <c r="BM196" i="5" s="1"/>
  <c r="BM197" i="5" s="1"/>
  <c r="BM198" i="5" s="1"/>
  <c r="BM199" i="5" s="1"/>
  <c r="BM200" i="5" s="1"/>
  <c r="BM201" i="5" s="1"/>
  <c r="AP4" i="5" a="1"/>
  <c r="AP4" i="5" s="1"/>
  <c r="Z4" i="5"/>
  <c r="H4" i="5"/>
  <c r="AT2" i="5"/>
  <c r="K2" i="5"/>
  <c r="A2" i="5"/>
  <c r="W1" i="5"/>
  <c r="BM10" i="8"/>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BM7" i="8"/>
  <c r="BM8" i="8" s="1"/>
  <c r="BM9" i="8" s="1"/>
  <c r="AP4" i="8" a="1"/>
  <c r="AP4" i="8" s="1"/>
  <c r="Z4" i="8"/>
  <c r="H4" i="8"/>
  <c r="AT2" i="8"/>
  <c r="AP2" i="8"/>
  <c r="K2" i="8"/>
  <c r="A2" i="8"/>
  <c r="W1" i="8"/>
  <c r="AP4" i="6" a="1"/>
  <c r="AP4" i="6" s="1"/>
  <c r="Z4" i="6"/>
  <c r="H4" i="6"/>
  <c r="AP2" i="6"/>
  <c r="K2" i="6"/>
  <c r="A2" i="6"/>
  <c r="W1" i="6"/>
  <c r="AP4" i="3" a="1"/>
  <c r="AP4" i="3" s="1"/>
  <c r="Z4" i="3"/>
  <c r="H4" i="3"/>
  <c r="AP2" i="3"/>
  <c r="K2" i="3"/>
  <c r="A2" i="3"/>
  <c r="W1" i="3"/>
  <c r="L24" i="4"/>
  <c r="AP4" i="4" a="1"/>
  <c r="AP4" i="4" s="1"/>
  <c r="BH2" i="4"/>
  <c r="BH2" i="5" s="1"/>
  <c r="BC2" i="4"/>
  <c r="AY2" i="4"/>
  <c r="AY2" i="5" s="1"/>
  <c r="AT2" i="4"/>
  <c r="AT2" i="7" s="1"/>
  <c r="AP2" i="4"/>
  <c r="AP2" i="5" s="1"/>
  <c r="BH2" i="3" l="1"/>
  <c r="BH2" i="8"/>
  <c r="BH2" i="6"/>
  <c r="BC2" i="2"/>
  <c r="BC2" i="8"/>
  <c r="BC2" i="6"/>
  <c r="BC2" i="5"/>
  <c r="BC2" i="3"/>
  <c r="BC2" i="7"/>
  <c r="AY2" i="7"/>
  <c r="AY2" i="3"/>
  <c r="AY2" i="2"/>
  <c r="AY2" i="8"/>
  <c r="AY2" i="6"/>
  <c r="BH2" i="2"/>
  <c r="AT2" i="2"/>
  <c r="AT2" i="3"/>
  <c r="BH2" i="7"/>
</calcChain>
</file>

<file path=xl/sharedStrings.xml><?xml version="1.0" encoding="utf-8"?>
<sst xmlns="http://schemas.openxmlformats.org/spreadsheetml/2006/main" count="221" uniqueCount="84">
  <si>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</si>
  <si>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</si>
  <si>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</si>
  <si>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</si>
  <si>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</si>
  <si>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</si>
  <si>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</si>
  <si>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</si>
  <si>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</si>
  <si>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000000"/>
        <rFont val="Meiryo UI"/>
        <family val="2"/>
      </rPr>
      <t>POSサーバ</t>
    </r>
  </si>
  <si>
    <r>
      <rPr>
        <sz val="11"/>
        <color rgb="FF000000"/>
        <rFont val="Meiryo UI"/>
        <family val="2"/>
      </rPr>
      <t>概要設計</t>
    </r>
  </si>
  <si>
    <r>
      <rPr>
        <sz val="11"/>
        <color rgb="FFFFFFFF"/>
        <rFont val="Meiryo UI"/>
        <family val="3"/>
        <charset val="128"/>
      </rPr>
      <t>●1_自動釣銭機</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</si>
  <si>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</si>
  <si>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</si>
  <si>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新規作成</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</si>
  <si>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</si>
  <si>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</si>
  <si>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</si>
  <si>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</si>
  <si>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</si>
  <si>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</si>
  <si>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</si>
  <si>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</si>
  <si>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</si>
  <si>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</si>
  <si>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EditText</t>
    </r>
  </si>
  <si>
    <r>
      <rPr>
        <sz val="11"/>
        <color rgb="FF000000"/>
        <rFont val="Meiryo UI"/>
        <family val="2"/>
      </rPr>
      <t>ボタン</t>
    </r>
  </si>
  <si>
    <r>
      <rPr>
        <sz val="11"/>
        <color rgb="FF000000"/>
        <rFont val="Meiryo UI"/>
        <family val="2"/>
      </rPr>
      <t>Enable</t>
    </r>
  </si>
  <si>
    <r>
      <rPr>
        <sz val="11"/>
        <color rgb="FF000000"/>
        <rFont val="Meiryo UI"/>
        <family val="2"/>
      </rPr>
      <t>Login-01/EmployeeMaster</t>
    </r>
  </si>
  <si>
    <t>`</t>
  </si>
  <si>
    <r>
      <rPr>
        <sz val="11"/>
        <color rgb="FF000000"/>
        <rFont val="Meiryo UI"/>
        <family val="2"/>
      </rPr>
      <t>レジ別単品別売上点検機能では次のことが可能になる。</t>
    </r>
  </si>
  <si>
    <r>
      <rPr>
        <sz val="11"/>
        <color rgb="FF000000"/>
        <rFont val="Meiryo UI"/>
        <family val="2"/>
      </rPr>
      <t>・レジ別商品売上を検索する。</t>
    </r>
  </si>
  <si>
    <r>
      <rPr>
        <sz val="11"/>
        <color rgb="FF000000"/>
        <rFont val="Meiryo UI"/>
        <family val="2"/>
      </rPr>
      <t>FC3202_営業種別選択機能</t>
    </r>
  </si>
  <si>
    <r>
      <rPr>
        <sz val="11"/>
        <color rgb="FF000000"/>
        <rFont val="Meiryo UI"/>
        <family val="2"/>
      </rPr>
      <t>FC3203_出力单位選択機能</t>
    </r>
  </si>
  <si>
    <r>
      <rPr>
        <sz val="11"/>
        <color rgb="FF000000"/>
        <rFont val="Meiryo UI"/>
        <family val="2"/>
      </rPr>
      <t>2024年06月11日の議事録による更新</t>
    </r>
  </si>
  <si>
    <r>
      <rPr>
        <sz val="11"/>
        <color rgb="FF000000"/>
        <rFont val="Meiryo UI"/>
        <family val="2"/>
      </rPr>
      <t>32_レジ別単品別売上点検</t>
    </r>
  </si>
  <si>
    <r>
      <rPr>
        <sz val="11"/>
        <color rgb="FFFFFFFF"/>
        <rFont val="Meiryo UI"/>
        <family val="3"/>
        <charset val="128"/>
      </rPr>
      <t>機能カテゴリー</t>
    </r>
  </si>
  <si>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</si>
  <si>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</si>
  <si>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</si>
  <si>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</si>
  <si>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</si>
  <si>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</si>
  <si>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</si>
  <si>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</si>
  <si>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</si>
  <si>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</si>
  <si>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</si>
  <si>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POSサーバーの基本設計書</t>
  </si>
  <si>
    <r>
      <rPr>
        <sz val="11"/>
        <color rgb="FFFFFFFF"/>
        <rFont val="Meiryo UI"/>
        <family val="2"/>
      </rPr>
      <t>承認日</t>
    </r>
  </si>
  <si>
    <r>
      <rPr>
        <sz val="11"/>
        <color rgb="FFFFFFFF"/>
        <rFont val="Meiryo UI"/>
        <family val="2"/>
      </rPr>
      <t>承認者</t>
    </r>
  </si>
  <si>
    <r>
      <rPr>
        <sz val="11"/>
        <color rgb="FFFFFFFF"/>
        <rFont val="Meiryo UI"/>
        <family val="2"/>
      </rPr>
      <t>機能カテゴリー</t>
    </r>
  </si>
  <si>
    <r>
      <rPr>
        <sz val="11"/>
        <color rgb="FFFFFFFF"/>
        <rFont val="Meiryo UI"/>
        <family val="2"/>
      </rPr>
      <t>更新内容</t>
    </r>
  </si>
  <si>
    <t>SonMNT</t>
  </si>
  <si>
    <t>システム名</t>
  </si>
  <si>
    <t>32_レジ別単品別売上点検</t>
  </si>
  <si>
    <t>Android POS Control</t>
  </si>
  <si>
    <r>
      <rPr>
        <sz val="11"/>
        <color rgb="FF000000"/>
        <rFont val="Meiryo UI"/>
        <family val="2"/>
      </rPr>
      <t>Password</t>
    </r>
  </si>
  <si>
    <t>■画面項目定義</t>
  </si>
  <si>
    <t>画面項目ID</t>
  </si>
  <si>
    <t>項目</t>
  </si>
  <si>
    <t>Type</t>
  </si>
  <si>
    <t>多言語対象</t>
  </si>
  <si>
    <t>アウトプット</t>
  </si>
  <si>
    <t>インプット</t>
  </si>
  <si>
    <t>備考</t>
  </si>
  <si>
    <t>マッピングデータ</t>
  </si>
  <si>
    <t>初期値</t>
  </si>
  <si>
    <t>表示コントロール</t>
  </si>
  <si>
    <t>Control enable</t>
  </si>
  <si>
    <t>数字</t>
  </si>
  <si>
    <t>文字</t>
  </si>
  <si>
    <t>API名</t>
  </si>
  <si>
    <t>User ID</t>
  </si>
  <si>
    <t>Login</t>
  </si>
  <si>
    <t>TinNH</t>
  </si>
  <si>
    <t>2024年07月02日の議事録による更新</t>
  </si>
  <si>
    <t>・レジ別時間帯別売上を表示する。</t>
  </si>
  <si>
    <t>FC3204_レジ別時間帯別売上情報取得</t>
  </si>
  <si>
    <t>機能概要</t>
  </si>
  <si>
    <t>【レジ番号】項目追加</t>
  </si>
  <si>
    <t>佐々木</t>
  </si>
  <si>
    <t>　【サマリ】画面は不要</t>
  </si>
  <si>
    <t>　【端末番号】を必須条件より外し項目名を【レジ番号】とし、明細項目に【レジ番号】を表示させる。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</si>
</sst>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18"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
      <sz val="11"/>
      <color rgb="FF0000FF"/>
      <name val="Meiryo UI"/>
      <family val="2"/>
    </font>
  </fonts>
  <fills count="8">
    <fill>
      <patternFill patternType="none"/>
    </fill>
    <fill>
      <patternFill patternType="gray125"/>
    </fill>
    <fill>
      <patternFill patternType="solid">
        <fgColor rgb="FF333399"/>
        <bgColor indexed="64"/>
      </patternFill>
    </fill>
    <fill>
      <patternFill patternType="solid">
        <fgColor theme="4" tint="0.79989013336588644"/>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99CCFF"/>
        <bgColor indexed="64"/>
      </patternFill>
    </fill>
  </fills>
  <borders count="49">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9" fillId="0" borderId="0">
      <alignment vertical="center"/>
    </xf>
  </cellStyleXfs>
  <cellXfs count="323">
    <xf numFmtId="0" fontId="0" fillId="0" borderId="0" xfId="0"/>
    <xf numFmtId="0" fontId="2"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1" xfId="6" applyFont="1" applyBorder="1" applyAlignment="1">
      <alignment vertical="center"/>
    </xf>
    <xf numFmtId="0" fontId="6" fillId="0" borderId="4" xfId="6" applyFont="1" applyBorder="1" applyAlignment="1">
      <alignment vertical="center"/>
    </xf>
    <xf numFmtId="0" fontId="7" fillId="0" borderId="0" xfId="6" applyFont="1" applyAlignment="1">
      <alignment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vertical="center"/>
    </xf>
    <xf numFmtId="0" fontId="6" fillId="0" borderId="23" xfId="6" applyFont="1" applyBorder="1" applyAlignment="1">
      <alignment vertical="center"/>
    </xf>
    <xf numFmtId="0" fontId="6" fillId="0" borderId="25" xfId="6" applyFont="1" applyBorder="1" applyAlignment="1">
      <alignment horizontal="center" vertical="center"/>
    </xf>
    <xf numFmtId="0" fontId="6" fillId="0" borderId="26" xfId="6" applyFont="1" applyBorder="1" applyAlignment="1">
      <alignment horizontal="center" vertical="center"/>
    </xf>
    <xf numFmtId="0" fontId="6" fillId="0" borderId="26" xfId="6" applyFont="1" applyBorder="1" applyAlignment="1">
      <alignment vertical="center"/>
    </xf>
    <xf numFmtId="0" fontId="14" fillId="0" borderId="0" xfId="0" applyFont="1"/>
    <xf numFmtId="0" fontId="14" fillId="0" borderId="2" xfId="0" applyFont="1" applyBorder="1"/>
    <xf numFmtId="0" fontId="14" fillId="0" borderId="3" xfId="0" applyFont="1" applyBorder="1"/>
    <xf numFmtId="0" fontId="14" fillId="0" borderId="5" xfId="0" applyFont="1" applyBorder="1"/>
    <xf numFmtId="0" fontId="14" fillId="0" borderId="1" xfId="0" applyFont="1" applyBorder="1"/>
    <xf numFmtId="0" fontId="14" fillId="0" borderId="4" xfId="0" applyFont="1" applyBorder="1"/>
    <xf numFmtId="0" fontId="14" fillId="0" borderId="7" xfId="0" applyFont="1" applyBorder="1"/>
    <xf numFmtId="0" fontId="14" fillId="0" borderId="8" xfId="0" applyFont="1" applyBorder="1"/>
    <xf numFmtId="0" fontId="14" fillId="0" borderId="11" xfId="0" applyFont="1" applyBorder="1"/>
    <xf numFmtId="0" fontId="14" fillId="0" borderId="6" xfId="0" applyFont="1" applyBorder="1"/>
    <xf numFmtId="0" fontId="14" fillId="0" borderId="12" xfId="0" applyFont="1" applyBorder="1"/>
    <xf numFmtId="0" fontId="14" fillId="0" borderId="14" xfId="0" applyFont="1" applyBorder="1"/>
    <xf numFmtId="0" fontId="14" fillId="0" borderId="15" xfId="0" applyFont="1" applyBorder="1"/>
    <xf numFmtId="0" fontId="14" fillId="0" borderId="9" xfId="0" applyFont="1" applyBorder="1"/>
    <xf numFmtId="0" fontId="14" fillId="0" borderId="10" xfId="0" applyFont="1" applyBorder="1"/>
    <xf numFmtId="0" fontId="14" fillId="0" borderId="13" xfId="0" applyFont="1" applyBorder="1"/>
    <xf numFmtId="0" fontId="0" fillId="0" borderId="2" xfId="0" applyBorder="1"/>
    <xf numFmtId="0" fontId="0" fillId="0" borderId="3" xfId="0" applyBorder="1"/>
    <xf numFmtId="0" fontId="0" fillId="0" borderId="5" xfId="0"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14" fillId="0" borderId="0" xfId="7" applyFont="1">
      <alignment vertical="center"/>
    </xf>
    <xf numFmtId="0" fontId="14" fillId="0" borderId="0" xfId="0" quotePrefix="1" applyFont="1"/>
    <xf numFmtId="0" fontId="14" fillId="0" borderId="1" xfId="7" applyFont="1" applyBorder="1">
      <alignment vertical="center"/>
    </xf>
    <xf numFmtId="0" fontId="14" fillId="0" borderId="4" xfId="7" applyFont="1" applyBorder="1">
      <alignment vertical="center"/>
    </xf>
    <xf numFmtId="0" fontId="14" fillId="0" borderId="2" xfId="7" applyFont="1" applyBorder="1">
      <alignment vertical="center"/>
    </xf>
    <xf numFmtId="0" fontId="14" fillId="0" borderId="3" xfId="7" applyFont="1" applyBorder="1">
      <alignment vertical="center"/>
    </xf>
    <xf numFmtId="0" fontId="14" fillId="0" borderId="5" xfId="7" applyFont="1" applyBorder="1">
      <alignment vertical="center"/>
    </xf>
    <xf numFmtId="0" fontId="11" fillId="2" borderId="0" xfId="0" applyFont="1" applyFill="1" applyAlignment="1">
      <alignment vertical="center"/>
    </xf>
    <xf numFmtId="0" fontId="10" fillId="2" borderId="16" xfId="0" applyFont="1" applyFill="1" applyBorder="1" applyAlignment="1">
      <alignment vertical="center"/>
    </xf>
    <xf numFmtId="0" fontId="10" fillId="2" borderId="0" xfId="0" applyFont="1" applyFill="1" applyAlignment="1">
      <alignment vertical="center"/>
    </xf>
    <xf numFmtId="0" fontId="10" fillId="2" borderId="17" xfId="0" applyFont="1" applyFill="1" applyBorder="1" applyAlignment="1">
      <alignment vertical="center"/>
    </xf>
    <xf numFmtId="0" fontId="14" fillId="0" borderId="18" xfId="0" applyFont="1" applyBorder="1"/>
    <xf numFmtId="0" fontId="14" fillId="0" borderId="19" xfId="7" applyFont="1" applyBorder="1">
      <alignment vertical="center"/>
    </xf>
    <xf numFmtId="0" fontId="14" fillId="0" borderId="19" xfId="0" applyFont="1" applyBorder="1"/>
    <xf numFmtId="0" fontId="14" fillId="0" borderId="18" xfId="7" applyFont="1" applyBorder="1">
      <alignment vertical="center"/>
    </xf>
    <xf numFmtId="0" fontId="14" fillId="3" borderId="18" xfId="7" applyFont="1" applyFill="1" applyBorder="1">
      <alignment vertical="center"/>
    </xf>
    <xf numFmtId="0" fontId="14" fillId="3" borderId="0" xfId="7" applyFont="1" applyFill="1">
      <alignment vertical="center"/>
    </xf>
    <xf numFmtId="0" fontId="14" fillId="3" borderId="19" xfId="7" applyFont="1" applyFill="1" applyBorder="1">
      <alignment vertical="center"/>
    </xf>
    <xf numFmtId="0" fontId="14" fillId="0" borderId="0" xfId="7" quotePrefix="1" applyFont="1">
      <alignment vertical="center"/>
    </xf>
    <xf numFmtId="0" fontId="14" fillId="0" borderId="0" xfId="6" applyFont="1" applyAlignment="1">
      <alignment vertical="center"/>
    </xf>
    <xf numFmtId="0" fontId="14" fillId="0" borderId="20" xfId="0" applyFont="1" applyBorder="1"/>
    <xf numFmtId="0" fontId="14" fillId="0" borderId="21" xfId="0" applyFont="1" applyBorder="1"/>
    <xf numFmtId="0" fontId="10" fillId="2" borderId="27" xfId="0" applyFont="1" applyFill="1" applyBorder="1" applyAlignment="1">
      <alignment horizontal="center" vertical="center"/>
    </xf>
    <xf numFmtId="0" fontId="10" fillId="2" borderId="28" xfId="0" applyFont="1" applyFill="1" applyBorder="1" applyAlignment="1">
      <alignment horizontal="center" vertical="center"/>
    </xf>
    <xf numFmtId="0" fontId="10" fillId="2" borderId="29" xfId="0" applyFont="1" applyFill="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2"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7" fillId="0" borderId="30" xfId="0" applyFont="1" applyBorder="1" applyAlignment="1">
      <alignment horizontal="center" vertical="center"/>
    </xf>
    <xf numFmtId="0" fontId="12" fillId="0" borderId="30" xfId="0" applyFont="1" applyBorder="1" applyAlignment="1">
      <alignment horizontal="center" vertical="center"/>
    </xf>
    <xf numFmtId="0" fontId="12" fillId="0" borderId="31" xfId="0" applyFont="1" applyBorder="1" applyAlignment="1">
      <alignment horizontal="center" vertical="center"/>
    </xf>
    <xf numFmtId="0" fontId="12" fillId="0" borderId="32"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center" vertical="center"/>
    </xf>
    <xf numFmtId="0" fontId="12" fillId="0" borderId="4"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5" xfId="0" applyFont="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4" fillId="0" borderId="27" xfId="0" applyFont="1" applyBorder="1" applyAlignment="1">
      <alignment horizontal="center" vertic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2" fontId="14" fillId="0" borderId="30" xfId="0" applyNumberFormat="1" applyFont="1" applyBorder="1" applyAlignment="1">
      <alignment horizontal="center" vertical="center"/>
    </xf>
    <xf numFmtId="2" fontId="14" fillId="0" borderId="31" xfId="0" applyNumberFormat="1" applyFont="1" applyBorder="1" applyAlignment="1">
      <alignment horizontal="center" vertical="center"/>
    </xf>
    <xf numFmtId="2" fontId="14" fillId="0" borderId="32" xfId="0" applyNumberFormat="1" applyFont="1" applyBorder="1" applyAlignment="1">
      <alignment horizontal="center" vertical="center"/>
    </xf>
    <xf numFmtId="2" fontId="14" fillId="0" borderId="2" xfId="0" applyNumberFormat="1" applyFont="1" applyBorder="1" applyAlignment="1">
      <alignment horizontal="center" vertical="center"/>
    </xf>
    <xf numFmtId="2" fontId="14" fillId="0" borderId="3" xfId="0" applyNumberFormat="1" applyFont="1" applyBorder="1" applyAlignment="1">
      <alignment horizontal="center" vertical="center"/>
    </xf>
    <xf numFmtId="2" fontId="14" fillId="0" borderId="5" xfId="0" applyNumberFormat="1" applyFont="1" applyBorder="1" applyAlignment="1">
      <alignment horizontal="center" vertical="center"/>
    </xf>
    <xf numFmtId="14" fontId="14" fillId="0" borderId="30" xfId="0" applyNumberFormat="1" applyFont="1" applyBorder="1" applyAlignment="1">
      <alignment horizontal="center" vertical="center"/>
    </xf>
    <xf numFmtId="14" fontId="14" fillId="0" borderId="31" xfId="0" applyNumberFormat="1" applyFont="1" applyBorder="1" applyAlignment="1">
      <alignment horizontal="center" vertical="center"/>
    </xf>
    <xf numFmtId="14" fontId="14" fillId="0" borderId="32" xfId="0" applyNumberFormat="1" applyFont="1" applyBorder="1" applyAlignment="1">
      <alignment horizontal="center" vertical="center"/>
    </xf>
    <xf numFmtId="14" fontId="14" fillId="0" borderId="2" xfId="0" applyNumberFormat="1" applyFont="1" applyBorder="1" applyAlignment="1">
      <alignment horizontal="center" vertical="center"/>
    </xf>
    <xf numFmtId="14" fontId="14" fillId="0" borderId="3" xfId="0" applyNumberFormat="1" applyFont="1" applyBorder="1" applyAlignment="1">
      <alignment horizontal="center" vertical="center"/>
    </xf>
    <xf numFmtId="14" fontId="14" fillId="0" borderId="5" xfId="0" applyNumberFormat="1" applyFont="1" applyBorder="1" applyAlignment="1">
      <alignment horizontal="center" vertical="center"/>
    </xf>
    <xf numFmtId="0" fontId="14" fillId="0" borderId="1" xfId="0" applyFont="1" applyBorder="1" applyAlignment="1">
      <alignment horizontal="center" vertical="center"/>
    </xf>
    <xf numFmtId="0" fontId="14" fillId="0" borderId="0" xfId="0" applyFont="1" applyAlignment="1">
      <alignment horizontal="center" vertical="center"/>
    </xf>
    <xf numFmtId="0" fontId="14" fillId="0" borderId="4" xfId="0" applyFont="1" applyBorder="1" applyAlignment="1">
      <alignment horizontal="center" vertical="center"/>
    </xf>
    <xf numFmtId="0" fontId="10" fillId="2" borderId="30" xfId="0" applyFont="1" applyFill="1" applyBorder="1" applyAlignment="1">
      <alignment horizontal="center" vertical="center"/>
    </xf>
    <xf numFmtId="0" fontId="10" fillId="2" borderId="31" xfId="0" applyFont="1" applyFill="1" applyBorder="1" applyAlignment="1">
      <alignment horizontal="center" vertical="center"/>
    </xf>
    <xf numFmtId="0" fontId="10" fillId="2" borderId="32"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5" xfId="0" applyFont="1" applyFill="1" applyBorder="1" applyAlignment="1">
      <alignment horizontal="center" vertical="center"/>
    </xf>
    <xf numFmtId="0" fontId="14" fillId="0" borderId="33" xfId="0" applyFont="1" applyBorder="1"/>
    <xf numFmtId="0" fontId="14" fillId="0" borderId="34" xfId="0" applyFont="1" applyBorder="1"/>
    <xf numFmtId="0" fontId="14" fillId="0" borderId="22" xfId="0" applyFont="1" applyBorder="1"/>
    <xf numFmtId="0" fontId="14" fillId="0" borderId="31" xfId="0" applyFont="1" applyBorder="1"/>
    <xf numFmtId="0" fontId="14" fillId="0" borderId="32" xfId="0" applyFont="1" applyBorder="1"/>
    <xf numFmtId="0" fontId="14" fillId="0" borderId="3" xfId="0" applyFont="1" applyBorder="1"/>
    <xf numFmtId="0" fontId="14" fillId="0" borderId="5" xfId="0" applyFont="1" applyBorder="1"/>
    <xf numFmtId="0" fontId="14" fillId="0" borderId="30" xfId="0" applyFont="1" applyBorder="1"/>
    <xf numFmtId="0" fontId="14" fillId="0" borderId="2" xfId="0" applyFont="1" applyBorder="1"/>
    <xf numFmtId="0" fontId="14" fillId="0" borderId="35" xfId="0" applyFont="1" applyBorder="1"/>
    <xf numFmtId="0" fontId="14" fillId="0" borderId="36" xfId="0" applyFont="1" applyBorder="1"/>
    <xf numFmtId="0" fontId="14" fillId="0" borderId="37" xfId="0" applyFont="1" applyBorder="1"/>
    <xf numFmtId="0" fontId="10" fillId="2" borderId="0" xfId="0" applyFont="1" applyFill="1"/>
    <xf numFmtId="0" fontId="2" fillId="2" borderId="27" xfId="0" applyFont="1" applyFill="1" applyBorder="1" applyAlignment="1">
      <alignment horizontal="center" vertical="center"/>
    </xf>
    <xf numFmtId="0" fontId="2" fillId="2" borderId="28" xfId="0" applyFont="1" applyFill="1" applyBorder="1" applyAlignment="1">
      <alignment horizontal="center" vertical="center"/>
    </xf>
    <xf numFmtId="0" fontId="2" fillId="2" borderId="29" xfId="0" applyFont="1" applyFill="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14" fontId="0" fillId="0" borderId="30" xfId="0" applyNumberFormat="1" applyBorder="1" applyAlignment="1">
      <alignment horizontal="center" vertical="center"/>
    </xf>
    <xf numFmtId="14" fontId="0" fillId="0" borderId="31" xfId="0" applyNumberFormat="1" applyBorder="1" applyAlignment="1">
      <alignment horizontal="center" vertical="center"/>
    </xf>
    <xf numFmtId="14" fontId="0" fillId="0" borderId="32"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11" fillId="2" borderId="27" xfId="0" applyFont="1" applyFill="1" applyBorder="1" applyAlignment="1">
      <alignment horizontal="center" vertical="center"/>
    </xf>
    <xf numFmtId="0" fontId="6" fillId="0" borderId="35" xfId="6" applyFont="1" applyBorder="1" applyAlignment="1">
      <alignment horizontal="center" vertical="center"/>
    </xf>
    <xf numFmtId="0" fontId="6" fillId="0" borderId="36" xfId="6" applyFont="1" applyBorder="1" applyAlignment="1">
      <alignment horizontal="center" vertical="center"/>
    </xf>
    <xf numFmtId="0" fontId="6" fillId="0" borderId="37" xfId="6" applyFont="1" applyBorder="1" applyAlignment="1">
      <alignment horizontal="center" vertical="center"/>
    </xf>
    <xf numFmtId="0" fontId="6" fillId="0" borderId="35" xfId="6" applyFont="1" applyBorder="1" applyAlignment="1">
      <alignment horizontal="left" vertical="center"/>
    </xf>
    <xf numFmtId="0" fontId="6" fillId="0" borderId="36" xfId="6" applyFont="1" applyBorder="1" applyAlignment="1">
      <alignment horizontal="left" vertical="center"/>
    </xf>
    <xf numFmtId="0" fontId="6" fillId="0" borderId="37" xfId="6" applyFont="1" applyBorder="1" applyAlignment="1">
      <alignment horizontal="left" vertical="center"/>
    </xf>
    <xf numFmtId="0" fontId="14" fillId="0" borderId="35" xfId="6" applyFont="1" applyBorder="1" applyAlignment="1">
      <alignment vertical="center"/>
    </xf>
    <xf numFmtId="0" fontId="14" fillId="0" borderId="36" xfId="6" applyFont="1" applyBorder="1" applyAlignment="1">
      <alignment vertical="center"/>
    </xf>
    <xf numFmtId="0" fontId="14" fillId="0" borderId="37" xfId="6" applyFont="1" applyBorder="1" applyAlignment="1">
      <alignment vertical="center"/>
    </xf>
    <xf numFmtId="0" fontId="6" fillId="0" borderId="35" xfId="6" quotePrefix="1" applyFont="1" applyBorder="1" applyAlignment="1">
      <alignment vertical="center"/>
    </xf>
    <xf numFmtId="0" fontId="6" fillId="0" borderId="36" xfId="6" quotePrefix="1" applyFont="1" applyBorder="1" applyAlignment="1">
      <alignment vertical="center"/>
    </xf>
    <xf numFmtId="0" fontId="6" fillId="0" borderId="37" xfId="6" quotePrefix="1" applyFont="1" applyBorder="1" applyAlignment="1">
      <alignment vertical="center"/>
    </xf>
    <xf numFmtId="0" fontId="6" fillId="0" borderId="35" xfId="6" applyFont="1" applyBorder="1" applyAlignment="1">
      <alignment vertical="center"/>
    </xf>
    <xf numFmtId="0" fontId="6" fillId="0" borderId="36" xfId="6" applyFont="1" applyBorder="1" applyAlignment="1">
      <alignment vertical="center"/>
    </xf>
    <xf numFmtId="0" fontId="6" fillId="0" borderId="37" xfId="6" applyFont="1" applyBorder="1" applyAlignment="1">
      <alignment vertical="center"/>
    </xf>
    <xf numFmtId="0" fontId="7" fillId="0" borderId="35" xfId="6" quotePrefix="1" applyFont="1" applyBorder="1" applyAlignment="1">
      <alignment horizontal="center" vertical="center"/>
    </xf>
    <xf numFmtId="0" fontId="7" fillId="0" borderId="36" xfId="6" applyFont="1" applyBorder="1" applyAlignment="1">
      <alignment horizontal="center" vertical="center"/>
    </xf>
    <xf numFmtId="0" fontId="7" fillId="0" borderId="37" xfId="6" applyFont="1" applyBorder="1" applyAlignment="1">
      <alignment horizontal="center" vertical="center"/>
    </xf>
    <xf numFmtId="0" fontId="6" fillId="0" borderId="38" xfId="6" quotePrefix="1" applyFont="1" applyBorder="1" applyAlignment="1">
      <alignment horizontal="center" vertical="center"/>
    </xf>
    <xf numFmtId="0" fontId="6" fillId="0" borderId="39" xfId="6" applyFont="1" applyBorder="1" applyAlignment="1">
      <alignment horizontal="center" vertical="center"/>
    </xf>
    <xf numFmtId="0" fontId="6" fillId="0" borderId="40" xfId="6" applyFont="1" applyBorder="1" applyAlignment="1">
      <alignment horizontal="center" vertical="center"/>
    </xf>
    <xf numFmtId="0" fontId="6" fillId="0" borderId="38" xfId="6" applyFont="1" applyBorder="1" applyAlignment="1">
      <alignment horizontal="center" vertical="center"/>
    </xf>
    <xf numFmtId="0" fontId="6" fillId="0" borderId="38" xfId="6" applyFont="1" applyBorder="1" applyAlignment="1">
      <alignment horizontal="left" vertical="center"/>
    </xf>
    <xf numFmtId="0" fontId="6" fillId="0" borderId="39" xfId="6" applyFont="1" applyBorder="1" applyAlignment="1">
      <alignment horizontal="left" vertical="center"/>
    </xf>
    <xf numFmtId="0" fontId="6" fillId="0" borderId="40" xfId="6" applyFont="1" applyBorder="1" applyAlignment="1">
      <alignment horizontal="left" vertical="center"/>
    </xf>
    <xf numFmtId="0" fontId="14" fillId="0" borderId="38" xfId="6" applyFont="1" applyBorder="1" applyAlignment="1">
      <alignment vertical="center"/>
    </xf>
    <xf numFmtId="0" fontId="14" fillId="0" borderId="39" xfId="6" applyFont="1" applyBorder="1" applyAlignment="1">
      <alignment vertical="center"/>
    </xf>
    <xf numFmtId="0" fontId="14" fillId="0" borderId="40" xfId="6" applyFont="1" applyBorder="1" applyAlignment="1">
      <alignment vertical="center"/>
    </xf>
    <xf numFmtId="0" fontId="14" fillId="0" borderId="41" xfId="6" applyFont="1" applyBorder="1" applyAlignment="1">
      <alignment vertical="center"/>
    </xf>
    <xf numFmtId="0" fontId="14" fillId="0" borderId="42" xfId="6" applyFont="1" applyBorder="1" applyAlignment="1">
      <alignment vertical="center"/>
    </xf>
    <xf numFmtId="0" fontId="14" fillId="0" borderId="43" xfId="6" applyFont="1" applyBorder="1" applyAlignment="1">
      <alignment vertical="center"/>
    </xf>
    <xf numFmtId="0" fontId="6" fillId="0" borderId="38" xfId="6" quotePrefix="1" applyFont="1" applyBorder="1" applyAlignment="1">
      <alignment vertical="center" wrapText="1"/>
    </xf>
    <xf numFmtId="0" fontId="6" fillId="0" borderId="39" xfId="6" quotePrefix="1" applyFont="1" applyBorder="1" applyAlignment="1">
      <alignment vertical="center" wrapText="1"/>
    </xf>
    <xf numFmtId="0" fontId="6" fillId="0" borderId="40" xfId="6" quotePrefix="1" applyFont="1" applyBorder="1" applyAlignment="1">
      <alignment vertical="center" wrapText="1"/>
    </xf>
    <xf numFmtId="0" fontId="6" fillId="0" borderId="38" xfId="6" applyFont="1" applyBorder="1" applyAlignment="1">
      <alignment vertical="center"/>
    </xf>
    <xf numFmtId="0" fontId="6" fillId="0" borderId="39" xfId="6" applyFont="1" applyBorder="1" applyAlignment="1">
      <alignment vertical="center"/>
    </xf>
    <xf numFmtId="0" fontId="6" fillId="0" borderId="40" xfId="6" applyFont="1" applyBorder="1" applyAlignment="1">
      <alignment vertical="center"/>
    </xf>
    <xf numFmtId="0" fontId="14" fillId="0" borderId="41" xfId="6" quotePrefix="1" applyFont="1" applyBorder="1" applyAlignment="1">
      <alignment vertical="center"/>
    </xf>
    <xf numFmtId="0" fontId="14" fillId="0" borderId="42" xfId="6" quotePrefix="1" applyFont="1" applyBorder="1" applyAlignment="1">
      <alignment vertical="center"/>
    </xf>
    <xf numFmtId="0" fontId="14" fillId="0" borderId="43" xfId="6" quotePrefix="1" applyFont="1" applyBorder="1" applyAlignment="1">
      <alignment vertical="center"/>
    </xf>
    <xf numFmtId="0" fontId="7" fillId="0" borderId="38" xfId="6" quotePrefix="1" applyFont="1" applyBorder="1" applyAlignment="1">
      <alignment horizontal="center" vertical="center" wrapText="1"/>
    </xf>
    <xf numFmtId="0" fontId="7" fillId="0" borderId="39" xfId="6" applyFont="1" applyBorder="1" applyAlignment="1">
      <alignment horizontal="center" vertical="center" wrapText="1"/>
    </xf>
    <xf numFmtId="0" fontId="7" fillId="0" borderId="40" xfId="6" applyFont="1" applyBorder="1" applyAlignment="1">
      <alignment horizontal="center" vertical="center" wrapText="1"/>
    </xf>
    <xf numFmtId="0" fontId="8" fillId="0" borderId="38" xfId="6" applyFont="1" applyBorder="1" applyAlignment="1">
      <alignment vertical="center" wrapText="1"/>
    </xf>
    <xf numFmtId="0" fontId="7" fillId="0" borderId="38" xfId="6" quotePrefix="1" applyFont="1" applyBorder="1" applyAlignment="1">
      <alignment horizontal="center" vertical="center"/>
    </xf>
    <xf numFmtId="0" fontId="7" fillId="0" borderId="39" xfId="6" applyFont="1" applyBorder="1" applyAlignment="1">
      <alignment horizontal="center" vertical="center"/>
    </xf>
    <xf numFmtId="0" fontId="7" fillId="0" borderId="40" xfId="6" applyFont="1" applyBorder="1" applyAlignment="1">
      <alignment horizontal="center" vertical="center"/>
    </xf>
    <xf numFmtId="0" fontId="7" fillId="0" borderId="38" xfId="6" applyFont="1" applyBorder="1" applyAlignment="1">
      <alignment horizontal="center" vertical="center"/>
    </xf>
    <xf numFmtId="0" fontId="6" fillId="0" borderId="38" xfId="6" quotePrefix="1" applyFont="1" applyBorder="1" applyAlignment="1">
      <alignment vertical="center"/>
    </xf>
    <xf numFmtId="0" fontId="6" fillId="0" borderId="39" xfId="6" quotePrefix="1" applyFont="1" applyBorder="1" applyAlignment="1">
      <alignment vertical="center"/>
    </xf>
    <xf numFmtId="0" fontId="6" fillId="0" borderId="40" xfId="6" quotePrefix="1" applyFont="1" applyBorder="1" applyAlignment="1">
      <alignment vertical="center"/>
    </xf>
    <xf numFmtId="0" fontId="6" fillId="0" borderId="33" xfId="6" applyFont="1" applyBorder="1" applyAlignment="1">
      <alignment horizontal="center" vertical="center"/>
    </xf>
    <xf numFmtId="0" fontId="6" fillId="0" borderId="22" xfId="6" applyFont="1" applyBorder="1" applyAlignment="1">
      <alignment horizontal="center" vertical="center"/>
    </xf>
    <xf numFmtId="0" fontId="6" fillId="0" borderId="33" xfId="6" applyFont="1" applyBorder="1" applyAlignment="1">
      <alignment vertical="center"/>
    </xf>
    <xf numFmtId="0" fontId="6" fillId="0" borderId="34" xfId="6" applyFont="1" applyBorder="1" applyAlignment="1">
      <alignment vertical="center"/>
    </xf>
    <xf numFmtId="0" fontId="6" fillId="0" borderId="22" xfId="6" applyFont="1" applyBorder="1" applyAlignment="1">
      <alignment vertical="center"/>
    </xf>
    <xf numFmtId="0" fontId="7" fillId="0" borderId="33" xfId="6" applyFont="1" applyBorder="1" applyAlignment="1">
      <alignment horizontal="center" vertical="center"/>
    </xf>
    <xf numFmtId="0" fontId="6" fillId="0" borderId="34" xfId="6" applyFont="1" applyBorder="1" applyAlignment="1">
      <alignment horizontal="center" vertical="center"/>
    </xf>
    <xf numFmtId="0" fontId="7" fillId="4" borderId="27" xfId="6" applyFont="1" applyFill="1" applyBorder="1" applyAlignment="1">
      <alignment vertical="center"/>
    </xf>
    <xf numFmtId="0" fontId="6" fillId="4" borderId="28" xfId="6" applyFont="1" applyFill="1" applyBorder="1" applyAlignment="1">
      <alignment vertical="center"/>
    </xf>
    <xf numFmtId="0" fontId="6" fillId="4" borderId="29" xfId="6" applyFont="1" applyFill="1" applyBorder="1" applyAlignment="1">
      <alignment vertical="center"/>
    </xf>
    <xf numFmtId="0" fontId="7" fillId="5" borderId="27" xfId="6" applyFont="1" applyFill="1" applyBorder="1" applyAlignment="1">
      <alignment vertical="center"/>
    </xf>
    <xf numFmtId="0" fontId="6" fillId="5" borderId="28" xfId="6" applyFont="1" applyFill="1" applyBorder="1" applyAlignment="1">
      <alignment vertical="center"/>
    </xf>
    <xf numFmtId="0" fontId="6" fillId="5" borderId="29" xfId="6" applyFont="1" applyFill="1" applyBorder="1" applyAlignment="1">
      <alignment vertical="center"/>
    </xf>
    <xf numFmtId="0" fontId="7" fillId="6" borderId="30" xfId="6" applyFont="1" applyFill="1" applyBorder="1" applyAlignment="1">
      <alignment vertical="center"/>
    </xf>
    <xf numFmtId="0" fontId="6" fillId="6" borderId="31" xfId="6" applyFont="1" applyFill="1" applyBorder="1" applyAlignment="1">
      <alignment vertical="center"/>
    </xf>
    <xf numFmtId="0" fontId="6" fillId="6" borderId="32" xfId="6" applyFont="1" applyFill="1" applyBorder="1" applyAlignment="1">
      <alignment vertical="center"/>
    </xf>
    <xf numFmtId="0" fontId="6" fillId="6" borderId="1" xfId="6" applyFont="1" applyFill="1" applyBorder="1" applyAlignment="1">
      <alignment vertical="center"/>
    </xf>
    <xf numFmtId="0" fontId="6" fillId="6" borderId="0" xfId="6" applyFont="1" applyFill="1" applyAlignment="1">
      <alignment vertical="center"/>
    </xf>
    <xf numFmtId="0" fontId="6" fillId="6" borderId="4" xfId="6" applyFont="1" applyFill="1" applyBorder="1" applyAlignment="1">
      <alignment vertical="center"/>
    </xf>
    <xf numFmtId="0" fontId="6" fillId="6" borderId="2" xfId="6" applyFont="1" applyFill="1" applyBorder="1" applyAlignment="1">
      <alignment vertical="center"/>
    </xf>
    <xf numFmtId="0" fontId="6" fillId="6" borderId="3" xfId="6" applyFont="1" applyFill="1" applyBorder="1" applyAlignment="1">
      <alignment vertical="center"/>
    </xf>
    <xf numFmtId="0" fontId="6" fillId="6" borderId="5" xfId="6" applyFont="1" applyFill="1" applyBorder="1" applyAlignment="1">
      <alignment vertical="center"/>
    </xf>
    <xf numFmtId="0" fontId="7" fillId="4" borderId="27" xfId="6" applyFont="1" applyFill="1" applyBorder="1"/>
    <xf numFmtId="0" fontId="7" fillId="4" borderId="28" xfId="6" applyFont="1" applyFill="1" applyBorder="1"/>
    <xf numFmtId="0" fontId="7" fillId="4" borderId="29" xfId="6" applyFont="1" applyFill="1" applyBorder="1"/>
    <xf numFmtId="0" fontId="7" fillId="4" borderId="30" xfId="6" applyFont="1" applyFill="1" applyBorder="1" applyAlignment="1">
      <alignment vertical="center"/>
    </xf>
    <xf numFmtId="0" fontId="6" fillId="4" borderId="31" xfId="6" applyFont="1" applyFill="1" applyBorder="1" applyAlignment="1">
      <alignment vertical="center"/>
    </xf>
    <xf numFmtId="0" fontId="6" fillId="4" borderId="32" xfId="6" applyFont="1" applyFill="1" applyBorder="1" applyAlignment="1">
      <alignment vertical="center"/>
    </xf>
    <xf numFmtId="0" fontId="6" fillId="4" borderId="2" xfId="6" applyFont="1" applyFill="1" applyBorder="1" applyAlignment="1">
      <alignment vertical="center"/>
    </xf>
    <xf numFmtId="0" fontId="6" fillId="4" borderId="3" xfId="6" applyFont="1" applyFill="1" applyBorder="1" applyAlignment="1">
      <alignment vertical="center"/>
    </xf>
    <xf numFmtId="0" fontId="6" fillId="4" borderId="5" xfId="6" applyFont="1" applyFill="1" applyBorder="1" applyAlignment="1">
      <alignment vertical="center"/>
    </xf>
    <xf numFmtId="0" fontId="6" fillId="5" borderId="30" xfId="6" applyFont="1" applyFill="1" applyBorder="1" applyAlignment="1">
      <alignment vertical="center" wrapText="1"/>
    </xf>
    <xf numFmtId="0" fontId="6" fillId="5" borderId="2" xfId="6" applyFont="1" applyFill="1" applyBorder="1" applyAlignment="1">
      <alignment vertical="center" wrapText="1"/>
    </xf>
    <xf numFmtId="0" fontId="7" fillId="5" borderId="44" xfId="6" applyFont="1" applyFill="1" applyBorder="1" applyAlignment="1">
      <alignment vertical="center" wrapText="1"/>
    </xf>
    <xf numFmtId="0" fontId="7" fillId="5" borderId="45" xfId="6" applyFont="1" applyFill="1" applyBorder="1" applyAlignment="1">
      <alignment vertical="center" wrapText="1"/>
    </xf>
    <xf numFmtId="0" fontId="7" fillId="5" borderId="32" xfId="6" applyFont="1" applyFill="1" applyBorder="1" applyAlignment="1">
      <alignment vertical="center" wrapText="1"/>
    </xf>
    <xf numFmtId="0" fontId="7" fillId="5" borderId="5" xfId="6" applyFont="1" applyFill="1" applyBorder="1" applyAlignment="1">
      <alignment vertical="center" wrapText="1"/>
    </xf>
    <xf numFmtId="0" fontId="7" fillId="0" borderId="33" xfId="6" applyFont="1" applyBorder="1" applyAlignment="1">
      <alignment horizontal="center" vertical="center" wrapText="1"/>
    </xf>
    <xf numFmtId="0" fontId="7" fillId="0" borderId="34" xfId="6" applyFont="1" applyBorder="1" applyAlignment="1">
      <alignment horizontal="center" vertical="center" wrapText="1"/>
    </xf>
    <xf numFmtId="0" fontId="7" fillId="0" borderId="22" xfId="6" applyFont="1" applyBorder="1" applyAlignment="1">
      <alignment horizontal="center" vertical="center" wrapText="1"/>
    </xf>
    <xf numFmtId="0" fontId="6" fillId="0" borderId="33" xfId="6" applyFont="1" applyBorder="1" applyAlignment="1">
      <alignment horizontal="left" vertical="center"/>
    </xf>
    <xf numFmtId="0" fontId="6" fillId="0" borderId="34" xfId="6" applyFont="1" applyBorder="1" applyAlignment="1">
      <alignment horizontal="left" vertical="center"/>
    </xf>
    <xf numFmtId="0" fontId="6" fillId="0" borderId="22" xfId="6" applyFont="1" applyBorder="1" applyAlignment="1">
      <alignment horizontal="left" vertical="center"/>
    </xf>
    <xf numFmtId="0" fontId="14" fillId="0" borderId="33" xfId="6" applyFont="1" applyBorder="1" applyAlignment="1">
      <alignment vertical="center" wrapText="1"/>
    </xf>
    <xf numFmtId="0" fontId="14" fillId="0" borderId="34" xfId="6" applyFont="1" applyBorder="1" applyAlignment="1">
      <alignment vertical="center" wrapText="1"/>
    </xf>
    <xf numFmtId="0" fontId="14" fillId="0" borderId="22" xfId="6" applyFont="1" applyBorder="1" applyAlignment="1">
      <alignment vertical="center" wrapText="1"/>
    </xf>
    <xf numFmtId="0" fontId="10" fillId="2" borderId="27" xfId="6" applyFont="1" applyFill="1" applyBorder="1" applyAlignment="1">
      <alignment horizontal="center" vertical="center"/>
    </xf>
    <xf numFmtId="0" fontId="10" fillId="2" borderId="28" xfId="6" applyFont="1" applyFill="1" applyBorder="1" applyAlignment="1">
      <alignment horizontal="center" vertical="center"/>
    </xf>
    <xf numFmtId="0" fontId="10" fillId="2" borderId="29" xfId="6" applyFont="1" applyFill="1" applyBorder="1" applyAlignment="1">
      <alignment horizontal="center" vertical="center"/>
    </xf>
    <xf numFmtId="0" fontId="6" fillId="0" borderId="27" xfId="6" applyFont="1" applyBorder="1" applyAlignment="1">
      <alignment horizontal="center" vertical="center"/>
    </xf>
    <xf numFmtId="0" fontId="6" fillId="0" borderId="28" xfId="6" applyFont="1" applyBorder="1" applyAlignment="1">
      <alignment horizontal="center" vertical="center"/>
    </xf>
    <xf numFmtId="0" fontId="6" fillId="0" borderId="29" xfId="6" applyFont="1" applyBorder="1" applyAlignment="1">
      <alignment horizontal="center" vertical="center"/>
    </xf>
    <xf numFmtId="0" fontId="7" fillId="0" borderId="27" xfId="6" applyFont="1" applyBorder="1" applyAlignment="1">
      <alignment horizontal="center" vertical="center"/>
    </xf>
    <xf numFmtId="0" fontId="7" fillId="7" borderId="30" xfId="6" applyFont="1" applyFill="1" applyBorder="1" applyAlignment="1">
      <alignment vertical="center" wrapText="1"/>
    </xf>
    <xf numFmtId="0" fontId="6" fillId="7" borderId="32" xfId="6" applyFont="1" applyFill="1" applyBorder="1" applyAlignment="1">
      <alignment vertical="center"/>
    </xf>
    <xf numFmtId="0" fontId="6" fillId="7" borderId="1" xfId="6" applyFont="1" applyFill="1" applyBorder="1" applyAlignment="1">
      <alignment vertical="center"/>
    </xf>
    <xf numFmtId="0" fontId="6" fillId="7" borderId="4" xfId="6" applyFont="1" applyFill="1" applyBorder="1" applyAlignment="1">
      <alignment vertical="center"/>
    </xf>
    <xf numFmtId="0" fontId="6" fillId="7" borderId="2" xfId="6" applyFont="1" applyFill="1" applyBorder="1" applyAlignment="1">
      <alignment vertical="center"/>
    </xf>
    <xf numFmtId="0" fontId="6" fillId="7" borderId="5" xfId="6" applyFont="1" applyFill="1" applyBorder="1" applyAlignment="1">
      <alignment vertical="center"/>
    </xf>
    <xf numFmtId="0" fontId="7" fillId="7" borderId="30" xfId="6" applyFont="1" applyFill="1" applyBorder="1" applyAlignment="1">
      <alignment vertical="center"/>
    </xf>
    <xf numFmtId="0" fontId="6" fillId="7" borderId="31" xfId="6" applyFont="1" applyFill="1" applyBorder="1" applyAlignment="1">
      <alignment vertical="center"/>
    </xf>
    <xf numFmtId="0" fontId="6" fillId="7" borderId="0" xfId="6" applyFont="1" applyFill="1" applyAlignment="1">
      <alignment vertical="center"/>
    </xf>
    <xf numFmtId="0" fontId="6" fillId="7" borderId="3" xfId="6" applyFont="1" applyFill="1" applyBorder="1" applyAlignment="1">
      <alignment vertical="center"/>
    </xf>
    <xf numFmtId="0" fontId="6" fillId="7" borderId="44" xfId="6" applyFont="1" applyFill="1" applyBorder="1" applyAlignment="1">
      <alignment vertical="center" shrinkToFit="1"/>
    </xf>
    <xf numFmtId="0" fontId="6" fillId="7" borderId="46" xfId="6" applyFont="1" applyFill="1" applyBorder="1" applyAlignment="1">
      <alignment vertical="center" shrinkToFit="1"/>
    </xf>
    <xf numFmtId="0" fontId="6" fillId="7" borderId="45" xfId="6" applyFont="1" applyFill="1" applyBorder="1" applyAlignment="1">
      <alignment vertical="center" shrinkToFit="1"/>
    </xf>
    <xf numFmtId="0" fontId="7" fillId="7" borderId="44" xfId="6" applyFont="1" applyFill="1" applyBorder="1" applyAlignment="1">
      <alignment vertical="center" wrapText="1"/>
    </xf>
    <xf numFmtId="0" fontId="7" fillId="7" borderId="46" xfId="6" applyFont="1" applyFill="1" applyBorder="1" applyAlignment="1">
      <alignment vertical="center" wrapText="1"/>
    </xf>
    <xf numFmtId="0" fontId="7" fillId="7" borderId="45" xfId="6" applyFont="1" applyFill="1" applyBorder="1" applyAlignment="1">
      <alignment vertical="center" wrapText="1"/>
    </xf>
    <xf numFmtId="0" fontId="6" fillId="5" borderId="47" xfId="6" applyFont="1" applyFill="1" applyBorder="1" applyAlignment="1">
      <alignment vertical="center"/>
    </xf>
    <xf numFmtId="0" fontId="7" fillId="5" borderId="48" xfId="6" applyFont="1" applyFill="1" applyBorder="1" applyAlignment="1">
      <alignment vertical="center"/>
    </xf>
    <xf numFmtId="0" fontId="6" fillId="0" borderId="30" xfId="6" applyFont="1" applyBorder="1" applyAlignment="1">
      <alignment horizontal="center" vertical="center"/>
    </xf>
    <xf numFmtId="0" fontId="6" fillId="0" borderId="31" xfId="6" applyFont="1" applyBorder="1" applyAlignment="1">
      <alignment horizontal="center" vertical="center"/>
    </xf>
    <xf numFmtId="0" fontId="6" fillId="0" borderId="32"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12" fillId="0" borderId="30" xfId="6" applyFont="1" applyBorder="1" applyAlignment="1">
      <alignment horizontal="center" vertical="center"/>
    </xf>
    <xf numFmtId="0" fontId="12" fillId="0" borderId="31" xfId="6" applyFont="1" applyBorder="1" applyAlignment="1">
      <alignment horizontal="center" vertical="center"/>
    </xf>
    <xf numFmtId="0" fontId="12" fillId="0" borderId="32" xfId="6" applyFont="1" applyBorder="1" applyAlignment="1">
      <alignment horizontal="center" vertical="center"/>
    </xf>
    <xf numFmtId="0" fontId="12" fillId="0" borderId="1" xfId="6" applyFont="1" applyBorder="1" applyAlignment="1">
      <alignment horizontal="center" vertical="center"/>
    </xf>
    <xf numFmtId="0" fontId="12" fillId="0" borderId="0" xfId="6" applyFont="1" applyAlignment="1">
      <alignment horizontal="center" vertical="center"/>
    </xf>
    <xf numFmtId="0" fontId="12" fillId="0" borderId="4" xfId="6" applyFont="1" applyBorder="1" applyAlignment="1">
      <alignment horizontal="center" vertical="center"/>
    </xf>
    <xf numFmtId="0" fontId="12" fillId="0" borderId="2" xfId="6" applyFont="1" applyBorder="1" applyAlignment="1">
      <alignment horizontal="center" vertical="center"/>
    </xf>
    <xf numFmtId="0" fontId="12" fillId="0" borderId="3" xfId="6" applyFont="1" applyBorder="1" applyAlignment="1">
      <alignment horizontal="center" vertical="center"/>
    </xf>
    <xf numFmtId="0" fontId="12" fillId="0" borderId="5" xfId="6" applyFont="1" applyBorder="1" applyAlignment="1">
      <alignment horizontal="center" vertical="center"/>
    </xf>
    <xf numFmtId="14" fontId="6" fillId="0" borderId="30" xfId="0" applyNumberFormat="1" applyFont="1" applyBorder="1" applyAlignment="1">
      <alignment horizontal="center" vertical="center"/>
    </xf>
    <xf numFmtId="0" fontId="6" fillId="0" borderId="31" xfId="0" applyFont="1" applyBorder="1" applyAlignment="1">
      <alignment horizontal="center" vertical="center"/>
    </xf>
    <xf numFmtId="0" fontId="6" fillId="0" borderId="32" xfId="0" applyFont="1" applyBorder="1" applyAlignment="1">
      <alignment horizontal="center" vertical="center"/>
    </xf>
    <xf numFmtId="0" fontId="6" fillId="0" borderId="30" xfId="0" applyFont="1" applyBorder="1" applyAlignment="1">
      <alignment horizontal="center" vertical="center"/>
    </xf>
    <xf numFmtId="0" fontId="6" fillId="0" borderId="33" xfId="0" applyFont="1" applyBorder="1"/>
    <xf numFmtId="0" fontId="6" fillId="0" borderId="34" xfId="0" applyFont="1" applyBorder="1"/>
    <xf numFmtId="0" fontId="6" fillId="0" borderId="22" xfId="0" applyFont="1" applyBorder="1"/>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35" xfId="0" applyFont="1" applyBorder="1"/>
    <xf numFmtId="0" fontId="6" fillId="0" borderId="36" xfId="0" applyFont="1" applyBorder="1"/>
    <xf numFmtId="0" fontId="6" fillId="0" borderId="37" xfId="0" applyFont="1" applyBorder="1"/>
    <xf numFmtId="0" fontId="6" fillId="0" borderId="0" xfId="0" applyFont="1"/>
    <xf numFmtId="0" fontId="6" fillId="0" borderId="0" xfId="0" quotePrefix="1" applyFont="1"/>
    <xf numFmtId="0" fontId="6" fillId="0" borderId="0" xfId="7" applyFont="1">
      <alignment vertical="center"/>
    </xf>
    <xf numFmtId="0" fontId="6" fillId="3" borderId="18" xfId="7" applyFont="1" applyFill="1" applyBorder="1">
      <alignment vertical="center"/>
    </xf>
    <xf numFmtId="0" fontId="6" fillId="3" borderId="0" xfId="7" applyFont="1" applyFill="1">
      <alignment vertical="center"/>
    </xf>
    <xf numFmtId="0" fontId="6" fillId="3" borderId="19" xfId="7" applyFont="1" applyFill="1" applyBorder="1">
      <alignment vertical="center"/>
    </xf>
    <xf numFmtId="14" fontId="17" fillId="0" borderId="30" xfId="0" applyNumberFormat="1" applyFont="1" applyBorder="1" applyAlignment="1">
      <alignment horizontal="center" vertical="center"/>
    </xf>
    <xf numFmtId="0" fontId="17" fillId="0" borderId="31" xfId="0" applyFont="1" applyBorder="1" applyAlignment="1">
      <alignment horizontal="center" vertical="center"/>
    </xf>
    <xf numFmtId="0" fontId="17" fillId="0" borderId="32" xfId="0" applyFont="1" applyBorder="1" applyAlignment="1">
      <alignment horizontal="center" vertical="center"/>
    </xf>
    <xf numFmtId="0" fontId="17" fillId="0" borderId="30" xfId="0" applyFont="1" applyBorder="1" applyAlignment="1">
      <alignment horizontal="center" vertical="center"/>
    </xf>
    <xf numFmtId="0" fontId="17" fillId="0" borderId="33" xfId="0" applyFont="1" applyBorder="1"/>
    <xf numFmtId="0" fontId="17" fillId="0" borderId="34" xfId="0" applyFont="1" applyBorder="1"/>
    <xf numFmtId="0" fontId="17" fillId="0" borderId="22" xfId="0" applyFont="1" applyBorder="1"/>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5" xfId="0" applyFont="1" applyBorder="1" applyAlignment="1">
      <alignment horizontal="center" vertical="center"/>
    </xf>
    <xf numFmtId="0" fontId="17" fillId="0" borderId="35" xfId="0" applyFont="1" applyBorder="1"/>
    <xf numFmtId="0" fontId="17" fillId="0" borderId="36" xfId="0" applyFont="1" applyBorder="1"/>
    <xf numFmtId="0" fontId="17" fillId="0" borderId="37" xfId="0" applyFont="1" applyBorder="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50" charset="-128"/>
              <a:ea typeface="Meiryo UI" panose="020B0604030504040204" pitchFamily="50" charset="-128"/>
            </a:rPr>
            <a:t>●●</a:t>
          </a:r>
          <a:endParaRPr lang="en-US" altLang="ja-JP" sz="110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50" charset="-128"/>
              <a:ea typeface="Meiryo UI" panose="020B0604030504040204" pitchFamily="50" charset="-128"/>
            </a:rPr>
            <a:t>●●</a:t>
          </a:r>
          <a:endParaRPr lang="en-US" altLang="ja-JP" sz="110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処理機能</a:t>
          </a:r>
          <a:endParaRPr lang="en-US" altLang="ja-JP"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a:ea typeface="Meiryo UI"/>
            </a:rPr>
            <a:t>セカンドディスプレイ</a:t>
          </a:r>
          <a:endParaRPr lang="en-US" altLang="ja-JP" sz="1100">
            <a:solidFill>
              <a:srgbClr val="000000"/>
            </a:solidFill>
            <a:latin typeface="Meiryo UI" panose="020B0604030504040204" pitchFamily="50" charset="-128"/>
            <a:ea typeface="Meiryo UI" panose="020B0604030504040204" pitchFamily="50"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a:ea typeface="Meiryo UI"/>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a:ea typeface="Meiryo UI"/>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a:ea typeface="Meiryo UI"/>
            </a:rPr>
            <a:t>スキャナー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a:ea typeface="Meiryo UI"/>
            </a:rPr>
            <a:t>プリンター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API連携</a:t>
          </a:r>
          <a:endParaRPr lang="en-US" altLang="ja-JP" sz="1100">
            <a:solidFill>
              <a:srgbClr val="000000"/>
            </a:solidFill>
            <a:latin typeface="Meiryo UI" panose="020B0604030504040204" pitchFamily="50" charset="-128"/>
            <a:ea typeface="Meiryo UI" panose="020B0604030504040204" pitchFamily="50"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a:ea typeface="Meiryo UI"/>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a:ea typeface="Meiryo UI"/>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a:ea typeface="Meiryo UI"/>
            </a:rPr>
            <a:t>磁気カードリーダー</a:t>
          </a:r>
        </a:p>
        <a:p>
          <a:pPr>
            <a:defRPr lang="ja-JP" altLang="ja-JP" sz="1100" b="0" i="0" u="none" baseline="0">
              <a:solidFill>
                <a:srgbClr val="000000"/>
              </a:solidFill>
              <a:latin typeface="Meiryo UI"/>
              <a:ea typeface="Meiryo UI"/>
            </a:defRPr>
          </a:pPr>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 エフケイシステム　両面双方向読み取り MJR-100</a:t>
          </a:r>
        </a:p>
        <a:p>
          <a:pPr>
            <a:defRPr lang="ja-JP" altLang="en-US" sz="1100" b="0" i="0" u="none" baseline="0">
              <a:solidFill>
                <a:srgbClr val="000000"/>
              </a:solidFill>
              <a:latin typeface="Meiryo UI"/>
              <a:ea typeface="Meiryo UI"/>
            </a:defRPr>
          </a:pPr>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50" charset="-128"/>
              <a:ea typeface="Meiryo UI" panose="020B0604030504040204" pitchFamily="50" charset="-128"/>
              <a:cs typeface="+mn-cs"/>
            </a:rPr>
            <a:t>●●</a:t>
          </a:r>
          <a:endParaRPr lang="en-US" altLang="ja-JP" sz="1100" b="0" i="0" u="none">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endParaRPr lang="en-US" altLang="ja-JP" sz="1100">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端末内DB</a:t>
          </a:r>
          <a:endParaRPr lang="ja-JP" altLang="en-US"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a:ea typeface="Meiryo UI"/>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a:ea typeface="Meiryo UI"/>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2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2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endParaRPr lang="en-US" altLang="ja-JP" sz="1100">
            <a:solidFill>
              <a:srgbClr val="000000"/>
            </a:solidFill>
            <a:latin typeface="Meiryo UI" panose="020B0604030504040204" pitchFamily="50" charset="-128"/>
            <a:ea typeface="Meiryo UI" panose="020B0604030504040204" pitchFamily="50"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6465</xdr:colOff>
      <xdr:row>12</xdr:row>
      <xdr:rowOff>0</xdr:rowOff>
    </xdr:to>
    <xdr:sp macro="" textlink="" fLocksText="0">
      <xdr:nvSpPr>
        <xdr:cNvPr id="2" name="四角形: 角を丸くする 21">
          <a:extLst>
            <a:ext uri="{FF2B5EF4-FFF2-40B4-BE49-F238E27FC236}">
              <a16:creationId xmlns:a16="http://schemas.microsoft.com/office/drawing/2014/main" id="{00000000-0008-0000-0400-000002000000}"/>
            </a:ext>
          </a:extLst>
        </xdr:cNvPr>
        <xdr:cNvSpPr/>
      </xdr:nvSpPr>
      <xdr:spPr>
        <a:xfrm>
          <a:off x="533400" y="1638300"/>
          <a:ext cx="160972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0</xdr:colOff>
      <xdr:row>12</xdr:row>
      <xdr:rowOff>0</xdr:rowOff>
    </xdr:from>
    <xdr:to>
      <xdr:col>8</xdr:col>
      <xdr:colOff>0</xdr:colOff>
      <xdr:row>15</xdr:row>
      <xdr:rowOff>0</xdr:rowOff>
    </xdr:to>
    <xdr:sp macro="" textlink="" fLocksText="0">
      <xdr:nvSpPr>
        <xdr:cNvPr id="3" name="四角形: 角を丸くする 1101">
          <a:extLst>
            <a:ext uri="{FF2B5EF4-FFF2-40B4-BE49-F238E27FC236}">
              <a16:creationId xmlns:a16="http://schemas.microsoft.com/office/drawing/2014/main" id="{00000000-0008-0000-0400-000003000000}"/>
            </a:ext>
          </a:extLst>
        </xdr:cNvPr>
        <xdr:cNvSpPr/>
      </xdr:nvSpPr>
      <xdr:spPr>
        <a:xfrm>
          <a:off x="533400" y="2400300"/>
          <a:ext cx="1600200"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32_</a:t>
          </a:r>
          <a:r>
            <a:rPr lang="en-US" altLang="ja-JP" sz="1000" b="0" i="0" u="none" baseline="0">
              <a:solidFill>
                <a:srgbClr val="FFFFFF"/>
              </a:solidFill>
              <a:latin typeface="Meiryo UI" panose="020B0604030504040204" pitchFamily="34" charset="-128"/>
              <a:ea typeface="Meiryo UI" panose="020B0604030504040204" pitchFamily="34" charset="-128"/>
            </a:rPr>
            <a:t>レジ別単品別売上点検</a:t>
          </a:r>
          <a:endParaRPr lang="en-US" altLang="ja-JP" sz="8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18</xdr:row>
      <xdr:rowOff>0</xdr:rowOff>
    </xdr:from>
    <xdr:to>
      <xdr:col>8</xdr:col>
      <xdr:colOff>0</xdr:colOff>
      <xdr:row>22</xdr:row>
      <xdr:rowOff>0</xdr:rowOff>
    </xdr:to>
    <xdr:sp macro="" textlink="" fLocksText="0">
      <xdr:nvSpPr>
        <xdr:cNvPr id="4" name="正方形/長方形 1">
          <a:extLst>
            <a:ext uri="{FF2B5EF4-FFF2-40B4-BE49-F238E27FC236}">
              <a16:creationId xmlns:a16="http://schemas.microsoft.com/office/drawing/2014/main" id="{00000000-0008-0000-0400-000004000000}"/>
            </a:ext>
          </a:extLst>
        </xdr:cNvPr>
        <xdr:cNvSpPr/>
      </xdr:nvSpPr>
      <xdr:spPr>
        <a:xfrm>
          <a:off x="533400" y="3543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SC3201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レジ別単品別売上点検画面</a:t>
          </a:r>
        </a:p>
      </xdr:txBody>
    </xdr:sp>
    <xdr:clientData/>
  </xdr:twoCellAnchor>
  <xdr:twoCellAnchor>
    <xdr:from>
      <xdr:col>2</xdr:col>
      <xdr:colOff>0</xdr:colOff>
      <xdr:row>28</xdr:row>
      <xdr:rowOff>0</xdr:rowOff>
    </xdr:from>
    <xdr:to>
      <xdr:col>8</xdr:col>
      <xdr:colOff>0</xdr:colOff>
      <xdr:row>32</xdr:row>
      <xdr:rowOff>0</xdr:rowOff>
    </xdr:to>
    <xdr:sp macro="" textlink="" fLocksText="0">
      <xdr:nvSpPr>
        <xdr:cNvPr id="5" name="正方形/長方形 19">
          <a:extLst>
            <a:ext uri="{FF2B5EF4-FFF2-40B4-BE49-F238E27FC236}">
              <a16:creationId xmlns:a16="http://schemas.microsoft.com/office/drawing/2014/main" id="{00000000-0008-0000-0400-000005000000}"/>
            </a:ext>
          </a:extLst>
        </xdr:cNvPr>
        <xdr:cNvSpPr/>
      </xdr:nvSpPr>
      <xdr:spPr>
        <a:xfrm>
          <a:off x="533400" y="544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MD0101</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店舗一覧モダール</a:t>
          </a:r>
        </a:p>
      </xdr:txBody>
    </xdr:sp>
    <xdr:clientData/>
  </xdr:twoCellAnchor>
  <xdr:twoCellAnchor>
    <xdr:from>
      <xdr:col>3</xdr:col>
      <xdr:colOff>0</xdr:colOff>
      <xdr:row>24</xdr:row>
      <xdr:rowOff>13607</xdr:rowOff>
    </xdr:from>
    <xdr:to>
      <xdr:col>7</xdr:col>
      <xdr:colOff>0</xdr:colOff>
      <xdr:row>25</xdr:row>
      <xdr:rowOff>0</xdr:rowOff>
    </xdr:to>
    <xdr:sp macro="" textlink="" fLocksText="0">
      <xdr:nvSpPr>
        <xdr:cNvPr id="6" name="四角形: 角を丸くする 1101">
          <a:extLst>
            <a:ext uri="{FF2B5EF4-FFF2-40B4-BE49-F238E27FC236}">
              <a16:creationId xmlns:a16="http://schemas.microsoft.com/office/drawing/2014/main" id="{00000000-0008-0000-0400-000006000000}"/>
            </a:ext>
          </a:extLst>
        </xdr:cNvPr>
        <xdr:cNvSpPr/>
      </xdr:nvSpPr>
      <xdr:spPr>
        <a:xfrm>
          <a:off x="800100" y="4695825"/>
          <a:ext cx="1066800"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9</xdr:col>
      <xdr:colOff>0</xdr:colOff>
      <xdr:row>24</xdr:row>
      <xdr:rowOff>0</xdr:rowOff>
    </xdr:from>
    <xdr:to>
      <xdr:col>13</xdr:col>
      <xdr:colOff>0</xdr:colOff>
      <xdr:row>25</xdr:row>
      <xdr:rowOff>190499</xdr:rowOff>
    </xdr:to>
    <xdr:sp macro="" textlink="" fLocksText="0">
      <xdr:nvSpPr>
        <xdr:cNvPr id="7" name="四角形: 角を丸くする 1101">
          <a:extLst>
            <a:ext uri="{FF2B5EF4-FFF2-40B4-BE49-F238E27FC236}">
              <a16:creationId xmlns:a16="http://schemas.microsoft.com/office/drawing/2014/main" id="{00000000-0008-0000-0400-000007000000}"/>
            </a:ext>
          </a:extLst>
        </xdr:cNvPr>
        <xdr:cNvSpPr/>
      </xdr:nvSpPr>
      <xdr:spPr>
        <a:xfrm>
          <a:off x="2400300" y="4686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b" anchorCtr="0">
          <a:prstTxWarp prst="textNoShape">
            <a:avLst/>
          </a:prstTxWarp>
          <a:noAutofit/>
        </a:bodyPr>
        <a:lstStyle/>
        <a:p>
          <a:pPr marL="0" indent="0" algn="ctr"/>
          <a:endParaRPr lang="ja-JP" altLang="en-US" sz="800">
            <a:solidFill>
              <a:schemeClr val="bg1"/>
            </a:solidFill>
            <a:latin typeface="Meiryo UI" panose="020B0604030504040204" pitchFamily="34" charset="-128"/>
            <a:ea typeface="Meiryo UI" panose="020B0604030504040204" pitchFamily="34" charset="-128"/>
            <a:cs typeface="+mn-cs"/>
          </a:endParaRPr>
        </a:p>
        <a:p>
          <a:pPr algn="ctr">
            <a:defRPr lang="en-US" altLang="ja-JP" sz="800" b="0" i="0" u="none" baseline="0">
              <a:solidFill>
                <a:srgbClr val="FFFFFF"/>
              </a:solidFill>
              <a:latin typeface="Meiryo UI" panose="020B0604030504040204" pitchFamily="34" charset="-128"/>
              <a:ea typeface="Meiryo UI" panose="020B0604030504040204" pitchFamily="34" charset="-128"/>
            </a:defRPr>
          </a:pPr>
          <a:r>
            <a:rPr>
              <a:latin typeface="Meiryo UI" panose="020B0604030504040204" pitchFamily="34" charset="-128"/>
              <a:ea typeface="Meiryo UI" panose="020B0604030504040204" pitchFamily="34" charset="-128"/>
            </a:rPr>
            <a:t>
</a:t>
          </a:r>
          <a:r>
            <a:rPr lang="en-US" altLang="ja-JP" sz="800" b="0" i="0" u="none" baseline="0">
              <a:solidFill>
                <a:srgbClr val="FFFFFF"/>
              </a:solidFill>
              <a:latin typeface="Meiryo UI" panose="020B0604030504040204" pitchFamily="34" charset="-128"/>
              <a:ea typeface="Meiryo UI" panose="020B0604030504040204" pitchFamily="34" charset="-128"/>
            </a:rPr>
            <a:t>店舗情報（ヘッダー）</a:t>
          </a:r>
        </a:p>
      </xdr:txBody>
    </xdr:sp>
    <xdr:clientData/>
  </xdr:twoCellAnchor>
  <xdr:twoCellAnchor>
    <xdr:from>
      <xdr:col>5</xdr:col>
      <xdr:colOff>1</xdr:colOff>
      <xdr:row>22</xdr:row>
      <xdr:rowOff>0</xdr:rowOff>
    </xdr:from>
    <xdr:to>
      <xdr:col>11</xdr:col>
      <xdr:colOff>0</xdr:colOff>
      <xdr:row>24</xdr:row>
      <xdr:rowOff>0</xdr:rowOff>
    </xdr:to>
    <xdr:cxnSp macro="">
      <xdr:nvCxnSpPr>
        <xdr:cNvPr id="8" name="Connector: Elbow 7">
          <a:extLst>
            <a:ext uri="{FF2B5EF4-FFF2-40B4-BE49-F238E27FC236}">
              <a16:creationId xmlns:a16="http://schemas.microsoft.com/office/drawing/2014/main" id="{00000000-0008-0000-0400-000008000000}"/>
            </a:ext>
          </a:extLst>
        </xdr:cNvPr>
        <xdr:cNvCxnSpPr>
          <a:stCxn id="4" idx="2"/>
          <a:endCxn id="7" idx="0"/>
        </xdr:cNvCxnSpPr>
      </xdr:nvCxnSpPr>
      <xdr:spPr>
        <a:xfrm rot="16200000" flipH="1">
          <a:off x="1333500" y="4305300"/>
          <a:ext cx="1600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2</xdr:colOff>
      <xdr:row>25</xdr:row>
      <xdr:rowOff>190498</xdr:rowOff>
    </xdr:from>
    <xdr:to>
      <xdr:col>11</xdr:col>
      <xdr:colOff>1</xdr:colOff>
      <xdr:row>27</xdr:row>
      <xdr:rowOff>190499</xdr:rowOff>
    </xdr:to>
    <xdr:cxnSp macro="">
      <xdr:nvCxnSpPr>
        <xdr:cNvPr id="9" name="Connector: Elbow 8">
          <a:extLst>
            <a:ext uri="{FF2B5EF4-FFF2-40B4-BE49-F238E27FC236}">
              <a16:creationId xmlns:a16="http://schemas.microsoft.com/office/drawing/2014/main" id="{00000000-0008-0000-0400-000009000000}"/>
            </a:ext>
          </a:extLst>
        </xdr:cNvPr>
        <xdr:cNvCxnSpPr>
          <a:stCxn id="7" idx="2"/>
          <a:endCxn id="5" idx="0"/>
        </xdr:cNvCxnSpPr>
      </xdr:nvCxnSpPr>
      <xdr:spPr>
        <a:xfrm rot="5400000">
          <a:off x="1333500" y="5067300"/>
          <a:ext cx="1600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6465</xdr:colOff>
      <xdr:row>34</xdr:row>
      <xdr:rowOff>0</xdr:rowOff>
    </xdr:from>
    <xdr:to>
      <xdr:col>6</xdr:col>
      <xdr:colOff>6465</xdr:colOff>
      <xdr:row>36</xdr:row>
      <xdr:rowOff>0</xdr:rowOff>
    </xdr:to>
    <xdr:sp macro="" textlink="" fLocksText="0">
      <xdr:nvSpPr>
        <xdr:cNvPr id="10" name="四角形: 角を丸くする 1101">
          <a:extLst>
            <a:ext uri="{FF2B5EF4-FFF2-40B4-BE49-F238E27FC236}">
              <a16:creationId xmlns:a16="http://schemas.microsoft.com/office/drawing/2014/main" id="{00000000-0008-0000-0400-00000A000000}"/>
            </a:ext>
          </a:extLst>
        </xdr:cNvPr>
        <xdr:cNvSpPr/>
      </xdr:nvSpPr>
      <xdr:spPr>
        <a:xfrm>
          <a:off x="1076325" y="65913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決定</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11</xdr:col>
      <xdr:colOff>0</xdr:colOff>
      <xdr:row>34</xdr:row>
      <xdr:rowOff>0</xdr:rowOff>
    </xdr:from>
    <xdr:to>
      <xdr:col>12</xdr:col>
      <xdr:colOff>228858</xdr:colOff>
      <xdr:row>36</xdr:row>
      <xdr:rowOff>0</xdr:rowOff>
    </xdr:to>
    <xdr:sp macro="" textlink="" fLocksText="0">
      <xdr:nvSpPr>
        <xdr:cNvPr id="11" name="四角形: 角を丸くする 1101">
          <a:extLst>
            <a:ext uri="{FF2B5EF4-FFF2-40B4-BE49-F238E27FC236}">
              <a16:creationId xmlns:a16="http://schemas.microsoft.com/office/drawing/2014/main" id="{00000000-0008-0000-0400-00000B000000}"/>
            </a:ext>
          </a:extLst>
        </xdr:cNvPr>
        <xdr:cNvSpPr/>
      </xdr:nvSpPr>
      <xdr:spPr>
        <a:xfrm>
          <a:off x="2933700" y="6591300"/>
          <a:ext cx="4953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5</xdr:col>
      <xdr:colOff>1</xdr:colOff>
      <xdr:row>32</xdr:row>
      <xdr:rowOff>0</xdr:rowOff>
    </xdr:from>
    <xdr:to>
      <xdr:col>12</xdr:col>
      <xdr:colOff>1</xdr:colOff>
      <xdr:row>34</xdr:row>
      <xdr:rowOff>0</xdr:rowOff>
    </xdr:to>
    <xdr:cxnSp macro="">
      <xdr:nvCxnSpPr>
        <xdr:cNvPr id="12" name="Connector: Elbow 11">
          <a:extLst>
            <a:ext uri="{FF2B5EF4-FFF2-40B4-BE49-F238E27FC236}">
              <a16:creationId xmlns:a16="http://schemas.microsoft.com/office/drawing/2014/main" id="{00000000-0008-0000-0400-00000C000000}"/>
            </a:ext>
          </a:extLst>
        </xdr:cNvPr>
        <xdr:cNvCxnSpPr>
          <a:stCxn id="5" idx="2"/>
          <a:endCxn id="11" idx="0"/>
        </xdr:cNvCxnSpPr>
      </xdr:nvCxnSpPr>
      <xdr:spPr>
        <a:xfrm rot="16200000" flipH="1">
          <a:off x="1333500" y="6210300"/>
          <a:ext cx="18669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12</xdr:row>
      <xdr:rowOff>0</xdr:rowOff>
    </xdr:from>
    <xdr:to>
      <xdr:col>61</xdr:col>
      <xdr:colOff>0</xdr:colOff>
      <xdr:row>14</xdr:row>
      <xdr:rowOff>0</xdr:rowOff>
    </xdr:to>
    <xdr:sp macro="" textlink="" fLocksText="0">
      <xdr:nvSpPr>
        <xdr:cNvPr id="13" name="吹き出し: 線 2">
          <a:extLst>
            <a:ext uri="{FF2B5EF4-FFF2-40B4-BE49-F238E27FC236}">
              <a16:creationId xmlns:a16="http://schemas.microsoft.com/office/drawing/2014/main" id="{00000000-0008-0000-0400-00000D000000}"/>
            </a:ext>
          </a:extLst>
        </xdr:cNvPr>
        <xdr:cNvSpPr/>
      </xdr:nvSpPr>
      <xdr:spPr>
        <a:xfrm>
          <a:off x="10134600" y="2400300"/>
          <a:ext cx="6134100" cy="381000"/>
        </a:xfrm>
        <a:prstGeom prst="borderCallout1">
          <a:avLst>
            <a:gd name="adj1" fmla="val 54828"/>
            <a:gd name="adj2" fmla="val -151"/>
            <a:gd name="adj3" fmla="val 51165"/>
            <a:gd name="adj4" fmla="val -13025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ID Menu item MF010</a:t>
          </a:r>
          <a:endParaRPr lang="vi-VN" altLang="ja-JP" sz="1000" b="0" i="0" u="none" baseline="0">
            <a:solidFill>
              <a:srgbClr val="000000"/>
            </a:solidFill>
            <a:latin typeface="Meiryo UI"/>
            <a:ea typeface="Meiryo UI" panose="020B0604030504040204" pitchFamily="34" charset="-128"/>
          </a:endParaRPr>
        </a:p>
      </xdr:txBody>
    </xdr:sp>
    <xdr:clientData/>
  </xdr:twoCellAnchor>
  <xdr:twoCellAnchor>
    <xdr:from>
      <xdr:col>38</xdr:col>
      <xdr:colOff>0</xdr:colOff>
      <xdr:row>17</xdr:row>
      <xdr:rowOff>0</xdr:rowOff>
    </xdr:from>
    <xdr:to>
      <xdr:col>61</xdr:col>
      <xdr:colOff>0</xdr:colOff>
      <xdr:row>23</xdr:row>
      <xdr:rowOff>0</xdr:rowOff>
    </xdr:to>
    <xdr:sp macro="" textlink="" fLocksText="0">
      <xdr:nvSpPr>
        <xdr:cNvPr id="14" name="吹き出し: 線 2">
          <a:extLst>
            <a:ext uri="{FF2B5EF4-FFF2-40B4-BE49-F238E27FC236}">
              <a16:creationId xmlns:a16="http://schemas.microsoft.com/office/drawing/2014/main" id="{00000000-0008-0000-0400-00000E000000}"/>
            </a:ext>
          </a:extLst>
        </xdr:cNvPr>
        <xdr:cNvSpPr/>
      </xdr:nvSpPr>
      <xdr:spPr>
        <a:xfrm>
          <a:off x="10134600" y="3352800"/>
          <a:ext cx="6134100" cy="1143000"/>
        </a:xfrm>
        <a:prstGeom prst="borderCallout1">
          <a:avLst>
            <a:gd name="adj1" fmla="val 51887"/>
            <a:gd name="adj2" fmla="val 470"/>
            <a:gd name="adj3" fmla="val 54118"/>
            <a:gd name="adj4" fmla="val -13174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店舗情報をタッチすると共通機能を実行する。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各ユーザーのstoreIdに基づいて、各店舗に該当する店舗一覧を取得する。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storeId = 09999の場合、全ての店舗一覧を取得する。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24</xdr:row>
      <xdr:rowOff>0</xdr:rowOff>
    </xdr:from>
    <xdr:to>
      <xdr:col>61</xdr:col>
      <xdr:colOff>0</xdr:colOff>
      <xdr:row>31</xdr:row>
      <xdr:rowOff>0</xdr:rowOff>
    </xdr:to>
    <xdr:sp macro="" textlink="" fLocksText="0">
      <xdr:nvSpPr>
        <xdr:cNvPr id="15" name="吹き出し: 線 2">
          <a:extLst>
            <a:ext uri="{FF2B5EF4-FFF2-40B4-BE49-F238E27FC236}">
              <a16:creationId xmlns:a16="http://schemas.microsoft.com/office/drawing/2014/main" id="{00000000-0008-0000-0400-00000F000000}"/>
            </a:ext>
          </a:extLst>
        </xdr:cNvPr>
        <xdr:cNvSpPr/>
      </xdr:nvSpPr>
      <xdr:spPr>
        <a:xfrm>
          <a:off x="10134600" y="4686300"/>
          <a:ext cx="6134100" cy="1333500"/>
        </a:xfrm>
        <a:prstGeom prst="borderCallout1">
          <a:avLst>
            <a:gd name="adj1" fmla="val 46845"/>
            <a:gd name="adj2" fmla="val 677"/>
            <a:gd name="adj3" fmla="val 91805"/>
            <a:gd name="adj4" fmla="val -1324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表示モダールと店舗一覧</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1つの店舗のみ選択可能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顧客が選択した店舗を保存する。SC3201_レジ別単品別売上点検画面に戻ると、観客が選択した店舗を表示する。SCX0101_メインメニュー画面に戻ると、顧客が選択した店舗をクリアする。</a:t>
          </a:r>
        </a:p>
      </xdr:txBody>
    </xdr:sp>
    <xdr:clientData/>
  </xdr:twoCellAnchor>
  <xdr:twoCellAnchor>
    <xdr:from>
      <xdr:col>38</xdr:col>
      <xdr:colOff>0</xdr:colOff>
      <xdr:row>32</xdr:row>
      <xdr:rowOff>0</xdr:rowOff>
    </xdr:from>
    <xdr:to>
      <xdr:col>61</xdr:col>
      <xdr:colOff>0</xdr:colOff>
      <xdr:row>36</xdr:row>
      <xdr:rowOff>0</xdr:rowOff>
    </xdr:to>
    <xdr:sp macro="" textlink="" fLocksText="0">
      <xdr:nvSpPr>
        <xdr:cNvPr id="16" name="吹き出し: 線 2">
          <a:extLst>
            <a:ext uri="{FF2B5EF4-FFF2-40B4-BE49-F238E27FC236}">
              <a16:creationId xmlns:a16="http://schemas.microsoft.com/office/drawing/2014/main" id="{00000000-0008-0000-0400-000010000000}"/>
            </a:ext>
          </a:extLst>
        </xdr:cNvPr>
        <xdr:cNvSpPr/>
      </xdr:nvSpPr>
      <xdr:spPr>
        <a:xfrm>
          <a:off x="10134600" y="6210300"/>
          <a:ext cx="6134100" cy="762000"/>
        </a:xfrm>
        <a:prstGeom prst="borderCallout1">
          <a:avLst>
            <a:gd name="adj1" fmla="val 48210"/>
            <a:gd name="adj2" fmla="val 884"/>
            <a:gd name="adj3" fmla="val 78412"/>
            <a:gd name="adj4" fmla="val -14082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・決定ボタン：MD0101_店舗一覧モダールでユーザーが選択したstoreIdを使用してKN3201機能を実行する。</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・取消ボタン：モーダルを閉じて、SCX101_メインメニュー画面に戻る。</a:t>
          </a:r>
        </a:p>
      </xdr:txBody>
    </xdr:sp>
    <xdr:clientData/>
  </xdr:twoCellAnchor>
  <xdr:twoCellAnchor>
    <xdr:from>
      <xdr:col>5</xdr:col>
      <xdr:colOff>0</xdr:colOff>
      <xdr:row>15</xdr:row>
      <xdr:rowOff>0</xdr:rowOff>
    </xdr:from>
    <xdr:to>
      <xdr:col>5</xdr:col>
      <xdr:colOff>0</xdr:colOff>
      <xdr:row>18</xdr:row>
      <xdr:rowOff>0</xdr:rowOff>
    </xdr:to>
    <xdr:cxnSp macro="">
      <xdr:nvCxnSpPr>
        <xdr:cNvPr id="20" name="直線矢印コネクタ 1010">
          <a:extLst>
            <a:ext uri="{FF2B5EF4-FFF2-40B4-BE49-F238E27FC236}">
              <a16:creationId xmlns:a16="http://schemas.microsoft.com/office/drawing/2014/main" id="{00000000-0008-0000-0400-000014000000}"/>
            </a:ext>
          </a:extLst>
        </xdr:cNvPr>
        <xdr:cNvCxnSpPr>
          <a:stCxn id="3" idx="2"/>
          <a:endCxn id="4" idx="0"/>
        </xdr:cNvCxnSpPr>
      </xdr:nvCxnSpPr>
      <xdr:spPr>
        <a:xfrm>
          <a:off x="1333500" y="2971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22</xdr:row>
      <xdr:rowOff>0</xdr:rowOff>
    </xdr:from>
    <xdr:to>
      <xdr:col>5</xdr:col>
      <xdr:colOff>0</xdr:colOff>
      <xdr:row>24</xdr:row>
      <xdr:rowOff>13607</xdr:rowOff>
    </xdr:to>
    <xdr:cxnSp macro="">
      <xdr:nvCxnSpPr>
        <xdr:cNvPr id="23" name="直線矢印コネクタ 1010">
          <a:extLst>
            <a:ext uri="{FF2B5EF4-FFF2-40B4-BE49-F238E27FC236}">
              <a16:creationId xmlns:a16="http://schemas.microsoft.com/office/drawing/2014/main" id="{00000000-0008-0000-0400-000017000000}"/>
            </a:ext>
          </a:extLst>
        </xdr:cNvPr>
        <xdr:cNvCxnSpPr>
          <a:stCxn id="4" idx="2"/>
          <a:endCxn id="6" idx="0"/>
        </xdr:cNvCxnSpPr>
      </xdr:nvCxnSpPr>
      <xdr:spPr>
        <a:xfrm>
          <a:off x="1333500" y="4305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25</xdr:row>
      <xdr:rowOff>0</xdr:rowOff>
    </xdr:from>
    <xdr:to>
      <xdr:col>5</xdr:col>
      <xdr:colOff>0</xdr:colOff>
      <xdr:row>28</xdr:row>
      <xdr:rowOff>0</xdr:rowOff>
    </xdr:to>
    <xdr:cxnSp macro="">
      <xdr:nvCxnSpPr>
        <xdr:cNvPr id="26" name="直線矢印コネクタ 1010">
          <a:extLst>
            <a:ext uri="{FF2B5EF4-FFF2-40B4-BE49-F238E27FC236}">
              <a16:creationId xmlns:a16="http://schemas.microsoft.com/office/drawing/2014/main" id="{00000000-0008-0000-0400-00001A000000}"/>
            </a:ext>
          </a:extLst>
        </xdr:cNvPr>
        <xdr:cNvCxnSpPr>
          <a:stCxn id="6" idx="2"/>
          <a:endCxn id="5" idx="0"/>
        </xdr:cNvCxnSpPr>
      </xdr:nvCxnSpPr>
      <xdr:spPr>
        <a:xfrm>
          <a:off x="1333500" y="4876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32</xdr:row>
      <xdr:rowOff>0</xdr:rowOff>
    </xdr:from>
    <xdr:to>
      <xdr:col>5</xdr:col>
      <xdr:colOff>6465</xdr:colOff>
      <xdr:row>34</xdr:row>
      <xdr:rowOff>0</xdr:rowOff>
    </xdr:to>
    <xdr:cxnSp macro="">
      <xdr:nvCxnSpPr>
        <xdr:cNvPr id="29" name="直線矢印コネクタ 1010">
          <a:extLst>
            <a:ext uri="{FF2B5EF4-FFF2-40B4-BE49-F238E27FC236}">
              <a16:creationId xmlns:a16="http://schemas.microsoft.com/office/drawing/2014/main" id="{00000000-0008-0000-0400-00001D000000}"/>
            </a:ext>
          </a:extLst>
        </xdr:cNvPr>
        <xdr:cNvCxnSpPr>
          <a:stCxn id="5" idx="2"/>
          <a:endCxn id="10" idx="0"/>
        </xdr:cNvCxnSpPr>
      </xdr:nvCxnSpPr>
      <xdr:spPr>
        <a:xfrm>
          <a:off x="1333500" y="6210300"/>
          <a:ext cx="952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49</xdr:row>
      <xdr:rowOff>0</xdr:rowOff>
    </xdr:from>
    <xdr:to>
      <xdr:col>8</xdr:col>
      <xdr:colOff>0</xdr:colOff>
      <xdr:row>53</xdr:row>
      <xdr:rowOff>0</xdr:rowOff>
    </xdr:to>
    <xdr:sp macro="" textlink="" fLocksText="0">
      <xdr:nvSpPr>
        <xdr:cNvPr id="35" name="正方形/長方形 1">
          <a:extLst>
            <a:ext uri="{FF2B5EF4-FFF2-40B4-BE49-F238E27FC236}">
              <a16:creationId xmlns:a16="http://schemas.microsoft.com/office/drawing/2014/main" id="{00000000-0008-0000-0400-000023000000}"/>
            </a:ext>
          </a:extLst>
        </xdr:cNvPr>
        <xdr:cNvSpPr/>
      </xdr:nvSpPr>
      <xdr:spPr>
        <a:xfrm>
          <a:off x="533400" y="9448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SC3201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レジ別単品別売上点検画面</a:t>
          </a:r>
        </a:p>
      </xdr:txBody>
    </xdr:sp>
    <xdr:clientData/>
  </xdr:twoCellAnchor>
  <xdr:twoCellAnchor>
    <xdr:from>
      <xdr:col>5</xdr:col>
      <xdr:colOff>0</xdr:colOff>
      <xdr:row>36</xdr:row>
      <xdr:rowOff>0</xdr:rowOff>
    </xdr:from>
    <xdr:to>
      <xdr:col>5</xdr:col>
      <xdr:colOff>6465</xdr:colOff>
      <xdr:row>38</xdr:row>
      <xdr:rowOff>0</xdr:rowOff>
    </xdr:to>
    <xdr:cxnSp macro="">
      <xdr:nvCxnSpPr>
        <xdr:cNvPr id="36" name="直線矢印コネクタ 1010">
          <a:extLst>
            <a:ext uri="{FF2B5EF4-FFF2-40B4-BE49-F238E27FC236}">
              <a16:creationId xmlns:a16="http://schemas.microsoft.com/office/drawing/2014/main" id="{00000000-0008-0000-0400-000024000000}"/>
            </a:ext>
          </a:extLst>
        </xdr:cNvPr>
        <xdr:cNvCxnSpPr>
          <a:stCxn id="10" idx="2"/>
          <a:endCxn id="21" idx="0"/>
        </xdr:cNvCxnSpPr>
      </xdr:nvCxnSpPr>
      <xdr:spPr>
        <a:xfrm flipH="1">
          <a:off x="1333500" y="6972300"/>
          <a:ext cx="952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53</xdr:row>
      <xdr:rowOff>0</xdr:rowOff>
    </xdr:from>
    <xdr:to>
      <xdr:col>23</xdr:col>
      <xdr:colOff>0</xdr:colOff>
      <xdr:row>55</xdr:row>
      <xdr:rowOff>0</xdr:rowOff>
    </xdr:to>
    <xdr:cxnSp macro="">
      <xdr:nvCxnSpPr>
        <xdr:cNvPr id="45" name="Connector: Elbow 44">
          <a:extLst>
            <a:ext uri="{FF2B5EF4-FFF2-40B4-BE49-F238E27FC236}">
              <a16:creationId xmlns:a16="http://schemas.microsoft.com/office/drawing/2014/main" id="{00000000-0008-0000-0400-00002D000000}"/>
            </a:ext>
          </a:extLst>
        </xdr:cNvPr>
        <xdr:cNvCxnSpPr>
          <a:stCxn id="35" idx="2"/>
          <a:endCxn id="24" idx="0"/>
        </xdr:cNvCxnSpPr>
      </xdr:nvCxnSpPr>
      <xdr:spPr>
        <a:xfrm rot="16200000" flipH="1">
          <a:off x="1333500" y="10210800"/>
          <a:ext cx="48006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xdr:colOff>
      <xdr:row>53</xdr:row>
      <xdr:rowOff>0</xdr:rowOff>
    </xdr:from>
    <xdr:to>
      <xdr:col>14</xdr:col>
      <xdr:colOff>724</xdr:colOff>
      <xdr:row>55</xdr:row>
      <xdr:rowOff>4948</xdr:rowOff>
    </xdr:to>
    <xdr:cxnSp macro="">
      <xdr:nvCxnSpPr>
        <xdr:cNvPr id="48" name="Connector: Elbow 47">
          <a:extLst>
            <a:ext uri="{FF2B5EF4-FFF2-40B4-BE49-F238E27FC236}">
              <a16:creationId xmlns:a16="http://schemas.microsoft.com/office/drawing/2014/main" id="{00000000-0008-0000-0400-000030000000}"/>
            </a:ext>
          </a:extLst>
        </xdr:cNvPr>
        <xdr:cNvCxnSpPr>
          <a:stCxn id="35" idx="2"/>
          <a:endCxn id="27" idx="0"/>
        </xdr:cNvCxnSpPr>
      </xdr:nvCxnSpPr>
      <xdr:spPr>
        <a:xfrm rot="16200000" flipH="1">
          <a:off x="1333500" y="10210800"/>
          <a:ext cx="2400300" cy="390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22</xdr:col>
      <xdr:colOff>1</xdr:colOff>
      <xdr:row>59</xdr:row>
      <xdr:rowOff>4948</xdr:rowOff>
    </xdr:from>
    <xdr:to>
      <xdr:col>24</xdr:col>
      <xdr:colOff>2</xdr:colOff>
      <xdr:row>60</xdr:row>
      <xdr:rowOff>1</xdr:rowOff>
    </xdr:to>
    <xdr:sp macro="" textlink="" fLocksText="0">
      <xdr:nvSpPr>
        <xdr:cNvPr id="51" name="Rectangle: Rounded Corners 50">
          <a:extLst>
            <a:ext uri="{FF2B5EF4-FFF2-40B4-BE49-F238E27FC236}">
              <a16:creationId xmlns:a16="http://schemas.microsoft.com/office/drawing/2014/main" id="{00000000-0008-0000-0400-000033000000}"/>
            </a:ext>
          </a:extLst>
        </xdr:cNvPr>
        <xdr:cNvSpPr/>
      </xdr:nvSpPr>
      <xdr:spPr>
        <a:xfrm>
          <a:off x="5867400" y="11363325"/>
          <a:ext cx="533400" cy="18097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32.2</a:t>
          </a:r>
        </a:p>
      </xdr:txBody>
    </xdr:sp>
    <xdr:clientData/>
  </xdr:twoCellAnchor>
  <xdr:twoCellAnchor>
    <xdr:from>
      <xdr:col>23</xdr:col>
      <xdr:colOff>1</xdr:colOff>
      <xdr:row>57</xdr:row>
      <xdr:rowOff>0</xdr:rowOff>
    </xdr:from>
    <xdr:to>
      <xdr:col>23</xdr:col>
      <xdr:colOff>1</xdr:colOff>
      <xdr:row>59</xdr:row>
      <xdr:rowOff>4948</xdr:rowOff>
    </xdr:to>
    <xdr:cxnSp macro="">
      <xdr:nvCxnSpPr>
        <xdr:cNvPr id="52" name="直線矢印コネクタ 1010">
          <a:extLst>
            <a:ext uri="{FF2B5EF4-FFF2-40B4-BE49-F238E27FC236}">
              <a16:creationId xmlns:a16="http://schemas.microsoft.com/office/drawing/2014/main" id="{00000000-0008-0000-0400-000034000000}"/>
            </a:ext>
          </a:extLst>
        </xdr:cNvPr>
        <xdr:cNvCxnSpPr>
          <a:stCxn id="24" idx="2"/>
          <a:endCxn id="51" idx="0"/>
        </xdr:cNvCxnSpPr>
      </xdr:nvCxnSpPr>
      <xdr:spPr>
        <a:xfrm>
          <a:off x="6134100" y="109728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46</xdr:row>
      <xdr:rowOff>0</xdr:rowOff>
    </xdr:from>
    <xdr:to>
      <xdr:col>3</xdr:col>
      <xdr:colOff>1</xdr:colOff>
      <xdr:row>47</xdr:row>
      <xdr:rowOff>1</xdr:rowOff>
    </xdr:to>
    <xdr:sp macro="" textlink="" fLocksText="0">
      <xdr:nvSpPr>
        <xdr:cNvPr id="54" name="Rectangle: Rounded Corners 53">
          <a:extLst>
            <a:ext uri="{FF2B5EF4-FFF2-40B4-BE49-F238E27FC236}">
              <a16:creationId xmlns:a16="http://schemas.microsoft.com/office/drawing/2014/main" id="{00000000-0008-0000-0400-000036000000}"/>
            </a:ext>
          </a:extLst>
        </xdr:cNvPr>
        <xdr:cNvSpPr/>
      </xdr:nvSpPr>
      <xdr:spPr>
        <a:xfrm>
          <a:off x="266700" y="8877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32</a:t>
          </a:r>
        </a:p>
      </xdr:txBody>
    </xdr:sp>
    <xdr:clientData/>
  </xdr:twoCellAnchor>
  <xdr:twoCellAnchor>
    <xdr:from>
      <xdr:col>3</xdr:col>
      <xdr:colOff>1</xdr:colOff>
      <xdr:row>46</xdr:row>
      <xdr:rowOff>95251</xdr:rowOff>
    </xdr:from>
    <xdr:to>
      <xdr:col>5</xdr:col>
      <xdr:colOff>0</xdr:colOff>
      <xdr:row>49</xdr:row>
      <xdr:rowOff>0</xdr:rowOff>
    </xdr:to>
    <xdr:cxnSp macro="">
      <xdr:nvCxnSpPr>
        <xdr:cNvPr id="55" name="Connector: Elbow 54">
          <a:extLst>
            <a:ext uri="{FF2B5EF4-FFF2-40B4-BE49-F238E27FC236}">
              <a16:creationId xmlns:a16="http://schemas.microsoft.com/office/drawing/2014/main" id="{00000000-0008-0000-0400-000037000000}"/>
            </a:ext>
          </a:extLst>
        </xdr:cNvPr>
        <xdr:cNvCxnSpPr>
          <a:stCxn id="54" idx="3"/>
          <a:endCxn id="35" idx="0"/>
        </xdr:cNvCxnSpPr>
      </xdr:nvCxnSpPr>
      <xdr:spPr>
        <a:xfrm>
          <a:off x="800100" y="8972550"/>
          <a:ext cx="533400" cy="4762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1449</xdr:colOff>
      <xdr:row>59</xdr:row>
      <xdr:rowOff>4948</xdr:rowOff>
    </xdr:from>
    <xdr:to>
      <xdr:col>15</xdr:col>
      <xdr:colOff>1</xdr:colOff>
      <xdr:row>60</xdr:row>
      <xdr:rowOff>1</xdr:rowOff>
    </xdr:to>
    <xdr:sp macro="" textlink="" fLocksText="0">
      <xdr:nvSpPr>
        <xdr:cNvPr id="60" name="Rectangle: Rounded Corners 59">
          <a:extLst>
            <a:ext uri="{FF2B5EF4-FFF2-40B4-BE49-F238E27FC236}">
              <a16:creationId xmlns:a16="http://schemas.microsoft.com/office/drawing/2014/main" id="{00000000-0008-0000-0400-00003C000000}"/>
            </a:ext>
          </a:extLst>
        </xdr:cNvPr>
        <xdr:cNvSpPr/>
      </xdr:nvSpPr>
      <xdr:spPr>
        <a:xfrm>
          <a:off x="3467100" y="11363325"/>
          <a:ext cx="533400" cy="18097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32.1</a:t>
          </a:r>
        </a:p>
      </xdr:txBody>
    </xdr:sp>
    <xdr:clientData/>
  </xdr:twoCellAnchor>
  <xdr:twoCellAnchor>
    <xdr:from>
      <xdr:col>14</xdr:col>
      <xdr:colOff>724</xdr:colOff>
      <xdr:row>57</xdr:row>
      <xdr:rowOff>4948</xdr:rowOff>
    </xdr:from>
    <xdr:to>
      <xdr:col>14</xdr:col>
      <xdr:colOff>725</xdr:colOff>
      <xdr:row>59</xdr:row>
      <xdr:rowOff>4948</xdr:rowOff>
    </xdr:to>
    <xdr:cxnSp macro="">
      <xdr:nvCxnSpPr>
        <xdr:cNvPr id="61" name="直線矢印コネクタ 1010">
          <a:extLst>
            <a:ext uri="{FF2B5EF4-FFF2-40B4-BE49-F238E27FC236}">
              <a16:creationId xmlns:a16="http://schemas.microsoft.com/office/drawing/2014/main" id="{00000000-0008-0000-0400-00003D000000}"/>
            </a:ext>
          </a:extLst>
        </xdr:cNvPr>
        <xdr:cNvCxnSpPr>
          <a:stCxn id="27" idx="2"/>
          <a:endCxn id="60" idx="0"/>
        </xdr:cNvCxnSpPr>
      </xdr:nvCxnSpPr>
      <xdr:spPr>
        <a:xfrm>
          <a:off x="3733800" y="10982325"/>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55</xdr:row>
      <xdr:rowOff>0</xdr:rowOff>
    </xdr:from>
    <xdr:to>
      <xdr:col>6</xdr:col>
      <xdr:colOff>235323</xdr:colOff>
      <xdr:row>57</xdr:row>
      <xdr:rowOff>0</xdr:rowOff>
    </xdr:to>
    <xdr:sp macro="" textlink="" fLocksText="0">
      <xdr:nvSpPr>
        <xdr:cNvPr id="63" name="四角形: 角を丸くする 1101">
          <a:extLst>
            <a:ext uri="{FF2B5EF4-FFF2-40B4-BE49-F238E27FC236}">
              <a16:creationId xmlns:a16="http://schemas.microsoft.com/office/drawing/2014/main" id="{00000000-0008-0000-0400-00003F000000}"/>
            </a:ext>
          </a:extLst>
        </xdr:cNvPr>
        <xdr:cNvSpPr/>
      </xdr:nvSpPr>
      <xdr:spPr>
        <a:xfrm>
          <a:off x="800100" y="10591800"/>
          <a:ext cx="103822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900" b="0" i="0">
              <a:solidFill>
                <a:schemeClr val="bg1"/>
              </a:solidFill>
              <a:latin typeface="Meiryo UI" panose="020B0604030504040204" pitchFamily="34" charset="-128"/>
              <a:ea typeface="Meiryo UI" panose="020B0604030504040204" pitchFamily="34" charset="-128"/>
              <a:cs typeface="+mn-cs"/>
            </a:defRPr>
          </a:pPr>
          <a:r>
            <a:rPr lang="en-US" altLang="ja-JP" sz="900" b="0" i="0" u="none" baseline="0">
              <a:solidFill>
                <a:srgbClr val="FFFFFF"/>
              </a:solidFill>
              <a:latin typeface="Meiryo UI" panose="020B0604030504040204" pitchFamily="34" charset="-128"/>
              <a:ea typeface="Meiryo UI" panose="020B0604030504040204" pitchFamily="34" charset="-128"/>
            </a:rPr>
            <a:t>検索</a:t>
          </a:r>
        </a:p>
      </xdr:txBody>
    </xdr:sp>
    <xdr:clientData/>
  </xdr:twoCellAnchor>
  <xdr:twoCellAnchor>
    <xdr:from>
      <xdr:col>5</xdr:col>
      <xdr:colOff>0</xdr:colOff>
      <xdr:row>53</xdr:row>
      <xdr:rowOff>0</xdr:rowOff>
    </xdr:from>
    <xdr:to>
      <xdr:col>5</xdr:col>
      <xdr:colOff>0</xdr:colOff>
      <xdr:row>55</xdr:row>
      <xdr:rowOff>0</xdr:rowOff>
    </xdr:to>
    <xdr:cxnSp macro="">
      <xdr:nvCxnSpPr>
        <xdr:cNvPr id="64" name="直線矢印コネクタ 1010">
          <a:extLst>
            <a:ext uri="{FF2B5EF4-FFF2-40B4-BE49-F238E27FC236}">
              <a16:creationId xmlns:a16="http://schemas.microsoft.com/office/drawing/2014/main" id="{00000000-0008-0000-0400-000040000000}"/>
            </a:ext>
          </a:extLst>
        </xdr:cNvPr>
        <xdr:cNvCxnSpPr>
          <a:stCxn id="35" idx="2"/>
          <a:endCxn id="63" idx="0"/>
        </xdr:cNvCxnSpPr>
      </xdr:nvCxnSpPr>
      <xdr:spPr>
        <a:xfrm>
          <a:off x="1333500" y="10210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62</xdr:row>
      <xdr:rowOff>0</xdr:rowOff>
    </xdr:from>
    <xdr:to>
      <xdr:col>8</xdr:col>
      <xdr:colOff>0</xdr:colOff>
      <xdr:row>66</xdr:row>
      <xdr:rowOff>0</xdr:rowOff>
    </xdr:to>
    <xdr:sp macro="" textlink="" fLocksText="0">
      <xdr:nvSpPr>
        <xdr:cNvPr id="68" name="四角形: 角を丸くする 3">
          <a:extLst>
            <a:ext uri="{FF2B5EF4-FFF2-40B4-BE49-F238E27FC236}">
              <a16:creationId xmlns:a16="http://schemas.microsoft.com/office/drawing/2014/main" id="{00000000-0008-0000-0400-000044000000}"/>
            </a:ext>
          </a:extLst>
        </xdr:cNvPr>
        <xdr:cNvSpPr/>
      </xdr:nvSpPr>
      <xdr:spPr>
        <a:xfrm>
          <a:off x="533400" y="11925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800" b="0" i="0" u="none" baseline="0">
              <a:solidFill>
                <a:srgbClr val="000000"/>
              </a:solidFill>
              <a:latin typeface="Meiryo UI" panose="020B0604030504040204" pitchFamily="34" charset="-128"/>
              <a:ea typeface="Meiryo UI" panose="020B0604030504040204" pitchFamily="34" charset="-128"/>
            </a:rPr>
            <a:t>KN3202</a:t>
          </a:r>
          <a:endParaRPr lang="en-US" altLang="ja-JP" sz="800">
            <a:solidFill>
              <a:srgbClr val="000000"/>
            </a:solidFill>
            <a:latin typeface="Meiryo UI" panose="020B0604030504040204" pitchFamily="34" charset="-128"/>
            <a:ea typeface="Meiryo UI" panose="020B0604030504040204" pitchFamily="34" charset="-128"/>
          </a:endParaRPr>
        </a:p>
        <a:p>
          <a:pPr algn="ctr">
            <a:defRPr lang="en-US" altLang="ja-JP" sz="800" b="0" i="0" u="none" baseline="0">
              <a:solidFill>
                <a:srgbClr val="000000"/>
              </a:solidFill>
              <a:latin typeface="Meiryo UI" panose="020B0604030504040204" pitchFamily="34" charset="-128"/>
              <a:ea typeface="Meiryo UI" panose="020B0604030504040204" pitchFamily="34" charset="-128"/>
            </a:defRPr>
          </a:pPr>
          <a:r>
            <a:rPr lang="en-US" altLang="ja-JP" sz="800" b="0" i="0" u="none" baseline="0">
              <a:solidFill>
                <a:srgbClr val="000000"/>
              </a:solidFill>
              <a:latin typeface="Meiryo UI" panose="020B0604030504040204" pitchFamily="34" charset="-128"/>
              <a:ea typeface="Meiryo UI" panose="020B0604030504040204" pitchFamily="34" charset="-128"/>
            </a:rPr>
            <a:t>レジ別単品別売上検索機能 </a:t>
          </a:r>
        </a:p>
      </xdr:txBody>
    </xdr:sp>
    <xdr:clientData/>
  </xdr:twoCellAnchor>
  <xdr:twoCellAnchor>
    <xdr:from>
      <xdr:col>5</xdr:col>
      <xdr:colOff>0</xdr:colOff>
      <xdr:row>57</xdr:row>
      <xdr:rowOff>0</xdr:rowOff>
    </xdr:from>
    <xdr:to>
      <xdr:col>5</xdr:col>
      <xdr:colOff>0</xdr:colOff>
      <xdr:row>62</xdr:row>
      <xdr:rowOff>0</xdr:rowOff>
    </xdr:to>
    <xdr:cxnSp macro="">
      <xdr:nvCxnSpPr>
        <xdr:cNvPr id="69" name="直線矢印コネクタ 1010">
          <a:extLst>
            <a:ext uri="{FF2B5EF4-FFF2-40B4-BE49-F238E27FC236}">
              <a16:creationId xmlns:a16="http://schemas.microsoft.com/office/drawing/2014/main" id="{00000000-0008-0000-0400-000045000000}"/>
            </a:ext>
          </a:extLst>
        </xdr:cNvPr>
        <xdr:cNvCxnSpPr>
          <a:stCxn id="63" idx="2"/>
          <a:endCxn id="68" idx="0"/>
        </xdr:cNvCxnSpPr>
      </xdr:nvCxnSpPr>
      <xdr:spPr>
        <a:xfrm>
          <a:off x="1333500" y="109728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66</xdr:row>
      <xdr:rowOff>0</xdr:rowOff>
    </xdr:from>
    <xdr:to>
      <xdr:col>5</xdr:col>
      <xdr:colOff>0</xdr:colOff>
      <xdr:row>68</xdr:row>
      <xdr:rowOff>0</xdr:rowOff>
    </xdr:to>
    <xdr:cxnSp macro="">
      <xdr:nvCxnSpPr>
        <xdr:cNvPr id="73" name="直線矢印コネクタ 1010">
          <a:extLst>
            <a:ext uri="{FF2B5EF4-FFF2-40B4-BE49-F238E27FC236}">
              <a16:creationId xmlns:a16="http://schemas.microsoft.com/office/drawing/2014/main" id="{00000000-0008-0000-0400-000049000000}"/>
            </a:ext>
          </a:extLst>
        </xdr:cNvPr>
        <xdr:cNvCxnSpPr>
          <a:stCxn id="68" idx="2"/>
          <a:endCxn id="91" idx="0"/>
        </xdr:cNvCxnSpPr>
      </xdr:nvCxnSpPr>
      <xdr:spPr>
        <a:xfrm>
          <a:off x="1333500" y="12687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21</xdr:col>
      <xdr:colOff>2</xdr:colOff>
      <xdr:row>55</xdr:row>
      <xdr:rowOff>0</xdr:rowOff>
    </xdr:from>
    <xdr:to>
      <xdr:col>25</xdr:col>
      <xdr:colOff>0</xdr:colOff>
      <xdr:row>57</xdr:row>
      <xdr:rowOff>0</xdr:rowOff>
    </xdr:to>
    <xdr:sp macro="" textlink="" fLocksText="0">
      <xdr:nvSpPr>
        <xdr:cNvPr id="24" name="四角形: 角を丸くする 1101">
          <a:extLst>
            <a:ext uri="{FF2B5EF4-FFF2-40B4-BE49-F238E27FC236}">
              <a16:creationId xmlns:a16="http://schemas.microsoft.com/office/drawing/2014/main" id="{00000000-0008-0000-0400-000018000000}"/>
            </a:ext>
          </a:extLst>
        </xdr:cNvPr>
        <xdr:cNvSpPr/>
      </xdr:nvSpPr>
      <xdr:spPr>
        <a:xfrm>
          <a:off x="5600700" y="10591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出力单位</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12</xdr:col>
      <xdr:colOff>0</xdr:colOff>
      <xdr:row>55</xdr:row>
      <xdr:rowOff>4948</xdr:rowOff>
    </xdr:from>
    <xdr:to>
      <xdr:col>16</xdr:col>
      <xdr:colOff>1450</xdr:colOff>
      <xdr:row>57</xdr:row>
      <xdr:rowOff>4948</xdr:rowOff>
    </xdr:to>
    <xdr:sp macro="" textlink="" fLocksText="0">
      <xdr:nvSpPr>
        <xdr:cNvPr id="27" name="四角形: 角を丸くする 1101">
          <a:extLst>
            <a:ext uri="{FF2B5EF4-FFF2-40B4-BE49-F238E27FC236}">
              <a16:creationId xmlns:a16="http://schemas.microsoft.com/office/drawing/2014/main" id="{00000000-0008-0000-0400-00001B000000}"/>
            </a:ext>
          </a:extLst>
        </xdr:cNvPr>
        <xdr:cNvSpPr/>
      </xdr:nvSpPr>
      <xdr:spPr>
        <a:xfrm>
          <a:off x="3200400" y="10601325"/>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900" b="0" i="0" u="none" baseline="0">
              <a:solidFill>
                <a:srgbClr val="FFFFFF"/>
              </a:solidFill>
              <a:latin typeface="Meiryo UI" panose="020B0604030504040204" pitchFamily="34" charset="-128"/>
              <a:ea typeface="Meiryo UI" panose="020B0604030504040204" pitchFamily="34" charset="-128"/>
            </a:rPr>
            <a:t>営業種別</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0</xdr:colOff>
      <xdr:row>110</xdr:row>
      <xdr:rowOff>0</xdr:rowOff>
    </xdr:from>
    <xdr:to>
      <xdr:col>6</xdr:col>
      <xdr:colOff>0</xdr:colOff>
      <xdr:row>111</xdr:row>
      <xdr:rowOff>1</xdr:rowOff>
    </xdr:to>
    <xdr:sp macro="" textlink="" fLocksText="0">
      <xdr:nvSpPr>
        <xdr:cNvPr id="32" name="Rectangle: Rounded Corners 31">
          <a:extLst>
            <a:ext uri="{FF2B5EF4-FFF2-40B4-BE49-F238E27FC236}">
              <a16:creationId xmlns:a16="http://schemas.microsoft.com/office/drawing/2014/main" id="{00000000-0008-0000-0400-000020000000}"/>
            </a:ext>
          </a:extLst>
        </xdr:cNvPr>
        <xdr:cNvSpPr/>
      </xdr:nvSpPr>
      <xdr:spPr>
        <a:xfrm>
          <a:off x="1066800" y="21069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32.2</a:t>
          </a:r>
        </a:p>
      </xdr:txBody>
    </xdr:sp>
    <xdr:clientData/>
  </xdr:twoCellAnchor>
  <xdr:twoCellAnchor>
    <xdr:from>
      <xdr:col>5</xdr:col>
      <xdr:colOff>0</xdr:colOff>
      <xdr:row>111</xdr:row>
      <xdr:rowOff>1</xdr:rowOff>
    </xdr:from>
    <xdr:to>
      <xdr:col>5</xdr:col>
      <xdr:colOff>0</xdr:colOff>
      <xdr:row>113</xdr:row>
      <xdr:rowOff>0</xdr:rowOff>
    </xdr:to>
    <xdr:cxnSp macro="">
      <xdr:nvCxnSpPr>
        <xdr:cNvPr id="33" name="直線矢印コネクタ 1010">
          <a:extLst>
            <a:ext uri="{FF2B5EF4-FFF2-40B4-BE49-F238E27FC236}">
              <a16:creationId xmlns:a16="http://schemas.microsoft.com/office/drawing/2014/main" id="{00000000-0008-0000-0400-000021000000}"/>
            </a:ext>
          </a:extLst>
        </xdr:cNvPr>
        <xdr:cNvCxnSpPr>
          <a:stCxn id="32" idx="2"/>
          <a:endCxn id="153" idx="0"/>
        </xdr:cNvCxnSpPr>
      </xdr:nvCxnSpPr>
      <xdr:spPr>
        <a:xfrm>
          <a:off x="1333500" y="21259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88</xdr:row>
      <xdr:rowOff>190499</xdr:rowOff>
    </xdr:from>
    <xdr:to>
      <xdr:col>6</xdr:col>
      <xdr:colOff>0</xdr:colOff>
      <xdr:row>90</xdr:row>
      <xdr:rowOff>0</xdr:rowOff>
    </xdr:to>
    <xdr:sp macro="" textlink="" fLocksText="0">
      <xdr:nvSpPr>
        <xdr:cNvPr id="41" name="Rectangle: Rounded Corners 40">
          <a:extLst>
            <a:ext uri="{FF2B5EF4-FFF2-40B4-BE49-F238E27FC236}">
              <a16:creationId xmlns:a16="http://schemas.microsoft.com/office/drawing/2014/main" id="{00000000-0008-0000-0400-000029000000}"/>
            </a:ext>
          </a:extLst>
        </xdr:cNvPr>
        <xdr:cNvSpPr/>
      </xdr:nvSpPr>
      <xdr:spPr>
        <a:xfrm>
          <a:off x="1066800" y="17068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32.1</a:t>
          </a:r>
        </a:p>
      </xdr:txBody>
    </xdr:sp>
    <xdr:clientData/>
  </xdr:twoCellAnchor>
  <xdr:twoCellAnchor>
    <xdr:from>
      <xdr:col>5</xdr:col>
      <xdr:colOff>0</xdr:colOff>
      <xdr:row>90</xdr:row>
      <xdr:rowOff>0</xdr:rowOff>
    </xdr:from>
    <xdr:to>
      <xdr:col>5</xdr:col>
      <xdr:colOff>0</xdr:colOff>
      <xdr:row>91</xdr:row>
      <xdr:rowOff>190499</xdr:rowOff>
    </xdr:to>
    <xdr:cxnSp macro="">
      <xdr:nvCxnSpPr>
        <xdr:cNvPr id="42" name="直線矢印コネクタ 1010">
          <a:extLst>
            <a:ext uri="{FF2B5EF4-FFF2-40B4-BE49-F238E27FC236}">
              <a16:creationId xmlns:a16="http://schemas.microsoft.com/office/drawing/2014/main" id="{00000000-0008-0000-0400-00002A000000}"/>
            </a:ext>
          </a:extLst>
        </xdr:cNvPr>
        <xdr:cNvCxnSpPr>
          <a:stCxn id="41" idx="2"/>
          <a:endCxn id="44" idx="0"/>
        </xdr:cNvCxnSpPr>
      </xdr:nvCxnSpPr>
      <xdr:spPr>
        <a:xfrm>
          <a:off x="1333500" y="17259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91</xdr:row>
      <xdr:rowOff>190499</xdr:rowOff>
    </xdr:from>
    <xdr:to>
      <xdr:col>8</xdr:col>
      <xdr:colOff>0</xdr:colOff>
      <xdr:row>95</xdr:row>
      <xdr:rowOff>190499</xdr:rowOff>
    </xdr:to>
    <xdr:sp macro="" textlink="" fLocksText="0">
      <xdr:nvSpPr>
        <xdr:cNvPr id="44" name="四角形: 角を丸くする 3">
          <a:extLst>
            <a:ext uri="{FF2B5EF4-FFF2-40B4-BE49-F238E27FC236}">
              <a16:creationId xmlns:a16="http://schemas.microsoft.com/office/drawing/2014/main" id="{00000000-0008-0000-0400-00002C000000}"/>
            </a:ext>
          </a:extLst>
        </xdr:cNvPr>
        <xdr:cNvSpPr/>
      </xdr:nvSpPr>
      <xdr:spPr>
        <a:xfrm>
          <a:off x="533400" y="17640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900" b="0" i="0" u="none" baseline="0">
              <a:solidFill>
                <a:srgbClr val="000000"/>
              </a:solidFill>
              <a:latin typeface="Meiryo UI" panose="020B0604030504040204" pitchFamily="34" charset="-128"/>
              <a:ea typeface="Meiryo UI" panose="020B0604030504040204" pitchFamily="34" charset="-128"/>
            </a:rPr>
            <a:t>KN3201</a:t>
          </a:r>
        </a:p>
        <a:p>
          <a:pPr algn="ctr">
            <a:defRPr lang="en-US" altLang="ja-JP" sz="900" b="0" i="0" u="none" baseline="0">
              <a:solidFill>
                <a:srgbClr val="000000"/>
              </a:solidFill>
              <a:latin typeface="Meiryo UI" panose="020B0604030504040204" pitchFamily="34" charset="-128"/>
              <a:ea typeface="Meiryo UI" panose="020B0604030504040204" pitchFamily="34" charset="-128"/>
            </a:defRPr>
          </a:pPr>
          <a:r>
            <a:rPr lang="en-US" altLang="ja-JP" sz="900" b="0" i="0" u="none" baseline="0">
              <a:solidFill>
                <a:srgbClr val="000000"/>
              </a:solidFill>
              <a:latin typeface="Meiryo UI" panose="020B0604030504040204" pitchFamily="34" charset="-128"/>
              <a:ea typeface="Meiryo UI" panose="020B0604030504040204" pitchFamily="34" charset="-128"/>
            </a:rPr>
            <a:t>営業種別選択機能</a:t>
          </a:r>
        </a:p>
      </xdr:txBody>
    </xdr:sp>
    <xdr:clientData/>
  </xdr:twoCellAnchor>
  <xdr:twoCellAnchor>
    <xdr:from>
      <xdr:col>3</xdr:col>
      <xdr:colOff>0</xdr:colOff>
      <xdr:row>97</xdr:row>
      <xdr:rowOff>190499</xdr:rowOff>
    </xdr:from>
    <xdr:to>
      <xdr:col>7</xdr:col>
      <xdr:colOff>0</xdr:colOff>
      <xdr:row>99</xdr:row>
      <xdr:rowOff>190499</xdr:rowOff>
    </xdr:to>
    <xdr:sp macro="" textlink="" fLocksText="0">
      <xdr:nvSpPr>
        <xdr:cNvPr id="47" name="四角形: 角を丸くする 1101">
          <a:extLst>
            <a:ext uri="{FF2B5EF4-FFF2-40B4-BE49-F238E27FC236}">
              <a16:creationId xmlns:a16="http://schemas.microsoft.com/office/drawing/2014/main" id="{00000000-0008-0000-0400-00002F000000}"/>
            </a:ext>
          </a:extLst>
        </xdr:cNvPr>
        <xdr:cNvSpPr/>
      </xdr:nvSpPr>
      <xdr:spPr>
        <a:xfrm>
          <a:off x="800100" y="18783300"/>
          <a:ext cx="1066800" cy="3810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vi-VN" altLang="ja-JP" sz="900" b="0" i="0" u="none" baseline="0">
              <a:solidFill>
                <a:srgbClr val="000000"/>
              </a:solidFill>
              <a:latin typeface="Meiryo UI"/>
              <a:ea typeface="Meiryo UI" panose="020B0604030504040204" pitchFamily="34" charset="-128"/>
            </a:rPr>
            <a:t>速報</a:t>
          </a:r>
          <a:endParaRPr lang="en-US" altLang="ja-JP" sz="9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95</xdr:row>
      <xdr:rowOff>190499</xdr:rowOff>
    </xdr:from>
    <xdr:to>
      <xdr:col>5</xdr:col>
      <xdr:colOff>0</xdr:colOff>
      <xdr:row>97</xdr:row>
      <xdr:rowOff>190499</xdr:rowOff>
    </xdr:to>
    <xdr:cxnSp macro="">
      <xdr:nvCxnSpPr>
        <xdr:cNvPr id="49" name="直線矢印コネクタ 1010">
          <a:extLst>
            <a:ext uri="{FF2B5EF4-FFF2-40B4-BE49-F238E27FC236}">
              <a16:creationId xmlns:a16="http://schemas.microsoft.com/office/drawing/2014/main" id="{00000000-0008-0000-0400-000031000000}"/>
            </a:ext>
          </a:extLst>
        </xdr:cNvPr>
        <xdr:cNvCxnSpPr>
          <a:stCxn id="44" idx="2"/>
          <a:endCxn id="47" idx="0"/>
        </xdr:cNvCxnSpPr>
      </xdr:nvCxnSpPr>
      <xdr:spPr>
        <a:xfrm>
          <a:off x="1333500" y="18402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98</xdr:row>
      <xdr:rowOff>11205</xdr:rowOff>
    </xdr:from>
    <xdr:to>
      <xdr:col>16</xdr:col>
      <xdr:colOff>0</xdr:colOff>
      <xdr:row>100</xdr:row>
      <xdr:rowOff>190499</xdr:rowOff>
    </xdr:to>
    <xdr:sp macro="" textlink="" fLocksText="0">
      <xdr:nvSpPr>
        <xdr:cNvPr id="58" name="四角形: 角を丸くする 1101">
          <a:extLst>
            <a:ext uri="{FF2B5EF4-FFF2-40B4-BE49-F238E27FC236}">
              <a16:creationId xmlns:a16="http://schemas.microsoft.com/office/drawing/2014/main" id="{00000000-0008-0000-0400-00003A000000}"/>
            </a:ext>
          </a:extLst>
        </xdr:cNvPr>
        <xdr:cNvSpPr/>
      </xdr:nvSpPr>
      <xdr:spPr>
        <a:xfrm>
          <a:off x="3200400" y="18792825"/>
          <a:ext cx="1066800" cy="561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日報</a:t>
          </a:r>
        </a:p>
      </xdr:txBody>
    </xdr:sp>
    <xdr:clientData/>
  </xdr:twoCellAnchor>
  <xdr:twoCellAnchor>
    <xdr:from>
      <xdr:col>4</xdr:col>
      <xdr:colOff>235323</xdr:colOff>
      <xdr:row>95</xdr:row>
      <xdr:rowOff>190499</xdr:rowOff>
    </xdr:from>
    <xdr:to>
      <xdr:col>13</xdr:col>
      <xdr:colOff>235322</xdr:colOff>
      <xdr:row>98</xdr:row>
      <xdr:rowOff>11205</xdr:rowOff>
    </xdr:to>
    <xdr:cxnSp macro="">
      <xdr:nvCxnSpPr>
        <xdr:cNvPr id="59" name="Connector: Elbow 58">
          <a:extLst>
            <a:ext uri="{FF2B5EF4-FFF2-40B4-BE49-F238E27FC236}">
              <a16:creationId xmlns:a16="http://schemas.microsoft.com/office/drawing/2014/main" id="{00000000-0008-0000-0400-00003B000000}"/>
            </a:ext>
          </a:extLst>
        </xdr:cNvPr>
        <xdr:cNvCxnSpPr>
          <a:stCxn id="44" idx="2"/>
          <a:endCxn id="58" idx="0"/>
        </xdr:cNvCxnSpPr>
      </xdr:nvCxnSpPr>
      <xdr:spPr>
        <a:xfrm rot="16200000" flipH="1">
          <a:off x="1304925" y="18402300"/>
          <a:ext cx="2400300" cy="390525"/>
        </a:xfrm>
        <a:prstGeom prst="bentConnector3">
          <a:avLst>
            <a:gd name="adj1" fmla="val 4714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101</xdr:row>
      <xdr:rowOff>190499</xdr:rowOff>
    </xdr:from>
    <xdr:to>
      <xdr:col>16</xdr:col>
      <xdr:colOff>1158</xdr:colOff>
      <xdr:row>103</xdr:row>
      <xdr:rowOff>190499</xdr:rowOff>
    </xdr:to>
    <xdr:sp macro="" textlink="" fLocksText="0">
      <xdr:nvSpPr>
        <xdr:cNvPr id="67" name="四角形: 角を丸くする 1101">
          <a:extLst>
            <a:ext uri="{FF2B5EF4-FFF2-40B4-BE49-F238E27FC236}">
              <a16:creationId xmlns:a16="http://schemas.microsoft.com/office/drawing/2014/main" id="{00000000-0008-0000-0400-000043000000}"/>
            </a:ext>
          </a:extLst>
        </xdr:cNvPr>
        <xdr:cNvSpPr/>
      </xdr:nvSpPr>
      <xdr:spPr>
        <a:xfrm>
          <a:off x="3200400" y="19545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900" b="0" i="0" u="none" baseline="0">
              <a:solidFill>
                <a:srgbClr val="FFFFFF"/>
              </a:solidFill>
              <a:latin typeface="Meiryo UI" panose="020B0604030504040204" pitchFamily="34" charset="-128"/>
              <a:ea typeface="Meiryo UI" panose="020B0604030504040204" pitchFamily="34" charset="-128"/>
            </a:rPr>
            <a:t>営業日</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14</xdr:col>
      <xdr:colOff>0</xdr:colOff>
      <xdr:row>100</xdr:row>
      <xdr:rowOff>190499</xdr:rowOff>
    </xdr:from>
    <xdr:to>
      <xdr:col>14</xdr:col>
      <xdr:colOff>579</xdr:colOff>
      <xdr:row>101</xdr:row>
      <xdr:rowOff>190499</xdr:rowOff>
    </xdr:to>
    <xdr:cxnSp macro="">
      <xdr:nvCxnSpPr>
        <xdr:cNvPr id="70" name="直線矢印コネクタ 1010">
          <a:extLst>
            <a:ext uri="{FF2B5EF4-FFF2-40B4-BE49-F238E27FC236}">
              <a16:creationId xmlns:a16="http://schemas.microsoft.com/office/drawing/2014/main" id="{00000000-0008-0000-0400-000046000000}"/>
            </a:ext>
          </a:extLst>
        </xdr:cNvPr>
        <xdr:cNvCxnSpPr>
          <a:stCxn id="58" idx="2"/>
          <a:endCxn id="67" idx="0"/>
        </xdr:cNvCxnSpPr>
      </xdr:nvCxnSpPr>
      <xdr:spPr>
        <a:xfrm>
          <a:off x="3733800" y="193548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235322</xdr:colOff>
      <xdr:row>105</xdr:row>
      <xdr:rowOff>190499</xdr:rowOff>
    </xdr:from>
    <xdr:to>
      <xdr:col>6</xdr:col>
      <xdr:colOff>0</xdr:colOff>
      <xdr:row>107</xdr:row>
      <xdr:rowOff>0</xdr:rowOff>
    </xdr:to>
    <xdr:sp macro="" textlink="" fLocksText="0">
      <xdr:nvSpPr>
        <xdr:cNvPr id="74" name="Rectangle: Rounded Corners 73">
          <a:extLst>
            <a:ext uri="{FF2B5EF4-FFF2-40B4-BE49-F238E27FC236}">
              <a16:creationId xmlns:a16="http://schemas.microsoft.com/office/drawing/2014/main" id="{00000000-0008-0000-0400-00004A000000}"/>
            </a:ext>
          </a:extLst>
        </xdr:cNvPr>
        <xdr:cNvSpPr/>
      </xdr:nvSpPr>
      <xdr:spPr>
        <a:xfrm>
          <a:off x="1038225" y="20307300"/>
          <a:ext cx="56197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32</a:t>
          </a:r>
        </a:p>
      </xdr:txBody>
    </xdr:sp>
    <xdr:clientData/>
  </xdr:twoCellAnchor>
  <xdr:twoCellAnchor>
    <xdr:from>
      <xdr:col>4</xdr:col>
      <xdr:colOff>235323</xdr:colOff>
      <xdr:row>99</xdr:row>
      <xdr:rowOff>190499</xdr:rowOff>
    </xdr:from>
    <xdr:to>
      <xdr:col>5</xdr:col>
      <xdr:colOff>0</xdr:colOff>
      <xdr:row>105</xdr:row>
      <xdr:rowOff>190499</xdr:rowOff>
    </xdr:to>
    <xdr:cxnSp macro="">
      <xdr:nvCxnSpPr>
        <xdr:cNvPr id="75" name="直線矢印コネクタ 1010">
          <a:extLst>
            <a:ext uri="{FF2B5EF4-FFF2-40B4-BE49-F238E27FC236}">
              <a16:creationId xmlns:a16="http://schemas.microsoft.com/office/drawing/2014/main" id="{00000000-0008-0000-0400-00004B000000}"/>
            </a:ext>
          </a:extLst>
        </xdr:cNvPr>
        <xdr:cNvCxnSpPr>
          <a:stCxn id="47" idx="2"/>
          <a:endCxn id="74" idx="0"/>
        </xdr:cNvCxnSpPr>
      </xdr:nvCxnSpPr>
      <xdr:spPr>
        <a:xfrm flipH="1">
          <a:off x="1304925" y="19164300"/>
          <a:ext cx="28575"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104</xdr:row>
      <xdr:rowOff>0</xdr:rowOff>
    </xdr:from>
    <xdr:to>
      <xdr:col>14</xdr:col>
      <xdr:colOff>579</xdr:colOff>
      <xdr:row>106</xdr:row>
      <xdr:rowOff>0</xdr:rowOff>
    </xdr:to>
    <xdr:cxnSp macro="">
      <xdr:nvCxnSpPr>
        <xdr:cNvPr id="80" name="Connector: Elbow 79">
          <a:extLst>
            <a:ext uri="{FF2B5EF4-FFF2-40B4-BE49-F238E27FC236}">
              <a16:creationId xmlns:a16="http://schemas.microsoft.com/office/drawing/2014/main" id="{00000000-0008-0000-0400-000050000000}"/>
            </a:ext>
          </a:extLst>
        </xdr:cNvPr>
        <xdr:cNvCxnSpPr>
          <a:stCxn id="67" idx="2"/>
          <a:endCxn id="74" idx="0"/>
        </xdr:cNvCxnSpPr>
      </xdr:nvCxnSpPr>
      <xdr:spPr>
        <a:xfrm rot="5400000">
          <a:off x="1304925" y="19926300"/>
          <a:ext cx="24288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90</xdr:row>
      <xdr:rowOff>0</xdr:rowOff>
    </xdr:from>
    <xdr:to>
      <xdr:col>61</xdr:col>
      <xdr:colOff>0</xdr:colOff>
      <xdr:row>98</xdr:row>
      <xdr:rowOff>0</xdr:rowOff>
    </xdr:to>
    <xdr:sp macro="" textlink="" fLocksText="0">
      <xdr:nvSpPr>
        <xdr:cNvPr id="83" name="吹き出し: 線 2">
          <a:extLst>
            <a:ext uri="{FF2B5EF4-FFF2-40B4-BE49-F238E27FC236}">
              <a16:creationId xmlns:a16="http://schemas.microsoft.com/office/drawing/2014/main" id="{00000000-0008-0000-0400-000053000000}"/>
            </a:ext>
          </a:extLst>
        </xdr:cNvPr>
        <xdr:cNvSpPr/>
      </xdr:nvSpPr>
      <xdr:spPr>
        <a:xfrm>
          <a:off x="10134600" y="17259300"/>
          <a:ext cx="6134100" cy="1524000"/>
        </a:xfrm>
        <a:prstGeom prst="borderCallout1">
          <a:avLst>
            <a:gd name="adj1" fmla="val 48210"/>
            <a:gd name="adj2" fmla="val 884"/>
            <a:gd name="adj3" fmla="val 55092"/>
            <a:gd name="adj4" fmla="val -1308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000000"/>
              </a:solidFill>
              <a:latin typeface="Meiryo UI"/>
              <a:ea typeface="Meiryo UI" panose="020B0604030504040204" pitchFamily="34" charset="-128"/>
            </a:rPr>
            <a:t>▪ユーザーが速報を選択した場合</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・[営業日]を無効にする。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・フラッシュで売上結果を検索する。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▪ユーザーが[日報]を選択した場合</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・[営業日]を有効にする。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ユーザーが入力した[日報]で売上結果を検索する。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vi-VN"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41</xdr:row>
      <xdr:rowOff>190499</xdr:rowOff>
    </xdr:from>
    <xdr:to>
      <xdr:col>61</xdr:col>
      <xdr:colOff>0</xdr:colOff>
      <xdr:row>48</xdr:row>
      <xdr:rowOff>112058</xdr:rowOff>
    </xdr:to>
    <xdr:sp macro="" textlink="" fLocksText="0">
      <xdr:nvSpPr>
        <xdr:cNvPr id="86" name="吹き出し: 線 2">
          <a:extLst>
            <a:ext uri="{FF2B5EF4-FFF2-40B4-BE49-F238E27FC236}">
              <a16:creationId xmlns:a16="http://schemas.microsoft.com/office/drawing/2014/main" id="{00000000-0008-0000-0400-000056000000}"/>
            </a:ext>
          </a:extLst>
        </xdr:cNvPr>
        <xdr:cNvSpPr/>
      </xdr:nvSpPr>
      <xdr:spPr>
        <a:xfrm>
          <a:off x="8942294" y="8113058"/>
          <a:ext cx="5412441" cy="1255059"/>
        </a:xfrm>
        <a:prstGeom prst="borderCallout1">
          <a:avLst>
            <a:gd name="adj1" fmla="val 54828"/>
            <a:gd name="adj2" fmla="val -151"/>
            <a:gd name="adj3" fmla="val 148402"/>
            <a:gd name="adj4" fmla="val -13107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000000"/>
              </a:solidFill>
              <a:latin typeface="Meiryo UI"/>
              <a:ea typeface="Meiryo UI" panose="020B0604030504040204" pitchFamily="34" charset="-128"/>
            </a:rPr>
            <a:t>▪SC3201_レジ別単品別売上点検画面の項目を以下のデフォルトで初期化する。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・[営業種別]：ラッシュ</a:t>
          </a:r>
          <a:endParaRPr lang="en-US" altLang="ja-JP" sz="1000" b="0" i="0" u="none" baseline="0">
            <a:solidFill>
              <a:srgbClr val="000000"/>
            </a:solidFill>
            <a:latin typeface="Meiryo UI"/>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・[営業日]：無効</a:t>
          </a:r>
          <a:endParaRPr lang="en-US" altLang="ja-JP" sz="1000" b="0" i="0" u="none" baseline="0">
            <a:solidFill>
              <a:srgbClr val="000000"/>
            </a:solidFill>
            <a:latin typeface="Meiryo UI"/>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・[表示件数]：1000</a:t>
          </a:r>
          <a:endParaRPr lang="en-US" altLang="ja-JP" sz="1000" b="0" i="0" u="none" baseline="0">
            <a:solidFill>
              <a:srgbClr val="000000"/>
            </a:solidFill>
            <a:latin typeface="Meiryo UI"/>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・[並び替え]：部門</a:t>
          </a:r>
          <a:endParaRPr lang="en-US" altLang="ja-JP" sz="1000" b="0" i="0" u="none" baseline="0">
            <a:solidFill>
              <a:srgbClr val="000000"/>
            </a:solidFill>
            <a:latin typeface="Meiryo UI"/>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他の項目：空白</a:t>
          </a:r>
        </a:p>
      </xdr:txBody>
    </xdr:sp>
    <xdr:clientData/>
  </xdr:twoCellAnchor>
  <xdr:twoCellAnchor>
    <xdr:from>
      <xdr:col>37</xdr:col>
      <xdr:colOff>235322</xdr:colOff>
      <xdr:row>49</xdr:row>
      <xdr:rowOff>0</xdr:rowOff>
    </xdr:from>
    <xdr:to>
      <xdr:col>60</xdr:col>
      <xdr:colOff>235322</xdr:colOff>
      <xdr:row>68</xdr:row>
      <xdr:rowOff>0</xdr:rowOff>
    </xdr:to>
    <xdr:sp macro="" textlink="" fLocksText="0">
      <xdr:nvSpPr>
        <xdr:cNvPr id="87" name="吹き出し: 線 2">
          <a:extLst>
            <a:ext uri="{FF2B5EF4-FFF2-40B4-BE49-F238E27FC236}">
              <a16:creationId xmlns:a16="http://schemas.microsoft.com/office/drawing/2014/main" id="{00000000-0008-0000-0400-000057000000}"/>
            </a:ext>
          </a:extLst>
        </xdr:cNvPr>
        <xdr:cNvSpPr/>
      </xdr:nvSpPr>
      <xdr:spPr>
        <a:xfrm>
          <a:off x="10106025" y="9448800"/>
          <a:ext cx="6134100" cy="3619500"/>
        </a:xfrm>
        <a:prstGeom prst="borderCallout1">
          <a:avLst>
            <a:gd name="adj1" fmla="val 54828"/>
            <a:gd name="adj2" fmla="val -151"/>
            <a:gd name="adj3" fmla="val 76819"/>
            <a:gd name="adj4" fmla="val -13328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000000"/>
              </a:solidFill>
              <a:latin typeface="Meiryo UI"/>
              <a:ea typeface="Meiryo UI" panose="020B0604030504040204" pitchFamily="34" charset="-128"/>
            </a:rPr>
            <a:t>▪検索ボタンをタッチすると、以下のバリデーションチェックを行う。</a:t>
          </a:r>
          <a:endParaRPr lang="en-US" altLang="ja-JP" sz="1000" b="0" i="0" u="none" baseline="0">
            <a:solidFill>
              <a:srgbClr val="000000"/>
            </a:solidFill>
            <a:latin typeface="Meiryo UI"/>
            <a:ea typeface="Meiryo UI" panose="020B0604030504040204" pitchFamily="34" charset="-128"/>
          </a:endParaRPr>
        </a:p>
        <a:p>
          <a:pPr algn="l"/>
          <a:r>
            <a:rPr lang="vi-VN" altLang="ja-JP" sz="1000" b="0" i="0" u="none" baseline="0">
              <a:solidFill>
                <a:srgbClr val="0000FF"/>
              </a:solidFill>
              <a:latin typeface="Meiryo UI"/>
              <a:ea typeface="Meiryo UI" panose="020B0604030504040204" pitchFamily="34" charset="-128"/>
            </a:rPr>
            <a:t>・以下の項目の必須入力をチェックする。</a:t>
          </a:r>
          <a:endParaRPr lang="en-US" altLang="ja-JP" sz="1000" b="0" i="0" u="none" baseline="0">
            <a:solidFill>
              <a:srgbClr val="0000FF"/>
            </a:solidFill>
            <a:latin typeface="Meiryo UI"/>
            <a:ea typeface="Meiryo UI" panose="020B0604030504040204" pitchFamily="34" charset="-128"/>
          </a:endParaRPr>
        </a:p>
        <a:p>
          <a:pPr algn="l"/>
          <a:r>
            <a:rPr lang="ja-JP" altLang="en-US" sz="1000" b="0" i="0" u="none" baseline="0">
              <a:solidFill>
                <a:srgbClr val="0000FF"/>
              </a:solidFill>
              <a:latin typeface="Meiryo UI"/>
              <a:ea typeface="Meiryo UI" panose="020B0604030504040204" pitchFamily="34" charset="-128"/>
            </a:rPr>
            <a:t>　</a:t>
          </a:r>
          <a:r>
            <a:rPr lang="vi-VN" altLang="ja-JP" sz="1000" b="0" i="0" u="none" baseline="0">
              <a:solidFill>
                <a:srgbClr val="0000FF"/>
              </a:solidFill>
              <a:latin typeface="Meiryo UI"/>
              <a:ea typeface="Meiryo UI" panose="020B0604030504040204" pitchFamily="34" charset="-128"/>
            </a:rPr>
            <a:t>[表示件数]、[出力单位]</a:t>
          </a:r>
          <a:endParaRPr lang="en-US" altLang="ja-JP" sz="1000" b="0" i="0" u="none" baseline="0">
            <a:solidFill>
              <a:srgbClr val="0000FF"/>
            </a:solidFill>
            <a:latin typeface="Meiryo UI"/>
            <a:ea typeface="Meiryo UI" panose="020B0604030504040204" pitchFamily="34" charset="-128"/>
          </a:endParaRPr>
        </a:p>
        <a:p>
          <a:pPr algn="l"/>
          <a:r>
            <a:rPr lang="vi-VN" altLang="ja-JP" sz="1000" b="0" i="0" u="none" baseline="0">
              <a:solidFill>
                <a:srgbClr val="000000"/>
              </a:solidFill>
              <a:latin typeface="Meiryo UI"/>
              <a:ea typeface="Meiryo UI" panose="020B0604030504040204" pitchFamily="34" charset="-128"/>
            </a:rPr>
            <a:t>・[表示件数]は0より大きく、最大1000件であること。</a:t>
          </a:r>
          <a:endParaRPr lang="en-US" altLang="ja-JP" sz="1000" b="0" i="0" u="none" baseline="0">
            <a:solidFill>
              <a:srgbClr val="000000"/>
            </a:solidFill>
            <a:latin typeface="Meiryo UI"/>
            <a:ea typeface="Meiryo UI" panose="020B0604030504040204" pitchFamily="34" charset="-128"/>
          </a:endParaRPr>
        </a:p>
        <a:p>
          <a:pPr algn="l"/>
          <a:r>
            <a:rPr lang="vi-VN" altLang="ja-JP" sz="1000" b="0" i="0" u="none" baseline="0">
              <a:solidFill>
                <a:srgbClr val="000000"/>
              </a:solidFill>
              <a:latin typeface="Meiryo UI"/>
              <a:ea typeface="Meiryo UI" panose="020B0604030504040204" pitchFamily="34" charset="-128"/>
            </a:rPr>
            <a:t>・[</a:t>
          </a:r>
          <a:r>
            <a:rPr lang="ja-JP" altLang="en-US" sz="1000" b="0" i="0" u="none" baseline="0">
              <a:solidFill>
                <a:srgbClr val="0000FF"/>
              </a:solidFill>
              <a:latin typeface="Meiryo UI"/>
              <a:ea typeface="Meiryo UI" panose="020B0604030504040204" pitchFamily="34" charset="-128"/>
            </a:rPr>
            <a:t>レジ番号</a:t>
          </a:r>
          <a:r>
            <a:rPr lang="vi-VN" altLang="ja-JP" sz="1000" b="0" i="0" u="none" baseline="0">
              <a:solidFill>
                <a:srgbClr val="000000"/>
              </a:solidFill>
              <a:latin typeface="Meiryo UI"/>
              <a:ea typeface="Meiryo UI" panose="020B0604030504040204" pitchFamily="34" charset="-128"/>
            </a:rPr>
            <a:t>]は1～4</a:t>
          </a:r>
          <a:r>
            <a:rPr lang="ja-JP" altLang="en-US" sz="1000" b="0" i="0" u="none" baseline="0">
              <a:solidFill>
                <a:srgbClr val="000000"/>
              </a:solidFill>
              <a:latin typeface="Meiryo UI"/>
              <a:ea typeface="Meiryo UI" panose="020B0604030504040204" pitchFamily="34" charset="-128"/>
            </a:rPr>
            <a:t>桁</a:t>
          </a:r>
          <a:r>
            <a:rPr lang="vi-VN" altLang="ja-JP" sz="1000" b="0" i="0" u="none" baseline="0">
              <a:solidFill>
                <a:srgbClr val="000000"/>
              </a:solidFill>
              <a:latin typeface="Meiryo UI"/>
              <a:ea typeface="Meiryo UI" panose="020B0604030504040204" pitchFamily="34" charset="-128"/>
            </a:rPr>
            <a:t>の数字であること。</a:t>
          </a:r>
          <a:endParaRPr lang="en-US" altLang="ja-JP" sz="1000" b="0" i="0" u="none" baseline="0">
            <a:solidFill>
              <a:srgbClr val="000000"/>
            </a:solidFill>
            <a:latin typeface="Meiryo UI"/>
            <a:ea typeface="Meiryo UI" panose="020B0604030504040204" pitchFamily="34" charset="-128"/>
          </a:endParaRPr>
        </a:p>
        <a:p>
          <a:pPr algn="l"/>
          <a:r>
            <a:rPr lang="vi-VN" altLang="ja-JP" sz="1000" b="0" i="0" u="none" baseline="0">
              <a:solidFill>
                <a:srgbClr val="000000"/>
              </a:solidFill>
              <a:latin typeface="Meiryo UI"/>
              <a:ea typeface="Meiryo UI" panose="020B0604030504040204" pitchFamily="34" charset="-128"/>
            </a:rPr>
            <a:t>▪バリデーションチェックが成功した後、API[AP3201_レジ別売上検索]を呼び出す。レコードが見つからない場合、エラーモダールを表示する。データが見つかった場合、以下の情報を含むレコードのリストを表示する。順位、</a:t>
          </a:r>
          <a:r>
            <a:rPr lang="ja-JP" altLang="en-US" sz="1000" b="0" i="0" u="none" baseline="0">
              <a:solidFill>
                <a:srgbClr val="0000FF"/>
              </a:solidFill>
              <a:latin typeface="Meiryo UI"/>
              <a:ea typeface="Meiryo UI" panose="020B0604030504040204" pitchFamily="34" charset="-128"/>
            </a:rPr>
            <a:t>レジ番号</a:t>
          </a:r>
          <a:r>
            <a:rPr lang="ja-JP" altLang="en-US" sz="1000" b="0" i="0" u="none" baseline="0">
              <a:solidFill>
                <a:srgbClr val="000000"/>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商品コード、PLUコード、名称、売上金額、売上点数、PI値、値引金額、値引点数、最終売上日付</a:t>
          </a:r>
          <a:endParaRPr lang="en-US" altLang="ja-JP" sz="1000" b="0" i="0" u="none" baseline="0">
            <a:solidFill>
              <a:srgbClr val="000000"/>
            </a:solidFill>
            <a:latin typeface="Meiryo UI"/>
            <a:ea typeface="Meiryo UI" panose="020B0604030504040204" pitchFamily="34" charset="-128"/>
          </a:endParaRPr>
        </a:p>
        <a:p>
          <a:pPr algn="l"/>
          <a:r>
            <a:rPr lang="vi-VN" altLang="ja-JP" sz="1000" b="0" i="0" u="none" baseline="0">
              <a:solidFill>
                <a:schemeClr val="tx1"/>
              </a:solidFill>
              <a:latin typeface="Meiryo UI"/>
              <a:ea typeface="Meiryo UI" panose="020B0604030504040204" pitchFamily="34" charset="-128"/>
            </a:rPr>
            <a:t>・PI値のPI指数の計算方法: PI =1000 × 売上金額合計 / 客数合計。この指数は顧客1,000人当たりの商品別の平均売上効果を評価する。 (https://retailguide.tokubai.co.jp/knowledge/18475/で参考したが、ご確認お願い致します。)</a:t>
          </a:r>
        </a:p>
      </xdr:txBody>
    </xdr:sp>
    <xdr:clientData/>
  </xdr:twoCellAnchor>
  <xdr:twoCellAnchor>
    <xdr:from>
      <xdr:col>29</xdr:col>
      <xdr:colOff>0</xdr:colOff>
      <xdr:row>62</xdr:row>
      <xdr:rowOff>0</xdr:rowOff>
    </xdr:from>
    <xdr:to>
      <xdr:col>35</xdr:col>
      <xdr:colOff>0</xdr:colOff>
      <xdr:row>66</xdr:row>
      <xdr:rowOff>0</xdr:rowOff>
    </xdr:to>
    <xdr:sp macro="" textlink="" fLocksText="0">
      <xdr:nvSpPr>
        <xdr:cNvPr id="88" name="フローチャート: 磁気ディスク 194">
          <a:extLst>
            <a:ext uri="{FF2B5EF4-FFF2-40B4-BE49-F238E27FC236}">
              <a16:creationId xmlns:a16="http://schemas.microsoft.com/office/drawing/2014/main" id="{00000000-0008-0000-0400-000058000000}"/>
            </a:ext>
          </a:extLst>
        </xdr:cNvPr>
        <xdr:cNvSpPr/>
      </xdr:nvSpPr>
      <xdr:spPr>
        <a:xfrm>
          <a:off x="7734300" y="11925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AP3202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レジ別売上検索</a:t>
          </a:r>
        </a:p>
      </xdr:txBody>
    </xdr:sp>
    <xdr:clientData/>
  </xdr:twoCellAnchor>
  <xdr:twoCellAnchor>
    <xdr:from>
      <xdr:col>8</xdr:col>
      <xdr:colOff>0</xdr:colOff>
      <xdr:row>64</xdr:row>
      <xdr:rowOff>0</xdr:rowOff>
    </xdr:from>
    <xdr:to>
      <xdr:col>29</xdr:col>
      <xdr:colOff>0</xdr:colOff>
      <xdr:row>64</xdr:row>
      <xdr:rowOff>0</xdr:rowOff>
    </xdr:to>
    <xdr:cxnSp macro="">
      <xdr:nvCxnSpPr>
        <xdr:cNvPr id="89" name="直線矢印コネクタ 196">
          <a:extLst>
            <a:ext uri="{FF2B5EF4-FFF2-40B4-BE49-F238E27FC236}">
              <a16:creationId xmlns:a16="http://schemas.microsoft.com/office/drawing/2014/main" id="{00000000-0008-0000-0400-000059000000}"/>
            </a:ext>
          </a:extLst>
        </xdr:cNvPr>
        <xdr:cNvCxnSpPr>
          <a:stCxn id="68" idx="3"/>
          <a:endCxn id="88" idx="2"/>
        </xdr:cNvCxnSpPr>
      </xdr:nvCxnSpPr>
      <xdr:spPr>
        <a:xfrm>
          <a:off x="2133600" y="12306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68</xdr:row>
      <xdr:rowOff>0</xdr:rowOff>
    </xdr:from>
    <xdr:to>
      <xdr:col>8</xdr:col>
      <xdr:colOff>0</xdr:colOff>
      <xdr:row>72</xdr:row>
      <xdr:rowOff>0</xdr:rowOff>
    </xdr:to>
    <xdr:sp macro="" textlink="" fLocksText="0">
      <xdr:nvSpPr>
        <xdr:cNvPr id="91" name="正方形/長方形 1">
          <a:extLst>
            <a:ext uri="{FF2B5EF4-FFF2-40B4-BE49-F238E27FC236}">
              <a16:creationId xmlns:a16="http://schemas.microsoft.com/office/drawing/2014/main" id="{00000000-0008-0000-0400-00005B000000}"/>
            </a:ext>
          </a:extLst>
        </xdr:cNvPr>
        <xdr:cNvSpPr/>
      </xdr:nvSpPr>
      <xdr:spPr>
        <a:xfrm>
          <a:off x="533400" y="1306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SC3201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レジ別単品別売上点検画面</a:t>
          </a:r>
        </a:p>
      </xdr:txBody>
    </xdr:sp>
    <xdr:clientData/>
  </xdr:twoCellAnchor>
  <xdr:twoCellAnchor>
    <xdr:from>
      <xdr:col>2</xdr:col>
      <xdr:colOff>9524</xdr:colOff>
      <xdr:row>74</xdr:row>
      <xdr:rowOff>0</xdr:rowOff>
    </xdr:from>
    <xdr:to>
      <xdr:col>7</xdr:col>
      <xdr:colOff>238124</xdr:colOff>
      <xdr:row>77</xdr:row>
      <xdr:rowOff>0</xdr:rowOff>
    </xdr:to>
    <xdr:sp macro="" textlink="" fLocksText="0">
      <xdr:nvSpPr>
        <xdr:cNvPr id="93" name="四角形: 角を丸くする 1101">
          <a:extLst>
            <a:ext uri="{FF2B5EF4-FFF2-40B4-BE49-F238E27FC236}">
              <a16:creationId xmlns:a16="http://schemas.microsoft.com/office/drawing/2014/main" id="{00000000-0008-0000-0400-00005D000000}"/>
            </a:ext>
          </a:extLst>
        </xdr:cNvPr>
        <xdr:cNvSpPr/>
      </xdr:nvSpPr>
      <xdr:spPr>
        <a:xfrm>
          <a:off x="542925" y="14211300"/>
          <a:ext cx="1562100"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900" b="0" i="0" u="none" baseline="0">
              <a:solidFill>
                <a:schemeClr val="bg1"/>
              </a:solidFill>
              <a:latin typeface="Meiryo UI" panose="020B0604030504040204" pitchFamily="34" charset="-128"/>
              <a:ea typeface="Meiryo UI" panose="020B0604030504040204" pitchFamily="34" charset="-128"/>
            </a:rPr>
            <a:t>レジ別時間帯別売上</a:t>
          </a:r>
          <a:endParaRPr lang="en-US" sz="90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72</xdr:row>
      <xdr:rowOff>0</xdr:rowOff>
    </xdr:from>
    <xdr:to>
      <xdr:col>5</xdr:col>
      <xdr:colOff>4762</xdr:colOff>
      <xdr:row>74</xdr:row>
      <xdr:rowOff>0</xdr:rowOff>
    </xdr:to>
    <xdr:cxnSp macro="">
      <xdr:nvCxnSpPr>
        <xdr:cNvPr id="94" name="直線矢印コネクタ 1010">
          <a:extLst>
            <a:ext uri="{FF2B5EF4-FFF2-40B4-BE49-F238E27FC236}">
              <a16:creationId xmlns:a16="http://schemas.microsoft.com/office/drawing/2014/main" id="{00000000-0008-0000-0400-00005E000000}"/>
            </a:ext>
          </a:extLst>
        </xdr:cNvPr>
        <xdr:cNvCxnSpPr>
          <a:stCxn id="91" idx="2"/>
          <a:endCxn id="93" idx="0"/>
        </xdr:cNvCxnSpPr>
      </xdr:nvCxnSpPr>
      <xdr:spPr>
        <a:xfrm>
          <a:off x="1333500" y="13830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xdr:colOff>
      <xdr:row>77</xdr:row>
      <xdr:rowOff>0</xdr:rowOff>
    </xdr:from>
    <xdr:to>
      <xdr:col>5</xdr:col>
      <xdr:colOff>4762</xdr:colOff>
      <xdr:row>84</xdr:row>
      <xdr:rowOff>190499</xdr:rowOff>
    </xdr:to>
    <xdr:cxnSp macro="">
      <xdr:nvCxnSpPr>
        <xdr:cNvPr id="100" name="直線矢印コネクタ 1010">
          <a:extLst>
            <a:ext uri="{FF2B5EF4-FFF2-40B4-BE49-F238E27FC236}">
              <a16:creationId xmlns:a16="http://schemas.microsoft.com/office/drawing/2014/main" id="{00000000-0008-0000-0400-000064000000}"/>
            </a:ext>
          </a:extLst>
        </xdr:cNvPr>
        <xdr:cNvCxnSpPr>
          <a:stCxn id="93" idx="2"/>
          <a:endCxn id="78" idx="0"/>
        </xdr:cNvCxnSpPr>
      </xdr:nvCxnSpPr>
      <xdr:spPr>
        <a:xfrm flipH="1">
          <a:off x="1333500" y="147828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69</xdr:row>
      <xdr:rowOff>0</xdr:rowOff>
    </xdr:from>
    <xdr:to>
      <xdr:col>61</xdr:col>
      <xdr:colOff>0</xdr:colOff>
      <xdr:row>71</xdr:row>
      <xdr:rowOff>0</xdr:rowOff>
    </xdr:to>
    <xdr:sp macro="" textlink="" fLocksText="0">
      <xdr:nvSpPr>
        <xdr:cNvPr id="103" name="吹き出し: 線 2">
          <a:extLst>
            <a:ext uri="{FF2B5EF4-FFF2-40B4-BE49-F238E27FC236}">
              <a16:creationId xmlns:a16="http://schemas.microsoft.com/office/drawing/2014/main" id="{00000000-0008-0000-0400-000067000000}"/>
            </a:ext>
          </a:extLst>
        </xdr:cNvPr>
        <xdr:cNvSpPr/>
      </xdr:nvSpPr>
      <xdr:spPr>
        <a:xfrm>
          <a:off x="10134600" y="13258800"/>
          <a:ext cx="6134100" cy="381000"/>
        </a:xfrm>
        <a:prstGeom prst="borderCallout1">
          <a:avLst>
            <a:gd name="adj1" fmla="val 54828"/>
            <a:gd name="adj2" fmla="val -151"/>
            <a:gd name="adj3" fmla="val 48966"/>
            <a:gd name="adj4" fmla="val -13229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FF0000"/>
              </a:solidFill>
              <a:latin typeface="Meiryo UI" panose="020B0604030504040204" pitchFamily="34" charset="-128"/>
              <a:ea typeface="Meiryo UI" panose="020B0604030504040204" pitchFamily="34" charset="-128"/>
            </a:rPr>
            <a:t>どのような場合にサマリ画面ボタンが有効になるのか分かりません。</a:t>
          </a:r>
        </a:p>
        <a:p>
          <a:pPr>
            <a:defRPr lang="en-US" altLang="ja-JP" sz="1000" b="0" i="0" u="none" baseline="0">
              <a:solidFill>
                <a:srgbClr val="FF0000"/>
              </a:solidFill>
              <a:latin typeface="Meiryo UI"/>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xdr:col>
      <xdr:colOff>0</xdr:colOff>
      <xdr:row>119</xdr:row>
      <xdr:rowOff>0</xdr:rowOff>
    </xdr:from>
    <xdr:to>
      <xdr:col>6</xdr:col>
      <xdr:colOff>235323</xdr:colOff>
      <xdr:row>121</xdr:row>
      <xdr:rowOff>0</xdr:rowOff>
    </xdr:to>
    <xdr:sp macro="" textlink="" fLocksText="0">
      <xdr:nvSpPr>
        <xdr:cNvPr id="109" name="四角形: 角を丸くする 1101">
          <a:extLst>
            <a:ext uri="{FF2B5EF4-FFF2-40B4-BE49-F238E27FC236}">
              <a16:creationId xmlns:a16="http://schemas.microsoft.com/office/drawing/2014/main" id="{00000000-0008-0000-0400-00006D000000}"/>
            </a:ext>
          </a:extLst>
        </xdr:cNvPr>
        <xdr:cNvSpPr/>
      </xdr:nvSpPr>
      <xdr:spPr>
        <a:xfrm>
          <a:off x="800100" y="22783800"/>
          <a:ext cx="103822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5: 商品</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117</xdr:row>
      <xdr:rowOff>0</xdr:rowOff>
    </xdr:from>
    <xdr:to>
      <xdr:col>5</xdr:col>
      <xdr:colOff>0</xdr:colOff>
      <xdr:row>119</xdr:row>
      <xdr:rowOff>0</xdr:rowOff>
    </xdr:to>
    <xdr:cxnSp macro="">
      <xdr:nvCxnSpPr>
        <xdr:cNvPr id="113" name="直線矢印コネクタ 1010">
          <a:extLst>
            <a:ext uri="{FF2B5EF4-FFF2-40B4-BE49-F238E27FC236}">
              <a16:creationId xmlns:a16="http://schemas.microsoft.com/office/drawing/2014/main" id="{00000000-0008-0000-0400-000071000000}"/>
            </a:ext>
          </a:extLst>
        </xdr:cNvPr>
        <xdr:cNvCxnSpPr>
          <a:endCxn id="109" idx="0"/>
        </xdr:cNvCxnSpPr>
      </xdr:nvCxnSpPr>
      <xdr:spPr>
        <a:xfrm>
          <a:off x="1333500" y="22402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119</xdr:row>
      <xdr:rowOff>0</xdr:rowOff>
    </xdr:from>
    <xdr:to>
      <xdr:col>15</xdr:col>
      <xdr:colOff>235322</xdr:colOff>
      <xdr:row>121</xdr:row>
      <xdr:rowOff>0</xdr:rowOff>
    </xdr:to>
    <xdr:sp macro="" textlink="" fLocksText="0">
      <xdr:nvSpPr>
        <xdr:cNvPr id="116" name="四角形: 角を丸くする 1101">
          <a:extLst>
            <a:ext uri="{FF2B5EF4-FFF2-40B4-BE49-F238E27FC236}">
              <a16:creationId xmlns:a16="http://schemas.microsoft.com/office/drawing/2014/main" id="{00000000-0008-0000-0400-000074000000}"/>
            </a:ext>
          </a:extLst>
        </xdr:cNvPr>
        <xdr:cNvSpPr/>
      </xdr:nvSpPr>
      <xdr:spPr>
        <a:xfrm>
          <a:off x="3200400" y="22783800"/>
          <a:ext cx="103822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0: 全て</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117</xdr:row>
      <xdr:rowOff>0</xdr:rowOff>
    </xdr:from>
    <xdr:to>
      <xdr:col>14</xdr:col>
      <xdr:colOff>144</xdr:colOff>
      <xdr:row>119</xdr:row>
      <xdr:rowOff>0</xdr:rowOff>
    </xdr:to>
    <xdr:cxnSp macro="">
      <xdr:nvCxnSpPr>
        <xdr:cNvPr id="118" name="Connector: Elbow 117">
          <a:extLst>
            <a:ext uri="{FF2B5EF4-FFF2-40B4-BE49-F238E27FC236}">
              <a16:creationId xmlns:a16="http://schemas.microsoft.com/office/drawing/2014/main" id="{00000000-0008-0000-0400-000076000000}"/>
            </a:ext>
          </a:extLst>
        </xdr:cNvPr>
        <xdr:cNvCxnSpPr>
          <a:stCxn id="153" idx="2"/>
          <a:endCxn id="116" idx="0"/>
        </xdr:cNvCxnSpPr>
      </xdr:nvCxnSpPr>
      <xdr:spPr>
        <a:xfrm rot="16200000" flipH="1">
          <a:off x="1333500" y="22402800"/>
          <a:ext cx="24003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20</xdr:col>
      <xdr:colOff>0</xdr:colOff>
      <xdr:row>119</xdr:row>
      <xdr:rowOff>0</xdr:rowOff>
    </xdr:from>
    <xdr:to>
      <xdr:col>23</xdr:col>
      <xdr:colOff>235323</xdr:colOff>
      <xdr:row>121</xdr:row>
      <xdr:rowOff>0</xdr:rowOff>
    </xdr:to>
    <xdr:sp macro="" textlink="" fLocksText="0">
      <xdr:nvSpPr>
        <xdr:cNvPr id="121" name="四角形: 角を丸くする 1101">
          <a:extLst>
            <a:ext uri="{FF2B5EF4-FFF2-40B4-BE49-F238E27FC236}">
              <a16:creationId xmlns:a16="http://schemas.microsoft.com/office/drawing/2014/main" id="{00000000-0008-0000-0400-000079000000}"/>
            </a:ext>
          </a:extLst>
        </xdr:cNvPr>
        <xdr:cNvSpPr/>
      </xdr:nvSpPr>
      <xdr:spPr>
        <a:xfrm>
          <a:off x="5334000" y="22783800"/>
          <a:ext cx="103822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部門コード</a:t>
          </a:r>
        </a:p>
      </xdr:txBody>
    </xdr:sp>
    <xdr:clientData/>
  </xdr:twoCellAnchor>
  <xdr:twoCellAnchor>
    <xdr:from>
      <xdr:col>5</xdr:col>
      <xdr:colOff>0</xdr:colOff>
      <xdr:row>117</xdr:row>
      <xdr:rowOff>0</xdr:rowOff>
    </xdr:from>
    <xdr:to>
      <xdr:col>22</xdr:col>
      <xdr:colOff>0</xdr:colOff>
      <xdr:row>119</xdr:row>
      <xdr:rowOff>0</xdr:rowOff>
    </xdr:to>
    <xdr:cxnSp macro="">
      <xdr:nvCxnSpPr>
        <xdr:cNvPr id="122" name="Connector: Elbow 121">
          <a:extLst>
            <a:ext uri="{FF2B5EF4-FFF2-40B4-BE49-F238E27FC236}">
              <a16:creationId xmlns:a16="http://schemas.microsoft.com/office/drawing/2014/main" id="{00000000-0008-0000-0400-00007A000000}"/>
            </a:ext>
          </a:extLst>
        </xdr:cNvPr>
        <xdr:cNvCxnSpPr>
          <a:stCxn id="153" idx="2"/>
          <a:endCxn id="121" idx="0"/>
        </xdr:cNvCxnSpPr>
      </xdr:nvCxnSpPr>
      <xdr:spPr>
        <a:xfrm rot="16200000" flipH="1">
          <a:off x="1333500" y="22402800"/>
          <a:ext cx="45339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19</xdr:col>
      <xdr:colOff>0</xdr:colOff>
      <xdr:row>123</xdr:row>
      <xdr:rowOff>0</xdr:rowOff>
    </xdr:from>
    <xdr:to>
      <xdr:col>25</xdr:col>
      <xdr:colOff>6955</xdr:colOff>
      <xdr:row>127</xdr:row>
      <xdr:rowOff>0</xdr:rowOff>
    </xdr:to>
    <xdr:sp macro="" textlink="" fLocksText="0">
      <xdr:nvSpPr>
        <xdr:cNvPr id="125" name="四角形: 角を丸くする 3">
          <a:extLst>
            <a:ext uri="{FF2B5EF4-FFF2-40B4-BE49-F238E27FC236}">
              <a16:creationId xmlns:a16="http://schemas.microsoft.com/office/drawing/2014/main" id="{00000000-0008-0000-0400-00007D000000}"/>
            </a:ext>
          </a:extLst>
        </xdr:cNvPr>
        <xdr:cNvSpPr/>
      </xdr:nvSpPr>
      <xdr:spPr>
        <a:xfrm>
          <a:off x="5067300" y="23545800"/>
          <a:ext cx="160972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KN1201</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部門提案機能</a:t>
          </a:r>
        </a:p>
      </xdr:txBody>
    </xdr:sp>
    <xdr:clientData/>
  </xdr:twoCellAnchor>
  <xdr:twoCellAnchor>
    <xdr:from>
      <xdr:col>22</xdr:col>
      <xdr:colOff>0</xdr:colOff>
      <xdr:row>121</xdr:row>
      <xdr:rowOff>0</xdr:rowOff>
    </xdr:from>
    <xdr:to>
      <xdr:col>22</xdr:col>
      <xdr:colOff>3477</xdr:colOff>
      <xdr:row>123</xdr:row>
      <xdr:rowOff>0</xdr:rowOff>
    </xdr:to>
    <xdr:cxnSp macro="">
      <xdr:nvCxnSpPr>
        <xdr:cNvPr id="126" name="直線矢印コネクタ 1010">
          <a:extLst>
            <a:ext uri="{FF2B5EF4-FFF2-40B4-BE49-F238E27FC236}">
              <a16:creationId xmlns:a16="http://schemas.microsoft.com/office/drawing/2014/main" id="{00000000-0008-0000-0400-00007E000000}"/>
            </a:ext>
          </a:extLst>
        </xdr:cNvPr>
        <xdr:cNvCxnSpPr>
          <a:stCxn id="121" idx="2"/>
          <a:endCxn id="125" idx="0"/>
        </xdr:cNvCxnSpPr>
      </xdr:nvCxnSpPr>
      <xdr:spPr>
        <a:xfrm>
          <a:off x="5867400" y="23164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123</xdr:row>
      <xdr:rowOff>0</xdr:rowOff>
    </xdr:from>
    <xdr:to>
      <xdr:col>35</xdr:col>
      <xdr:colOff>6955</xdr:colOff>
      <xdr:row>127</xdr:row>
      <xdr:rowOff>0</xdr:rowOff>
    </xdr:to>
    <xdr:sp macro="" textlink="" fLocksText="0">
      <xdr:nvSpPr>
        <xdr:cNvPr id="129" name="フローチャート: 磁気ディスク 194">
          <a:extLst>
            <a:ext uri="{FF2B5EF4-FFF2-40B4-BE49-F238E27FC236}">
              <a16:creationId xmlns:a16="http://schemas.microsoft.com/office/drawing/2014/main" id="{00000000-0008-0000-0400-000081000000}"/>
            </a:ext>
          </a:extLst>
        </xdr:cNvPr>
        <xdr:cNvSpPr/>
      </xdr:nvSpPr>
      <xdr:spPr>
        <a:xfrm>
          <a:off x="7734300" y="23545800"/>
          <a:ext cx="160972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AP1201</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group/suggest</a:t>
          </a:r>
        </a:p>
      </xdr:txBody>
    </xdr:sp>
    <xdr:clientData/>
  </xdr:twoCellAnchor>
  <xdr:twoCellAnchor>
    <xdr:from>
      <xdr:col>25</xdr:col>
      <xdr:colOff>6955</xdr:colOff>
      <xdr:row>125</xdr:row>
      <xdr:rowOff>0</xdr:rowOff>
    </xdr:from>
    <xdr:to>
      <xdr:col>29</xdr:col>
      <xdr:colOff>0</xdr:colOff>
      <xdr:row>125</xdr:row>
      <xdr:rowOff>0</xdr:rowOff>
    </xdr:to>
    <xdr:cxnSp macro="">
      <xdr:nvCxnSpPr>
        <xdr:cNvPr id="130" name="Straight Arrow Connector 129">
          <a:extLst>
            <a:ext uri="{FF2B5EF4-FFF2-40B4-BE49-F238E27FC236}">
              <a16:creationId xmlns:a16="http://schemas.microsoft.com/office/drawing/2014/main" id="{00000000-0008-0000-0400-000082000000}"/>
            </a:ext>
          </a:extLst>
        </xdr:cNvPr>
        <xdr:cNvCxnSpPr>
          <a:stCxn id="125" idx="3"/>
          <a:endCxn id="129" idx="2"/>
        </xdr:cNvCxnSpPr>
      </xdr:nvCxnSpPr>
      <xdr:spPr>
        <a:xfrm>
          <a:off x="6677025" y="23926800"/>
          <a:ext cx="105727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235322</xdr:colOff>
      <xdr:row>162</xdr:row>
      <xdr:rowOff>0</xdr:rowOff>
    </xdr:from>
    <xdr:to>
      <xdr:col>6</xdr:col>
      <xdr:colOff>0</xdr:colOff>
      <xdr:row>163</xdr:row>
      <xdr:rowOff>0</xdr:rowOff>
    </xdr:to>
    <xdr:sp macro="" textlink="" fLocksText="0">
      <xdr:nvSpPr>
        <xdr:cNvPr id="132" name="Rectangle: Rounded Corners 131">
          <a:extLst>
            <a:ext uri="{FF2B5EF4-FFF2-40B4-BE49-F238E27FC236}">
              <a16:creationId xmlns:a16="http://schemas.microsoft.com/office/drawing/2014/main" id="{00000000-0008-0000-0400-000084000000}"/>
            </a:ext>
          </a:extLst>
        </xdr:cNvPr>
        <xdr:cNvSpPr/>
      </xdr:nvSpPr>
      <xdr:spPr>
        <a:xfrm>
          <a:off x="1038225" y="30975300"/>
          <a:ext cx="56197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32</a:t>
          </a:r>
        </a:p>
      </xdr:txBody>
    </xdr:sp>
    <xdr:clientData/>
  </xdr:twoCellAnchor>
  <xdr:twoCellAnchor>
    <xdr:from>
      <xdr:col>38</xdr:col>
      <xdr:colOff>0</xdr:colOff>
      <xdr:row>114</xdr:row>
      <xdr:rowOff>0</xdr:rowOff>
    </xdr:from>
    <xdr:to>
      <xdr:col>61</xdr:col>
      <xdr:colOff>0</xdr:colOff>
      <xdr:row>121</xdr:row>
      <xdr:rowOff>0</xdr:rowOff>
    </xdr:to>
    <xdr:sp macro="" textlink="" fLocksText="0">
      <xdr:nvSpPr>
        <xdr:cNvPr id="139" name="吹き出し: 線 2">
          <a:extLst>
            <a:ext uri="{FF2B5EF4-FFF2-40B4-BE49-F238E27FC236}">
              <a16:creationId xmlns:a16="http://schemas.microsoft.com/office/drawing/2014/main" id="{00000000-0008-0000-0400-00008B000000}"/>
            </a:ext>
          </a:extLst>
        </xdr:cNvPr>
        <xdr:cNvSpPr/>
      </xdr:nvSpPr>
      <xdr:spPr>
        <a:xfrm>
          <a:off x="10134600" y="21831300"/>
          <a:ext cx="6134100" cy="1333500"/>
        </a:xfrm>
        <a:prstGeom prst="borderCallout1">
          <a:avLst>
            <a:gd name="adj1" fmla="val 54828"/>
            <a:gd name="adj2" fmla="val -151"/>
            <a:gd name="adj3" fmla="val 86941"/>
            <a:gd name="adj4" fmla="val -6118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▪ユーザーが部門、品群、品種、分類のいずれかのオプションを選択すると、AP1506 product/suggestを呼び出し、レベルごとのレコードリストを取得して[出力单位]の2番目のプルダウンに表示する。[出力单位]の2番目のプルダウンに入力せずに検索ボタンをタッチした場合、エラーモダールを表示する。</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121</xdr:row>
      <xdr:rowOff>0</xdr:rowOff>
    </xdr:from>
    <xdr:to>
      <xdr:col>5</xdr:col>
      <xdr:colOff>0</xdr:colOff>
      <xdr:row>123</xdr:row>
      <xdr:rowOff>0</xdr:rowOff>
    </xdr:to>
    <xdr:cxnSp macro="">
      <xdr:nvCxnSpPr>
        <xdr:cNvPr id="150" name="直線矢印コネクタ 1010">
          <a:extLst>
            <a:ext uri="{FF2B5EF4-FFF2-40B4-BE49-F238E27FC236}">
              <a16:creationId xmlns:a16="http://schemas.microsoft.com/office/drawing/2014/main" id="{00000000-0008-0000-0400-000096000000}"/>
            </a:ext>
          </a:extLst>
        </xdr:cNvPr>
        <xdr:cNvCxnSpPr>
          <a:stCxn id="109" idx="2"/>
          <a:endCxn id="156" idx="0"/>
        </xdr:cNvCxnSpPr>
      </xdr:nvCxnSpPr>
      <xdr:spPr>
        <a:xfrm>
          <a:off x="1333500" y="23164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113</xdr:row>
      <xdr:rowOff>0</xdr:rowOff>
    </xdr:from>
    <xdr:to>
      <xdr:col>8</xdr:col>
      <xdr:colOff>0</xdr:colOff>
      <xdr:row>117</xdr:row>
      <xdr:rowOff>0</xdr:rowOff>
    </xdr:to>
    <xdr:sp macro="" textlink="" fLocksText="0">
      <xdr:nvSpPr>
        <xdr:cNvPr id="153" name="正方形/長方形 1">
          <a:extLst>
            <a:ext uri="{FF2B5EF4-FFF2-40B4-BE49-F238E27FC236}">
              <a16:creationId xmlns:a16="http://schemas.microsoft.com/office/drawing/2014/main" id="{00000000-0008-0000-0400-000099000000}"/>
            </a:ext>
          </a:extLst>
        </xdr:cNvPr>
        <xdr:cNvSpPr/>
      </xdr:nvSpPr>
      <xdr:spPr>
        <a:xfrm>
          <a:off x="533400" y="21640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SC3202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商品売上サマリ画面</a:t>
          </a:r>
        </a:p>
      </xdr:txBody>
    </xdr:sp>
    <xdr:clientData/>
  </xdr:twoCellAnchor>
  <xdr:twoCellAnchor>
    <xdr:from>
      <xdr:col>2</xdr:col>
      <xdr:colOff>0</xdr:colOff>
      <xdr:row>123</xdr:row>
      <xdr:rowOff>0</xdr:rowOff>
    </xdr:from>
    <xdr:to>
      <xdr:col>8</xdr:col>
      <xdr:colOff>0</xdr:colOff>
      <xdr:row>127</xdr:row>
      <xdr:rowOff>0</xdr:rowOff>
    </xdr:to>
    <xdr:sp macro="" textlink="" fLocksText="0">
      <xdr:nvSpPr>
        <xdr:cNvPr id="156" name="正方形/長方形 1">
          <a:extLst>
            <a:ext uri="{FF2B5EF4-FFF2-40B4-BE49-F238E27FC236}">
              <a16:creationId xmlns:a16="http://schemas.microsoft.com/office/drawing/2014/main" id="{00000000-0008-0000-0400-00009C000000}"/>
            </a:ext>
          </a:extLst>
        </xdr:cNvPr>
        <xdr:cNvSpPr/>
      </xdr:nvSpPr>
      <xdr:spPr>
        <a:xfrm>
          <a:off x="533400" y="23545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SC3202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商品売上サマリ画面</a:t>
          </a:r>
        </a:p>
      </xdr:txBody>
    </xdr:sp>
    <xdr:clientData/>
  </xdr:twoCellAnchor>
  <xdr:twoCellAnchor>
    <xdr:from>
      <xdr:col>38</xdr:col>
      <xdr:colOff>0</xdr:colOff>
      <xdr:row>122</xdr:row>
      <xdr:rowOff>0</xdr:rowOff>
    </xdr:from>
    <xdr:to>
      <xdr:col>61</xdr:col>
      <xdr:colOff>0</xdr:colOff>
      <xdr:row>129</xdr:row>
      <xdr:rowOff>0</xdr:rowOff>
    </xdr:to>
    <xdr:sp macro="" textlink="" fLocksText="0">
      <xdr:nvSpPr>
        <xdr:cNvPr id="158" name="吹き出し: 線 2">
          <a:extLst>
            <a:ext uri="{FF2B5EF4-FFF2-40B4-BE49-F238E27FC236}">
              <a16:creationId xmlns:a16="http://schemas.microsoft.com/office/drawing/2014/main" id="{00000000-0008-0000-0400-00009E000000}"/>
            </a:ext>
          </a:extLst>
        </xdr:cNvPr>
        <xdr:cNvSpPr/>
      </xdr:nvSpPr>
      <xdr:spPr>
        <a:xfrm>
          <a:off x="10134600" y="23355300"/>
          <a:ext cx="6134100" cy="1333500"/>
        </a:xfrm>
        <a:prstGeom prst="borderCallout1">
          <a:avLst>
            <a:gd name="adj1" fmla="val 33820"/>
            <a:gd name="adj2" fmla="val -151"/>
            <a:gd name="adj3" fmla="val 42593"/>
            <a:gd name="adj4" fmla="val -13170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出力单位]の2番目のプルダウンを非表示し、商品コードを入力できる１つのテキストボックス、商品検索モーダルを表示する1つのボタン（ユーザーが名称で商品を検索できるようにする）、商品名称を表示する読み取り専用の1つテキストボックスに置き換える。ユーザーが商品コードを入力していない場合、エラーモダールを表示する。</a:t>
          </a:r>
        </a:p>
      </xdr:txBody>
    </xdr:sp>
    <xdr:clientData/>
  </xdr:twoCellAnchor>
  <xdr:twoCellAnchor>
    <xdr:from>
      <xdr:col>3</xdr:col>
      <xdr:colOff>0</xdr:colOff>
      <xdr:row>129</xdr:row>
      <xdr:rowOff>0</xdr:rowOff>
    </xdr:from>
    <xdr:to>
      <xdr:col>6</xdr:col>
      <xdr:colOff>235323</xdr:colOff>
      <xdr:row>132</xdr:row>
      <xdr:rowOff>0</xdr:rowOff>
    </xdr:to>
    <xdr:sp macro="" textlink="" fLocksText="0">
      <xdr:nvSpPr>
        <xdr:cNvPr id="159" name="四角形: 角を丸くする 1101">
          <a:extLst>
            <a:ext uri="{FF2B5EF4-FFF2-40B4-BE49-F238E27FC236}">
              <a16:creationId xmlns:a16="http://schemas.microsoft.com/office/drawing/2014/main" id="{00000000-0008-0000-0400-00009F000000}"/>
            </a:ext>
          </a:extLst>
        </xdr:cNvPr>
        <xdr:cNvSpPr/>
      </xdr:nvSpPr>
      <xdr:spPr>
        <a:xfrm>
          <a:off x="800100" y="24688800"/>
          <a:ext cx="1038225"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商品検索モーダル表示</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127</xdr:row>
      <xdr:rowOff>0</xdr:rowOff>
    </xdr:from>
    <xdr:to>
      <xdr:col>5</xdr:col>
      <xdr:colOff>0</xdr:colOff>
      <xdr:row>129</xdr:row>
      <xdr:rowOff>0</xdr:rowOff>
    </xdr:to>
    <xdr:cxnSp macro="">
      <xdr:nvCxnSpPr>
        <xdr:cNvPr id="160" name="直線矢印コネクタ 1010">
          <a:extLst>
            <a:ext uri="{FF2B5EF4-FFF2-40B4-BE49-F238E27FC236}">
              <a16:creationId xmlns:a16="http://schemas.microsoft.com/office/drawing/2014/main" id="{00000000-0008-0000-0400-0000A0000000}"/>
            </a:ext>
          </a:extLst>
        </xdr:cNvPr>
        <xdr:cNvCxnSpPr>
          <a:stCxn id="156" idx="2"/>
          <a:endCxn id="159" idx="0"/>
        </xdr:cNvCxnSpPr>
      </xdr:nvCxnSpPr>
      <xdr:spPr>
        <a:xfrm>
          <a:off x="1333500" y="24307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142</xdr:row>
      <xdr:rowOff>0</xdr:rowOff>
    </xdr:from>
    <xdr:to>
      <xdr:col>8</xdr:col>
      <xdr:colOff>0</xdr:colOff>
      <xdr:row>146</xdr:row>
      <xdr:rowOff>0</xdr:rowOff>
    </xdr:to>
    <xdr:sp macro="" textlink="" fLocksText="0">
      <xdr:nvSpPr>
        <xdr:cNvPr id="163" name="正方形/長方形 19">
          <a:extLst>
            <a:ext uri="{FF2B5EF4-FFF2-40B4-BE49-F238E27FC236}">
              <a16:creationId xmlns:a16="http://schemas.microsoft.com/office/drawing/2014/main" id="{00000000-0008-0000-0400-0000A3000000}"/>
            </a:ext>
          </a:extLst>
        </xdr:cNvPr>
        <xdr:cNvSpPr/>
      </xdr:nvSpPr>
      <xdr:spPr>
        <a:xfrm>
          <a:off x="533400" y="27165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MD3201</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商品検索モーダル</a:t>
          </a:r>
        </a:p>
      </xdr:txBody>
    </xdr:sp>
    <xdr:clientData/>
  </xdr:twoCellAnchor>
  <xdr:twoCellAnchor>
    <xdr:from>
      <xdr:col>5</xdr:col>
      <xdr:colOff>0</xdr:colOff>
      <xdr:row>132</xdr:row>
      <xdr:rowOff>0</xdr:rowOff>
    </xdr:from>
    <xdr:to>
      <xdr:col>5</xdr:col>
      <xdr:colOff>0</xdr:colOff>
      <xdr:row>142</xdr:row>
      <xdr:rowOff>0</xdr:rowOff>
    </xdr:to>
    <xdr:cxnSp macro="">
      <xdr:nvCxnSpPr>
        <xdr:cNvPr id="164" name="直線矢印コネクタ 1010">
          <a:extLst>
            <a:ext uri="{FF2B5EF4-FFF2-40B4-BE49-F238E27FC236}">
              <a16:creationId xmlns:a16="http://schemas.microsoft.com/office/drawing/2014/main" id="{00000000-0008-0000-0400-0000A4000000}"/>
            </a:ext>
          </a:extLst>
        </xdr:cNvPr>
        <xdr:cNvCxnSpPr>
          <a:stCxn id="159" idx="2"/>
          <a:endCxn id="163" idx="0"/>
        </xdr:cNvCxnSpPr>
      </xdr:nvCxnSpPr>
      <xdr:spPr>
        <a:xfrm>
          <a:off x="1333500" y="25260300"/>
          <a:ext cx="0" cy="1905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140</xdr:row>
      <xdr:rowOff>0</xdr:rowOff>
    </xdr:from>
    <xdr:to>
      <xdr:col>61</xdr:col>
      <xdr:colOff>0</xdr:colOff>
      <xdr:row>146</xdr:row>
      <xdr:rowOff>0</xdr:rowOff>
    </xdr:to>
    <xdr:sp macro="" textlink="" fLocksText="0">
      <xdr:nvSpPr>
        <xdr:cNvPr id="167" name="吹き出し: 線 2">
          <a:extLst>
            <a:ext uri="{FF2B5EF4-FFF2-40B4-BE49-F238E27FC236}">
              <a16:creationId xmlns:a16="http://schemas.microsoft.com/office/drawing/2014/main" id="{00000000-0008-0000-0400-0000A7000000}"/>
            </a:ext>
          </a:extLst>
        </xdr:cNvPr>
        <xdr:cNvSpPr/>
      </xdr:nvSpPr>
      <xdr:spPr>
        <a:xfrm>
          <a:off x="10134600" y="26784300"/>
          <a:ext cx="6134100" cy="1143000"/>
        </a:xfrm>
        <a:prstGeom prst="borderCallout1">
          <a:avLst>
            <a:gd name="adj1" fmla="val 41103"/>
            <a:gd name="adj2" fmla="val -358"/>
            <a:gd name="adj3" fmla="val 71262"/>
            <a:gd name="adj4" fmla="val -13045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▪ユーザーが「検索」ボタンをタッチすると、商品検索モーダルでは商品名称で検索可能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検索結果エリアには以下の項目の情報が含まれている。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選択、商品コード、PLUコード、商品名称、単価、適用日</a:t>
          </a:r>
        </a:p>
      </xdr:txBody>
    </xdr:sp>
    <xdr:clientData/>
  </xdr:twoCellAnchor>
  <xdr:twoCellAnchor>
    <xdr:from>
      <xdr:col>3</xdr:col>
      <xdr:colOff>0</xdr:colOff>
      <xdr:row>148</xdr:row>
      <xdr:rowOff>0</xdr:rowOff>
    </xdr:from>
    <xdr:to>
      <xdr:col>6</xdr:col>
      <xdr:colOff>235323</xdr:colOff>
      <xdr:row>150</xdr:row>
      <xdr:rowOff>0</xdr:rowOff>
    </xdr:to>
    <xdr:sp macro="" textlink="" fLocksText="0">
      <xdr:nvSpPr>
        <xdr:cNvPr id="168" name="四角形: 角を丸くする 1101">
          <a:extLst>
            <a:ext uri="{FF2B5EF4-FFF2-40B4-BE49-F238E27FC236}">
              <a16:creationId xmlns:a16="http://schemas.microsoft.com/office/drawing/2014/main" id="{00000000-0008-0000-0400-0000A8000000}"/>
            </a:ext>
          </a:extLst>
        </xdr:cNvPr>
        <xdr:cNvSpPr/>
      </xdr:nvSpPr>
      <xdr:spPr>
        <a:xfrm>
          <a:off x="800100" y="28308300"/>
          <a:ext cx="103822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検索</a:t>
          </a:r>
        </a:p>
      </xdr:txBody>
    </xdr:sp>
    <xdr:clientData/>
  </xdr:twoCellAnchor>
  <xdr:twoCellAnchor>
    <xdr:from>
      <xdr:col>5</xdr:col>
      <xdr:colOff>0</xdr:colOff>
      <xdr:row>146</xdr:row>
      <xdr:rowOff>0</xdr:rowOff>
    </xdr:from>
    <xdr:to>
      <xdr:col>5</xdr:col>
      <xdr:colOff>0</xdr:colOff>
      <xdr:row>148</xdr:row>
      <xdr:rowOff>0</xdr:rowOff>
    </xdr:to>
    <xdr:cxnSp macro="">
      <xdr:nvCxnSpPr>
        <xdr:cNvPr id="169" name="直線矢印コネクタ 1010">
          <a:extLst>
            <a:ext uri="{FF2B5EF4-FFF2-40B4-BE49-F238E27FC236}">
              <a16:creationId xmlns:a16="http://schemas.microsoft.com/office/drawing/2014/main" id="{00000000-0008-0000-0400-0000A9000000}"/>
            </a:ext>
          </a:extLst>
        </xdr:cNvPr>
        <xdr:cNvCxnSpPr>
          <a:stCxn id="163" idx="2"/>
          <a:endCxn id="168" idx="0"/>
        </xdr:cNvCxnSpPr>
      </xdr:nvCxnSpPr>
      <xdr:spPr>
        <a:xfrm>
          <a:off x="1333500" y="27927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6466</xdr:colOff>
      <xdr:row>147</xdr:row>
      <xdr:rowOff>179294</xdr:rowOff>
    </xdr:from>
    <xdr:to>
      <xdr:col>15</xdr:col>
      <xdr:colOff>0</xdr:colOff>
      <xdr:row>149</xdr:row>
      <xdr:rowOff>179294</xdr:rowOff>
    </xdr:to>
    <xdr:sp macro="" textlink="" fLocksText="0">
      <xdr:nvSpPr>
        <xdr:cNvPr id="172" name="四角形: 角を丸くする 1101">
          <a:extLst>
            <a:ext uri="{FF2B5EF4-FFF2-40B4-BE49-F238E27FC236}">
              <a16:creationId xmlns:a16="http://schemas.microsoft.com/office/drawing/2014/main" id="{00000000-0008-0000-0400-0000AC000000}"/>
            </a:ext>
          </a:extLst>
        </xdr:cNvPr>
        <xdr:cNvSpPr/>
      </xdr:nvSpPr>
      <xdr:spPr>
        <a:xfrm>
          <a:off x="2943225" y="28298775"/>
          <a:ext cx="105727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146</xdr:row>
      <xdr:rowOff>0</xdr:rowOff>
    </xdr:from>
    <xdr:to>
      <xdr:col>13</xdr:col>
      <xdr:colOff>3232</xdr:colOff>
      <xdr:row>147</xdr:row>
      <xdr:rowOff>179294</xdr:rowOff>
    </xdr:to>
    <xdr:cxnSp macro="">
      <xdr:nvCxnSpPr>
        <xdr:cNvPr id="173" name="Connector: Elbow 172">
          <a:extLst>
            <a:ext uri="{FF2B5EF4-FFF2-40B4-BE49-F238E27FC236}">
              <a16:creationId xmlns:a16="http://schemas.microsoft.com/office/drawing/2014/main" id="{00000000-0008-0000-0400-0000AD000000}"/>
            </a:ext>
          </a:extLst>
        </xdr:cNvPr>
        <xdr:cNvCxnSpPr>
          <a:stCxn id="163" idx="2"/>
          <a:endCxn id="172" idx="0"/>
        </xdr:cNvCxnSpPr>
      </xdr:nvCxnSpPr>
      <xdr:spPr>
        <a:xfrm rot="16200000" flipH="1">
          <a:off x="1304925" y="27927300"/>
          <a:ext cx="2162175" cy="3714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146</xdr:colOff>
      <xdr:row>150</xdr:row>
      <xdr:rowOff>0</xdr:rowOff>
    </xdr:from>
    <xdr:to>
      <xdr:col>5</xdr:col>
      <xdr:colOff>3333</xdr:colOff>
      <xdr:row>152</xdr:row>
      <xdr:rowOff>0</xdr:rowOff>
    </xdr:to>
    <xdr:cxnSp macro="">
      <xdr:nvCxnSpPr>
        <xdr:cNvPr id="178" name="直線矢印コネクタ 1010">
          <a:extLst>
            <a:ext uri="{FF2B5EF4-FFF2-40B4-BE49-F238E27FC236}">
              <a16:creationId xmlns:a16="http://schemas.microsoft.com/office/drawing/2014/main" id="{00000000-0008-0000-0400-0000B2000000}"/>
            </a:ext>
          </a:extLst>
        </xdr:cNvPr>
        <xdr:cNvCxnSpPr>
          <a:stCxn id="168" idx="2"/>
          <a:endCxn id="249" idx="0"/>
        </xdr:cNvCxnSpPr>
      </xdr:nvCxnSpPr>
      <xdr:spPr>
        <a:xfrm>
          <a:off x="1333500" y="28689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1</xdr:colOff>
      <xdr:row>129</xdr:row>
      <xdr:rowOff>0</xdr:rowOff>
    </xdr:from>
    <xdr:to>
      <xdr:col>16</xdr:col>
      <xdr:colOff>0</xdr:colOff>
      <xdr:row>131</xdr:row>
      <xdr:rowOff>0</xdr:rowOff>
    </xdr:to>
    <xdr:sp macro="" textlink="" fLocksText="0">
      <xdr:nvSpPr>
        <xdr:cNvPr id="182" name="四角形: 角を丸くする 1101">
          <a:extLst>
            <a:ext uri="{FF2B5EF4-FFF2-40B4-BE49-F238E27FC236}">
              <a16:creationId xmlns:a16="http://schemas.microsoft.com/office/drawing/2014/main" id="{00000000-0008-0000-0400-0000B6000000}"/>
            </a:ext>
          </a:extLst>
        </xdr:cNvPr>
        <xdr:cNvSpPr/>
      </xdr:nvSpPr>
      <xdr:spPr>
        <a:xfrm>
          <a:off x="3200400" y="24688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商品コード</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127</xdr:row>
      <xdr:rowOff>0</xdr:rowOff>
    </xdr:from>
    <xdr:to>
      <xdr:col>14</xdr:col>
      <xdr:colOff>1</xdr:colOff>
      <xdr:row>129</xdr:row>
      <xdr:rowOff>0</xdr:rowOff>
    </xdr:to>
    <xdr:cxnSp macro="">
      <xdr:nvCxnSpPr>
        <xdr:cNvPr id="183" name="Connector: Elbow 182">
          <a:extLst>
            <a:ext uri="{FF2B5EF4-FFF2-40B4-BE49-F238E27FC236}">
              <a16:creationId xmlns:a16="http://schemas.microsoft.com/office/drawing/2014/main" id="{00000000-0008-0000-0400-0000B7000000}"/>
            </a:ext>
          </a:extLst>
        </xdr:cNvPr>
        <xdr:cNvCxnSpPr>
          <a:stCxn id="156" idx="2"/>
          <a:endCxn id="182" idx="0"/>
        </xdr:cNvCxnSpPr>
      </xdr:nvCxnSpPr>
      <xdr:spPr>
        <a:xfrm rot="16200000" flipH="1">
          <a:off x="1333500" y="24307800"/>
          <a:ext cx="24003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228368</xdr:colOff>
      <xdr:row>133</xdr:row>
      <xdr:rowOff>0</xdr:rowOff>
    </xdr:from>
    <xdr:to>
      <xdr:col>17</xdr:col>
      <xdr:colOff>0</xdr:colOff>
      <xdr:row>137</xdr:row>
      <xdr:rowOff>0</xdr:rowOff>
    </xdr:to>
    <xdr:sp macro="" textlink="" fLocksText="0">
      <xdr:nvSpPr>
        <xdr:cNvPr id="186" name="四角形: 角を丸くする 3">
          <a:extLst>
            <a:ext uri="{FF2B5EF4-FFF2-40B4-BE49-F238E27FC236}">
              <a16:creationId xmlns:a16="http://schemas.microsoft.com/office/drawing/2014/main" id="{00000000-0008-0000-0400-0000BA000000}"/>
            </a:ext>
          </a:extLst>
        </xdr:cNvPr>
        <xdr:cNvSpPr/>
      </xdr:nvSpPr>
      <xdr:spPr>
        <a:xfrm>
          <a:off x="2895600" y="25450800"/>
          <a:ext cx="16383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KN1501</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商品提案機能</a:t>
          </a:r>
        </a:p>
      </xdr:txBody>
    </xdr:sp>
    <xdr:clientData/>
  </xdr:twoCellAnchor>
  <xdr:twoCellAnchor>
    <xdr:from>
      <xdr:col>21</xdr:col>
      <xdr:colOff>0</xdr:colOff>
      <xdr:row>129</xdr:row>
      <xdr:rowOff>0</xdr:rowOff>
    </xdr:from>
    <xdr:to>
      <xdr:col>23</xdr:col>
      <xdr:colOff>1</xdr:colOff>
      <xdr:row>130</xdr:row>
      <xdr:rowOff>1</xdr:rowOff>
    </xdr:to>
    <xdr:sp macro="" textlink="" fLocksText="0">
      <xdr:nvSpPr>
        <xdr:cNvPr id="187" name="Rectangle: Rounded Corners 186">
          <a:extLst>
            <a:ext uri="{FF2B5EF4-FFF2-40B4-BE49-F238E27FC236}">
              <a16:creationId xmlns:a16="http://schemas.microsoft.com/office/drawing/2014/main" id="{00000000-0008-0000-0400-0000BB000000}"/>
            </a:ext>
          </a:extLst>
        </xdr:cNvPr>
        <xdr:cNvSpPr/>
      </xdr:nvSpPr>
      <xdr:spPr>
        <a:xfrm>
          <a:off x="5600700" y="24688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32</a:t>
          </a:r>
        </a:p>
      </xdr:txBody>
    </xdr:sp>
    <xdr:clientData/>
  </xdr:twoCellAnchor>
  <xdr:twoCellAnchor>
    <xdr:from>
      <xdr:col>22</xdr:col>
      <xdr:colOff>0</xdr:colOff>
      <xdr:row>127</xdr:row>
      <xdr:rowOff>0</xdr:rowOff>
    </xdr:from>
    <xdr:to>
      <xdr:col>22</xdr:col>
      <xdr:colOff>3477</xdr:colOff>
      <xdr:row>129</xdr:row>
      <xdr:rowOff>0</xdr:rowOff>
    </xdr:to>
    <xdr:cxnSp macro="">
      <xdr:nvCxnSpPr>
        <xdr:cNvPr id="188" name="直線矢印コネクタ 1010">
          <a:extLst>
            <a:ext uri="{FF2B5EF4-FFF2-40B4-BE49-F238E27FC236}">
              <a16:creationId xmlns:a16="http://schemas.microsoft.com/office/drawing/2014/main" id="{00000000-0008-0000-0400-0000BC000000}"/>
            </a:ext>
          </a:extLst>
        </xdr:cNvPr>
        <xdr:cNvCxnSpPr>
          <a:stCxn id="125" idx="2"/>
          <a:endCxn id="187" idx="0"/>
        </xdr:cNvCxnSpPr>
      </xdr:nvCxnSpPr>
      <xdr:spPr>
        <a:xfrm flipH="1">
          <a:off x="5867400" y="24307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0</xdr:colOff>
      <xdr:row>138</xdr:row>
      <xdr:rowOff>190499</xdr:rowOff>
    </xdr:from>
    <xdr:to>
      <xdr:col>15</xdr:col>
      <xdr:colOff>1</xdr:colOff>
      <xdr:row>140</xdr:row>
      <xdr:rowOff>0</xdr:rowOff>
    </xdr:to>
    <xdr:sp macro="" textlink="" fLocksText="0">
      <xdr:nvSpPr>
        <xdr:cNvPr id="190" name="Rectangle: Rounded Corners 189">
          <a:extLst>
            <a:ext uri="{FF2B5EF4-FFF2-40B4-BE49-F238E27FC236}">
              <a16:creationId xmlns:a16="http://schemas.microsoft.com/office/drawing/2014/main" id="{00000000-0008-0000-0400-0000BE000000}"/>
            </a:ext>
          </a:extLst>
        </xdr:cNvPr>
        <xdr:cNvSpPr/>
      </xdr:nvSpPr>
      <xdr:spPr>
        <a:xfrm>
          <a:off x="3467100" y="26593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32</a:t>
          </a:r>
        </a:p>
      </xdr:txBody>
    </xdr:sp>
    <xdr:clientData/>
  </xdr:twoCellAnchor>
  <xdr:twoCellAnchor>
    <xdr:from>
      <xdr:col>13</xdr:col>
      <xdr:colOff>231846</xdr:colOff>
      <xdr:row>137</xdr:row>
      <xdr:rowOff>0</xdr:rowOff>
    </xdr:from>
    <xdr:to>
      <xdr:col>14</xdr:col>
      <xdr:colOff>1</xdr:colOff>
      <xdr:row>138</xdr:row>
      <xdr:rowOff>190499</xdr:rowOff>
    </xdr:to>
    <xdr:cxnSp macro="">
      <xdr:nvCxnSpPr>
        <xdr:cNvPr id="191" name="直線矢印コネクタ 1010">
          <a:extLst>
            <a:ext uri="{FF2B5EF4-FFF2-40B4-BE49-F238E27FC236}">
              <a16:creationId xmlns:a16="http://schemas.microsoft.com/office/drawing/2014/main" id="{00000000-0008-0000-0400-0000BF000000}"/>
            </a:ext>
          </a:extLst>
        </xdr:cNvPr>
        <xdr:cNvCxnSpPr>
          <a:stCxn id="186" idx="2"/>
          <a:endCxn id="190" idx="0"/>
        </xdr:cNvCxnSpPr>
      </xdr:nvCxnSpPr>
      <xdr:spPr>
        <a:xfrm>
          <a:off x="3695700" y="26212800"/>
          <a:ext cx="3810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231846</xdr:colOff>
      <xdr:row>131</xdr:row>
      <xdr:rowOff>0</xdr:rowOff>
    </xdr:from>
    <xdr:to>
      <xdr:col>14</xdr:col>
      <xdr:colOff>1</xdr:colOff>
      <xdr:row>133</xdr:row>
      <xdr:rowOff>0</xdr:rowOff>
    </xdr:to>
    <xdr:cxnSp macro="">
      <xdr:nvCxnSpPr>
        <xdr:cNvPr id="196" name="直線矢印コネクタ 1010">
          <a:extLst>
            <a:ext uri="{FF2B5EF4-FFF2-40B4-BE49-F238E27FC236}">
              <a16:creationId xmlns:a16="http://schemas.microsoft.com/office/drawing/2014/main" id="{00000000-0008-0000-0400-0000C4000000}"/>
            </a:ext>
          </a:extLst>
        </xdr:cNvPr>
        <xdr:cNvCxnSpPr>
          <a:stCxn id="182" idx="2"/>
          <a:endCxn id="186" idx="0"/>
        </xdr:cNvCxnSpPr>
      </xdr:nvCxnSpPr>
      <xdr:spPr>
        <a:xfrm flipH="1">
          <a:off x="3695700" y="25069800"/>
          <a:ext cx="3810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152</xdr:row>
      <xdr:rowOff>0</xdr:rowOff>
    </xdr:from>
    <xdr:to>
      <xdr:col>35</xdr:col>
      <xdr:colOff>6665</xdr:colOff>
      <xdr:row>156</xdr:row>
      <xdr:rowOff>1</xdr:rowOff>
    </xdr:to>
    <xdr:sp macro="" textlink="" fLocksText="0">
      <xdr:nvSpPr>
        <xdr:cNvPr id="199" name="フローチャート: 磁気ディスク 194">
          <a:extLst>
            <a:ext uri="{FF2B5EF4-FFF2-40B4-BE49-F238E27FC236}">
              <a16:creationId xmlns:a16="http://schemas.microsoft.com/office/drawing/2014/main" id="{00000000-0008-0000-0400-0000C7000000}"/>
            </a:ext>
          </a:extLst>
        </xdr:cNvPr>
        <xdr:cNvSpPr/>
      </xdr:nvSpPr>
      <xdr:spPr>
        <a:xfrm>
          <a:off x="7734300" y="29070300"/>
          <a:ext cx="160972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AP3203</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商品名称で商品検索</a:t>
          </a:r>
        </a:p>
      </xdr:txBody>
    </xdr:sp>
    <xdr:clientData/>
  </xdr:twoCellAnchor>
  <xdr:twoCellAnchor>
    <xdr:from>
      <xdr:col>8</xdr:col>
      <xdr:colOff>6664</xdr:colOff>
      <xdr:row>154</xdr:row>
      <xdr:rowOff>1</xdr:rowOff>
    </xdr:from>
    <xdr:to>
      <xdr:col>29</xdr:col>
      <xdr:colOff>0</xdr:colOff>
      <xdr:row>154</xdr:row>
      <xdr:rowOff>1</xdr:rowOff>
    </xdr:to>
    <xdr:cxnSp macro="">
      <xdr:nvCxnSpPr>
        <xdr:cNvPr id="200" name="Straight Arrow Connector 199">
          <a:extLst>
            <a:ext uri="{FF2B5EF4-FFF2-40B4-BE49-F238E27FC236}">
              <a16:creationId xmlns:a16="http://schemas.microsoft.com/office/drawing/2014/main" id="{00000000-0008-0000-0400-0000C8000000}"/>
            </a:ext>
          </a:extLst>
        </xdr:cNvPr>
        <xdr:cNvCxnSpPr>
          <a:stCxn id="249" idx="3"/>
          <a:endCxn id="199" idx="2"/>
        </xdr:cNvCxnSpPr>
      </xdr:nvCxnSpPr>
      <xdr:spPr>
        <a:xfrm>
          <a:off x="2143125" y="29451300"/>
          <a:ext cx="559117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131</xdr:row>
      <xdr:rowOff>0</xdr:rowOff>
    </xdr:from>
    <xdr:to>
      <xdr:col>61</xdr:col>
      <xdr:colOff>0</xdr:colOff>
      <xdr:row>137</xdr:row>
      <xdr:rowOff>0</xdr:rowOff>
    </xdr:to>
    <xdr:sp macro="" textlink="" fLocksText="0">
      <xdr:nvSpPr>
        <xdr:cNvPr id="203" name="吹き出し: 線 2">
          <a:extLst>
            <a:ext uri="{FF2B5EF4-FFF2-40B4-BE49-F238E27FC236}">
              <a16:creationId xmlns:a16="http://schemas.microsoft.com/office/drawing/2014/main" id="{00000000-0008-0000-0400-0000CB000000}"/>
            </a:ext>
          </a:extLst>
        </xdr:cNvPr>
        <xdr:cNvSpPr/>
      </xdr:nvSpPr>
      <xdr:spPr>
        <a:xfrm>
          <a:off x="10134600" y="25069800"/>
          <a:ext cx="6134100" cy="1143000"/>
        </a:xfrm>
        <a:prstGeom prst="borderCallout1">
          <a:avLst>
            <a:gd name="adj1" fmla="val 54828"/>
            <a:gd name="adj2" fmla="val -151"/>
            <a:gd name="adj3" fmla="val 55575"/>
            <a:gd name="adj4" fmla="val -9277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▪ユーザーは商品コードにより商品情報を取得できる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・商品コードは13</a:t>
          </a:r>
          <a:r>
            <a:rPr lang="ja-JP" altLang="en-US" sz="1000" b="0" i="0" u="none" baseline="0">
              <a:solidFill>
                <a:srgbClr val="000000"/>
              </a:solidFill>
              <a:latin typeface="Meiryo UI" panose="020B0604030504040204" pitchFamily="34" charset="-128"/>
              <a:ea typeface="Meiryo UI" panose="020B0604030504040204" pitchFamily="34" charset="-128"/>
            </a:rPr>
            <a:t>桁</a:t>
          </a:r>
          <a:r>
            <a:rPr lang="en-US" altLang="ja-JP" sz="1000" b="0" i="0" u="none" baseline="0">
              <a:solidFill>
                <a:srgbClr val="000000"/>
              </a:solidFill>
              <a:latin typeface="Meiryo UI" panose="020B0604030504040204" pitchFamily="34" charset="-128"/>
              <a:ea typeface="Meiryo UI" panose="020B0604030504040204" pitchFamily="34" charset="-128"/>
            </a:rPr>
            <a:t>で、ユーザーが13</a:t>
          </a:r>
          <a:r>
            <a:rPr lang="ja-JP" altLang="en-US" sz="1000" b="0" i="0" u="none" baseline="0">
              <a:solidFill>
                <a:srgbClr val="000000"/>
              </a:solidFill>
              <a:latin typeface="Meiryo UI" panose="020B0604030504040204" pitchFamily="34" charset="-128"/>
              <a:ea typeface="Meiryo UI" panose="020B0604030504040204" pitchFamily="34" charset="-128"/>
            </a:rPr>
            <a:t>桁</a:t>
          </a:r>
          <a:r>
            <a:rPr lang="en-US" altLang="ja-JP" sz="1000" b="0" i="0" u="none" baseline="0">
              <a:solidFill>
                <a:srgbClr val="000000"/>
              </a:solidFill>
              <a:latin typeface="Meiryo UI" panose="020B0604030504040204" pitchFamily="34" charset="-128"/>
              <a:ea typeface="Meiryo UI" panose="020B0604030504040204" pitchFamily="34" charset="-128"/>
            </a:rPr>
            <a:t>を全て入力していない場合、フォーカスアウト時の「0」を埋め込む。</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・入力してフォーカスアウトした場合、「AP1506 product/suggest」APIを呼び出して商品情報を取得する。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28</xdr:col>
      <xdr:colOff>228368</xdr:colOff>
      <xdr:row>133</xdr:row>
      <xdr:rowOff>0</xdr:rowOff>
    </xdr:from>
    <xdr:to>
      <xdr:col>35</xdr:col>
      <xdr:colOff>0</xdr:colOff>
      <xdr:row>137</xdr:row>
      <xdr:rowOff>0</xdr:rowOff>
    </xdr:to>
    <xdr:sp macro="" textlink="" fLocksText="0">
      <xdr:nvSpPr>
        <xdr:cNvPr id="204" name="フローチャート: 磁気ディスク 194">
          <a:extLst>
            <a:ext uri="{FF2B5EF4-FFF2-40B4-BE49-F238E27FC236}">
              <a16:creationId xmlns:a16="http://schemas.microsoft.com/office/drawing/2014/main" id="{00000000-0008-0000-0400-0000CC000000}"/>
            </a:ext>
          </a:extLst>
        </xdr:cNvPr>
        <xdr:cNvSpPr/>
      </xdr:nvSpPr>
      <xdr:spPr>
        <a:xfrm>
          <a:off x="7696200" y="25450800"/>
          <a:ext cx="16383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AP1506</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product/suggest</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17</xdr:col>
      <xdr:colOff>0</xdr:colOff>
      <xdr:row>135</xdr:row>
      <xdr:rowOff>0</xdr:rowOff>
    </xdr:from>
    <xdr:to>
      <xdr:col>28</xdr:col>
      <xdr:colOff>228368</xdr:colOff>
      <xdr:row>135</xdr:row>
      <xdr:rowOff>0</xdr:rowOff>
    </xdr:to>
    <xdr:cxnSp macro="">
      <xdr:nvCxnSpPr>
        <xdr:cNvPr id="205" name="Straight Arrow Connector 204">
          <a:extLst>
            <a:ext uri="{FF2B5EF4-FFF2-40B4-BE49-F238E27FC236}">
              <a16:creationId xmlns:a16="http://schemas.microsoft.com/office/drawing/2014/main" id="{00000000-0008-0000-0400-0000CD000000}"/>
            </a:ext>
          </a:extLst>
        </xdr:cNvPr>
        <xdr:cNvCxnSpPr>
          <a:stCxn id="186" idx="3"/>
          <a:endCxn id="204" idx="2"/>
        </xdr:cNvCxnSpPr>
      </xdr:nvCxnSpPr>
      <xdr:spPr>
        <a:xfrm>
          <a:off x="4533900" y="25831800"/>
          <a:ext cx="31623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6466</xdr:colOff>
      <xdr:row>158</xdr:row>
      <xdr:rowOff>0</xdr:rowOff>
    </xdr:from>
    <xdr:to>
      <xdr:col>7</xdr:col>
      <xdr:colOff>0</xdr:colOff>
      <xdr:row>160</xdr:row>
      <xdr:rowOff>0</xdr:rowOff>
    </xdr:to>
    <xdr:sp macro="" textlink="" fLocksText="0">
      <xdr:nvSpPr>
        <xdr:cNvPr id="209" name="四角形: 角を丸くする 1101">
          <a:extLst>
            <a:ext uri="{FF2B5EF4-FFF2-40B4-BE49-F238E27FC236}">
              <a16:creationId xmlns:a16="http://schemas.microsoft.com/office/drawing/2014/main" id="{00000000-0008-0000-0400-0000D1000000}"/>
            </a:ext>
          </a:extLst>
        </xdr:cNvPr>
        <xdr:cNvSpPr/>
      </xdr:nvSpPr>
      <xdr:spPr>
        <a:xfrm>
          <a:off x="809625" y="30213300"/>
          <a:ext cx="105727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選択</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3233</xdr:colOff>
      <xdr:row>156</xdr:row>
      <xdr:rowOff>0</xdr:rowOff>
    </xdr:from>
    <xdr:to>
      <xdr:col>5</xdr:col>
      <xdr:colOff>3333</xdr:colOff>
      <xdr:row>158</xdr:row>
      <xdr:rowOff>0</xdr:rowOff>
    </xdr:to>
    <xdr:cxnSp macro="">
      <xdr:nvCxnSpPr>
        <xdr:cNvPr id="211" name="直線矢印コネクタ 1010">
          <a:extLst>
            <a:ext uri="{FF2B5EF4-FFF2-40B4-BE49-F238E27FC236}">
              <a16:creationId xmlns:a16="http://schemas.microsoft.com/office/drawing/2014/main" id="{00000000-0008-0000-0400-0000D3000000}"/>
            </a:ext>
          </a:extLst>
        </xdr:cNvPr>
        <xdr:cNvCxnSpPr>
          <a:stCxn id="249" idx="2"/>
          <a:endCxn id="209" idx="0"/>
        </xdr:cNvCxnSpPr>
      </xdr:nvCxnSpPr>
      <xdr:spPr>
        <a:xfrm flipH="1">
          <a:off x="1333500" y="29832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160</xdr:row>
      <xdr:rowOff>0</xdr:rowOff>
    </xdr:from>
    <xdr:to>
      <xdr:col>5</xdr:col>
      <xdr:colOff>3233</xdr:colOff>
      <xdr:row>162</xdr:row>
      <xdr:rowOff>0</xdr:rowOff>
    </xdr:to>
    <xdr:cxnSp macro="">
      <xdr:nvCxnSpPr>
        <xdr:cNvPr id="216" name="直線矢印コネクタ 1010">
          <a:extLst>
            <a:ext uri="{FF2B5EF4-FFF2-40B4-BE49-F238E27FC236}">
              <a16:creationId xmlns:a16="http://schemas.microsoft.com/office/drawing/2014/main" id="{00000000-0008-0000-0400-0000D8000000}"/>
            </a:ext>
          </a:extLst>
        </xdr:cNvPr>
        <xdr:cNvCxnSpPr>
          <a:stCxn id="209" idx="2"/>
          <a:endCxn id="132" idx="0"/>
        </xdr:cNvCxnSpPr>
      </xdr:nvCxnSpPr>
      <xdr:spPr>
        <a:xfrm flipH="1">
          <a:off x="1304925" y="305943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149</xdr:row>
      <xdr:rowOff>0</xdr:rowOff>
    </xdr:from>
    <xdr:to>
      <xdr:col>61</xdr:col>
      <xdr:colOff>0</xdr:colOff>
      <xdr:row>155</xdr:row>
      <xdr:rowOff>0</xdr:rowOff>
    </xdr:to>
    <xdr:sp macro="" textlink="" fLocksText="0">
      <xdr:nvSpPr>
        <xdr:cNvPr id="219" name="吹き出し: 線 2">
          <a:extLst>
            <a:ext uri="{FF2B5EF4-FFF2-40B4-BE49-F238E27FC236}">
              <a16:creationId xmlns:a16="http://schemas.microsoft.com/office/drawing/2014/main" id="{00000000-0008-0000-0400-0000DB000000}"/>
            </a:ext>
          </a:extLst>
        </xdr:cNvPr>
        <xdr:cNvSpPr/>
      </xdr:nvSpPr>
      <xdr:spPr>
        <a:xfrm>
          <a:off x="10134600" y="28498800"/>
          <a:ext cx="6134100" cy="1143000"/>
        </a:xfrm>
        <a:prstGeom prst="borderCallout1">
          <a:avLst>
            <a:gd name="adj1" fmla="val 54828"/>
            <a:gd name="adj2" fmla="val -151"/>
            <a:gd name="adj3" fmla="val 70327"/>
            <a:gd name="adj4" fmla="val -13188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▪ユーザーが選択対象レコードの選択ボタンをタッチできる。選択ボタンをタッチし、SC3201_レジ別単品別売上点検画面に戻り、「出力单位」項目に選択された商品情報を表示する。</a:t>
          </a:r>
        </a:p>
      </xdr:txBody>
    </xdr:sp>
    <xdr:clientData/>
  </xdr:twoCellAnchor>
  <xdr:twoCellAnchor>
    <xdr:from>
      <xdr:col>38</xdr:col>
      <xdr:colOff>0</xdr:colOff>
      <xdr:row>77</xdr:row>
      <xdr:rowOff>0</xdr:rowOff>
    </xdr:from>
    <xdr:to>
      <xdr:col>61</xdr:col>
      <xdr:colOff>0</xdr:colOff>
      <xdr:row>80</xdr:row>
      <xdr:rowOff>0</xdr:rowOff>
    </xdr:to>
    <xdr:sp macro="" textlink="" fLocksText="0">
      <xdr:nvSpPr>
        <xdr:cNvPr id="22" name="吹き出し: 線 2">
          <a:extLst>
            <a:ext uri="{FF2B5EF4-FFF2-40B4-BE49-F238E27FC236}">
              <a16:creationId xmlns:a16="http://schemas.microsoft.com/office/drawing/2014/main" id="{00000000-0008-0000-0400-000016000000}"/>
            </a:ext>
          </a:extLst>
        </xdr:cNvPr>
        <xdr:cNvSpPr/>
      </xdr:nvSpPr>
      <xdr:spPr>
        <a:xfrm>
          <a:off x="10134600" y="14782800"/>
          <a:ext cx="6134100" cy="571500"/>
        </a:xfrm>
        <a:prstGeom prst="borderCallout1">
          <a:avLst>
            <a:gd name="adj1" fmla="val 46985"/>
            <a:gd name="adj2" fmla="val 56"/>
            <a:gd name="adj3" fmla="val -53696"/>
            <a:gd name="adj4" fmla="val -13393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000" b="0" i="0" u="none" baseline="0">
              <a:solidFill>
                <a:srgbClr val="0000FF"/>
              </a:solidFill>
              <a:latin typeface="Meiryo UI"/>
              <a:ea typeface="Meiryo UI" panose="020B0604030504040204" pitchFamily="34" charset="-128"/>
            </a:rPr>
            <a:t>ユーザーがレコードを選択していない場合は無効にし、</a:t>
          </a:r>
          <a:r>
            <a:rPr lang="en-US" altLang="ja-JP" sz="1000" b="0" i="0" u="none" baseline="0">
              <a:solidFill>
                <a:srgbClr val="0000FF"/>
              </a:solidFill>
              <a:latin typeface="Meiryo UI"/>
              <a:ea typeface="Meiryo UI" panose="020B0604030504040204" pitchFamily="34" charset="-128"/>
            </a:rPr>
            <a:t>1</a:t>
          </a:r>
          <a:r>
            <a:rPr lang="ja-JP" altLang="en-US" sz="1000" b="0" i="0" u="none" baseline="0">
              <a:solidFill>
                <a:srgbClr val="0000FF"/>
              </a:solidFill>
              <a:latin typeface="Meiryo UI"/>
              <a:ea typeface="Meiryo UI" panose="020B0604030504040204" pitchFamily="34" charset="-128"/>
            </a:rPr>
            <a:t>件を選択した場合は有効にする。タッチすると画面</a:t>
          </a:r>
          <a:r>
            <a:rPr lang="vi-VN" altLang="ja-JP" sz="1000" b="0" i="0" u="none" baseline="0">
              <a:solidFill>
                <a:srgbClr val="0000FF"/>
              </a:solidFill>
              <a:latin typeface="Meiryo UI"/>
              <a:ea typeface="Meiryo UI" panose="020B0604030504040204" pitchFamily="34" charset="-128"/>
            </a:rPr>
            <a:t>SC3203</a:t>
          </a:r>
          <a:r>
            <a:rPr lang="ja-JP" altLang="en-US" sz="1000" b="0" i="0" u="none" baseline="0">
              <a:solidFill>
                <a:srgbClr val="0000FF"/>
              </a:solidFill>
              <a:latin typeface="Meiryo UI"/>
              <a:ea typeface="Meiryo UI" panose="020B0604030504040204" pitchFamily="34" charset="-128"/>
            </a:rPr>
            <a:t>に遷移する。</a:t>
          </a:r>
          <a:endParaRPr lang="vi-VN" altLang="ja-JP" sz="1000" b="0" i="0" u="none" baseline="0">
            <a:solidFill>
              <a:srgbClr val="0000FF"/>
            </a:solidFill>
            <a:latin typeface="Meiryo UI"/>
            <a:ea typeface="Meiryo UI" panose="020B0604030504040204" pitchFamily="34" charset="-128"/>
          </a:endParaRPr>
        </a:p>
      </xdr:txBody>
    </xdr:sp>
    <xdr:clientData/>
  </xdr:twoCellAnchor>
  <xdr:twoCellAnchor>
    <xdr:from>
      <xdr:col>4</xdr:col>
      <xdr:colOff>0</xdr:colOff>
      <xdr:row>84</xdr:row>
      <xdr:rowOff>190499</xdr:rowOff>
    </xdr:from>
    <xdr:to>
      <xdr:col>6</xdr:col>
      <xdr:colOff>1</xdr:colOff>
      <xdr:row>86</xdr:row>
      <xdr:rowOff>0</xdr:rowOff>
    </xdr:to>
    <xdr:sp macro="" textlink="" fLocksText="0">
      <xdr:nvSpPr>
        <xdr:cNvPr id="78" name="Rectangle: Rounded Corners 77">
          <a:extLst>
            <a:ext uri="{FF2B5EF4-FFF2-40B4-BE49-F238E27FC236}">
              <a16:creationId xmlns:a16="http://schemas.microsoft.com/office/drawing/2014/main" id="{00000000-0008-0000-0400-00004E000000}"/>
            </a:ext>
          </a:extLst>
        </xdr:cNvPr>
        <xdr:cNvSpPr/>
      </xdr:nvSpPr>
      <xdr:spPr>
        <a:xfrm>
          <a:off x="1066800" y="16306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32.3</a:t>
          </a:r>
        </a:p>
      </xdr:txBody>
    </xdr:sp>
    <xdr:clientData/>
  </xdr:twoCellAnchor>
  <xdr:twoCellAnchor>
    <xdr:from>
      <xdr:col>4</xdr:col>
      <xdr:colOff>0</xdr:colOff>
      <xdr:row>166</xdr:row>
      <xdr:rowOff>0</xdr:rowOff>
    </xdr:from>
    <xdr:to>
      <xdr:col>6</xdr:col>
      <xdr:colOff>1</xdr:colOff>
      <xdr:row>167</xdr:row>
      <xdr:rowOff>1</xdr:rowOff>
    </xdr:to>
    <xdr:sp macro="" textlink="" fLocksText="0">
      <xdr:nvSpPr>
        <xdr:cNvPr id="269" name="Rectangle: Rounded Corners 268">
          <a:extLst>
            <a:ext uri="{FF2B5EF4-FFF2-40B4-BE49-F238E27FC236}">
              <a16:creationId xmlns:a16="http://schemas.microsoft.com/office/drawing/2014/main" id="{00000000-0008-0000-0400-00000D010000}"/>
            </a:ext>
          </a:extLst>
        </xdr:cNvPr>
        <xdr:cNvSpPr/>
      </xdr:nvSpPr>
      <xdr:spPr>
        <a:xfrm>
          <a:off x="1066800" y="31737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chemeClr val="tx1"/>
              </a:solidFill>
              <a:latin typeface="Meiryo UI" panose="020B0604030504040204" pitchFamily="34" charset="-128"/>
              <a:ea typeface="Meiryo UI" panose="020B0604030504040204" pitchFamily="34" charset="-128"/>
            </a:rPr>
            <a:t>32.3</a:t>
          </a:r>
        </a:p>
      </xdr:txBody>
    </xdr:sp>
    <xdr:clientData/>
  </xdr:twoCellAnchor>
  <xdr:twoCellAnchor>
    <xdr:from>
      <xdr:col>2</xdr:col>
      <xdr:colOff>0</xdr:colOff>
      <xdr:row>169</xdr:row>
      <xdr:rowOff>0</xdr:rowOff>
    </xdr:from>
    <xdr:to>
      <xdr:col>8</xdr:col>
      <xdr:colOff>0</xdr:colOff>
      <xdr:row>173</xdr:row>
      <xdr:rowOff>0</xdr:rowOff>
    </xdr:to>
    <xdr:sp macro="" textlink="" fLocksText="0">
      <xdr:nvSpPr>
        <xdr:cNvPr id="285" name="四角形: 角を丸くする 3">
          <a:extLst>
            <a:ext uri="{FF2B5EF4-FFF2-40B4-BE49-F238E27FC236}">
              <a16:creationId xmlns:a16="http://schemas.microsoft.com/office/drawing/2014/main" id="{00000000-0008-0000-0400-00001D010000}"/>
            </a:ext>
          </a:extLst>
        </xdr:cNvPr>
        <xdr:cNvSpPr/>
      </xdr:nvSpPr>
      <xdr:spPr>
        <a:xfrm>
          <a:off x="533400" y="32308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900" b="0" i="0" u="none" baseline="0">
              <a:solidFill>
                <a:schemeClr val="tx1"/>
              </a:solidFill>
              <a:latin typeface="Meiryo UI" panose="020B0604030504040204" pitchFamily="34" charset="-128"/>
              <a:ea typeface="Meiryo UI" panose="020B0604030504040204" pitchFamily="34" charset="-128"/>
            </a:rPr>
            <a:t>KN3205: レジ別時間帯別売上情報取得</a:t>
          </a:r>
        </a:p>
      </xdr:txBody>
    </xdr:sp>
    <xdr:clientData/>
  </xdr:twoCellAnchor>
  <xdr:twoCellAnchor>
    <xdr:from>
      <xdr:col>5</xdr:col>
      <xdr:colOff>0</xdr:colOff>
      <xdr:row>167</xdr:row>
      <xdr:rowOff>1</xdr:rowOff>
    </xdr:from>
    <xdr:to>
      <xdr:col>5</xdr:col>
      <xdr:colOff>0</xdr:colOff>
      <xdr:row>169</xdr:row>
      <xdr:rowOff>0</xdr:rowOff>
    </xdr:to>
    <xdr:cxnSp macro="">
      <xdr:nvCxnSpPr>
        <xdr:cNvPr id="286" name="直線矢印コネクタ 1010">
          <a:extLst>
            <a:ext uri="{FF2B5EF4-FFF2-40B4-BE49-F238E27FC236}">
              <a16:creationId xmlns:a16="http://schemas.microsoft.com/office/drawing/2014/main" id="{00000000-0008-0000-0400-00001E010000}"/>
            </a:ext>
          </a:extLst>
        </xdr:cNvPr>
        <xdr:cNvCxnSpPr>
          <a:stCxn id="269" idx="2"/>
          <a:endCxn id="285" idx="0"/>
        </xdr:cNvCxnSpPr>
      </xdr:nvCxnSpPr>
      <xdr:spPr>
        <a:xfrm>
          <a:off x="1333500" y="31927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175</xdr:row>
      <xdr:rowOff>0</xdr:rowOff>
    </xdr:from>
    <xdr:to>
      <xdr:col>8</xdr:col>
      <xdr:colOff>0</xdr:colOff>
      <xdr:row>179</xdr:row>
      <xdr:rowOff>0</xdr:rowOff>
    </xdr:to>
    <xdr:sp macro="" textlink="" fLocksText="0">
      <xdr:nvSpPr>
        <xdr:cNvPr id="289" name="正方形/長方形 1">
          <a:extLst>
            <a:ext uri="{FF2B5EF4-FFF2-40B4-BE49-F238E27FC236}">
              <a16:creationId xmlns:a16="http://schemas.microsoft.com/office/drawing/2014/main" id="{00000000-0008-0000-0400-000021010000}"/>
            </a:ext>
          </a:extLst>
        </xdr:cNvPr>
        <xdr:cNvSpPr/>
      </xdr:nvSpPr>
      <xdr:spPr>
        <a:xfrm>
          <a:off x="533400" y="33451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900" b="0" i="0" u="none" baseline="0">
              <a:solidFill>
                <a:schemeClr val="tx1"/>
              </a:solidFill>
              <a:latin typeface="Meiryo UI" panose="020B0604030504040204" pitchFamily="34" charset="-128"/>
              <a:ea typeface="Meiryo UI" panose="020B0604030504040204" pitchFamily="34" charset="-128"/>
            </a:rPr>
            <a:t>SC3203</a:t>
          </a:r>
        </a:p>
        <a:p>
          <a:pPr>
            <a:defRPr lang="en-US" altLang="ja-JP" sz="900" b="0" i="0" u="none" baseline="0">
              <a:solidFill>
                <a:schemeClr val="accent2">
                  <a:lumMod val="75000"/>
                </a:schemeClr>
              </a:solidFill>
              <a:latin typeface="Meiryo UI" panose="020B0604030504040204" pitchFamily="34" charset="-128"/>
              <a:ea typeface="Meiryo UI" panose="020B0604030504040204" pitchFamily="34" charset="-128"/>
            </a:defRPr>
          </a:pPr>
          <a:r>
            <a:rPr lang="en-US" altLang="ja-JP" sz="900" b="0" i="0" u="none" baseline="0">
              <a:solidFill>
                <a:schemeClr val="tx1"/>
              </a:solidFill>
              <a:latin typeface="Meiryo UI" panose="020B0604030504040204" pitchFamily="34" charset="-128"/>
              <a:ea typeface="Meiryo UI" panose="020B0604030504040204" pitchFamily="34" charset="-128"/>
            </a:rPr>
            <a:t>レジ別時間帯別売上表示画面</a:t>
          </a:r>
        </a:p>
      </xdr:txBody>
    </xdr:sp>
    <xdr:clientData/>
  </xdr:twoCellAnchor>
  <xdr:twoCellAnchor>
    <xdr:from>
      <xdr:col>5</xdr:col>
      <xdr:colOff>0</xdr:colOff>
      <xdr:row>173</xdr:row>
      <xdr:rowOff>0</xdr:rowOff>
    </xdr:from>
    <xdr:to>
      <xdr:col>5</xdr:col>
      <xdr:colOff>0</xdr:colOff>
      <xdr:row>175</xdr:row>
      <xdr:rowOff>0</xdr:rowOff>
    </xdr:to>
    <xdr:cxnSp macro="">
      <xdr:nvCxnSpPr>
        <xdr:cNvPr id="290" name="直線矢印コネクタ 1010">
          <a:extLst>
            <a:ext uri="{FF2B5EF4-FFF2-40B4-BE49-F238E27FC236}">
              <a16:creationId xmlns:a16="http://schemas.microsoft.com/office/drawing/2014/main" id="{00000000-0008-0000-0400-000022010000}"/>
            </a:ext>
          </a:extLst>
        </xdr:cNvPr>
        <xdr:cNvCxnSpPr>
          <a:stCxn id="285" idx="2"/>
          <a:endCxn id="289" idx="0"/>
        </xdr:cNvCxnSpPr>
      </xdr:nvCxnSpPr>
      <xdr:spPr>
        <a:xfrm>
          <a:off x="1333500" y="33070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179</xdr:row>
      <xdr:rowOff>0</xdr:rowOff>
    </xdr:from>
    <xdr:to>
      <xdr:col>5</xdr:col>
      <xdr:colOff>9525</xdr:colOff>
      <xdr:row>181</xdr:row>
      <xdr:rowOff>9525</xdr:rowOff>
    </xdr:to>
    <xdr:cxnSp macro="">
      <xdr:nvCxnSpPr>
        <xdr:cNvPr id="294" name="直線矢印コネクタ 1010">
          <a:extLst>
            <a:ext uri="{FF2B5EF4-FFF2-40B4-BE49-F238E27FC236}">
              <a16:creationId xmlns:a16="http://schemas.microsoft.com/office/drawing/2014/main" id="{00000000-0008-0000-0400-000026010000}"/>
            </a:ext>
          </a:extLst>
        </xdr:cNvPr>
        <xdr:cNvCxnSpPr>
          <a:stCxn id="289" idx="2"/>
          <a:endCxn id="56" idx="0"/>
        </xdr:cNvCxnSpPr>
      </xdr:nvCxnSpPr>
      <xdr:spPr>
        <a:xfrm>
          <a:off x="1333500" y="34213800"/>
          <a:ext cx="9525"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28</xdr:col>
      <xdr:colOff>228368</xdr:colOff>
      <xdr:row>169</xdr:row>
      <xdr:rowOff>0</xdr:rowOff>
    </xdr:from>
    <xdr:to>
      <xdr:col>35</xdr:col>
      <xdr:colOff>0</xdr:colOff>
      <xdr:row>173</xdr:row>
      <xdr:rowOff>0</xdr:rowOff>
    </xdr:to>
    <xdr:sp macro="" textlink="" fLocksText="0">
      <xdr:nvSpPr>
        <xdr:cNvPr id="297" name="フローチャート: 磁気ディスク 194">
          <a:extLst>
            <a:ext uri="{FF2B5EF4-FFF2-40B4-BE49-F238E27FC236}">
              <a16:creationId xmlns:a16="http://schemas.microsoft.com/office/drawing/2014/main" id="{00000000-0008-0000-0400-000029010000}"/>
            </a:ext>
          </a:extLst>
        </xdr:cNvPr>
        <xdr:cNvSpPr/>
      </xdr:nvSpPr>
      <xdr:spPr>
        <a:xfrm>
          <a:off x="7696200" y="32308800"/>
          <a:ext cx="16383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chemeClr val="tx1"/>
              </a:solidFill>
              <a:latin typeface="Meiryo UI" panose="020B0604030504040204" pitchFamily="34" charset="-128"/>
              <a:ea typeface="Meiryo UI" panose="020B0604030504040204" pitchFamily="34" charset="-128"/>
            </a:rPr>
            <a:t>AP3204</a:t>
          </a:r>
        </a:p>
        <a:p>
          <a:pPr marL="0" indent="0" algn="ctr"/>
          <a:r>
            <a:rPr lang="en-US" altLang="ja-JP" sz="900" b="0" i="0" u="none" baseline="0">
              <a:solidFill>
                <a:schemeClr val="tx1"/>
              </a:solidFill>
              <a:latin typeface="Meiryo UI" panose="020B0604030504040204" pitchFamily="34" charset="-128"/>
              <a:ea typeface="Meiryo UI" panose="020B0604030504040204" pitchFamily="34" charset="-128"/>
            </a:rPr>
            <a:t>Get product revenue info by time on date and cash register</a:t>
          </a:r>
          <a:endParaRPr lang="ja-JP" altLang="en-US" sz="900" b="0" i="0" u="none" baseline="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0</xdr:colOff>
      <xdr:row>171</xdr:row>
      <xdr:rowOff>0</xdr:rowOff>
    </xdr:from>
    <xdr:to>
      <xdr:col>28</xdr:col>
      <xdr:colOff>228368</xdr:colOff>
      <xdr:row>171</xdr:row>
      <xdr:rowOff>0</xdr:rowOff>
    </xdr:to>
    <xdr:cxnSp macro="">
      <xdr:nvCxnSpPr>
        <xdr:cNvPr id="298" name="Straight Arrow Connector 297">
          <a:extLst>
            <a:ext uri="{FF2B5EF4-FFF2-40B4-BE49-F238E27FC236}">
              <a16:creationId xmlns:a16="http://schemas.microsoft.com/office/drawing/2014/main" id="{00000000-0008-0000-0400-00002A010000}"/>
            </a:ext>
          </a:extLst>
        </xdr:cNvPr>
        <xdr:cNvCxnSpPr>
          <a:stCxn id="285" idx="3"/>
          <a:endCxn id="297" idx="2"/>
        </xdr:cNvCxnSpPr>
      </xdr:nvCxnSpPr>
      <xdr:spPr>
        <a:xfrm>
          <a:off x="2133600" y="32689800"/>
          <a:ext cx="55626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37</xdr:col>
      <xdr:colOff>201705</xdr:colOff>
      <xdr:row>166</xdr:row>
      <xdr:rowOff>33618</xdr:rowOff>
    </xdr:from>
    <xdr:to>
      <xdr:col>60</xdr:col>
      <xdr:colOff>201705</xdr:colOff>
      <xdr:row>200</xdr:row>
      <xdr:rowOff>33618</xdr:rowOff>
    </xdr:to>
    <xdr:sp macro="" textlink="" fLocksText="0">
      <xdr:nvSpPr>
        <xdr:cNvPr id="301" name="吹き出し: 線 2">
          <a:extLst>
            <a:ext uri="{FF2B5EF4-FFF2-40B4-BE49-F238E27FC236}">
              <a16:creationId xmlns:a16="http://schemas.microsoft.com/office/drawing/2014/main" id="{00000000-0008-0000-0400-00002D010000}"/>
            </a:ext>
          </a:extLst>
        </xdr:cNvPr>
        <xdr:cNvSpPr/>
      </xdr:nvSpPr>
      <xdr:spPr>
        <a:xfrm>
          <a:off x="8908676" y="31768677"/>
          <a:ext cx="5412441" cy="6477000"/>
        </a:xfrm>
        <a:prstGeom prst="borderCallout1">
          <a:avLst>
            <a:gd name="adj1" fmla="val 41227"/>
            <a:gd name="adj2" fmla="val -172"/>
            <a:gd name="adj3" fmla="val 40580"/>
            <a:gd name="adj4" fmla="val -13134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1" i="0" u="none" baseline="0">
              <a:solidFill>
                <a:schemeClr val="tx1"/>
              </a:solidFill>
              <a:latin typeface="Meiryo UI" panose="020B0604030504040204" pitchFamily="34" charset="-128"/>
              <a:ea typeface="Meiryo UI" panose="020B0604030504040204" pitchFamily="34" charset="-128"/>
            </a:rPr>
            <a:t>初期表示：</a:t>
          </a:r>
        </a:p>
        <a:p>
          <a:pPr>
            <a:defRPr lang="en-US" altLang="ja-JP" sz="1000" b="1" i="0" u="none" baseline="0">
              <a:solidFill>
                <a:schemeClr val="accent2">
                  <a:lumMod val="75000"/>
                </a:schemeClr>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KN3205_レジ別時間帯別売上情報取得機能を実行する。[営業日]が現在日である。</a:t>
          </a:r>
        </a:p>
        <a:p>
          <a:pPr>
            <a:defRPr lang="en-US" altLang="ja-JP" sz="1000" b="1" i="0" u="none" baseline="0">
              <a:solidFill>
                <a:schemeClr val="accent2">
                  <a:lumMod val="75000"/>
                </a:schemeClr>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検索エリア</a:t>
          </a:r>
        </a:p>
        <a:p>
          <a:pPr>
            <a:defRPr lang="en-US" altLang="ja-JP" sz="1000" b="1" i="0" u="none" baseline="0">
              <a:solidFill>
                <a:schemeClr val="accent2">
                  <a:lumMod val="75000"/>
                </a:schemeClr>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・[商品コード]: 13</a:t>
          </a:r>
          <a:r>
            <a:rPr lang="ja-JP" altLang="en-US" sz="1000" b="0" i="0" u="none" baseline="0">
              <a:solidFill>
                <a:schemeClr val="tx1"/>
              </a:solidFill>
              <a:latin typeface="Meiryo UI" panose="020B0604030504040204" pitchFamily="34" charset="-128"/>
              <a:ea typeface="Meiryo UI" panose="020B0604030504040204" pitchFamily="34" charset="-128"/>
            </a:rPr>
            <a:t>桁</a:t>
          </a:r>
          <a:r>
            <a:rPr lang="en-US" altLang="ja-JP" sz="1000" b="0" i="0" u="none" baseline="0">
              <a:solidFill>
                <a:schemeClr val="tx1"/>
              </a:solidFill>
              <a:latin typeface="Meiryo UI" panose="020B0604030504040204" pitchFamily="34" charset="-128"/>
              <a:ea typeface="Meiryo UI" panose="020B0604030504040204" pitchFamily="34" charset="-128"/>
            </a:rPr>
            <a:t>を含む選択された商品コードのtextview。形式：{00000}{部門コードの2</a:t>
          </a:r>
          <a:r>
            <a:rPr lang="ja-JP" altLang="en-US" sz="1000" b="0" i="0" u="none" baseline="0">
              <a:solidFill>
                <a:schemeClr val="tx1"/>
              </a:solidFill>
              <a:latin typeface="Meiryo UI" panose="020B0604030504040204" pitchFamily="34" charset="-128"/>
              <a:ea typeface="Meiryo UI" panose="020B0604030504040204" pitchFamily="34" charset="-128"/>
            </a:rPr>
            <a:t>桁</a:t>
          </a:r>
          <a:r>
            <a:rPr lang="en-US" altLang="ja-JP" sz="1000" b="0" i="0" u="none" baseline="0">
              <a:solidFill>
                <a:schemeClr val="tx1"/>
              </a:solidFill>
              <a:latin typeface="Meiryo UI" panose="020B0604030504040204" pitchFamily="34" charset="-128"/>
              <a:ea typeface="Meiryo UI" panose="020B0604030504040204" pitchFamily="34" charset="-128"/>
            </a:rPr>
            <a:t>}{商品コードの6</a:t>
          </a:r>
          <a:r>
            <a:rPr lang="ja-JP" altLang="en-US" sz="1000" b="0" i="0" u="none" baseline="0">
              <a:solidFill>
                <a:schemeClr val="tx1"/>
              </a:solidFill>
              <a:latin typeface="Meiryo UI" panose="020B0604030504040204" pitchFamily="34" charset="-128"/>
              <a:ea typeface="Meiryo UI" panose="020B0604030504040204" pitchFamily="34" charset="-128"/>
            </a:rPr>
            <a:t>桁</a:t>
          </a:r>
          <a:r>
            <a:rPr lang="en-US" altLang="ja-JP" sz="1000" b="0" i="0" u="none" baseline="0">
              <a:solidFill>
                <a:schemeClr val="tx1"/>
              </a:solidFill>
              <a:latin typeface="Meiryo UI" panose="020B0604030504040204" pitchFamily="34" charset="-128"/>
              <a:ea typeface="Meiryo UI" panose="020B0604030504040204" pitchFamily="34" charset="-128"/>
            </a:rPr>
            <a:t>}。</a:t>
          </a:r>
        </a:p>
        <a:p>
          <a:pPr>
            <a:defRPr lang="en-US" altLang="ja-JP" sz="1000" b="1" i="0" u="none" baseline="0">
              <a:solidFill>
                <a:schemeClr val="accent2">
                  <a:lumMod val="75000"/>
                </a:schemeClr>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・[PLUコード]: 選択された商品のPLUコード13</a:t>
          </a:r>
          <a:r>
            <a:rPr lang="ja-JP" altLang="en-US" sz="1000" b="0" i="0" u="none" baseline="0">
              <a:solidFill>
                <a:schemeClr val="tx1"/>
              </a:solidFill>
              <a:latin typeface="Meiryo UI" panose="020B0604030504040204" pitchFamily="34" charset="-128"/>
              <a:ea typeface="Meiryo UI" panose="020B0604030504040204" pitchFamily="34" charset="-128"/>
            </a:rPr>
            <a:t>桁</a:t>
          </a:r>
          <a:r>
            <a:rPr lang="en-US" altLang="ja-JP" sz="1000" b="0" i="0" u="none" baseline="0">
              <a:solidFill>
                <a:schemeClr val="tx1"/>
              </a:solidFill>
              <a:latin typeface="Meiryo UI" panose="020B0604030504040204" pitchFamily="34" charset="-128"/>
              <a:ea typeface="Meiryo UI" panose="020B0604030504040204" pitchFamily="34" charset="-128"/>
            </a:rPr>
            <a:t>の表示textview</a:t>
          </a:r>
        </a:p>
        <a:p>
          <a:pPr>
            <a:defRPr lang="en-US" altLang="ja-JP" sz="1000" b="1" i="0" u="none" baseline="0">
              <a:solidFill>
                <a:schemeClr val="accent2">
                  <a:lumMod val="75000"/>
                </a:schemeClr>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・[商品名称]:選択された商品名称の表示Textview</a:t>
          </a:r>
        </a:p>
        <a:p>
          <a:pPr>
            <a:defRPr lang="en-US" altLang="ja-JP" sz="1000" b="1" i="0" u="none" baseline="0">
              <a:solidFill>
                <a:schemeClr val="accent2">
                  <a:lumMod val="75000"/>
                </a:schemeClr>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・[端末番号]: レジの{コード}:{名称}の表示textview</a:t>
          </a:r>
        </a:p>
        <a:p>
          <a:pPr>
            <a:defRPr lang="en-US" altLang="ja-JP" sz="1000" b="1" i="0" u="none" baseline="0">
              <a:solidFill>
                <a:schemeClr val="accent2">
                  <a:lumMod val="75000"/>
                </a:schemeClr>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[営業日]: 情報を表示する営業日選択可能datepicker。デフォルト値：現在日</a:t>
          </a:r>
        </a:p>
        <a:p>
          <a:pPr>
            <a:defRPr lang="en-US" altLang="ja-JP" sz="1000" b="1" i="0" u="none" baseline="0">
              <a:solidFill>
                <a:schemeClr val="accent2">
                  <a:lumMod val="75000"/>
                </a:schemeClr>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一覧エリア：</a:t>
          </a:r>
        </a:p>
        <a:p>
          <a:pPr>
            <a:defRPr lang="en-US" altLang="ja-JP" sz="1000" b="1" i="0" u="none" baseline="0">
              <a:solidFill>
                <a:schemeClr val="accent2">
                  <a:lumMod val="75000"/>
                </a:schemeClr>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・[時間帯別売上情報一覧]: 一覧には選択した日付の00:00から23:59までの24時間帯の24件を表示する。一覧には[時間帯]（時間ごとに分けられる）、[売上金額 (円)]、[数量]、[客数]が含まれている。</a:t>
          </a:r>
        </a:p>
        <a:p>
          <a:pPr>
            <a:defRPr lang="en-US" altLang="ja-JP" sz="1000" b="1" i="0" u="none" baseline="0">
              <a:solidFill>
                <a:schemeClr val="accent2">
                  <a:lumMod val="75000"/>
                </a:schemeClr>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グラフエリア</a:t>
          </a:r>
        </a:p>
        <a:p>
          <a:pPr>
            <a:defRPr lang="en-US" altLang="ja-JP" sz="1000" b="1" i="0" u="none" baseline="0">
              <a:solidFill>
                <a:schemeClr val="accent2">
                  <a:lumMod val="75000"/>
                </a:schemeClr>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・[売上グラフ]: [売上グラフ]: 時間帯別購入傾向を示すグラフ。以下が含まれている。</a:t>
          </a:r>
        </a:p>
        <a:p>
          <a:pPr>
            <a:defRPr lang="en-US" altLang="ja-JP" sz="1000" b="1" i="0" u="none" baseline="0">
              <a:solidFill>
                <a:schemeClr val="accent2">
                  <a:lumMod val="75000"/>
                </a:schemeClr>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▪[売上金額(円)]: 左側の縦軸で単位を表す。青い面グラフである。</a:t>
          </a:r>
        </a:p>
        <a:p>
          <a:pPr>
            <a:defRPr lang="en-US" altLang="ja-JP" sz="1000" b="1" i="0" u="none" baseline="0">
              <a:solidFill>
                <a:schemeClr val="accent2">
                  <a:lumMod val="75000"/>
                </a:schemeClr>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▪[数量] と [客数]: 右側の縦軸で単位を表す。赤色 (数量) と緑色 (客数)を含む折れ線グラフである。</a:t>
          </a:r>
        </a:p>
        <a:p>
          <a:pPr>
            <a:defRPr lang="en-US" altLang="ja-JP" sz="1000" b="1" i="0" u="none" baseline="0">
              <a:solidFill>
                <a:schemeClr val="accent2">
                  <a:lumMod val="75000"/>
                </a:schemeClr>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どちらも、選択した日付の00:00から23:59までの時間帯として横軸に従って並進に表される。</a:t>
          </a:r>
        </a:p>
        <a:p>
          <a:pPr>
            <a:defRPr lang="en-US" altLang="ja-JP" sz="1000" b="1" i="0" u="none" baseline="0">
              <a:solidFill>
                <a:schemeClr val="accent2">
                  <a:lumMod val="75000"/>
                </a:schemeClr>
              </a:solidFill>
              <a:latin typeface="Meiryo UI" panose="020B0604030504040204" pitchFamily="34" charset="-128"/>
              <a:ea typeface="Meiryo UI" panose="020B0604030504040204" pitchFamily="34" charset="-128"/>
            </a:defRPr>
          </a:pPr>
          <a:r>
            <a:rPr lang="en-US" altLang="ja-JP" sz="1000" b="1" i="0" u="none" baseline="0">
              <a:solidFill>
                <a:schemeClr val="tx1"/>
              </a:solidFill>
              <a:latin typeface="Meiryo UI" panose="020B0604030504040204" pitchFamily="34" charset="-128"/>
              <a:ea typeface="Meiryo UI" panose="020B0604030504040204" pitchFamily="34" charset="-128"/>
            </a:rPr>
            <a:t>処理ロジック：</a:t>
          </a:r>
        </a:p>
        <a:p>
          <a:pPr>
            <a:defRPr lang="en-US" altLang="ja-JP" sz="1000" b="1" i="0" u="none" baseline="0">
              <a:solidFill>
                <a:schemeClr val="accent2">
                  <a:lumMod val="75000"/>
                </a:schemeClr>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a:t>
          </a:r>
          <a:r>
            <a:rPr lang="en-US" altLang="ja-JP" sz="1000" b="1" i="0" u="none" baseline="0">
              <a:solidFill>
                <a:schemeClr val="tx1"/>
              </a:solidFill>
              <a:latin typeface="Meiryo UI" panose="020B0604030504040204" pitchFamily="34" charset="-128"/>
              <a:ea typeface="Meiryo UI" panose="020B0604030504040204" pitchFamily="34" charset="-128"/>
            </a:rPr>
            <a:t>F9:確定</a:t>
          </a:r>
          <a:r>
            <a:rPr lang="en-US" altLang="ja-JP" sz="1000" b="0" i="0" u="none" baseline="0">
              <a:solidFill>
                <a:schemeClr val="tx1"/>
              </a:solidFill>
              <a:latin typeface="Meiryo UI" panose="020B0604030504040204" pitchFamily="34" charset="-128"/>
              <a:ea typeface="Meiryo UI" panose="020B0604030504040204" pitchFamily="34" charset="-128"/>
            </a:rPr>
            <a:t>]ボタン：確定してKN3205_レジ別時間帯別売上情報取得機能を実行する。[営業日]：選択されている日付</a:t>
          </a:r>
        </a:p>
        <a:p>
          <a:pPr>
            <a:defRPr lang="en-US" altLang="ja-JP" sz="1000" b="1" i="0" u="none" baseline="0">
              <a:solidFill>
                <a:schemeClr val="accent2">
                  <a:lumMod val="75000"/>
                </a:schemeClr>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a:t>
          </a:r>
          <a:r>
            <a:rPr lang="en-US" altLang="ja-JP" sz="1000" b="1" i="0" u="none" baseline="0">
              <a:solidFill>
                <a:schemeClr val="tx1"/>
              </a:solidFill>
              <a:latin typeface="Meiryo UI" panose="020B0604030504040204" pitchFamily="34" charset="-128"/>
              <a:ea typeface="Meiryo UI" panose="020B0604030504040204" pitchFamily="34" charset="-128"/>
            </a:rPr>
            <a:t>検索画面</a:t>
          </a:r>
          <a:r>
            <a:rPr lang="en-US" altLang="ja-JP" sz="1000" b="0" i="0" u="none" baseline="0">
              <a:solidFill>
                <a:schemeClr val="tx1"/>
              </a:solidFill>
              <a:latin typeface="Meiryo UI" panose="020B0604030504040204" pitchFamily="34" charset="-128"/>
              <a:ea typeface="Meiryo UI" panose="020B0604030504040204" pitchFamily="34" charset="-128"/>
            </a:rPr>
            <a:t>]ボタン: SC3201_レジ別単品別売上点検画面を表示する。</a:t>
          </a:r>
        </a:p>
        <a:p>
          <a:pPr>
            <a:defRPr lang="en-US" altLang="ja-JP" sz="1000" b="1" i="0" u="none" baseline="0">
              <a:solidFill>
                <a:schemeClr val="accent2">
                  <a:lumMod val="75000"/>
                </a:schemeClr>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2</xdr:col>
      <xdr:colOff>0</xdr:colOff>
      <xdr:row>152</xdr:row>
      <xdr:rowOff>0</xdr:rowOff>
    </xdr:from>
    <xdr:to>
      <xdr:col>8</xdr:col>
      <xdr:colOff>6664</xdr:colOff>
      <xdr:row>156</xdr:row>
      <xdr:rowOff>0</xdr:rowOff>
    </xdr:to>
    <xdr:sp macro="" textlink="" fLocksText="0">
      <xdr:nvSpPr>
        <xdr:cNvPr id="249" name="四角形: 角を丸くする 3">
          <a:extLst>
            <a:ext uri="{FF2B5EF4-FFF2-40B4-BE49-F238E27FC236}">
              <a16:creationId xmlns:a16="http://schemas.microsoft.com/office/drawing/2014/main" id="{00000000-0008-0000-0400-0000F9000000}"/>
            </a:ext>
          </a:extLst>
        </xdr:cNvPr>
        <xdr:cNvSpPr/>
      </xdr:nvSpPr>
      <xdr:spPr>
        <a:xfrm>
          <a:off x="533400" y="29070300"/>
          <a:ext cx="160972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KN3208</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商品名称で商品検索機能</a:t>
          </a:r>
        </a:p>
      </xdr:txBody>
    </xdr:sp>
    <xdr:clientData/>
  </xdr:twoCellAnchor>
  <xdr:twoCellAnchor>
    <xdr:from>
      <xdr:col>2</xdr:col>
      <xdr:colOff>0</xdr:colOff>
      <xdr:row>38</xdr:row>
      <xdr:rowOff>0</xdr:rowOff>
    </xdr:from>
    <xdr:to>
      <xdr:col>8</xdr:col>
      <xdr:colOff>0</xdr:colOff>
      <xdr:row>42</xdr:row>
      <xdr:rowOff>0</xdr:rowOff>
    </xdr:to>
    <xdr:sp macro="" textlink="" fLocksText="0">
      <xdr:nvSpPr>
        <xdr:cNvPr id="21" name="四角形: 角を丸くする 3">
          <a:extLst>
            <a:ext uri="{FF2B5EF4-FFF2-40B4-BE49-F238E27FC236}">
              <a16:creationId xmlns:a16="http://schemas.microsoft.com/office/drawing/2014/main" id="{00000000-0008-0000-0400-000015000000}"/>
            </a:ext>
          </a:extLst>
        </xdr:cNvPr>
        <xdr:cNvSpPr/>
      </xdr:nvSpPr>
      <xdr:spPr>
        <a:xfrm>
          <a:off x="533400" y="7353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800" b="0" i="0" u="none" baseline="0">
              <a:solidFill>
                <a:srgbClr val="000000"/>
              </a:solidFill>
              <a:latin typeface="Meiryo UI" panose="020B0604030504040204" pitchFamily="34" charset="-128"/>
              <a:ea typeface="Meiryo UI" panose="020B0604030504040204" pitchFamily="34" charset="-128"/>
            </a:rPr>
            <a:t>KN3201</a:t>
          </a:r>
          <a:endParaRPr lang="en-US" altLang="ja-JP" sz="800">
            <a:solidFill>
              <a:srgbClr val="000000"/>
            </a:solidFill>
            <a:latin typeface="Meiryo UI" panose="020B0604030504040204" pitchFamily="34" charset="-128"/>
            <a:ea typeface="Meiryo UI" panose="020B0604030504040204" pitchFamily="34" charset="-128"/>
          </a:endParaRPr>
        </a:p>
        <a:p>
          <a:pPr algn="ctr">
            <a:defRPr lang="en-US" altLang="ja-JP" sz="800" b="0" i="0" u="none" baseline="0">
              <a:solidFill>
                <a:srgbClr val="000000"/>
              </a:solidFill>
              <a:latin typeface="Meiryo UI" panose="020B0604030504040204" pitchFamily="34" charset="-128"/>
              <a:ea typeface="Meiryo UI" panose="020B0604030504040204" pitchFamily="34" charset="-128"/>
            </a:defRPr>
          </a:pPr>
          <a:r>
            <a:rPr lang="en-US" altLang="ja-JP" sz="800" b="0" i="0" u="none" baseline="0">
              <a:solidFill>
                <a:srgbClr val="000000"/>
              </a:solidFill>
              <a:latin typeface="Meiryo UI" panose="020B0604030504040204" pitchFamily="34" charset="-128"/>
              <a:ea typeface="Meiryo UI" panose="020B0604030504040204" pitchFamily="34" charset="-128"/>
            </a:rPr>
            <a:t>レジ一覧取得機能</a:t>
          </a:r>
        </a:p>
      </xdr:txBody>
    </xdr:sp>
    <xdr:clientData/>
  </xdr:twoCellAnchor>
  <xdr:twoCellAnchor>
    <xdr:from>
      <xdr:col>29</xdr:col>
      <xdr:colOff>0</xdr:colOff>
      <xdr:row>38</xdr:row>
      <xdr:rowOff>0</xdr:rowOff>
    </xdr:from>
    <xdr:to>
      <xdr:col>35</xdr:col>
      <xdr:colOff>0</xdr:colOff>
      <xdr:row>42</xdr:row>
      <xdr:rowOff>0</xdr:rowOff>
    </xdr:to>
    <xdr:sp macro="" textlink="" fLocksText="0">
      <xdr:nvSpPr>
        <xdr:cNvPr id="30" name="フローチャート: 磁気ディスク 194">
          <a:extLst>
            <a:ext uri="{FF2B5EF4-FFF2-40B4-BE49-F238E27FC236}">
              <a16:creationId xmlns:a16="http://schemas.microsoft.com/office/drawing/2014/main" id="{00000000-0008-0000-0400-00001E000000}"/>
            </a:ext>
          </a:extLst>
        </xdr:cNvPr>
        <xdr:cNvSpPr/>
      </xdr:nvSpPr>
      <xdr:spPr>
        <a:xfrm>
          <a:off x="7734300" y="7353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AP3201: 店舗マスタ検索</a:t>
          </a:r>
        </a:p>
      </xdr:txBody>
    </xdr:sp>
    <xdr:clientData/>
  </xdr:twoCellAnchor>
  <xdr:twoCellAnchor>
    <xdr:from>
      <xdr:col>8</xdr:col>
      <xdr:colOff>0</xdr:colOff>
      <xdr:row>40</xdr:row>
      <xdr:rowOff>0</xdr:rowOff>
    </xdr:from>
    <xdr:to>
      <xdr:col>29</xdr:col>
      <xdr:colOff>0</xdr:colOff>
      <xdr:row>40</xdr:row>
      <xdr:rowOff>0</xdr:rowOff>
    </xdr:to>
    <xdr:cxnSp macro="">
      <xdr:nvCxnSpPr>
        <xdr:cNvPr id="39" name="直線矢印コネクタ 196">
          <a:extLst>
            <a:ext uri="{FF2B5EF4-FFF2-40B4-BE49-F238E27FC236}">
              <a16:creationId xmlns:a16="http://schemas.microsoft.com/office/drawing/2014/main" id="{00000000-0008-0000-0400-000027000000}"/>
            </a:ext>
          </a:extLst>
        </xdr:cNvPr>
        <xdr:cNvCxnSpPr>
          <a:stCxn id="21" idx="3"/>
          <a:endCxn id="30" idx="2"/>
        </xdr:cNvCxnSpPr>
      </xdr:nvCxnSpPr>
      <xdr:spPr>
        <a:xfrm>
          <a:off x="2133600" y="7734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42</xdr:row>
      <xdr:rowOff>0</xdr:rowOff>
    </xdr:from>
    <xdr:to>
      <xdr:col>5</xdr:col>
      <xdr:colOff>0</xdr:colOff>
      <xdr:row>49</xdr:row>
      <xdr:rowOff>0</xdr:rowOff>
    </xdr:to>
    <xdr:cxnSp macro="">
      <xdr:nvCxnSpPr>
        <xdr:cNvPr id="43" name="直線矢印コネクタ 1010">
          <a:extLst>
            <a:ext uri="{FF2B5EF4-FFF2-40B4-BE49-F238E27FC236}">
              <a16:creationId xmlns:a16="http://schemas.microsoft.com/office/drawing/2014/main" id="{00000000-0008-0000-0400-00002B000000}"/>
            </a:ext>
          </a:extLst>
        </xdr:cNvPr>
        <xdr:cNvCxnSpPr>
          <a:stCxn id="21" idx="2"/>
          <a:endCxn id="35" idx="0"/>
        </xdr:cNvCxnSpPr>
      </xdr:nvCxnSpPr>
      <xdr:spPr>
        <a:xfrm>
          <a:off x="1333500" y="8115300"/>
          <a:ext cx="0" cy="1333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38</xdr:row>
      <xdr:rowOff>0</xdr:rowOff>
    </xdr:from>
    <xdr:to>
      <xdr:col>61</xdr:col>
      <xdr:colOff>0</xdr:colOff>
      <xdr:row>41</xdr:row>
      <xdr:rowOff>0</xdr:rowOff>
    </xdr:to>
    <xdr:sp macro="" textlink="" fLocksText="0">
      <xdr:nvSpPr>
        <xdr:cNvPr id="53" name="吹き出し: 線 2">
          <a:extLst>
            <a:ext uri="{FF2B5EF4-FFF2-40B4-BE49-F238E27FC236}">
              <a16:creationId xmlns:a16="http://schemas.microsoft.com/office/drawing/2014/main" id="{00000000-0008-0000-0400-000035000000}"/>
            </a:ext>
          </a:extLst>
        </xdr:cNvPr>
        <xdr:cNvSpPr/>
      </xdr:nvSpPr>
      <xdr:spPr>
        <a:xfrm>
          <a:off x="10134600" y="7353300"/>
          <a:ext cx="6134100" cy="571500"/>
        </a:xfrm>
        <a:prstGeom prst="borderCallout1">
          <a:avLst>
            <a:gd name="adj1" fmla="val 54828"/>
            <a:gd name="adj2" fmla="val -151"/>
            <a:gd name="adj3" fmla="val 58027"/>
            <a:gd name="adj4" fmla="val -13149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AP3201を呼び出して店舗一覧を取得し、[端末番号]項目のプルダウンのオプション一覧を作成する。</a:t>
          </a:r>
          <a:endParaRPr lang="vi-VN" altLang="ja-JP" sz="1000" b="0" i="0" u="none" baseline="0">
            <a:solidFill>
              <a:srgbClr val="000000"/>
            </a:solidFill>
            <a:latin typeface="Meiryo UI"/>
            <a:ea typeface="Meiryo UI" panose="020B0604030504040204" pitchFamily="34" charset="-128"/>
          </a:endParaRPr>
        </a:p>
      </xdr:txBody>
    </xdr:sp>
    <xdr:clientData/>
  </xdr:twoCellAnchor>
  <xdr:twoCellAnchor>
    <xdr:from>
      <xdr:col>2</xdr:col>
      <xdr:colOff>9525</xdr:colOff>
      <xdr:row>181</xdr:row>
      <xdr:rowOff>9525</xdr:rowOff>
    </xdr:from>
    <xdr:to>
      <xdr:col>8</xdr:col>
      <xdr:colOff>9524</xdr:colOff>
      <xdr:row>184</xdr:row>
      <xdr:rowOff>9525</xdr:rowOff>
    </xdr:to>
    <xdr:sp macro="" textlink="" fLocksText="0">
      <xdr:nvSpPr>
        <xdr:cNvPr id="56" name="四角形: 角を丸くする 1101">
          <a:extLst>
            <a:ext uri="{FF2B5EF4-FFF2-40B4-BE49-F238E27FC236}">
              <a16:creationId xmlns:a16="http://schemas.microsoft.com/office/drawing/2014/main" id="{00000000-0008-0000-0400-000038000000}"/>
            </a:ext>
          </a:extLst>
        </xdr:cNvPr>
        <xdr:cNvSpPr/>
      </xdr:nvSpPr>
      <xdr:spPr>
        <a:xfrm>
          <a:off x="542925" y="34604325"/>
          <a:ext cx="1600200"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100" b="0" i="0" u="none" baseline="0">
              <a:solidFill>
                <a:schemeClr val="bg1"/>
              </a:solidFill>
              <a:latin typeface="Meiryo UI" panose="020B0604030504040204" pitchFamily="34" charset="-128"/>
              <a:ea typeface="Meiryo UI" panose="020B0604030504040204" pitchFamily="34" charset="-128"/>
            </a:rPr>
            <a:t>検索画面</a:t>
          </a:r>
          <a:endParaRPr lang="en-US" sz="90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5</xdr:col>
      <xdr:colOff>1</xdr:colOff>
      <xdr:row>184</xdr:row>
      <xdr:rowOff>9525</xdr:rowOff>
    </xdr:from>
    <xdr:to>
      <xdr:col>5</xdr:col>
      <xdr:colOff>9525</xdr:colOff>
      <xdr:row>198</xdr:row>
      <xdr:rowOff>0</xdr:rowOff>
    </xdr:to>
    <xdr:cxnSp macro="">
      <xdr:nvCxnSpPr>
        <xdr:cNvPr id="65" name="直線矢印コネクタ 1010">
          <a:extLst>
            <a:ext uri="{FF2B5EF4-FFF2-40B4-BE49-F238E27FC236}">
              <a16:creationId xmlns:a16="http://schemas.microsoft.com/office/drawing/2014/main" id="{00000000-0008-0000-0400-000041000000}"/>
            </a:ext>
          </a:extLst>
        </xdr:cNvPr>
        <xdr:cNvCxnSpPr>
          <a:stCxn id="56" idx="2"/>
          <a:endCxn id="81" idx="0"/>
        </xdr:cNvCxnSpPr>
      </xdr:nvCxnSpPr>
      <xdr:spPr>
        <a:xfrm flipH="1">
          <a:off x="1333500" y="35175825"/>
          <a:ext cx="9525" cy="2657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198</xdr:row>
      <xdr:rowOff>0</xdr:rowOff>
    </xdr:from>
    <xdr:to>
      <xdr:col>6</xdr:col>
      <xdr:colOff>1</xdr:colOff>
      <xdr:row>199</xdr:row>
      <xdr:rowOff>1</xdr:rowOff>
    </xdr:to>
    <xdr:sp macro="" textlink="" fLocksText="0">
      <xdr:nvSpPr>
        <xdr:cNvPr id="81" name="Rectangle: Rounded Corners 80">
          <a:extLst>
            <a:ext uri="{FF2B5EF4-FFF2-40B4-BE49-F238E27FC236}">
              <a16:creationId xmlns:a16="http://schemas.microsoft.com/office/drawing/2014/main" id="{00000000-0008-0000-0400-000051000000}"/>
            </a:ext>
          </a:extLst>
        </xdr:cNvPr>
        <xdr:cNvSpPr/>
      </xdr:nvSpPr>
      <xdr:spPr>
        <a:xfrm>
          <a:off x="1066800" y="37833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C55A11"/>
              </a:solidFill>
              <a:latin typeface="Meiryo UI" panose="020B0604030504040204" pitchFamily="34" charset="-128"/>
              <a:ea typeface="Meiryo UI" panose="020B0604030504040204" pitchFamily="34" charset="-128"/>
            </a:rPr>
            <a:t>32</a:t>
          </a:r>
        </a:p>
      </xdr:txBody>
    </xdr:sp>
    <xdr:clientData/>
  </xdr:twoCellAnchor>
  <xdr:twoCellAnchor>
    <xdr:from>
      <xdr:col>10</xdr:col>
      <xdr:colOff>0</xdr:colOff>
      <xdr:row>181</xdr:row>
      <xdr:rowOff>0</xdr:rowOff>
    </xdr:from>
    <xdr:to>
      <xdr:col>14</xdr:col>
      <xdr:colOff>235323</xdr:colOff>
      <xdr:row>183</xdr:row>
      <xdr:rowOff>180975</xdr:rowOff>
    </xdr:to>
    <xdr:sp macro="" textlink="" fLocksText="0">
      <xdr:nvSpPr>
        <xdr:cNvPr id="37" name="四角形: 角を丸くする 1101">
          <a:extLst>
            <a:ext uri="{FF2B5EF4-FFF2-40B4-BE49-F238E27FC236}">
              <a16:creationId xmlns:a16="http://schemas.microsoft.com/office/drawing/2014/main" id="{00000000-0008-0000-0400-000025000000}"/>
            </a:ext>
          </a:extLst>
        </xdr:cNvPr>
        <xdr:cNvSpPr/>
      </xdr:nvSpPr>
      <xdr:spPr>
        <a:xfrm>
          <a:off x="2667000" y="34594800"/>
          <a:ext cx="1304925" cy="5619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chemeClr val="bg1"/>
              </a:solidFill>
              <a:latin typeface="Meiryo UI" panose="020B0604030504040204" pitchFamily="34" charset="-128"/>
              <a:ea typeface="Meiryo UI" panose="020B0604030504040204" pitchFamily="34" charset="-128"/>
            </a:rPr>
            <a:t>F9:確定</a:t>
          </a:r>
          <a:endParaRPr lang="en-US" sz="1000" b="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4</xdr:col>
      <xdr:colOff>238124</xdr:colOff>
      <xdr:row>179</xdr:row>
      <xdr:rowOff>0</xdr:rowOff>
    </xdr:from>
    <xdr:to>
      <xdr:col>12</xdr:col>
      <xdr:colOff>117661</xdr:colOff>
      <xdr:row>181</xdr:row>
      <xdr:rowOff>0</xdr:rowOff>
    </xdr:to>
    <xdr:cxnSp macro="">
      <xdr:nvCxnSpPr>
        <xdr:cNvPr id="38" name="Connector: Elbow 37">
          <a:extLst>
            <a:ext uri="{FF2B5EF4-FFF2-40B4-BE49-F238E27FC236}">
              <a16:creationId xmlns:a16="http://schemas.microsoft.com/office/drawing/2014/main" id="{00000000-0008-0000-0400-000026000000}"/>
            </a:ext>
          </a:extLst>
        </xdr:cNvPr>
        <xdr:cNvCxnSpPr>
          <a:stCxn id="289" idx="2"/>
          <a:endCxn id="37" idx="0"/>
        </xdr:cNvCxnSpPr>
      </xdr:nvCxnSpPr>
      <xdr:spPr>
        <a:xfrm rot="16200000" flipH="1">
          <a:off x="1304925" y="34213800"/>
          <a:ext cx="20097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169</xdr:row>
      <xdr:rowOff>0</xdr:rowOff>
    </xdr:from>
    <xdr:to>
      <xdr:col>14</xdr:col>
      <xdr:colOff>235323</xdr:colOff>
      <xdr:row>182</xdr:row>
      <xdr:rowOff>90488</xdr:rowOff>
    </xdr:to>
    <xdr:cxnSp macro="">
      <xdr:nvCxnSpPr>
        <xdr:cNvPr id="66" name="Connector: Elbow 65">
          <a:extLst>
            <a:ext uri="{FF2B5EF4-FFF2-40B4-BE49-F238E27FC236}">
              <a16:creationId xmlns:a16="http://schemas.microsoft.com/office/drawing/2014/main" id="{00000000-0008-0000-0400-000042000000}"/>
            </a:ext>
          </a:extLst>
        </xdr:cNvPr>
        <xdr:cNvCxnSpPr>
          <a:stCxn id="37" idx="3"/>
          <a:endCxn id="285" idx="0"/>
        </xdr:cNvCxnSpPr>
      </xdr:nvCxnSpPr>
      <xdr:spPr>
        <a:xfrm flipH="1" flipV="1">
          <a:off x="1333500" y="32308800"/>
          <a:ext cx="2638425" cy="2571750"/>
        </a:xfrm>
        <a:prstGeom prst="bentConnector4">
          <a:avLst>
            <a:gd name="adj1" fmla="val -9611"/>
            <a:gd name="adj2" fmla="val 10742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68</xdr:col>
      <xdr:colOff>0</xdr:colOff>
      <xdr:row>7</xdr:row>
      <xdr:rowOff>0</xdr:rowOff>
    </xdr:from>
    <xdr:to>
      <xdr:col>138</xdr:col>
      <xdr:colOff>74108</xdr:colOff>
      <xdr:row>35</xdr:row>
      <xdr:rowOff>132667</xdr:rowOff>
    </xdr:to>
    <xdr:pic>
      <xdr:nvPicPr>
        <xdr:cNvPr id="17" name="Picture 16">
          <a:extLst>
            <a:ext uri="{FF2B5EF4-FFF2-40B4-BE49-F238E27FC236}">
              <a16:creationId xmlns:a16="http://schemas.microsoft.com/office/drawing/2014/main" id="{4E648D5C-20CF-4E9A-92FD-3DCAA928D745}"/>
            </a:ext>
          </a:extLst>
        </xdr:cNvPr>
        <xdr:cNvPicPr>
          <a:picLocks noChangeAspect="1"/>
        </xdr:cNvPicPr>
      </xdr:nvPicPr>
      <xdr:blipFill>
        <a:blip xmlns:r="http://schemas.openxmlformats.org/officeDocument/2006/relationships" r:embed="rId1"/>
        <a:stretch>
          <a:fillRect/>
        </a:stretch>
      </xdr:blipFill>
      <xdr:spPr>
        <a:xfrm>
          <a:off x="16024412" y="1445559"/>
          <a:ext cx="16546755" cy="5466667"/>
        </a:xfrm>
        <a:prstGeom prst="rect">
          <a:avLst/>
        </a:prstGeom>
      </xdr:spPr>
    </xdr:pic>
    <xdr:clientData/>
  </xdr:twoCellAnchor>
  <xdr:twoCellAnchor editAs="oneCell">
    <xdr:from>
      <xdr:col>68</xdr:col>
      <xdr:colOff>0</xdr:colOff>
      <xdr:row>37</xdr:row>
      <xdr:rowOff>0</xdr:rowOff>
    </xdr:from>
    <xdr:to>
      <xdr:col>138</xdr:col>
      <xdr:colOff>16965</xdr:colOff>
      <xdr:row>65</xdr:row>
      <xdr:rowOff>161238</xdr:rowOff>
    </xdr:to>
    <xdr:pic>
      <xdr:nvPicPr>
        <xdr:cNvPr id="18" name="Picture 17">
          <a:extLst>
            <a:ext uri="{FF2B5EF4-FFF2-40B4-BE49-F238E27FC236}">
              <a16:creationId xmlns:a16="http://schemas.microsoft.com/office/drawing/2014/main" id="{5C591642-7B10-4E28-A993-F76D8867A528}"/>
            </a:ext>
          </a:extLst>
        </xdr:cNvPr>
        <xdr:cNvPicPr>
          <a:picLocks noChangeAspect="1"/>
        </xdr:cNvPicPr>
      </xdr:nvPicPr>
      <xdr:blipFill>
        <a:blip xmlns:r="http://schemas.openxmlformats.org/officeDocument/2006/relationships" r:embed="rId2"/>
        <a:stretch>
          <a:fillRect/>
        </a:stretch>
      </xdr:blipFill>
      <xdr:spPr>
        <a:xfrm>
          <a:off x="16024412" y="7160559"/>
          <a:ext cx="16489612" cy="5495238"/>
        </a:xfrm>
        <a:prstGeom prst="rect">
          <a:avLst/>
        </a:prstGeom>
      </xdr:spPr>
    </xdr:pic>
    <xdr:clientData/>
  </xdr:twoCellAnchor>
  <xdr:twoCellAnchor editAs="oneCell">
    <xdr:from>
      <xdr:col>65</xdr:col>
      <xdr:colOff>145677</xdr:colOff>
      <xdr:row>107</xdr:row>
      <xdr:rowOff>123265</xdr:rowOff>
    </xdr:from>
    <xdr:to>
      <xdr:col>135</xdr:col>
      <xdr:colOff>162641</xdr:colOff>
      <xdr:row>135</xdr:row>
      <xdr:rowOff>55932</xdr:rowOff>
    </xdr:to>
    <xdr:pic>
      <xdr:nvPicPr>
        <xdr:cNvPr id="19" name="Picture 18">
          <a:extLst>
            <a:ext uri="{FF2B5EF4-FFF2-40B4-BE49-F238E27FC236}">
              <a16:creationId xmlns:a16="http://schemas.microsoft.com/office/drawing/2014/main" id="{92A71032-0567-426F-930C-5F802D9207EF}"/>
            </a:ext>
          </a:extLst>
        </xdr:cNvPr>
        <xdr:cNvPicPr>
          <a:picLocks noChangeAspect="1"/>
        </xdr:cNvPicPr>
      </xdr:nvPicPr>
      <xdr:blipFill>
        <a:blip xmlns:r="http://schemas.openxmlformats.org/officeDocument/2006/relationships" r:embed="rId3"/>
        <a:stretch>
          <a:fillRect/>
        </a:stretch>
      </xdr:blipFill>
      <xdr:spPr>
        <a:xfrm>
          <a:off x="15464118" y="20618824"/>
          <a:ext cx="16489611" cy="5266667"/>
        </a:xfrm>
        <a:prstGeom prst="rect">
          <a:avLst/>
        </a:prstGeom>
      </xdr:spPr>
    </xdr:pic>
    <xdr:clientData/>
  </xdr:twoCellAnchor>
  <xdr:twoCellAnchor editAs="oneCell">
    <xdr:from>
      <xdr:col>137</xdr:col>
      <xdr:colOff>201706</xdr:colOff>
      <xdr:row>107</xdr:row>
      <xdr:rowOff>123265</xdr:rowOff>
    </xdr:from>
    <xdr:to>
      <xdr:col>207</xdr:col>
      <xdr:colOff>218670</xdr:colOff>
      <xdr:row>135</xdr:row>
      <xdr:rowOff>55932</xdr:rowOff>
    </xdr:to>
    <xdr:pic>
      <xdr:nvPicPr>
        <xdr:cNvPr id="25" name="Picture 24">
          <a:extLst>
            <a:ext uri="{FF2B5EF4-FFF2-40B4-BE49-F238E27FC236}">
              <a16:creationId xmlns:a16="http://schemas.microsoft.com/office/drawing/2014/main" id="{5757896F-F156-41B5-9F29-23236E285174}"/>
            </a:ext>
          </a:extLst>
        </xdr:cNvPr>
        <xdr:cNvPicPr>
          <a:picLocks noChangeAspect="1"/>
        </xdr:cNvPicPr>
      </xdr:nvPicPr>
      <xdr:blipFill>
        <a:blip xmlns:r="http://schemas.openxmlformats.org/officeDocument/2006/relationships" r:embed="rId4"/>
        <a:stretch>
          <a:fillRect/>
        </a:stretch>
      </xdr:blipFill>
      <xdr:spPr>
        <a:xfrm>
          <a:off x="32463441" y="20618824"/>
          <a:ext cx="16489611" cy="5266667"/>
        </a:xfrm>
        <a:prstGeom prst="rect">
          <a:avLst/>
        </a:prstGeom>
      </xdr:spPr>
    </xdr:pic>
    <xdr:clientData/>
  </xdr:twoCellAnchor>
  <xdr:twoCellAnchor editAs="oneCell">
    <xdr:from>
      <xdr:col>208</xdr:col>
      <xdr:colOff>0</xdr:colOff>
      <xdr:row>107</xdr:row>
      <xdr:rowOff>134471</xdr:rowOff>
    </xdr:from>
    <xdr:to>
      <xdr:col>278</xdr:col>
      <xdr:colOff>16964</xdr:colOff>
      <xdr:row>135</xdr:row>
      <xdr:rowOff>67138</xdr:rowOff>
    </xdr:to>
    <xdr:pic>
      <xdr:nvPicPr>
        <xdr:cNvPr id="28" name="Picture 27">
          <a:extLst>
            <a:ext uri="{FF2B5EF4-FFF2-40B4-BE49-F238E27FC236}">
              <a16:creationId xmlns:a16="http://schemas.microsoft.com/office/drawing/2014/main" id="{BF0BD10D-9F29-4423-882A-9D6C36908C5E}"/>
            </a:ext>
          </a:extLst>
        </xdr:cNvPr>
        <xdr:cNvPicPr>
          <a:picLocks noChangeAspect="1"/>
        </xdr:cNvPicPr>
      </xdr:nvPicPr>
      <xdr:blipFill>
        <a:blip xmlns:r="http://schemas.openxmlformats.org/officeDocument/2006/relationships" r:embed="rId5"/>
        <a:stretch>
          <a:fillRect/>
        </a:stretch>
      </xdr:blipFill>
      <xdr:spPr>
        <a:xfrm>
          <a:off x="48969706" y="20630030"/>
          <a:ext cx="16489611" cy="5266667"/>
        </a:xfrm>
        <a:prstGeom prst="rect">
          <a:avLst/>
        </a:prstGeom>
      </xdr:spPr>
    </xdr:pic>
    <xdr:clientData/>
  </xdr:twoCellAnchor>
  <xdr:twoCellAnchor editAs="oneCell">
    <xdr:from>
      <xdr:col>278</xdr:col>
      <xdr:colOff>22412</xdr:colOff>
      <xdr:row>107</xdr:row>
      <xdr:rowOff>168088</xdr:rowOff>
    </xdr:from>
    <xdr:to>
      <xdr:col>348</xdr:col>
      <xdr:colOff>39376</xdr:colOff>
      <xdr:row>135</xdr:row>
      <xdr:rowOff>91231</xdr:rowOff>
    </xdr:to>
    <xdr:pic>
      <xdr:nvPicPr>
        <xdr:cNvPr id="31" name="Picture 30">
          <a:extLst>
            <a:ext uri="{FF2B5EF4-FFF2-40B4-BE49-F238E27FC236}">
              <a16:creationId xmlns:a16="http://schemas.microsoft.com/office/drawing/2014/main" id="{F590585A-5CBB-441E-AA0B-7C4E7A6006E0}"/>
            </a:ext>
          </a:extLst>
        </xdr:cNvPr>
        <xdr:cNvPicPr>
          <a:picLocks noChangeAspect="1"/>
        </xdr:cNvPicPr>
      </xdr:nvPicPr>
      <xdr:blipFill>
        <a:blip xmlns:r="http://schemas.openxmlformats.org/officeDocument/2006/relationships" r:embed="rId6"/>
        <a:stretch>
          <a:fillRect/>
        </a:stretch>
      </xdr:blipFill>
      <xdr:spPr>
        <a:xfrm>
          <a:off x="65464765" y="20663647"/>
          <a:ext cx="16489611" cy="5257143"/>
        </a:xfrm>
        <a:prstGeom prst="rect">
          <a:avLst/>
        </a:prstGeom>
      </xdr:spPr>
    </xdr:pic>
    <xdr:clientData/>
  </xdr:twoCellAnchor>
  <xdr:twoCellAnchor editAs="oneCell">
    <xdr:from>
      <xdr:col>348</xdr:col>
      <xdr:colOff>0</xdr:colOff>
      <xdr:row>108</xdr:row>
      <xdr:rowOff>0</xdr:rowOff>
    </xdr:from>
    <xdr:to>
      <xdr:col>418</xdr:col>
      <xdr:colOff>16964</xdr:colOff>
      <xdr:row>135</xdr:row>
      <xdr:rowOff>123167</xdr:rowOff>
    </xdr:to>
    <xdr:pic>
      <xdr:nvPicPr>
        <xdr:cNvPr id="34" name="Picture 33">
          <a:extLst>
            <a:ext uri="{FF2B5EF4-FFF2-40B4-BE49-F238E27FC236}">
              <a16:creationId xmlns:a16="http://schemas.microsoft.com/office/drawing/2014/main" id="{5283B7A8-EB93-4FD6-A55F-6068BB997C8C}"/>
            </a:ext>
          </a:extLst>
        </xdr:cNvPr>
        <xdr:cNvPicPr>
          <a:picLocks noChangeAspect="1"/>
        </xdr:cNvPicPr>
      </xdr:nvPicPr>
      <xdr:blipFill>
        <a:blip xmlns:r="http://schemas.openxmlformats.org/officeDocument/2006/relationships" r:embed="rId7"/>
        <a:stretch>
          <a:fillRect/>
        </a:stretch>
      </xdr:blipFill>
      <xdr:spPr>
        <a:xfrm>
          <a:off x="81915000" y="20686059"/>
          <a:ext cx="16489611" cy="5266667"/>
        </a:xfrm>
        <a:prstGeom prst="rect">
          <a:avLst/>
        </a:prstGeom>
      </xdr:spPr>
    </xdr:pic>
    <xdr:clientData/>
  </xdr:twoCellAnchor>
  <xdr:twoCellAnchor editAs="oneCell">
    <xdr:from>
      <xdr:col>65</xdr:col>
      <xdr:colOff>134470</xdr:colOff>
      <xdr:row>141</xdr:row>
      <xdr:rowOff>11206</xdr:rowOff>
    </xdr:from>
    <xdr:to>
      <xdr:col>95</xdr:col>
      <xdr:colOff>121966</xdr:colOff>
      <xdr:row>156</xdr:row>
      <xdr:rowOff>173552</xdr:rowOff>
    </xdr:to>
    <xdr:pic>
      <xdr:nvPicPr>
        <xdr:cNvPr id="40" name="Picture 39">
          <a:extLst>
            <a:ext uri="{FF2B5EF4-FFF2-40B4-BE49-F238E27FC236}">
              <a16:creationId xmlns:a16="http://schemas.microsoft.com/office/drawing/2014/main" id="{6DEA1EA6-E7D1-43E4-BC27-186FFDDE73A4}"/>
            </a:ext>
          </a:extLst>
        </xdr:cNvPr>
        <xdr:cNvPicPr>
          <a:picLocks noChangeAspect="1"/>
        </xdr:cNvPicPr>
      </xdr:nvPicPr>
      <xdr:blipFill>
        <a:blip xmlns:r="http://schemas.openxmlformats.org/officeDocument/2006/relationships" r:embed="rId8"/>
        <a:stretch>
          <a:fillRect/>
        </a:stretch>
      </xdr:blipFill>
      <xdr:spPr>
        <a:xfrm>
          <a:off x="15452911" y="26983765"/>
          <a:ext cx="7047202" cy="3019846"/>
        </a:xfrm>
        <a:prstGeom prst="rect">
          <a:avLst/>
        </a:prstGeom>
      </xdr:spPr>
    </xdr:pic>
    <xdr:clientData/>
  </xdr:twoCellAnchor>
  <xdr:twoCellAnchor editAs="oneCell">
    <xdr:from>
      <xdr:col>65</xdr:col>
      <xdr:colOff>179294</xdr:colOff>
      <xdr:row>166</xdr:row>
      <xdr:rowOff>0</xdr:rowOff>
    </xdr:from>
    <xdr:to>
      <xdr:col>109</xdr:col>
      <xdr:colOff>152215</xdr:colOff>
      <xdr:row>196</xdr:row>
      <xdr:rowOff>151667</xdr:rowOff>
    </xdr:to>
    <xdr:pic>
      <xdr:nvPicPr>
        <xdr:cNvPr id="46" name="Picture 45">
          <a:extLst>
            <a:ext uri="{FF2B5EF4-FFF2-40B4-BE49-F238E27FC236}">
              <a16:creationId xmlns:a16="http://schemas.microsoft.com/office/drawing/2014/main" id="{87C8DC86-5ABC-4C25-B3BC-09E1AA5D46C2}"/>
            </a:ext>
          </a:extLst>
        </xdr:cNvPr>
        <xdr:cNvPicPr>
          <a:picLocks noChangeAspect="1"/>
        </xdr:cNvPicPr>
      </xdr:nvPicPr>
      <xdr:blipFill>
        <a:blip xmlns:r="http://schemas.openxmlformats.org/officeDocument/2006/relationships" r:embed="rId9"/>
        <a:stretch>
          <a:fillRect/>
        </a:stretch>
      </xdr:blipFill>
      <xdr:spPr>
        <a:xfrm>
          <a:off x="15497735" y="31735059"/>
          <a:ext cx="10327156" cy="58666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18" customWidth="1"/>
    <col min="61" max="16384" width="2.77734375" style="18"/>
  </cols>
  <sheetData>
    <row r="1" spans="1:63" ht="24.95" customHeight="1" x14ac:dyDescent="0.25">
      <c r="A1" s="68" t="s">
        <v>37</v>
      </c>
      <c r="B1" s="69"/>
      <c r="C1" s="69"/>
      <c r="D1" s="69"/>
      <c r="E1" s="69"/>
      <c r="F1" s="69"/>
      <c r="G1" s="69"/>
      <c r="H1" s="69"/>
      <c r="I1" s="69"/>
      <c r="J1" s="70"/>
      <c r="K1" s="68" t="s">
        <v>38</v>
      </c>
      <c r="L1" s="69"/>
      <c r="M1" s="69"/>
      <c r="N1" s="69"/>
      <c r="O1" s="69"/>
      <c r="P1" s="69"/>
      <c r="Q1" s="69"/>
      <c r="R1" s="69"/>
      <c r="S1" s="69"/>
      <c r="T1" s="69"/>
      <c r="U1" s="69"/>
      <c r="V1" s="70"/>
      <c r="W1" s="78" t="s">
        <v>39</v>
      </c>
      <c r="X1" s="79"/>
      <c r="Y1" s="79"/>
      <c r="Z1" s="79"/>
      <c r="AA1" s="79"/>
      <c r="AB1" s="79"/>
      <c r="AC1" s="79"/>
      <c r="AD1" s="79"/>
      <c r="AE1" s="79"/>
      <c r="AF1" s="79"/>
      <c r="AG1" s="79"/>
      <c r="AH1" s="79"/>
      <c r="AI1" s="79"/>
      <c r="AJ1" s="79"/>
      <c r="AK1" s="79"/>
      <c r="AL1" s="79"/>
      <c r="AM1" s="79"/>
      <c r="AN1" s="79"/>
      <c r="AO1" s="80"/>
      <c r="AP1" s="68" t="s">
        <v>40</v>
      </c>
      <c r="AQ1" s="69"/>
      <c r="AR1" s="69"/>
      <c r="AS1" s="70"/>
      <c r="AT1" s="68" t="s">
        <v>41</v>
      </c>
      <c r="AU1" s="69"/>
      <c r="AV1" s="69"/>
      <c r="AW1" s="69"/>
      <c r="AX1" s="70"/>
      <c r="AY1" s="68" t="s">
        <v>42</v>
      </c>
      <c r="AZ1" s="69"/>
      <c r="BA1" s="69"/>
      <c r="BB1" s="70"/>
      <c r="BC1" s="68" t="s">
        <v>43</v>
      </c>
      <c r="BD1" s="69"/>
      <c r="BE1" s="69"/>
      <c r="BF1" s="69"/>
      <c r="BG1" s="70"/>
      <c r="BH1" s="68" t="s">
        <v>44</v>
      </c>
      <c r="BI1" s="69"/>
      <c r="BJ1" s="69"/>
      <c r="BK1" s="70"/>
    </row>
    <row r="2" spans="1:63" ht="15" customHeight="1" x14ac:dyDescent="0.25">
      <c r="A2" s="77" t="s">
        <v>45</v>
      </c>
      <c r="B2" s="72"/>
      <c r="C2" s="72"/>
      <c r="D2" s="72"/>
      <c r="E2" s="72"/>
      <c r="F2" s="72"/>
      <c r="G2" s="72"/>
      <c r="H2" s="72"/>
      <c r="I2" s="72"/>
      <c r="J2" s="73"/>
      <c r="K2" s="71" t="s">
        <v>9</v>
      </c>
      <c r="L2" s="72"/>
      <c r="M2" s="72"/>
      <c r="N2" s="72"/>
      <c r="O2" s="72"/>
      <c r="P2" s="72"/>
      <c r="Q2" s="72"/>
      <c r="R2" s="72"/>
      <c r="S2" s="72"/>
      <c r="T2" s="72"/>
      <c r="U2" s="72"/>
      <c r="V2" s="73"/>
      <c r="W2" s="81"/>
      <c r="X2" s="82"/>
      <c r="Y2" s="82"/>
      <c r="Z2" s="82"/>
      <c r="AA2" s="82"/>
      <c r="AB2" s="82"/>
      <c r="AC2" s="82"/>
      <c r="AD2" s="82"/>
      <c r="AE2" s="82"/>
      <c r="AF2" s="82"/>
      <c r="AG2" s="82"/>
      <c r="AH2" s="82"/>
      <c r="AI2" s="82"/>
      <c r="AJ2" s="82"/>
      <c r="AK2" s="82"/>
      <c r="AL2" s="82"/>
      <c r="AM2" s="82"/>
      <c r="AN2" s="82"/>
      <c r="AO2" s="83"/>
      <c r="AP2" s="71" t="str">
        <f>改訂履歴!$H$11</f>
        <v>SonMNT</v>
      </c>
      <c r="AQ2" s="72"/>
      <c r="AR2" s="72"/>
      <c r="AS2" s="73"/>
      <c r="AT2" s="98">
        <f>改訂履歴!$B$11</f>
        <v>45433</v>
      </c>
      <c r="AU2" s="99"/>
      <c r="AV2" s="99"/>
      <c r="AW2" s="99"/>
      <c r="AX2" s="100"/>
      <c r="AY2" s="71" t="str">
        <f>LOOKUP(2,1/(改訂履歴!H11:H30000&lt;&gt;""),改訂履歴!H11:H30000)</f>
        <v>TinNH</v>
      </c>
      <c r="AZ2" s="72"/>
      <c r="BA2" s="72"/>
      <c r="BB2" s="73"/>
      <c r="BC2" s="98">
        <f>LOOKUP(2,1/(改訂履歴!B11:B30000&lt;&gt;""),改訂履歴!B11:B30000)</f>
        <v>45605</v>
      </c>
      <c r="BD2" s="99"/>
      <c r="BE2" s="99"/>
      <c r="BF2" s="99"/>
      <c r="BG2" s="100"/>
      <c r="BH2" s="92">
        <f>LOOKUP(2,1/(改訂履歴!O11:O30000&lt;&gt;""),改訂履歴!O11:O30000)</f>
        <v>0.4</v>
      </c>
      <c r="BI2" s="93"/>
      <c r="BJ2" s="93"/>
      <c r="BK2" s="94"/>
    </row>
    <row r="3" spans="1:63" ht="15" customHeight="1" x14ac:dyDescent="0.25">
      <c r="A3" s="74"/>
      <c r="B3" s="75"/>
      <c r="C3" s="75"/>
      <c r="D3" s="75"/>
      <c r="E3" s="75"/>
      <c r="F3" s="75"/>
      <c r="G3" s="75"/>
      <c r="H3" s="75"/>
      <c r="I3" s="75"/>
      <c r="J3" s="76"/>
      <c r="K3" s="74"/>
      <c r="L3" s="75"/>
      <c r="M3" s="75"/>
      <c r="N3" s="75"/>
      <c r="O3" s="75"/>
      <c r="P3" s="75"/>
      <c r="Q3" s="75"/>
      <c r="R3" s="75"/>
      <c r="S3" s="75"/>
      <c r="T3" s="75"/>
      <c r="U3" s="75"/>
      <c r="V3" s="76"/>
      <c r="W3" s="84"/>
      <c r="X3" s="85"/>
      <c r="Y3" s="85"/>
      <c r="Z3" s="85"/>
      <c r="AA3" s="85"/>
      <c r="AB3" s="85"/>
      <c r="AC3" s="85"/>
      <c r="AD3" s="85"/>
      <c r="AE3" s="85"/>
      <c r="AF3" s="85"/>
      <c r="AG3" s="85"/>
      <c r="AH3" s="85"/>
      <c r="AI3" s="85"/>
      <c r="AJ3" s="85"/>
      <c r="AK3" s="85"/>
      <c r="AL3" s="85"/>
      <c r="AM3" s="85"/>
      <c r="AN3" s="85"/>
      <c r="AO3" s="86"/>
      <c r="AP3" s="74"/>
      <c r="AQ3" s="75"/>
      <c r="AR3" s="75"/>
      <c r="AS3" s="76"/>
      <c r="AT3" s="101"/>
      <c r="AU3" s="102"/>
      <c r="AV3" s="102"/>
      <c r="AW3" s="102"/>
      <c r="AX3" s="103"/>
      <c r="AY3" s="74"/>
      <c r="AZ3" s="75"/>
      <c r="BA3" s="75"/>
      <c r="BB3" s="76"/>
      <c r="BC3" s="101"/>
      <c r="BD3" s="102"/>
      <c r="BE3" s="102"/>
      <c r="BF3" s="102"/>
      <c r="BG3" s="103"/>
      <c r="BH3" s="95"/>
      <c r="BI3" s="96"/>
      <c r="BJ3" s="96"/>
      <c r="BK3" s="97"/>
    </row>
    <row r="4" spans="1:63" ht="24.95" customHeight="1" x14ac:dyDescent="0.25">
      <c r="A4" s="68" t="s">
        <v>46</v>
      </c>
      <c r="B4" s="69"/>
      <c r="C4" s="69"/>
      <c r="D4" s="69"/>
      <c r="E4" s="69"/>
      <c r="F4" s="69"/>
      <c r="G4" s="70"/>
      <c r="H4" s="89" t="s">
        <v>35</v>
      </c>
      <c r="I4" s="90"/>
      <c r="J4" s="90"/>
      <c r="K4" s="90"/>
      <c r="L4" s="90"/>
      <c r="M4" s="90"/>
      <c r="N4" s="90"/>
      <c r="O4" s="90"/>
      <c r="P4" s="90"/>
      <c r="Q4" s="90"/>
      <c r="R4" s="90"/>
      <c r="S4" s="90"/>
      <c r="T4" s="91"/>
      <c r="U4" s="68" t="s">
        <v>47</v>
      </c>
      <c r="V4" s="69"/>
      <c r="W4" s="69"/>
      <c r="X4" s="69"/>
      <c r="Y4" s="70"/>
      <c r="Z4" s="89" t="s">
        <v>10</v>
      </c>
      <c r="AA4" s="90"/>
      <c r="AB4" s="90"/>
      <c r="AC4" s="90"/>
      <c r="AD4" s="90"/>
      <c r="AE4" s="90"/>
      <c r="AF4" s="90"/>
      <c r="AG4" s="90"/>
      <c r="AH4" s="90"/>
      <c r="AI4" s="90"/>
      <c r="AJ4" s="90"/>
      <c r="AK4" s="90"/>
      <c r="AL4" s="90"/>
      <c r="AM4" s="90"/>
      <c r="AN4" s="90"/>
      <c r="AO4" s="91"/>
      <c r="AP4" s="89" t="str">
        <f t="array" aca="1" ref="AP4" ca="1">RIGHT(CELL("filename",$A$1),LEN(CELL("filename",$A$1))-FIND("]",CELL("filename",$A$1)))</f>
        <v>表紙</v>
      </c>
      <c r="AQ4" s="90"/>
      <c r="AR4" s="90"/>
      <c r="AS4" s="90"/>
      <c r="AT4" s="90"/>
      <c r="AU4" s="90"/>
      <c r="AV4" s="90"/>
      <c r="AW4" s="90"/>
      <c r="AX4" s="90"/>
      <c r="AY4" s="90"/>
      <c r="AZ4" s="90"/>
      <c r="BA4" s="90"/>
      <c r="BB4" s="90"/>
      <c r="BC4" s="90"/>
      <c r="BD4" s="90"/>
      <c r="BE4" s="90"/>
      <c r="BF4" s="90"/>
      <c r="BG4" s="90"/>
      <c r="BH4" s="90"/>
      <c r="BI4" s="90"/>
      <c r="BJ4" s="90"/>
      <c r="BK4" s="91"/>
    </row>
    <row r="5" spans="1:63"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63" ht="15" customHeight="1" x14ac:dyDescent="0.25">
      <c r="A6" s="22"/>
      <c r="BK6" s="23"/>
    </row>
    <row r="7" spans="1:63" ht="15" customHeight="1" x14ac:dyDescent="0.25">
      <c r="A7" s="22"/>
      <c r="BK7" s="23"/>
    </row>
    <row r="8" spans="1:63" ht="15" customHeight="1" x14ac:dyDescent="0.25">
      <c r="A8" s="22"/>
      <c r="BK8" s="23"/>
    </row>
    <row r="9" spans="1:63" ht="15" customHeight="1" x14ac:dyDescent="0.25">
      <c r="A9" s="22"/>
      <c r="BK9" s="23"/>
    </row>
    <row r="10" spans="1:63" ht="15" customHeight="1" x14ac:dyDescent="0.25">
      <c r="A10" s="22"/>
      <c r="BK10" s="23"/>
    </row>
    <row r="11" spans="1:63" ht="15" customHeight="1" x14ac:dyDescent="0.25">
      <c r="A11" s="22"/>
      <c r="BK11" s="23"/>
    </row>
    <row r="12" spans="1:63" ht="15" customHeight="1" x14ac:dyDescent="0.25">
      <c r="A12" s="22"/>
      <c r="BK12" s="23"/>
    </row>
    <row r="13" spans="1:63" ht="15" customHeight="1" x14ac:dyDescent="0.25">
      <c r="A13" s="22"/>
      <c r="BK13" s="23"/>
    </row>
    <row r="14" spans="1:63" ht="15" customHeight="1" thickBot="1" x14ac:dyDescent="0.3">
      <c r="A14" s="22"/>
      <c r="BK14" s="23"/>
    </row>
    <row r="15" spans="1:63" ht="15" customHeight="1" thickTop="1" x14ac:dyDescent="0.25">
      <c r="A15" s="22"/>
      <c r="K15" s="24"/>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6"/>
      <c r="BK15" s="23"/>
    </row>
    <row r="16" spans="1:63" ht="15" customHeight="1" x14ac:dyDescent="0.25">
      <c r="A16" s="22"/>
      <c r="K16" s="27"/>
      <c r="L16" s="87" t="s">
        <v>48</v>
      </c>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28"/>
      <c r="BK16" s="23"/>
    </row>
    <row r="17" spans="1:63" ht="15" customHeight="1" x14ac:dyDescent="0.25">
      <c r="A17" s="22"/>
      <c r="K17" s="27"/>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28"/>
      <c r="BK17" s="23"/>
    </row>
    <row r="18" spans="1:63" ht="15" customHeight="1" x14ac:dyDescent="0.25">
      <c r="A18" s="22"/>
      <c r="K18" s="27"/>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28"/>
      <c r="BK18" s="23"/>
    </row>
    <row r="19" spans="1:63" ht="15" customHeight="1" x14ac:dyDescent="0.25">
      <c r="A19" s="22"/>
      <c r="K19" s="27"/>
      <c r="L19" s="88"/>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28"/>
      <c r="BK19" s="23"/>
    </row>
    <row r="20" spans="1:63" ht="15" customHeight="1" x14ac:dyDescent="0.25">
      <c r="A20" s="22"/>
      <c r="K20" s="27"/>
      <c r="L20" s="88"/>
      <c r="M20" s="88"/>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28"/>
      <c r="BK20" s="23"/>
    </row>
    <row r="21" spans="1:63" ht="15" customHeight="1" x14ac:dyDescent="0.25">
      <c r="A21" s="22"/>
      <c r="K21" s="27"/>
      <c r="L21" s="88"/>
      <c r="M21" s="88"/>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28"/>
      <c r="BK21" s="23"/>
    </row>
    <row r="22" spans="1:63" ht="15" customHeight="1" thickBot="1" x14ac:dyDescent="0.3">
      <c r="A22" s="22"/>
      <c r="K22" s="27"/>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8"/>
      <c r="BK22" s="23"/>
    </row>
    <row r="23" spans="1:63" ht="15" customHeight="1" x14ac:dyDescent="0.25">
      <c r="A23" s="22"/>
      <c r="K23" s="27"/>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28"/>
      <c r="BK23" s="23"/>
    </row>
    <row r="24" spans="1:63" ht="15" customHeight="1" x14ac:dyDescent="0.25">
      <c r="A24" s="22"/>
      <c r="K24" s="27"/>
      <c r="L24" s="88" t="str">
        <f>K2&amp;"/"&amp;H4&amp;"/"&amp;Z4</f>
        <v>POSサーバ/32_レジ別単品別売上点検/概要設計</v>
      </c>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28"/>
      <c r="BK24" s="23"/>
    </row>
    <row r="25" spans="1:63" ht="15" customHeight="1" x14ac:dyDescent="0.25">
      <c r="A25" s="22"/>
      <c r="K25" s="27"/>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28"/>
      <c r="BK25" s="23"/>
    </row>
    <row r="26" spans="1:63" ht="15" customHeight="1" x14ac:dyDescent="0.25">
      <c r="A26" s="22"/>
      <c r="K26" s="27"/>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28"/>
      <c r="BK26" s="23"/>
    </row>
    <row r="27" spans="1:63" ht="15" customHeight="1" x14ac:dyDescent="0.25">
      <c r="A27" s="22"/>
      <c r="K27" s="27"/>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28"/>
      <c r="BK27" s="23"/>
    </row>
    <row r="28" spans="1:63" ht="15" customHeight="1" x14ac:dyDescent="0.25">
      <c r="A28" s="22"/>
      <c r="K28" s="27"/>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28"/>
      <c r="BK28" s="23"/>
    </row>
    <row r="29" spans="1:63" ht="15" customHeight="1" x14ac:dyDescent="0.25">
      <c r="A29" s="22"/>
      <c r="K29" s="27"/>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28"/>
      <c r="BK29" s="23"/>
    </row>
    <row r="30" spans="1:63" ht="15" customHeight="1" x14ac:dyDescent="0.25">
      <c r="A30" s="22"/>
      <c r="K30" s="27"/>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28"/>
      <c r="BK30" s="23"/>
    </row>
    <row r="31" spans="1:63" ht="15" customHeight="1" x14ac:dyDescent="0.25">
      <c r="A31" s="22"/>
      <c r="K31" s="27"/>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28"/>
      <c r="BK31" s="23"/>
    </row>
    <row r="32" spans="1:63" ht="15" customHeight="1" x14ac:dyDescent="0.25">
      <c r="A32" s="22"/>
      <c r="K32" s="27"/>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28"/>
      <c r="BK32" s="23"/>
    </row>
    <row r="33" spans="1:63" ht="15" customHeight="1" x14ac:dyDescent="0.25">
      <c r="A33" s="22"/>
      <c r="K33" s="27"/>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28"/>
      <c r="BK33" s="23"/>
    </row>
    <row r="34" spans="1:63" ht="15" customHeight="1" x14ac:dyDescent="0.25">
      <c r="A34" s="22"/>
      <c r="K34" s="27"/>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28"/>
      <c r="BK34" s="23"/>
    </row>
    <row r="35" spans="1:63" ht="15" customHeight="1" x14ac:dyDescent="0.25">
      <c r="A35" s="22"/>
      <c r="K35" s="27"/>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28"/>
      <c r="BK35" s="23"/>
    </row>
    <row r="36" spans="1:63" ht="15" customHeight="1" x14ac:dyDescent="0.25">
      <c r="A36" s="22"/>
      <c r="K36" s="27"/>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28"/>
      <c r="BK36" s="23"/>
    </row>
    <row r="37" spans="1:63" ht="15" customHeight="1" thickBot="1" x14ac:dyDescent="0.3">
      <c r="A37" s="22"/>
      <c r="K37" s="31"/>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3"/>
      <c r="BK37" s="23"/>
    </row>
    <row r="38" spans="1:63" ht="15" customHeight="1" thickTop="1" x14ac:dyDescent="0.25">
      <c r="A38" s="22"/>
      <c r="BK38" s="23"/>
    </row>
    <row r="39" spans="1:63" ht="15" customHeight="1" x14ac:dyDescent="0.25">
      <c r="A39" s="22"/>
      <c r="BK39" s="23"/>
    </row>
    <row r="40" spans="1:63" ht="15" customHeight="1" x14ac:dyDescent="0.25">
      <c r="A40" s="22"/>
      <c r="BK40" s="23"/>
    </row>
    <row r="41" spans="1:63" ht="15" customHeight="1" x14ac:dyDescent="0.25">
      <c r="A41" s="22"/>
      <c r="BK41" s="23"/>
    </row>
    <row r="42" spans="1:63" ht="15" customHeight="1" x14ac:dyDescent="0.25">
      <c r="A42" s="22"/>
      <c r="BK42" s="23"/>
    </row>
    <row r="43" spans="1:63" ht="15" customHeight="1" x14ac:dyDescent="0.25">
      <c r="A43" s="22"/>
      <c r="BK43" s="23"/>
    </row>
    <row r="44" spans="1:63" ht="15" customHeight="1" x14ac:dyDescent="0.25">
      <c r="A44" s="22"/>
      <c r="Q44" s="107" t="s">
        <v>49</v>
      </c>
      <c r="R44" s="108"/>
      <c r="S44" s="108"/>
      <c r="T44" s="108"/>
      <c r="U44" s="108"/>
      <c r="V44" s="108"/>
      <c r="W44" s="108"/>
      <c r="X44" s="108"/>
      <c r="Y44" s="108"/>
      <c r="Z44" s="109"/>
      <c r="AA44" s="107" t="s">
        <v>50</v>
      </c>
      <c r="AB44" s="108"/>
      <c r="AC44" s="108"/>
      <c r="AD44" s="108"/>
      <c r="AE44" s="108"/>
      <c r="AF44" s="108"/>
      <c r="AG44" s="108"/>
      <c r="AH44" s="108"/>
      <c r="AI44" s="108"/>
      <c r="AJ44" s="108"/>
      <c r="AK44" s="108"/>
      <c r="AL44" s="108"/>
      <c r="AM44" s="108"/>
      <c r="AN44" s="108"/>
      <c r="AO44" s="108"/>
      <c r="AP44" s="109"/>
      <c r="AQ44" s="107" t="s">
        <v>44</v>
      </c>
      <c r="AR44" s="108"/>
      <c r="AS44" s="108"/>
      <c r="AT44" s="108"/>
      <c r="AU44" s="109"/>
      <c r="BK44" s="23"/>
    </row>
    <row r="45" spans="1:63" ht="15" customHeight="1" x14ac:dyDescent="0.25">
      <c r="A45" s="22"/>
      <c r="Q45" s="110"/>
      <c r="R45" s="111"/>
      <c r="S45" s="111"/>
      <c r="T45" s="111"/>
      <c r="U45" s="111"/>
      <c r="V45" s="111"/>
      <c r="W45" s="111"/>
      <c r="X45" s="111"/>
      <c r="Y45" s="111"/>
      <c r="Z45" s="112"/>
      <c r="AA45" s="110"/>
      <c r="AB45" s="111"/>
      <c r="AC45" s="111"/>
      <c r="AD45" s="111"/>
      <c r="AE45" s="111"/>
      <c r="AF45" s="111"/>
      <c r="AG45" s="111"/>
      <c r="AH45" s="111"/>
      <c r="AI45" s="111"/>
      <c r="AJ45" s="111"/>
      <c r="AK45" s="111"/>
      <c r="AL45" s="111"/>
      <c r="AM45" s="111"/>
      <c r="AN45" s="111"/>
      <c r="AO45" s="111"/>
      <c r="AP45" s="112"/>
      <c r="AQ45" s="110"/>
      <c r="AR45" s="111"/>
      <c r="AS45" s="111"/>
      <c r="AT45" s="111"/>
      <c r="AU45" s="112"/>
      <c r="BK45" s="23"/>
    </row>
    <row r="46" spans="1:63" ht="15" customHeight="1" x14ac:dyDescent="0.25">
      <c r="A46" s="22"/>
      <c r="Q46" s="71"/>
      <c r="R46" s="72"/>
      <c r="S46" s="72"/>
      <c r="T46" s="72"/>
      <c r="U46" s="72"/>
      <c r="V46" s="72"/>
      <c r="W46" s="72"/>
      <c r="X46" s="72"/>
      <c r="Y46" s="72"/>
      <c r="Z46" s="73"/>
      <c r="AA46" s="71"/>
      <c r="AB46" s="72"/>
      <c r="AC46" s="72"/>
      <c r="AD46" s="72"/>
      <c r="AE46" s="72"/>
      <c r="AF46" s="72"/>
      <c r="AG46" s="72"/>
      <c r="AH46" s="72"/>
      <c r="AI46" s="72"/>
      <c r="AJ46" s="72"/>
      <c r="AK46" s="72"/>
      <c r="AL46" s="72"/>
      <c r="AM46" s="72"/>
      <c r="AN46" s="72"/>
      <c r="AO46" s="72"/>
      <c r="AP46" s="73"/>
      <c r="AQ46" s="71"/>
      <c r="AR46" s="72"/>
      <c r="AS46" s="72"/>
      <c r="AT46" s="72"/>
      <c r="AU46" s="73"/>
      <c r="BK46" s="23"/>
    </row>
    <row r="47" spans="1:63" ht="15" customHeight="1" x14ac:dyDescent="0.25">
      <c r="A47" s="22"/>
      <c r="Q47" s="104"/>
      <c r="R47" s="105"/>
      <c r="S47" s="105"/>
      <c r="T47" s="105"/>
      <c r="U47" s="105"/>
      <c r="V47" s="105"/>
      <c r="W47" s="105"/>
      <c r="X47" s="105"/>
      <c r="Y47" s="105"/>
      <c r="Z47" s="106"/>
      <c r="AA47" s="104"/>
      <c r="AB47" s="105"/>
      <c r="AC47" s="105"/>
      <c r="AD47" s="105"/>
      <c r="AE47" s="105"/>
      <c r="AF47" s="105"/>
      <c r="AG47" s="105"/>
      <c r="AH47" s="105"/>
      <c r="AI47" s="105"/>
      <c r="AJ47" s="105"/>
      <c r="AK47" s="105"/>
      <c r="AL47" s="105"/>
      <c r="AM47" s="105"/>
      <c r="AN47" s="105"/>
      <c r="AO47" s="105"/>
      <c r="AP47" s="106"/>
      <c r="AQ47" s="104"/>
      <c r="AR47" s="105"/>
      <c r="AS47" s="105"/>
      <c r="AT47" s="105"/>
      <c r="AU47" s="106"/>
      <c r="BK47" s="23"/>
    </row>
    <row r="48" spans="1:63" ht="15" customHeight="1" x14ac:dyDescent="0.25">
      <c r="A48" s="22"/>
      <c r="Q48" s="104"/>
      <c r="R48" s="105"/>
      <c r="S48" s="105"/>
      <c r="T48" s="105"/>
      <c r="U48" s="105"/>
      <c r="V48" s="105"/>
      <c r="W48" s="105"/>
      <c r="X48" s="105"/>
      <c r="Y48" s="105"/>
      <c r="Z48" s="106"/>
      <c r="AA48" s="104"/>
      <c r="AB48" s="105"/>
      <c r="AC48" s="105"/>
      <c r="AD48" s="105"/>
      <c r="AE48" s="105"/>
      <c r="AF48" s="105"/>
      <c r="AG48" s="105"/>
      <c r="AH48" s="105"/>
      <c r="AI48" s="105"/>
      <c r="AJ48" s="105"/>
      <c r="AK48" s="105"/>
      <c r="AL48" s="105"/>
      <c r="AM48" s="105"/>
      <c r="AN48" s="105"/>
      <c r="AO48" s="105"/>
      <c r="AP48" s="106"/>
      <c r="AQ48" s="104"/>
      <c r="AR48" s="105"/>
      <c r="AS48" s="105"/>
      <c r="AT48" s="105"/>
      <c r="AU48" s="106"/>
      <c r="BK48" s="23"/>
    </row>
    <row r="49" spans="1:63" ht="15" customHeight="1" x14ac:dyDescent="0.25">
      <c r="A49" s="22"/>
      <c r="Q49" s="74"/>
      <c r="R49" s="75"/>
      <c r="S49" s="75"/>
      <c r="T49" s="75"/>
      <c r="U49" s="75"/>
      <c r="V49" s="75"/>
      <c r="W49" s="75"/>
      <c r="X49" s="75"/>
      <c r="Y49" s="75"/>
      <c r="Z49" s="76"/>
      <c r="AA49" s="74"/>
      <c r="AB49" s="75"/>
      <c r="AC49" s="75"/>
      <c r="AD49" s="75"/>
      <c r="AE49" s="75"/>
      <c r="AF49" s="75"/>
      <c r="AG49" s="75"/>
      <c r="AH49" s="75"/>
      <c r="AI49" s="75"/>
      <c r="AJ49" s="75"/>
      <c r="AK49" s="75"/>
      <c r="AL49" s="75"/>
      <c r="AM49" s="75"/>
      <c r="AN49" s="75"/>
      <c r="AO49" s="75"/>
      <c r="AP49" s="76"/>
      <c r="AQ49" s="74"/>
      <c r="AR49" s="75"/>
      <c r="AS49" s="75"/>
      <c r="AT49" s="75"/>
      <c r="AU49" s="76"/>
      <c r="BK49" s="23"/>
    </row>
    <row r="50" spans="1:63" ht="15" customHeight="1" x14ac:dyDescent="0.25">
      <c r="A50" s="22"/>
      <c r="BK50" s="23"/>
    </row>
    <row r="51" spans="1:63" ht="15" customHeight="1" x14ac:dyDescent="0.25">
      <c r="A51" s="22"/>
      <c r="BK51" s="23"/>
    </row>
    <row r="52" spans="1:63" ht="15" customHeight="1" x14ac:dyDescent="0.25">
      <c r="A52" s="22"/>
      <c r="BK52" s="23"/>
    </row>
    <row r="53" spans="1:63" ht="15" customHeight="1" x14ac:dyDescent="0.25">
      <c r="A53" s="22"/>
      <c r="BK53" s="23"/>
    </row>
    <row r="54" spans="1:63" ht="15" customHeight="1" x14ac:dyDescent="0.25">
      <c r="A54" s="22"/>
      <c r="BK54" s="23"/>
    </row>
    <row r="55" spans="1:63" ht="15" customHeight="1" x14ac:dyDescent="0.25">
      <c r="A55" s="19"/>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1"/>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18" customWidth="1"/>
    <col min="61" max="16384" width="2.77734375" style="18"/>
  </cols>
  <sheetData>
    <row r="1" spans="1:63" ht="24.95" customHeight="1" x14ac:dyDescent="0.25">
      <c r="A1" s="68" t="s">
        <v>37</v>
      </c>
      <c r="B1" s="69"/>
      <c r="C1" s="69"/>
      <c r="D1" s="69"/>
      <c r="E1" s="69"/>
      <c r="F1" s="69"/>
      <c r="G1" s="69"/>
      <c r="H1" s="69"/>
      <c r="I1" s="69"/>
      <c r="J1" s="70"/>
      <c r="K1" s="68" t="s">
        <v>38</v>
      </c>
      <c r="L1" s="69"/>
      <c r="M1" s="69"/>
      <c r="N1" s="69"/>
      <c r="O1" s="69"/>
      <c r="P1" s="69"/>
      <c r="Q1" s="69"/>
      <c r="R1" s="69"/>
      <c r="S1" s="69"/>
      <c r="T1" s="69"/>
      <c r="U1" s="69"/>
      <c r="V1" s="70"/>
      <c r="W1" s="78" t="str">
        <f>IF(表紙!W1="","",表紙!W1)</f>
        <v>基本設計書</v>
      </c>
      <c r="X1" s="79"/>
      <c r="Y1" s="79"/>
      <c r="Z1" s="79"/>
      <c r="AA1" s="79"/>
      <c r="AB1" s="79"/>
      <c r="AC1" s="79"/>
      <c r="AD1" s="79"/>
      <c r="AE1" s="79"/>
      <c r="AF1" s="79"/>
      <c r="AG1" s="79"/>
      <c r="AH1" s="79"/>
      <c r="AI1" s="79"/>
      <c r="AJ1" s="79"/>
      <c r="AK1" s="79"/>
      <c r="AL1" s="79"/>
      <c r="AM1" s="79"/>
      <c r="AN1" s="79"/>
      <c r="AO1" s="80"/>
      <c r="AP1" s="68" t="s">
        <v>40</v>
      </c>
      <c r="AQ1" s="69"/>
      <c r="AR1" s="69"/>
      <c r="AS1" s="70"/>
      <c r="AT1" s="68" t="s">
        <v>41</v>
      </c>
      <c r="AU1" s="69"/>
      <c r="AV1" s="69"/>
      <c r="AW1" s="69"/>
      <c r="AX1" s="70"/>
      <c r="AY1" s="68" t="s">
        <v>42</v>
      </c>
      <c r="AZ1" s="69"/>
      <c r="BA1" s="69"/>
      <c r="BB1" s="70"/>
      <c r="BC1" s="68" t="s">
        <v>43</v>
      </c>
      <c r="BD1" s="69"/>
      <c r="BE1" s="69"/>
      <c r="BF1" s="69"/>
      <c r="BG1" s="70"/>
      <c r="BH1" s="68" t="s">
        <v>44</v>
      </c>
      <c r="BI1" s="69"/>
      <c r="BJ1" s="69"/>
      <c r="BK1" s="70"/>
    </row>
    <row r="2" spans="1:63" ht="15" customHeight="1" x14ac:dyDescent="0.25">
      <c r="A2" s="71" t="str">
        <f>IF(表紙!A2="","",表紙!A2)</f>
        <v>POSサーバー</v>
      </c>
      <c r="B2" s="72"/>
      <c r="C2" s="72"/>
      <c r="D2" s="72"/>
      <c r="E2" s="72"/>
      <c r="F2" s="72"/>
      <c r="G2" s="72"/>
      <c r="H2" s="72"/>
      <c r="I2" s="72"/>
      <c r="J2" s="73"/>
      <c r="K2" s="71" t="str">
        <f>IF(表紙!K2="","",表紙!K2)</f>
        <v>POSサーバ</v>
      </c>
      <c r="L2" s="72"/>
      <c r="M2" s="72"/>
      <c r="N2" s="72"/>
      <c r="O2" s="72"/>
      <c r="P2" s="72"/>
      <c r="Q2" s="72"/>
      <c r="R2" s="72"/>
      <c r="S2" s="72"/>
      <c r="T2" s="72"/>
      <c r="U2" s="72"/>
      <c r="V2" s="73"/>
      <c r="W2" s="81"/>
      <c r="X2" s="82"/>
      <c r="Y2" s="82"/>
      <c r="Z2" s="82"/>
      <c r="AA2" s="82"/>
      <c r="AB2" s="82"/>
      <c r="AC2" s="82"/>
      <c r="AD2" s="82"/>
      <c r="AE2" s="82"/>
      <c r="AF2" s="82"/>
      <c r="AG2" s="82"/>
      <c r="AH2" s="82"/>
      <c r="AI2" s="82"/>
      <c r="AJ2" s="82"/>
      <c r="AK2" s="82"/>
      <c r="AL2" s="82"/>
      <c r="AM2" s="82"/>
      <c r="AN2" s="82"/>
      <c r="AO2" s="83"/>
      <c r="AP2" s="71" t="str">
        <f>IF(表紙!AP2="","",表紙!AP2)</f>
        <v>SonMNT</v>
      </c>
      <c r="AQ2" s="72"/>
      <c r="AR2" s="72"/>
      <c r="AS2" s="73"/>
      <c r="AT2" s="98">
        <f>IF(表紙!AT2="","",表紙!AT2)</f>
        <v>45433</v>
      </c>
      <c r="AU2" s="99"/>
      <c r="AV2" s="99"/>
      <c r="AW2" s="99"/>
      <c r="AX2" s="100"/>
      <c r="AY2" s="71" t="str">
        <f>IF(表紙!AY2="","",表紙!AY2)</f>
        <v>TinNH</v>
      </c>
      <c r="AZ2" s="72"/>
      <c r="BA2" s="72"/>
      <c r="BB2" s="73"/>
      <c r="BC2" s="98">
        <f>IF(表紙!BC2="","",表紙!BC2)</f>
        <v>45605</v>
      </c>
      <c r="BD2" s="99"/>
      <c r="BE2" s="99"/>
      <c r="BF2" s="99"/>
      <c r="BG2" s="100"/>
      <c r="BH2" s="71">
        <f>IF(表紙!BH2="","",表紙!BH2)</f>
        <v>0.4</v>
      </c>
      <c r="BI2" s="72"/>
      <c r="BJ2" s="72"/>
      <c r="BK2" s="73"/>
    </row>
    <row r="3" spans="1:63" ht="15" customHeight="1" x14ac:dyDescent="0.25">
      <c r="A3" s="74"/>
      <c r="B3" s="75"/>
      <c r="C3" s="75"/>
      <c r="D3" s="75"/>
      <c r="E3" s="75"/>
      <c r="F3" s="75"/>
      <c r="G3" s="75"/>
      <c r="H3" s="75"/>
      <c r="I3" s="75"/>
      <c r="J3" s="76"/>
      <c r="K3" s="74"/>
      <c r="L3" s="75"/>
      <c r="M3" s="75"/>
      <c r="N3" s="75"/>
      <c r="O3" s="75"/>
      <c r="P3" s="75"/>
      <c r="Q3" s="75"/>
      <c r="R3" s="75"/>
      <c r="S3" s="75"/>
      <c r="T3" s="75"/>
      <c r="U3" s="75"/>
      <c r="V3" s="76"/>
      <c r="W3" s="84"/>
      <c r="X3" s="85"/>
      <c r="Y3" s="85"/>
      <c r="Z3" s="85"/>
      <c r="AA3" s="85"/>
      <c r="AB3" s="85"/>
      <c r="AC3" s="85"/>
      <c r="AD3" s="85"/>
      <c r="AE3" s="85"/>
      <c r="AF3" s="85"/>
      <c r="AG3" s="85"/>
      <c r="AH3" s="85"/>
      <c r="AI3" s="85"/>
      <c r="AJ3" s="85"/>
      <c r="AK3" s="85"/>
      <c r="AL3" s="85"/>
      <c r="AM3" s="85"/>
      <c r="AN3" s="85"/>
      <c r="AO3" s="86"/>
      <c r="AP3" s="74"/>
      <c r="AQ3" s="75"/>
      <c r="AR3" s="75"/>
      <c r="AS3" s="76"/>
      <c r="AT3" s="101"/>
      <c r="AU3" s="102"/>
      <c r="AV3" s="102"/>
      <c r="AW3" s="102"/>
      <c r="AX3" s="103"/>
      <c r="AY3" s="74"/>
      <c r="AZ3" s="75"/>
      <c r="BA3" s="75"/>
      <c r="BB3" s="76"/>
      <c r="BC3" s="101"/>
      <c r="BD3" s="102"/>
      <c r="BE3" s="102"/>
      <c r="BF3" s="102"/>
      <c r="BG3" s="103"/>
      <c r="BH3" s="74"/>
      <c r="BI3" s="75"/>
      <c r="BJ3" s="75"/>
      <c r="BK3" s="76"/>
    </row>
    <row r="4" spans="1:63" ht="24.95" customHeight="1" x14ac:dyDescent="0.25">
      <c r="A4" s="68" t="s">
        <v>51</v>
      </c>
      <c r="B4" s="69"/>
      <c r="C4" s="69"/>
      <c r="D4" s="69"/>
      <c r="E4" s="69"/>
      <c r="F4" s="69"/>
      <c r="G4" s="70"/>
      <c r="H4" s="89" t="str">
        <f>IF(表紙!H4="","",表紙!H4)</f>
        <v>32_レジ別単品別売上点検</v>
      </c>
      <c r="I4" s="90"/>
      <c r="J4" s="90"/>
      <c r="K4" s="90"/>
      <c r="L4" s="90"/>
      <c r="M4" s="90"/>
      <c r="N4" s="90"/>
      <c r="O4" s="90"/>
      <c r="P4" s="90"/>
      <c r="Q4" s="90"/>
      <c r="R4" s="90"/>
      <c r="S4" s="90"/>
      <c r="T4" s="91"/>
      <c r="U4" s="68" t="s">
        <v>47</v>
      </c>
      <c r="V4" s="69"/>
      <c r="W4" s="69"/>
      <c r="X4" s="69"/>
      <c r="Y4" s="70"/>
      <c r="Z4" s="89" t="str">
        <f>IF(表紙!Z4="","",表紙!Z4)</f>
        <v>概要設計</v>
      </c>
      <c r="AA4" s="90"/>
      <c r="AB4" s="90"/>
      <c r="AC4" s="90"/>
      <c r="AD4" s="90"/>
      <c r="AE4" s="90"/>
      <c r="AF4" s="90"/>
      <c r="AG4" s="90"/>
      <c r="AH4" s="90"/>
      <c r="AI4" s="90"/>
      <c r="AJ4" s="90"/>
      <c r="AK4" s="90"/>
      <c r="AL4" s="90"/>
      <c r="AM4" s="90"/>
      <c r="AN4" s="90"/>
      <c r="AO4" s="91"/>
      <c r="AP4" s="89" t="str">
        <f t="array" aca="1" ref="AP4" ca="1">RIGHT(CELL("filename",$A$1),LEN(CELL("filename",$A$1))-FIND("]",CELL("filename",$A$1)))</f>
        <v>改訂履歴</v>
      </c>
      <c r="AQ4" s="90"/>
      <c r="AR4" s="90"/>
      <c r="AS4" s="90"/>
      <c r="AT4" s="90"/>
      <c r="AU4" s="90"/>
      <c r="AV4" s="90"/>
      <c r="AW4" s="90"/>
      <c r="AX4" s="90"/>
      <c r="AY4" s="90"/>
      <c r="AZ4" s="90"/>
      <c r="BA4" s="90"/>
      <c r="BB4" s="90"/>
      <c r="BC4" s="90"/>
      <c r="BD4" s="90"/>
      <c r="BE4" s="90"/>
      <c r="BF4" s="90"/>
      <c r="BG4" s="90"/>
      <c r="BH4" s="90"/>
      <c r="BI4" s="90"/>
      <c r="BJ4" s="90"/>
      <c r="BK4" s="91"/>
    </row>
    <row r="5" spans="1:63"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63" ht="15" customHeight="1" x14ac:dyDescent="0.25">
      <c r="A6" s="22"/>
      <c r="BK6" s="23"/>
    </row>
    <row r="7" spans="1:63" ht="15" customHeight="1" x14ac:dyDescent="0.25">
      <c r="A7" s="22"/>
      <c r="BK7" s="23"/>
    </row>
    <row r="8" spans="1:63" ht="15" customHeight="1" x14ac:dyDescent="0.25">
      <c r="A8" s="22"/>
      <c r="B8" s="18" t="s">
        <v>8</v>
      </c>
      <c r="BK8" s="23"/>
    </row>
    <row r="9" spans="1:63" ht="15" customHeight="1" x14ac:dyDescent="0.25">
      <c r="A9" s="22"/>
      <c r="BK9" s="23"/>
    </row>
    <row r="10" spans="1:63" ht="15" customHeight="1" x14ac:dyDescent="0.25">
      <c r="A10" s="22"/>
      <c r="B10" s="125" t="s">
        <v>43</v>
      </c>
      <c r="C10" s="125"/>
      <c r="D10" s="125"/>
      <c r="E10" s="125"/>
      <c r="F10" s="125"/>
      <c r="G10" s="125"/>
      <c r="H10" s="125" t="s">
        <v>42</v>
      </c>
      <c r="I10" s="125"/>
      <c r="J10" s="125"/>
      <c r="K10" s="125"/>
      <c r="L10" s="125"/>
      <c r="M10" s="125"/>
      <c r="N10" s="125"/>
      <c r="O10" s="125" t="s">
        <v>44</v>
      </c>
      <c r="P10" s="125"/>
      <c r="Q10" s="125"/>
      <c r="R10" s="125"/>
      <c r="S10" s="125" t="s">
        <v>52</v>
      </c>
      <c r="T10" s="125"/>
      <c r="U10" s="125"/>
      <c r="V10" s="125"/>
      <c r="W10" s="125"/>
      <c r="X10" s="125"/>
      <c r="Y10" s="125"/>
      <c r="Z10" s="125"/>
      <c r="AA10" s="125"/>
      <c r="AB10" s="125"/>
      <c r="AC10" s="125"/>
      <c r="AD10" s="125"/>
      <c r="AE10" s="125"/>
      <c r="AF10" s="125"/>
      <c r="AG10" s="125"/>
      <c r="AH10" s="125"/>
      <c r="AI10" s="125"/>
      <c r="AJ10" s="125"/>
      <c r="AK10" s="125"/>
      <c r="AL10" s="125"/>
      <c r="AM10" s="125"/>
      <c r="AN10" s="125"/>
      <c r="AO10" s="125"/>
      <c r="AP10" s="125"/>
      <c r="AQ10" s="125"/>
      <c r="AR10" s="125"/>
      <c r="AS10" s="125"/>
      <c r="AT10" s="125"/>
      <c r="AU10" s="125"/>
      <c r="AV10" s="125"/>
      <c r="AW10" s="125"/>
      <c r="AX10" s="125" t="s">
        <v>49</v>
      </c>
      <c r="AY10" s="125"/>
      <c r="AZ10" s="125"/>
      <c r="BA10" s="125"/>
      <c r="BB10" s="125"/>
      <c r="BC10" s="125"/>
      <c r="BD10" s="125" t="s">
        <v>50</v>
      </c>
      <c r="BE10" s="125"/>
      <c r="BF10" s="125"/>
      <c r="BG10" s="125"/>
      <c r="BH10" s="125"/>
      <c r="BI10" s="125"/>
      <c r="BJ10" s="125"/>
      <c r="BK10" s="23"/>
    </row>
    <row r="11" spans="1:63" ht="15" customHeight="1" x14ac:dyDescent="0.25">
      <c r="A11" s="22"/>
      <c r="B11" s="98">
        <v>45433</v>
      </c>
      <c r="C11" s="72"/>
      <c r="D11" s="72"/>
      <c r="E11" s="72"/>
      <c r="F11" s="72"/>
      <c r="G11" s="73"/>
      <c r="H11" s="77" t="s">
        <v>53</v>
      </c>
      <c r="I11" s="72"/>
      <c r="J11" s="72"/>
      <c r="K11" s="72"/>
      <c r="L11" s="72"/>
      <c r="M11" s="72"/>
      <c r="N11" s="73"/>
      <c r="O11" s="71">
        <v>0.1</v>
      </c>
      <c r="P11" s="72"/>
      <c r="Q11" s="72"/>
      <c r="R11" s="72"/>
      <c r="S11" s="113" t="s">
        <v>14</v>
      </c>
      <c r="T11" s="114"/>
      <c r="U11" s="114"/>
      <c r="V11" s="114"/>
      <c r="W11" s="114"/>
      <c r="X11" s="114"/>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5"/>
      <c r="AX11" s="116"/>
      <c r="AY11" s="116"/>
      <c r="AZ11" s="116"/>
      <c r="BA11" s="116"/>
      <c r="BB11" s="116"/>
      <c r="BC11" s="117"/>
      <c r="BD11" s="120"/>
      <c r="BE11" s="116"/>
      <c r="BF11" s="116"/>
      <c r="BG11" s="116"/>
      <c r="BH11" s="116"/>
      <c r="BI11" s="116"/>
      <c r="BJ11" s="117"/>
      <c r="BK11" s="23"/>
    </row>
    <row r="12" spans="1:63" ht="15" customHeight="1" x14ac:dyDescent="0.25">
      <c r="A12" s="22"/>
      <c r="B12" s="74"/>
      <c r="C12" s="75"/>
      <c r="D12" s="75"/>
      <c r="E12" s="75"/>
      <c r="F12" s="75"/>
      <c r="G12" s="76"/>
      <c r="H12" s="74"/>
      <c r="I12" s="75"/>
      <c r="J12" s="75"/>
      <c r="K12" s="75"/>
      <c r="L12" s="75"/>
      <c r="M12" s="75"/>
      <c r="N12" s="76"/>
      <c r="O12" s="74"/>
      <c r="P12" s="75"/>
      <c r="Q12" s="75"/>
      <c r="R12" s="75"/>
      <c r="S12" s="122"/>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4"/>
      <c r="AX12" s="118"/>
      <c r="AY12" s="118"/>
      <c r="AZ12" s="118"/>
      <c r="BA12" s="118"/>
      <c r="BB12" s="118"/>
      <c r="BC12" s="119"/>
      <c r="BD12" s="121"/>
      <c r="BE12" s="118"/>
      <c r="BF12" s="118"/>
      <c r="BG12" s="118"/>
      <c r="BH12" s="118"/>
      <c r="BI12" s="118"/>
      <c r="BJ12" s="119"/>
      <c r="BK12" s="23"/>
    </row>
    <row r="13" spans="1:63" ht="15" customHeight="1" x14ac:dyDescent="0.25">
      <c r="A13" s="22"/>
      <c r="B13" s="98">
        <v>45470</v>
      </c>
      <c r="C13" s="72"/>
      <c r="D13" s="72"/>
      <c r="E13" s="72"/>
      <c r="F13" s="72"/>
      <c r="G13" s="73"/>
      <c r="H13" s="77" t="s">
        <v>53</v>
      </c>
      <c r="I13" s="72"/>
      <c r="J13" s="72"/>
      <c r="K13" s="72"/>
      <c r="L13" s="72"/>
      <c r="M13" s="72"/>
      <c r="N13" s="73"/>
      <c r="O13" s="71">
        <v>0.2</v>
      </c>
      <c r="P13" s="72"/>
      <c r="Q13" s="72"/>
      <c r="R13" s="72"/>
      <c r="S13" s="113" t="s">
        <v>34</v>
      </c>
      <c r="T13" s="114"/>
      <c r="U13" s="114"/>
      <c r="V13" s="114"/>
      <c r="W13" s="114"/>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5"/>
      <c r="AX13" s="116"/>
      <c r="AY13" s="116"/>
      <c r="AZ13" s="116"/>
      <c r="BA13" s="116"/>
      <c r="BB13" s="116"/>
      <c r="BC13" s="117"/>
      <c r="BD13" s="120"/>
      <c r="BE13" s="116"/>
      <c r="BF13" s="116"/>
      <c r="BG13" s="116"/>
      <c r="BH13" s="116"/>
      <c r="BI13" s="116"/>
      <c r="BJ13" s="117"/>
      <c r="BK13" s="23"/>
    </row>
    <row r="14" spans="1:63" ht="15" customHeight="1" x14ac:dyDescent="0.25">
      <c r="A14" s="22"/>
      <c r="B14" s="74"/>
      <c r="C14" s="75"/>
      <c r="D14" s="75"/>
      <c r="E14" s="75"/>
      <c r="F14" s="75"/>
      <c r="G14" s="76"/>
      <c r="H14" s="74"/>
      <c r="I14" s="75"/>
      <c r="J14" s="75"/>
      <c r="K14" s="75"/>
      <c r="L14" s="75"/>
      <c r="M14" s="75"/>
      <c r="N14" s="76"/>
      <c r="O14" s="74"/>
      <c r="P14" s="75"/>
      <c r="Q14" s="75"/>
      <c r="R14" s="75"/>
      <c r="S14" s="122"/>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4"/>
      <c r="AX14" s="118"/>
      <c r="AY14" s="118"/>
      <c r="AZ14" s="118"/>
      <c r="BA14" s="118"/>
      <c r="BB14" s="118"/>
      <c r="BC14" s="119"/>
      <c r="BD14" s="121"/>
      <c r="BE14" s="118"/>
      <c r="BF14" s="118"/>
      <c r="BG14" s="118"/>
      <c r="BH14" s="118"/>
      <c r="BI14" s="118"/>
      <c r="BJ14" s="119"/>
      <c r="BK14" s="23"/>
    </row>
    <row r="15" spans="1:63" ht="15" customHeight="1" x14ac:dyDescent="0.25">
      <c r="A15" s="22"/>
      <c r="B15" s="291">
        <v>45477</v>
      </c>
      <c r="C15" s="292"/>
      <c r="D15" s="292"/>
      <c r="E15" s="292"/>
      <c r="F15" s="292"/>
      <c r="G15" s="293"/>
      <c r="H15" s="294" t="s">
        <v>75</v>
      </c>
      <c r="I15" s="292"/>
      <c r="J15" s="292"/>
      <c r="K15" s="292"/>
      <c r="L15" s="292"/>
      <c r="M15" s="292"/>
      <c r="N15" s="293"/>
      <c r="O15" s="294">
        <v>0.3</v>
      </c>
      <c r="P15" s="292"/>
      <c r="Q15" s="292"/>
      <c r="R15" s="292"/>
      <c r="S15" s="295" t="s">
        <v>76</v>
      </c>
      <c r="T15" s="296"/>
      <c r="U15" s="296"/>
      <c r="V15" s="296"/>
      <c r="W15" s="296"/>
      <c r="X15" s="296"/>
      <c r="Y15" s="296"/>
      <c r="Z15" s="296"/>
      <c r="AA15" s="296"/>
      <c r="AB15" s="296"/>
      <c r="AC15" s="296"/>
      <c r="AD15" s="296"/>
      <c r="AE15" s="296"/>
      <c r="AF15" s="296"/>
      <c r="AG15" s="296"/>
      <c r="AH15" s="296"/>
      <c r="AI15" s="296"/>
      <c r="AJ15" s="296"/>
      <c r="AK15" s="296"/>
      <c r="AL15" s="296"/>
      <c r="AM15" s="296"/>
      <c r="AN15" s="296"/>
      <c r="AO15" s="296"/>
      <c r="AP15" s="296"/>
      <c r="AQ15" s="296"/>
      <c r="AR15" s="296"/>
      <c r="AS15" s="296"/>
      <c r="AT15" s="296"/>
      <c r="AU15" s="296"/>
      <c r="AV15" s="296"/>
      <c r="AW15" s="297"/>
      <c r="AX15" s="116"/>
      <c r="AY15" s="116"/>
      <c r="AZ15" s="116"/>
      <c r="BA15" s="116"/>
      <c r="BB15" s="116"/>
      <c r="BC15" s="117"/>
      <c r="BD15" s="120"/>
      <c r="BE15" s="116"/>
      <c r="BF15" s="116"/>
      <c r="BG15" s="116"/>
      <c r="BH15" s="116"/>
      <c r="BI15" s="116"/>
      <c r="BJ15" s="117"/>
      <c r="BK15" s="23"/>
    </row>
    <row r="16" spans="1:63" ht="15" customHeight="1" x14ac:dyDescent="0.25">
      <c r="A16" s="22"/>
      <c r="B16" s="298"/>
      <c r="C16" s="299"/>
      <c r="D16" s="299"/>
      <c r="E16" s="299"/>
      <c r="F16" s="299"/>
      <c r="G16" s="300"/>
      <c r="H16" s="298"/>
      <c r="I16" s="299"/>
      <c r="J16" s="299"/>
      <c r="K16" s="299"/>
      <c r="L16" s="299"/>
      <c r="M16" s="299"/>
      <c r="N16" s="300"/>
      <c r="O16" s="298"/>
      <c r="P16" s="299"/>
      <c r="Q16" s="299"/>
      <c r="R16" s="299"/>
      <c r="S16" s="301"/>
      <c r="T16" s="302"/>
      <c r="U16" s="302"/>
      <c r="V16" s="302"/>
      <c r="W16" s="302"/>
      <c r="X16" s="302"/>
      <c r="Y16" s="302"/>
      <c r="Z16" s="302"/>
      <c r="AA16" s="302"/>
      <c r="AB16" s="302"/>
      <c r="AC16" s="302"/>
      <c r="AD16" s="302"/>
      <c r="AE16" s="302"/>
      <c r="AF16" s="302"/>
      <c r="AG16" s="302"/>
      <c r="AH16" s="302"/>
      <c r="AI16" s="302"/>
      <c r="AJ16" s="302"/>
      <c r="AK16" s="302"/>
      <c r="AL16" s="302"/>
      <c r="AM16" s="302"/>
      <c r="AN16" s="302"/>
      <c r="AO16" s="302"/>
      <c r="AP16" s="302"/>
      <c r="AQ16" s="302"/>
      <c r="AR16" s="302"/>
      <c r="AS16" s="302"/>
      <c r="AT16" s="302"/>
      <c r="AU16" s="302"/>
      <c r="AV16" s="302"/>
      <c r="AW16" s="303"/>
      <c r="AX16" s="118"/>
      <c r="AY16" s="118"/>
      <c r="AZ16" s="118"/>
      <c r="BA16" s="118"/>
      <c r="BB16" s="118"/>
      <c r="BC16" s="119"/>
      <c r="BD16" s="121"/>
      <c r="BE16" s="118"/>
      <c r="BF16" s="118"/>
      <c r="BG16" s="118"/>
      <c r="BH16" s="118"/>
      <c r="BI16" s="118"/>
      <c r="BJ16" s="119"/>
      <c r="BK16" s="23"/>
    </row>
    <row r="17" spans="1:63" ht="15" customHeight="1" x14ac:dyDescent="0.25">
      <c r="A17" s="22"/>
      <c r="B17" s="310">
        <v>45605</v>
      </c>
      <c r="C17" s="311"/>
      <c r="D17" s="311"/>
      <c r="E17" s="311"/>
      <c r="F17" s="311"/>
      <c r="G17" s="312"/>
      <c r="H17" s="313" t="s">
        <v>75</v>
      </c>
      <c r="I17" s="311"/>
      <c r="J17" s="311"/>
      <c r="K17" s="311"/>
      <c r="L17" s="311"/>
      <c r="M17" s="311"/>
      <c r="N17" s="312"/>
      <c r="O17" s="313">
        <v>0.4</v>
      </c>
      <c r="P17" s="311"/>
      <c r="Q17" s="311"/>
      <c r="R17" s="311"/>
      <c r="S17" s="314" t="s">
        <v>79</v>
      </c>
      <c r="T17" s="315"/>
      <c r="U17" s="315"/>
      <c r="V17" s="315"/>
      <c r="W17" s="315"/>
      <c r="X17" s="315"/>
      <c r="Y17" s="315"/>
      <c r="Z17" s="315"/>
      <c r="AA17" s="315"/>
      <c r="AB17" s="315"/>
      <c r="AC17" s="315"/>
      <c r="AD17" s="315"/>
      <c r="AE17" s="315"/>
      <c r="AF17" s="315"/>
      <c r="AG17" s="315"/>
      <c r="AH17" s="315"/>
      <c r="AI17" s="315"/>
      <c r="AJ17" s="315"/>
      <c r="AK17" s="315"/>
      <c r="AL17" s="315"/>
      <c r="AM17" s="315"/>
      <c r="AN17" s="315"/>
      <c r="AO17" s="315"/>
      <c r="AP17" s="315"/>
      <c r="AQ17" s="315"/>
      <c r="AR17" s="315"/>
      <c r="AS17" s="315"/>
      <c r="AT17" s="315"/>
      <c r="AU17" s="315"/>
      <c r="AV17" s="315"/>
      <c r="AW17" s="316"/>
      <c r="AX17" s="116"/>
      <c r="AY17" s="116"/>
      <c r="AZ17" s="116"/>
      <c r="BA17" s="116"/>
      <c r="BB17" s="116"/>
      <c r="BC17" s="117"/>
      <c r="BD17" s="120"/>
      <c r="BE17" s="116"/>
      <c r="BF17" s="116"/>
      <c r="BG17" s="116"/>
      <c r="BH17" s="116"/>
      <c r="BI17" s="116"/>
      <c r="BJ17" s="117"/>
      <c r="BK17" s="23"/>
    </row>
    <row r="18" spans="1:63" ht="15" customHeight="1" x14ac:dyDescent="0.25">
      <c r="A18" s="22"/>
      <c r="B18" s="317"/>
      <c r="C18" s="318"/>
      <c r="D18" s="318"/>
      <c r="E18" s="318"/>
      <c r="F18" s="318"/>
      <c r="G18" s="319"/>
      <c r="H18" s="317"/>
      <c r="I18" s="318"/>
      <c r="J18" s="318"/>
      <c r="K18" s="318"/>
      <c r="L18" s="318"/>
      <c r="M18" s="318"/>
      <c r="N18" s="319"/>
      <c r="O18" s="317"/>
      <c r="P18" s="318"/>
      <c r="Q18" s="318"/>
      <c r="R18" s="318"/>
      <c r="S18" s="320" t="s">
        <v>80</v>
      </c>
      <c r="T18" s="321"/>
      <c r="U18" s="321"/>
      <c r="V18" s="321"/>
      <c r="W18" s="321"/>
      <c r="X18" s="321"/>
      <c r="Y18" s="321"/>
      <c r="Z18" s="321"/>
      <c r="AA18" s="321"/>
      <c r="AB18" s="321"/>
      <c r="AC18" s="321"/>
      <c r="AD18" s="321"/>
      <c r="AE18" s="321"/>
      <c r="AF18" s="321"/>
      <c r="AG18" s="321"/>
      <c r="AH18" s="321"/>
      <c r="AI18" s="321"/>
      <c r="AJ18" s="321"/>
      <c r="AK18" s="321"/>
      <c r="AL18" s="321"/>
      <c r="AM18" s="321"/>
      <c r="AN18" s="321"/>
      <c r="AO18" s="321"/>
      <c r="AP18" s="321"/>
      <c r="AQ18" s="321"/>
      <c r="AR18" s="321"/>
      <c r="AS18" s="321"/>
      <c r="AT18" s="321"/>
      <c r="AU18" s="321"/>
      <c r="AV18" s="321"/>
      <c r="AW18" s="322"/>
      <c r="AX18" s="118"/>
      <c r="AY18" s="118"/>
      <c r="AZ18" s="118"/>
      <c r="BA18" s="118"/>
      <c r="BB18" s="118"/>
      <c r="BC18" s="119"/>
      <c r="BD18" s="121"/>
      <c r="BE18" s="118"/>
      <c r="BF18" s="118"/>
      <c r="BG18" s="118"/>
      <c r="BH18" s="118"/>
      <c r="BI18" s="118"/>
      <c r="BJ18" s="119"/>
      <c r="BK18" s="23"/>
    </row>
    <row r="19" spans="1:63" ht="15" customHeight="1" x14ac:dyDescent="0.25">
      <c r="A19" s="22"/>
      <c r="B19" s="71"/>
      <c r="C19" s="72"/>
      <c r="D19" s="72"/>
      <c r="E19" s="72"/>
      <c r="F19" s="72"/>
      <c r="G19" s="73"/>
      <c r="H19" s="71"/>
      <c r="I19" s="72"/>
      <c r="J19" s="72"/>
      <c r="K19" s="72"/>
      <c r="L19" s="72"/>
      <c r="M19" s="72"/>
      <c r="N19" s="73"/>
      <c r="O19" s="71"/>
      <c r="P19" s="72"/>
      <c r="Q19" s="72"/>
      <c r="R19" s="72"/>
      <c r="S19" s="113"/>
      <c r="T19" s="114"/>
      <c r="U19" s="114"/>
      <c r="V19" s="114"/>
      <c r="W19" s="114"/>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5"/>
      <c r="AX19" s="116"/>
      <c r="AY19" s="116"/>
      <c r="AZ19" s="116"/>
      <c r="BA19" s="116"/>
      <c r="BB19" s="116"/>
      <c r="BC19" s="117"/>
      <c r="BD19" s="120"/>
      <c r="BE19" s="116"/>
      <c r="BF19" s="116"/>
      <c r="BG19" s="116"/>
      <c r="BH19" s="116"/>
      <c r="BI19" s="116"/>
      <c r="BJ19" s="117"/>
      <c r="BK19" s="23"/>
    </row>
    <row r="20" spans="1:63" ht="15" customHeight="1" x14ac:dyDescent="0.25">
      <c r="A20" s="22"/>
      <c r="B20" s="74"/>
      <c r="C20" s="75"/>
      <c r="D20" s="75"/>
      <c r="E20" s="75"/>
      <c r="F20" s="75"/>
      <c r="G20" s="76"/>
      <c r="H20" s="74"/>
      <c r="I20" s="75"/>
      <c r="J20" s="75"/>
      <c r="K20" s="75"/>
      <c r="L20" s="75"/>
      <c r="M20" s="75"/>
      <c r="N20" s="76"/>
      <c r="O20" s="74"/>
      <c r="P20" s="75"/>
      <c r="Q20" s="75"/>
      <c r="R20" s="75"/>
      <c r="S20" s="122"/>
      <c r="T20" s="123"/>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c r="AR20" s="123"/>
      <c r="AS20" s="123"/>
      <c r="AT20" s="123"/>
      <c r="AU20" s="123"/>
      <c r="AV20" s="123"/>
      <c r="AW20" s="124"/>
      <c r="AX20" s="118"/>
      <c r="AY20" s="118"/>
      <c r="AZ20" s="118"/>
      <c r="BA20" s="118"/>
      <c r="BB20" s="118"/>
      <c r="BC20" s="119"/>
      <c r="BD20" s="121"/>
      <c r="BE20" s="118"/>
      <c r="BF20" s="118"/>
      <c r="BG20" s="118"/>
      <c r="BH20" s="118"/>
      <c r="BI20" s="118"/>
      <c r="BJ20" s="119"/>
      <c r="BK20" s="23"/>
    </row>
    <row r="21" spans="1:63" ht="15" customHeight="1" x14ac:dyDescent="0.25">
      <c r="A21" s="22"/>
      <c r="B21" s="71"/>
      <c r="C21" s="72"/>
      <c r="D21" s="72"/>
      <c r="E21" s="72"/>
      <c r="F21" s="72"/>
      <c r="G21" s="73"/>
      <c r="H21" s="71"/>
      <c r="I21" s="72"/>
      <c r="J21" s="72"/>
      <c r="K21" s="72"/>
      <c r="L21" s="72"/>
      <c r="M21" s="72"/>
      <c r="N21" s="73"/>
      <c r="O21" s="71"/>
      <c r="P21" s="72"/>
      <c r="Q21" s="72"/>
      <c r="R21" s="72"/>
      <c r="S21" s="113"/>
      <c r="T21" s="114"/>
      <c r="U21" s="114"/>
      <c r="V21" s="114"/>
      <c r="W21" s="114"/>
      <c r="X21" s="114"/>
      <c r="Y21" s="114"/>
      <c r="Z21" s="114"/>
      <c r="AA21" s="114"/>
      <c r="AB21" s="114"/>
      <c r="AC21" s="114"/>
      <c r="AD21" s="114"/>
      <c r="AE21" s="114"/>
      <c r="AF21" s="114"/>
      <c r="AG21" s="114"/>
      <c r="AH21" s="114"/>
      <c r="AI21" s="114"/>
      <c r="AJ21" s="114"/>
      <c r="AK21" s="114"/>
      <c r="AL21" s="114"/>
      <c r="AM21" s="114"/>
      <c r="AN21" s="114"/>
      <c r="AO21" s="114"/>
      <c r="AP21" s="114"/>
      <c r="AQ21" s="114"/>
      <c r="AR21" s="114"/>
      <c r="AS21" s="114"/>
      <c r="AT21" s="114"/>
      <c r="AU21" s="114"/>
      <c r="AV21" s="114"/>
      <c r="AW21" s="115"/>
      <c r="AX21" s="116"/>
      <c r="AY21" s="116"/>
      <c r="AZ21" s="116"/>
      <c r="BA21" s="116"/>
      <c r="BB21" s="116"/>
      <c r="BC21" s="117"/>
      <c r="BD21" s="120"/>
      <c r="BE21" s="116"/>
      <c r="BF21" s="116"/>
      <c r="BG21" s="116"/>
      <c r="BH21" s="116"/>
      <c r="BI21" s="116"/>
      <c r="BJ21" s="117"/>
      <c r="BK21" s="23"/>
    </row>
    <row r="22" spans="1:63" ht="15" customHeight="1" x14ac:dyDescent="0.25">
      <c r="A22" s="22"/>
      <c r="B22" s="74"/>
      <c r="C22" s="75"/>
      <c r="D22" s="75"/>
      <c r="E22" s="75"/>
      <c r="F22" s="75"/>
      <c r="G22" s="76"/>
      <c r="H22" s="74"/>
      <c r="I22" s="75"/>
      <c r="J22" s="75"/>
      <c r="K22" s="75"/>
      <c r="L22" s="75"/>
      <c r="M22" s="75"/>
      <c r="N22" s="76"/>
      <c r="O22" s="74"/>
      <c r="P22" s="75"/>
      <c r="Q22" s="75"/>
      <c r="R22" s="75"/>
      <c r="S22" s="122"/>
      <c r="T22" s="123"/>
      <c r="U22" s="123"/>
      <c r="V22" s="123"/>
      <c r="W22" s="123"/>
      <c r="X22" s="123"/>
      <c r="Y22" s="123"/>
      <c r="Z22" s="123"/>
      <c r="AA22" s="123"/>
      <c r="AB22" s="123"/>
      <c r="AC22" s="123"/>
      <c r="AD22" s="123"/>
      <c r="AE22" s="123"/>
      <c r="AF22" s="123"/>
      <c r="AG22" s="123"/>
      <c r="AH22" s="123"/>
      <c r="AI22" s="123"/>
      <c r="AJ22" s="123"/>
      <c r="AK22" s="123"/>
      <c r="AL22" s="123"/>
      <c r="AM22" s="123"/>
      <c r="AN22" s="123"/>
      <c r="AO22" s="123"/>
      <c r="AP22" s="123"/>
      <c r="AQ22" s="123"/>
      <c r="AR22" s="123"/>
      <c r="AS22" s="123"/>
      <c r="AT22" s="123"/>
      <c r="AU22" s="123"/>
      <c r="AV22" s="123"/>
      <c r="AW22" s="124"/>
      <c r="AX22" s="118"/>
      <c r="AY22" s="118"/>
      <c r="AZ22" s="118"/>
      <c r="BA22" s="118"/>
      <c r="BB22" s="118"/>
      <c r="BC22" s="119"/>
      <c r="BD22" s="121"/>
      <c r="BE22" s="118"/>
      <c r="BF22" s="118"/>
      <c r="BG22" s="118"/>
      <c r="BH22" s="118"/>
      <c r="BI22" s="118"/>
      <c r="BJ22" s="119"/>
      <c r="BK22" s="23"/>
    </row>
    <row r="23" spans="1:63" ht="15" customHeight="1" x14ac:dyDescent="0.25">
      <c r="A23" s="22"/>
      <c r="B23" s="71"/>
      <c r="C23" s="72"/>
      <c r="D23" s="72"/>
      <c r="E23" s="72"/>
      <c r="F23" s="72"/>
      <c r="G23" s="73"/>
      <c r="H23" s="71"/>
      <c r="I23" s="72"/>
      <c r="J23" s="72"/>
      <c r="K23" s="72"/>
      <c r="L23" s="72"/>
      <c r="M23" s="72"/>
      <c r="N23" s="73"/>
      <c r="O23" s="71"/>
      <c r="P23" s="72"/>
      <c r="Q23" s="72"/>
      <c r="R23" s="72"/>
      <c r="S23" s="113"/>
      <c r="T23" s="114"/>
      <c r="U23" s="114"/>
      <c r="V23" s="114"/>
      <c r="W23" s="114"/>
      <c r="X23" s="114"/>
      <c r="Y23" s="114"/>
      <c r="Z23" s="114"/>
      <c r="AA23" s="114"/>
      <c r="AB23" s="114"/>
      <c r="AC23" s="114"/>
      <c r="AD23" s="114"/>
      <c r="AE23" s="114"/>
      <c r="AF23" s="114"/>
      <c r="AG23" s="114"/>
      <c r="AH23" s="114"/>
      <c r="AI23" s="114"/>
      <c r="AJ23" s="114"/>
      <c r="AK23" s="114"/>
      <c r="AL23" s="114"/>
      <c r="AM23" s="114"/>
      <c r="AN23" s="114"/>
      <c r="AO23" s="114"/>
      <c r="AP23" s="114"/>
      <c r="AQ23" s="114"/>
      <c r="AR23" s="114"/>
      <c r="AS23" s="114"/>
      <c r="AT23" s="114"/>
      <c r="AU23" s="114"/>
      <c r="AV23" s="114"/>
      <c r="AW23" s="115"/>
      <c r="AX23" s="116"/>
      <c r="AY23" s="116"/>
      <c r="AZ23" s="116"/>
      <c r="BA23" s="116"/>
      <c r="BB23" s="116"/>
      <c r="BC23" s="117"/>
      <c r="BD23" s="120"/>
      <c r="BE23" s="116"/>
      <c r="BF23" s="116"/>
      <c r="BG23" s="116"/>
      <c r="BH23" s="116"/>
      <c r="BI23" s="116"/>
      <c r="BJ23" s="117"/>
      <c r="BK23" s="23"/>
    </row>
    <row r="24" spans="1:63" ht="15" customHeight="1" x14ac:dyDescent="0.25">
      <c r="A24" s="22"/>
      <c r="B24" s="74"/>
      <c r="C24" s="75"/>
      <c r="D24" s="75"/>
      <c r="E24" s="75"/>
      <c r="F24" s="75"/>
      <c r="G24" s="76"/>
      <c r="H24" s="74"/>
      <c r="I24" s="75"/>
      <c r="J24" s="75"/>
      <c r="K24" s="75"/>
      <c r="L24" s="75"/>
      <c r="M24" s="75"/>
      <c r="N24" s="76"/>
      <c r="O24" s="74"/>
      <c r="P24" s="75"/>
      <c r="Q24" s="75"/>
      <c r="R24" s="75"/>
      <c r="S24" s="122"/>
      <c r="T24" s="123"/>
      <c r="U24" s="123"/>
      <c r="V24" s="123"/>
      <c r="W24" s="123"/>
      <c r="X24" s="123"/>
      <c r="Y24" s="123"/>
      <c r="Z24" s="123"/>
      <c r="AA24" s="123"/>
      <c r="AB24" s="123"/>
      <c r="AC24" s="123"/>
      <c r="AD24" s="123"/>
      <c r="AE24" s="123"/>
      <c r="AF24" s="123"/>
      <c r="AG24" s="123"/>
      <c r="AH24" s="123"/>
      <c r="AI24" s="123"/>
      <c r="AJ24" s="123"/>
      <c r="AK24" s="123"/>
      <c r="AL24" s="123"/>
      <c r="AM24" s="123"/>
      <c r="AN24" s="123"/>
      <c r="AO24" s="123"/>
      <c r="AP24" s="123"/>
      <c r="AQ24" s="123"/>
      <c r="AR24" s="123"/>
      <c r="AS24" s="123"/>
      <c r="AT24" s="123"/>
      <c r="AU24" s="123"/>
      <c r="AV24" s="123"/>
      <c r="AW24" s="124"/>
      <c r="AX24" s="118"/>
      <c r="AY24" s="118"/>
      <c r="AZ24" s="118"/>
      <c r="BA24" s="118"/>
      <c r="BB24" s="118"/>
      <c r="BC24" s="119"/>
      <c r="BD24" s="121"/>
      <c r="BE24" s="118"/>
      <c r="BF24" s="118"/>
      <c r="BG24" s="118"/>
      <c r="BH24" s="118"/>
      <c r="BI24" s="118"/>
      <c r="BJ24" s="119"/>
      <c r="BK24" s="23"/>
    </row>
    <row r="25" spans="1:63" ht="15" customHeight="1" x14ac:dyDescent="0.25">
      <c r="A25" s="22"/>
      <c r="B25" s="71"/>
      <c r="C25" s="72"/>
      <c r="D25" s="72"/>
      <c r="E25" s="72"/>
      <c r="F25" s="72"/>
      <c r="G25" s="73"/>
      <c r="H25" s="71"/>
      <c r="I25" s="72"/>
      <c r="J25" s="72"/>
      <c r="K25" s="72"/>
      <c r="L25" s="72"/>
      <c r="M25" s="72"/>
      <c r="N25" s="73"/>
      <c r="O25" s="71"/>
      <c r="P25" s="72"/>
      <c r="Q25" s="72"/>
      <c r="R25" s="72"/>
      <c r="S25" s="113"/>
      <c r="T25" s="114"/>
      <c r="U25" s="114"/>
      <c r="V25" s="114"/>
      <c r="W25" s="114"/>
      <c r="X25" s="114"/>
      <c r="Y25" s="114"/>
      <c r="Z25" s="114"/>
      <c r="AA25" s="114"/>
      <c r="AB25" s="114"/>
      <c r="AC25" s="114"/>
      <c r="AD25" s="114"/>
      <c r="AE25" s="114"/>
      <c r="AF25" s="114"/>
      <c r="AG25" s="114"/>
      <c r="AH25" s="114"/>
      <c r="AI25" s="114"/>
      <c r="AJ25" s="114"/>
      <c r="AK25" s="114"/>
      <c r="AL25" s="114"/>
      <c r="AM25" s="114"/>
      <c r="AN25" s="114"/>
      <c r="AO25" s="114"/>
      <c r="AP25" s="114"/>
      <c r="AQ25" s="114"/>
      <c r="AR25" s="114"/>
      <c r="AS25" s="114"/>
      <c r="AT25" s="114"/>
      <c r="AU25" s="114"/>
      <c r="AV25" s="114"/>
      <c r="AW25" s="115"/>
      <c r="AX25" s="116"/>
      <c r="AY25" s="116"/>
      <c r="AZ25" s="116"/>
      <c r="BA25" s="116"/>
      <c r="BB25" s="116"/>
      <c r="BC25" s="117"/>
      <c r="BD25" s="120"/>
      <c r="BE25" s="116"/>
      <c r="BF25" s="116"/>
      <c r="BG25" s="116"/>
      <c r="BH25" s="116"/>
      <c r="BI25" s="116"/>
      <c r="BJ25" s="117"/>
      <c r="BK25" s="23"/>
    </row>
    <row r="26" spans="1:63" ht="15" customHeight="1" x14ac:dyDescent="0.25">
      <c r="A26" s="22"/>
      <c r="B26" s="74"/>
      <c r="C26" s="75"/>
      <c r="D26" s="75"/>
      <c r="E26" s="75"/>
      <c r="F26" s="75"/>
      <c r="G26" s="76"/>
      <c r="H26" s="74"/>
      <c r="I26" s="75"/>
      <c r="J26" s="75"/>
      <c r="K26" s="75"/>
      <c r="L26" s="75"/>
      <c r="M26" s="75"/>
      <c r="N26" s="76"/>
      <c r="O26" s="74"/>
      <c r="P26" s="75"/>
      <c r="Q26" s="75"/>
      <c r="R26" s="75"/>
      <c r="S26" s="122"/>
      <c r="T26" s="123"/>
      <c r="U26" s="123"/>
      <c r="V26" s="123"/>
      <c r="W26" s="123"/>
      <c r="X26" s="123"/>
      <c r="Y26" s="123"/>
      <c r="Z26" s="123"/>
      <c r="AA26" s="123"/>
      <c r="AB26" s="123"/>
      <c r="AC26" s="123"/>
      <c r="AD26" s="123"/>
      <c r="AE26" s="123"/>
      <c r="AF26" s="123"/>
      <c r="AG26" s="123"/>
      <c r="AH26" s="123"/>
      <c r="AI26" s="123"/>
      <c r="AJ26" s="123"/>
      <c r="AK26" s="123"/>
      <c r="AL26" s="123"/>
      <c r="AM26" s="123"/>
      <c r="AN26" s="123"/>
      <c r="AO26" s="123"/>
      <c r="AP26" s="123"/>
      <c r="AQ26" s="123"/>
      <c r="AR26" s="123"/>
      <c r="AS26" s="123"/>
      <c r="AT26" s="123"/>
      <c r="AU26" s="123"/>
      <c r="AV26" s="123"/>
      <c r="AW26" s="124"/>
      <c r="AX26" s="118"/>
      <c r="AY26" s="118"/>
      <c r="AZ26" s="118"/>
      <c r="BA26" s="118"/>
      <c r="BB26" s="118"/>
      <c r="BC26" s="119"/>
      <c r="BD26" s="121"/>
      <c r="BE26" s="118"/>
      <c r="BF26" s="118"/>
      <c r="BG26" s="118"/>
      <c r="BH26" s="118"/>
      <c r="BI26" s="118"/>
      <c r="BJ26" s="119"/>
      <c r="BK26" s="23"/>
    </row>
    <row r="27" spans="1:63" ht="15" customHeight="1" x14ac:dyDescent="0.25">
      <c r="A27" s="22"/>
      <c r="B27" s="71"/>
      <c r="C27" s="72"/>
      <c r="D27" s="72"/>
      <c r="E27" s="72"/>
      <c r="F27" s="72"/>
      <c r="G27" s="73"/>
      <c r="H27" s="71"/>
      <c r="I27" s="72"/>
      <c r="J27" s="72"/>
      <c r="K27" s="72"/>
      <c r="L27" s="72"/>
      <c r="M27" s="72"/>
      <c r="N27" s="73"/>
      <c r="O27" s="71"/>
      <c r="P27" s="72"/>
      <c r="Q27" s="72"/>
      <c r="R27" s="72"/>
      <c r="S27" s="113"/>
      <c r="T27" s="114"/>
      <c r="U27" s="114"/>
      <c r="V27" s="114"/>
      <c r="W27" s="114"/>
      <c r="X27" s="114"/>
      <c r="Y27" s="114"/>
      <c r="Z27" s="114"/>
      <c r="AA27" s="114"/>
      <c r="AB27" s="114"/>
      <c r="AC27" s="114"/>
      <c r="AD27" s="114"/>
      <c r="AE27" s="114"/>
      <c r="AF27" s="114"/>
      <c r="AG27" s="114"/>
      <c r="AH27" s="114"/>
      <c r="AI27" s="114"/>
      <c r="AJ27" s="114"/>
      <c r="AK27" s="114"/>
      <c r="AL27" s="114"/>
      <c r="AM27" s="114"/>
      <c r="AN27" s="114"/>
      <c r="AO27" s="114"/>
      <c r="AP27" s="114"/>
      <c r="AQ27" s="114"/>
      <c r="AR27" s="114"/>
      <c r="AS27" s="114"/>
      <c r="AT27" s="114"/>
      <c r="AU27" s="114"/>
      <c r="AV27" s="114"/>
      <c r="AW27" s="115"/>
      <c r="AX27" s="116"/>
      <c r="AY27" s="116"/>
      <c r="AZ27" s="116"/>
      <c r="BA27" s="116"/>
      <c r="BB27" s="116"/>
      <c r="BC27" s="117"/>
      <c r="BD27" s="120"/>
      <c r="BE27" s="116"/>
      <c r="BF27" s="116"/>
      <c r="BG27" s="116"/>
      <c r="BH27" s="116"/>
      <c r="BI27" s="116"/>
      <c r="BJ27" s="117"/>
      <c r="BK27" s="23"/>
    </row>
    <row r="28" spans="1:63" ht="15" customHeight="1" x14ac:dyDescent="0.25">
      <c r="A28" s="22"/>
      <c r="B28" s="74"/>
      <c r="C28" s="75"/>
      <c r="D28" s="75"/>
      <c r="E28" s="75"/>
      <c r="F28" s="75"/>
      <c r="G28" s="76"/>
      <c r="H28" s="74"/>
      <c r="I28" s="75"/>
      <c r="J28" s="75"/>
      <c r="K28" s="75"/>
      <c r="L28" s="75"/>
      <c r="M28" s="75"/>
      <c r="N28" s="76"/>
      <c r="O28" s="74"/>
      <c r="P28" s="75"/>
      <c r="Q28" s="75"/>
      <c r="R28" s="75"/>
      <c r="S28" s="122"/>
      <c r="T28" s="123"/>
      <c r="U28" s="123"/>
      <c r="V28" s="123"/>
      <c r="W28" s="123"/>
      <c r="X28" s="123"/>
      <c r="Y28" s="123"/>
      <c r="Z28" s="123"/>
      <c r="AA28" s="123"/>
      <c r="AB28" s="123"/>
      <c r="AC28" s="123"/>
      <c r="AD28" s="123"/>
      <c r="AE28" s="123"/>
      <c r="AF28" s="123"/>
      <c r="AG28" s="123"/>
      <c r="AH28" s="123"/>
      <c r="AI28" s="123"/>
      <c r="AJ28" s="123"/>
      <c r="AK28" s="123"/>
      <c r="AL28" s="123"/>
      <c r="AM28" s="123"/>
      <c r="AN28" s="123"/>
      <c r="AO28" s="123"/>
      <c r="AP28" s="123"/>
      <c r="AQ28" s="123"/>
      <c r="AR28" s="123"/>
      <c r="AS28" s="123"/>
      <c r="AT28" s="123"/>
      <c r="AU28" s="123"/>
      <c r="AV28" s="123"/>
      <c r="AW28" s="124"/>
      <c r="AX28" s="118"/>
      <c r="AY28" s="118"/>
      <c r="AZ28" s="118"/>
      <c r="BA28" s="118"/>
      <c r="BB28" s="118"/>
      <c r="BC28" s="119"/>
      <c r="BD28" s="121"/>
      <c r="BE28" s="118"/>
      <c r="BF28" s="118"/>
      <c r="BG28" s="118"/>
      <c r="BH28" s="118"/>
      <c r="BI28" s="118"/>
      <c r="BJ28" s="119"/>
      <c r="BK28" s="23"/>
    </row>
    <row r="29" spans="1:63" ht="15" customHeight="1" x14ac:dyDescent="0.25">
      <c r="A29" s="22"/>
      <c r="B29" s="71"/>
      <c r="C29" s="72"/>
      <c r="D29" s="72"/>
      <c r="E29" s="72"/>
      <c r="F29" s="72"/>
      <c r="G29" s="73"/>
      <c r="H29" s="71"/>
      <c r="I29" s="72"/>
      <c r="J29" s="72"/>
      <c r="K29" s="72"/>
      <c r="L29" s="72"/>
      <c r="M29" s="72"/>
      <c r="N29" s="73"/>
      <c r="O29" s="71"/>
      <c r="P29" s="72"/>
      <c r="Q29" s="72"/>
      <c r="R29" s="72"/>
      <c r="S29" s="113"/>
      <c r="T29" s="114"/>
      <c r="U29" s="114"/>
      <c r="V29" s="114"/>
      <c r="W29" s="114"/>
      <c r="X29" s="114"/>
      <c r="Y29" s="114"/>
      <c r="Z29" s="114"/>
      <c r="AA29" s="114"/>
      <c r="AB29" s="114"/>
      <c r="AC29" s="114"/>
      <c r="AD29" s="114"/>
      <c r="AE29" s="114"/>
      <c r="AF29" s="114"/>
      <c r="AG29" s="114"/>
      <c r="AH29" s="114"/>
      <c r="AI29" s="114"/>
      <c r="AJ29" s="114"/>
      <c r="AK29" s="114"/>
      <c r="AL29" s="114"/>
      <c r="AM29" s="114"/>
      <c r="AN29" s="114"/>
      <c r="AO29" s="114"/>
      <c r="AP29" s="114"/>
      <c r="AQ29" s="114"/>
      <c r="AR29" s="114"/>
      <c r="AS29" s="114"/>
      <c r="AT29" s="114"/>
      <c r="AU29" s="114"/>
      <c r="AV29" s="114"/>
      <c r="AW29" s="115"/>
      <c r="AX29" s="116"/>
      <c r="AY29" s="116"/>
      <c r="AZ29" s="116"/>
      <c r="BA29" s="116"/>
      <c r="BB29" s="116"/>
      <c r="BC29" s="117"/>
      <c r="BD29" s="120"/>
      <c r="BE29" s="116"/>
      <c r="BF29" s="116"/>
      <c r="BG29" s="116"/>
      <c r="BH29" s="116"/>
      <c r="BI29" s="116"/>
      <c r="BJ29" s="117"/>
      <c r="BK29" s="23"/>
    </row>
    <row r="30" spans="1:63" ht="15" customHeight="1" x14ac:dyDescent="0.25">
      <c r="A30" s="22"/>
      <c r="B30" s="74"/>
      <c r="C30" s="75"/>
      <c r="D30" s="75"/>
      <c r="E30" s="75"/>
      <c r="F30" s="75"/>
      <c r="G30" s="76"/>
      <c r="H30" s="74"/>
      <c r="I30" s="75"/>
      <c r="J30" s="75"/>
      <c r="K30" s="75"/>
      <c r="L30" s="75"/>
      <c r="M30" s="75"/>
      <c r="N30" s="76"/>
      <c r="O30" s="74"/>
      <c r="P30" s="75"/>
      <c r="Q30" s="75"/>
      <c r="R30" s="75"/>
      <c r="S30" s="122"/>
      <c r="T30" s="123"/>
      <c r="U30" s="123"/>
      <c r="V30" s="123"/>
      <c r="W30" s="123"/>
      <c r="X30" s="123"/>
      <c r="Y30" s="123"/>
      <c r="Z30" s="123"/>
      <c r="AA30" s="123"/>
      <c r="AB30" s="123"/>
      <c r="AC30" s="123"/>
      <c r="AD30" s="123"/>
      <c r="AE30" s="123"/>
      <c r="AF30" s="123"/>
      <c r="AG30" s="123"/>
      <c r="AH30" s="123"/>
      <c r="AI30" s="123"/>
      <c r="AJ30" s="123"/>
      <c r="AK30" s="123"/>
      <c r="AL30" s="123"/>
      <c r="AM30" s="123"/>
      <c r="AN30" s="123"/>
      <c r="AO30" s="123"/>
      <c r="AP30" s="123"/>
      <c r="AQ30" s="123"/>
      <c r="AR30" s="123"/>
      <c r="AS30" s="123"/>
      <c r="AT30" s="123"/>
      <c r="AU30" s="123"/>
      <c r="AV30" s="123"/>
      <c r="AW30" s="124"/>
      <c r="AX30" s="118"/>
      <c r="AY30" s="118"/>
      <c r="AZ30" s="118"/>
      <c r="BA30" s="118"/>
      <c r="BB30" s="118"/>
      <c r="BC30" s="119"/>
      <c r="BD30" s="121"/>
      <c r="BE30" s="118"/>
      <c r="BF30" s="118"/>
      <c r="BG30" s="118"/>
      <c r="BH30" s="118"/>
      <c r="BI30" s="118"/>
      <c r="BJ30" s="119"/>
      <c r="BK30" s="23"/>
    </row>
    <row r="31" spans="1:63" ht="15" customHeight="1" x14ac:dyDescent="0.25">
      <c r="A31" s="22"/>
      <c r="B31" s="71"/>
      <c r="C31" s="72"/>
      <c r="D31" s="72"/>
      <c r="E31" s="72"/>
      <c r="F31" s="72"/>
      <c r="G31" s="73"/>
      <c r="H31" s="71"/>
      <c r="I31" s="72"/>
      <c r="J31" s="72"/>
      <c r="K31" s="72"/>
      <c r="L31" s="72"/>
      <c r="M31" s="72"/>
      <c r="N31" s="73"/>
      <c r="O31" s="71"/>
      <c r="P31" s="72"/>
      <c r="Q31" s="72"/>
      <c r="R31" s="72"/>
      <c r="S31" s="113"/>
      <c r="T31" s="114"/>
      <c r="U31" s="114"/>
      <c r="V31" s="114"/>
      <c r="W31" s="114"/>
      <c r="X31" s="114"/>
      <c r="Y31" s="114"/>
      <c r="Z31" s="114"/>
      <c r="AA31" s="114"/>
      <c r="AB31" s="114"/>
      <c r="AC31" s="114"/>
      <c r="AD31" s="114"/>
      <c r="AE31" s="114"/>
      <c r="AF31" s="114"/>
      <c r="AG31" s="114"/>
      <c r="AH31" s="114"/>
      <c r="AI31" s="114"/>
      <c r="AJ31" s="114"/>
      <c r="AK31" s="114"/>
      <c r="AL31" s="114"/>
      <c r="AM31" s="114"/>
      <c r="AN31" s="114"/>
      <c r="AO31" s="114"/>
      <c r="AP31" s="114"/>
      <c r="AQ31" s="114"/>
      <c r="AR31" s="114"/>
      <c r="AS31" s="114"/>
      <c r="AT31" s="114"/>
      <c r="AU31" s="114"/>
      <c r="AV31" s="114"/>
      <c r="AW31" s="115"/>
      <c r="AX31" s="116"/>
      <c r="AY31" s="116"/>
      <c r="AZ31" s="116"/>
      <c r="BA31" s="116"/>
      <c r="BB31" s="116"/>
      <c r="BC31" s="117"/>
      <c r="BD31" s="120"/>
      <c r="BE31" s="116"/>
      <c r="BF31" s="116"/>
      <c r="BG31" s="116"/>
      <c r="BH31" s="116"/>
      <c r="BI31" s="116"/>
      <c r="BJ31" s="117"/>
      <c r="BK31" s="23"/>
    </row>
    <row r="32" spans="1:63" ht="15" customHeight="1" x14ac:dyDescent="0.25">
      <c r="A32" s="22"/>
      <c r="B32" s="74"/>
      <c r="C32" s="75"/>
      <c r="D32" s="75"/>
      <c r="E32" s="75"/>
      <c r="F32" s="75"/>
      <c r="G32" s="76"/>
      <c r="H32" s="74"/>
      <c r="I32" s="75"/>
      <c r="J32" s="75"/>
      <c r="K32" s="75"/>
      <c r="L32" s="75"/>
      <c r="M32" s="75"/>
      <c r="N32" s="76"/>
      <c r="O32" s="74"/>
      <c r="P32" s="75"/>
      <c r="Q32" s="75"/>
      <c r="R32" s="75"/>
      <c r="S32" s="122"/>
      <c r="T32" s="123"/>
      <c r="U32" s="123"/>
      <c r="V32" s="123"/>
      <c r="W32" s="123"/>
      <c r="X32" s="123"/>
      <c r="Y32" s="123"/>
      <c r="Z32" s="123"/>
      <c r="AA32" s="123"/>
      <c r="AB32" s="123"/>
      <c r="AC32" s="123"/>
      <c r="AD32" s="123"/>
      <c r="AE32" s="123"/>
      <c r="AF32" s="123"/>
      <c r="AG32" s="123"/>
      <c r="AH32" s="123"/>
      <c r="AI32" s="123"/>
      <c r="AJ32" s="123"/>
      <c r="AK32" s="123"/>
      <c r="AL32" s="123"/>
      <c r="AM32" s="123"/>
      <c r="AN32" s="123"/>
      <c r="AO32" s="123"/>
      <c r="AP32" s="123"/>
      <c r="AQ32" s="123"/>
      <c r="AR32" s="123"/>
      <c r="AS32" s="123"/>
      <c r="AT32" s="123"/>
      <c r="AU32" s="123"/>
      <c r="AV32" s="123"/>
      <c r="AW32" s="124"/>
      <c r="AX32" s="118"/>
      <c r="AY32" s="118"/>
      <c r="AZ32" s="118"/>
      <c r="BA32" s="118"/>
      <c r="BB32" s="118"/>
      <c r="BC32" s="119"/>
      <c r="BD32" s="121"/>
      <c r="BE32" s="118"/>
      <c r="BF32" s="118"/>
      <c r="BG32" s="118"/>
      <c r="BH32" s="118"/>
      <c r="BI32" s="118"/>
      <c r="BJ32" s="119"/>
      <c r="BK32" s="23"/>
    </row>
    <row r="33" spans="1:63" ht="15" customHeight="1" x14ac:dyDescent="0.25">
      <c r="A33" s="22"/>
      <c r="B33" s="71"/>
      <c r="C33" s="72"/>
      <c r="D33" s="72"/>
      <c r="E33" s="72"/>
      <c r="F33" s="72"/>
      <c r="G33" s="73"/>
      <c r="H33" s="71"/>
      <c r="I33" s="72"/>
      <c r="J33" s="72"/>
      <c r="K33" s="72"/>
      <c r="L33" s="72"/>
      <c r="M33" s="72"/>
      <c r="N33" s="73"/>
      <c r="O33" s="71"/>
      <c r="P33" s="72"/>
      <c r="Q33" s="72"/>
      <c r="R33" s="72"/>
      <c r="S33" s="113"/>
      <c r="T33" s="114"/>
      <c r="U33" s="114"/>
      <c r="V33" s="114"/>
      <c r="W33" s="114"/>
      <c r="X33" s="114"/>
      <c r="Y33" s="114"/>
      <c r="Z33" s="114"/>
      <c r="AA33" s="114"/>
      <c r="AB33" s="114"/>
      <c r="AC33" s="114"/>
      <c r="AD33" s="114"/>
      <c r="AE33" s="114"/>
      <c r="AF33" s="114"/>
      <c r="AG33" s="114"/>
      <c r="AH33" s="114"/>
      <c r="AI33" s="114"/>
      <c r="AJ33" s="114"/>
      <c r="AK33" s="114"/>
      <c r="AL33" s="114"/>
      <c r="AM33" s="114"/>
      <c r="AN33" s="114"/>
      <c r="AO33" s="114"/>
      <c r="AP33" s="114"/>
      <c r="AQ33" s="114"/>
      <c r="AR33" s="114"/>
      <c r="AS33" s="114"/>
      <c r="AT33" s="114"/>
      <c r="AU33" s="114"/>
      <c r="AV33" s="114"/>
      <c r="AW33" s="115"/>
      <c r="AX33" s="116"/>
      <c r="AY33" s="116"/>
      <c r="AZ33" s="116"/>
      <c r="BA33" s="116"/>
      <c r="BB33" s="116"/>
      <c r="BC33" s="117"/>
      <c r="BD33" s="120"/>
      <c r="BE33" s="116"/>
      <c r="BF33" s="116"/>
      <c r="BG33" s="116"/>
      <c r="BH33" s="116"/>
      <c r="BI33" s="116"/>
      <c r="BJ33" s="117"/>
      <c r="BK33" s="23"/>
    </row>
    <row r="34" spans="1:63" ht="15" customHeight="1" x14ac:dyDescent="0.25">
      <c r="A34" s="22"/>
      <c r="B34" s="74"/>
      <c r="C34" s="75"/>
      <c r="D34" s="75"/>
      <c r="E34" s="75"/>
      <c r="F34" s="75"/>
      <c r="G34" s="76"/>
      <c r="H34" s="74"/>
      <c r="I34" s="75"/>
      <c r="J34" s="75"/>
      <c r="K34" s="75"/>
      <c r="L34" s="75"/>
      <c r="M34" s="75"/>
      <c r="N34" s="76"/>
      <c r="O34" s="74"/>
      <c r="P34" s="75"/>
      <c r="Q34" s="75"/>
      <c r="R34" s="75"/>
      <c r="S34" s="122"/>
      <c r="T34" s="123"/>
      <c r="U34" s="123"/>
      <c r="V34" s="123"/>
      <c r="W34" s="123"/>
      <c r="X34" s="123"/>
      <c r="Y34" s="123"/>
      <c r="Z34" s="123"/>
      <c r="AA34" s="123"/>
      <c r="AB34" s="123"/>
      <c r="AC34" s="123"/>
      <c r="AD34" s="123"/>
      <c r="AE34" s="123"/>
      <c r="AF34" s="123"/>
      <c r="AG34" s="123"/>
      <c r="AH34" s="123"/>
      <c r="AI34" s="123"/>
      <c r="AJ34" s="123"/>
      <c r="AK34" s="123"/>
      <c r="AL34" s="123"/>
      <c r="AM34" s="123"/>
      <c r="AN34" s="123"/>
      <c r="AO34" s="123"/>
      <c r="AP34" s="123"/>
      <c r="AQ34" s="123"/>
      <c r="AR34" s="123"/>
      <c r="AS34" s="123"/>
      <c r="AT34" s="123"/>
      <c r="AU34" s="123"/>
      <c r="AV34" s="123"/>
      <c r="AW34" s="124"/>
      <c r="AX34" s="118"/>
      <c r="AY34" s="118"/>
      <c r="AZ34" s="118"/>
      <c r="BA34" s="118"/>
      <c r="BB34" s="118"/>
      <c r="BC34" s="119"/>
      <c r="BD34" s="121"/>
      <c r="BE34" s="118"/>
      <c r="BF34" s="118"/>
      <c r="BG34" s="118"/>
      <c r="BH34" s="118"/>
      <c r="BI34" s="118"/>
      <c r="BJ34" s="119"/>
      <c r="BK34" s="23"/>
    </row>
    <row r="35" spans="1:63" ht="15" customHeight="1" x14ac:dyDescent="0.25">
      <c r="A35" s="22"/>
      <c r="B35" s="71"/>
      <c r="C35" s="72"/>
      <c r="D35" s="72"/>
      <c r="E35" s="72"/>
      <c r="F35" s="72"/>
      <c r="G35" s="73"/>
      <c r="H35" s="71"/>
      <c r="I35" s="72"/>
      <c r="J35" s="72"/>
      <c r="K35" s="72"/>
      <c r="L35" s="72"/>
      <c r="M35" s="72"/>
      <c r="N35" s="73"/>
      <c r="O35" s="71"/>
      <c r="P35" s="72"/>
      <c r="Q35" s="72"/>
      <c r="R35" s="72"/>
      <c r="S35" s="113"/>
      <c r="T35" s="114"/>
      <c r="U35" s="114"/>
      <c r="V35" s="114"/>
      <c r="W35" s="114"/>
      <c r="X35" s="114"/>
      <c r="Y35" s="114"/>
      <c r="Z35" s="114"/>
      <c r="AA35" s="114"/>
      <c r="AB35" s="114"/>
      <c r="AC35" s="114"/>
      <c r="AD35" s="114"/>
      <c r="AE35" s="114"/>
      <c r="AF35" s="114"/>
      <c r="AG35" s="114"/>
      <c r="AH35" s="114"/>
      <c r="AI35" s="114"/>
      <c r="AJ35" s="114"/>
      <c r="AK35" s="114"/>
      <c r="AL35" s="114"/>
      <c r="AM35" s="114"/>
      <c r="AN35" s="114"/>
      <c r="AO35" s="114"/>
      <c r="AP35" s="114"/>
      <c r="AQ35" s="114"/>
      <c r="AR35" s="114"/>
      <c r="AS35" s="114"/>
      <c r="AT35" s="114"/>
      <c r="AU35" s="114"/>
      <c r="AV35" s="114"/>
      <c r="AW35" s="115"/>
      <c r="AX35" s="116"/>
      <c r="AY35" s="116"/>
      <c r="AZ35" s="116"/>
      <c r="BA35" s="116"/>
      <c r="BB35" s="116"/>
      <c r="BC35" s="117"/>
      <c r="BD35" s="120"/>
      <c r="BE35" s="116"/>
      <c r="BF35" s="116"/>
      <c r="BG35" s="116"/>
      <c r="BH35" s="116"/>
      <c r="BI35" s="116"/>
      <c r="BJ35" s="117"/>
      <c r="BK35" s="23"/>
    </row>
    <row r="36" spans="1:63" ht="15" customHeight="1" x14ac:dyDescent="0.25">
      <c r="A36" s="22"/>
      <c r="B36" s="74"/>
      <c r="C36" s="75"/>
      <c r="D36" s="75"/>
      <c r="E36" s="75"/>
      <c r="F36" s="75"/>
      <c r="G36" s="76"/>
      <c r="H36" s="74"/>
      <c r="I36" s="75"/>
      <c r="J36" s="75"/>
      <c r="K36" s="75"/>
      <c r="L36" s="75"/>
      <c r="M36" s="75"/>
      <c r="N36" s="76"/>
      <c r="O36" s="74"/>
      <c r="P36" s="75"/>
      <c r="Q36" s="75"/>
      <c r="R36" s="75"/>
      <c r="S36" s="122"/>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4"/>
      <c r="AX36" s="118"/>
      <c r="AY36" s="118"/>
      <c r="AZ36" s="118"/>
      <c r="BA36" s="118"/>
      <c r="BB36" s="118"/>
      <c r="BC36" s="119"/>
      <c r="BD36" s="121"/>
      <c r="BE36" s="118"/>
      <c r="BF36" s="118"/>
      <c r="BG36" s="118"/>
      <c r="BH36" s="118"/>
      <c r="BI36" s="118"/>
      <c r="BJ36" s="119"/>
      <c r="BK36" s="23"/>
    </row>
    <row r="37" spans="1:63" ht="15" customHeight="1" x14ac:dyDescent="0.25">
      <c r="A37" s="22"/>
      <c r="B37" s="71"/>
      <c r="C37" s="72"/>
      <c r="D37" s="72"/>
      <c r="E37" s="72"/>
      <c r="F37" s="72"/>
      <c r="G37" s="73"/>
      <c r="H37" s="71"/>
      <c r="I37" s="72"/>
      <c r="J37" s="72"/>
      <c r="K37" s="72"/>
      <c r="L37" s="72"/>
      <c r="M37" s="72"/>
      <c r="N37" s="73"/>
      <c r="O37" s="71"/>
      <c r="P37" s="72"/>
      <c r="Q37" s="72"/>
      <c r="R37" s="72"/>
      <c r="S37" s="113"/>
      <c r="T37" s="114"/>
      <c r="U37" s="114"/>
      <c r="V37" s="114"/>
      <c r="W37" s="114"/>
      <c r="X37" s="114"/>
      <c r="Y37" s="114"/>
      <c r="Z37" s="114"/>
      <c r="AA37" s="114"/>
      <c r="AB37" s="114"/>
      <c r="AC37" s="114"/>
      <c r="AD37" s="114"/>
      <c r="AE37" s="114"/>
      <c r="AF37" s="114"/>
      <c r="AG37" s="114"/>
      <c r="AH37" s="114"/>
      <c r="AI37" s="114"/>
      <c r="AJ37" s="114"/>
      <c r="AK37" s="114"/>
      <c r="AL37" s="114"/>
      <c r="AM37" s="114"/>
      <c r="AN37" s="114"/>
      <c r="AO37" s="114"/>
      <c r="AP37" s="114"/>
      <c r="AQ37" s="114"/>
      <c r="AR37" s="114"/>
      <c r="AS37" s="114"/>
      <c r="AT37" s="114"/>
      <c r="AU37" s="114"/>
      <c r="AV37" s="114"/>
      <c r="AW37" s="115"/>
      <c r="AX37" s="116"/>
      <c r="AY37" s="116"/>
      <c r="AZ37" s="116"/>
      <c r="BA37" s="116"/>
      <c r="BB37" s="116"/>
      <c r="BC37" s="117"/>
      <c r="BD37" s="120"/>
      <c r="BE37" s="116"/>
      <c r="BF37" s="116"/>
      <c r="BG37" s="116"/>
      <c r="BH37" s="116"/>
      <c r="BI37" s="116"/>
      <c r="BJ37" s="117"/>
      <c r="BK37" s="23"/>
    </row>
    <row r="38" spans="1:63" ht="15" customHeight="1" x14ac:dyDescent="0.25">
      <c r="A38" s="22"/>
      <c r="B38" s="74"/>
      <c r="C38" s="75"/>
      <c r="D38" s="75"/>
      <c r="E38" s="75"/>
      <c r="F38" s="75"/>
      <c r="G38" s="76"/>
      <c r="H38" s="74"/>
      <c r="I38" s="75"/>
      <c r="J38" s="75"/>
      <c r="K38" s="75"/>
      <c r="L38" s="75"/>
      <c r="M38" s="75"/>
      <c r="N38" s="76"/>
      <c r="O38" s="74"/>
      <c r="P38" s="75"/>
      <c r="Q38" s="75"/>
      <c r="R38" s="75"/>
      <c r="S38" s="122"/>
      <c r="T38" s="123"/>
      <c r="U38" s="123"/>
      <c r="V38" s="123"/>
      <c r="W38" s="123"/>
      <c r="X38" s="123"/>
      <c r="Y38" s="123"/>
      <c r="Z38" s="123"/>
      <c r="AA38" s="123"/>
      <c r="AB38" s="123"/>
      <c r="AC38" s="123"/>
      <c r="AD38" s="123"/>
      <c r="AE38" s="123"/>
      <c r="AF38" s="123"/>
      <c r="AG38" s="123"/>
      <c r="AH38" s="123"/>
      <c r="AI38" s="123"/>
      <c r="AJ38" s="123"/>
      <c r="AK38" s="123"/>
      <c r="AL38" s="123"/>
      <c r="AM38" s="123"/>
      <c r="AN38" s="123"/>
      <c r="AO38" s="123"/>
      <c r="AP38" s="123"/>
      <c r="AQ38" s="123"/>
      <c r="AR38" s="123"/>
      <c r="AS38" s="123"/>
      <c r="AT38" s="123"/>
      <c r="AU38" s="123"/>
      <c r="AV38" s="123"/>
      <c r="AW38" s="124"/>
      <c r="AX38" s="118"/>
      <c r="AY38" s="118"/>
      <c r="AZ38" s="118"/>
      <c r="BA38" s="118"/>
      <c r="BB38" s="118"/>
      <c r="BC38" s="119"/>
      <c r="BD38" s="121"/>
      <c r="BE38" s="118"/>
      <c r="BF38" s="118"/>
      <c r="BG38" s="118"/>
      <c r="BH38" s="118"/>
      <c r="BI38" s="118"/>
      <c r="BJ38" s="119"/>
      <c r="BK38" s="23"/>
    </row>
    <row r="39" spans="1:63" ht="15" customHeight="1" x14ac:dyDescent="0.25">
      <c r="A39" s="22"/>
      <c r="B39" s="71"/>
      <c r="C39" s="72"/>
      <c r="D39" s="72"/>
      <c r="E39" s="72"/>
      <c r="F39" s="72"/>
      <c r="G39" s="73"/>
      <c r="H39" s="71"/>
      <c r="I39" s="72"/>
      <c r="J39" s="72"/>
      <c r="K39" s="72"/>
      <c r="L39" s="72"/>
      <c r="M39" s="72"/>
      <c r="N39" s="73"/>
      <c r="O39" s="71"/>
      <c r="P39" s="72"/>
      <c r="Q39" s="72"/>
      <c r="R39" s="72"/>
      <c r="S39" s="113"/>
      <c r="T39" s="114"/>
      <c r="U39" s="114"/>
      <c r="V39" s="114"/>
      <c r="W39" s="114"/>
      <c r="X39" s="114"/>
      <c r="Y39" s="114"/>
      <c r="Z39" s="114"/>
      <c r="AA39" s="114"/>
      <c r="AB39" s="114"/>
      <c r="AC39" s="114"/>
      <c r="AD39" s="114"/>
      <c r="AE39" s="114"/>
      <c r="AF39" s="114"/>
      <c r="AG39" s="114"/>
      <c r="AH39" s="114"/>
      <c r="AI39" s="114"/>
      <c r="AJ39" s="114"/>
      <c r="AK39" s="114"/>
      <c r="AL39" s="114"/>
      <c r="AM39" s="114"/>
      <c r="AN39" s="114"/>
      <c r="AO39" s="114"/>
      <c r="AP39" s="114"/>
      <c r="AQ39" s="114"/>
      <c r="AR39" s="114"/>
      <c r="AS39" s="114"/>
      <c r="AT39" s="114"/>
      <c r="AU39" s="114"/>
      <c r="AV39" s="114"/>
      <c r="AW39" s="115"/>
      <c r="AX39" s="116"/>
      <c r="AY39" s="116"/>
      <c r="AZ39" s="116"/>
      <c r="BA39" s="116"/>
      <c r="BB39" s="116"/>
      <c r="BC39" s="117"/>
      <c r="BD39" s="120"/>
      <c r="BE39" s="116"/>
      <c r="BF39" s="116"/>
      <c r="BG39" s="116"/>
      <c r="BH39" s="116"/>
      <c r="BI39" s="116"/>
      <c r="BJ39" s="117"/>
      <c r="BK39" s="23"/>
    </row>
    <row r="40" spans="1:63" ht="15" customHeight="1" x14ac:dyDescent="0.25">
      <c r="A40" s="22"/>
      <c r="B40" s="74"/>
      <c r="C40" s="75"/>
      <c r="D40" s="75"/>
      <c r="E40" s="75"/>
      <c r="F40" s="75"/>
      <c r="G40" s="76"/>
      <c r="H40" s="74"/>
      <c r="I40" s="75"/>
      <c r="J40" s="75"/>
      <c r="K40" s="75"/>
      <c r="L40" s="75"/>
      <c r="M40" s="75"/>
      <c r="N40" s="76"/>
      <c r="O40" s="74"/>
      <c r="P40" s="75"/>
      <c r="Q40" s="75"/>
      <c r="R40" s="75"/>
      <c r="S40" s="122"/>
      <c r="T40" s="123"/>
      <c r="U40" s="123"/>
      <c r="V40" s="123"/>
      <c r="W40" s="123"/>
      <c r="X40" s="123"/>
      <c r="Y40" s="123"/>
      <c r="Z40" s="123"/>
      <c r="AA40" s="123"/>
      <c r="AB40" s="123"/>
      <c r="AC40" s="123"/>
      <c r="AD40" s="123"/>
      <c r="AE40" s="123"/>
      <c r="AF40" s="123"/>
      <c r="AG40" s="123"/>
      <c r="AH40" s="123"/>
      <c r="AI40" s="123"/>
      <c r="AJ40" s="123"/>
      <c r="AK40" s="123"/>
      <c r="AL40" s="123"/>
      <c r="AM40" s="123"/>
      <c r="AN40" s="123"/>
      <c r="AO40" s="123"/>
      <c r="AP40" s="123"/>
      <c r="AQ40" s="123"/>
      <c r="AR40" s="123"/>
      <c r="AS40" s="123"/>
      <c r="AT40" s="123"/>
      <c r="AU40" s="123"/>
      <c r="AV40" s="123"/>
      <c r="AW40" s="124"/>
      <c r="AX40" s="118"/>
      <c r="AY40" s="118"/>
      <c r="AZ40" s="118"/>
      <c r="BA40" s="118"/>
      <c r="BB40" s="118"/>
      <c r="BC40" s="119"/>
      <c r="BD40" s="121"/>
      <c r="BE40" s="118"/>
      <c r="BF40" s="118"/>
      <c r="BG40" s="118"/>
      <c r="BH40" s="118"/>
      <c r="BI40" s="118"/>
      <c r="BJ40" s="119"/>
      <c r="BK40" s="23"/>
    </row>
    <row r="41" spans="1:63" ht="15" customHeight="1" x14ac:dyDescent="0.25">
      <c r="A41" s="22"/>
      <c r="B41" s="71"/>
      <c r="C41" s="72"/>
      <c r="D41" s="72"/>
      <c r="E41" s="72"/>
      <c r="F41" s="72"/>
      <c r="G41" s="73"/>
      <c r="H41" s="71"/>
      <c r="I41" s="72"/>
      <c r="J41" s="72"/>
      <c r="K41" s="72"/>
      <c r="L41" s="72"/>
      <c r="M41" s="72"/>
      <c r="N41" s="73"/>
      <c r="O41" s="71"/>
      <c r="P41" s="72"/>
      <c r="Q41" s="72"/>
      <c r="R41" s="72"/>
      <c r="S41" s="113"/>
      <c r="T41" s="114"/>
      <c r="U41" s="114"/>
      <c r="V41" s="114"/>
      <c r="W41" s="114"/>
      <c r="X41" s="114"/>
      <c r="Y41" s="114"/>
      <c r="Z41" s="114"/>
      <c r="AA41" s="114"/>
      <c r="AB41" s="114"/>
      <c r="AC41" s="114"/>
      <c r="AD41" s="114"/>
      <c r="AE41" s="114"/>
      <c r="AF41" s="114"/>
      <c r="AG41" s="114"/>
      <c r="AH41" s="114"/>
      <c r="AI41" s="114"/>
      <c r="AJ41" s="114"/>
      <c r="AK41" s="114"/>
      <c r="AL41" s="114"/>
      <c r="AM41" s="114"/>
      <c r="AN41" s="114"/>
      <c r="AO41" s="114"/>
      <c r="AP41" s="114"/>
      <c r="AQ41" s="114"/>
      <c r="AR41" s="114"/>
      <c r="AS41" s="114"/>
      <c r="AT41" s="114"/>
      <c r="AU41" s="114"/>
      <c r="AV41" s="114"/>
      <c r="AW41" s="115"/>
      <c r="AX41" s="116"/>
      <c r="AY41" s="116"/>
      <c r="AZ41" s="116"/>
      <c r="BA41" s="116"/>
      <c r="BB41" s="116"/>
      <c r="BC41" s="117"/>
      <c r="BD41" s="120"/>
      <c r="BE41" s="116"/>
      <c r="BF41" s="116"/>
      <c r="BG41" s="116"/>
      <c r="BH41" s="116"/>
      <c r="BI41" s="116"/>
      <c r="BJ41" s="117"/>
      <c r="BK41" s="23"/>
    </row>
    <row r="42" spans="1:63" ht="15" customHeight="1" x14ac:dyDescent="0.25">
      <c r="A42" s="22"/>
      <c r="B42" s="74"/>
      <c r="C42" s="75"/>
      <c r="D42" s="75"/>
      <c r="E42" s="75"/>
      <c r="F42" s="75"/>
      <c r="G42" s="76"/>
      <c r="H42" s="74"/>
      <c r="I42" s="75"/>
      <c r="J42" s="75"/>
      <c r="K42" s="75"/>
      <c r="L42" s="75"/>
      <c r="M42" s="75"/>
      <c r="N42" s="76"/>
      <c r="O42" s="74"/>
      <c r="P42" s="75"/>
      <c r="Q42" s="75"/>
      <c r="R42" s="75"/>
      <c r="S42" s="122"/>
      <c r="T42" s="123"/>
      <c r="U42" s="123"/>
      <c r="V42" s="123"/>
      <c r="W42" s="123"/>
      <c r="X42" s="123"/>
      <c r="Y42" s="123"/>
      <c r="Z42" s="123"/>
      <c r="AA42" s="123"/>
      <c r="AB42" s="123"/>
      <c r="AC42" s="123"/>
      <c r="AD42" s="123"/>
      <c r="AE42" s="123"/>
      <c r="AF42" s="123"/>
      <c r="AG42" s="123"/>
      <c r="AH42" s="123"/>
      <c r="AI42" s="123"/>
      <c r="AJ42" s="123"/>
      <c r="AK42" s="123"/>
      <c r="AL42" s="123"/>
      <c r="AM42" s="123"/>
      <c r="AN42" s="123"/>
      <c r="AO42" s="123"/>
      <c r="AP42" s="123"/>
      <c r="AQ42" s="123"/>
      <c r="AR42" s="123"/>
      <c r="AS42" s="123"/>
      <c r="AT42" s="123"/>
      <c r="AU42" s="123"/>
      <c r="AV42" s="123"/>
      <c r="AW42" s="124"/>
      <c r="AX42" s="118"/>
      <c r="AY42" s="118"/>
      <c r="AZ42" s="118"/>
      <c r="BA42" s="118"/>
      <c r="BB42" s="118"/>
      <c r="BC42" s="119"/>
      <c r="BD42" s="121"/>
      <c r="BE42" s="118"/>
      <c r="BF42" s="118"/>
      <c r="BG42" s="118"/>
      <c r="BH42" s="118"/>
      <c r="BI42" s="118"/>
      <c r="BJ42" s="119"/>
      <c r="BK42" s="23"/>
    </row>
    <row r="43" spans="1:63" ht="15" customHeight="1" x14ac:dyDescent="0.25">
      <c r="A43" s="22"/>
      <c r="B43" s="71"/>
      <c r="C43" s="72"/>
      <c r="D43" s="72"/>
      <c r="E43" s="72"/>
      <c r="F43" s="72"/>
      <c r="G43" s="73"/>
      <c r="H43" s="71"/>
      <c r="I43" s="72"/>
      <c r="J43" s="72"/>
      <c r="K43" s="72"/>
      <c r="L43" s="72"/>
      <c r="M43" s="72"/>
      <c r="N43" s="73"/>
      <c r="O43" s="71"/>
      <c r="P43" s="72"/>
      <c r="Q43" s="72"/>
      <c r="R43" s="72"/>
      <c r="S43" s="113"/>
      <c r="T43" s="114"/>
      <c r="U43" s="114"/>
      <c r="V43" s="114"/>
      <c r="W43" s="114"/>
      <c r="X43" s="114"/>
      <c r="Y43" s="114"/>
      <c r="Z43" s="114"/>
      <c r="AA43" s="114"/>
      <c r="AB43" s="114"/>
      <c r="AC43" s="114"/>
      <c r="AD43" s="114"/>
      <c r="AE43" s="114"/>
      <c r="AF43" s="114"/>
      <c r="AG43" s="114"/>
      <c r="AH43" s="114"/>
      <c r="AI43" s="114"/>
      <c r="AJ43" s="114"/>
      <c r="AK43" s="114"/>
      <c r="AL43" s="114"/>
      <c r="AM43" s="114"/>
      <c r="AN43" s="114"/>
      <c r="AO43" s="114"/>
      <c r="AP43" s="114"/>
      <c r="AQ43" s="114"/>
      <c r="AR43" s="114"/>
      <c r="AS43" s="114"/>
      <c r="AT43" s="114"/>
      <c r="AU43" s="114"/>
      <c r="AV43" s="114"/>
      <c r="AW43" s="115"/>
      <c r="AX43" s="116"/>
      <c r="AY43" s="116"/>
      <c r="AZ43" s="116"/>
      <c r="BA43" s="116"/>
      <c r="BB43" s="116"/>
      <c r="BC43" s="117"/>
      <c r="BD43" s="120"/>
      <c r="BE43" s="116"/>
      <c r="BF43" s="116"/>
      <c r="BG43" s="116"/>
      <c r="BH43" s="116"/>
      <c r="BI43" s="116"/>
      <c r="BJ43" s="117"/>
      <c r="BK43" s="23"/>
    </row>
    <row r="44" spans="1:63" ht="15" customHeight="1" x14ac:dyDescent="0.25">
      <c r="A44" s="22"/>
      <c r="B44" s="74"/>
      <c r="C44" s="75"/>
      <c r="D44" s="75"/>
      <c r="E44" s="75"/>
      <c r="F44" s="75"/>
      <c r="G44" s="76"/>
      <c r="H44" s="74"/>
      <c r="I44" s="75"/>
      <c r="J44" s="75"/>
      <c r="K44" s="75"/>
      <c r="L44" s="75"/>
      <c r="M44" s="75"/>
      <c r="N44" s="76"/>
      <c r="O44" s="74"/>
      <c r="P44" s="75"/>
      <c r="Q44" s="75"/>
      <c r="R44" s="75"/>
      <c r="S44" s="122"/>
      <c r="T44" s="123"/>
      <c r="U44" s="123"/>
      <c r="V44" s="123"/>
      <c r="W44" s="123"/>
      <c r="X44" s="123"/>
      <c r="Y44" s="123"/>
      <c r="Z44" s="123"/>
      <c r="AA44" s="123"/>
      <c r="AB44" s="123"/>
      <c r="AC44" s="123"/>
      <c r="AD44" s="123"/>
      <c r="AE44" s="123"/>
      <c r="AF44" s="123"/>
      <c r="AG44" s="123"/>
      <c r="AH44" s="123"/>
      <c r="AI44" s="123"/>
      <c r="AJ44" s="123"/>
      <c r="AK44" s="123"/>
      <c r="AL44" s="123"/>
      <c r="AM44" s="123"/>
      <c r="AN44" s="123"/>
      <c r="AO44" s="123"/>
      <c r="AP44" s="123"/>
      <c r="AQ44" s="123"/>
      <c r="AR44" s="123"/>
      <c r="AS44" s="123"/>
      <c r="AT44" s="123"/>
      <c r="AU44" s="123"/>
      <c r="AV44" s="123"/>
      <c r="AW44" s="124"/>
      <c r="AX44" s="118"/>
      <c r="AY44" s="118"/>
      <c r="AZ44" s="118"/>
      <c r="BA44" s="118"/>
      <c r="BB44" s="118"/>
      <c r="BC44" s="119"/>
      <c r="BD44" s="121"/>
      <c r="BE44" s="118"/>
      <c r="BF44" s="118"/>
      <c r="BG44" s="118"/>
      <c r="BH44" s="118"/>
      <c r="BI44" s="118"/>
      <c r="BJ44" s="119"/>
      <c r="BK44" s="23"/>
    </row>
    <row r="45" spans="1:63" ht="15" customHeight="1" x14ac:dyDescent="0.25">
      <c r="A45" s="22"/>
      <c r="B45" s="71"/>
      <c r="C45" s="72"/>
      <c r="D45" s="72"/>
      <c r="E45" s="72"/>
      <c r="F45" s="72"/>
      <c r="G45" s="73"/>
      <c r="H45" s="71"/>
      <c r="I45" s="72"/>
      <c r="J45" s="72"/>
      <c r="K45" s="72"/>
      <c r="L45" s="72"/>
      <c r="M45" s="72"/>
      <c r="N45" s="73"/>
      <c r="O45" s="71"/>
      <c r="P45" s="72"/>
      <c r="Q45" s="72"/>
      <c r="R45" s="72"/>
      <c r="S45" s="113"/>
      <c r="T45" s="114"/>
      <c r="U45" s="114"/>
      <c r="V45" s="114"/>
      <c r="W45" s="114"/>
      <c r="X45" s="114"/>
      <c r="Y45" s="114"/>
      <c r="Z45" s="114"/>
      <c r="AA45" s="114"/>
      <c r="AB45" s="114"/>
      <c r="AC45" s="114"/>
      <c r="AD45" s="114"/>
      <c r="AE45" s="114"/>
      <c r="AF45" s="114"/>
      <c r="AG45" s="114"/>
      <c r="AH45" s="114"/>
      <c r="AI45" s="114"/>
      <c r="AJ45" s="114"/>
      <c r="AK45" s="114"/>
      <c r="AL45" s="114"/>
      <c r="AM45" s="114"/>
      <c r="AN45" s="114"/>
      <c r="AO45" s="114"/>
      <c r="AP45" s="114"/>
      <c r="AQ45" s="114"/>
      <c r="AR45" s="114"/>
      <c r="AS45" s="114"/>
      <c r="AT45" s="114"/>
      <c r="AU45" s="114"/>
      <c r="AV45" s="114"/>
      <c r="AW45" s="115"/>
      <c r="AX45" s="116"/>
      <c r="AY45" s="116"/>
      <c r="AZ45" s="116"/>
      <c r="BA45" s="116"/>
      <c r="BB45" s="116"/>
      <c r="BC45" s="117"/>
      <c r="BD45" s="120"/>
      <c r="BE45" s="116"/>
      <c r="BF45" s="116"/>
      <c r="BG45" s="116"/>
      <c r="BH45" s="116"/>
      <c r="BI45" s="116"/>
      <c r="BJ45" s="117"/>
      <c r="BK45" s="23"/>
    </row>
    <row r="46" spans="1:63" ht="15" customHeight="1" x14ac:dyDescent="0.25">
      <c r="A46" s="22"/>
      <c r="B46" s="74"/>
      <c r="C46" s="75"/>
      <c r="D46" s="75"/>
      <c r="E46" s="75"/>
      <c r="F46" s="75"/>
      <c r="G46" s="76"/>
      <c r="H46" s="74"/>
      <c r="I46" s="75"/>
      <c r="J46" s="75"/>
      <c r="K46" s="75"/>
      <c r="L46" s="75"/>
      <c r="M46" s="75"/>
      <c r="N46" s="76"/>
      <c r="O46" s="74"/>
      <c r="P46" s="75"/>
      <c r="Q46" s="75"/>
      <c r="R46" s="75"/>
      <c r="S46" s="122"/>
      <c r="T46" s="123"/>
      <c r="U46" s="123"/>
      <c r="V46" s="123"/>
      <c r="W46" s="123"/>
      <c r="X46" s="123"/>
      <c r="Y46" s="123"/>
      <c r="Z46" s="123"/>
      <c r="AA46" s="123"/>
      <c r="AB46" s="123"/>
      <c r="AC46" s="123"/>
      <c r="AD46" s="123"/>
      <c r="AE46" s="123"/>
      <c r="AF46" s="123"/>
      <c r="AG46" s="123"/>
      <c r="AH46" s="123"/>
      <c r="AI46" s="123"/>
      <c r="AJ46" s="123"/>
      <c r="AK46" s="123"/>
      <c r="AL46" s="123"/>
      <c r="AM46" s="123"/>
      <c r="AN46" s="123"/>
      <c r="AO46" s="123"/>
      <c r="AP46" s="123"/>
      <c r="AQ46" s="123"/>
      <c r="AR46" s="123"/>
      <c r="AS46" s="123"/>
      <c r="AT46" s="123"/>
      <c r="AU46" s="123"/>
      <c r="AV46" s="123"/>
      <c r="AW46" s="124"/>
      <c r="AX46" s="118"/>
      <c r="AY46" s="118"/>
      <c r="AZ46" s="118"/>
      <c r="BA46" s="118"/>
      <c r="BB46" s="118"/>
      <c r="BC46" s="119"/>
      <c r="BD46" s="121"/>
      <c r="BE46" s="118"/>
      <c r="BF46" s="118"/>
      <c r="BG46" s="118"/>
      <c r="BH46" s="118"/>
      <c r="BI46" s="118"/>
      <c r="BJ46" s="119"/>
      <c r="BK46" s="23"/>
    </row>
    <row r="47" spans="1:63" ht="15" customHeight="1" x14ac:dyDescent="0.25">
      <c r="A47" s="22"/>
      <c r="B47" s="71"/>
      <c r="C47" s="72"/>
      <c r="D47" s="72"/>
      <c r="E47" s="72"/>
      <c r="F47" s="72"/>
      <c r="G47" s="73"/>
      <c r="H47" s="71"/>
      <c r="I47" s="72"/>
      <c r="J47" s="72"/>
      <c r="K47" s="72"/>
      <c r="L47" s="72"/>
      <c r="M47" s="72"/>
      <c r="N47" s="73"/>
      <c r="O47" s="71"/>
      <c r="P47" s="72"/>
      <c r="Q47" s="72"/>
      <c r="R47" s="72"/>
      <c r="S47" s="113"/>
      <c r="T47" s="114"/>
      <c r="U47" s="114"/>
      <c r="V47" s="114"/>
      <c r="W47" s="114"/>
      <c r="X47" s="114"/>
      <c r="Y47" s="114"/>
      <c r="Z47" s="114"/>
      <c r="AA47" s="114"/>
      <c r="AB47" s="114"/>
      <c r="AC47" s="114"/>
      <c r="AD47" s="114"/>
      <c r="AE47" s="114"/>
      <c r="AF47" s="114"/>
      <c r="AG47" s="114"/>
      <c r="AH47" s="114"/>
      <c r="AI47" s="114"/>
      <c r="AJ47" s="114"/>
      <c r="AK47" s="114"/>
      <c r="AL47" s="114"/>
      <c r="AM47" s="114"/>
      <c r="AN47" s="114"/>
      <c r="AO47" s="114"/>
      <c r="AP47" s="114"/>
      <c r="AQ47" s="114"/>
      <c r="AR47" s="114"/>
      <c r="AS47" s="114"/>
      <c r="AT47" s="114"/>
      <c r="AU47" s="114"/>
      <c r="AV47" s="114"/>
      <c r="AW47" s="115"/>
      <c r="AX47" s="116"/>
      <c r="AY47" s="116"/>
      <c r="AZ47" s="116"/>
      <c r="BA47" s="116"/>
      <c r="BB47" s="116"/>
      <c r="BC47" s="117"/>
      <c r="BD47" s="120"/>
      <c r="BE47" s="116"/>
      <c r="BF47" s="116"/>
      <c r="BG47" s="116"/>
      <c r="BH47" s="116"/>
      <c r="BI47" s="116"/>
      <c r="BJ47" s="117"/>
      <c r="BK47" s="23"/>
    </row>
    <row r="48" spans="1:63" ht="15" customHeight="1" x14ac:dyDescent="0.25">
      <c r="A48" s="22"/>
      <c r="B48" s="74"/>
      <c r="C48" s="75"/>
      <c r="D48" s="75"/>
      <c r="E48" s="75"/>
      <c r="F48" s="75"/>
      <c r="G48" s="76"/>
      <c r="H48" s="74"/>
      <c r="I48" s="75"/>
      <c r="J48" s="75"/>
      <c r="K48" s="75"/>
      <c r="L48" s="75"/>
      <c r="M48" s="75"/>
      <c r="N48" s="76"/>
      <c r="O48" s="74"/>
      <c r="P48" s="75"/>
      <c r="Q48" s="75"/>
      <c r="R48" s="75"/>
      <c r="S48" s="122"/>
      <c r="T48" s="123"/>
      <c r="U48" s="123"/>
      <c r="V48" s="123"/>
      <c r="W48" s="123"/>
      <c r="X48" s="123"/>
      <c r="Y48" s="123"/>
      <c r="Z48" s="123"/>
      <c r="AA48" s="123"/>
      <c r="AB48" s="123"/>
      <c r="AC48" s="123"/>
      <c r="AD48" s="123"/>
      <c r="AE48" s="123"/>
      <c r="AF48" s="123"/>
      <c r="AG48" s="123"/>
      <c r="AH48" s="123"/>
      <c r="AI48" s="123"/>
      <c r="AJ48" s="123"/>
      <c r="AK48" s="123"/>
      <c r="AL48" s="123"/>
      <c r="AM48" s="123"/>
      <c r="AN48" s="123"/>
      <c r="AO48" s="123"/>
      <c r="AP48" s="123"/>
      <c r="AQ48" s="123"/>
      <c r="AR48" s="123"/>
      <c r="AS48" s="123"/>
      <c r="AT48" s="123"/>
      <c r="AU48" s="123"/>
      <c r="AV48" s="123"/>
      <c r="AW48" s="124"/>
      <c r="AX48" s="118"/>
      <c r="AY48" s="118"/>
      <c r="AZ48" s="118"/>
      <c r="BA48" s="118"/>
      <c r="BB48" s="118"/>
      <c r="BC48" s="119"/>
      <c r="BD48" s="121"/>
      <c r="BE48" s="118"/>
      <c r="BF48" s="118"/>
      <c r="BG48" s="118"/>
      <c r="BH48" s="118"/>
      <c r="BI48" s="118"/>
      <c r="BJ48" s="119"/>
      <c r="BK48" s="23"/>
    </row>
    <row r="49" spans="1:63" ht="15" customHeight="1" x14ac:dyDescent="0.25">
      <c r="A49" s="22"/>
      <c r="B49" s="71"/>
      <c r="C49" s="72"/>
      <c r="D49" s="72"/>
      <c r="E49" s="72"/>
      <c r="F49" s="72"/>
      <c r="G49" s="73"/>
      <c r="H49" s="71"/>
      <c r="I49" s="72"/>
      <c r="J49" s="72"/>
      <c r="K49" s="72"/>
      <c r="L49" s="72"/>
      <c r="M49" s="72"/>
      <c r="N49" s="73"/>
      <c r="O49" s="71"/>
      <c r="P49" s="72"/>
      <c r="Q49" s="72"/>
      <c r="R49" s="72"/>
      <c r="S49" s="113"/>
      <c r="T49" s="114"/>
      <c r="U49" s="114"/>
      <c r="V49" s="114"/>
      <c r="W49" s="114"/>
      <c r="X49" s="114"/>
      <c r="Y49" s="114"/>
      <c r="Z49" s="114"/>
      <c r="AA49" s="114"/>
      <c r="AB49" s="114"/>
      <c r="AC49" s="114"/>
      <c r="AD49" s="114"/>
      <c r="AE49" s="114"/>
      <c r="AF49" s="114"/>
      <c r="AG49" s="114"/>
      <c r="AH49" s="114"/>
      <c r="AI49" s="114"/>
      <c r="AJ49" s="114"/>
      <c r="AK49" s="114"/>
      <c r="AL49" s="114"/>
      <c r="AM49" s="114"/>
      <c r="AN49" s="114"/>
      <c r="AO49" s="114"/>
      <c r="AP49" s="114"/>
      <c r="AQ49" s="114"/>
      <c r="AR49" s="114"/>
      <c r="AS49" s="114"/>
      <c r="AT49" s="114"/>
      <c r="AU49" s="114"/>
      <c r="AV49" s="114"/>
      <c r="AW49" s="115"/>
      <c r="AX49" s="116"/>
      <c r="AY49" s="116"/>
      <c r="AZ49" s="116"/>
      <c r="BA49" s="116"/>
      <c r="BB49" s="116"/>
      <c r="BC49" s="117"/>
      <c r="BD49" s="120"/>
      <c r="BE49" s="116"/>
      <c r="BF49" s="116"/>
      <c r="BG49" s="116"/>
      <c r="BH49" s="116"/>
      <c r="BI49" s="116"/>
      <c r="BJ49" s="117"/>
      <c r="BK49" s="23"/>
    </row>
    <row r="50" spans="1:63" ht="15" customHeight="1" x14ac:dyDescent="0.25">
      <c r="A50" s="22"/>
      <c r="B50" s="74"/>
      <c r="C50" s="75"/>
      <c r="D50" s="75"/>
      <c r="E50" s="75"/>
      <c r="F50" s="75"/>
      <c r="G50" s="76"/>
      <c r="H50" s="74"/>
      <c r="I50" s="75"/>
      <c r="J50" s="75"/>
      <c r="K50" s="75"/>
      <c r="L50" s="75"/>
      <c r="M50" s="75"/>
      <c r="N50" s="76"/>
      <c r="O50" s="74"/>
      <c r="P50" s="75"/>
      <c r="Q50" s="75"/>
      <c r="R50" s="75"/>
      <c r="S50" s="122"/>
      <c r="T50" s="123"/>
      <c r="U50" s="123"/>
      <c r="V50" s="123"/>
      <c r="W50" s="123"/>
      <c r="X50" s="123"/>
      <c r="Y50" s="123"/>
      <c r="Z50" s="123"/>
      <c r="AA50" s="123"/>
      <c r="AB50" s="123"/>
      <c r="AC50" s="123"/>
      <c r="AD50" s="123"/>
      <c r="AE50" s="123"/>
      <c r="AF50" s="123"/>
      <c r="AG50" s="123"/>
      <c r="AH50" s="123"/>
      <c r="AI50" s="123"/>
      <c r="AJ50" s="123"/>
      <c r="AK50" s="123"/>
      <c r="AL50" s="123"/>
      <c r="AM50" s="123"/>
      <c r="AN50" s="123"/>
      <c r="AO50" s="123"/>
      <c r="AP50" s="123"/>
      <c r="AQ50" s="123"/>
      <c r="AR50" s="123"/>
      <c r="AS50" s="123"/>
      <c r="AT50" s="123"/>
      <c r="AU50" s="123"/>
      <c r="AV50" s="123"/>
      <c r="AW50" s="124"/>
      <c r="AX50" s="118"/>
      <c r="AY50" s="118"/>
      <c r="AZ50" s="118"/>
      <c r="BA50" s="118"/>
      <c r="BB50" s="118"/>
      <c r="BC50" s="119"/>
      <c r="BD50" s="121"/>
      <c r="BE50" s="118"/>
      <c r="BF50" s="118"/>
      <c r="BG50" s="118"/>
      <c r="BH50" s="118"/>
      <c r="BI50" s="118"/>
      <c r="BJ50" s="119"/>
      <c r="BK50" s="23"/>
    </row>
    <row r="51" spans="1:63" ht="15" customHeight="1" x14ac:dyDescent="0.25">
      <c r="A51" s="22"/>
      <c r="B51" s="71"/>
      <c r="C51" s="72"/>
      <c r="D51" s="72"/>
      <c r="E51" s="72"/>
      <c r="F51" s="72"/>
      <c r="G51" s="73"/>
      <c r="H51" s="71"/>
      <c r="I51" s="72"/>
      <c r="J51" s="72"/>
      <c r="K51" s="72"/>
      <c r="L51" s="72"/>
      <c r="M51" s="72"/>
      <c r="N51" s="73"/>
      <c r="O51" s="71"/>
      <c r="P51" s="72"/>
      <c r="Q51" s="72"/>
      <c r="R51" s="72"/>
      <c r="S51" s="113"/>
      <c r="T51" s="114"/>
      <c r="U51" s="114"/>
      <c r="V51" s="114"/>
      <c r="W51" s="114"/>
      <c r="X51" s="114"/>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c r="AU51" s="114"/>
      <c r="AV51" s="114"/>
      <c r="AW51" s="115"/>
      <c r="AX51" s="116"/>
      <c r="AY51" s="116"/>
      <c r="AZ51" s="116"/>
      <c r="BA51" s="116"/>
      <c r="BB51" s="116"/>
      <c r="BC51" s="117"/>
      <c r="BD51" s="120"/>
      <c r="BE51" s="116"/>
      <c r="BF51" s="116"/>
      <c r="BG51" s="116"/>
      <c r="BH51" s="116"/>
      <c r="BI51" s="116"/>
      <c r="BJ51" s="117"/>
      <c r="BK51" s="23"/>
    </row>
    <row r="52" spans="1:63" ht="15" customHeight="1" x14ac:dyDescent="0.25">
      <c r="A52" s="22"/>
      <c r="B52" s="74"/>
      <c r="C52" s="75"/>
      <c r="D52" s="75"/>
      <c r="E52" s="75"/>
      <c r="F52" s="75"/>
      <c r="G52" s="76"/>
      <c r="H52" s="74"/>
      <c r="I52" s="75"/>
      <c r="J52" s="75"/>
      <c r="K52" s="75"/>
      <c r="L52" s="75"/>
      <c r="M52" s="75"/>
      <c r="N52" s="76"/>
      <c r="O52" s="74"/>
      <c r="P52" s="75"/>
      <c r="Q52" s="75"/>
      <c r="R52" s="75"/>
      <c r="S52" s="122"/>
      <c r="T52" s="123"/>
      <c r="U52" s="123"/>
      <c r="V52" s="123"/>
      <c r="W52" s="123"/>
      <c r="X52" s="123"/>
      <c r="Y52" s="123"/>
      <c r="Z52" s="123"/>
      <c r="AA52" s="123"/>
      <c r="AB52" s="123"/>
      <c r="AC52" s="123"/>
      <c r="AD52" s="123"/>
      <c r="AE52" s="123"/>
      <c r="AF52" s="123"/>
      <c r="AG52" s="123"/>
      <c r="AH52" s="123"/>
      <c r="AI52" s="123"/>
      <c r="AJ52" s="123"/>
      <c r="AK52" s="123"/>
      <c r="AL52" s="123"/>
      <c r="AM52" s="123"/>
      <c r="AN52" s="123"/>
      <c r="AO52" s="123"/>
      <c r="AP52" s="123"/>
      <c r="AQ52" s="123"/>
      <c r="AR52" s="123"/>
      <c r="AS52" s="123"/>
      <c r="AT52" s="123"/>
      <c r="AU52" s="123"/>
      <c r="AV52" s="123"/>
      <c r="AW52" s="124"/>
      <c r="AX52" s="118"/>
      <c r="AY52" s="118"/>
      <c r="AZ52" s="118"/>
      <c r="BA52" s="118"/>
      <c r="BB52" s="118"/>
      <c r="BC52" s="119"/>
      <c r="BD52" s="121"/>
      <c r="BE52" s="118"/>
      <c r="BF52" s="118"/>
      <c r="BG52" s="118"/>
      <c r="BH52" s="118"/>
      <c r="BI52" s="118"/>
      <c r="BJ52" s="119"/>
      <c r="BK52" s="23"/>
    </row>
    <row r="53" spans="1:63" ht="15" customHeight="1" x14ac:dyDescent="0.25">
      <c r="A53" s="22"/>
      <c r="B53" s="71"/>
      <c r="C53" s="72"/>
      <c r="D53" s="72"/>
      <c r="E53" s="72"/>
      <c r="F53" s="72"/>
      <c r="G53" s="73"/>
      <c r="H53" s="71"/>
      <c r="I53" s="72"/>
      <c r="J53" s="72"/>
      <c r="K53" s="72"/>
      <c r="L53" s="72"/>
      <c r="M53" s="72"/>
      <c r="N53" s="73"/>
      <c r="O53" s="71"/>
      <c r="P53" s="72"/>
      <c r="Q53" s="72"/>
      <c r="R53" s="72"/>
      <c r="S53" s="113"/>
      <c r="T53" s="114"/>
      <c r="U53" s="114"/>
      <c r="V53" s="114"/>
      <c r="W53" s="114"/>
      <c r="X53" s="114"/>
      <c r="Y53" s="114"/>
      <c r="Z53" s="114"/>
      <c r="AA53" s="114"/>
      <c r="AB53" s="114"/>
      <c r="AC53" s="114"/>
      <c r="AD53" s="114"/>
      <c r="AE53" s="114"/>
      <c r="AF53" s="114"/>
      <c r="AG53" s="114"/>
      <c r="AH53" s="114"/>
      <c r="AI53" s="114"/>
      <c r="AJ53" s="114"/>
      <c r="AK53" s="114"/>
      <c r="AL53" s="114"/>
      <c r="AM53" s="114"/>
      <c r="AN53" s="114"/>
      <c r="AO53" s="114"/>
      <c r="AP53" s="114"/>
      <c r="AQ53" s="114"/>
      <c r="AR53" s="114"/>
      <c r="AS53" s="114"/>
      <c r="AT53" s="114"/>
      <c r="AU53" s="114"/>
      <c r="AV53" s="114"/>
      <c r="AW53" s="115"/>
      <c r="AX53" s="116"/>
      <c r="AY53" s="116"/>
      <c r="AZ53" s="116"/>
      <c r="BA53" s="116"/>
      <c r="BB53" s="116"/>
      <c r="BC53" s="117"/>
      <c r="BD53" s="120"/>
      <c r="BE53" s="116"/>
      <c r="BF53" s="116"/>
      <c r="BG53" s="116"/>
      <c r="BH53" s="116"/>
      <c r="BI53" s="116"/>
      <c r="BJ53" s="117"/>
      <c r="BK53" s="23"/>
    </row>
    <row r="54" spans="1:63" ht="15" customHeight="1" x14ac:dyDescent="0.25">
      <c r="A54" s="22"/>
      <c r="B54" s="74"/>
      <c r="C54" s="75"/>
      <c r="D54" s="75"/>
      <c r="E54" s="75"/>
      <c r="F54" s="75"/>
      <c r="G54" s="76"/>
      <c r="H54" s="74"/>
      <c r="I54" s="75"/>
      <c r="J54" s="75"/>
      <c r="K54" s="75"/>
      <c r="L54" s="75"/>
      <c r="M54" s="75"/>
      <c r="N54" s="76"/>
      <c r="O54" s="74"/>
      <c r="P54" s="75"/>
      <c r="Q54" s="75"/>
      <c r="R54" s="75"/>
      <c r="S54" s="122"/>
      <c r="T54" s="123"/>
      <c r="U54" s="123"/>
      <c r="V54" s="123"/>
      <c r="W54" s="123"/>
      <c r="X54" s="123"/>
      <c r="Y54" s="123"/>
      <c r="Z54" s="123"/>
      <c r="AA54" s="123"/>
      <c r="AB54" s="123"/>
      <c r="AC54" s="123"/>
      <c r="AD54" s="123"/>
      <c r="AE54" s="123"/>
      <c r="AF54" s="123"/>
      <c r="AG54" s="123"/>
      <c r="AH54" s="123"/>
      <c r="AI54" s="123"/>
      <c r="AJ54" s="123"/>
      <c r="AK54" s="123"/>
      <c r="AL54" s="123"/>
      <c r="AM54" s="123"/>
      <c r="AN54" s="123"/>
      <c r="AO54" s="123"/>
      <c r="AP54" s="123"/>
      <c r="AQ54" s="123"/>
      <c r="AR54" s="123"/>
      <c r="AS54" s="123"/>
      <c r="AT54" s="123"/>
      <c r="AU54" s="123"/>
      <c r="AV54" s="123"/>
      <c r="AW54" s="124"/>
      <c r="AX54" s="118"/>
      <c r="AY54" s="118"/>
      <c r="AZ54" s="118"/>
      <c r="BA54" s="118"/>
      <c r="BB54" s="118"/>
      <c r="BC54" s="119"/>
      <c r="BD54" s="121"/>
      <c r="BE54" s="118"/>
      <c r="BF54" s="118"/>
      <c r="BG54" s="118"/>
      <c r="BH54" s="118"/>
      <c r="BI54" s="118"/>
      <c r="BJ54" s="119"/>
      <c r="BK54" s="23"/>
    </row>
    <row r="55" spans="1:63" ht="15" customHeight="1" x14ac:dyDescent="0.25">
      <c r="A55" s="19"/>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1"/>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2D45A-EF6B-48FF-B544-C9352587788C}">
  <sheetPr>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18" customWidth="1"/>
    <col min="61" max="16384" width="2.77734375" style="18"/>
  </cols>
  <sheetData>
    <row r="1" spans="1:63" ht="24.95" customHeight="1" x14ac:dyDescent="0.25">
      <c r="A1" s="68" t="s">
        <v>37</v>
      </c>
      <c r="B1" s="69"/>
      <c r="C1" s="69"/>
      <c r="D1" s="69"/>
      <c r="E1" s="69"/>
      <c r="F1" s="69"/>
      <c r="G1" s="69"/>
      <c r="H1" s="69"/>
      <c r="I1" s="69"/>
      <c r="J1" s="70"/>
      <c r="K1" s="68" t="s">
        <v>38</v>
      </c>
      <c r="L1" s="69"/>
      <c r="M1" s="69"/>
      <c r="N1" s="69"/>
      <c r="O1" s="69"/>
      <c r="P1" s="69"/>
      <c r="Q1" s="69"/>
      <c r="R1" s="69"/>
      <c r="S1" s="69"/>
      <c r="T1" s="69"/>
      <c r="U1" s="69"/>
      <c r="V1" s="70"/>
      <c r="W1" s="78" t="str">
        <f>IF(表紙!W1="","",表紙!W1)</f>
        <v>基本設計書</v>
      </c>
      <c r="X1" s="79"/>
      <c r="Y1" s="79"/>
      <c r="Z1" s="79"/>
      <c r="AA1" s="79"/>
      <c r="AB1" s="79"/>
      <c r="AC1" s="79"/>
      <c r="AD1" s="79"/>
      <c r="AE1" s="79"/>
      <c r="AF1" s="79"/>
      <c r="AG1" s="79"/>
      <c r="AH1" s="79"/>
      <c r="AI1" s="79"/>
      <c r="AJ1" s="79"/>
      <c r="AK1" s="79"/>
      <c r="AL1" s="79"/>
      <c r="AM1" s="79"/>
      <c r="AN1" s="79"/>
      <c r="AO1" s="80"/>
      <c r="AP1" s="68" t="s">
        <v>40</v>
      </c>
      <c r="AQ1" s="69"/>
      <c r="AR1" s="69"/>
      <c r="AS1" s="70"/>
      <c r="AT1" s="68" t="s">
        <v>41</v>
      </c>
      <c r="AU1" s="69"/>
      <c r="AV1" s="69"/>
      <c r="AW1" s="69"/>
      <c r="AX1" s="70"/>
      <c r="AY1" s="68" t="s">
        <v>42</v>
      </c>
      <c r="AZ1" s="69"/>
      <c r="BA1" s="69"/>
      <c r="BB1" s="70"/>
      <c r="BC1" s="68" t="s">
        <v>43</v>
      </c>
      <c r="BD1" s="69"/>
      <c r="BE1" s="69"/>
      <c r="BF1" s="69"/>
      <c r="BG1" s="70"/>
      <c r="BH1" s="68" t="s">
        <v>44</v>
      </c>
      <c r="BI1" s="69"/>
      <c r="BJ1" s="69"/>
      <c r="BK1" s="70"/>
    </row>
    <row r="2" spans="1:63" ht="15" customHeight="1" x14ac:dyDescent="0.25">
      <c r="A2" s="71" t="str">
        <f>IF(表紙!A2="","",表紙!A2)</f>
        <v>POSサーバー</v>
      </c>
      <c r="B2" s="72"/>
      <c r="C2" s="72"/>
      <c r="D2" s="72"/>
      <c r="E2" s="72"/>
      <c r="F2" s="72"/>
      <c r="G2" s="72"/>
      <c r="H2" s="72"/>
      <c r="I2" s="72"/>
      <c r="J2" s="73"/>
      <c r="K2" s="71" t="str">
        <f>IF(表紙!K2="","",表紙!K2)</f>
        <v>POSサーバ</v>
      </c>
      <c r="L2" s="72"/>
      <c r="M2" s="72"/>
      <c r="N2" s="72"/>
      <c r="O2" s="72"/>
      <c r="P2" s="72"/>
      <c r="Q2" s="72"/>
      <c r="R2" s="72"/>
      <c r="S2" s="72"/>
      <c r="T2" s="72"/>
      <c r="U2" s="72"/>
      <c r="V2" s="73"/>
      <c r="W2" s="81"/>
      <c r="X2" s="82"/>
      <c r="Y2" s="82"/>
      <c r="Z2" s="82"/>
      <c r="AA2" s="82"/>
      <c r="AB2" s="82"/>
      <c r="AC2" s="82"/>
      <c r="AD2" s="82"/>
      <c r="AE2" s="82"/>
      <c r="AF2" s="82"/>
      <c r="AG2" s="82"/>
      <c r="AH2" s="82"/>
      <c r="AI2" s="82"/>
      <c r="AJ2" s="82"/>
      <c r="AK2" s="82"/>
      <c r="AL2" s="82"/>
      <c r="AM2" s="82"/>
      <c r="AN2" s="82"/>
      <c r="AO2" s="83"/>
      <c r="AP2" s="71" t="str">
        <f>IF(表紙!AP2="","",表紙!AP2)</f>
        <v>SonMNT</v>
      </c>
      <c r="AQ2" s="72"/>
      <c r="AR2" s="72"/>
      <c r="AS2" s="73"/>
      <c r="AT2" s="98">
        <f>IF(表紙!AT2="","",表紙!AT2)</f>
        <v>45433</v>
      </c>
      <c r="AU2" s="99"/>
      <c r="AV2" s="99"/>
      <c r="AW2" s="99"/>
      <c r="AX2" s="100"/>
      <c r="AY2" s="71" t="str">
        <f>IF(表紙!AY2="","",表紙!AY2)</f>
        <v>TinNH</v>
      </c>
      <c r="AZ2" s="72"/>
      <c r="BA2" s="72"/>
      <c r="BB2" s="73"/>
      <c r="BC2" s="98">
        <f>IF(表紙!BC2="","",表紙!BC2)</f>
        <v>45605</v>
      </c>
      <c r="BD2" s="99"/>
      <c r="BE2" s="99"/>
      <c r="BF2" s="99"/>
      <c r="BG2" s="100"/>
      <c r="BH2" s="71">
        <f>IF(表紙!BH2="","",表紙!BH2)</f>
        <v>0.4</v>
      </c>
      <c r="BI2" s="72"/>
      <c r="BJ2" s="72"/>
      <c r="BK2" s="73"/>
    </row>
    <row r="3" spans="1:63" ht="15" customHeight="1" x14ac:dyDescent="0.25">
      <c r="A3" s="74"/>
      <c r="B3" s="75"/>
      <c r="C3" s="75"/>
      <c r="D3" s="75"/>
      <c r="E3" s="75"/>
      <c r="F3" s="75"/>
      <c r="G3" s="75"/>
      <c r="H3" s="75"/>
      <c r="I3" s="75"/>
      <c r="J3" s="76"/>
      <c r="K3" s="74"/>
      <c r="L3" s="75"/>
      <c r="M3" s="75"/>
      <c r="N3" s="75"/>
      <c r="O3" s="75"/>
      <c r="P3" s="75"/>
      <c r="Q3" s="75"/>
      <c r="R3" s="75"/>
      <c r="S3" s="75"/>
      <c r="T3" s="75"/>
      <c r="U3" s="75"/>
      <c r="V3" s="76"/>
      <c r="W3" s="84"/>
      <c r="X3" s="85"/>
      <c r="Y3" s="85"/>
      <c r="Z3" s="85"/>
      <c r="AA3" s="85"/>
      <c r="AB3" s="85"/>
      <c r="AC3" s="85"/>
      <c r="AD3" s="85"/>
      <c r="AE3" s="85"/>
      <c r="AF3" s="85"/>
      <c r="AG3" s="85"/>
      <c r="AH3" s="85"/>
      <c r="AI3" s="85"/>
      <c r="AJ3" s="85"/>
      <c r="AK3" s="85"/>
      <c r="AL3" s="85"/>
      <c r="AM3" s="85"/>
      <c r="AN3" s="85"/>
      <c r="AO3" s="86"/>
      <c r="AP3" s="74"/>
      <c r="AQ3" s="75"/>
      <c r="AR3" s="75"/>
      <c r="AS3" s="76"/>
      <c r="AT3" s="101"/>
      <c r="AU3" s="102"/>
      <c r="AV3" s="102"/>
      <c r="AW3" s="102"/>
      <c r="AX3" s="103"/>
      <c r="AY3" s="74"/>
      <c r="AZ3" s="75"/>
      <c r="BA3" s="75"/>
      <c r="BB3" s="76"/>
      <c r="BC3" s="101"/>
      <c r="BD3" s="102"/>
      <c r="BE3" s="102"/>
      <c r="BF3" s="102"/>
      <c r="BG3" s="103"/>
      <c r="BH3" s="74"/>
      <c r="BI3" s="75"/>
      <c r="BJ3" s="75"/>
      <c r="BK3" s="76"/>
    </row>
    <row r="4" spans="1:63" ht="24.95" customHeight="1" x14ac:dyDescent="0.25">
      <c r="A4" s="68" t="s">
        <v>51</v>
      </c>
      <c r="B4" s="69"/>
      <c r="C4" s="69"/>
      <c r="D4" s="69"/>
      <c r="E4" s="69"/>
      <c r="F4" s="69"/>
      <c r="G4" s="70"/>
      <c r="H4" s="89" t="str">
        <f>IF(表紙!H4="","",表紙!H4)</f>
        <v>32_レジ別単品別売上点検</v>
      </c>
      <c r="I4" s="90"/>
      <c r="J4" s="90"/>
      <c r="K4" s="90"/>
      <c r="L4" s="90"/>
      <c r="M4" s="90"/>
      <c r="N4" s="90"/>
      <c r="O4" s="90"/>
      <c r="P4" s="90"/>
      <c r="Q4" s="90"/>
      <c r="R4" s="90"/>
      <c r="S4" s="90"/>
      <c r="T4" s="91"/>
      <c r="U4" s="68" t="s">
        <v>47</v>
      </c>
      <c r="V4" s="69"/>
      <c r="W4" s="69"/>
      <c r="X4" s="69"/>
      <c r="Y4" s="70"/>
      <c r="Z4" s="89" t="str">
        <f>IF(表紙!Z4="","",表紙!Z4)</f>
        <v>概要設計</v>
      </c>
      <c r="AA4" s="90"/>
      <c r="AB4" s="90"/>
      <c r="AC4" s="90"/>
      <c r="AD4" s="90"/>
      <c r="AE4" s="90"/>
      <c r="AF4" s="90"/>
      <c r="AG4" s="90"/>
      <c r="AH4" s="90"/>
      <c r="AI4" s="90"/>
      <c r="AJ4" s="90"/>
      <c r="AK4" s="90"/>
      <c r="AL4" s="90"/>
      <c r="AM4" s="90"/>
      <c r="AN4" s="90"/>
      <c r="AO4" s="91"/>
      <c r="AP4" s="89" t="str">
        <f t="array" aca="1" ref="AP4" ca="1">RIGHT(CELL("filename",$A$1),LEN(CELL("filename",$A$1))-FIND("]",CELL("filename",$A$1)))</f>
        <v>指摘履歴</v>
      </c>
      <c r="AQ4" s="90"/>
      <c r="AR4" s="90"/>
      <c r="AS4" s="90"/>
      <c r="AT4" s="90"/>
      <c r="AU4" s="90"/>
      <c r="AV4" s="90"/>
      <c r="AW4" s="90"/>
      <c r="AX4" s="90"/>
      <c r="AY4" s="90"/>
      <c r="AZ4" s="90"/>
      <c r="BA4" s="90"/>
      <c r="BB4" s="90"/>
      <c r="BC4" s="90"/>
      <c r="BD4" s="90"/>
      <c r="BE4" s="90"/>
      <c r="BF4" s="90"/>
      <c r="BG4" s="90"/>
      <c r="BH4" s="90"/>
      <c r="BI4" s="90"/>
      <c r="BJ4" s="90"/>
      <c r="BK4" s="91"/>
    </row>
    <row r="5" spans="1:63"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63" ht="15" customHeight="1" x14ac:dyDescent="0.25">
      <c r="A6" s="22"/>
      <c r="BK6" s="23"/>
    </row>
    <row r="7" spans="1:63" ht="15" customHeight="1" x14ac:dyDescent="0.25">
      <c r="A7" s="22"/>
      <c r="BK7" s="23"/>
    </row>
    <row r="8" spans="1:63" ht="15" customHeight="1" x14ac:dyDescent="0.25">
      <c r="A8" s="22"/>
      <c r="B8" s="18" t="s">
        <v>8</v>
      </c>
      <c r="BK8" s="23"/>
    </row>
    <row r="9" spans="1:63" ht="15" customHeight="1" x14ac:dyDescent="0.25">
      <c r="A9" s="22"/>
      <c r="BK9" s="23"/>
    </row>
    <row r="10" spans="1:63" ht="15" customHeight="1" x14ac:dyDescent="0.25">
      <c r="A10" s="22"/>
      <c r="B10" s="125" t="s">
        <v>43</v>
      </c>
      <c r="C10" s="125"/>
      <c r="D10" s="125"/>
      <c r="E10" s="125"/>
      <c r="F10" s="125"/>
      <c r="G10" s="125"/>
      <c r="H10" s="125" t="s">
        <v>42</v>
      </c>
      <c r="I10" s="125"/>
      <c r="J10" s="125"/>
      <c r="K10" s="125"/>
      <c r="L10" s="125"/>
      <c r="M10" s="125"/>
      <c r="N10" s="125"/>
      <c r="O10" s="125" t="s">
        <v>44</v>
      </c>
      <c r="P10" s="125"/>
      <c r="Q10" s="125"/>
      <c r="R10" s="125"/>
      <c r="S10" s="125" t="s">
        <v>52</v>
      </c>
      <c r="T10" s="125"/>
      <c r="U10" s="125"/>
      <c r="V10" s="125"/>
      <c r="W10" s="125"/>
      <c r="X10" s="125"/>
      <c r="Y10" s="125"/>
      <c r="Z10" s="125"/>
      <c r="AA10" s="125"/>
      <c r="AB10" s="125"/>
      <c r="AC10" s="125"/>
      <c r="AD10" s="125"/>
      <c r="AE10" s="125"/>
      <c r="AF10" s="125"/>
      <c r="AG10" s="125"/>
      <c r="AH10" s="125"/>
      <c r="AI10" s="125"/>
      <c r="AJ10" s="125"/>
      <c r="AK10" s="125"/>
      <c r="AL10" s="125"/>
      <c r="AM10" s="125"/>
      <c r="AN10" s="125"/>
      <c r="AO10" s="125"/>
      <c r="AP10" s="125"/>
      <c r="AQ10" s="125"/>
      <c r="AR10" s="125"/>
      <c r="AS10" s="125"/>
      <c r="AT10" s="125"/>
      <c r="AU10" s="125"/>
      <c r="AV10" s="125"/>
      <c r="AW10" s="125"/>
      <c r="AX10" s="125" t="s">
        <v>49</v>
      </c>
      <c r="AY10" s="125"/>
      <c r="AZ10" s="125"/>
      <c r="BA10" s="125"/>
      <c r="BB10" s="125"/>
      <c r="BC10" s="125"/>
      <c r="BD10" s="125" t="s">
        <v>50</v>
      </c>
      <c r="BE10" s="125"/>
      <c r="BF10" s="125"/>
      <c r="BG10" s="125"/>
      <c r="BH10" s="125"/>
      <c r="BI10" s="125"/>
      <c r="BJ10" s="125"/>
      <c r="BK10" s="23"/>
    </row>
    <row r="11" spans="1:63" ht="15" customHeight="1" x14ac:dyDescent="0.25">
      <c r="A11" s="22"/>
      <c r="B11" s="98">
        <v>45537</v>
      </c>
      <c r="C11" s="72"/>
      <c r="D11" s="72"/>
      <c r="E11" s="72"/>
      <c r="F11" s="72"/>
      <c r="G11" s="73"/>
      <c r="H11" s="77" t="s">
        <v>81</v>
      </c>
      <c r="I11" s="72"/>
      <c r="J11" s="72"/>
      <c r="K11" s="72"/>
      <c r="L11" s="72"/>
      <c r="M11" s="72"/>
      <c r="N11" s="73"/>
      <c r="O11" s="71"/>
      <c r="P11" s="72"/>
      <c r="Q11" s="72"/>
      <c r="R11" s="72"/>
      <c r="S11" s="113" t="s">
        <v>79</v>
      </c>
      <c r="T11" s="114"/>
      <c r="U11" s="114"/>
      <c r="V11" s="114"/>
      <c r="W11" s="114"/>
      <c r="X11" s="114"/>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5"/>
      <c r="AX11" s="116"/>
      <c r="AY11" s="116"/>
      <c r="AZ11" s="116"/>
      <c r="BA11" s="116"/>
      <c r="BB11" s="116"/>
      <c r="BC11" s="117"/>
      <c r="BD11" s="120"/>
      <c r="BE11" s="116"/>
      <c r="BF11" s="116"/>
      <c r="BG11" s="116"/>
      <c r="BH11" s="116"/>
      <c r="BI11" s="116"/>
      <c r="BJ11" s="117"/>
      <c r="BK11" s="23"/>
    </row>
    <row r="12" spans="1:63" ht="15" customHeight="1" x14ac:dyDescent="0.25">
      <c r="A12" s="22"/>
      <c r="B12" s="74"/>
      <c r="C12" s="75"/>
      <c r="D12" s="75"/>
      <c r="E12" s="75"/>
      <c r="F12" s="75"/>
      <c r="G12" s="76"/>
      <c r="H12" s="74"/>
      <c r="I12" s="75"/>
      <c r="J12" s="75"/>
      <c r="K12" s="75"/>
      <c r="L12" s="75"/>
      <c r="M12" s="75"/>
      <c r="N12" s="76"/>
      <c r="O12" s="74"/>
      <c r="P12" s="75"/>
      <c r="Q12" s="75"/>
      <c r="R12" s="75"/>
      <c r="S12" s="122" t="s">
        <v>82</v>
      </c>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4"/>
      <c r="AX12" s="118"/>
      <c r="AY12" s="118"/>
      <c r="AZ12" s="118"/>
      <c r="BA12" s="118"/>
      <c r="BB12" s="118"/>
      <c r="BC12" s="119"/>
      <c r="BD12" s="121"/>
      <c r="BE12" s="118"/>
      <c r="BF12" s="118"/>
      <c r="BG12" s="118"/>
      <c r="BH12" s="118"/>
      <c r="BI12" s="118"/>
      <c r="BJ12" s="119"/>
      <c r="BK12" s="23"/>
    </row>
    <row r="13" spans="1:63" ht="15" customHeight="1" x14ac:dyDescent="0.25">
      <c r="A13" s="22"/>
      <c r="B13" s="98">
        <v>45537</v>
      </c>
      <c r="C13" s="72"/>
      <c r="D13" s="72"/>
      <c r="E13" s="72"/>
      <c r="F13" s="72"/>
      <c r="G13" s="73"/>
      <c r="H13" s="77" t="s">
        <v>81</v>
      </c>
      <c r="I13" s="72"/>
      <c r="J13" s="72"/>
      <c r="K13" s="72"/>
      <c r="L13" s="72"/>
      <c r="M13" s="72"/>
      <c r="N13" s="73"/>
      <c r="O13" s="71"/>
      <c r="P13" s="72"/>
      <c r="Q13" s="72"/>
      <c r="R13" s="72"/>
      <c r="S13" s="113" t="s">
        <v>79</v>
      </c>
      <c r="T13" s="114"/>
      <c r="U13" s="114"/>
      <c r="V13" s="114"/>
      <c r="W13" s="114"/>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5"/>
      <c r="AX13" s="116"/>
      <c r="AY13" s="116"/>
      <c r="AZ13" s="116"/>
      <c r="BA13" s="116"/>
      <c r="BB13" s="116"/>
      <c r="BC13" s="117"/>
      <c r="BD13" s="120"/>
      <c r="BE13" s="116"/>
      <c r="BF13" s="116"/>
      <c r="BG13" s="116"/>
      <c r="BH13" s="116"/>
      <c r="BI13" s="116"/>
      <c r="BJ13" s="117"/>
      <c r="BK13" s="23"/>
    </row>
    <row r="14" spans="1:63" ht="15" customHeight="1" x14ac:dyDescent="0.25">
      <c r="A14" s="22"/>
      <c r="B14" s="74"/>
      <c r="C14" s="75"/>
      <c r="D14" s="75"/>
      <c r="E14" s="75"/>
      <c r="F14" s="75"/>
      <c r="G14" s="76"/>
      <c r="H14" s="74"/>
      <c r="I14" s="75"/>
      <c r="J14" s="75"/>
      <c r="K14" s="75"/>
      <c r="L14" s="75"/>
      <c r="M14" s="75"/>
      <c r="N14" s="76"/>
      <c r="O14" s="74"/>
      <c r="P14" s="75"/>
      <c r="Q14" s="75"/>
      <c r="R14" s="75"/>
      <c r="S14" s="122" t="s">
        <v>83</v>
      </c>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4"/>
      <c r="AX14" s="118"/>
      <c r="AY14" s="118"/>
      <c r="AZ14" s="118"/>
      <c r="BA14" s="118"/>
      <c r="BB14" s="118"/>
      <c r="BC14" s="119"/>
      <c r="BD14" s="121"/>
      <c r="BE14" s="118"/>
      <c r="BF14" s="118"/>
      <c r="BG14" s="118"/>
      <c r="BH14" s="118"/>
      <c r="BI14" s="118"/>
      <c r="BJ14" s="119"/>
      <c r="BK14" s="23"/>
    </row>
    <row r="15" spans="1:63" ht="15" customHeight="1" x14ac:dyDescent="0.25">
      <c r="A15" s="22"/>
      <c r="B15" s="291"/>
      <c r="C15" s="292"/>
      <c r="D15" s="292"/>
      <c r="E15" s="292"/>
      <c r="F15" s="292"/>
      <c r="G15" s="293"/>
      <c r="H15" s="294"/>
      <c r="I15" s="292"/>
      <c r="J15" s="292"/>
      <c r="K15" s="292"/>
      <c r="L15" s="292"/>
      <c r="M15" s="292"/>
      <c r="N15" s="293"/>
      <c r="O15" s="294"/>
      <c r="P15" s="292"/>
      <c r="Q15" s="292"/>
      <c r="R15" s="292"/>
      <c r="S15" s="295"/>
      <c r="T15" s="296"/>
      <c r="U15" s="296"/>
      <c r="V15" s="296"/>
      <c r="W15" s="296"/>
      <c r="X15" s="296"/>
      <c r="Y15" s="296"/>
      <c r="Z15" s="296"/>
      <c r="AA15" s="296"/>
      <c r="AB15" s="296"/>
      <c r="AC15" s="296"/>
      <c r="AD15" s="296"/>
      <c r="AE15" s="296"/>
      <c r="AF15" s="296"/>
      <c r="AG15" s="296"/>
      <c r="AH15" s="296"/>
      <c r="AI15" s="296"/>
      <c r="AJ15" s="296"/>
      <c r="AK15" s="296"/>
      <c r="AL15" s="296"/>
      <c r="AM15" s="296"/>
      <c r="AN15" s="296"/>
      <c r="AO15" s="296"/>
      <c r="AP15" s="296"/>
      <c r="AQ15" s="296"/>
      <c r="AR15" s="296"/>
      <c r="AS15" s="296"/>
      <c r="AT15" s="296"/>
      <c r="AU15" s="296"/>
      <c r="AV15" s="296"/>
      <c r="AW15" s="297"/>
      <c r="AX15" s="116"/>
      <c r="AY15" s="116"/>
      <c r="AZ15" s="116"/>
      <c r="BA15" s="116"/>
      <c r="BB15" s="116"/>
      <c r="BC15" s="117"/>
      <c r="BD15" s="120"/>
      <c r="BE15" s="116"/>
      <c r="BF15" s="116"/>
      <c r="BG15" s="116"/>
      <c r="BH15" s="116"/>
      <c r="BI15" s="116"/>
      <c r="BJ15" s="117"/>
      <c r="BK15" s="23"/>
    </row>
    <row r="16" spans="1:63" ht="15" customHeight="1" x14ac:dyDescent="0.25">
      <c r="A16" s="22"/>
      <c r="B16" s="298"/>
      <c r="C16" s="299"/>
      <c r="D16" s="299"/>
      <c r="E16" s="299"/>
      <c r="F16" s="299"/>
      <c r="G16" s="300"/>
      <c r="H16" s="298"/>
      <c r="I16" s="299"/>
      <c r="J16" s="299"/>
      <c r="K16" s="299"/>
      <c r="L16" s="299"/>
      <c r="M16" s="299"/>
      <c r="N16" s="300"/>
      <c r="O16" s="298"/>
      <c r="P16" s="299"/>
      <c r="Q16" s="299"/>
      <c r="R16" s="299"/>
      <c r="S16" s="301"/>
      <c r="T16" s="302"/>
      <c r="U16" s="302"/>
      <c r="V16" s="302"/>
      <c r="W16" s="302"/>
      <c r="X16" s="302"/>
      <c r="Y16" s="302"/>
      <c r="Z16" s="302"/>
      <c r="AA16" s="302"/>
      <c r="AB16" s="302"/>
      <c r="AC16" s="302"/>
      <c r="AD16" s="302"/>
      <c r="AE16" s="302"/>
      <c r="AF16" s="302"/>
      <c r="AG16" s="302"/>
      <c r="AH16" s="302"/>
      <c r="AI16" s="302"/>
      <c r="AJ16" s="302"/>
      <c r="AK16" s="302"/>
      <c r="AL16" s="302"/>
      <c r="AM16" s="302"/>
      <c r="AN16" s="302"/>
      <c r="AO16" s="302"/>
      <c r="AP16" s="302"/>
      <c r="AQ16" s="302"/>
      <c r="AR16" s="302"/>
      <c r="AS16" s="302"/>
      <c r="AT16" s="302"/>
      <c r="AU16" s="302"/>
      <c r="AV16" s="302"/>
      <c r="AW16" s="303"/>
      <c r="AX16" s="118"/>
      <c r="AY16" s="118"/>
      <c r="AZ16" s="118"/>
      <c r="BA16" s="118"/>
      <c r="BB16" s="118"/>
      <c r="BC16" s="119"/>
      <c r="BD16" s="121"/>
      <c r="BE16" s="118"/>
      <c r="BF16" s="118"/>
      <c r="BG16" s="118"/>
      <c r="BH16" s="118"/>
      <c r="BI16" s="118"/>
      <c r="BJ16" s="119"/>
      <c r="BK16" s="23"/>
    </row>
    <row r="17" spans="1:63" ht="15" customHeight="1" x14ac:dyDescent="0.25">
      <c r="A17" s="22"/>
      <c r="B17" s="310"/>
      <c r="C17" s="311"/>
      <c r="D17" s="311"/>
      <c r="E17" s="311"/>
      <c r="F17" s="311"/>
      <c r="G17" s="312"/>
      <c r="H17" s="313"/>
      <c r="I17" s="311"/>
      <c r="J17" s="311"/>
      <c r="K17" s="311"/>
      <c r="L17" s="311"/>
      <c r="M17" s="311"/>
      <c r="N17" s="312"/>
      <c r="O17" s="313"/>
      <c r="P17" s="311"/>
      <c r="Q17" s="311"/>
      <c r="R17" s="311"/>
      <c r="S17" s="314"/>
      <c r="T17" s="315"/>
      <c r="U17" s="315"/>
      <c r="V17" s="315"/>
      <c r="W17" s="315"/>
      <c r="X17" s="315"/>
      <c r="Y17" s="315"/>
      <c r="Z17" s="315"/>
      <c r="AA17" s="315"/>
      <c r="AB17" s="315"/>
      <c r="AC17" s="315"/>
      <c r="AD17" s="315"/>
      <c r="AE17" s="315"/>
      <c r="AF17" s="315"/>
      <c r="AG17" s="315"/>
      <c r="AH17" s="315"/>
      <c r="AI17" s="315"/>
      <c r="AJ17" s="315"/>
      <c r="AK17" s="315"/>
      <c r="AL17" s="315"/>
      <c r="AM17" s="315"/>
      <c r="AN17" s="315"/>
      <c r="AO17" s="315"/>
      <c r="AP17" s="315"/>
      <c r="AQ17" s="315"/>
      <c r="AR17" s="315"/>
      <c r="AS17" s="315"/>
      <c r="AT17" s="315"/>
      <c r="AU17" s="315"/>
      <c r="AV17" s="315"/>
      <c r="AW17" s="316"/>
      <c r="AX17" s="116"/>
      <c r="AY17" s="116"/>
      <c r="AZ17" s="116"/>
      <c r="BA17" s="116"/>
      <c r="BB17" s="116"/>
      <c r="BC17" s="117"/>
      <c r="BD17" s="120"/>
      <c r="BE17" s="116"/>
      <c r="BF17" s="116"/>
      <c r="BG17" s="116"/>
      <c r="BH17" s="116"/>
      <c r="BI17" s="116"/>
      <c r="BJ17" s="117"/>
      <c r="BK17" s="23"/>
    </row>
    <row r="18" spans="1:63" ht="15" customHeight="1" x14ac:dyDescent="0.25">
      <c r="A18" s="22"/>
      <c r="B18" s="317"/>
      <c r="C18" s="318"/>
      <c r="D18" s="318"/>
      <c r="E18" s="318"/>
      <c r="F18" s="318"/>
      <c r="G18" s="319"/>
      <c r="H18" s="317"/>
      <c r="I18" s="318"/>
      <c r="J18" s="318"/>
      <c r="K18" s="318"/>
      <c r="L18" s="318"/>
      <c r="M18" s="318"/>
      <c r="N18" s="319"/>
      <c r="O18" s="317"/>
      <c r="P18" s="318"/>
      <c r="Q18" s="318"/>
      <c r="R18" s="318"/>
      <c r="S18" s="320"/>
      <c r="T18" s="321"/>
      <c r="U18" s="321"/>
      <c r="V18" s="321"/>
      <c r="W18" s="321"/>
      <c r="X18" s="321"/>
      <c r="Y18" s="321"/>
      <c r="Z18" s="321"/>
      <c r="AA18" s="321"/>
      <c r="AB18" s="321"/>
      <c r="AC18" s="321"/>
      <c r="AD18" s="321"/>
      <c r="AE18" s="321"/>
      <c r="AF18" s="321"/>
      <c r="AG18" s="321"/>
      <c r="AH18" s="321"/>
      <c r="AI18" s="321"/>
      <c r="AJ18" s="321"/>
      <c r="AK18" s="321"/>
      <c r="AL18" s="321"/>
      <c r="AM18" s="321"/>
      <c r="AN18" s="321"/>
      <c r="AO18" s="321"/>
      <c r="AP18" s="321"/>
      <c r="AQ18" s="321"/>
      <c r="AR18" s="321"/>
      <c r="AS18" s="321"/>
      <c r="AT18" s="321"/>
      <c r="AU18" s="321"/>
      <c r="AV18" s="321"/>
      <c r="AW18" s="322"/>
      <c r="AX18" s="118"/>
      <c r="AY18" s="118"/>
      <c r="AZ18" s="118"/>
      <c r="BA18" s="118"/>
      <c r="BB18" s="118"/>
      <c r="BC18" s="119"/>
      <c r="BD18" s="121"/>
      <c r="BE18" s="118"/>
      <c r="BF18" s="118"/>
      <c r="BG18" s="118"/>
      <c r="BH18" s="118"/>
      <c r="BI18" s="118"/>
      <c r="BJ18" s="119"/>
      <c r="BK18" s="23"/>
    </row>
    <row r="19" spans="1:63" ht="15" customHeight="1" x14ac:dyDescent="0.25">
      <c r="A19" s="22"/>
      <c r="B19" s="71"/>
      <c r="C19" s="72"/>
      <c r="D19" s="72"/>
      <c r="E19" s="72"/>
      <c r="F19" s="72"/>
      <c r="G19" s="73"/>
      <c r="H19" s="71"/>
      <c r="I19" s="72"/>
      <c r="J19" s="72"/>
      <c r="K19" s="72"/>
      <c r="L19" s="72"/>
      <c r="M19" s="72"/>
      <c r="N19" s="73"/>
      <c r="O19" s="71"/>
      <c r="P19" s="72"/>
      <c r="Q19" s="72"/>
      <c r="R19" s="72"/>
      <c r="S19" s="113"/>
      <c r="T19" s="114"/>
      <c r="U19" s="114"/>
      <c r="V19" s="114"/>
      <c r="W19" s="114"/>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5"/>
      <c r="AX19" s="116"/>
      <c r="AY19" s="116"/>
      <c r="AZ19" s="116"/>
      <c r="BA19" s="116"/>
      <c r="BB19" s="116"/>
      <c r="BC19" s="117"/>
      <c r="BD19" s="120"/>
      <c r="BE19" s="116"/>
      <c r="BF19" s="116"/>
      <c r="BG19" s="116"/>
      <c r="BH19" s="116"/>
      <c r="BI19" s="116"/>
      <c r="BJ19" s="117"/>
      <c r="BK19" s="23"/>
    </row>
    <row r="20" spans="1:63" ht="15" customHeight="1" x14ac:dyDescent="0.25">
      <c r="A20" s="22"/>
      <c r="B20" s="74"/>
      <c r="C20" s="75"/>
      <c r="D20" s="75"/>
      <c r="E20" s="75"/>
      <c r="F20" s="75"/>
      <c r="G20" s="76"/>
      <c r="H20" s="74"/>
      <c r="I20" s="75"/>
      <c r="J20" s="75"/>
      <c r="K20" s="75"/>
      <c r="L20" s="75"/>
      <c r="M20" s="75"/>
      <c r="N20" s="76"/>
      <c r="O20" s="74"/>
      <c r="P20" s="75"/>
      <c r="Q20" s="75"/>
      <c r="R20" s="75"/>
      <c r="S20" s="122"/>
      <c r="T20" s="123"/>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c r="AR20" s="123"/>
      <c r="AS20" s="123"/>
      <c r="AT20" s="123"/>
      <c r="AU20" s="123"/>
      <c r="AV20" s="123"/>
      <c r="AW20" s="124"/>
      <c r="AX20" s="118"/>
      <c r="AY20" s="118"/>
      <c r="AZ20" s="118"/>
      <c r="BA20" s="118"/>
      <c r="BB20" s="118"/>
      <c r="BC20" s="119"/>
      <c r="BD20" s="121"/>
      <c r="BE20" s="118"/>
      <c r="BF20" s="118"/>
      <c r="BG20" s="118"/>
      <c r="BH20" s="118"/>
      <c r="BI20" s="118"/>
      <c r="BJ20" s="119"/>
      <c r="BK20" s="23"/>
    </row>
    <row r="21" spans="1:63" ht="15" customHeight="1" x14ac:dyDescent="0.25">
      <c r="A21" s="22"/>
      <c r="B21" s="71"/>
      <c r="C21" s="72"/>
      <c r="D21" s="72"/>
      <c r="E21" s="72"/>
      <c r="F21" s="72"/>
      <c r="G21" s="73"/>
      <c r="H21" s="71"/>
      <c r="I21" s="72"/>
      <c r="J21" s="72"/>
      <c r="K21" s="72"/>
      <c r="L21" s="72"/>
      <c r="M21" s="72"/>
      <c r="N21" s="73"/>
      <c r="O21" s="71"/>
      <c r="P21" s="72"/>
      <c r="Q21" s="72"/>
      <c r="R21" s="72"/>
      <c r="S21" s="113"/>
      <c r="T21" s="114"/>
      <c r="U21" s="114"/>
      <c r="V21" s="114"/>
      <c r="W21" s="114"/>
      <c r="X21" s="114"/>
      <c r="Y21" s="114"/>
      <c r="Z21" s="114"/>
      <c r="AA21" s="114"/>
      <c r="AB21" s="114"/>
      <c r="AC21" s="114"/>
      <c r="AD21" s="114"/>
      <c r="AE21" s="114"/>
      <c r="AF21" s="114"/>
      <c r="AG21" s="114"/>
      <c r="AH21" s="114"/>
      <c r="AI21" s="114"/>
      <c r="AJ21" s="114"/>
      <c r="AK21" s="114"/>
      <c r="AL21" s="114"/>
      <c r="AM21" s="114"/>
      <c r="AN21" s="114"/>
      <c r="AO21" s="114"/>
      <c r="AP21" s="114"/>
      <c r="AQ21" s="114"/>
      <c r="AR21" s="114"/>
      <c r="AS21" s="114"/>
      <c r="AT21" s="114"/>
      <c r="AU21" s="114"/>
      <c r="AV21" s="114"/>
      <c r="AW21" s="115"/>
      <c r="AX21" s="116"/>
      <c r="AY21" s="116"/>
      <c r="AZ21" s="116"/>
      <c r="BA21" s="116"/>
      <c r="BB21" s="116"/>
      <c r="BC21" s="117"/>
      <c r="BD21" s="120"/>
      <c r="BE21" s="116"/>
      <c r="BF21" s="116"/>
      <c r="BG21" s="116"/>
      <c r="BH21" s="116"/>
      <c r="BI21" s="116"/>
      <c r="BJ21" s="117"/>
      <c r="BK21" s="23"/>
    </row>
    <row r="22" spans="1:63" ht="15" customHeight="1" x14ac:dyDescent="0.25">
      <c r="A22" s="22"/>
      <c r="B22" s="74"/>
      <c r="C22" s="75"/>
      <c r="D22" s="75"/>
      <c r="E22" s="75"/>
      <c r="F22" s="75"/>
      <c r="G22" s="76"/>
      <c r="H22" s="74"/>
      <c r="I22" s="75"/>
      <c r="J22" s="75"/>
      <c r="K22" s="75"/>
      <c r="L22" s="75"/>
      <c r="M22" s="75"/>
      <c r="N22" s="76"/>
      <c r="O22" s="74"/>
      <c r="P22" s="75"/>
      <c r="Q22" s="75"/>
      <c r="R22" s="75"/>
      <c r="S22" s="122"/>
      <c r="T22" s="123"/>
      <c r="U22" s="123"/>
      <c r="V22" s="123"/>
      <c r="W22" s="123"/>
      <c r="X22" s="123"/>
      <c r="Y22" s="123"/>
      <c r="Z22" s="123"/>
      <c r="AA22" s="123"/>
      <c r="AB22" s="123"/>
      <c r="AC22" s="123"/>
      <c r="AD22" s="123"/>
      <c r="AE22" s="123"/>
      <c r="AF22" s="123"/>
      <c r="AG22" s="123"/>
      <c r="AH22" s="123"/>
      <c r="AI22" s="123"/>
      <c r="AJ22" s="123"/>
      <c r="AK22" s="123"/>
      <c r="AL22" s="123"/>
      <c r="AM22" s="123"/>
      <c r="AN22" s="123"/>
      <c r="AO22" s="123"/>
      <c r="AP22" s="123"/>
      <c r="AQ22" s="123"/>
      <c r="AR22" s="123"/>
      <c r="AS22" s="123"/>
      <c r="AT22" s="123"/>
      <c r="AU22" s="123"/>
      <c r="AV22" s="123"/>
      <c r="AW22" s="124"/>
      <c r="AX22" s="118"/>
      <c r="AY22" s="118"/>
      <c r="AZ22" s="118"/>
      <c r="BA22" s="118"/>
      <c r="BB22" s="118"/>
      <c r="BC22" s="119"/>
      <c r="BD22" s="121"/>
      <c r="BE22" s="118"/>
      <c r="BF22" s="118"/>
      <c r="BG22" s="118"/>
      <c r="BH22" s="118"/>
      <c r="BI22" s="118"/>
      <c r="BJ22" s="119"/>
      <c r="BK22" s="23"/>
    </row>
    <row r="23" spans="1:63" ht="15" customHeight="1" x14ac:dyDescent="0.25">
      <c r="A23" s="22"/>
      <c r="B23" s="71"/>
      <c r="C23" s="72"/>
      <c r="D23" s="72"/>
      <c r="E23" s="72"/>
      <c r="F23" s="72"/>
      <c r="G23" s="73"/>
      <c r="H23" s="71"/>
      <c r="I23" s="72"/>
      <c r="J23" s="72"/>
      <c r="K23" s="72"/>
      <c r="L23" s="72"/>
      <c r="M23" s="72"/>
      <c r="N23" s="73"/>
      <c r="O23" s="71"/>
      <c r="P23" s="72"/>
      <c r="Q23" s="72"/>
      <c r="R23" s="72"/>
      <c r="S23" s="113"/>
      <c r="T23" s="114"/>
      <c r="U23" s="114"/>
      <c r="V23" s="114"/>
      <c r="W23" s="114"/>
      <c r="X23" s="114"/>
      <c r="Y23" s="114"/>
      <c r="Z23" s="114"/>
      <c r="AA23" s="114"/>
      <c r="AB23" s="114"/>
      <c r="AC23" s="114"/>
      <c r="AD23" s="114"/>
      <c r="AE23" s="114"/>
      <c r="AF23" s="114"/>
      <c r="AG23" s="114"/>
      <c r="AH23" s="114"/>
      <c r="AI23" s="114"/>
      <c r="AJ23" s="114"/>
      <c r="AK23" s="114"/>
      <c r="AL23" s="114"/>
      <c r="AM23" s="114"/>
      <c r="AN23" s="114"/>
      <c r="AO23" s="114"/>
      <c r="AP23" s="114"/>
      <c r="AQ23" s="114"/>
      <c r="AR23" s="114"/>
      <c r="AS23" s="114"/>
      <c r="AT23" s="114"/>
      <c r="AU23" s="114"/>
      <c r="AV23" s="114"/>
      <c r="AW23" s="115"/>
      <c r="AX23" s="116"/>
      <c r="AY23" s="116"/>
      <c r="AZ23" s="116"/>
      <c r="BA23" s="116"/>
      <c r="BB23" s="116"/>
      <c r="BC23" s="117"/>
      <c r="BD23" s="120"/>
      <c r="BE23" s="116"/>
      <c r="BF23" s="116"/>
      <c r="BG23" s="116"/>
      <c r="BH23" s="116"/>
      <c r="BI23" s="116"/>
      <c r="BJ23" s="117"/>
      <c r="BK23" s="23"/>
    </row>
    <row r="24" spans="1:63" ht="15" customHeight="1" x14ac:dyDescent="0.25">
      <c r="A24" s="22"/>
      <c r="B24" s="74"/>
      <c r="C24" s="75"/>
      <c r="D24" s="75"/>
      <c r="E24" s="75"/>
      <c r="F24" s="75"/>
      <c r="G24" s="76"/>
      <c r="H24" s="74"/>
      <c r="I24" s="75"/>
      <c r="J24" s="75"/>
      <c r="K24" s="75"/>
      <c r="L24" s="75"/>
      <c r="M24" s="75"/>
      <c r="N24" s="76"/>
      <c r="O24" s="74"/>
      <c r="P24" s="75"/>
      <c r="Q24" s="75"/>
      <c r="R24" s="75"/>
      <c r="S24" s="122"/>
      <c r="T24" s="123"/>
      <c r="U24" s="123"/>
      <c r="V24" s="123"/>
      <c r="W24" s="123"/>
      <c r="X24" s="123"/>
      <c r="Y24" s="123"/>
      <c r="Z24" s="123"/>
      <c r="AA24" s="123"/>
      <c r="AB24" s="123"/>
      <c r="AC24" s="123"/>
      <c r="AD24" s="123"/>
      <c r="AE24" s="123"/>
      <c r="AF24" s="123"/>
      <c r="AG24" s="123"/>
      <c r="AH24" s="123"/>
      <c r="AI24" s="123"/>
      <c r="AJ24" s="123"/>
      <c r="AK24" s="123"/>
      <c r="AL24" s="123"/>
      <c r="AM24" s="123"/>
      <c r="AN24" s="123"/>
      <c r="AO24" s="123"/>
      <c r="AP24" s="123"/>
      <c r="AQ24" s="123"/>
      <c r="AR24" s="123"/>
      <c r="AS24" s="123"/>
      <c r="AT24" s="123"/>
      <c r="AU24" s="123"/>
      <c r="AV24" s="123"/>
      <c r="AW24" s="124"/>
      <c r="AX24" s="118"/>
      <c r="AY24" s="118"/>
      <c r="AZ24" s="118"/>
      <c r="BA24" s="118"/>
      <c r="BB24" s="118"/>
      <c r="BC24" s="119"/>
      <c r="BD24" s="121"/>
      <c r="BE24" s="118"/>
      <c r="BF24" s="118"/>
      <c r="BG24" s="118"/>
      <c r="BH24" s="118"/>
      <c r="BI24" s="118"/>
      <c r="BJ24" s="119"/>
      <c r="BK24" s="23"/>
    </row>
    <row r="25" spans="1:63" ht="15" customHeight="1" x14ac:dyDescent="0.25">
      <c r="A25" s="22"/>
      <c r="B25" s="71"/>
      <c r="C25" s="72"/>
      <c r="D25" s="72"/>
      <c r="E25" s="72"/>
      <c r="F25" s="72"/>
      <c r="G25" s="73"/>
      <c r="H25" s="71"/>
      <c r="I25" s="72"/>
      <c r="J25" s="72"/>
      <c r="K25" s="72"/>
      <c r="L25" s="72"/>
      <c r="M25" s="72"/>
      <c r="N25" s="73"/>
      <c r="O25" s="71"/>
      <c r="P25" s="72"/>
      <c r="Q25" s="72"/>
      <c r="R25" s="72"/>
      <c r="S25" s="113"/>
      <c r="T25" s="114"/>
      <c r="U25" s="114"/>
      <c r="V25" s="114"/>
      <c r="W25" s="114"/>
      <c r="X25" s="114"/>
      <c r="Y25" s="114"/>
      <c r="Z25" s="114"/>
      <c r="AA25" s="114"/>
      <c r="AB25" s="114"/>
      <c r="AC25" s="114"/>
      <c r="AD25" s="114"/>
      <c r="AE25" s="114"/>
      <c r="AF25" s="114"/>
      <c r="AG25" s="114"/>
      <c r="AH25" s="114"/>
      <c r="AI25" s="114"/>
      <c r="AJ25" s="114"/>
      <c r="AK25" s="114"/>
      <c r="AL25" s="114"/>
      <c r="AM25" s="114"/>
      <c r="AN25" s="114"/>
      <c r="AO25" s="114"/>
      <c r="AP25" s="114"/>
      <c r="AQ25" s="114"/>
      <c r="AR25" s="114"/>
      <c r="AS25" s="114"/>
      <c r="AT25" s="114"/>
      <c r="AU25" s="114"/>
      <c r="AV25" s="114"/>
      <c r="AW25" s="115"/>
      <c r="AX25" s="116"/>
      <c r="AY25" s="116"/>
      <c r="AZ25" s="116"/>
      <c r="BA25" s="116"/>
      <c r="BB25" s="116"/>
      <c r="BC25" s="117"/>
      <c r="BD25" s="120"/>
      <c r="BE25" s="116"/>
      <c r="BF25" s="116"/>
      <c r="BG25" s="116"/>
      <c r="BH25" s="116"/>
      <c r="BI25" s="116"/>
      <c r="BJ25" s="117"/>
      <c r="BK25" s="23"/>
    </row>
    <row r="26" spans="1:63" ht="15" customHeight="1" x14ac:dyDescent="0.25">
      <c r="A26" s="22"/>
      <c r="B26" s="74"/>
      <c r="C26" s="75"/>
      <c r="D26" s="75"/>
      <c r="E26" s="75"/>
      <c r="F26" s="75"/>
      <c r="G26" s="76"/>
      <c r="H26" s="74"/>
      <c r="I26" s="75"/>
      <c r="J26" s="75"/>
      <c r="K26" s="75"/>
      <c r="L26" s="75"/>
      <c r="M26" s="75"/>
      <c r="N26" s="76"/>
      <c r="O26" s="74"/>
      <c r="P26" s="75"/>
      <c r="Q26" s="75"/>
      <c r="R26" s="75"/>
      <c r="S26" s="122"/>
      <c r="T26" s="123"/>
      <c r="U26" s="123"/>
      <c r="V26" s="123"/>
      <c r="W26" s="123"/>
      <c r="X26" s="123"/>
      <c r="Y26" s="123"/>
      <c r="Z26" s="123"/>
      <c r="AA26" s="123"/>
      <c r="AB26" s="123"/>
      <c r="AC26" s="123"/>
      <c r="AD26" s="123"/>
      <c r="AE26" s="123"/>
      <c r="AF26" s="123"/>
      <c r="AG26" s="123"/>
      <c r="AH26" s="123"/>
      <c r="AI26" s="123"/>
      <c r="AJ26" s="123"/>
      <c r="AK26" s="123"/>
      <c r="AL26" s="123"/>
      <c r="AM26" s="123"/>
      <c r="AN26" s="123"/>
      <c r="AO26" s="123"/>
      <c r="AP26" s="123"/>
      <c r="AQ26" s="123"/>
      <c r="AR26" s="123"/>
      <c r="AS26" s="123"/>
      <c r="AT26" s="123"/>
      <c r="AU26" s="123"/>
      <c r="AV26" s="123"/>
      <c r="AW26" s="124"/>
      <c r="AX26" s="118"/>
      <c r="AY26" s="118"/>
      <c r="AZ26" s="118"/>
      <c r="BA26" s="118"/>
      <c r="BB26" s="118"/>
      <c r="BC26" s="119"/>
      <c r="BD26" s="121"/>
      <c r="BE26" s="118"/>
      <c r="BF26" s="118"/>
      <c r="BG26" s="118"/>
      <c r="BH26" s="118"/>
      <c r="BI26" s="118"/>
      <c r="BJ26" s="119"/>
      <c r="BK26" s="23"/>
    </row>
    <row r="27" spans="1:63" ht="15" customHeight="1" x14ac:dyDescent="0.25">
      <c r="A27" s="22"/>
      <c r="B27" s="71"/>
      <c r="C27" s="72"/>
      <c r="D27" s="72"/>
      <c r="E27" s="72"/>
      <c r="F27" s="72"/>
      <c r="G27" s="73"/>
      <c r="H27" s="71"/>
      <c r="I27" s="72"/>
      <c r="J27" s="72"/>
      <c r="K27" s="72"/>
      <c r="L27" s="72"/>
      <c r="M27" s="72"/>
      <c r="N27" s="73"/>
      <c r="O27" s="71"/>
      <c r="P27" s="72"/>
      <c r="Q27" s="72"/>
      <c r="R27" s="72"/>
      <c r="S27" s="113"/>
      <c r="T27" s="114"/>
      <c r="U27" s="114"/>
      <c r="V27" s="114"/>
      <c r="W27" s="114"/>
      <c r="X27" s="114"/>
      <c r="Y27" s="114"/>
      <c r="Z27" s="114"/>
      <c r="AA27" s="114"/>
      <c r="AB27" s="114"/>
      <c r="AC27" s="114"/>
      <c r="AD27" s="114"/>
      <c r="AE27" s="114"/>
      <c r="AF27" s="114"/>
      <c r="AG27" s="114"/>
      <c r="AH27" s="114"/>
      <c r="AI27" s="114"/>
      <c r="AJ27" s="114"/>
      <c r="AK27" s="114"/>
      <c r="AL27" s="114"/>
      <c r="AM27" s="114"/>
      <c r="AN27" s="114"/>
      <c r="AO27" s="114"/>
      <c r="AP27" s="114"/>
      <c r="AQ27" s="114"/>
      <c r="AR27" s="114"/>
      <c r="AS27" s="114"/>
      <c r="AT27" s="114"/>
      <c r="AU27" s="114"/>
      <c r="AV27" s="114"/>
      <c r="AW27" s="115"/>
      <c r="AX27" s="116"/>
      <c r="AY27" s="116"/>
      <c r="AZ27" s="116"/>
      <c r="BA27" s="116"/>
      <c r="BB27" s="116"/>
      <c r="BC27" s="117"/>
      <c r="BD27" s="120"/>
      <c r="BE27" s="116"/>
      <c r="BF27" s="116"/>
      <c r="BG27" s="116"/>
      <c r="BH27" s="116"/>
      <c r="BI27" s="116"/>
      <c r="BJ27" s="117"/>
      <c r="BK27" s="23"/>
    </row>
    <row r="28" spans="1:63" ht="15" customHeight="1" x14ac:dyDescent="0.25">
      <c r="A28" s="22"/>
      <c r="B28" s="74"/>
      <c r="C28" s="75"/>
      <c r="D28" s="75"/>
      <c r="E28" s="75"/>
      <c r="F28" s="75"/>
      <c r="G28" s="76"/>
      <c r="H28" s="74"/>
      <c r="I28" s="75"/>
      <c r="J28" s="75"/>
      <c r="K28" s="75"/>
      <c r="L28" s="75"/>
      <c r="M28" s="75"/>
      <c r="N28" s="76"/>
      <c r="O28" s="74"/>
      <c r="P28" s="75"/>
      <c r="Q28" s="75"/>
      <c r="R28" s="75"/>
      <c r="S28" s="122"/>
      <c r="T28" s="123"/>
      <c r="U28" s="123"/>
      <c r="V28" s="123"/>
      <c r="W28" s="123"/>
      <c r="X28" s="123"/>
      <c r="Y28" s="123"/>
      <c r="Z28" s="123"/>
      <c r="AA28" s="123"/>
      <c r="AB28" s="123"/>
      <c r="AC28" s="123"/>
      <c r="AD28" s="123"/>
      <c r="AE28" s="123"/>
      <c r="AF28" s="123"/>
      <c r="AG28" s="123"/>
      <c r="AH28" s="123"/>
      <c r="AI28" s="123"/>
      <c r="AJ28" s="123"/>
      <c r="AK28" s="123"/>
      <c r="AL28" s="123"/>
      <c r="AM28" s="123"/>
      <c r="AN28" s="123"/>
      <c r="AO28" s="123"/>
      <c r="AP28" s="123"/>
      <c r="AQ28" s="123"/>
      <c r="AR28" s="123"/>
      <c r="AS28" s="123"/>
      <c r="AT28" s="123"/>
      <c r="AU28" s="123"/>
      <c r="AV28" s="123"/>
      <c r="AW28" s="124"/>
      <c r="AX28" s="118"/>
      <c r="AY28" s="118"/>
      <c r="AZ28" s="118"/>
      <c r="BA28" s="118"/>
      <c r="BB28" s="118"/>
      <c r="BC28" s="119"/>
      <c r="BD28" s="121"/>
      <c r="BE28" s="118"/>
      <c r="BF28" s="118"/>
      <c r="BG28" s="118"/>
      <c r="BH28" s="118"/>
      <c r="BI28" s="118"/>
      <c r="BJ28" s="119"/>
      <c r="BK28" s="23"/>
    </row>
    <row r="29" spans="1:63" ht="15" customHeight="1" x14ac:dyDescent="0.25">
      <c r="A29" s="22"/>
      <c r="B29" s="71"/>
      <c r="C29" s="72"/>
      <c r="D29" s="72"/>
      <c r="E29" s="72"/>
      <c r="F29" s="72"/>
      <c r="G29" s="73"/>
      <c r="H29" s="71"/>
      <c r="I29" s="72"/>
      <c r="J29" s="72"/>
      <c r="K29" s="72"/>
      <c r="L29" s="72"/>
      <c r="M29" s="72"/>
      <c r="N29" s="73"/>
      <c r="O29" s="71"/>
      <c r="P29" s="72"/>
      <c r="Q29" s="72"/>
      <c r="R29" s="72"/>
      <c r="S29" s="113"/>
      <c r="T29" s="114"/>
      <c r="U29" s="114"/>
      <c r="V29" s="114"/>
      <c r="W29" s="114"/>
      <c r="X29" s="114"/>
      <c r="Y29" s="114"/>
      <c r="Z29" s="114"/>
      <c r="AA29" s="114"/>
      <c r="AB29" s="114"/>
      <c r="AC29" s="114"/>
      <c r="AD29" s="114"/>
      <c r="AE29" s="114"/>
      <c r="AF29" s="114"/>
      <c r="AG29" s="114"/>
      <c r="AH29" s="114"/>
      <c r="AI29" s="114"/>
      <c r="AJ29" s="114"/>
      <c r="AK29" s="114"/>
      <c r="AL29" s="114"/>
      <c r="AM29" s="114"/>
      <c r="AN29" s="114"/>
      <c r="AO29" s="114"/>
      <c r="AP29" s="114"/>
      <c r="AQ29" s="114"/>
      <c r="AR29" s="114"/>
      <c r="AS29" s="114"/>
      <c r="AT29" s="114"/>
      <c r="AU29" s="114"/>
      <c r="AV29" s="114"/>
      <c r="AW29" s="115"/>
      <c r="AX29" s="116"/>
      <c r="AY29" s="116"/>
      <c r="AZ29" s="116"/>
      <c r="BA29" s="116"/>
      <c r="BB29" s="116"/>
      <c r="BC29" s="117"/>
      <c r="BD29" s="120"/>
      <c r="BE29" s="116"/>
      <c r="BF29" s="116"/>
      <c r="BG29" s="116"/>
      <c r="BH29" s="116"/>
      <c r="BI29" s="116"/>
      <c r="BJ29" s="117"/>
      <c r="BK29" s="23"/>
    </row>
    <row r="30" spans="1:63" ht="15" customHeight="1" x14ac:dyDescent="0.25">
      <c r="A30" s="22"/>
      <c r="B30" s="74"/>
      <c r="C30" s="75"/>
      <c r="D30" s="75"/>
      <c r="E30" s="75"/>
      <c r="F30" s="75"/>
      <c r="G30" s="76"/>
      <c r="H30" s="74"/>
      <c r="I30" s="75"/>
      <c r="J30" s="75"/>
      <c r="K30" s="75"/>
      <c r="L30" s="75"/>
      <c r="M30" s="75"/>
      <c r="N30" s="76"/>
      <c r="O30" s="74"/>
      <c r="P30" s="75"/>
      <c r="Q30" s="75"/>
      <c r="R30" s="75"/>
      <c r="S30" s="122"/>
      <c r="T30" s="123"/>
      <c r="U30" s="123"/>
      <c r="V30" s="123"/>
      <c r="W30" s="123"/>
      <c r="X30" s="123"/>
      <c r="Y30" s="123"/>
      <c r="Z30" s="123"/>
      <c r="AA30" s="123"/>
      <c r="AB30" s="123"/>
      <c r="AC30" s="123"/>
      <c r="AD30" s="123"/>
      <c r="AE30" s="123"/>
      <c r="AF30" s="123"/>
      <c r="AG30" s="123"/>
      <c r="AH30" s="123"/>
      <c r="AI30" s="123"/>
      <c r="AJ30" s="123"/>
      <c r="AK30" s="123"/>
      <c r="AL30" s="123"/>
      <c r="AM30" s="123"/>
      <c r="AN30" s="123"/>
      <c r="AO30" s="123"/>
      <c r="AP30" s="123"/>
      <c r="AQ30" s="123"/>
      <c r="AR30" s="123"/>
      <c r="AS30" s="123"/>
      <c r="AT30" s="123"/>
      <c r="AU30" s="123"/>
      <c r="AV30" s="123"/>
      <c r="AW30" s="124"/>
      <c r="AX30" s="118"/>
      <c r="AY30" s="118"/>
      <c r="AZ30" s="118"/>
      <c r="BA30" s="118"/>
      <c r="BB30" s="118"/>
      <c r="BC30" s="119"/>
      <c r="BD30" s="121"/>
      <c r="BE30" s="118"/>
      <c r="BF30" s="118"/>
      <c r="BG30" s="118"/>
      <c r="BH30" s="118"/>
      <c r="BI30" s="118"/>
      <c r="BJ30" s="119"/>
      <c r="BK30" s="23"/>
    </row>
    <row r="31" spans="1:63" ht="15" customHeight="1" x14ac:dyDescent="0.25">
      <c r="A31" s="22"/>
      <c r="B31" s="71"/>
      <c r="C31" s="72"/>
      <c r="D31" s="72"/>
      <c r="E31" s="72"/>
      <c r="F31" s="72"/>
      <c r="G31" s="73"/>
      <c r="H31" s="71"/>
      <c r="I31" s="72"/>
      <c r="J31" s="72"/>
      <c r="K31" s="72"/>
      <c r="L31" s="72"/>
      <c r="M31" s="72"/>
      <c r="N31" s="73"/>
      <c r="O31" s="71"/>
      <c r="P31" s="72"/>
      <c r="Q31" s="72"/>
      <c r="R31" s="72"/>
      <c r="S31" s="113"/>
      <c r="T31" s="114"/>
      <c r="U31" s="114"/>
      <c r="V31" s="114"/>
      <c r="W31" s="114"/>
      <c r="X31" s="114"/>
      <c r="Y31" s="114"/>
      <c r="Z31" s="114"/>
      <c r="AA31" s="114"/>
      <c r="AB31" s="114"/>
      <c r="AC31" s="114"/>
      <c r="AD31" s="114"/>
      <c r="AE31" s="114"/>
      <c r="AF31" s="114"/>
      <c r="AG31" s="114"/>
      <c r="AH31" s="114"/>
      <c r="AI31" s="114"/>
      <c r="AJ31" s="114"/>
      <c r="AK31" s="114"/>
      <c r="AL31" s="114"/>
      <c r="AM31" s="114"/>
      <c r="AN31" s="114"/>
      <c r="AO31" s="114"/>
      <c r="AP31" s="114"/>
      <c r="AQ31" s="114"/>
      <c r="AR31" s="114"/>
      <c r="AS31" s="114"/>
      <c r="AT31" s="114"/>
      <c r="AU31" s="114"/>
      <c r="AV31" s="114"/>
      <c r="AW31" s="115"/>
      <c r="AX31" s="116"/>
      <c r="AY31" s="116"/>
      <c r="AZ31" s="116"/>
      <c r="BA31" s="116"/>
      <c r="BB31" s="116"/>
      <c r="BC31" s="117"/>
      <c r="BD31" s="120"/>
      <c r="BE31" s="116"/>
      <c r="BF31" s="116"/>
      <c r="BG31" s="116"/>
      <c r="BH31" s="116"/>
      <c r="BI31" s="116"/>
      <c r="BJ31" s="117"/>
      <c r="BK31" s="23"/>
    </row>
    <row r="32" spans="1:63" ht="15" customHeight="1" x14ac:dyDescent="0.25">
      <c r="A32" s="22"/>
      <c r="B32" s="74"/>
      <c r="C32" s="75"/>
      <c r="D32" s="75"/>
      <c r="E32" s="75"/>
      <c r="F32" s="75"/>
      <c r="G32" s="76"/>
      <c r="H32" s="74"/>
      <c r="I32" s="75"/>
      <c r="J32" s="75"/>
      <c r="K32" s="75"/>
      <c r="L32" s="75"/>
      <c r="M32" s="75"/>
      <c r="N32" s="76"/>
      <c r="O32" s="74"/>
      <c r="P32" s="75"/>
      <c r="Q32" s="75"/>
      <c r="R32" s="75"/>
      <c r="S32" s="122"/>
      <c r="T32" s="123"/>
      <c r="U32" s="123"/>
      <c r="V32" s="123"/>
      <c r="W32" s="123"/>
      <c r="X32" s="123"/>
      <c r="Y32" s="123"/>
      <c r="Z32" s="123"/>
      <c r="AA32" s="123"/>
      <c r="AB32" s="123"/>
      <c r="AC32" s="123"/>
      <c r="AD32" s="123"/>
      <c r="AE32" s="123"/>
      <c r="AF32" s="123"/>
      <c r="AG32" s="123"/>
      <c r="AH32" s="123"/>
      <c r="AI32" s="123"/>
      <c r="AJ32" s="123"/>
      <c r="AK32" s="123"/>
      <c r="AL32" s="123"/>
      <c r="AM32" s="123"/>
      <c r="AN32" s="123"/>
      <c r="AO32" s="123"/>
      <c r="AP32" s="123"/>
      <c r="AQ32" s="123"/>
      <c r="AR32" s="123"/>
      <c r="AS32" s="123"/>
      <c r="AT32" s="123"/>
      <c r="AU32" s="123"/>
      <c r="AV32" s="123"/>
      <c r="AW32" s="124"/>
      <c r="AX32" s="118"/>
      <c r="AY32" s="118"/>
      <c r="AZ32" s="118"/>
      <c r="BA32" s="118"/>
      <c r="BB32" s="118"/>
      <c r="BC32" s="119"/>
      <c r="BD32" s="121"/>
      <c r="BE32" s="118"/>
      <c r="BF32" s="118"/>
      <c r="BG32" s="118"/>
      <c r="BH32" s="118"/>
      <c r="BI32" s="118"/>
      <c r="BJ32" s="119"/>
      <c r="BK32" s="23"/>
    </row>
    <row r="33" spans="1:63" ht="15" customHeight="1" x14ac:dyDescent="0.25">
      <c r="A33" s="22"/>
      <c r="B33" s="71"/>
      <c r="C33" s="72"/>
      <c r="D33" s="72"/>
      <c r="E33" s="72"/>
      <c r="F33" s="72"/>
      <c r="G33" s="73"/>
      <c r="H33" s="71"/>
      <c r="I33" s="72"/>
      <c r="J33" s="72"/>
      <c r="K33" s="72"/>
      <c r="L33" s="72"/>
      <c r="M33" s="72"/>
      <c r="N33" s="73"/>
      <c r="O33" s="71"/>
      <c r="P33" s="72"/>
      <c r="Q33" s="72"/>
      <c r="R33" s="72"/>
      <c r="S33" s="113"/>
      <c r="T33" s="114"/>
      <c r="U33" s="114"/>
      <c r="V33" s="114"/>
      <c r="W33" s="114"/>
      <c r="X33" s="114"/>
      <c r="Y33" s="114"/>
      <c r="Z33" s="114"/>
      <c r="AA33" s="114"/>
      <c r="AB33" s="114"/>
      <c r="AC33" s="114"/>
      <c r="AD33" s="114"/>
      <c r="AE33" s="114"/>
      <c r="AF33" s="114"/>
      <c r="AG33" s="114"/>
      <c r="AH33" s="114"/>
      <c r="AI33" s="114"/>
      <c r="AJ33" s="114"/>
      <c r="AK33" s="114"/>
      <c r="AL33" s="114"/>
      <c r="AM33" s="114"/>
      <c r="AN33" s="114"/>
      <c r="AO33" s="114"/>
      <c r="AP33" s="114"/>
      <c r="AQ33" s="114"/>
      <c r="AR33" s="114"/>
      <c r="AS33" s="114"/>
      <c r="AT33" s="114"/>
      <c r="AU33" s="114"/>
      <c r="AV33" s="114"/>
      <c r="AW33" s="115"/>
      <c r="AX33" s="116"/>
      <c r="AY33" s="116"/>
      <c r="AZ33" s="116"/>
      <c r="BA33" s="116"/>
      <c r="BB33" s="116"/>
      <c r="BC33" s="117"/>
      <c r="BD33" s="120"/>
      <c r="BE33" s="116"/>
      <c r="BF33" s="116"/>
      <c r="BG33" s="116"/>
      <c r="BH33" s="116"/>
      <c r="BI33" s="116"/>
      <c r="BJ33" s="117"/>
      <c r="BK33" s="23"/>
    </row>
    <row r="34" spans="1:63" ht="15" customHeight="1" x14ac:dyDescent="0.25">
      <c r="A34" s="22"/>
      <c r="B34" s="74"/>
      <c r="C34" s="75"/>
      <c r="D34" s="75"/>
      <c r="E34" s="75"/>
      <c r="F34" s="75"/>
      <c r="G34" s="76"/>
      <c r="H34" s="74"/>
      <c r="I34" s="75"/>
      <c r="J34" s="75"/>
      <c r="K34" s="75"/>
      <c r="L34" s="75"/>
      <c r="M34" s="75"/>
      <c r="N34" s="76"/>
      <c r="O34" s="74"/>
      <c r="P34" s="75"/>
      <c r="Q34" s="75"/>
      <c r="R34" s="75"/>
      <c r="S34" s="122"/>
      <c r="T34" s="123"/>
      <c r="U34" s="123"/>
      <c r="V34" s="123"/>
      <c r="W34" s="123"/>
      <c r="X34" s="123"/>
      <c r="Y34" s="123"/>
      <c r="Z34" s="123"/>
      <c r="AA34" s="123"/>
      <c r="AB34" s="123"/>
      <c r="AC34" s="123"/>
      <c r="AD34" s="123"/>
      <c r="AE34" s="123"/>
      <c r="AF34" s="123"/>
      <c r="AG34" s="123"/>
      <c r="AH34" s="123"/>
      <c r="AI34" s="123"/>
      <c r="AJ34" s="123"/>
      <c r="AK34" s="123"/>
      <c r="AL34" s="123"/>
      <c r="AM34" s="123"/>
      <c r="AN34" s="123"/>
      <c r="AO34" s="123"/>
      <c r="AP34" s="123"/>
      <c r="AQ34" s="123"/>
      <c r="AR34" s="123"/>
      <c r="AS34" s="123"/>
      <c r="AT34" s="123"/>
      <c r="AU34" s="123"/>
      <c r="AV34" s="123"/>
      <c r="AW34" s="124"/>
      <c r="AX34" s="118"/>
      <c r="AY34" s="118"/>
      <c r="AZ34" s="118"/>
      <c r="BA34" s="118"/>
      <c r="BB34" s="118"/>
      <c r="BC34" s="119"/>
      <c r="BD34" s="121"/>
      <c r="BE34" s="118"/>
      <c r="BF34" s="118"/>
      <c r="BG34" s="118"/>
      <c r="BH34" s="118"/>
      <c r="BI34" s="118"/>
      <c r="BJ34" s="119"/>
      <c r="BK34" s="23"/>
    </row>
    <row r="35" spans="1:63" ht="15" customHeight="1" x14ac:dyDescent="0.25">
      <c r="A35" s="22"/>
      <c r="B35" s="71"/>
      <c r="C35" s="72"/>
      <c r="D35" s="72"/>
      <c r="E35" s="72"/>
      <c r="F35" s="72"/>
      <c r="G35" s="73"/>
      <c r="H35" s="71"/>
      <c r="I35" s="72"/>
      <c r="J35" s="72"/>
      <c r="K35" s="72"/>
      <c r="L35" s="72"/>
      <c r="M35" s="72"/>
      <c r="N35" s="73"/>
      <c r="O35" s="71"/>
      <c r="P35" s="72"/>
      <c r="Q35" s="72"/>
      <c r="R35" s="72"/>
      <c r="S35" s="113"/>
      <c r="T35" s="114"/>
      <c r="U35" s="114"/>
      <c r="V35" s="114"/>
      <c r="W35" s="114"/>
      <c r="X35" s="114"/>
      <c r="Y35" s="114"/>
      <c r="Z35" s="114"/>
      <c r="AA35" s="114"/>
      <c r="AB35" s="114"/>
      <c r="AC35" s="114"/>
      <c r="AD35" s="114"/>
      <c r="AE35" s="114"/>
      <c r="AF35" s="114"/>
      <c r="AG35" s="114"/>
      <c r="AH35" s="114"/>
      <c r="AI35" s="114"/>
      <c r="AJ35" s="114"/>
      <c r="AK35" s="114"/>
      <c r="AL35" s="114"/>
      <c r="AM35" s="114"/>
      <c r="AN35" s="114"/>
      <c r="AO35" s="114"/>
      <c r="AP35" s="114"/>
      <c r="AQ35" s="114"/>
      <c r="AR35" s="114"/>
      <c r="AS35" s="114"/>
      <c r="AT35" s="114"/>
      <c r="AU35" s="114"/>
      <c r="AV35" s="114"/>
      <c r="AW35" s="115"/>
      <c r="AX35" s="116"/>
      <c r="AY35" s="116"/>
      <c r="AZ35" s="116"/>
      <c r="BA35" s="116"/>
      <c r="BB35" s="116"/>
      <c r="BC35" s="117"/>
      <c r="BD35" s="120"/>
      <c r="BE35" s="116"/>
      <c r="BF35" s="116"/>
      <c r="BG35" s="116"/>
      <c r="BH35" s="116"/>
      <c r="BI35" s="116"/>
      <c r="BJ35" s="117"/>
      <c r="BK35" s="23"/>
    </row>
    <row r="36" spans="1:63" ht="15" customHeight="1" x14ac:dyDescent="0.25">
      <c r="A36" s="22"/>
      <c r="B36" s="74"/>
      <c r="C36" s="75"/>
      <c r="D36" s="75"/>
      <c r="E36" s="75"/>
      <c r="F36" s="75"/>
      <c r="G36" s="76"/>
      <c r="H36" s="74"/>
      <c r="I36" s="75"/>
      <c r="J36" s="75"/>
      <c r="K36" s="75"/>
      <c r="L36" s="75"/>
      <c r="M36" s="75"/>
      <c r="N36" s="76"/>
      <c r="O36" s="74"/>
      <c r="P36" s="75"/>
      <c r="Q36" s="75"/>
      <c r="R36" s="75"/>
      <c r="S36" s="122"/>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4"/>
      <c r="AX36" s="118"/>
      <c r="AY36" s="118"/>
      <c r="AZ36" s="118"/>
      <c r="BA36" s="118"/>
      <c r="BB36" s="118"/>
      <c r="BC36" s="119"/>
      <c r="BD36" s="121"/>
      <c r="BE36" s="118"/>
      <c r="BF36" s="118"/>
      <c r="BG36" s="118"/>
      <c r="BH36" s="118"/>
      <c r="BI36" s="118"/>
      <c r="BJ36" s="119"/>
      <c r="BK36" s="23"/>
    </row>
    <row r="37" spans="1:63" ht="15" customHeight="1" x14ac:dyDescent="0.25">
      <c r="A37" s="22"/>
      <c r="B37" s="71"/>
      <c r="C37" s="72"/>
      <c r="D37" s="72"/>
      <c r="E37" s="72"/>
      <c r="F37" s="72"/>
      <c r="G37" s="73"/>
      <c r="H37" s="71"/>
      <c r="I37" s="72"/>
      <c r="J37" s="72"/>
      <c r="K37" s="72"/>
      <c r="L37" s="72"/>
      <c r="M37" s="72"/>
      <c r="N37" s="73"/>
      <c r="O37" s="71"/>
      <c r="P37" s="72"/>
      <c r="Q37" s="72"/>
      <c r="R37" s="72"/>
      <c r="S37" s="113"/>
      <c r="T37" s="114"/>
      <c r="U37" s="114"/>
      <c r="V37" s="114"/>
      <c r="W37" s="114"/>
      <c r="X37" s="114"/>
      <c r="Y37" s="114"/>
      <c r="Z37" s="114"/>
      <c r="AA37" s="114"/>
      <c r="AB37" s="114"/>
      <c r="AC37" s="114"/>
      <c r="AD37" s="114"/>
      <c r="AE37" s="114"/>
      <c r="AF37" s="114"/>
      <c r="AG37" s="114"/>
      <c r="AH37" s="114"/>
      <c r="AI37" s="114"/>
      <c r="AJ37" s="114"/>
      <c r="AK37" s="114"/>
      <c r="AL37" s="114"/>
      <c r="AM37" s="114"/>
      <c r="AN37" s="114"/>
      <c r="AO37" s="114"/>
      <c r="AP37" s="114"/>
      <c r="AQ37" s="114"/>
      <c r="AR37" s="114"/>
      <c r="AS37" s="114"/>
      <c r="AT37" s="114"/>
      <c r="AU37" s="114"/>
      <c r="AV37" s="114"/>
      <c r="AW37" s="115"/>
      <c r="AX37" s="116"/>
      <c r="AY37" s="116"/>
      <c r="AZ37" s="116"/>
      <c r="BA37" s="116"/>
      <c r="BB37" s="116"/>
      <c r="BC37" s="117"/>
      <c r="BD37" s="120"/>
      <c r="BE37" s="116"/>
      <c r="BF37" s="116"/>
      <c r="BG37" s="116"/>
      <c r="BH37" s="116"/>
      <c r="BI37" s="116"/>
      <c r="BJ37" s="117"/>
      <c r="BK37" s="23"/>
    </row>
    <row r="38" spans="1:63" ht="15" customHeight="1" x14ac:dyDescent="0.25">
      <c r="A38" s="22"/>
      <c r="B38" s="74"/>
      <c r="C38" s="75"/>
      <c r="D38" s="75"/>
      <c r="E38" s="75"/>
      <c r="F38" s="75"/>
      <c r="G38" s="76"/>
      <c r="H38" s="74"/>
      <c r="I38" s="75"/>
      <c r="J38" s="75"/>
      <c r="K38" s="75"/>
      <c r="L38" s="75"/>
      <c r="M38" s="75"/>
      <c r="N38" s="76"/>
      <c r="O38" s="74"/>
      <c r="P38" s="75"/>
      <c r="Q38" s="75"/>
      <c r="R38" s="75"/>
      <c r="S38" s="122"/>
      <c r="T38" s="123"/>
      <c r="U38" s="123"/>
      <c r="V38" s="123"/>
      <c r="W38" s="123"/>
      <c r="X38" s="123"/>
      <c r="Y38" s="123"/>
      <c r="Z38" s="123"/>
      <c r="AA38" s="123"/>
      <c r="AB38" s="123"/>
      <c r="AC38" s="123"/>
      <c r="AD38" s="123"/>
      <c r="AE38" s="123"/>
      <c r="AF38" s="123"/>
      <c r="AG38" s="123"/>
      <c r="AH38" s="123"/>
      <c r="AI38" s="123"/>
      <c r="AJ38" s="123"/>
      <c r="AK38" s="123"/>
      <c r="AL38" s="123"/>
      <c r="AM38" s="123"/>
      <c r="AN38" s="123"/>
      <c r="AO38" s="123"/>
      <c r="AP38" s="123"/>
      <c r="AQ38" s="123"/>
      <c r="AR38" s="123"/>
      <c r="AS38" s="123"/>
      <c r="AT38" s="123"/>
      <c r="AU38" s="123"/>
      <c r="AV38" s="123"/>
      <c r="AW38" s="124"/>
      <c r="AX38" s="118"/>
      <c r="AY38" s="118"/>
      <c r="AZ38" s="118"/>
      <c r="BA38" s="118"/>
      <c r="BB38" s="118"/>
      <c r="BC38" s="119"/>
      <c r="BD38" s="121"/>
      <c r="BE38" s="118"/>
      <c r="BF38" s="118"/>
      <c r="BG38" s="118"/>
      <c r="BH38" s="118"/>
      <c r="BI38" s="118"/>
      <c r="BJ38" s="119"/>
      <c r="BK38" s="23"/>
    </row>
    <row r="39" spans="1:63" ht="15" customHeight="1" x14ac:dyDescent="0.25">
      <c r="A39" s="22"/>
      <c r="B39" s="71"/>
      <c r="C39" s="72"/>
      <c r="D39" s="72"/>
      <c r="E39" s="72"/>
      <c r="F39" s="72"/>
      <c r="G39" s="73"/>
      <c r="H39" s="71"/>
      <c r="I39" s="72"/>
      <c r="J39" s="72"/>
      <c r="K39" s="72"/>
      <c r="L39" s="72"/>
      <c r="M39" s="72"/>
      <c r="N39" s="73"/>
      <c r="O39" s="71"/>
      <c r="P39" s="72"/>
      <c r="Q39" s="72"/>
      <c r="R39" s="72"/>
      <c r="S39" s="113"/>
      <c r="T39" s="114"/>
      <c r="U39" s="114"/>
      <c r="V39" s="114"/>
      <c r="W39" s="114"/>
      <c r="X39" s="114"/>
      <c r="Y39" s="114"/>
      <c r="Z39" s="114"/>
      <c r="AA39" s="114"/>
      <c r="AB39" s="114"/>
      <c r="AC39" s="114"/>
      <c r="AD39" s="114"/>
      <c r="AE39" s="114"/>
      <c r="AF39" s="114"/>
      <c r="AG39" s="114"/>
      <c r="AH39" s="114"/>
      <c r="AI39" s="114"/>
      <c r="AJ39" s="114"/>
      <c r="AK39" s="114"/>
      <c r="AL39" s="114"/>
      <c r="AM39" s="114"/>
      <c r="AN39" s="114"/>
      <c r="AO39" s="114"/>
      <c r="AP39" s="114"/>
      <c r="AQ39" s="114"/>
      <c r="AR39" s="114"/>
      <c r="AS39" s="114"/>
      <c r="AT39" s="114"/>
      <c r="AU39" s="114"/>
      <c r="AV39" s="114"/>
      <c r="AW39" s="115"/>
      <c r="AX39" s="116"/>
      <c r="AY39" s="116"/>
      <c r="AZ39" s="116"/>
      <c r="BA39" s="116"/>
      <c r="BB39" s="116"/>
      <c r="BC39" s="117"/>
      <c r="BD39" s="120"/>
      <c r="BE39" s="116"/>
      <c r="BF39" s="116"/>
      <c r="BG39" s="116"/>
      <c r="BH39" s="116"/>
      <c r="BI39" s="116"/>
      <c r="BJ39" s="117"/>
      <c r="BK39" s="23"/>
    </row>
    <row r="40" spans="1:63" ht="15" customHeight="1" x14ac:dyDescent="0.25">
      <c r="A40" s="22"/>
      <c r="B40" s="74"/>
      <c r="C40" s="75"/>
      <c r="D40" s="75"/>
      <c r="E40" s="75"/>
      <c r="F40" s="75"/>
      <c r="G40" s="76"/>
      <c r="H40" s="74"/>
      <c r="I40" s="75"/>
      <c r="J40" s="75"/>
      <c r="K40" s="75"/>
      <c r="L40" s="75"/>
      <c r="M40" s="75"/>
      <c r="N40" s="76"/>
      <c r="O40" s="74"/>
      <c r="P40" s="75"/>
      <c r="Q40" s="75"/>
      <c r="R40" s="75"/>
      <c r="S40" s="122"/>
      <c r="T40" s="123"/>
      <c r="U40" s="123"/>
      <c r="V40" s="123"/>
      <c r="W40" s="123"/>
      <c r="X40" s="123"/>
      <c r="Y40" s="123"/>
      <c r="Z40" s="123"/>
      <c r="AA40" s="123"/>
      <c r="AB40" s="123"/>
      <c r="AC40" s="123"/>
      <c r="AD40" s="123"/>
      <c r="AE40" s="123"/>
      <c r="AF40" s="123"/>
      <c r="AG40" s="123"/>
      <c r="AH40" s="123"/>
      <c r="AI40" s="123"/>
      <c r="AJ40" s="123"/>
      <c r="AK40" s="123"/>
      <c r="AL40" s="123"/>
      <c r="AM40" s="123"/>
      <c r="AN40" s="123"/>
      <c r="AO40" s="123"/>
      <c r="AP40" s="123"/>
      <c r="AQ40" s="123"/>
      <c r="AR40" s="123"/>
      <c r="AS40" s="123"/>
      <c r="AT40" s="123"/>
      <c r="AU40" s="123"/>
      <c r="AV40" s="123"/>
      <c r="AW40" s="124"/>
      <c r="AX40" s="118"/>
      <c r="AY40" s="118"/>
      <c r="AZ40" s="118"/>
      <c r="BA40" s="118"/>
      <c r="BB40" s="118"/>
      <c r="BC40" s="119"/>
      <c r="BD40" s="121"/>
      <c r="BE40" s="118"/>
      <c r="BF40" s="118"/>
      <c r="BG40" s="118"/>
      <c r="BH40" s="118"/>
      <c r="BI40" s="118"/>
      <c r="BJ40" s="119"/>
      <c r="BK40" s="23"/>
    </row>
    <row r="41" spans="1:63" ht="15" customHeight="1" x14ac:dyDescent="0.25">
      <c r="A41" s="22"/>
      <c r="B41" s="71"/>
      <c r="C41" s="72"/>
      <c r="D41" s="72"/>
      <c r="E41" s="72"/>
      <c r="F41" s="72"/>
      <c r="G41" s="73"/>
      <c r="H41" s="71"/>
      <c r="I41" s="72"/>
      <c r="J41" s="72"/>
      <c r="K41" s="72"/>
      <c r="L41" s="72"/>
      <c r="M41" s="72"/>
      <c r="N41" s="73"/>
      <c r="O41" s="71"/>
      <c r="P41" s="72"/>
      <c r="Q41" s="72"/>
      <c r="R41" s="72"/>
      <c r="S41" s="113"/>
      <c r="T41" s="114"/>
      <c r="U41" s="114"/>
      <c r="V41" s="114"/>
      <c r="W41" s="114"/>
      <c r="X41" s="114"/>
      <c r="Y41" s="114"/>
      <c r="Z41" s="114"/>
      <c r="AA41" s="114"/>
      <c r="AB41" s="114"/>
      <c r="AC41" s="114"/>
      <c r="AD41" s="114"/>
      <c r="AE41" s="114"/>
      <c r="AF41" s="114"/>
      <c r="AG41" s="114"/>
      <c r="AH41" s="114"/>
      <c r="AI41" s="114"/>
      <c r="AJ41" s="114"/>
      <c r="AK41" s="114"/>
      <c r="AL41" s="114"/>
      <c r="AM41" s="114"/>
      <c r="AN41" s="114"/>
      <c r="AO41" s="114"/>
      <c r="AP41" s="114"/>
      <c r="AQ41" s="114"/>
      <c r="AR41" s="114"/>
      <c r="AS41" s="114"/>
      <c r="AT41" s="114"/>
      <c r="AU41" s="114"/>
      <c r="AV41" s="114"/>
      <c r="AW41" s="115"/>
      <c r="AX41" s="116"/>
      <c r="AY41" s="116"/>
      <c r="AZ41" s="116"/>
      <c r="BA41" s="116"/>
      <c r="BB41" s="116"/>
      <c r="BC41" s="117"/>
      <c r="BD41" s="120"/>
      <c r="BE41" s="116"/>
      <c r="BF41" s="116"/>
      <c r="BG41" s="116"/>
      <c r="BH41" s="116"/>
      <c r="BI41" s="116"/>
      <c r="BJ41" s="117"/>
      <c r="BK41" s="23"/>
    </row>
    <row r="42" spans="1:63" ht="15" customHeight="1" x14ac:dyDescent="0.25">
      <c r="A42" s="22"/>
      <c r="B42" s="74"/>
      <c r="C42" s="75"/>
      <c r="D42" s="75"/>
      <c r="E42" s="75"/>
      <c r="F42" s="75"/>
      <c r="G42" s="76"/>
      <c r="H42" s="74"/>
      <c r="I42" s="75"/>
      <c r="J42" s="75"/>
      <c r="K42" s="75"/>
      <c r="L42" s="75"/>
      <c r="M42" s="75"/>
      <c r="N42" s="76"/>
      <c r="O42" s="74"/>
      <c r="P42" s="75"/>
      <c r="Q42" s="75"/>
      <c r="R42" s="75"/>
      <c r="S42" s="122"/>
      <c r="T42" s="123"/>
      <c r="U42" s="123"/>
      <c r="V42" s="123"/>
      <c r="W42" s="123"/>
      <c r="X42" s="123"/>
      <c r="Y42" s="123"/>
      <c r="Z42" s="123"/>
      <c r="AA42" s="123"/>
      <c r="AB42" s="123"/>
      <c r="AC42" s="123"/>
      <c r="AD42" s="123"/>
      <c r="AE42" s="123"/>
      <c r="AF42" s="123"/>
      <c r="AG42" s="123"/>
      <c r="AH42" s="123"/>
      <c r="AI42" s="123"/>
      <c r="AJ42" s="123"/>
      <c r="AK42" s="123"/>
      <c r="AL42" s="123"/>
      <c r="AM42" s="123"/>
      <c r="AN42" s="123"/>
      <c r="AO42" s="123"/>
      <c r="AP42" s="123"/>
      <c r="AQ42" s="123"/>
      <c r="AR42" s="123"/>
      <c r="AS42" s="123"/>
      <c r="AT42" s="123"/>
      <c r="AU42" s="123"/>
      <c r="AV42" s="123"/>
      <c r="AW42" s="124"/>
      <c r="AX42" s="118"/>
      <c r="AY42" s="118"/>
      <c r="AZ42" s="118"/>
      <c r="BA42" s="118"/>
      <c r="BB42" s="118"/>
      <c r="BC42" s="119"/>
      <c r="BD42" s="121"/>
      <c r="BE42" s="118"/>
      <c r="BF42" s="118"/>
      <c r="BG42" s="118"/>
      <c r="BH42" s="118"/>
      <c r="BI42" s="118"/>
      <c r="BJ42" s="119"/>
      <c r="BK42" s="23"/>
    </row>
    <row r="43" spans="1:63" ht="15" customHeight="1" x14ac:dyDescent="0.25">
      <c r="A43" s="22"/>
      <c r="B43" s="71"/>
      <c r="C43" s="72"/>
      <c r="D43" s="72"/>
      <c r="E43" s="72"/>
      <c r="F43" s="72"/>
      <c r="G43" s="73"/>
      <c r="H43" s="71"/>
      <c r="I43" s="72"/>
      <c r="J43" s="72"/>
      <c r="K43" s="72"/>
      <c r="L43" s="72"/>
      <c r="M43" s="72"/>
      <c r="N43" s="73"/>
      <c r="O43" s="71"/>
      <c r="P43" s="72"/>
      <c r="Q43" s="72"/>
      <c r="R43" s="72"/>
      <c r="S43" s="113"/>
      <c r="T43" s="114"/>
      <c r="U43" s="114"/>
      <c r="V43" s="114"/>
      <c r="W43" s="114"/>
      <c r="X43" s="114"/>
      <c r="Y43" s="114"/>
      <c r="Z43" s="114"/>
      <c r="AA43" s="114"/>
      <c r="AB43" s="114"/>
      <c r="AC43" s="114"/>
      <c r="AD43" s="114"/>
      <c r="AE43" s="114"/>
      <c r="AF43" s="114"/>
      <c r="AG43" s="114"/>
      <c r="AH43" s="114"/>
      <c r="AI43" s="114"/>
      <c r="AJ43" s="114"/>
      <c r="AK43" s="114"/>
      <c r="AL43" s="114"/>
      <c r="AM43" s="114"/>
      <c r="AN43" s="114"/>
      <c r="AO43" s="114"/>
      <c r="AP43" s="114"/>
      <c r="AQ43" s="114"/>
      <c r="AR43" s="114"/>
      <c r="AS43" s="114"/>
      <c r="AT43" s="114"/>
      <c r="AU43" s="114"/>
      <c r="AV43" s="114"/>
      <c r="AW43" s="115"/>
      <c r="AX43" s="116"/>
      <c r="AY43" s="116"/>
      <c r="AZ43" s="116"/>
      <c r="BA43" s="116"/>
      <c r="BB43" s="116"/>
      <c r="BC43" s="117"/>
      <c r="BD43" s="120"/>
      <c r="BE43" s="116"/>
      <c r="BF43" s="116"/>
      <c r="BG43" s="116"/>
      <c r="BH43" s="116"/>
      <c r="BI43" s="116"/>
      <c r="BJ43" s="117"/>
      <c r="BK43" s="23"/>
    </row>
    <row r="44" spans="1:63" ht="15" customHeight="1" x14ac:dyDescent="0.25">
      <c r="A44" s="22"/>
      <c r="B44" s="74"/>
      <c r="C44" s="75"/>
      <c r="D44" s="75"/>
      <c r="E44" s="75"/>
      <c r="F44" s="75"/>
      <c r="G44" s="76"/>
      <c r="H44" s="74"/>
      <c r="I44" s="75"/>
      <c r="J44" s="75"/>
      <c r="K44" s="75"/>
      <c r="L44" s="75"/>
      <c r="M44" s="75"/>
      <c r="N44" s="76"/>
      <c r="O44" s="74"/>
      <c r="P44" s="75"/>
      <c r="Q44" s="75"/>
      <c r="R44" s="75"/>
      <c r="S44" s="122"/>
      <c r="T44" s="123"/>
      <c r="U44" s="123"/>
      <c r="V44" s="123"/>
      <c r="W44" s="123"/>
      <c r="X44" s="123"/>
      <c r="Y44" s="123"/>
      <c r="Z44" s="123"/>
      <c r="AA44" s="123"/>
      <c r="AB44" s="123"/>
      <c r="AC44" s="123"/>
      <c r="AD44" s="123"/>
      <c r="AE44" s="123"/>
      <c r="AF44" s="123"/>
      <c r="AG44" s="123"/>
      <c r="AH44" s="123"/>
      <c r="AI44" s="123"/>
      <c r="AJ44" s="123"/>
      <c r="AK44" s="123"/>
      <c r="AL44" s="123"/>
      <c r="AM44" s="123"/>
      <c r="AN44" s="123"/>
      <c r="AO44" s="123"/>
      <c r="AP44" s="123"/>
      <c r="AQ44" s="123"/>
      <c r="AR44" s="123"/>
      <c r="AS44" s="123"/>
      <c r="AT44" s="123"/>
      <c r="AU44" s="123"/>
      <c r="AV44" s="123"/>
      <c r="AW44" s="124"/>
      <c r="AX44" s="118"/>
      <c r="AY44" s="118"/>
      <c r="AZ44" s="118"/>
      <c r="BA44" s="118"/>
      <c r="BB44" s="118"/>
      <c r="BC44" s="119"/>
      <c r="BD44" s="121"/>
      <c r="BE44" s="118"/>
      <c r="BF44" s="118"/>
      <c r="BG44" s="118"/>
      <c r="BH44" s="118"/>
      <c r="BI44" s="118"/>
      <c r="BJ44" s="119"/>
      <c r="BK44" s="23"/>
    </row>
    <row r="45" spans="1:63" ht="15" customHeight="1" x14ac:dyDescent="0.25">
      <c r="A45" s="22"/>
      <c r="B45" s="71"/>
      <c r="C45" s="72"/>
      <c r="D45" s="72"/>
      <c r="E45" s="72"/>
      <c r="F45" s="72"/>
      <c r="G45" s="73"/>
      <c r="H45" s="71"/>
      <c r="I45" s="72"/>
      <c r="J45" s="72"/>
      <c r="K45" s="72"/>
      <c r="L45" s="72"/>
      <c r="M45" s="72"/>
      <c r="N45" s="73"/>
      <c r="O45" s="71"/>
      <c r="P45" s="72"/>
      <c r="Q45" s="72"/>
      <c r="R45" s="72"/>
      <c r="S45" s="113"/>
      <c r="T45" s="114"/>
      <c r="U45" s="114"/>
      <c r="V45" s="114"/>
      <c r="W45" s="114"/>
      <c r="X45" s="114"/>
      <c r="Y45" s="114"/>
      <c r="Z45" s="114"/>
      <c r="AA45" s="114"/>
      <c r="AB45" s="114"/>
      <c r="AC45" s="114"/>
      <c r="AD45" s="114"/>
      <c r="AE45" s="114"/>
      <c r="AF45" s="114"/>
      <c r="AG45" s="114"/>
      <c r="AH45" s="114"/>
      <c r="AI45" s="114"/>
      <c r="AJ45" s="114"/>
      <c r="AK45" s="114"/>
      <c r="AL45" s="114"/>
      <c r="AM45" s="114"/>
      <c r="AN45" s="114"/>
      <c r="AO45" s="114"/>
      <c r="AP45" s="114"/>
      <c r="AQ45" s="114"/>
      <c r="AR45" s="114"/>
      <c r="AS45" s="114"/>
      <c r="AT45" s="114"/>
      <c r="AU45" s="114"/>
      <c r="AV45" s="114"/>
      <c r="AW45" s="115"/>
      <c r="AX45" s="116"/>
      <c r="AY45" s="116"/>
      <c r="AZ45" s="116"/>
      <c r="BA45" s="116"/>
      <c r="BB45" s="116"/>
      <c r="BC45" s="117"/>
      <c r="BD45" s="120"/>
      <c r="BE45" s="116"/>
      <c r="BF45" s="116"/>
      <c r="BG45" s="116"/>
      <c r="BH45" s="116"/>
      <c r="BI45" s="116"/>
      <c r="BJ45" s="117"/>
      <c r="BK45" s="23"/>
    </row>
    <row r="46" spans="1:63" ht="15" customHeight="1" x14ac:dyDescent="0.25">
      <c r="A46" s="22"/>
      <c r="B46" s="74"/>
      <c r="C46" s="75"/>
      <c r="D46" s="75"/>
      <c r="E46" s="75"/>
      <c r="F46" s="75"/>
      <c r="G46" s="76"/>
      <c r="H46" s="74"/>
      <c r="I46" s="75"/>
      <c r="J46" s="75"/>
      <c r="K46" s="75"/>
      <c r="L46" s="75"/>
      <c r="M46" s="75"/>
      <c r="N46" s="76"/>
      <c r="O46" s="74"/>
      <c r="P46" s="75"/>
      <c r="Q46" s="75"/>
      <c r="R46" s="75"/>
      <c r="S46" s="122"/>
      <c r="T46" s="123"/>
      <c r="U46" s="123"/>
      <c r="V46" s="123"/>
      <c r="W46" s="123"/>
      <c r="X46" s="123"/>
      <c r="Y46" s="123"/>
      <c r="Z46" s="123"/>
      <c r="AA46" s="123"/>
      <c r="AB46" s="123"/>
      <c r="AC46" s="123"/>
      <c r="AD46" s="123"/>
      <c r="AE46" s="123"/>
      <c r="AF46" s="123"/>
      <c r="AG46" s="123"/>
      <c r="AH46" s="123"/>
      <c r="AI46" s="123"/>
      <c r="AJ46" s="123"/>
      <c r="AK46" s="123"/>
      <c r="AL46" s="123"/>
      <c r="AM46" s="123"/>
      <c r="AN46" s="123"/>
      <c r="AO46" s="123"/>
      <c r="AP46" s="123"/>
      <c r="AQ46" s="123"/>
      <c r="AR46" s="123"/>
      <c r="AS46" s="123"/>
      <c r="AT46" s="123"/>
      <c r="AU46" s="123"/>
      <c r="AV46" s="123"/>
      <c r="AW46" s="124"/>
      <c r="AX46" s="118"/>
      <c r="AY46" s="118"/>
      <c r="AZ46" s="118"/>
      <c r="BA46" s="118"/>
      <c r="BB46" s="118"/>
      <c r="BC46" s="119"/>
      <c r="BD46" s="121"/>
      <c r="BE46" s="118"/>
      <c r="BF46" s="118"/>
      <c r="BG46" s="118"/>
      <c r="BH46" s="118"/>
      <c r="BI46" s="118"/>
      <c r="BJ46" s="119"/>
      <c r="BK46" s="23"/>
    </row>
    <row r="47" spans="1:63" ht="15" customHeight="1" x14ac:dyDescent="0.25">
      <c r="A47" s="22"/>
      <c r="B47" s="71"/>
      <c r="C47" s="72"/>
      <c r="D47" s="72"/>
      <c r="E47" s="72"/>
      <c r="F47" s="72"/>
      <c r="G47" s="73"/>
      <c r="H47" s="71"/>
      <c r="I47" s="72"/>
      <c r="J47" s="72"/>
      <c r="K47" s="72"/>
      <c r="L47" s="72"/>
      <c r="M47" s="72"/>
      <c r="N47" s="73"/>
      <c r="O47" s="71"/>
      <c r="P47" s="72"/>
      <c r="Q47" s="72"/>
      <c r="R47" s="72"/>
      <c r="S47" s="113"/>
      <c r="T47" s="114"/>
      <c r="U47" s="114"/>
      <c r="V47" s="114"/>
      <c r="W47" s="114"/>
      <c r="X47" s="114"/>
      <c r="Y47" s="114"/>
      <c r="Z47" s="114"/>
      <c r="AA47" s="114"/>
      <c r="AB47" s="114"/>
      <c r="AC47" s="114"/>
      <c r="AD47" s="114"/>
      <c r="AE47" s="114"/>
      <c r="AF47" s="114"/>
      <c r="AG47" s="114"/>
      <c r="AH47" s="114"/>
      <c r="AI47" s="114"/>
      <c r="AJ47" s="114"/>
      <c r="AK47" s="114"/>
      <c r="AL47" s="114"/>
      <c r="AM47" s="114"/>
      <c r="AN47" s="114"/>
      <c r="AO47" s="114"/>
      <c r="AP47" s="114"/>
      <c r="AQ47" s="114"/>
      <c r="AR47" s="114"/>
      <c r="AS47" s="114"/>
      <c r="AT47" s="114"/>
      <c r="AU47" s="114"/>
      <c r="AV47" s="114"/>
      <c r="AW47" s="115"/>
      <c r="AX47" s="116"/>
      <c r="AY47" s="116"/>
      <c r="AZ47" s="116"/>
      <c r="BA47" s="116"/>
      <c r="BB47" s="116"/>
      <c r="BC47" s="117"/>
      <c r="BD47" s="120"/>
      <c r="BE47" s="116"/>
      <c r="BF47" s="116"/>
      <c r="BG47" s="116"/>
      <c r="BH47" s="116"/>
      <c r="BI47" s="116"/>
      <c r="BJ47" s="117"/>
      <c r="BK47" s="23"/>
    </row>
    <row r="48" spans="1:63" ht="15" customHeight="1" x14ac:dyDescent="0.25">
      <c r="A48" s="22"/>
      <c r="B48" s="74"/>
      <c r="C48" s="75"/>
      <c r="D48" s="75"/>
      <c r="E48" s="75"/>
      <c r="F48" s="75"/>
      <c r="G48" s="76"/>
      <c r="H48" s="74"/>
      <c r="I48" s="75"/>
      <c r="J48" s="75"/>
      <c r="K48" s="75"/>
      <c r="L48" s="75"/>
      <c r="M48" s="75"/>
      <c r="N48" s="76"/>
      <c r="O48" s="74"/>
      <c r="P48" s="75"/>
      <c r="Q48" s="75"/>
      <c r="R48" s="75"/>
      <c r="S48" s="122"/>
      <c r="T48" s="123"/>
      <c r="U48" s="123"/>
      <c r="V48" s="123"/>
      <c r="W48" s="123"/>
      <c r="X48" s="123"/>
      <c r="Y48" s="123"/>
      <c r="Z48" s="123"/>
      <c r="AA48" s="123"/>
      <c r="AB48" s="123"/>
      <c r="AC48" s="123"/>
      <c r="AD48" s="123"/>
      <c r="AE48" s="123"/>
      <c r="AF48" s="123"/>
      <c r="AG48" s="123"/>
      <c r="AH48" s="123"/>
      <c r="AI48" s="123"/>
      <c r="AJ48" s="123"/>
      <c r="AK48" s="123"/>
      <c r="AL48" s="123"/>
      <c r="AM48" s="123"/>
      <c r="AN48" s="123"/>
      <c r="AO48" s="123"/>
      <c r="AP48" s="123"/>
      <c r="AQ48" s="123"/>
      <c r="AR48" s="123"/>
      <c r="AS48" s="123"/>
      <c r="AT48" s="123"/>
      <c r="AU48" s="123"/>
      <c r="AV48" s="123"/>
      <c r="AW48" s="124"/>
      <c r="AX48" s="118"/>
      <c r="AY48" s="118"/>
      <c r="AZ48" s="118"/>
      <c r="BA48" s="118"/>
      <c r="BB48" s="118"/>
      <c r="BC48" s="119"/>
      <c r="BD48" s="121"/>
      <c r="BE48" s="118"/>
      <c r="BF48" s="118"/>
      <c r="BG48" s="118"/>
      <c r="BH48" s="118"/>
      <c r="BI48" s="118"/>
      <c r="BJ48" s="119"/>
      <c r="BK48" s="23"/>
    </row>
    <row r="49" spans="1:63" ht="15" customHeight="1" x14ac:dyDescent="0.25">
      <c r="A49" s="22"/>
      <c r="B49" s="71"/>
      <c r="C49" s="72"/>
      <c r="D49" s="72"/>
      <c r="E49" s="72"/>
      <c r="F49" s="72"/>
      <c r="G49" s="73"/>
      <c r="H49" s="71"/>
      <c r="I49" s="72"/>
      <c r="J49" s="72"/>
      <c r="K49" s="72"/>
      <c r="L49" s="72"/>
      <c r="M49" s="72"/>
      <c r="N49" s="73"/>
      <c r="O49" s="71"/>
      <c r="P49" s="72"/>
      <c r="Q49" s="72"/>
      <c r="R49" s="72"/>
      <c r="S49" s="113"/>
      <c r="T49" s="114"/>
      <c r="U49" s="114"/>
      <c r="V49" s="114"/>
      <c r="W49" s="114"/>
      <c r="X49" s="114"/>
      <c r="Y49" s="114"/>
      <c r="Z49" s="114"/>
      <c r="AA49" s="114"/>
      <c r="AB49" s="114"/>
      <c r="AC49" s="114"/>
      <c r="AD49" s="114"/>
      <c r="AE49" s="114"/>
      <c r="AF49" s="114"/>
      <c r="AG49" s="114"/>
      <c r="AH49" s="114"/>
      <c r="AI49" s="114"/>
      <c r="AJ49" s="114"/>
      <c r="AK49" s="114"/>
      <c r="AL49" s="114"/>
      <c r="AM49" s="114"/>
      <c r="AN49" s="114"/>
      <c r="AO49" s="114"/>
      <c r="AP49" s="114"/>
      <c r="AQ49" s="114"/>
      <c r="AR49" s="114"/>
      <c r="AS49" s="114"/>
      <c r="AT49" s="114"/>
      <c r="AU49" s="114"/>
      <c r="AV49" s="114"/>
      <c r="AW49" s="115"/>
      <c r="AX49" s="116"/>
      <c r="AY49" s="116"/>
      <c r="AZ49" s="116"/>
      <c r="BA49" s="116"/>
      <c r="BB49" s="116"/>
      <c r="BC49" s="117"/>
      <c r="BD49" s="120"/>
      <c r="BE49" s="116"/>
      <c r="BF49" s="116"/>
      <c r="BG49" s="116"/>
      <c r="BH49" s="116"/>
      <c r="BI49" s="116"/>
      <c r="BJ49" s="117"/>
      <c r="BK49" s="23"/>
    </row>
    <row r="50" spans="1:63" ht="15" customHeight="1" x14ac:dyDescent="0.25">
      <c r="A50" s="22"/>
      <c r="B50" s="74"/>
      <c r="C50" s="75"/>
      <c r="D50" s="75"/>
      <c r="E50" s="75"/>
      <c r="F50" s="75"/>
      <c r="G50" s="76"/>
      <c r="H50" s="74"/>
      <c r="I50" s="75"/>
      <c r="J50" s="75"/>
      <c r="K50" s="75"/>
      <c r="L50" s="75"/>
      <c r="M50" s="75"/>
      <c r="N50" s="76"/>
      <c r="O50" s="74"/>
      <c r="P50" s="75"/>
      <c r="Q50" s="75"/>
      <c r="R50" s="75"/>
      <c r="S50" s="122"/>
      <c r="T50" s="123"/>
      <c r="U50" s="123"/>
      <c r="V50" s="123"/>
      <c r="W50" s="123"/>
      <c r="X50" s="123"/>
      <c r="Y50" s="123"/>
      <c r="Z50" s="123"/>
      <c r="AA50" s="123"/>
      <c r="AB50" s="123"/>
      <c r="AC50" s="123"/>
      <c r="AD50" s="123"/>
      <c r="AE50" s="123"/>
      <c r="AF50" s="123"/>
      <c r="AG50" s="123"/>
      <c r="AH50" s="123"/>
      <c r="AI50" s="123"/>
      <c r="AJ50" s="123"/>
      <c r="AK50" s="123"/>
      <c r="AL50" s="123"/>
      <c r="AM50" s="123"/>
      <c r="AN50" s="123"/>
      <c r="AO50" s="123"/>
      <c r="AP50" s="123"/>
      <c r="AQ50" s="123"/>
      <c r="AR50" s="123"/>
      <c r="AS50" s="123"/>
      <c r="AT50" s="123"/>
      <c r="AU50" s="123"/>
      <c r="AV50" s="123"/>
      <c r="AW50" s="124"/>
      <c r="AX50" s="118"/>
      <c r="AY50" s="118"/>
      <c r="AZ50" s="118"/>
      <c r="BA50" s="118"/>
      <c r="BB50" s="118"/>
      <c r="BC50" s="119"/>
      <c r="BD50" s="121"/>
      <c r="BE50" s="118"/>
      <c r="BF50" s="118"/>
      <c r="BG50" s="118"/>
      <c r="BH50" s="118"/>
      <c r="BI50" s="118"/>
      <c r="BJ50" s="119"/>
      <c r="BK50" s="23"/>
    </row>
    <row r="51" spans="1:63" ht="15" customHeight="1" x14ac:dyDescent="0.25">
      <c r="A51" s="22"/>
      <c r="B51" s="71"/>
      <c r="C51" s="72"/>
      <c r="D51" s="72"/>
      <c r="E51" s="72"/>
      <c r="F51" s="72"/>
      <c r="G51" s="73"/>
      <c r="H51" s="71"/>
      <c r="I51" s="72"/>
      <c r="J51" s="72"/>
      <c r="K51" s="72"/>
      <c r="L51" s="72"/>
      <c r="M51" s="72"/>
      <c r="N51" s="73"/>
      <c r="O51" s="71"/>
      <c r="P51" s="72"/>
      <c r="Q51" s="72"/>
      <c r="R51" s="72"/>
      <c r="S51" s="113"/>
      <c r="T51" s="114"/>
      <c r="U51" s="114"/>
      <c r="V51" s="114"/>
      <c r="W51" s="114"/>
      <c r="X51" s="114"/>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c r="AU51" s="114"/>
      <c r="AV51" s="114"/>
      <c r="AW51" s="115"/>
      <c r="AX51" s="116"/>
      <c r="AY51" s="116"/>
      <c r="AZ51" s="116"/>
      <c r="BA51" s="116"/>
      <c r="BB51" s="116"/>
      <c r="BC51" s="117"/>
      <c r="BD51" s="120"/>
      <c r="BE51" s="116"/>
      <c r="BF51" s="116"/>
      <c r="BG51" s="116"/>
      <c r="BH51" s="116"/>
      <c r="BI51" s="116"/>
      <c r="BJ51" s="117"/>
      <c r="BK51" s="23"/>
    </row>
    <row r="52" spans="1:63" ht="15" customHeight="1" x14ac:dyDescent="0.25">
      <c r="A52" s="22"/>
      <c r="B52" s="74"/>
      <c r="C52" s="75"/>
      <c r="D52" s="75"/>
      <c r="E52" s="75"/>
      <c r="F52" s="75"/>
      <c r="G52" s="76"/>
      <c r="H52" s="74"/>
      <c r="I52" s="75"/>
      <c r="J52" s="75"/>
      <c r="K52" s="75"/>
      <c r="L52" s="75"/>
      <c r="M52" s="75"/>
      <c r="N52" s="76"/>
      <c r="O52" s="74"/>
      <c r="P52" s="75"/>
      <c r="Q52" s="75"/>
      <c r="R52" s="75"/>
      <c r="S52" s="122"/>
      <c r="T52" s="123"/>
      <c r="U52" s="123"/>
      <c r="V52" s="123"/>
      <c r="W52" s="123"/>
      <c r="X52" s="123"/>
      <c r="Y52" s="123"/>
      <c r="Z52" s="123"/>
      <c r="AA52" s="123"/>
      <c r="AB52" s="123"/>
      <c r="AC52" s="123"/>
      <c r="AD52" s="123"/>
      <c r="AE52" s="123"/>
      <c r="AF52" s="123"/>
      <c r="AG52" s="123"/>
      <c r="AH52" s="123"/>
      <c r="AI52" s="123"/>
      <c r="AJ52" s="123"/>
      <c r="AK52" s="123"/>
      <c r="AL52" s="123"/>
      <c r="AM52" s="123"/>
      <c r="AN52" s="123"/>
      <c r="AO52" s="123"/>
      <c r="AP52" s="123"/>
      <c r="AQ52" s="123"/>
      <c r="AR52" s="123"/>
      <c r="AS52" s="123"/>
      <c r="AT52" s="123"/>
      <c r="AU52" s="123"/>
      <c r="AV52" s="123"/>
      <c r="AW52" s="124"/>
      <c r="AX52" s="118"/>
      <c r="AY52" s="118"/>
      <c r="AZ52" s="118"/>
      <c r="BA52" s="118"/>
      <c r="BB52" s="118"/>
      <c r="BC52" s="119"/>
      <c r="BD52" s="121"/>
      <c r="BE52" s="118"/>
      <c r="BF52" s="118"/>
      <c r="BG52" s="118"/>
      <c r="BH52" s="118"/>
      <c r="BI52" s="118"/>
      <c r="BJ52" s="119"/>
      <c r="BK52" s="23"/>
    </row>
    <row r="53" spans="1:63" ht="15" customHeight="1" x14ac:dyDescent="0.25">
      <c r="A53" s="22"/>
      <c r="B53" s="71"/>
      <c r="C53" s="72"/>
      <c r="D53" s="72"/>
      <c r="E53" s="72"/>
      <c r="F53" s="72"/>
      <c r="G53" s="73"/>
      <c r="H53" s="71"/>
      <c r="I53" s="72"/>
      <c r="J53" s="72"/>
      <c r="K53" s="72"/>
      <c r="L53" s="72"/>
      <c r="M53" s="72"/>
      <c r="N53" s="73"/>
      <c r="O53" s="71"/>
      <c r="P53" s="72"/>
      <c r="Q53" s="72"/>
      <c r="R53" s="72"/>
      <c r="S53" s="113"/>
      <c r="T53" s="114"/>
      <c r="U53" s="114"/>
      <c r="V53" s="114"/>
      <c r="W53" s="114"/>
      <c r="X53" s="114"/>
      <c r="Y53" s="114"/>
      <c r="Z53" s="114"/>
      <c r="AA53" s="114"/>
      <c r="AB53" s="114"/>
      <c r="AC53" s="114"/>
      <c r="AD53" s="114"/>
      <c r="AE53" s="114"/>
      <c r="AF53" s="114"/>
      <c r="AG53" s="114"/>
      <c r="AH53" s="114"/>
      <c r="AI53" s="114"/>
      <c r="AJ53" s="114"/>
      <c r="AK53" s="114"/>
      <c r="AL53" s="114"/>
      <c r="AM53" s="114"/>
      <c r="AN53" s="114"/>
      <c r="AO53" s="114"/>
      <c r="AP53" s="114"/>
      <c r="AQ53" s="114"/>
      <c r="AR53" s="114"/>
      <c r="AS53" s="114"/>
      <c r="AT53" s="114"/>
      <c r="AU53" s="114"/>
      <c r="AV53" s="114"/>
      <c r="AW53" s="115"/>
      <c r="AX53" s="116"/>
      <c r="AY53" s="116"/>
      <c r="AZ53" s="116"/>
      <c r="BA53" s="116"/>
      <c r="BB53" s="116"/>
      <c r="BC53" s="117"/>
      <c r="BD53" s="120"/>
      <c r="BE53" s="116"/>
      <c r="BF53" s="116"/>
      <c r="BG53" s="116"/>
      <c r="BH53" s="116"/>
      <c r="BI53" s="116"/>
      <c r="BJ53" s="117"/>
      <c r="BK53" s="23"/>
    </row>
    <row r="54" spans="1:63" ht="15" customHeight="1" x14ac:dyDescent="0.25">
      <c r="A54" s="22"/>
      <c r="B54" s="74"/>
      <c r="C54" s="75"/>
      <c r="D54" s="75"/>
      <c r="E54" s="75"/>
      <c r="F54" s="75"/>
      <c r="G54" s="76"/>
      <c r="H54" s="74"/>
      <c r="I54" s="75"/>
      <c r="J54" s="75"/>
      <c r="K54" s="75"/>
      <c r="L54" s="75"/>
      <c r="M54" s="75"/>
      <c r="N54" s="76"/>
      <c r="O54" s="74"/>
      <c r="P54" s="75"/>
      <c r="Q54" s="75"/>
      <c r="R54" s="75"/>
      <c r="S54" s="122"/>
      <c r="T54" s="123"/>
      <c r="U54" s="123"/>
      <c r="V54" s="123"/>
      <c r="W54" s="123"/>
      <c r="X54" s="123"/>
      <c r="Y54" s="123"/>
      <c r="Z54" s="123"/>
      <c r="AA54" s="123"/>
      <c r="AB54" s="123"/>
      <c r="AC54" s="123"/>
      <c r="AD54" s="123"/>
      <c r="AE54" s="123"/>
      <c r="AF54" s="123"/>
      <c r="AG54" s="123"/>
      <c r="AH54" s="123"/>
      <c r="AI54" s="123"/>
      <c r="AJ54" s="123"/>
      <c r="AK54" s="123"/>
      <c r="AL54" s="123"/>
      <c r="AM54" s="123"/>
      <c r="AN54" s="123"/>
      <c r="AO54" s="123"/>
      <c r="AP54" s="123"/>
      <c r="AQ54" s="123"/>
      <c r="AR54" s="123"/>
      <c r="AS54" s="123"/>
      <c r="AT54" s="123"/>
      <c r="AU54" s="123"/>
      <c r="AV54" s="123"/>
      <c r="AW54" s="124"/>
      <c r="AX54" s="118"/>
      <c r="AY54" s="118"/>
      <c r="AZ54" s="118"/>
      <c r="BA54" s="118"/>
      <c r="BB54" s="118"/>
      <c r="BC54" s="119"/>
      <c r="BD54" s="121"/>
      <c r="BE54" s="118"/>
      <c r="BF54" s="118"/>
      <c r="BG54" s="118"/>
      <c r="BH54" s="118"/>
      <c r="BI54" s="118"/>
      <c r="BJ54" s="119"/>
      <c r="BK54" s="23"/>
    </row>
    <row r="55" spans="1:63" ht="15" customHeight="1" x14ac:dyDescent="0.25">
      <c r="A55" s="19"/>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1"/>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17:G18"/>
    <mergeCell ref="H17:N18"/>
    <mergeCell ref="O17:R18"/>
    <mergeCell ref="S17:AW17"/>
    <mergeCell ref="AX17:BC18"/>
    <mergeCell ref="BD17:BJ18"/>
    <mergeCell ref="S18:AW18"/>
    <mergeCell ref="B15:G16"/>
    <mergeCell ref="H15:N16"/>
    <mergeCell ref="O15:R16"/>
    <mergeCell ref="S15:AW15"/>
    <mergeCell ref="AX15:BC16"/>
    <mergeCell ref="BD15:BJ16"/>
    <mergeCell ref="S16:AW16"/>
    <mergeCell ref="B13:G14"/>
    <mergeCell ref="H13:N14"/>
    <mergeCell ref="O13:R14"/>
    <mergeCell ref="S13:AW13"/>
    <mergeCell ref="AX13:BC14"/>
    <mergeCell ref="BD13:BJ14"/>
    <mergeCell ref="S14:AW14"/>
    <mergeCell ref="BD10:BJ10"/>
    <mergeCell ref="B11:G12"/>
    <mergeCell ref="H11:N12"/>
    <mergeCell ref="O11:R12"/>
    <mergeCell ref="S11:AW11"/>
    <mergeCell ref="AX11:BC12"/>
    <mergeCell ref="BD11:BJ12"/>
    <mergeCell ref="S12:AW12"/>
    <mergeCell ref="A4:G4"/>
    <mergeCell ref="H4:T4"/>
    <mergeCell ref="U4:Y4"/>
    <mergeCell ref="Z4:AO4"/>
    <mergeCell ref="AP4:BK4"/>
    <mergeCell ref="B10:G10"/>
    <mergeCell ref="H10:N10"/>
    <mergeCell ref="O10:R10"/>
    <mergeCell ref="S10:AW10"/>
    <mergeCell ref="AX10:BC1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x14ac:dyDescent="0.25"/>
  <cols>
    <col min="1" max="63" width="2.77734375" customWidth="1"/>
  </cols>
  <sheetData>
    <row r="1" spans="1:63" ht="24.95" customHeight="1" x14ac:dyDescent="0.25">
      <c r="A1" s="126" t="s">
        <v>0</v>
      </c>
      <c r="B1" s="127"/>
      <c r="C1" s="127"/>
      <c r="D1" s="127"/>
      <c r="E1" s="127"/>
      <c r="F1" s="127"/>
      <c r="G1" s="127"/>
      <c r="H1" s="127"/>
      <c r="I1" s="127"/>
      <c r="J1" s="128"/>
      <c r="K1" s="126" t="s">
        <v>1</v>
      </c>
      <c r="L1" s="127"/>
      <c r="M1" s="127"/>
      <c r="N1" s="127"/>
      <c r="O1" s="127"/>
      <c r="P1" s="127"/>
      <c r="Q1" s="127"/>
      <c r="R1" s="127"/>
      <c r="S1" s="127"/>
      <c r="T1" s="127"/>
      <c r="U1" s="127"/>
      <c r="V1" s="128"/>
      <c r="W1" s="144" t="str">
        <f>IF(表紙!W1="","",表紙!W1)</f>
        <v>基本設計書</v>
      </c>
      <c r="X1" s="145"/>
      <c r="Y1" s="145"/>
      <c r="Z1" s="145"/>
      <c r="AA1" s="145"/>
      <c r="AB1" s="145"/>
      <c r="AC1" s="145"/>
      <c r="AD1" s="145"/>
      <c r="AE1" s="145"/>
      <c r="AF1" s="145"/>
      <c r="AG1" s="145"/>
      <c r="AH1" s="145"/>
      <c r="AI1" s="145"/>
      <c r="AJ1" s="145"/>
      <c r="AK1" s="145"/>
      <c r="AL1" s="145"/>
      <c r="AM1" s="145"/>
      <c r="AN1" s="145"/>
      <c r="AO1" s="146"/>
      <c r="AP1" s="126" t="s">
        <v>2</v>
      </c>
      <c r="AQ1" s="127"/>
      <c r="AR1" s="127"/>
      <c r="AS1" s="128"/>
      <c r="AT1" s="126" t="s">
        <v>3</v>
      </c>
      <c r="AU1" s="127"/>
      <c r="AV1" s="127"/>
      <c r="AW1" s="127"/>
      <c r="AX1" s="128"/>
      <c r="AY1" s="126" t="s">
        <v>4</v>
      </c>
      <c r="AZ1" s="127"/>
      <c r="BA1" s="127"/>
      <c r="BB1" s="128"/>
      <c r="BC1" s="126" t="s">
        <v>5</v>
      </c>
      <c r="BD1" s="127"/>
      <c r="BE1" s="127"/>
      <c r="BF1" s="127"/>
      <c r="BG1" s="128"/>
      <c r="BH1" s="126" t="s">
        <v>6</v>
      </c>
      <c r="BI1" s="127"/>
      <c r="BJ1" s="127"/>
      <c r="BK1" s="128"/>
    </row>
    <row r="2" spans="1:63" ht="15" customHeight="1" x14ac:dyDescent="0.25">
      <c r="A2" s="132" t="str">
        <f>IF(表紙!A2="","",表紙!A2)</f>
        <v>POSサーバー</v>
      </c>
      <c r="B2" s="133"/>
      <c r="C2" s="133"/>
      <c r="D2" s="133"/>
      <c r="E2" s="133"/>
      <c r="F2" s="133"/>
      <c r="G2" s="133"/>
      <c r="H2" s="133"/>
      <c r="I2" s="133"/>
      <c r="J2" s="134"/>
      <c r="K2" s="132" t="str">
        <f>IF(表紙!K2="","",表紙!K2)</f>
        <v>POSサーバ</v>
      </c>
      <c r="L2" s="133"/>
      <c r="M2" s="133"/>
      <c r="N2" s="133"/>
      <c r="O2" s="133"/>
      <c r="P2" s="133"/>
      <c r="Q2" s="133"/>
      <c r="R2" s="133"/>
      <c r="S2" s="133"/>
      <c r="T2" s="133"/>
      <c r="U2" s="133"/>
      <c r="V2" s="134"/>
      <c r="W2" s="147"/>
      <c r="X2" s="148"/>
      <c r="Y2" s="148"/>
      <c r="Z2" s="148"/>
      <c r="AA2" s="148"/>
      <c r="AB2" s="148"/>
      <c r="AC2" s="148"/>
      <c r="AD2" s="148"/>
      <c r="AE2" s="148"/>
      <c r="AF2" s="148"/>
      <c r="AG2" s="148"/>
      <c r="AH2" s="148"/>
      <c r="AI2" s="148"/>
      <c r="AJ2" s="148"/>
      <c r="AK2" s="148"/>
      <c r="AL2" s="148"/>
      <c r="AM2" s="148"/>
      <c r="AN2" s="148"/>
      <c r="AO2" s="149"/>
      <c r="AP2" s="132" t="str">
        <f>IF(表紙!AP2="","",表紙!AP2)</f>
        <v>SonMNT</v>
      </c>
      <c r="AQ2" s="133"/>
      <c r="AR2" s="133"/>
      <c r="AS2" s="134"/>
      <c r="AT2" s="138">
        <v>45084</v>
      </c>
      <c r="AU2" s="139"/>
      <c r="AV2" s="139"/>
      <c r="AW2" s="139"/>
      <c r="AX2" s="140"/>
      <c r="AY2" s="132" t="str">
        <f>IF(表紙!AY2="","",表紙!AY2)</f>
        <v>TinNH</v>
      </c>
      <c r="AZ2" s="133"/>
      <c r="BA2" s="133"/>
      <c r="BB2" s="134"/>
      <c r="BC2" s="138">
        <f>IF(表紙!BC2="","",表紙!BC2)</f>
        <v>45605</v>
      </c>
      <c r="BD2" s="139"/>
      <c r="BE2" s="139"/>
      <c r="BF2" s="139"/>
      <c r="BG2" s="140"/>
      <c r="BH2" s="132">
        <f>IF(表紙!BH2="","",表紙!BH2)</f>
        <v>0.4</v>
      </c>
      <c r="BI2" s="133"/>
      <c r="BJ2" s="133"/>
      <c r="BK2" s="134"/>
    </row>
    <row r="3" spans="1:63" ht="15" customHeight="1" x14ac:dyDescent="0.25">
      <c r="A3" s="135"/>
      <c r="B3" s="136"/>
      <c r="C3" s="136"/>
      <c r="D3" s="136"/>
      <c r="E3" s="136"/>
      <c r="F3" s="136"/>
      <c r="G3" s="136"/>
      <c r="H3" s="136"/>
      <c r="I3" s="136"/>
      <c r="J3" s="137"/>
      <c r="K3" s="135"/>
      <c r="L3" s="136"/>
      <c r="M3" s="136"/>
      <c r="N3" s="136"/>
      <c r="O3" s="136"/>
      <c r="P3" s="136"/>
      <c r="Q3" s="136"/>
      <c r="R3" s="136"/>
      <c r="S3" s="136"/>
      <c r="T3" s="136"/>
      <c r="U3" s="136"/>
      <c r="V3" s="137"/>
      <c r="W3" s="150"/>
      <c r="X3" s="151"/>
      <c r="Y3" s="151"/>
      <c r="Z3" s="151"/>
      <c r="AA3" s="151"/>
      <c r="AB3" s="151"/>
      <c r="AC3" s="151"/>
      <c r="AD3" s="151"/>
      <c r="AE3" s="151"/>
      <c r="AF3" s="151"/>
      <c r="AG3" s="151"/>
      <c r="AH3" s="151"/>
      <c r="AI3" s="151"/>
      <c r="AJ3" s="151"/>
      <c r="AK3" s="151"/>
      <c r="AL3" s="151"/>
      <c r="AM3" s="151"/>
      <c r="AN3" s="151"/>
      <c r="AO3" s="152"/>
      <c r="AP3" s="135"/>
      <c r="AQ3" s="136"/>
      <c r="AR3" s="136"/>
      <c r="AS3" s="137"/>
      <c r="AT3" s="141"/>
      <c r="AU3" s="142"/>
      <c r="AV3" s="142"/>
      <c r="AW3" s="142"/>
      <c r="AX3" s="143"/>
      <c r="AY3" s="135"/>
      <c r="AZ3" s="136"/>
      <c r="BA3" s="136"/>
      <c r="BB3" s="137"/>
      <c r="BC3" s="141"/>
      <c r="BD3" s="142"/>
      <c r="BE3" s="142"/>
      <c r="BF3" s="142"/>
      <c r="BG3" s="143"/>
      <c r="BH3" s="135"/>
      <c r="BI3" s="136"/>
      <c r="BJ3" s="136"/>
      <c r="BK3" s="137"/>
    </row>
    <row r="4" spans="1:63" ht="24.95" customHeight="1" x14ac:dyDescent="0.25">
      <c r="A4" s="126" t="s">
        <v>36</v>
      </c>
      <c r="B4" s="127"/>
      <c r="C4" s="127"/>
      <c r="D4" s="127"/>
      <c r="E4" s="127"/>
      <c r="F4" s="127"/>
      <c r="G4" s="128"/>
      <c r="H4" s="129" t="str">
        <f>IF(表紙!H4="","",表紙!H4)</f>
        <v>32_レジ別単品別売上点検</v>
      </c>
      <c r="I4" s="130"/>
      <c r="J4" s="130"/>
      <c r="K4" s="130"/>
      <c r="L4" s="130"/>
      <c r="M4" s="130"/>
      <c r="N4" s="130"/>
      <c r="O4" s="130"/>
      <c r="P4" s="130"/>
      <c r="Q4" s="130"/>
      <c r="R4" s="130"/>
      <c r="S4" s="130"/>
      <c r="T4" s="131"/>
      <c r="U4" s="126" t="s">
        <v>7</v>
      </c>
      <c r="V4" s="127"/>
      <c r="W4" s="127"/>
      <c r="X4" s="127"/>
      <c r="Y4" s="128"/>
      <c r="Z4" s="129" t="str">
        <f>IF(表紙!Z4="","",表紙!Z4)</f>
        <v>概要設計</v>
      </c>
      <c r="AA4" s="130"/>
      <c r="AB4" s="130"/>
      <c r="AC4" s="130"/>
      <c r="AD4" s="130"/>
      <c r="AE4" s="130"/>
      <c r="AF4" s="130"/>
      <c r="AG4" s="130"/>
      <c r="AH4" s="130"/>
      <c r="AI4" s="130"/>
      <c r="AJ4" s="130"/>
      <c r="AK4" s="130"/>
      <c r="AL4" s="130"/>
      <c r="AM4" s="130"/>
      <c r="AN4" s="130"/>
      <c r="AO4" s="131"/>
      <c r="AP4" s="129" t="str">
        <f t="array" aca="1" ref="AP4" ca="1">RIGHT(CELL("filename",$A$1),LEN(CELL("filename",$A$1))-FIND("]",CELL("filename",$A$1)))</f>
        <v>業務フロー</v>
      </c>
      <c r="AQ4" s="130"/>
      <c r="AR4" s="130"/>
      <c r="AS4" s="130"/>
      <c r="AT4" s="130"/>
      <c r="AU4" s="130"/>
      <c r="AV4" s="130"/>
      <c r="AW4" s="130"/>
      <c r="AX4" s="130"/>
      <c r="AY4" s="130"/>
      <c r="AZ4" s="130"/>
      <c r="BA4" s="130"/>
      <c r="BB4" s="130"/>
      <c r="BC4" s="130"/>
      <c r="BD4" s="130"/>
      <c r="BE4" s="130"/>
      <c r="BF4" s="130"/>
      <c r="BG4" s="130"/>
      <c r="BH4" s="130"/>
      <c r="BI4" s="130"/>
      <c r="BJ4" s="130"/>
      <c r="BK4" s="131"/>
    </row>
    <row r="5" spans="1:63" ht="5.0999999999999996" customHeight="1" x14ac:dyDescent="0.25">
      <c r="A5" s="34"/>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6"/>
    </row>
    <row r="6" spans="1:63" ht="15" customHeight="1" x14ac:dyDescent="0.25">
      <c r="A6" s="37"/>
      <c r="B6" s="38"/>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40"/>
      <c r="AF6" s="38"/>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40"/>
      <c r="BJ6" s="39"/>
      <c r="BK6" s="41"/>
    </row>
    <row r="7" spans="1:63" ht="15" customHeight="1" x14ac:dyDescent="0.25">
      <c r="A7" s="37"/>
      <c r="B7" s="2" t="s">
        <v>11</v>
      </c>
      <c r="C7" s="1"/>
      <c r="D7" s="1"/>
      <c r="E7" s="1"/>
      <c r="F7" s="1"/>
      <c r="G7" s="1"/>
      <c r="H7" s="1"/>
      <c r="I7" s="1"/>
      <c r="J7" s="1"/>
      <c r="K7" s="1"/>
      <c r="L7" s="1"/>
      <c r="M7" s="1"/>
      <c r="N7" s="1"/>
      <c r="O7" s="1"/>
      <c r="P7" s="1"/>
      <c r="Q7" s="1"/>
      <c r="R7" s="1"/>
      <c r="S7" s="1"/>
      <c r="T7" s="1"/>
      <c r="U7" s="1"/>
      <c r="V7" s="1"/>
      <c r="W7" s="1"/>
      <c r="X7" s="1"/>
      <c r="Y7" s="1"/>
      <c r="Z7" s="1"/>
      <c r="AA7" s="1"/>
      <c r="AB7" s="1"/>
      <c r="AC7" s="1"/>
      <c r="AD7" s="1"/>
      <c r="AE7" s="3"/>
      <c r="AF7" s="2"/>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3"/>
      <c r="BJ7" s="1"/>
      <c r="BK7" s="41"/>
    </row>
    <row r="8" spans="1:63" ht="15" customHeight="1" x14ac:dyDescent="0.25">
      <c r="A8" s="37"/>
      <c r="B8" s="38"/>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40"/>
      <c r="AF8" s="38"/>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40"/>
      <c r="BJ8" s="39"/>
      <c r="BK8" s="41"/>
    </row>
    <row r="9" spans="1:63" ht="15" customHeight="1" x14ac:dyDescent="0.25">
      <c r="A9" s="37"/>
      <c r="B9" s="38"/>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40"/>
      <c r="AF9" s="38"/>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40"/>
      <c r="BJ9" s="39"/>
      <c r="BK9" s="41"/>
    </row>
    <row r="10" spans="1:63" ht="15" customHeight="1" x14ac:dyDescent="0.25">
      <c r="A10" s="37"/>
      <c r="B10" s="38"/>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40"/>
      <c r="AF10" s="38"/>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40"/>
      <c r="BJ10" s="39"/>
      <c r="BK10" s="41"/>
    </row>
    <row r="11" spans="1:63" ht="15" customHeight="1" x14ac:dyDescent="0.25">
      <c r="A11" s="37"/>
      <c r="B11" s="38"/>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40"/>
      <c r="AF11" s="38"/>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40"/>
      <c r="BJ11" s="39"/>
      <c r="BK11" s="41"/>
    </row>
    <row r="12" spans="1:63" ht="15" customHeight="1" x14ac:dyDescent="0.25">
      <c r="A12" s="37"/>
      <c r="B12" s="38"/>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40"/>
      <c r="AF12" s="38"/>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40"/>
      <c r="BJ12" s="39"/>
      <c r="BK12" s="41"/>
    </row>
    <row r="13" spans="1:63" ht="15" customHeight="1" x14ac:dyDescent="0.25">
      <c r="A13" s="37"/>
      <c r="B13" s="38"/>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40"/>
      <c r="AF13" s="38"/>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40"/>
      <c r="BJ13" s="39"/>
      <c r="BK13" s="41"/>
    </row>
    <row r="14" spans="1:63" ht="15" customHeight="1" x14ac:dyDescent="0.25">
      <c r="A14" s="37"/>
      <c r="B14" s="38"/>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40"/>
      <c r="AF14" s="38"/>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40"/>
      <c r="BJ14" s="39"/>
      <c r="BK14" s="41"/>
    </row>
    <row r="15" spans="1:63" ht="15" customHeight="1" x14ac:dyDescent="0.25">
      <c r="A15" s="37"/>
      <c r="B15" s="38"/>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40"/>
      <c r="AF15" s="38"/>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40"/>
      <c r="BJ15" s="39"/>
      <c r="BK15" s="41"/>
    </row>
    <row r="16" spans="1:63" ht="15" customHeight="1" x14ac:dyDescent="0.25">
      <c r="A16" s="37"/>
      <c r="B16" s="38"/>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40"/>
      <c r="AF16" s="38"/>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40"/>
      <c r="BJ16" s="39"/>
      <c r="BK16" s="41"/>
    </row>
    <row r="17" spans="1:63" ht="15" customHeight="1" x14ac:dyDescent="0.25">
      <c r="A17" s="37"/>
      <c r="B17" s="38"/>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40"/>
      <c r="AF17" s="38"/>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40"/>
      <c r="BJ17" s="39"/>
      <c r="BK17" s="41"/>
    </row>
    <row r="18" spans="1:63" ht="15" customHeight="1" x14ac:dyDescent="0.25">
      <c r="A18" s="37"/>
      <c r="B18" s="38"/>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40"/>
      <c r="AF18" s="38"/>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40"/>
      <c r="BJ18" s="39"/>
      <c r="BK18" s="41"/>
    </row>
    <row r="19" spans="1:63" ht="15" customHeight="1" x14ac:dyDescent="0.25">
      <c r="A19" s="37"/>
      <c r="B19" s="38"/>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40"/>
      <c r="AF19" s="38"/>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40"/>
      <c r="BJ19" s="39"/>
      <c r="BK19" s="41"/>
    </row>
    <row r="20" spans="1:63" ht="15" customHeight="1" x14ac:dyDescent="0.25">
      <c r="A20" s="37"/>
      <c r="B20" s="38"/>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40"/>
      <c r="AF20" s="38"/>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40"/>
      <c r="BJ20" s="39"/>
      <c r="BK20" s="41"/>
    </row>
    <row r="21" spans="1:63" ht="15" customHeight="1" x14ac:dyDescent="0.25">
      <c r="A21" s="37"/>
      <c r="B21" s="38"/>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40"/>
      <c r="AF21" s="38"/>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40"/>
      <c r="BJ21" s="39"/>
      <c r="BK21" s="41"/>
    </row>
    <row r="22" spans="1:63" ht="15" customHeight="1" x14ac:dyDescent="0.25">
      <c r="A22" s="37"/>
      <c r="B22" s="2" t="s">
        <v>12</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3"/>
      <c r="AF22" s="2"/>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3"/>
      <c r="BJ22" s="1"/>
      <c r="BK22" s="41"/>
    </row>
    <row r="23" spans="1:63" ht="15" customHeight="1" x14ac:dyDescent="0.25">
      <c r="A23" s="37"/>
      <c r="B23" s="38"/>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40"/>
      <c r="AF23" s="38"/>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40"/>
      <c r="BJ23" s="39"/>
      <c r="BK23" s="41"/>
    </row>
    <row r="24" spans="1:63" ht="15" customHeight="1" x14ac:dyDescent="0.25">
      <c r="A24" s="37"/>
      <c r="B24" s="38"/>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40"/>
      <c r="AF24" s="38"/>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40"/>
      <c r="BJ24" s="39"/>
      <c r="BK24" s="41"/>
    </row>
    <row r="25" spans="1:63" ht="15" customHeight="1" x14ac:dyDescent="0.25">
      <c r="A25" s="37"/>
      <c r="B25" s="38"/>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40"/>
      <c r="AF25" s="38"/>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40"/>
      <c r="BJ25" s="39"/>
      <c r="BK25" s="41"/>
    </row>
    <row r="26" spans="1:63" ht="15" customHeight="1" x14ac:dyDescent="0.25">
      <c r="A26" s="37"/>
      <c r="B26" s="38"/>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40"/>
      <c r="AF26" s="38"/>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40"/>
      <c r="BJ26" s="39"/>
      <c r="BK26" s="41"/>
    </row>
    <row r="27" spans="1:63" ht="15" customHeight="1" x14ac:dyDescent="0.25">
      <c r="A27" s="37"/>
      <c r="B27" s="38"/>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40"/>
      <c r="AF27" s="38"/>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40"/>
      <c r="BJ27" s="39"/>
      <c r="BK27" s="41"/>
    </row>
    <row r="28" spans="1:63" ht="15" customHeight="1" x14ac:dyDescent="0.25">
      <c r="A28" s="37"/>
      <c r="B28" s="38"/>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40"/>
      <c r="AF28" s="38"/>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40"/>
      <c r="BJ28" s="39"/>
      <c r="BK28" s="41"/>
    </row>
    <row r="29" spans="1:63" ht="15" customHeight="1" x14ac:dyDescent="0.25">
      <c r="A29" s="37"/>
      <c r="B29" s="38"/>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40"/>
      <c r="AF29" s="38"/>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40"/>
      <c r="BJ29" s="39"/>
      <c r="BK29" s="41"/>
    </row>
    <row r="30" spans="1:63" ht="15" customHeight="1" x14ac:dyDescent="0.25">
      <c r="A30" s="37"/>
      <c r="B30" s="38"/>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40"/>
      <c r="AF30" s="38"/>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40"/>
      <c r="BJ30" s="39"/>
      <c r="BK30" s="41"/>
    </row>
    <row r="31" spans="1:63" ht="15" customHeight="1" x14ac:dyDescent="0.25">
      <c r="A31" s="37"/>
      <c r="B31" s="38"/>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40"/>
      <c r="AF31" s="38"/>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40"/>
      <c r="BJ31" s="39"/>
      <c r="BK31" s="41"/>
    </row>
    <row r="32" spans="1:63" ht="15" customHeight="1" x14ac:dyDescent="0.25">
      <c r="A32" s="37"/>
      <c r="B32" s="38"/>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40"/>
      <c r="AF32" s="38"/>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40"/>
      <c r="BJ32" s="39"/>
      <c r="BK32" s="41"/>
    </row>
    <row r="33" spans="1:63" ht="15" customHeight="1" x14ac:dyDescent="0.25">
      <c r="A33" s="37"/>
      <c r="B33" s="38"/>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40"/>
      <c r="AF33" s="38"/>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40"/>
      <c r="BJ33" s="39"/>
      <c r="BK33" s="41"/>
    </row>
    <row r="34" spans="1:63" ht="15" customHeight="1" x14ac:dyDescent="0.25">
      <c r="A34" s="37"/>
      <c r="B34" s="38"/>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40"/>
      <c r="AF34" s="38"/>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40"/>
      <c r="BJ34" s="39"/>
      <c r="BK34" s="41"/>
    </row>
    <row r="35" spans="1:63" ht="15" customHeight="1" x14ac:dyDescent="0.25">
      <c r="A35" s="37"/>
      <c r="B35" s="38"/>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40"/>
      <c r="AF35" s="38"/>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40"/>
      <c r="BJ35" s="39"/>
      <c r="BK35" s="41"/>
    </row>
    <row r="36" spans="1:63" ht="15" customHeight="1" x14ac:dyDescent="0.25">
      <c r="A36" s="37"/>
      <c r="B36" s="38"/>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40"/>
      <c r="AF36" s="38"/>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40"/>
      <c r="BJ36" s="39"/>
      <c r="BK36" s="41"/>
    </row>
    <row r="37" spans="1:63" ht="15" customHeight="1" x14ac:dyDescent="0.25">
      <c r="A37" s="37"/>
      <c r="B37" s="38"/>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8"/>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40"/>
      <c r="BJ37" s="39"/>
      <c r="BK37" s="41"/>
    </row>
    <row r="38" spans="1:63" ht="15" customHeight="1" x14ac:dyDescent="0.25">
      <c r="A38" s="37"/>
      <c r="B38" s="38"/>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8"/>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40"/>
      <c r="BJ38" s="39"/>
      <c r="BK38" s="41"/>
    </row>
    <row r="39" spans="1:63" ht="15" customHeight="1" x14ac:dyDescent="0.25">
      <c r="A39" s="37"/>
      <c r="B39" s="38"/>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8"/>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40"/>
      <c r="BJ39" s="39"/>
      <c r="BK39" s="41"/>
    </row>
    <row r="40" spans="1:63" ht="15" customHeight="1" x14ac:dyDescent="0.25">
      <c r="A40" s="37"/>
      <c r="B40" s="38"/>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8"/>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40"/>
      <c r="BJ40" s="39"/>
      <c r="BK40" s="41"/>
    </row>
    <row r="41" spans="1:63" ht="15" customHeight="1" x14ac:dyDescent="0.25">
      <c r="A41" s="37"/>
      <c r="B41" s="38"/>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8"/>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40"/>
      <c r="BJ41" s="39"/>
      <c r="BK41" s="41"/>
    </row>
    <row r="42" spans="1:63" ht="15" customHeight="1" x14ac:dyDescent="0.25">
      <c r="A42" s="37"/>
      <c r="B42" s="2" t="s">
        <v>13</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3"/>
      <c r="AF42" s="2"/>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3"/>
      <c r="BJ42" s="1"/>
      <c r="BK42" s="41"/>
    </row>
    <row r="43" spans="1:63" ht="15" customHeight="1" x14ac:dyDescent="0.25">
      <c r="A43" s="37"/>
      <c r="B43" s="38"/>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40"/>
      <c r="AF43" s="38"/>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40"/>
      <c r="BJ43" s="39"/>
      <c r="BK43" s="41"/>
    </row>
    <row r="44" spans="1:63" ht="15" customHeight="1" x14ac:dyDescent="0.25">
      <c r="A44" s="37"/>
      <c r="B44" s="38"/>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40"/>
      <c r="AF44" s="38"/>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40"/>
      <c r="BJ44" s="39"/>
      <c r="BK44" s="41"/>
    </row>
    <row r="45" spans="1:63" ht="15" customHeight="1" x14ac:dyDescent="0.25">
      <c r="A45" s="37"/>
      <c r="B45" s="38"/>
      <c r="C45" s="39"/>
      <c r="D45" s="39"/>
      <c r="E45" s="39"/>
      <c r="F45" s="39"/>
      <c r="G45" s="39"/>
      <c r="H45" s="39"/>
      <c r="I45" s="39"/>
      <c r="J45" s="39"/>
      <c r="K45" s="39"/>
      <c r="L45" s="39"/>
      <c r="M45" s="39"/>
      <c r="N45" s="39"/>
      <c r="O45" s="39"/>
      <c r="P45" s="39"/>
      <c r="Q45" s="39"/>
      <c r="R45" s="39"/>
      <c r="S45" s="39"/>
      <c r="T45" s="39"/>
      <c r="U45" s="39"/>
      <c r="V45" s="39"/>
      <c r="W45" s="39"/>
      <c r="X45" s="39"/>
      <c r="Y45" s="39"/>
      <c r="Z45" s="39"/>
      <c r="AA45" s="39"/>
      <c r="AB45" s="39"/>
      <c r="AC45" s="39"/>
      <c r="AD45" s="39"/>
      <c r="AE45" s="40"/>
      <c r="AF45" s="38"/>
      <c r="AG45" s="39"/>
      <c r="AH45" s="39"/>
      <c r="AI45" s="39"/>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40"/>
      <c r="BJ45" s="39"/>
      <c r="BK45" s="41"/>
    </row>
    <row r="46" spans="1:63" ht="15" customHeight="1" x14ac:dyDescent="0.25">
      <c r="A46" s="37"/>
      <c r="B46" s="38"/>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40"/>
      <c r="AF46" s="38"/>
      <c r="AG46" s="39"/>
      <c r="AH46" s="39"/>
      <c r="AI46" s="39"/>
      <c r="AJ46" s="39"/>
      <c r="AK46" s="39"/>
      <c r="AL46" s="39"/>
      <c r="AM46" s="39"/>
      <c r="AN46" s="39"/>
      <c r="AO46" s="39"/>
      <c r="AP46" s="39"/>
      <c r="AQ46" s="39"/>
      <c r="AR46" s="39"/>
      <c r="AS46" s="39"/>
      <c r="AT46" s="39"/>
      <c r="AU46" s="39"/>
      <c r="AV46" s="39"/>
      <c r="AW46" s="39"/>
      <c r="AX46" s="39"/>
      <c r="AY46" s="39"/>
      <c r="AZ46" s="39"/>
      <c r="BA46" s="39"/>
      <c r="BB46" s="39"/>
      <c r="BC46" s="39"/>
      <c r="BD46" s="39"/>
      <c r="BE46" s="39"/>
      <c r="BF46" s="39"/>
      <c r="BG46" s="39"/>
      <c r="BH46" s="39"/>
      <c r="BI46" s="40"/>
      <c r="BJ46" s="39"/>
      <c r="BK46" s="41"/>
    </row>
    <row r="47" spans="1:63" ht="15" customHeight="1" x14ac:dyDescent="0.25">
      <c r="A47" s="37"/>
      <c r="B47" s="38"/>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40"/>
      <c r="AF47" s="38"/>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40"/>
      <c r="BJ47" s="39"/>
      <c r="BK47" s="41"/>
    </row>
    <row r="48" spans="1:63" ht="15" customHeight="1" x14ac:dyDescent="0.25">
      <c r="A48" s="37"/>
      <c r="B48" s="38"/>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40"/>
      <c r="AF48" s="38"/>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40"/>
      <c r="BJ48" s="39"/>
      <c r="BK48" s="41"/>
    </row>
    <row r="49" spans="1:63" ht="15" customHeight="1" x14ac:dyDescent="0.25">
      <c r="A49" s="37"/>
      <c r="B49" s="38"/>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8"/>
      <c r="AG49" s="39"/>
      <c r="AH49" s="39"/>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40"/>
      <c r="BJ49" s="39"/>
      <c r="BK49" s="41"/>
    </row>
    <row r="50" spans="1:63" ht="15" customHeight="1" x14ac:dyDescent="0.25">
      <c r="A50" s="37"/>
      <c r="B50" s="38"/>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8"/>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40"/>
      <c r="BJ50" s="39"/>
      <c r="BK50" s="41"/>
    </row>
    <row r="51" spans="1:63" ht="15" customHeight="1" x14ac:dyDescent="0.25">
      <c r="A51" s="37"/>
      <c r="B51" s="38"/>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8"/>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40"/>
      <c r="BJ51" s="39"/>
      <c r="BK51" s="41"/>
    </row>
    <row r="52" spans="1:63" ht="15" customHeight="1" x14ac:dyDescent="0.25">
      <c r="A52" s="37"/>
      <c r="B52" s="38"/>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8"/>
      <c r="AG52" s="39"/>
      <c r="AH52" s="39"/>
      <c r="AI52" s="39"/>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40"/>
      <c r="BJ52" s="39"/>
      <c r="BK52" s="41"/>
    </row>
    <row r="53" spans="1:63" ht="15" customHeight="1" x14ac:dyDescent="0.25">
      <c r="A53" s="37"/>
      <c r="B53" s="38"/>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8"/>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40"/>
      <c r="BJ53" s="39"/>
      <c r="BK53" s="41"/>
    </row>
    <row r="54" spans="1:63" ht="15" customHeight="1" x14ac:dyDescent="0.25">
      <c r="A54" s="37"/>
      <c r="B54" s="38"/>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8"/>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40"/>
      <c r="BJ54" s="39"/>
      <c r="BK54" s="41"/>
    </row>
    <row r="55" spans="1:63" ht="15" customHeight="1" x14ac:dyDescent="0.25">
      <c r="A55" s="37"/>
      <c r="B55" s="38"/>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8"/>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40"/>
      <c r="BJ55" s="39"/>
      <c r="BK55" s="41"/>
    </row>
    <row r="56" spans="1:63" ht="15" customHeight="1" x14ac:dyDescent="0.25">
      <c r="A56" s="37"/>
      <c r="B56" s="38"/>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8"/>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40"/>
      <c r="BJ56" s="39"/>
      <c r="BK56" s="41"/>
    </row>
    <row r="57" spans="1:63" ht="15" customHeight="1" x14ac:dyDescent="0.25">
      <c r="A57" s="37"/>
      <c r="B57" s="38"/>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8"/>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40"/>
      <c r="BJ57" s="39"/>
      <c r="BK57" s="41"/>
    </row>
    <row r="58" spans="1:63" ht="15" customHeight="1" x14ac:dyDescent="0.25">
      <c r="A58" s="37"/>
      <c r="B58" s="38"/>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8"/>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40"/>
      <c r="BJ58" s="39"/>
      <c r="BK58" s="41"/>
    </row>
    <row r="59" spans="1:63" ht="15" customHeight="1" x14ac:dyDescent="0.25">
      <c r="A59" s="37"/>
      <c r="B59" s="38"/>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8"/>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40"/>
      <c r="BJ59" s="39"/>
      <c r="BK59" s="41"/>
    </row>
    <row r="60" spans="1:63" ht="15" customHeight="1" x14ac:dyDescent="0.25">
      <c r="A60" s="37"/>
      <c r="B60" s="38"/>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8"/>
      <c r="AG60" s="39"/>
      <c r="AH60" s="39"/>
      <c r="AI60" s="39"/>
      <c r="AJ60" s="39"/>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40"/>
      <c r="BJ60" s="39"/>
      <c r="BK60" s="41"/>
    </row>
    <row r="61" spans="1:63" ht="15" customHeight="1" x14ac:dyDescent="0.25">
      <c r="A61" s="37"/>
      <c r="B61" s="38"/>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8"/>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40"/>
      <c r="BJ61" s="39"/>
      <c r="BK61" s="41"/>
    </row>
    <row r="62" spans="1:63" ht="15" customHeight="1" x14ac:dyDescent="0.25">
      <c r="A62" s="42"/>
      <c r="B62" s="43"/>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4"/>
      <c r="AF62" s="43"/>
      <c r="AG62" s="42"/>
      <c r="AH62" s="42"/>
      <c r="AI62" s="42"/>
      <c r="AJ62" s="42"/>
      <c r="AK62" s="42"/>
      <c r="AL62" s="42"/>
      <c r="AM62" s="42"/>
      <c r="AN62" s="42"/>
      <c r="AO62" s="42"/>
      <c r="AP62" s="42"/>
      <c r="AQ62" s="42"/>
      <c r="AR62" s="42"/>
      <c r="AS62" s="42"/>
      <c r="AT62" s="42"/>
      <c r="AU62" s="42"/>
      <c r="AV62" s="42"/>
      <c r="AW62" s="42"/>
      <c r="AX62" s="42"/>
      <c r="AY62" s="42"/>
      <c r="AZ62" s="42"/>
      <c r="BA62" s="42"/>
      <c r="BB62" s="42"/>
      <c r="BC62" s="42"/>
      <c r="BD62" s="42"/>
      <c r="BE62" s="42"/>
      <c r="BF62" s="42"/>
      <c r="BG62" s="42"/>
      <c r="BH62" s="42"/>
      <c r="BI62" s="44"/>
      <c r="BJ62" s="42"/>
      <c r="BK62" s="45"/>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7"/>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18" customWidth="1"/>
    <col min="66" max="16384" width="2.77734375" style="18"/>
  </cols>
  <sheetData>
    <row r="1" spans="1:65" ht="24.95" customHeight="1" x14ac:dyDescent="0.25">
      <c r="A1" s="68" t="s">
        <v>37</v>
      </c>
      <c r="B1" s="69"/>
      <c r="C1" s="69"/>
      <c r="D1" s="69"/>
      <c r="E1" s="69"/>
      <c r="F1" s="69"/>
      <c r="G1" s="69"/>
      <c r="H1" s="69"/>
      <c r="I1" s="69"/>
      <c r="J1" s="70"/>
      <c r="K1" s="68" t="s">
        <v>38</v>
      </c>
      <c r="L1" s="69"/>
      <c r="M1" s="69"/>
      <c r="N1" s="69"/>
      <c r="O1" s="69"/>
      <c r="P1" s="69"/>
      <c r="Q1" s="69"/>
      <c r="R1" s="69"/>
      <c r="S1" s="69"/>
      <c r="T1" s="69"/>
      <c r="U1" s="69"/>
      <c r="V1" s="70"/>
      <c r="W1" s="78" t="str">
        <f>IF(表紙!W1="","",表紙!W1)</f>
        <v>基本設計書</v>
      </c>
      <c r="X1" s="79"/>
      <c r="Y1" s="79"/>
      <c r="Z1" s="79"/>
      <c r="AA1" s="79"/>
      <c r="AB1" s="79"/>
      <c r="AC1" s="79"/>
      <c r="AD1" s="79"/>
      <c r="AE1" s="79"/>
      <c r="AF1" s="79"/>
      <c r="AG1" s="79"/>
      <c r="AH1" s="79"/>
      <c r="AI1" s="79"/>
      <c r="AJ1" s="79"/>
      <c r="AK1" s="79"/>
      <c r="AL1" s="79"/>
      <c r="AM1" s="79"/>
      <c r="AN1" s="79"/>
      <c r="AO1" s="80"/>
      <c r="AP1" s="68" t="s">
        <v>40</v>
      </c>
      <c r="AQ1" s="69"/>
      <c r="AR1" s="69"/>
      <c r="AS1" s="70"/>
      <c r="AT1" s="68" t="s">
        <v>41</v>
      </c>
      <c r="AU1" s="69"/>
      <c r="AV1" s="69"/>
      <c r="AW1" s="69"/>
      <c r="AX1" s="70"/>
      <c r="AY1" s="68" t="s">
        <v>42</v>
      </c>
      <c r="AZ1" s="69"/>
      <c r="BA1" s="69"/>
      <c r="BB1" s="70"/>
      <c r="BC1" s="68" t="s">
        <v>43</v>
      </c>
      <c r="BD1" s="69"/>
      <c r="BE1" s="69"/>
      <c r="BF1" s="69"/>
      <c r="BG1" s="70"/>
      <c r="BH1" s="68" t="s">
        <v>44</v>
      </c>
      <c r="BI1" s="69"/>
      <c r="BJ1" s="69"/>
      <c r="BK1" s="70"/>
    </row>
    <row r="2" spans="1:65" ht="15" customHeight="1" x14ac:dyDescent="0.25">
      <c r="A2" s="71" t="str">
        <f>IF(表紙!A2="","",表紙!A2)</f>
        <v>POSサーバー</v>
      </c>
      <c r="B2" s="72"/>
      <c r="C2" s="72"/>
      <c r="D2" s="72"/>
      <c r="E2" s="72"/>
      <c r="F2" s="72"/>
      <c r="G2" s="72"/>
      <c r="H2" s="72"/>
      <c r="I2" s="72"/>
      <c r="J2" s="73"/>
      <c r="K2" s="71" t="str">
        <f>IF(表紙!K2="","",表紙!K2)</f>
        <v>POSサーバ</v>
      </c>
      <c r="L2" s="72"/>
      <c r="M2" s="72"/>
      <c r="N2" s="72"/>
      <c r="O2" s="72"/>
      <c r="P2" s="72"/>
      <c r="Q2" s="72"/>
      <c r="R2" s="72"/>
      <c r="S2" s="72"/>
      <c r="T2" s="72"/>
      <c r="U2" s="72"/>
      <c r="V2" s="73"/>
      <c r="W2" s="81"/>
      <c r="X2" s="82"/>
      <c r="Y2" s="82"/>
      <c r="Z2" s="82"/>
      <c r="AA2" s="82"/>
      <c r="AB2" s="82"/>
      <c r="AC2" s="82"/>
      <c r="AD2" s="82"/>
      <c r="AE2" s="82"/>
      <c r="AF2" s="82"/>
      <c r="AG2" s="82"/>
      <c r="AH2" s="82"/>
      <c r="AI2" s="82"/>
      <c r="AJ2" s="82"/>
      <c r="AK2" s="82"/>
      <c r="AL2" s="82"/>
      <c r="AM2" s="82"/>
      <c r="AN2" s="82"/>
      <c r="AO2" s="83"/>
      <c r="AP2" s="71" t="str">
        <f>IF(表紙!AP2="","",表紙!AP2)</f>
        <v>SonMNT</v>
      </c>
      <c r="AQ2" s="72"/>
      <c r="AR2" s="72"/>
      <c r="AS2" s="73"/>
      <c r="AT2" s="98">
        <f>IF(表紙!AT2="","",表紙!AT2)</f>
        <v>45433</v>
      </c>
      <c r="AU2" s="99"/>
      <c r="AV2" s="99"/>
      <c r="AW2" s="99"/>
      <c r="AX2" s="100"/>
      <c r="AY2" s="71" t="str">
        <f>IF(表紙!AY2="","",表紙!AY2)</f>
        <v>TinNH</v>
      </c>
      <c r="AZ2" s="72"/>
      <c r="BA2" s="72"/>
      <c r="BB2" s="73"/>
      <c r="BC2" s="98">
        <f>IF(表紙!BC2="","",表紙!BC2)</f>
        <v>45605</v>
      </c>
      <c r="BD2" s="99"/>
      <c r="BE2" s="99"/>
      <c r="BF2" s="99"/>
      <c r="BG2" s="100"/>
      <c r="BH2" s="71">
        <f>IF(表紙!BH2="","",表紙!BH2)</f>
        <v>0.4</v>
      </c>
      <c r="BI2" s="72"/>
      <c r="BJ2" s="72"/>
      <c r="BK2" s="73"/>
    </row>
    <row r="3" spans="1:65" ht="15" customHeight="1" x14ac:dyDescent="0.25">
      <c r="A3" s="74"/>
      <c r="B3" s="75"/>
      <c r="C3" s="75"/>
      <c r="D3" s="75"/>
      <c r="E3" s="75"/>
      <c r="F3" s="75"/>
      <c r="G3" s="75"/>
      <c r="H3" s="75"/>
      <c r="I3" s="75"/>
      <c r="J3" s="76"/>
      <c r="K3" s="74"/>
      <c r="L3" s="75"/>
      <c r="M3" s="75"/>
      <c r="N3" s="75"/>
      <c r="O3" s="75"/>
      <c r="P3" s="75"/>
      <c r="Q3" s="75"/>
      <c r="R3" s="75"/>
      <c r="S3" s="75"/>
      <c r="T3" s="75"/>
      <c r="U3" s="75"/>
      <c r="V3" s="76"/>
      <c r="W3" s="84"/>
      <c r="X3" s="85"/>
      <c r="Y3" s="85"/>
      <c r="Z3" s="85"/>
      <c r="AA3" s="85"/>
      <c r="AB3" s="85"/>
      <c r="AC3" s="85"/>
      <c r="AD3" s="85"/>
      <c r="AE3" s="85"/>
      <c r="AF3" s="85"/>
      <c r="AG3" s="85"/>
      <c r="AH3" s="85"/>
      <c r="AI3" s="85"/>
      <c r="AJ3" s="85"/>
      <c r="AK3" s="85"/>
      <c r="AL3" s="85"/>
      <c r="AM3" s="85"/>
      <c r="AN3" s="85"/>
      <c r="AO3" s="86"/>
      <c r="AP3" s="74"/>
      <c r="AQ3" s="75"/>
      <c r="AR3" s="75"/>
      <c r="AS3" s="76"/>
      <c r="AT3" s="101"/>
      <c r="AU3" s="102"/>
      <c r="AV3" s="102"/>
      <c r="AW3" s="102"/>
      <c r="AX3" s="103"/>
      <c r="AY3" s="74"/>
      <c r="AZ3" s="75"/>
      <c r="BA3" s="75"/>
      <c r="BB3" s="76"/>
      <c r="BC3" s="101"/>
      <c r="BD3" s="102"/>
      <c r="BE3" s="102"/>
      <c r="BF3" s="102"/>
      <c r="BG3" s="103"/>
      <c r="BH3" s="74"/>
      <c r="BI3" s="75"/>
      <c r="BJ3" s="75"/>
      <c r="BK3" s="76"/>
    </row>
    <row r="4" spans="1:65" ht="24.95" customHeight="1" x14ac:dyDescent="0.25">
      <c r="A4" s="68" t="s">
        <v>46</v>
      </c>
      <c r="B4" s="69"/>
      <c r="C4" s="69"/>
      <c r="D4" s="69"/>
      <c r="E4" s="69"/>
      <c r="F4" s="69"/>
      <c r="G4" s="70"/>
      <c r="H4" s="89" t="str">
        <f>IF(表紙!H4="","",表紙!H4)</f>
        <v>32_レジ別単品別売上点検</v>
      </c>
      <c r="I4" s="90"/>
      <c r="J4" s="90"/>
      <c r="K4" s="90"/>
      <c r="L4" s="90"/>
      <c r="M4" s="90"/>
      <c r="N4" s="90"/>
      <c r="O4" s="90"/>
      <c r="P4" s="90"/>
      <c r="Q4" s="90"/>
      <c r="R4" s="90"/>
      <c r="S4" s="90"/>
      <c r="T4" s="91"/>
      <c r="U4" s="68" t="s">
        <v>47</v>
      </c>
      <c r="V4" s="69"/>
      <c r="W4" s="69"/>
      <c r="X4" s="69"/>
      <c r="Y4" s="70"/>
      <c r="Z4" s="89" t="str">
        <f>IF(表紙!Z4="","",表紙!Z4)</f>
        <v>概要設計</v>
      </c>
      <c r="AA4" s="90"/>
      <c r="AB4" s="90"/>
      <c r="AC4" s="90"/>
      <c r="AD4" s="90"/>
      <c r="AE4" s="90"/>
      <c r="AF4" s="90"/>
      <c r="AG4" s="90"/>
      <c r="AH4" s="90"/>
      <c r="AI4" s="90"/>
      <c r="AJ4" s="90"/>
      <c r="AK4" s="90"/>
      <c r="AL4" s="90"/>
      <c r="AM4" s="90"/>
      <c r="AN4" s="90"/>
      <c r="AO4" s="91"/>
      <c r="AP4" s="89" t="str">
        <f t="array" aca="1" ref="AP4" ca="1">RIGHT(CELL("filename",$A$1),LEN(CELL("filename",$A$1))-FIND("]",CELL("filename",$A$1)))</f>
        <v>機能概要説明</v>
      </c>
      <c r="AQ4" s="90"/>
      <c r="AR4" s="90"/>
      <c r="AS4" s="90"/>
      <c r="AT4" s="90"/>
      <c r="AU4" s="90"/>
      <c r="AV4" s="90"/>
      <c r="AW4" s="90"/>
      <c r="AX4" s="90"/>
      <c r="AY4" s="90"/>
      <c r="AZ4" s="90"/>
      <c r="BA4" s="90"/>
      <c r="BB4" s="90"/>
      <c r="BC4" s="90"/>
      <c r="BD4" s="90"/>
      <c r="BE4" s="90"/>
      <c r="BF4" s="90"/>
      <c r="BG4" s="90"/>
      <c r="BH4" s="90"/>
      <c r="BI4" s="90"/>
      <c r="BJ4" s="90"/>
      <c r="BK4" s="91"/>
    </row>
    <row r="5" spans="1:65"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65" ht="15" customHeight="1" x14ac:dyDescent="0.25">
      <c r="A6" s="22"/>
      <c r="BK6" s="23"/>
    </row>
    <row r="7" spans="1:65" ht="15" customHeight="1" x14ac:dyDescent="0.25">
      <c r="A7" s="22"/>
      <c r="C7" s="18" t="s">
        <v>30</v>
      </c>
      <c r="K7" s="46"/>
      <c r="BK7" s="23"/>
      <c r="BM7" s="4">
        <f t="shared" ref="BM7:BM11" si="0">IF(BM6=50,1,BM6+1)</f>
        <v>1</v>
      </c>
    </row>
    <row r="8" spans="1:65" ht="15" customHeight="1" x14ac:dyDescent="0.25">
      <c r="A8" s="22"/>
      <c r="D8" s="47" t="s">
        <v>31</v>
      </c>
      <c r="K8" s="46"/>
      <c r="BK8" s="23"/>
      <c r="BM8" s="4">
        <f t="shared" si="0"/>
        <v>2</v>
      </c>
    </row>
    <row r="9" spans="1:65" ht="15" customHeight="1" x14ac:dyDescent="0.25">
      <c r="A9" s="22"/>
      <c r="C9" s="304"/>
      <c r="D9" s="305" t="s">
        <v>77</v>
      </c>
      <c r="E9" s="304"/>
      <c r="F9" s="304"/>
      <c r="G9" s="304"/>
      <c r="H9" s="304"/>
      <c r="I9" s="304"/>
      <c r="J9" s="304"/>
      <c r="K9" s="306"/>
      <c r="L9" s="304"/>
      <c r="M9" s="304"/>
      <c r="BK9" s="23"/>
      <c r="BM9" s="4">
        <f t="shared" si="0"/>
        <v>3</v>
      </c>
    </row>
    <row r="10" spans="1:65" ht="15" customHeight="1" x14ac:dyDescent="0.25">
      <c r="A10" s="22"/>
      <c r="K10" s="46"/>
      <c r="BK10" s="23"/>
      <c r="BM10" s="4">
        <f t="shared" si="0"/>
        <v>4</v>
      </c>
    </row>
    <row r="11" spans="1:65" s="46" customFormat="1" ht="15" customHeight="1" x14ac:dyDescent="0.25">
      <c r="A11" s="48"/>
      <c r="BK11" s="49"/>
      <c r="BM11" s="4">
        <f t="shared" si="0"/>
        <v>5</v>
      </c>
    </row>
    <row r="12" spans="1:65" s="46" customFormat="1" ht="15" customHeight="1" x14ac:dyDescent="0.25">
      <c r="A12" s="48"/>
      <c r="BK12" s="49"/>
      <c r="BM12" s="4">
        <f t="shared" ref="BM12:BM44" si="1">IF(BM11=50,1,BM11+1)</f>
        <v>6</v>
      </c>
    </row>
    <row r="13" spans="1:65" s="46" customFormat="1" ht="15" customHeight="1" x14ac:dyDescent="0.25">
      <c r="A13" s="48"/>
      <c r="BK13" s="49"/>
      <c r="BM13" s="4">
        <f t="shared" si="1"/>
        <v>7</v>
      </c>
    </row>
    <row r="14" spans="1:65" s="46" customFormat="1" ht="15" customHeight="1" x14ac:dyDescent="0.25">
      <c r="A14" s="48"/>
      <c r="BK14" s="49"/>
      <c r="BM14" s="4">
        <f t="shared" si="1"/>
        <v>8</v>
      </c>
    </row>
    <row r="15" spans="1:65" s="46" customFormat="1" ht="15" customHeight="1" x14ac:dyDescent="0.25">
      <c r="A15" s="48"/>
      <c r="BK15" s="49"/>
      <c r="BM15" s="4">
        <f t="shared" si="1"/>
        <v>9</v>
      </c>
    </row>
    <row r="16" spans="1:65" s="46" customFormat="1" ht="15" customHeight="1" x14ac:dyDescent="0.25">
      <c r="A16" s="48"/>
      <c r="BK16" s="49"/>
      <c r="BM16" s="4">
        <f t="shared" si="1"/>
        <v>10</v>
      </c>
    </row>
    <row r="17" spans="1:65" s="46" customFormat="1" ht="15" customHeight="1" x14ac:dyDescent="0.25">
      <c r="A17" s="48"/>
      <c r="BK17" s="49"/>
      <c r="BM17" s="4">
        <f t="shared" si="1"/>
        <v>11</v>
      </c>
    </row>
    <row r="18" spans="1:65" s="46" customFormat="1" ht="15" customHeight="1" x14ac:dyDescent="0.25">
      <c r="A18" s="48"/>
      <c r="BK18" s="49"/>
      <c r="BM18" s="4">
        <f t="shared" si="1"/>
        <v>12</v>
      </c>
    </row>
    <row r="19" spans="1:65" s="46" customFormat="1" ht="15" customHeight="1" x14ac:dyDescent="0.25">
      <c r="A19" s="48"/>
      <c r="BK19" s="49"/>
      <c r="BM19" s="4">
        <f t="shared" si="1"/>
        <v>13</v>
      </c>
    </row>
    <row r="20" spans="1:65" s="46" customFormat="1" ht="15" customHeight="1" x14ac:dyDescent="0.25">
      <c r="A20" s="48"/>
      <c r="BK20" s="49"/>
      <c r="BM20" s="4">
        <f t="shared" si="1"/>
        <v>14</v>
      </c>
    </row>
    <row r="21" spans="1:65" s="46" customFormat="1" ht="15" customHeight="1" x14ac:dyDescent="0.25">
      <c r="A21" s="48"/>
      <c r="BK21" s="49"/>
      <c r="BM21" s="4">
        <f t="shared" si="1"/>
        <v>15</v>
      </c>
    </row>
    <row r="22" spans="1:65" s="46" customFormat="1" ht="15" customHeight="1" x14ac:dyDescent="0.25">
      <c r="A22" s="48"/>
      <c r="BK22" s="49"/>
      <c r="BM22" s="4">
        <f t="shared" si="1"/>
        <v>16</v>
      </c>
    </row>
    <row r="23" spans="1:65" s="46" customFormat="1" ht="15" customHeight="1" x14ac:dyDescent="0.25">
      <c r="A23" s="48"/>
      <c r="BK23" s="49"/>
      <c r="BM23" s="4">
        <f t="shared" si="1"/>
        <v>17</v>
      </c>
    </row>
    <row r="24" spans="1:65" s="46" customFormat="1" ht="15" customHeight="1" x14ac:dyDescent="0.25">
      <c r="A24" s="48"/>
      <c r="BK24" s="49"/>
      <c r="BM24" s="4">
        <f t="shared" si="1"/>
        <v>18</v>
      </c>
    </row>
    <row r="25" spans="1:65" s="46" customFormat="1" ht="15" customHeight="1" x14ac:dyDescent="0.25">
      <c r="A25" s="48"/>
      <c r="BK25" s="49"/>
      <c r="BM25" s="4">
        <f t="shared" si="1"/>
        <v>19</v>
      </c>
    </row>
    <row r="26" spans="1:65" s="46" customFormat="1" ht="15" customHeight="1" x14ac:dyDescent="0.25">
      <c r="A26" s="48"/>
      <c r="BK26" s="49"/>
      <c r="BM26" s="4">
        <f t="shared" si="1"/>
        <v>20</v>
      </c>
    </row>
    <row r="27" spans="1:65" s="46" customFormat="1" ht="15" customHeight="1" x14ac:dyDescent="0.25">
      <c r="A27" s="48"/>
      <c r="BK27" s="49"/>
      <c r="BM27" s="4">
        <f t="shared" si="1"/>
        <v>21</v>
      </c>
    </row>
    <row r="28" spans="1:65" s="46" customFormat="1" ht="15" customHeight="1" x14ac:dyDescent="0.25">
      <c r="A28" s="48"/>
      <c r="BK28" s="49"/>
      <c r="BM28" s="4">
        <f t="shared" si="1"/>
        <v>22</v>
      </c>
    </row>
    <row r="29" spans="1:65" s="46" customFormat="1" ht="15" customHeight="1" x14ac:dyDescent="0.25">
      <c r="A29" s="48"/>
      <c r="BK29" s="49"/>
      <c r="BM29" s="4">
        <f t="shared" si="1"/>
        <v>23</v>
      </c>
    </row>
    <row r="30" spans="1:65" s="46" customFormat="1" ht="15" customHeight="1" x14ac:dyDescent="0.25">
      <c r="A30" s="48"/>
      <c r="BK30" s="49"/>
      <c r="BM30" s="4">
        <f t="shared" si="1"/>
        <v>24</v>
      </c>
    </row>
    <row r="31" spans="1:65" s="46" customFormat="1" ht="15" customHeight="1" x14ac:dyDescent="0.25">
      <c r="A31" s="48"/>
      <c r="BK31" s="49"/>
      <c r="BM31" s="4">
        <f t="shared" si="1"/>
        <v>25</v>
      </c>
    </row>
    <row r="32" spans="1:65" s="46" customFormat="1" ht="15" customHeight="1" x14ac:dyDescent="0.25">
      <c r="A32" s="48"/>
      <c r="BK32" s="49"/>
      <c r="BM32" s="4">
        <f t="shared" si="1"/>
        <v>26</v>
      </c>
    </row>
    <row r="33" spans="1:65" s="46" customFormat="1" ht="15" customHeight="1" x14ac:dyDescent="0.25">
      <c r="A33" s="48"/>
      <c r="BK33" s="49"/>
      <c r="BM33" s="4">
        <f t="shared" si="1"/>
        <v>27</v>
      </c>
    </row>
    <row r="34" spans="1:65" s="46" customFormat="1" ht="15" customHeight="1" x14ac:dyDescent="0.25">
      <c r="A34" s="48"/>
      <c r="BK34" s="49"/>
      <c r="BM34" s="4">
        <f t="shared" si="1"/>
        <v>28</v>
      </c>
    </row>
    <row r="35" spans="1:65" s="46" customFormat="1" ht="15" customHeight="1" x14ac:dyDescent="0.25">
      <c r="A35" s="48"/>
      <c r="BK35" s="49"/>
      <c r="BM35" s="4">
        <f t="shared" si="1"/>
        <v>29</v>
      </c>
    </row>
    <row r="36" spans="1:65" s="46" customFormat="1" ht="15" customHeight="1" x14ac:dyDescent="0.25">
      <c r="A36" s="48"/>
      <c r="BK36" s="49"/>
      <c r="BM36" s="4">
        <f t="shared" si="1"/>
        <v>30</v>
      </c>
    </row>
    <row r="37" spans="1:65" s="46" customFormat="1" ht="15" customHeight="1" x14ac:dyDescent="0.25">
      <c r="A37" s="48"/>
      <c r="BK37" s="49"/>
      <c r="BM37" s="4">
        <f t="shared" si="1"/>
        <v>31</v>
      </c>
    </row>
    <row r="38" spans="1:65" s="46" customFormat="1" ht="15" customHeight="1" x14ac:dyDescent="0.25">
      <c r="A38" s="48"/>
      <c r="BK38" s="49"/>
      <c r="BM38" s="4">
        <f t="shared" si="1"/>
        <v>32</v>
      </c>
    </row>
    <row r="39" spans="1:65" s="46" customFormat="1" ht="15" customHeight="1" x14ac:dyDescent="0.25">
      <c r="A39" s="48"/>
      <c r="BK39" s="49"/>
      <c r="BM39" s="4">
        <f t="shared" si="1"/>
        <v>33</v>
      </c>
    </row>
    <row r="40" spans="1:65" s="46" customFormat="1" ht="15" customHeight="1" x14ac:dyDescent="0.25">
      <c r="A40" s="48"/>
      <c r="BK40" s="49"/>
      <c r="BM40" s="4">
        <f t="shared" si="1"/>
        <v>34</v>
      </c>
    </row>
    <row r="41" spans="1:65" s="46" customFormat="1" ht="15" customHeight="1" x14ac:dyDescent="0.25">
      <c r="A41" s="48"/>
      <c r="BK41" s="49"/>
      <c r="BM41" s="4">
        <f t="shared" si="1"/>
        <v>35</v>
      </c>
    </row>
    <row r="42" spans="1:65" s="46" customFormat="1" ht="15" customHeight="1" x14ac:dyDescent="0.25">
      <c r="A42" s="48"/>
      <c r="BK42" s="49"/>
      <c r="BM42" s="4">
        <f t="shared" si="1"/>
        <v>36</v>
      </c>
    </row>
    <row r="43" spans="1:65" s="46" customFormat="1" ht="15" customHeight="1" x14ac:dyDescent="0.25">
      <c r="A43" s="48"/>
      <c r="BK43" s="49"/>
      <c r="BM43" s="4">
        <f t="shared" si="1"/>
        <v>37</v>
      </c>
    </row>
    <row r="44" spans="1:65" s="46" customFormat="1" ht="15" customHeight="1" x14ac:dyDescent="0.25">
      <c r="A44" s="48"/>
      <c r="BK44" s="49"/>
      <c r="BM44" s="4">
        <f t="shared" si="1"/>
        <v>38</v>
      </c>
    </row>
    <row r="45" spans="1:65" s="46" customFormat="1" ht="15" customHeight="1" x14ac:dyDescent="0.25">
      <c r="A45" s="48"/>
      <c r="BK45" s="49"/>
      <c r="BM45" s="4">
        <f t="shared" ref="BM45:BM57" si="2">IF(BM44=50,1,BM44+1)</f>
        <v>39</v>
      </c>
    </row>
    <row r="46" spans="1:65" s="46" customFormat="1" ht="15" customHeight="1" x14ac:dyDescent="0.25">
      <c r="A46" s="48"/>
      <c r="BK46" s="49"/>
      <c r="BM46" s="4">
        <f t="shared" si="2"/>
        <v>40</v>
      </c>
    </row>
    <row r="47" spans="1:65" s="46" customFormat="1" ht="15" customHeight="1" x14ac:dyDescent="0.25">
      <c r="A47" s="48"/>
      <c r="BK47" s="49"/>
      <c r="BM47" s="4">
        <f t="shared" si="2"/>
        <v>41</v>
      </c>
    </row>
    <row r="48" spans="1:65" s="46" customFormat="1" ht="15" customHeight="1" x14ac:dyDescent="0.25">
      <c r="A48" s="48"/>
      <c r="BK48" s="49"/>
      <c r="BM48" s="4">
        <f t="shared" si="2"/>
        <v>42</v>
      </c>
    </row>
    <row r="49" spans="1:65" s="46" customFormat="1" ht="15" customHeight="1" x14ac:dyDescent="0.25">
      <c r="A49" s="48"/>
      <c r="BK49" s="49"/>
      <c r="BM49" s="4">
        <f t="shared" si="2"/>
        <v>43</v>
      </c>
    </row>
    <row r="50" spans="1:65" s="46" customFormat="1" ht="15" customHeight="1" x14ac:dyDescent="0.25">
      <c r="A50" s="48"/>
      <c r="BK50" s="49"/>
      <c r="BM50" s="4">
        <f t="shared" si="2"/>
        <v>44</v>
      </c>
    </row>
    <row r="51" spans="1:65" s="46" customFormat="1" ht="15" customHeight="1" x14ac:dyDescent="0.25">
      <c r="A51" s="48"/>
      <c r="BK51" s="49"/>
      <c r="BM51" s="4">
        <f t="shared" si="2"/>
        <v>45</v>
      </c>
    </row>
    <row r="52" spans="1:65" s="46" customFormat="1" ht="15" customHeight="1" x14ac:dyDescent="0.25">
      <c r="A52" s="48"/>
      <c r="BK52" s="49"/>
      <c r="BM52" s="4">
        <f t="shared" si="2"/>
        <v>46</v>
      </c>
    </row>
    <row r="53" spans="1:65" s="46" customFormat="1" ht="15" customHeight="1" x14ac:dyDescent="0.25">
      <c r="A53" s="48"/>
      <c r="BK53" s="49"/>
      <c r="BM53" s="4">
        <f t="shared" si="2"/>
        <v>47</v>
      </c>
    </row>
    <row r="54" spans="1:65" s="46" customFormat="1" ht="15" customHeight="1" x14ac:dyDescent="0.25">
      <c r="A54" s="48"/>
      <c r="BK54" s="49"/>
      <c r="BM54" s="4">
        <f t="shared" si="2"/>
        <v>48</v>
      </c>
    </row>
    <row r="55" spans="1:65" s="46" customFormat="1" ht="15" customHeight="1" x14ac:dyDescent="0.25">
      <c r="A55" s="48"/>
      <c r="BK55" s="49"/>
      <c r="BM55" s="4">
        <f t="shared" si="2"/>
        <v>49</v>
      </c>
    </row>
    <row r="56" spans="1:65" s="46" customFormat="1" ht="15" customHeight="1" x14ac:dyDescent="0.25">
      <c r="A56" s="48"/>
      <c r="BK56" s="49"/>
      <c r="BM56" s="4">
        <f t="shared" si="2"/>
        <v>50</v>
      </c>
    </row>
    <row r="57" spans="1:65" s="46" customFormat="1" ht="15" customHeight="1" x14ac:dyDescent="0.25">
      <c r="A57" s="50"/>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1"/>
      <c r="BJ57" s="51"/>
      <c r="BK57" s="52"/>
      <c r="BM57" s="4">
        <f t="shared" si="2"/>
        <v>1</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0000FF"/>
    <pageSetUpPr fitToPage="1"/>
  </sheetPr>
  <dimension ref="A1:BM201"/>
  <sheetViews>
    <sheetView view="pageBreakPreview" zoomScale="85" zoomScaleNormal="75" zoomScaleSheetLayoutView="85" workbookViewId="0">
      <selection sqref="A1:J1"/>
    </sheetView>
  </sheetViews>
  <sheetFormatPr defaultColWidth="2.77734375" defaultRowHeight="15" customHeight="1" x14ac:dyDescent="0.25"/>
  <cols>
    <col min="1" max="64" width="2.77734375" style="18" customWidth="1"/>
    <col min="65" max="65" width="3" style="18" bestFit="1" customWidth="1"/>
    <col min="66" max="16384" width="2.77734375" style="18"/>
  </cols>
  <sheetData>
    <row r="1" spans="1:65" ht="24.95" customHeight="1" x14ac:dyDescent="0.25">
      <c r="A1" s="153" t="s">
        <v>54</v>
      </c>
      <c r="B1" s="69"/>
      <c r="C1" s="69"/>
      <c r="D1" s="69"/>
      <c r="E1" s="69"/>
      <c r="F1" s="69"/>
      <c r="G1" s="69"/>
      <c r="H1" s="69"/>
      <c r="I1" s="69"/>
      <c r="J1" s="70"/>
      <c r="K1" s="68" t="s">
        <v>38</v>
      </c>
      <c r="L1" s="69"/>
      <c r="M1" s="69"/>
      <c r="N1" s="69"/>
      <c r="O1" s="69"/>
      <c r="P1" s="69"/>
      <c r="Q1" s="69"/>
      <c r="R1" s="69"/>
      <c r="S1" s="69"/>
      <c r="T1" s="69"/>
      <c r="U1" s="69"/>
      <c r="V1" s="70"/>
      <c r="W1" s="78" t="str">
        <f>IF(表紙!W1="","",表紙!W1)</f>
        <v>基本設計書</v>
      </c>
      <c r="X1" s="79"/>
      <c r="Y1" s="79"/>
      <c r="Z1" s="79"/>
      <c r="AA1" s="79"/>
      <c r="AB1" s="79"/>
      <c r="AC1" s="79"/>
      <c r="AD1" s="79"/>
      <c r="AE1" s="79"/>
      <c r="AF1" s="79"/>
      <c r="AG1" s="79"/>
      <c r="AH1" s="79"/>
      <c r="AI1" s="79"/>
      <c r="AJ1" s="79"/>
      <c r="AK1" s="79"/>
      <c r="AL1" s="79"/>
      <c r="AM1" s="79"/>
      <c r="AN1" s="79"/>
      <c r="AO1" s="80"/>
      <c r="AP1" s="68" t="s">
        <v>40</v>
      </c>
      <c r="AQ1" s="69"/>
      <c r="AR1" s="69"/>
      <c r="AS1" s="70"/>
      <c r="AT1" s="68" t="s">
        <v>41</v>
      </c>
      <c r="AU1" s="69"/>
      <c r="AV1" s="69"/>
      <c r="AW1" s="69"/>
      <c r="AX1" s="70"/>
      <c r="AY1" s="68" t="s">
        <v>42</v>
      </c>
      <c r="AZ1" s="69"/>
      <c r="BA1" s="69"/>
      <c r="BB1" s="70"/>
      <c r="BC1" s="68" t="s">
        <v>43</v>
      </c>
      <c r="BD1" s="69"/>
      <c r="BE1" s="69"/>
      <c r="BF1" s="69"/>
      <c r="BG1" s="70"/>
      <c r="BH1" s="68" t="s">
        <v>44</v>
      </c>
      <c r="BI1" s="69"/>
      <c r="BJ1" s="69"/>
      <c r="BK1" s="70"/>
    </row>
    <row r="2" spans="1:65" ht="15" customHeight="1" x14ac:dyDescent="0.25">
      <c r="A2" s="71" t="str">
        <f>IF(表紙!A2="","",表紙!A2)</f>
        <v>POSサーバー</v>
      </c>
      <c r="B2" s="72"/>
      <c r="C2" s="72"/>
      <c r="D2" s="72"/>
      <c r="E2" s="72"/>
      <c r="F2" s="72"/>
      <c r="G2" s="72"/>
      <c r="H2" s="72"/>
      <c r="I2" s="72"/>
      <c r="J2" s="73"/>
      <c r="K2" s="71" t="str">
        <f>IF(表紙!K2="","",表紙!K2)</f>
        <v>POSサーバ</v>
      </c>
      <c r="L2" s="72"/>
      <c r="M2" s="72"/>
      <c r="N2" s="72"/>
      <c r="O2" s="72"/>
      <c r="P2" s="72"/>
      <c r="Q2" s="72"/>
      <c r="R2" s="72"/>
      <c r="S2" s="72"/>
      <c r="T2" s="72"/>
      <c r="U2" s="72"/>
      <c r="V2" s="73"/>
      <c r="W2" s="81"/>
      <c r="X2" s="82"/>
      <c r="Y2" s="82"/>
      <c r="Z2" s="82"/>
      <c r="AA2" s="82"/>
      <c r="AB2" s="82"/>
      <c r="AC2" s="82"/>
      <c r="AD2" s="82"/>
      <c r="AE2" s="82"/>
      <c r="AF2" s="82"/>
      <c r="AG2" s="82"/>
      <c r="AH2" s="82"/>
      <c r="AI2" s="82"/>
      <c r="AJ2" s="82"/>
      <c r="AK2" s="82"/>
      <c r="AL2" s="82"/>
      <c r="AM2" s="82"/>
      <c r="AN2" s="82"/>
      <c r="AO2" s="83"/>
      <c r="AP2" s="71" t="str">
        <f>IF(表紙!AP2="","",表紙!AP2)</f>
        <v>SonMNT</v>
      </c>
      <c r="AQ2" s="72"/>
      <c r="AR2" s="72"/>
      <c r="AS2" s="73"/>
      <c r="AT2" s="98">
        <f>IF(表紙!AT2="","",表紙!AT2)</f>
        <v>45433</v>
      </c>
      <c r="AU2" s="99"/>
      <c r="AV2" s="99"/>
      <c r="AW2" s="99"/>
      <c r="AX2" s="100"/>
      <c r="AY2" s="71" t="str">
        <f>IF(表紙!AY2="","",表紙!AY2)</f>
        <v>TinNH</v>
      </c>
      <c r="AZ2" s="72"/>
      <c r="BA2" s="72"/>
      <c r="BB2" s="73"/>
      <c r="BC2" s="98">
        <f>IF(表紙!BC2="","",表紙!BC2)</f>
        <v>45605</v>
      </c>
      <c r="BD2" s="99"/>
      <c r="BE2" s="99"/>
      <c r="BF2" s="99"/>
      <c r="BG2" s="100"/>
      <c r="BH2" s="71">
        <f>IF(表紙!BH2="","",表紙!BH2)</f>
        <v>0.4</v>
      </c>
      <c r="BI2" s="72"/>
      <c r="BJ2" s="72"/>
      <c r="BK2" s="73"/>
    </row>
    <row r="3" spans="1:65" ht="15" customHeight="1" x14ac:dyDescent="0.25">
      <c r="A3" s="74"/>
      <c r="B3" s="75"/>
      <c r="C3" s="75"/>
      <c r="D3" s="75"/>
      <c r="E3" s="75"/>
      <c r="F3" s="75"/>
      <c r="G3" s="75"/>
      <c r="H3" s="75"/>
      <c r="I3" s="75"/>
      <c r="J3" s="76"/>
      <c r="K3" s="74"/>
      <c r="L3" s="75"/>
      <c r="M3" s="75"/>
      <c r="N3" s="75"/>
      <c r="O3" s="75"/>
      <c r="P3" s="75"/>
      <c r="Q3" s="75"/>
      <c r="R3" s="75"/>
      <c r="S3" s="75"/>
      <c r="T3" s="75"/>
      <c r="U3" s="75"/>
      <c r="V3" s="76"/>
      <c r="W3" s="84"/>
      <c r="X3" s="85"/>
      <c r="Y3" s="85"/>
      <c r="Z3" s="85"/>
      <c r="AA3" s="85"/>
      <c r="AB3" s="85"/>
      <c r="AC3" s="85"/>
      <c r="AD3" s="85"/>
      <c r="AE3" s="85"/>
      <c r="AF3" s="85"/>
      <c r="AG3" s="85"/>
      <c r="AH3" s="85"/>
      <c r="AI3" s="85"/>
      <c r="AJ3" s="85"/>
      <c r="AK3" s="85"/>
      <c r="AL3" s="85"/>
      <c r="AM3" s="85"/>
      <c r="AN3" s="85"/>
      <c r="AO3" s="86"/>
      <c r="AP3" s="74"/>
      <c r="AQ3" s="75"/>
      <c r="AR3" s="75"/>
      <c r="AS3" s="76"/>
      <c r="AT3" s="101"/>
      <c r="AU3" s="102"/>
      <c r="AV3" s="102"/>
      <c r="AW3" s="102"/>
      <c r="AX3" s="103"/>
      <c r="AY3" s="74"/>
      <c r="AZ3" s="75"/>
      <c r="BA3" s="75"/>
      <c r="BB3" s="76"/>
      <c r="BC3" s="101"/>
      <c r="BD3" s="102"/>
      <c r="BE3" s="102"/>
      <c r="BF3" s="102"/>
      <c r="BG3" s="103"/>
      <c r="BH3" s="74"/>
      <c r="BI3" s="75"/>
      <c r="BJ3" s="75"/>
      <c r="BK3" s="76"/>
    </row>
    <row r="4" spans="1:65" ht="24.95" customHeight="1" x14ac:dyDescent="0.25">
      <c r="A4" s="68" t="s">
        <v>46</v>
      </c>
      <c r="B4" s="69"/>
      <c r="C4" s="69"/>
      <c r="D4" s="69"/>
      <c r="E4" s="69"/>
      <c r="F4" s="69"/>
      <c r="G4" s="70"/>
      <c r="H4" s="89" t="str">
        <f>IF(表紙!H4="","",表紙!H4)</f>
        <v>32_レジ別単品別売上点検</v>
      </c>
      <c r="I4" s="90"/>
      <c r="J4" s="90"/>
      <c r="K4" s="90"/>
      <c r="L4" s="90"/>
      <c r="M4" s="90"/>
      <c r="N4" s="90"/>
      <c r="O4" s="90"/>
      <c r="P4" s="90"/>
      <c r="Q4" s="90"/>
      <c r="R4" s="90"/>
      <c r="S4" s="90"/>
      <c r="T4" s="91"/>
      <c r="U4" s="68" t="s">
        <v>47</v>
      </c>
      <c r="V4" s="69"/>
      <c r="W4" s="69"/>
      <c r="X4" s="69"/>
      <c r="Y4" s="70"/>
      <c r="Z4" s="89" t="str">
        <f>IF(表紙!Z4="","",表紙!Z4)</f>
        <v>概要設計</v>
      </c>
      <c r="AA4" s="90"/>
      <c r="AB4" s="90"/>
      <c r="AC4" s="90"/>
      <c r="AD4" s="90"/>
      <c r="AE4" s="90"/>
      <c r="AF4" s="90"/>
      <c r="AG4" s="90"/>
      <c r="AH4" s="90"/>
      <c r="AI4" s="90"/>
      <c r="AJ4" s="90"/>
      <c r="AK4" s="90"/>
      <c r="AL4" s="90"/>
      <c r="AM4" s="90"/>
      <c r="AN4" s="90"/>
      <c r="AO4" s="91"/>
      <c r="AP4" s="89" t="str">
        <f t="array" aca="1" ref="AP4" ca="1">RIGHT(CELL("filename",$A$1),LEN(CELL("filename",$A$1))-FIND("]",CELL("filename",$A$1)))</f>
        <v>機能概要</v>
      </c>
      <c r="AQ4" s="90"/>
      <c r="AR4" s="90"/>
      <c r="AS4" s="90"/>
      <c r="AT4" s="90"/>
      <c r="AU4" s="90"/>
      <c r="AV4" s="90"/>
      <c r="AW4" s="90"/>
      <c r="AX4" s="90"/>
      <c r="AY4" s="90"/>
      <c r="AZ4" s="90"/>
      <c r="BA4" s="90"/>
      <c r="BB4" s="90"/>
      <c r="BC4" s="90"/>
      <c r="BD4" s="90"/>
      <c r="BE4" s="90"/>
      <c r="BF4" s="90"/>
      <c r="BG4" s="90"/>
      <c r="BH4" s="90"/>
      <c r="BI4" s="90"/>
      <c r="BJ4" s="90"/>
      <c r="BK4" s="91"/>
    </row>
    <row r="5" spans="1:65"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65" ht="15" customHeight="1" x14ac:dyDescent="0.25">
      <c r="A6" s="22"/>
      <c r="BK6" s="23"/>
    </row>
    <row r="7" spans="1:65" ht="15" customHeight="1" x14ac:dyDescent="0.25">
      <c r="A7" s="22"/>
      <c r="B7" s="53" t="s">
        <v>55</v>
      </c>
      <c r="C7" s="54"/>
      <c r="D7" s="55"/>
      <c r="E7" s="55"/>
      <c r="F7" s="55"/>
      <c r="G7" s="55"/>
      <c r="H7" s="55"/>
      <c r="I7" s="55"/>
      <c r="J7" s="55"/>
      <c r="K7" s="56"/>
      <c r="L7" s="55"/>
      <c r="M7" s="55"/>
      <c r="N7" s="55"/>
      <c r="O7" s="55"/>
      <c r="P7" s="55"/>
      <c r="Q7" s="55"/>
      <c r="R7" s="55"/>
      <c r="S7" s="55"/>
      <c r="T7" s="56"/>
      <c r="U7" s="54"/>
      <c r="V7" s="55"/>
      <c r="W7" s="55"/>
      <c r="X7" s="55"/>
      <c r="Y7" s="55"/>
      <c r="Z7" s="55"/>
      <c r="AA7" s="55"/>
      <c r="AB7" s="55"/>
      <c r="AC7" s="56"/>
      <c r="AD7" s="54"/>
      <c r="AE7" s="55"/>
      <c r="AF7" s="55"/>
      <c r="AG7" s="55"/>
      <c r="AH7" s="55"/>
      <c r="AI7" s="55"/>
      <c r="AJ7" s="55"/>
      <c r="AK7" s="55"/>
      <c r="AL7" s="56"/>
      <c r="AM7" s="54"/>
      <c r="AN7" s="55"/>
      <c r="AO7" s="55"/>
      <c r="AP7" s="55"/>
      <c r="AQ7" s="55"/>
      <c r="AR7" s="55"/>
      <c r="AS7" s="55"/>
      <c r="AT7" s="55"/>
      <c r="AU7" s="55"/>
      <c r="AV7" s="55"/>
      <c r="AW7" s="55"/>
      <c r="AX7" s="55"/>
      <c r="AY7" s="55"/>
      <c r="AZ7" s="55"/>
      <c r="BA7" s="55"/>
      <c r="BB7" s="55"/>
      <c r="BC7" s="55"/>
      <c r="BD7" s="55"/>
      <c r="BE7" s="55"/>
      <c r="BF7" s="55"/>
      <c r="BG7" s="55"/>
      <c r="BH7" s="55"/>
      <c r="BI7" s="56"/>
      <c r="BJ7" s="55"/>
      <c r="BK7" s="23"/>
    </row>
    <row r="8" spans="1:65" ht="15" customHeight="1" x14ac:dyDescent="0.25">
      <c r="A8" s="22"/>
      <c r="B8" s="57"/>
      <c r="K8" s="58"/>
      <c r="U8" s="57"/>
      <c r="AD8" s="57"/>
      <c r="AM8" s="57"/>
      <c r="BI8" s="59"/>
      <c r="BK8" s="23"/>
      <c r="BM8" s="4">
        <f t="shared" ref="BM8:BM75" si="0">IF(BM7=50,1,BM7+1)</f>
        <v>1</v>
      </c>
    </row>
    <row r="9" spans="1:65" ht="15" customHeight="1" x14ac:dyDescent="0.25">
      <c r="A9" s="22"/>
      <c r="B9" s="57"/>
      <c r="K9" s="58"/>
      <c r="U9" s="57"/>
      <c r="AD9" s="57"/>
      <c r="AM9" s="57"/>
      <c r="BI9" s="59"/>
      <c r="BK9" s="23"/>
      <c r="BM9" s="4">
        <f t="shared" si="0"/>
        <v>2</v>
      </c>
    </row>
    <row r="10" spans="1:65" ht="15" customHeight="1" x14ac:dyDescent="0.25">
      <c r="A10" s="22"/>
      <c r="B10" s="57"/>
      <c r="K10" s="58"/>
      <c r="U10" s="57"/>
      <c r="AD10" s="57"/>
      <c r="AM10" s="57"/>
      <c r="BI10" s="59"/>
      <c r="BK10" s="23"/>
      <c r="BM10" s="4">
        <f t="shared" si="0"/>
        <v>3</v>
      </c>
    </row>
    <row r="11" spans="1:65" ht="15" customHeight="1" x14ac:dyDescent="0.25">
      <c r="A11" s="22"/>
      <c r="B11" s="57"/>
      <c r="K11" s="58"/>
      <c r="U11" s="57"/>
      <c r="AD11" s="57"/>
      <c r="AM11" s="57"/>
      <c r="BI11" s="59"/>
      <c r="BK11" s="23"/>
      <c r="BM11" s="4">
        <f t="shared" si="0"/>
        <v>4</v>
      </c>
    </row>
    <row r="12" spans="1:65" ht="15" customHeight="1" x14ac:dyDescent="0.25">
      <c r="A12" s="22"/>
      <c r="B12" s="57"/>
      <c r="K12" s="58"/>
      <c r="U12" s="57"/>
      <c r="AD12" s="57"/>
      <c r="AM12" s="57"/>
      <c r="BI12" s="59"/>
      <c r="BK12" s="23"/>
      <c r="BM12" s="4">
        <f t="shared" si="0"/>
        <v>5</v>
      </c>
    </row>
    <row r="13" spans="1:65" ht="15" customHeight="1" x14ac:dyDescent="0.25">
      <c r="A13" s="22"/>
      <c r="B13" s="57"/>
      <c r="K13" s="58"/>
      <c r="U13" s="57"/>
      <c r="AD13" s="57"/>
      <c r="AM13" s="57"/>
      <c r="BI13" s="59"/>
      <c r="BK13" s="23"/>
      <c r="BM13" s="4">
        <f t="shared" si="0"/>
        <v>6</v>
      </c>
    </row>
    <row r="14" spans="1:65" ht="15" customHeight="1" x14ac:dyDescent="0.25">
      <c r="A14" s="22"/>
      <c r="B14" s="57"/>
      <c r="K14" s="58"/>
      <c r="U14" s="57"/>
      <c r="AD14" s="57"/>
      <c r="AM14" s="57"/>
      <c r="BI14" s="59"/>
      <c r="BK14" s="23"/>
      <c r="BM14" s="4">
        <f t="shared" si="0"/>
        <v>7</v>
      </c>
    </row>
    <row r="15" spans="1:65" ht="15" customHeight="1" x14ac:dyDescent="0.25">
      <c r="A15" s="22"/>
      <c r="B15" s="57"/>
      <c r="K15" s="58"/>
      <c r="U15" s="57"/>
      <c r="AD15" s="57"/>
      <c r="AM15" s="57"/>
      <c r="BI15" s="59"/>
      <c r="BK15" s="23"/>
      <c r="BM15" s="4">
        <f t="shared" si="0"/>
        <v>8</v>
      </c>
    </row>
    <row r="16" spans="1:65" ht="15" customHeight="1" x14ac:dyDescent="0.25">
      <c r="A16" s="22"/>
      <c r="B16" s="57"/>
      <c r="K16" s="58"/>
      <c r="U16" s="57"/>
      <c r="AD16" s="57"/>
      <c r="AM16" s="57"/>
      <c r="BI16" s="59"/>
      <c r="BK16" s="23"/>
      <c r="BM16" s="4">
        <f t="shared" si="0"/>
        <v>9</v>
      </c>
    </row>
    <row r="17" spans="1:65" ht="15" customHeight="1" x14ac:dyDescent="0.25">
      <c r="A17" s="22"/>
      <c r="B17" s="57"/>
      <c r="K17" s="58"/>
      <c r="U17" s="57"/>
      <c r="AD17" s="57"/>
      <c r="AM17" s="57"/>
      <c r="BI17" s="59"/>
      <c r="BK17" s="23"/>
      <c r="BM17" s="4">
        <f t="shared" si="0"/>
        <v>10</v>
      </c>
    </row>
    <row r="18" spans="1:65" ht="15" customHeight="1" x14ac:dyDescent="0.25">
      <c r="A18" s="22"/>
      <c r="B18" s="57"/>
      <c r="K18" s="58"/>
      <c r="U18" s="57"/>
      <c r="AD18" s="57"/>
      <c r="AM18" s="57"/>
      <c r="BI18" s="59"/>
      <c r="BK18" s="23"/>
      <c r="BM18" s="4">
        <f t="shared" si="0"/>
        <v>11</v>
      </c>
    </row>
    <row r="19" spans="1:65" ht="15" customHeight="1" x14ac:dyDescent="0.25">
      <c r="A19" s="22"/>
      <c r="B19" s="57"/>
      <c r="K19" s="58"/>
      <c r="U19" s="57"/>
      <c r="AD19" s="57"/>
      <c r="AM19" s="57"/>
      <c r="BI19" s="59"/>
      <c r="BK19" s="23"/>
      <c r="BM19" s="4">
        <f t="shared" si="0"/>
        <v>12</v>
      </c>
    </row>
    <row r="20" spans="1:65" ht="15" customHeight="1" x14ac:dyDescent="0.25">
      <c r="A20" s="22"/>
      <c r="B20" s="57"/>
      <c r="K20" s="58"/>
      <c r="U20" s="57"/>
      <c r="AD20" s="57"/>
      <c r="AM20" s="57"/>
      <c r="BI20" s="59"/>
      <c r="BK20" s="23"/>
      <c r="BM20" s="4">
        <f t="shared" si="0"/>
        <v>13</v>
      </c>
    </row>
    <row r="21" spans="1:65" ht="15" customHeight="1" x14ac:dyDescent="0.25">
      <c r="A21" s="22"/>
      <c r="B21" s="57"/>
      <c r="K21" s="58"/>
      <c r="U21" s="57"/>
      <c r="AD21" s="57"/>
      <c r="AM21" s="57"/>
      <c r="BI21" s="59"/>
      <c r="BK21" s="23"/>
      <c r="BM21" s="4">
        <f t="shared" si="0"/>
        <v>14</v>
      </c>
    </row>
    <row r="22" spans="1:65" s="46" customFormat="1" ht="15" customHeight="1" x14ac:dyDescent="0.25">
      <c r="A22" s="48"/>
      <c r="B22" s="57"/>
      <c r="K22" s="58"/>
      <c r="L22" s="60"/>
      <c r="T22" s="58"/>
      <c r="U22" s="60"/>
      <c r="AC22" s="58"/>
      <c r="AD22" s="60"/>
      <c r="AL22" s="58"/>
      <c r="AM22" s="60"/>
      <c r="BI22" s="58"/>
      <c r="BK22" s="49"/>
      <c r="BM22" s="4">
        <f t="shared" si="0"/>
        <v>15</v>
      </c>
    </row>
    <row r="23" spans="1:65" s="46" customFormat="1" ht="15" customHeight="1" x14ac:dyDescent="0.25">
      <c r="A23" s="48"/>
      <c r="B23" s="57"/>
      <c r="K23" s="58"/>
      <c r="L23" s="60"/>
      <c r="T23" s="58"/>
      <c r="U23" s="60"/>
      <c r="AC23" s="58"/>
      <c r="AD23" s="60"/>
      <c r="AL23" s="58"/>
      <c r="AM23" s="60"/>
      <c r="BI23" s="58"/>
      <c r="BK23" s="49"/>
      <c r="BM23" s="4">
        <f t="shared" si="0"/>
        <v>16</v>
      </c>
    </row>
    <row r="24" spans="1:65" s="46" customFormat="1" ht="15" customHeight="1" x14ac:dyDescent="0.25">
      <c r="A24" s="48"/>
      <c r="B24" s="57"/>
      <c r="K24" s="58"/>
      <c r="L24" s="60"/>
      <c r="T24" s="58"/>
      <c r="U24" s="60"/>
      <c r="AC24" s="58"/>
      <c r="AD24" s="60"/>
      <c r="AL24" s="58"/>
      <c r="AM24" s="60"/>
      <c r="BI24" s="58"/>
      <c r="BK24" s="49"/>
      <c r="BM24" s="4">
        <f t="shared" si="0"/>
        <v>17</v>
      </c>
    </row>
    <row r="25" spans="1:65" s="46" customFormat="1" ht="15" customHeight="1" x14ac:dyDescent="0.25">
      <c r="A25" s="48"/>
      <c r="B25" s="57"/>
      <c r="K25" s="58"/>
      <c r="L25" s="60"/>
      <c r="T25" s="58"/>
      <c r="U25" s="60"/>
      <c r="AC25" s="58"/>
      <c r="AD25" s="60"/>
      <c r="AL25" s="58"/>
      <c r="AM25" s="60"/>
      <c r="BI25" s="58"/>
      <c r="BK25" s="49"/>
      <c r="BM25" s="4">
        <f t="shared" si="0"/>
        <v>18</v>
      </c>
    </row>
    <row r="26" spans="1:65" s="46" customFormat="1" ht="15" customHeight="1" x14ac:dyDescent="0.25">
      <c r="A26" s="48"/>
      <c r="B26" s="57"/>
      <c r="K26" s="58"/>
      <c r="L26" s="60"/>
      <c r="T26" s="58"/>
      <c r="U26" s="60"/>
      <c r="AC26" s="58"/>
      <c r="AD26" s="60"/>
      <c r="AL26" s="58"/>
      <c r="AM26" s="60"/>
      <c r="BI26" s="58"/>
      <c r="BK26" s="49"/>
      <c r="BM26" s="4">
        <f t="shared" si="0"/>
        <v>19</v>
      </c>
    </row>
    <row r="27" spans="1:65" s="46" customFormat="1" ht="15" customHeight="1" x14ac:dyDescent="0.25">
      <c r="A27" s="48"/>
      <c r="B27" s="57"/>
      <c r="K27" s="58"/>
      <c r="L27" s="60"/>
      <c r="T27" s="58"/>
      <c r="U27" s="60"/>
      <c r="AC27" s="58"/>
      <c r="AD27" s="60"/>
      <c r="AL27" s="58"/>
      <c r="AM27" s="60"/>
      <c r="BI27" s="58"/>
      <c r="BK27" s="49"/>
      <c r="BM27" s="4">
        <f t="shared" si="0"/>
        <v>20</v>
      </c>
    </row>
    <row r="28" spans="1:65" s="46" customFormat="1" ht="15" customHeight="1" x14ac:dyDescent="0.25">
      <c r="A28" s="48"/>
      <c r="B28" s="57"/>
      <c r="K28" s="58"/>
      <c r="L28" s="60"/>
      <c r="T28" s="58"/>
      <c r="U28" s="60"/>
      <c r="AC28" s="58"/>
      <c r="AD28" s="60"/>
      <c r="AL28" s="58"/>
      <c r="AM28" s="60"/>
      <c r="BI28" s="58"/>
      <c r="BK28" s="49"/>
      <c r="BM28" s="4">
        <f t="shared" si="0"/>
        <v>21</v>
      </c>
    </row>
    <row r="29" spans="1:65" s="46" customFormat="1" ht="15" customHeight="1" x14ac:dyDescent="0.25">
      <c r="A29" s="48"/>
      <c r="B29" s="57"/>
      <c r="K29" s="58"/>
      <c r="L29" s="60"/>
      <c r="T29" s="58"/>
      <c r="U29" s="60"/>
      <c r="AC29" s="58"/>
      <c r="AD29" s="60"/>
      <c r="AL29" s="58"/>
      <c r="AM29" s="60"/>
      <c r="BI29" s="58"/>
      <c r="BK29" s="49"/>
      <c r="BM29" s="4">
        <f t="shared" si="0"/>
        <v>22</v>
      </c>
    </row>
    <row r="30" spans="1:65" s="46" customFormat="1" ht="15" customHeight="1" x14ac:dyDescent="0.25">
      <c r="A30" s="48"/>
      <c r="B30" s="57"/>
      <c r="K30" s="58"/>
      <c r="L30" s="60"/>
      <c r="T30" s="58"/>
      <c r="U30" s="60"/>
      <c r="AC30" s="58"/>
      <c r="AD30" s="60"/>
      <c r="AL30" s="58"/>
      <c r="AM30" s="60"/>
      <c r="BI30" s="58"/>
      <c r="BK30" s="49"/>
      <c r="BM30" s="4">
        <f t="shared" si="0"/>
        <v>23</v>
      </c>
    </row>
    <row r="31" spans="1:65" s="46" customFormat="1" ht="15" customHeight="1" x14ac:dyDescent="0.25">
      <c r="A31" s="48"/>
      <c r="B31" s="57"/>
      <c r="K31" s="58"/>
      <c r="L31" s="60"/>
      <c r="T31" s="58"/>
      <c r="U31" s="60"/>
      <c r="AC31" s="58"/>
      <c r="AD31" s="60"/>
      <c r="AL31" s="58"/>
      <c r="AM31" s="60"/>
      <c r="BI31" s="58"/>
      <c r="BK31" s="49"/>
      <c r="BM31" s="4">
        <f t="shared" si="0"/>
        <v>24</v>
      </c>
    </row>
    <row r="32" spans="1:65" s="46" customFormat="1" ht="15" customHeight="1" x14ac:dyDescent="0.25">
      <c r="A32" s="48"/>
      <c r="B32" s="57"/>
      <c r="K32" s="58"/>
      <c r="L32" s="60"/>
      <c r="T32" s="58"/>
      <c r="U32" s="60"/>
      <c r="AC32" s="58"/>
      <c r="AD32" s="60"/>
      <c r="AL32" s="58"/>
      <c r="AM32" s="60"/>
      <c r="BI32" s="58"/>
      <c r="BK32" s="49"/>
      <c r="BM32" s="4">
        <f t="shared" si="0"/>
        <v>25</v>
      </c>
    </row>
    <row r="33" spans="1:65" s="46" customFormat="1" ht="15" customHeight="1" x14ac:dyDescent="0.25">
      <c r="A33" s="48"/>
      <c r="B33" s="57"/>
      <c r="K33" s="58"/>
      <c r="L33" s="60"/>
      <c r="T33" s="58"/>
      <c r="U33" s="60"/>
      <c r="AC33" s="58"/>
      <c r="AD33" s="60"/>
      <c r="AL33" s="58"/>
      <c r="AM33" s="60"/>
      <c r="BI33" s="58"/>
      <c r="BK33" s="49"/>
      <c r="BM33" s="4">
        <f t="shared" si="0"/>
        <v>26</v>
      </c>
    </row>
    <row r="34" spans="1:65" s="46" customFormat="1" ht="15" customHeight="1" x14ac:dyDescent="0.25">
      <c r="A34" s="48"/>
      <c r="B34" s="57"/>
      <c r="K34" s="58"/>
      <c r="L34" s="60"/>
      <c r="T34" s="58"/>
      <c r="U34" s="60"/>
      <c r="AC34" s="58"/>
      <c r="AD34" s="60"/>
      <c r="AL34" s="58"/>
      <c r="AM34" s="60"/>
      <c r="BI34" s="58"/>
      <c r="BK34" s="49"/>
      <c r="BM34" s="4">
        <f t="shared" si="0"/>
        <v>27</v>
      </c>
    </row>
    <row r="35" spans="1:65" s="46" customFormat="1" ht="15" customHeight="1" x14ac:dyDescent="0.25">
      <c r="A35" s="48"/>
      <c r="B35" s="57"/>
      <c r="K35" s="58"/>
      <c r="L35" s="60"/>
      <c r="T35" s="58"/>
      <c r="U35" s="60"/>
      <c r="AC35" s="58"/>
      <c r="AD35" s="60"/>
      <c r="AL35" s="58"/>
      <c r="AM35" s="60"/>
      <c r="BI35" s="58"/>
      <c r="BK35" s="49"/>
      <c r="BM35" s="4">
        <f t="shared" si="0"/>
        <v>28</v>
      </c>
    </row>
    <row r="36" spans="1:65" s="46" customFormat="1" ht="15" customHeight="1" x14ac:dyDescent="0.25">
      <c r="A36" s="48"/>
      <c r="B36" s="57"/>
      <c r="K36" s="58"/>
      <c r="L36" s="60"/>
      <c r="T36" s="58"/>
      <c r="U36" s="60"/>
      <c r="AC36" s="58"/>
      <c r="AD36" s="60"/>
      <c r="AL36" s="58"/>
      <c r="AM36" s="60"/>
      <c r="BI36" s="58"/>
      <c r="BK36" s="49"/>
      <c r="BM36" s="4">
        <f t="shared" si="0"/>
        <v>29</v>
      </c>
    </row>
    <row r="37" spans="1:65" s="46" customFormat="1" ht="15" customHeight="1" x14ac:dyDescent="0.25">
      <c r="A37" s="48"/>
      <c r="B37" s="57"/>
      <c r="K37" s="58"/>
      <c r="L37" s="60"/>
      <c r="T37" s="58"/>
      <c r="U37" s="60"/>
      <c r="AC37" s="58"/>
      <c r="AD37" s="60"/>
      <c r="AL37" s="58"/>
      <c r="AM37" s="60"/>
      <c r="BI37" s="58"/>
      <c r="BK37" s="49"/>
      <c r="BM37" s="4">
        <f t="shared" si="0"/>
        <v>30</v>
      </c>
    </row>
    <row r="38" spans="1:65" s="46" customFormat="1" ht="15" customHeight="1" x14ac:dyDescent="0.25">
      <c r="A38" s="48"/>
      <c r="B38" s="57"/>
      <c r="K38" s="58"/>
      <c r="L38" s="60"/>
      <c r="T38" s="58"/>
      <c r="U38" s="60"/>
      <c r="AC38" s="58"/>
      <c r="AD38" s="60"/>
      <c r="AL38" s="58"/>
      <c r="AM38" s="60"/>
      <c r="BI38" s="58"/>
      <c r="BK38" s="49"/>
      <c r="BM38" s="4">
        <f t="shared" si="0"/>
        <v>31</v>
      </c>
    </row>
    <row r="39" spans="1:65" s="46" customFormat="1" ht="15" customHeight="1" x14ac:dyDescent="0.25">
      <c r="A39" s="48"/>
      <c r="B39" s="57"/>
      <c r="K39" s="58"/>
      <c r="L39" s="60"/>
      <c r="T39" s="58"/>
      <c r="U39" s="60"/>
      <c r="AC39" s="58"/>
      <c r="AD39" s="60"/>
      <c r="AL39" s="58"/>
      <c r="AM39" s="60"/>
      <c r="BI39" s="58"/>
      <c r="BK39" s="49"/>
      <c r="BM39" s="4">
        <f t="shared" si="0"/>
        <v>32</v>
      </c>
    </row>
    <row r="40" spans="1:65" s="46" customFormat="1" ht="15" customHeight="1" x14ac:dyDescent="0.25">
      <c r="A40" s="48"/>
      <c r="B40" s="57"/>
      <c r="K40" s="58"/>
      <c r="L40" s="60"/>
      <c r="T40" s="58"/>
      <c r="U40" s="60"/>
      <c r="AC40" s="58"/>
      <c r="AD40" s="60"/>
      <c r="AL40" s="58"/>
      <c r="AM40" s="60"/>
      <c r="BI40" s="58"/>
      <c r="BK40" s="49"/>
      <c r="BM40" s="4">
        <f t="shared" si="0"/>
        <v>33</v>
      </c>
    </row>
    <row r="41" spans="1:65" s="46" customFormat="1" ht="15" customHeight="1" x14ac:dyDescent="0.25">
      <c r="A41" s="48"/>
      <c r="B41" s="57"/>
      <c r="K41" s="58"/>
      <c r="L41" s="60"/>
      <c r="T41" s="58"/>
      <c r="U41" s="60"/>
      <c r="AC41" s="58"/>
      <c r="AD41" s="60"/>
      <c r="AL41" s="58"/>
      <c r="AM41" s="60"/>
      <c r="BI41" s="58"/>
      <c r="BK41" s="49"/>
      <c r="BM41" s="4">
        <f t="shared" si="0"/>
        <v>34</v>
      </c>
    </row>
    <row r="42" spans="1:65" s="46" customFormat="1" ht="15" customHeight="1" x14ac:dyDescent="0.25">
      <c r="A42" s="48"/>
      <c r="B42" s="57"/>
      <c r="K42" s="58"/>
      <c r="L42" s="60"/>
      <c r="T42" s="58"/>
      <c r="U42" s="60"/>
      <c r="AC42" s="58"/>
      <c r="AD42" s="60"/>
      <c r="AL42" s="58"/>
      <c r="AM42" s="60"/>
      <c r="BI42" s="58"/>
      <c r="BK42" s="49"/>
      <c r="BM42" s="4">
        <f t="shared" si="0"/>
        <v>35</v>
      </c>
    </row>
    <row r="43" spans="1:65" s="46" customFormat="1" ht="15" customHeight="1" x14ac:dyDescent="0.25">
      <c r="A43" s="48"/>
      <c r="B43" s="57"/>
      <c r="K43" s="58"/>
      <c r="L43" s="60"/>
      <c r="T43" s="58"/>
      <c r="U43" s="60"/>
      <c r="AC43" s="58"/>
      <c r="AD43" s="60"/>
      <c r="AL43" s="58"/>
      <c r="AM43" s="60"/>
      <c r="BI43" s="58"/>
      <c r="BK43" s="49"/>
      <c r="BM43" s="4">
        <f t="shared" si="0"/>
        <v>36</v>
      </c>
    </row>
    <row r="44" spans="1:65" s="46" customFormat="1" ht="15" customHeight="1" x14ac:dyDescent="0.25">
      <c r="A44" s="48"/>
      <c r="B44" s="57"/>
      <c r="K44" s="58"/>
      <c r="L44" s="60"/>
      <c r="T44" s="58"/>
      <c r="U44" s="60"/>
      <c r="AC44" s="58"/>
      <c r="AD44" s="60"/>
      <c r="AL44" s="58"/>
      <c r="AM44" s="60"/>
      <c r="BI44" s="58"/>
      <c r="BK44" s="49"/>
      <c r="BM44" s="4">
        <f t="shared" si="0"/>
        <v>37</v>
      </c>
    </row>
    <row r="45" spans="1:65" s="46" customFormat="1" ht="15" customHeight="1" x14ac:dyDescent="0.25">
      <c r="A45" s="48"/>
      <c r="B45" s="57"/>
      <c r="K45" s="58"/>
      <c r="L45" s="60"/>
      <c r="T45" s="58"/>
      <c r="U45" s="60"/>
      <c r="AC45" s="58"/>
      <c r="AD45" s="60"/>
      <c r="AL45" s="58"/>
      <c r="AM45" s="60"/>
      <c r="BI45" s="58"/>
      <c r="BK45" s="49"/>
      <c r="BM45" s="4">
        <f t="shared" si="0"/>
        <v>38</v>
      </c>
    </row>
    <row r="46" spans="1:65" s="46" customFormat="1" ht="15" customHeight="1" x14ac:dyDescent="0.25">
      <c r="A46" s="48"/>
      <c r="B46" s="57"/>
      <c r="K46" s="58"/>
      <c r="L46" s="60"/>
      <c r="T46" s="58"/>
      <c r="U46" s="60"/>
      <c r="AC46" s="58"/>
      <c r="AD46" s="60"/>
      <c r="AL46" s="58"/>
      <c r="AM46" s="60"/>
      <c r="BI46" s="58"/>
      <c r="BK46" s="49"/>
      <c r="BM46" s="4">
        <f t="shared" si="0"/>
        <v>39</v>
      </c>
    </row>
    <row r="47" spans="1:65" s="46" customFormat="1" ht="15" customHeight="1" x14ac:dyDescent="0.25">
      <c r="A47" s="48"/>
      <c r="B47" s="60"/>
      <c r="K47" s="58"/>
      <c r="L47" s="60"/>
      <c r="T47" s="58"/>
      <c r="U47" s="60"/>
      <c r="AC47" s="58"/>
      <c r="AD47" s="60"/>
      <c r="AL47" s="58"/>
      <c r="AM47" s="60"/>
      <c r="BI47" s="58"/>
      <c r="BK47" s="49"/>
      <c r="BM47" s="4">
        <f t="shared" si="0"/>
        <v>40</v>
      </c>
    </row>
    <row r="48" spans="1:65" s="46" customFormat="1" ht="15" customHeight="1" x14ac:dyDescent="0.25">
      <c r="A48" s="48"/>
      <c r="B48" s="60"/>
      <c r="K48" s="58"/>
      <c r="L48" s="60"/>
      <c r="T48" s="58"/>
      <c r="U48" s="60"/>
      <c r="AC48" s="58"/>
      <c r="AD48" s="60"/>
      <c r="AL48" s="58"/>
      <c r="AM48" s="60"/>
      <c r="BI48" s="58"/>
      <c r="BK48" s="49"/>
      <c r="BM48" s="4">
        <f t="shared" si="0"/>
        <v>41</v>
      </c>
    </row>
    <row r="49" spans="1:65" s="46" customFormat="1" ht="15" customHeight="1" x14ac:dyDescent="0.25">
      <c r="A49" s="48"/>
      <c r="B49" s="60"/>
      <c r="K49" s="58"/>
      <c r="L49" s="60"/>
      <c r="T49" s="58"/>
      <c r="U49" s="60"/>
      <c r="AC49" s="58"/>
      <c r="AL49" s="58"/>
      <c r="AM49" s="60"/>
      <c r="BI49" s="58"/>
      <c r="BK49" s="49"/>
      <c r="BM49" s="4">
        <f t="shared" si="0"/>
        <v>42</v>
      </c>
    </row>
    <row r="50" spans="1:65" s="46" customFormat="1" ht="15" customHeight="1" x14ac:dyDescent="0.25">
      <c r="A50" s="48"/>
      <c r="B50" s="60"/>
      <c r="K50" s="58"/>
      <c r="L50" s="60"/>
      <c r="T50" s="58"/>
      <c r="U50" s="60"/>
      <c r="AC50" s="58"/>
      <c r="AD50" s="60"/>
      <c r="AL50" s="58"/>
      <c r="AM50" s="60"/>
      <c r="BI50" s="58"/>
      <c r="BK50" s="49"/>
      <c r="BM50" s="4">
        <f t="shared" si="0"/>
        <v>43</v>
      </c>
    </row>
    <row r="51" spans="1:65" s="46" customFormat="1" ht="15" customHeight="1" x14ac:dyDescent="0.25">
      <c r="A51" s="48"/>
      <c r="B51" s="60"/>
      <c r="K51" s="58"/>
      <c r="L51" s="60"/>
      <c r="T51" s="58"/>
      <c r="U51" s="60"/>
      <c r="AC51" s="58"/>
      <c r="AD51" s="60"/>
      <c r="AL51" s="58"/>
      <c r="AM51" s="60"/>
      <c r="BI51" s="58"/>
      <c r="BK51" s="49"/>
      <c r="BM51" s="4">
        <f t="shared" si="0"/>
        <v>44</v>
      </c>
    </row>
    <row r="52" spans="1:65" s="46" customFormat="1" ht="15" customHeight="1" x14ac:dyDescent="0.25">
      <c r="A52" s="48"/>
      <c r="B52" s="60"/>
      <c r="K52" s="58"/>
      <c r="L52" s="60"/>
      <c r="T52" s="58"/>
      <c r="U52" s="60"/>
      <c r="AC52" s="58"/>
      <c r="AD52" s="60"/>
      <c r="AL52" s="58"/>
      <c r="AM52" s="60"/>
      <c r="BI52" s="58"/>
      <c r="BK52" s="49"/>
      <c r="BM52" s="4">
        <f t="shared" si="0"/>
        <v>45</v>
      </c>
    </row>
    <row r="53" spans="1:65" s="46" customFormat="1" ht="15" customHeight="1" x14ac:dyDescent="0.25">
      <c r="A53" s="48"/>
      <c r="B53" s="60"/>
      <c r="K53" s="58"/>
      <c r="L53" s="60"/>
      <c r="T53" s="58"/>
      <c r="U53" s="60"/>
      <c r="AC53" s="58"/>
      <c r="AD53" s="60"/>
      <c r="AL53" s="58"/>
      <c r="AM53" s="60"/>
      <c r="BI53" s="58"/>
      <c r="BK53" s="49"/>
      <c r="BM53" s="4">
        <f t="shared" si="0"/>
        <v>46</v>
      </c>
    </row>
    <row r="54" spans="1:65" s="46" customFormat="1" ht="15" customHeight="1" x14ac:dyDescent="0.25">
      <c r="A54" s="48"/>
      <c r="B54" s="60"/>
      <c r="K54" s="58"/>
      <c r="L54" s="60"/>
      <c r="T54" s="58"/>
      <c r="U54" s="60"/>
      <c r="AC54" s="58"/>
      <c r="AD54" s="60"/>
      <c r="AL54" s="58"/>
      <c r="AM54" s="60"/>
      <c r="BI54" s="58"/>
      <c r="BK54" s="49"/>
      <c r="BM54" s="4">
        <f t="shared" si="0"/>
        <v>47</v>
      </c>
    </row>
    <row r="55" spans="1:65" s="46" customFormat="1" ht="15" customHeight="1" x14ac:dyDescent="0.25">
      <c r="A55" s="48"/>
      <c r="B55" s="60"/>
      <c r="K55" s="58"/>
      <c r="L55" s="60"/>
      <c r="T55" s="58"/>
      <c r="U55" s="60"/>
      <c r="AC55" s="58"/>
      <c r="AD55" s="60"/>
      <c r="AL55" s="58"/>
      <c r="AM55" s="60"/>
      <c r="BI55" s="58"/>
      <c r="BK55" s="49"/>
      <c r="BM55" s="4">
        <f t="shared" si="0"/>
        <v>48</v>
      </c>
    </row>
    <row r="56" spans="1:65" s="46" customFormat="1" ht="15" customHeight="1" x14ac:dyDescent="0.25">
      <c r="A56" s="48"/>
      <c r="B56" s="60"/>
      <c r="K56" s="58"/>
      <c r="L56" s="60"/>
      <c r="T56" s="58"/>
      <c r="U56" s="60"/>
      <c r="AC56" s="58"/>
      <c r="AD56" s="60"/>
      <c r="AL56" s="58"/>
      <c r="AM56" s="60"/>
      <c r="BI56" s="58"/>
      <c r="BK56" s="49"/>
      <c r="BM56" s="4">
        <f t="shared" si="0"/>
        <v>49</v>
      </c>
    </row>
    <row r="57" spans="1:65" s="46" customFormat="1" ht="15" customHeight="1" x14ac:dyDescent="0.25">
      <c r="A57" s="48"/>
      <c r="B57" s="60"/>
      <c r="K57" s="58"/>
      <c r="L57" s="60"/>
      <c r="T57" s="58"/>
      <c r="U57" s="60"/>
      <c r="AC57" s="58"/>
      <c r="AD57" s="60"/>
      <c r="AL57" s="58"/>
      <c r="AM57" s="60"/>
      <c r="BI57" s="58"/>
      <c r="BK57" s="49"/>
      <c r="BM57" s="4">
        <f t="shared" si="0"/>
        <v>50</v>
      </c>
    </row>
    <row r="58" spans="1:65" s="46" customFormat="1" ht="15" customHeight="1" x14ac:dyDescent="0.25">
      <c r="A58" s="48"/>
      <c r="B58" s="60"/>
      <c r="K58" s="58"/>
      <c r="L58" s="60"/>
      <c r="T58" s="58"/>
      <c r="U58" s="60"/>
      <c r="AC58" s="58"/>
      <c r="AD58" s="60"/>
      <c r="AL58" s="58"/>
      <c r="AM58" s="60"/>
      <c r="BI58" s="58"/>
      <c r="BK58" s="49"/>
      <c r="BM58" s="4">
        <f t="shared" si="0"/>
        <v>1</v>
      </c>
    </row>
    <row r="59" spans="1:65" s="46" customFormat="1" ht="15" customHeight="1" x14ac:dyDescent="0.25">
      <c r="A59" s="48"/>
      <c r="B59" s="60"/>
      <c r="K59" s="58"/>
      <c r="L59" s="60"/>
      <c r="T59" s="58"/>
      <c r="U59" s="60"/>
      <c r="AC59" s="58"/>
      <c r="AD59" s="60"/>
      <c r="AL59" s="58"/>
      <c r="AM59" s="60"/>
      <c r="BI59" s="58"/>
      <c r="BK59" s="49"/>
      <c r="BM59" s="4">
        <f t="shared" si="0"/>
        <v>2</v>
      </c>
    </row>
    <row r="60" spans="1:65" s="46" customFormat="1" ht="15" customHeight="1" x14ac:dyDescent="0.25">
      <c r="A60" s="48"/>
      <c r="B60" s="60"/>
      <c r="K60" s="58"/>
      <c r="L60" s="60"/>
      <c r="T60" s="58"/>
      <c r="U60" s="60"/>
      <c r="AC60" s="58"/>
      <c r="AD60" s="60"/>
      <c r="AL60" s="58"/>
      <c r="AM60" s="60"/>
      <c r="BI60" s="58"/>
      <c r="BK60" s="49"/>
      <c r="BM60" s="4">
        <f t="shared" si="0"/>
        <v>3</v>
      </c>
    </row>
    <row r="61" spans="1:65" s="46" customFormat="1" ht="15" customHeight="1" x14ac:dyDescent="0.25">
      <c r="A61" s="48"/>
      <c r="B61" s="60"/>
      <c r="K61" s="58"/>
      <c r="L61" s="60"/>
      <c r="T61" s="58"/>
      <c r="U61" s="60"/>
      <c r="AC61" s="58"/>
      <c r="AD61" s="60"/>
      <c r="AL61" s="58"/>
      <c r="AM61" s="60"/>
      <c r="BI61" s="58"/>
      <c r="BK61" s="49"/>
      <c r="BM61" s="4">
        <f t="shared" si="0"/>
        <v>4</v>
      </c>
    </row>
    <row r="62" spans="1:65" s="46" customFormat="1" ht="15" customHeight="1" x14ac:dyDescent="0.25">
      <c r="A62" s="48"/>
      <c r="B62" s="60"/>
      <c r="K62" s="58"/>
      <c r="L62" s="60"/>
      <c r="T62" s="58"/>
      <c r="U62" s="60"/>
      <c r="AC62" s="58"/>
      <c r="AD62" s="60"/>
      <c r="AL62" s="58"/>
      <c r="AM62" s="60"/>
      <c r="BI62" s="58"/>
      <c r="BK62" s="49"/>
      <c r="BM62" s="4">
        <f t="shared" si="0"/>
        <v>5</v>
      </c>
    </row>
    <row r="63" spans="1:65" s="46" customFormat="1" ht="15" customHeight="1" x14ac:dyDescent="0.25">
      <c r="A63" s="48"/>
      <c r="B63" s="60"/>
      <c r="K63" s="58"/>
      <c r="L63" s="60"/>
      <c r="T63" s="58"/>
      <c r="U63" s="60"/>
      <c r="AC63" s="58"/>
      <c r="AD63" s="60"/>
      <c r="AL63" s="58"/>
      <c r="AM63" s="60"/>
      <c r="BI63" s="58"/>
      <c r="BK63" s="49"/>
      <c r="BM63" s="4">
        <f t="shared" si="0"/>
        <v>6</v>
      </c>
    </row>
    <row r="64" spans="1:65" s="46" customFormat="1" ht="15" customHeight="1" x14ac:dyDescent="0.25">
      <c r="A64" s="48"/>
      <c r="B64" s="60"/>
      <c r="K64" s="58"/>
      <c r="L64" s="60"/>
      <c r="T64" s="58"/>
      <c r="U64" s="60"/>
      <c r="AC64" s="58"/>
      <c r="AD64" s="60"/>
      <c r="AL64" s="58"/>
      <c r="AM64" s="60"/>
      <c r="BI64" s="58"/>
      <c r="BK64" s="49"/>
      <c r="BM64" s="4">
        <f t="shared" si="0"/>
        <v>7</v>
      </c>
    </row>
    <row r="65" spans="1:65" s="46" customFormat="1" ht="15" customHeight="1" x14ac:dyDescent="0.25">
      <c r="A65" s="48"/>
      <c r="B65" s="60"/>
      <c r="K65" s="58"/>
      <c r="L65" s="60"/>
      <c r="T65" s="58"/>
      <c r="U65" s="60"/>
      <c r="AC65" s="58"/>
      <c r="AD65" s="60"/>
      <c r="AL65" s="58"/>
      <c r="AM65" s="60"/>
      <c r="BI65" s="58"/>
      <c r="BK65" s="49"/>
      <c r="BM65" s="4">
        <f t="shared" si="0"/>
        <v>8</v>
      </c>
    </row>
    <row r="66" spans="1:65" s="46" customFormat="1" ht="15" customHeight="1" x14ac:dyDescent="0.25">
      <c r="A66" s="48"/>
      <c r="B66" s="60"/>
      <c r="K66" s="58"/>
      <c r="L66" s="60"/>
      <c r="T66" s="58"/>
      <c r="U66" s="60"/>
      <c r="AC66" s="58"/>
      <c r="AD66" s="60"/>
      <c r="AL66" s="58"/>
      <c r="AM66" s="60"/>
      <c r="BI66" s="58"/>
      <c r="BK66" s="49"/>
      <c r="BM66" s="4">
        <f t="shared" si="0"/>
        <v>9</v>
      </c>
    </row>
    <row r="67" spans="1:65" s="46" customFormat="1" ht="15" customHeight="1" x14ac:dyDescent="0.25">
      <c r="A67" s="48"/>
      <c r="B67" s="60"/>
      <c r="K67" s="58"/>
      <c r="L67" s="60"/>
      <c r="T67" s="58"/>
      <c r="U67" s="60"/>
      <c r="AC67" s="58"/>
      <c r="AD67" s="60"/>
      <c r="AL67" s="58"/>
      <c r="AM67" s="60"/>
      <c r="BI67" s="58"/>
      <c r="BK67" s="49"/>
      <c r="BM67" s="4">
        <f t="shared" si="0"/>
        <v>10</v>
      </c>
    </row>
    <row r="68" spans="1:65" s="46" customFormat="1" ht="15" customHeight="1" x14ac:dyDescent="0.25">
      <c r="A68" s="48"/>
      <c r="B68" s="60"/>
      <c r="K68" s="58"/>
      <c r="L68" s="60"/>
      <c r="T68" s="58"/>
      <c r="U68" s="60"/>
      <c r="AC68" s="58"/>
      <c r="AD68" s="60"/>
      <c r="AL68" s="58"/>
      <c r="AM68" s="60"/>
      <c r="BI68" s="58"/>
      <c r="BK68" s="49"/>
      <c r="BM68" s="4">
        <f t="shared" si="0"/>
        <v>11</v>
      </c>
    </row>
    <row r="69" spans="1:65" s="46" customFormat="1" ht="15" customHeight="1" x14ac:dyDescent="0.25">
      <c r="A69" s="48"/>
      <c r="B69" s="60"/>
      <c r="K69" s="58"/>
      <c r="L69" s="60"/>
      <c r="T69" s="58"/>
      <c r="U69" s="60"/>
      <c r="AC69" s="58"/>
      <c r="AD69" s="60"/>
      <c r="AL69" s="58"/>
      <c r="AM69" s="60"/>
      <c r="BI69" s="58"/>
      <c r="BK69" s="49"/>
      <c r="BM69" s="4">
        <f t="shared" si="0"/>
        <v>12</v>
      </c>
    </row>
    <row r="70" spans="1:65" s="46" customFormat="1" ht="15" customHeight="1" x14ac:dyDescent="0.25">
      <c r="A70" s="48"/>
      <c r="B70" s="60"/>
      <c r="K70" s="58"/>
      <c r="L70" s="60"/>
      <c r="T70" s="58"/>
      <c r="U70" s="60"/>
      <c r="AC70" s="58"/>
      <c r="AD70" s="60"/>
      <c r="AL70" s="58"/>
      <c r="AM70" s="60"/>
      <c r="BI70" s="58"/>
      <c r="BK70" s="49"/>
      <c r="BM70" s="4">
        <f t="shared" si="0"/>
        <v>13</v>
      </c>
    </row>
    <row r="71" spans="1:65" s="46" customFormat="1" ht="15" customHeight="1" x14ac:dyDescent="0.25">
      <c r="A71" s="48"/>
      <c r="B71" s="60"/>
      <c r="K71" s="58"/>
      <c r="L71" s="60"/>
      <c r="T71" s="58"/>
      <c r="U71" s="60"/>
      <c r="AC71" s="58"/>
      <c r="AD71" s="60"/>
      <c r="AL71" s="58"/>
      <c r="AM71" s="60"/>
      <c r="BI71" s="58"/>
      <c r="BK71" s="49"/>
      <c r="BM71" s="4">
        <f t="shared" si="0"/>
        <v>14</v>
      </c>
    </row>
    <row r="72" spans="1:65" s="46" customFormat="1" ht="15" customHeight="1" x14ac:dyDescent="0.25">
      <c r="A72" s="48"/>
      <c r="B72" s="60"/>
      <c r="K72" s="58"/>
      <c r="L72" s="60"/>
      <c r="T72" s="58"/>
      <c r="U72" s="60"/>
      <c r="AC72" s="58"/>
      <c r="AD72" s="60"/>
      <c r="AL72" s="58"/>
      <c r="AM72" s="60"/>
      <c r="BI72" s="58"/>
      <c r="BK72" s="49"/>
      <c r="BM72" s="4">
        <f t="shared" si="0"/>
        <v>15</v>
      </c>
    </row>
    <row r="73" spans="1:65" s="46" customFormat="1" ht="15" customHeight="1" x14ac:dyDescent="0.25">
      <c r="A73" s="48"/>
      <c r="B73" s="60"/>
      <c r="K73" s="58"/>
      <c r="L73" s="60"/>
      <c r="T73" s="58"/>
      <c r="U73" s="60"/>
      <c r="AC73" s="58"/>
      <c r="AD73" s="60"/>
      <c r="AL73" s="58"/>
      <c r="AM73" s="60"/>
      <c r="BI73" s="58"/>
      <c r="BK73" s="49"/>
      <c r="BM73" s="4">
        <f t="shared" si="0"/>
        <v>16</v>
      </c>
    </row>
    <row r="74" spans="1:65" s="46" customFormat="1" ht="15" customHeight="1" x14ac:dyDescent="0.25">
      <c r="A74" s="48"/>
      <c r="B74" s="60"/>
      <c r="K74" s="58"/>
      <c r="L74" s="60"/>
      <c r="T74" s="58"/>
      <c r="U74" s="60"/>
      <c r="AC74" s="58"/>
      <c r="AD74" s="60"/>
      <c r="AL74" s="58"/>
      <c r="AM74" s="60"/>
      <c r="BI74" s="58"/>
      <c r="BK74" s="49"/>
      <c r="BM74" s="4">
        <f t="shared" si="0"/>
        <v>17</v>
      </c>
    </row>
    <row r="75" spans="1:65" s="46" customFormat="1" ht="15" customHeight="1" x14ac:dyDescent="0.25">
      <c r="A75" s="48"/>
      <c r="B75" s="60"/>
      <c r="K75" s="58"/>
      <c r="L75" s="60"/>
      <c r="T75" s="58"/>
      <c r="U75" s="60"/>
      <c r="AC75" s="58"/>
      <c r="AD75" s="60"/>
      <c r="AL75" s="58"/>
      <c r="AM75" s="60"/>
      <c r="BI75" s="58"/>
      <c r="BK75" s="49"/>
      <c r="BM75" s="4">
        <f t="shared" si="0"/>
        <v>18</v>
      </c>
    </row>
    <row r="76" spans="1:65" s="46" customFormat="1" ht="15" customHeight="1" x14ac:dyDescent="0.25">
      <c r="A76" s="48"/>
      <c r="B76" s="60"/>
      <c r="K76" s="58"/>
      <c r="L76" s="60"/>
      <c r="T76" s="58"/>
      <c r="U76" s="60"/>
      <c r="AC76" s="58"/>
      <c r="AD76" s="60"/>
      <c r="AL76" s="58"/>
      <c r="AM76" s="60"/>
      <c r="BI76" s="58"/>
      <c r="BK76" s="49"/>
      <c r="BM76" s="4">
        <f t="shared" ref="BM76:BM139" si="1">IF(BM75=50,1,BM75+1)</f>
        <v>19</v>
      </c>
    </row>
    <row r="77" spans="1:65" s="46" customFormat="1" ht="15" customHeight="1" x14ac:dyDescent="0.25">
      <c r="A77" s="48"/>
      <c r="B77" s="60"/>
      <c r="K77" s="58"/>
      <c r="L77" s="60"/>
      <c r="T77" s="58"/>
      <c r="U77" s="60"/>
      <c r="AC77" s="58"/>
      <c r="AD77" s="60"/>
      <c r="AL77" s="58"/>
      <c r="AM77" s="60"/>
      <c r="BI77" s="58"/>
      <c r="BK77" s="49"/>
      <c r="BM77" s="4">
        <f t="shared" si="1"/>
        <v>20</v>
      </c>
    </row>
    <row r="78" spans="1:65" s="46" customFormat="1" ht="15" customHeight="1" x14ac:dyDescent="0.25">
      <c r="A78" s="48"/>
      <c r="B78" s="60"/>
      <c r="K78" s="58"/>
      <c r="L78" s="60"/>
      <c r="T78" s="58"/>
      <c r="U78" s="60"/>
      <c r="AC78" s="58"/>
      <c r="AD78" s="60"/>
      <c r="AL78" s="58"/>
      <c r="AM78" s="60"/>
      <c r="BI78" s="58"/>
      <c r="BK78" s="49"/>
      <c r="BM78" s="4">
        <f t="shared" si="1"/>
        <v>21</v>
      </c>
    </row>
    <row r="79" spans="1:65" s="46" customFormat="1" ht="15" customHeight="1" x14ac:dyDescent="0.25">
      <c r="A79" s="48"/>
      <c r="B79" s="60"/>
      <c r="K79" s="58"/>
      <c r="L79" s="60"/>
      <c r="T79" s="58"/>
      <c r="U79" s="60"/>
      <c r="AC79" s="58"/>
      <c r="AD79" s="60"/>
      <c r="AL79" s="58"/>
      <c r="AM79" s="60"/>
      <c r="BI79" s="58"/>
      <c r="BK79" s="49"/>
      <c r="BM79" s="4">
        <f t="shared" si="1"/>
        <v>22</v>
      </c>
    </row>
    <row r="80" spans="1:65" s="46" customFormat="1" ht="15" customHeight="1" x14ac:dyDescent="0.25">
      <c r="A80" s="48"/>
      <c r="B80" s="60"/>
      <c r="K80" s="58"/>
      <c r="L80" s="60"/>
      <c r="T80" s="58"/>
      <c r="U80" s="60"/>
      <c r="AC80" s="58"/>
      <c r="AD80" s="60"/>
      <c r="AL80" s="58"/>
      <c r="AM80" s="60"/>
      <c r="BI80" s="58"/>
      <c r="BK80" s="49"/>
      <c r="BM80" s="4">
        <f t="shared" si="1"/>
        <v>23</v>
      </c>
    </row>
    <row r="81" spans="1:65" s="46" customFormat="1" ht="15" customHeight="1" x14ac:dyDescent="0.25">
      <c r="A81" s="48"/>
      <c r="B81" s="60"/>
      <c r="K81" s="58"/>
      <c r="L81" s="60"/>
      <c r="T81" s="58"/>
      <c r="U81" s="60"/>
      <c r="AC81" s="58"/>
      <c r="AD81" s="60"/>
      <c r="AL81" s="58"/>
      <c r="AM81" s="60"/>
      <c r="BI81" s="58"/>
      <c r="BK81" s="49"/>
      <c r="BM81" s="4">
        <f t="shared" si="1"/>
        <v>24</v>
      </c>
    </row>
    <row r="82" spans="1:65" s="46" customFormat="1" ht="15" customHeight="1" x14ac:dyDescent="0.25">
      <c r="A82" s="48"/>
      <c r="B82" s="60"/>
      <c r="K82" s="58"/>
      <c r="L82" s="60"/>
      <c r="T82" s="58"/>
      <c r="U82" s="60"/>
      <c r="AC82" s="58"/>
      <c r="AD82" s="60"/>
      <c r="AL82" s="58"/>
      <c r="AM82" s="60"/>
      <c r="BI82" s="58"/>
      <c r="BK82" s="49"/>
      <c r="BM82" s="4">
        <f t="shared" si="1"/>
        <v>25</v>
      </c>
    </row>
    <row r="83" spans="1:65" s="46" customFormat="1" ht="15" customHeight="1" x14ac:dyDescent="0.25">
      <c r="A83" s="48"/>
      <c r="B83" s="60"/>
      <c r="K83" s="58"/>
      <c r="L83" s="60"/>
      <c r="T83" s="58"/>
      <c r="U83" s="60"/>
      <c r="AC83" s="58"/>
      <c r="AD83" s="60"/>
      <c r="AL83" s="58"/>
      <c r="AM83" s="60"/>
      <c r="BI83" s="58"/>
      <c r="BK83" s="49"/>
      <c r="BM83" s="4">
        <f t="shared" si="1"/>
        <v>26</v>
      </c>
    </row>
    <row r="84" spans="1:65" s="46" customFormat="1" ht="15" customHeight="1" x14ac:dyDescent="0.25">
      <c r="A84" s="48"/>
      <c r="B84" s="60"/>
      <c r="K84" s="58"/>
      <c r="L84" s="60"/>
      <c r="T84" s="58"/>
      <c r="U84" s="60"/>
      <c r="AC84" s="58"/>
      <c r="AD84" s="60"/>
      <c r="AL84" s="58"/>
      <c r="AM84" s="60"/>
      <c r="BI84" s="58"/>
      <c r="BK84" s="49"/>
      <c r="BM84" s="4">
        <f t="shared" si="1"/>
        <v>27</v>
      </c>
    </row>
    <row r="85" spans="1:65" s="46" customFormat="1" ht="15" customHeight="1" x14ac:dyDescent="0.25">
      <c r="A85" s="48"/>
      <c r="B85" s="60"/>
      <c r="K85" s="58"/>
      <c r="L85" s="60"/>
      <c r="T85" s="58"/>
      <c r="U85" s="60"/>
      <c r="AC85" s="58"/>
      <c r="AD85" s="60"/>
      <c r="AL85" s="58"/>
      <c r="AM85" s="60"/>
      <c r="BI85" s="58"/>
      <c r="BK85" s="49"/>
      <c r="BM85" s="4">
        <f t="shared" si="1"/>
        <v>28</v>
      </c>
    </row>
    <row r="86" spans="1:65" s="46" customFormat="1" ht="15" customHeight="1" x14ac:dyDescent="0.25">
      <c r="A86" s="48"/>
      <c r="B86" s="60"/>
      <c r="K86" s="58"/>
      <c r="L86" s="60"/>
      <c r="T86" s="58"/>
      <c r="U86" s="60"/>
      <c r="AC86" s="58"/>
      <c r="AD86" s="60"/>
      <c r="AL86" s="58"/>
      <c r="AM86" s="60"/>
      <c r="BI86" s="58"/>
      <c r="BK86" s="49"/>
      <c r="BM86" s="4">
        <f t="shared" si="1"/>
        <v>29</v>
      </c>
    </row>
    <row r="87" spans="1:65" s="46" customFormat="1" ht="15" customHeight="1" x14ac:dyDescent="0.25">
      <c r="A87" s="48"/>
      <c r="B87" s="60"/>
      <c r="K87" s="58"/>
      <c r="L87" s="60"/>
      <c r="T87" s="58"/>
      <c r="U87" s="60"/>
      <c r="AC87" s="58"/>
      <c r="AD87" s="60"/>
      <c r="AL87" s="58"/>
      <c r="AM87" s="60"/>
      <c r="BI87" s="58"/>
      <c r="BK87" s="49"/>
      <c r="BM87" s="4">
        <f t="shared" si="1"/>
        <v>30</v>
      </c>
    </row>
    <row r="88" spans="1:65" s="46" customFormat="1" ht="15" customHeight="1" x14ac:dyDescent="0.25">
      <c r="A88" s="48"/>
      <c r="B88" s="61" t="s">
        <v>32</v>
      </c>
      <c r="C88" s="62"/>
      <c r="D88" s="62"/>
      <c r="E88" s="62"/>
      <c r="F88" s="62"/>
      <c r="G88" s="62"/>
      <c r="H88" s="62"/>
      <c r="I88" s="62"/>
      <c r="J88" s="62"/>
      <c r="K88" s="63"/>
      <c r="L88" s="61"/>
      <c r="M88" s="62"/>
      <c r="N88" s="62"/>
      <c r="O88" s="62"/>
      <c r="P88" s="62"/>
      <c r="Q88" s="62"/>
      <c r="R88" s="62"/>
      <c r="S88" s="62"/>
      <c r="T88" s="63"/>
      <c r="U88" s="61"/>
      <c r="V88" s="62"/>
      <c r="W88" s="62"/>
      <c r="X88" s="62"/>
      <c r="Y88" s="62"/>
      <c r="Z88" s="62"/>
      <c r="AA88" s="62"/>
      <c r="AB88" s="62"/>
      <c r="AC88" s="63"/>
      <c r="AD88" s="61"/>
      <c r="AE88" s="62"/>
      <c r="AF88" s="62"/>
      <c r="AG88" s="62"/>
      <c r="AH88" s="62"/>
      <c r="AI88" s="62"/>
      <c r="AJ88" s="62"/>
      <c r="AK88" s="62"/>
      <c r="AL88" s="63"/>
      <c r="AM88" s="61"/>
      <c r="AN88" s="62"/>
      <c r="AO88" s="62"/>
      <c r="AP88" s="62"/>
      <c r="AQ88" s="62"/>
      <c r="AR88" s="62"/>
      <c r="AS88" s="62"/>
      <c r="AT88" s="62"/>
      <c r="AU88" s="62"/>
      <c r="AV88" s="62"/>
      <c r="AW88" s="62"/>
      <c r="AX88" s="62"/>
      <c r="AY88" s="62"/>
      <c r="AZ88" s="62"/>
      <c r="BA88" s="62"/>
      <c r="BB88" s="62"/>
      <c r="BC88" s="62"/>
      <c r="BD88" s="62"/>
      <c r="BE88" s="62"/>
      <c r="BF88" s="62"/>
      <c r="BG88" s="62"/>
      <c r="BH88" s="62"/>
      <c r="BI88" s="63"/>
      <c r="BJ88" s="62"/>
      <c r="BK88" s="49"/>
      <c r="BM88" s="4">
        <f t="shared" si="1"/>
        <v>31</v>
      </c>
    </row>
    <row r="89" spans="1:65" s="46" customFormat="1" ht="15" customHeight="1" x14ac:dyDescent="0.25">
      <c r="A89" s="48"/>
      <c r="B89" s="60"/>
      <c r="K89" s="58"/>
      <c r="L89" s="60"/>
      <c r="T89" s="58"/>
      <c r="U89" s="60"/>
      <c r="AC89" s="58"/>
      <c r="AD89" s="60"/>
      <c r="AL89" s="58"/>
      <c r="AM89" s="60"/>
      <c r="BI89" s="58"/>
      <c r="BK89" s="49"/>
      <c r="BM89" s="4">
        <f t="shared" si="1"/>
        <v>32</v>
      </c>
    </row>
    <row r="90" spans="1:65" s="46" customFormat="1" ht="15" customHeight="1" x14ac:dyDescent="0.25">
      <c r="A90" s="48"/>
      <c r="B90" s="60"/>
      <c r="K90" s="58"/>
      <c r="L90" s="60"/>
      <c r="T90" s="58"/>
      <c r="U90" s="60"/>
      <c r="AC90" s="58"/>
      <c r="AD90" s="60"/>
      <c r="AL90" s="58"/>
      <c r="AM90" s="60"/>
      <c r="BI90" s="58"/>
      <c r="BK90" s="49"/>
      <c r="BM90" s="4">
        <f t="shared" si="1"/>
        <v>33</v>
      </c>
    </row>
    <row r="91" spans="1:65" s="46" customFormat="1" ht="15" customHeight="1" x14ac:dyDescent="0.25">
      <c r="A91" s="48"/>
      <c r="B91" s="60"/>
      <c r="K91" s="58"/>
      <c r="L91" s="60"/>
      <c r="T91" s="58"/>
      <c r="U91" s="60"/>
      <c r="AC91" s="58"/>
      <c r="AD91" s="60"/>
      <c r="AL91" s="58"/>
      <c r="AM91" s="60"/>
      <c r="BI91" s="58"/>
      <c r="BK91" s="49"/>
      <c r="BM91" s="4">
        <f t="shared" si="1"/>
        <v>34</v>
      </c>
    </row>
    <row r="92" spans="1:65" s="46" customFormat="1" ht="15" customHeight="1" x14ac:dyDescent="0.25">
      <c r="A92" s="48"/>
      <c r="B92" s="60"/>
      <c r="K92" s="58"/>
      <c r="L92" s="60"/>
      <c r="T92" s="58"/>
      <c r="U92" s="60"/>
      <c r="AC92" s="58"/>
      <c r="AD92" s="60"/>
      <c r="AL92" s="58"/>
      <c r="AM92" s="60"/>
      <c r="BI92" s="58"/>
      <c r="BK92" s="49"/>
      <c r="BM92" s="4">
        <f t="shared" si="1"/>
        <v>35</v>
      </c>
    </row>
    <row r="93" spans="1:65" s="46" customFormat="1" ht="15" customHeight="1" x14ac:dyDescent="0.25">
      <c r="A93" s="48"/>
      <c r="B93" s="60"/>
      <c r="K93" s="58"/>
      <c r="L93" s="60"/>
      <c r="T93" s="58"/>
      <c r="U93" s="60"/>
      <c r="AC93" s="58"/>
      <c r="AD93" s="60"/>
      <c r="AL93" s="58"/>
      <c r="AM93" s="60"/>
      <c r="BI93" s="58"/>
      <c r="BK93" s="49"/>
      <c r="BM93" s="4">
        <f t="shared" si="1"/>
        <v>36</v>
      </c>
    </row>
    <row r="94" spans="1:65" s="46" customFormat="1" ht="15" customHeight="1" x14ac:dyDescent="0.25">
      <c r="A94" s="48"/>
      <c r="B94" s="60"/>
      <c r="K94" s="58"/>
      <c r="L94" s="60"/>
      <c r="T94" s="58"/>
      <c r="U94" s="60"/>
      <c r="AC94" s="58"/>
      <c r="AD94" s="60"/>
      <c r="AL94" s="58"/>
      <c r="AM94" s="60"/>
      <c r="BI94" s="58"/>
      <c r="BK94" s="49"/>
      <c r="BM94" s="4">
        <f t="shared" si="1"/>
        <v>37</v>
      </c>
    </row>
    <row r="95" spans="1:65" s="46" customFormat="1" ht="15" customHeight="1" x14ac:dyDescent="0.25">
      <c r="A95" s="48"/>
      <c r="B95" s="60"/>
      <c r="K95" s="58"/>
      <c r="L95" s="60"/>
      <c r="T95" s="58"/>
      <c r="U95" s="60"/>
      <c r="AC95" s="58"/>
      <c r="AD95" s="60"/>
      <c r="AL95" s="58"/>
      <c r="AM95" s="60"/>
      <c r="BI95" s="58"/>
      <c r="BK95" s="49"/>
      <c r="BM95" s="4">
        <f t="shared" si="1"/>
        <v>38</v>
      </c>
    </row>
    <row r="96" spans="1:65" s="46" customFormat="1" ht="15" customHeight="1" x14ac:dyDescent="0.25">
      <c r="A96" s="48"/>
      <c r="B96" s="60"/>
      <c r="K96" s="58"/>
      <c r="L96" s="60"/>
      <c r="T96" s="58"/>
      <c r="U96" s="60"/>
      <c r="AC96" s="58"/>
      <c r="AD96" s="60"/>
      <c r="AL96" s="58"/>
      <c r="AM96" s="60"/>
      <c r="BI96" s="58"/>
      <c r="BK96" s="49"/>
      <c r="BM96" s="4">
        <f t="shared" si="1"/>
        <v>39</v>
      </c>
    </row>
    <row r="97" spans="1:65" s="46" customFormat="1" ht="15" customHeight="1" x14ac:dyDescent="0.25">
      <c r="A97" s="48"/>
      <c r="B97" s="60"/>
      <c r="K97" s="58"/>
      <c r="L97" s="60"/>
      <c r="T97" s="58"/>
      <c r="U97" s="60"/>
      <c r="AC97" s="58"/>
      <c r="AD97" s="60"/>
      <c r="AL97" s="58"/>
      <c r="AM97" s="60"/>
      <c r="BI97" s="58"/>
      <c r="BK97" s="49"/>
      <c r="BM97" s="4">
        <f t="shared" si="1"/>
        <v>40</v>
      </c>
    </row>
    <row r="98" spans="1:65" s="46" customFormat="1" ht="15" customHeight="1" x14ac:dyDescent="0.25">
      <c r="A98" s="48"/>
      <c r="B98" s="60"/>
      <c r="K98" s="58"/>
      <c r="L98" s="60"/>
      <c r="T98" s="58"/>
      <c r="U98" s="60"/>
      <c r="AC98" s="58"/>
      <c r="AD98" s="60"/>
      <c r="AL98" s="58"/>
      <c r="AM98" s="60"/>
      <c r="BI98" s="58"/>
      <c r="BK98" s="49"/>
      <c r="BM98" s="4">
        <f t="shared" si="1"/>
        <v>41</v>
      </c>
    </row>
    <row r="99" spans="1:65" s="46" customFormat="1" ht="15" customHeight="1" x14ac:dyDescent="0.25">
      <c r="A99" s="48"/>
      <c r="B99" s="60"/>
      <c r="K99" s="58"/>
      <c r="L99" s="60"/>
      <c r="T99" s="58"/>
      <c r="U99" s="60"/>
      <c r="AC99" s="58"/>
      <c r="AD99" s="60"/>
      <c r="AL99" s="58"/>
      <c r="AM99" s="60"/>
      <c r="BI99" s="58"/>
      <c r="BK99" s="49"/>
      <c r="BM99" s="4">
        <f t="shared" si="1"/>
        <v>42</v>
      </c>
    </row>
    <row r="100" spans="1:65" s="46" customFormat="1" ht="15" customHeight="1" x14ac:dyDescent="0.25">
      <c r="A100" s="48"/>
      <c r="B100" s="60"/>
      <c r="K100" s="58"/>
      <c r="L100" s="60"/>
      <c r="T100" s="58"/>
      <c r="U100" s="60"/>
      <c r="AC100" s="58"/>
      <c r="AD100" s="60"/>
      <c r="AL100" s="58"/>
      <c r="AM100" s="60"/>
      <c r="BI100" s="58"/>
      <c r="BK100" s="49"/>
      <c r="BM100" s="4">
        <f t="shared" si="1"/>
        <v>43</v>
      </c>
    </row>
    <row r="101" spans="1:65" s="46" customFormat="1" ht="15" customHeight="1" x14ac:dyDescent="0.25">
      <c r="A101" s="48"/>
      <c r="B101" s="60"/>
      <c r="K101" s="58"/>
      <c r="L101" s="60"/>
      <c r="T101" s="58"/>
      <c r="U101" s="60"/>
      <c r="AC101" s="58"/>
      <c r="AD101" s="60"/>
      <c r="AL101" s="58"/>
      <c r="AM101" s="60"/>
      <c r="BI101" s="58"/>
      <c r="BK101" s="49"/>
      <c r="BM101" s="4">
        <f t="shared" si="1"/>
        <v>44</v>
      </c>
    </row>
    <row r="102" spans="1:65" s="46" customFormat="1" ht="15" customHeight="1" x14ac:dyDescent="0.25">
      <c r="A102" s="48"/>
      <c r="B102" s="60"/>
      <c r="K102" s="58"/>
      <c r="L102" s="60"/>
      <c r="T102" s="58"/>
      <c r="U102" s="60"/>
      <c r="AC102" s="58"/>
      <c r="AD102" s="60"/>
      <c r="AL102" s="58"/>
      <c r="AM102" s="60"/>
      <c r="BI102" s="58"/>
      <c r="BK102" s="49"/>
      <c r="BM102" s="4">
        <f t="shared" si="1"/>
        <v>45</v>
      </c>
    </row>
    <row r="103" spans="1:65" s="46" customFormat="1" ht="15" customHeight="1" x14ac:dyDescent="0.25">
      <c r="A103" s="48"/>
      <c r="B103" s="60"/>
      <c r="K103" s="58"/>
      <c r="L103" s="60"/>
      <c r="T103" s="58"/>
      <c r="U103" s="60"/>
      <c r="AC103" s="58"/>
      <c r="AD103" s="60"/>
      <c r="AL103" s="58"/>
      <c r="AM103" s="60"/>
      <c r="BI103" s="58"/>
      <c r="BK103" s="49"/>
      <c r="BM103" s="4">
        <f t="shared" si="1"/>
        <v>46</v>
      </c>
    </row>
    <row r="104" spans="1:65" s="46" customFormat="1" ht="15" customHeight="1" x14ac:dyDescent="0.25">
      <c r="A104" s="48"/>
      <c r="B104" s="60"/>
      <c r="K104" s="58"/>
      <c r="L104" s="60"/>
      <c r="T104" s="58"/>
      <c r="U104" s="60"/>
      <c r="AC104" s="58"/>
      <c r="AD104" s="60"/>
      <c r="AL104" s="58"/>
      <c r="AM104" s="60"/>
      <c r="BI104" s="58"/>
      <c r="BK104" s="49"/>
      <c r="BM104" s="4">
        <f t="shared" si="1"/>
        <v>47</v>
      </c>
    </row>
    <row r="105" spans="1:65" s="46" customFormat="1" ht="15" customHeight="1" x14ac:dyDescent="0.25">
      <c r="A105" s="48"/>
      <c r="B105" s="60"/>
      <c r="K105" s="58"/>
      <c r="L105" s="60"/>
      <c r="T105" s="58"/>
      <c r="U105" s="60"/>
      <c r="AC105" s="58"/>
      <c r="AD105" s="60"/>
      <c r="AL105" s="58"/>
      <c r="AM105" s="60"/>
      <c r="BI105" s="58"/>
      <c r="BK105" s="49"/>
      <c r="BM105" s="4">
        <f t="shared" si="1"/>
        <v>48</v>
      </c>
    </row>
    <row r="106" spans="1:65" s="46" customFormat="1" ht="15" customHeight="1" x14ac:dyDescent="0.25">
      <c r="A106" s="48"/>
      <c r="B106" s="60"/>
      <c r="K106" s="58"/>
      <c r="L106" s="60"/>
      <c r="T106" s="58"/>
      <c r="U106" s="60"/>
      <c r="AC106" s="58"/>
      <c r="AD106" s="60"/>
      <c r="AL106" s="58"/>
      <c r="AM106" s="60"/>
      <c r="BI106" s="58"/>
      <c r="BK106" s="49"/>
      <c r="BM106" s="4">
        <f t="shared" si="1"/>
        <v>49</v>
      </c>
    </row>
    <row r="107" spans="1:65" s="46" customFormat="1" ht="15" customHeight="1" x14ac:dyDescent="0.25">
      <c r="A107" s="48"/>
      <c r="B107" s="60"/>
      <c r="K107" s="58"/>
      <c r="L107" s="60"/>
      <c r="T107" s="58"/>
      <c r="U107" s="60"/>
      <c r="AC107" s="58"/>
      <c r="AD107" s="60"/>
      <c r="AL107" s="58"/>
      <c r="AM107" s="60"/>
      <c r="BI107" s="58"/>
      <c r="BK107" s="49"/>
      <c r="BM107" s="4">
        <f t="shared" si="1"/>
        <v>50</v>
      </c>
    </row>
    <row r="108" spans="1:65" s="46" customFormat="1" ht="15" customHeight="1" x14ac:dyDescent="0.25">
      <c r="A108" s="48"/>
      <c r="B108" s="60"/>
      <c r="K108" s="58"/>
      <c r="L108" s="60"/>
      <c r="T108" s="58"/>
      <c r="U108" s="60"/>
      <c r="AC108" s="58"/>
      <c r="AD108" s="60"/>
      <c r="AL108" s="58"/>
      <c r="AM108" s="60"/>
      <c r="BI108" s="58"/>
      <c r="BK108" s="49"/>
      <c r="BM108" s="4">
        <f t="shared" si="1"/>
        <v>1</v>
      </c>
    </row>
    <row r="109" spans="1:65" s="46" customFormat="1" ht="15" customHeight="1" x14ac:dyDescent="0.25">
      <c r="A109" s="48"/>
      <c r="B109" s="61" t="s">
        <v>33</v>
      </c>
      <c r="C109" s="62"/>
      <c r="D109" s="62"/>
      <c r="E109" s="62"/>
      <c r="F109" s="62"/>
      <c r="G109" s="62"/>
      <c r="H109" s="62"/>
      <c r="I109" s="62"/>
      <c r="J109" s="62"/>
      <c r="K109" s="63"/>
      <c r="L109" s="61"/>
      <c r="M109" s="62"/>
      <c r="N109" s="62"/>
      <c r="O109" s="62"/>
      <c r="P109" s="62"/>
      <c r="Q109" s="62"/>
      <c r="R109" s="62"/>
      <c r="S109" s="62"/>
      <c r="T109" s="63"/>
      <c r="U109" s="61"/>
      <c r="V109" s="62"/>
      <c r="W109" s="62"/>
      <c r="X109" s="62"/>
      <c r="Y109" s="62"/>
      <c r="Z109" s="62"/>
      <c r="AA109" s="62"/>
      <c r="AB109" s="62"/>
      <c r="AC109" s="63"/>
      <c r="AD109" s="61"/>
      <c r="AE109" s="62"/>
      <c r="AF109" s="62"/>
      <c r="AG109" s="62"/>
      <c r="AH109" s="62"/>
      <c r="AI109" s="62"/>
      <c r="AJ109" s="62"/>
      <c r="AK109" s="62"/>
      <c r="AL109" s="63"/>
      <c r="AM109" s="61"/>
      <c r="AN109" s="62"/>
      <c r="AO109" s="62"/>
      <c r="AP109" s="62"/>
      <c r="AQ109" s="62"/>
      <c r="AR109" s="62"/>
      <c r="AS109" s="62"/>
      <c r="AT109" s="62"/>
      <c r="AU109" s="62"/>
      <c r="AV109" s="62"/>
      <c r="AW109" s="62"/>
      <c r="AX109" s="62"/>
      <c r="AY109" s="62"/>
      <c r="AZ109" s="62"/>
      <c r="BA109" s="62"/>
      <c r="BB109" s="62"/>
      <c r="BC109" s="62"/>
      <c r="BD109" s="62"/>
      <c r="BE109" s="62"/>
      <c r="BF109" s="62"/>
      <c r="BG109" s="62"/>
      <c r="BH109" s="62"/>
      <c r="BI109" s="63"/>
      <c r="BJ109" s="62"/>
      <c r="BK109" s="49"/>
      <c r="BM109" s="4">
        <f t="shared" si="1"/>
        <v>2</v>
      </c>
    </row>
    <row r="110" spans="1:65" s="46" customFormat="1" ht="15" customHeight="1" x14ac:dyDescent="0.25">
      <c r="A110" s="48"/>
      <c r="B110" s="60"/>
      <c r="K110" s="58"/>
      <c r="L110" s="60"/>
      <c r="T110" s="58"/>
      <c r="U110" s="60"/>
      <c r="AC110" s="58"/>
      <c r="AD110" s="60"/>
      <c r="AL110" s="58"/>
      <c r="AM110" s="60"/>
      <c r="BI110" s="58"/>
      <c r="BK110" s="49"/>
      <c r="BM110" s="4">
        <f t="shared" si="1"/>
        <v>3</v>
      </c>
    </row>
    <row r="111" spans="1:65" s="46" customFormat="1" ht="15" customHeight="1" x14ac:dyDescent="0.25">
      <c r="A111" s="48"/>
      <c r="B111" s="60"/>
      <c r="K111" s="58"/>
      <c r="L111" s="60"/>
      <c r="T111" s="58"/>
      <c r="U111" s="60"/>
      <c r="AC111" s="58"/>
      <c r="AD111" s="60"/>
      <c r="AL111" s="58"/>
      <c r="AM111" s="60"/>
      <c r="BI111" s="58"/>
      <c r="BK111" s="49"/>
      <c r="BM111" s="4">
        <f t="shared" si="1"/>
        <v>4</v>
      </c>
    </row>
    <row r="112" spans="1:65" s="46" customFormat="1" ht="15" customHeight="1" x14ac:dyDescent="0.25">
      <c r="A112" s="48"/>
      <c r="B112" s="60"/>
      <c r="K112" s="58"/>
      <c r="L112" s="60"/>
      <c r="T112" s="58"/>
      <c r="U112" s="60"/>
      <c r="AC112" s="58"/>
      <c r="AD112" s="60"/>
      <c r="AL112" s="58"/>
      <c r="AM112" s="60"/>
      <c r="BI112" s="58"/>
      <c r="BK112" s="49"/>
      <c r="BM112" s="4">
        <f t="shared" si="1"/>
        <v>5</v>
      </c>
    </row>
    <row r="113" spans="1:65" s="46" customFormat="1" ht="15" customHeight="1" x14ac:dyDescent="0.25">
      <c r="A113" s="48"/>
      <c r="B113" s="60"/>
      <c r="K113" s="58"/>
      <c r="L113" s="60"/>
      <c r="T113" s="58"/>
      <c r="U113" s="60"/>
      <c r="AC113" s="58"/>
      <c r="AD113" s="60"/>
      <c r="AL113" s="58"/>
      <c r="AM113" s="60"/>
      <c r="BI113" s="58"/>
      <c r="BK113" s="49"/>
      <c r="BM113" s="4">
        <f t="shared" si="1"/>
        <v>6</v>
      </c>
    </row>
    <row r="114" spans="1:65" s="46" customFormat="1" ht="15" customHeight="1" x14ac:dyDescent="0.25">
      <c r="A114" s="48"/>
      <c r="B114" s="60"/>
      <c r="K114" s="58"/>
      <c r="L114" s="60"/>
      <c r="T114" s="58"/>
      <c r="U114" s="60"/>
      <c r="AC114" s="58"/>
      <c r="AD114" s="60"/>
      <c r="AL114" s="58"/>
      <c r="AM114" s="60"/>
      <c r="BI114" s="58"/>
      <c r="BK114" s="49"/>
      <c r="BM114" s="4">
        <f t="shared" si="1"/>
        <v>7</v>
      </c>
    </row>
    <row r="115" spans="1:65" s="46" customFormat="1" ht="15" customHeight="1" x14ac:dyDescent="0.25">
      <c r="A115" s="48"/>
      <c r="B115" s="60"/>
      <c r="K115" s="58"/>
      <c r="L115" s="60"/>
      <c r="T115" s="58"/>
      <c r="U115" s="60"/>
      <c r="AC115" s="58"/>
      <c r="AD115" s="60"/>
      <c r="AL115" s="58"/>
      <c r="AM115" s="60"/>
      <c r="BI115" s="58"/>
      <c r="BK115" s="49"/>
      <c r="BM115" s="4">
        <f t="shared" si="1"/>
        <v>8</v>
      </c>
    </row>
    <row r="116" spans="1:65" s="46" customFormat="1" ht="15" customHeight="1" x14ac:dyDescent="0.25">
      <c r="A116" s="48"/>
      <c r="B116" s="60"/>
      <c r="K116" s="58"/>
      <c r="L116" s="60"/>
      <c r="T116" s="58"/>
      <c r="U116" s="60"/>
      <c r="AC116" s="58"/>
      <c r="AD116" s="60"/>
      <c r="AL116" s="58"/>
      <c r="AM116" s="60"/>
      <c r="BI116" s="58"/>
      <c r="BK116" s="49"/>
      <c r="BM116" s="4">
        <f t="shared" si="1"/>
        <v>9</v>
      </c>
    </row>
    <row r="117" spans="1:65" s="46" customFormat="1" ht="15" customHeight="1" x14ac:dyDescent="0.25">
      <c r="A117" s="48"/>
      <c r="B117" s="60"/>
      <c r="K117" s="58"/>
      <c r="L117" s="60"/>
      <c r="T117" s="58"/>
      <c r="U117" s="60"/>
      <c r="AC117" s="58"/>
      <c r="AD117" s="60"/>
      <c r="AL117" s="58"/>
      <c r="AM117" s="60"/>
      <c r="BI117" s="58"/>
      <c r="BK117" s="49"/>
      <c r="BM117" s="4">
        <f t="shared" si="1"/>
        <v>10</v>
      </c>
    </row>
    <row r="118" spans="1:65" s="46" customFormat="1" ht="15" customHeight="1" x14ac:dyDescent="0.25">
      <c r="A118" s="48"/>
      <c r="B118" s="60"/>
      <c r="K118" s="58"/>
      <c r="L118" s="60"/>
      <c r="T118" s="58"/>
      <c r="U118" s="60"/>
      <c r="AC118" s="58"/>
      <c r="AD118" s="60"/>
      <c r="AL118" s="58"/>
      <c r="AM118" s="60"/>
      <c r="BI118" s="58"/>
      <c r="BK118" s="49"/>
      <c r="BM118" s="4">
        <f t="shared" si="1"/>
        <v>11</v>
      </c>
    </row>
    <row r="119" spans="1:65" s="46" customFormat="1" ht="15" customHeight="1" x14ac:dyDescent="0.25">
      <c r="A119" s="48"/>
      <c r="B119" s="60"/>
      <c r="K119" s="58"/>
      <c r="L119" s="60"/>
      <c r="T119" s="58"/>
      <c r="U119" s="60"/>
      <c r="AC119" s="58"/>
      <c r="AD119" s="60"/>
      <c r="AL119" s="58"/>
      <c r="AM119" s="60"/>
      <c r="BI119" s="58"/>
      <c r="BK119" s="49"/>
      <c r="BM119" s="4">
        <f t="shared" si="1"/>
        <v>12</v>
      </c>
    </row>
    <row r="120" spans="1:65" s="46" customFormat="1" ht="15" customHeight="1" x14ac:dyDescent="0.25">
      <c r="A120" s="48"/>
      <c r="B120" s="60"/>
      <c r="K120" s="58"/>
      <c r="L120" s="60"/>
      <c r="T120" s="58"/>
      <c r="U120" s="60"/>
      <c r="AC120" s="58"/>
      <c r="AD120" s="60"/>
      <c r="AL120" s="58"/>
      <c r="AM120" s="60"/>
      <c r="BI120" s="58"/>
      <c r="BK120" s="49"/>
      <c r="BM120" s="4">
        <f t="shared" si="1"/>
        <v>13</v>
      </c>
    </row>
    <row r="121" spans="1:65" s="46" customFormat="1" ht="15" customHeight="1" x14ac:dyDescent="0.25">
      <c r="A121" s="48"/>
      <c r="B121" s="60"/>
      <c r="K121" s="58"/>
      <c r="L121" s="60"/>
      <c r="T121" s="58"/>
      <c r="U121" s="60"/>
      <c r="AC121" s="58"/>
      <c r="AD121" s="60"/>
      <c r="AL121" s="58"/>
      <c r="AM121" s="60"/>
      <c r="BI121" s="58"/>
      <c r="BK121" s="49"/>
      <c r="BM121" s="4">
        <f t="shared" si="1"/>
        <v>14</v>
      </c>
    </row>
    <row r="122" spans="1:65" s="46" customFormat="1" ht="15" customHeight="1" x14ac:dyDescent="0.25">
      <c r="A122" s="48"/>
      <c r="B122" s="60"/>
      <c r="K122" s="58"/>
      <c r="L122" s="60"/>
      <c r="T122" s="58"/>
      <c r="U122" s="60"/>
      <c r="AC122" s="58"/>
      <c r="AD122" s="60"/>
      <c r="AL122" s="58"/>
      <c r="AM122" s="60"/>
      <c r="BI122" s="58"/>
      <c r="BK122" s="49"/>
      <c r="BM122" s="4">
        <f t="shared" si="1"/>
        <v>15</v>
      </c>
    </row>
    <row r="123" spans="1:65" s="46" customFormat="1" ht="15" customHeight="1" x14ac:dyDescent="0.25">
      <c r="A123" s="48"/>
      <c r="B123" s="60"/>
      <c r="K123" s="58"/>
      <c r="L123" s="60"/>
      <c r="T123" s="58"/>
      <c r="U123" s="60"/>
      <c r="AC123" s="58"/>
      <c r="AD123" s="60"/>
      <c r="AL123" s="58"/>
      <c r="AM123" s="60"/>
      <c r="BI123" s="58"/>
      <c r="BK123" s="49"/>
      <c r="BM123" s="4">
        <f t="shared" si="1"/>
        <v>16</v>
      </c>
    </row>
    <row r="124" spans="1:65" s="46" customFormat="1" ht="15" customHeight="1" x14ac:dyDescent="0.25">
      <c r="A124" s="48"/>
      <c r="B124" s="60"/>
      <c r="K124" s="58"/>
      <c r="L124" s="60"/>
      <c r="T124" s="58"/>
      <c r="U124" s="60"/>
      <c r="AC124" s="58"/>
      <c r="AD124" s="60"/>
      <c r="AL124" s="58"/>
      <c r="AM124" s="60"/>
      <c r="BI124" s="58"/>
      <c r="BK124" s="49"/>
      <c r="BM124" s="4">
        <f t="shared" si="1"/>
        <v>17</v>
      </c>
    </row>
    <row r="125" spans="1:65" s="46" customFormat="1" ht="15" customHeight="1" x14ac:dyDescent="0.25">
      <c r="A125" s="48"/>
      <c r="B125" s="60"/>
      <c r="K125" s="58"/>
      <c r="L125" s="60"/>
      <c r="T125" s="58"/>
      <c r="U125" s="60"/>
      <c r="AC125" s="58"/>
      <c r="AD125" s="60"/>
      <c r="AL125" s="58"/>
      <c r="AM125" s="60"/>
      <c r="BI125" s="58"/>
      <c r="BK125" s="49"/>
      <c r="BM125" s="4">
        <f t="shared" si="1"/>
        <v>18</v>
      </c>
    </row>
    <row r="126" spans="1:65" s="46" customFormat="1" ht="15" customHeight="1" x14ac:dyDescent="0.25">
      <c r="A126" s="48"/>
      <c r="B126" s="60"/>
      <c r="K126" s="58"/>
      <c r="L126" s="60"/>
      <c r="T126" s="58"/>
      <c r="U126" s="60"/>
      <c r="AC126" s="58"/>
      <c r="AD126" s="60"/>
      <c r="AL126" s="58"/>
      <c r="AM126" s="60"/>
      <c r="BI126" s="58"/>
      <c r="BK126" s="49"/>
      <c r="BM126" s="4">
        <f t="shared" si="1"/>
        <v>19</v>
      </c>
    </row>
    <row r="127" spans="1:65" s="46" customFormat="1" ht="15" customHeight="1" x14ac:dyDescent="0.25">
      <c r="A127" s="48"/>
      <c r="B127" s="60"/>
      <c r="K127" s="58"/>
      <c r="L127" s="60"/>
      <c r="T127" s="58"/>
      <c r="U127" s="60"/>
      <c r="AC127" s="58"/>
      <c r="AD127" s="60"/>
      <c r="AL127" s="58"/>
      <c r="AM127" s="60"/>
      <c r="BI127" s="58"/>
      <c r="BK127" s="49"/>
      <c r="BM127" s="4">
        <f t="shared" si="1"/>
        <v>20</v>
      </c>
    </row>
    <row r="128" spans="1:65" s="46" customFormat="1" ht="15" customHeight="1" x14ac:dyDescent="0.25">
      <c r="A128" s="48"/>
      <c r="B128" s="60"/>
      <c r="K128" s="58"/>
      <c r="L128" s="60"/>
      <c r="T128" s="58"/>
      <c r="U128" s="60"/>
      <c r="AC128" s="58"/>
      <c r="AD128" s="60"/>
      <c r="AL128" s="58"/>
      <c r="AM128" s="60"/>
      <c r="BI128" s="58"/>
      <c r="BK128" s="49"/>
      <c r="BM128" s="4">
        <f t="shared" si="1"/>
        <v>21</v>
      </c>
    </row>
    <row r="129" spans="1:65" s="46" customFormat="1" ht="15" customHeight="1" x14ac:dyDescent="0.25">
      <c r="A129" s="48"/>
      <c r="B129" s="60"/>
      <c r="K129" s="58"/>
      <c r="L129" s="60"/>
      <c r="T129" s="58"/>
      <c r="U129" s="60"/>
      <c r="AC129" s="58"/>
      <c r="AD129" s="60"/>
      <c r="AL129" s="58"/>
      <c r="AM129" s="60"/>
      <c r="BI129" s="58"/>
      <c r="BK129" s="49"/>
      <c r="BM129" s="4">
        <f t="shared" si="1"/>
        <v>22</v>
      </c>
    </row>
    <row r="130" spans="1:65" s="46" customFormat="1" ht="15" customHeight="1" x14ac:dyDescent="0.25">
      <c r="A130" s="48"/>
      <c r="B130" s="60"/>
      <c r="K130" s="58"/>
      <c r="L130" s="60"/>
      <c r="T130" s="58"/>
      <c r="U130" s="60"/>
      <c r="AC130" s="58"/>
      <c r="AD130" s="60"/>
      <c r="AL130" s="58"/>
      <c r="AM130" s="60"/>
      <c r="BI130" s="58"/>
      <c r="BK130" s="49"/>
      <c r="BM130" s="4">
        <f t="shared" si="1"/>
        <v>23</v>
      </c>
    </row>
    <row r="131" spans="1:65" s="46" customFormat="1" ht="15" customHeight="1" x14ac:dyDescent="0.25">
      <c r="A131" s="48"/>
      <c r="B131" s="60"/>
      <c r="K131" s="58"/>
      <c r="L131" s="60"/>
      <c r="T131" s="58"/>
      <c r="U131" s="60"/>
      <c r="AC131" s="58"/>
      <c r="AD131" s="60"/>
      <c r="AL131" s="58"/>
      <c r="AM131" s="60"/>
      <c r="BI131" s="58"/>
      <c r="BK131" s="49"/>
      <c r="BM131" s="4">
        <f t="shared" si="1"/>
        <v>24</v>
      </c>
    </row>
    <row r="132" spans="1:65" s="46" customFormat="1" ht="15" customHeight="1" x14ac:dyDescent="0.25">
      <c r="A132" s="48"/>
      <c r="B132" s="60"/>
      <c r="K132" s="58"/>
      <c r="L132" s="60"/>
      <c r="T132" s="58"/>
      <c r="U132" s="60"/>
      <c r="AC132" s="58"/>
      <c r="AD132" s="60"/>
      <c r="AL132" s="58"/>
      <c r="AM132" s="60"/>
      <c r="BI132" s="58"/>
      <c r="BK132" s="49"/>
      <c r="BM132" s="4">
        <f t="shared" si="1"/>
        <v>25</v>
      </c>
    </row>
    <row r="133" spans="1:65" s="46" customFormat="1" ht="15" customHeight="1" x14ac:dyDescent="0.25">
      <c r="A133" s="48"/>
      <c r="B133" s="60"/>
      <c r="K133" s="58"/>
      <c r="L133" s="60"/>
      <c r="T133" s="58"/>
      <c r="U133" s="60"/>
      <c r="AC133" s="58"/>
      <c r="AD133" s="60"/>
      <c r="AL133" s="58"/>
      <c r="AM133" s="60"/>
      <c r="BI133" s="58"/>
      <c r="BK133" s="49"/>
      <c r="BM133" s="4">
        <f t="shared" si="1"/>
        <v>26</v>
      </c>
    </row>
    <row r="134" spans="1:65" s="46" customFormat="1" ht="15" customHeight="1" x14ac:dyDescent="0.25">
      <c r="A134" s="48"/>
      <c r="B134" s="60"/>
      <c r="K134" s="58"/>
      <c r="L134" s="60"/>
      <c r="T134" s="58"/>
      <c r="U134" s="60"/>
      <c r="AC134" s="58"/>
      <c r="AD134" s="60"/>
      <c r="AL134" s="58"/>
      <c r="AM134" s="60"/>
      <c r="BI134" s="58"/>
      <c r="BK134" s="49"/>
      <c r="BM134" s="4">
        <f t="shared" si="1"/>
        <v>27</v>
      </c>
    </row>
    <row r="135" spans="1:65" s="46" customFormat="1" ht="15" customHeight="1" x14ac:dyDescent="0.25">
      <c r="A135" s="48"/>
      <c r="B135" s="60"/>
      <c r="K135" s="58"/>
      <c r="L135" s="60"/>
      <c r="T135" s="58"/>
      <c r="U135" s="60"/>
      <c r="AC135" s="58"/>
      <c r="AD135" s="60"/>
      <c r="AL135" s="58"/>
      <c r="AM135" s="60"/>
      <c r="BI135" s="58"/>
      <c r="BK135" s="49"/>
      <c r="BM135" s="4">
        <f t="shared" si="1"/>
        <v>28</v>
      </c>
    </row>
    <row r="136" spans="1:65" s="46" customFormat="1" ht="15" customHeight="1" x14ac:dyDescent="0.25">
      <c r="A136" s="48"/>
      <c r="B136" s="60"/>
      <c r="K136" s="58"/>
      <c r="L136" s="60"/>
      <c r="T136" s="58"/>
      <c r="U136" s="60"/>
      <c r="AC136" s="58"/>
      <c r="AD136" s="60"/>
      <c r="AL136" s="58"/>
      <c r="AM136" s="60"/>
      <c r="BI136" s="58"/>
      <c r="BK136" s="49"/>
      <c r="BM136" s="4">
        <f t="shared" si="1"/>
        <v>29</v>
      </c>
    </row>
    <row r="137" spans="1:65" s="46" customFormat="1" ht="15" customHeight="1" x14ac:dyDescent="0.25">
      <c r="A137" s="48"/>
      <c r="B137" s="60"/>
      <c r="K137" s="58"/>
      <c r="L137" s="60"/>
      <c r="T137" s="58"/>
      <c r="U137" s="60"/>
      <c r="AC137" s="58"/>
      <c r="AD137" s="60"/>
      <c r="AL137" s="58"/>
      <c r="AM137" s="60"/>
      <c r="BI137" s="58"/>
      <c r="BK137" s="49"/>
      <c r="BM137" s="4">
        <f t="shared" si="1"/>
        <v>30</v>
      </c>
    </row>
    <row r="138" spans="1:65" s="46" customFormat="1" ht="15" customHeight="1" x14ac:dyDescent="0.25">
      <c r="A138" s="48"/>
      <c r="B138" s="60"/>
      <c r="K138" s="58"/>
      <c r="L138" s="60"/>
      <c r="T138" s="58"/>
      <c r="U138" s="60"/>
      <c r="AC138" s="58"/>
      <c r="AD138" s="60"/>
      <c r="AL138" s="58"/>
      <c r="AM138" s="60"/>
      <c r="BI138" s="58"/>
      <c r="BK138" s="49"/>
      <c r="BM138" s="4">
        <f t="shared" si="1"/>
        <v>31</v>
      </c>
    </row>
    <row r="139" spans="1:65" s="46" customFormat="1" ht="15" customHeight="1" x14ac:dyDescent="0.25">
      <c r="A139" s="48"/>
      <c r="B139" s="60"/>
      <c r="K139" s="58"/>
      <c r="L139" s="60"/>
      <c r="T139" s="58"/>
      <c r="U139" s="60"/>
      <c r="AC139" s="58"/>
      <c r="AD139" s="60"/>
      <c r="AL139" s="58"/>
      <c r="AM139" s="60"/>
      <c r="BI139" s="58"/>
      <c r="BK139" s="49"/>
      <c r="BM139" s="4">
        <f t="shared" si="1"/>
        <v>32</v>
      </c>
    </row>
    <row r="140" spans="1:65" s="46" customFormat="1" ht="15" customHeight="1" x14ac:dyDescent="0.25">
      <c r="A140" s="48"/>
      <c r="B140" s="60"/>
      <c r="K140" s="58"/>
      <c r="L140" s="60"/>
      <c r="T140" s="58"/>
      <c r="U140" s="60"/>
      <c r="AC140" s="58"/>
      <c r="AD140" s="60"/>
      <c r="AL140" s="58"/>
      <c r="AM140" s="60"/>
      <c r="BI140" s="58"/>
      <c r="BK140" s="49"/>
      <c r="BM140" s="4">
        <f t="shared" ref="BM140:BM201" si="2">IF(BM139=50,1,BM139+1)</f>
        <v>33</v>
      </c>
    </row>
    <row r="141" spans="1:65" s="46" customFormat="1" ht="15" customHeight="1" x14ac:dyDescent="0.25">
      <c r="A141" s="48"/>
      <c r="B141" s="60"/>
      <c r="K141" s="58"/>
      <c r="L141" s="60"/>
      <c r="T141" s="58"/>
      <c r="U141" s="60"/>
      <c r="AC141" s="58"/>
      <c r="AD141" s="60"/>
      <c r="AL141" s="58"/>
      <c r="AM141" s="60"/>
      <c r="BI141" s="58"/>
      <c r="BK141" s="49"/>
      <c r="BM141" s="4">
        <f t="shared" si="2"/>
        <v>34</v>
      </c>
    </row>
    <row r="142" spans="1:65" s="46" customFormat="1" ht="15" customHeight="1" x14ac:dyDescent="0.25">
      <c r="A142" s="48"/>
      <c r="B142" s="60"/>
      <c r="K142" s="58"/>
      <c r="L142" s="60"/>
      <c r="T142" s="58"/>
      <c r="U142" s="60"/>
      <c r="AC142" s="58"/>
      <c r="AD142" s="60"/>
      <c r="AL142" s="58"/>
      <c r="AM142" s="60"/>
      <c r="BI142" s="58"/>
      <c r="BK142" s="49"/>
      <c r="BM142" s="4">
        <f t="shared" si="2"/>
        <v>35</v>
      </c>
    </row>
    <row r="143" spans="1:65" s="46" customFormat="1" ht="15" customHeight="1" x14ac:dyDescent="0.25">
      <c r="A143" s="48"/>
      <c r="B143" s="60"/>
      <c r="K143" s="58"/>
      <c r="L143" s="60"/>
      <c r="T143" s="58"/>
      <c r="U143" s="60"/>
      <c r="AC143" s="58"/>
      <c r="AD143" s="60"/>
      <c r="AL143" s="58"/>
      <c r="AM143" s="60"/>
      <c r="BI143" s="58"/>
      <c r="BK143" s="49"/>
      <c r="BM143" s="4">
        <f t="shared" si="2"/>
        <v>36</v>
      </c>
    </row>
    <row r="144" spans="1:65" s="46" customFormat="1" ht="15" customHeight="1" x14ac:dyDescent="0.25">
      <c r="A144" s="48"/>
      <c r="B144" s="60"/>
      <c r="K144" s="58"/>
      <c r="L144" s="60"/>
      <c r="T144" s="58"/>
      <c r="U144" s="60"/>
      <c r="AC144" s="58"/>
      <c r="AD144" s="60"/>
      <c r="AL144" s="58"/>
      <c r="AM144" s="60"/>
      <c r="BI144" s="58"/>
      <c r="BK144" s="49"/>
      <c r="BM144" s="4">
        <f t="shared" si="2"/>
        <v>37</v>
      </c>
    </row>
    <row r="145" spans="1:65" s="46" customFormat="1" ht="15" customHeight="1" x14ac:dyDescent="0.25">
      <c r="A145" s="48"/>
      <c r="B145" s="60"/>
      <c r="K145" s="58"/>
      <c r="L145" s="60"/>
      <c r="T145" s="58"/>
      <c r="U145" s="60"/>
      <c r="AC145" s="58"/>
      <c r="AD145" s="60"/>
      <c r="AL145" s="58"/>
      <c r="AM145" s="60"/>
      <c r="BI145" s="58"/>
      <c r="BK145" s="49"/>
      <c r="BM145" s="4">
        <f t="shared" si="2"/>
        <v>38</v>
      </c>
    </row>
    <row r="146" spans="1:65" s="46" customFormat="1" ht="15" customHeight="1" x14ac:dyDescent="0.25">
      <c r="A146" s="48"/>
      <c r="B146" s="60"/>
      <c r="K146" s="58"/>
      <c r="L146" s="60"/>
      <c r="T146" s="58"/>
      <c r="U146" s="60"/>
      <c r="AC146" s="58"/>
      <c r="AD146" s="60"/>
      <c r="AL146" s="58"/>
      <c r="AM146" s="60"/>
      <c r="BI146" s="58"/>
      <c r="BK146" s="49"/>
      <c r="BM146" s="4">
        <f t="shared" si="2"/>
        <v>39</v>
      </c>
    </row>
    <row r="147" spans="1:65" s="46" customFormat="1" ht="15" customHeight="1" x14ac:dyDescent="0.25">
      <c r="A147" s="48"/>
      <c r="B147" s="60"/>
      <c r="K147" s="58"/>
      <c r="L147" s="60"/>
      <c r="T147" s="58"/>
      <c r="U147" s="60"/>
      <c r="AC147" s="58"/>
      <c r="AD147" s="60"/>
      <c r="AL147" s="58"/>
      <c r="AM147" s="60"/>
      <c r="BI147" s="58"/>
      <c r="BK147" s="49"/>
      <c r="BM147" s="4">
        <f t="shared" si="2"/>
        <v>40</v>
      </c>
    </row>
    <row r="148" spans="1:65" s="46" customFormat="1" ht="15" customHeight="1" x14ac:dyDescent="0.25">
      <c r="A148" s="48"/>
      <c r="B148" s="60"/>
      <c r="K148" s="58"/>
      <c r="L148" s="60"/>
      <c r="T148" s="58"/>
      <c r="U148" s="60"/>
      <c r="AC148" s="58"/>
      <c r="AD148" s="60"/>
      <c r="AL148" s="58"/>
      <c r="AM148" s="60"/>
      <c r="BI148" s="58"/>
      <c r="BK148" s="49"/>
      <c r="BM148" s="4">
        <f t="shared" si="2"/>
        <v>41</v>
      </c>
    </row>
    <row r="149" spans="1:65" s="46" customFormat="1" ht="15" customHeight="1" x14ac:dyDescent="0.25">
      <c r="A149" s="48"/>
      <c r="B149" s="60"/>
      <c r="K149" s="58"/>
      <c r="L149" s="60"/>
      <c r="T149" s="58"/>
      <c r="U149" s="60"/>
      <c r="AC149" s="58"/>
      <c r="AD149" s="60"/>
      <c r="AL149" s="58"/>
      <c r="AM149" s="60"/>
      <c r="BI149" s="58"/>
      <c r="BK149" s="49"/>
      <c r="BM149" s="4">
        <f t="shared" si="2"/>
        <v>42</v>
      </c>
    </row>
    <row r="150" spans="1:65" s="46" customFormat="1" ht="15" customHeight="1" x14ac:dyDescent="0.25">
      <c r="A150" s="48"/>
      <c r="B150" s="60"/>
      <c r="K150" s="58"/>
      <c r="L150" s="60"/>
      <c r="T150" s="58"/>
      <c r="U150" s="60"/>
      <c r="AC150" s="58"/>
      <c r="AD150" s="60"/>
      <c r="AL150" s="58"/>
      <c r="AM150" s="60"/>
      <c r="BI150" s="58"/>
      <c r="BK150" s="49"/>
      <c r="BM150" s="4">
        <f t="shared" si="2"/>
        <v>43</v>
      </c>
    </row>
    <row r="151" spans="1:65" s="46" customFormat="1" ht="15" customHeight="1" x14ac:dyDescent="0.25">
      <c r="A151" s="48"/>
      <c r="B151" s="60"/>
      <c r="K151" s="58"/>
      <c r="L151" s="60"/>
      <c r="T151" s="58"/>
      <c r="U151" s="60"/>
      <c r="AC151" s="58"/>
      <c r="AD151" s="60"/>
      <c r="AL151" s="58"/>
      <c r="AM151" s="60"/>
      <c r="BI151" s="58"/>
      <c r="BK151" s="49"/>
      <c r="BM151" s="4">
        <f t="shared" si="2"/>
        <v>44</v>
      </c>
    </row>
    <row r="152" spans="1:65" s="46" customFormat="1" ht="15" customHeight="1" x14ac:dyDescent="0.25">
      <c r="A152" s="48"/>
      <c r="B152" s="60"/>
      <c r="K152" s="58"/>
      <c r="L152" s="60"/>
      <c r="T152" s="58"/>
      <c r="U152" s="60"/>
      <c r="AC152" s="58"/>
      <c r="AD152" s="60"/>
      <c r="AL152" s="58"/>
      <c r="AM152" s="60"/>
      <c r="BI152" s="58"/>
      <c r="BK152" s="49"/>
      <c r="BM152" s="4">
        <f t="shared" si="2"/>
        <v>45</v>
      </c>
    </row>
    <row r="153" spans="1:65" s="46" customFormat="1" ht="15" customHeight="1" x14ac:dyDescent="0.25">
      <c r="A153" s="48"/>
      <c r="B153" s="60"/>
      <c r="K153" s="58"/>
      <c r="L153" s="60"/>
      <c r="T153" s="58"/>
      <c r="U153" s="60"/>
      <c r="AC153" s="58"/>
      <c r="AD153" s="60"/>
      <c r="AL153" s="58"/>
      <c r="AM153" s="60"/>
      <c r="BI153" s="58"/>
      <c r="BK153" s="49"/>
      <c r="BM153" s="4">
        <f t="shared" si="2"/>
        <v>46</v>
      </c>
    </row>
    <row r="154" spans="1:65" s="46" customFormat="1" ht="15" customHeight="1" x14ac:dyDescent="0.25">
      <c r="A154" s="48"/>
      <c r="B154" s="60"/>
      <c r="K154" s="58"/>
      <c r="L154" s="60"/>
      <c r="T154" s="58"/>
      <c r="U154" s="60"/>
      <c r="AC154" s="58"/>
      <c r="AD154" s="60"/>
      <c r="AL154" s="58"/>
      <c r="AM154" s="60"/>
      <c r="BI154" s="58"/>
      <c r="BK154" s="49"/>
      <c r="BM154" s="4">
        <f t="shared" si="2"/>
        <v>47</v>
      </c>
    </row>
    <row r="155" spans="1:65" s="46" customFormat="1" ht="15" customHeight="1" x14ac:dyDescent="0.25">
      <c r="A155" s="48"/>
      <c r="B155" s="60"/>
      <c r="K155" s="58"/>
      <c r="L155" s="60"/>
      <c r="T155" s="58"/>
      <c r="U155" s="60"/>
      <c r="AC155" s="58"/>
      <c r="AD155" s="60"/>
      <c r="AL155" s="58"/>
      <c r="AM155" s="60"/>
      <c r="BI155" s="58"/>
      <c r="BK155" s="49"/>
      <c r="BM155" s="4">
        <f t="shared" si="2"/>
        <v>48</v>
      </c>
    </row>
    <row r="156" spans="1:65" s="46" customFormat="1" ht="15" customHeight="1" x14ac:dyDescent="0.25">
      <c r="A156" s="48"/>
      <c r="B156" s="60"/>
      <c r="K156" s="58"/>
      <c r="L156" s="60"/>
      <c r="T156" s="58"/>
      <c r="U156" s="60"/>
      <c r="AC156" s="58"/>
      <c r="AD156" s="60"/>
      <c r="AL156" s="58"/>
      <c r="AM156" s="60"/>
      <c r="BI156" s="58"/>
      <c r="BK156" s="49"/>
      <c r="BM156" s="4">
        <f t="shared" si="2"/>
        <v>49</v>
      </c>
    </row>
    <row r="157" spans="1:65" s="46" customFormat="1" ht="15" customHeight="1" x14ac:dyDescent="0.25">
      <c r="A157" s="48"/>
      <c r="B157" s="60"/>
      <c r="K157" s="58"/>
      <c r="L157" s="60"/>
      <c r="T157" s="58"/>
      <c r="U157" s="60"/>
      <c r="AC157" s="58"/>
      <c r="AD157" s="60"/>
      <c r="AL157" s="58"/>
      <c r="AM157" s="60"/>
      <c r="BI157" s="58"/>
      <c r="BK157" s="49"/>
      <c r="BM157" s="4">
        <f t="shared" si="2"/>
        <v>50</v>
      </c>
    </row>
    <row r="158" spans="1:65" s="46" customFormat="1" ht="15" customHeight="1" x14ac:dyDescent="0.25">
      <c r="A158" s="48"/>
      <c r="B158" s="60"/>
      <c r="K158" s="58"/>
      <c r="L158" s="60"/>
      <c r="T158" s="58"/>
      <c r="U158" s="60"/>
      <c r="AC158" s="58"/>
      <c r="AD158" s="60"/>
      <c r="AL158" s="58"/>
      <c r="AM158" s="60"/>
      <c r="BI158" s="58"/>
      <c r="BK158" s="49"/>
      <c r="BM158" s="4">
        <f t="shared" si="2"/>
        <v>1</v>
      </c>
    </row>
    <row r="159" spans="1:65" s="46" customFormat="1" ht="15" customHeight="1" x14ac:dyDescent="0.25">
      <c r="A159" s="48"/>
      <c r="B159" s="60"/>
      <c r="K159" s="58"/>
      <c r="L159" s="60"/>
      <c r="T159" s="58"/>
      <c r="U159" s="60"/>
      <c r="AC159" s="58"/>
      <c r="AD159" s="60"/>
      <c r="AL159" s="58"/>
      <c r="AM159" s="60"/>
      <c r="BI159" s="58"/>
      <c r="BK159" s="49"/>
      <c r="BM159" s="4">
        <f t="shared" si="2"/>
        <v>2</v>
      </c>
    </row>
    <row r="160" spans="1:65" s="46" customFormat="1" ht="15" customHeight="1" x14ac:dyDescent="0.25">
      <c r="A160" s="48"/>
      <c r="B160" s="60"/>
      <c r="K160" s="58"/>
      <c r="L160" s="60"/>
      <c r="T160" s="58"/>
      <c r="U160" s="60"/>
      <c r="AC160" s="58"/>
      <c r="AD160" s="60"/>
      <c r="AL160" s="58"/>
      <c r="AM160" s="60"/>
      <c r="BI160" s="58"/>
      <c r="BK160" s="49"/>
      <c r="BM160" s="4">
        <f t="shared" si="2"/>
        <v>3</v>
      </c>
    </row>
    <row r="161" spans="1:65" s="46" customFormat="1" ht="15" customHeight="1" x14ac:dyDescent="0.25">
      <c r="A161" s="48"/>
      <c r="B161" s="60"/>
      <c r="K161" s="58"/>
      <c r="L161" s="60"/>
      <c r="T161" s="58"/>
      <c r="U161" s="60"/>
      <c r="AC161" s="58"/>
      <c r="AD161" s="60"/>
      <c r="AL161" s="58"/>
      <c r="AM161" s="60"/>
      <c r="BI161" s="58"/>
      <c r="BK161" s="49"/>
      <c r="BM161" s="4">
        <f t="shared" si="2"/>
        <v>4</v>
      </c>
    </row>
    <row r="162" spans="1:65" s="46" customFormat="1" ht="15" customHeight="1" x14ac:dyDescent="0.25">
      <c r="A162" s="48"/>
      <c r="B162" s="60"/>
      <c r="K162" s="58"/>
      <c r="L162" s="60"/>
      <c r="T162" s="58"/>
      <c r="U162" s="60"/>
      <c r="AC162" s="58"/>
      <c r="AD162" s="60"/>
      <c r="AL162" s="58"/>
      <c r="AM162" s="60"/>
      <c r="BI162" s="58"/>
      <c r="BK162" s="49"/>
      <c r="BM162" s="4">
        <f t="shared" si="2"/>
        <v>5</v>
      </c>
    </row>
    <row r="163" spans="1:65" s="46" customFormat="1" ht="15" customHeight="1" x14ac:dyDescent="0.25">
      <c r="A163" s="48"/>
      <c r="B163" s="60"/>
      <c r="K163" s="58"/>
      <c r="L163" s="60"/>
      <c r="T163" s="58"/>
      <c r="U163" s="60"/>
      <c r="AC163" s="58"/>
      <c r="AD163" s="60"/>
      <c r="AL163" s="58"/>
      <c r="AM163" s="60"/>
      <c r="BI163" s="58"/>
      <c r="BK163" s="49"/>
      <c r="BM163" s="4">
        <f t="shared" si="2"/>
        <v>6</v>
      </c>
    </row>
    <row r="164" spans="1:65" s="46" customFormat="1" ht="15" customHeight="1" x14ac:dyDescent="0.25">
      <c r="A164" s="48"/>
      <c r="B164" s="60"/>
      <c r="K164" s="58"/>
      <c r="L164" s="60"/>
      <c r="T164" s="58"/>
      <c r="U164" s="60"/>
      <c r="AC164" s="58"/>
      <c r="AD164" s="60"/>
      <c r="AL164" s="58"/>
      <c r="AM164" s="60"/>
      <c r="BI164" s="58"/>
      <c r="BK164" s="49"/>
      <c r="BM164" s="4">
        <f t="shared" si="2"/>
        <v>7</v>
      </c>
    </row>
    <row r="165" spans="1:65" s="46" customFormat="1" ht="15" customHeight="1" x14ac:dyDescent="0.25">
      <c r="A165" s="48"/>
      <c r="B165" s="307" t="s">
        <v>78</v>
      </c>
      <c r="C165" s="308"/>
      <c r="D165" s="308"/>
      <c r="E165" s="308"/>
      <c r="F165" s="308"/>
      <c r="G165" s="308"/>
      <c r="H165" s="308"/>
      <c r="I165" s="308"/>
      <c r="J165" s="308"/>
      <c r="K165" s="309"/>
      <c r="L165" s="307"/>
      <c r="M165" s="308"/>
      <c r="N165" s="62"/>
      <c r="O165" s="62"/>
      <c r="P165" s="62"/>
      <c r="Q165" s="62"/>
      <c r="R165" s="62"/>
      <c r="S165" s="62"/>
      <c r="T165" s="63"/>
      <c r="U165" s="61"/>
      <c r="V165" s="62"/>
      <c r="W165" s="62"/>
      <c r="X165" s="62"/>
      <c r="Y165" s="62"/>
      <c r="Z165" s="62"/>
      <c r="AA165" s="62"/>
      <c r="AB165" s="62"/>
      <c r="AC165" s="63"/>
      <c r="AD165" s="61"/>
      <c r="AE165" s="62"/>
      <c r="AF165" s="62"/>
      <c r="AG165" s="62"/>
      <c r="AH165" s="62"/>
      <c r="AI165" s="62"/>
      <c r="AJ165" s="62"/>
      <c r="AK165" s="62"/>
      <c r="AL165" s="63"/>
      <c r="AM165" s="61"/>
      <c r="AN165" s="62"/>
      <c r="AO165" s="62"/>
      <c r="AP165" s="62"/>
      <c r="AQ165" s="62"/>
      <c r="AR165" s="62"/>
      <c r="AS165" s="62"/>
      <c r="AT165" s="62"/>
      <c r="AU165" s="62"/>
      <c r="AV165" s="62"/>
      <c r="AW165" s="62"/>
      <c r="AX165" s="62"/>
      <c r="AY165" s="62"/>
      <c r="AZ165" s="62"/>
      <c r="BA165" s="62"/>
      <c r="BB165" s="62"/>
      <c r="BC165" s="62"/>
      <c r="BD165" s="62"/>
      <c r="BE165" s="62"/>
      <c r="BF165" s="62"/>
      <c r="BG165" s="62"/>
      <c r="BH165" s="62"/>
      <c r="BI165" s="63"/>
      <c r="BJ165" s="62"/>
      <c r="BK165" s="49"/>
      <c r="BM165" s="4">
        <f t="shared" si="2"/>
        <v>8</v>
      </c>
    </row>
    <row r="166" spans="1:65" s="46" customFormat="1" ht="15" customHeight="1" x14ac:dyDescent="0.25">
      <c r="A166" s="48"/>
      <c r="B166" s="60"/>
      <c r="K166" s="58"/>
      <c r="L166" s="60"/>
      <c r="T166" s="58"/>
      <c r="U166" s="60"/>
      <c r="AC166" s="58"/>
      <c r="AD166" s="60"/>
      <c r="AL166" s="58"/>
      <c r="AM166" s="60"/>
      <c r="BI166" s="58"/>
      <c r="BK166" s="49"/>
      <c r="BM166" s="4">
        <f t="shared" si="2"/>
        <v>9</v>
      </c>
    </row>
    <row r="167" spans="1:65" s="46" customFormat="1" ht="15" customHeight="1" x14ac:dyDescent="0.25">
      <c r="A167" s="48"/>
      <c r="B167" s="60"/>
      <c r="K167" s="58"/>
      <c r="L167" s="60"/>
      <c r="T167" s="58"/>
      <c r="U167" s="60"/>
      <c r="AC167" s="58"/>
      <c r="AD167" s="60"/>
      <c r="AL167" s="58"/>
      <c r="AM167" s="60"/>
      <c r="BI167" s="58"/>
      <c r="BK167" s="49"/>
      <c r="BM167" s="4">
        <f t="shared" si="2"/>
        <v>10</v>
      </c>
    </row>
    <row r="168" spans="1:65" s="46" customFormat="1" ht="15" customHeight="1" x14ac:dyDescent="0.25">
      <c r="A168" s="48"/>
      <c r="B168" s="60"/>
      <c r="K168" s="58"/>
      <c r="L168" s="60"/>
      <c r="T168" s="58"/>
      <c r="U168" s="60"/>
      <c r="AC168" s="58"/>
      <c r="AD168" s="60"/>
      <c r="AL168" s="58"/>
      <c r="AM168" s="60"/>
      <c r="BI168" s="58"/>
      <c r="BK168" s="49"/>
      <c r="BM168" s="4">
        <f t="shared" si="2"/>
        <v>11</v>
      </c>
    </row>
    <row r="169" spans="1:65" s="46" customFormat="1" ht="15" customHeight="1" x14ac:dyDescent="0.25">
      <c r="A169" s="48"/>
      <c r="B169" s="60"/>
      <c r="K169" s="58"/>
      <c r="L169" s="60"/>
      <c r="T169" s="58"/>
      <c r="U169" s="60"/>
      <c r="AC169" s="58"/>
      <c r="AD169" s="60"/>
      <c r="AL169" s="58"/>
      <c r="AM169" s="60"/>
      <c r="BI169" s="58"/>
      <c r="BK169" s="49"/>
      <c r="BM169" s="4">
        <f t="shared" si="2"/>
        <v>12</v>
      </c>
    </row>
    <row r="170" spans="1:65" s="46" customFormat="1" ht="15" customHeight="1" x14ac:dyDescent="0.25">
      <c r="A170" s="48"/>
      <c r="B170" s="60"/>
      <c r="K170" s="58"/>
      <c r="L170" s="60"/>
      <c r="T170" s="58"/>
      <c r="U170" s="60"/>
      <c r="AC170" s="58"/>
      <c r="AD170" s="60"/>
      <c r="AL170" s="58"/>
      <c r="AM170" s="60"/>
      <c r="BI170" s="58"/>
      <c r="BK170" s="49"/>
      <c r="BM170" s="4">
        <f t="shared" si="2"/>
        <v>13</v>
      </c>
    </row>
    <row r="171" spans="1:65" s="46" customFormat="1" ht="15" customHeight="1" x14ac:dyDescent="0.25">
      <c r="A171" s="48"/>
      <c r="B171" s="60"/>
      <c r="K171" s="58"/>
      <c r="L171" s="60"/>
      <c r="T171" s="58"/>
      <c r="U171" s="60"/>
      <c r="AC171" s="58"/>
      <c r="AD171" s="60"/>
      <c r="AL171" s="58"/>
      <c r="AM171" s="60"/>
      <c r="BI171" s="58"/>
      <c r="BK171" s="49"/>
      <c r="BM171" s="4">
        <f t="shared" si="2"/>
        <v>14</v>
      </c>
    </row>
    <row r="172" spans="1:65" s="46" customFormat="1" ht="15" customHeight="1" x14ac:dyDescent="0.25">
      <c r="A172" s="48"/>
      <c r="B172" s="60"/>
      <c r="K172" s="58"/>
      <c r="L172" s="60"/>
      <c r="T172" s="58"/>
      <c r="U172" s="60"/>
      <c r="AC172" s="58"/>
      <c r="AD172" s="60"/>
      <c r="AL172" s="58"/>
      <c r="AM172" s="60"/>
      <c r="BI172" s="58"/>
      <c r="BK172" s="49"/>
      <c r="BM172" s="4">
        <f t="shared" si="2"/>
        <v>15</v>
      </c>
    </row>
    <row r="173" spans="1:65" s="46" customFormat="1" ht="15" customHeight="1" x14ac:dyDescent="0.25">
      <c r="A173" s="48"/>
      <c r="B173" s="60"/>
      <c r="K173" s="58"/>
      <c r="L173" s="60"/>
      <c r="T173" s="58"/>
      <c r="U173" s="60"/>
      <c r="AC173" s="58"/>
      <c r="AD173" s="60"/>
      <c r="AL173" s="58"/>
      <c r="AM173" s="60"/>
      <c r="BI173" s="58"/>
      <c r="BK173" s="49"/>
      <c r="BM173" s="4">
        <f t="shared" si="2"/>
        <v>16</v>
      </c>
    </row>
    <row r="174" spans="1:65" s="46" customFormat="1" ht="15" customHeight="1" x14ac:dyDescent="0.25">
      <c r="A174" s="48"/>
      <c r="B174" s="60"/>
      <c r="K174" s="58"/>
      <c r="L174" s="60"/>
      <c r="T174" s="58"/>
      <c r="U174" s="60"/>
      <c r="AC174" s="58"/>
      <c r="AD174" s="60"/>
      <c r="AL174" s="58"/>
      <c r="AM174" s="60"/>
      <c r="BI174" s="58"/>
      <c r="BK174" s="49"/>
      <c r="BM174" s="4">
        <f t="shared" si="2"/>
        <v>17</v>
      </c>
    </row>
    <row r="175" spans="1:65" s="46" customFormat="1" ht="15" customHeight="1" x14ac:dyDescent="0.25">
      <c r="A175" s="48"/>
      <c r="B175" s="60"/>
      <c r="K175" s="58"/>
      <c r="L175" s="60"/>
      <c r="T175" s="58"/>
      <c r="U175" s="60"/>
      <c r="AC175" s="58"/>
      <c r="AD175" s="60"/>
      <c r="AL175" s="58"/>
      <c r="AM175" s="60"/>
      <c r="BI175" s="58"/>
      <c r="BK175" s="49"/>
      <c r="BM175" s="4">
        <f t="shared" si="2"/>
        <v>18</v>
      </c>
    </row>
    <row r="176" spans="1:65" s="46" customFormat="1" ht="15" customHeight="1" x14ac:dyDescent="0.25">
      <c r="A176" s="48"/>
      <c r="B176" s="60"/>
      <c r="K176" s="58"/>
      <c r="L176" s="60"/>
      <c r="T176" s="58"/>
      <c r="U176" s="60"/>
      <c r="AC176" s="58"/>
      <c r="AD176" s="60"/>
      <c r="AL176" s="58"/>
      <c r="AM176" s="64"/>
      <c r="BI176" s="58"/>
      <c r="BK176" s="49"/>
      <c r="BM176" s="4">
        <f t="shared" si="2"/>
        <v>19</v>
      </c>
    </row>
    <row r="177" spans="1:65" s="46" customFormat="1" ht="15" customHeight="1" x14ac:dyDescent="0.25">
      <c r="A177" s="48"/>
      <c r="B177" s="60"/>
      <c r="K177" s="58"/>
      <c r="L177" s="60"/>
      <c r="T177" s="58"/>
      <c r="U177" s="60"/>
      <c r="AC177" s="58"/>
      <c r="AD177" s="60"/>
      <c r="AL177" s="58"/>
      <c r="AM177" s="60"/>
      <c r="BI177" s="58"/>
      <c r="BK177" s="49"/>
      <c r="BM177" s="4">
        <f t="shared" si="2"/>
        <v>20</v>
      </c>
    </row>
    <row r="178" spans="1:65" s="46" customFormat="1" ht="15" customHeight="1" x14ac:dyDescent="0.25">
      <c r="A178" s="48"/>
      <c r="B178" s="60"/>
      <c r="K178" s="58"/>
      <c r="L178" s="60"/>
      <c r="T178" s="58"/>
      <c r="U178" s="60"/>
      <c r="AC178" s="58"/>
      <c r="AD178" s="60"/>
      <c r="AL178" s="58"/>
      <c r="AM178" s="60"/>
      <c r="BI178" s="58"/>
      <c r="BK178" s="49"/>
      <c r="BM178" s="4">
        <f t="shared" si="2"/>
        <v>21</v>
      </c>
    </row>
    <row r="179" spans="1:65" s="46" customFormat="1" ht="15" customHeight="1" x14ac:dyDescent="0.25">
      <c r="A179" s="48"/>
      <c r="B179" s="60"/>
      <c r="K179" s="58"/>
      <c r="L179" s="60"/>
      <c r="T179" s="58"/>
      <c r="U179" s="60"/>
      <c r="AC179" s="58"/>
      <c r="AD179" s="60"/>
      <c r="AL179" s="58"/>
      <c r="AM179" s="60"/>
      <c r="BI179" s="58"/>
      <c r="BK179" s="49"/>
      <c r="BM179" s="4">
        <f t="shared" si="2"/>
        <v>22</v>
      </c>
    </row>
    <row r="180" spans="1:65" s="46" customFormat="1" ht="15" customHeight="1" x14ac:dyDescent="0.25">
      <c r="A180" s="48"/>
      <c r="B180" s="60"/>
      <c r="K180" s="58"/>
      <c r="L180" s="60"/>
      <c r="T180" s="58"/>
      <c r="U180" s="60"/>
      <c r="AC180" s="58"/>
      <c r="AD180" s="60"/>
      <c r="AL180" s="58"/>
      <c r="AM180" s="60"/>
      <c r="BI180" s="58"/>
      <c r="BK180" s="49"/>
      <c r="BM180" s="4">
        <f t="shared" si="2"/>
        <v>23</v>
      </c>
    </row>
    <row r="181" spans="1:65" s="46" customFormat="1" ht="15" customHeight="1" x14ac:dyDescent="0.25">
      <c r="A181" s="48"/>
      <c r="B181" s="60"/>
      <c r="K181" s="58"/>
      <c r="L181" s="60"/>
      <c r="T181" s="58"/>
      <c r="U181" s="60"/>
      <c r="AC181" s="58"/>
      <c r="AD181" s="60"/>
      <c r="AL181" s="58"/>
      <c r="AM181" s="60"/>
      <c r="BI181" s="58"/>
      <c r="BK181" s="49"/>
      <c r="BM181" s="4">
        <f t="shared" si="2"/>
        <v>24</v>
      </c>
    </row>
    <row r="182" spans="1:65" s="46" customFormat="1" ht="15" customHeight="1" x14ac:dyDescent="0.25">
      <c r="A182" s="48"/>
      <c r="B182" s="60"/>
      <c r="K182" s="58"/>
      <c r="L182" s="60"/>
      <c r="T182" s="58"/>
      <c r="U182" s="60"/>
      <c r="AC182" s="58"/>
      <c r="AD182" s="60"/>
      <c r="AL182" s="58"/>
      <c r="AM182" s="60"/>
      <c r="BI182" s="58"/>
      <c r="BK182" s="49"/>
      <c r="BM182" s="4">
        <f t="shared" si="2"/>
        <v>25</v>
      </c>
    </row>
    <row r="183" spans="1:65" s="46" customFormat="1" ht="15" customHeight="1" x14ac:dyDescent="0.25">
      <c r="A183" s="48"/>
      <c r="B183" s="60"/>
      <c r="K183" s="58"/>
      <c r="L183" s="60"/>
      <c r="T183" s="58"/>
      <c r="U183" s="60"/>
      <c r="AC183" s="58"/>
      <c r="AD183" s="60"/>
      <c r="AL183" s="58"/>
      <c r="AM183" s="60"/>
      <c r="BI183" s="58"/>
      <c r="BK183" s="49"/>
      <c r="BM183" s="4">
        <f t="shared" si="2"/>
        <v>26</v>
      </c>
    </row>
    <row r="184" spans="1:65" s="46" customFormat="1" ht="15" customHeight="1" x14ac:dyDescent="0.25">
      <c r="A184" s="48"/>
      <c r="B184" s="60"/>
      <c r="K184" s="58"/>
      <c r="L184" s="60"/>
      <c r="T184" s="58"/>
      <c r="U184" s="60"/>
      <c r="AC184" s="58"/>
      <c r="AD184" s="60"/>
      <c r="AL184" s="58"/>
      <c r="AM184" s="60"/>
      <c r="BI184" s="58"/>
      <c r="BK184" s="49"/>
      <c r="BM184" s="4">
        <f t="shared" si="2"/>
        <v>27</v>
      </c>
    </row>
    <row r="185" spans="1:65" s="46" customFormat="1" ht="15" customHeight="1" x14ac:dyDescent="0.25">
      <c r="A185" s="48"/>
      <c r="B185" s="60"/>
      <c r="K185" s="58"/>
      <c r="L185" s="60"/>
      <c r="T185" s="58"/>
      <c r="U185" s="60"/>
      <c r="AC185" s="58"/>
      <c r="AD185" s="60"/>
      <c r="AL185" s="58"/>
      <c r="AM185" s="60"/>
      <c r="BI185" s="58"/>
      <c r="BK185" s="49"/>
      <c r="BM185" s="4">
        <f t="shared" si="2"/>
        <v>28</v>
      </c>
    </row>
    <row r="186" spans="1:65" s="46" customFormat="1" ht="15" customHeight="1" x14ac:dyDescent="0.25">
      <c r="A186" s="48"/>
      <c r="B186" s="60"/>
      <c r="K186" s="58"/>
      <c r="L186" s="60"/>
      <c r="T186" s="58"/>
      <c r="U186" s="60"/>
      <c r="AC186" s="58"/>
      <c r="AD186" s="60"/>
      <c r="AL186" s="58"/>
      <c r="AM186" s="60"/>
      <c r="BI186" s="58"/>
      <c r="BK186" s="49"/>
      <c r="BM186" s="4">
        <f t="shared" si="2"/>
        <v>29</v>
      </c>
    </row>
    <row r="187" spans="1:65" s="46" customFormat="1" ht="15" customHeight="1" x14ac:dyDescent="0.25">
      <c r="A187" s="48"/>
      <c r="B187" s="60"/>
      <c r="K187" s="58"/>
      <c r="L187" s="60"/>
      <c r="T187" s="58"/>
      <c r="U187" s="60"/>
      <c r="AC187" s="58"/>
      <c r="AD187" s="60"/>
      <c r="AL187" s="58"/>
      <c r="AM187" s="60"/>
      <c r="BI187" s="58"/>
      <c r="BK187" s="49"/>
      <c r="BM187" s="4">
        <f t="shared" si="2"/>
        <v>30</v>
      </c>
    </row>
    <row r="188" spans="1:65" s="46" customFormat="1" ht="15" customHeight="1" x14ac:dyDescent="0.25">
      <c r="A188" s="48"/>
      <c r="B188" s="60"/>
      <c r="K188" s="58"/>
      <c r="L188" s="60"/>
      <c r="T188" s="58"/>
      <c r="U188" s="60"/>
      <c r="AC188" s="58"/>
      <c r="AD188" s="60"/>
      <c r="AL188" s="58"/>
      <c r="AM188" s="60"/>
      <c r="BI188" s="58"/>
      <c r="BK188" s="49"/>
      <c r="BM188" s="4">
        <f t="shared" si="2"/>
        <v>31</v>
      </c>
    </row>
    <row r="189" spans="1:65" s="46" customFormat="1" ht="15" customHeight="1" x14ac:dyDescent="0.25">
      <c r="A189" s="48"/>
      <c r="B189" s="60"/>
      <c r="K189" s="58"/>
      <c r="L189" s="60"/>
      <c r="T189" s="58"/>
      <c r="U189" s="60"/>
      <c r="AC189" s="58"/>
      <c r="AD189" s="60"/>
      <c r="AL189" s="58"/>
      <c r="AM189" s="60"/>
      <c r="BI189" s="58"/>
      <c r="BK189" s="49"/>
      <c r="BM189" s="4">
        <f t="shared" si="2"/>
        <v>32</v>
      </c>
    </row>
    <row r="190" spans="1:65" s="46" customFormat="1" ht="15" customHeight="1" x14ac:dyDescent="0.25">
      <c r="A190" s="48"/>
      <c r="B190" s="60"/>
      <c r="K190" s="58"/>
      <c r="L190" s="60"/>
      <c r="T190" s="58"/>
      <c r="U190" s="60"/>
      <c r="AC190" s="58"/>
      <c r="AD190" s="60"/>
      <c r="AL190" s="58"/>
      <c r="AM190" s="60"/>
      <c r="BI190" s="58"/>
      <c r="BK190" s="49"/>
      <c r="BM190" s="4">
        <f t="shared" si="2"/>
        <v>33</v>
      </c>
    </row>
    <row r="191" spans="1:65" s="46" customFormat="1" ht="15" customHeight="1" x14ac:dyDescent="0.25">
      <c r="A191" s="48"/>
      <c r="B191" s="60"/>
      <c r="K191" s="58"/>
      <c r="L191" s="60"/>
      <c r="T191" s="58"/>
      <c r="U191" s="60"/>
      <c r="AC191" s="58"/>
      <c r="AD191" s="60"/>
      <c r="AL191" s="58"/>
      <c r="AM191" s="60"/>
      <c r="BI191" s="58"/>
      <c r="BK191" s="49"/>
      <c r="BM191" s="4">
        <f t="shared" si="2"/>
        <v>34</v>
      </c>
    </row>
    <row r="192" spans="1:65" s="46" customFormat="1" ht="15" customHeight="1" x14ac:dyDescent="0.25">
      <c r="A192" s="48"/>
      <c r="B192" s="60"/>
      <c r="K192" s="58"/>
      <c r="L192" s="60"/>
      <c r="T192" s="58"/>
      <c r="U192" s="60"/>
      <c r="AC192" s="58"/>
      <c r="AD192" s="60"/>
      <c r="AL192" s="58"/>
      <c r="AM192" s="60"/>
      <c r="BI192" s="58"/>
      <c r="BK192" s="49"/>
      <c r="BM192" s="4">
        <f t="shared" si="2"/>
        <v>35</v>
      </c>
    </row>
    <row r="193" spans="1:65" s="46" customFormat="1" ht="15" customHeight="1" x14ac:dyDescent="0.25">
      <c r="A193" s="48"/>
      <c r="B193" s="60"/>
      <c r="K193" s="58"/>
      <c r="L193" s="60"/>
      <c r="T193" s="58"/>
      <c r="U193" s="60"/>
      <c r="AC193" s="58"/>
      <c r="AD193" s="60"/>
      <c r="AL193" s="58"/>
      <c r="AM193" s="60"/>
      <c r="BI193" s="58"/>
      <c r="BK193" s="49"/>
      <c r="BM193" s="4">
        <f t="shared" si="2"/>
        <v>36</v>
      </c>
    </row>
    <row r="194" spans="1:65" s="46" customFormat="1" ht="15" customHeight="1" x14ac:dyDescent="0.25">
      <c r="A194" s="48"/>
      <c r="B194" s="60"/>
      <c r="K194" s="58"/>
      <c r="L194" s="60"/>
      <c r="T194" s="58"/>
      <c r="U194" s="60"/>
      <c r="AC194" s="58"/>
      <c r="AD194" s="60"/>
      <c r="AL194" s="58"/>
      <c r="AM194" s="60"/>
      <c r="BI194" s="58"/>
      <c r="BK194" s="49"/>
      <c r="BM194" s="4">
        <f t="shared" si="2"/>
        <v>37</v>
      </c>
    </row>
    <row r="195" spans="1:65" s="46" customFormat="1" ht="15" customHeight="1" x14ac:dyDescent="0.25">
      <c r="A195" s="48"/>
      <c r="B195" s="60"/>
      <c r="K195" s="58"/>
      <c r="L195" s="60"/>
      <c r="T195" s="58"/>
      <c r="U195" s="60"/>
      <c r="AC195" s="58"/>
      <c r="AD195" s="60"/>
      <c r="AL195" s="58"/>
      <c r="AM195" s="60"/>
      <c r="BI195" s="58"/>
      <c r="BK195" s="49"/>
      <c r="BM195" s="4">
        <f t="shared" si="2"/>
        <v>38</v>
      </c>
    </row>
    <row r="196" spans="1:65" s="46" customFormat="1" ht="15" customHeight="1" x14ac:dyDescent="0.25">
      <c r="A196" s="48"/>
      <c r="B196" s="60"/>
      <c r="K196" s="58"/>
      <c r="L196" s="60"/>
      <c r="T196" s="58"/>
      <c r="U196" s="60"/>
      <c r="AC196" s="58"/>
      <c r="AD196" s="60"/>
      <c r="AL196" s="58"/>
      <c r="AM196" s="60"/>
      <c r="BI196" s="58"/>
      <c r="BK196" s="49"/>
      <c r="BM196" s="4">
        <f t="shared" si="2"/>
        <v>39</v>
      </c>
    </row>
    <row r="197" spans="1:65" s="46" customFormat="1" ht="15" customHeight="1" x14ac:dyDescent="0.25">
      <c r="A197" s="48"/>
      <c r="B197" s="60"/>
      <c r="K197" s="58"/>
      <c r="L197" s="60"/>
      <c r="T197" s="58"/>
      <c r="U197" s="60"/>
      <c r="AC197" s="58"/>
      <c r="AD197" s="60"/>
      <c r="AL197" s="58"/>
      <c r="AM197" s="60"/>
      <c r="BI197" s="58"/>
      <c r="BK197" s="49"/>
      <c r="BM197" s="4">
        <f t="shared" si="2"/>
        <v>40</v>
      </c>
    </row>
    <row r="198" spans="1:65" s="46" customFormat="1" ht="15" customHeight="1" x14ac:dyDescent="0.25">
      <c r="A198" s="48"/>
      <c r="B198" s="60"/>
      <c r="K198" s="58"/>
      <c r="L198" s="60"/>
      <c r="T198" s="58"/>
      <c r="U198" s="60"/>
      <c r="AC198" s="58"/>
      <c r="AD198" s="60"/>
      <c r="AL198" s="58"/>
      <c r="AM198" s="60"/>
      <c r="BI198" s="58"/>
      <c r="BK198" s="49"/>
      <c r="BM198" s="4">
        <f t="shared" si="2"/>
        <v>41</v>
      </c>
    </row>
    <row r="199" spans="1:65" s="46" customFormat="1" ht="15" customHeight="1" x14ac:dyDescent="0.25">
      <c r="A199" s="48"/>
      <c r="B199" s="60"/>
      <c r="K199" s="58"/>
      <c r="L199" s="60"/>
      <c r="T199" s="58"/>
      <c r="U199" s="60"/>
      <c r="AC199" s="58"/>
      <c r="AD199" s="60"/>
      <c r="AL199" s="58"/>
      <c r="AM199" s="60"/>
      <c r="BI199" s="58"/>
      <c r="BK199" s="49"/>
      <c r="BM199" s="4">
        <f t="shared" si="2"/>
        <v>42</v>
      </c>
    </row>
    <row r="200" spans="1:65" s="46" customFormat="1" ht="15" customHeight="1" x14ac:dyDescent="0.25">
      <c r="A200" s="48"/>
      <c r="B200" s="60"/>
      <c r="K200" s="58"/>
      <c r="L200" s="60"/>
      <c r="T200" s="58"/>
      <c r="U200" s="60"/>
      <c r="AC200" s="58"/>
      <c r="AD200" s="60"/>
      <c r="AL200" s="58"/>
      <c r="AM200" s="60"/>
      <c r="BI200" s="58"/>
      <c r="BK200" s="49"/>
      <c r="BM200" s="4">
        <f t="shared" si="2"/>
        <v>43</v>
      </c>
    </row>
    <row r="201" spans="1:65" s="46" customFormat="1" ht="15" customHeight="1" x14ac:dyDescent="0.25">
      <c r="A201" s="48"/>
      <c r="B201" s="60"/>
      <c r="K201" s="58"/>
      <c r="L201" s="60"/>
      <c r="T201" s="58"/>
      <c r="U201" s="60"/>
      <c r="AC201" s="58"/>
      <c r="AD201" s="60"/>
      <c r="AL201" s="58"/>
      <c r="AM201" s="60"/>
      <c r="BI201" s="58"/>
      <c r="BK201" s="49"/>
      <c r="BM201" s="4">
        <f t="shared" si="2"/>
        <v>44</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17" orientation="landscape" r:id="rId1"/>
  <headerFooter>
    <oddHeader>&amp;R&amp;F</oddHeader>
    <oddFooter>&amp;C&amp;P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4" customWidth="1"/>
    <col min="64" max="16384" width="10.109375" style="4"/>
  </cols>
  <sheetData>
    <row r="1" spans="1:63" ht="24.95" customHeight="1" x14ac:dyDescent="0.25">
      <c r="A1" s="251" t="s">
        <v>37</v>
      </c>
      <c r="B1" s="252"/>
      <c r="C1" s="252"/>
      <c r="D1" s="252"/>
      <c r="E1" s="252"/>
      <c r="F1" s="252"/>
      <c r="G1" s="252"/>
      <c r="H1" s="252"/>
      <c r="I1" s="252"/>
      <c r="J1" s="253"/>
      <c r="K1" s="251" t="s">
        <v>38</v>
      </c>
      <c r="L1" s="252"/>
      <c r="M1" s="252"/>
      <c r="N1" s="252"/>
      <c r="O1" s="252"/>
      <c r="P1" s="252"/>
      <c r="Q1" s="252"/>
      <c r="R1" s="252"/>
      <c r="S1" s="252"/>
      <c r="T1" s="252"/>
      <c r="U1" s="252"/>
      <c r="V1" s="253"/>
      <c r="W1" s="282" t="str">
        <f>IF(表紙!W1="","",表紙!W1)</f>
        <v>基本設計書</v>
      </c>
      <c r="X1" s="283"/>
      <c r="Y1" s="283"/>
      <c r="Z1" s="283"/>
      <c r="AA1" s="283"/>
      <c r="AB1" s="283"/>
      <c r="AC1" s="283"/>
      <c r="AD1" s="283"/>
      <c r="AE1" s="283"/>
      <c r="AF1" s="283"/>
      <c r="AG1" s="283"/>
      <c r="AH1" s="283"/>
      <c r="AI1" s="283"/>
      <c r="AJ1" s="283"/>
      <c r="AK1" s="283"/>
      <c r="AL1" s="283"/>
      <c r="AM1" s="283"/>
      <c r="AN1" s="283"/>
      <c r="AO1" s="284"/>
      <c r="AP1" s="68" t="s">
        <v>40</v>
      </c>
      <c r="AQ1" s="69"/>
      <c r="AR1" s="69"/>
      <c r="AS1" s="70"/>
      <c r="AT1" s="68" t="s">
        <v>41</v>
      </c>
      <c r="AU1" s="69"/>
      <c r="AV1" s="69"/>
      <c r="AW1" s="69"/>
      <c r="AX1" s="70"/>
      <c r="AY1" s="68" t="s">
        <v>42</v>
      </c>
      <c r="AZ1" s="69"/>
      <c r="BA1" s="69"/>
      <c r="BB1" s="70"/>
      <c r="BC1" s="68" t="s">
        <v>43</v>
      </c>
      <c r="BD1" s="69"/>
      <c r="BE1" s="69"/>
      <c r="BF1" s="69"/>
      <c r="BG1" s="70"/>
      <c r="BH1" s="68" t="s">
        <v>44</v>
      </c>
      <c r="BI1" s="69"/>
      <c r="BJ1" s="69"/>
      <c r="BK1" s="70"/>
    </row>
    <row r="2" spans="1:63" ht="15" customHeight="1" x14ac:dyDescent="0.25">
      <c r="A2" s="276" t="str">
        <f>IF(表紙!A2="","",表紙!A2)</f>
        <v>POSサーバー</v>
      </c>
      <c r="B2" s="277"/>
      <c r="C2" s="277"/>
      <c r="D2" s="277"/>
      <c r="E2" s="277"/>
      <c r="F2" s="277"/>
      <c r="G2" s="277"/>
      <c r="H2" s="277"/>
      <c r="I2" s="277"/>
      <c r="J2" s="278"/>
      <c r="K2" s="276" t="str">
        <f>IF(表紙!K2="","",表紙!K2)</f>
        <v>POSサーバ</v>
      </c>
      <c r="L2" s="277"/>
      <c r="M2" s="277"/>
      <c r="N2" s="277"/>
      <c r="O2" s="277"/>
      <c r="P2" s="277"/>
      <c r="Q2" s="277"/>
      <c r="R2" s="277"/>
      <c r="S2" s="277"/>
      <c r="T2" s="277"/>
      <c r="U2" s="277"/>
      <c r="V2" s="278"/>
      <c r="W2" s="285"/>
      <c r="X2" s="286"/>
      <c r="Y2" s="286"/>
      <c r="Z2" s="286"/>
      <c r="AA2" s="286"/>
      <c r="AB2" s="286"/>
      <c r="AC2" s="286"/>
      <c r="AD2" s="286"/>
      <c r="AE2" s="286"/>
      <c r="AF2" s="286"/>
      <c r="AG2" s="286"/>
      <c r="AH2" s="286"/>
      <c r="AI2" s="286"/>
      <c r="AJ2" s="286"/>
      <c r="AK2" s="286"/>
      <c r="AL2" s="286"/>
      <c r="AM2" s="286"/>
      <c r="AN2" s="286"/>
      <c r="AO2" s="287"/>
      <c r="AP2" s="71" t="str">
        <f>IF(表紙!AP2="","",表紙!AP2)</f>
        <v>SonMNT</v>
      </c>
      <c r="AQ2" s="72"/>
      <c r="AR2" s="72"/>
      <c r="AS2" s="73"/>
      <c r="AT2" s="98">
        <f>IF(表紙!AT2="","",表紙!AT2)</f>
        <v>45433</v>
      </c>
      <c r="AU2" s="99"/>
      <c r="AV2" s="99"/>
      <c r="AW2" s="99"/>
      <c r="AX2" s="100"/>
      <c r="AY2" s="71" t="str">
        <f>IF(表紙!AY2="","",表紙!AY2)</f>
        <v>TinNH</v>
      </c>
      <c r="AZ2" s="72"/>
      <c r="BA2" s="72"/>
      <c r="BB2" s="73"/>
      <c r="BC2" s="98">
        <f>IF(表紙!BC2="","",表紙!BC2)</f>
        <v>45605</v>
      </c>
      <c r="BD2" s="99"/>
      <c r="BE2" s="99"/>
      <c r="BF2" s="99"/>
      <c r="BG2" s="100"/>
      <c r="BH2" s="71">
        <f>IF(表紙!BH2="","",表紙!BH2)</f>
        <v>0.4</v>
      </c>
      <c r="BI2" s="72"/>
      <c r="BJ2" s="72"/>
      <c r="BK2" s="73"/>
    </row>
    <row r="3" spans="1:63" ht="15" customHeight="1" x14ac:dyDescent="0.25">
      <c r="A3" s="279"/>
      <c r="B3" s="280"/>
      <c r="C3" s="280"/>
      <c r="D3" s="280"/>
      <c r="E3" s="280"/>
      <c r="F3" s="280"/>
      <c r="G3" s="280"/>
      <c r="H3" s="280"/>
      <c r="I3" s="280"/>
      <c r="J3" s="281"/>
      <c r="K3" s="279"/>
      <c r="L3" s="280"/>
      <c r="M3" s="280"/>
      <c r="N3" s="280"/>
      <c r="O3" s="280"/>
      <c r="P3" s="280"/>
      <c r="Q3" s="280"/>
      <c r="R3" s="280"/>
      <c r="S3" s="280"/>
      <c r="T3" s="280"/>
      <c r="U3" s="280"/>
      <c r="V3" s="281"/>
      <c r="W3" s="288"/>
      <c r="X3" s="289"/>
      <c r="Y3" s="289"/>
      <c r="Z3" s="289"/>
      <c r="AA3" s="289"/>
      <c r="AB3" s="289"/>
      <c r="AC3" s="289"/>
      <c r="AD3" s="289"/>
      <c r="AE3" s="289"/>
      <c r="AF3" s="289"/>
      <c r="AG3" s="289"/>
      <c r="AH3" s="289"/>
      <c r="AI3" s="289"/>
      <c r="AJ3" s="289"/>
      <c r="AK3" s="289"/>
      <c r="AL3" s="289"/>
      <c r="AM3" s="289"/>
      <c r="AN3" s="289"/>
      <c r="AO3" s="290"/>
      <c r="AP3" s="74"/>
      <c r="AQ3" s="75"/>
      <c r="AR3" s="75"/>
      <c r="AS3" s="76"/>
      <c r="AT3" s="101"/>
      <c r="AU3" s="102"/>
      <c r="AV3" s="102"/>
      <c r="AW3" s="102"/>
      <c r="AX3" s="103"/>
      <c r="AY3" s="74"/>
      <c r="AZ3" s="75"/>
      <c r="BA3" s="75"/>
      <c r="BB3" s="76"/>
      <c r="BC3" s="101"/>
      <c r="BD3" s="102"/>
      <c r="BE3" s="102"/>
      <c r="BF3" s="102"/>
      <c r="BG3" s="103"/>
      <c r="BH3" s="74"/>
      <c r="BI3" s="75"/>
      <c r="BJ3" s="75"/>
      <c r="BK3" s="76"/>
    </row>
    <row r="4" spans="1:63" ht="24.95" customHeight="1" x14ac:dyDescent="0.25">
      <c r="A4" s="251" t="s">
        <v>46</v>
      </c>
      <c r="B4" s="252"/>
      <c r="C4" s="252"/>
      <c r="D4" s="252"/>
      <c r="E4" s="252"/>
      <c r="F4" s="252"/>
      <c r="G4" s="253"/>
      <c r="H4" s="254" t="str">
        <f>IF(表紙!H4="","",表紙!H4)</f>
        <v>32_レジ別単品別売上点検</v>
      </c>
      <c r="I4" s="255"/>
      <c r="J4" s="255"/>
      <c r="K4" s="255"/>
      <c r="L4" s="255"/>
      <c r="M4" s="255"/>
      <c r="N4" s="255"/>
      <c r="O4" s="255"/>
      <c r="P4" s="255"/>
      <c r="Q4" s="255"/>
      <c r="R4" s="255"/>
      <c r="S4" s="255"/>
      <c r="T4" s="256"/>
      <c r="U4" s="251" t="s">
        <v>47</v>
      </c>
      <c r="V4" s="252"/>
      <c r="W4" s="252"/>
      <c r="X4" s="252"/>
      <c r="Y4" s="253"/>
      <c r="Z4" s="254" t="str">
        <f>IF(表紙!Z4="","",表紙!Z4)</f>
        <v>概要設計</v>
      </c>
      <c r="AA4" s="255"/>
      <c r="AB4" s="255"/>
      <c r="AC4" s="255"/>
      <c r="AD4" s="255"/>
      <c r="AE4" s="255"/>
      <c r="AF4" s="255"/>
      <c r="AG4" s="255"/>
      <c r="AH4" s="255"/>
      <c r="AI4" s="255"/>
      <c r="AJ4" s="255"/>
      <c r="AK4" s="255"/>
      <c r="AL4" s="255"/>
      <c r="AM4" s="255"/>
      <c r="AN4" s="255"/>
      <c r="AO4" s="256"/>
      <c r="AP4" s="257" t="str">
        <f ca="1">MID(CELL("filename",A1),FIND("]",CELL("filename",A1))+1,255)</f>
        <v>画面設計書</v>
      </c>
      <c r="AQ4" s="255"/>
      <c r="AR4" s="255"/>
      <c r="AS4" s="255"/>
      <c r="AT4" s="255"/>
      <c r="AU4" s="255"/>
      <c r="AV4" s="255"/>
      <c r="AW4" s="255"/>
      <c r="AX4" s="255"/>
      <c r="AY4" s="255"/>
      <c r="AZ4" s="255"/>
      <c r="BA4" s="255"/>
      <c r="BB4" s="255"/>
      <c r="BC4" s="255"/>
      <c r="BD4" s="255"/>
      <c r="BE4" s="255"/>
      <c r="BF4" s="255"/>
      <c r="BG4" s="255"/>
      <c r="BH4" s="255"/>
      <c r="BI4" s="255"/>
      <c r="BJ4" s="255"/>
      <c r="BK4" s="256"/>
    </row>
    <row r="5" spans="1:63" ht="5.0999999999999996" customHeight="1" x14ac:dyDescent="0.25">
      <c r="A5" s="5"/>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7"/>
    </row>
    <row r="6" spans="1:63" ht="15" customHeight="1" x14ac:dyDescent="0.25">
      <c r="A6" s="8"/>
      <c r="BK6" s="9"/>
    </row>
    <row r="7" spans="1:63" ht="15" customHeight="1" x14ac:dyDescent="0.25">
      <c r="A7" s="8"/>
      <c r="B7" s="65" t="s">
        <v>15</v>
      </c>
      <c r="C7" s="65"/>
      <c r="D7" s="65"/>
      <c r="E7" s="65"/>
      <c r="F7" s="65"/>
      <c r="G7" s="65"/>
      <c r="H7" s="65"/>
      <c r="I7" s="65"/>
      <c r="J7" s="65"/>
      <c r="AE7" s="10"/>
      <c r="BK7" s="9"/>
    </row>
    <row r="8" spans="1:63" ht="15" customHeight="1" x14ac:dyDescent="0.25">
      <c r="A8" s="8"/>
      <c r="BK8" s="9"/>
    </row>
    <row r="9" spans="1:63" ht="15" customHeight="1" x14ac:dyDescent="0.25">
      <c r="A9" s="8"/>
      <c r="BK9" s="9"/>
    </row>
    <row r="10" spans="1:63" ht="15" customHeight="1" x14ac:dyDescent="0.25">
      <c r="A10" s="8"/>
      <c r="BK10" s="9"/>
    </row>
    <row r="11" spans="1:63" ht="15" customHeight="1" x14ac:dyDescent="0.25">
      <c r="A11" s="8"/>
      <c r="BK11" s="9"/>
    </row>
    <row r="12" spans="1:63" ht="15" customHeight="1" x14ac:dyDescent="0.25">
      <c r="A12" s="8"/>
      <c r="BK12" s="9"/>
    </row>
    <row r="13" spans="1:63" ht="15" customHeight="1" x14ac:dyDescent="0.25">
      <c r="A13" s="8"/>
      <c r="BK13" s="9"/>
    </row>
    <row r="14" spans="1:63" ht="15" customHeight="1" x14ac:dyDescent="0.25">
      <c r="A14" s="8"/>
      <c r="BK14" s="9"/>
    </row>
    <row r="15" spans="1:63" ht="15" customHeight="1" x14ac:dyDescent="0.25">
      <c r="A15" s="8"/>
      <c r="BK15" s="9"/>
    </row>
    <row r="16" spans="1:63" ht="15" customHeight="1" x14ac:dyDescent="0.25">
      <c r="A16" s="8"/>
      <c r="BK16" s="9"/>
    </row>
    <row r="17" spans="1:63" ht="15" customHeight="1" x14ac:dyDescent="0.25">
      <c r="A17" s="8"/>
      <c r="BK17" s="9"/>
    </row>
    <row r="18" spans="1:63" ht="15" customHeight="1" x14ac:dyDescent="0.25">
      <c r="A18" s="8"/>
      <c r="BK18" s="9"/>
    </row>
    <row r="19" spans="1:63" ht="15" customHeight="1" x14ac:dyDescent="0.25">
      <c r="A19" s="8"/>
      <c r="BK19" s="9"/>
    </row>
    <row r="20" spans="1:63" ht="15" customHeight="1" x14ac:dyDescent="0.25">
      <c r="A20" s="8"/>
      <c r="BK20" s="9"/>
    </row>
    <row r="21" spans="1:63" ht="15" customHeight="1" x14ac:dyDescent="0.25">
      <c r="A21" s="8"/>
      <c r="BK21" s="9"/>
    </row>
    <row r="22" spans="1:63" ht="15" customHeight="1" x14ac:dyDescent="0.25">
      <c r="A22" s="8"/>
      <c r="BK22" s="9"/>
    </row>
    <row r="23" spans="1:63" ht="15" customHeight="1" x14ac:dyDescent="0.25">
      <c r="A23" s="8"/>
      <c r="BK23" s="9"/>
    </row>
    <row r="24" spans="1:63" ht="15" customHeight="1" x14ac:dyDescent="0.25">
      <c r="A24" s="8"/>
      <c r="BK24" s="9"/>
    </row>
    <row r="25" spans="1:63" ht="14.25" customHeight="1" x14ac:dyDescent="0.25">
      <c r="A25" s="8"/>
      <c r="BK25" s="9"/>
    </row>
    <row r="26" spans="1:63" ht="15" customHeight="1" x14ac:dyDescent="0.25">
      <c r="A26" s="8"/>
      <c r="BK26" s="9"/>
    </row>
    <row r="27" spans="1:63" ht="15" customHeight="1" x14ac:dyDescent="0.25">
      <c r="A27" s="8"/>
      <c r="BK27" s="9"/>
    </row>
    <row r="28" spans="1:63" x14ac:dyDescent="0.25">
      <c r="BK28" s="9"/>
    </row>
    <row r="29" spans="1:63" x14ac:dyDescent="0.25">
      <c r="BK29" s="9"/>
    </row>
    <row r="30" spans="1:63" x14ac:dyDescent="0.25">
      <c r="BK30" s="9"/>
    </row>
    <row r="31" spans="1:63" x14ac:dyDescent="0.25">
      <c r="BK31" s="9"/>
    </row>
    <row r="32" spans="1:63" x14ac:dyDescent="0.25">
      <c r="BK32" s="9"/>
    </row>
    <row r="33" spans="1:63" x14ac:dyDescent="0.25">
      <c r="BK33" s="9"/>
    </row>
    <row r="34" spans="1:63" x14ac:dyDescent="0.25">
      <c r="BK34" s="9"/>
    </row>
    <row r="35" spans="1:63" ht="15" customHeight="1" x14ac:dyDescent="0.25">
      <c r="A35" s="8"/>
      <c r="B35" s="10" t="s">
        <v>58</v>
      </c>
      <c r="BK35" s="9"/>
    </row>
    <row r="36" spans="1:63" x14ac:dyDescent="0.25">
      <c r="BK36" s="9"/>
    </row>
    <row r="37" spans="1:63" ht="15.75" customHeight="1" x14ac:dyDescent="0.25">
      <c r="B37" s="258" t="s">
        <v>59</v>
      </c>
      <c r="C37" s="259"/>
      <c r="D37" s="264" t="s">
        <v>60</v>
      </c>
      <c r="E37" s="265"/>
      <c r="F37" s="265"/>
      <c r="G37" s="265"/>
      <c r="H37" s="265"/>
      <c r="I37" s="265"/>
      <c r="J37" s="259"/>
      <c r="K37" s="264" t="s">
        <v>61</v>
      </c>
      <c r="L37" s="265"/>
      <c r="M37" s="259"/>
      <c r="N37" s="268" t="s">
        <v>16</v>
      </c>
      <c r="O37" s="271" t="s">
        <v>62</v>
      </c>
      <c r="P37" s="212" t="s">
        <v>63</v>
      </c>
      <c r="Q37" s="213"/>
      <c r="R37" s="213"/>
      <c r="S37" s="213"/>
      <c r="T37" s="213"/>
      <c r="U37" s="213"/>
      <c r="V37" s="213"/>
      <c r="W37" s="213"/>
      <c r="X37" s="213"/>
      <c r="Y37" s="213"/>
      <c r="Z37" s="213"/>
      <c r="AA37" s="213"/>
      <c r="AB37" s="213"/>
      <c r="AC37" s="213"/>
      <c r="AD37" s="213"/>
      <c r="AE37" s="213"/>
      <c r="AF37" s="213"/>
      <c r="AG37" s="213"/>
      <c r="AH37" s="213"/>
      <c r="AI37" s="213"/>
      <c r="AJ37" s="213"/>
      <c r="AK37" s="213"/>
      <c r="AL37" s="213"/>
      <c r="AM37" s="213"/>
      <c r="AN37" s="213"/>
      <c r="AO37" s="213"/>
      <c r="AP37" s="213"/>
      <c r="AQ37" s="214"/>
      <c r="AR37" s="215" t="s">
        <v>64</v>
      </c>
      <c r="AS37" s="216"/>
      <c r="AT37" s="216"/>
      <c r="AU37" s="216"/>
      <c r="AV37" s="216"/>
      <c r="AW37" s="216"/>
      <c r="AX37" s="216"/>
      <c r="AY37" s="216"/>
      <c r="AZ37" s="216"/>
      <c r="BA37" s="216"/>
      <c r="BB37" s="217"/>
      <c r="BC37" s="218" t="s">
        <v>65</v>
      </c>
      <c r="BD37" s="219"/>
      <c r="BE37" s="219"/>
      <c r="BF37" s="219"/>
      <c r="BG37" s="219"/>
      <c r="BH37" s="219"/>
      <c r="BI37" s="219"/>
      <c r="BJ37" s="220"/>
      <c r="BK37" s="9"/>
    </row>
    <row r="38" spans="1:63" ht="15.75" customHeight="1" x14ac:dyDescent="0.25">
      <c r="B38" s="260"/>
      <c r="C38" s="261"/>
      <c r="D38" s="260"/>
      <c r="E38" s="266"/>
      <c r="F38" s="266"/>
      <c r="G38" s="266"/>
      <c r="H38" s="266"/>
      <c r="I38" s="266"/>
      <c r="J38" s="261"/>
      <c r="K38" s="260"/>
      <c r="L38" s="266"/>
      <c r="M38" s="261"/>
      <c r="N38" s="269"/>
      <c r="O38" s="272"/>
      <c r="P38" s="227" t="s">
        <v>66</v>
      </c>
      <c r="Q38" s="228"/>
      <c r="R38" s="228"/>
      <c r="S38" s="228"/>
      <c r="T38" s="228"/>
      <c r="U38" s="228"/>
      <c r="V38" s="228"/>
      <c r="W38" s="229"/>
      <c r="X38" s="230" t="s">
        <v>67</v>
      </c>
      <c r="Y38" s="231"/>
      <c r="Z38" s="232"/>
      <c r="AA38" s="230" t="s">
        <v>68</v>
      </c>
      <c r="AB38" s="231"/>
      <c r="AC38" s="231"/>
      <c r="AD38" s="231"/>
      <c r="AE38" s="231"/>
      <c r="AF38" s="231"/>
      <c r="AG38" s="231"/>
      <c r="AH38" s="232"/>
      <c r="AI38" s="230" t="s">
        <v>69</v>
      </c>
      <c r="AJ38" s="231"/>
      <c r="AK38" s="231"/>
      <c r="AL38" s="231"/>
      <c r="AM38" s="231"/>
      <c r="AN38" s="231"/>
      <c r="AO38" s="231"/>
      <c r="AP38" s="231"/>
      <c r="AQ38" s="232"/>
      <c r="AR38" s="236" t="s">
        <v>17</v>
      </c>
      <c r="AS38" s="238" t="s">
        <v>70</v>
      </c>
      <c r="AT38" s="240" t="s">
        <v>71</v>
      </c>
      <c r="AU38" s="215" t="s">
        <v>66</v>
      </c>
      <c r="AV38" s="216"/>
      <c r="AW38" s="216"/>
      <c r="AX38" s="216"/>
      <c r="AY38" s="216"/>
      <c r="AZ38" s="216"/>
      <c r="BA38" s="216"/>
      <c r="BB38" s="217"/>
      <c r="BC38" s="221"/>
      <c r="BD38" s="222"/>
      <c r="BE38" s="222"/>
      <c r="BF38" s="222"/>
      <c r="BG38" s="222"/>
      <c r="BH38" s="222"/>
      <c r="BI38" s="222"/>
      <c r="BJ38" s="223"/>
      <c r="BK38" s="9"/>
    </row>
    <row r="39" spans="1:63" x14ac:dyDescent="0.25">
      <c r="B39" s="262"/>
      <c r="C39" s="263"/>
      <c r="D39" s="262"/>
      <c r="E39" s="267"/>
      <c r="F39" s="267"/>
      <c r="G39" s="267"/>
      <c r="H39" s="267"/>
      <c r="I39" s="267"/>
      <c r="J39" s="263"/>
      <c r="K39" s="262"/>
      <c r="L39" s="267"/>
      <c r="M39" s="263"/>
      <c r="N39" s="270"/>
      <c r="O39" s="273"/>
      <c r="P39" s="212" t="s">
        <v>72</v>
      </c>
      <c r="Q39" s="213"/>
      <c r="R39" s="213"/>
      <c r="S39" s="214"/>
      <c r="T39" s="212" t="s">
        <v>60</v>
      </c>
      <c r="U39" s="213"/>
      <c r="V39" s="213"/>
      <c r="W39" s="214"/>
      <c r="X39" s="233"/>
      <c r="Y39" s="234"/>
      <c r="Z39" s="235"/>
      <c r="AA39" s="233"/>
      <c r="AB39" s="234"/>
      <c r="AC39" s="234"/>
      <c r="AD39" s="234"/>
      <c r="AE39" s="234"/>
      <c r="AF39" s="234"/>
      <c r="AG39" s="234"/>
      <c r="AH39" s="235"/>
      <c r="AI39" s="233"/>
      <c r="AJ39" s="234"/>
      <c r="AK39" s="234"/>
      <c r="AL39" s="234"/>
      <c r="AM39" s="234"/>
      <c r="AN39" s="234"/>
      <c r="AO39" s="234"/>
      <c r="AP39" s="234"/>
      <c r="AQ39" s="235"/>
      <c r="AR39" s="237"/>
      <c r="AS39" s="239"/>
      <c r="AT39" s="241"/>
      <c r="AU39" s="215" t="s">
        <v>72</v>
      </c>
      <c r="AV39" s="216"/>
      <c r="AW39" s="216"/>
      <c r="AX39" s="274"/>
      <c r="AY39" s="275" t="s">
        <v>60</v>
      </c>
      <c r="AZ39" s="216"/>
      <c r="BA39" s="216"/>
      <c r="BB39" s="217"/>
      <c r="BC39" s="224"/>
      <c r="BD39" s="225"/>
      <c r="BE39" s="225"/>
      <c r="BF39" s="225"/>
      <c r="BG39" s="225"/>
      <c r="BH39" s="225"/>
      <c r="BI39" s="225"/>
      <c r="BJ39" s="226"/>
      <c r="BK39" s="9"/>
    </row>
    <row r="40" spans="1:63" ht="15.75" customHeight="1" x14ac:dyDescent="0.25">
      <c r="B40" s="205">
        <v>1</v>
      </c>
      <c r="C40" s="206"/>
      <c r="D40" s="207"/>
      <c r="E40" s="208"/>
      <c r="F40" s="208"/>
      <c r="G40" s="208"/>
      <c r="H40" s="208"/>
      <c r="I40" s="208"/>
      <c r="J40" s="209"/>
      <c r="K40" s="188" t="s">
        <v>18</v>
      </c>
      <c r="L40" s="189"/>
      <c r="M40" s="190"/>
      <c r="N40" s="11" t="s">
        <v>19</v>
      </c>
      <c r="O40" s="12" t="s">
        <v>20</v>
      </c>
      <c r="P40" s="210" t="s">
        <v>19</v>
      </c>
      <c r="Q40" s="211"/>
      <c r="R40" s="211"/>
      <c r="S40" s="206"/>
      <c r="T40" s="210" t="s">
        <v>19</v>
      </c>
      <c r="U40" s="211"/>
      <c r="V40" s="211"/>
      <c r="W40" s="206"/>
      <c r="X40" s="242" t="s">
        <v>56</v>
      </c>
      <c r="Y40" s="243"/>
      <c r="Z40" s="244"/>
      <c r="AA40" s="205" t="s">
        <v>21</v>
      </c>
      <c r="AB40" s="211"/>
      <c r="AC40" s="211"/>
      <c r="AD40" s="211"/>
      <c r="AE40" s="211"/>
      <c r="AF40" s="211"/>
      <c r="AG40" s="211"/>
      <c r="AH40" s="206"/>
      <c r="AI40" s="245" t="s">
        <v>19</v>
      </c>
      <c r="AJ40" s="246"/>
      <c r="AK40" s="246"/>
      <c r="AL40" s="246"/>
      <c r="AM40" s="246"/>
      <c r="AN40" s="246"/>
      <c r="AO40" s="246"/>
      <c r="AP40" s="246"/>
      <c r="AQ40" s="247"/>
      <c r="AR40" s="13" t="s">
        <v>19</v>
      </c>
      <c r="AS40" s="13" t="s">
        <v>21</v>
      </c>
      <c r="AT40" s="13" t="s">
        <v>21</v>
      </c>
      <c r="AU40" s="205" t="s">
        <v>22</v>
      </c>
      <c r="AV40" s="211"/>
      <c r="AW40" s="211"/>
      <c r="AX40" s="206"/>
      <c r="AY40" s="205" t="s">
        <v>21</v>
      </c>
      <c r="AZ40" s="211"/>
      <c r="BA40" s="211"/>
      <c r="BB40" s="206"/>
      <c r="BC40" s="248"/>
      <c r="BD40" s="249"/>
      <c r="BE40" s="249"/>
      <c r="BF40" s="249"/>
      <c r="BG40" s="249"/>
      <c r="BH40" s="249"/>
      <c r="BI40" s="249"/>
      <c r="BJ40" s="250"/>
      <c r="BK40" s="9"/>
    </row>
    <row r="41" spans="1:63" x14ac:dyDescent="0.25">
      <c r="B41" s="175">
        <v>2</v>
      </c>
      <c r="C41" s="174"/>
      <c r="D41" s="202"/>
      <c r="E41" s="203"/>
      <c r="F41" s="203"/>
      <c r="G41" s="203"/>
      <c r="H41" s="203"/>
      <c r="I41" s="203"/>
      <c r="J41" s="204"/>
      <c r="K41" s="188" t="s">
        <v>18</v>
      </c>
      <c r="L41" s="189"/>
      <c r="M41" s="190"/>
      <c r="N41" s="12" t="s">
        <v>23</v>
      </c>
      <c r="O41" s="12" t="s">
        <v>20</v>
      </c>
      <c r="P41" s="175" t="s">
        <v>22</v>
      </c>
      <c r="Q41" s="173"/>
      <c r="R41" s="173"/>
      <c r="S41" s="174"/>
      <c r="T41" s="175" t="s">
        <v>22</v>
      </c>
      <c r="U41" s="173"/>
      <c r="V41" s="173"/>
      <c r="W41" s="174"/>
      <c r="X41" s="198" t="s">
        <v>73</v>
      </c>
      <c r="Y41" s="199"/>
      <c r="Z41" s="200"/>
      <c r="AA41" s="175" t="s">
        <v>21</v>
      </c>
      <c r="AB41" s="173"/>
      <c r="AC41" s="173"/>
      <c r="AD41" s="173"/>
      <c r="AE41" s="173"/>
      <c r="AF41" s="173"/>
      <c r="AG41" s="173"/>
      <c r="AH41" s="174"/>
      <c r="AI41" s="176" t="s">
        <v>21</v>
      </c>
      <c r="AJ41" s="177"/>
      <c r="AK41" s="177"/>
      <c r="AL41" s="177"/>
      <c r="AM41" s="177"/>
      <c r="AN41" s="177"/>
      <c r="AO41" s="177"/>
      <c r="AP41" s="177"/>
      <c r="AQ41" s="178"/>
      <c r="AR41" s="14" t="s">
        <v>19</v>
      </c>
      <c r="AS41" s="14" t="s">
        <v>21</v>
      </c>
      <c r="AT41" s="14" t="s">
        <v>21</v>
      </c>
      <c r="AU41" s="175" t="s">
        <v>22</v>
      </c>
      <c r="AV41" s="173"/>
      <c r="AW41" s="173"/>
      <c r="AX41" s="174"/>
      <c r="AY41" s="175" t="s">
        <v>21</v>
      </c>
      <c r="AZ41" s="173"/>
      <c r="BA41" s="173"/>
      <c r="BB41" s="174"/>
      <c r="BC41" s="197"/>
      <c r="BD41" s="180"/>
      <c r="BE41" s="180"/>
      <c r="BF41" s="180"/>
      <c r="BG41" s="180"/>
      <c r="BH41" s="180"/>
      <c r="BI41" s="180"/>
      <c r="BJ41" s="181"/>
      <c r="BK41" s="9"/>
    </row>
    <row r="42" spans="1:63" x14ac:dyDescent="0.25">
      <c r="B42" s="175">
        <v>3</v>
      </c>
      <c r="C42" s="174"/>
      <c r="D42" s="185"/>
      <c r="E42" s="186"/>
      <c r="F42" s="186"/>
      <c r="G42" s="186"/>
      <c r="H42" s="186"/>
      <c r="I42" s="186"/>
      <c r="J42" s="187"/>
      <c r="K42" s="188" t="s">
        <v>18</v>
      </c>
      <c r="L42" s="189"/>
      <c r="M42" s="190"/>
      <c r="N42" s="12" t="s">
        <v>24</v>
      </c>
      <c r="O42" s="12" t="s">
        <v>19</v>
      </c>
      <c r="P42" s="201" t="s">
        <v>19</v>
      </c>
      <c r="Q42" s="173"/>
      <c r="R42" s="173"/>
      <c r="S42" s="174"/>
      <c r="T42" s="175"/>
      <c r="U42" s="173"/>
      <c r="V42" s="173"/>
      <c r="W42" s="174"/>
      <c r="X42" s="194" t="s">
        <v>19</v>
      </c>
      <c r="Y42" s="195"/>
      <c r="Z42" s="196"/>
      <c r="AA42" s="175" t="s">
        <v>21</v>
      </c>
      <c r="AB42" s="173"/>
      <c r="AC42" s="173"/>
      <c r="AD42" s="173"/>
      <c r="AE42" s="173"/>
      <c r="AF42" s="173"/>
      <c r="AG42" s="173"/>
      <c r="AH42" s="174"/>
      <c r="AI42" s="176" t="s">
        <v>21</v>
      </c>
      <c r="AJ42" s="177"/>
      <c r="AK42" s="177"/>
      <c r="AL42" s="177"/>
      <c r="AM42" s="177"/>
      <c r="AN42" s="177"/>
      <c r="AO42" s="177"/>
      <c r="AP42" s="177"/>
      <c r="AQ42" s="178"/>
      <c r="AR42" s="14" t="s">
        <v>19</v>
      </c>
      <c r="AS42" s="14" t="s">
        <v>21</v>
      </c>
      <c r="AT42" s="14" t="s">
        <v>21</v>
      </c>
      <c r="AU42" s="175" t="s">
        <v>22</v>
      </c>
      <c r="AV42" s="173"/>
      <c r="AW42" s="173"/>
      <c r="AX42" s="174"/>
      <c r="AY42" s="175" t="s">
        <v>21</v>
      </c>
      <c r="AZ42" s="173"/>
      <c r="BA42" s="173"/>
      <c r="BB42" s="174"/>
      <c r="BC42" s="179"/>
      <c r="BD42" s="180"/>
      <c r="BE42" s="180"/>
      <c r="BF42" s="180"/>
      <c r="BG42" s="180"/>
      <c r="BH42" s="180"/>
      <c r="BI42" s="180"/>
      <c r="BJ42" s="181"/>
      <c r="BK42" s="9"/>
    </row>
    <row r="43" spans="1:63" x14ac:dyDescent="0.25">
      <c r="B43" s="175">
        <v>4</v>
      </c>
      <c r="C43" s="174"/>
      <c r="D43" s="191"/>
      <c r="E43" s="192"/>
      <c r="F43" s="192"/>
      <c r="G43" s="192"/>
      <c r="H43" s="192"/>
      <c r="I43" s="192"/>
      <c r="J43" s="193"/>
      <c r="K43" s="188" t="s">
        <v>18</v>
      </c>
      <c r="L43" s="189"/>
      <c r="M43" s="190"/>
      <c r="N43" s="15" t="s">
        <v>23</v>
      </c>
      <c r="O43" s="12" t="s">
        <v>20</v>
      </c>
      <c r="P43" s="175" t="s">
        <v>22</v>
      </c>
      <c r="Q43" s="173"/>
      <c r="R43" s="173"/>
      <c r="S43" s="174"/>
      <c r="T43" s="175" t="s">
        <v>22</v>
      </c>
      <c r="U43" s="173"/>
      <c r="V43" s="173"/>
      <c r="W43" s="174"/>
      <c r="X43" s="172" t="s">
        <v>57</v>
      </c>
      <c r="Y43" s="173"/>
      <c r="Z43" s="174"/>
      <c r="AA43" s="175" t="s">
        <v>21</v>
      </c>
      <c r="AB43" s="173"/>
      <c r="AC43" s="173"/>
      <c r="AD43" s="173"/>
      <c r="AE43" s="173"/>
      <c r="AF43" s="173"/>
      <c r="AG43" s="173"/>
      <c r="AH43" s="174"/>
      <c r="AI43" s="176" t="s">
        <v>21</v>
      </c>
      <c r="AJ43" s="177"/>
      <c r="AK43" s="177"/>
      <c r="AL43" s="177"/>
      <c r="AM43" s="177"/>
      <c r="AN43" s="177"/>
      <c r="AO43" s="177"/>
      <c r="AP43" s="177"/>
      <c r="AQ43" s="178"/>
      <c r="AR43" s="14" t="s">
        <v>19</v>
      </c>
      <c r="AS43" s="14" t="s">
        <v>21</v>
      </c>
      <c r="AT43" s="14" t="s">
        <v>21</v>
      </c>
      <c r="AU43" s="175" t="s">
        <v>22</v>
      </c>
      <c r="AV43" s="173"/>
      <c r="AW43" s="173"/>
      <c r="AX43" s="174"/>
      <c r="AY43" s="175" t="s">
        <v>21</v>
      </c>
      <c r="AZ43" s="173"/>
      <c r="BA43" s="173"/>
      <c r="BB43" s="174"/>
      <c r="BC43" s="182"/>
      <c r="BD43" s="183"/>
      <c r="BE43" s="183"/>
      <c r="BF43" s="183"/>
      <c r="BG43" s="183"/>
      <c r="BH43" s="183"/>
      <c r="BI43" s="183"/>
      <c r="BJ43" s="184"/>
      <c r="BK43" s="9"/>
    </row>
    <row r="44" spans="1:63" x14ac:dyDescent="0.25">
      <c r="B44" s="175">
        <v>5</v>
      </c>
      <c r="C44" s="174"/>
      <c r="D44" s="185"/>
      <c r="E44" s="186"/>
      <c r="F44" s="186"/>
      <c r="G44" s="186"/>
      <c r="H44" s="186"/>
      <c r="I44" s="186"/>
      <c r="J44" s="187"/>
      <c r="K44" s="188" t="s">
        <v>25</v>
      </c>
      <c r="L44" s="189"/>
      <c r="M44" s="190"/>
      <c r="N44" s="15" t="s">
        <v>24</v>
      </c>
      <c r="O44" s="12" t="s">
        <v>19</v>
      </c>
      <c r="P44" s="175" t="s">
        <v>22</v>
      </c>
      <c r="Q44" s="173"/>
      <c r="R44" s="173"/>
      <c r="S44" s="174"/>
      <c r="T44" s="175" t="s">
        <v>22</v>
      </c>
      <c r="U44" s="173"/>
      <c r="V44" s="173"/>
      <c r="W44" s="174"/>
      <c r="X44" s="172" t="s">
        <v>19</v>
      </c>
      <c r="Y44" s="173"/>
      <c r="Z44" s="174"/>
      <c r="AA44" s="175" t="s">
        <v>21</v>
      </c>
      <c r="AB44" s="173"/>
      <c r="AC44" s="173"/>
      <c r="AD44" s="173"/>
      <c r="AE44" s="173"/>
      <c r="AF44" s="173"/>
      <c r="AG44" s="173"/>
      <c r="AH44" s="174"/>
      <c r="AI44" s="176" t="s">
        <v>21</v>
      </c>
      <c r="AJ44" s="177"/>
      <c r="AK44" s="177"/>
      <c r="AL44" s="177"/>
      <c r="AM44" s="177"/>
      <c r="AN44" s="177"/>
      <c r="AO44" s="177"/>
      <c r="AP44" s="177"/>
      <c r="AQ44" s="178"/>
      <c r="AR44" s="14" t="s">
        <v>19</v>
      </c>
      <c r="AS44" s="14" t="s">
        <v>21</v>
      </c>
      <c r="AT44" s="14" t="s">
        <v>21</v>
      </c>
      <c r="AU44" s="175" t="s">
        <v>22</v>
      </c>
      <c r="AV44" s="173"/>
      <c r="AW44" s="173"/>
      <c r="AX44" s="174"/>
      <c r="AY44" s="175" t="s">
        <v>21</v>
      </c>
      <c r="AZ44" s="173"/>
      <c r="BA44" s="173"/>
      <c r="BB44" s="174"/>
      <c r="BC44" s="179"/>
      <c r="BD44" s="180"/>
      <c r="BE44" s="180"/>
      <c r="BF44" s="180"/>
      <c r="BG44" s="180"/>
      <c r="BH44" s="180"/>
      <c r="BI44" s="180"/>
      <c r="BJ44" s="181"/>
      <c r="BK44" s="9"/>
    </row>
    <row r="45" spans="1:63" x14ac:dyDescent="0.25">
      <c r="B45" s="154">
        <v>6</v>
      </c>
      <c r="C45" s="156"/>
      <c r="D45" s="163"/>
      <c r="E45" s="164"/>
      <c r="F45" s="164"/>
      <c r="G45" s="164"/>
      <c r="H45" s="164"/>
      <c r="I45" s="164"/>
      <c r="J45" s="165"/>
      <c r="K45" s="166" t="s">
        <v>26</v>
      </c>
      <c r="L45" s="167"/>
      <c r="M45" s="168"/>
      <c r="N45" s="16" t="s">
        <v>24</v>
      </c>
      <c r="O45" s="16" t="s">
        <v>20</v>
      </c>
      <c r="P45" s="154" t="s">
        <v>22</v>
      </c>
      <c r="Q45" s="155"/>
      <c r="R45" s="155"/>
      <c r="S45" s="156"/>
      <c r="T45" s="154" t="s">
        <v>22</v>
      </c>
      <c r="U45" s="155"/>
      <c r="V45" s="155"/>
      <c r="W45" s="156"/>
      <c r="X45" s="169" t="s">
        <v>74</v>
      </c>
      <c r="Y45" s="170"/>
      <c r="Z45" s="171"/>
      <c r="AA45" s="154" t="s">
        <v>21</v>
      </c>
      <c r="AB45" s="155"/>
      <c r="AC45" s="155"/>
      <c r="AD45" s="155"/>
      <c r="AE45" s="155"/>
      <c r="AF45" s="155"/>
      <c r="AG45" s="155"/>
      <c r="AH45" s="156"/>
      <c r="AI45" s="157" t="s">
        <v>27</v>
      </c>
      <c r="AJ45" s="158"/>
      <c r="AK45" s="158"/>
      <c r="AL45" s="158"/>
      <c r="AM45" s="158"/>
      <c r="AN45" s="158"/>
      <c r="AO45" s="158"/>
      <c r="AP45" s="158"/>
      <c r="AQ45" s="159"/>
      <c r="AR45" s="17" t="s">
        <v>19</v>
      </c>
      <c r="AS45" s="17" t="s">
        <v>21</v>
      </c>
      <c r="AT45" s="17" t="s">
        <v>21</v>
      </c>
      <c r="AU45" s="154" t="s">
        <v>22</v>
      </c>
      <c r="AV45" s="155"/>
      <c r="AW45" s="155"/>
      <c r="AX45" s="156"/>
      <c r="AY45" s="154" t="s">
        <v>21</v>
      </c>
      <c r="AZ45" s="155"/>
      <c r="BA45" s="155"/>
      <c r="BB45" s="156"/>
      <c r="BC45" s="160" t="s">
        <v>28</v>
      </c>
      <c r="BD45" s="161"/>
      <c r="BE45" s="161"/>
      <c r="BF45" s="161"/>
      <c r="BG45" s="161"/>
      <c r="BH45" s="161"/>
      <c r="BI45" s="161"/>
      <c r="BJ45" s="162"/>
      <c r="BK45" s="9"/>
    </row>
    <row r="46" spans="1:63" x14ac:dyDescent="0.25">
      <c r="BK46" s="9"/>
    </row>
    <row r="47" spans="1:63" x14ac:dyDescent="0.25">
      <c r="BK47" s="9"/>
    </row>
    <row r="48" spans="1:63" x14ac:dyDescent="0.25">
      <c r="BK48" s="9"/>
    </row>
    <row r="49" spans="1:63" x14ac:dyDescent="0.25">
      <c r="BK49" s="9"/>
    </row>
    <row r="50" spans="1:63" x14ac:dyDescent="0.25">
      <c r="BK50" s="9"/>
    </row>
    <row r="51" spans="1:63" x14ac:dyDescent="0.25">
      <c r="BK51" s="9"/>
    </row>
    <row r="52" spans="1:63" x14ac:dyDescent="0.25">
      <c r="BK52" s="9"/>
    </row>
    <row r="53" spans="1:63" x14ac:dyDescent="0.25">
      <c r="BK53" s="9"/>
    </row>
    <row r="54" spans="1:63" x14ac:dyDescent="0.25">
      <c r="BK54" s="9"/>
    </row>
    <row r="55" spans="1:63"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7"/>
    </row>
  </sheetData>
  <mergeCells count="10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37:C39"/>
    <mergeCell ref="D37:J39"/>
    <mergeCell ref="K37:M39"/>
    <mergeCell ref="N37:N39"/>
    <mergeCell ref="O37:O39"/>
    <mergeCell ref="AU39:AX39"/>
    <mergeCell ref="AY39:BB39"/>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B42:C42"/>
    <mergeCell ref="D42:J42"/>
    <mergeCell ref="K42:M42"/>
    <mergeCell ref="P42:S42"/>
    <mergeCell ref="T42:W42"/>
    <mergeCell ref="B41:C41"/>
    <mergeCell ref="D41:J41"/>
    <mergeCell ref="K41:M41"/>
    <mergeCell ref="P41:S41"/>
    <mergeCell ref="T41:W41"/>
    <mergeCell ref="X42:Z42"/>
    <mergeCell ref="AA42:AH42"/>
    <mergeCell ref="AI42:AQ42"/>
    <mergeCell ref="AU42:AX42"/>
    <mergeCell ref="AY42:BB42"/>
    <mergeCell ref="BC42:BJ42"/>
    <mergeCell ref="AA41:AH41"/>
    <mergeCell ref="AI41:AQ41"/>
    <mergeCell ref="AU41:AX41"/>
    <mergeCell ref="AY41:BB41"/>
    <mergeCell ref="BC41:BJ41"/>
    <mergeCell ref="X41:Z41"/>
    <mergeCell ref="B44:C44"/>
    <mergeCell ref="D44:J44"/>
    <mergeCell ref="K44:M44"/>
    <mergeCell ref="P44:S44"/>
    <mergeCell ref="T44:W44"/>
    <mergeCell ref="B43:C43"/>
    <mergeCell ref="D43:J43"/>
    <mergeCell ref="K43:M43"/>
    <mergeCell ref="P43:S43"/>
    <mergeCell ref="T43:W43"/>
    <mergeCell ref="X44:Z44"/>
    <mergeCell ref="AA44:AH44"/>
    <mergeCell ref="AI44:AQ44"/>
    <mergeCell ref="AU44:AX44"/>
    <mergeCell ref="AY44:BB44"/>
    <mergeCell ref="BC44:BJ44"/>
    <mergeCell ref="AA43:AH43"/>
    <mergeCell ref="AI43:AQ43"/>
    <mergeCell ref="AU43:AX43"/>
    <mergeCell ref="AY43:BB43"/>
    <mergeCell ref="BC43:BJ43"/>
    <mergeCell ref="X43:Z43"/>
    <mergeCell ref="AA45:AH45"/>
    <mergeCell ref="AI45:AQ45"/>
    <mergeCell ref="AU45:AX45"/>
    <mergeCell ref="AY45:BB45"/>
    <mergeCell ref="BC45:BJ45"/>
    <mergeCell ref="B45:C45"/>
    <mergeCell ref="D45:J45"/>
    <mergeCell ref="K45:M45"/>
    <mergeCell ref="P45:S45"/>
    <mergeCell ref="T45:W45"/>
    <mergeCell ref="X45:Z45"/>
  </mergeCells>
  <dataValidations count="1">
    <dataValidation type="list" allowBlank="1" showInputMessage="1" showErrorMessage="1" sqref="O40:O45" xr:uid="{00000000-0002-0000-0500-000000000000}">
      <formula1>"－,●"</formula1>
    </dataValidation>
  </dataValidations>
  <pageMargins left="0.7" right="0.7" top="0.75" bottom="0.75" header="0.3" footer="0.3"/>
  <pageSetup scale="3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18" customWidth="1"/>
    <col min="61" max="16384" width="2.77734375" style="18"/>
  </cols>
  <sheetData>
    <row r="1" spans="1:63" ht="24.95" customHeight="1" x14ac:dyDescent="0.25">
      <c r="A1" s="251" t="s">
        <v>37</v>
      </c>
      <c r="B1" s="252"/>
      <c r="C1" s="252"/>
      <c r="D1" s="252"/>
      <c r="E1" s="252"/>
      <c r="F1" s="252"/>
      <c r="G1" s="252"/>
      <c r="H1" s="252"/>
      <c r="I1" s="252"/>
      <c r="J1" s="253"/>
      <c r="K1" s="251" t="s">
        <v>38</v>
      </c>
      <c r="L1" s="252"/>
      <c r="M1" s="252"/>
      <c r="N1" s="252"/>
      <c r="O1" s="252"/>
      <c r="P1" s="252"/>
      <c r="Q1" s="252"/>
      <c r="R1" s="252"/>
      <c r="S1" s="252"/>
      <c r="T1" s="252"/>
      <c r="U1" s="252"/>
      <c r="V1" s="253"/>
      <c r="W1" s="282" t="str">
        <f>IF(表紙!W1="","",表紙!W1)</f>
        <v>基本設計書</v>
      </c>
      <c r="X1" s="283"/>
      <c r="Y1" s="283"/>
      <c r="Z1" s="283"/>
      <c r="AA1" s="283"/>
      <c r="AB1" s="283"/>
      <c r="AC1" s="283"/>
      <c r="AD1" s="283"/>
      <c r="AE1" s="283"/>
      <c r="AF1" s="283"/>
      <c r="AG1" s="283"/>
      <c r="AH1" s="283"/>
      <c r="AI1" s="283"/>
      <c r="AJ1" s="283"/>
      <c r="AK1" s="283"/>
      <c r="AL1" s="283"/>
      <c r="AM1" s="283"/>
      <c r="AN1" s="283"/>
      <c r="AO1" s="284"/>
      <c r="AP1" s="68" t="s">
        <v>40</v>
      </c>
      <c r="AQ1" s="69"/>
      <c r="AR1" s="69"/>
      <c r="AS1" s="70"/>
      <c r="AT1" s="68" t="s">
        <v>41</v>
      </c>
      <c r="AU1" s="69"/>
      <c r="AV1" s="69"/>
      <c r="AW1" s="69"/>
      <c r="AX1" s="70"/>
      <c r="AY1" s="68" t="s">
        <v>42</v>
      </c>
      <c r="AZ1" s="69"/>
      <c r="BA1" s="69"/>
      <c r="BB1" s="70"/>
      <c r="BC1" s="68" t="s">
        <v>43</v>
      </c>
      <c r="BD1" s="69"/>
      <c r="BE1" s="69"/>
      <c r="BF1" s="69"/>
      <c r="BG1" s="70"/>
      <c r="BH1" s="68" t="s">
        <v>44</v>
      </c>
      <c r="BI1" s="69"/>
      <c r="BJ1" s="69"/>
      <c r="BK1" s="70"/>
    </row>
    <row r="2" spans="1:63" ht="15" customHeight="1" x14ac:dyDescent="0.25">
      <c r="A2" s="276" t="str">
        <f>IF(表紙!A2="","",表紙!A2)</f>
        <v>POSサーバー</v>
      </c>
      <c r="B2" s="277"/>
      <c r="C2" s="277"/>
      <c r="D2" s="277"/>
      <c r="E2" s="277"/>
      <c r="F2" s="277"/>
      <c r="G2" s="277"/>
      <c r="H2" s="277"/>
      <c r="I2" s="277"/>
      <c r="J2" s="278"/>
      <c r="K2" s="276" t="str">
        <f>IF(表紙!K2="","",表紙!K2)</f>
        <v>POSサーバ</v>
      </c>
      <c r="L2" s="277"/>
      <c r="M2" s="277"/>
      <c r="N2" s="277"/>
      <c r="O2" s="277"/>
      <c r="P2" s="277"/>
      <c r="Q2" s="277"/>
      <c r="R2" s="277"/>
      <c r="S2" s="277"/>
      <c r="T2" s="277"/>
      <c r="U2" s="277"/>
      <c r="V2" s="278"/>
      <c r="W2" s="285"/>
      <c r="X2" s="286"/>
      <c r="Y2" s="286"/>
      <c r="Z2" s="286"/>
      <c r="AA2" s="286"/>
      <c r="AB2" s="286"/>
      <c r="AC2" s="286"/>
      <c r="AD2" s="286"/>
      <c r="AE2" s="286"/>
      <c r="AF2" s="286"/>
      <c r="AG2" s="286"/>
      <c r="AH2" s="286"/>
      <c r="AI2" s="286"/>
      <c r="AJ2" s="286"/>
      <c r="AK2" s="286"/>
      <c r="AL2" s="286"/>
      <c r="AM2" s="286"/>
      <c r="AN2" s="286"/>
      <c r="AO2" s="287"/>
      <c r="AP2" s="71" t="str">
        <f>IF(表紙!AP2="","",表紙!AP2)</f>
        <v>SonMNT</v>
      </c>
      <c r="AQ2" s="72"/>
      <c r="AR2" s="72"/>
      <c r="AS2" s="73"/>
      <c r="AT2" s="98">
        <f>IF(表紙!AT2="","",表紙!AT2)</f>
        <v>45433</v>
      </c>
      <c r="AU2" s="99"/>
      <c r="AV2" s="99"/>
      <c r="AW2" s="99"/>
      <c r="AX2" s="100"/>
      <c r="AY2" s="71" t="str">
        <f>IF(表紙!AY2="","",表紙!AY2)</f>
        <v>TinNH</v>
      </c>
      <c r="AZ2" s="72"/>
      <c r="BA2" s="72"/>
      <c r="BB2" s="73"/>
      <c r="BC2" s="98">
        <f>IF(表紙!BC2="","",表紙!BC2)</f>
        <v>45605</v>
      </c>
      <c r="BD2" s="99"/>
      <c r="BE2" s="99"/>
      <c r="BF2" s="99"/>
      <c r="BG2" s="100"/>
      <c r="BH2" s="71">
        <f>IF(表紙!BH2="","",表紙!BH2)</f>
        <v>0.4</v>
      </c>
      <c r="BI2" s="72"/>
      <c r="BJ2" s="72"/>
      <c r="BK2" s="73"/>
    </row>
    <row r="3" spans="1:63" ht="15" customHeight="1" x14ac:dyDescent="0.25">
      <c r="A3" s="279"/>
      <c r="B3" s="280"/>
      <c r="C3" s="280"/>
      <c r="D3" s="280"/>
      <c r="E3" s="280"/>
      <c r="F3" s="280"/>
      <c r="G3" s="280"/>
      <c r="H3" s="280"/>
      <c r="I3" s="280"/>
      <c r="J3" s="281"/>
      <c r="K3" s="279"/>
      <c r="L3" s="280"/>
      <c r="M3" s="280"/>
      <c r="N3" s="280"/>
      <c r="O3" s="280"/>
      <c r="P3" s="280"/>
      <c r="Q3" s="280"/>
      <c r="R3" s="280"/>
      <c r="S3" s="280"/>
      <c r="T3" s="280"/>
      <c r="U3" s="280"/>
      <c r="V3" s="281"/>
      <c r="W3" s="288"/>
      <c r="X3" s="289"/>
      <c r="Y3" s="289"/>
      <c r="Z3" s="289"/>
      <c r="AA3" s="289"/>
      <c r="AB3" s="289"/>
      <c r="AC3" s="289"/>
      <c r="AD3" s="289"/>
      <c r="AE3" s="289"/>
      <c r="AF3" s="289"/>
      <c r="AG3" s="289"/>
      <c r="AH3" s="289"/>
      <c r="AI3" s="289"/>
      <c r="AJ3" s="289"/>
      <c r="AK3" s="289"/>
      <c r="AL3" s="289"/>
      <c r="AM3" s="289"/>
      <c r="AN3" s="289"/>
      <c r="AO3" s="290"/>
      <c r="AP3" s="74"/>
      <c r="AQ3" s="75"/>
      <c r="AR3" s="75"/>
      <c r="AS3" s="76"/>
      <c r="AT3" s="101"/>
      <c r="AU3" s="102"/>
      <c r="AV3" s="102"/>
      <c r="AW3" s="102"/>
      <c r="AX3" s="103"/>
      <c r="AY3" s="74"/>
      <c r="AZ3" s="75"/>
      <c r="BA3" s="75"/>
      <c r="BB3" s="76"/>
      <c r="BC3" s="101"/>
      <c r="BD3" s="102"/>
      <c r="BE3" s="102"/>
      <c r="BF3" s="102"/>
      <c r="BG3" s="103"/>
      <c r="BH3" s="74"/>
      <c r="BI3" s="75"/>
      <c r="BJ3" s="75"/>
      <c r="BK3" s="76"/>
    </row>
    <row r="4" spans="1:63" ht="24.95" customHeight="1" x14ac:dyDescent="0.25">
      <c r="A4" s="251" t="s">
        <v>46</v>
      </c>
      <c r="B4" s="252"/>
      <c r="C4" s="252"/>
      <c r="D4" s="252"/>
      <c r="E4" s="252"/>
      <c r="F4" s="252"/>
      <c r="G4" s="253"/>
      <c r="H4" s="254" t="str">
        <f>IF(表紙!H4="","",表紙!H4)</f>
        <v>32_レジ別単品別売上点検</v>
      </c>
      <c r="I4" s="255"/>
      <c r="J4" s="255"/>
      <c r="K4" s="255"/>
      <c r="L4" s="255"/>
      <c r="M4" s="255"/>
      <c r="N4" s="255"/>
      <c r="O4" s="255"/>
      <c r="P4" s="255"/>
      <c r="Q4" s="255"/>
      <c r="R4" s="255"/>
      <c r="S4" s="255"/>
      <c r="T4" s="256"/>
      <c r="U4" s="251" t="s">
        <v>47</v>
      </c>
      <c r="V4" s="252"/>
      <c r="W4" s="252"/>
      <c r="X4" s="252"/>
      <c r="Y4" s="253"/>
      <c r="Z4" s="254" t="str">
        <f>IF(表紙!Z4="","",表紙!Z4)</f>
        <v>概要設計</v>
      </c>
      <c r="AA4" s="255"/>
      <c r="AB4" s="255"/>
      <c r="AC4" s="255"/>
      <c r="AD4" s="255"/>
      <c r="AE4" s="255"/>
      <c r="AF4" s="255"/>
      <c r="AG4" s="255"/>
      <c r="AH4" s="255"/>
      <c r="AI4" s="255"/>
      <c r="AJ4" s="255"/>
      <c r="AK4" s="255"/>
      <c r="AL4" s="255"/>
      <c r="AM4" s="255"/>
      <c r="AN4" s="255"/>
      <c r="AO4" s="256"/>
      <c r="AP4" s="257" t="str">
        <f ca="1">MID(CELL("filename",A1),FIND("]",CELL("filename",A1))+1,255)</f>
        <v>テンプレート</v>
      </c>
      <c r="AQ4" s="255"/>
      <c r="AR4" s="255"/>
      <c r="AS4" s="255"/>
      <c r="AT4" s="255"/>
      <c r="AU4" s="255"/>
      <c r="AV4" s="255"/>
      <c r="AW4" s="255"/>
      <c r="AX4" s="255"/>
      <c r="AY4" s="255"/>
      <c r="AZ4" s="255"/>
      <c r="BA4" s="255"/>
      <c r="BB4" s="255"/>
      <c r="BC4" s="255"/>
      <c r="BD4" s="255"/>
      <c r="BE4" s="255"/>
      <c r="BF4" s="255"/>
      <c r="BG4" s="255"/>
      <c r="BH4" s="255"/>
      <c r="BI4" s="255"/>
      <c r="BJ4" s="255"/>
      <c r="BK4" s="256"/>
    </row>
    <row r="5" spans="1:63"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63" ht="15" customHeight="1" x14ac:dyDescent="0.25">
      <c r="A6" s="22"/>
      <c r="BK6" s="23"/>
    </row>
    <row r="7" spans="1:63" ht="15" customHeight="1" x14ac:dyDescent="0.25">
      <c r="A7" s="22"/>
      <c r="B7" s="53"/>
      <c r="C7" s="54"/>
      <c r="D7" s="55"/>
      <c r="E7" s="55"/>
      <c r="F7" s="55"/>
      <c r="G7" s="55"/>
      <c r="H7" s="55"/>
      <c r="I7" s="55"/>
      <c r="J7" s="55"/>
      <c r="K7" s="55"/>
      <c r="L7" s="55"/>
      <c r="M7" s="55"/>
      <c r="N7" s="55"/>
      <c r="O7" s="55"/>
      <c r="P7" s="55"/>
      <c r="Q7" s="55"/>
      <c r="R7" s="55"/>
      <c r="S7" s="55"/>
      <c r="T7" s="56"/>
      <c r="U7" s="54"/>
      <c r="V7" s="55"/>
      <c r="W7" s="55"/>
      <c r="X7" s="55"/>
      <c r="Y7" s="55"/>
      <c r="Z7" s="55"/>
      <c r="AA7" s="55"/>
      <c r="AB7" s="55"/>
      <c r="AC7" s="56"/>
      <c r="AD7" s="54"/>
      <c r="AE7" s="55"/>
      <c r="AF7" s="55"/>
      <c r="AG7" s="55"/>
      <c r="AH7" s="55"/>
      <c r="AI7" s="55"/>
      <c r="AJ7" s="55"/>
      <c r="AK7" s="55"/>
      <c r="AL7" s="56"/>
      <c r="AM7" s="54"/>
      <c r="AN7" s="55"/>
      <c r="AO7" s="55"/>
      <c r="AP7" s="55"/>
      <c r="AQ7" s="55"/>
      <c r="AR7" s="55"/>
      <c r="AS7" s="55"/>
      <c r="AT7" s="55"/>
      <c r="AU7" s="55"/>
      <c r="AV7" s="55"/>
      <c r="AW7" s="55"/>
      <c r="AX7" s="55"/>
      <c r="AY7" s="55"/>
      <c r="AZ7" s="55"/>
      <c r="BA7" s="55"/>
      <c r="BB7" s="55"/>
      <c r="BC7" s="55"/>
      <c r="BD7" s="55"/>
      <c r="BE7" s="55"/>
      <c r="BF7" s="55"/>
      <c r="BG7" s="55"/>
      <c r="BH7" s="55"/>
      <c r="BI7" s="56"/>
      <c r="BJ7" s="55"/>
      <c r="BK7" s="23"/>
    </row>
    <row r="8" spans="1:63" ht="15" customHeight="1" x14ac:dyDescent="0.25">
      <c r="A8" s="22"/>
      <c r="C8" s="57"/>
      <c r="U8" s="57"/>
      <c r="AD8" s="57"/>
      <c r="AM8" s="57"/>
      <c r="BI8" s="59"/>
    </row>
    <row r="9" spans="1:63" ht="15" customHeight="1" x14ac:dyDescent="0.25">
      <c r="A9" s="22"/>
      <c r="C9" s="57"/>
      <c r="U9" s="57"/>
      <c r="AD9" s="57"/>
      <c r="AM9" s="57"/>
      <c r="BI9" s="59"/>
    </row>
    <row r="10" spans="1:63" ht="15" customHeight="1" x14ac:dyDescent="0.25">
      <c r="A10" s="22"/>
      <c r="C10" s="57"/>
      <c r="U10" s="57"/>
      <c r="AD10" s="57"/>
      <c r="AM10" s="57"/>
      <c r="BI10" s="59"/>
    </row>
    <row r="11" spans="1:63" ht="15" customHeight="1" x14ac:dyDescent="0.25">
      <c r="A11" s="22"/>
      <c r="C11" s="57"/>
      <c r="U11" s="57"/>
      <c r="AD11" s="57"/>
      <c r="AM11" s="57"/>
      <c r="BI11" s="59"/>
    </row>
    <row r="12" spans="1:63" ht="15" customHeight="1" x14ac:dyDescent="0.25">
      <c r="A12" s="22"/>
      <c r="C12" s="57"/>
      <c r="U12" s="57"/>
      <c r="AD12" s="57"/>
      <c r="AM12" s="57"/>
      <c r="AX12" s="18" t="s">
        <v>29</v>
      </c>
      <c r="BI12" s="59"/>
    </row>
    <row r="13" spans="1:63" ht="15" customHeight="1" x14ac:dyDescent="0.25">
      <c r="A13" s="22"/>
      <c r="C13" s="57"/>
      <c r="U13" s="57"/>
      <c r="AD13" s="57"/>
      <c r="AM13" s="57"/>
      <c r="BI13" s="59"/>
    </row>
    <row r="14" spans="1:63" ht="15" customHeight="1" x14ac:dyDescent="0.25">
      <c r="A14" s="22"/>
      <c r="C14" s="57"/>
      <c r="U14" s="57"/>
      <c r="AD14" s="57"/>
      <c r="AM14" s="57"/>
      <c r="BI14" s="59"/>
    </row>
    <row r="15" spans="1:63" ht="15" customHeight="1" x14ac:dyDescent="0.25">
      <c r="A15" s="22"/>
      <c r="C15" s="57"/>
      <c r="U15" s="57"/>
      <c r="AD15" s="57"/>
      <c r="AM15" s="57"/>
      <c r="BI15" s="59"/>
    </row>
    <row r="16" spans="1:63" ht="15" customHeight="1" x14ac:dyDescent="0.25">
      <c r="A16" s="22"/>
      <c r="C16" s="57"/>
      <c r="U16" s="57"/>
      <c r="AD16" s="57"/>
      <c r="AM16" s="57"/>
      <c r="BI16" s="59"/>
    </row>
    <row r="17" spans="1:61" ht="15" customHeight="1" x14ac:dyDescent="0.25">
      <c r="A17" s="22"/>
      <c r="C17" s="57"/>
      <c r="U17" s="57"/>
      <c r="AD17" s="57"/>
      <c r="AM17" s="57"/>
      <c r="BI17" s="59"/>
    </row>
    <row r="18" spans="1:61" ht="15" customHeight="1" x14ac:dyDescent="0.25">
      <c r="A18" s="22"/>
      <c r="C18" s="57"/>
      <c r="U18" s="57"/>
      <c r="AD18" s="57"/>
      <c r="AM18" s="57"/>
      <c r="BI18" s="59"/>
    </row>
    <row r="19" spans="1:61" ht="15" customHeight="1" x14ac:dyDescent="0.25">
      <c r="A19" s="22"/>
      <c r="C19" s="57"/>
      <c r="U19" s="57"/>
      <c r="AD19" s="57"/>
      <c r="AM19" s="57"/>
      <c r="BI19" s="59"/>
    </row>
    <row r="20" spans="1:61" ht="15" customHeight="1" x14ac:dyDescent="0.25">
      <c r="A20" s="22"/>
      <c r="C20" s="57"/>
      <c r="U20" s="57"/>
      <c r="AD20" s="57"/>
      <c r="AM20" s="57"/>
      <c r="BI20" s="59"/>
    </row>
    <row r="21" spans="1:61" ht="15" customHeight="1" x14ac:dyDescent="0.25">
      <c r="A21" s="22"/>
      <c r="C21" s="57"/>
      <c r="U21" s="57"/>
      <c r="AD21" s="57"/>
      <c r="AM21" s="57"/>
      <c r="BI21" s="59"/>
    </row>
    <row r="22" spans="1:61" ht="15" customHeight="1" x14ac:dyDescent="0.25">
      <c r="A22" s="22"/>
      <c r="C22" s="57"/>
      <c r="U22" s="57"/>
      <c r="AD22" s="57"/>
      <c r="AM22" s="57"/>
      <c r="BI22" s="59"/>
    </row>
    <row r="23" spans="1:61" ht="15" customHeight="1" x14ac:dyDescent="0.25">
      <c r="A23" s="22"/>
      <c r="C23" s="57"/>
      <c r="U23" s="57"/>
      <c r="AD23" s="57"/>
      <c r="AM23" s="57"/>
      <c r="BI23" s="59"/>
    </row>
    <row r="24" spans="1:61" ht="15" customHeight="1" x14ac:dyDescent="0.25">
      <c r="A24" s="22"/>
      <c r="C24" s="57"/>
      <c r="U24" s="57"/>
      <c r="AD24" s="57"/>
      <c r="AM24" s="57"/>
      <c r="BI24" s="59"/>
    </row>
    <row r="25" spans="1:61" ht="15" customHeight="1" x14ac:dyDescent="0.25">
      <c r="A25" s="22"/>
      <c r="C25" s="57"/>
      <c r="U25" s="57"/>
      <c r="AD25" s="57"/>
      <c r="AM25" s="57"/>
      <c r="BI25" s="59"/>
    </row>
    <row r="26" spans="1:61" ht="15" customHeight="1" x14ac:dyDescent="0.25">
      <c r="A26" s="22"/>
      <c r="C26" s="57"/>
      <c r="U26" s="57"/>
      <c r="AD26" s="57"/>
      <c r="AM26" s="57"/>
      <c r="BI26" s="59"/>
    </row>
    <row r="27" spans="1:61" ht="15" customHeight="1" x14ac:dyDescent="0.25">
      <c r="A27" s="22"/>
      <c r="C27" s="57"/>
      <c r="U27" s="57"/>
      <c r="AD27" s="57"/>
      <c r="AM27" s="57"/>
      <c r="BI27" s="59"/>
    </row>
    <row r="28" spans="1:61" ht="15" customHeight="1" x14ac:dyDescent="0.25">
      <c r="A28" s="22"/>
      <c r="C28" s="57"/>
      <c r="U28" s="57"/>
      <c r="AD28" s="57"/>
      <c r="AM28" s="57"/>
      <c r="BI28" s="59"/>
    </row>
    <row r="29" spans="1:61" ht="15" customHeight="1" x14ac:dyDescent="0.25">
      <c r="A29" s="22"/>
      <c r="C29" s="57"/>
      <c r="U29" s="57"/>
      <c r="AD29" s="57"/>
      <c r="AM29" s="57"/>
      <c r="BI29" s="59"/>
    </row>
    <row r="30" spans="1:61" ht="15" customHeight="1" x14ac:dyDescent="0.25">
      <c r="A30" s="22"/>
      <c r="C30" s="57"/>
      <c r="U30" s="57"/>
      <c r="AD30" s="57"/>
      <c r="AM30" s="57"/>
      <c r="BI30" s="59"/>
    </row>
    <row r="31" spans="1:61" ht="15" customHeight="1" x14ac:dyDescent="0.25">
      <c r="A31" s="22"/>
      <c r="C31" s="57"/>
      <c r="U31" s="57"/>
      <c r="AD31" s="57"/>
      <c r="AM31" s="57"/>
      <c r="BI31" s="59"/>
    </row>
    <row r="32" spans="1:61" ht="15" customHeight="1" x14ac:dyDescent="0.25">
      <c r="A32" s="22"/>
      <c r="C32" s="57"/>
      <c r="U32" s="57"/>
      <c r="AD32" s="57"/>
      <c r="AM32" s="57"/>
      <c r="BI32" s="59"/>
    </row>
    <row r="33" spans="1:61" ht="15" customHeight="1" x14ac:dyDescent="0.25">
      <c r="A33" s="22"/>
      <c r="C33" s="57"/>
      <c r="U33" s="57"/>
      <c r="AD33" s="57"/>
      <c r="AM33" s="57"/>
      <c r="BI33" s="59"/>
    </row>
    <row r="34" spans="1:61" ht="15" customHeight="1" x14ac:dyDescent="0.25">
      <c r="A34" s="22"/>
      <c r="C34" s="57"/>
      <c r="U34" s="57"/>
      <c r="AD34" s="57"/>
      <c r="AM34" s="57"/>
      <c r="BI34" s="59"/>
    </row>
    <row r="35" spans="1:61" ht="15" customHeight="1" x14ac:dyDescent="0.25">
      <c r="A35" s="22"/>
      <c r="C35" s="57"/>
      <c r="U35" s="57"/>
      <c r="AD35" s="57"/>
      <c r="AM35" s="57"/>
      <c r="BI35" s="59"/>
    </row>
    <row r="36" spans="1:61" ht="15" customHeight="1" x14ac:dyDescent="0.25">
      <c r="A36" s="22"/>
      <c r="C36" s="57"/>
      <c r="U36" s="57"/>
      <c r="AD36" s="57"/>
      <c r="AM36" s="57"/>
      <c r="BI36" s="59"/>
    </row>
    <row r="37" spans="1:61" ht="15" customHeight="1" x14ac:dyDescent="0.25">
      <c r="A37" s="22"/>
      <c r="C37" s="57"/>
      <c r="U37" s="57"/>
      <c r="AD37" s="57"/>
      <c r="AM37" s="57"/>
      <c r="BI37" s="59"/>
    </row>
    <row r="38" spans="1:61" ht="15" customHeight="1" x14ac:dyDescent="0.25">
      <c r="A38" s="22"/>
      <c r="C38" s="57"/>
      <c r="U38" s="57"/>
      <c r="AD38" s="57"/>
      <c r="AM38" s="57"/>
      <c r="BI38" s="59"/>
    </row>
    <row r="39" spans="1:61" ht="15" customHeight="1" x14ac:dyDescent="0.25">
      <c r="A39" s="22"/>
      <c r="C39" s="57"/>
      <c r="U39" s="57"/>
      <c r="AD39" s="57"/>
      <c r="AM39" s="57"/>
      <c r="BI39" s="59"/>
    </row>
    <row r="40" spans="1:61" ht="15" customHeight="1" x14ac:dyDescent="0.25">
      <c r="A40" s="22"/>
      <c r="C40" s="57"/>
      <c r="U40" s="57"/>
      <c r="AD40" s="57"/>
      <c r="AM40" s="57"/>
      <c r="BI40" s="59"/>
    </row>
    <row r="41" spans="1:61" ht="15" customHeight="1" x14ac:dyDescent="0.25">
      <c r="A41" s="22"/>
      <c r="C41" s="57"/>
      <c r="U41" s="57"/>
      <c r="AD41" s="57"/>
      <c r="AM41" s="57"/>
      <c r="BI41" s="59"/>
    </row>
    <row r="42" spans="1:61" ht="15" customHeight="1" x14ac:dyDescent="0.25">
      <c r="A42" s="22"/>
      <c r="C42" s="57"/>
      <c r="U42" s="57"/>
      <c r="AD42" s="57"/>
      <c r="AM42" s="57"/>
      <c r="BI42" s="59"/>
    </row>
    <row r="43" spans="1:61" ht="15" customHeight="1" x14ac:dyDescent="0.25">
      <c r="A43" s="22"/>
      <c r="C43" s="57"/>
      <c r="U43" s="57"/>
      <c r="AD43" s="57"/>
      <c r="AM43" s="57"/>
      <c r="BI43" s="59"/>
    </row>
    <row r="44" spans="1:61" ht="15" customHeight="1" x14ac:dyDescent="0.25">
      <c r="A44" s="22"/>
      <c r="C44" s="57"/>
      <c r="U44" s="57"/>
      <c r="AD44" s="57"/>
      <c r="AM44" s="57"/>
      <c r="BI44" s="59"/>
    </row>
    <row r="45" spans="1:61" ht="15" customHeight="1" x14ac:dyDescent="0.25">
      <c r="A45" s="22"/>
      <c r="C45" s="57"/>
      <c r="U45" s="57"/>
      <c r="AD45" s="57"/>
      <c r="AM45" s="57"/>
      <c r="BI45" s="59"/>
    </row>
    <row r="46" spans="1:61" ht="15" customHeight="1" x14ac:dyDescent="0.25">
      <c r="A46" s="22"/>
      <c r="C46" s="57"/>
      <c r="U46" s="57"/>
      <c r="AD46" s="57"/>
      <c r="AM46" s="57"/>
      <c r="BI46" s="59"/>
    </row>
    <row r="47" spans="1:61" ht="15" customHeight="1" x14ac:dyDescent="0.25">
      <c r="A47" s="22"/>
      <c r="C47" s="57"/>
      <c r="U47" s="57"/>
      <c r="AD47" s="57"/>
      <c r="AM47" s="57"/>
      <c r="BI47" s="59"/>
    </row>
    <row r="48" spans="1:61" ht="15" customHeight="1" x14ac:dyDescent="0.25">
      <c r="A48" s="22"/>
      <c r="C48" s="57"/>
      <c r="U48" s="57"/>
      <c r="AD48" s="57"/>
      <c r="AM48" s="57"/>
      <c r="BI48" s="59"/>
    </row>
    <row r="49" spans="1:63" ht="15" customHeight="1" x14ac:dyDescent="0.25">
      <c r="A49" s="22"/>
      <c r="C49" s="57"/>
      <c r="U49" s="57"/>
      <c r="AD49" s="57"/>
      <c r="AM49" s="57"/>
      <c r="BI49" s="59"/>
    </row>
    <row r="50" spans="1:63" ht="15" customHeight="1" x14ac:dyDescent="0.25">
      <c r="A50" s="22"/>
      <c r="C50" s="57"/>
      <c r="U50" s="57"/>
      <c r="AD50" s="57"/>
      <c r="AM50" s="57"/>
      <c r="BI50" s="59"/>
    </row>
    <row r="51" spans="1:63" ht="15" customHeight="1" x14ac:dyDescent="0.25">
      <c r="A51" s="22"/>
      <c r="C51" s="57"/>
      <c r="U51" s="57"/>
      <c r="AD51" s="57"/>
      <c r="AM51" s="57"/>
      <c r="BI51" s="59"/>
    </row>
    <row r="52" spans="1:63" ht="15" customHeight="1" x14ac:dyDescent="0.25">
      <c r="A52" s="22"/>
      <c r="C52" s="57"/>
      <c r="U52" s="57"/>
      <c r="AD52" s="57"/>
      <c r="AM52" s="57"/>
      <c r="BI52" s="59"/>
    </row>
    <row r="53" spans="1:63" ht="15" customHeight="1" x14ac:dyDescent="0.25">
      <c r="A53" s="22"/>
      <c r="C53" s="57"/>
      <c r="U53" s="57"/>
      <c r="AD53" s="57"/>
      <c r="AM53" s="57"/>
      <c r="BI53" s="59"/>
    </row>
    <row r="54" spans="1:63" ht="15" customHeight="1" x14ac:dyDescent="0.25">
      <c r="A54" s="22"/>
      <c r="C54" s="57"/>
      <c r="U54" s="57"/>
      <c r="AD54" s="57"/>
      <c r="AM54" s="57"/>
      <c r="BI54" s="59"/>
    </row>
    <row r="55" spans="1:63" ht="15" customHeight="1" x14ac:dyDescent="0.25">
      <c r="A55" s="19"/>
      <c r="B55" s="66"/>
      <c r="C55" s="20"/>
      <c r="D55" s="20"/>
      <c r="E55" s="20"/>
      <c r="F55" s="20"/>
      <c r="G55" s="20"/>
      <c r="H55" s="20"/>
      <c r="I55" s="20"/>
      <c r="J55" s="20"/>
      <c r="K55" s="20"/>
      <c r="L55" s="20"/>
      <c r="M55" s="20"/>
      <c r="N55" s="20"/>
      <c r="O55" s="20"/>
      <c r="P55" s="20"/>
      <c r="Q55" s="20"/>
      <c r="R55" s="20"/>
      <c r="S55" s="20"/>
      <c r="T55" s="20"/>
      <c r="U55" s="66"/>
      <c r="V55" s="20"/>
      <c r="W55" s="20"/>
      <c r="X55" s="20"/>
      <c r="Y55" s="20"/>
      <c r="Z55" s="20"/>
      <c r="AA55" s="20"/>
      <c r="AB55" s="20"/>
      <c r="AC55" s="20"/>
      <c r="AD55" s="66"/>
      <c r="AE55" s="20"/>
      <c r="AF55" s="20"/>
      <c r="AG55" s="20"/>
      <c r="AH55" s="20"/>
      <c r="AI55" s="20"/>
      <c r="AJ55" s="20"/>
      <c r="AK55" s="20"/>
      <c r="AL55" s="20"/>
      <c r="AM55" s="66"/>
      <c r="AN55" s="20"/>
      <c r="AO55" s="20"/>
      <c r="AP55" s="20"/>
      <c r="AQ55" s="20"/>
      <c r="AR55" s="20"/>
      <c r="AS55" s="20"/>
      <c r="AT55" s="20"/>
      <c r="AU55" s="20"/>
      <c r="AV55" s="20"/>
      <c r="AW55" s="20"/>
      <c r="AX55" s="20"/>
      <c r="AY55" s="20"/>
      <c r="AZ55" s="20"/>
      <c r="BA55" s="20"/>
      <c r="BB55" s="20"/>
      <c r="BC55" s="20"/>
      <c r="BD55" s="20"/>
      <c r="BE55" s="20"/>
      <c r="BF55" s="20"/>
      <c r="BG55" s="20"/>
      <c r="BH55" s="20"/>
      <c r="BI55" s="67"/>
      <c r="BJ55" s="20"/>
      <c r="BK55" s="21"/>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表紙</vt:lpstr>
      <vt:lpstr>改訂履歴</vt:lpstr>
      <vt:lpstr>指摘履歴</vt:lpstr>
      <vt:lpstr>業務フロー</vt:lpstr>
      <vt:lpstr>機能概要説明</vt:lpstr>
      <vt:lpstr>機能概要</vt:lpstr>
      <vt:lpstr>画面設計書</vt:lpstr>
      <vt:lpstr>テンプレート</vt:lpstr>
      <vt:lpstr>テンプレート!Print_Area</vt:lpstr>
      <vt:lpstr>指摘履歴!Print_Area</vt:lpstr>
      <vt:lpstr>改訂履歴!Print_Area</vt:lpstr>
      <vt:lpstr>機能概要!Print_Area</vt:lpstr>
      <vt:lpstr>機能概要説明!Print_Area</vt:lpstr>
      <vt:lpstr>表紙!Print_Area</vt:lpstr>
      <vt:lpstr>テンプレート!Print_Titles</vt:lpstr>
      <vt:lpstr>指摘履歴!Print_Titles</vt:lpstr>
      <vt:lpstr>改訂履歴!Print_Titles</vt:lpstr>
      <vt:lpstr>業務フロー!Print_Titles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2024-09-11T10:14:52Z</dcterms:modified>
  <cp:category/>
  <cp:contentStatus/>
</cp:coreProperties>
</file>