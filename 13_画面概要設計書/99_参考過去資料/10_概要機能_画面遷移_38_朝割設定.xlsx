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POS SYSTEM\30_implementation\32_design\JP\30_POSサーバー\10_機能概要_画面遷移\"/>
    </mc:Choice>
  </mc:AlternateContent>
  <xr:revisionPtr revIDLastSave="0" documentId="13_ncr:1_{BA9CB371-B641-4834-ADEF-2A57C5D671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機能概要!$A$1:$BK$141</definedName>
    <definedName name="_xlnm.Print_Area" localSheetId="3">機能概要説明!$A$1:$BK$57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BM91" i="5" s="1"/>
  <c r="BM92" i="5" s="1"/>
  <c r="BM93" i="5" s="1"/>
  <c r="BM94" i="5" s="1"/>
  <c r="BM95" i="5" s="1"/>
  <c r="BM96" i="5" s="1"/>
  <c r="BM97" i="5" s="1"/>
  <c r="BM98" i="5" s="1"/>
  <c r="BM99" i="5" s="1"/>
  <c r="BM100" i="5" s="1"/>
  <c r="BM101" i="5" s="1"/>
  <c r="BM102" i="5" s="1"/>
  <c r="BM103" i="5" s="1"/>
  <c r="BM104" i="5" s="1"/>
  <c r="BM105" i="5" s="1"/>
  <c r="BM106" i="5" s="1"/>
  <c r="BM107" i="5" s="1"/>
  <c r="BM108" i="5" s="1"/>
  <c r="BM109" i="5" s="1"/>
  <c r="BM110" i="5" s="1"/>
  <c r="BM111" i="5" s="1"/>
  <c r="BM112" i="5" s="1"/>
  <c r="BM113" i="5" s="1"/>
  <c r="BM114" i="5" s="1"/>
  <c r="BM115" i="5" s="1"/>
  <c r="BM116" i="5" s="1"/>
  <c r="BM117" i="5" s="1"/>
  <c r="BM118" i="5" s="1"/>
  <c r="BM119" i="5" s="1"/>
  <c r="BM120" i="5" s="1"/>
  <c r="BM121" i="5" s="1"/>
  <c r="BM122" i="5" s="1"/>
  <c r="BM123" i="5" s="1"/>
  <c r="BM124" i="5" s="1"/>
  <c r="BM125" i="5" s="1"/>
  <c r="BM126" i="5" s="1"/>
  <c r="BM127" i="5" s="1"/>
  <c r="BM128" i="5" s="1"/>
  <c r="BM129" i="5" s="1"/>
  <c r="BM130" i="5" s="1"/>
  <c r="BM131" i="5" s="1"/>
  <c r="BM132" i="5" s="1"/>
  <c r="BM133" i="5" s="1"/>
  <c r="BM134" i="5" s="1"/>
  <c r="BM135" i="5" s="1"/>
  <c r="BM136" i="5" s="1"/>
  <c r="BM137" i="5" s="1"/>
  <c r="BM138" i="5" s="1"/>
  <c r="BM139" i="5" s="1"/>
  <c r="BM140" i="5" s="1"/>
  <c r="BM141" i="5" s="1"/>
  <c r="AP4" i="5" a="1"/>
  <c r="AP4" i="5" s="1"/>
  <c r="Z4" i="5"/>
  <c r="H4" i="5"/>
  <c r="K2" i="5"/>
  <c r="A2" i="5"/>
  <c r="W1" i="5"/>
  <c r="BM9" i="8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8" i="8"/>
  <c r="BM7" i="8"/>
  <c r="AP4" i="8" a="1"/>
  <c r="AP4" i="8" s="1"/>
  <c r="Z4" i="8"/>
  <c r="H4" i="8"/>
  <c r="AP2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5" s="1"/>
  <c r="BC2" i="4"/>
  <c r="BC2" i="2" s="1"/>
  <c r="AY2" i="4"/>
  <c r="AY2" i="7" s="1"/>
  <c r="AT2" i="4"/>
  <c r="AT2" i="7" s="1"/>
  <c r="AP2" i="4"/>
  <c r="AP2" i="5" s="1"/>
  <c r="AT2" i="5" l="1"/>
  <c r="BC2" i="7"/>
  <c r="AP2" i="2"/>
  <c r="BH2" i="2"/>
  <c r="AP2" i="3"/>
  <c r="BH2" i="3"/>
  <c r="AP2" i="6"/>
  <c r="AT2" i="8"/>
  <c r="AY2" i="5"/>
  <c r="AP2" i="7"/>
  <c r="BH2" i="7"/>
  <c r="AT2" i="2"/>
  <c r="AT2" i="3"/>
  <c r="AY2" i="6"/>
  <c r="AY2" i="8"/>
  <c r="BC2" i="5"/>
  <c r="AY2" i="2"/>
  <c r="BC2" i="3"/>
  <c r="BH2" i="6"/>
  <c r="BH2" i="8"/>
  <c r="AY2" i="3"/>
  <c r="BC2" i="6"/>
  <c r="BC2" i="8"/>
</calcChain>
</file>

<file path=xl/sharedStrings.xml><?xml version="1.0" encoding="utf-8"?>
<sst xmlns="http://schemas.openxmlformats.org/spreadsheetml/2006/main" count="203" uniqueCount="82">
  <si>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</si>
  <si>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</si>
  <si>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</si>
  <si>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</si>
  <si>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</si>
  <si>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</si>
  <si>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</si>
  <si>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</si>
  <si>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</si>
  <si>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</si>
  <si>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</si>
  <si>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</si>
  <si>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</si>
  <si>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</si>
  <si>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</si>
  <si>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</si>
  <si>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</si>
  <si>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</si>
  <si>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</si>
  <si>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</si>
  <si>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</si>
  <si>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</si>
  <si>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</si>
  <si>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</si>
  <si>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</si>
  <si>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</si>
  <si>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</si>
  <si>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</si>
  <si>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</si>
  <si>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</si>
  <si>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</si>
  <si>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38_朝割設定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</si>
  <si>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</si>
  <si>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</si>
  <si>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</si>
  <si>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</si>
  <si>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</si>
  <si>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</si>
  <si>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</si>
  <si>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</si>
  <si>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</si>
  <si>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</si>
  <si>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</si>
  <si>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</si>
  <si>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</si>
  <si>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</si>
  <si>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</si>
  <si>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SonMNT</t>
  </si>
  <si>
    <t>LoiLV</t>
  </si>
  <si>
    <t>2024年05月30日のコメントによる更新</t>
  </si>
  <si>
    <t>2024年06月10日のコメントによる更新</t>
  </si>
  <si>
    <t>2024年06月12日のコメントによる更新</t>
  </si>
  <si>
    <t>朝割設定機能では次のことが可能になる。</t>
  </si>
  <si>
    <t>・部門の曜日別の朝割の時間帯、割引率を閲覧、設定する。</t>
  </si>
  <si>
    <t>・適用が毎週及び毎月繰り返される。</t>
  </si>
  <si>
    <t>・朝割プログラムを解除する。</t>
  </si>
  <si>
    <t>38_朝割設定</t>
  </si>
  <si>
    <t>FC3802_商品部門提案機能</t>
  </si>
  <si>
    <t>FC3803_朝割プログラム解除機能</t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</si>
  <si>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</si>
  <si>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</si>
  <si>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</si>
  <si>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</si>
  <si>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</si>
  <si>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</si>
  <si>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</si>
  <si>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</si>
  <si>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</si>
  <si>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</si>
  <si>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</si>
  <si>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</si>
  <si>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</si>
  <si>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</si>
  <si>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</si>
  <si>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</si>
  <si>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</si>
  <si>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</si>
  <si>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</si>
  <si>
    <t>機能概要</t>
  </si>
  <si>
    <t>KSM</t>
  </si>
  <si>
    <t>コメントによる更新</t>
  </si>
  <si>
    <t>「時刻」は0時0分から23時59分にする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</si>
</sst>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2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b/>
      <sz val="11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FF0000"/>
      <name val="Meiryo UI"/>
      <family val="2"/>
    </font>
    <font>
      <sz val="11"/>
      <color rgb="FF7030A0"/>
      <name val="Meiryo UI"/>
      <family val="2"/>
    </font>
    <font>
      <sz val="11"/>
      <color rgb="FF00B050"/>
      <name val="Meiryo UI"/>
      <family val="2"/>
    </font>
    <font>
      <sz val="11"/>
      <color rgb="FF0000FF"/>
      <name val="Meiryo UI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10" fillId="0" borderId="0">
      <alignment vertical="center"/>
    </xf>
  </cellStyleXfs>
  <cellXfs count="318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9" fillId="0" borderId="18" xfId="7" applyFont="1" applyBorder="1">
      <alignment vertical="center"/>
    </xf>
    <xf numFmtId="0" fontId="15" fillId="0" borderId="0" xfId="0" applyFont="1"/>
    <xf numFmtId="0" fontId="15" fillId="0" borderId="2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1" xfId="0" applyFont="1" applyBorder="1"/>
    <xf numFmtId="0" fontId="15" fillId="0" borderId="4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11" xfId="0" applyFont="1" applyBorder="1"/>
    <xf numFmtId="0" fontId="15" fillId="0" borderId="6" xfId="0" applyFont="1" applyBorder="1"/>
    <xf numFmtId="0" fontId="15" fillId="0" borderId="12" xfId="0" applyFont="1" applyBorder="1"/>
    <xf numFmtId="0" fontId="15" fillId="0" borderId="14" xfId="0" applyFont="1" applyBorder="1"/>
    <xf numFmtId="0" fontId="15" fillId="0" borderId="15" xfId="0" applyFont="1" applyBorder="1"/>
    <xf numFmtId="0" fontId="15" fillId="0" borderId="9" xfId="0" applyFont="1" applyBorder="1"/>
    <xf numFmtId="0" fontId="15" fillId="0" borderId="10" xfId="0" applyFont="1" applyBorder="1"/>
    <xf numFmtId="0" fontId="15" fillId="0" borderId="13" xfId="0" applyFont="1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9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19" fillId="0" borderId="0" xfId="0" applyFont="1"/>
    <xf numFmtId="0" fontId="19" fillId="0" borderId="0" xfId="7" applyFont="1">
      <alignment vertical="center"/>
    </xf>
    <xf numFmtId="0" fontId="19" fillId="0" borderId="0" xfId="0" quotePrefix="1" applyFont="1"/>
    <xf numFmtId="0" fontId="15" fillId="0" borderId="1" xfId="7" applyFont="1" applyBorder="1">
      <alignment vertical="center"/>
    </xf>
    <xf numFmtId="0" fontId="15" fillId="0" borderId="0" xfId="7" applyFont="1">
      <alignment vertical="center"/>
    </xf>
    <xf numFmtId="0" fontId="15" fillId="0" borderId="4" xfId="7" applyFont="1" applyBorder="1">
      <alignment vertical="center"/>
    </xf>
    <xf numFmtId="0" fontId="15" fillId="0" borderId="2" xfId="7" applyFont="1" applyBorder="1">
      <alignment vertical="center"/>
    </xf>
    <xf numFmtId="0" fontId="15" fillId="0" borderId="3" xfId="7" applyFont="1" applyBorder="1">
      <alignment vertical="center"/>
    </xf>
    <xf numFmtId="0" fontId="15" fillId="0" borderId="5" xfId="7" applyFont="1" applyBorder="1">
      <alignment vertical="center"/>
    </xf>
    <xf numFmtId="0" fontId="12" fillId="2" borderId="0" xfId="0" applyFont="1" applyFill="1" applyAlignment="1">
      <alignment vertical="center"/>
    </xf>
    <xf numFmtId="0" fontId="11" fillId="2" borderId="16" xfId="0" applyFont="1" applyFill="1" applyBorder="1" applyAlignment="1">
      <alignment vertical="center"/>
    </xf>
    <xf numFmtId="0" fontId="11" fillId="2" borderId="0" xfId="0" applyFont="1" applyFill="1" applyAlignment="1">
      <alignment vertical="center"/>
    </xf>
    <xf numFmtId="0" fontId="11" fillId="2" borderId="17" xfId="0" applyFont="1" applyFill="1" applyBorder="1" applyAlignment="1">
      <alignment vertical="center"/>
    </xf>
    <xf numFmtId="0" fontId="15" fillId="0" borderId="18" xfId="0" applyFont="1" applyBorder="1"/>
    <xf numFmtId="0" fontId="15" fillId="0" borderId="19" xfId="7" applyFont="1" applyBorder="1">
      <alignment vertical="center"/>
    </xf>
    <xf numFmtId="0" fontId="15" fillId="0" borderId="19" xfId="0" applyFont="1" applyBorder="1"/>
    <xf numFmtId="0" fontId="15" fillId="0" borderId="18" xfId="7" applyFont="1" applyBorder="1">
      <alignment vertical="center"/>
    </xf>
    <xf numFmtId="0" fontId="20" fillId="3" borderId="18" xfId="7" applyFont="1" applyFill="1" applyBorder="1">
      <alignment vertical="center"/>
    </xf>
    <xf numFmtId="0" fontId="15" fillId="3" borderId="0" xfId="7" applyFont="1" applyFill="1">
      <alignment vertical="center"/>
    </xf>
    <xf numFmtId="0" fontId="15" fillId="3" borderId="19" xfId="7" applyFont="1" applyFill="1" applyBorder="1">
      <alignment vertical="center"/>
    </xf>
    <xf numFmtId="0" fontId="15" fillId="3" borderId="18" xfId="7" applyFont="1" applyFill="1" applyBorder="1">
      <alignment vertical="center"/>
    </xf>
    <xf numFmtId="0" fontId="15" fillId="0" borderId="0" xfId="6" applyFont="1" applyAlignment="1">
      <alignment vertical="center"/>
    </xf>
    <xf numFmtId="0" fontId="15" fillId="0" borderId="20" xfId="0" applyFont="1" applyBorder="1"/>
    <xf numFmtId="0" fontId="15" fillId="0" borderId="21" xfId="0" applyFont="1" applyBorder="1"/>
    <xf numFmtId="0" fontId="15" fillId="0" borderId="30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  <xf numFmtId="0" fontId="11" fillId="2" borderId="3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2" fontId="15" fillId="0" borderId="30" xfId="0" applyNumberFormat="1" applyFont="1" applyBorder="1" applyAlignment="1">
      <alignment horizontal="center" vertical="center"/>
    </xf>
    <xf numFmtId="2" fontId="15" fillId="0" borderId="31" xfId="0" applyNumberFormat="1" applyFont="1" applyBorder="1" applyAlignment="1">
      <alignment horizontal="center" vertical="center"/>
    </xf>
    <xf numFmtId="2" fontId="15" fillId="0" borderId="3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5" xfId="0" applyNumberFormat="1" applyFont="1" applyBorder="1" applyAlignment="1">
      <alignment horizontal="center" vertical="center"/>
    </xf>
    <xf numFmtId="14" fontId="15" fillId="0" borderId="30" xfId="0" applyNumberFormat="1" applyFont="1" applyBorder="1" applyAlignment="1">
      <alignment horizontal="center" vertical="center"/>
    </xf>
    <xf numFmtId="14" fontId="15" fillId="0" borderId="31" xfId="0" applyNumberFormat="1" applyFont="1" applyBorder="1" applyAlignment="1">
      <alignment horizontal="center" vertical="center"/>
    </xf>
    <xf numFmtId="14" fontId="15" fillId="0" borderId="32" xfId="0" applyNumberFormat="1" applyFont="1" applyBorder="1" applyAlignment="1">
      <alignment horizontal="center" vertical="center"/>
    </xf>
    <xf numFmtId="14" fontId="15" fillId="0" borderId="2" xfId="0" applyNumberFormat="1" applyFont="1" applyBorder="1" applyAlignment="1">
      <alignment horizontal="center" vertical="center"/>
    </xf>
    <xf numFmtId="14" fontId="15" fillId="0" borderId="3" xfId="0" applyNumberFormat="1" applyFont="1" applyBorder="1" applyAlignment="1">
      <alignment horizontal="center" vertical="center"/>
    </xf>
    <xf numFmtId="14" fontId="15" fillId="0" borderId="5" xfId="0" applyNumberFormat="1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33" xfId="0" applyFont="1" applyBorder="1"/>
    <xf numFmtId="0" fontId="15" fillId="0" borderId="34" xfId="0" applyFont="1" applyBorder="1"/>
    <xf numFmtId="0" fontId="15" fillId="0" borderId="22" xfId="0" applyFont="1" applyBorder="1"/>
    <xf numFmtId="0" fontId="15" fillId="0" borderId="31" xfId="0" applyFont="1" applyBorder="1"/>
    <xf numFmtId="0" fontId="15" fillId="0" borderId="32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30" xfId="0" applyFont="1" applyBorder="1"/>
    <xf numFmtId="0" fontId="15" fillId="0" borderId="2" xfId="0" applyFont="1" applyBorder="1"/>
    <xf numFmtId="0" fontId="15" fillId="0" borderId="35" xfId="0" applyFont="1" applyBorder="1"/>
    <xf numFmtId="0" fontId="15" fillId="0" borderId="36" xfId="0" applyFont="1" applyBorder="1"/>
    <xf numFmtId="0" fontId="15" fillId="0" borderId="37" xfId="0" applyFont="1" applyBorder="1"/>
    <xf numFmtId="0" fontId="0" fillId="0" borderId="31" xfId="0" applyBorder="1"/>
    <xf numFmtId="0" fontId="0" fillId="0" borderId="32" xfId="0" applyBorder="1"/>
    <xf numFmtId="0" fontId="0" fillId="0" borderId="3" xfId="0" applyBorder="1"/>
    <xf numFmtId="0" fontId="0" fillId="0" borderId="5" xfId="0" applyBorder="1"/>
    <xf numFmtId="0" fontId="0" fillId="0" borderId="30" xfId="0" applyBorder="1"/>
    <xf numFmtId="0" fontId="0" fillId="0" borderId="2" xfId="0" applyBorder="1"/>
    <xf numFmtId="0" fontId="11" fillId="2" borderId="0" xfId="0" applyFont="1" applyFill="1"/>
    <xf numFmtId="0" fontId="18" fillId="0" borderId="30" xfId="0" applyFont="1" applyBorder="1"/>
    <xf numFmtId="0" fontId="18" fillId="0" borderId="31" xfId="0" applyFont="1" applyBorder="1"/>
    <xf numFmtId="0" fontId="18" fillId="0" borderId="32" xfId="0" applyFont="1" applyBorder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1" fillId="2" borderId="27" xfId="6" applyFont="1" applyFill="1" applyBorder="1" applyAlignment="1">
      <alignment horizontal="center" vertical="center"/>
    </xf>
    <xf numFmtId="0" fontId="11" fillId="2" borderId="28" xfId="6" applyFont="1" applyFill="1" applyBorder="1" applyAlignment="1">
      <alignment horizontal="center" vertical="center"/>
    </xf>
    <xf numFmtId="0" fontId="11" fillId="2" borderId="29" xfId="6" applyFont="1" applyFill="1" applyBorder="1" applyAlignment="1">
      <alignment horizontal="center" vertical="center"/>
    </xf>
    <xf numFmtId="0" fontId="13" fillId="0" borderId="30" xfId="6" applyFont="1" applyBorder="1" applyAlignment="1">
      <alignment horizontal="center" vertical="center"/>
    </xf>
    <xf numFmtId="0" fontId="13" fillId="0" borderId="31" xfId="6" applyFont="1" applyBorder="1" applyAlignment="1">
      <alignment horizontal="center" vertical="center"/>
    </xf>
    <xf numFmtId="0" fontId="13" fillId="0" borderId="32" xfId="6" applyFont="1" applyBorder="1" applyAlignment="1">
      <alignment horizontal="center" vertical="center"/>
    </xf>
    <xf numFmtId="0" fontId="13" fillId="0" borderId="1" xfId="6" applyFont="1" applyBorder="1" applyAlignment="1">
      <alignment horizontal="center" vertical="center"/>
    </xf>
    <xf numFmtId="0" fontId="13" fillId="0" borderId="0" xfId="6" applyFont="1" applyAlignment="1">
      <alignment horizontal="center" vertical="center"/>
    </xf>
    <xf numFmtId="0" fontId="13" fillId="0" borderId="4" xfId="6" applyFont="1" applyBorder="1" applyAlignment="1">
      <alignment horizontal="center" vertical="center"/>
    </xf>
    <xf numFmtId="0" fontId="13" fillId="0" borderId="2" xfId="6" applyFont="1" applyBorder="1" applyAlignment="1">
      <alignment horizontal="center" vertical="center"/>
    </xf>
    <xf numFmtId="0" fontId="13" fillId="0" borderId="3" xfId="6" applyFont="1" applyBorder="1" applyAlignment="1">
      <alignment horizontal="center" vertical="center"/>
    </xf>
    <xf numFmtId="0" fontId="13" fillId="0" borderId="5" xfId="6" applyFont="1" applyBorder="1" applyAlignment="1">
      <alignment horizontal="center"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7" borderId="30" xfId="6" applyFont="1" applyFill="1" applyBorder="1" applyAlignment="1">
      <alignment vertical="center" wrapText="1"/>
    </xf>
    <xf numFmtId="0" fontId="6" fillId="7" borderId="32" xfId="6" applyFont="1" applyFill="1" applyBorder="1" applyAlignment="1">
      <alignment vertical="center"/>
    </xf>
    <xf numFmtId="0" fontId="6" fillId="7" borderId="1" xfId="6" applyFont="1" applyFill="1" applyBorder="1" applyAlignment="1">
      <alignment vertical="center"/>
    </xf>
    <xf numFmtId="0" fontId="6" fillId="7" borderId="4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7" fillId="7" borderId="30" xfId="6" applyFont="1" applyFill="1" applyBorder="1" applyAlignment="1">
      <alignment vertical="center"/>
    </xf>
    <xf numFmtId="0" fontId="6" fillId="7" borderId="31" xfId="6" applyFont="1" applyFill="1" applyBorder="1" applyAlignment="1">
      <alignment vertical="center"/>
    </xf>
    <xf numFmtId="0" fontId="6" fillId="7" borderId="0" xfId="6" applyFont="1" applyFill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44" xfId="6" applyFont="1" applyFill="1" applyBorder="1" applyAlignment="1">
      <alignment vertical="center" shrinkToFit="1"/>
    </xf>
    <xf numFmtId="0" fontId="6" fillId="7" borderId="46" xfId="6" applyFont="1" applyFill="1" applyBorder="1" applyAlignment="1">
      <alignment vertical="center" shrinkToFit="1"/>
    </xf>
    <xf numFmtId="0" fontId="6" fillId="7" borderId="45" xfId="6" applyFont="1" applyFill="1" applyBorder="1" applyAlignment="1">
      <alignment vertical="center" shrinkToFit="1"/>
    </xf>
    <xf numFmtId="0" fontId="7" fillId="7" borderId="44" xfId="6" applyFont="1" applyFill="1" applyBorder="1" applyAlignment="1">
      <alignment vertical="center" wrapText="1"/>
    </xf>
    <xf numFmtId="0" fontId="7" fillId="7" borderId="46" xfId="6" applyFont="1" applyFill="1" applyBorder="1" applyAlignment="1">
      <alignment vertical="center" wrapText="1"/>
    </xf>
    <xf numFmtId="0" fontId="7" fillId="7" borderId="45" xfId="6" applyFont="1" applyFill="1" applyBorder="1" applyAlignment="1">
      <alignment vertical="center" wrapText="1"/>
    </xf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47" xfId="6" applyFont="1" applyFill="1" applyBorder="1" applyAlignment="1">
      <alignment vertical="center"/>
    </xf>
    <xf numFmtId="0" fontId="7" fillId="5" borderId="4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4" borderId="27" xfId="6" applyFont="1" applyFill="1" applyBorder="1" applyAlignment="1">
      <alignment vertical="center"/>
    </xf>
    <xf numFmtId="0" fontId="6" fillId="4" borderId="28" xfId="6" applyFont="1" applyFill="1" applyBorder="1" applyAlignment="1">
      <alignment vertical="center"/>
    </xf>
    <xf numFmtId="0" fontId="6" fillId="4" borderId="29" xfId="6" applyFont="1" applyFill="1" applyBorder="1" applyAlignment="1">
      <alignment vertical="center"/>
    </xf>
    <xf numFmtId="0" fontId="7" fillId="6" borderId="30" xfId="6" applyFont="1" applyFill="1" applyBorder="1" applyAlignment="1">
      <alignment vertical="center"/>
    </xf>
    <xf numFmtId="0" fontId="6" fillId="6" borderId="31" xfId="6" applyFont="1" applyFill="1" applyBorder="1" applyAlignment="1">
      <alignment vertical="center"/>
    </xf>
    <xf numFmtId="0" fontId="6" fillId="6" borderId="32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4" borderId="27" xfId="6" applyFont="1" applyFill="1" applyBorder="1"/>
    <xf numFmtId="0" fontId="7" fillId="4" borderId="28" xfId="6" applyFont="1" applyFill="1" applyBorder="1"/>
    <xf numFmtId="0" fontId="7" fillId="4" borderId="29" xfId="6" applyFont="1" applyFill="1" applyBorder="1"/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6" fillId="4" borderId="2" xfId="6" applyFont="1" applyFill="1" applyBorder="1" applyAlignment="1">
      <alignment vertical="center"/>
    </xf>
    <xf numFmtId="0" fontId="6" fillId="4" borderId="3" xfId="6" applyFont="1" applyFill="1" applyBorder="1" applyAlignment="1">
      <alignment vertical="center"/>
    </xf>
    <xf numFmtId="0" fontId="6" fillId="4" borderId="5" xfId="6" applyFont="1" applyFill="1" applyBorder="1" applyAlignment="1">
      <alignment vertical="center"/>
    </xf>
    <xf numFmtId="0" fontId="6" fillId="5" borderId="30" xfId="6" applyFont="1" applyFill="1" applyBorder="1" applyAlignment="1">
      <alignment vertical="center" wrapText="1"/>
    </xf>
    <xf numFmtId="0" fontId="6" fillId="5" borderId="2" xfId="6" applyFont="1" applyFill="1" applyBorder="1" applyAlignment="1">
      <alignment vertical="center" wrapText="1"/>
    </xf>
    <xf numFmtId="0" fontId="7" fillId="5" borderId="44" xfId="6" applyFont="1" applyFill="1" applyBorder="1" applyAlignment="1">
      <alignment vertical="center" wrapText="1"/>
    </xf>
    <xf numFmtId="0" fontId="7" fillId="5" borderId="45" xfId="6" applyFont="1" applyFill="1" applyBorder="1" applyAlignment="1">
      <alignment vertical="center" wrapText="1"/>
    </xf>
    <xf numFmtId="0" fontId="7" fillId="5" borderId="32" xfId="6" applyFont="1" applyFill="1" applyBorder="1" applyAlignment="1">
      <alignment vertical="center" wrapText="1"/>
    </xf>
    <xf numFmtId="0" fontId="7" fillId="5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15" fillId="0" borderId="33" xfId="6" applyFont="1" applyBorder="1" applyAlignment="1">
      <alignment vertical="center" wrapText="1"/>
    </xf>
    <xf numFmtId="0" fontId="15" fillId="0" borderId="34" xfId="6" applyFont="1" applyBorder="1" applyAlignment="1">
      <alignment vertical="center" wrapText="1"/>
    </xf>
    <xf numFmtId="0" fontId="15" fillId="0" borderId="22" xfId="6" applyFont="1" applyBorder="1" applyAlignment="1">
      <alignment vertical="center" wrapText="1"/>
    </xf>
    <xf numFmtId="0" fontId="6" fillId="0" borderId="38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 wrapText="1"/>
    </xf>
    <xf numFmtId="0" fontId="6" fillId="0" borderId="39" xfId="6" quotePrefix="1" applyFont="1" applyBorder="1" applyAlignment="1">
      <alignment vertical="center" wrapText="1"/>
    </xf>
    <xf numFmtId="0" fontId="6" fillId="0" borderId="40" xfId="6" quotePrefix="1" applyFont="1" applyBorder="1" applyAlignment="1">
      <alignment vertical="center" wrapText="1"/>
    </xf>
    <xf numFmtId="0" fontId="7" fillId="0" borderId="38" xfId="6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7" fillId="0" borderId="38" xfId="6" quotePrefix="1" applyFont="1" applyBorder="1" applyAlignment="1">
      <alignment horizontal="center" vertical="center" wrapText="1"/>
    </xf>
    <xf numFmtId="0" fontId="7" fillId="0" borderId="39" xfId="6" applyFont="1" applyBorder="1" applyAlignment="1">
      <alignment horizontal="center" vertical="center" wrapText="1"/>
    </xf>
    <xf numFmtId="0" fontId="7" fillId="0" borderId="40" xfId="6" applyFont="1" applyBorder="1" applyAlignment="1">
      <alignment horizontal="center" vertical="center" wrapText="1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15" fillId="0" borderId="38" xfId="6" applyFont="1" applyBorder="1" applyAlignment="1">
      <alignment vertical="center"/>
    </xf>
    <xf numFmtId="0" fontId="15" fillId="0" borderId="39" xfId="6" applyFont="1" applyBorder="1" applyAlignment="1">
      <alignment vertical="center"/>
    </xf>
    <xf numFmtId="0" fontId="15" fillId="0" borderId="40" xfId="6" applyFont="1" applyBorder="1" applyAlignment="1">
      <alignment vertical="center"/>
    </xf>
    <xf numFmtId="0" fontId="8" fillId="0" borderId="38" xfId="6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15" fillId="0" borderId="41" xfId="6" quotePrefix="1" applyFont="1" applyBorder="1" applyAlignment="1">
      <alignment vertical="center"/>
    </xf>
    <xf numFmtId="0" fontId="15" fillId="0" borderId="42" xfId="6" quotePrefix="1" applyFont="1" applyBorder="1" applyAlignment="1">
      <alignment vertical="center"/>
    </xf>
    <xf numFmtId="0" fontId="15" fillId="0" borderId="43" xfId="6" quotePrefix="1" applyFont="1" applyBorder="1" applyAlignment="1">
      <alignment vertical="center"/>
    </xf>
    <xf numFmtId="0" fontId="6" fillId="0" borderId="38" xfId="6" quotePrefix="1" applyFont="1" applyBorder="1" applyAlignment="1">
      <alignment horizontal="center" vertical="center"/>
    </xf>
    <xf numFmtId="0" fontId="15" fillId="0" borderId="41" xfId="6" applyFont="1" applyBorder="1" applyAlignment="1">
      <alignment vertical="center"/>
    </xf>
    <xf numFmtId="0" fontId="15" fillId="0" borderId="42" xfId="6" applyFont="1" applyBorder="1" applyAlignment="1">
      <alignment vertical="center"/>
    </xf>
    <xf numFmtId="0" fontId="15" fillId="0" borderId="43" xfId="6" applyFont="1" applyBorder="1" applyAlignment="1">
      <alignment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15" fillId="0" borderId="35" xfId="6" applyFont="1" applyBorder="1" applyAlignment="1">
      <alignment vertical="center"/>
    </xf>
    <xf numFmtId="0" fontId="15" fillId="0" borderId="36" xfId="6" applyFont="1" applyBorder="1" applyAlignment="1">
      <alignment vertical="center"/>
    </xf>
    <xf numFmtId="0" fontId="15" fillId="0" borderId="37" xfId="6" applyFont="1" applyBorder="1" applyAlignment="1">
      <alignment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14" fontId="21" fillId="0" borderId="30" xfId="0" applyNumberFormat="1" applyFont="1" applyBorder="1" applyAlignment="1">
      <alignment horizontal="center" vertical="center"/>
    </xf>
    <xf numFmtId="0" fontId="21" fillId="0" borderId="31" xfId="0" applyFont="1" applyBorder="1" applyAlignment="1">
      <alignment horizontal="center" vertical="center"/>
    </xf>
    <xf numFmtId="0" fontId="21" fillId="0" borderId="32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0" fontId="21" fillId="0" borderId="33" xfId="0" applyFont="1" applyBorder="1"/>
    <xf numFmtId="0" fontId="21" fillId="0" borderId="34" xfId="0" applyFont="1" applyBorder="1"/>
    <xf numFmtId="0" fontId="21" fillId="0" borderId="22" xfId="0" applyFont="1" applyBorder="1"/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35" xfId="0" applyFont="1" applyBorder="1"/>
    <xf numFmtId="0" fontId="21" fillId="0" borderId="36" xfId="0" applyFont="1" applyBorder="1"/>
    <xf numFmtId="0" fontId="21" fillId="0" borderId="37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  <color rgb="FFBF8F00"/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106</xdr:row>
      <xdr:rowOff>0</xdr:rowOff>
    </xdr:from>
    <xdr:to>
      <xdr:col>61</xdr:col>
      <xdr:colOff>0</xdr:colOff>
      <xdr:row>118</xdr:row>
      <xdr:rowOff>0</xdr:rowOff>
    </xdr:to>
    <xdr:sp macro="" textlink="" fLocksText="0">
      <xdr:nvSpPr>
        <xdr:cNvPr id="98" name="吹き出し: 線 2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/>
      </xdr:nvSpPr>
      <xdr:spPr>
        <a:xfrm>
          <a:off x="10134600" y="20307300"/>
          <a:ext cx="6134100" cy="2286000"/>
        </a:xfrm>
        <a:prstGeom prst="borderCallout1">
          <a:avLst>
            <a:gd name="adj1" fmla="val 48210"/>
            <a:gd name="adj2" fmla="val 884"/>
            <a:gd name="adj3" fmla="val 56072"/>
            <a:gd name="adj4" fmla="val -13109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▪除外部門コード： 数字入力可能。最大2文字。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・1文字を入力した場合、フォーカスアウト時に2文字になるために前ゼロを自動補填する。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・入力しない場合、フォーカスアウト時に前ゼロを自動補填しない。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▪除外部門コードを入力した後、KN3803_部門提案機能を実行する。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・KN1507_部門一覧取得機能からデータを入力する。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・商品部門が存在している場合、部門名称表示項目に部門名称を埋め込む。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・部門が見つからない場合、部門名称表示項目に「データが見つかりませんでした。」を表示する</a:t>
          </a:r>
          <a:r>
            <a:rPr lang="vi-VN" altLang="ja-JP" sz="1000" b="0" i="0" u="none" baseline="0">
              <a:solidFill>
                <a:srgbClr val="5B9BD5"/>
              </a:solidFill>
              <a:latin typeface="Meiryo UI"/>
              <a:ea typeface="Meiryo UI" panose="020B0604030504040204" pitchFamily="34" charset="-128"/>
            </a:rPr>
            <a:t>。</a:t>
          </a:r>
        </a:p>
      </xdr:txBody>
    </xdr:sp>
    <xdr:clientData/>
  </xdr:twoCellAnchor>
  <xdr:twoCellAnchor>
    <xdr:from>
      <xdr:col>38</xdr:col>
      <xdr:colOff>11205</xdr:colOff>
      <xdr:row>84</xdr:row>
      <xdr:rowOff>0</xdr:rowOff>
    </xdr:from>
    <xdr:to>
      <xdr:col>61</xdr:col>
      <xdr:colOff>11205</xdr:colOff>
      <xdr:row>99</xdr:row>
      <xdr:rowOff>0</xdr:rowOff>
    </xdr:to>
    <xdr:sp macro="" textlink="" fLocksText="0">
      <xdr:nvSpPr>
        <xdr:cNvPr id="157" name="吹き出し: 線 2">
          <a:extLst>
            <a:ext uri="{FF2B5EF4-FFF2-40B4-BE49-F238E27FC236}">
              <a16:creationId xmlns:a16="http://schemas.microsoft.com/office/drawing/2014/main" id="{00000000-0008-0000-0400-00009D000000}"/>
            </a:ext>
          </a:extLst>
        </xdr:cNvPr>
        <xdr:cNvSpPr/>
      </xdr:nvSpPr>
      <xdr:spPr>
        <a:xfrm>
          <a:off x="10144125" y="16116300"/>
          <a:ext cx="6134100" cy="2857500"/>
        </a:xfrm>
        <a:prstGeom prst="borderCallout1">
          <a:avLst>
            <a:gd name="adj1" fmla="val 48210"/>
            <a:gd name="adj2" fmla="val 884"/>
            <a:gd name="adj3" fmla="val -80955"/>
            <a:gd name="adj4" fmla="val -1317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▪朝割情報更新機能を実行する。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・不在の部門コードを入力する場合、[有効な部門コードを入力してください。]というエラーメッセージを出す。重複日を入力する場合、[毎月かかる日) に重複があります。]というエラーメッセージを出す。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・かかる日が0の場合、又は、かかる日が31を超えた場合、[1~31の範囲で入力してください。]のエラーメッセージを出す。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・開始時刻が終了時刻より大きの場合、エラーメッセージを出す。</a:t>
          </a:r>
          <a:endParaRPr lang="en-US" altLang="ja-JP" sz="1000" b="0" i="0" u="none" baseline="0">
            <a:solidFill>
              <a:sysClr val="windowText" lastClr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・MD0101_店舗一覧モダールでstoreId = 09999の店舗を選択した場合、以下のように実行する。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▸除外店舗一覧に属しない店舗の割引日を更新する。除外店舗はチェックを入れた店舗となる。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▸割引除外店舗の状態を更新する。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・storeIdが09999以外の店舗を選択した場合、その店舗のデータのみを更新する。その店舗の除外店舗値を再度更新する。</a:t>
          </a: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chemeClr val="accent1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120</xdr:row>
      <xdr:rowOff>190499</xdr:rowOff>
    </xdr:from>
    <xdr:to>
      <xdr:col>61</xdr:col>
      <xdr:colOff>0</xdr:colOff>
      <xdr:row>129</xdr:row>
      <xdr:rowOff>179294</xdr:rowOff>
    </xdr:to>
    <xdr:sp macro="" textlink="" fLocksText="0">
      <xdr:nvSpPr>
        <xdr:cNvPr id="142" name="吹き出し: 線 2">
          <a:extLst>
            <a:ext uri="{FF2B5EF4-FFF2-40B4-BE49-F238E27FC236}">
              <a16:creationId xmlns:a16="http://schemas.microsoft.com/office/drawing/2014/main" id="{00000000-0008-0000-0400-00008E000000}"/>
            </a:ext>
          </a:extLst>
        </xdr:cNvPr>
        <xdr:cNvSpPr/>
      </xdr:nvSpPr>
      <xdr:spPr>
        <a:xfrm>
          <a:off x="8942294" y="23162558"/>
          <a:ext cx="5412441" cy="1703295"/>
        </a:xfrm>
        <a:prstGeom prst="borderCallout1">
          <a:avLst>
            <a:gd name="adj1" fmla="val 54828"/>
            <a:gd name="adj2" fmla="val -151"/>
            <a:gd name="adj3" fmla="val 44485"/>
            <a:gd name="adj4" fmla="val -13024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▪AP3804_ Cancel the morning discount programのAPIを呼び出して朝割プログラムを解除する。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・APIが正常に返した場合、画面には以下のように設定する。 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[F08 朝割解除]：無効、[状態]：終了中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・APIがエラー結果を返した場合、エラーメッセージを表示する。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・POS側が解除情報を受け取った後、すぐに朝割解除が不要で、POSで朝割解除ボタンをタッチした時、解除する必要がある。</a:t>
          </a:r>
        </a:p>
      </xdr:txBody>
    </xdr:sp>
    <xdr:clientData/>
  </xdr:twoCellAnchor>
  <xdr:twoCellAnchor>
    <xdr:from>
      <xdr:col>2</xdr:col>
      <xdr:colOff>0</xdr:colOff>
      <xdr:row>9</xdr:row>
      <xdr:rowOff>0</xdr:rowOff>
    </xdr:from>
    <xdr:to>
      <xdr:col>8</xdr:col>
      <xdr:colOff>6465</xdr:colOff>
      <xdr:row>13</xdr:row>
      <xdr:rowOff>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33400" y="1828800"/>
          <a:ext cx="1609725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8</xdr:col>
      <xdr:colOff>0</xdr:colOff>
      <xdr:row>16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590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38_朝割設定</a:t>
          </a:r>
        </a:p>
      </xdr:txBody>
    </xdr:sp>
    <xdr:clientData/>
  </xdr:twoCellAnchor>
  <xdr:twoCellAnchor>
    <xdr:from>
      <xdr:col>2</xdr:col>
      <xdr:colOff>0</xdr:colOff>
      <xdr:row>19</xdr:row>
      <xdr:rowOff>0</xdr:rowOff>
    </xdr:from>
    <xdr:to>
      <xdr:col>8</xdr:col>
      <xdr:colOff>0</xdr:colOff>
      <xdr:row>23</xdr:row>
      <xdr:rowOff>0</xdr:rowOff>
    </xdr:to>
    <xdr:sp macro="" textlink="" fLocksText="0">
      <xdr:nvSpPr>
        <xdr:cNvPr id="4" name="正方形/長方形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33400" y="3733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SC3801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朝割設定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5" name="正方形/長方形 19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3</xdr:col>
      <xdr:colOff>0</xdr:colOff>
      <xdr:row>25</xdr:row>
      <xdr:rowOff>13607</xdr:rowOff>
    </xdr:from>
    <xdr:to>
      <xdr:col>7</xdr:col>
      <xdr:colOff>0</xdr:colOff>
      <xdr:row>26</xdr:row>
      <xdr:rowOff>0</xdr:rowOff>
    </xdr:to>
    <xdr:sp macro="" textlink="" fLocksText="0">
      <xdr:nvSpPr>
        <xdr:cNvPr id="6" name="四角形: 角を丸くする 1101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800100" y="4886325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0</xdr:colOff>
      <xdr:row>25</xdr:row>
      <xdr:rowOff>0</xdr:rowOff>
    </xdr:from>
    <xdr:to>
      <xdr:col>13</xdr:col>
      <xdr:colOff>0</xdr:colOff>
      <xdr:row>26</xdr:row>
      <xdr:rowOff>190499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400300" y="4876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5</xdr:col>
      <xdr:colOff>1</xdr:colOff>
      <xdr:row>23</xdr:row>
      <xdr:rowOff>0</xdr:rowOff>
    </xdr:from>
    <xdr:to>
      <xdr:col>11</xdr:col>
      <xdr:colOff>0</xdr:colOff>
      <xdr:row>25</xdr:row>
      <xdr:rowOff>0</xdr:rowOff>
    </xdr:to>
    <xdr:cxnSp macro="">
      <xdr:nvCxnSpPr>
        <xdr:cNvPr id="8" name="Connector: Elbow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stCxn id="4" idx="2"/>
          <a:endCxn id="7" idx="0"/>
        </xdr:cNvCxnSpPr>
      </xdr:nvCxnSpPr>
      <xdr:spPr>
        <a:xfrm rot="16200000" flipH="1">
          <a:off x="1333500" y="4495800"/>
          <a:ext cx="16002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</xdr:colOff>
      <xdr:row>26</xdr:row>
      <xdr:rowOff>190498</xdr:rowOff>
    </xdr:from>
    <xdr:to>
      <xdr:col>11</xdr:col>
      <xdr:colOff>1</xdr:colOff>
      <xdr:row>28</xdr:row>
      <xdr:rowOff>190499</xdr:rowOff>
    </xdr:to>
    <xdr:cxnSp macro="">
      <xdr:nvCxnSpPr>
        <xdr:cNvPr id="9" name="Connector: Elbow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7" idx="2"/>
          <a:endCxn id="5" idx="0"/>
        </xdr:cNvCxnSpPr>
      </xdr:nvCxnSpPr>
      <xdr:spPr>
        <a:xfrm rot="5400000">
          <a:off x="1333500" y="5257800"/>
          <a:ext cx="16002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6466</xdr:colOff>
      <xdr:row>35</xdr:row>
      <xdr:rowOff>0</xdr:rowOff>
    </xdr:from>
    <xdr:to>
      <xdr:col>6</xdr:col>
      <xdr:colOff>1</xdr:colOff>
      <xdr:row>37</xdr:row>
      <xdr:rowOff>0</xdr:rowOff>
    </xdr:to>
    <xdr:sp macro="" textlink="" fLocksText="0">
      <xdr:nvSpPr>
        <xdr:cNvPr id="10" name="四角形: 角を丸くする 1101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1076325" y="6781800"/>
          <a:ext cx="52387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12</xdr:col>
      <xdr:colOff>228858</xdr:colOff>
      <xdr:row>37</xdr:row>
      <xdr:rowOff>0</xdr:rowOff>
    </xdr:to>
    <xdr:sp macro="" textlink="" fLocksText="0">
      <xdr:nvSpPr>
        <xdr:cNvPr id="11" name="四角形: 角を丸くする 1101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2933700" y="6781800"/>
          <a:ext cx="4953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5</xdr:col>
      <xdr:colOff>1</xdr:colOff>
      <xdr:row>33</xdr:row>
      <xdr:rowOff>0</xdr:rowOff>
    </xdr:from>
    <xdr:to>
      <xdr:col>12</xdr:col>
      <xdr:colOff>1</xdr:colOff>
      <xdr:row>35</xdr:row>
      <xdr:rowOff>0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5" idx="2"/>
          <a:endCxn id="11" idx="0"/>
        </xdr:cNvCxnSpPr>
      </xdr:nvCxnSpPr>
      <xdr:spPr>
        <a:xfrm rot="16200000" flipH="1">
          <a:off x="1333500" y="6400800"/>
          <a:ext cx="18669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13</xdr:row>
      <xdr:rowOff>0</xdr:rowOff>
    </xdr:from>
    <xdr:to>
      <xdr:col>61</xdr:col>
      <xdr:colOff>0</xdr:colOff>
      <xdr:row>15</xdr:row>
      <xdr:rowOff>0</xdr:rowOff>
    </xdr:to>
    <xdr:sp macro="" textlink="" fLocksText="0">
      <xdr:nvSpPr>
        <xdr:cNvPr id="13" name="吹き出し: 線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10134600" y="2590800"/>
          <a:ext cx="6134100" cy="381000"/>
        </a:xfrm>
        <a:prstGeom prst="borderCallout1">
          <a:avLst>
            <a:gd name="adj1" fmla="val 54828"/>
            <a:gd name="adj2" fmla="val -151"/>
            <a:gd name="adj3" fmla="val 51165"/>
            <a:gd name="adj4" fmla="val -13025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ID Menu item MF038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16</xdr:row>
      <xdr:rowOff>0</xdr:rowOff>
    </xdr:from>
    <xdr:to>
      <xdr:col>61</xdr:col>
      <xdr:colOff>0</xdr:colOff>
      <xdr:row>20</xdr:row>
      <xdr:rowOff>0</xdr:rowOff>
    </xdr:to>
    <xdr:sp macro="" textlink="" fLocksText="0">
      <xdr:nvSpPr>
        <xdr:cNvPr id="14" name="吹き出し: 線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0134600" y="3162300"/>
          <a:ext cx="6134100" cy="762000"/>
        </a:xfrm>
        <a:prstGeom prst="borderCallout1">
          <a:avLst>
            <a:gd name="adj1" fmla="val 51887"/>
            <a:gd name="adj2" fmla="val 470"/>
            <a:gd name="adj3" fmla="val 130588"/>
            <a:gd name="adj4" fmla="val -13008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店舗情報をタッチすると共通機能を実行する。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各ユーザーのstoreIdに基づいて、各ストアに該当する店舗一覧を取得する。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storeId = 09999の場合、全ての店舗一覧を取得する。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21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5" name="吹き出し: 線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0134600" y="4114800"/>
          <a:ext cx="6134100" cy="1143000"/>
        </a:xfrm>
        <a:prstGeom prst="borderCallout1">
          <a:avLst>
            <a:gd name="adj1" fmla="val 46845"/>
            <a:gd name="adj2" fmla="val 677"/>
            <a:gd name="adj3" fmla="val 155857"/>
            <a:gd name="adj4" fmla="val -13117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表示モダールと店舗一覧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1つの店舗のみ選択可能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顧客が選択した店舗を保存する。SC3801_朝割設定画面に戻ると、選択された店舗が表示される。SCX0101_メインメニュー画面に戻ると、顧客が選択した店舗をクリアする。</a:t>
          </a:r>
        </a:p>
      </xdr:txBody>
    </xdr:sp>
    <xdr:clientData/>
  </xdr:twoCellAnchor>
  <xdr:twoCellAnchor>
    <xdr:from>
      <xdr:col>38</xdr:col>
      <xdr:colOff>0</xdr:colOff>
      <xdr:row>27</xdr:row>
      <xdr:rowOff>179294</xdr:rowOff>
    </xdr:from>
    <xdr:to>
      <xdr:col>61</xdr:col>
      <xdr:colOff>0</xdr:colOff>
      <xdr:row>33</xdr:row>
      <xdr:rowOff>0</xdr:rowOff>
    </xdr:to>
    <xdr:sp macro="" textlink="" fLocksText="0">
      <xdr:nvSpPr>
        <xdr:cNvPr id="16" name="吹き出し: 線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0134600" y="5438775"/>
          <a:ext cx="6134100" cy="962025"/>
        </a:xfrm>
        <a:prstGeom prst="borderCallout1">
          <a:avLst>
            <a:gd name="adj1" fmla="val 48210"/>
            <a:gd name="adj2" fmla="val 884"/>
            <a:gd name="adj3" fmla="val 161175"/>
            <a:gd name="adj4" fmla="val -13957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・「決定」ボタン：2つの機能を同時に実行する。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KN3801_朝割情報取得機能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 KN1507_部門一覧取得機能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・「取消」ボタン：モダールを閉じて、SCX101_メインメニュー画面に戻る。 </a:t>
          </a:r>
        </a:p>
      </xdr:txBody>
    </xdr:sp>
    <xdr:clientData/>
  </xdr:twoCellAnchor>
  <xdr:twoCellAnchor>
    <xdr:from>
      <xdr:col>5</xdr:col>
      <xdr:colOff>0</xdr:colOff>
      <xdr:row>16</xdr:row>
      <xdr:rowOff>0</xdr:rowOff>
    </xdr:from>
    <xdr:to>
      <xdr:col>5</xdr:col>
      <xdr:colOff>0</xdr:colOff>
      <xdr:row>19</xdr:row>
      <xdr:rowOff>0</xdr:rowOff>
    </xdr:to>
    <xdr:cxnSp macro="">
      <xdr:nvCxnSpPr>
        <xdr:cNvPr id="17" name="直線矢印コネクタ 1010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3" idx="2"/>
          <a:endCxn id="4" idx="0"/>
        </xdr:cNvCxnSpPr>
      </xdr:nvCxnSpPr>
      <xdr:spPr>
        <a:xfrm>
          <a:off x="1333500" y="3162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23</xdr:row>
      <xdr:rowOff>0</xdr:rowOff>
    </xdr:from>
    <xdr:to>
      <xdr:col>5</xdr:col>
      <xdr:colOff>0</xdr:colOff>
      <xdr:row>25</xdr:row>
      <xdr:rowOff>13607</xdr:rowOff>
    </xdr:to>
    <xdr:cxnSp macro="">
      <xdr:nvCxnSpPr>
        <xdr:cNvPr id="18" name="直線矢印コネクタ 101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4" idx="2"/>
          <a:endCxn id="6" idx="0"/>
        </xdr:cNvCxnSpPr>
      </xdr:nvCxnSpPr>
      <xdr:spPr>
        <a:xfrm>
          <a:off x="1333500" y="4495800"/>
          <a:ext cx="0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26</xdr:row>
      <xdr:rowOff>0</xdr:rowOff>
    </xdr:from>
    <xdr:to>
      <xdr:col>5</xdr:col>
      <xdr:colOff>0</xdr:colOff>
      <xdr:row>29</xdr:row>
      <xdr:rowOff>0</xdr:rowOff>
    </xdr:to>
    <xdr:cxnSp macro="">
      <xdr:nvCxnSpPr>
        <xdr:cNvPr id="19" name="直線矢印コネクタ 1010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CxnSpPr>
          <a:stCxn id="6" idx="2"/>
          <a:endCxn id="5" idx="0"/>
        </xdr:cNvCxnSpPr>
      </xdr:nvCxnSpPr>
      <xdr:spPr>
        <a:xfrm>
          <a:off x="1333500" y="5067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33</xdr:row>
      <xdr:rowOff>0</xdr:rowOff>
    </xdr:from>
    <xdr:to>
      <xdr:col>5</xdr:col>
      <xdr:colOff>3233</xdr:colOff>
      <xdr:row>35</xdr:row>
      <xdr:rowOff>0</xdr:rowOff>
    </xdr:to>
    <xdr:cxnSp macro="">
      <xdr:nvCxnSpPr>
        <xdr:cNvPr id="20" name="直線矢印コネクタ 101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5" idx="2"/>
          <a:endCxn id="10" idx="0"/>
        </xdr:cNvCxnSpPr>
      </xdr:nvCxnSpPr>
      <xdr:spPr>
        <a:xfrm>
          <a:off x="1333500" y="640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52</xdr:row>
      <xdr:rowOff>190499</xdr:rowOff>
    </xdr:from>
    <xdr:to>
      <xdr:col>8</xdr:col>
      <xdr:colOff>0</xdr:colOff>
      <xdr:row>56</xdr:row>
      <xdr:rowOff>190499</xdr:rowOff>
    </xdr:to>
    <xdr:sp macro="" textlink="" fLocksText="0">
      <xdr:nvSpPr>
        <xdr:cNvPr id="21" name="正方形/長方形 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533400" y="10210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SC3801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朝割設定</a:t>
          </a:r>
        </a:p>
      </xdr:txBody>
    </xdr:sp>
    <xdr:clientData/>
  </xdr:twoCellAnchor>
  <xdr:twoCellAnchor>
    <xdr:from>
      <xdr:col>5</xdr:col>
      <xdr:colOff>0</xdr:colOff>
      <xdr:row>37</xdr:row>
      <xdr:rowOff>0</xdr:rowOff>
    </xdr:from>
    <xdr:to>
      <xdr:col>5</xdr:col>
      <xdr:colOff>3233</xdr:colOff>
      <xdr:row>44</xdr:row>
      <xdr:rowOff>0</xdr:rowOff>
    </xdr:to>
    <xdr:cxnSp macro="">
      <xdr:nvCxnSpPr>
        <xdr:cNvPr id="22" name="直線矢印コネクタ 1010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10" idx="2"/>
          <a:endCxn id="159" idx="0"/>
        </xdr:cNvCxnSpPr>
      </xdr:nvCxnSpPr>
      <xdr:spPr>
        <a:xfrm flipH="1">
          <a:off x="1333500" y="7162800"/>
          <a:ext cx="0" cy="1333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43</xdr:row>
      <xdr:rowOff>179294</xdr:rowOff>
    </xdr:from>
    <xdr:to>
      <xdr:col>61</xdr:col>
      <xdr:colOff>0</xdr:colOff>
      <xdr:row>83</xdr:row>
      <xdr:rowOff>0</xdr:rowOff>
    </xdr:to>
    <xdr:sp macro="" textlink="" fLocksText="0">
      <xdr:nvSpPr>
        <xdr:cNvPr id="27" name="吹き出し: 線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10134600" y="8486775"/>
          <a:ext cx="6134100" cy="7439025"/>
        </a:xfrm>
        <a:prstGeom prst="borderCallout1">
          <a:avLst>
            <a:gd name="adj1" fmla="val 48210"/>
            <a:gd name="adj2" fmla="val 884"/>
            <a:gd name="adj3" fmla="val 29875"/>
            <a:gd name="adj4" fmla="val -13212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・画面には以下の項目が含まれる。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・「一般小計劃引率」：朝割に適用する小計割引は最大2文字まで入力可能</a:t>
          </a:r>
          <a:endParaRPr lang="en-US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・「状態」：</a:t>
          </a:r>
          <a:endParaRPr lang="en-US" altLang="ja-JP" sz="1000" b="0" i="0" u="none" baseline="0">
            <a:solidFill>
              <a:sysClr val="windowText" lastClr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＋現在日付と時刻が割引対象なのかを確認する。状態は「設定曜日」、「対象日」「時刻（開始～終了）」で設定されたもので判定する。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▸当日が割引日の場合、[実施中]を表示する。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▸当日が割引日ではない場合、[終了中]を表示する。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+状態：無効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・[対象日付]: 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＋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割引日を1から31までの範囲で入力する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＋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数字のみ入力可能、最大2文字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・[設定曜日]: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＋朝割を適用する曜日にチェックを入れる。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+複数の曜日を選択可能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・「時刻（開始～終了）」：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+その日の割引時刻を表示する。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+表示形式：「時：分」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　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+0時0分～</a:t>
          </a: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23</a:t>
          </a:r>
          <a:r>
            <a:rPr lang="vi-VN" altLang="ja-JP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時59分</a:t>
          </a:r>
          <a:r>
            <a:rPr lang="ja-JP" altLang="en-US" sz="1000" b="0" i="0" u="none" baseline="0">
              <a:solidFill>
                <a:srgbClr val="0000FF"/>
              </a:solidFill>
              <a:latin typeface="Meiryo UI"/>
              <a:ea typeface="Meiryo UI" panose="020B0604030504040204" pitchFamily="34" charset="-128"/>
            </a:rPr>
            <a:t>の間で時間を選択可能。</a:t>
          </a:r>
          <a:endParaRPr lang="vi-VN" altLang="ja-JP" sz="1000" b="0" i="0" u="none" baseline="0">
            <a:solidFill>
              <a:srgbClr val="0000FF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・[除外部門コード]:朝割プログラムが適用されない部門コードを入力可能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・[F04 クリア]: 入力欄に変更があった場合、有効にする。変更がない場合、無効にする。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・[F08 朝割解除]ボタン:[状態]が「実施中」の場合、有効にする。[状態]が「終了中」の場合、無効にする。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 [F09:確定]ボタン: 入力欄に変更があった場合、有効にする。変更がない場合、無効にする。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・MD0101_店舗一覧モダールでstoreId = 09999の店舗を選択した場合、[除外店舗]エリアを表示する。storeIdが09999以外の店舗を選択した場合、[除外店舗]エリアを表示しない。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＋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店舗一覧は「コード：名称」形式で表示し、コードの昇順に並べ替える。以前の保存除外店舗の値に従って各店舗項目をチェックする。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＋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[全選択]ボタンをタッチすると、全ての店舗にチェックを入れる。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　＋</a:t>
          </a:r>
          <a:r>
            <a:rPr lang="vi-VN" altLang="ja-JP" sz="1000" b="0" i="0" u="none" baseline="0">
              <a:solidFill>
                <a:sysClr val="windowText" lastClr="000000"/>
              </a:solidFill>
              <a:latin typeface="Meiryo UI"/>
              <a:ea typeface="Meiryo UI" panose="020B0604030504040204" pitchFamily="34" charset="-128"/>
            </a:rPr>
            <a:t>[全解除]ボタンをタッチすると、全ての店舗にチェックを外す。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235322</xdr:colOff>
      <xdr:row>50</xdr:row>
      <xdr:rowOff>190499</xdr:rowOff>
    </xdr:from>
    <xdr:to>
      <xdr:col>4</xdr:col>
      <xdr:colOff>0</xdr:colOff>
      <xdr:row>52</xdr:row>
      <xdr:rowOff>0</xdr:rowOff>
    </xdr:to>
    <xdr:sp macro="" textlink="" fLocksText="0">
      <xdr:nvSpPr>
        <xdr:cNvPr id="31" name="Rectangle: Rounded Corners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504825" y="9829800"/>
          <a:ext cx="561975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</a:t>
          </a:r>
        </a:p>
      </xdr:txBody>
    </xdr:sp>
    <xdr:clientData/>
  </xdr:twoCellAnchor>
  <xdr:twoCellAnchor>
    <xdr:from>
      <xdr:col>4</xdr:col>
      <xdr:colOff>0</xdr:colOff>
      <xdr:row>51</xdr:row>
      <xdr:rowOff>95250</xdr:rowOff>
    </xdr:from>
    <xdr:to>
      <xdr:col>5</xdr:col>
      <xdr:colOff>0</xdr:colOff>
      <xdr:row>52</xdr:row>
      <xdr:rowOff>190499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CxnSpPr>
          <a:stCxn id="31" idx="3"/>
          <a:endCxn id="21" idx="0"/>
        </xdr:cNvCxnSpPr>
      </xdr:nvCxnSpPr>
      <xdr:spPr>
        <a:xfrm>
          <a:off x="1066800" y="9925050"/>
          <a:ext cx="266700" cy="285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64</xdr:row>
      <xdr:rowOff>190499</xdr:rowOff>
    </xdr:from>
    <xdr:to>
      <xdr:col>6</xdr:col>
      <xdr:colOff>235323</xdr:colOff>
      <xdr:row>66</xdr:row>
      <xdr:rowOff>190499</xdr:rowOff>
    </xdr:to>
    <xdr:sp macro="" textlink="" fLocksText="0">
      <xdr:nvSpPr>
        <xdr:cNvPr id="34" name="四角形: 角を丸くする 1101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00100" y="12496800"/>
          <a:ext cx="103822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確定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16</xdr:col>
      <xdr:colOff>0</xdr:colOff>
      <xdr:row>54</xdr:row>
      <xdr:rowOff>95249</xdr:rowOff>
    </xdr:from>
    <xdr:to>
      <xdr:col>18</xdr:col>
      <xdr:colOff>0</xdr:colOff>
      <xdr:row>54</xdr:row>
      <xdr:rowOff>95250</xdr:rowOff>
    </xdr:to>
    <xdr:cxnSp macro="">
      <xdr:nvCxnSpPr>
        <xdr:cNvPr id="35" name="直線矢印コネクタ 1010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39" idx="3"/>
          <a:endCxn id="46" idx="1"/>
        </xdr:cNvCxnSpPr>
      </xdr:nvCxnSpPr>
      <xdr:spPr>
        <a:xfrm>
          <a:off x="4267200" y="10496550"/>
          <a:ext cx="533400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</xdr:colOff>
      <xdr:row>52</xdr:row>
      <xdr:rowOff>190499</xdr:rowOff>
    </xdr:from>
    <xdr:to>
      <xdr:col>16</xdr:col>
      <xdr:colOff>0</xdr:colOff>
      <xdr:row>55</xdr:row>
      <xdr:rowOff>190499</xdr:rowOff>
    </xdr:to>
    <xdr:sp macro="" textlink="" fLocksText="0">
      <xdr:nvSpPr>
        <xdr:cNvPr id="39" name="四角形: 角を丸くする 1101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3200400" y="10210800"/>
          <a:ext cx="10668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90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商品部門コード</a:t>
          </a:r>
        </a:p>
      </xdr:txBody>
    </xdr:sp>
    <xdr:clientData/>
  </xdr:twoCellAnchor>
  <xdr:twoCellAnchor>
    <xdr:from>
      <xdr:col>8</xdr:col>
      <xdr:colOff>0</xdr:colOff>
      <xdr:row>54</xdr:row>
      <xdr:rowOff>95249</xdr:rowOff>
    </xdr:from>
    <xdr:to>
      <xdr:col>12</xdr:col>
      <xdr:colOff>1</xdr:colOff>
      <xdr:row>54</xdr:row>
      <xdr:rowOff>190499</xdr:rowOff>
    </xdr:to>
    <xdr:cxnSp macro="">
      <xdr:nvCxnSpPr>
        <xdr:cNvPr id="40" name="Connector: Elbow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endCxn id="39" idx="1"/>
        </xdr:cNvCxnSpPr>
      </xdr:nvCxnSpPr>
      <xdr:spPr>
        <a:xfrm flipV="1">
          <a:off x="2133600" y="10496550"/>
          <a:ext cx="1066800" cy="952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53</xdr:row>
      <xdr:rowOff>190499</xdr:rowOff>
    </xdr:from>
    <xdr:to>
      <xdr:col>20</xdr:col>
      <xdr:colOff>1</xdr:colOff>
      <xdr:row>55</xdr:row>
      <xdr:rowOff>0</xdr:rowOff>
    </xdr:to>
    <xdr:sp macro="" textlink="" fLocksText="0">
      <xdr:nvSpPr>
        <xdr:cNvPr id="46" name="Rectangle: Rounded Corners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4800600" y="10401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38.1</a:t>
          </a:r>
        </a:p>
      </xdr:txBody>
    </xdr:sp>
    <xdr:clientData/>
  </xdr:twoCellAnchor>
  <xdr:twoCellAnchor>
    <xdr:from>
      <xdr:col>5</xdr:col>
      <xdr:colOff>0</xdr:colOff>
      <xdr:row>56</xdr:row>
      <xdr:rowOff>190499</xdr:rowOff>
    </xdr:from>
    <xdr:to>
      <xdr:col>5</xdr:col>
      <xdr:colOff>0</xdr:colOff>
      <xdr:row>64</xdr:row>
      <xdr:rowOff>190499</xdr:rowOff>
    </xdr:to>
    <xdr:cxnSp macro="">
      <xdr:nvCxnSpPr>
        <xdr:cNvPr id="49" name="直線矢印コネクタ 1010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CxnSpPr>
          <a:stCxn id="21" idx="2"/>
          <a:endCxn id="34" idx="0"/>
        </xdr:cNvCxnSpPr>
      </xdr:nvCxnSpPr>
      <xdr:spPr>
        <a:xfrm>
          <a:off x="1333500" y="10972800"/>
          <a:ext cx="0" cy="1524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235322</xdr:colOff>
      <xdr:row>58</xdr:row>
      <xdr:rowOff>95249</xdr:rowOff>
    </xdr:from>
    <xdr:to>
      <xdr:col>18</xdr:col>
      <xdr:colOff>0</xdr:colOff>
      <xdr:row>58</xdr:row>
      <xdr:rowOff>95250</xdr:rowOff>
    </xdr:to>
    <xdr:cxnSp macro="">
      <xdr:nvCxnSpPr>
        <xdr:cNvPr id="52" name="直線矢印コネクタ 1010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CxnSpPr>
          <a:stCxn id="53" idx="3"/>
          <a:endCxn id="54" idx="1"/>
        </xdr:cNvCxnSpPr>
      </xdr:nvCxnSpPr>
      <xdr:spPr>
        <a:xfrm>
          <a:off x="4238625" y="11258550"/>
          <a:ext cx="5619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56</xdr:row>
      <xdr:rowOff>190499</xdr:rowOff>
    </xdr:from>
    <xdr:to>
      <xdr:col>15</xdr:col>
      <xdr:colOff>235322</xdr:colOff>
      <xdr:row>59</xdr:row>
      <xdr:rowOff>190499</xdr:rowOff>
    </xdr:to>
    <xdr:sp macro="" textlink="" fLocksText="0">
      <xdr:nvSpPr>
        <xdr:cNvPr id="53" name="四角形: 角を丸くする 1101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/>
      </xdr:nvSpPr>
      <xdr:spPr>
        <a:xfrm>
          <a:off x="3200400" y="10972800"/>
          <a:ext cx="1038225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F08 朝割解除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18</xdr:col>
      <xdr:colOff>0</xdr:colOff>
      <xdr:row>57</xdr:row>
      <xdr:rowOff>190499</xdr:rowOff>
    </xdr:from>
    <xdr:to>
      <xdr:col>20</xdr:col>
      <xdr:colOff>0</xdr:colOff>
      <xdr:row>59</xdr:row>
      <xdr:rowOff>0</xdr:rowOff>
    </xdr:to>
    <xdr:sp macro="" textlink="" fLocksText="0">
      <xdr:nvSpPr>
        <xdr:cNvPr id="54" name="Rectangle: Rounded Corners 53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SpPr/>
      </xdr:nvSpPr>
      <xdr:spPr>
        <a:xfrm>
          <a:off x="4800600" y="11163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38.2</a:t>
          </a:r>
        </a:p>
      </xdr:txBody>
    </xdr:sp>
    <xdr:clientData/>
  </xdr:twoCellAnchor>
  <xdr:twoCellAnchor>
    <xdr:from>
      <xdr:col>8</xdr:col>
      <xdr:colOff>0</xdr:colOff>
      <xdr:row>54</xdr:row>
      <xdr:rowOff>190499</xdr:rowOff>
    </xdr:from>
    <xdr:to>
      <xdr:col>12</xdr:col>
      <xdr:colOff>0</xdr:colOff>
      <xdr:row>58</xdr:row>
      <xdr:rowOff>95249</xdr:rowOff>
    </xdr:to>
    <xdr:cxnSp macro="">
      <xdr:nvCxnSpPr>
        <xdr:cNvPr id="55" name="Connector: Elbow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CxnSpPr>
          <a:stCxn id="21" idx="3"/>
          <a:endCxn id="53" idx="1"/>
        </xdr:cNvCxnSpPr>
      </xdr:nvCxnSpPr>
      <xdr:spPr>
        <a:xfrm>
          <a:off x="2133600" y="10591800"/>
          <a:ext cx="1066800" cy="6667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60</xdr:row>
      <xdr:rowOff>190499</xdr:rowOff>
    </xdr:from>
    <xdr:to>
      <xdr:col>15</xdr:col>
      <xdr:colOff>235322</xdr:colOff>
      <xdr:row>63</xdr:row>
      <xdr:rowOff>190499</xdr:rowOff>
    </xdr:to>
    <xdr:sp macro="" textlink="" fLocksText="0">
      <xdr:nvSpPr>
        <xdr:cNvPr id="58" name="四角形: 角を丸くする 1101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/>
      </xdr:nvSpPr>
      <xdr:spPr>
        <a:xfrm>
          <a:off x="3200400" y="11734800"/>
          <a:ext cx="1038225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F04 クリア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8</xdr:col>
      <xdr:colOff>0</xdr:colOff>
      <xdr:row>54</xdr:row>
      <xdr:rowOff>190499</xdr:rowOff>
    </xdr:from>
    <xdr:to>
      <xdr:col>12</xdr:col>
      <xdr:colOff>0</xdr:colOff>
      <xdr:row>62</xdr:row>
      <xdr:rowOff>95249</xdr:rowOff>
    </xdr:to>
    <xdr:cxnSp macro="">
      <xdr:nvCxnSpPr>
        <xdr:cNvPr id="59" name="Connector: Elbow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CxnSpPr>
          <a:stCxn id="21" idx="3"/>
          <a:endCxn id="58" idx="1"/>
        </xdr:cNvCxnSpPr>
      </xdr:nvCxnSpPr>
      <xdr:spPr>
        <a:xfrm>
          <a:off x="2133600" y="10591800"/>
          <a:ext cx="1066800" cy="142875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235322</xdr:colOff>
      <xdr:row>62</xdr:row>
      <xdr:rowOff>95249</xdr:rowOff>
    </xdr:from>
    <xdr:to>
      <xdr:col>18</xdr:col>
      <xdr:colOff>0</xdr:colOff>
      <xdr:row>62</xdr:row>
      <xdr:rowOff>95249</xdr:rowOff>
    </xdr:to>
    <xdr:cxnSp macro="">
      <xdr:nvCxnSpPr>
        <xdr:cNvPr id="79" name="直線矢印コネクタ 1010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58" idx="3"/>
          <a:endCxn id="80" idx="1"/>
        </xdr:cNvCxnSpPr>
      </xdr:nvCxnSpPr>
      <xdr:spPr>
        <a:xfrm>
          <a:off x="4238625" y="12020550"/>
          <a:ext cx="561975" cy="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0</xdr:colOff>
      <xdr:row>61</xdr:row>
      <xdr:rowOff>190498</xdr:rowOff>
    </xdr:from>
    <xdr:to>
      <xdr:col>20</xdr:col>
      <xdr:colOff>0</xdr:colOff>
      <xdr:row>62</xdr:row>
      <xdr:rowOff>190499</xdr:rowOff>
    </xdr:to>
    <xdr:sp macro="" textlink="" fLocksText="0">
      <xdr:nvSpPr>
        <xdr:cNvPr id="80" name="Rectangle: Rounded Corners 79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SpPr/>
      </xdr:nvSpPr>
      <xdr:spPr>
        <a:xfrm>
          <a:off x="4800600" y="11925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</a:t>
          </a:r>
        </a:p>
      </xdr:txBody>
    </xdr:sp>
    <xdr:clientData/>
  </xdr:twoCellAnchor>
  <xdr:twoCellAnchor>
    <xdr:from>
      <xdr:col>4</xdr:col>
      <xdr:colOff>0</xdr:colOff>
      <xdr:row>104</xdr:row>
      <xdr:rowOff>0</xdr:rowOff>
    </xdr:from>
    <xdr:to>
      <xdr:col>6</xdr:col>
      <xdr:colOff>1</xdr:colOff>
      <xdr:row>105</xdr:row>
      <xdr:rowOff>1</xdr:rowOff>
    </xdr:to>
    <xdr:sp macro="" textlink="" fLocksText="0">
      <xdr:nvSpPr>
        <xdr:cNvPr id="82" name="Rectangle: Rounded Corners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SpPr/>
      </xdr:nvSpPr>
      <xdr:spPr>
        <a:xfrm>
          <a:off x="1066800" y="199263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38.1</a:t>
          </a:r>
        </a:p>
      </xdr:txBody>
    </xdr:sp>
    <xdr:clientData/>
  </xdr:twoCellAnchor>
  <xdr:twoCellAnchor>
    <xdr:from>
      <xdr:col>3</xdr:col>
      <xdr:colOff>0</xdr:colOff>
      <xdr:row>107</xdr:row>
      <xdr:rowOff>0</xdr:rowOff>
    </xdr:from>
    <xdr:to>
      <xdr:col>6</xdr:col>
      <xdr:colOff>235323</xdr:colOff>
      <xdr:row>109</xdr:row>
      <xdr:rowOff>0</xdr:rowOff>
    </xdr:to>
    <xdr:sp macro="" textlink="" fLocksText="0">
      <xdr:nvSpPr>
        <xdr:cNvPr id="83" name="四角形: 角を丸くする 1101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SpPr/>
      </xdr:nvSpPr>
      <xdr:spPr>
        <a:xfrm>
          <a:off x="800100" y="20497800"/>
          <a:ext cx="1038225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商品部門コード</a:t>
          </a:r>
        </a:p>
      </xdr:txBody>
    </xdr:sp>
    <xdr:clientData/>
  </xdr:twoCellAnchor>
  <xdr:twoCellAnchor>
    <xdr:from>
      <xdr:col>5</xdr:col>
      <xdr:colOff>0</xdr:colOff>
      <xdr:row>105</xdr:row>
      <xdr:rowOff>1</xdr:rowOff>
    </xdr:from>
    <xdr:to>
      <xdr:col>5</xdr:col>
      <xdr:colOff>0</xdr:colOff>
      <xdr:row>107</xdr:row>
      <xdr:rowOff>0</xdr:rowOff>
    </xdr:to>
    <xdr:cxnSp macro="">
      <xdr:nvCxnSpPr>
        <xdr:cNvPr id="84" name="直線矢印コネクタ 1010">
          <a:extLst>
            <a:ext uri="{FF2B5EF4-FFF2-40B4-BE49-F238E27FC236}">
              <a16:creationId xmlns:a16="http://schemas.microsoft.com/office/drawing/2014/main" id="{00000000-0008-0000-0400-000054000000}"/>
            </a:ext>
          </a:extLst>
        </xdr:cNvPr>
        <xdr:cNvCxnSpPr>
          <a:stCxn id="82" idx="2"/>
          <a:endCxn id="83" idx="0"/>
        </xdr:cNvCxnSpPr>
      </xdr:nvCxnSpPr>
      <xdr:spPr>
        <a:xfrm>
          <a:off x="1333500" y="20116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111</xdr:row>
      <xdr:rowOff>0</xdr:rowOff>
    </xdr:from>
    <xdr:to>
      <xdr:col>8</xdr:col>
      <xdr:colOff>0</xdr:colOff>
      <xdr:row>115</xdr:row>
      <xdr:rowOff>0</xdr:rowOff>
    </xdr:to>
    <xdr:sp macro="" textlink="" fLocksText="0">
      <xdr:nvSpPr>
        <xdr:cNvPr id="87" name="四角形: 角を丸くする 3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533400" y="21259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KN3803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商品部門提案機能</a:t>
          </a:r>
        </a:p>
      </xdr:txBody>
    </xdr:sp>
    <xdr:clientData/>
  </xdr:twoCellAnchor>
  <xdr:twoCellAnchor>
    <xdr:from>
      <xdr:col>5</xdr:col>
      <xdr:colOff>0</xdr:colOff>
      <xdr:row>109</xdr:row>
      <xdr:rowOff>0</xdr:rowOff>
    </xdr:from>
    <xdr:to>
      <xdr:col>5</xdr:col>
      <xdr:colOff>0</xdr:colOff>
      <xdr:row>111</xdr:row>
      <xdr:rowOff>0</xdr:rowOff>
    </xdr:to>
    <xdr:cxnSp macro="">
      <xdr:nvCxnSpPr>
        <xdr:cNvPr id="88" name="直線矢印コネクタ 1010">
          <a:extLst>
            <a:ext uri="{FF2B5EF4-FFF2-40B4-BE49-F238E27FC236}">
              <a16:creationId xmlns:a16="http://schemas.microsoft.com/office/drawing/2014/main" id="{00000000-0008-0000-0400-000058000000}"/>
            </a:ext>
          </a:extLst>
        </xdr:cNvPr>
        <xdr:cNvCxnSpPr>
          <a:stCxn id="83" idx="2"/>
          <a:endCxn id="87" idx="0"/>
        </xdr:cNvCxnSpPr>
      </xdr:nvCxnSpPr>
      <xdr:spPr>
        <a:xfrm>
          <a:off x="1333500" y="20878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117</xdr:row>
      <xdr:rowOff>0</xdr:rowOff>
    </xdr:from>
    <xdr:to>
      <xdr:col>6</xdr:col>
      <xdr:colOff>1</xdr:colOff>
      <xdr:row>118</xdr:row>
      <xdr:rowOff>1</xdr:rowOff>
    </xdr:to>
    <xdr:sp macro="" textlink="" fLocksText="0">
      <xdr:nvSpPr>
        <xdr:cNvPr id="94" name="Rectangle: Rounded Corners 93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SpPr/>
      </xdr:nvSpPr>
      <xdr:spPr>
        <a:xfrm>
          <a:off x="1066800" y="22402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</a:t>
          </a:r>
        </a:p>
      </xdr:txBody>
    </xdr:sp>
    <xdr:clientData/>
  </xdr:twoCellAnchor>
  <xdr:twoCellAnchor>
    <xdr:from>
      <xdr:col>5</xdr:col>
      <xdr:colOff>0</xdr:colOff>
      <xdr:row>115</xdr:row>
      <xdr:rowOff>0</xdr:rowOff>
    </xdr:from>
    <xdr:to>
      <xdr:col>5</xdr:col>
      <xdr:colOff>0</xdr:colOff>
      <xdr:row>117</xdr:row>
      <xdr:rowOff>0</xdr:rowOff>
    </xdr:to>
    <xdr:cxnSp macro="">
      <xdr:nvCxnSpPr>
        <xdr:cNvPr id="95" name="直線矢印コネクタ 1010">
          <a:extLst>
            <a:ext uri="{FF2B5EF4-FFF2-40B4-BE49-F238E27FC236}">
              <a16:creationId xmlns:a16="http://schemas.microsoft.com/office/drawing/2014/main" id="{00000000-0008-0000-0400-00005F000000}"/>
            </a:ext>
          </a:extLst>
        </xdr:cNvPr>
        <xdr:cNvCxnSpPr>
          <a:stCxn id="87" idx="2"/>
          <a:endCxn id="94" idx="0"/>
        </xdr:cNvCxnSpPr>
      </xdr:nvCxnSpPr>
      <xdr:spPr>
        <a:xfrm>
          <a:off x="1333500" y="22021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121</xdr:row>
      <xdr:rowOff>0</xdr:rowOff>
    </xdr:from>
    <xdr:to>
      <xdr:col>6</xdr:col>
      <xdr:colOff>1</xdr:colOff>
      <xdr:row>122</xdr:row>
      <xdr:rowOff>1</xdr:rowOff>
    </xdr:to>
    <xdr:sp macro="" textlink="" fLocksText="0">
      <xdr:nvSpPr>
        <xdr:cNvPr id="99" name="Rectangle: Rounded Corners 98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SpPr/>
      </xdr:nvSpPr>
      <xdr:spPr>
        <a:xfrm>
          <a:off x="1066800" y="23164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1.2</a:t>
          </a:r>
        </a:p>
      </xdr:txBody>
    </xdr:sp>
    <xdr:clientData/>
  </xdr:twoCellAnchor>
  <xdr:twoCellAnchor>
    <xdr:from>
      <xdr:col>2</xdr:col>
      <xdr:colOff>0</xdr:colOff>
      <xdr:row>124</xdr:row>
      <xdr:rowOff>0</xdr:rowOff>
    </xdr:from>
    <xdr:to>
      <xdr:col>8</xdr:col>
      <xdr:colOff>0</xdr:colOff>
      <xdr:row>128</xdr:row>
      <xdr:rowOff>0</xdr:rowOff>
    </xdr:to>
    <xdr:sp macro="" textlink="" fLocksText="0">
      <xdr:nvSpPr>
        <xdr:cNvPr id="100" name="四角形: 角を丸くする 3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533400" y="23736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FC3803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プログラム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解除機能</a:t>
          </a:r>
        </a:p>
      </xdr:txBody>
    </xdr:sp>
    <xdr:clientData/>
  </xdr:twoCellAnchor>
  <xdr:twoCellAnchor>
    <xdr:from>
      <xdr:col>5</xdr:col>
      <xdr:colOff>0</xdr:colOff>
      <xdr:row>122</xdr:row>
      <xdr:rowOff>1</xdr:rowOff>
    </xdr:from>
    <xdr:to>
      <xdr:col>5</xdr:col>
      <xdr:colOff>0</xdr:colOff>
      <xdr:row>124</xdr:row>
      <xdr:rowOff>0</xdr:rowOff>
    </xdr:to>
    <xdr:cxnSp macro="">
      <xdr:nvCxnSpPr>
        <xdr:cNvPr id="101" name="直線矢印コネクタ 101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CxnSpPr>
          <a:stCxn id="99" idx="2"/>
          <a:endCxn id="100" idx="0"/>
        </xdr:cNvCxnSpPr>
      </xdr:nvCxnSpPr>
      <xdr:spPr>
        <a:xfrm>
          <a:off x="1333500" y="2335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125</xdr:row>
      <xdr:rowOff>189453</xdr:rowOff>
    </xdr:from>
    <xdr:to>
      <xdr:col>29</xdr:col>
      <xdr:colOff>0</xdr:colOff>
      <xdr:row>126</xdr:row>
      <xdr:rowOff>0</xdr:rowOff>
    </xdr:to>
    <xdr:cxnSp macro="">
      <xdr:nvCxnSpPr>
        <xdr:cNvPr id="103" name="直線矢印コネクタ 196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CxnSpPr>
          <a:stCxn id="100" idx="3"/>
          <a:endCxn id="106" idx="2"/>
        </xdr:cNvCxnSpPr>
      </xdr:nvCxnSpPr>
      <xdr:spPr>
        <a:xfrm flipV="1">
          <a:off x="2133600" y="24117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124</xdr:row>
      <xdr:rowOff>0</xdr:rowOff>
    </xdr:from>
    <xdr:to>
      <xdr:col>35</xdr:col>
      <xdr:colOff>0</xdr:colOff>
      <xdr:row>127</xdr:row>
      <xdr:rowOff>188406</xdr:rowOff>
    </xdr:to>
    <xdr:sp macro="" textlink="" fLocksText="0">
      <xdr:nvSpPr>
        <xdr:cNvPr id="106" name="フローチャート: 磁気ディスク 194">
          <a:extLst>
            <a:ext uri="{FF2B5EF4-FFF2-40B4-BE49-F238E27FC236}">
              <a16:creationId xmlns:a16="http://schemas.microsoft.com/office/drawing/2014/main" id="{00000000-0008-0000-0400-00006A000000}"/>
            </a:ext>
          </a:extLst>
        </xdr:cNvPr>
        <xdr:cNvSpPr/>
      </xdr:nvSpPr>
      <xdr:spPr>
        <a:xfrm>
          <a:off x="7734300" y="23736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AP3804: Cancel the morning discount program</a:t>
          </a:r>
        </a:p>
      </xdr:txBody>
    </xdr:sp>
    <xdr:clientData/>
  </xdr:twoCellAnchor>
  <xdr:twoCellAnchor>
    <xdr:from>
      <xdr:col>2</xdr:col>
      <xdr:colOff>0</xdr:colOff>
      <xdr:row>133</xdr:row>
      <xdr:rowOff>0</xdr:rowOff>
    </xdr:from>
    <xdr:to>
      <xdr:col>8</xdr:col>
      <xdr:colOff>0</xdr:colOff>
      <xdr:row>137</xdr:row>
      <xdr:rowOff>0</xdr:rowOff>
    </xdr:to>
    <xdr:sp macro="" textlink="" fLocksText="0">
      <xdr:nvSpPr>
        <xdr:cNvPr id="108" name="正方形/長方形 1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/>
      </xdr:nvSpPr>
      <xdr:spPr>
        <a:xfrm>
          <a:off x="533400" y="25450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SC3801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朝割設定</a:t>
          </a:r>
        </a:p>
      </xdr:txBody>
    </xdr:sp>
    <xdr:clientData/>
  </xdr:twoCellAnchor>
  <xdr:twoCellAnchor>
    <xdr:from>
      <xdr:col>5</xdr:col>
      <xdr:colOff>0</xdr:colOff>
      <xdr:row>128</xdr:row>
      <xdr:rowOff>0</xdr:rowOff>
    </xdr:from>
    <xdr:to>
      <xdr:col>5</xdr:col>
      <xdr:colOff>1</xdr:colOff>
      <xdr:row>130</xdr:row>
      <xdr:rowOff>0</xdr:rowOff>
    </xdr:to>
    <xdr:cxnSp macro="">
      <xdr:nvCxnSpPr>
        <xdr:cNvPr id="109" name="直線矢印コネクタ 1010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CxnSpPr>
          <a:stCxn id="100" idx="2"/>
          <a:endCxn id="113" idx="0"/>
        </xdr:cNvCxnSpPr>
      </xdr:nvCxnSpPr>
      <xdr:spPr>
        <a:xfrm>
          <a:off x="1333500" y="24498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</xdr:colOff>
      <xdr:row>130</xdr:row>
      <xdr:rowOff>0</xdr:rowOff>
    </xdr:from>
    <xdr:to>
      <xdr:col>7</xdr:col>
      <xdr:colOff>1</xdr:colOff>
      <xdr:row>131</xdr:row>
      <xdr:rowOff>0</xdr:rowOff>
    </xdr:to>
    <xdr:sp macro="" textlink="" fLocksText="0">
      <xdr:nvSpPr>
        <xdr:cNvPr id="113" name="正方形/長方形 1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/>
      </xdr:nvSpPr>
      <xdr:spPr>
        <a:xfrm>
          <a:off x="800100" y="24879300"/>
          <a:ext cx="1066800" cy="1905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0</xdr:colOff>
      <xdr:row>130</xdr:row>
      <xdr:rowOff>0</xdr:rowOff>
    </xdr:from>
    <xdr:to>
      <xdr:col>16</xdr:col>
      <xdr:colOff>0</xdr:colOff>
      <xdr:row>131</xdr:row>
      <xdr:rowOff>0</xdr:rowOff>
    </xdr:to>
    <xdr:sp macro="" textlink="" fLocksText="0">
      <xdr:nvSpPr>
        <xdr:cNvPr id="123" name="正方形/長方形 1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/>
      </xdr:nvSpPr>
      <xdr:spPr>
        <a:xfrm>
          <a:off x="3200400" y="24879300"/>
          <a:ext cx="1066800" cy="1905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128</xdr:row>
      <xdr:rowOff>0</xdr:rowOff>
    </xdr:from>
    <xdr:to>
      <xdr:col>13</xdr:col>
      <xdr:colOff>235322</xdr:colOff>
      <xdr:row>130</xdr:row>
      <xdr:rowOff>0</xdr:rowOff>
    </xdr:to>
    <xdr:cxnSp macro="">
      <xdr:nvCxnSpPr>
        <xdr:cNvPr id="124" name="Connector: Elbow 123">
          <a:extLst>
            <a:ext uri="{FF2B5EF4-FFF2-40B4-BE49-F238E27FC236}">
              <a16:creationId xmlns:a16="http://schemas.microsoft.com/office/drawing/2014/main" id="{00000000-0008-0000-0400-00007C000000}"/>
            </a:ext>
          </a:extLst>
        </xdr:cNvPr>
        <xdr:cNvCxnSpPr>
          <a:stCxn id="100" idx="2"/>
          <a:endCxn id="123" idx="0"/>
        </xdr:cNvCxnSpPr>
      </xdr:nvCxnSpPr>
      <xdr:spPr>
        <a:xfrm rot="16200000" flipH="1">
          <a:off x="1304925" y="24498300"/>
          <a:ext cx="24003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131</xdr:row>
      <xdr:rowOff>0</xdr:rowOff>
    </xdr:from>
    <xdr:to>
      <xdr:col>5</xdr:col>
      <xdr:colOff>1</xdr:colOff>
      <xdr:row>133</xdr:row>
      <xdr:rowOff>0</xdr:rowOff>
    </xdr:to>
    <xdr:cxnSp macro="">
      <xdr:nvCxnSpPr>
        <xdr:cNvPr id="127" name="直線矢印コネクタ 1010">
          <a:extLst>
            <a:ext uri="{FF2B5EF4-FFF2-40B4-BE49-F238E27FC236}">
              <a16:creationId xmlns:a16="http://schemas.microsoft.com/office/drawing/2014/main" id="{00000000-0008-0000-0400-00007F000000}"/>
            </a:ext>
          </a:extLst>
        </xdr:cNvPr>
        <xdr:cNvCxnSpPr>
          <a:stCxn id="113" idx="2"/>
          <a:endCxn id="108" idx="0"/>
        </xdr:cNvCxnSpPr>
      </xdr:nvCxnSpPr>
      <xdr:spPr>
        <a:xfrm flipH="1">
          <a:off x="1333500" y="25069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133</xdr:row>
      <xdr:rowOff>0</xdr:rowOff>
    </xdr:from>
    <xdr:to>
      <xdr:col>17</xdr:col>
      <xdr:colOff>0</xdr:colOff>
      <xdr:row>136</xdr:row>
      <xdr:rowOff>185853</xdr:rowOff>
    </xdr:to>
    <xdr:sp macro="" textlink="" fLocksText="0">
      <xdr:nvSpPr>
        <xdr:cNvPr id="135" name="正方形/長方形 1">
          <a:extLst>
            <a:ext uri="{FF2B5EF4-FFF2-40B4-BE49-F238E27FC236}">
              <a16:creationId xmlns:a16="http://schemas.microsoft.com/office/drawing/2014/main" id="{00000000-0008-0000-0400-000087000000}"/>
            </a:ext>
          </a:extLst>
        </xdr:cNvPr>
        <xdr:cNvSpPr/>
      </xdr:nvSpPr>
      <xdr:spPr>
        <a:xfrm>
          <a:off x="2933700" y="25450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vi-VN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バリエーションチェックNG</a:t>
          </a:r>
        </a:p>
      </xdr:txBody>
    </xdr:sp>
    <xdr:clientData/>
  </xdr:twoCellAnchor>
  <xdr:twoCellAnchor>
    <xdr:from>
      <xdr:col>13</xdr:col>
      <xdr:colOff>4652</xdr:colOff>
      <xdr:row>137</xdr:row>
      <xdr:rowOff>0</xdr:rowOff>
    </xdr:from>
    <xdr:to>
      <xdr:col>15</xdr:col>
      <xdr:colOff>4652</xdr:colOff>
      <xdr:row>138</xdr:row>
      <xdr:rowOff>0</xdr:rowOff>
    </xdr:to>
    <xdr:sp macro="" textlink="" fLocksText="0">
      <xdr:nvSpPr>
        <xdr:cNvPr id="136" name="四角形: 角を丸くする 294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SpPr/>
      </xdr:nvSpPr>
      <xdr:spPr>
        <a:xfrm>
          <a:off x="3467100" y="26212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0</xdr:colOff>
      <xdr:row>131</xdr:row>
      <xdr:rowOff>0</xdr:rowOff>
    </xdr:from>
    <xdr:to>
      <xdr:col>14</xdr:col>
      <xdr:colOff>1</xdr:colOff>
      <xdr:row>133</xdr:row>
      <xdr:rowOff>0</xdr:rowOff>
    </xdr:to>
    <xdr:cxnSp macro="">
      <xdr:nvCxnSpPr>
        <xdr:cNvPr id="137" name="直線矢印コネクタ 1010">
          <a:extLst>
            <a:ext uri="{FF2B5EF4-FFF2-40B4-BE49-F238E27FC236}">
              <a16:creationId xmlns:a16="http://schemas.microsoft.com/office/drawing/2014/main" id="{00000000-0008-0000-0400-000089000000}"/>
            </a:ext>
          </a:extLst>
        </xdr:cNvPr>
        <xdr:cNvCxnSpPr>
          <a:stCxn id="123" idx="2"/>
          <a:endCxn id="135" idx="0"/>
        </xdr:cNvCxnSpPr>
      </xdr:nvCxnSpPr>
      <xdr:spPr>
        <a:xfrm>
          <a:off x="3733800" y="25069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139</xdr:row>
      <xdr:rowOff>0</xdr:rowOff>
    </xdr:from>
    <xdr:to>
      <xdr:col>6</xdr:col>
      <xdr:colOff>1</xdr:colOff>
      <xdr:row>140</xdr:row>
      <xdr:rowOff>1</xdr:rowOff>
    </xdr:to>
    <xdr:sp macro="" textlink="" fLocksText="0">
      <xdr:nvSpPr>
        <xdr:cNvPr id="139" name="Rectangle: Rounded Corners 138">
          <a:extLst>
            <a:ext uri="{FF2B5EF4-FFF2-40B4-BE49-F238E27FC236}">
              <a16:creationId xmlns:a16="http://schemas.microsoft.com/office/drawing/2014/main" id="{00000000-0008-0000-0400-00008B000000}"/>
            </a:ext>
          </a:extLst>
        </xdr:cNvPr>
        <xdr:cNvSpPr/>
      </xdr:nvSpPr>
      <xdr:spPr>
        <a:xfrm>
          <a:off x="1066800" y="26593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</a:t>
          </a:r>
        </a:p>
      </xdr:txBody>
    </xdr:sp>
    <xdr:clientData/>
  </xdr:twoCellAnchor>
  <xdr:twoCellAnchor>
    <xdr:from>
      <xdr:col>5</xdr:col>
      <xdr:colOff>0</xdr:colOff>
      <xdr:row>137</xdr:row>
      <xdr:rowOff>0</xdr:rowOff>
    </xdr:from>
    <xdr:to>
      <xdr:col>5</xdr:col>
      <xdr:colOff>0</xdr:colOff>
      <xdr:row>139</xdr:row>
      <xdr:rowOff>0</xdr:rowOff>
    </xdr:to>
    <xdr:cxnSp macro="">
      <xdr:nvCxnSpPr>
        <xdr:cNvPr id="140" name="直線矢印コネクタ 1010">
          <a:extLst>
            <a:ext uri="{FF2B5EF4-FFF2-40B4-BE49-F238E27FC236}">
              <a16:creationId xmlns:a16="http://schemas.microsoft.com/office/drawing/2014/main" id="{00000000-0008-0000-0400-00008C000000}"/>
            </a:ext>
          </a:extLst>
        </xdr:cNvPr>
        <xdr:cNvCxnSpPr>
          <a:stCxn id="108" idx="2"/>
          <a:endCxn id="139" idx="0"/>
        </xdr:cNvCxnSpPr>
      </xdr:nvCxnSpPr>
      <xdr:spPr>
        <a:xfrm>
          <a:off x="1333500" y="26212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66</xdr:row>
      <xdr:rowOff>190499</xdr:rowOff>
    </xdr:from>
    <xdr:to>
      <xdr:col>5</xdr:col>
      <xdr:colOff>0</xdr:colOff>
      <xdr:row>68</xdr:row>
      <xdr:rowOff>190499</xdr:rowOff>
    </xdr:to>
    <xdr:cxnSp macro="">
      <xdr:nvCxnSpPr>
        <xdr:cNvPr id="143" name="直線矢印コネクタ 1010">
          <a:extLst>
            <a:ext uri="{FF2B5EF4-FFF2-40B4-BE49-F238E27FC236}">
              <a16:creationId xmlns:a16="http://schemas.microsoft.com/office/drawing/2014/main" id="{00000000-0008-0000-0400-00008F000000}"/>
            </a:ext>
          </a:extLst>
        </xdr:cNvPr>
        <xdr:cNvCxnSpPr>
          <a:stCxn id="34" idx="2"/>
          <a:endCxn id="146" idx="0"/>
        </xdr:cNvCxnSpPr>
      </xdr:nvCxnSpPr>
      <xdr:spPr>
        <a:xfrm>
          <a:off x="1333500" y="12877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68</xdr:row>
      <xdr:rowOff>190499</xdr:rowOff>
    </xdr:from>
    <xdr:to>
      <xdr:col>8</xdr:col>
      <xdr:colOff>0</xdr:colOff>
      <xdr:row>72</xdr:row>
      <xdr:rowOff>190499</xdr:rowOff>
    </xdr:to>
    <xdr:sp macro="" textlink="" fLocksText="0">
      <xdr:nvSpPr>
        <xdr:cNvPr id="146" name="四角形: 角を丸くする 3">
          <a:extLst>
            <a:ext uri="{FF2B5EF4-FFF2-40B4-BE49-F238E27FC236}">
              <a16:creationId xmlns:a16="http://schemas.microsoft.com/office/drawing/2014/main" id="{00000000-0008-0000-0400-000092000000}"/>
            </a:ext>
          </a:extLst>
        </xdr:cNvPr>
        <xdr:cNvSpPr/>
      </xdr:nvSpPr>
      <xdr:spPr>
        <a:xfrm>
          <a:off x="533400" y="13258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FC3802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朝割キャンペーン更新機能</a:t>
          </a:r>
        </a:p>
      </xdr:txBody>
    </xdr:sp>
    <xdr:clientData/>
  </xdr:twoCellAnchor>
  <xdr:twoCellAnchor>
    <xdr:from>
      <xdr:col>29</xdr:col>
      <xdr:colOff>0</xdr:colOff>
      <xdr:row>68</xdr:row>
      <xdr:rowOff>190499</xdr:rowOff>
    </xdr:from>
    <xdr:to>
      <xdr:col>35</xdr:col>
      <xdr:colOff>0</xdr:colOff>
      <xdr:row>72</xdr:row>
      <xdr:rowOff>188405</xdr:rowOff>
    </xdr:to>
    <xdr:sp macro="" textlink="" fLocksText="0">
      <xdr:nvSpPr>
        <xdr:cNvPr id="148" name="フローチャート: 磁気ディスク 194">
          <a:extLst>
            <a:ext uri="{FF2B5EF4-FFF2-40B4-BE49-F238E27FC236}">
              <a16:creationId xmlns:a16="http://schemas.microsoft.com/office/drawing/2014/main" id="{00000000-0008-0000-0400-000094000000}"/>
            </a:ext>
          </a:extLst>
        </xdr:cNvPr>
        <xdr:cNvSpPr/>
      </xdr:nvSpPr>
      <xdr:spPr>
        <a:xfrm>
          <a:off x="7734300" y="13258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AP3802: Update the morning discount </a:t>
          </a:r>
        </a:p>
      </xdr:txBody>
    </xdr:sp>
    <xdr:clientData/>
  </xdr:twoCellAnchor>
  <xdr:twoCellAnchor>
    <xdr:from>
      <xdr:col>8</xdr:col>
      <xdr:colOff>0</xdr:colOff>
      <xdr:row>70</xdr:row>
      <xdr:rowOff>189452</xdr:rowOff>
    </xdr:from>
    <xdr:to>
      <xdr:col>29</xdr:col>
      <xdr:colOff>0</xdr:colOff>
      <xdr:row>70</xdr:row>
      <xdr:rowOff>190499</xdr:rowOff>
    </xdr:to>
    <xdr:cxnSp macro="">
      <xdr:nvCxnSpPr>
        <xdr:cNvPr id="149" name="直線矢印コネクタ 196">
          <a:extLst>
            <a:ext uri="{FF2B5EF4-FFF2-40B4-BE49-F238E27FC236}">
              <a16:creationId xmlns:a16="http://schemas.microsoft.com/office/drawing/2014/main" id="{00000000-0008-0000-0400-000095000000}"/>
            </a:ext>
          </a:extLst>
        </xdr:cNvPr>
        <xdr:cNvCxnSpPr>
          <a:stCxn id="146" idx="3"/>
          <a:endCxn id="148" idx="2"/>
        </xdr:cNvCxnSpPr>
      </xdr:nvCxnSpPr>
      <xdr:spPr>
        <a:xfrm flipV="1">
          <a:off x="2133600" y="136398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72</xdr:row>
      <xdr:rowOff>190499</xdr:rowOff>
    </xdr:from>
    <xdr:to>
      <xdr:col>5</xdr:col>
      <xdr:colOff>0</xdr:colOff>
      <xdr:row>74</xdr:row>
      <xdr:rowOff>190499</xdr:rowOff>
    </xdr:to>
    <xdr:cxnSp macro="">
      <xdr:nvCxnSpPr>
        <xdr:cNvPr id="151" name="直線矢印コネクタ 101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CxnSpPr>
          <a:stCxn id="146" idx="2"/>
          <a:endCxn id="154" idx="0"/>
        </xdr:cNvCxnSpPr>
      </xdr:nvCxnSpPr>
      <xdr:spPr>
        <a:xfrm>
          <a:off x="1333500" y="1402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74</xdr:row>
      <xdr:rowOff>190499</xdr:rowOff>
    </xdr:from>
    <xdr:to>
      <xdr:col>6</xdr:col>
      <xdr:colOff>1</xdr:colOff>
      <xdr:row>76</xdr:row>
      <xdr:rowOff>0</xdr:rowOff>
    </xdr:to>
    <xdr:sp macro="" textlink="" fLocksText="0">
      <xdr:nvSpPr>
        <xdr:cNvPr id="154" name="Rectangle: Rounded Corners 153">
          <a:extLst>
            <a:ext uri="{FF2B5EF4-FFF2-40B4-BE49-F238E27FC236}">
              <a16:creationId xmlns:a16="http://schemas.microsoft.com/office/drawing/2014/main" id="{00000000-0008-0000-0400-00009A000000}"/>
            </a:ext>
          </a:extLst>
        </xdr:cNvPr>
        <xdr:cNvSpPr/>
      </xdr:nvSpPr>
      <xdr:spPr>
        <a:xfrm>
          <a:off x="1066800" y="14401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5B9BD5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38</a:t>
          </a:r>
        </a:p>
      </xdr:txBody>
    </xdr:sp>
    <xdr:clientData/>
  </xdr:twoCellAnchor>
  <xdr:twoCellAnchor>
    <xdr:from>
      <xdr:col>2</xdr:col>
      <xdr:colOff>0</xdr:colOff>
      <xdr:row>44</xdr:row>
      <xdr:rowOff>0</xdr:rowOff>
    </xdr:from>
    <xdr:to>
      <xdr:col>8</xdr:col>
      <xdr:colOff>0</xdr:colOff>
      <xdr:row>48</xdr:row>
      <xdr:rowOff>0</xdr:rowOff>
    </xdr:to>
    <xdr:sp macro="" textlink="" fLocksText="0">
      <xdr:nvSpPr>
        <xdr:cNvPr id="159" name="四角形: 角を丸くする 3">
          <a:extLst>
            <a:ext uri="{FF2B5EF4-FFF2-40B4-BE49-F238E27FC236}">
              <a16:creationId xmlns:a16="http://schemas.microsoft.com/office/drawing/2014/main" id="{00000000-0008-0000-0400-00009F000000}"/>
            </a:ext>
          </a:extLst>
        </xdr:cNvPr>
        <xdr:cNvSpPr/>
      </xdr:nvSpPr>
      <xdr:spPr>
        <a:xfrm>
          <a:off x="533400" y="8496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KN3801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朝割情報取得機能</a:t>
          </a:r>
        </a:p>
      </xdr:txBody>
    </xdr:sp>
    <xdr:clientData/>
  </xdr:twoCellAnchor>
  <xdr:twoCellAnchor>
    <xdr:from>
      <xdr:col>5</xdr:col>
      <xdr:colOff>0</xdr:colOff>
      <xdr:row>48</xdr:row>
      <xdr:rowOff>0</xdr:rowOff>
    </xdr:from>
    <xdr:to>
      <xdr:col>5</xdr:col>
      <xdr:colOff>0</xdr:colOff>
      <xdr:row>52</xdr:row>
      <xdr:rowOff>190499</xdr:rowOff>
    </xdr:to>
    <xdr:cxnSp macro="">
      <xdr:nvCxnSpPr>
        <xdr:cNvPr id="161" name="直線矢印コネクタ 1010">
          <a:extLst>
            <a:ext uri="{FF2B5EF4-FFF2-40B4-BE49-F238E27FC236}">
              <a16:creationId xmlns:a16="http://schemas.microsoft.com/office/drawing/2014/main" id="{00000000-0008-0000-0400-0000A1000000}"/>
            </a:ext>
          </a:extLst>
        </xdr:cNvPr>
        <xdr:cNvCxnSpPr>
          <a:stCxn id="159" idx="2"/>
          <a:endCxn id="21" idx="0"/>
        </xdr:cNvCxnSpPr>
      </xdr:nvCxnSpPr>
      <xdr:spPr>
        <a:xfrm>
          <a:off x="1333500" y="9258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44</xdr:row>
      <xdr:rowOff>2094</xdr:rowOff>
    </xdr:from>
    <xdr:to>
      <xdr:col>35</xdr:col>
      <xdr:colOff>0</xdr:colOff>
      <xdr:row>48</xdr:row>
      <xdr:rowOff>0</xdr:rowOff>
    </xdr:to>
    <xdr:sp macro="" textlink="" fLocksText="0">
      <xdr:nvSpPr>
        <xdr:cNvPr id="164" name="フローチャート: 磁気ディスク 194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SpPr/>
      </xdr:nvSpPr>
      <xdr:spPr>
        <a:xfrm>
          <a:off x="7734300" y="8496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AP3801: Get morning discount </a:t>
          </a:r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29</xdr:col>
      <xdr:colOff>0</xdr:colOff>
      <xdr:row>46</xdr:row>
      <xdr:rowOff>1047</xdr:rowOff>
    </xdr:to>
    <xdr:cxnSp macro="">
      <xdr:nvCxnSpPr>
        <xdr:cNvPr id="165" name="直線矢印コネクタ 196">
          <a:extLst>
            <a:ext uri="{FF2B5EF4-FFF2-40B4-BE49-F238E27FC236}">
              <a16:creationId xmlns:a16="http://schemas.microsoft.com/office/drawing/2014/main" id="{00000000-0008-0000-0400-0000A5000000}"/>
            </a:ext>
          </a:extLst>
        </xdr:cNvPr>
        <xdr:cNvCxnSpPr>
          <a:stCxn id="159" idx="3"/>
          <a:endCxn id="164" idx="2"/>
        </xdr:cNvCxnSpPr>
      </xdr:nvCxnSpPr>
      <xdr:spPr>
        <a:xfrm>
          <a:off x="2133600" y="8877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37</xdr:row>
      <xdr:rowOff>0</xdr:rowOff>
    </xdr:from>
    <xdr:to>
      <xdr:col>61</xdr:col>
      <xdr:colOff>0</xdr:colOff>
      <xdr:row>43</xdr:row>
      <xdr:rowOff>0</xdr:rowOff>
    </xdr:to>
    <xdr:sp macro="" textlink="" fLocksText="0">
      <xdr:nvSpPr>
        <xdr:cNvPr id="167" name="吹き出し: 線 2">
          <a:extLst>
            <a:ext uri="{FF2B5EF4-FFF2-40B4-BE49-F238E27FC236}">
              <a16:creationId xmlns:a16="http://schemas.microsoft.com/office/drawing/2014/main" id="{00000000-0008-0000-0400-0000A7000000}"/>
            </a:ext>
          </a:extLst>
        </xdr:cNvPr>
        <xdr:cNvSpPr/>
      </xdr:nvSpPr>
      <xdr:spPr>
        <a:xfrm>
          <a:off x="8942294" y="7160559"/>
          <a:ext cx="5412441" cy="1143000"/>
        </a:xfrm>
        <a:prstGeom prst="borderCallout1">
          <a:avLst>
            <a:gd name="adj1" fmla="val 48210"/>
            <a:gd name="adj2" fmla="val 884"/>
            <a:gd name="adj3" fmla="val 146941"/>
            <a:gd name="adj4" fmla="val -13109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朝割情報取得APIを呼び出す。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・IDが09999の店舗を選択した場合、以下のように実行する。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+除外店舗の状態を含む全店舗の一覧を取得する。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+IDが09999の店舗の朝割割引日一覧を取得する。</a:t>
          </a:r>
        </a:p>
        <a:p>
          <a:pPr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ysClr val="windowText" lastClr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・IDが09999以外の店舗を選択した場合、その店舗の朝割割引日一覧のみを取得する</a:t>
          </a:r>
          <a:r>
            <a:rPr lang="en-US" altLang="ja-JP" sz="1000" b="0" i="0" u="none" baseline="0">
              <a:solidFill>
                <a:srgbClr val="00B0F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。</a:t>
          </a:r>
        </a:p>
      </xdr:txBody>
    </xdr:sp>
    <xdr:clientData/>
  </xdr:twoCellAnchor>
  <xdr:twoCellAnchor editAs="oneCell">
    <xdr:from>
      <xdr:col>67</xdr:col>
      <xdr:colOff>0</xdr:colOff>
      <xdr:row>43</xdr:row>
      <xdr:rowOff>0</xdr:rowOff>
    </xdr:from>
    <xdr:to>
      <xdr:col>108</xdr:col>
      <xdr:colOff>0</xdr:colOff>
      <xdr:row>66</xdr:row>
      <xdr:rowOff>113485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868900" y="8305800"/>
          <a:ext cx="10934700" cy="449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67</xdr:col>
      <xdr:colOff>1</xdr:colOff>
      <xdr:row>68</xdr:row>
      <xdr:rowOff>0</xdr:rowOff>
    </xdr:from>
    <xdr:to>
      <xdr:col>107</xdr:col>
      <xdr:colOff>228439</xdr:colOff>
      <xdr:row>92</xdr:row>
      <xdr:rowOff>11206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868900" y="13068300"/>
          <a:ext cx="10896600" cy="4581525"/>
        </a:xfrm>
        <a:prstGeom prst="rect">
          <a:avLst/>
        </a:prstGeom>
      </xdr:spPr>
    </xdr:pic>
    <xdr:clientData/>
  </xdr:twoCellAnchor>
  <xdr:twoCellAnchor>
    <xdr:from>
      <xdr:col>11</xdr:col>
      <xdr:colOff>0</xdr:colOff>
      <xdr:row>39</xdr:row>
      <xdr:rowOff>0</xdr:rowOff>
    </xdr:from>
    <xdr:to>
      <xdr:col>17</xdr:col>
      <xdr:colOff>0</xdr:colOff>
      <xdr:row>43</xdr:row>
      <xdr:rowOff>0</xdr:rowOff>
    </xdr:to>
    <xdr:sp macro="" textlink="" fLocksText="0">
      <xdr:nvSpPr>
        <xdr:cNvPr id="23" name="四角形: 角を丸くする 3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2933700" y="7543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5B9BD5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KN1507</a:t>
          </a:r>
          <a:endParaRPr lang="en-US" altLang="ja-JP" sz="1000">
            <a:solidFill>
              <a:schemeClr val="accent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5B9BD5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商品部門一覧取得機能</a:t>
          </a:r>
        </a:p>
      </xdr:txBody>
    </xdr:sp>
    <xdr:clientData/>
  </xdr:twoCellAnchor>
  <xdr:twoCellAnchor>
    <xdr:from>
      <xdr:col>5</xdr:col>
      <xdr:colOff>3232</xdr:colOff>
      <xdr:row>37</xdr:row>
      <xdr:rowOff>0</xdr:rowOff>
    </xdr:from>
    <xdr:to>
      <xdr:col>14</xdr:col>
      <xdr:colOff>0</xdr:colOff>
      <xdr:row>39</xdr:row>
      <xdr:rowOff>0</xdr:rowOff>
    </xdr:to>
    <xdr:cxnSp macro="">
      <xdr:nvCxnSpPr>
        <xdr:cNvPr id="25" name="Straight Arrow Connector 2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10" idx="2"/>
          <a:endCxn id="23" idx="0"/>
        </xdr:cNvCxnSpPr>
      </xdr:nvCxnSpPr>
      <xdr:spPr>
        <a:xfrm rot="16200000" flipH="1">
          <a:off x="1333500" y="7162800"/>
          <a:ext cx="24003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42</xdr:row>
      <xdr:rowOff>190499</xdr:rowOff>
    </xdr:from>
    <xdr:to>
      <xdr:col>14</xdr:col>
      <xdr:colOff>2</xdr:colOff>
      <xdr:row>52</xdr:row>
      <xdr:rowOff>190498</xdr:rowOff>
    </xdr:to>
    <xdr:cxnSp macro="">
      <xdr:nvCxnSpPr>
        <xdr:cNvPr id="30" name="Straight Arrow Connector 22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stCxn id="23" idx="2"/>
          <a:endCxn id="21" idx="0"/>
        </xdr:cNvCxnSpPr>
      </xdr:nvCxnSpPr>
      <xdr:spPr>
        <a:xfrm rot="5400000">
          <a:off x="1333500" y="8305800"/>
          <a:ext cx="2400300" cy="1905000"/>
        </a:xfrm>
        <a:prstGeom prst="bentConnector3">
          <a:avLst>
            <a:gd name="adj1" fmla="val 70588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39</xdr:row>
      <xdr:rowOff>0</xdr:rowOff>
    </xdr:from>
    <xdr:to>
      <xdr:col>35</xdr:col>
      <xdr:colOff>0</xdr:colOff>
      <xdr:row>43</xdr:row>
      <xdr:rowOff>0</xdr:rowOff>
    </xdr:to>
    <xdr:sp macro="" textlink="" fLocksText="0">
      <xdr:nvSpPr>
        <xdr:cNvPr id="45" name="フローチャート: 磁気ディスク 19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7734300" y="7543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5B9BD5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AP1508</a:t>
          </a:r>
        </a:p>
        <a:p>
          <a:pPr algn="ctr">
            <a:defRPr lang="en-US" altLang="ja-JP" sz="1000" b="0" i="0" u="none" baseline="0">
              <a:solidFill>
                <a:schemeClr val="accent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5B9BD5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商品部門取得</a:t>
          </a:r>
        </a:p>
      </xdr:txBody>
    </xdr:sp>
    <xdr:clientData/>
  </xdr:twoCellAnchor>
  <xdr:twoCellAnchor>
    <xdr:from>
      <xdr:col>17</xdr:col>
      <xdr:colOff>0</xdr:colOff>
      <xdr:row>41</xdr:row>
      <xdr:rowOff>0</xdr:rowOff>
    </xdr:from>
    <xdr:to>
      <xdr:col>29</xdr:col>
      <xdr:colOff>0</xdr:colOff>
      <xdr:row>41</xdr:row>
      <xdr:rowOff>0</xdr:rowOff>
    </xdr:to>
    <xdr:cxnSp macro="">
      <xdr:nvCxnSpPr>
        <xdr:cNvPr id="47" name="直線矢印コネクタ 19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CxnSpPr>
          <a:stCxn id="23" idx="3"/>
          <a:endCxn id="45" idx="2"/>
        </xdr:cNvCxnSpPr>
      </xdr:nvCxnSpPr>
      <xdr:spPr>
        <a:xfrm>
          <a:off x="4533900" y="7924800"/>
          <a:ext cx="32004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34</xdr:row>
      <xdr:rowOff>0</xdr:rowOff>
    </xdr:from>
    <xdr:to>
      <xdr:col>61</xdr:col>
      <xdr:colOff>0</xdr:colOff>
      <xdr:row>36</xdr:row>
      <xdr:rowOff>0</xdr:rowOff>
    </xdr:to>
    <xdr:sp macro="" textlink="" fLocksText="0">
      <xdr:nvSpPr>
        <xdr:cNvPr id="50" name="吹き出し: 線 2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10134600" y="6591300"/>
          <a:ext cx="6134100" cy="381000"/>
        </a:xfrm>
        <a:prstGeom prst="borderCallout1">
          <a:avLst>
            <a:gd name="adj1" fmla="val 50269"/>
            <a:gd name="adj2" fmla="val -151"/>
            <a:gd name="adj3" fmla="val 325272"/>
            <a:gd name="adj4" fmla="val -9287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KN3803_商品部門提案機能に使用するために全て商品部門取得APIを呼び出す。</a:t>
          </a:r>
        </a:p>
      </xdr:txBody>
    </xdr:sp>
    <xdr:clientData/>
  </xdr:twoCellAnchor>
  <xdr:twoCellAnchor editAs="oneCell">
    <xdr:from>
      <xdr:col>109</xdr:col>
      <xdr:colOff>1</xdr:colOff>
      <xdr:row>43</xdr:row>
      <xdr:rowOff>0</xdr:rowOff>
    </xdr:from>
    <xdr:to>
      <xdr:col>150</xdr:col>
      <xdr:colOff>1</xdr:colOff>
      <xdr:row>66</xdr:row>
      <xdr:rowOff>165556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29070300" y="8305800"/>
          <a:ext cx="10934700" cy="4543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9" customWidth="1"/>
    <col min="61" max="16384" width="2.77734375" style="19"/>
  </cols>
  <sheetData>
    <row r="1" spans="1:63" ht="24.95" customHeight="1" x14ac:dyDescent="0.25">
      <c r="A1" s="86" t="s">
        <v>32</v>
      </c>
      <c r="B1" s="87"/>
      <c r="C1" s="87"/>
      <c r="D1" s="87"/>
      <c r="E1" s="87"/>
      <c r="F1" s="87"/>
      <c r="G1" s="87"/>
      <c r="H1" s="87"/>
      <c r="I1" s="87"/>
      <c r="J1" s="88"/>
      <c r="K1" s="86" t="s">
        <v>33</v>
      </c>
      <c r="L1" s="87"/>
      <c r="M1" s="87"/>
      <c r="N1" s="87"/>
      <c r="O1" s="87"/>
      <c r="P1" s="87"/>
      <c r="Q1" s="87"/>
      <c r="R1" s="87"/>
      <c r="S1" s="87"/>
      <c r="T1" s="87"/>
      <c r="U1" s="87"/>
      <c r="V1" s="88"/>
      <c r="W1" s="107" t="s">
        <v>34</v>
      </c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9"/>
      <c r="AP1" s="86" t="s">
        <v>35</v>
      </c>
      <c r="AQ1" s="87"/>
      <c r="AR1" s="87"/>
      <c r="AS1" s="88"/>
      <c r="AT1" s="86" t="s">
        <v>36</v>
      </c>
      <c r="AU1" s="87"/>
      <c r="AV1" s="87"/>
      <c r="AW1" s="87"/>
      <c r="AX1" s="88"/>
      <c r="AY1" s="86" t="s">
        <v>37</v>
      </c>
      <c r="AZ1" s="87"/>
      <c r="BA1" s="87"/>
      <c r="BB1" s="88"/>
      <c r="BC1" s="86" t="s">
        <v>38</v>
      </c>
      <c r="BD1" s="87"/>
      <c r="BE1" s="87"/>
      <c r="BF1" s="87"/>
      <c r="BG1" s="88"/>
      <c r="BH1" s="86" t="s">
        <v>39</v>
      </c>
      <c r="BI1" s="87"/>
      <c r="BJ1" s="87"/>
      <c r="BK1" s="88"/>
    </row>
    <row r="2" spans="1:63" ht="15" customHeight="1" x14ac:dyDescent="0.25">
      <c r="A2" s="106" t="s">
        <v>40</v>
      </c>
      <c r="B2" s="72"/>
      <c r="C2" s="72"/>
      <c r="D2" s="72"/>
      <c r="E2" s="72"/>
      <c r="F2" s="72"/>
      <c r="G2" s="72"/>
      <c r="H2" s="72"/>
      <c r="I2" s="72"/>
      <c r="J2" s="73"/>
      <c r="K2" s="71" t="s">
        <v>10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3"/>
      <c r="W2" s="110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2"/>
      <c r="AP2" s="71" t="str">
        <f>改訂履歴!$H$11</f>
        <v>SonMNT</v>
      </c>
      <c r="AQ2" s="72"/>
      <c r="AR2" s="72"/>
      <c r="AS2" s="73"/>
      <c r="AT2" s="100">
        <f>改訂履歴!$B$11</f>
        <v>45439</v>
      </c>
      <c r="AU2" s="101"/>
      <c r="AV2" s="101"/>
      <c r="AW2" s="101"/>
      <c r="AX2" s="102"/>
      <c r="AY2" s="71" t="str">
        <f>LOOKUP(2,1/(改訂履歴!H11:H30000&lt;&gt;""),改訂履歴!H11:H30000)</f>
        <v>LoiLV</v>
      </c>
      <c r="AZ2" s="72"/>
      <c r="BA2" s="72"/>
      <c r="BB2" s="73"/>
      <c r="BC2" s="100">
        <f>LOOKUP(2,1/(改訂履歴!B11:B30000&lt;&gt;""),改訂履歴!B11:B30000)</f>
        <v>45464</v>
      </c>
      <c r="BD2" s="101"/>
      <c r="BE2" s="101"/>
      <c r="BF2" s="101"/>
      <c r="BG2" s="102"/>
      <c r="BH2" s="94">
        <f>LOOKUP(2,1/(改訂履歴!O11:O30000&lt;&gt;""),改訂履歴!O11:O30000)</f>
        <v>0.51</v>
      </c>
      <c r="BI2" s="95"/>
      <c r="BJ2" s="95"/>
      <c r="BK2" s="96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113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5"/>
      <c r="AP3" s="77"/>
      <c r="AQ3" s="78"/>
      <c r="AR3" s="78"/>
      <c r="AS3" s="79"/>
      <c r="AT3" s="103"/>
      <c r="AU3" s="104"/>
      <c r="AV3" s="104"/>
      <c r="AW3" s="104"/>
      <c r="AX3" s="105"/>
      <c r="AY3" s="77"/>
      <c r="AZ3" s="78"/>
      <c r="BA3" s="78"/>
      <c r="BB3" s="79"/>
      <c r="BC3" s="103"/>
      <c r="BD3" s="104"/>
      <c r="BE3" s="104"/>
      <c r="BF3" s="104"/>
      <c r="BG3" s="105"/>
      <c r="BH3" s="97"/>
      <c r="BI3" s="98"/>
      <c r="BJ3" s="98"/>
      <c r="BK3" s="99"/>
    </row>
    <row r="4" spans="1:63" ht="24.95" customHeight="1" x14ac:dyDescent="0.25">
      <c r="A4" s="86" t="s">
        <v>41</v>
      </c>
      <c r="B4" s="87"/>
      <c r="C4" s="87"/>
      <c r="D4" s="87"/>
      <c r="E4" s="87"/>
      <c r="F4" s="87"/>
      <c r="G4" s="88"/>
      <c r="H4" s="91" t="s">
        <v>31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86" t="s">
        <v>42</v>
      </c>
      <c r="V4" s="87"/>
      <c r="W4" s="87"/>
      <c r="X4" s="87"/>
      <c r="Y4" s="88"/>
      <c r="Z4" s="91" t="s">
        <v>11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1" t="str">
        <f t="array" aca="1" ref="AP4" ca="1">RIGHT(CELL("filename",$A$1),LEN(CELL("filename",$A$1))-FIND("]",CELL("filename",$A$1)))</f>
        <v>表紙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3"/>
      <c r="BK6" s="24"/>
    </row>
    <row r="7" spans="1:63" ht="15" customHeight="1" x14ac:dyDescent="0.25">
      <c r="A7" s="23"/>
      <c r="BK7" s="24"/>
    </row>
    <row r="8" spans="1:63" ht="15" customHeight="1" x14ac:dyDescent="0.25">
      <c r="A8" s="23"/>
      <c r="BK8" s="24"/>
    </row>
    <row r="9" spans="1:63" ht="15" customHeight="1" x14ac:dyDescent="0.25">
      <c r="A9" s="23"/>
      <c r="BK9" s="24"/>
    </row>
    <row r="10" spans="1:63" ht="15" customHeight="1" x14ac:dyDescent="0.25">
      <c r="A10" s="23"/>
      <c r="BK10" s="24"/>
    </row>
    <row r="11" spans="1:63" ht="15" customHeight="1" x14ac:dyDescent="0.25">
      <c r="A11" s="23"/>
      <c r="BK11" s="24"/>
    </row>
    <row r="12" spans="1:63" ht="15" customHeight="1" x14ac:dyDescent="0.25">
      <c r="A12" s="23"/>
      <c r="BK12" s="24"/>
    </row>
    <row r="13" spans="1:63" ht="15" customHeight="1" x14ac:dyDescent="0.25">
      <c r="A13" s="23"/>
      <c r="BK13" s="24"/>
    </row>
    <row r="14" spans="1:63" ht="15" customHeight="1" thickBot="1" x14ac:dyDescent="0.3">
      <c r="A14" s="23"/>
      <c r="BK14" s="24"/>
    </row>
    <row r="15" spans="1:63" ht="15" customHeight="1" thickTop="1" x14ac:dyDescent="0.25">
      <c r="A15" s="23"/>
      <c r="K15" s="25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7"/>
      <c r="BK15" s="24"/>
    </row>
    <row r="16" spans="1:63" ht="15" customHeight="1" x14ac:dyDescent="0.25">
      <c r="A16" s="23"/>
      <c r="K16" s="28"/>
      <c r="L16" s="89" t="s">
        <v>43</v>
      </c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0"/>
      <c r="AL16" s="90"/>
      <c r="AM16" s="90"/>
      <c r="AN16" s="90"/>
      <c r="AO16" s="90"/>
      <c r="AP16" s="90"/>
      <c r="AQ16" s="90"/>
      <c r="AR16" s="90"/>
      <c r="AS16" s="90"/>
      <c r="AT16" s="90"/>
      <c r="AU16" s="90"/>
      <c r="AV16" s="90"/>
      <c r="AW16" s="90"/>
      <c r="AX16" s="90"/>
      <c r="AY16" s="90"/>
      <c r="AZ16" s="90"/>
      <c r="BA16" s="29"/>
      <c r="BK16" s="24"/>
    </row>
    <row r="17" spans="1:63" ht="15" customHeight="1" x14ac:dyDescent="0.25">
      <c r="A17" s="23"/>
      <c r="K17" s="28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0"/>
      <c r="AL17" s="90"/>
      <c r="AM17" s="90"/>
      <c r="AN17" s="90"/>
      <c r="AO17" s="90"/>
      <c r="AP17" s="90"/>
      <c r="AQ17" s="90"/>
      <c r="AR17" s="90"/>
      <c r="AS17" s="90"/>
      <c r="AT17" s="90"/>
      <c r="AU17" s="90"/>
      <c r="AV17" s="90"/>
      <c r="AW17" s="90"/>
      <c r="AX17" s="90"/>
      <c r="AY17" s="90"/>
      <c r="AZ17" s="90"/>
      <c r="BA17" s="29"/>
      <c r="BK17" s="24"/>
    </row>
    <row r="18" spans="1:63" ht="15" customHeight="1" x14ac:dyDescent="0.25">
      <c r="A18" s="23"/>
      <c r="K18" s="28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0"/>
      <c r="AL18" s="90"/>
      <c r="AM18" s="90"/>
      <c r="AN18" s="90"/>
      <c r="AO18" s="90"/>
      <c r="AP18" s="90"/>
      <c r="AQ18" s="90"/>
      <c r="AR18" s="90"/>
      <c r="AS18" s="90"/>
      <c r="AT18" s="90"/>
      <c r="AU18" s="90"/>
      <c r="AV18" s="90"/>
      <c r="AW18" s="90"/>
      <c r="AX18" s="90"/>
      <c r="AY18" s="90"/>
      <c r="AZ18" s="90"/>
      <c r="BA18" s="29"/>
      <c r="BK18" s="24"/>
    </row>
    <row r="19" spans="1:63" ht="15" customHeight="1" x14ac:dyDescent="0.25">
      <c r="A19" s="23"/>
      <c r="K19" s="28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0"/>
      <c r="AU19" s="90"/>
      <c r="AV19" s="90"/>
      <c r="AW19" s="90"/>
      <c r="AX19" s="90"/>
      <c r="AY19" s="90"/>
      <c r="AZ19" s="90"/>
      <c r="BA19" s="29"/>
      <c r="BK19" s="24"/>
    </row>
    <row r="20" spans="1:63" ht="15" customHeight="1" x14ac:dyDescent="0.25">
      <c r="A20" s="23"/>
      <c r="K20" s="28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0"/>
      <c r="AL20" s="90"/>
      <c r="AM20" s="90"/>
      <c r="AN20" s="90"/>
      <c r="AO20" s="90"/>
      <c r="AP20" s="90"/>
      <c r="AQ20" s="90"/>
      <c r="AR20" s="90"/>
      <c r="AS20" s="90"/>
      <c r="AT20" s="90"/>
      <c r="AU20" s="90"/>
      <c r="AV20" s="90"/>
      <c r="AW20" s="90"/>
      <c r="AX20" s="90"/>
      <c r="AY20" s="90"/>
      <c r="AZ20" s="90"/>
      <c r="BA20" s="29"/>
      <c r="BK20" s="24"/>
    </row>
    <row r="21" spans="1:63" ht="15" customHeight="1" x14ac:dyDescent="0.25">
      <c r="A21" s="23"/>
      <c r="K21" s="28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0"/>
      <c r="AT21" s="90"/>
      <c r="AU21" s="90"/>
      <c r="AV21" s="90"/>
      <c r="AW21" s="90"/>
      <c r="AX21" s="90"/>
      <c r="AY21" s="90"/>
      <c r="AZ21" s="90"/>
      <c r="BA21" s="29"/>
      <c r="BK21" s="24"/>
    </row>
    <row r="22" spans="1:63" ht="15" customHeight="1" thickBot="1" x14ac:dyDescent="0.3">
      <c r="A22" s="23"/>
      <c r="K22" s="28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29"/>
      <c r="BK22" s="24"/>
    </row>
    <row r="23" spans="1:63" ht="15" customHeight="1" x14ac:dyDescent="0.25">
      <c r="A23" s="23"/>
      <c r="K23" s="28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29"/>
      <c r="BK23" s="24"/>
    </row>
    <row r="24" spans="1:63" ht="15" customHeight="1" x14ac:dyDescent="0.25">
      <c r="A24" s="23"/>
      <c r="K24" s="28"/>
      <c r="L24" s="90" t="str">
        <f>K2&amp;"/"&amp;H4&amp;"/"&amp;Z4</f>
        <v>POSサーバー/38_朝割設定/概要設計書</v>
      </c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0"/>
      <c r="AL24" s="90"/>
      <c r="AM24" s="90"/>
      <c r="AN24" s="90"/>
      <c r="AO24" s="90"/>
      <c r="AP24" s="90"/>
      <c r="AQ24" s="90"/>
      <c r="AR24" s="90"/>
      <c r="AS24" s="90"/>
      <c r="AT24" s="90"/>
      <c r="AU24" s="90"/>
      <c r="AV24" s="90"/>
      <c r="AW24" s="90"/>
      <c r="AX24" s="90"/>
      <c r="AY24" s="90"/>
      <c r="AZ24" s="90"/>
      <c r="BA24" s="29"/>
      <c r="BK24" s="24"/>
    </row>
    <row r="25" spans="1:63" ht="15" customHeight="1" x14ac:dyDescent="0.25">
      <c r="A25" s="23"/>
      <c r="K25" s="28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0"/>
      <c r="AL25" s="90"/>
      <c r="AM25" s="90"/>
      <c r="AN25" s="90"/>
      <c r="AO25" s="90"/>
      <c r="AP25" s="90"/>
      <c r="AQ25" s="90"/>
      <c r="AR25" s="90"/>
      <c r="AS25" s="90"/>
      <c r="AT25" s="90"/>
      <c r="AU25" s="90"/>
      <c r="AV25" s="90"/>
      <c r="AW25" s="90"/>
      <c r="AX25" s="90"/>
      <c r="AY25" s="90"/>
      <c r="AZ25" s="90"/>
      <c r="BA25" s="29"/>
      <c r="BK25" s="24"/>
    </row>
    <row r="26" spans="1:63" ht="15" customHeight="1" x14ac:dyDescent="0.25">
      <c r="A26" s="23"/>
      <c r="K26" s="28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0"/>
      <c r="AU26" s="90"/>
      <c r="AV26" s="90"/>
      <c r="AW26" s="90"/>
      <c r="AX26" s="90"/>
      <c r="AY26" s="90"/>
      <c r="AZ26" s="90"/>
      <c r="BA26" s="29"/>
      <c r="BK26" s="24"/>
    </row>
    <row r="27" spans="1:63" ht="15" customHeight="1" x14ac:dyDescent="0.25">
      <c r="A27" s="23"/>
      <c r="K27" s="28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0"/>
      <c r="AL27" s="90"/>
      <c r="AM27" s="90"/>
      <c r="AN27" s="90"/>
      <c r="AO27" s="90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0"/>
      <c r="BA27" s="29"/>
      <c r="BK27" s="24"/>
    </row>
    <row r="28" spans="1:63" ht="15" customHeight="1" x14ac:dyDescent="0.25">
      <c r="A28" s="23"/>
      <c r="K28" s="28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0"/>
      <c r="AL28" s="90"/>
      <c r="AM28" s="90"/>
      <c r="AN28" s="90"/>
      <c r="AO28" s="90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29"/>
      <c r="BK28" s="24"/>
    </row>
    <row r="29" spans="1:63" ht="15" customHeight="1" x14ac:dyDescent="0.25">
      <c r="A29" s="23"/>
      <c r="K29" s="28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0"/>
      <c r="AL29" s="90"/>
      <c r="AM29" s="90"/>
      <c r="AN29" s="90"/>
      <c r="AO29" s="90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0"/>
      <c r="BA29" s="29"/>
      <c r="BK29" s="24"/>
    </row>
    <row r="30" spans="1:63" ht="15" customHeight="1" x14ac:dyDescent="0.25">
      <c r="A30" s="23"/>
      <c r="K30" s="28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0"/>
      <c r="AL30" s="90"/>
      <c r="AM30" s="90"/>
      <c r="AN30" s="90"/>
      <c r="AO30" s="90"/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90"/>
      <c r="BA30" s="29"/>
      <c r="BK30" s="24"/>
    </row>
    <row r="31" spans="1:63" ht="15" customHeight="1" x14ac:dyDescent="0.25">
      <c r="A31" s="23"/>
      <c r="K31" s="28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0"/>
      <c r="AL31" s="90"/>
      <c r="AM31" s="90"/>
      <c r="AN31" s="90"/>
      <c r="AO31" s="90"/>
      <c r="AP31" s="90"/>
      <c r="AQ31" s="90"/>
      <c r="AR31" s="90"/>
      <c r="AS31" s="90"/>
      <c r="AT31" s="90"/>
      <c r="AU31" s="90"/>
      <c r="AV31" s="90"/>
      <c r="AW31" s="90"/>
      <c r="AX31" s="90"/>
      <c r="AY31" s="90"/>
      <c r="AZ31" s="90"/>
      <c r="BA31" s="29"/>
      <c r="BK31" s="24"/>
    </row>
    <row r="32" spans="1:63" ht="15" customHeight="1" x14ac:dyDescent="0.25">
      <c r="A32" s="23"/>
      <c r="K32" s="28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0"/>
      <c r="AL32" s="90"/>
      <c r="AM32" s="90"/>
      <c r="AN32" s="90"/>
      <c r="AO32" s="90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29"/>
      <c r="BK32" s="24"/>
    </row>
    <row r="33" spans="1:63" ht="15" customHeight="1" x14ac:dyDescent="0.25">
      <c r="A33" s="23"/>
      <c r="K33" s="28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90"/>
      <c r="BA33" s="29"/>
      <c r="BK33" s="24"/>
    </row>
    <row r="34" spans="1:63" ht="15" customHeight="1" x14ac:dyDescent="0.25">
      <c r="A34" s="23"/>
      <c r="K34" s="28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0"/>
      <c r="AL34" s="90"/>
      <c r="AM34" s="90"/>
      <c r="AN34" s="90"/>
      <c r="AO34" s="90"/>
      <c r="AP34" s="90"/>
      <c r="AQ34" s="90"/>
      <c r="AR34" s="90"/>
      <c r="AS34" s="90"/>
      <c r="AT34" s="90"/>
      <c r="AU34" s="90"/>
      <c r="AV34" s="90"/>
      <c r="AW34" s="90"/>
      <c r="AX34" s="90"/>
      <c r="AY34" s="90"/>
      <c r="AZ34" s="90"/>
      <c r="BA34" s="29"/>
      <c r="BK34" s="24"/>
    </row>
    <row r="35" spans="1:63" ht="15" customHeight="1" x14ac:dyDescent="0.25">
      <c r="A35" s="23"/>
      <c r="K35" s="28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90"/>
      <c r="AY35" s="90"/>
      <c r="AZ35" s="90"/>
      <c r="BA35" s="29"/>
      <c r="BK35" s="24"/>
    </row>
    <row r="36" spans="1:63" ht="15" customHeight="1" x14ac:dyDescent="0.25">
      <c r="A36" s="23"/>
      <c r="K36" s="28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90"/>
      <c r="AG36" s="90"/>
      <c r="AH36" s="90"/>
      <c r="AI36" s="90"/>
      <c r="AJ36" s="90"/>
      <c r="AK36" s="90"/>
      <c r="AL36" s="90"/>
      <c r="AM36" s="90"/>
      <c r="AN36" s="90"/>
      <c r="AO36" s="90"/>
      <c r="AP36" s="90"/>
      <c r="AQ36" s="90"/>
      <c r="AR36" s="90"/>
      <c r="AS36" s="90"/>
      <c r="AT36" s="90"/>
      <c r="AU36" s="90"/>
      <c r="AV36" s="90"/>
      <c r="AW36" s="90"/>
      <c r="AX36" s="90"/>
      <c r="AY36" s="90"/>
      <c r="AZ36" s="90"/>
      <c r="BA36" s="29"/>
      <c r="BK36" s="24"/>
    </row>
    <row r="37" spans="1:63" ht="15" customHeight="1" thickBot="1" x14ac:dyDescent="0.3">
      <c r="A37" s="23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4"/>
      <c r="BK37" s="24"/>
    </row>
    <row r="38" spans="1:63" ht="15" customHeight="1" thickTop="1" x14ac:dyDescent="0.25">
      <c r="A38" s="23"/>
      <c r="BK38" s="24"/>
    </row>
    <row r="39" spans="1:63" ht="15" customHeight="1" x14ac:dyDescent="0.25">
      <c r="A39" s="23"/>
      <c r="BK39" s="24"/>
    </row>
    <row r="40" spans="1:63" ht="15" customHeight="1" x14ac:dyDescent="0.25">
      <c r="A40" s="23"/>
      <c r="BK40" s="24"/>
    </row>
    <row r="41" spans="1:63" ht="15" customHeight="1" x14ac:dyDescent="0.25">
      <c r="A41" s="23"/>
      <c r="BK41" s="24"/>
    </row>
    <row r="42" spans="1:63" ht="15" customHeight="1" x14ac:dyDescent="0.25">
      <c r="A42" s="23"/>
      <c r="BK42" s="24"/>
    </row>
    <row r="43" spans="1:63" ht="15" customHeight="1" x14ac:dyDescent="0.25">
      <c r="A43" s="23"/>
      <c r="BK43" s="24"/>
    </row>
    <row r="44" spans="1:63" ht="15" customHeight="1" x14ac:dyDescent="0.25">
      <c r="A44" s="23"/>
      <c r="Q44" s="80" t="s">
        <v>44</v>
      </c>
      <c r="R44" s="81"/>
      <c r="S44" s="81"/>
      <c r="T44" s="81"/>
      <c r="U44" s="81"/>
      <c r="V44" s="81"/>
      <c r="W44" s="81"/>
      <c r="X44" s="81"/>
      <c r="Y44" s="81"/>
      <c r="Z44" s="82"/>
      <c r="AA44" s="80" t="s">
        <v>45</v>
      </c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2"/>
      <c r="AQ44" s="80" t="s">
        <v>39</v>
      </c>
      <c r="AR44" s="81"/>
      <c r="AS44" s="81"/>
      <c r="AT44" s="81"/>
      <c r="AU44" s="82"/>
      <c r="BK44" s="24"/>
    </row>
    <row r="45" spans="1:63" ht="15" customHeight="1" x14ac:dyDescent="0.25">
      <c r="A45" s="23"/>
      <c r="Q45" s="83"/>
      <c r="R45" s="84"/>
      <c r="S45" s="84"/>
      <c r="T45" s="84"/>
      <c r="U45" s="84"/>
      <c r="V45" s="84"/>
      <c r="W45" s="84"/>
      <c r="X45" s="84"/>
      <c r="Y45" s="84"/>
      <c r="Z45" s="85"/>
      <c r="AA45" s="83"/>
      <c r="AB45" s="84"/>
      <c r="AC45" s="84"/>
      <c r="AD45" s="84"/>
      <c r="AE45" s="84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5"/>
      <c r="AQ45" s="83"/>
      <c r="AR45" s="84"/>
      <c r="AS45" s="84"/>
      <c r="AT45" s="84"/>
      <c r="AU45" s="85"/>
      <c r="BK45" s="24"/>
    </row>
    <row r="46" spans="1:63" ht="15" customHeight="1" x14ac:dyDescent="0.25">
      <c r="A46" s="23"/>
      <c r="Q46" s="71"/>
      <c r="R46" s="72"/>
      <c r="S46" s="72"/>
      <c r="T46" s="72"/>
      <c r="U46" s="72"/>
      <c r="V46" s="72"/>
      <c r="W46" s="72"/>
      <c r="X46" s="72"/>
      <c r="Y46" s="72"/>
      <c r="Z46" s="73"/>
      <c r="AA46" s="71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3"/>
      <c r="AQ46" s="71"/>
      <c r="AR46" s="72"/>
      <c r="AS46" s="72"/>
      <c r="AT46" s="72"/>
      <c r="AU46" s="73"/>
      <c r="BK46" s="24"/>
    </row>
    <row r="47" spans="1:63" ht="15" customHeight="1" x14ac:dyDescent="0.25">
      <c r="A47" s="23"/>
      <c r="Q47" s="74"/>
      <c r="R47" s="75"/>
      <c r="S47" s="75"/>
      <c r="T47" s="75"/>
      <c r="U47" s="75"/>
      <c r="V47" s="75"/>
      <c r="W47" s="75"/>
      <c r="X47" s="75"/>
      <c r="Y47" s="75"/>
      <c r="Z47" s="76"/>
      <c r="AA47" s="74"/>
      <c r="AB47" s="75"/>
      <c r="AC47" s="75"/>
      <c r="AD47" s="75"/>
      <c r="AE47" s="75"/>
      <c r="AF47" s="75"/>
      <c r="AG47" s="75"/>
      <c r="AH47" s="75"/>
      <c r="AI47" s="75"/>
      <c r="AJ47" s="75"/>
      <c r="AK47" s="75"/>
      <c r="AL47" s="75"/>
      <c r="AM47" s="75"/>
      <c r="AN47" s="75"/>
      <c r="AO47" s="75"/>
      <c r="AP47" s="76"/>
      <c r="AQ47" s="74"/>
      <c r="AR47" s="75"/>
      <c r="AS47" s="75"/>
      <c r="AT47" s="75"/>
      <c r="AU47" s="76"/>
      <c r="BK47" s="24"/>
    </row>
    <row r="48" spans="1:63" ht="15" customHeight="1" x14ac:dyDescent="0.25">
      <c r="A48" s="23"/>
      <c r="Q48" s="74"/>
      <c r="R48" s="75"/>
      <c r="S48" s="75"/>
      <c r="T48" s="75"/>
      <c r="U48" s="75"/>
      <c r="V48" s="75"/>
      <c r="W48" s="75"/>
      <c r="X48" s="75"/>
      <c r="Y48" s="75"/>
      <c r="Z48" s="76"/>
      <c r="AA48" s="74"/>
      <c r="AB48" s="75"/>
      <c r="AC48" s="75"/>
      <c r="AD48" s="75"/>
      <c r="AE48" s="75"/>
      <c r="AF48" s="75"/>
      <c r="AG48" s="75"/>
      <c r="AH48" s="75"/>
      <c r="AI48" s="75"/>
      <c r="AJ48" s="75"/>
      <c r="AK48" s="75"/>
      <c r="AL48" s="75"/>
      <c r="AM48" s="75"/>
      <c r="AN48" s="75"/>
      <c r="AO48" s="75"/>
      <c r="AP48" s="76"/>
      <c r="AQ48" s="74"/>
      <c r="AR48" s="75"/>
      <c r="AS48" s="75"/>
      <c r="AT48" s="75"/>
      <c r="AU48" s="76"/>
      <c r="BK48" s="24"/>
    </row>
    <row r="49" spans="1:63" ht="15" customHeight="1" x14ac:dyDescent="0.25">
      <c r="A49" s="23"/>
      <c r="Q49" s="77"/>
      <c r="R49" s="78"/>
      <c r="S49" s="78"/>
      <c r="T49" s="78"/>
      <c r="U49" s="78"/>
      <c r="V49" s="78"/>
      <c r="W49" s="78"/>
      <c r="X49" s="78"/>
      <c r="Y49" s="78"/>
      <c r="Z49" s="79"/>
      <c r="AA49" s="77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9"/>
      <c r="AQ49" s="77"/>
      <c r="AR49" s="78"/>
      <c r="AS49" s="78"/>
      <c r="AT49" s="78"/>
      <c r="AU49" s="79"/>
      <c r="BK49" s="24"/>
    </row>
    <row r="50" spans="1:63" ht="15" customHeight="1" x14ac:dyDescent="0.25">
      <c r="A50" s="23"/>
      <c r="BK50" s="24"/>
    </row>
    <row r="51" spans="1:63" ht="15" customHeight="1" x14ac:dyDescent="0.25">
      <c r="A51" s="23"/>
      <c r="BK51" s="24"/>
    </row>
    <row r="52" spans="1:63" ht="15" customHeight="1" x14ac:dyDescent="0.25">
      <c r="A52" s="23"/>
      <c r="BK52" s="24"/>
    </row>
    <row r="53" spans="1:63" ht="15" customHeight="1" x14ac:dyDescent="0.25">
      <c r="A53" s="23"/>
      <c r="BK53" s="24"/>
    </row>
    <row r="54" spans="1:63" ht="15" customHeight="1" x14ac:dyDescent="0.25">
      <c r="A54" s="23"/>
      <c r="BK54" s="24"/>
    </row>
    <row r="55" spans="1:63" ht="15" customHeight="1" x14ac:dyDescent="0.25">
      <c r="A55" s="20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2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activeCell="S24" sqref="S24:AW24"/>
    </sheetView>
  </sheetViews>
  <sheetFormatPr defaultColWidth="2.77734375" defaultRowHeight="15.75" customHeight="1" x14ac:dyDescent="0.25"/>
  <cols>
    <col min="1" max="60" width="2.77734375" style="19" customWidth="1"/>
    <col min="61" max="16384" width="2.77734375" style="19"/>
  </cols>
  <sheetData>
    <row r="1" spans="1:63" ht="24.95" customHeight="1" x14ac:dyDescent="0.25">
      <c r="A1" s="86" t="s">
        <v>32</v>
      </c>
      <c r="B1" s="87"/>
      <c r="C1" s="87"/>
      <c r="D1" s="87"/>
      <c r="E1" s="87"/>
      <c r="F1" s="87"/>
      <c r="G1" s="87"/>
      <c r="H1" s="87"/>
      <c r="I1" s="87"/>
      <c r="J1" s="88"/>
      <c r="K1" s="86" t="s">
        <v>33</v>
      </c>
      <c r="L1" s="87"/>
      <c r="M1" s="87"/>
      <c r="N1" s="87"/>
      <c r="O1" s="87"/>
      <c r="P1" s="87"/>
      <c r="Q1" s="87"/>
      <c r="R1" s="87"/>
      <c r="S1" s="87"/>
      <c r="T1" s="87"/>
      <c r="U1" s="87"/>
      <c r="V1" s="88"/>
      <c r="W1" s="107" t="str">
        <f>IF(表紙!W1="","",表紙!W1)</f>
        <v>基本設計書</v>
      </c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9"/>
      <c r="AP1" s="86" t="s">
        <v>35</v>
      </c>
      <c r="AQ1" s="87"/>
      <c r="AR1" s="87"/>
      <c r="AS1" s="88"/>
      <c r="AT1" s="86" t="s">
        <v>36</v>
      </c>
      <c r="AU1" s="87"/>
      <c r="AV1" s="87"/>
      <c r="AW1" s="87"/>
      <c r="AX1" s="88"/>
      <c r="AY1" s="86" t="s">
        <v>37</v>
      </c>
      <c r="AZ1" s="87"/>
      <c r="BA1" s="87"/>
      <c r="BB1" s="88"/>
      <c r="BC1" s="86" t="s">
        <v>38</v>
      </c>
      <c r="BD1" s="87"/>
      <c r="BE1" s="87"/>
      <c r="BF1" s="87"/>
      <c r="BG1" s="88"/>
      <c r="BH1" s="86" t="s">
        <v>39</v>
      </c>
      <c r="BI1" s="87"/>
      <c r="BJ1" s="87"/>
      <c r="BK1" s="88"/>
    </row>
    <row r="2" spans="1:63" ht="15" customHeight="1" x14ac:dyDescent="0.25">
      <c r="A2" s="71" t="str">
        <f>IF(表紙!A2="","",表紙!A2)</f>
        <v>POSサーバー</v>
      </c>
      <c r="B2" s="72"/>
      <c r="C2" s="72"/>
      <c r="D2" s="72"/>
      <c r="E2" s="72"/>
      <c r="F2" s="72"/>
      <c r="G2" s="72"/>
      <c r="H2" s="72"/>
      <c r="I2" s="72"/>
      <c r="J2" s="73"/>
      <c r="K2" s="71" t="str">
        <f>IF(表紙!K2="","",表紙!K2)</f>
        <v>POSサーバー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3"/>
      <c r="W2" s="110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2"/>
      <c r="AP2" s="71" t="str">
        <f>IF(表紙!AP2="","",表紙!AP2)</f>
        <v>SonMNT</v>
      </c>
      <c r="AQ2" s="72"/>
      <c r="AR2" s="72"/>
      <c r="AS2" s="73"/>
      <c r="AT2" s="100">
        <f>IF(表紙!AT2="","",表紙!AT2)</f>
        <v>45439</v>
      </c>
      <c r="AU2" s="101"/>
      <c r="AV2" s="101"/>
      <c r="AW2" s="101"/>
      <c r="AX2" s="102"/>
      <c r="AY2" s="71" t="str">
        <f>IF(表紙!AY2="","",表紙!AY2)</f>
        <v>LoiLV</v>
      </c>
      <c r="AZ2" s="72"/>
      <c r="BA2" s="72"/>
      <c r="BB2" s="73"/>
      <c r="BC2" s="100">
        <f>IF(表紙!BC2="","",表紙!BC2)</f>
        <v>45464</v>
      </c>
      <c r="BD2" s="101"/>
      <c r="BE2" s="101"/>
      <c r="BF2" s="101"/>
      <c r="BG2" s="102"/>
      <c r="BH2" s="71">
        <f>IF(表紙!BH2="","",表紙!BH2)</f>
        <v>0.51</v>
      </c>
      <c r="BI2" s="72"/>
      <c r="BJ2" s="72"/>
      <c r="BK2" s="73"/>
    </row>
    <row r="3" spans="1:63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113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5"/>
      <c r="AP3" s="77"/>
      <c r="AQ3" s="78"/>
      <c r="AR3" s="78"/>
      <c r="AS3" s="79"/>
      <c r="AT3" s="103"/>
      <c r="AU3" s="104"/>
      <c r="AV3" s="104"/>
      <c r="AW3" s="104"/>
      <c r="AX3" s="105"/>
      <c r="AY3" s="77"/>
      <c r="AZ3" s="78"/>
      <c r="BA3" s="78"/>
      <c r="BB3" s="79"/>
      <c r="BC3" s="103"/>
      <c r="BD3" s="104"/>
      <c r="BE3" s="104"/>
      <c r="BF3" s="104"/>
      <c r="BG3" s="105"/>
      <c r="BH3" s="77"/>
      <c r="BI3" s="78"/>
      <c r="BJ3" s="78"/>
      <c r="BK3" s="79"/>
    </row>
    <row r="4" spans="1:63" ht="24.95" customHeight="1" x14ac:dyDescent="0.25">
      <c r="A4" s="86" t="s">
        <v>41</v>
      </c>
      <c r="B4" s="87"/>
      <c r="C4" s="87"/>
      <c r="D4" s="87"/>
      <c r="E4" s="87"/>
      <c r="F4" s="87"/>
      <c r="G4" s="88"/>
      <c r="H4" s="91" t="str">
        <f>IF(表紙!H4="","",表紙!H4)</f>
        <v>38_朝割設定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86" t="s">
        <v>42</v>
      </c>
      <c r="V4" s="87"/>
      <c r="W4" s="87"/>
      <c r="X4" s="87"/>
      <c r="Y4" s="88"/>
      <c r="Z4" s="91" t="str">
        <f>IF(表紙!Z4="","",表紙!Z4)</f>
        <v>概要設計書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1" t="str">
        <f t="array" aca="1" ref="AP4" ca="1">RIGHT(CELL("filename",$A$1),LEN(CELL("filename",$A$1))-FIND("]",CELL("filename",$A$1)))</f>
        <v>改訂履歴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3"/>
      <c r="BK6" s="24"/>
    </row>
    <row r="7" spans="1:63" ht="15" customHeight="1" x14ac:dyDescent="0.25">
      <c r="A7" s="23"/>
      <c r="BK7" s="24"/>
    </row>
    <row r="8" spans="1:63" ht="15" customHeight="1" x14ac:dyDescent="0.25">
      <c r="A8" s="23"/>
      <c r="B8" s="19" t="s">
        <v>9</v>
      </c>
      <c r="BK8" s="24"/>
    </row>
    <row r="9" spans="1:63" ht="15" customHeight="1" x14ac:dyDescent="0.25">
      <c r="A9" s="23"/>
      <c r="BK9" s="24"/>
    </row>
    <row r="10" spans="1:63" ht="15" customHeight="1" x14ac:dyDescent="0.25">
      <c r="A10" s="23"/>
      <c r="B10" s="134" t="s">
        <v>38</v>
      </c>
      <c r="C10" s="134"/>
      <c r="D10" s="134"/>
      <c r="E10" s="134"/>
      <c r="F10" s="134"/>
      <c r="G10" s="134"/>
      <c r="H10" s="134" t="s">
        <v>37</v>
      </c>
      <c r="I10" s="134"/>
      <c r="J10" s="134"/>
      <c r="K10" s="134"/>
      <c r="L10" s="134"/>
      <c r="M10" s="134"/>
      <c r="N10" s="134"/>
      <c r="O10" s="134" t="s">
        <v>39</v>
      </c>
      <c r="P10" s="134"/>
      <c r="Q10" s="134"/>
      <c r="R10" s="134"/>
      <c r="S10" s="134" t="s">
        <v>46</v>
      </c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4" t="s">
        <v>44</v>
      </c>
      <c r="AY10" s="134"/>
      <c r="AZ10" s="134"/>
      <c r="BA10" s="134"/>
      <c r="BB10" s="134"/>
      <c r="BC10" s="134"/>
      <c r="BD10" s="134" t="s">
        <v>45</v>
      </c>
      <c r="BE10" s="134"/>
      <c r="BF10" s="134"/>
      <c r="BG10" s="134"/>
      <c r="BH10" s="134"/>
      <c r="BI10" s="134"/>
      <c r="BJ10" s="134"/>
      <c r="BK10" s="24"/>
    </row>
    <row r="11" spans="1:63" ht="15" customHeight="1" x14ac:dyDescent="0.25">
      <c r="A11" s="23"/>
      <c r="B11" s="100">
        <v>45439</v>
      </c>
      <c r="C11" s="72"/>
      <c r="D11" s="72"/>
      <c r="E11" s="72"/>
      <c r="F11" s="72"/>
      <c r="G11" s="73"/>
      <c r="H11" s="106" t="s">
        <v>47</v>
      </c>
      <c r="I11" s="72"/>
      <c r="J11" s="72"/>
      <c r="K11" s="72"/>
      <c r="L11" s="72"/>
      <c r="M11" s="72"/>
      <c r="N11" s="73"/>
      <c r="O11" s="71">
        <v>0.1</v>
      </c>
      <c r="P11" s="72"/>
      <c r="Q11" s="72"/>
      <c r="R11" s="72"/>
      <c r="S11" s="116" t="s">
        <v>15</v>
      </c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8"/>
      <c r="AX11" s="119"/>
      <c r="AY11" s="119"/>
      <c r="AZ11" s="119"/>
      <c r="BA11" s="119"/>
      <c r="BB11" s="119"/>
      <c r="BC11" s="120"/>
      <c r="BD11" s="123"/>
      <c r="BE11" s="119"/>
      <c r="BF11" s="119"/>
      <c r="BG11" s="119"/>
      <c r="BH11" s="119"/>
      <c r="BI11" s="119"/>
      <c r="BJ11" s="120"/>
      <c r="BK11" s="24"/>
    </row>
    <row r="12" spans="1:63" ht="15" customHeight="1" x14ac:dyDescent="0.25">
      <c r="A12" s="23"/>
      <c r="B12" s="77"/>
      <c r="C12" s="78"/>
      <c r="D12" s="78"/>
      <c r="E12" s="78"/>
      <c r="F12" s="78"/>
      <c r="G12" s="79"/>
      <c r="H12" s="77"/>
      <c r="I12" s="78"/>
      <c r="J12" s="78"/>
      <c r="K12" s="78"/>
      <c r="L12" s="78"/>
      <c r="M12" s="78"/>
      <c r="N12" s="79"/>
      <c r="O12" s="77"/>
      <c r="P12" s="78"/>
      <c r="Q12" s="78"/>
      <c r="R12" s="78"/>
      <c r="S12" s="125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  <c r="AD12" s="126"/>
      <c r="AE12" s="126"/>
      <c r="AF12" s="126"/>
      <c r="AG12" s="126"/>
      <c r="AH12" s="126"/>
      <c r="AI12" s="126"/>
      <c r="AJ12" s="126"/>
      <c r="AK12" s="126"/>
      <c r="AL12" s="126"/>
      <c r="AM12" s="126"/>
      <c r="AN12" s="126"/>
      <c r="AO12" s="126"/>
      <c r="AP12" s="126"/>
      <c r="AQ12" s="126"/>
      <c r="AR12" s="126"/>
      <c r="AS12" s="126"/>
      <c r="AT12" s="126"/>
      <c r="AU12" s="126"/>
      <c r="AV12" s="126"/>
      <c r="AW12" s="127"/>
      <c r="AX12" s="121"/>
      <c r="AY12" s="121"/>
      <c r="AZ12" s="121"/>
      <c r="BA12" s="121"/>
      <c r="BB12" s="121"/>
      <c r="BC12" s="122"/>
      <c r="BD12" s="124"/>
      <c r="BE12" s="121"/>
      <c r="BF12" s="121"/>
      <c r="BG12" s="121"/>
      <c r="BH12" s="121"/>
      <c r="BI12" s="121"/>
      <c r="BJ12" s="122"/>
      <c r="BK12" s="24"/>
    </row>
    <row r="13" spans="1:63" ht="15" customHeight="1" x14ac:dyDescent="0.25">
      <c r="A13" s="23"/>
      <c r="B13" s="100">
        <v>45446</v>
      </c>
      <c r="C13" s="72"/>
      <c r="D13" s="72"/>
      <c r="E13" s="72"/>
      <c r="F13" s="72"/>
      <c r="G13" s="73"/>
      <c r="H13" s="71" t="s">
        <v>48</v>
      </c>
      <c r="I13" s="72"/>
      <c r="J13" s="72"/>
      <c r="K13" s="72"/>
      <c r="L13" s="72"/>
      <c r="M13" s="72"/>
      <c r="N13" s="73"/>
      <c r="O13" s="71">
        <v>0.2</v>
      </c>
      <c r="P13" s="72"/>
      <c r="Q13" s="72"/>
      <c r="R13" s="72"/>
      <c r="S13" s="116" t="s">
        <v>49</v>
      </c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8"/>
      <c r="AX13" s="136"/>
      <c r="AY13" s="136"/>
      <c r="AZ13" s="136"/>
      <c r="BA13" s="136"/>
      <c r="BB13" s="136"/>
      <c r="BC13" s="137"/>
      <c r="BD13" s="135"/>
      <c r="BE13" s="136"/>
      <c r="BF13" s="136"/>
      <c r="BG13" s="136"/>
      <c r="BH13" s="136"/>
      <c r="BI13" s="136"/>
      <c r="BJ13" s="137"/>
      <c r="BK13" s="24"/>
    </row>
    <row r="14" spans="1:63" ht="15" customHeight="1" x14ac:dyDescent="0.25">
      <c r="A14" s="23"/>
      <c r="B14" s="77"/>
      <c r="C14" s="78"/>
      <c r="D14" s="78"/>
      <c r="E14" s="78"/>
      <c r="F14" s="78"/>
      <c r="G14" s="79"/>
      <c r="H14" s="77"/>
      <c r="I14" s="78"/>
      <c r="J14" s="78"/>
      <c r="K14" s="78"/>
      <c r="L14" s="78"/>
      <c r="M14" s="78"/>
      <c r="N14" s="79"/>
      <c r="O14" s="77"/>
      <c r="P14" s="78"/>
      <c r="Q14" s="78"/>
      <c r="R14" s="78"/>
      <c r="S14" s="125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  <c r="AM14" s="126"/>
      <c r="AN14" s="126"/>
      <c r="AO14" s="126"/>
      <c r="AP14" s="126"/>
      <c r="AQ14" s="126"/>
      <c r="AR14" s="126"/>
      <c r="AS14" s="126"/>
      <c r="AT14" s="126"/>
      <c r="AU14" s="126"/>
      <c r="AV14" s="126"/>
      <c r="AW14" s="127"/>
      <c r="AX14" s="139"/>
      <c r="AY14" s="139"/>
      <c r="AZ14" s="139"/>
      <c r="BA14" s="139"/>
      <c r="BB14" s="139"/>
      <c r="BC14" s="140"/>
      <c r="BD14" s="138"/>
      <c r="BE14" s="139"/>
      <c r="BF14" s="139"/>
      <c r="BG14" s="139"/>
      <c r="BH14" s="139"/>
      <c r="BI14" s="139"/>
      <c r="BJ14" s="140"/>
      <c r="BK14" s="24"/>
    </row>
    <row r="15" spans="1:63" ht="15" customHeight="1" x14ac:dyDescent="0.25">
      <c r="A15" s="23"/>
      <c r="B15" s="100">
        <v>45453</v>
      </c>
      <c r="C15" s="72"/>
      <c r="D15" s="72"/>
      <c r="E15" s="72"/>
      <c r="F15" s="72"/>
      <c r="G15" s="73"/>
      <c r="H15" s="71" t="s">
        <v>79</v>
      </c>
      <c r="I15" s="72"/>
      <c r="J15" s="72"/>
      <c r="K15" s="72"/>
      <c r="L15" s="72"/>
      <c r="M15" s="72"/>
      <c r="N15" s="73"/>
      <c r="O15" s="71">
        <v>0.3</v>
      </c>
      <c r="P15" s="72"/>
      <c r="Q15" s="72"/>
      <c r="R15" s="72"/>
      <c r="S15" s="116" t="s">
        <v>80</v>
      </c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8"/>
      <c r="AX15" s="119"/>
      <c r="AY15" s="119"/>
      <c r="AZ15" s="119"/>
      <c r="BA15" s="119"/>
      <c r="BB15" s="119"/>
      <c r="BC15" s="120"/>
      <c r="BD15" s="123"/>
      <c r="BE15" s="119"/>
      <c r="BF15" s="119"/>
      <c r="BG15" s="119"/>
      <c r="BH15" s="119"/>
      <c r="BI15" s="119"/>
      <c r="BJ15" s="120"/>
      <c r="BK15" s="24"/>
    </row>
    <row r="16" spans="1:63" ht="15" customHeight="1" x14ac:dyDescent="0.25">
      <c r="A16" s="23"/>
      <c r="B16" s="77"/>
      <c r="C16" s="78"/>
      <c r="D16" s="78"/>
      <c r="E16" s="78"/>
      <c r="F16" s="78"/>
      <c r="G16" s="79"/>
      <c r="H16" s="77"/>
      <c r="I16" s="78"/>
      <c r="J16" s="78"/>
      <c r="K16" s="78"/>
      <c r="L16" s="78"/>
      <c r="M16" s="78"/>
      <c r="N16" s="79"/>
      <c r="O16" s="77"/>
      <c r="P16" s="78"/>
      <c r="Q16" s="78"/>
      <c r="R16" s="78"/>
      <c r="S16" s="125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7"/>
      <c r="AX16" s="121"/>
      <c r="AY16" s="121"/>
      <c r="AZ16" s="121"/>
      <c r="BA16" s="121"/>
      <c r="BB16" s="121"/>
      <c r="BC16" s="122"/>
      <c r="BD16" s="124"/>
      <c r="BE16" s="121"/>
      <c r="BF16" s="121"/>
      <c r="BG16" s="121"/>
      <c r="BH16" s="121"/>
      <c r="BI16" s="121"/>
      <c r="BJ16" s="122"/>
      <c r="BK16" s="24"/>
    </row>
    <row r="17" spans="1:63" ht="15" customHeight="1" x14ac:dyDescent="0.25">
      <c r="A17" s="23"/>
      <c r="B17" s="100">
        <v>45453</v>
      </c>
      <c r="C17" s="72"/>
      <c r="D17" s="72"/>
      <c r="E17" s="72"/>
      <c r="F17" s="72"/>
      <c r="G17" s="73"/>
      <c r="H17" s="71" t="s">
        <v>47</v>
      </c>
      <c r="I17" s="72"/>
      <c r="J17" s="72"/>
      <c r="K17" s="72"/>
      <c r="L17" s="72"/>
      <c r="M17" s="72"/>
      <c r="N17" s="73"/>
      <c r="O17" s="71">
        <v>0.4</v>
      </c>
      <c r="P17" s="72"/>
      <c r="Q17" s="72"/>
      <c r="R17" s="72"/>
      <c r="S17" s="116" t="s">
        <v>50</v>
      </c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8"/>
      <c r="AX17" s="119"/>
      <c r="AY17" s="119"/>
      <c r="AZ17" s="119"/>
      <c r="BA17" s="119"/>
      <c r="BB17" s="119"/>
      <c r="BC17" s="120"/>
      <c r="BD17" s="123"/>
      <c r="BE17" s="119"/>
      <c r="BF17" s="119"/>
      <c r="BG17" s="119"/>
      <c r="BH17" s="119"/>
      <c r="BI17" s="119"/>
      <c r="BJ17" s="120"/>
      <c r="BK17" s="24"/>
    </row>
    <row r="18" spans="1:63" ht="15" customHeight="1" x14ac:dyDescent="0.25">
      <c r="A18" s="23"/>
      <c r="B18" s="77"/>
      <c r="C18" s="78"/>
      <c r="D18" s="78"/>
      <c r="E18" s="78"/>
      <c r="F18" s="78"/>
      <c r="G18" s="79"/>
      <c r="H18" s="77"/>
      <c r="I18" s="78"/>
      <c r="J18" s="78"/>
      <c r="K18" s="78"/>
      <c r="L18" s="78"/>
      <c r="M18" s="78"/>
      <c r="N18" s="79"/>
      <c r="O18" s="77"/>
      <c r="P18" s="78"/>
      <c r="Q18" s="78"/>
      <c r="R18" s="78"/>
      <c r="S18" s="125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26"/>
      <c r="AU18" s="126"/>
      <c r="AV18" s="126"/>
      <c r="AW18" s="127"/>
      <c r="AX18" s="121"/>
      <c r="AY18" s="121"/>
      <c r="AZ18" s="121"/>
      <c r="BA18" s="121"/>
      <c r="BB18" s="121"/>
      <c r="BC18" s="122"/>
      <c r="BD18" s="124"/>
      <c r="BE18" s="121"/>
      <c r="BF18" s="121"/>
      <c r="BG18" s="121"/>
      <c r="BH18" s="121"/>
      <c r="BI18" s="121"/>
      <c r="BJ18" s="122"/>
      <c r="BK18" s="24"/>
    </row>
    <row r="19" spans="1:63" ht="15" customHeight="1" x14ac:dyDescent="0.25">
      <c r="A19" s="23"/>
      <c r="B19" s="100">
        <v>45455</v>
      </c>
      <c r="C19" s="72"/>
      <c r="D19" s="72"/>
      <c r="E19" s="72"/>
      <c r="F19" s="72"/>
      <c r="G19" s="73"/>
      <c r="H19" s="71" t="s">
        <v>48</v>
      </c>
      <c r="I19" s="72"/>
      <c r="J19" s="72"/>
      <c r="K19" s="72"/>
      <c r="L19" s="72"/>
      <c r="M19" s="72"/>
      <c r="N19" s="73"/>
      <c r="O19" s="71">
        <v>0.41</v>
      </c>
      <c r="P19" s="72"/>
      <c r="Q19" s="72"/>
      <c r="R19" s="72"/>
      <c r="S19" s="116" t="s">
        <v>51</v>
      </c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8"/>
      <c r="AX19" s="119"/>
      <c r="AY19" s="119"/>
      <c r="AZ19" s="119"/>
      <c r="BA19" s="119"/>
      <c r="BB19" s="119"/>
      <c r="BC19" s="120"/>
      <c r="BD19" s="123"/>
      <c r="BE19" s="119"/>
      <c r="BF19" s="119"/>
      <c r="BG19" s="119"/>
      <c r="BH19" s="119"/>
      <c r="BI19" s="119"/>
      <c r="BJ19" s="120"/>
      <c r="BK19" s="24"/>
    </row>
    <row r="20" spans="1:63" ht="15" customHeight="1" x14ac:dyDescent="0.25">
      <c r="A20" s="23"/>
      <c r="B20" s="77"/>
      <c r="C20" s="78"/>
      <c r="D20" s="78"/>
      <c r="E20" s="78"/>
      <c r="F20" s="78"/>
      <c r="G20" s="79"/>
      <c r="H20" s="77"/>
      <c r="I20" s="78"/>
      <c r="J20" s="78"/>
      <c r="K20" s="78"/>
      <c r="L20" s="78"/>
      <c r="M20" s="78"/>
      <c r="N20" s="79"/>
      <c r="O20" s="77"/>
      <c r="P20" s="78"/>
      <c r="Q20" s="78"/>
      <c r="R20" s="78"/>
      <c r="S20" s="125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  <c r="AD20" s="126"/>
      <c r="AE20" s="126"/>
      <c r="AF20" s="126"/>
      <c r="AG20" s="126"/>
      <c r="AH20" s="126"/>
      <c r="AI20" s="126"/>
      <c r="AJ20" s="126"/>
      <c r="AK20" s="126"/>
      <c r="AL20" s="126"/>
      <c r="AM20" s="126"/>
      <c r="AN20" s="126"/>
      <c r="AO20" s="126"/>
      <c r="AP20" s="126"/>
      <c r="AQ20" s="126"/>
      <c r="AR20" s="126"/>
      <c r="AS20" s="126"/>
      <c r="AT20" s="126"/>
      <c r="AU20" s="126"/>
      <c r="AV20" s="126"/>
      <c r="AW20" s="127"/>
      <c r="AX20" s="121"/>
      <c r="AY20" s="121"/>
      <c r="AZ20" s="121"/>
      <c r="BA20" s="121"/>
      <c r="BB20" s="121"/>
      <c r="BC20" s="122"/>
      <c r="BD20" s="124"/>
      <c r="BE20" s="121"/>
      <c r="BF20" s="121"/>
      <c r="BG20" s="121"/>
      <c r="BH20" s="121"/>
      <c r="BI20" s="121"/>
      <c r="BJ20" s="122"/>
      <c r="BK20" s="24"/>
    </row>
    <row r="21" spans="1:63" ht="15" customHeight="1" x14ac:dyDescent="0.25">
      <c r="A21" s="23"/>
      <c r="B21" s="305">
        <v>45464</v>
      </c>
      <c r="C21" s="306"/>
      <c r="D21" s="306"/>
      <c r="E21" s="306"/>
      <c r="F21" s="306"/>
      <c r="G21" s="307"/>
      <c r="H21" s="308" t="s">
        <v>48</v>
      </c>
      <c r="I21" s="306"/>
      <c r="J21" s="306"/>
      <c r="K21" s="306"/>
      <c r="L21" s="306"/>
      <c r="M21" s="306"/>
      <c r="N21" s="307"/>
      <c r="O21" s="308">
        <v>0.51</v>
      </c>
      <c r="P21" s="306"/>
      <c r="Q21" s="306"/>
      <c r="R21" s="306"/>
      <c r="S21" s="309" t="s">
        <v>78</v>
      </c>
      <c r="T21" s="310"/>
      <c r="U21" s="310"/>
      <c r="V21" s="310"/>
      <c r="W21" s="310"/>
      <c r="X21" s="310"/>
      <c r="Y21" s="310"/>
      <c r="Z21" s="310"/>
      <c r="AA21" s="310"/>
      <c r="AB21" s="310"/>
      <c r="AC21" s="310"/>
      <c r="AD21" s="310"/>
      <c r="AE21" s="310"/>
      <c r="AF21" s="310"/>
      <c r="AG21" s="310"/>
      <c r="AH21" s="310"/>
      <c r="AI21" s="310"/>
      <c r="AJ21" s="310"/>
      <c r="AK21" s="310"/>
      <c r="AL21" s="310"/>
      <c r="AM21" s="310"/>
      <c r="AN21" s="310"/>
      <c r="AO21" s="310"/>
      <c r="AP21" s="310"/>
      <c r="AQ21" s="310"/>
      <c r="AR21" s="310"/>
      <c r="AS21" s="310"/>
      <c r="AT21" s="310"/>
      <c r="AU21" s="310"/>
      <c r="AV21" s="310"/>
      <c r="AW21" s="311"/>
      <c r="AX21" s="128"/>
      <c r="AY21" s="128"/>
      <c r="AZ21" s="128"/>
      <c r="BA21" s="128"/>
      <c r="BB21" s="128"/>
      <c r="BC21" s="129"/>
      <c r="BD21" s="132"/>
      <c r="BE21" s="128"/>
      <c r="BF21" s="128"/>
      <c r="BG21" s="128"/>
      <c r="BH21" s="128"/>
      <c r="BI21" s="128"/>
      <c r="BJ21" s="129"/>
      <c r="BK21" s="24"/>
    </row>
    <row r="22" spans="1:63" ht="15" customHeight="1" x14ac:dyDescent="0.25">
      <c r="A22" s="23"/>
      <c r="B22" s="312"/>
      <c r="C22" s="313"/>
      <c r="D22" s="313"/>
      <c r="E22" s="313"/>
      <c r="F22" s="313"/>
      <c r="G22" s="314"/>
      <c r="H22" s="312"/>
      <c r="I22" s="313"/>
      <c r="J22" s="313"/>
      <c r="K22" s="313"/>
      <c r="L22" s="313"/>
      <c r="M22" s="313"/>
      <c r="N22" s="314"/>
      <c r="O22" s="312"/>
      <c r="P22" s="313"/>
      <c r="Q22" s="313"/>
      <c r="R22" s="313"/>
      <c r="S22" s="315" t="s">
        <v>81</v>
      </c>
      <c r="T22" s="316"/>
      <c r="U22" s="316"/>
      <c r="V22" s="316"/>
      <c r="W22" s="316"/>
      <c r="X22" s="316"/>
      <c r="Y22" s="316"/>
      <c r="Z22" s="316"/>
      <c r="AA22" s="316"/>
      <c r="AB22" s="316"/>
      <c r="AC22" s="316"/>
      <c r="AD22" s="316"/>
      <c r="AE22" s="316"/>
      <c r="AF22" s="316"/>
      <c r="AG22" s="316"/>
      <c r="AH22" s="316"/>
      <c r="AI22" s="316"/>
      <c r="AJ22" s="316"/>
      <c r="AK22" s="316"/>
      <c r="AL22" s="316"/>
      <c r="AM22" s="316"/>
      <c r="AN22" s="316"/>
      <c r="AO22" s="316"/>
      <c r="AP22" s="316"/>
      <c r="AQ22" s="316"/>
      <c r="AR22" s="316"/>
      <c r="AS22" s="316"/>
      <c r="AT22" s="316"/>
      <c r="AU22" s="316"/>
      <c r="AV22" s="316"/>
      <c r="AW22" s="317"/>
      <c r="AX22" s="130"/>
      <c r="AY22" s="130"/>
      <c r="AZ22" s="130"/>
      <c r="BA22" s="130"/>
      <c r="BB22" s="130"/>
      <c r="BC22" s="131"/>
      <c r="BD22" s="133"/>
      <c r="BE22" s="130"/>
      <c r="BF22" s="130"/>
      <c r="BG22" s="130"/>
      <c r="BH22" s="130"/>
      <c r="BI22" s="130"/>
      <c r="BJ22" s="131"/>
      <c r="BK22" s="24"/>
    </row>
    <row r="23" spans="1:63" ht="15" customHeight="1" x14ac:dyDescent="0.25">
      <c r="A23" s="23"/>
      <c r="B23" s="71"/>
      <c r="C23" s="72"/>
      <c r="D23" s="72"/>
      <c r="E23" s="72"/>
      <c r="F23" s="72"/>
      <c r="G23" s="73"/>
      <c r="H23" s="71"/>
      <c r="I23" s="72"/>
      <c r="J23" s="72"/>
      <c r="K23" s="72"/>
      <c r="L23" s="72"/>
      <c r="M23" s="72"/>
      <c r="N23" s="73"/>
      <c r="O23" s="71"/>
      <c r="P23" s="72"/>
      <c r="Q23" s="72"/>
      <c r="R23" s="72"/>
      <c r="S23" s="116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8"/>
      <c r="AX23" s="119"/>
      <c r="AY23" s="119"/>
      <c r="AZ23" s="119"/>
      <c r="BA23" s="119"/>
      <c r="BB23" s="119"/>
      <c r="BC23" s="120"/>
      <c r="BD23" s="123"/>
      <c r="BE23" s="119"/>
      <c r="BF23" s="119"/>
      <c r="BG23" s="119"/>
      <c r="BH23" s="119"/>
      <c r="BI23" s="119"/>
      <c r="BJ23" s="120"/>
      <c r="BK23" s="24"/>
    </row>
    <row r="24" spans="1:63" ht="15" customHeight="1" x14ac:dyDescent="0.25">
      <c r="A24" s="23"/>
      <c r="B24" s="77"/>
      <c r="C24" s="78"/>
      <c r="D24" s="78"/>
      <c r="E24" s="78"/>
      <c r="F24" s="78"/>
      <c r="G24" s="79"/>
      <c r="H24" s="77"/>
      <c r="I24" s="78"/>
      <c r="J24" s="78"/>
      <c r="K24" s="78"/>
      <c r="L24" s="78"/>
      <c r="M24" s="78"/>
      <c r="N24" s="79"/>
      <c r="O24" s="77"/>
      <c r="P24" s="78"/>
      <c r="Q24" s="78"/>
      <c r="R24" s="78"/>
      <c r="S24" s="125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  <c r="AD24" s="126"/>
      <c r="AE24" s="126"/>
      <c r="AF24" s="126"/>
      <c r="AG24" s="126"/>
      <c r="AH24" s="126"/>
      <c r="AI24" s="126"/>
      <c r="AJ24" s="126"/>
      <c r="AK24" s="126"/>
      <c r="AL24" s="126"/>
      <c r="AM24" s="126"/>
      <c r="AN24" s="126"/>
      <c r="AO24" s="126"/>
      <c r="AP24" s="126"/>
      <c r="AQ24" s="126"/>
      <c r="AR24" s="126"/>
      <c r="AS24" s="126"/>
      <c r="AT24" s="126"/>
      <c r="AU24" s="126"/>
      <c r="AV24" s="126"/>
      <c r="AW24" s="127"/>
      <c r="AX24" s="121"/>
      <c r="AY24" s="121"/>
      <c r="AZ24" s="121"/>
      <c r="BA24" s="121"/>
      <c r="BB24" s="121"/>
      <c r="BC24" s="122"/>
      <c r="BD24" s="124"/>
      <c r="BE24" s="121"/>
      <c r="BF24" s="121"/>
      <c r="BG24" s="121"/>
      <c r="BH24" s="121"/>
      <c r="BI24" s="121"/>
      <c r="BJ24" s="122"/>
      <c r="BK24" s="24"/>
    </row>
    <row r="25" spans="1:63" ht="15" customHeight="1" x14ac:dyDescent="0.25">
      <c r="A25" s="23"/>
      <c r="B25" s="71"/>
      <c r="C25" s="72"/>
      <c r="D25" s="72"/>
      <c r="E25" s="72"/>
      <c r="F25" s="72"/>
      <c r="G25" s="73"/>
      <c r="H25" s="71"/>
      <c r="I25" s="72"/>
      <c r="J25" s="72"/>
      <c r="K25" s="72"/>
      <c r="L25" s="72"/>
      <c r="M25" s="72"/>
      <c r="N25" s="73"/>
      <c r="O25" s="71"/>
      <c r="P25" s="72"/>
      <c r="Q25" s="72"/>
      <c r="R25" s="72"/>
      <c r="S25" s="116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8"/>
      <c r="AX25" s="119"/>
      <c r="AY25" s="119"/>
      <c r="AZ25" s="119"/>
      <c r="BA25" s="119"/>
      <c r="BB25" s="119"/>
      <c r="BC25" s="120"/>
      <c r="BD25" s="123"/>
      <c r="BE25" s="119"/>
      <c r="BF25" s="119"/>
      <c r="BG25" s="119"/>
      <c r="BH25" s="119"/>
      <c r="BI25" s="119"/>
      <c r="BJ25" s="120"/>
      <c r="BK25" s="24"/>
    </row>
    <row r="26" spans="1:63" ht="15" customHeight="1" x14ac:dyDescent="0.25">
      <c r="A26" s="23"/>
      <c r="B26" s="77"/>
      <c r="C26" s="78"/>
      <c r="D26" s="78"/>
      <c r="E26" s="78"/>
      <c r="F26" s="78"/>
      <c r="G26" s="79"/>
      <c r="H26" s="77"/>
      <c r="I26" s="78"/>
      <c r="J26" s="78"/>
      <c r="K26" s="78"/>
      <c r="L26" s="78"/>
      <c r="M26" s="78"/>
      <c r="N26" s="79"/>
      <c r="O26" s="77"/>
      <c r="P26" s="78"/>
      <c r="Q26" s="78"/>
      <c r="R26" s="78"/>
      <c r="S26" s="125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6"/>
      <c r="AS26" s="126"/>
      <c r="AT26" s="126"/>
      <c r="AU26" s="126"/>
      <c r="AV26" s="126"/>
      <c r="AW26" s="127"/>
      <c r="AX26" s="121"/>
      <c r="AY26" s="121"/>
      <c r="AZ26" s="121"/>
      <c r="BA26" s="121"/>
      <c r="BB26" s="121"/>
      <c r="BC26" s="122"/>
      <c r="BD26" s="124"/>
      <c r="BE26" s="121"/>
      <c r="BF26" s="121"/>
      <c r="BG26" s="121"/>
      <c r="BH26" s="121"/>
      <c r="BI26" s="121"/>
      <c r="BJ26" s="122"/>
      <c r="BK26" s="24"/>
    </row>
    <row r="27" spans="1:63" ht="15" customHeight="1" x14ac:dyDescent="0.25">
      <c r="A27" s="23"/>
      <c r="B27" s="71"/>
      <c r="C27" s="72"/>
      <c r="D27" s="72"/>
      <c r="E27" s="72"/>
      <c r="F27" s="72"/>
      <c r="G27" s="73"/>
      <c r="H27" s="71"/>
      <c r="I27" s="72"/>
      <c r="J27" s="72"/>
      <c r="K27" s="72"/>
      <c r="L27" s="72"/>
      <c r="M27" s="72"/>
      <c r="N27" s="73"/>
      <c r="O27" s="71"/>
      <c r="P27" s="72"/>
      <c r="Q27" s="72"/>
      <c r="R27" s="72"/>
      <c r="S27" s="116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8"/>
      <c r="AX27" s="119"/>
      <c r="AY27" s="119"/>
      <c r="AZ27" s="119"/>
      <c r="BA27" s="119"/>
      <c r="BB27" s="119"/>
      <c r="BC27" s="120"/>
      <c r="BD27" s="123"/>
      <c r="BE27" s="119"/>
      <c r="BF27" s="119"/>
      <c r="BG27" s="119"/>
      <c r="BH27" s="119"/>
      <c r="BI27" s="119"/>
      <c r="BJ27" s="120"/>
      <c r="BK27" s="24"/>
    </row>
    <row r="28" spans="1:63" ht="15" customHeight="1" x14ac:dyDescent="0.25">
      <c r="A28" s="23"/>
      <c r="B28" s="77"/>
      <c r="C28" s="78"/>
      <c r="D28" s="78"/>
      <c r="E28" s="78"/>
      <c r="F28" s="78"/>
      <c r="G28" s="79"/>
      <c r="H28" s="77"/>
      <c r="I28" s="78"/>
      <c r="J28" s="78"/>
      <c r="K28" s="78"/>
      <c r="L28" s="78"/>
      <c r="M28" s="78"/>
      <c r="N28" s="79"/>
      <c r="O28" s="77"/>
      <c r="P28" s="78"/>
      <c r="Q28" s="78"/>
      <c r="R28" s="78"/>
      <c r="S28" s="125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  <c r="AD28" s="126"/>
      <c r="AE28" s="126"/>
      <c r="AF28" s="126"/>
      <c r="AG28" s="126"/>
      <c r="AH28" s="126"/>
      <c r="AI28" s="126"/>
      <c r="AJ28" s="126"/>
      <c r="AK28" s="126"/>
      <c r="AL28" s="126"/>
      <c r="AM28" s="126"/>
      <c r="AN28" s="126"/>
      <c r="AO28" s="126"/>
      <c r="AP28" s="126"/>
      <c r="AQ28" s="126"/>
      <c r="AR28" s="126"/>
      <c r="AS28" s="126"/>
      <c r="AT28" s="126"/>
      <c r="AU28" s="126"/>
      <c r="AV28" s="126"/>
      <c r="AW28" s="127"/>
      <c r="AX28" s="121"/>
      <c r="AY28" s="121"/>
      <c r="AZ28" s="121"/>
      <c r="BA28" s="121"/>
      <c r="BB28" s="121"/>
      <c r="BC28" s="122"/>
      <c r="BD28" s="124"/>
      <c r="BE28" s="121"/>
      <c r="BF28" s="121"/>
      <c r="BG28" s="121"/>
      <c r="BH28" s="121"/>
      <c r="BI28" s="121"/>
      <c r="BJ28" s="122"/>
      <c r="BK28" s="24"/>
    </row>
    <row r="29" spans="1:63" ht="15" customHeight="1" x14ac:dyDescent="0.25">
      <c r="A29" s="23"/>
      <c r="B29" s="71"/>
      <c r="C29" s="72"/>
      <c r="D29" s="72"/>
      <c r="E29" s="72"/>
      <c r="F29" s="72"/>
      <c r="G29" s="73"/>
      <c r="H29" s="71"/>
      <c r="I29" s="72"/>
      <c r="J29" s="72"/>
      <c r="K29" s="72"/>
      <c r="L29" s="72"/>
      <c r="M29" s="72"/>
      <c r="N29" s="73"/>
      <c r="O29" s="71"/>
      <c r="P29" s="72"/>
      <c r="Q29" s="72"/>
      <c r="R29" s="72"/>
      <c r="S29" s="116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8"/>
      <c r="AX29" s="119"/>
      <c r="AY29" s="119"/>
      <c r="AZ29" s="119"/>
      <c r="BA29" s="119"/>
      <c r="BB29" s="119"/>
      <c r="BC29" s="120"/>
      <c r="BD29" s="123"/>
      <c r="BE29" s="119"/>
      <c r="BF29" s="119"/>
      <c r="BG29" s="119"/>
      <c r="BH29" s="119"/>
      <c r="BI29" s="119"/>
      <c r="BJ29" s="120"/>
      <c r="BK29" s="24"/>
    </row>
    <row r="30" spans="1:63" ht="15" customHeight="1" x14ac:dyDescent="0.25">
      <c r="A30" s="23"/>
      <c r="B30" s="77"/>
      <c r="C30" s="78"/>
      <c r="D30" s="78"/>
      <c r="E30" s="78"/>
      <c r="F30" s="78"/>
      <c r="G30" s="79"/>
      <c r="H30" s="77"/>
      <c r="I30" s="78"/>
      <c r="J30" s="78"/>
      <c r="K30" s="78"/>
      <c r="L30" s="78"/>
      <c r="M30" s="78"/>
      <c r="N30" s="79"/>
      <c r="O30" s="77"/>
      <c r="P30" s="78"/>
      <c r="Q30" s="78"/>
      <c r="R30" s="78"/>
      <c r="S30" s="125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  <c r="AD30" s="126"/>
      <c r="AE30" s="126"/>
      <c r="AF30" s="126"/>
      <c r="AG30" s="126"/>
      <c r="AH30" s="126"/>
      <c r="AI30" s="126"/>
      <c r="AJ30" s="126"/>
      <c r="AK30" s="126"/>
      <c r="AL30" s="126"/>
      <c r="AM30" s="126"/>
      <c r="AN30" s="126"/>
      <c r="AO30" s="126"/>
      <c r="AP30" s="126"/>
      <c r="AQ30" s="126"/>
      <c r="AR30" s="126"/>
      <c r="AS30" s="126"/>
      <c r="AT30" s="126"/>
      <c r="AU30" s="126"/>
      <c r="AV30" s="126"/>
      <c r="AW30" s="127"/>
      <c r="AX30" s="121"/>
      <c r="AY30" s="121"/>
      <c r="AZ30" s="121"/>
      <c r="BA30" s="121"/>
      <c r="BB30" s="121"/>
      <c r="BC30" s="122"/>
      <c r="BD30" s="124"/>
      <c r="BE30" s="121"/>
      <c r="BF30" s="121"/>
      <c r="BG30" s="121"/>
      <c r="BH30" s="121"/>
      <c r="BI30" s="121"/>
      <c r="BJ30" s="122"/>
      <c r="BK30" s="24"/>
    </row>
    <row r="31" spans="1:63" ht="15" customHeight="1" x14ac:dyDescent="0.25">
      <c r="A31" s="23"/>
      <c r="B31" s="71"/>
      <c r="C31" s="72"/>
      <c r="D31" s="72"/>
      <c r="E31" s="72"/>
      <c r="F31" s="72"/>
      <c r="G31" s="73"/>
      <c r="H31" s="71"/>
      <c r="I31" s="72"/>
      <c r="J31" s="72"/>
      <c r="K31" s="72"/>
      <c r="L31" s="72"/>
      <c r="M31" s="72"/>
      <c r="N31" s="73"/>
      <c r="O31" s="71"/>
      <c r="P31" s="72"/>
      <c r="Q31" s="72"/>
      <c r="R31" s="72"/>
      <c r="S31" s="116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8"/>
      <c r="AX31" s="119"/>
      <c r="AY31" s="119"/>
      <c r="AZ31" s="119"/>
      <c r="BA31" s="119"/>
      <c r="BB31" s="119"/>
      <c r="BC31" s="120"/>
      <c r="BD31" s="123"/>
      <c r="BE31" s="119"/>
      <c r="BF31" s="119"/>
      <c r="BG31" s="119"/>
      <c r="BH31" s="119"/>
      <c r="BI31" s="119"/>
      <c r="BJ31" s="120"/>
      <c r="BK31" s="24"/>
    </row>
    <row r="32" spans="1:63" ht="15" customHeight="1" x14ac:dyDescent="0.25">
      <c r="A32" s="23"/>
      <c r="B32" s="77"/>
      <c r="C32" s="78"/>
      <c r="D32" s="78"/>
      <c r="E32" s="78"/>
      <c r="F32" s="78"/>
      <c r="G32" s="79"/>
      <c r="H32" s="77"/>
      <c r="I32" s="78"/>
      <c r="J32" s="78"/>
      <c r="K32" s="78"/>
      <c r="L32" s="78"/>
      <c r="M32" s="78"/>
      <c r="N32" s="79"/>
      <c r="O32" s="77"/>
      <c r="P32" s="78"/>
      <c r="Q32" s="78"/>
      <c r="R32" s="78"/>
      <c r="S32" s="125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  <c r="AD32" s="126"/>
      <c r="AE32" s="126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6"/>
      <c r="AQ32" s="126"/>
      <c r="AR32" s="126"/>
      <c r="AS32" s="126"/>
      <c r="AT32" s="126"/>
      <c r="AU32" s="126"/>
      <c r="AV32" s="126"/>
      <c r="AW32" s="127"/>
      <c r="AX32" s="121"/>
      <c r="AY32" s="121"/>
      <c r="AZ32" s="121"/>
      <c r="BA32" s="121"/>
      <c r="BB32" s="121"/>
      <c r="BC32" s="122"/>
      <c r="BD32" s="124"/>
      <c r="BE32" s="121"/>
      <c r="BF32" s="121"/>
      <c r="BG32" s="121"/>
      <c r="BH32" s="121"/>
      <c r="BI32" s="121"/>
      <c r="BJ32" s="122"/>
      <c r="BK32" s="24"/>
    </row>
    <row r="33" spans="1:63" ht="15" customHeight="1" x14ac:dyDescent="0.25">
      <c r="A33" s="23"/>
      <c r="B33" s="71"/>
      <c r="C33" s="72"/>
      <c r="D33" s="72"/>
      <c r="E33" s="72"/>
      <c r="F33" s="72"/>
      <c r="G33" s="73"/>
      <c r="H33" s="71"/>
      <c r="I33" s="72"/>
      <c r="J33" s="72"/>
      <c r="K33" s="72"/>
      <c r="L33" s="72"/>
      <c r="M33" s="72"/>
      <c r="N33" s="73"/>
      <c r="O33" s="71"/>
      <c r="P33" s="72"/>
      <c r="Q33" s="72"/>
      <c r="R33" s="72"/>
      <c r="S33" s="116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8"/>
      <c r="AX33" s="119"/>
      <c r="AY33" s="119"/>
      <c r="AZ33" s="119"/>
      <c r="BA33" s="119"/>
      <c r="BB33" s="119"/>
      <c r="BC33" s="120"/>
      <c r="BD33" s="123"/>
      <c r="BE33" s="119"/>
      <c r="BF33" s="119"/>
      <c r="BG33" s="119"/>
      <c r="BH33" s="119"/>
      <c r="BI33" s="119"/>
      <c r="BJ33" s="120"/>
      <c r="BK33" s="24"/>
    </row>
    <row r="34" spans="1:63" ht="15" customHeight="1" x14ac:dyDescent="0.25">
      <c r="A34" s="23"/>
      <c r="B34" s="77"/>
      <c r="C34" s="78"/>
      <c r="D34" s="78"/>
      <c r="E34" s="78"/>
      <c r="F34" s="78"/>
      <c r="G34" s="79"/>
      <c r="H34" s="77"/>
      <c r="I34" s="78"/>
      <c r="J34" s="78"/>
      <c r="K34" s="78"/>
      <c r="L34" s="78"/>
      <c r="M34" s="78"/>
      <c r="N34" s="79"/>
      <c r="O34" s="77"/>
      <c r="P34" s="78"/>
      <c r="Q34" s="78"/>
      <c r="R34" s="78"/>
      <c r="S34" s="125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  <c r="AD34" s="126"/>
      <c r="AE34" s="126"/>
      <c r="AF34" s="126"/>
      <c r="AG34" s="126"/>
      <c r="AH34" s="126"/>
      <c r="AI34" s="126"/>
      <c r="AJ34" s="126"/>
      <c r="AK34" s="126"/>
      <c r="AL34" s="126"/>
      <c r="AM34" s="126"/>
      <c r="AN34" s="126"/>
      <c r="AO34" s="126"/>
      <c r="AP34" s="126"/>
      <c r="AQ34" s="126"/>
      <c r="AR34" s="126"/>
      <c r="AS34" s="126"/>
      <c r="AT34" s="126"/>
      <c r="AU34" s="126"/>
      <c r="AV34" s="126"/>
      <c r="AW34" s="127"/>
      <c r="AX34" s="121"/>
      <c r="AY34" s="121"/>
      <c r="AZ34" s="121"/>
      <c r="BA34" s="121"/>
      <c r="BB34" s="121"/>
      <c r="BC34" s="122"/>
      <c r="BD34" s="124"/>
      <c r="BE34" s="121"/>
      <c r="BF34" s="121"/>
      <c r="BG34" s="121"/>
      <c r="BH34" s="121"/>
      <c r="BI34" s="121"/>
      <c r="BJ34" s="122"/>
      <c r="BK34" s="24"/>
    </row>
    <row r="35" spans="1:63" ht="15" customHeight="1" x14ac:dyDescent="0.25">
      <c r="A35" s="23"/>
      <c r="B35" s="71"/>
      <c r="C35" s="72"/>
      <c r="D35" s="72"/>
      <c r="E35" s="72"/>
      <c r="F35" s="72"/>
      <c r="G35" s="73"/>
      <c r="H35" s="71"/>
      <c r="I35" s="72"/>
      <c r="J35" s="72"/>
      <c r="K35" s="72"/>
      <c r="L35" s="72"/>
      <c r="M35" s="72"/>
      <c r="N35" s="73"/>
      <c r="O35" s="71"/>
      <c r="P35" s="72"/>
      <c r="Q35" s="72"/>
      <c r="R35" s="72"/>
      <c r="S35" s="116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8"/>
      <c r="AX35" s="119"/>
      <c r="AY35" s="119"/>
      <c r="AZ35" s="119"/>
      <c r="BA35" s="119"/>
      <c r="BB35" s="119"/>
      <c r="BC35" s="120"/>
      <c r="BD35" s="123"/>
      <c r="BE35" s="119"/>
      <c r="BF35" s="119"/>
      <c r="BG35" s="119"/>
      <c r="BH35" s="119"/>
      <c r="BI35" s="119"/>
      <c r="BJ35" s="120"/>
      <c r="BK35" s="24"/>
    </row>
    <row r="36" spans="1:63" ht="15" customHeight="1" x14ac:dyDescent="0.25">
      <c r="A36" s="23"/>
      <c r="B36" s="77"/>
      <c r="C36" s="78"/>
      <c r="D36" s="78"/>
      <c r="E36" s="78"/>
      <c r="F36" s="78"/>
      <c r="G36" s="79"/>
      <c r="H36" s="77"/>
      <c r="I36" s="78"/>
      <c r="J36" s="78"/>
      <c r="K36" s="78"/>
      <c r="L36" s="78"/>
      <c r="M36" s="78"/>
      <c r="N36" s="79"/>
      <c r="O36" s="77"/>
      <c r="P36" s="78"/>
      <c r="Q36" s="78"/>
      <c r="R36" s="78"/>
      <c r="S36" s="125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6"/>
      <c r="AG36" s="126"/>
      <c r="AH36" s="126"/>
      <c r="AI36" s="126"/>
      <c r="AJ36" s="126"/>
      <c r="AK36" s="126"/>
      <c r="AL36" s="126"/>
      <c r="AM36" s="126"/>
      <c r="AN36" s="126"/>
      <c r="AO36" s="126"/>
      <c r="AP36" s="126"/>
      <c r="AQ36" s="126"/>
      <c r="AR36" s="126"/>
      <c r="AS36" s="126"/>
      <c r="AT36" s="126"/>
      <c r="AU36" s="126"/>
      <c r="AV36" s="126"/>
      <c r="AW36" s="127"/>
      <c r="AX36" s="121"/>
      <c r="AY36" s="121"/>
      <c r="AZ36" s="121"/>
      <c r="BA36" s="121"/>
      <c r="BB36" s="121"/>
      <c r="BC36" s="122"/>
      <c r="BD36" s="124"/>
      <c r="BE36" s="121"/>
      <c r="BF36" s="121"/>
      <c r="BG36" s="121"/>
      <c r="BH36" s="121"/>
      <c r="BI36" s="121"/>
      <c r="BJ36" s="122"/>
      <c r="BK36" s="24"/>
    </row>
    <row r="37" spans="1:63" ht="15" customHeight="1" x14ac:dyDescent="0.25">
      <c r="A37" s="23"/>
      <c r="B37" s="71"/>
      <c r="C37" s="72"/>
      <c r="D37" s="72"/>
      <c r="E37" s="72"/>
      <c r="F37" s="72"/>
      <c r="G37" s="73"/>
      <c r="H37" s="71"/>
      <c r="I37" s="72"/>
      <c r="J37" s="72"/>
      <c r="K37" s="72"/>
      <c r="L37" s="72"/>
      <c r="M37" s="72"/>
      <c r="N37" s="73"/>
      <c r="O37" s="71"/>
      <c r="P37" s="72"/>
      <c r="Q37" s="72"/>
      <c r="R37" s="72"/>
      <c r="S37" s="116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8"/>
      <c r="AX37" s="119"/>
      <c r="AY37" s="119"/>
      <c r="AZ37" s="119"/>
      <c r="BA37" s="119"/>
      <c r="BB37" s="119"/>
      <c r="BC37" s="120"/>
      <c r="BD37" s="123"/>
      <c r="BE37" s="119"/>
      <c r="BF37" s="119"/>
      <c r="BG37" s="119"/>
      <c r="BH37" s="119"/>
      <c r="BI37" s="119"/>
      <c r="BJ37" s="120"/>
      <c r="BK37" s="24"/>
    </row>
    <row r="38" spans="1:63" ht="15" customHeight="1" x14ac:dyDescent="0.25">
      <c r="A38" s="23"/>
      <c r="B38" s="77"/>
      <c r="C38" s="78"/>
      <c r="D38" s="78"/>
      <c r="E38" s="78"/>
      <c r="F38" s="78"/>
      <c r="G38" s="79"/>
      <c r="H38" s="77"/>
      <c r="I38" s="78"/>
      <c r="J38" s="78"/>
      <c r="K38" s="78"/>
      <c r="L38" s="78"/>
      <c r="M38" s="78"/>
      <c r="N38" s="79"/>
      <c r="O38" s="77"/>
      <c r="P38" s="78"/>
      <c r="Q38" s="78"/>
      <c r="R38" s="78"/>
      <c r="S38" s="125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  <c r="AD38" s="126"/>
      <c r="AE38" s="126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126"/>
      <c r="AR38" s="126"/>
      <c r="AS38" s="126"/>
      <c r="AT38" s="126"/>
      <c r="AU38" s="126"/>
      <c r="AV38" s="126"/>
      <c r="AW38" s="127"/>
      <c r="AX38" s="121"/>
      <c r="AY38" s="121"/>
      <c r="AZ38" s="121"/>
      <c r="BA38" s="121"/>
      <c r="BB38" s="121"/>
      <c r="BC38" s="122"/>
      <c r="BD38" s="124"/>
      <c r="BE38" s="121"/>
      <c r="BF38" s="121"/>
      <c r="BG38" s="121"/>
      <c r="BH38" s="121"/>
      <c r="BI38" s="121"/>
      <c r="BJ38" s="122"/>
      <c r="BK38" s="24"/>
    </row>
    <row r="39" spans="1:63" ht="15" customHeight="1" x14ac:dyDescent="0.25">
      <c r="A39" s="23"/>
      <c r="B39" s="71"/>
      <c r="C39" s="72"/>
      <c r="D39" s="72"/>
      <c r="E39" s="72"/>
      <c r="F39" s="72"/>
      <c r="G39" s="73"/>
      <c r="H39" s="71"/>
      <c r="I39" s="72"/>
      <c r="J39" s="72"/>
      <c r="K39" s="72"/>
      <c r="L39" s="72"/>
      <c r="M39" s="72"/>
      <c r="N39" s="73"/>
      <c r="O39" s="71"/>
      <c r="P39" s="72"/>
      <c r="Q39" s="72"/>
      <c r="R39" s="72"/>
      <c r="S39" s="116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8"/>
      <c r="AX39" s="119"/>
      <c r="AY39" s="119"/>
      <c r="AZ39" s="119"/>
      <c r="BA39" s="119"/>
      <c r="BB39" s="119"/>
      <c r="BC39" s="120"/>
      <c r="BD39" s="123"/>
      <c r="BE39" s="119"/>
      <c r="BF39" s="119"/>
      <c r="BG39" s="119"/>
      <c r="BH39" s="119"/>
      <c r="BI39" s="119"/>
      <c r="BJ39" s="120"/>
      <c r="BK39" s="24"/>
    </row>
    <row r="40" spans="1:63" ht="15" customHeight="1" x14ac:dyDescent="0.25">
      <c r="A40" s="23"/>
      <c r="B40" s="77"/>
      <c r="C40" s="78"/>
      <c r="D40" s="78"/>
      <c r="E40" s="78"/>
      <c r="F40" s="78"/>
      <c r="G40" s="79"/>
      <c r="H40" s="77"/>
      <c r="I40" s="78"/>
      <c r="J40" s="78"/>
      <c r="K40" s="78"/>
      <c r="L40" s="78"/>
      <c r="M40" s="78"/>
      <c r="N40" s="79"/>
      <c r="O40" s="77"/>
      <c r="P40" s="78"/>
      <c r="Q40" s="78"/>
      <c r="R40" s="78"/>
      <c r="S40" s="125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  <c r="AD40" s="126"/>
      <c r="AE40" s="126"/>
      <c r="AF40" s="126"/>
      <c r="AG40" s="126"/>
      <c r="AH40" s="126"/>
      <c r="AI40" s="126"/>
      <c r="AJ40" s="126"/>
      <c r="AK40" s="126"/>
      <c r="AL40" s="126"/>
      <c r="AM40" s="126"/>
      <c r="AN40" s="126"/>
      <c r="AO40" s="126"/>
      <c r="AP40" s="126"/>
      <c r="AQ40" s="126"/>
      <c r="AR40" s="126"/>
      <c r="AS40" s="126"/>
      <c r="AT40" s="126"/>
      <c r="AU40" s="126"/>
      <c r="AV40" s="126"/>
      <c r="AW40" s="127"/>
      <c r="AX40" s="121"/>
      <c r="AY40" s="121"/>
      <c r="AZ40" s="121"/>
      <c r="BA40" s="121"/>
      <c r="BB40" s="121"/>
      <c r="BC40" s="122"/>
      <c r="BD40" s="124"/>
      <c r="BE40" s="121"/>
      <c r="BF40" s="121"/>
      <c r="BG40" s="121"/>
      <c r="BH40" s="121"/>
      <c r="BI40" s="121"/>
      <c r="BJ40" s="122"/>
      <c r="BK40" s="24"/>
    </row>
    <row r="41" spans="1:63" ht="15" customHeight="1" x14ac:dyDescent="0.25">
      <c r="A41" s="23"/>
      <c r="B41" s="71"/>
      <c r="C41" s="72"/>
      <c r="D41" s="72"/>
      <c r="E41" s="72"/>
      <c r="F41" s="72"/>
      <c r="G41" s="73"/>
      <c r="H41" s="71"/>
      <c r="I41" s="72"/>
      <c r="J41" s="72"/>
      <c r="K41" s="72"/>
      <c r="L41" s="72"/>
      <c r="M41" s="72"/>
      <c r="N41" s="73"/>
      <c r="O41" s="71"/>
      <c r="P41" s="72"/>
      <c r="Q41" s="72"/>
      <c r="R41" s="72"/>
      <c r="S41" s="116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8"/>
      <c r="AX41" s="119"/>
      <c r="AY41" s="119"/>
      <c r="AZ41" s="119"/>
      <c r="BA41" s="119"/>
      <c r="BB41" s="119"/>
      <c r="BC41" s="120"/>
      <c r="BD41" s="123"/>
      <c r="BE41" s="119"/>
      <c r="BF41" s="119"/>
      <c r="BG41" s="119"/>
      <c r="BH41" s="119"/>
      <c r="BI41" s="119"/>
      <c r="BJ41" s="120"/>
      <c r="BK41" s="24"/>
    </row>
    <row r="42" spans="1:63" ht="15" customHeight="1" x14ac:dyDescent="0.25">
      <c r="A42" s="23"/>
      <c r="B42" s="77"/>
      <c r="C42" s="78"/>
      <c r="D42" s="78"/>
      <c r="E42" s="78"/>
      <c r="F42" s="78"/>
      <c r="G42" s="79"/>
      <c r="H42" s="77"/>
      <c r="I42" s="78"/>
      <c r="J42" s="78"/>
      <c r="K42" s="78"/>
      <c r="L42" s="78"/>
      <c r="M42" s="78"/>
      <c r="N42" s="79"/>
      <c r="O42" s="77"/>
      <c r="P42" s="78"/>
      <c r="Q42" s="78"/>
      <c r="R42" s="78"/>
      <c r="S42" s="125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  <c r="AD42" s="126"/>
      <c r="AE42" s="126"/>
      <c r="AF42" s="126"/>
      <c r="AG42" s="126"/>
      <c r="AH42" s="126"/>
      <c r="AI42" s="126"/>
      <c r="AJ42" s="126"/>
      <c r="AK42" s="126"/>
      <c r="AL42" s="126"/>
      <c r="AM42" s="126"/>
      <c r="AN42" s="126"/>
      <c r="AO42" s="126"/>
      <c r="AP42" s="126"/>
      <c r="AQ42" s="126"/>
      <c r="AR42" s="126"/>
      <c r="AS42" s="126"/>
      <c r="AT42" s="126"/>
      <c r="AU42" s="126"/>
      <c r="AV42" s="126"/>
      <c r="AW42" s="127"/>
      <c r="AX42" s="121"/>
      <c r="AY42" s="121"/>
      <c r="AZ42" s="121"/>
      <c r="BA42" s="121"/>
      <c r="BB42" s="121"/>
      <c r="BC42" s="122"/>
      <c r="BD42" s="124"/>
      <c r="BE42" s="121"/>
      <c r="BF42" s="121"/>
      <c r="BG42" s="121"/>
      <c r="BH42" s="121"/>
      <c r="BI42" s="121"/>
      <c r="BJ42" s="122"/>
      <c r="BK42" s="24"/>
    </row>
    <row r="43" spans="1:63" ht="15" customHeight="1" x14ac:dyDescent="0.25">
      <c r="A43" s="23"/>
      <c r="B43" s="71"/>
      <c r="C43" s="72"/>
      <c r="D43" s="72"/>
      <c r="E43" s="72"/>
      <c r="F43" s="72"/>
      <c r="G43" s="73"/>
      <c r="H43" s="71"/>
      <c r="I43" s="72"/>
      <c r="J43" s="72"/>
      <c r="K43" s="72"/>
      <c r="L43" s="72"/>
      <c r="M43" s="72"/>
      <c r="N43" s="73"/>
      <c r="O43" s="71"/>
      <c r="P43" s="72"/>
      <c r="Q43" s="72"/>
      <c r="R43" s="72"/>
      <c r="S43" s="116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8"/>
      <c r="AX43" s="119"/>
      <c r="AY43" s="119"/>
      <c r="AZ43" s="119"/>
      <c r="BA43" s="119"/>
      <c r="BB43" s="119"/>
      <c r="BC43" s="120"/>
      <c r="BD43" s="123"/>
      <c r="BE43" s="119"/>
      <c r="BF43" s="119"/>
      <c r="BG43" s="119"/>
      <c r="BH43" s="119"/>
      <c r="BI43" s="119"/>
      <c r="BJ43" s="120"/>
      <c r="BK43" s="24"/>
    </row>
    <row r="44" spans="1:63" ht="15" customHeight="1" x14ac:dyDescent="0.25">
      <c r="A44" s="23"/>
      <c r="B44" s="77"/>
      <c r="C44" s="78"/>
      <c r="D44" s="78"/>
      <c r="E44" s="78"/>
      <c r="F44" s="78"/>
      <c r="G44" s="79"/>
      <c r="H44" s="77"/>
      <c r="I44" s="78"/>
      <c r="J44" s="78"/>
      <c r="K44" s="78"/>
      <c r="L44" s="78"/>
      <c r="M44" s="78"/>
      <c r="N44" s="79"/>
      <c r="O44" s="77"/>
      <c r="P44" s="78"/>
      <c r="Q44" s="78"/>
      <c r="R44" s="78"/>
      <c r="S44" s="125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  <c r="AD44" s="126"/>
      <c r="AE44" s="126"/>
      <c r="AF44" s="126"/>
      <c r="AG44" s="126"/>
      <c r="AH44" s="126"/>
      <c r="AI44" s="126"/>
      <c r="AJ44" s="126"/>
      <c r="AK44" s="126"/>
      <c r="AL44" s="126"/>
      <c r="AM44" s="126"/>
      <c r="AN44" s="126"/>
      <c r="AO44" s="126"/>
      <c r="AP44" s="126"/>
      <c r="AQ44" s="126"/>
      <c r="AR44" s="126"/>
      <c r="AS44" s="126"/>
      <c r="AT44" s="126"/>
      <c r="AU44" s="126"/>
      <c r="AV44" s="126"/>
      <c r="AW44" s="127"/>
      <c r="AX44" s="121"/>
      <c r="AY44" s="121"/>
      <c r="AZ44" s="121"/>
      <c r="BA44" s="121"/>
      <c r="BB44" s="121"/>
      <c r="BC44" s="122"/>
      <c r="BD44" s="124"/>
      <c r="BE44" s="121"/>
      <c r="BF44" s="121"/>
      <c r="BG44" s="121"/>
      <c r="BH44" s="121"/>
      <c r="BI44" s="121"/>
      <c r="BJ44" s="122"/>
      <c r="BK44" s="24"/>
    </row>
    <row r="45" spans="1:63" ht="15" customHeight="1" x14ac:dyDescent="0.25">
      <c r="A45" s="23"/>
      <c r="B45" s="71"/>
      <c r="C45" s="72"/>
      <c r="D45" s="72"/>
      <c r="E45" s="72"/>
      <c r="F45" s="72"/>
      <c r="G45" s="73"/>
      <c r="H45" s="71"/>
      <c r="I45" s="72"/>
      <c r="J45" s="72"/>
      <c r="K45" s="72"/>
      <c r="L45" s="72"/>
      <c r="M45" s="72"/>
      <c r="N45" s="73"/>
      <c r="O45" s="71"/>
      <c r="P45" s="72"/>
      <c r="Q45" s="72"/>
      <c r="R45" s="72"/>
      <c r="S45" s="116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8"/>
      <c r="AX45" s="119"/>
      <c r="AY45" s="119"/>
      <c r="AZ45" s="119"/>
      <c r="BA45" s="119"/>
      <c r="BB45" s="119"/>
      <c r="BC45" s="120"/>
      <c r="BD45" s="123"/>
      <c r="BE45" s="119"/>
      <c r="BF45" s="119"/>
      <c r="BG45" s="119"/>
      <c r="BH45" s="119"/>
      <c r="BI45" s="119"/>
      <c r="BJ45" s="120"/>
      <c r="BK45" s="24"/>
    </row>
    <row r="46" spans="1:63" ht="15" customHeight="1" x14ac:dyDescent="0.25">
      <c r="A46" s="23"/>
      <c r="B46" s="77"/>
      <c r="C46" s="78"/>
      <c r="D46" s="78"/>
      <c r="E46" s="78"/>
      <c r="F46" s="78"/>
      <c r="G46" s="79"/>
      <c r="H46" s="77"/>
      <c r="I46" s="78"/>
      <c r="J46" s="78"/>
      <c r="K46" s="78"/>
      <c r="L46" s="78"/>
      <c r="M46" s="78"/>
      <c r="N46" s="79"/>
      <c r="O46" s="77"/>
      <c r="P46" s="78"/>
      <c r="Q46" s="78"/>
      <c r="R46" s="78"/>
      <c r="S46" s="125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  <c r="AD46" s="126"/>
      <c r="AE46" s="126"/>
      <c r="AF46" s="126"/>
      <c r="AG46" s="126"/>
      <c r="AH46" s="126"/>
      <c r="AI46" s="126"/>
      <c r="AJ46" s="126"/>
      <c r="AK46" s="126"/>
      <c r="AL46" s="126"/>
      <c r="AM46" s="126"/>
      <c r="AN46" s="126"/>
      <c r="AO46" s="126"/>
      <c r="AP46" s="126"/>
      <c r="AQ46" s="126"/>
      <c r="AR46" s="126"/>
      <c r="AS46" s="126"/>
      <c r="AT46" s="126"/>
      <c r="AU46" s="126"/>
      <c r="AV46" s="126"/>
      <c r="AW46" s="127"/>
      <c r="AX46" s="121"/>
      <c r="AY46" s="121"/>
      <c r="AZ46" s="121"/>
      <c r="BA46" s="121"/>
      <c r="BB46" s="121"/>
      <c r="BC46" s="122"/>
      <c r="BD46" s="124"/>
      <c r="BE46" s="121"/>
      <c r="BF46" s="121"/>
      <c r="BG46" s="121"/>
      <c r="BH46" s="121"/>
      <c r="BI46" s="121"/>
      <c r="BJ46" s="122"/>
      <c r="BK46" s="24"/>
    </row>
    <row r="47" spans="1:63" ht="15" customHeight="1" x14ac:dyDescent="0.25">
      <c r="A47" s="23"/>
      <c r="B47" s="71"/>
      <c r="C47" s="72"/>
      <c r="D47" s="72"/>
      <c r="E47" s="72"/>
      <c r="F47" s="72"/>
      <c r="G47" s="73"/>
      <c r="H47" s="71"/>
      <c r="I47" s="72"/>
      <c r="J47" s="72"/>
      <c r="K47" s="72"/>
      <c r="L47" s="72"/>
      <c r="M47" s="72"/>
      <c r="N47" s="73"/>
      <c r="O47" s="71"/>
      <c r="P47" s="72"/>
      <c r="Q47" s="72"/>
      <c r="R47" s="72"/>
      <c r="S47" s="116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8"/>
      <c r="AX47" s="119"/>
      <c r="AY47" s="119"/>
      <c r="AZ47" s="119"/>
      <c r="BA47" s="119"/>
      <c r="BB47" s="119"/>
      <c r="BC47" s="120"/>
      <c r="BD47" s="123"/>
      <c r="BE47" s="119"/>
      <c r="BF47" s="119"/>
      <c r="BG47" s="119"/>
      <c r="BH47" s="119"/>
      <c r="BI47" s="119"/>
      <c r="BJ47" s="120"/>
      <c r="BK47" s="24"/>
    </row>
    <row r="48" spans="1:63" ht="15" customHeight="1" x14ac:dyDescent="0.25">
      <c r="A48" s="23"/>
      <c r="B48" s="77"/>
      <c r="C48" s="78"/>
      <c r="D48" s="78"/>
      <c r="E48" s="78"/>
      <c r="F48" s="78"/>
      <c r="G48" s="79"/>
      <c r="H48" s="77"/>
      <c r="I48" s="78"/>
      <c r="J48" s="78"/>
      <c r="K48" s="78"/>
      <c r="L48" s="78"/>
      <c r="M48" s="78"/>
      <c r="N48" s="79"/>
      <c r="O48" s="77"/>
      <c r="P48" s="78"/>
      <c r="Q48" s="78"/>
      <c r="R48" s="78"/>
      <c r="S48" s="125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  <c r="AD48" s="126"/>
      <c r="AE48" s="126"/>
      <c r="AF48" s="126"/>
      <c r="AG48" s="126"/>
      <c r="AH48" s="126"/>
      <c r="AI48" s="126"/>
      <c r="AJ48" s="126"/>
      <c r="AK48" s="126"/>
      <c r="AL48" s="126"/>
      <c r="AM48" s="126"/>
      <c r="AN48" s="126"/>
      <c r="AO48" s="126"/>
      <c r="AP48" s="126"/>
      <c r="AQ48" s="126"/>
      <c r="AR48" s="126"/>
      <c r="AS48" s="126"/>
      <c r="AT48" s="126"/>
      <c r="AU48" s="126"/>
      <c r="AV48" s="126"/>
      <c r="AW48" s="127"/>
      <c r="AX48" s="121"/>
      <c r="AY48" s="121"/>
      <c r="AZ48" s="121"/>
      <c r="BA48" s="121"/>
      <c r="BB48" s="121"/>
      <c r="BC48" s="122"/>
      <c r="BD48" s="124"/>
      <c r="BE48" s="121"/>
      <c r="BF48" s="121"/>
      <c r="BG48" s="121"/>
      <c r="BH48" s="121"/>
      <c r="BI48" s="121"/>
      <c r="BJ48" s="122"/>
      <c r="BK48" s="24"/>
    </row>
    <row r="49" spans="1:63" ht="15" customHeight="1" x14ac:dyDescent="0.25">
      <c r="A49" s="23"/>
      <c r="B49" s="71"/>
      <c r="C49" s="72"/>
      <c r="D49" s="72"/>
      <c r="E49" s="72"/>
      <c r="F49" s="72"/>
      <c r="G49" s="73"/>
      <c r="H49" s="71"/>
      <c r="I49" s="72"/>
      <c r="J49" s="72"/>
      <c r="K49" s="72"/>
      <c r="L49" s="72"/>
      <c r="M49" s="72"/>
      <c r="N49" s="73"/>
      <c r="O49" s="71"/>
      <c r="P49" s="72"/>
      <c r="Q49" s="72"/>
      <c r="R49" s="72"/>
      <c r="S49" s="116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8"/>
      <c r="AX49" s="119"/>
      <c r="AY49" s="119"/>
      <c r="AZ49" s="119"/>
      <c r="BA49" s="119"/>
      <c r="BB49" s="119"/>
      <c r="BC49" s="120"/>
      <c r="BD49" s="123"/>
      <c r="BE49" s="119"/>
      <c r="BF49" s="119"/>
      <c r="BG49" s="119"/>
      <c r="BH49" s="119"/>
      <c r="BI49" s="119"/>
      <c r="BJ49" s="120"/>
      <c r="BK49" s="24"/>
    </row>
    <row r="50" spans="1:63" ht="15" customHeight="1" x14ac:dyDescent="0.25">
      <c r="A50" s="23"/>
      <c r="B50" s="77"/>
      <c r="C50" s="78"/>
      <c r="D50" s="78"/>
      <c r="E50" s="78"/>
      <c r="F50" s="78"/>
      <c r="G50" s="79"/>
      <c r="H50" s="77"/>
      <c r="I50" s="78"/>
      <c r="J50" s="78"/>
      <c r="K50" s="78"/>
      <c r="L50" s="78"/>
      <c r="M50" s="78"/>
      <c r="N50" s="79"/>
      <c r="O50" s="77"/>
      <c r="P50" s="78"/>
      <c r="Q50" s="78"/>
      <c r="R50" s="78"/>
      <c r="S50" s="125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  <c r="AD50" s="126"/>
      <c r="AE50" s="126"/>
      <c r="AF50" s="126"/>
      <c r="AG50" s="126"/>
      <c r="AH50" s="126"/>
      <c r="AI50" s="126"/>
      <c r="AJ50" s="126"/>
      <c r="AK50" s="126"/>
      <c r="AL50" s="126"/>
      <c r="AM50" s="126"/>
      <c r="AN50" s="126"/>
      <c r="AO50" s="126"/>
      <c r="AP50" s="126"/>
      <c r="AQ50" s="126"/>
      <c r="AR50" s="126"/>
      <c r="AS50" s="126"/>
      <c r="AT50" s="126"/>
      <c r="AU50" s="126"/>
      <c r="AV50" s="126"/>
      <c r="AW50" s="127"/>
      <c r="AX50" s="121"/>
      <c r="AY50" s="121"/>
      <c r="AZ50" s="121"/>
      <c r="BA50" s="121"/>
      <c r="BB50" s="121"/>
      <c r="BC50" s="122"/>
      <c r="BD50" s="124"/>
      <c r="BE50" s="121"/>
      <c r="BF50" s="121"/>
      <c r="BG50" s="121"/>
      <c r="BH50" s="121"/>
      <c r="BI50" s="121"/>
      <c r="BJ50" s="122"/>
      <c r="BK50" s="24"/>
    </row>
    <row r="51" spans="1:63" ht="15" customHeight="1" x14ac:dyDescent="0.25">
      <c r="A51" s="23"/>
      <c r="B51" s="71"/>
      <c r="C51" s="72"/>
      <c r="D51" s="72"/>
      <c r="E51" s="72"/>
      <c r="F51" s="72"/>
      <c r="G51" s="73"/>
      <c r="H51" s="71"/>
      <c r="I51" s="72"/>
      <c r="J51" s="72"/>
      <c r="K51" s="72"/>
      <c r="L51" s="72"/>
      <c r="M51" s="72"/>
      <c r="N51" s="73"/>
      <c r="O51" s="71"/>
      <c r="P51" s="72"/>
      <c r="Q51" s="72"/>
      <c r="R51" s="72"/>
      <c r="S51" s="116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  <c r="AU51" s="117"/>
      <c r="AV51" s="117"/>
      <c r="AW51" s="118"/>
      <c r="AX51" s="119"/>
      <c r="AY51" s="119"/>
      <c r="AZ51" s="119"/>
      <c r="BA51" s="119"/>
      <c r="BB51" s="119"/>
      <c r="BC51" s="120"/>
      <c r="BD51" s="123"/>
      <c r="BE51" s="119"/>
      <c r="BF51" s="119"/>
      <c r="BG51" s="119"/>
      <c r="BH51" s="119"/>
      <c r="BI51" s="119"/>
      <c r="BJ51" s="120"/>
      <c r="BK51" s="24"/>
    </row>
    <row r="52" spans="1:63" ht="15" customHeight="1" x14ac:dyDescent="0.25">
      <c r="A52" s="23"/>
      <c r="B52" s="77"/>
      <c r="C52" s="78"/>
      <c r="D52" s="78"/>
      <c r="E52" s="78"/>
      <c r="F52" s="78"/>
      <c r="G52" s="79"/>
      <c r="H52" s="77"/>
      <c r="I52" s="78"/>
      <c r="J52" s="78"/>
      <c r="K52" s="78"/>
      <c r="L52" s="78"/>
      <c r="M52" s="78"/>
      <c r="N52" s="79"/>
      <c r="O52" s="77"/>
      <c r="P52" s="78"/>
      <c r="Q52" s="78"/>
      <c r="R52" s="78"/>
      <c r="S52" s="125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  <c r="AD52" s="126"/>
      <c r="AE52" s="126"/>
      <c r="AF52" s="126"/>
      <c r="AG52" s="126"/>
      <c r="AH52" s="126"/>
      <c r="AI52" s="126"/>
      <c r="AJ52" s="126"/>
      <c r="AK52" s="126"/>
      <c r="AL52" s="126"/>
      <c r="AM52" s="126"/>
      <c r="AN52" s="126"/>
      <c r="AO52" s="126"/>
      <c r="AP52" s="126"/>
      <c r="AQ52" s="126"/>
      <c r="AR52" s="126"/>
      <c r="AS52" s="126"/>
      <c r="AT52" s="126"/>
      <c r="AU52" s="126"/>
      <c r="AV52" s="126"/>
      <c r="AW52" s="127"/>
      <c r="AX52" s="121"/>
      <c r="AY52" s="121"/>
      <c r="AZ52" s="121"/>
      <c r="BA52" s="121"/>
      <c r="BB52" s="121"/>
      <c r="BC52" s="122"/>
      <c r="BD52" s="124"/>
      <c r="BE52" s="121"/>
      <c r="BF52" s="121"/>
      <c r="BG52" s="121"/>
      <c r="BH52" s="121"/>
      <c r="BI52" s="121"/>
      <c r="BJ52" s="122"/>
      <c r="BK52" s="24"/>
    </row>
    <row r="53" spans="1:63" ht="15" customHeight="1" x14ac:dyDescent="0.25">
      <c r="A53" s="23"/>
      <c r="B53" s="71"/>
      <c r="C53" s="72"/>
      <c r="D53" s="72"/>
      <c r="E53" s="72"/>
      <c r="F53" s="72"/>
      <c r="G53" s="73"/>
      <c r="H53" s="71"/>
      <c r="I53" s="72"/>
      <c r="J53" s="72"/>
      <c r="K53" s="72"/>
      <c r="L53" s="72"/>
      <c r="M53" s="72"/>
      <c r="N53" s="73"/>
      <c r="O53" s="71"/>
      <c r="P53" s="72"/>
      <c r="Q53" s="72"/>
      <c r="R53" s="72"/>
      <c r="S53" s="116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8"/>
      <c r="AX53" s="119"/>
      <c r="AY53" s="119"/>
      <c r="AZ53" s="119"/>
      <c r="BA53" s="119"/>
      <c r="BB53" s="119"/>
      <c r="BC53" s="120"/>
      <c r="BD53" s="123"/>
      <c r="BE53" s="119"/>
      <c r="BF53" s="119"/>
      <c r="BG53" s="119"/>
      <c r="BH53" s="119"/>
      <c r="BI53" s="119"/>
      <c r="BJ53" s="120"/>
      <c r="BK53" s="24"/>
    </row>
    <row r="54" spans="1:63" ht="15" customHeight="1" x14ac:dyDescent="0.25">
      <c r="A54" s="23"/>
      <c r="B54" s="77"/>
      <c r="C54" s="78"/>
      <c r="D54" s="78"/>
      <c r="E54" s="78"/>
      <c r="F54" s="78"/>
      <c r="G54" s="79"/>
      <c r="H54" s="77"/>
      <c r="I54" s="78"/>
      <c r="J54" s="78"/>
      <c r="K54" s="78"/>
      <c r="L54" s="78"/>
      <c r="M54" s="78"/>
      <c r="N54" s="79"/>
      <c r="O54" s="77"/>
      <c r="P54" s="78"/>
      <c r="Q54" s="78"/>
      <c r="R54" s="78"/>
      <c r="S54" s="125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  <c r="AD54" s="126"/>
      <c r="AE54" s="126"/>
      <c r="AF54" s="126"/>
      <c r="AG54" s="126"/>
      <c r="AH54" s="126"/>
      <c r="AI54" s="126"/>
      <c r="AJ54" s="126"/>
      <c r="AK54" s="126"/>
      <c r="AL54" s="126"/>
      <c r="AM54" s="126"/>
      <c r="AN54" s="126"/>
      <c r="AO54" s="126"/>
      <c r="AP54" s="126"/>
      <c r="AQ54" s="126"/>
      <c r="AR54" s="126"/>
      <c r="AS54" s="126"/>
      <c r="AT54" s="126"/>
      <c r="AU54" s="126"/>
      <c r="AV54" s="126"/>
      <c r="AW54" s="127"/>
      <c r="AX54" s="121"/>
      <c r="AY54" s="121"/>
      <c r="AZ54" s="121"/>
      <c r="BA54" s="121"/>
      <c r="BB54" s="121"/>
      <c r="BC54" s="122"/>
      <c r="BD54" s="124"/>
      <c r="BE54" s="121"/>
      <c r="BF54" s="121"/>
      <c r="BG54" s="121"/>
      <c r="BH54" s="121"/>
      <c r="BI54" s="121"/>
      <c r="BJ54" s="122"/>
      <c r="BK54" s="24"/>
    </row>
    <row r="55" spans="1:63" ht="15" customHeight="1" x14ac:dyDescent="0.25">
      <c r="A55" s="20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2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141" t="s">
        <v>0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2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56" t="str">
        <f>IF(表紙!W1="","",表紙!W1)</f>
        <v>基本設計書</v>
      </c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8"/>
      <c r="AP1" s="141" t="s">
        <v>3</v>
      </c>
      <c r="AQ1" s="142"/>
      <c r="AR1" s="142"/>
      <c r="AS1" s="143"/>
      <c r="AT1" s="141" t="s">
        <v>4</v>
      </c>
      <c r="AU1" s="142"/>
      <c r="AV1" s="142"/>
      <c r="AW1" s="142"/>
      <c r="AX1" s="143"/>
      <c r="AY1" s="141" t="s">
        <v>5</v>
      </c>
      <c r="AZ1" s="142"/>
      <c r="BA1" s="142"/>
      <c r="BB1" s="143"/>
      <c r="BC1" s="141" t="s">
        <v>6</v>
      </c>
      <c r="BD1" s="142"/>
      <c r="BE1" s="142"/>
      <c r="BF1" s="142"/>
      <c r="BG1" s="143"/>
      <c r="BH1" s="141" t="s">
        <v>7</v>
      </c>
      <c r="BI1" s="142"/>
      <c r="BJ1" s="142"/>
      <c r="BK1" s="143"/>
    </row>
    <row r="2" spans="1:63" ht="15" customHeight="1" x14ac:dyDescent="0.25">
      <c r="A2" s="144" t="str">
        <f>IF(表紙!A2="","",表紙!A2)</f>
        <v>POSサーバー</v>
      </c>
      <c r="B2" s="145"/>
      <c r="C2" s="145"/>
      <c r="D2" s="145"/>
      <c r="E2" s="145"/>
      <c r="F2" s="145"/>
      <c r="G2" s="145"/>
      <c r="H2" s="145"/>
      <c r="I2" s="145"/>
      <c r="J2" s="146"/>
      <c r="K2" s="144" t="str">
        <f>IF(表紙!K2="","",表紙!K2)</f>
        <v>POSサーバー</v>
      </c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6"/>
      <c r="W2" s="159"/>
      <c r="X2" s="160"/>
      <c r="Y2" s="160"/>
      <c r="Z2" s="160"/>
      <c r="AA2" s="160"/>
      <c r="AB2" s="160"/>
      <c r="AC2" s="160"/>
      <c r="AD2" s="160"/>
      <c r="AE2" s="160"/>
      <c r="AF2" s="160"/>
      <c r="AG2" s="160"/>
      <c r="AH2" s="160"/>
      <c r="AI2" s="160"/>
      <c r="AJ2" s="160"/>
      <c r="AK2" s="160"/>
      <c r="AL2" s="160"/>
      <c r="AM2" s="160"/>
      <c r="AN2" s="160"/>
      <c r="AO2" s="161"/>
      <c r="AP2" s="144" t="str">
        <f>IF(表紙!AP2="","",表紙!AP2)</f>
        <v>SonMNT</v>
      </c>
      <c r="AQ2" s="145"/>
      <c r="AR2" s="145"/>
      <c r="AS2" s="146"/>
      <c r="AT2" s="150">
        <v>45084</v>
      </c>
      <c r="AU2" s="151"/>
      <c r="AV2" s="151"/>
      <c r="AW2" s="151"/>
      <c r="AX2" s="152"/>
      <c r="AY2" s="144" t="str">
        <f>IF(表紙!AY2="","",表紙!AY2)</f>
        <v>LoiLV</v>
      </c>
      <c r="AZ2" s="145"/>
      <c r="BA2" s="145"/>
      <c r="BB2" s="146"/>
      <c r="BC2" s="150">
        <f>IF(表紙!BC2="","",表紙!BC2)</f>
        <v>45464</v>
      </c>
      <c r="BD2" s="151"/>
      <c r="BE2" s="151"/>
      <c r="BF2" s="151"/>
      <c r="BG2" s="152"/>
      <c r="BH2" s="144">
        <f>IF(表紙!BH2="","",表紙!BH2)</f>
        <v>0.51</v>
      </c>
      <c r="BI2" s="145"/>
      <c r="BJ2" s="145"/>
      <c r="BK2" s="146"/>
    </row>
    <row r="3" spans="1:63" ht="15" customHeight="1" x14ac:dyDescent="0.25">
      <c r="A3" s="147"/>
      <c r="B3" s="148"/>
      <c r="C3" s="148"/>
      <c r="D3" s="148"/>
      <c r="E3" s="148"/>
      <c r="F3" s="148"/>
      <c r="G3" s="148"/>
      <c r="H3" s="148"/>
      <c r="I3" s="148"/>
      <c r="J3" s="149"/>
      <c r="K3" s="147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9"/>
      <c r="W3" s="162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4"/>
      <c r="AP3" s="147"/>
      <c r="AQ3" s="148"/>
      <c r="AR3" s="148"/>
      <c r="AS3" s="149"/>
      <c r="AT3" s="153"/>
      <c r="AU3" s="154"/>
      <c r="AV3" s="154"/>
      <c r="AW3" s="154"/>
      <c r="AX3" s="155"/>
      <c r="AY3" s="147"/>
      <c r="AZ3" s="148"/>
      <c r="BA3" s="148"/>
      <c r="BB3" s="149"/>
      <c r="BC3" s="153"/>
      <c r="BD3" s="154"/>
      <c r="BE3" s="154"/>
      <c r="BF3" s="154"/>
      <c r="BG3" s="155"/>
      <c r="BH3" s="147"/>
      <c r="BI3" s="148"/>
      <c r="BJ3" s="148"/>
      <c r="BK3" s="149"/>
    </row>
    <row r="4" spans="1:63" ht="24.95" customHeight="1" x14ac:dyDescent="0.25">
      <c r="A4" s="141" t="s">
        <v>1</v>
      </c>
      <c r="B4" s="142"/>
      <c r="C4" s="142"/>
      <c r="D4" s="142"/>
      <c r="E4" s="142"/>
      <c r="F4" s="142"/>
      <c r="G4" s="143"/>
      <c r="H4" s="165" t="str">
        <f>IF(表紙!H4="","",表紙!H4)</f>
        <v>38_朝割設定</v>
      </c>
      <c r="I4" s="166"/>
      <c r="J4" s="166"/>
      <c r="K4" s="166"/>
      <c r="L4" s="166"/>
      <c r="M4" s="166"/>
      <c r="N4" s="166"/>
      <c r="O4" s="166"/>
      <c r="P4" s="166"/>
      <c r="Q4" s="166"/>
      <c r="R4" s="166"/>
      <c r="S4" s="166"/>
      <c r="T4" s="167"/>
      <c r="U4" s="141" t="s">
        <v>8</v>
      </c>
      <c r="V4" s="142"/>
      <c r="W4" s="142"/>
      <c r="X4" s="142"/>
      <c r="Y4" s="143"/>
      <c r="Z4" s="165" t="str">
        <f>IF(表紙!Z4="","",表紙!Z4)</f>
        <v>概要設計書</v>
      </c>
      <c r="AA4" s="166"/>
      <c r="AB4" s="166"/>
      <c r="AC4" s="166"/>
      <c r="AD4" s="166"/>
      <c r="AE4" s="166"/>
      <c r="AF4" s="166"/>
      <c r="AG4" s="166"/>
      <c r="AH4" s="166"/>
      <c r="AI4" s="166"/>
      <c r="AJ4" s="166"/>
      <c r="AK4" s="166"/>
      <c r="AL4" s="166"/>
      <c r="AM4" s="166"/>
      <c r="AN4" s="166"/>
      <c r="AO4" s="167"/>
      <c r="AP4" s="165" t="str">
        <f t="array" aca="1" ref="AP4" ca="1">RIGHT(CELL("filename",$A$1),LEN(CELL("filename",$A$1))-FIND("]",CELL("filename",$A$1)))</f>
        <v>業務フロー凡例</v>
      </c>
      <c r="AQ4" s="166"/>
      <c r="AR4" s="166"/>
      <c r="AS4" s="166"/>
      <c r="AT4" s="166"/>
      <c r="AU4" s="166"/>
      <c r="AV4" s="166"/>
      <c r="AW4" s="166"/>
      <c r="AX4" s="166"/>
      <c r="AY4" s="166"/>
      <c r="AZ4" s="166"/>
      <c r="BA4" s="166"/>
      <c r="BB4" s="166"/>
      <c r="BC4" s="166"/>
      <c r="BD4" s="166"/>
      <c r="BE4" s="166"/>
      <c r="BF4" s="166"/>
      <c r="BG4" s="166"/>
      <c r="BH4" s="166"/>
      <c r="BI4" s="166"/>
      <c r="BJ4" s="166"/>
      <c r="BK4" s="167"/>
    </row>
    <row r="5" spans="1:63" ht="5.0999999999999996" customHeight="1" x14ac:dyDescent="0.25">
      <c r="A5" s="35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7"/>
    </row>
    <row r="6" spans="1:63" ht="15" customHeight="1" x14ac:dyDescent="0.25">
      <c r="A6" s="38"/>
      <c r="B6" s="39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1"/>
      <c r="AF6" s="39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1"/>
      <c r="BJ6" s="40"/>
      <c r="BK6" s="42"/>
    </row>
    <row r="7" spans="1:63" ht="15" customHeight="1" x14ac:dyDescent="0.25">
      <c r="A7" s="38"/>
      <c r="B7" s="2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3"/>
      <c r="AF7" s="2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3"/>
      <c r="BJ7" s="1"/>
      <c r="BK7" s="42"/>
    </row>
    <row r="8" spans="1:63" ht="15" customHeight="1" x14ac:dyDescent="0.25">
      <c r="A8" s="38"/>
      <c r="B8" s="39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1"/>
      <c r="AF8" s="39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1"/>
      <c r="BJ8" s="40"/>
      <c r="BK8" s="42"/>
    </row>
    <row r="9" spans="1:63" ht="15" customHeight="1" x14ac:dyDescent="0.25">
      <c r="A9" s="38"/>
      <c r="B9" s="39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1"/>
      <c r="AF9" s="39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1"/>
      <c r="BJ9" s="40"/>
      <c r="BK9" s="42"/>
    </row>
    <row r="10" spans="1:63" ht="15" customHeight="1" x14ac:dyDescent="0.25">
      <c r="A10" s="38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1"/>
      <c r="AF10" s="39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1"/>
      <c r="BJ10" s="40"/>
      <c r="BK10" s="42"/>
    </row>
    <row r="11" spans="1:63" ht="15" customHeight="1" x14ac:dyDescent="0.25">
      <c r="A11" s="38"/>
      <c r="B11" s="39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1"/>
      <c r="AF11" s="39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1"/>
      <c r="BJ11" s="40"/>
      <c r="BK11" s="42"/>
    </row>
    <row r="12" spans="1:63" ht="15" customHeight="1" x14ac:dyDescent="0.25">
      <c r="A12" s="38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1"/>
      <c r="AF12" s="39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1"/>
      <c r="BJ12" s="40"/>
      <c r="BK12" s="42"/>
    </row>
    <row r="13" spans="1:63" ht="15" customHeight="1" x14ac:dyDescent="0.25">
      <c r="A13" s="38"/>
      <c r="B13" s="39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1"/>
      <c r="AF13" s="39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1"/>
      <c r="BJ13" s="40"/>
      <c r="BK13" s="42"/>
    </row>
    <row r="14" spans="1:63" ht="15" customHeight="1" x14ac:dyDescent="0.25">
      <c r="A14" s="38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1"/>
      <c r="AF14" s="39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1"/>
      <c r="BJ14" s="40"/>
      <c r="BK14" s="42"/>
    </row>
    <row r="15" spans="1:63" ht="15" customHeight="1" x14ac:dyDescent="0.25">
      <c r="A15" s="38"/>
      <c r="B15" s="39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1"/>
      <c r="AF15" s="39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1"/>
      <c r="BJ15" s="40"/>
      <c r="BK15" s="42"/>
    </row>
    <row r="16" spans="1:63" ht="15" customHeight="1" x14ac:dyDescent="0.25">
      <c r="A16" s="38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1"/>
      <c r="AF16" s="39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1"/>
      <c r="BJ16" s="40"/>
      <c r="BK16" s="42"/>
    </row>
    <row r="17" spans="1:63" ht="15" customHeight="1" x14ac:dyDescent="0.25">
      <c r="A17" s="38"/>
      <c r="B17" s="39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1"/>
      <c r="AF17" s="39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1"/>
      <c r="BJ17" s="40"/>
      <c r="BK17" s="42"/>
    </row>
    <row r="18" spans="1:63" ht="15" customHeight="1" x14ac:dyDescent="0.25">
      <c r="A18" s="38"/>
      <c r="B18" s="39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1"/>
      <c r="AF18" s="39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1"/>
      <c r="BJ18" s="40"/>
      <c r="BK18" s="42"/>
    </row>
    <row r="19" spans="1:63" ht="15" customHeight="1" x14ac:dyDescent="0.25">
      <c r="A19" s="38"/>
      <c r="B19" s="39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1"/>
      <c r="AF19" s="39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1"/>
      <c r="BJ19" s="40"/>
      <c r="BK19" s="42"/>
    </row>
    <row r="20" spans="1:63" ht="15" customHeight="1" x14ac:dyDescent="0.25">
      <c r="A20" s="38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1"/>
      <c r="AF20" s="39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1"/>
      <c r="BJ20" s="40"/>
      <c r="BK20" s="42"/>
    </row>
    <row r="21" spans="1:63" ht="15" customHeight="1" x14ac:dyDescent="0.25">
      <c r="A21" s="38"/>
      <c r="B21" s="39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1"/>
      <c r="AF21" s="39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1"/>
      <c r="BJ21" s="40"/>
      <c r="BK21" s="42"/>
    </row>
    <row r="22" spans="1:63" ht="15" customHeight="1" x14ac:dyDescent="0.25">
      <c r="A22" s="38"/>
      <c r="B22" s="2" t="s">
        <v>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3"/>
      <c r="AF22" s="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3"/>
      <c r="BJ22" s="1"/>
      <c r="BK22" s="42"/>
    </row>
    <row r="23" spans="1:63" ht="15" customHeight="1" x14ac:dyDescent="0.25">
      <c r="A23" s="38"/>
      <c r="B23" s="39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1"/>
      <c r="AF23" s="39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1"/>
      <c r="BJ23" s="40"/>
      <c r="BK23" s="42"/>
    </row>
    <row r="24" spans="1:63" ht="15" customHeight="1" x14ac:dyDescent="0.25">
      <c r="A24" s="38"/>
      <c r="B24" s="39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1"/>
      <c r="AF24" s="39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1"/>
      <c r="BJ24" s="40"/>
      <c r="BK24" s="42"/>
    </row>
    <row r="25" spans="1:63" ht="15" customHeight="1" x14ac:dyDescent="0.25">
      <c r="A25" s="38"/>
      <c r="B25" s="39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1"/>
      <c r="AF25" s="39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1"/>
      <c r="BJ25" s="40"/>
      <c r="BK25" s="42"/>
    </row>
    <row r="26" spans="1:63" ht="15" customHeight="1" x14ac:dyDescent="0.25">
      <c r="A26" s="38"/>
      <c r="B26" s="39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1"/>
      <c r="AF26" s="39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1"/>
      <c r="BJ26" s="40"/>
      <c r="BK26" s="42"/>
    </row>
    <row r="27" spans="1:63" ht="15" customHeight="1" x14ac:dyDescent="0.25">
      <c r="A27" s="38"/>
      <c r="B27" s="39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1"/>
      <c r="AF27" s="39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1"/>
      <c r="BJ27" s="40"/>
      <c r="BK27" s="42"/>
    </row>
    <row r="28" spans="1:63" ht="15" customHeight="1" x14ac:dyDescent="0.25">
      <c r="A28" s="38"/>
      <c r="B28" s="39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1"/>
      <c r="AF28" s="39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1"/>
      <c r="BJ28" s="40"/>
      <c r="BK28" s="42"/>
    </row>
    <row r="29" spans="1:63" ht="15" customHeight="1" x14ac:dyDescent="0.25">
      <c r="A29" s="38"/>
      <c r="B29" s="39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1"/>
      <c r="AF29" s="39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1"/>
      <c r="BJ29" s="40"/>
      <c r="BK29" s="42"/>
    </row>
    <row r="30" spans="1:63" ht="15" customHeight="1" x14ac:dyDescent="0.25">
      <c r="A30" s="38"/>
      <c r="B30" s="39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1"/>
      <c r="AF30" s="39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1"/>
      <c r="BJ30" s="40"/>
      <c r="BK30" s="42"/>
    </row>
    <row r="31" spans="1:63" ht="15" customHeight="1" x14ac:dyDescent="0.25">
      <c r="A31" s="38"/>
      <c r="B31" s="39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1"/>
      <c r="AF31" s="39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1"/>
      <c r="BJ31" s="40"/>
      <c r="BK31" s="42"/>
    </row>
    <row r="32" spans="1:63" ht="15" customHeight="1" x14ac:dyDescent="0.25">
      <c r="A32" s="38"/>
      <c r="B32" s="39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1"/>
      <c r="AF32" s="39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1"/>
      <c r="BJ32" s="40"/>
      <c r="BK32" s="42"/>
    </row>
    <row r="33" spans="1:63" ht="15" customHeight="1" x14ac:dyDescent="0.25">
      <c r="A33" s="38"/>
      <c r="B33" s="39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1"/>
      <c r="AF33" s="39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1"/>
      <c r="BJ33" s="40"/>
      <c r="BK33" s="42"/>
    </row>
    <row r="34" spans="1:63" ht="15" customHeight="1" x14ac:dyDescent="0.25">
      <c r="A34" s="38"/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1"/>
      <c r="AF34" s="39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1"/>
      <c r="BJ34" s="40"/>
      <c r="BK34" s="42"/>
    </row>
    <row r="35" spans="1:63" ht="15" customHeight="1" x14ac:dyDescent="0.25">
      <c r="A35" s="38"/>
      <c r="B35" s="39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1"/>
      <c r="AF35" s="39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1"/>
      <c r="BJ35" s="40"/>
      <c r="BK35" s="42"/>
    </row>
    <row r="36" spans="1:63" ht="15" customHeight="1" x14ac:dyDescent="0.25">
      <c r="A36" s="38"/>
      <c r="B36" s="39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1"/>
      <c r="AF36" s="39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1"/>
      <c r="BJ36" s="40"/>
      <c r="BK36" s="42"/>
    </row>
    <row r="37" spans="1:63" ht="15" customHeight="1" x14ac:dyDescent="0.25">
      <c r="A37" s="38"/>
      <c r="B37" s="39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39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1"/>
      <c r="BJ37" s="40"/>
      <c r="BK37" s="42"/>
    </row>
    <row r="38" spans="1:63" ht="15" customHeight="1" x14ac:dyDescent="0.25">
      <c r="A38" s="38"/>
      <c r="B38" s="39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39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1"/>
      <c r="BJ38" s="40"/>
      <c r="BK38" s="42"/>
    </row>
    <row r="39" spans="1:63" ht="15" customHeight="1" x14ac:dyDescent="0.25">
      <c r="A39" s="38"/>
      <c r="B39" s="39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39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1"/>
      <c r="BJ39" s="40"/>
      <c r="BK39" s="42"/>
    </row>
    <row r="40" spans="1:63" ht="15" customHeight="1" x14ac:dyDescent="0.25">
      <c r="A40" s="38"/>
      <c r="B40" s="39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39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1"/>
      <c r="BJ40" s="40"/>
      <c r="BK40" s="42"/>
    </row>
    <row r="41" spans="1:63" ht="15" customHeight="1" x14ac:dyDescent="0.25">
      <c r="A41" s="38"/>
      <c r="B41" s="39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39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1"/>
      <c r="BJ41" s="40"/>
      <c r="BK41" s="42"/>
    </row>
    <row r="42" spans="1:63" ht="15" customHeight="1" x14ac:dyDescent="0.25">
      <c r="A42" s="38"/>
      <c r="B42" s="2" t="s">
        <v>14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3"/>
      <c r="AF42" s="2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3"/>
      <c r="BJ42" s="1"/>
      <c r="BK42" s="42"/>
    </row>
    <row r="43" spans="1:63" ht="15" customHeight="1" x14ac:dyDescent="0.25">
      <c r="A43" s="38"/>
      <c r="B43" s="39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1"/>
      <c r="AF43" s="39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1"/>
      <c r="BJ43" s="40"/>
      <c r="BK43" s="42"/>
    </row>
    <row r="44" spans="1:63" ht="15" customHeight="1" x14ac:dyDescent="0.25">
      <c r="A44" s="38"/>
      <c r="B44" s="39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1"/>
      <c r="AF44" s="39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1"/>
      <c r="BJ44" s="40"/>
      <c r="BK44" s="42"/>
    </row>
    <row r="45" spans="1:63" ht="15" customHeight="1" x14ac:dyDescent="0.25">
      <c r="A45" s="38"/>
      <c r="B45" s="39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1"/>
      <c r="AF45" s="39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1"/>
      <c r="BJ45" s="40"/>
      <c r="BK45" s="42"/>
    </row>
    <row r="46" spans="1:63" ht="15" customHeight="1" x14ac:dyDescent="0.25">
      <c r="A46" s="38"/>
      <c r="B46" s="39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1"/>
      <c r="AF46" s="39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1"/>
      <c r="BJ46" s="40"/>
      <c r="BK46" s="42"/>
    </row>
    <row r="47" spans="1:63" ht="15" customHeight="1" x14ac:dyDescent="0.25">
      <c r="A47" s="38"/>
      <c r="B47" s="39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1"/>
      <c r="AF47" s="39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1"/>
      <c r="BJ47" s="40"/>
      <c r="BK47" s="42"/>
    </row>
    <row r="48" spans="1:63" ht="15" customHeight="1" x14ac:dyDescent="0.25">
      <c r="A48" s="38"/>
      <c r="B48" s="39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1"/>
      <c r="AF48" s="39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1"/>
      <c r="BJ48" s="40"/>
      <c r="BK48" s="42"/>
    </row>
    <row r="49" spans="1:63" ht="15" customHeight="1" x14ac:dyDescent="0.25">
      <c r="A49" s="38"/>
      <c r="B49" s="39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39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1"/>
      <c r="BJ49" s="40"/>
      <c r="BK49" s="42"/>
    </row>
    <row r="50" spans="1:63" ht="15" customHeight="1" x14ac:dyDescent="0.25">
      <c r="A50" s="38"/>
      <c r="B50" s="39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39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1"/>
      <c r="BJ50" s="40"/>
      <c r="BK50" s="42"/>
    </row>
    <row r="51" spans="1:63" ht="15" customHeight="1" x14ac:dyDescent="0.25">
      <c r="A51" s="38"/>
      <c r="B51" s="39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39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1"/>
      <c r="BJ51" s="40"/>
      <c r="BK51" s="42"/>
    </row>
    <row r="52" spans="1:63" ht="15" customHeight="1" x14ac:dyDescent="0.25">
      <c r="A52" s="38"/>
      <c r="B52" s="39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39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1"/>
      <c r="BJ52" s="40"/>
      <c r="BK52" s="42"/>
    </row>
    <row r="53" spans="1:63" ht="15" customHeight="1" x14ac:dyDescent="0.25">
      <c r="A53" s="38"/>
      <c r="B53" s="39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39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1"/>
      <c r="BJ53" s="40"/>
      <c r="BK53" s="42"/>
    </row>
    <row r="54" spans="1:63" ht="15" customHeight="1" x14ac:dyDescent="0.25">
      <c r="A54" s="38"/>
      <c r="B54" s="39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39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1"/>
      <c r="BJ54" s="40"/>
      <c r="BK54" s="42"/>
    </row>
    <row r="55" spans="1:63" ht="15" customHeight="1" x14ac:dyDescent="0.25">
      <c r="A55" s="38"/>
      <c r="B55" s="39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39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1"/>
      <c r="BJ55" s="40"/>
      <c r="BK55" s="42"/>
    </row>
    <row r="56" spans="1:63" ht="15" customHeight="1" x14ac:dyDescent="0.25">
      <c r="A56" s="38"/>
      <c r="B56" s="39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39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1"/>
      <c r="BJ56" s="40"/>
      <c r="BK56" s="42"/>
    </row>
    <row r="57" spans="1:63" ht="15" customHeight="1" x14ac:dyDescent="0.25">
      <c r="A57" s="38"/>
      <c r="B57" s="39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39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1"/>
      <c r="BJ57" s="40"/>
      <c r="BK57" s="42"/>
    </row>
    <row r="58" spans="1:63" ht="15" customHeight="1" x14ac:dyDescent="0.25">
      <c r="A58" s="38"/>
      <c r="B58" s="39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39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1"/>
      <c r="BJ58" s="40"/>
      <c r="BK58" s="42"/>
    </row>
    <row r="59" spans="1:63" ht="15" customHeight="1" x14ac:dyDescent="0.25">
      <c r="A59" s="38"/>
      <c r="B59" s="39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39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1"/>
      <c r="BJ59" s="40"/>
      <c r="BK59" s="42"/>
    </row>
    <row r="60" spans="1:63" ht="15" customHeight="1" x14ac:dyDescent="0.25">
      <c r="A60" s="38"/>
      <c r="B60" s="39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39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1"/>
      <c r="BJ60" s="40"/>
      <c r="BK60" s="42"/>
    </row>
    <row r="61" spans="1:63" ht="15" customHeight="1" x14ac:dyDescent="0.25">
      <c r="A61" s="38"/>
      <c r="B61" s="39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39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1"/>
      <c r="BJ61" s="40"/>
      <c r="BK61" s="42"/>
    </row>
    <row r="62" spans="1:63" ht="15" customHeight="1" x14ac:dyDescent="0.25">
      <c r="A62" s="43"/>
      <c r="B62" s="44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5"/>
      <c r="AF62" s="44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5"/>
      <c r="BJ62" s="43"/>
      <c r="BK62" s="46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9" customWidth="1"/>
    <col min="66" max="16384" width="2.77734375" style="19"/>
  </cols>
  <sheetData>
    <row r="1" spans="1:65" ht="24.95" customHeight="1" x14ac:dyDescent="0.25">
      <c r="A1" s="86" t="s">
        <v>32</v>
      </c>
      <c r="B1" s="87"/>
      <c r="C1" s="87"/>
      <c r="D1" s="87"/>
      <c r="E1" s="87"/>
      <c r="F1" s="87"/>
      <c r="G1" s="87"/>
      <c r="H1" s="87"/>
      <c r="I1" s="87"/>
      <c r="J1" s="88"/>
      <c r="K1" s="86" t="s">
        <v>33</v>
      </c>
      <c r="L1" s="87"/>
      <c r="M1" s="87"/>
      <c r="N1" s="87"/>
      <c r="O1" s="87"/>
      <c r="P1" s="87"/>
      <c r="Q1" s="87"/>
      <c r="R1" s="87"/>
      <c r="S1" s="87"/>
      <c r="T1" s="87"/>
      <c r="U1" s="87"/>
      <c r="V1" s="88"/>
      <c r="W1" s="107" t="str">
        <f>IF(表紙!W1="","",表紙!W1)</f>
        <v>基本設計書</v>
      </c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9"/>
      <c r="AP1" s="86" t="s">
        <v>35</v>
      </c>
      <c r="AQ1" s="87"/>
      <c r="AR1" s="87"/>
      <c r="AS1" s="88"/>
      <c r="AT1" s="86" t="s">
        <v>36</v>
      </c>
      <c r="AU1" s="87"/>
      <c r="AV1" s="87"/>
      <c r="AW1" s="87"/>
      <c r="AX1" s="88"/>
      <c r="AY1" s="86" t="s">
        <v>37</v>
      </c>
      <c r="AZ1" s="87"/>
      <c r="BA1" s="87"/>
      <c r="BB1" s="88"/>
      <c r="BC1" s="86" t="s">
        <v>38</v>
      </c>
      <c r="BD1" s="87"/>
      <c r="BE1" s="87"/>
      <c r="BF1" s="87"/>
      <c r="BG1" s="88"/>
      <c r="BH1" s="86" t="s">
        <v>39</v>
      </c>
      <c r="BI1" s="87"/>
      <c r="BJ1" s="87"/>
      <c r="BK1" s="88"/>
    </row>
    <row r="2" spans="1:65" ht="15" customHeight="1" x14ac:dyDescent="0.25">
      <c r="A2" s="71" t="str">
        <f>IF(表紙!A2="","",表紙!A2)</f>
        <v>POSサーバー</v>
      </c>
      <c r="B2" s="72"/>
      <c r="C2" s="72"/>
      <c r="D2" s="72"/>
      <c r="E2" s="72"/>
      <c r="F2" s="72"/>
      <c r="G2" s="72"/>
      <c r="H2" s="72"/>
      <c r="I2" s="72"/>
      <c r="J2" s="73"/>
      <c r="K2" s="71" t="str">
        <f>IF(表紙!K2="","",表紙!K2)</f>
        <v>POSサーバー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3"/>
      <c r="W2" s="110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2"/>
      <c r="AP2" s="71" t="str">
        <f>IF(表紙!AP2="","",表紙!AP2)</f>
        <v>SonMNT</v>
      </c>
      <c r="AQ2" s="72"/>
      <c r="AR2" s="72"/>
      <c r="AS2" s="73"/>
      <c r="AT2" s="100">
        <f>IF(表紙!AT2="","",表紙!AT2)</f>
        <v>45439</v>
      </c>
      <c r="AU2" s="101"/>
      <c r="AV2" s="101"/>
      <c r="AW2" s="101"/>
      <c r="AX2" s="102"/>
      <c r="AY2" s="71" t="str">
        <f>IF(表紙!AY2="","",表紙!AY2)</f>
        <v>LoiLV</v>
      </c>
      <c r="AZ2" s="72"/>
      <c r="BA2" s="72"/>
      <c r="BB2" s="73"/>
      <c r="BC2" s="100">
        <f>IF(表紙!BC2="","",表紙!BC2)</f>
        <v>45464</v>
      </c>
      <c r="BD2" s="101"/>
      <c r="BE2" s="101"/>
      <c r="BF2" s="101"/>
      <c r="BG2" s="102"/>
      <c r="BH2" s="71">
        <f>IF(表紙!BH2="","",表紙!BH2)</f>
        <v>0.51</v>
      </c>
      <c r="BI2" s="72"/>
      <c r="BJ2" s="72"/>
      <c r="BK2" s="73"/>
    </row>
    <row r="3" spans="1:65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113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5"/>
      <c r="AP3" s="77"/>
      <c r="AQ3" s="78"/>
      <c r="AR3" s="78"/>
      <c r="AS3" s="79"/>
      <c r="AT3" s="103"/>
      <c r="AU3" s="104"/>
      <c r="AV3" s="104"/>
      <c r="AW3" s="104"/>
      <c r="AX3" s="105"/>
      <c r="AY3" s="77"/>
      <c r="AZ3" s="78"/>
      <c r="BA3" s="78"/>
      <c r="BB3" s="79"/>
      <c r="BC3" s="103"/>
      <c r="BD3" s="104"/>
      <c r="BE3" s="104"/>
      <c r="BF3" s="104"/>
      <c r="BG3" s="105"/>
      <c r="BH3" s="77"/>
      <c r="BI3" s="78"/>
      <c r="BJ3" s="78"/>
      <c r="BK3" s="79"/>
    </row>
    <row r="4" spans="1:65" ht="24.95" customHeight="1" x14ac:dyDescent="0.25">
      <c r="A4" s="86" t="s">
        <v>41</v>
      </c>
      <c r="B4" s="87"/>
      <c r="C4" s="87"/>
      <c r="D4" s="87"/>
      <c r="E4" s="87"/>
      <c r="F4" s="87"/>
      <c r="G4" s="88"/>
      <c r="H4" s="91" t="str">
        <f>IF(表紙!H4="","",表紙!H4)</f>
        <v>38_朝割設定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86" t="s">
        <v>42</v>
      </c>
      <c r="V4" s="87"/>
      <c r="W4" s="87"/>
      <c r="X4" s="87"/>
      <c r="Y4" s="88"/>
      <c r="Z4" s="91" t="str">
        <f>IF(表紙!Z4="","",表紙!Z4)</f>
        <v>概要設計書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1" t="str">
        <f t="array" aca="1" ref="AP4" ca="1">RIGHT(CELL("filename",$A$1),LEN(CELL("filename",$A$1))-FIND("]",CELL("filename",$A$1)))</f>
        <v>機能概要説明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5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5" ht="15" customHeight="1" x14ac:dyDescent="0.25">
      <c r="A6" s="23"/>
      <c r="BK6" s="24"/>
    </row>
    <row r="7" spans="1:65" ht="15" customHeight="1" x14ac:dyDescent="0.25">
      <c r="A7" s="23"/>
      <c r="C7" s="47" t="s">
        <v>52</v>
      </c>
      <c r="D7" s="47"/>
      <c r="E7" s="47"/>
      <c r="F7" s="47"/>
      <c r="G7" s="47"/>
      <c r="H7" s="47"/>
      <c r="I7" s="47"/>
      <c r="J7" s="47"/>
      <c r="K7" s="48"/>
      <c r="L7" s="47"/>
      <c r="M7" s="47"/>
      <c r="N7" s="47"/>
      <c r="O7" s="47"/>
      <c r="P7" s="47"/>
      <c r="Q7" s="47"/>
      <c r="R7" s="47"/>
      <c r="BK7" s="24"/>
      <c r="BM7" s="4">
        <f t="shared" ref="BM7:BM11" si="0">IF(BM6=50,1,BM6+1)</f>
        <v>1</v>
      </c>
    </row>
    <row r="8" spans="1:65" ht="15" customHeight="1" x14ac:dyDescent="0.25">
      <c r="A8" s="23"/>
      <c r="C8" s="47"/>
      <c r="D8" s="49" t="s">
        <v>53</v>
      </c>
      <c r="E8" s="47"/>
      <c r="F8" s="47"/>
      <c r="G8" s="47"/>
      <c r="H8" s="47"/>
      <c r="I8" s="47"/>
      <c r="J8" s="47"/>
      <c r="K8" s="48"/>
      <c r="L8" s="47"/>
      <c r="M8" s="47"/>
      <c r="N8" s="47"/>
      <c r="O8" s="47"/>
      <c r="P8" s="47"/>
      <c r="Q8" s="47"/>
      <c r="R8" s="47"/>
      <c r="BK8" s="24"/>
      <c r="BM8" s="4">
        <f t="shared" si="0"/>
        <v>2</v>
      </c>
    </row>
    <row r="9" spans="1:65" ht="15" customHeight="1" x14ac:dyDescent="0.25">
      <c r="A9" s="23"/>
      <c r="C9" s="47"/>
      <c r="D9" s="49" t="s">
        <v>54</v>
      </c>
      <c r="E9" s="47"/>
      <c r="F9" s="47"/>
      <c r="G9" s="47"/>
      <c r="H9" s="47"/>
      <c r="I9" s="47"/>
      <c r="J9" s="47"/>
      <c r="K9" s="48"/>
      <c r="L9" s="47"/>
      <c r="M9" s="47"/>
      <c r="N9" s="47"/>
      <c r="O9" s="47"/>
      <c r="P9" s="47"/>
      <c r="Q9" s="47"/>
      <c r="R9" s="47"/>
      <c r="BK9" s="24"/>
      <c r="BM9" s="4">
        <f t="shared" si="0"/>
        <v>3</v>
      </c>
    </row>
    <row r="10" spans="1:65" ht="15" customHeight="1" x14ac:dyDescent="0.25">
      <c r="A10" s="23"/>
      <c r="C10" s="47"/>
      <c r="D10" s="49" t="s">
        <v>55</v>
      </c>
      <c r="E10" s="47"/>
      <c r="F10" s="47"/>
      <c r="G10" s="47"/>
      <c r="H10" s="47"/>
      <c r="I10" s="47"/>
      <c r="J10" s="47"/>
      <c r="K10" s="48"/>
      <c r="L10" s="47"/>
      <c r="M10" s="47"/>
      <c r="N10" s="47"/>
      <c r="O10" s="47"/>
      <c r="P10" s="47"/>
      <c r="Q10" s="47"/>
      <c r="R10" s="47"/>
      <c r="BK10" s="24"/>
      <c r="BM10" s="4">
        <f t="shared" si="0"/>
        <v>4</v>
      </c>
    </row>
    <row r="11" spans="1:65" s="51" customFormat="1" ht="15" customHeight="1" x14ac:dyDescent="0.25">
      <c r="A11" s="50"/>
      <c r="C11" s="48"/>
      <c r="D11" s="47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BK11" s="52"/>
      <c r="BM11" s="4">
        <f t="shared" si="0"/>
        <v>5</v>
      </c>
    </row>
    <row r="12" spans="1:65" s="51" customFormat="1" ht="15" customHeight="1" x14ac:dyDescent="0.25">
      <c r="A12" s="50"/>
      <c r="BK12" s="52"/>
      <c r="BM12" s="4">
        <f t="shared" ref="BM12:BM44" si="1">IF(BM11=50,1,BM11+1)</f>
        <v>6</v>
      </c>
    </row>
    <row r="13" spans="1:65" s="51" customFormat="1" ht="15" customHeight="1" x14ac:dyDescent="0.25">
      <c r="A13" s="50"/>
      <c r="BK13" s="52"/>
      <c r="BM13" s="4">
        <f t="shared" si="1"/>
        <v>7</v>
      </c>
    </row>
    <row r="14" spans="1:65" s="51" customFormat="1" ht="15" customHeight="1" x14ac:dyDescent="0.25">
      <c r="A14" s="50"/>
      <c r="BK14" s="52"/>
      <c r="BM14" s="4">
        <f t="shared" si="1"/>
        <v>8</v>
      </c>
    </row>
    <row r="15" spans="1:65" s="51" customFormat="1" ht="15" customHeight="1" x14ac:dyDescent="0.25">
      <c r="A15" s="50"/>
      <c r="BK15" s="52"/>
      <c r="BM15" s="4">
        <f t="shared" si="1"/>
        <v>9</v>
      </c>
    </row>
    <row r="16" spans="1:65" s="51" customFormat="1" ht="15" customHeight="1" x14ac:dyDescent="0.25">
      <c r="A16" s="50"/>
      <c r="BK16" s="52"/>
      <c r="BM16" s="4">
        <f t="shared" si="1"/>
        <v>10</v>
      </c>
    </row>
    <row r="17" spans="1:65" s="51" customFormat="1" ht="15" customHeight="1" x14ac:dyDescent="0.25">
      <c r="A17" s="50"/>
      <c r="BK17" s="52"/>
      <c r="BM17" s="4">
        <f t="shared" si="1"/>
        <v>11</v>
      </c>
    </row>
    <row r="18" spans="1:65" s="51" customFormat="1" ht="15" customHeight="1" x14ac:dyDescent="0.25">
      <c r="A18" s="50"/>
      <c r="BK18" s="52"/>
      <c r="BM18" s="4">
        <f t="shared" si="1"/>
        <v>12</v>
      </c>
    </row>
    <row r="19" spans="1:65" s="51" customFormat="1" ht="15" customHeight="1" x14ac:dyDescent="0.25">
      <c r="A19" s="50"/>
      <c r="BK19" s="52"/>
      <c r="BM19" s="4">
        <f t="shared" si="1"/>
        <v>13</v>
      </c>
    </row>
    <row r="20" spans="1:65" s="51" customFormat="1" ht="15" customHeight="1" x14ac:dyDescent="0.25">
      <c r="A20" s="50"/>
      <c r="BK20" s="52"/>
      <c r="BM20" s="4">
        <f t="shared" si="1"/>
        <v>14</v>
      </c>
    </row>
    <row r="21" spans="1:65" s="51" customFormat="1" ht="15" customHeight="1" x14ac:dyDescent="0.25">
      <c r="A21" s="50"/>
      <c r="BK21" s="52"/>
      <c r="BM21" s="4">
        <f t="shared" si="1"/>
        <v>15</v>
      </c>
    </row>
    <row r="22" spans="1:65" s="51" customFormat="1" ht="15" customHeight="1" x14ac:dyDescent="0.25">
      <c r="A22" s="50"/>
      <c r="BK22" s="52"/>
      <c r="BM22" s="4">
        <f t="shared" si="1"/>
        <v>16</v>
      </c>
    </row>
    <row r="23" spans="1:65" s="51" customFormat="1" ht="15" customHeight="1" x14ac:dyDescent="0.25">
      <c r="A23" s="50"/>
      <c r="BK23" s="52"/>
      <c r="BM23" s="4">
        <f t="shared" si="1"/>
        <v>17</v>
      </c>
    </row>
    <row r="24" spans="1:65" s="51" customFormat="1" ht="15" customHeight="1" x14ac:dyDescent="0.25">
      <c r="A24" s="50"/>
      <c r="BK24" s="52"/>
      <c r="BM24" s="4">
        <f t="shared" si="1"/>
        <v>18</v>
      </c>
    </row>
    <row r="25" spans="1:65" s="51" customFormat="1" ht="15" customHeight="1" x14ac:dyDescent="0.25">
      <c r="A25" s="50"/>
      <c r="BK25" s="52"/>
      <c r="BM25" s="4">
        <f t="shared" si="1"/>
        <v>19</v>
      </c>
    </row>
    <row r="26" spans="1:65" s="51" customFormat="1" ht="15" customHeight="1" x14ac:dyDescent="0.25">
      <c r="A26" s="50"/>
      <c r="BK26" s="52"/>
      <c r="BM26" s="4">
        <f t="shared" si="1"/>
        <v>20</v>
      </c>
    </row>
    <row r="27" spans="1:65" s="51" customFormat="1" ht="15" customHeight="1" x14ac:dyDescent="0.25">
      <c r="A27" s="50"/>
      <c r="BK27" s="52"/>
      <c r="BM27" s="4">
        <f t="shared" si="1"/>
        <v>21</v>
      </c>
    </row>
    <row r="28" spans="1:65" s="51" customFormat="1" ht="15" customHeight="1" x14ac:dyDescent="0.25">
      <c r="A28" s="50"/>
      <c r="BK28" s="52"/>
      <c r="BM28" s="4">
        <f t="shared" si="1"/>
        <v>22</v>
      </c>
    </row>
    <row r="29" spans="1:65" s="51" customFormat="1" ht="15" customHeight="1" x14ac:dyDescent="0.25">
      <c r="A29" s="50"/>
      <c r="BK29" s="52"/>
      <c r="BM29" s="4">
        <f t="shared" si="1"/>
        <v>23</v>
      </c>
    </row>
    <row r="30" spans="1:65" s="51" customFormat="1" ht="15" customHeight="1" x14ac:dyDescent="0.25">
      <c r="A30" s="50"/>
      <c r="BK30" s="52"/>
      <c r="BM30" s="4">
        <f t="shared" si="1"/>
        <v>24</v>
      </c>
    </row>
    <row r="31" spans="1:65" s="51" customFormat="1" ht="15" customHeight="1" x14ac:dyDescent="0.25">
      <c r="A31" s="50"/>
      <c r="BK31" s="52"/>
      <c r="BM31" s="4">
        <f t="shared" si="1"/>
        <v>25</v>
      </c>
    </row>
    <row r="32" spans="1:65" s="51" customFormat="1" ht="15" customHeight="1" x14ac:dyDescent="0.25">
      <c r="A32" s="50"/>
      <c r="BK32" s="52"/>
      <c r="BM32" s="4">
        <f t="shared" si="1"/>
        <v>26</v>
      </c>
    </row>
    <row r="33" spans="1:65" s="51" customFormat="1" ht="15" customHeight="1" x14ac:dyDescent="0.25">
      <c r="A33" s="50"/>
      <c r="BK33" s="52"/>
      <c r="BM33" s="4">
        <f t="shared" si="1"/>
        <v>27</v>
      </c>
    </row>
    <row r="34" spans="1:65" s="51" customFormat="1" ht="15" customHeight="1" x14ac:dyDescent="0.25">
      <c r="A34" s="50"/>
      <c r="BK34" s="52"/>
      <c r="BM34" s="4">
        <f t="shared" si="1"/>
        <v>28</v>
      </c>
    </row>
    <row r="35" spans="1:65" s="51" customFormat="1" ht="15" customHeight="1" x14ac:dyDescent="0.25">
      <c r="A35" s="50"/>
      <c r="BK35" s="52"/>
      <c r="BM35" s="4">
        <f t="shared" si="1"/>
        <v>29</v>
      </c>
    </row>
    <row r="36" spans="1:65" s="51" customFormat="1" ht="15" customHeight="1" x14ac:dyDescent="0.25">
      <c r="A36" s="50"/>
      <c r="BK36" s="52"/>
      <c r="BM36" s="4">
        <f t="shared" si="1"/>
        <v>30</v>
      </c>
    </row>
    <row r="37" spans="1:65" s="51" customFormat="1" ht="15" customHeight="1" x14ac:dyDescent="0.25">
      <c r="A37" s="50"/>
      <c r="BK37" s="52"/>
      <c r="BM37" s="4">
        <f t="shared" si="1"/>
        <v>31</v>
      </c>
    </row>
    <row r="38" spans="1:65" s="51" customFormat="1" ht="15" customHeight="1" x14ac:dyDescent="0.25">
      <c r="A38" s="50"/>
      <c r="BK38" s="52"/>
      <c r="BM38" s="4">
        <f t="shared" si="1"/>
        <v>32</v>
      </c>
    </row>
    <row r="39" spans="1:65" s="51" customFormat="1" ht="15" customHeight="1" x14ac:dyDescent="0.25">
      <c r="A39" s="50"/>
      <c r="BK39" s="52"/>
      <c r="BM39" s="4">
        <f t="shared" si="1"/>
        <v>33</v>
      </c>
    </row>
    <row r="40" spans="1:65" s="51" customFormat="1" ht="15" customHeight="1" x14ac:dyDescent="0.25">
      <c r="A40" s="50"/>
      <c r="BK40" s="52"/>
      <c r="BM40" s="4">
        <f t="shared" si="1"/>
        <v>34</v>
      </c>
    </row>
    <row r="41" spans="1:65" s="51" customFormat="1" ht="15" customHeight="1" x14ac:dyDescent="0.25">
      <c r="A41" s="50"/>
      <c r="BK41" s="52"/>
      <c r="BM41" s="4">
        <f t="shared" si="1"/>
        <v>35</v>
      </c>
    </row>
    <row r="42" spans="1:65" s="51" customFormat="1" ht="15" customHeight="1" x14ac:dyDescent="0.25">
      <c r="A42" s="50"/>
      <c r="BK42" s="52"/>
      <c r="BM42" s="4">
        <f t="shared" si="1"/>
        <v>36</v>
      </c>
    </row>
    <row r="43" spans="1:65" s="51" customFormat="1" ht="15" customHeight="1" x14ac:dyDescent="0.25">
      <c r="A43" s="50"/>
      <c r="BK43" s="52"/>
      <c r="BM43" s="4">
        <f t="shared" si="1"/>
        <v>37</v>
      </c>
    </row>
    <row r="44" spans="1:65" s="51" customFormat="1" ht="15" customHeight="1" x14ac:dyDescent="0.25">
      <c r="A44" s="50"/>
      <c r="BK44" s="52"/>
      <c r="BM44" s="4">
        <f t="shared" si="1"/>
        <v>38</v>
      </c>
    </row>
    <row r="45" spans="1:65" s="51" customFormat="1" ht="15" customHeight="1" x14ac:dyDescent="0.25">
      <c r="A45" s="50"/>
      <c r="BK45" s="52"/>
      <c r="BM45" s="4">
        <f t="shared" ref="BM45:BM57" si="2">IF(BM44=50,1,BM44+1)</f>
        <v>39</v>
      </c>
    </row>
    <row r="46" spans="1:65" s="51" customFormat="1" ht="15" customHeight="1" x14ac:dyDescent="0.25">
      <c r="A46" s="50"/>
      <c r="BK46" s="52"/>
      <c r="BM46" s="4">
        <f t="shared" si="2"/>
        <v>40</v>
      </c>
    </row>
    <row r="47" spans="1:65" s="51" customFormat="1" ht="15" customHeight="1" x14ac:dyDescent="0.25">
      <c r="A47" s="50"/>
      <c r="BK47" s="52"/>
      <c r="BM47" s="4">
        <f t="shared" si="2"/>
        <v>41</v>
      </c>
    </row>
    <row r="48" spans="1:65" s="51" customFormat="1" ht="15" customHeight="1" x14ac:dyDescent="0.25">
      <c r="A48" s="50"/>
      <c r="BK48" s="52"/>
      <c r="BM48" s="4">
        <f t="shared" si="2"/>
        <v>42</v>
      </c>
    </row>
    <row r="49" spans="1:65" s="51" customFormat="1" ht="15" customHeight="1" x14ac:dyDescent="0.25">
      <c r="A49" s="50"/>
      <c r="BK49" s="52"/>
      <c r="BM49" s="4">
        <f t="shared" si="2"/>
        <v>43</v>
      </c>
    </row>
    <row r="50" spans="1:65" s="51" customFormat="1" ht="15" customHeight="1" x14ac:dyDescent="0.25">
      <c r="A50" s="50"/>
      <c r="BK50" s="52"/>
      <c r="BM50" s="4">
        <f t="shared" si="2"/>
        <v>44</v>
      </c>
    </row>
    <row r="51" spans="1:65" s="51" customFormat="1" ht="15" customHeight="1" x14ac:dyDescent="0.25">
      <c r="A51" s="50"/>
      <c r="BK51" s="52"/>
      <c r="BM51" s="4">
        <f t="shared" si="2"/>
        <v>45</v>
      </c>
    </row>
    <row r="52" spans="1:65" s="51" customFormat="1" ht="15" customHeight="1" x14ac:dyDescent="0.25">
      <c r="A52" s="50"/>
      <c r="BK52" s="52"/>
      <c r="BM52" s="4">
        <f t="shared" si="2"/>
        <v>46</v>
      </c>
    </row>
    <row r="53" spans="1:65" s="51" customFormat="1" ht="15" customHeight="1" x14ac:dyDescent="0.25">
      <c r="A53" s="50"/>
      <c r="BK53" s="52"/>
      <c r="BM53" s="4">
        <f t="shared" si="2"/>
        <v>47</v>
      </c>
    </row>
    <row r="54" spans="1:65" s="51" customFormat="1" ht="15" customHeight="1" x14ac:dyDescent="0.25">
      <c r="A54" s="50"/>
      <c r="BK54" s="52"/>
      <c r="BM54" s="4">
        <f t="shared" si="2"/>
        <v>48</v>
      </c>
    </row>
    <row r="55" spans="1:65" s="51" customFormat="1" ht="15" customHeight="1" x14ac:dyDescent="0.25">
      <c r="A55" s="50"/>
      <c r="BK55" s="52"/>
      <c r="BM55" s="4">
        <f t="shared" si="2"/>
        <v>49</v>
      </c>
    </row>
    <row r="56" spans="1:65" s="51" customFormat="1" ht="15" customHeight="1" x14ac:dyDescent="0.25">
      <c r="A56" s="50"/>
      <c r="BK56" s="52"/>
      <c r="BM56" s="4">
        <f t="shared" si="2"/>
        <v>50</v>
      </c>
    </row>
    <row r="57" spans="1:65" s="51" customFormat="1" ht="15" customHeight="1" x14ac:dyDescent="0.25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4"/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5"/>
      <c r="BM57" s="4">
        <f t="shared" si="2"/>
        <v>1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DF141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9" customWidth="1"/>
    <col min="66" max="16384" width="2.77734375" style="19"/>
  </cols>
  <sheetData>
    <row r="1" spans="1:65" ht="24.95" customHeight="1" x14ac:dyDescent="0.25">
      <c r="A1" s="86" t="s">
        <v>32</v>
      </c>
      <c r="B1" s="87"/>
      <c r="C1" s="87"/>
      <c r="D1" s="87"/>
      <c r="E1" s="87"/>
      <c r="F1" s="87"/>
      <c r="G1" s="87"/>
      <c r="H1" s="87"/>
      <c r="I1" s="87"/>
      <c r="J1" s="88"/>
      <c r="K1" s="86" t="s">
        <v>33</v>
      </c>
      <c r="L1" s="87"/>
      <c r="M1" s="87"/>
      <c r="N1" s="87"/>
      <c r="O1" s="87"/>
      <c r="P1" s="87"/>
      <c r="Q1" s="87"/>
      <c r="R1" s="87"/>
      <c r="S1" s="87"/>
      <c r="T1" s="87"/>
      <c r="U1" s="87"/>
      <c r="V1" s="88"/>
      <c r="W1" s="107" t="str">
        <f>IF(表紙!W1="","",表紙!W1)</f>
        <v>基本設計書</v>
      </c>
      <c r="X1" s="108"/>
      <c r="Y1" s="108"/>
      <c r="Z1" s="108"/>
      <c r="AA1" s="108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9"/>
      <c r="AP1" s="86" t="s">
        <v>35</v>
      </c>
      <c r="AQ1" s="87"/>
      <c r="AR1" s="87"/>
      <c r="AS1" s="88"/>
      <c r="AT1" s="86" t="s">
        <v>36</v>
      </c>
      <c r="AU1" s="87"/>
      <c r="AV1" s="87"/>
      <c r="AW1" s="87"/>
      <c r="AX1" s="88"/>
      <c r="AY1" s="86" t="s">
        <v>37</v>
      </c>
      <c r="AZ1" s="87"/>
      <c r="BA1" s="87"/>
      <c r="BB1" s="88"/>
      <c r="BC1" s="86" t="s">
        <v>38</v>
      </c>
      <c r="BD1" s="87"/>
      <c r="BE1" s="87"/>
      <c r="BF1" s="87"/>
      <c r="BG1" s="88"/>
      <c r="BH1" s="86" t="s">
        <v>39</v>
      </c>
      <c r="BI1" s="87"/>
      <c r="BJ1" s="87"/>
      <c r="BK1" s="88"/>
    </row>
    <row r="2" spans="1:65" ht="15" customHeight="1" x14ac:dyDescent="0.25">
      <c r="A2" s="71" t="str">
        <f>IF(表紙!A2="","",表紙!A2)</f>
        <v>POSサーバー</v>
      </c>
      <c r="B2" s="72"/>
      <c r="C2" s="72"/>
      <c r="D2" s="72"/>
      <c r="E2" s="72"/>
      <c r="F2" s="72"/>
      <c r="G2" s="72"/>
      <c r="H2" s="72"/>
      <c r="I2" s="72"/>
      <c r="J2" s="73"/>
      <c r="K2" s="71" t="str">
        <f>IF(表紙!K2="","",表紙!K2)</f>
        <v>POSサーバー</v>
      </c>
      <c r="L2" s="72"/>
      <c r="M2" s="72"/>
      <c r="N2" s="72"/>
      <c r="O2" s="72"/>
      <c r="P2" s="72"/>
      <c r="Q2" s="72"/>
      <c r="R2" s="72"/>
      <c r="S2" s="72"/>
      <c r="T2" s="72"/>
      <c r="U2" s="72"/>
      <c r="V2" s="73"/>
      <c r="W2" s="110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2"/>
      <c r="AP2" s="71" t="str">
        <f>IF(表紙!AP2="","",表紙!AP2)</f>
        <v>SonMNT</v>
      </c>
      <c r="AQ2" s="72"/>
      <c r="AR2" s="72"/>
      <c r="AS2" s="73"/>
      <c r="AT2" s="100">
        <f>IF(表紙!AT2="","",表紙!AT2)</f>
        <v>45439</v>
      </c>
      <c r="AU2" s="101"/>
      <c r="AV2" s="101"/>
      <c r="AW2" s="101"/>
      <c r="AX2" s="102"/>
      <c r="AY2" s="71" t="str">
        <f>IF(表紙!AY2="","",表紙!AY2)</f>
        <v>LoiLV</v>
      </c>
      <c r="AZ2" s="72"/>
      <c r="BA2" s="72"/>
      <c r="BB2" s="73"/>
      <c r="BC2" s="100">
        <f>IF(表紙!BC2="","",表紙!BC2)</f>
        <v>45464</v>
      </c>
      <c r="BD2" s="101"/>
      <c r="BE2" s="101"/>
      <c r="BF2" s="101"/>
      <c r="BG2" s="102"/>
      <c r="BH2" s="71">
        <f>IF(表紙!BH2="","",表紙!BH2)</f>
        <v>0.51</v>
      </c>
      <c r="BI2" s="72"/>
      <c r="BJ2" s="72"/>
      <c r="BK2" s="73"/>
    </row>
    <row r="3" spans="1:65" ht="15" customHeight="1" x14ac:dyDescent="0.25">
      <c r="A3" s="77"/>
      <c r="B3" s="78"/>
      <c r="C3" s="78"/>
      <c r="D3" s="78"/>
      <c r="E3" s="78"/>
      <c r="F3" s="78"/>
      <c r="G3" s="78"/>
      <c r="H3" s="78"/>
      <c r="I3" s="78"/>
      <c r="J3" s="79"/>
      <c r="K3" s="77"/>
      <c r="L3" s="78"/>
      <c r="M3" s="78"/>
      <c r="N3" s="78"/>
      <c r="O3" s="78"/>
      <c r="P3" s="78"/>
      <c r="Q3" s="78"/>
      <c r="R3" s="78"/>
      <c r="S3" s="78"/>
      <c r="T3" s="78"/>
      <c r="U3" s="78"/>
      <c r="V3" s="79"/>
      <c r="W3" s="113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5"/>
      <c r="AP3" s="77"/>
      <c r="AQ3" s="78"/>
      <c r="AR3" s="78"/>
      <c r="AS3" s="79"/>
      <c r="AT3" s="103"/>
      <c r="AU3" s="104"/>
      <c r="AV3" s="104"/>
      <c r="AW3" s="104"/>
      <c r="AX3" s="105"/>
      <c r="AY3" s="77"/>
      <c r="AZ3" s="78"/>
      <c r="BA3" s="78"/>
      <c r="BB3" s="79"/>
      <c r="BC3" s="103"/>
      <c r="BD3" s="104"/>
      <c r="BE3" s="104"/>
      <c r="BF3" s="104"/>
      <c r="BG3" s="105"/>
      <c r="BH3" s="77"/>
      <c r="BI3" s="78"/>
      <c r="BJ3" s="78"/>
      <c r="BK3" s="79"/>
    </row>
    <row r="4" spans="1:65" ht="24.95" customHeight="1" x14ac:dyDescent="0.25">
      <c r="A4" s="86" t="s">
        <v>41</v>
      </c>
      <c r="B4" s="87"/>
      <c r="C4" s="87"/>
      <c r="D4" s="87"/>
      <c r="E4" s="87"/>
      <c r="F4" s="87"/>
      <c r="G4" s="88"/>
      <c r="H4" s="91" t="str">
        <f>IF(表紙!H4="","",表紙!H4)</f>
        <v>38_朝割設定</v>
      </c>
      <c r="I4" s="92"/>
      <c r="J4" s="92"/>
      <c r="K4" s="92"/>
      <c r="L4" s="92"/>
      <c r="M4" s="92"/>
      <c r="N4" s="92"/>
      <c r="O4" s="92"/>
      <c r="P4" s="92"/>
      <c r="Q4" s="92"/>
      <c r="R4" s="92"/>
      <c r="S4" s="92"/>
      <c r="T4" s="93"/>
      <c r="U4" s="86" t="s">
        <v>42</v>
      </c>
      <c r="V4" s="87"/>
      <c r="W4" s="87"/>
      <c r="X4" s="87"/>
      <c r="Y4" s="88"/>
      <c r="Z4" s="91" t="str">
        <f>IF(表紙!Z4="","",表紙!Z4)</f>
        <v>概要設計書</v>
      </c>
      <c r="AA4" s="92"/>
      <c r="AB4" s="92"/>
      <c r="AC4" s="92"/>
      <c r="AD4" s="92"/>
      <c r="AE4" s="92"/>
      <c r="AF4" s="92"/>
      <c r="AG4" s="92"/>
      <c r="AH4" s="92"/>
      <c r="AI4" s="92"/>
      <c r="AJ4" s="92"/>
      <c r="AK4" s="92"/>
      <c r="AL4" s="92"/>
      <c r="AM4" s="92"/>
      <c r="AN4" s="92"/>
      <c r="AO4" s="93"/>
      <c r="AP4" s="91" t="str">
        <f t="array" aca="1" ref="AP4" ca="1">RIGHT(CELL("filename",$A$1),LEN(CELL("filename",$A$1))-FIND("]",CELL("filename",$A$1)))</f>
        <v>機能概要</v>
      </c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2"/>
      <c r="BB4" s="92"/>
      <c r="BC4" s="92"/>
      <c r="BD4" s="92"/>
      <c r="BE4" s="92"/>
      <c r="BF4" s="92"/>
      <c r="BG4" s="92"/>
      <c r="BH4" s="92"/>
      <c r="BI4" s="92"/>
      <c r="BJ4" s="92"/>
      <c r="BK4" s="93"/>
    </row>
    <row r="5" spans="1:65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5" ht="15" customHeight="1" x14ac:dyDescent="0.25">
      <c r="A6" s="23"/>
      <c r="BK6" s="24"/>
    </row>
    <row r="7" spans="1:65" ht="15" customHeight="1" x14ac:dyDescent="0.25">
      <c r="A7" s="23"/>
      <c r="B7" s="56" t="s">
        <v>56</v>
      </c>
      <c r="C7" s="57"/>
      <c r="D7" s="58"/>
      <c r="E7" s="58"/>
      <c r="F7" s="58"/>
      <c r="G7" s="58"/>
      <c r="H7" s="58"/>
      <c r="I7" s="58"/>
      <c r="J7" s="58"/>
      <c r="K7" s="59"/>
      <c r="L7" s="58"/>
      <c r="M7" s="58"/>
      <c r="N7" s="58"/>
      <c r="O7" s="58"/>
      <c r="P7" s="58"/>
      <c r="Q7" s="58"/>
      <c r="R7" s="58"/>
      <c r="S7" s="58"/>
      <c r="T7" s="59"/>
      <c r="U7" s="57"/>
      <c r="V7" s="58"/>
      <c r="W7" s="58"/>
      <c r="X7" s="58"/>
      <c r="Y7" s="58"/>
      <c r="Z7" s="58"/>
      <c r="AA7" s="58"/>
      <c r="AB7" s="58"/>
      <c r="AC7" s="59"/>
      <c r="AD7" s="57"/>
      <c r="AE7" s="58"/>
      <c r="AF7" s="58"/>
      <c r="AG7" s="58"/>
      <c r="AH7" s="58"/>
      <c r="AI7" s="58"/>
      <c r="AJ7" s="58"/>
      <c r="AK7" s="58"/>
      <c r="AL7" s="59"/>
      <c r="AM7" s="57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9"/>
      <c r="BJ7" s="58"/>
      <c r="BK7" s="24"/>
    </row>
    <row r="8" spans="1:65" ht="15" customHeight="1" x14ac:dyDescent="0.25">
      <c r="A8" s="23"/>
      <c r="B8" s="60"/>
      <c r="K8" s="61"/>
      <c r="U8" s="60"/>
      <c r="AD8" s="60"/>
      <c r="AM8" s="60"/>
      <c r="BI8" s="62"/>
      <c r="BK8" s="24"/>
      <c r="BM8" s="4">
        <f t="shared" ref="BM8:BM85" si="0">IF(BM7=50,1,BM7+1)</f>
        <v>1</v>
      </c>
    </row>
    <row r="9" spans="1:65" ht="15" customHeight="1" x14ac:dyDescent="0.25">
      <c r="A9" s="23"/>
      <c r="B9" s="60"/>
      <c r="K9" s="61"/>
      <c r="U9" s="60"/>
      <c r="AD9" s="60"/>
      <c r="AM9" s="60"/>
      <c r="BI9" s="62"/>
      <c r="BK9" s="24"/>
      <c r="BM9" s="4">
        <f t="shared" si="0"/>
        <v>2</v>
      </c>
    </row>
    <row r="10" spans="1:65" ht="15" customHeight="1" x14ac:dyDescent="0.25">
      <c r="A10" s="23"/>
      <c r="B10" s="60"/>
      <c r="K10" s="61"/>
      <c r="U10" s="60"/>
      <c r="AD10" s="60"/>
      <c r="AM10" s="60"/>
      <c r="BI10" s="62"/>
      <c r="BK10" s="24"/>
      <c r="BM10" s="4">
        <f t="shared" si="0"/>
        <v>3</v>
      </c>
    </row>
    <row r="11" spans="1:65" ht="15" customHeight="1" x14ac:dyDescent="0.25">
      <c r="A11" s="23"/>
      <c r="B11" s="60"/>
      <c r="K11" s="61"/>
      <c r="U11" s="60"/>
      <c r="AD11" s="60"/>
      <c r="AM11" s="60"/>
      <c r="BI11" s="62"/>
      <c r="BK11" s="24"/>
      <c r="BM11" s="4">
        <f t="shared" si="0"/>
        <v>4</v>
      </c>
    </row>
    <row r="12" spans="1:65" ht="15" customHeight="1" x14ac:dyDescent="0.25">
      <c r="A12" s="23"/>
      <c r="B12" s="60"/>
      <c r="K12" s="61"/>
      <c r="U12" s="60"/>
      <c r="AD12" s="60"/>
      <c r="AM12" s="60"/>
      <c r="BI12" s="62"/>
      <c r="BK12" s="24"/>
      <c r="BM12" s="4">
        <f t="shared" si="0"/>
        <v>5</v>
      </c>
    </row>
    <row r="13" spans="1:65" ht="15" customHeight="1" x14ac:dyDescent="0.25">
      <c r="A13" s="23"/>
      <c r="B13" s="60"/>
      <c r="K13" s="61"/>
      <c r="U13" s="60"/>
      <c r="AD13" s="60"/>
      <c r="AM13" s="60"/>
      <c r="BI13" s="62"/>
      <c r="BK13" s="24"/>
      <c r="BM13" s="4">
        <f t="shared" si="0"/>
        <v>6</v>
      </c>
    </row>
    <row r="14" spans="1:65" ht="15" customHeight="1" x14ac:dyDescent="0.25">
      <c r="A14" s="23"/>
      <c r="B14" s="60"/>
      <c r="K14" s="61"/>
      <c r="U14" s="60"/>
      <c r="AD14" s="60"/>
      <c r="AM14" s="60"/>
      <c r="BI14" s="62"/>
      <c r="BK14" s="24"/>
      <c r="BM14" s="4">
        <f t="shared" si="0"/>
        <v>7</v>
      </c>
    </row>
    <row r="15" spans="1:65" ht="15" customHeight="1" x14ac:dyDescent="0.25">
      <c r="A15" s="23"/>
      <c r="B15" s="60"/>
      <c r="K15" s="61"/>
      <c r="U15" s="60"/>
      <c r="AD15" s="60"/>
      <c r="AM15" s="60"/>
      <c r="BI15" s="62"/>
      <c r="BK15" s="24"/>
      <c r="BM15" s="4">
        <f t="shared" si="0"/>
        <v>8</v>
      </c>
    </row>
    <row r="16" spans="1:65" ht="15" customHeight="1" x14ac:dyDescent="0.25">
      <c r="A16" s="23"/>
      <c r="B16" s="60"/>
      <c r="K16" s="61"/>
      <c r="U16" s="60"/>
      <c r="AD16" s="60"/>
      <c r="AM16" s="60"/>
      <c r="BI16" s="62"/>
      <c r="BK16" s="24"/>
      <c r="BM16" s="4">
        <f t="shared" si="0"/>
        <v>9</v>
      </c>
    </row>
    <row r="17" spans="1:65" ht="15" customHeight="1" x14ac:dyDescent="0.25">
      <c r="A17" s="23"/>
      <c r="B17" s="60"/>
      <c r="K17" s="61"/>
      <c r="U17" s="60"/>
      <c r="AD17" s="60"/>
      <c r="AM17" s="60"/>
      <c r="BI17" s="62"/>
      <c r="BK17" s="24"/>
      <c r="BM17" s="4">
        <f t="shared" si="0"/>
        <v>10</v>
      </c>
    </row>
    <row r="18" spans="1:65" ht="15" customHeight="1" x14ac:dyDescent="0.25">
      <c r="A18" s="23"/>
      <c r="B18" s="60"/>
      <c r="K18" s="61"/>
      <c r="U18" s="60"/>
      <c r="AD18" s="60"/>
      <c r="AM18" s="60"/>
      <c r="BI18" s="62"/>
      <c r="BK18" s="24"/>
      <c r="BM18" s="4">
        <f t="shared" si="0"/>
        <v>11</v>
      </c>
    </row>
    <row r="19" spans="1:65" ht="15" customHeight="1" x14ac:dyDescent="0.25">
      <c r="A19" s="23"/>
      <c r="B19" s="60"/>
      <c r="K19" s="61"/>
      <c r="U19" s="60"/>
      <c r="AD19" s="60"/>
      <c r="AM19" s="60"/>
      <c r="BI19" s="62"/>
      <c r="BK19" s="24"/>
      <c r="BM19" s="4">
        <f t="shared" si="0"/>
        <v>12</v>
      </c>
    </row>
    <row r="20" spans="1:65" ht="15" customHeight="1" x14ac:dyDescent="0.25">
      <c r="A20" s="23"/>
      <c r="B20" s="60"/>
      <c r="K20" s="61"/>
      <c r="U20" s="60"/>
      <c r="AD20" s="60"/>
      <c r="AM20" s="60"/>
      <c r="BI20" s="62"/>
      <c r="BK20" s="24"/>
      <c r="BM20" s="4">
        <f t="shared" si="0"/>
        <v>13</v>
      </c>
    </row>
    <row r="21" spans="1:65" ht="15" customHeight="1" x14ac:dyDescent="0.25">
      <c r="A21" s="23"/>
      <c r="B21" s="60"/>
      <c r="K21" s="61"/>
      <c r="U21" s="60"/>
      <c r="AD21" s="60"/>
      <c r="AM21" s="60"/>
      <c r="BI21" s="62"/>
      <c r="BK21" s="24"/>
      <c r="BM21" s="4">
        <f t="shared" si="0"/>
        <v>14</v>
      </c>
    </row>
    <row r="22" spans="1:65" s="51" customFormat="1" ht="15" customHeight="1" x14ac:dyDescent="0.25">
      <c r="A22" s="50"/>
      <c r="B22" s="60"/>
      <c r="K22" s="61"/>
      <c r="L22" s="63"/>
      <c r="T22" s="61"/>
      <c r="U22" s="63"/>
      <c r="AC22" s="61"/>
      <c r="AD22" s="63"/>
      <c r="AL22" s="61"/>
      <c r="AM22" s="63"/>
      <c r="BI22" s="61"/>
      <c r="BK22" s="52"/>
      <c r="BM22" s="4">
        <f t="shared" si="0"/>
        <v>15</v>
      </c>
    </row>
    <row r="23" spans="1:65" s="51" customFormat="1" ht="15" customHeight="1" x14ac:dyDescent="0.25">
      <c r="A23" s="50"/>
      <c r="B23" s="60"/>
      <c r="K23" s="61"/>
      <c r="L23" s="63"/>
      <c r="T23" s="61"/>
      <c r="U23" s="63"/>
      <c r="AC23" s="61"/>
      <c r="AD23" s="63"/>
      <c r="AL23" s="61"/>
      <c r="AM23" s="63"/>
      <c r="BI23" s="61"/>
      <c r="BK23" s="52"/>
      <c r="BM23" s="4">
        <f t="shared" si="0"/>
        <v>16</v>
      </c>
    </row>
    <row r="24" spans="1:65" s="51" customFormat="1" ht="15" customHeight="1" x14ac:dyDescent="0.25">
      <c r="A24" s="50"/>
      <c r="B24" s="60"/>
      <c r="K24" s="61"/>
      <c r="L24" s="63"/>
      <c r="T24" s="61"/>
      <c r="U24" s="63"/>
      <c r="AC24" s="61"/>
      <c r="AD24" s="63"/>
      <c r="AL24" s="61"/>
      <c r="AM24" s="63"/>
      <c r="BI24" s="61"/>
      <c r="BK24" s="52"/>
      <c r="BM24" s="4">
        <f t="shared" si="0"/>
        <v>17</v>
      </c>
    </row>
    <row r="25" spans="1:65" s="51" customFormat="1" ht="15" customHeight="1" x14ac:dyDescent="0.25">
      <c r="A25" s="50"/>
      <c r="B25" s="60"/>
      <c r="K25" s="61"/>
      <c r="L25" s="63"/>
      <c r="T25" s="61"/>
      <c r="U25" s="63"/>
      <c r="AC25" s="61"/>
      <c r="AD25" s="63"/>
      <c r="AL25" s="61"/>
      <c r="AM25" s="63"/>
      <c r="BI25" s="61"/>
      <c r="BK25" s="52"/>
      <c r="BM25" s="4">
        <f t="shared" si="0"/>
        <v>18</v>
      </c>
    </row>
    <row r="26" spans="1:65" s="51" customFormat="1" ht="15" customHeight="1" x14ac:dyDescent="0.25">
      <c r="A26" s="50"/>
      <c r="B26" s="60"/>
      <c r="K26" s="61"/>
      <c r="L26" s="63"/>
      <c r="T26" s="61"/>
      <c r="U26" s="63"/>
      <c r="AC26" s="61"/>
      <c r="AD26" s="63"/>
      <c r="AL26" s="61"/>
      <c r="AM26" s="63"/>
      <c r="BI26" s="61"/>
      <c r="BK26" s="52"/>
      <c r="BM26" s="4">
        <f t="shared" si="0"/>
        <v>19</v>
      </c>
    </row>
    <row r="27" spans="1:65" s="51" customFormat="1" ht="15" customHeight="1" x14ac:dyDescent="0.25">
      <c r="A27" s="50"/>
      <c r="B27" s="60"/>
      <c r="K27" s="61"/>
      <c r="L27" s="63"/>
      <c r="T27" s="61"/>
      <c r="U27" s="63"/>
      <c r="AC27" s="61"/>
      <c r="AD27" s="63"/>
      <c r="AL27" s="61"/>
      <c r="AM27" s="63"/>
      <c r="BI27" s="61"/>
      <c r="BK27" s="52"/>
      <c r="BM27" s="4">
        <f t="shared" si="0"/>
        <v>20</v>
      </c>
    </row>
    <row r="28" spans="1:65" s="51" customFormat="1" ht="15" customHeight="1" x14ac:dyDescent="0.25">
      <c r="A28" s="50"/>
      <c r="B28" s="60"/>
      <c r="K28" s="61"/>
      <c r="L28" s="63"/>
      <c r="T28" s="61"/>
      <c r="U28" s="63"/>
      <c r="AC28" s="61"/>
      <c r="AD28" s="63"/>
      <c r="AL28" s="61"/>
      <c r="AM28" s="63"/>
      <c r="BI28" s="61"/>
      <c r="BK28" s="52"/>
      <c r="BM28" s="4">
        <f t="shared" si="0"/>
        <v>21</v>
      </c>
    </row>
    <row r="29" spans="1:65" s="51" customFormat="1" ht="15" customHeight="1" x14ac:dyDescent="0.25">
      <c r="A29" s="50"/>
      <c r="B29" s="60"/>
      <c r="K29" s="61"/>
      <c r="L29" s="63"/>
      <c r="T29" s="61"/>
      <c r="U29" s="63"/>
      <c r="AC29" s="61"/>
      <c r="AD29" s="63"/>
      <c r="AL29" s="61"/>
      <c r="AM29" s="63"/>
      <c r="BI29" s="61"/>
      <c r="BK29" s="52"/>
      <c r="BM29" s="4">
        <f t="shared" si="0"/>
        <v>22</v>
      </c>
    </row>
    <row r="30" spans="1:65" s="51" customFormat="1" ht="15" customHeight="1" x14ac:dyDescent="0.25">
      <c r="A30" s="50"/>
      <c r="B30" s="60"/>
      <c r="K30" s="61"/>
      <c r="L30" s="63"/>
      <c r="T30" s="61"/>
      <c r="U30" s="63"/>
      <c r="AC30" s="61"/>
      <c r="AD30" s="63"/>
      <c r="AL30" s="61"/>
      <c r="AM30" s="63"/>
      <c r="BI30" s="61"/>
      <c r="BK30" s="52"/>
      <c r="BM30" s="4">
        <f t="shared" si="0"/>
        <v>23</v>
      </c>
    </row>
    <row r="31" spans="1:65" s="51" customFormat="1" ht="15" customHeight="1" x14ac:dyDescent="0.25">
      <c r="A31" s="50"/>
      <c r="B31" s="60"/>
      <c r="K31" s="61"/>
      <c r="L31" s="63"/>
      <c r="T31" s="61"/>
      <c r="U31" s="63"/>
      <c r="AC31" s="61"/>
      <c r="AD31" s="63"/>
      <c r="AL31" s="61"/>
      <c r="AM31" s="63"/>
      <c r="BI31" s="61"/>
      <c r="BK31" s="52"/>
      <c r="BM31" s="4">
        <f t="shared" si="0"/>
        <v>24</v>
      </c>
    </row>
    <row r="32" spans="1:65" s="51" customFormat="1" ht="15" customHeight="1" x14ac:dyDescent="0.25">
      <c r="A32" s="50"/>
      <c r="B32" s="60"/>
      <c r="K32" s="61"/>
      <c r="L32" s="63"/>
      <c r="T32" s="61"/>
      <c r="U32" s="63"/>
      <c r="AC32" s="61"/>
      <c r="AD32" s="63"/>
      <c r="AL32" s="61"/>
      <c r="AM32" s="63"/>
      <c r="BI32" s="61"/>
      <c r="BK32" s="52"/>
      <c r="BM32" s="4">
        <f t="shared" si="0"/>
        <v>25</v>
      </c>
    </row>
    <row r="33" spans="1:110" s="51" customFormat="1" ht="15" customHeight="1" x14ac:dyDescent="0.25">
      <c r="A33" s="50"/>
      <c r="B33" s="60"/>
      <c r="K33" s="61"/>
      <c r="L33" s="63"/>
      <c r="T33" s="61"/>
      <c r="U33" s="63"/>
      <c r="AC33" s="61"/>
      <c r="AD33" s="63"/>
      <c r="AL33" s="61"/>
      <c r="AM33" s="63"/>
      <c r="BI33" s="61"/>
      <c r="BK33" s="52"/>
      <c r="BM33" s="4">
        <f t="shared" si="0"/>
        <v>26</v>
      </c>
    </row>
    <row r="34" spans="1:110" s="51" customFormat="1" ht="15" customHeight="1" x14ac:dyDescent="0.25">
      <c r="A34" s="50"/>
      <c r="B34" s="60"/>
      <c r="K34" s="61"/>
      <c r="L34" s="63"/>
      <c r="T34" s="61"/>
      <c r="U34" s="63"/>
      <c r="AC34" s="61"/>
      <c r="AD34" s="63"/>
      <c r="AL34" s="61"/>
      <c r="AM34" s="63"/>
      <c r="BI34" s="61"/>
      <c r="BK34" s="52"/>
      <c r="BM34" s="4">
        <f t="shared" si="0"/>
        <v>27</v>
      </c>
    </row>
    <row r="35" spans="1:110" s="51" customFormat="1" ht="15" customHeight="1" x14ac:dyDescent="0.25">
      <c r="A35" s="50"/>
      <c r="B35" s="60"/>
      <c r="K35" s="61"/>
      <c r="L35" s="63"/>
      <c r="T35" s="61"/>
      <c r="U35" s="63"/>
      <c r="AC35" s="61"/>
      <c r="AD35" s="63"/>
      <c r="AL35" s="61"/>
      <c r="AM35" s="63"/>
      <c r="BI35" s="61"/>
      <c r="BK35" s="52"/>
      <c r="BM35" s="4">
        <f t="shared" si="0"/>
        <v>28</v>
      </c>
    </row>
    <row r="36" spans="1:110" s="51" customFormat="1" ht="15" customHeight="1" x14ac:dyDescent="0.25">
      <c r="A36" s="50"/>
      <c r="B36" s="60"/>
      <c r="K36" s="61"/>
      <c r="L36" s="63"/>
      <c r="T36" s="61"/>
      <c r="U36" s="63"/>
      <c r="AC36" s="61"/>
      <c r="AD36" s="63"/>
      <c r="AL36" s="61"/>
      <c r="AM36" s="63"/>
      <c r="BI36" s="61"/>
      <c r="BK36" s="52"/>
      <c r="BM36" s="4">
        <f t="shared" si="0"/>
        <v>29</v>
      </c>
    </row>
    <row r="37" spans="1:110" s="51" customFormat="1" ht="15" customHeight="1" x14ac:dyDescent="0.25">
      <c r="A37" s="50"/>
      <c r="B37" s="60"/>
      <c r="K37" s="61"/>
      <c r="L37" s="63"/>
      <c r="T37" s="61"/>
      <c r="U37" s="63"/>
      <c r="AC37" s="61"/>
      <c r="AD37" s="63"/>
      <c r="AL37" s="61"/>
      <c r="AM37" s="63"/>
      <c r="BI37" s="61"/>
      <c r="BK37" s="52"/>
      <c r="BM37" s="4">
        <f t="shared" si="0"/>
        <v>30</v>
      </c>
    </row>
    <row r="38" spans="1:110" s="51" customFormat="1" ht="15" customHeight="1" x14ac:dyDescent="0.25">
      <c r="A38" s="50"/>
      <c r="B38" s="60"/>
      <c r="K38" s="61"/>
      <c r="L38" s="63"/>
      <c r="T38" s="61"/>
      <c r="U38" s="63"/>
      <c r="AC38" s="61"/>
      <c r="AD38" s="63"/>
      <c r="AL38" s="61"/>
      <c r="AM38" s="63"/>
      <c r="BI38" s="61"/>
      <c r="BK38" s="52"/>
      <c r="BM38" s="4">
        <f t="shared" si="0"/>
        <v>31</v>
      </c>
    </row>
    <row r="39" spans="1:110" s="51" customFormat="1" ht="15" customHeight="1" x14ac:dyDescent="0.25">
      <c r="A39" s="50"/>
      <c r="B39" s="60"/>
      <c r="K39" s="61"/>
      <c r="L39" s="63"/>
      <c r="T39" s="61"/>
      <c r="U39" s="63"/>
      <c r="AC39" s="61"/>
      <c r="AD39" s="63"/>
      <c r="AL39" s="61"/>
      <c r="AM39" s="63"/>
      <c r="BI39" s="61"/>
      <c r="BK39" s="52"/>
      <c r="BM39" s="4">
        <f t="shared" si="0"/>
        <v>32</v>
      </c>
    </row>
    <row r="40" spans="1:110" s="51" customFormat="1" ht="15" customHeight="1" x14ac:dyDescent="0.25">
      <c r="A40" s="50"/>
      <c r="B40" s="60"/>
      <c r="K40" s="61"/>
      <c r="L40" s="63"/>
      <c r="T40" s="61"/>
      <c r="U40" s="63"/>
      <c r="AC40" s="61"/>
      <c r="AD40" s="63"/>
      <c r="AL40" s="61"/>
      <c r="AM40" s="63"/>
      <c r="BI40" s="61"/>
      <c r="BK40" s="52"/>
      <c r="BM40" s="4">
        <f t="shared" si="0"/>
        <v>33</v>
      </c>
    </row>
    <row r="41" spans="1:110" s="51" customFormat="1" ht="15" customHeight="1" x14ac:dyDescent="0.25">
      <c r="A41" s="50"/>
      <c r="B41" s="60"/>
      <c r="K41" s="61"/>
      <c r="L41" s="63"/>
      <c r="T41" s="61"/>
      <c r="U41" s="63"/>
      <c r="AC41" s="61"/>
      <c r="AD41" s="63"/>
      <c r="AL41" s="61"/>
      <c r="AM41" s="63"/>
      <c r="BI41" s="61"/>
      <c r="BK41" s="52"/>
      <c r="BM41" s="4">
        <f t="shared" si="0"/>
        <v>34</v>
      </c>
    </row>
    <row r="42" spans="1:110" s="51" customFormat="1" ht="15" customHeight="1" x14ac:dyDescent="0.25">
      <c r="A42" s="50"/>
      <c r="B42" s="60"/>
      <c r="K42" s="61"/>
      <c r="L42" s="63"/>
      <c r="T42" s="61"/>
      <c r="U42" s="63"/>
      <c r="AC42" s="61"/>
      <c r="AD42" s="63"/>
      <c r="AL42" s="61"/>
      <c r="AM42" s="63"/>
      <c r="BI42" s="61"/>
      <c r="BK42" s="52"/>
      <c r="BM42" s="4">
        <f t="shared" si="0"/>
        <v>35</v>
      </c>
    </row>
    <row r="43" spans="1:110" s="51" customFormat="1" ht="15" customHeight="1" x14ac:dyDescent="0.25">
      <c r="A43" s="50"/>
      <c r="B43" s="60"/>
      <c r="K43" s="61"/>
      <c r="L43" s="63"/>
      <c r="T43" s="61"/>
      <c r="U43" s="63"/>
      <c r="AC43" s="61"/>
      <c r="AD43" s="63"/>
      <c r="AL43" s="61"/>
      <c r="AM43" s="63"/>
      <c r="BI43" s="61"/>
      <c r="BK43" s="52"/>
      <c r="BM43" s="4">
        <f t="shared" si="0"/>
        <v>36</v>
      </c>
    </row>
    <row r="44" spans="1:110" s="51" customFormat="1" ht="15" customHeight="1" x14ac:dyDescent="0.25">
      <c r="A44" s="50"/>
      <c r="B44" s="60"/>
      <c r="K44" s="61"/>
      <c r="L44" s="63"/>
      <c r="T44" s="61"/>
      <c r="U44" s="63"/>
      <c r="AC44" s="61"/>
      <c r="AD44" s="63"/>
      <c r="AL44" s="61"/>
      <c r="AM44" s="63"/>
      <c r="BI44" s="61"/>
      <c r="BK44" s="52"/>
      <c r="BM44" s="4">
        <f t="shared" si="0"/>
        <v>37</v>
      </c>
      <c r="BP44" s="19"/>
      <c r="DF44" s="19"/>
    </row>
    <row r="45" spans="1:110" s="51" customFormat="1" ht="15" customHeight="1" x14ac:dyDescent="0.25">
      <c r="A45" s="50"/>
      <c r="B45" s="60"/>
      <c r="K45" s="61"/>
      <c r="L45" s="63"/>
      <c r="T45" s="61"/>
      <c r="U45" s="63"/>
      <c r="AC45" s="61"/>
      <c r="AD45" s="63"/>
      <c r="AL45" s="61"/>
      <c r="AM45" s="63"/>
      <c r="BI45" s="61"/>
      <c r="BK45" s="52"/>
      <c r="BM45" s="4">
        <f t="shared" si="0"/>
        <v>38</v>
      </c>
    </row>
    <row r="46" spans="1:110" s="51" customFormat="1" ht="15" customHeight="1" x14ac:dyDescent="0.25">
      <c r="A46" s="50"/>
      <c r="B46" s="60"/>
      <c r="K46" s="61"/>
      <c r="L46" s="63"/>
      <c r="T46" s="61"/>
      <c r="U46" s="63"/>
      <c r="AC46" s="61"/>
      <c r="AD46" s="63"/>
      <c r="AL46" s="61"/>
      <c r="AM46" s="63"/>
      <c r="BI46" s="61"/>
      <c r="BK46" s="52"/>
      <c r="BM46" s="4">
        <f t="shared" si="0"/>
        <v>39</v>
      </c>
    </row>
    <row r="47" spans="1:110" s="51" customFormat="1" ht="15" customHeight="1" x14ac:dyDescent="0.25">
      <c r="A47" s="50"/>
      <c r="B47" s="60"/>
      <c r="K47" s="61"/>
      <c r="L47" s="63"/>
      <c r="T47" s="61"/>
      <c r="U47" s="63"/>
      <c r="AC47" s="61"/>
      <c r="AD47" s="63"/>
      <c r="AL47" s="61"/>
      <c r="AM47" s="63"/>
      <c r="BI47" s="61"/>
      <c r="BK47" s="52"/>
      <c r="BM47" s="4">
        <f t="shared" si="0"/>
        <v>40</v>
      </c>
    </row>
    <row r="48" spans="1:110" s="51" customFormat="1" ht="15" customHeight="1" x14ac:dyDescent="0.25">
      <c r="A48" s="50"/>
      <c r="B48" s="60"/>
      <c r="K48" s="61"/>
      <c r="L48" s="63"/>
      <c r="T48" s="61"/>
      <c r="U48" s="63"/>
      <c r="AC48" s="61"/>
      <c r="AD48" s="63"/>
      <c r="AL48" s="61"/>
      <c r="AM48" s="63"/>
      <c r="BI48" s="61"/>
      <c r="BK48" s="52"/>
      <c r="BM48" s="4">
        <f t="shared" si="0"/>
        <v>41</v>
      </c>
    </row>
    <row r="49" spans="1:65" s="51" customFormat="1" ht="15" customHeight="1" x14ac:dyDescent="0.25">
      <c r="A49" s="50"/>
      <c r="B49" s="60"/>
      <c r="K49" s="61"/>
      <c r="L49" s="63"/>
      <c r="T49" s="61"/>
      <c r="U49" s="63"/>
      <c r="AC49" s="61"/>
      <c r="AD49" s="63"/>
      <c r="AL49" s="61"/>
      <c r="AM49" s="63"/>
      <c r="BI49" s="61"/>
      <c r="BK49" s="52"/>
      <c r="BM49" s="4">
        <f t="shared" si="0"/>
        <v>42</v>
      </c>
    </row>
    <row r="50" spans="1:65" s="51" customFormat="1" ht="15" customHeight="1" x14ac:dyDescent="0.25">
      <c r="A50" s="50"/>
      <c r="B50" s="60"/>
      <c r="K50" s="61"/>
      <c r="L50" s="63"/>
      <c r="T50" s="61"/>
      <c r="U50" s="63"/>
      <c r="AC50" s="61"/>
      <c r="AD50" s="63"/>
      <c r="AL50" s="61"/>
      <c r="AM50" s="63"/>
      <c r="BI50" s="61"/>
      <c r="BK50" s="52"/>
      <c r="BM50" s="4">
        <f t="shared" si="0"/>
        <v>43</v>
      </c>
    </row>
    <row r="51" spans="1:65" s="51" customFormat="1" ht="15" customHeight="1" x14ac:dyDescent="0.25">
      <c r="A51" s="50"/>
      <c r="B51" s="60"/>
      <c r="K51" s="61"/>
      <c r="L51" s="63"/>
      <c r="T51" s="61"/>
      <c r="U51" s="63"/>
      <c r="AC51" s="61"/>
      <c r="AD51" s="63"/>
      <c r="AL51" s="61"/>
      <c r="AM51" s="63"/>
      <c r="BI51" s="61"/>
      <c r="BK51" s="52"/>
      <c r="BM51" s="4">
        <f t="shared" si="0"/>
        <v>44</v>
      </c>
    </row>
    <row r="52" spans="1:65" s="51" customFormat="1" ht="15" customHeight="1" x14ac:dyDescent="0.25">
      <c r="A52" s="50"/>
      <c r="B52" s="60"/>
      <c r="K52" s="61"/>
      <c r="L52" s="63"/>
      <c r="T52" s="61"/>
      <c r="U52" s="63"/>
      <c r="AC52" s="61"/>
      <c r="AD52" s="63"/>
      <c r="AL52" s="61"/>
      <c r="AM52" s="63"/>
      <c r="BI52" s="61"/>
      <c r="BK52" s="52"/>
      <c r="BM52" s="4">
        <f t="shared" si="0"/>
        <v>45</v>
      </c>
    </row>
    <row r="53" spans="1:65" s="51" customFormat="1" ht="15" customHeight="1" x14ac:dyDescent="0.25">
      <c r="A53" s="50"/>
      <c r="B53" s="60"/>
      <c r="K53" s="61"/>
      <c r="L53" s="63"/>
      <c r="T53" s="61"/>
      <c r="U53" s="63"/>
      <c r="AC53" s="61"/>
      <c r="AD53" s="63"/>
      <c r="AL53" s="61"/>
      <c r="AM53" s="63"/>
      <c r="BI53" s="61"/>
      <c r="BK53" s="52"/>
      <c r="BM53" s="4">
        <f t="shared" si="0"/>
        <v>46</v>
      </c>
    </row>
    <row r="54" spans="1:65" s="51" customFormat="1" ht="15" customHeight="1" x14ac:dyDescent="0.25">
      <c r="A54" s="50"/>
      <c r="B54" s="60"/>
      <c r="K54" s="61"/>
      <c r="L54" s="63"/>
      <c r="T54" s="61"/>
      <c r="U54" s="63"/>
      <c r="AC54" s="61"/>
      <c r="AD54" s="63"/>
      <c r="AL54" s="61"/>
      <c r="AM54" s="63"/>
      <c r="BI54" s="61"/>
      <c r="BK54" s="52"/>
      <c r="BM54" s="4">
        <f t="shared" si="0"/>
        <v>47</v>
      </c>
    </row>
    <row r="55" spans="1:65" s="51" customFormat="1" ht="15" customHeight="1" x14ac:dyDescent="0.25">
      <c r="A55" s="50"/>
      <c r="B55" s="60"/>
      <c r="K55" s="61"/>
      <c r="L55" s="63"/>
      <c r="T55" s="61"/>
      <c r="U55" s="63"/>
      <c r="AC55" s="61"/>
      <c r="AD55" s="63"/>
      <c r="AL55" s="61"/>
      <c r="AM55" s="63"/>
      <c r="BI55" s="61"/>
      <c r="BK55" s="52"/>
      <c r="BM55" s="4">
        <f t="shared" si="0"/>
        <v>48</v>
      </c>
    </row>
    <row r="56" spans="1:65" s="51" customFormat="1" ht="15" customHeight="1" x14ac:dyDescent="0.25">
      <c r="A56" s="50"/>
      <c r="B56" s="60"/>
      <c r="K56" s="61"/>
      <c r="L56" s="63"/>
      <c r="T56" s="61"/>
      <c r="U56" s="63"/>
      <c r="AC56" s="61"/>
      <c r="AD56" s="63"/>
      <c r="AL56" s="61"/>
      <c r="AM56" s="63"/>
      <c r="BI56" s="61"/>
      <c r="BK56" s="52"/>
      <c r="BM56" s="4">
        <f t="shared" si="0"/>
        <v>49</v>
      </c>
    </row>
    <row r="57" spans="1:65" s="51" customFormat="1" ht="15" customHeight="1" x14ac:dyDescent="0.25">
      <c r="A57" s="50"/>
      <c r="B57" s="60"/>
      <c r="K57" s="61"/>
      <c r="L57" s="63"/>
      <c r="T57" s="61"/>
      <c r="U57" s="63"/>
      <c r="AC57" s="61"/>
      <c r="AD57" s="63"/>
      <c r="AL57" s="61"/>
      <c r="AM57" s="63"/>
      <c r="BI57" s="61"/>
      <c r="BK57" s="52"/>
      <c r="BM57" s="4">
        <f t="shared" si="0"/>
        <v>50</v>
      </c>
    </row>
    <row r="58" spans="1:65" s="51" customFormat="1" ht="15" customHeight="1" x14ac:dyDescent="0.25">
      <c r="A58" s="50"/>
      <c r="B58" s="60"/>
      <c r="K58" s="61"/>
      <c r="L58" s="63"/>
      <c r="T58" s="61"/>
      <c r="U58" s="63"/>
      <c r="AC58" s="61"/>
      <c r="AD58" s="63"/>
      <c r="AL58" s="61"/>
      <c r="AM58" s="63"/>
      <c r="BI58" s="61"/>
      <c r="BK58" s="52"/>
      <c r="BM58" s="4">
        <f t="shared" si="0"/>
        <v>1</v>
      </c>
    </row>
    <row r="59" spans="1:65" s="51" customFormat="1" ht="15" customHeight="1" x14ac:dyDescent="0.25">
      <c r="A59" s="50"/>
      <c r="B59" s="60"/>
      <c r="K59" s="61"/>
      <c r="L59" s="63"/>
      <c r="T59" s="61"/>
      <c r="U59" s="63"/>
      <c r="AC59" s="61"/>
      <c r="AD59" s="63"/>
      <c r="AL59" s="61"/>
      <c r="AM59" s="63"/>
      <c r="BI59" s="61"/>
      <c r="BK59" s="52"/>
      <c r="BM59" s="4">
        <f t="shared" si="0"/>
        <v>2</v>
      </c>
    </row>
    <row r="60" spans="1:65" s="51" customFormat="1" ht="15" customHeight="1" x14ac:dyDescent="0.25">
      <c r="A60" s="50"/>
      <c r="B60" s="60"/>
      <c r="K60" s="61"/>
      <c r="L60" s="63"/>
      <c r="T60" s="61"/>
      <c r="U60" s="63"/>
      <c r="AC60" s="61"/>
      <c r="AD60" s="63"/>
      <c r="AL60" s="61"/>
      <c r="AM60" s="63"/>
      <c r="BI60" s="61"/>
      <c r="BK60" s="52"/>
      <c r="BM60" s="4">
        <f t="shared" si="0"/>
        <v>3</v>
      </c>
    </row>
    <row r="61" spans="1:65" s="51" customFormat="1" ht="15" customHeight="1" x14ac:dyDescent="0.25">
      <c r="A61" s="50"/>
      <c r="B61" s="60"/>
      <c r="K61" s="61"/>
      <c r="L61" s="63"/>
      <c r="T61" s="61"/>
      <c r="U61" s="63"/>
      <c r="AC61" s="61"/>
      <c r="AD61" s="63"/>
      <c r="AL61" s="61"/>
      <c r="AM61" s="63"/>
      <c r="BI61" s="61"/>
      <c r="BK61" s="52"/>
      <c r="BM61" s="4">
        <f t="shared" si="0"/>
        <v>4</v>
      </c>
    </row>
    <row r="62" spans="1:65" s="51" customFormat="1" ht="15" customHeight="1" x14ac:dyDescent="0.25">
      <c r="A62" s="50"/>
      <c r="B62" s="60"/>
      <c r="K62" s="61"/>
      <c r="L62" s="63"/>
      <c r="T62" s="61"/>
      <c r="U62" s="63"/>
      <c r="AC62" s="61"/>
      <c r="AD62" s="63"/>
      <c r="AL62" s="61"/>
      <c r="AM62" s="63"/>
      <c r="BI62" s="61"/>
      <c r="BK62" s="52"/>
      <c r="BM62" s="4">
        <f t="shared" si="0"/>
        <v>5</v>
      </c>
    </row>
    <row r="63" spans="1:65" s="51" customFormat="1" ht="15" customHeight="1" x14ac:dyDescent="0.25">
      <c r="A63" s="50"/>
      <c r="B63" s="60"/>
      <c r="K63" s="61"/>
      <c r="L63" s="63"/>
      <c r="T63" s="61"/>
      <c r="U63" s="63"/>
      <c r="AC63" s="61"/>
      <c r="AD63" s="63"/>
      <c r="AL63" s="61"/>
      <c r="AM63" s="63"/>
      <c r="BI63" s="61"/>
      <c r="BK63" s="52"/>
      <c r="BM63" s="4">
        <f t="shared" si="0"/>
        <v>6</v>
      </c>
    </row>
    <row r="64" spans="1:65" s="51" customFormat="1" ht="15" customHeight="1" x14ac:dyDescent="0.25">
      <c r="A64" s="50"/>
      <c r="B64" s="60"/>
      <c r="K64" s="61"/>
      <c r="L64" s="63"/>
      <c r="T64" s="61"/>
      <c r="U64" s="63"/>
      <c r="AC64" s="61"/>
      <c r="AD64" s="63"/>
      <c r="AL64" s="61"/>
      <c r="AM64" s="63"/>
      <c r="BI64" s="61"/>
      <c r="BK64" s="52"/>
      <c r="BM64" s="4">
        <f t="shared" si="0"/>
        <v>7</v>
      </c>
    </row>
    <row r="65" spans="1:65" s="51" customFormat="1" ht="15" customHeight="1" x14ac:dyDescent="0.25">
      <c r="A65" s="50"/>
      <c r="B65" s="60"/>
      <c r="K65" s="61"/>
      <c r="L65" s="63"/>
      <c r="T65" s="61"/>
      <c r="U65" s="63"/>
      <c r="AC65" s="61"/>
      <c r="AD65" s="63"/>
      <c r="AL65" s="61"/>
      <c r="AM65" s="63"/>
      <c r="BI65" s="61"/>
      <c r="BK65" s="52"/>
      <c r="BM65" s="4">
        <f t="shared" si="0"/>
        <v>8</v>
      </c>
    </row>
    <row r="66" spans="1:65" s="51" customFormat="1" ht="15" customHeight="1" x14ac:dyDescent="0.25">
      <c r="A66" s="50"/>
      <c r="B66" s="60"/>
      <c r="K66" s="61"/>
      <c r="L66" s="63"/>
      <c r="T66" s="61"/>
      <c r="U66" s="63"/>
      <c r="AC66" s="61"/>
      <c r="AD66" s="63"/>
      <c r="AL66" s="61"/>
      <c r="AM66" s="63"/>
      <c r="BI66" s="61"/>
      <c r="BK66" s="52"/>
      <c r="BM66" s="4">
        <f t="shared" si="0"/>
        <v>9</v>
      </c>
    </row>
    <row r="67" spans="1:65" s="51" customFormat="1" ht="15" customHeight="1" x14ac:dyDescent="0.25">
      <c r="A67" s="50"/>
      <c r="B67" s="60"/>
      <c r="K67" s="61"/>
      <c r="L67" s="63"/>
      <c r="T67" s="61"/>
      <c r="U67" s="63"/>
      <c r="AC67" s="61"/>
      <c r="AD67" s="63"/>
      <c r="AL67" s="61"/>
      <c r="AM67" s="63"/>
      <c r="BI67" s="61"/>
      <c r="BK67" s="52"/>
      <c r="BM67" s="4">
        <f t="shared" si="0"/>
        <v>10</v>
      </c>
    </row>
    <row r="68" spans="1:65" s="51" customFormat="1" ht="15" customHeight="1" x14ac:dyDescent="0.25">
      <c r="A68" s="50"/>
      <c r="B68" s="60"/>
      <c r="K68" s="61"/>
      <c r="L68" s="63"/>
      <c r="T68" s="61"/>
      <c r="U68" s="63"/>
      <c r="AC68" s="61"/>
      <c r="AD68" s="63"/>
      <c r="AL68" s="61"/>
      <c r="AM68" s="63"/>
      <c r="BI68" s="61"/>
      <c r="BK68" s="52"/>
      <c r="BM68" s="4">
        <f t="shared" si="0"/>
        <v>11</v>
      </c>
    </row>
    <row r="69" spans="1:65" s="51" customFormat="1" ht="15" customHeight="1" x14ac:dyDescent="0.25">
      <c r="A69" s="50"/>
      <c r="B69" s="60"/>
      <c r="K69" s="61"/>
      <c r="L69" s="63"/>
      <c r="T69" s="61"/>
      <c r="U69" s="63"/>
      <c r="AC69" s="61"/>
      <c r="AD69" s="63"/>
      <c r="AL69" s="61"/>
      <c r="AM69" s="63"/>
      <c r="BI69" s="61"/>
      <c r="BK69" s="52"/>
      <c r="BM69" s="4">
        <f t="shared" si="0"/>
        <v>12</v>
      </c>
    </row>
    <row r="70" spans="1:65" s="51" customFormat="1" ht="15" customHeight="1" x14ac:dyDescent="0.25">
      <c r="A70" s="50"/>
      <c r="B70" s="60"/>
      <c r="K70" s="61"/>
      <c r="L70" s="63"/>
      <c r="T70" s="61"/>
      <c r="U70" s="63"/>
      <c r="AC70" s="61"/>
      <c r="AD70" s="63"/>
      <c r="AL70" s="61"/>
      <c r="AM70" s="63"/>
      <c r="BI70" s="61"/>
      <c r="BK70" s="52"/>
      <c r="BM70" s="4">
        <f t="shared" si="0"/>
        <v>13</v>
      </c>
    </row>
    <row r="71" spans="1:65" s="51" customFormat="1" ht="15" customHeight="1" x14ac:dyDescent="0.25">
      <c r="A71" s="50"/>
      <c r="B71" s="60"/>
      <c r="K71" s="61"/>
      <c r="L71" s="63"/>
      <c r="T71" s="61"/>
      <c r="U71" s="63"/>
      <c r="AC71" s="61"/>
      <c r="AD71" s="63"/>
      <c r="AL71" s="61"/>
      <c r="AM71" s="63"/>
      <c r="BI71" s="61"/>
      <c r="BK71" s="52"/>
      <c r="BM71" s="4">
        <f t="shared" si="0"/>
        <v>14</v>
      </c>
    </row>
    <row r="72" spans="1:65" s="51" customFormat="1" ht="15" customHeight="1" x14ac:dyDescent="0.25">
      <c r="A72" s="50"/>
      <c r="B72" s="60"/>
      <c r="K72" s="61"/>
      <c r="L72" s="63"/>
      <c r="T72" s="61"/>
      <c r="U72" s="63"/>
      <c r="AC72" s="61"/>
      <c r="AD72" s="63"/>
      <c r="AL72" s="61"/>
      <c r="AM72" s="63"/>
      <c r="BI72" s="61"/>
      <c r="BK72" s="52"/>
      <c r="BM72" s="4">
        <f t="shared" si="0"/>
        <v>15</v>
      </c>
    </row>
    <row r="73" spans="1:65" s="51" customFormat="1" ht="15" customHeight="1" x14ac:dyDescent="0.25">
      <c r="A73" s="50"/>
      <c r="B73" s="60"/>
      <c r="K73" s="61"/>
      <c r="L73" s="63"/>
      <c r="T73" s="61"/>
      <c r="U73" s="63"/>
      <c r="AC73" s="61"/>
      <c r="AD73" s="63"/>
      <c r="AL73" s="61"/>
      <c r="AM73" s="63"/>
      <c r="BI73" s="61"/>
      <c r="BK73" s="52"/>
      <c r="BM73" s="4">
        <f t="shared" si="0"/>
        <v>16</v>
      </c>
    </row>
    <row r="74" spans="1:65" s="51" customFormat="1" ht="15" customHeight="1" x14ac:dyDescent="0.25">
      <c r="A74" s="50"/>
      <c r="B74" s="60"/>
      <c r="K74" s="61"/>
      <c r="L74" s="63"/>
      <c r="T74" s="61"/>
      <c r="U74" s="63"/>
      <c r="AC74" s="61"/>
      <c r="AD74" s="63"/>
      <c r="AL74" s="61"/>
      <c r="AM74" s="63"/>
      <c r="BI74" s="61"/>
      <c r="BK74" s="52"/>
      <c r="BM74" s="4">
        <f t="shared" si="0"/>
        <v>17</v>
      </c>
    </row>
    <row r="75" spans="1:65" s="51" customFormat="1" ht="15" customHeight="1" x14ac:dyDescent="0.25">
      <c r="A75" s="50"/>
      <c r="B75" s="60"/>
      <c r="K75" s="61"/>
      <c r="L75" s="63"/>
      <c r="T75" s="61"/>
      <c r="U75" s="63"/>
      <c r="AC75" s="61"/>
      <c r="AD75" s="63"/>
      <c r="AL75" s="61"/>
      <c r="AM75" s="63"/>
      <c r="BI75" s="61"/>
      <c r="BK75" s="52"/>
      <c r="BM75" s="4">
        <f t="shared" si="0"/>
        <v>18</v>
      </c>
    </row>
    <row r="76" spans="1:65" s="51" customFormat="1" ht="15" customHeight="1" x14ac:dyDescent="0.25">
      <c r="A76" s="50"/>
      <c r="B76" s="60"/>
      <c r="K76" s="61"/>
      <c r="L76" s="63"/>
      <c r="T76" s="61"/>
      <c r="U76" s="63"/>
      <c r="AC76" s="61"/>
      <c r="AD76" s="63"/>
      <c r="AL76" s="61"/>
      <c r="AM76" s="63"/>
      <c r="BI76" s="61"/>
      <c r="BK76" s="52"/>
      <c r="BM76" s="4">
        <f t="shared" si="0"/>
        <v>19</v>
      </c>
    </row>
    <row r="77" spans="1:65" s="51" customFormat="1" ht="15" customHeight="1" x14ac:dyDescent="0.25">
      <c r="A77" s="50"/>
      <c r="B77" s="60"/>
      <c r="K77" s="61"/>
      <c r="L77" s="63"/>
      <c r="T77" s="61"/>
      <c r="U77" s="63"/>
      <c r="AC77" s="61"/>
      <c r="AD77" s="63"/>
      <c r="AL77" s="61"/>
      <c r="AM77" s="63"/>
      <c r="BI77" s="61"/>
      <c r="BK77" s="52"/>
      <c r="BM77" s="4">
        <f t="shared" si="0"/>
        <v>20</v>
      </c>
    </row>
    <row r="78" spans="1:65" s="51" customFormat="1" ht="15" customHeight="1" x14ac:dyDescent="0.25">
      <c r="A78" s="50"/>
      <c r="B78" s="60"/>
      <c r="K78" s="61"/>
      <c r="L78" s="63"/>
      <c r="T78" s="61"/>
      <c r="U78" s="63"/>
      <c r="AC78" s="61"/>
      <c r="AD78" s="63"/>
      <c r="AL78" s="61"/>
      <c r="AM78" s="63"/>
      <c r="BI78" s="61"/>
      <c r="BK78" s="52"/>
      <c r="BM78" s="4">
        <f t="shared" si="0"/>
        <v>21</v>
      </c>
    </row>
    <row r="79" spans="1:65" s="51" customFormat="1" ht="15" customHeight="1" x14ac:dyDescent="0.25">
      <c r="A79" s="50"/>
      <c r="B79" s="60"/>
      <c r="K79" s="61"/>
      <c r="L79" s="63"/>
      <c r="T79" s="61"/>
      <c r="U79" s="63"/>
      <c r="AC79" s="61"/>
      <c r="AD79" s="63"/>
      <c r="AL79" s="61"/>
      <c r="AM79" s="63"/>
      <c r="BI79" s="61"/>
      <c r="BK79" s="52"/>
      <c r="BM79" s="4">
        <f t="shared" si="0"/>
        <v>22</v>
      </c>
    </row>
    <row r="80" spans="1:65" s="51" customFormat="1" ht="15" customHeight="1" x14ac:dyDescent="0.25">
      <c r="A80" s="50"/>
      <c r="B80" s="60"/>
      <c r="K80" s="61"/>
      <c r="L80" s="63"/>
      <c r="T80" s="61"/>
      <c r="U80" s="63"/>
      <c r="AC80" s="61"/>
      <c r="AD80" s="63"/>
      <c r="AL80" s="61"/>
      <c r="AM80" s="63"/>
      <c r="BI80" s="61"/>
      <c r="BK80" s="52"/>
      <c r="BM80" s="4">
        <f t="shared" si="0"/>
        <v>23</v>
      </c>
    </row>
    <row r="81" spans="1:65" s="51" customFormat="1" ht="15" customHeight="1" x14ac:dyDescent="0.25">
      <c r="A81" s="50"/>
      <c r="B81" s="60"/>
      <c r="K81" s="61"/>
      <c r="L81" s="63"/>
      <c r="T81" s="61"/>
      <c r="U81" s="63"/>
      <c r="AC81" s="61"/>
      <c r="AD81" s="63"/>
      <c r="AL81" s="61"/>
      <c r="AM81" s="63"/>
      <c r="BI81" s="61"/>
      <c r="BK81" s="52"/>
      <c r="BM81" s="4">
        <f t="shared" si="0"/>
        <v>24</v>
      </c>
    </row>
    <row r="82" spans="1:65" s="51" customFormat="1" ht="15" customHeight="1" x14ac:dyDescent="0.25">
      <c r="A82" s="50"/>
      <c r="B82" s="60"/>
      <c r="K82" s="61"/>
      <c r="L82" s="63"/>
      <c r="T82" s="61"/>
      <c r="U82" s="63"/>
      <c r="AC82" s="61"/>
      <c r="AD82" s="63"/>
      <c r="AL82" s="61"/>
      <c r="AM82" s="63"/>
      <c r="BI82" s="61"/>
      <c r="BK82" s="52"/>
      <c r="BM82" s="4">
        <f t="shared" si="0"/>
        <v>25</v>
      </c>
    </row>
    <row r="83" spans="1:65" s="51" customFormat="1" ht="15" customHeight="1" x14ac:dyDescent="0.25">
      <c r="A83" s="50"/>
      <c r="B83" s="60"/>
      <c r="K83" s="61"/>
      <c r="L83" s="63"/>
      <c r="T83" s="61"/>
      <c r="U83" s="63"/>
      <c r="AC83" s="61"/>
      <c r="AD83" s="63"/>
      <c r="AL83" s="61"/>
      <c r="AM83" s="63"/>
      <c r="BI83" s="61"/>
      <c r="BK83" s="52"/>
      <c r="BM83" s="4">
        <f t="shared" si="0"/>
        <v>26</v>
      </c>
    </row>
    <row r="84" spans="1:65" s="51" customFormat="1" ht="15" customHeight="1" x14ac:dyDescent="0.25">
      <c r="A84" s="50"/>
      <c r="B84" s="60"/>
      <c r="K84" s="61"/>
      <c r="L84" s="63"/>
      <c r="T84" s="61"/>
      <c r="U84" s="63"/>
      <c r="AC84" s="61"/>
      <c r="AD84" s="63"/>
      <c r="AL84" s="61"/>
      <c r="AM84" s="63"/>
      <c r="BI84" s="61"/>
      <c r="BK84" s="52"/>
      <c r="BM84" s="4">
        <f t="shared" si="0"/>
        <v>27</v>
      </c>
    </row>
    <row r="85" spans="1:65" s="51" customFormat="1" ht="15" customHeight="1" x14ac:dyDescent="0.25">
      <c r="A85" s="50"/>
      <c r="B85" s="60"/>
      <c r="K85" s="61"/>
      <c r="L85" s="63"/>
      <c r="T85" s="61"/>
      <c r="U85" s="63"/>
      <c r="AC85" s="61"/>
      <c r="AD85" s="63"/>
      <c r="AL85" s="61"/>
      <c r="AM85" s="63"/>
      <c r="BI85" s="61"/>
      <c r="BK85" s="52"/>
      <c r="BM85" s="4">
        <f t="shared" si="0"/>
        <v>28</v>
      </c>
    </row>
    <row r="86" spans="1:65" s="51" customFormat="1" ht="15" customHeight="1" x14ac:dyDescent="0.25">
      <c r="A86" s="50"/>
      <c r="B86" s="60"/>
      <c r="K86" s="61"/>
      <c r="L86" s="63"/>
      <c r="T86" s="61"/>
      <c r="U86" s="63"/>
      <c r="AC86" s="61"/>
      <c r="AD86" s="63"/>
      <c r="AL86" s="61"/>
      <c r="AM86" s="63"/>
      <c r="BI86" s="61"/>
      <c r="BK86" s="52"/>
      <c r="BM86" s="4">
        <f t="shared" ref="BM86:BM109" si="1">IF(BM85=50,1,BM85+1)</f>
        <v>29</v>
      </c>
    </row>
    <row r="87" spans="1:65" s="51" customFormat="1" ht="15" customHeight="1" x14ac:dyDescent="0.25">
      <c r="A87" s="50"/>
      <c r="B87" s="60"/>
      <c r="K87" s="61"/>
      <c r="L87" s="63"/>
      <c r="T87" s="61"/>
      <c r="U87" s="63"/>
      <c r="AC87" s="61"/>
      <c r="AD87" s="63"/>
      <c r="AL87" s="61"/>
      <c r="AM87" s="63"/>
      <c r="BI87" s="61"/>
      <c r="BK87" s="52"/>
      <c r="BM87" s="4">
        <f t="shared" si="1"/>
        <v>30</v>
      </c>
    </row>
    <row r="88" spans="1:65" s="51" customFormat="1" ht="15" customHeight="1" x14ac:dyDescent="0.25">
      <c r="A88" s="50"/>
      <c r="B88" s="60"/>
      <c r="K88" s="61"/>
      <c r="L88" s="63"/>
      <c r="T88" s="61"/>
      <c r="U88" s="63"/>
      <c r="AC88" s="61"/>
      <c r="AD88" s="63"/>
      <c r="AL88" s="61"/>
      <c r="AM88" s="63"/>
      <c r="BI88" s="61"/>
      <c r="BK88" s="52"/>
      <c r="BM88" s="4">
        <f t="shared" si="1"/>
        <v>31</v>
      </c>
    </row>
    <row r="89" spans="1:65" s="51" customFormat="1" ht="15" customHeight="1" x14ac:dyDescent="0.25">
      <c r="A89" s="50"/>
      <c r="B89" s="60"/>
      <c r="K89" s="61"/>
      <c r="L89" s="63"/>
      <c r="T89" s="61"/>
      <c r="U89" s="63"/>
      <c r="AC89" s="61"/>
      <c r="AD89" s="63"/>
      <c r="AL89" s="61"/>
      <c r="AM89" s="63"/>
      <c r="BI89" s="61"/>
      <c r="BK89" s="52"/>
      <c r="BM89" s="4">
        <f t="shared" si="1"/>
        <v>32</v>
      </c>
    </row>
    <row r="90" spans="1:65" s="51" customFormat="1" ht="15" customHeight="1" x14ac:dyDescent="0.25">
      <c r="A90" s="50"/>
      <c r="B90" s="60"/>
      <c r="K90" s="61"/>
      <c r="L90" s="63"/>
      <c r="T90" s="61"/>
      <c r="U90" s="63"/>
      <c r="AC90" s="61"/>
      <c r="AD90" s="63"/>
      <c r="AL90" s="61"/>
      <c r="AM90" s="63"/>
      <c r="BI90" s="61"/>
      <c r="BK90" s="52"/>
      <c r="BM90" s="4">
        <f t="shared" si="1"/>
        <v>33</v>
      </c>
    </row>
    <row r="91" spans="1:65" s="51" customFormat="1" ht="15" customHeight="1" x14ac:dyDescent="0.25">
      <c r="A91" s="50"/>
      <c r="B91" s="60"/>
      <c r="K91" s="61"/>
      <c r="L91" s="63"/>
      <c r="T91" s="61"/>
      <c r="U91" s="63"/>
      <c r="AC91" s="61"/>
      <c r="AD91" s="63"/>
      <c r="AL91" s="61"/>
      <c r="AM91" s="63"/>
      <c r="BI91" s="61"/>
      <c r="BK91" s="52"/>
      <c r="BM91" s="4">
        <f t="shared" si="1"/>
        <v>34</v>
      </c>
    </row>
    <row r="92" spans="1:65" s="51" customFormat="1" ht="15" customHeight="1" x14ac:dyDescent="0.25">
      <c r="A92" s="50"/>
      <c r="B92" s="60"/>
      <c r="K92" s="61"/>
      <c r="L92" s="63"/>
      <c r="T92" s="61"/>
      <c r="U92" s="63"/>
      <c r="AC92" s="61"/>
      <c r="AD92" s="63"/>
      <c r="AL92" s="61"/>
      <c r="AM92" s="63"/>
      <c r="BI92" s="61"/>
      <c r="BK92" s="52"/>
      <c r="BM92" s="4">
        <f t="shared" si="1"/>
        <v>35</v>
      </c>
    </row>
    <row r="93" spans="1:65" s="51" customFormat="1" ht="15" customHeight="1" x14ac:dyDescent="0.25">
      <c r="A93" s="50"/>
      <c r="B93" s="60"/>
      <c r="K93" s="61"/>
      <c r="L93" s="63"/>
      <c r="T93" s="61"/>
      <c r="U93" s="63"/>
      <c r="AC93" s="61"/>
      <c r="AD93" s="63"/>
      <c r="AL93" s="61"/>
      <c r="AM93" s="63"/>
      <c r="BI93" s="61"/>
      <c r="BK93" s="52"/>
      <c r="BM93" s="4">
        <f t="shared" si="1"/>
        <v>36</v>
      </c>
    </row>
    <row r="94" spans="1:65" s="51" customFormat="1" ht="15" customHeight="1" x14ac:dyDescent="0.25">
      <c r="A94" s="50"/>
      <c r="B94" s="60"/>
      <c r="K94" s="61"/>
      <c r="L94" s="63"/>
      <c r="T94" s="61"/>
      <c r="U94" s="63"/>
      <c r="AC94" s="61"/>
      <c r="AD94" s="63"/>
      <c r="AL94" s="61"/>
      <c r="AM94" s="63"/>
      <c r="BI94" s="61"/>
      <c r="BK94" s="52"/>
      <c r="BM94" s="4">
        <f t="shared" si="1"/>
        <v>37</v>
      </c>
    </row>
    <row r="95" spans="1:65" s="51" customFormat="1" ht="15" customHeight="1" x14ac:dyDescent="0.25">
      <c r="A95" s="50"/>
      <c r="B95" s="60"/>
      <c r="K95" s="61"/>
      <c r="L95" s="63"/>
      <c r="T95" s="61"/>
      <c r="U95" s="63"/>
      <c r="AC95" s="61"/>
      <c r="AD95" s="63"/>
      <c r="AL95" s="61"/>
      <c r="AM95" s="63"/>
      <c r="BI95" s="61"/>
      <c r="BK95" s="52"/>
      <c r="BM95" s="4">
        <f t="shared" si="1"/>
        <v>38</v>
      </c>
    </row>
    <row r="96" spans="1:65" s="51" customFormat="1" ht="15" customHeight="1" x14ac:dyDescent="0.25">
      <c r="A96" s="50"/>
      <c r="B96" s="60"/>
      <c r="K96" s="61"/>
      <c r="L96" s="63"/>
      <c r="T96" s="61"/>
      <c r="U96" s="63"/>
      <c r="AC96" s="61"/>
      <c r="AD96" s="63"/>
      <c r="AL96" s="61"/>
      <c r="AM96" s="63"/>
      <c r="BI96" s="61"/>
      <c r="BK96" s="52"/>
      <c r="BM96" s="4">
        <f t="shared" si="1"/>
        <v>39</v>
      </c>
    </row>
    <row r="97" spans="1:65" s="51" customFormat="1" ht="15" customHeight="1" x14ac:dyDescent="0.25">
      <c r="A97" s="50"/>
      <c r="B97" s="60"/>
      <c r="K97" s="61"/>
      <c r="L97" s="63"/>
      <c r="T97" s="61"/>
      <c r="U97" s="63"/>
      <c r="AC97" s="61"/>
      <c r="AD97" s="63"/>
      <c r="AL97" s="61"/>
      <c r="AM97" s="63"/>
      <c r="BI97" s="61"/>
      <c r="BK97" s="52"/>
      <c r="BM97" s="4">
        <f t="shared" si="1"/>
        <v>40</v>
      </c>
    </row>
    <row r="98" spans="1:65" s="51" customFormat="1" ht="15" customHeight="1" x14ac:dyDescent="0.25">
      <c r="A98" s="50"/>
      <c r="B98" s="60"/>
      <c r="K98" s="61"/>
      <c r="L98" s="63"/>
      <c r="T98" s="61"/>
      <c r="U98" s="63"/>
      <c r="AC98" s="61"/>
      <c r="AD98" s="63"/>
      <c r="AL98" s="61"/>
      <c r="AM98" s="63"/>
      <c r="BI98" s="61"/>
      <c r="BK98" s="52"/>
      <c r="BM98" s="4">
        <f t="shared" si="1"/>
        <v>41</v>
      </c>
    </row>
    <row r="99" spans="1:65" s="51" customFormat="1" ht="15" customHeight="1" x14ac:dyDescent="0.25">
      <c r="A99" s="50"/>
      <c r="B99" s="60"/>
      <c r="K99" s="61"/>
      <c r="L99" s="63"/>
      <c r="T99" s="61"/>
      <c r="U99" s="63"/>
      <c r="AC99" s="61"/>
      <c r="AD99" s="63"/>
      <c r="AL99" s="61"/>
      <c r="AM99" s="63"/>
      <c r="BI99" s="61"/>
      <c r="BK99" s="52"/>
      <c r="BM99" s="4">
        <f t="shared" si="1"/>
        <v>42</v>
      </c>
    </row>
    <row r="100" spans="1:65" s="51" customFormat="1" ht="15" customHeight="1" x14ac:dyDescent="0.25">
      <c r="A100" s="50"/>
      <c r="B100" s="60"/>
      <c r="K100" s="61"/>
      <c r="L100" s="63"/>
      <c r="T100" s="61"/>
      <c r="U100" s="63"/>
      <c r="AC100" s="61"/>
      <c r="AD100" s="63"/>
      <c r="AL100" s="61"/>
      <c r="AM100" s="63"/>
      <c r="BI100" s="61"/>
      <c r="BK100" s="52"/>
      <c r="BM100" s="4">
        <f t="shared" si="1"/>
        <v>43</v>
      </c>
    </row>
    <row r="101" spans="1:65" s="51" customFormat="1" ht="15" customHeight="1" x14ac:dyDescent="0.25">
      <c r="A101" s="50"/>
      <c r="B101" s="60"/>
      <c r="K101" s="61"/>
      <c r="L101" s="63"/>
      <c r="T101" s="61"/>
      <c r="U101" s="63"/>
      <c r="AC101" s="61"/>
      <c r="AD101" s="63"/>
      <c r="AL101" s="61"/>
      <c r="AM101" s="63"/>
      <c r="BI101" s="61"/>
      <c r="BK101" s="52"/>
      <c r="BM101" s="4">
        <f t="shared" si="1"/>
        <v>44</v>
      </c>
    </row>
    <row r="102" spans="1:65" s="51" customFormat="1" ht="15" customHeight="1" x14ac:dyDescent="0.25">
      <c r="A102" s="50"/>
      <c r="B102" s="60"/>
      <c r="K102" s="61"/>
      <c r="L102" s="63"/>
      <c r="T102" s="61"/>
      <c r="U102" s="63"/>
      <c r="AC102" s="61"/>
      <c r="AD102" s="63"/>
      <c r="AL102" s="61"/>
      <c r="AM102" s="63"/>
      <c r="BI102" s="61"/>
      <c r="BK102" s="52"/>
      <c r="BM102" s="4">
        <f t="shared" si="1"/>
        <v>45</v>
      </c>
    </row>
    <row r="103" spans="1:65" s="51" customFormat="1" ht="15" customHeight="1" x14ac:dyDescent="0.25">
      <c r="A103" s="50"/>
      <c r="B103" s="64" t="s">
        <v>57</v>
      </c>
      <c r="C103" s="65"/>
      <c r="D103" s="65"/>
      <c r="E103" s="65"/>
      <c r="F103" s="65"/>
      <c r="G103" s="65"/>
      <c r="H103" s="65"/>
      <c r="I103" s="65"/>
      <c r="J103" s="65"/>
      <c r="K103" s="66"/>
      <c r="L103" s="67"/>
      <c r="M103" s="65"/>
      <c r="N103" s="65"/>
      <c r="O103" s="65"/>
      <c r="P103" s="65"/>
      <c r="Q103" s="65"/>
      <c r="R103" s="65"/>
      <c r="S103" s="65"/>
      <c r="T103" s="66"/>
      <c r="U103" s="67"/>
      <c r="V103" s="65"/>
      <c r="W103" s="65"/>
      <c r="X103" s="65"/>
      <c r="Y103" s="65"/>
      <c r="Z103" s="65"/>
      <c r="AA103" s="65"/>
      <c r="AB103" s="65"/>
      <c r="AC103" s="66"/>
      <c r="AD103" s="67"/>
      <c r="AE103" s="65"/>
      <c r="AF103" s="65"/>
      <c r="AG103" s="65"/>
      <c r="AH103" s="65"/>
      <c r="AI103" s="65"/>
      <c r="AJ103" s="65"/>
      <c r="AK103" s="65"/>
      <c r="AL103" s="66"/>
      <c r="AM103" s="67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65"/>
      <c r="BA103" s="65"/>
      <c r="BB103" s="65"/>
      <c r="BC103" s="65"/>
      <c r="BD103" s="65"/>
      <c r="BE103" s="65"/>
      <c r="BF103" s="65"/>
      <c r="BG103" s="65"/>
      <c r="BH103" s="65"/>
      <c r="BI103" s="66"/>
      <c r="BJ103" s="65"/>
      <c r="BK103" s="52"/>
      <c r="BM103" s="4">
        <f t="shared" si="1"/>
        <v>46</v>
      </c>
    </row>
    <row r="104" spans="1:65" s="51" customFormat="1" ht="15" customHeight="1" x14ac:dyDescent="0.25">
      <c r="A104" s="50"/>
      <c r="B104" s="60"/>
      <c r="K104" s="61"/>
      <c r="L104" s="63"/>
      <c r="T104" s="61"/>
      <c r="U104" s="63"/>
      <c r="AC104" s="61"/>
      <c r="AD104" s="63"/>
      <c r="AL104" s="61"/>
      <c r="AM104" s="63"/>
      <c r="BI104" s="61"/>
      <c r="BK104" s="52"/>
      <c r="BM104" s="4">
        <f t="shared" si="1"/>
        <v>47</v>
      </c>
    </row>
    <row r="105" spans="1:65" s="51" customFormat="1" ht="15" customHeight="1" x14ac:dyDescent="0.25">
      <c r="A105" s="50"/>
      <c r="B105" s="60"/>
      <c r="K105" s="61"/>
      <c r="L105" s="63"/>
      <c r="T105" s="61"/>
      <c r="U105" s="63"/>
      <c r="AC105" s="61"/>
      <c r="AD105" s="63"/>
      <c r="AL105" s="61"/>
      <c r="AM105" s="63"/>
      <c r="BI105" s="61"/>
      <c r="BK105" s="52"/>
      <c r="BM105" s="4">
        <f t="shared" si="1"/>
        <v>48</v>
      </c>
    </row>
    <row r="106" spans="1:65" s="51" customFormat="1" ht="15" customHeight="1" x14ac:dyDescent="0.25">
      <c r="A106" s="50"/>
      <c r="B106" s="60"/>
      <c r="K106" s="61"/>
      <c r="L106" s="63"/>
      <c r="T106" s="61"/>
      <c r="U106" s="63"/>
      <c r="AC106" s="61"/>
      <c r="AD106" s="63"/>
      <c r="AL106" s="61"/>
      <c r="AM106" s="63"/>
      <c r="BI106" s="61"/>
      <c r="BK106" s="52"/>
      <c r="BM106" s="4">
        <f t="shared" si="1"/>
        <v>49</v>
      </c>
    </row>
    <row r="107" spans="1:65" s="51" customFormat="1" ht="15" customHeight="1" x14ac:dyDescent="0.25">
      <c r="A107" s="50"/>
      <c r="B107" s="60"/>
      <c r="K107" s="61"/>
      <c r="L107" s="63"/>
      <c r="T107" s="61"/>
      <c r="U107" s="63"/>
      <c r="AC107" s="61"/>
      <c r="AD107" s="63"/>
      <c r="AL107" s="61"/>
      <c r="AM107" s="18"/>
      <c r="BI107" s="61"/>
      <c r="BK107" s="52"/>
      <c r="BM107" s="4">
        <f t="shared" si="1"/>
        <v>50</v>
      </c>
    </row>
    <row r="108" spans="1:65" s="51" customFormat="1" ht="15" customHeight="1" x14ac:dyDescent="0.25">
      <c r="A108" s="50"/>
      <c r="B108" s="60"/>
      <c r="K108" s="61"/>
      <c r="L108" s="63"/>
      <c r="T108" s="61"/>
      <c r="U108" s="63"/>
      <c r="AC108" s="61"/>
      <c r="AD108" s="63"/>
      <c r="AL108" s="61"/>
      <c r="AM108" s="63"/>
      <c r="BI108" s="61"/>
      <c r="BK108" s="52"/>
      <c r="BM108" s="4">
        <f t="shared" si="1"/>
        <v>1</v>
      </c>
    </row>
    <row r="109" spans="1:65" s="51" customFormat="1" ht="15" customHeight="1" x14ac:dyDescent="0.25">
      <c r="A109" s="50"/>
      <c r="B109" s="60"/>
      <c r="K109" s="61"/>
      <c r="L109" s="63"/>
      <c r="T109" s="61"/>
      <c r="U109" s="63"/>
      <c r="AC109" s="61"/>
      <c r="AD109" s="63"/>
      <c r="AL109" s="61"/>
      <c r="AM109" s="63"/>
      <c r="BI109" s="61"/>
      <c r="BK109" s="52"/>
      <c r="BM109" s="4">
        <f t="shared" si="1"/>
        <v>2</v>
      </c>
    </row>
    <row r="110" spans="1:65" s="51" customFormat="1" ht="15" customHeight="1" x14ac:dyDescent="0.25">
      <c r="A110" s="50"/>
      <c r="B110" s="60"/>
      <c r="K110" s="61"/>
      <c r="L110" s="63"/>
      <c r="T110" s="61"/>
      <c r="U110" s="63"/>
      <c r="AC110" s="61"/>
      <c r="AD110" s="63"/>
      <c r="AL110" s="61"/>
      <c r="AM110" s="63"/>
      <c r="BI110" s="61"/>
      <c r="BK110" s="52"/>
      <c r="BM110" s="4">
        <f t="shared" ref="BM110:BM125" si="2">IF(BM109=50,1,BM109+1)</f>
        <v>3</v>
      </c>
    </row>
    <row r="111" spans="1:65" s="51" customFormat="1" ht="15" customHeight="1" x14ac:dyDescent="0.25">
      <c r="A111" s="50"/>
      <c r="B111" s="60"/>
      <c r="K111" s="61"/>
      <c r="L111" s="63"/>
      <c r="T111" s="61"/>
      <c r="U111" s="63"/>
      <c r="AC111" s="61"/>
      <c r="AD111" s="63"/>
      <c r="AL111" s="61"/>
      <c r="AM111" s="63"/>
      <c r="BI111" s="61"/>
      <c r="BK111" s="52"/>
      <c r="BM111" s="4">
        <f t="shared" si="2"/>
        <v>4</v>
      </c>
    </row>
    <row r="112" spans="1:65" s="51" customFormat="1" ht="15" customHeight="1" x14ac:dyDescent="0.25">
      <c r="A112" s="50"/>
      <c r="B112" s="60"/>
      <c r="K112" s="61"/>
      <c r="L112" s="63"/>
      <c r="T112" s="61"/>
      <c r="U112" s="63"/>
      <c r="AC112" s="61"/>
      <c r="AD112" s="63"/>
      <c r="AL112" s="61"/>
      <c r="AM112" s="63"/>
      <c r="BI112" s="61"/>
      <c r="BK112" s="52"/>
      <c r="BM112" s="4">
        <f t="shared" si="2"/>
        <v>5</v>
      </c>
    </row>
    <row r="113" spans="1:65" s="51" customFormat="1" ht="15" customHeight="1" x14ac:dyDescent="0.25">
      <c r="A113" s="50"/>
      <c r="B113" s="60"/>
      <c r="K113" s="61"/>
      <c r="L113" s="63"/>
      <c r="T113" s="61"/>
      <c r="U113" s="63"/>
      <c r="AC113" s="61"/>
      <c r="AD113" s="63"/>
      <c r="AL113" s="61"/>
      <c r="AM113" s="63"/>
      <c r="BI113" s="61"/>
      <c r="BK113" s="52"/>
      <c r="BM113" s="4">
        <f t="shared" si="2"/>
        <v>6</v>
      </c>
    </row>
    <row r="114" spans="1:65" s="51" customFormat="1" ht="15" customHeight="1" x14ac:dyDescent="0.25">
      <c r="A114" s="50"/>
      <c r="B114" s="60"/>
      <c r="K114" s="61"/>
      <c r="L114" s="63"/>
      <c r="T114" s="61"/>
      <c r="U114" s="63"/>
      <c r="AC114" s="61"/>
      <c r="AD114" s="63"/>
      <c r="AL114" s="61"/>
      <c r="AM114" s="63"/>
      <c r="BI114" s="61"/>
      <c r="BK114" s="52"/>
      <c r="BM114" s="4">
        <f t="shared" si="2"/>
        <v>7</v>
      </c>
    </row>
    <row r="115" spans="1:65" s="51" customFormat="1" ht="15" customHeight="1" x14ac:dyDescent="0.25">
      <c r="A115" s="50"/>
      <c r="B115" s="60"/>
      <c r="K115" s="61"/>
      <c r="L115" s="63"/>
      <c r="T115" s="61"/>
      <c r="U115" s="63"/>
      <c r="AC115" s="61"/>
      <c r="AD115" s="63"/>
      <c r="AL115" s="61"/>
      <c r="AM115" s="63"/>
      <c r="BI115" s="61"/>
      <c r="BK115" s="52"/>
      <c r="BM115" s="4">
        <f t="shared" si="2"/>
        <v>8</v>
      </c>
    </row>
    <row r="116" spans="1:65" s="51" customFormat="1" ht="15" customHeight="1" x14ac:dyDescent="0.25">
      <c r="A116" s="50"/>
      <c r="B116" s="60"/>
      <c r="K116" s="61"/>
      <c r="L116" s="63"/>
      <c r="T116" s="61"/>
      <c r="U116" s="63"/>
      <c r="AC116" s="61"/>
      <c r="AD116" s="63"/>
      <c r="AL116" s="61"/>
      <c r="AM116" s="63"/>
      <c r="BI116" s="61"/>
      <c r="BK116" s="52"/>
      <c r="BM116" s="4">
        <f t="shared" si="2"/>
        <v>9</v>
      </c>
    </row>
    <row r="117" spans="1:65" s="51" customFormat="1" ht="15" customHeight="1" x14ac:dyDescent="0.25">
      <c r="A117" s="50"/>
      <c r="B117" s="60"/>
      <c r="K117" s="61"/>
      <c r="L117" s="63"/>
      <c r="T117" s="61"/>
      <c r="U117" s="63"/>
      <c r="AC117" s="61"/>
      <c r="AD117" s="63"/>
      <c r="AL117" s="61"/>
      <c r="AM117" s="63"/>
      <c r="BI117" s="61"/>
      <c r="BK117" s="52"/>
      <c r="BM117" s="4">
        <f t="shared" si="2"/>
        <v>10</v>
      </c>
    </row>
    <row r="118" spans="1:65" s="51" customFormat="1" ht="15" customHeight="1" x14ac:dyDescent="0.25">
      <c r="A118" s="50"/>
      <c r="B118" s="60"/>
      <c r="K118" s="61"/>
      <c r="L118" s="63"/>
      <c r="T118" s="61"/>
      <c r="U118" s="63"/>
      <c r="AC118" s="61"/>
      <c r="AD118" s="63"/>
      <c r="AL118" s="61"/>
      <c r="AM118" s="63"/>
      <c r="BI118" s="61"/>
      <c r="BK118" s="52"/>
      <c r="BM118" s="4">
        <f t="shared" si="2"/>
        <v>11</v>
      </c>
    </row>
    <row r="119" spans="1:65" s="51" customFormat="1" ht="15" customHeight="1" x14ac:dyDescent="0.25">
      <c r="A119" s="50"/>
      <c r="B119" s="60"/>
      <c r="K119" s="61"/>
      <c r="L119" s="63"/>
      <c r="T119" s="61"/>
      <c r="U119" s="63"/>
      <c r="AC119" s="61"/>
      <c r="AD119" s="63"/>
      <c r="AL119" s="61"/>
      <c r="AM119" s="63"/>
      <c r="BI119" s="61"/>
      <c r="BK119" s="52"/>
      <c r="BM119" s="4">
        <f t="shared" si="2"/>
        <v>12</v>
      </c>
    </row>
    <row r="120" spans="1:65" s="51" customFormat="1" ht="15" customHeight="1" x14ac:dyDescent="0.25">
      <c r="A120" s="50"/>
      <c r="B120" s="67" t="s">
        <v>58</v>
      </c>
      <c r="C120" s="65"/>
      <c r="D120" s="65"/>
      <c r="E120" s="65"/>
      <c r="F120" s="65"/>
      <c r="G120" s="65"/>
      <c r="H120" s="65"/>
      <c r="I120" s="65"/>
      <c r="J120" s="65"/>
      <c r="K120" s="66"/>
      <c r="L120" s="67"/>
      <c r="M120" s="65"/>
      <c r="N120" s="65"/>
      <c r="O120" s="65"/>
      <c r="P120" s="65"/>
      <c r="Q120" s="65"/>
      <c r="R120" s="65"/>
      <c r="S120" s="65"/>
      <c r="T120" s="66"/>
      <c r="U120" s="67"/>
      <c r="V120" s="65"/>
      <c r="W120" s="65"/>
      <c r="X120" s="65"/>
      <c r="Y120" s="65"/>
      <c r="Z120" s="65"/>
      <c r="AA120" s="65"/>
      <c r="AB120" s="65"/>
      <c r="AC120" s="66"/>
      <c r="AD120" s="67"/>
      <c r="AE120" s="65"/>
      <c r="AF120" s="65"/>
      <c r="AG120" s="65"/>
      <c r="AH120" s="65"/>
      <c r="AI120" s="65"/>
      <c r="AJ120" s="65"/>
      <c r="AK120" s="65"/>
      <c r="AL120" s="66"/>
      <c r="AM120" s="67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65"/>
      <c r="BA120" s="65"/>
      <c r="BB120" s="65"/>
      <c r="BC120" s="65"/>
      <c r="BD120" s="65"/>
      <c r="BE120" s="65"/>
      <c r="BF120" s="65"/>
      <c r="BG120" s="65"/>
      <c r="BH120" s="65"/>
      <c r="BI120" s="66"/>
      <c r="BJ120" s="65"/>
      <c r="BK120" s="52"/>
      <c r="BM120" s="4">
        <f t="shared" si="2"/>
        <v>13</v>
      </c>
    </row>
    <row r="121" spans="1:65" s="51" customFormat="1" ht="15" customHeight="1" x14ac:dyDescent="0.25">
      <c r="A121" s="50"/>
      <c r="B121" s="60"/>
      <c r="K121" s="61"/>
      <c r="L121" s="63"/>
      <c r="T121" s="61"/>
      <c r="U121" s="63"/>
      <c r="AC121" s="61"/>
      <c r="AD121" s="63"/>
      <c r="AL121" s="61"/>
      <c r="AM121" s="63"/>
      <c r="BI121" s="61"/>
      <c r="BK121" s="52"/>
      <c r="BM121" s="4">
        <f t="shared" si="2"/>
        <v>14</v>
      </c>
    </row>
    <row r="122" spans="1:65" s="51" customFormat="1" ht="15" customHeight="1" x14ac:dyDescent="0.25">
      <c r="A122" s="50"/>
      <c r="B122" s="60"/>
      <c r="K122" s="61"/>
      <c r="L122" s="63"/>
      <c r="T122" s="61"/>
      <c r="U122" s="63"/>
      <c r="AC122" s="61"/>
      <c r="AD122" s="63"/>
      <c r="AL122" s="61"/>
      <c r="AM122" s="63"/>
      <c r="BI122" s="61"/>
      <c r="BK122" s="52"/>
      <c r="BM122" s="4">
        <f t="shared" si="2"/>
        <v>15</v>
      </c>
    </row>
    <row r="123" spans="1:65" s="51" customFormat="1" ht="15" customHeight="1" x14ac:dyDescent="0.25">
      <c r="A123" s="50"/>
      <c r="B123" s="60"/>
      <c r="K123" s="61"/>
      <c r="L123" s="63"/>
      <c r="T123" s="61"/>
      <c r="U123" s="63"/>
      <c r="AC123" s="61"/>
      <c r="AD123" s="63"/>
      <c r="AL123" s="61"/>
      <c r="AM123" s="63"/>
      <c r="BI123" s="61"/>
      <c r="BK123" s="52"/>
      <c r="BM123" s="4">
        <f t="shared" si="2"/>
        <v>16</v>
      </c>
    </row>
    <row r="124" spans="1:65" s="51" customFormat="1" ht="15" customHeight="1" x14ac:dyDescent="0.25">
      <c r="A124" s="50"/>
      <c r="B124" s="60"/>
      <c r="K124" s="61"/>
      <c r="L124" s="63"/>
      <c r="T124" s="61"/>
      <c r="U124" s="63"/>
      <c r="AC124" s="61"/>
      <c r="AD124" s="63"/>
      <c r="AL124" s="61"/>
      <c r="AM124" s="63"/>
      <c r="BI124" s="61"/>
      <c r="BK124" s="52"/>
      <c r="BM124" s="4">
        <f t="shared" si="2"/>
        <v>17</v>
      </c>
    </row>
    <row r="125" spans="1:65" s="51" customFormat="1" ht="15" customHeight="1" x14ac:dyDescent="0.25">
      <c r="A125" s="50"/>
      <c r="B125" s="60"/>
      <c r="K125" s="61"/>
      <c r="L125" s="63"/>
      <c r="T125" s="61"/>
      <c r="U125" s="63"/>
      <c r="AC125" s="61"/>
      <c r="AD125" s="63"/>
      <c r="AL125" s="61"/>
      <c r="AM125" s="63"/>
      <c r="BI125" s="61"/>
      <c r="BK125" s="52"/>
      <c r="BM125" s="4">
        <f t="shared" si="2"/>
        <v>18</v>
      </c>
    </row>
    <row r="126" spans="1:65" s="51" customFormat="1" ht="15" customHeight="1" x14ac:dyDescent="0.25">
      <c r="A126" s="50"/>
      <c r="B126" s="60"/>
      <c r="K126" s="61"/>
      <c r="L126" s="63"/>
      <c r="T126" s="61"/>
      <c r="U126" s="63"/>
      <c r="AC126" s="61"/>
      <c r="AD126" s="63"/>
      <c r="AL126" s="61"/>
      <c r="AM126" s="63"/>
      <c r="BI126" s="61"/>
      <c r="BK126" s="52"/>
      <c r="BM126" s="4">
        <f t="shared" ref="BM126:BM141" si="3">IF(BM125=50,1,BM125+1)</f>
        <v>19</v>
      </c>
    </row>
    <row r="127" spans="1:65" s="51" customFormat="1" ht="15" customHeight="1" x14ac:dyDescent="0.25">
      <c r="A127" s="50"/>
      <c r="B127" s="60"/>
      <c r="K127" s="61"/>
      <c r="L127" s="63"/>
      <c r="T127" s="61"/>
      <c r="U127" s="63"/>
      <c r="AC127" s="61"/>
      <c r="AD127" s="63"/>
      <c r="AL127" s="61"/>
      <c r="AM127" s="63"/>
      <c r="BI127" s="61"/>
      <c r="BK127" s="52"/>
      <c r="BM127" s="4">
        <f t="shared" si="3"/>
        <v>20</v>
      </c>
    </row>
    <row r="128" spans="1:65" s="51" customFormat="1" ht="15" customHeight="1" x14ac:dyDescent="0.25">
      <c r="A128" s="50"/>
      <c r="B128" s="60"/>
      <c r="K128" s="61"/>
      <c r="L128" s="63"/>
      <c r="T128" s="61"/>
      <c r="U128" s="63"/>
      <c r="AC128" s="61"/>
      <c r="AD128" s="63"/>
      <c r="AL128" s="61"/>
      <c r="AM128" s="63"/>
      <c r="BI128" s="61"/>
      <c r="BK128" s="52"/>
      <c r="BM128" s="4">
        <f t="shared" si="3"/>
        <v>21</v>
      </c>
    </row>
    <row r="129" spans="1:65" s="51" customFormat="1" ht="15" customHeight="1" x14ac:dyDescent="0.25">
      <c r="A129" s="50"/>
      <c r="B129" s="60"/>
      <c r="K129" s="61"/>
      <c r="L129" s="63"/>
      <c r="T129" s="61"/>
      <c r="U129" s="63"/>
      <c r="AC129" s="61"/>
      <c r="AD129" s="63"/>
      <c r="AL129" s="61"/>
      <c r="AM129" s="63"/>
      <c r="BI129" s="61"/>
      <c r="BK129" s="52"/>
      <c r="BM129" s="4">
        <f t="shared" si="3"/>
        <v>22</v>
      </c>
    </row>
    <row r="130" spans="1:65" s="51" customFormat="1" ht="15" customHeight="1" x14ac:dyDescent="0.25">
      <c r="A130" s="50"/>
      <c r="B130" s="60"/>
      <c r="K130" s="61"/>
      <c r="L130" s="63"/>
      <c r="T130" s="61"/>
      <c r="U130" s="63"/>
      <c r="AC130" s="61"/>
      <c r="AD130" s="63"/>
      <c r="AL130" s="61"/>
      <c r="AM130" s="63"/>
      <c r="BI130" s="61"/>
      <c r="BK130" s="52"/>
      <c r="BM130" s="4">
        <f t="shared" si="3"/>
        <v>23</v>
      </c>
    </row>
    <row r="131" spans="1:65" s="51" customFormat="1" ht="15" customHeight="1" x14ac:dyDescent="0.25">
      <c r="A131" s="50"/>
      <c r="B131" s="60"/>
      <c r="K131" s="61"/>
      <c r="L131" s="63"/>
      <c r="T131" s="61"/>
      <c r="U131" s="63"/>
      <c r="AC131" s="61"/>
      <c r="AD131" s="63"/>
      <c r="AL131" s="61"/>
      <c r="AM131" s="63"/>
      <c r="BI131" s="61"/>
      <c r="BK131" s="52"/>
      <c r="BM131" s="4">
        <f t="shared" si="3"/>
        <v>24</v>
      </c>
    </row>
    <row r="132" spans="1:65" s="51" customFormat="1" ht="15" customHeight="1" x14ac:dyDescent="0.25">
      <c r="A132" s="50"/>
      <c r="B132" s="60"/>
      <c r="K132" s="61"/>
      <c r="L132" s="63"/>
      <c r="T132" s="61"/>
      <c r="U132" s="63"/>
      <c r="AC132" s="61"/>
      <c r="AD132" s="63"/>
      <c r="AL132" s="61"/>
      <c r="AM132" s="63"/>
      <c r="BI132" s="61"/>
      <c r="BK132" s="52"/>
      <c r="BM132" s="4">
        <f t="shared" si="3"/>
        <v>25</v>
      </c>
    </row>
    <row r="133" spans="1:65" s="51" customFormat="1" ht="15" customHeight="1" x14ac:dyDescent="0.25">
      <c r="A133" s="50"/>
      <c r="B133" s="60"/>
      <c r="K133" s="61"/>
      <c r="L133" s="63"/>
      <c r="T133" s="61"/>
      <c r="U133" s="63"/>
      <c r="AC133" s="61"/>
      <c r="AD133" s="63"/>
      <c r="AL133" s="61"/>
      <c r="AM133" s="63"/>
      <c r="BI133" s="61"/>
      <c r="BK133" s="52"/>
      <c r="BM133" s="4">
        <f t="shared" si="3"/>
        <v>26</v>
      </c>
    </row>
    <row r="134" spans="1:65" s="51" customFormat="1" ht="15" customHeight="1" x14ac:dyDescent="0.25">
      <c r="A134" s="50"/>
      <c r="B134" s="60"/>
      <c r="K134" s="61"/>
      <c r="L134" s="63"/>
      <c r="T134" s="61"/>
      <c r="U134" s="63"/>
      <c r="AC134" s="61"/>
      <c r="AD134" s="63"/>
      <c r="AL134" s="61"/>
      <c r="AM134" s="63"/>
      <c r="BI134" s="61"/>
      <c r="BK134" s="52"/>
      <c r="BM134" s="4">
        <f t="shared" si="3"/>
        <v>27</v>
      </c>
    </row>
    <row r="135" spans="1:65" s="51" customFormat="1" ht="15" customHeight="1" x14ac:dyDescent="0.25">
      <c r="A135" s="50"/>
      <c r="B135" s="60"/>
      <c r="K135" s="61"/>
      <c r="L135" s="63"/>
      <c r="T135" s="61"/>
      <c r="U135" s="63"/>
      <c r="AC135" s="61"/>
      <c r="AD135" s="63"/>
      <c r="AL135" s="61"/>
      <c r="AM135" s="63"/>
      <c r="BI135" s="61"/>
      <c r="BK135" s="52"/>
      <c r="BM135" s="4">
        <f t="shared" si="3"/>
        <v>28</v>
      </c>
    </row>
    <row r="136" spans="1:65" s="51" customFormat="1" ht="15" customHeight="1" x14ac:dyDescent="0.25">
      <c r="A136" s="50"/>
      <c r="B136" s="60"/>
      <c r="K136" s="61"/>
      <c r="L136" s="63"/>
      <c r="T136" s="61"/>
      <c r="U136" s="63"/>
      <c r="AC136" s="61"/>
      <c r="AD136" s="63"/>
      <c r="AL136" s="61"/>
      <c r="AM136" s="63"/>
      <c r="BI136" s="61"/>
      <c r="BK136" s="52"/>
      <c r="BM136" s="4">
        <f t="shared" si="3"/>
        <v>29</v>
      </c>
    </row>
    <row r="137" spans="1:65" s="51" customFormat="1" ht="15" customHeight="1" x14ac:dyDescent="0.25">
      <c r="A137" s="50"/>
      <c r="B137" s="60"/>
      <c r="K137" s="61"/>
      <c r="L137" s="63"/>
      <c r="T137" s="61"/>
      <c r="U137" s="63"/>
      <c r="AC137" s="61"/>
      <c r="AD137" s="63"/>
      <c r="AL137" s="61"/>
      <c r="AM137" s="63"/>
      <c r="BI137" s="61"/>
      <c r="BK137" s="52"/>
      <c r="BM137" s="4">
        <f t="shared" si="3"/>
        <v>30</v>
      </c>
    </row>
    <row r="138" spans="1:65" s="51" customFormat="1" ht="15" customHeight="1" x14ac:dyDescent="0.25">
      <c r="A138" s="50"/>
      <c r="B138" s="60"/>
      <c r="K138" s="61"/>
      <c r="L138" s="63"/>
      <c r="T138" s="61"/>
      <c r="U138" s="63"/>
      <c r="AC138" s="61"/>
      <c r="AD138" s="63"/>
      <c r="AL138" s="61"/>
      <c r="AM138" s="63"/>
      <c r="BI138" s="61"/>
      <c r="BK138" s="52"/>
      <c r="BM138" s="4">
        <f t="shared" si="3"/>
        <v>31</v>
      </c>
    </row>
    <row r="139" spans="1:65" s="51" customFormat="1" ht="15" customHeight="1" x14ac:dyDescent="0.25">
      <c r="A139" s="50"/>
      <c r="B139" s="60"/>
      <c r="K139" s="61"/>
      <c r="L139" s="63"/>
      <c r="T139" s="61"/>
      <c r="U139" s="63"/>
      <c r="AC139" s="61"/>
      <c r="AD139" s="63"/>
      <c r="AL139" s="61"/>
      <c r="AM139" s="63"/>
      <c r="BI139" s="61"/>
      <c r="BK139" s="52"/>
      <c r="BM139" s="4">
        <f t="shared" si="3"/>
        <v>32</v>
      </c>
    </row>
    <row r="140" spans="1:65" s="51" customFormat="1" ht="15" customHeight="1" x14ac:dyDescent="0.25">
      <c r="A140" s="50"/>
      <c r="B140" s="60"/>
      <c r="K140" s="61"/>
      <c r="L140" s="63"/>
      <c r="T140" s="61"/>
      <c r="U140" s="63"/>
      <c r="AC140" s="61"/>
      <c r="AD140" s="63"/>
      <c r="AL140" s="61"/>
      <c r="AM140" s="63"/>
      <c r="BI140" s="61"/>
      <c r="BK140" s="52"/>
      <c r="BM140" s="4">
        <f t="shared" si="3"/>
        <v>33</v>
      </c>
    </row>
    <row r="141" spans="1:65" s="51" customFormat="1" ht="15" customHeight="1" x14ac:dyDescent="0.25">
      <c r="A141" s="50"/>
      <c r="B141" s="60"/>
      <c r="K141" s="61"/>
      <c r="L141" s="63"/>
      <c r="T141" s="61"/>
      <c r="U141" s="63"/>
      <c r="AC141" s="61"/>
      <c r="AD141" s="63"/>
      <c r="AL141" s="61"/>
      <c r="AM141" s="63"/>
      <c r="BI141" s="61"/>
      <c r="BK141" s="52"/>
      <c r="BM141" s="4">
        <f t="shared" si="3"/>
        <v>34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24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4" customWidth="1"/>
    <col min="64" max="16384" width="10.109375" style="4"/>
  </cols>
  <sheetData>
    <row r="1" spans="1:63" ht="24.95" customHeight="1" x14ac:dyDescent="0.25">
      <c r="A1" s="174" t="s">
        <v>32</v>
      </c>
      <c r="B1" s="175"/>
      <c r="C1" s="175"/>
      <c r="D1" s="175"/>
      <c r="E1" s="175"/>
      <c r="F1" s="175"/>
      <c r="G1" s="175"/>
      <c r="H1" s="175"/>
      <c r="I1" s="175"/>
      <c r="J1" s="176"/>
      <c r="K1" s="174" t="s">
        <v>33</v>
      </c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6"/>
      <c r="W1" s="177" t="str">
        <f>IF(表紙!W1="","",表紙!W1)</f>
        <v>基本設計書</v>
      </c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9"/>
      <c r="AP1" s="86" t="s">
        <v>35</v>
      </c>
      <c r="AQ1" s="87"/>
      <c r="AR1" s="87"/>
      <c r="AS1" s="88"/>
      <c r="AT1" s="86" t="s">
        <v>36</v>
      </c>
      <c r="AU1" s="87"/>
      <c r="AV1" s="87"/>
      <c r="AW1" s="87"/>
      <c r="AX1" s="88"/>
      <c r="AY1" s="86" t="s">
        <v>37</v>
      </c>
      <c r="AZ1" s="87"/>
      <c r="BA1" s="87"/>
      <c r="BB1" s="88"/>
      <c r="BC1" s="86" t="s">
        <v>38</v>
      </c>
      <c r="BD1" s="87"/>
      <c r="BE1" s="87"/>
      <c r="BF1" s="87"/>
      <c r="BG1" s="88"/>
      <c r="BH1" s="86" t="s">
        <v>39</v>
      </c>
      <c r="BI1" s="87"/>
      <c r="BJ1" s="87"/>
      <c r="BK1" s="88"/>
    </row>
    <row r="2" spans="1:63" ht="15" customHeight="1" x14ac:dyDescent="0.25">
      <c r="A2" s="168" t="str">
        <f>IF(表紙!A2="","",表紙!A2)</f>
        <v>POSサーバー</v>
      </c>
      <c r="B2" s="169"/>
      <c r="C2" s="169"/>
      <c r="D2" s="169"/>
      <c r="E2" s="169"/>
      <c r="F2" s="169"/>
      <c r="G2" s="169"/>
      <c r="H2" s="169"/>
      <c r="I2" s="169"/>
      <c r="J2" s="170"/>
      <c r="K2" s="168" t="str">
        <f>IF(表紙!K2="","",表紙!K2)</f>
        <v>POSサーバー</v>
      </c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70"/>
      <c r="W2" s="180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2"/>
      <c r="AP2" s="71" t="str">
        <f>IF(表紙!AP2="","",表紙!AP2)</f>
        <v>SonMNT</v>
      </c>
      <c r="AQ2" s="72"/>
      <c r="AR2" s="72"/>
      <c r="AS2" s="73"/>
      <c r="AT2" s="100">
        <f>IF(表紙!AT2="","",表紙!AT2)</f>
        <v>45439</v>
      </c>
      <c r="AU2" s="101"/>
      <c r="AV2" s="101"/>
      <c r="AW2" s="101"/>
      <c r="AX2" s="102"/>
      <c r="AY2" s="71" t="str">
        <f>IF(表紙!AY2="","",表紙!AY2)</f>
        <v>LoiLV</v>
      </c>
      <c r="AZ2" s="72"/>
      <c r="BA2" s="72"/>
      <c r="BB2" s="73"/>
      <c r="BC2" s="100">
        <f>IF(表紙!BC2="","",表紙!BC2)</f>
        <v>45464</v>
      </c>
      <c r="BD2" s="101"/>
      <c r="BE2" s="101"/>
      <c r="BF2" s="101"/>
      <c r="BG2" s="102"/>
      <c r="BH2" s="71">
        <f>IF(表紙!BH2="","",表紙!BH2)</f>
        <v>0.51</v>
      </c>
      <c r="BI2" s="72"/>
      <c r="BJ2" s="72"/>
      <c r="BK2" s="73"/>
    </row>
    <row r="3" spans="1:63" ht="15" customHeight="1" x14ac:dyDescent="0.25">
      <c r="A3" s="171"/>
      <c r="B3" s="172"/>
      <c r="C3" s="172"/>
      <c r="D3" s="172"/>
      <c r="E3" s="172"/>
      <c r="F3" s="172"/>
      <c r="G3" s="172"/>
      <c r="H3" s="172"/>
      <c r="I3" s="172"/>
      <c r="J3" s="173"/>
      <c r="K3" s="171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3"/>
      <c r="W3" s="183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N3" s="184"/>
      <c r="AO3" s="185"/>
      <c r="AP3" s="77"/>
      <c r="AQ3" s="78"/>
      <c r="AR3" s="78"/>
      <c r="AS3" s="79"/>
      <c r="AT3" s="103"/>
      <c r="AU3" s="104"/>
      <c r="AV3" s="104"/>
      <c r="AW3" s="104"/>
      <c r="AX3" s="105"/>
      <c r="AY3" s="77"/>
      <c r="AZ3" s="78"/>
      <c r="BA3" s="78"/>
      <c r="BB3" s="79"/>
      <c r="BC3" s="103"/>
      <c r="BD3" s="104"/>
      <c r="BE3" s="104"/>
      <c r="BF3" s="104"/>
      <c r="BG3" s="105"/>
      <c r="BH3" s="77"/>
      <c r="BI3" s="78"/>
      <c r="BJ3" s="78"/>
      <c r="BK3" s="79"/>
    </row>
    <row r="4" spans="1:63" ht="24.95" customHeight="1" x14ac:dyDescent="0.25">
      <c r="A4" s="174" t="s">
        <v>41</v>
      </c>
      <c r="B4" s="175"/>
      <c r="C4" s="175"/>
      <c r="D4" s="175"/>
      <c r="E4" s="175"/>
      <c r="F4" s="175"/>
      <c r="G4" s="176"/>
      <c r="H4" s="186" t="str">
        <f>IF(表紙!H4="","",表紙!H4)</f>
        <v>38_朝割設定</v>
      </c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8"/>
      <c r="U4" s="174" t="s">
        <v>42</v>
      </c>
      <c r="V4" s="175"/>
      <c r="W4" s="175"/>
      <c r="X4" s="175"/>
      <c r="Y4" s="176"/>
      <c r="Z4" s="186" t="str">
        <f>IF(表紙!Z4="","",表紙!Z4)</f>
        <v>概要設計書</v>
      </c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8"/>
      <c r="AP4" s="189" t="str">
        <f ca="1">MID(CELL("filename",A1),FIND("]",CELL("filename",A1))+1,255)</f>
        <v>画面設計書</v>
      </c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8"/>
    </row>
    <row r="5" spans="1:63" ht="5.0999999999999996" customHeight="1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7"/>
    </row>
    <row r="6" spans="1:63" ht="15" customHeight="1" x14ac:dyDescent="0.25">
      <c r="A6" s="8"/>
      <c r="BK6" s="9"/>
    </row>
    <row r="7" spans="1:63" ht="15" customHeight="1" x14ac:dyDescent="0.25">
      <c r="A7" s="8"/>
      <c r="B7" s="68" t="s">
        <v>16</v>
      </c>
      <c r="C7" s="68"/>
      <c r="D7" s="68"/>
      <c r="E7" s="68"/>
      <c r="F7" s="68"/>
      <c r="G7" s="68"/>
      <c r="H7" s="68"/>
      <c r="I7" s="68"/>
      <c r="J7" s="68"/>
      <c r="AE7" s="10"/>
      <c r="BK7" s="9"/>
    </row>
    <row r="8" spans="1:63" ht="15" customHeight="1" x14ac:dyDescent="0.25">
      <c r="A8" s="8"/>
      <c r="BK8" s="9"/>
    </row>
    <row r="9" spans="1:63" ht="15" customHeight="1" x14ac:dyDescent="0.25">
      <c r="A9" s="8"/>
      <c r="BK9" s="9"/>
    </row>
    <row r="10" spans="1:63" ht="15" customHeight="1" x14ac:dyDescent="0.25">
      <c r="A10" s="8"/>
      <c r="BK10" s="9"/>
    </row>
    <row r="11" spans="1:63" ht="15" customHeight="1" x14ac:dyDescent="0.25">
      <c r="A11" s="8"/>
      <c r="BK11" s="9"/>
    </row>
    <row r="12" spans="1:63" ht="15" customHeight="1" x14ac:dyDescent="0.25">
      <c r="A12" s="8"/>
      <c r="BK12" s="9"/>
    </row>
    <row r="13" spans="1:63" ht="15" customHeight="1" x14ac:dyDescent="0.25">
      <c r="A13" s="8"/>
      <c r="BK13" s="9"/>
    </row>
    <row r="14" spans="1:63" ht="15" customHeight="1" x14ac:dyDescent="0.25">
      <c r="A14" s="8"/>
      <c r="BK14" s="9"/>
    </row>
    <row r="15" spans="1:63" ht="15" customHeight="1" x14ac:dyDescent="0.25">
      <c r="A15" s="8"/>
      <c r="BK15" s="9"/>
    </row>
    <row r="16" spans="1:63" ht="15" customHeight="1" x14ac:dyDescent="0.25">
      <c r="A16" s="8"/>
      <c r="BK16" s="9"/>
    </row>
    <row r="17" spans="1:63" ht="15" customHeight="1" x14ac:dyDescent="0.25">
      <c r="A17" s="8"/>
      <c r="BK17" s="9"/>
    </row>
    <row r="18" spans="1:63" ht="15" customHeight="1" x14ac:dyDescent="0.25">
      <c r="A18" s="8"/>
      <c r="BK18" s="9"/>
    </row>
    <row r="19" spans="1:63" ht="15" customHeight="1" x14ac:dyDescent="0.25">
      <c r="A19" s="8"/>
      <c r="BK19" s="9"/>
    </row>
    <row r="20" spans="1:63" ht="15" customHeight="1" x14ac:dyDescent="0.25">
      <c r="A20" s="8"/>
      <c r="BK20" s="9"/>
    </row>
    <row r="21" spans="1:63" ht="15" customHeight="1" x14ac:dyDescent="0.25">
      <c r="A21" s="8"/>
      <c r="BK21" s="9"/>
    </row>
    <row r="22" spans="1:63" ht="15" customHeight="1" x14ac:dyDescent="0.25">
      <c r="A22" s="8"/>
      <c r="BK22" s="9"/>
    </row>
    <row r="23" spans="1:63" ht="15" customHeight="1" x14ac:dyDescent="0.25">
      <c r="A23" s="8"/>
      <c r="BK23" s="9"/>
    </row>
    <row r="24" spans="1:63" ht="15" customHeight="1" x14ac:dyDescent="0.25">
      <c r="A24" s="8"/>
      <c r="BK24" s="9"/>
    </row>
    <row r="25" spans="1:63" ht="14.25" customHeight="1" x14ac:dyDescent="0.25">
      <c r="A25" s="8"/>
      <c r="BK25" s="9"/>
    </row>
    <row r="26" spans="1:63" ht="15" customHeight="1" x14ac:dyDescent="0.25">
      <c r="A26" s="8"/>
      <c r="BK26" s="9"/>
    </row>
    <row r="27" spans="1:63" ht="15" customHeight="1" x14ac:dyDescent="0.25">
      <c r="A27" s="8"/>
      <c r="BK27" s="9"/>
    </row>
    <row r="28" spans="1:63" x14ac:dyDescent="0.25">
      <c r="BK28" s="9"/>
    </row>
    <row r="29" spans="1:63" x14ac:dyDescent="0.25">
      <c r="BK29" s="9"/>
    </row>
    <row r="30" spans="1:63" x14ac:dyDescent="0.25">
      <c r="BK30" s="9"/>
    </row>
    <row r="31" spans="1:63" x14ac:dyDescent="0.25">
      <c r="BK31" s="9"/>
    </row>
    <row r="32" spans="1:63" x14ac:dyDescent="0.25">
      <c r="BK32" s="9"/>
    </row>
    <row r="33" spans="1:63" x14ac:dyDescent="0.25">
      <c r="BK33" s="9"/>
    </row>
    <row r="34" spans="1:63" x14ac:dyDescent="0.25">
      <c r="BK34" s="9"/>
    </row>
    <row r="35" spans="1:63" ht="15" customHeight="1" x14ac:dyDescent="0.25">
      <c r="A35" s="8"/>
      <c r="B35" s="10" t="s">
        <v>61</v>
      </c>
      <c r="BK35" s="9"/>
    </row>
    <row r="36" spans="1:63" x14ac:dyDescent="0.25">
      <c r="BK36" s="9"/>
    </row>
    <row r="37" spans="1:63" ht="15.75" customHeight="1" x14ac:dyDescent="0.25">
      <c r="B37" s="190" t="s">
        <v>62</v>
      </c>
      <c r="C37" s="191"/>
      <c r="D37" s="196" t="s">
        <v>63</v>
      </c>
      <c r="E37" s="197"/>
      <c r="F37" s="197"/>
      <c r="G37" s="197"/>
      <c r="H37" s="197"/>
      <c r="I37" s="197"/>
      <c r="J37" s="191"/>
      <c r="K37" s="196" t="s">
        <v>64</v>
      </c>
      <c r="L37" s="197"/>
      <c r="M37" s="191"/>
      <c r="N37" s="200" t="s">
        <v>17</v>
      </c>
      <c r="O37" s="203" t="s">
        <v>65</v>
      </c>
      <c r="P37" s="221" t="s">
        <v>66</v>
      </c>
      <c r="Q37" s="222"/>
      <c r="R37" s="222"/>
      <c r="S37" s="222"/>
      <c r="T37" s="222"/>
      <c r="U37" s="222"/>
      <c r="V37" s="222"/>
      <c r="W37" s="222"/>
      <c r="X37" s="222"/>
      <c r="Y37" s="222"/>
      <c r="Z37" s="222"/>
      <c r="AA37" s="222"/>
      <c r="AB37" s="222"/>
      <c r="AC37" s="222"/>
      <c r="AD37" s="222"/>
      <c r="AE37" s="222"/>
      <c r="AF37" s="222"/>
      <c r="AG37" s="222"/>
      <c r="AH37" s="222"/>
      <c r="AI37" s="222"/>
      <c r="AJ37" s="222"/>
      <c r="AK37" s="222"/>
      <c r="AL37" s="222"/>
      <c r="AM37" s="222"/>
      <c r="AN37" s="222"/>
      <c r="AO37" s="222"/>
      <c r="AP37" s="222"/>
      <c r="AQ37" s="223"/>
      <c r="AR37" s="206" t="s">
        <v>67</v>
      </c>
      <c r="AS37" s="207"/>
      <c r="AT37" s="207"/>
      <c r="AU37" s="207"/>
      <c r="AV37" s="207"/>
      <c r="AW37" s="207"/>
      <c r="AX37" s="207"/>
      <c r="AY37" s="207"/>
      <c r="AZ37" s="207"/>
      <c r="BA37" s="207"/>
      <c r="BB37" s="210"/>
      <c r="BC37" s="224" t="s">
        <v>68</v>
      </c>
      <c r="BD37" s="225"/>
      <c r="BE37" s="225"/>
      <c r="BF37" s="225"/>
      <c r="BG37" s="225"/>
      <c r="BH37" s="225"/>
      <c r="BI37" s="225"/>
      <c r="BJ37" s="226"/>
      <c r="BK37" s="9"/>
    </row>
    <row r="38" spans="1:63" ht="15.75" customHeight="1" x14ac:dyDescent="0.25">
      <c r="B38" s="192"/>
      <c r="C38" s="193"/>
      <c r="D38" s="192"/>
      <c r="E38" s="198"/>
      <c r="F38" s="198"/>
      <c r="G38" s="198"/>
      <c r="H38" s="198"/>
      <c r="I38" s="198"/>
      <c r="J38" s="193"/>
      <c r="K38" s="192"/>
      <c r="L38" s="198"/>
      <c r="M38" s="193"/>
      <c r="N38" s="201"/>
      <c r="O38" s="204"/>
      <c r="P38" s="233" t="s">
        <v>69</v>
      </c>
      <c r="Q38" s="234"/>
      <c r="R38" s="234"/>
      <c r="S38" s="234"/>
      <c r="T38" s="234"/>
      <c r="U38" s="234"/>
      <c r="V38" s="234"/>
      <c r="W38" s="235"/>
      <c r="X38" s="236" t="s">
        <v>70</v>
      </c>
      <c r="Y38" s="237"/>
      <c r="Z38" s="238"/>
      <c r="AA38" s="236" t="s">
        <v>71</v>
      </c>
      <c r="AB38" s="237"/>
      <c r="AC38" s="237"/>
      <c r="AD38" s="237"/>
      <c r="AE38" s="237"/>
      <c r="AF38" s="237"/>
      <c r="AG38" s="237"/>
      <c r="AH38" s="238"/>
      <c r="AI38" s="236" t="s">
        <v>72</v>
      </c>
      <c r="AJ38" s="237"/>
      <c r="AK38" s="237"/>
      <c r="AL38" s="237"/>
      <c r="AM38" s="237"/>
      <c r="AN38" s="237"/>
      <c r="AO38" s="237"/>
      <c r="AP38" s="237"/>
      <c r="AQ38" s="238"/>
      <c r="AR38" s="242" t="s">
        <v>18</v>
      </c>
      <c r="AS38" s="244" t="s">
        <v>73</v>
      </c>
      <c r="AT38" s="246" t="s">
        <v>74</v>
      </c>
      <c r="AU38" s="206" t="s">
        <v>69</v>
      </c>
      <c r="AV38" s="207"/>
      <c r="AW38" s="207"/>
      <c r="AX38" s="207"/>
      <c r="AY38" s="207"/>
      <c r="AZ38" s="207"/>
      <c r="BA38" s="207"/>
      <c r="BB38" s="210"/>
      <c r="BC38" s="227"/>
      <c r="BD38" s="228"/>
      <c r="BE38" s="228"/>
      <c r="BF38" s="228"/>
      <c r="BG38" s="228"/>
      <c r="BH38" s="228"/>
      <c r="BI38" s="228"/>
      <c r="BJ38" s="229"/>
      <c r="BK38" s="9"/>
    </row>
    <row r="39" spans="1:63" x14ac:dyDescent="0.25">
      <c r="B39" s="194"/>
      <c r="C39" s="195"/>
      <c r="D39" s="194"/>
      <c r="E39" s="199"/>
      <c r="F39" s="199"/>
      <c r="G39" s="199"/>
      <c r="H39" s="199"/>
      <c r="I39" s="199"/>
      <c r="J39" s="195"/>
      <c r="K39" s="194"/>
      <c r="L39" s="199"/>
      <c r="M39" s="195"/>
      <c r="N39" s="202"/>
      <c r="O39" s="205"/>
      <c r="P39" s="221" t="s">
        <v>75</v>
      </c>
      <c r="Q39" s="222"/>
      <c r="R39" s="222"/>
      <c r="S39" s="223"/>
      <c r="T39" s="221" t="s">
        <v>63</v>
      </c>
      <c r="U39" s="222"/>
      <c r="V39" s="222"/>
      <c r="W39" s="223"/>
      <c r="X39" s="239"/>
      <c r="Y39" s="240"/>
      <c r="Z39" s="241"/>
      <c r="AA39" s="239"/>
      <c r="AB39" s="240"/>
      <c r="AC39" s="240"/>
      <c r="AD39" s="240"/>
      <c r="AE39" s="240"/>
      <c r="AF39" s="240"/>
      <c r="AG39" s="240"/>
      <c r="AH39" s="241"/>
      <c r="AI39" s="239"/>
      <c r="AJ39" s="240"/>
      <c r="AK39" s="240"/>
      <c r="AL39" s="240"/>
      <c r="AM39" s="240"/>
      <c r="AN39" s="240"/>
      <c r="AO39" s="240"/>
      <c r="AP39" s="240"/>
      <c r="AQ39" s="241"/>
      <c r="AR39" s="243"/>
      <c r="AS39" s="245"/>
      <c r="AT39" s="247"/>
      <c r="AU39" s="206" t="s">
        <v>75</v>
      </c>
      <c r="AV39" s="207"/>
      <c r="AW39" s="207"/>
      <c r="AX39" s="208"/>
      <c r="AY39" s="209" t="s">
        <v>63</v>
      </c>
      <c r="AZ39" s="207"/>
      <c r="BA39" s="207"/>
      <c r="BB39" s="210"/>
      <c r="BC39" s="230"/>
      <c r="BD39" s="231"/>
      <c r="BE39" s="231"/>
      <c r="BF39" s="231"/>
      <c r="BG39" s="231"/>
      <c r="BH39" s="231"/>
      <c r="BI39" s="231"/>
      <c r="BJ39" s="232"/>
      <c r="BK39" s="9"/>
    </row>
    <row r="40" spans="1:63" ht="15.75" customHeight="1" x14ac:dyDescent="0.25">
      <c r="B40" s="211">
        <v>1</v>
      </c>
      <c r="C40" s="212"/>
      <c r="D40" s="213"/>
      <c r="E40" s="214"/>
      <c r="F40" s="214"/>
      <c r="G40" s="214"/>
      <c r="H40" s="214"/>
      <c r="I40" s="214"/>
      <c r="J40" s="215"/>
      <c r="K40" s="216" t="s">
        <v>19</v>
      </c>
      <c r="L40" s="217"/>
      <c r="M40" s="218"/>
      <c r="N40" s="11" t="s">
        <v>20</v>
      </c>
      <c r="O40" s="12" t="s">
        <v>21</v>
      </c>
      <c r="P40" s="219" t="s">
        <v>20</v>
      </c>
      <c r="Q40" s="220"/>
      <c r="R40" s="220"/>
      <c r="S40" s="212"/>
      <c r="T40" s="219" t="s">
        <v>20</v>
      </c>
      <c r="U40" s="220"/>
      <c r="V40" s="220"/>
      <c r="W40" s="212"/>
      <c r="X40" s="248" t="s">
        <v>59</v>
      </c>
      <c r="Y40" s="249"/>
      <c r="Z40" s="250"/>
      <c r="AA40" s="211" t="s">
        <v>22</v>
      </c>
      <c r="AB40" s="220"/>
      <c r="AC40" s="220"/>
      <c r="AD40" s="220"/>
      <c r="AE40" s="220"/>
      <c r="AF40" s="220"/>
      <c r="AG40" s="220"/>
      <c r="AH40" s="212"/>
      <c r="AI40" s="251" t="s">
        <v>20</v>
      </c>
      <c r="AJ40" s="252"/>
      <c r="AK40" s="252"/>
      <c r="AL40" s="252"/>
      <c r="AM40" s="252"/>
      <c r="AN40" s="252"/>
      <c r="AO40" s="252"/>
      <c r="AP40" s="252"/>
      <c r="AQ40" s="253"/>
      <c r="AR40" s="13" t="s">
        <v>20</v>
      </c>
      <c r="AS40" s="13" t="s">
        <v>22</v>
      </c>
      <c r="AT40" s="13" t="s">
        <v>22</v>
      </c>
      <c r="AU40" s="211" t="s">
        <v>23</v>
      </c>
      <c r="AV40" s="220"/>
      <c r="AW40" s="220"/>
      <c r="AX40" s="212"/>
      <c r="AY40" s="211" t="s">
        <v>22</v>
      </c>
      <c r="AZ40" s="220"/>
      <c r="BA40" s="220"/>
      <c r="BB40" s="212"/>
      <c r="BC40" s="254"/>
      <c r="BD40" s="255"/>
      <c r="BE40" s="255"/>
      <c r="BF40" s="255"/>
      <c r="BG40" s="255"/>
      <c r="BH40" s="255"/>
      <c r="BI40" s="255"/>
      <c r="BJ40" s="256"/>
      <c r="BK40" s="9"/>
    </row>
    <row r="41" spans="1:63" x14ac:dyDescent="0.25">
      <c r="B41" s="257">
        <v>2</v>
      </c>
      <c r="C41" s="258"/>
      <c r="D41" s="264"/>
      <c r="E41" s="265"/>
      <c r="F41" s="265"/>
      <c r="G41" s="265"/>
      <c r="H41" s="265"/>
      <c r="I41" s="265"/>
      <c r="J41" s="266"/>
      <c r="K41" s="216" t="s">
        <v>19</v>
      </c>
      <c r="L41" s="217"/>
      <c r="M41" s="218"/>
      <c r="N41" s="12" t="s">
        <v>24</v>
      </c>
      <c r="O41" s="12" t="s">
        <v>21</v>
      </c>
      <c r="P41" s="257" t="s">
        <v>23</v>
      </c>
      <c r="Q41" s="263"/>
      <c r="R41" s="263"/>
      <c r="S41" s="258"/>
      <c r="T41" s="257" t="s">
        <v>23</v>
      </c>
      <c r="U41" s="263"/>
      <c r="V41" s="263"/>
      <c r="W41" s="258"/>
      <c r="X41" s="277" t="s">
        <v>76</v>
      </c>
      <c r="Y41" s="278"/>
      <c r="Z41" s="279"/>
      <c r="AA41" s="257" t="s">
        <v>22</v>
      </c>
      <c r="AB41" s="263"/>
      <c r="AC41" s="263"/>
      <c r="AD41" s="263"/>
      <c r="AE41" s="263"/>
      <c r="AF41" s="263"/>
      <c r="AG41" s="263"/>
      <c r="AH41" s="258"/>
      <c r="AI41" s="270" t="s">
        <v>22</v>
      </c>
      <c r="AJ41" s="271"/>
      <c r="AK41" s="271"/>
      <c r="AL41" s="271"/>
      <c r="AM41" s="271"/>
      <c r="AN41" s="271"/>
      <c r="AO41" s="271"/>
      <c r="AP41" s="271"/>
      <c r="AQ41" s="272"/>
      <c r="AR41" s="14" t="s">
        <v>20</v>
      </c>
      <c r="AS41" s="14" t="s">
        <v>22</v>
      </c>
      <c r="AT41" s="14" t="s">
        <v>22</v>
      </c>
      <c r="AU41" s="257" t="s">
        <v>23</v>
      </c>
      <c r="AV41" s="263"/>
      <c r="AW41" s="263"/>
      <c r="AX41" s="258"/>
      <c r="AY41" s="257" t="s">
        <v>22</v>
      </c>
      <c r="AZ41" s="263"/>
      <c r="BA41" s="263"/>
      <c r="BB41" s="258"/>
      <c r="BC41" s="276"/>
      <c r="BD41" s="274"/>
      <c r="BE41" s="274"/>
      <c r="BF41" s="274"/>
      <c r="BG41" s="274"/>
      <c r="BH41" s="274"/>
      <c r="BI41" s="274"/>
      <c r="BJ41" s="275"/>
      <c r="BK41" s="9"/>
    </row>
    <row r="42" spans="1:63" x14ac:dyDescent="0.25">
      <c r="B42" s="257">
        <v>3</v>
      </c>
      <c r="C42" s="258"/>
      <c r="D42" s="259"/>
      <c r="E42" s="260"/>
      <c r="F42" s="260"/>
      <c r="G42" s="260"/>
      <c r="H42" s="260"/>
      <c r="I42" s="260"/>
      <c r="J42" s="261"/>
      <c r="K42" s="216" t="s">
        <v>19</v>
      </c>
      <c r="L42" s="217"/>
      <c r="M42" s="218"/>
      <c r="N42" s="12" t="s">
        <v>25</v>
      </c>
      <c r="O42" s="12" t="s">
        <v>20</v>
      </c>
      <c r="P42" s="262" t="s">
        <v>20</v>
      </c>
      <c r="Q42" s="263"/>
      <c r="R42" s="263"/>
      <c r="S42" s="258"/>
      <c r="T42" s="257"/>
      <c r="U42" s="263"/>
      <c r="V42" s="263"/>
      <c r="W42" s="258"/>
      <c r="X42" s="267" t="s">
        <v>20</v>
      </c>
      <c r="Y42" s="268"/>
      <c r="Z42" s="269"/>
      <c r="AA42" s="257" t="s">
        <v>22</v>
      </c>
      <c r="AB42" s="263"/>
      <c r="AC42" s="263"/>
      <c r="AD42" s="263"/>
      <c r="AE42" s="263"/>
      <c r="AF42" s="263"/>
      <c r="AG42" s="263"/>
      <c r="AH42" s="258"/>
      <c r="AI42" s="270" t="s">
        <v>22</v>
      </c>
      <c r="AJ42" s="271"/>
      <c r="AK42" s="271"/>
      <c r="AL42" s="271"/>
      <c r="AM42" s="271"/>
      <c r="AN42" s="271"/>
      <c r="AO42" s="271"/>
      <c r="AP42" s="271"/>
      <c r="AQ42" s="272"/>
      <c r="AR42" s="14" t="s">
        <v>20</v>
      </c>
      <c r="AS42" s="14" t="s">
        <v>22</v>
      </c>
      <c r="AT42" s="14" t="s">
        <v>22</v>
      </c>
      <c r="AU42" s="257" t="s">
        <v>23</v>
      </c>
      <c r="AV42" s="263"/>
      <c r="AW42" s="263"/>
      <c r="AX42" s="258"/>
      <c r="AY42" s="257" t="s">
        <v>22</v>
      </c>
      <c r="AZ42" s="263"/>
      <c r="BA42" s="263"/>
      <c r="BB42" s="258"/>
      <c r="BC42" s="273"/>
      <c r="BD42" s="274"/>
      <c r="BE42" s="274"/>
      <c r="BF42" s="274"/>
      <c r="BG42" s="274"/>
      <c r="BH42" s="274"/>
      <c r="BI42" s="274"/>
      <c r="BJ42" s="275"/>
      <c r="BK42" s="9"/>
    </row>
    <row r="43" spans="1:63" x14ac:dyDescent="0.25">
      <c r="B43" s="257">
        <v>4</v>
      </c>
      <c r="C43" s="258"/>
      <c r="D43" s="280"/>
      <c r="E43" s="281"/>
      <c r="F43" s="281"/>
      <c r="G43" s="281"/>
      <c r="H43" s="281"/>
      <c r="I43" s="281"/>
      <c r="J43" s="282"/>
      <c r="K43" s="216" t="s">
        <v>19</v>
      </c>
      <c r="L43" s="217"/>
      <c r="M43" s="218"/>
      <c r="N43" s="15" t="s">
        <v>24</v>
      </c>
      <c r="O43" s="12" t="s">
        <v>21</v>
      </c>
      <c r="P43" s="257" t="s">
        <v>23</v>
      </c>
      <c r="Q43" s="263"/>
      <c r="R43" s="263"/>
      <c r="S43" s="258"/>
      <c r="T43" s="257" t="s">
        <v>23</v>
      </c>
      <c r="U43" s="263"/>
      <c r="V43" s="263"/>
      <c r="W43" s="258"/>
      <c r="X43" s="283" t="s">
        <v>60</v>
      </c>
      <c r="Y43" s="263"/>
      <c r="Z43" s="258"/>
      <c r="AA43" s="257" t="s">
        <v>22</v>
      </c>
      <c r="AB43" s="263"/>
      <c r="AC43" s="263"/>
      <c r="AD43" s="263"/>
      <c r="AE43" s="263"/>
      <c r="AF43" s="263"/>
      <c r="AG43" s="263"/>
      <c r="AH43" s="258"/>
      <c r="AI43" s="270" t="s">
        <v>22</v>
      </c>
      <c r="AJ43" s="271"/>
      <c r="AK43" s="271"/>
      <c r="AL43" s="271"/>
      <c r="AM43" s="271"/>
      <c r="AN43" s="271"/>
      <c r="AO43" s="271"/>
      <c r="AP43" s="271"/>
      <c r="AQ43" s="272"/>
      <c r="AR43" s="14" t="s">
        <v>20</v>
      </c>
      <c r="AS43" s="14" t="s">
        <v>22</v>
      </c>
      <c r="AT43" s="14" t="s">
        <v>22</v>
      </c>
      <c r="AU43" s="257" t="s">
        <v>23</v>
      </c>
      <c r="AV43" s="263"/>
      <c r="AW43" s="263"/>
      <c r="AX43" s="258"/>
      <c r="AY43" s="257" t="s">
        <v>22</v>
      </c>
      <c r="AZ43" s="263"/>
      <c r="BA43" s="263"/>
      <c r="BB43" s="258"/>
      <c r="BC43" s="284"/>
      <c r="BD43" s="285"/>
      <c r="BE43" s="285"/>
      <c r="BF43" s="285"/>
      <c r="BG43" s="285"/>
      <c r="BH43" s="285"/>
      <c r="BI43" s="285"/>
      <c r="BJ43" s="286"/>
      <c r="BK43" s="9"/>
    </row>
    <row r="44" spans="1:63" x14ac:dyDescent="0.25">
      <c r="B44" s="257">
        <v>5</v>
      </c>
      <c r="C44" s="258"/>
      <c r="D44" s="259"/>
      <c r="E44" s="260"/>
      <c r="F44" s="260"/>
      <c r="G44" s="260"/>
      <c r="H44" s="260"/>
      <c r="I44" s="260"/>
      <c r="J44" s="261"/>
      <c r="K44" s="216" t="s">
        <v>26</v>
      </c>
      <c r="L44" s="217"/>
      <c r="M44" s="218"/>
      <c r="N44" s="15" t="s">
        <v>25</v>
      </c>
      <c r="O44" s="12" t="s">
        <v>20</v>
      </c>
      <c r="P44" s="257" t="s">
        <v>23</v>
      </c>
      <c r="Q44" s="263"/>
      <c r="R44" s="263"/>
      <c r="S44" s="258"/>
      <c r="T44" s="257" t="s">
        <v>23</v>
      </c>
      <c r="U44" s="263"/>
      <c r="V44" s="263"/>
      <c r="W44" s="258"/>
      <c r="X44" s="283" t="s">
        <v>20</v>
      </c>
      <c r="Y44" s="263"/>
      <c r="Z44" s="258"/>
      <c r="AA44" s="257" t="s">
        <v>22</v>
      </c>
      <c r="AB44" s="263"/>
      <c r="AC44" s="263"/>
      <c r="AD44" s="263"/>
      <c r="AE44" s="263"/>
      <c r="AF44" s="263"/>
      <c r="AG44" s="263"/>
      <c r="AH44" s="258"/>
      <c r="AI44" s="270" t="s">
        <v>22</v>
      </c>
      <c r="AJ44" s="271"/>
      <c r="AK44" s="271"/>
      <c r="AL44" s="271"/>
      <c r="AM44" s="271"/>
      <c r="AN44" s="271"/>
      <c r="AO44" s="271"/>
      <c r="AP44" s="271"/>
      <c r="AQ44" s="272"/>
      <c r="AR44" s="14" t="s">
        <v>20</v>
      </c>
      <c r="AS44" s="14" t="s">
        <v>22</v>
      </c>
      <c r="AT44" s="14" t="s">
        <v>22</v>
      </c>
      <c r="AU44" s="257" t="s">
        <v>23</v>
      </c>
      <c r="AV44" s="263"/>
      <c r="AW44" s="263"/>
      <c r="AX44" s="258"/>
      <c r="AY44" s="257" t="s">
        <v>22</v>
      </c>
      <c r="AZ44" s="263"/>
      <c r="BA44" s="263"/>
      <c r="BB44" s="258"/>
      <c r="BC44" s="273"/>
      <c r="BD44" s="274"/>
      <c r="BE44" s="274"/>
      <c r="BF44" s="274"/>
      <c r="BG44" s="274"/>
      <c r="BH44" s="274"/>
      <c r="BI44" s="274"/>
      <c r="BJ44" s="275"/>
      <c r="BK44" s="9"/>
    </row>
    <row r="45" spans="1:63" x14ac:dyDescent="0.25">
      <c r="B45" s="287">
        <v>6</v>
      </c>
      <c r="C45" s="289"/>
      <c r="D45" s="296"/>
      <c r="E45" s="297"/>
      <c r="F45" s="297"/>
      <c r="G45" s="297"/>
      <c r="H45" s="297"/>
      <c r="I45" s="297"/>
      <c r="J45" s="298"/>
      <c r="K45" s="299" t="s">
        <v>27</v>
      </c>
      <c r="L45" s="300"/>
      <c r="M45" s="301"/>
      <c r="N45" s="16" t="s">
        <v>25</v>
      </c>
      <c r="O45" s="16" t="s">
        <v>21</v>
      </c>
      <c r="P45" s="287" t="s">
        <v>23</v>
      </c>
      <c r="Q45" s="288"/>
      <c r="R45" s="288"/>
      <c r="S45" s="289"/>
      <c r="T45" s="287" t="s">
        <v>23</v>
      </c>
      <c r="U45" s="288"/>
      <c r="V45" s="288"/>
      <c r="W45" s="289"/>
      <c r="X45" s="302" t="s">
        <v>77</v>
      </c>
      <c r="Y45" s="303"/>
      <c r="Z45" s="304"/>
      <c r="AA45" s="287" t="s">
        <v>22</v>
      </c>
      <c r="AB45" s="288"/>
      <c r="AC45" s="288"/>
      <c r="AD45" s="288"/>
      <c r="AE45" s="288"/>
      <c r="AF45" s="288"/>
      <c r="AG45" s="288"/>
      <c r="AH45" s="289"/>
      <c r="AI45" s="290" t="s">
        <v>28</v>
      </c>
      <c r="AJ45" s="291"/>
      <c r="AK45" s="291"/>
      <c r="AL45" s="291"/>
      <c r="AM45" s="291"/>
      <c r="AN45" s="291"/>
      <c r="AO45" s="291"/>
      <c r="AP45" s="291"/>
      <c r="AQ45" s="292"/>
      <c r="AR45" s="17" t="s">
        <v>20</v>
      </c>
      <c r="AS45" s="17" t="s">
        <v>22</v>
      </c>
      <c r="AT45" s="17" t="s">
        <v>22</v>
      </c>
      <c r="AU45" s="287" t="s">
        <v>23</v>
      </c>
      <c r="AV45" s="288"/>
      <c r="AW45" s="288"/>
      <c r="AX45" s="289"/>
      <c r="AY45" s="287" t="s">
        <v>22</v>
      </c>
      <c r="AZ45" s="288"/>
      <c r="BA45" s="288"/>
      <c r="BB45" s="289"/>
      <c r="BC45" s="293" t="s">
        <v>29</v>
      </c>
      <c r="BD45" s="294"/>
      <c r="BE45" s="294"/>
      <c r="BF45" s="294"/>
      <c r="BG45" s="294"/>
      <c r="BH45" s="294"/>
      <c r="BI45" s="294"/>
      <c r="BJ45" s="295"/>
      <c r="BK45" s="9"/>
    </row>
    <row r="46" spans="1:63" x14ac:dyDescent="0.25">
      <c r="BK46" s="9"/>
    </row>
    <row r="47" spans="1:63" x14ac:dyDescent="0.25">
      <c r="BK47" s="9"/>
    </row>
    <row r="48" spans="1:63" x14ac:dyDescent="0.25">
      <c r="BK48" s="9"/>
    </row>
    <row r="49" spans="1:63" x14ac:dyDescent="0.25">
      <c r="BK49" s="9"/>
    </row>
    <row r="50" spans="1:63" x14ac:dyDescent="0.25">
      <c r="BK50" s="9"/>
    </row>
    <row r="51" spans="1:63" x14ac:dyDescent="0.25">
      <c r="BK51" s="9"/>
    </row>
    <row r="52" spans="1:63" x14ac:dyDescent="0.25">
      <c r="BK52" s="9"/>
    </row>
    <row r="53" spans="1:63" x14ac:dyDescent="0.25">
      <c r="BK53" s="9"/>
    </row>
    <row r="54" spans="1:63" x14ac:dyDescent="0.25">
      <c r="BK54" s="9"/>
    </row>
    <row r="55" spans="1:6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7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9" customWidth="1"/>
    <col min="61" max="16384" width="2.77734375" style="19"/>
  </cols>
  <sheetData>
    <row r="1" spans="1:63" ht="24.95" customHeight="1" x14ac:dyDescent="0.25">
      <c r="A1" s="174" t="s">
        <v>32</v>
      </c>
      <c r="B1" s="175"/>
      <c r="C1" s="175"/>
      <c r="D1" s="175"/>
      <c r="E1" s="175"/>
      <c r="F1" s="175"/>
      <c r="G1" s="175"/>
      <c r="H1" s="175"/>
      <c r="I1" s="175"/>
      <c r="J1" s="176"/>
      <c r="K1" s="174" t="s">
        <v>33</v>
      </c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6"/>
      <c r="W1" s="177" t="str">
        <f>IF(表紙!W1="","",表紙!W1)</f>
        <v>基本設計書</v>
      </c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9"/>
      <c r="AP1" s="86" t="s">
        <v>35</v>
      </c>
      <c r="AQ1" s="87"/>
      <c r="AR1" s="87"/>
      <c r="AS1" s="88"/>
      <c r="AT1" s="86" t="s">
        <v>36</v>
      </c>
      <c r="AU1" s="87"/>
      <c r="AV1" s="87"/>
      <c r="AW1" s="87"/>
      <c r="AX1" s="88"/>
      <c r="AY1" s="86" t="s">
        <v>37</v>
      </c>
      <c r="AZ1" s="87"/>
      <c r="BA1" s="87"/>
      <c r="BB1" s="88"/>
      <c r="BC1" s="86" t="s">
        <v>38</v>
      </c>
      <c r="BD1" s="87"/>
      <c r="BE1" s="87"/>
      <c r="BF1" s="87"/>
      <c r="BG1" s="88"/>
      <c r="BH1" s="86" t="s">
        <v>39</v>
      </c>
      <c r="BI1" s="87"/>
      <c r="BJ1" s="87"/>
      <c r="BK1" s="88"/>
    </row>
    <row r="2" spans="1:63" ht="15" customHeight="1" x14ac:dyDescent="0.25">
      <c r="A2" s="168" t="str">
        <f>IF(表紙!A2="","",表紙!A2)</f>
        <v>POSサーバー</v>
      </c>
      <c r="B2" s="169"/>
      <c r="C2" s="169"/>
      <c r="D2" s="169"/>
      <c r="E2" s="169"/>
      <c r="F2" s="169"/>
      <c r="G2" s="169"/>
      <c r="H2" s="169"/>
      <c r="I2" s="169"/>
      <c r="J2" s="170"/>
      <c r="K2" s="168" t="str">
        <f>IF(表紙!K2="","",表紙!K2)</f>
        <v>POSサーバー</v>
      </c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70"/>
      <c r="W2" s="180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2"/>
      <c r="AP2" s="71" t="str">
        <f>IF(表紙!AP2="","",表紙!AP2)</f>
        <v>SonMNT</v>
      </c>
      <c r="AQ2" s="72"/>
      <c r="AR2" s="72"/>
      <c r="AS2" s="73"/>
      <c r="AT2" s="100">
        <f>IF(表紙!AT2="","",表紙!AT2)</f>
        <v>45439</v>
      </c>
      <c r="AU2" s="101"/>
      <c r="AV2" s="101"/>
      <c r="AW2" s="101"/>
      <c r="AX2" s="102"/>
      <c r="AY2" s="71" t="str">
        <f>IF(表紙!AY2="","",表紙!AY2)</f>
        <v>LoiLV</v>
      </c>
      <c r="AZ2" s="72"/>
      <c r="BA2" s="72"/>
      <c r="BB2" s="73"/>
      <c r="BC2" s="100">
        <f>IF(表紙!BC2="","",表紙!BC2)</f>
        <v>45464</v>
      </c>
      <c r="BD2" s="101"/>
      <c r="BE2" s="101"/>
      <c r="BF2" s="101"/>
      <c r="BG2" s="102"/>
      <c r="BH2" s="71">
        <f>IF(表紙!BH2="","",表紙!BH2)</f>
        <v>0.51</v>
      </c>
      <c r="BI2" s="72"/>
      <c r="BJ2" s="72"/>
      <c r="BK2" s="73"/>
    </row>
    <row r="3" spans="1:63" ht="15" customHeight="1" x14ac:dyDescent="0.25">
      <c r="A3" s="171"/>
      <c r="B3" s="172"/>
      <c r="C3" s="172"/>
      <c r="D3" s="172"/>
      <c r="E3" s="172"/>
      <c r="F3" s="172"/>
      <c r="G3" s="172"/>
      <c r="H3" s="172"/>
      <c r="I3" s="172"/>
      <c r="J3" s="173"/>
      <c r="K3" s="171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3"/>
      <c r="W3" s="183"/>
      <c r="X3" s="184"/>
      <c r="Y3" s="184"/>
      <c r="Z3" s="184"/>
      <c r="AA3" s="184"/>
      <c r="AB3" s="184"/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N3" s="184"/>
      <c r="AO3" s="185"/>
      <c r="AP3" s="77"/>
      <c r="AQ3" s="78"/>
      <c r="AR3" s="78"/>
      <c r="AS3" s="79"/>
      <c r="AT3" s="103"/>
      <c r="AU3" s="104"/>
      <c r="AV3" s="104"/>
      <c r="AW3" s="104"/>
      <c r="AX3" s="105"/>
      <c r="AY3" s="77"/>
      <c r="AZ3" s="78"/>
      <c r="BA3" s="78"/>
      <c r="BB3" s="79"/>
      <c r="BC3" s="103"/>
      <c r="BD3" s="104"/>
      <c r="BE3" s="104"/>
      <c r="BF3" s="104"/>
      <c r="BG3" s="105"/>
      <c r="BH3" s="77"/>
      <c r="BI3" s="78"/>
      <c r="BJ3" s="78"/>
      <c r="BK3" s="79"/>
    </row>
    <row r="4" spans="1:63" ht="24.95" customHeight="1" x14ac:dyDescent="0.25">
      <c r="A4" s="174" t="s">
        <v>41</v>
      </c>
      <c r="B4" s="175"/>
      <c r="C4" s="175"/>
      <c r="D4" s="175"/>
      <c r="E4" s="175"/>
      <c r="F4" s="175"/>
      <c r="G4" s="176"/>
      <c r="H4" s="186" t="str">
        <f>IF(表紙!H4="","",表紙!H4)</f>
        <v>38_朝割設定</v>
      </c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8"/>
      <c r="U4" s="174" t="s">
        <v>42</v>
      </c>
      <c r="V4" s="175"/>
      <c r="W4" s="175"/>
      <c r="X4" s="175"/>
      <c r="Y4" s="176"/>
      <c r="Z4" s="186" t="str">
        <f>IF(表紙!Z4="","",表紙!Z4)</f>
        <v>概要設計書</v>
      </c>
      <c r="AA4" s="187"/>
      <c r="AB4" s="187"/>
      <c r="AC4" s="187"/>
      <c r="AD4" s="187"/>
      <c r="AE4" s="187"/>
      <c r="AF4" s="187"/>
      <c r="AG4" s="187"/>
      <c r="AH4" s="187"/>
      <c r="AI4" s="187"/>
      <c r="AJ4" s="187"/>
      <c r="AK4" s="187"/>
      <c r="AL4" s="187"/>
      <c r="AM4" s="187"/>
      <c r="AN4" s="187"/>
      <c r="AO4" s="188"/>
      <c r="AP4" s="189" t="str">
        <f ca="1">MID(CELL("filename",A1),FIND("]",CELL("filename",A1))+1,255)</f>
        <v>テンプレート</v>
      </c>
      <c r="AQ4" s="187"/>
      <c r="AR4" s="187"/>
      <c r="AS4" s="187"/>
      <c r="AT4" s="187"/>
      <c r="AU4" s="187"/>
      <c r="AV4" s="187"/>
      <c r="AW4" s="187"/>
      <c r="AX4" s="187"/>
      <c r="AY4" s="187"/>
      <c r="AZ4" s="187"/>
      <c r="BA4" s="187"/>
      <c r="BB4" s="187"/>
      <c r="BC4" s="187"/>
      <c r="BD4" s="187"/>
      <c r="BE4" s="187"/>
      <c r="BF4" s="187"/>
      <c r="BG4" s="187"/>
      <c r="BH4" s="187"/>
      <c r="BI4" s="187"/>
      <c r="BJ4" s="187"/>
      <c r="BK4" s="188"/>
    </row>
    <row r="5" spans="1:63" ht="5.0999999999999996" customHeight="1" x14ac:dyDescent="0.25">
      <c r="A5" s="20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2"/>
    </row>
    <row r="6" spans="1:63" ht="15" customHeight="1" x14ac:dyDescent="0.25">
      <c r="A6" s="23"/>
      <c r="BK6" s="24"/>
    </row>
    <row r="7" spans="1:63" ht="15" customHeight="1" x14ac:dyDescent="0.25">
      <c r="A7" s="23"/>
      <c r="B7" s="56"/>
      <c r="C7" s="57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9"/>
      <c r="U7" s="57"/>
      <c r="V7" s="58"/>
      <c r="W7" s="58"/>
      <c r="X7" s="58"/>
      <c r="Y7" s="58"/>
      <c r="Z7" s="58"/>
      <c r="AA7" s="58"/>
      <c r="AB7" s="58"/>
      <c r="AC7" s="59"/>
      <c r="AD7" s="57"/>
      <c r="AE7" s="58"/>
      <c r="AF7" s="58"/>
      <c r="AG7" s="58"/>
      <c r="AH7" s="58"/>
      <c r="AI7" s="58"/>
      <c r="AJ7" s="58"/>
      <c r="AK7" s="58"/>
      <c r="AL7" s="59"/>
      <c r="AM7" s="57"/>
      <c r="AN7" s="58"/>
      <c r="AO7" s="58"/>
      <c r="AP7" s="58"/>
      <c r="AQ7" s="58"/>
      <c r="AR7" s="58"/>
      <c r="AS7" s="58"/>
      <c r="AT7" s="58"/>
      <c r="AU7" s="58"/>
      <c r="AV7" s="58"/>
      <c r="AW7" s="58"/>
      <c r="AX7" s="58"/>
      <c r="AY7" s="58"/>
      <c r="AZ7" s="58"/>
      <c r="BA7" s="58"/>
      <c r="BB7" s="58"/>
      <c r="BC7" s="58"/>
      <c r="BD7" s="58"/>
      <c r="BE7" s="58"/>
      <c r="BF7" s="58"/>
      <c r="BG7" s="58"/>
      <c r="BH7" s="58"/>
      <c r="BI7" s="59"/>
      <c r="BJ7" s="58"/>
      <c r="BK7" s="24"/>
    </row>
    <row r="8" spans="1:63" ht="15" customHeight="1" x14ac:dyDescent="0.25">
      <c r="A8" s="23"/>
      <c r="C8" s="60"/>
      <c r="U8" s="60"/>
      <c r="AD8" s="60"/>
      <c r="AM8" s="60"/>
      <c r="BI8" s="62"/>
    </row>
    <row r="9" spans="1:63" ht="15" customHeight="1" x14ac:dyDescent="0.25">
      <c r="A9" s="23"/>
      <c r="C9" s="60"/>
      <c r="U9" s="60"/>
      <c r="AD9" s="60"/>
      <c r="AM9" s="60"/>
      <c r="BI9" s="62"/>
    </row>
    <row r="10" spans="1:63" ht="15" customHeight="1" x14ac:dyDescent="0.25">
      <c r="A10" s="23"/>
      <c r="C10" s="60"/>
      <c r="U10" s="60"/>
      <c r="AD10" s="60"/>
      <c r="AM10" s="60"/>
      <c r="BI10" s="62"/>
    </row>
    <row r="11" spans="1:63" ht="15" customHeight="1" x14ac:dyDescent="0.25">
      <c r="A11" s="23"/>
      <c r="C11" s="60"/>
      <c r="U11" s="60"/>
      <c r="AD11" s="60"/>
      <c r="AM11" s="60"/>
      <c r="BI11" s="62"/>
    </row>
    <row r="12" spans="1:63" ht="15" customHeight="1" x14ac:dyDescent="0.25">
      <c r="A12" s="23"/>
      <c r="C12" s="60"/>
      <c r="U12" s="60"/>
      <c r="AD12" s="60"/>
      <c r="AM12" s="60"/>
      <c r="AX12" s="19" t="s">
        <v>30</v>
      </c>
      <c r="BI12" s="62"/>
    </row>
    <row r="13" spans="1:63" ht="15" customHeight="1" x14ac:dyDescent="0.25">
      <c r="A13" s="23"/>
      <c r="C13" s="60"/>
      <c r="U13" s="60"/>
      <c r="AD13" s="60"/>
      <c r="AM13" s="60"/>
      <c r="BI13" s="62"/>
    </row>
    <row r="14" spans="1:63" ht="15" customHeight="1" x14ac:dyDescent="0.25">
      <c r="A14" s="23"/>
      <c r="C14" s="60"/>
      <c r="U14" s="60"/>
      <c r="AD14" s="60"/>
      <c r="AM14" s="60"/>
      <c r="BI14" s="62"/>
    </row>
    <row r="15" spans="1:63" ht="15" customHeight="1" x14ac:dyDescent="0.25">
      <c r="A15" s="23"/>
      <c r="C15" s="60"/>
      <c r="U15" s="60"/>
      <c r="AD15" s="60"/>
      <c r="AM15" s="60"/>
      <c r="BI15" s="62"/>
    </row>
    <row r="16" spans="1:63" ht="15" customHeight="1" x14ac:dyDescent="0.25">
      <c r="A16" s="23"/>
      <c r="C16" s="60"/>
      <c r="U16" s="60"/>
      <c r="AD16" s="60"/>
      <c r="AM16" s="60"/>
      <c r="BI16" s="62"/>
    </row>
    <row r="17" spans="1:61" ht="15" customHeight="1" x14ac:dyDescent="0.25">
      <c r="A17" s="23"/>
      <c r="C17" s="60"/>
      <c r="U17" s="60"/>
      <c r="AD17" s="60"/>
      <c r="AM17" s="60"/>
      <c r="BI17" s="62"/>
    </row>
    <row r="18" spans="1:61" ht="15" customHeight="1" x14ac:dyDescent="0.25">
      <c r="A18" s="23"/>
      <c r="C18" s="60"/>
      <c r="U18" s="60"/>
      <c r="AD18" s="60"/>
      <c r="AM18" s="60"/>
      <c r="BI18" s="62"/>
    </row>
    <row r="19" spans="1:61" ht="15" customHeight="1" x14ac:dyDescent="0.25">
      <c r="A19" s="23"/>
      <c r="C19" s="60"/>
      <c r="U19" s="60"/>
      <c r="AD19" s="60"/>
      <c r="AM19" s="60"/>
      <c r="BI19" s="62"/>
    </row>
    <row r="20" spans="1:61" ht="15" customHeight="1" x14ac:dyDescent="0.25">
      <c r="A20" s="23"/>
      <c r="C20" s="60"/>
      <c r="U20" s="60"/>
      <c r="AD20" s="60"/>
      <c r="AM20" s="60"/>
      <c r="BI20" s="62"/>
    </row>
    <row r="21" spans="1:61" ht="15" customHeight="1" x14ac:dyDescent="0.25">
      <c r="A21" s="23"/>
      <c r="C21" s="60"/>
      <c r="U21" s="60"/>
      <c r="AD21" s="60"/>
      <c r="AM21" s="60"/>
      <c r="BI21" s="62"/>
    </row>
    <row r="22" spans="1:61" ht="15" customHeight="1" x14ac:dyDescent="0.25">
      <c r="A22" s="23"/>
      <c r="C22" s="60"/>
      <c r="U22" s="60"/>
      <c r="AD22" s="60"/>
      <c r="AM22" s="60"/>
      <c r="BI22" s="62"/>
    </row>
    <row r="23" spans="1:61" ht="15" customHeight="1" x14ac:dyDescent="0.25">
      <c r="A23" s="23"/>
      <c r="C23" s="60"/>
      <c r="U23" s="60"/>
      <c r="AD23" s="60"/>
      <c r="AM23" s="60"/>
      <c r="BI23" s="62"/>
    </row>
    <row r="24" spans="1:61" ht="15" customHeight="1" x14ac:dyDescent="0.25">
      <c r="A24" s="23"/>
      <c r="C24" s="60"/>
      <c r="U24" s="60"/>
      <c r="AD24" s="60"/>
      <c r="AM24" s="60"/>
      <c r="BI24" s="62"/>
    </row>
    <row r="25" spans="1:61" ht="15" customHeight="1" x14ac:dyDescent="0.25">
      <c r="A25" s="23"/>
      <c r="C25" s="60"/>
      <c r="U25" s="60"/>
      <c r="AD25" s="60"/>
      <c r="AM25" s="60"/>
      <c r="BI25" s="62"/>
    </row>
    <row r="26" spans="1:61" ht="15" customHeight="1" x14ac:dyDescent="0.25">
      <c r="A26" s="23"/>
      <c r="C26" s="60"/>
      <c r="U26" s="60"/>
      <c r="AD26" s="60"/>
      <c r="AM26" s="60"/>
      <c r="BI26" s="62"/>
    </row>
    <row r="27" spans="1:61" ht="15" customHeight="1" x14ac:dyDescent="0.25">
      <c r="A27" s="23"/>
      <c r="C27" s="60"/>
      <c r="U27" s="60"/>
      <c r="AD27" s="60"/>
      <c r="AM27" s="60"/>
      <c r="BI27" s="62"/>
    </row>
    <row r="28" spans="1:61" ht="15" customHeight="1" x14ac:dyDescent="0.25">
      <c r="A28" s="23"/>
      <c r="C28" s="60"/>
      <c r="U28" s="60"/>
      <c r="AD28" s="60"/>
      <c r="AM28" s="60"/>
      <c r="BI28" s="62"/>
    </row>
    <row r="29" spans="1:61" ht="15" customHeight="1" x14ac:dyDescent="0.25">
      <c r="A29" s="23"/>
      <c r="C29" s="60"/>
      <c r="U29" s="60"/>
      <c r="AD29" s="60"/>
      <c r="AM29" s="60"/>
      <c r="BI29" s="62"/>
    </row>
    <row r="30" spans="1:61" ht="15" customHeight="1" x14ac:dyDescent="0.25">
      <c r="A30" s="23"/>
      <c r="C30" s="60"/>
      <c r="U30" s="60"/>
      <c r="AD30" s="60"/>
      <c r="AM30" s="60"/>
      <c r="BI30" s="62"/>
    </row>
    <row r="31" spans="1:61" ht="15" customHeight="1" x14ac:dyDescent="0.25">
      <c r="A31" s="23"/>
      <c r="C31" s="60"/>
      <c r="U31" s="60"/>
      <c r="AD31" s="60"/>
      <c r="AM31" s="60"/>
      <c r="BI31" s="62"/>
    </row>
    <row r="32" spans="1:61" ht="15" customHeight="1" x14ac:dyDescent="0.25">
      <c r="A32" s="23"/>
      <c r="C32" s="60"/>
      <c r="U32" s="60"/>
      <c r="AD32" s="60"/>
      <c r="AM32" s="60"/>
      <c r="BI32" s="62"/>
    </row>
    <row r="33" spans="1:61" ht="15" customHeight="1" x14ac:dyDescent="0.25">
      <c r="A33" s="23"/>
      <c r="C33" s="60"/>
      <c r="U33" s="60"/>
      <c r="AD33" s="60"/>
      <c r="AM33" s="60"/>
      <c r="BI33" s="62"/>
    </row>
    <row r="34" spans="1:61" ht="15" customHeight="1" x14ac:dyDescent="0.25">
      <c r="A34" s="23"/>
      <c r="C34" s="60"/>
      <c r="U34" s="60"/>
      <c r="AD34" s="60"/>
      <c r="AM34" s="60"/>
      <c r="BI34" s="62"/>
    </row>
    <row r="35" spans="1:61" ht="15" customHeight="1" x14ac:dyDescent="0.25">
      <c r="A35" s="23"/>
      <c r="C35" s="60"/>
      <c r="U35" s="60"/>
      <c r="AD35" s="60"/>
      <c r="AM35" s="60"/>
      <c r="BI35" s="62"/>
    </row>
    <row r="36" spans="1:61" ht="15" customHeight="1" x14ac:dyDescent="0.25">
      <c r="A36" s="23"/>
      <c r="C36" s="60"/>
      <c r="U36" s="60"/>
      <c r="AD36" s="60"/>
      <c r="AM36" s="60"/>
      <c r="BI36" s="62"/>
    </row>
    <row r="37" spans="1:61" ht="15" customHeight="1" x14ac:dyDescent="0.25">
      <c r="A37" s="23"/>
      <c r="C37" s="60"/>
      <c r="U37" s="60"/>
      <c r="AD37" s="60"/>
      <c r="AM37" s="60"/>
      <c r="BI37" s="62"/>
    </row>
    <row r="38" spans="1:61" ht="15" customHeight="1" x14ac:dyDescent="0.25">
      <c r="A38" s="23"/>
      <c r="C38" s="60"/>
      <c r="U38" s="60"/>
      <c r="AD38" s="60"/>
      <c r="AM38" s="60"/>
      <c r="BI38" s="62"/>
    </row>
    <row r="39" spans="1:61" ht="15" customHeight="1" x14ac:dyDescent="0.25">
      <c r="A39" s="23"/>
      <c r="C39" s="60"/>
      <c r="U39" s="60"/>
      <c r="AD39" s="60"/>
      <c r="AM39" s="60"/>
      <c r="BI39" s="62"/>
    </row>
    <row r="40" spans="1:61" ht="15" customHeight="1" x14ac:dyDescent="0.25">
      <c r="A40" s="23"/>
      <c r="C40" s="60"/>
      <c r="U40" s="60"/>
      <c r="AD40" s="60"/>
      <c r="AM40" s="60"/>
      <c r="BI40" s="62"/>
    </row>
    <row r="41" spans="1:61" ht="15" customHeight="1" x14ac:dyDescent="0.25">
      <c r="A41" s="23"/>
      <c r="C41" s="60"/>
      <c r="U41" s="60"/>
      <c r="AD41" s="60"/>
      <c r="AM41" s="60"/>
      <c r="BI41" s="62"/>
    </row>
    <row r="42" spans="1:61" ht="15" customHeight="1" x14ac:dyDescent="0.25">
      <c r="A42" s="23"/>
      <c r="C42" s="60"/>
      <c r="U42" s="60"/>
      <c r="AD42" s="60"/>
      <c r="AM42" s="60"/>
      <c r="BI42" s="62"/>
    </row>
    <row r="43" spans="1:61" ht="15" customHeight="1" x14ac:dyDescent="0.25">
      <c r="A43" s="23"/>
      <c r="C43" s="60"/>
      <c r="U43" s="60"/>
      <c r="AD43" s="60"/>
      <c r="AM43" s="60"/>
      <c r="BI43" s="62"/>
    </row>
    <row r="44" spans="1:61" ht="15" customHeight="1" x14ac:dyDescent="0.25">
      <c r="A44" s="23"/>
      <c r="C44" s="60"/>
      <c r="U44" s="60"/>
      <c r="AD44" s="60"/>
      <c r="AM44" s="60"/>
      <c r="BI44" s="62"/>
    </row>
    <row r="45" spans="1:61" ht="15" customHeight="1" x14ac:dyDescent="0.25">
      <c r="A45" s="23"/>
      <c r="C45" s="60"/>
      <c r="U45" s="60"/>
      <c r="AD45" s="60"/>
      <c r="AM45" s="60"/>
      <c r="BI45" s="62"/>
    </row>
    <row r="46" spans="1:61" ht="15" customHeight="1" x14ac:dyDescent="0.25">
      <c r="A46" s="23"/>
      <c r="C46" s="60"/>
      <c r="U46" s="60"/>
      <c r="AD46" s="60"/>
      <c r="AM46" s="60"/>
      <c r="BI46" s="62"/>
    </row>
    <row r="47" spans="1:61" ht="15" customHeight="1" x14ac:dyDescent="0.25">
      <c r="A47" s="23"/>
      <c r="C47" s="60"/>
      <c r="U47" s="60"/>
      <c r="AD47" s="60"/>
      <c r="AM47" s="60"/>
      <c r="BI47" s="62"/>
    </row>
    <row r="48" spans="1:61" ht="15" customHeight="1" x14ac:dyDescent="0.25">
      <c r="A48" s="23"/>
      <c r="C48" s="60"/>
      <c r="U48" s="60"/>
      <c r="AD48" s="60"/>
      <c r="AM48" s="60"/>
      <c r="BI48" s="62"/>
    </row>
    <row r="49" spans="1:63" ht="15" customHeight="1" x14ac:dyDescent="0.25">
      <c r="A49" s="23"/>
      <c r="C49" s="60"/>
      <c r="U49" s="60"/>
      <c r="AD49" s="60"/>
      <c r="AM49" s="60"/>
      <c r="BI49" s="62"/>
    </row>
    <row r="50" spans="1:63" ht="15" customHeight="1" x14ac:dyDescent="0.25">
      <c r="A50" s="23"/>
      <c r="C50" s="60"/>
      <c r="U50" s="60"/>
      <c r="AD50" s="60"/>
      <c r="AM50" s="60"/>
      <c r="BI50" s="62"/>
    </row>
    <row r="51" spans="1:63" ht="15" customHeight="1" x14ac:dyDescent="0.25">
      <c r="A51" s="23"/>
      <c r="C51" s="60"/>
      <c r="U51" s="60"/>
      <c r="AD51" s="60"/>
      <c r="AM51" s="60"/>
      <c r="BI51" s="62"/>
    </row>
    <row r="52" spans="1:63" ht="15" customHeight="1" x14ac:dyDescent="0.25">
      <c r="A52" s="23"/>
      <c r="C52" s="60"/>
      <c r="U52" s="60"/>
      <c r="AD52" s="60"/>
      <c r="AM52" s="60"/>
      <c r="BI52" s="62"/>
    </row>
    <row r="53" spans="1:63" ht="15" customHeight="1" x14ac:dyDescent="0.25">
      <c r="A53" s="23"/>
      <c r="C53" s="60"/>
      <c r="U53" s="60"/>
      <c r="AD53" s="60"/>
      <c r="AM53" s="60"/>
      <c r="BI53" s="62"/>
    </row>
    <row r="54" spans="1:63" ht="15" customHeight="1" x14ac:dyDescent="0.25">
      <c r="A54" s="23"/>
      <c r="C54" s="60"/>
      <c r="U54" s="60"/>
      <c r="AD54" s="60"/>
      <c r="AM54" s="60"/>
      <c r="BI54" s="62"/>
    </row>
    <row r="55" spans="1:63" ht="15" customHeight="1" x14ac:dyDescent="0.25">
      <c r="A55" s="20"/>
      <c r="B55" s="69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69"/>
      <c r="V55" s="21"/>
      <c r="W55" s="21"/>
      <c r="X55" s="21"/>
      <c r="Y55" s="21"/>
      <c r="Z55" s="21"/>
      <c r="AA55" s="21"/>
      <c r="AB55" s="21"/>
      <c r="AC55" s="21"/>
      <c r="AD55" s="69"/>
      <c r="AE55" s="21"/>
      <c r="AF55" s="21"/>
      <c r="AG55" s="21"/>
      <c r="AH55" s="21"/>
      <c r="AI55" s="21"/>
      <c r="AJ55" s="21"/>
      <c r="AK55" s="21"/>
      <c r="AL55" s="21"/>
      <c r="AM55" s="69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70"/>
      <c r="BJ55" s="21"/>
      <c r="BK55" s="22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業務フロー凡例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Nguyen Mai Anh</cp:lastModifiedBy>
  <dcterms:created xsi:type="dcterms:W3CDTF">2015-06-05T18:19:34Z</dcterms:created>
  <dcterms:modified xsi:type="dcterms:W3CDTF">2024-08-13T04:44:22Z</dcterms:modified>
  <cp:category/>
  <cp:contentStatus/>
</cp:coreProperties>
</file>