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197B5558-5F63-4A1A-9817-EE6A272D4DE8}"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業務フロー凡例" sheetId="6" r:id="rId3"/>
    <sheet name="機能概要説明" sheetId="8" r:id="rId4"/>
    <sheet name="機能概要" sheetId="5" r:id="rId5"/>
    <sheet name="画面設計書" sheetId="11" r:id="rId6"/>
    <sheet name="テンプレート" sheetId="10" r:id="rId7"/>
  </sheets>
  <externalReferences>
    <externalReference r:id="rId8"/>
  </externalReferences>
  <definedNames>
    <definedName name="_xlnm.Print_Area" localSheetId="6">テンプレート!$A$1:$BK$55</definedName>
    <definedName name="_xlnm.Print_Area" localSheetId="1">改訂履歴!$A$1:$BK$55</definedName>
    <definedName name="_xlnm.Print_Area" localSheetId="4">機能概要!$A$1:$BK$101</definedName>
    <definedName name="_xlnm.Print_Area" localSheetId="3">機能概要説明!$A$1:$BK$57</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業務フロー凡例!$1:$5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1" i="11" l="1"/>
  <c r="A2" i="11"/>
  <c r="K2" i="11"/>
  <c r="AP2" i="11"/>
  <c r="AT2" i="11"/>
  <c r="AY2" i="11"/>
  <c r="BC2" i="11"/>
  <c r="BH2" i="11"/>
  <c r="H4" i="11"/>
  <c r="Z4" i="11"/>
  <c r="AP4" i="11"/>
  <c r="AP4" i="10" l="1"/>
  <c r="Z4" i="10"/>
  <c r="H4" i="10"/>
  <c r="AT2" i="10"/>
  <c r="K2" i="10"/>
  <c r="A2" i="10"/>
  <c r="W1" i="10"/>
  <c r="BM8" i="5"/>
  <c r="BM9" i="5" s="1"/>
  <c r="BM10" i="5" s="1"/>
  <c r="BM11" i="5" s="1"/>
  <c r="BM12" i="5" s="1"/>
  <c r="BM13" i="5" s="1"/>
  <c r="BM14" i="5" s="1"/>
  <c r="BM15" i="5" s="1"/>
  <c r="BM16" i="5" s="1"/>
  <c r="BM17" i="5" s="1"/>
  <c r="BM18" i="5" s="1"/>
  <c r="BM19" i="5" s="1"/>
  <c r="BM20" i="5" s="1"/>
  <c r="BM21"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AP4" i="5" a="1"/>
  <c r="AP4" i="5" s="1"/>
  <c r="Z4" i="5"/>
  <c r="H4" i="5"/>
  <c r="AT2" i="5"/>
  <c r="K2" i="5"/>
  <c r="A2" i="5"/>
  <c r="W1" i="5"/>
  <c r="BM10" i="8"/>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9" i="8"/>
  <c r="BM8" i="8"/>
  <c r="BM7" i="8"/>
  <c r="AP4" i="8" a="1"/>
  <c r="AP4" i="8" s="1"/>
  <c r="Z4" i="8"/>
  <c r="H4" i="8"/>
  <c r="AP2" i="8"/>
  <c r="K2" i="8"/>
  <c r="A2" i="8"/>
  <c r="W1" i="8"/>
  <c r="AP4" i="6" a="1"/>
  <c r="AP4" i="6" s="1"/>
  <c r="Z4" i="6"/>
  <c r="H4" i="6"/>
  <c r="K2" i="6"/>
  <c r="A2" i="6"/>
  <c r="W1" i="6"/>
  <c r="AP4" i="3" a="1"/>
  <c r="AP4" i="3" s="1"/>
  <c r="Z4" i="3"/>
  <c r="H4" i="3"/>
  <c r="K2" i="3"/>
  <c r="A2" i="3"/>
  <c r="W1" i="3"/>
  <c r="L24" i="4"/>
  <c r="AP4" i="4" a="1"/>
  <c r="AP4" i="4" s="1"/>
  <c r="BH2" i="4"/>
  <c r="BH2" i="3" s="1"/>
  <c r="BC2" i="4"/>
  <c r="BC2" i="10" s="1"/>
  <c r="AY2" i="4"/>
  <c r="AT2" i="4"/>
  <c r="AT2" i="3" s="1"/>
  <c r="AP2" i="4"/>
  <c r="AP2" i="6" s="1"/>
  <c r="BC2" i="3" l="1"/>
  <c r="BH2" i="6"/>
  <c r="BH2" i="8"/>
  <c r="AY2" i="3"/>
  <c r="BC2" i="6"/>
  <c r="BC2" i="8"/>
  <c r="AP2" i="5"/>
  <c r="BH2" i="5"/>
  <c r="AP2" i="10"/>
  <c r="BH2" i="10"/>
  <c r="AP2" i="3"/>
  <c r="AT2" i="8"/>
  <c r="AY2" i="5"/>
  <c r="AY2" i="10"/>
  <c r="AY2" i="6"/>
  <c r="AY2" i="8"/>
  <c r="BC2" i="5"/>
</calcChain>
</file>

<file path=xl/sharedStrings.xml><?xml version="1.0" encoding="utf-8"?>
<sst xmlns="http://schemas.openxmlformats.org/spreadsheetml/2006/main" count="192" uniqueCount="74">
  <si>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</si>
  <si>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</si>
  <si>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</si>
  <si>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</si>
  <si>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</si>
  <si>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</si>
  <si>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</si>
  <si>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</si>
  <si>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</si>
  <si>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</si>
  <si>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POSサーバー</t>
    </r>
  </si>
  <si>
    <r>
      <rPr>
        <sz val="11"/>
        <color rgb="FF000000"/>
        <rFont val="Meiryo UI"/>
        <family val="2"/>
      </rPr>
      <t>概要設計書</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</si>
  <si>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</si>
  <si>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</si>
  <si>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</si>
  <si>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</si>
  <si>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</si>
  <si>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t>`</t>
  </si>
  <si>
    <r>
      <rPr>
        <sz val="11"/>
        <color rgb="FF000000"/>
        <rFont val="Meiryo UI"/>
        <family val="2"/>
      </rPr>
      <t>WAONカード利用200円(税込)ごとにWAONポイントN倍設定</t>
    </r>
  </si>
  <si>
    <r>
      <rPr>
        <sz val="11"/>
        <color rgb="FF000000"/>
        <rFont val="Meiryo UI"/>
        <family val="2"/>
      </rPr>
      <t>FC3901_WAONポイントN倍編集機能</t>
    </r>
  </si>
  <si>
    <r>
      <rPr>
        <sz val="11"/>
        <color rgb="FF000000"/>
        <rFont val="Meiryo UI"/>
        <family val="2"/>
      </rPr>
      <t>FC3902_WAONポイントN倍新規追加機能</t>
    </r>
  </si>
  <si>
    <r>
      <rPr>
        <sz val="11"/>
        <color rgb="FF000000"/>
        <rFont val="Meiryo UI"/>
        <family val="2"/>
      </rPr>
      <t>システム権限を持つアカウントのみがこの機能を使用する権利を持っている。</t>
    </r>
  </si>
  <si>
    <r>
      <rPr>
        <sz val="11"/>
        <color rgb="FF000000"/>
        <rFont val="Meiryo UI"/>
        <family val="2"/>
      </rPr>
      <t>39_WAONポイントN倍設定</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</si>
  <si>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</si>
  <si>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</si>
  <si>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</si>
  <si>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</si>
  <si>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</si>
  <si>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</si>
  <si>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</si>
  <si>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</si>
  <si>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</si>
  <si>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</si>
  <si>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</si>
  <si>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</si>
  <si>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</si>
  <si>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</si>
  <si>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</si>
  <si>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DuNT</t>
  </si>
  <si>
    <t>39_WAONポイントN倍設定</t>
  </si>
  <si>
    <t>LoiLV</t>
  </si>
  <si>
    <t>2024年5月30日のコメントによる更新</t>
  </si>
  <si>
    <r>
      <rPr>
        <sz val="11"/>
        <color rgb="FF000000"/>
        <rFont val="Meiryo UI"/>
        <family val="2"/>
      </rPr>
      <t>Login-01/EmployeeMaster</t>
    </r>
  </si>
  <si>
    <r>
      <rPr>
        <sz val="11"/>
        <color rgb="FF000000"/>
        <rFont val="Meiryo UI"/>
        <family val="2"/>
      </rPr>
      <t>ー</t>
    </r>
  </si>
  <si>
    <r>
      <rPr>
        <sz val="11"/>
        <color rgb="FF000000"/>
        <rFont val="Meiryo UI"/>
        <family val="2"/>
      </rPr>
      <t>－</t>
    </r>
  </si>
  <si>
    <t>－</t>
  </si>
  <si>
    <r>
      <rPr>
        <sz val="11"/>
        <color rgb="FF000000"/>
        <rFont val="Meiryo UI"/>
        <family val="2"/>
      </rPr>
      <t>Enable</t>
    </r>
  </si>
  <si>
    <t>●</t>
  </si>
  <si>
    <r>
      <rPr>
        <sz val="11"/>
        <color rgb="FF000000"/>
        <rFont val="Meiryo UI"/>
        <family val="2"/>
      </rPr>
      <t>I</t>
    </r>
  </si>
  <si>
    <r>
      <rPr>
        <sz val="11"/>
        <color rgb="FF000000"/>
        <rFont val="Meiryo UI"/>
        <family val="2"/>
      </rPr>
      <t>ボタン</t>
    </r>
  </si>
  <si>
    <r>
      <rPr>
        <sz val="11"/>
        <color rgb="FF000000"/>
        <rFont val="Meiryo UI"/>
        <family val="2"/>
      </rPr>
      <t>EditText</t>
    </r>
  </si>
  <si>
    <r>
      <rPr>
        <sz val="11"/>
        <color rgb="FF000000"/>
        <rFont val="Meiryo UI"/>
        <family val="2"/>
      </rPr>
      <t>O</t>
    </r>
  </si>
  <si>
    <r>
      <rPr>
        <sz val="11"/>
        <color rgb="FF000000"/>
        <rFont val="Meiryo UI"/>
        <family val="2"/>
      </rPr>
      <t>テキスト</t>
    </r>
  </si>
  <si>
    <r>
      <rPr>
        <sz val="11"/>
        <color rgb="FF000000"/>
        <rFont val="Meiryo UI"/>
        <family val="2"/>
      </rPr>
      <t>必須</t>
    </r>
  </si>
  <si>
    <r>
      <rPr>
        <sz val="11"/>
        <color rgb="FF000000"/>
        <rFont val="Meiryo UI"/>
        <family val="2"/>
      </rPr>
      <t>I/O</t>
    </r>
  </si>
  <si>
    <t>Android POS Control</t>
  </si>
  <si>
    <r>
      <rPr>
        <sz val="11"/>
        <color rgb="FF000000"/>
        <rFont val="Meiryo UI"/>
        <family val="2"/>
      </rPr>
      <t>Password</t>
    </r>
  </si>
  <si>
    <t>■画面項目定義</t>
  </si>
  <si>
    <t>画面項目ID</t>
  </si>
  <si>
    <t>項目</t>
  </si>
  <si>
    <t>タイプ</t>
  </si>
  <si>
    <t>多言語対象</t>
  </si>
  <si>
    <t>アウトプット</t>
  </si>
  <si>
    <t>インプット</t>
  </si>
  <si>
    <t>備考</t>
  </si>
  <si>
    <t>マッピングデータ</t>
  </si>
  <si>
    <t>初期値</t>
  </si>
  <si>
    <t>表示コントロール</t>
  </si>
  <si>
    <t>Control enable</t>
  </si>
  <si>
    <t>数字</t>
  </si>
  <si>
    <t>文字</t>
  </si>
  <si>
    <t>API名</t>
  </si>
  <si>
    <t>User ID</t>
  </si>
  <si>
    <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</si>
</sst>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19" x14ac:knownFonts="1">
    <font>
      <sz val="11"/>
      <name val="Meiryo UI"/>
      <family val="3"/>
      <charset val="128"/>
    </font>
    <font>
      <sz val="11"/>
      <color theme="1"/>
      <name val="Calibri"/>
      <family val="2"/>
      <scheme val="minor"/>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00B050"/>
      <name val="Meiryo UI"/>
      <family val="3"/>
      <charset val="128"/>
    </font>
    <font>
      <strike/>
      <sz val="11"/>
      <color rgb="FF0070C0"/>
      <name val="Meiryo UI"/>
      <family val="2"/>
    </font>
  </fonts>
  <fills count="8">
    <fill>
      <patternFill patternType="none"/>
    </fill>
    <fill>
      <patternFill patternType="gray125"/>
    </fill>
    <fill>
      <patternFill patternType="solid">
        <fgColor rgb="FF333399"/>
        <bgColor indexed="64"/>
      </patternFill>
    </fill>
    <fill>
      <patternFill patternType="solid">
        <fgColor theme="4" tint="0.79989013336588644"/>
        <bgColor indexed="64"/>
      </patternFill>
    </fill>
    <fill>
      <patternFill patternType="solid">
        <fgColor theme="0"/>
        <bgColor indexed="64"/>
      </patternFill>
    </fill>
    <fill>
      <patternFill patternType="solid">
        <fgColor theme="5" tint="0.79985961485641044"/>
        <bgColor indexed="64"/>
      </patternFill>
    </fill>
    <fill>
      <patternFill patternType="solid">
        <fgColor theme="9" tint="0.79985961485641044"/>
        <bgColor indexed="64"/>
      </patternFill>
    </fill>
    <fill>
      <patternFill patternType="solid">
        <fgColor rgb="FF99CCFF"/>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style="hair">
        <color auto="1"/>
      </top>
      <bottom style="hair">
        <color auto="1"/>
      </bottom>
      <diagonal/>
    </border>
    <border>
      <left/>
      <right/>
      <top style="hair">
        <color auto="1"/>
      </top>
      <bottom style="hair">
        <color auto="1"/>
      </bottom>
      <diagonal/>
    </border>
    <border>
      <left style="thin">
        <color auto="1"/>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right style="thin">
        <color auto="1"/>
      </right>
      <top/>
      <bottom style="hair">
        <color auto="1"/>
      </bottom>
      <diagonal/>
    </border>
    <border>
      <left/>
      <right/>
      <top/>
      <bottom style="hair">
        <color auto="1"/>
      </bottom>
      <diagonal/>
    </border>
    <border>
      <left style="thin">
        <color auto="1"/>
      </left>
      <right/>
      <top/>
      <bottom style="hair">
        <color auto="1"/>
      </bottom>
      <diagonal/>
    </border>
    <border>
      <left style="thin">
        <color auto="1"/>
      </left>
      <right style="thin">
        <color auto="1"/>
      </right>
      <top style="thin">
        <color auto="1"/>
      </top>
      <bottom style="hair">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9"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167" fontId="2" fillId="0" borderId="0" applyFont="0" applyFill="0" applyBorder="0" applyAlignment="0" applyProtection="0"/>
    <xf numFmtId="165" fontId="2" fillId="0" borderId="0" applyFont="0" applyFill="0" applyBorder="0" applyAlignment="0" applyProtection="0"/>
    <xf numFmtId="0" fontId="6" fillId="0" borderId="0"/>
    <xf numFmtId="0" fontId="9" fillId="0" borderId="0">
      <alignment vertical="center"/>
    </xf>
    <xf numFmtId="0" fontId="1" fillId="0" borderId="0"/>
  </cellStyleXfs>
  <cellXfs count="311">
    <xf numFmtId="0" fontId="0" fillId="0" borderId="0" xfId="0"/>
    <xf numFmtId="0" fontId="3" fillId="2" borderId="0" xfId="0" applyFont="1" applyFill="1" applyAlignment="1">
      <alignment vertical="center"/>
    </xf>
    <xf numFmtId="0" fontId="3" fillId="2" borderId="18" xfId="0" applyFont="1" applyFill="1" applyBorder="1" applyAlignment="1">
      <alignment vertical="center"/>
    </xf>
    <xf numFmtId="0" fontId="3" fillId="2" borderId="19" xfId="0" applyFont="1" applyFill="1" applyBorder="1" applyAlignment="1">
      <alignment vertical="center"/>
    </xf>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14" fillId="0" borderId="0" xfId="0" applyFont="1"/>
    <xf numFmtId="0" fontId="14" fillId="0" borderId="2" xfId="0" applyFont="1" applyBorder="1"/>
    <xf numFmtId="0" fontId="14" fillId="0" borderId="3" xfId="0" applyFont="1" applyBorder="1"/>
    <xf numFmtId="0" fontId="14" fillId="0" borderId="5" xfId="0" applyFont="1" applyBorder="1"/>
    <xf numFmtId="0" fontId="14" fillId="0" borderId="1" xfId="0" applyFont="1" applyBorder="1"/>
    <xf numFmtId="0" fontId="14" fillId="0" borderId="4" xfId="0" applyFont="1" applyBorder="1"/>
    <xf numFmtId="0" fontId="14" fillId="0" borderId="7" xfId="0" applyFont="1" applyBorder="1"/>
    <xf numFmtId="0" fontId="14" fillId="0" borderId="8" xfId="0" applyFont="1" applyBorder="1"/>
    <xf numFmtId="0" fontId="14" fillId="0" borderId="11" xfId="0" applyFont="1" applyBorder="1"/>
    <xf numFmtId="0" fontId="14" fillId="0" borderId="6" xfId="0" applyFont="1" applyBorder="1"/>
    <xf numFmtId="0" fontId="14" fillId="0" borderId="12" xfId="0" applyFont="1" applyBorder="1"/>
    <xf numFmtId="0" fontId="14" fillId="0" borderId="14" xfId="0" applyFont="1" applyBorder="1"/>
    <xf numFmtId="0" fontId="14" fillId="0" borderId="15" xfId="0" applyFont="1" applyBorder="1"/>
    <xf numFmtId="0" fontId="14" fillId="0" borderId="9" xfId="0" applyFont="1" applyBorder="1"/>
    <xf numFmtId="0" fontId="14" fillId="0" borderId="10" xfId="0" applyFont="1" applyBorder="1"/>
    <xf numFmtId="0" fontId="14" fillId="0" borderId="13" xfId="0" applyFont="1" applyBorder="1"/>
    <xf numFmtId="0" fontId="0" fillId="0" borderId="2" xfId="0" applyBorder="1"/>
    <xf numFmtId="0" fontId="0" fillId="0" borderId="3" xfId="0" applyBorder="1"/>
    <xf numFmtId="0" fontId="0" fillId="0" borderId="5" xfId="0"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4" fillId="0" borderId="0" xfId="7" applyFont="1">
      <alignment vertical="center"/>
    </xf>
    <xf numFmtId="0" fontId="14" fillId="0" borderId="1" xfId="7" applyFont="1" applyBorder="1">
      <alignment vertical="center"/>
    </xf>
    <xf numFmtId="0" fontId="14" fillId="0" borderId="4" xfId="7" applyFont="1" applyBorder="1">
      <alignment vertical="center"/>
    </xf>
    <xf numFmtId="0" fontId="14" fillId="0" borderId="2" xfId="7" applyFont="1" applyBorder="1">
      <alignment vertical="center"/>
    </xf>
    <xf numFmtId="0" fontId="14" fillId="0" borderId="3" xfId="7" applyFont="1" applyBorder="1">
      <alignment vertical="center"/>
    </xf>
    <xf numFmtId="0" fontId="14" fillId="0" borderId="5" xfId="7" applyFont="1" applyBorder="1">
      <alignment vertical="center"/>
    </xf>
    <xf numFmtId="0" fontId="11" fillId="2" borderId="0" xfId="0" applyFont="1" applyFill="1" applyAlignment="1">
      <alignment vertical="center"/>
    </xf>
    <xf numFmtId="0" fontId="10" fillId="2" borderId="16" xfId="0" applyFont="1" applyFill="1" applyBorder="1" applyAlignment="1">
      <alignment vertical="center"/>
    </xf>
    <xf numFmtId="0" fontId="10" fillId="2" borderId="0" xfId="0" applyFont="1" applyFill="1" applyAlignment="1">
      <alignment vertical="center"/>
    </xf>
    <xf numFmtId="0" fontId="10" fillId="2" borderId="17" xfId="0" applyFont="1" applyFill="1" applyBorder="1" applyAlignment="1">
      <alignment vertical="center"/>
    </xf>
    <xf numFmtId="0" fontId="14" fillId="0" borderId="18" xfId="0" applyFont="1" applyBorder="1"/>
    <xf numFmtId="0" fontId="14" fillId="0" borderId="19" xfId="7" applyFont="1" applyBorder="1">
      <alignment vertical="center"/>
    </xf>
    <xf numFmtId="0" fontId="14" fillId="0" borderId="19" xfId="0" applyFont="1" applyBorder="1"/>
    <xf numFmtId="0" fontId="14" fillId="0" borderId="18" xfId="7" applyFont="1" applyBorder="1">
      <alignment vertical="center"/>
    </xf>
    <xf numFmtId="0" fontId="14" fillId="3" borderId="18" xfId="7" applyFont="1" applyFill="1" applyBorder="1">
      <alignment vertical="center"/>
    </xf>
    <xf numFmtId="0" fontId="14" fillId="3" borderId="0" xfId="7" applyFont="1" applyFill="1">
      <alignment vertical="center"/>
    </xf>
    <xf numFmtId="0" fontId="14" fillId="3" borderId="19" xfId="7" applyFont="1" applyFill="1" applyBorder="1">
      <alignment vertical="center"/>
    </xf>
    <xf numFmtId="0" fontId="14" fillId="0" borderId="20" xfId="0" applyFont="1" applyBorder="1"/>
    <xf numFmtId="0" fontId="14" fillId="0" borderId="21" xfId="0" applyFont="1" applyBorder="1"/>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0" fillId="2" borderId="22" xfId="0" applyFont="1" applyFill="1" applyBorder="1" applyAlignment="1">
      <alignment horizontal="center" vertical="center"/>
    </xf>
    <xf numFmtId="0" fontId="10" fillId="2" borderId="23" xfId="0" applyFont="1" applyFill="1" applyBorder="1" applyAlignment="1">
      <alignment horizontal="center" vertical="center"/>
    </xf>
    <xf numFmtId="0" fontId="10" fillId="2" borderId="24"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25" xfId="0" applyFont="1" applyFill="1" applyBorder="1" applyAlignment="1">
      <alignment horizontal="center" vertical="center"/>
    </xf>
    <xf numFmtId="0" fontId="10" fillId="2" borderId="26" xfId="0" applyFont="1" applyFill="1" applyBorder="1" applyAlignment="1">
      <alignment horizontal="center" vertical="center"/>
    </xf>
    <xf numFmtId="0" fontId="10" fillId="2" borderId="27" xfId="0" applyFont="1"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4" fillId="0" borderId="25" xfId="0" applyFont="1" applyBorder="1" applyAlignment="1">
      <alignment horizontal="center" vertical="center"/>
    </xf>
    <xf numFmtId="0" fontId="14" fillId="0" borderId="26" xfId="0" applyFont="1" applyBorder="1" applyAlignment="1">
      <alignment horizontal="center" vertical="center"/>
    </xf>
    <xf numFmtId="0" fontId="14" fillId="0" borderId="27" xfId="0" applyFont="1" applyBorder="1" applyAlignment="1">
      <alignment horizontal="center" vertical="center"/>
    </xf>
    <xf numFmtId="2" fontId="14" fillId="0" borderId="22" xfId="0" applyNumberFormat="1" applyFont="1" applyBorder="1" applyAlignment="1">
      <alignment horizontal="center" vertical="center"/>
    </xf>
    <xf numFmtId="2" fontId="14" fillId="0" borderId="23" xfId="0" applyNumberFormat="1" applyFont="1" applyBorder="1" applyAlignment="1">
      <alignment horizontal="center" vertical="center"/>
    </xf>
    <xf numFmtId="2" fontId="14" fillId="0" borderId="24" xfId="0" applyNumberFormat="1" applyFont="1" applyBorder="1" applyAlignment="1">
      <alignment horizontal="center" vertical="center"/>
    </xf>
    <xf numFmtId="2" fontId="14" fillId="0" borderId="2" xfId="0" applyNumberFormat="1" applyFont="1" applyBorder="1" applyAlignment="1">
      <alignment horizontal="center" vertical="center"/>
    </xf>
    <xf numFmtId="2" fontId="14" fillId="0" borderId="3" xfId="0" applyNumberFormat="1" applyFont="1" applyBorder="1" applyAlignment="1">
      <alignment horizontal="center" vertical="center"/>
    </xf>
    <xf numFmtId="2" fontId="14" fillId="0" borderId="5" xfId="0" applyNumberFormat="1" applyFont="1" applyBorder="1" applyAlignment="1">
      <alignment horizontal="center" vertical="center"/>
    </xf>
    <xf numFmtId="14" fontId="14" fillId="0" borderId="22" xfId="0" applyNumberFormat="1" applyFont="1" applyBorder="1" applyAlignment="1">
      <alignment horizontal="center" vertical="center"/>
    </xf>
    <xf numFmtId="14" fontId="14" fillId="0" borderId="23" xfId="0" applyNumberFormat="1" applyFont="1" applyBorder="1" applyAlignment="1">
      <alignment horizontal="center" vertical="center"/>
    </xf>
    <xf numFmtId="14" fontId="14" fillId="0" borderId="24" xfId="0" applyNumberFormat="1" applyFont="1" applyBorder="1" applyAlignment="1">
      <alignment horizontal="center" vertical="center"/>
    </xf>
    <xf numFmtId="14" fontId="14" fillId="0" borderId="2" xfId="0" applyNumberFormat="1" applyFont="1" applyBorder="1" applyAlignment="1">
      <alignment horizontal="center" vertical="center"/>
    </xf>
    <xf numFmtId="14" fontId="14" fillId="0" borderId="3" xfId="0" applyNumberFormat="1" applyFont="1" applyBorder="1" applyAlignment="1">
      <alignment horizontal="center" vertical="center"/>
    </xf>
    <xf numFmtId="14" fontId="14" fillId="0" borderId="5" xfId="0" applyNumberFormat="1" applyFont="1" applyBorder="1" applyAlignment="1">
      <alignment horizontal="center" vertical="center"/>
    </xf>
    <xf numFmtId="0" fontId="8" fillId="0" borderId="22" xfId="0" applyFont="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4"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5" xfId="0" applyFont="1" applyBorder="1" applyAlignment="1">
      <alignment horizontal="center" vertical="center"/>
    </xf>
    <xf numFmtId="0" fontId="14" fillId="0" borderId="28" xfId="0" applyFont="1" applyBorder="1"/>
    <xf numFmtId="0" fontId="14" fillId="0" borderId="29" xfId="0" applyFont="1" applyBorder="1"/>
    <xf numFmtId="0" fontId="14" fillId="0" borderId="30" xfId="0" applyFont="1" applyBorder="1"/>
    <xf numFmtId="0" fontId="14" fillId="0" borderId="23" xfId="0" applyFont="1" applyBorder="1"/>
    <xf numFmtId="0" fontId="14" fillId="0" borderId="24" xfId="0" applyFont="1" applyBorder="1"/>
    <xf numFmtId="0" fontId="14" fillId="0" borderId="3" xfId="0" applyFont="1" applyBorder="1"/>
    <xf numFmtId="0" fontId="14" fillId="0" borderId="5" xfId="0" applyFont="1" applyBorder="1"/>
    <xf numFmtId="0" fontId="14" fillId="0" borderId="22" xfId="0" applyFont="1" applyBorder="1"/>
    <xf numFmtId="0" fontId="14" fillId="0" borderId="2" xfId="0" applyFont="1" applyBorder="1"/>
    <xf numFmtId="0" fontId="14" fillId="0" borderId="31" xfId="0" applyFont="1" applyBorder="1"/>
    <xf numFmtId="0" fontId="14" fillId="0" borderId="32" xfId="0" applyFont="1" applyBorder="1"/>
    <xf numFmtId="0" fontId="14" fillId="0" borderId="33" xfId="0" applyFont="1" applyBorder="1"/>
    <xf numFmtId="0" fontId="10" fillId="2" borderId="0" xfId="0" applyFont="1" applyFill="1"/>
    <xf numFmtId="0" fontId="3" fillId="2" borderId="25" xfId="0" applyFont="1" applyFill="1" applyBorder="1" applyAlignment="1">
      <alignment horizontal="center" vertical="center"/>
    </xf>
    <xf numFmtId="0" fontId="3" fillId="2" borderId="26" xfId="0" applyFont="1" applyFill="1" applyBorder="1" applyAlignment="1">
      <alignment horizontal="center" vertical="center"/>
    </xf>
    <xf numFmtId="0" fontId="3" fillId="2" borderId="27" xfId="0" applyFont="1" applyFill="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22" xfId="0" applyNumberFormat="1" applyBorder="1" applyAlignment="1">
      <alignment horizontal="center" vertical="center"/>
    </xf>
    <xf numFmtId="14" fontId="0" fillId="0" borderId="23" xfId="0" applyNumberFormat="1" applyBorder="1" applyAlignment="1">
      <alignment horizontal="center" vertical="center"/>
    </xf>
    <xf numFmtId="14" fontId="0" fillId="0" borderId="24"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7" fillId="0" borderId="22" xfId="6" applyFont="1" applyBorder="1" applyAlignment="1">
      <alignment horizontal="center" vertical="center"/>
    </xf>
    <xf numFmtId="0" fontId="7" fillId="0" borderId="23" xfId="6" applyFont="1" applyBorder="1" applyAlignment="1">
      <alignment horizontal="center" vertical="center"/>
    </xf>
    <xf numFmtId="0" fontId="7" fillId="0" borderId="24"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7" fillId="0" borderId="25" xfId="6" applyFont="1" applyBorder="1" applyAlignment="1">
      <alignment horizontal="center" vertical="center"/>
    </xf>
    <xf numFmtId="0" fontId="7" fillId="0" borderId="26" xfId="6" applyFont="1" applyBorder="1" applyAlignment="1">
      <alignment horizontal="center" vertical="center"/>
    </xf>
    <xf numFmtId="0" fontId="7" fillId="0" borderId="27" xfId="6" applyFont="1" applyBorder="1" applyAlignment="1">
      <alignment horizontal="center" vertical="center"/>
    </xf>
    <xf numFmtId="0" fontId="8" fillId="0" borderId="25" xfId="6" applyFont="1" applyBorder="1" applyAlignment="1">
      <alignment horizontal="center" vertical="center"/>
    </xf>
    <xf numFmtId="0" fontId="10" fillId="2" borderId="25" xfId="6" applyFont="1" applyFill="1" applyBorder="1" applyAlignment="1">
      <alignment horizontal="center" vertical="center"/>
    </xf>
    <xf numFmtId="0" fontId="10" fillId="2" borderId="26" xfId="6" applyFont="1" applyFill="1" applyBorder="1" applyAlignment="1">
      <alignment horizontal="center" vertical="center"/>
    </xf>
    <xf numFmtId="0" fontId="10" fillId="2" borderId="27" xfId="6" applyFont="1" applyFill="1" applyBorder="1" applyAlignment="1">
      <alignment horizontal="center" vertical="center"/>
    </xf>
    <xf numFmtId="0" fontId="12" fillId="0" borderId="22" xfId="6" applyFont="1" applyBorder="1" applyAlignment="1">
      <alignment horizontal="center" vertical="center"/>
    </xf>
    <xf numFmtId="0" fontId="12" fillId="0" borderId="23" xfId="6" applyFont="1" applyBorder="1" applyAlignment="1">
      <alignment horizontal="center" vertical="center"/>
    </xf>
    <xf numFmtId="0" fontId="12" fillId="0" borderId="24" xfId="6" applyFont="1" applyBorder="1" applyAlignment="1">
      <alignment horizontal="center" vertical="center"/>
    </xf>
    <xf numFmtId="0" fontId="12" fillId="0" borderId="1" xfId="6" applyFont="1" applyBorder="1" applyAlignment="1">
      <alignment horizontal="center" vertical="center"/>
    </xf>
    <xf numFmtId="0" fontId="12" fillId="0" borderId="0" xfId="6" applyFont="1" applyAlignment="1">
      <alignment horizontal="center" vertical="center"/>
    </xf>
    <xf numFmtId="0" fontId="12" fillId="0" borderId="4" xfId="6" applyFont="1" applyBorder="1" applyAlignment="1">
      <alignment horizontal="center" vertical="center"/>
    </xf>
    <xf numFmtId="0" fontId="12" fillId="0" borderId="2" xfId="6" applyFont="1" applyBorder="1" applyAlignment="1">
      <alignment horizontal="center" vertical="center"/>
    </xf>
    <xf numFmtId="0" fontId="12" fillId="0" borderId="3" xfId="6" applyFont="1" applyBorder="1" applyAlignment="1">
      <alignment horizontal="center" vertical="center"/>
    </xf>
    <xf numFmtId="0" fontId="12" fillId="0" borderId="5" xfId="6" applyFont="1" applyBorder="1" applyAlignment="1">
      <alignment horizontal="center" vertical="center"/>
    </xf>
    <xf numFmtId="14" fontId="17" fillId="0" borderId="22" xfId="0" applyNumberFormat="1" applyFont="1" applyBorder="1" applyAlignment="1">
      <alignment horizontal="center" vertical="center"/>
    </xf>
    <xf numFmtId="0" fontId="17" fillId="0" borderId="23" xfId="0" applyFont="1" applyBorder="1" applyAlignment="1">
      <alignment horizontal="center" vertical="center"/>
    </xf>
    <xf numFmtId="0" fontId="17" fillId="0" borderId="24" xfId="0" applyFont="1" applyBorder="1" applyAlignment="1">
      <alignment horizontal="center" vertical="center"/>
    </xf>
    <xf numFmtId="0" fontId="17" fillId="0" borderId="22" xfId="0" applyFont="1" applyBorder="1" applyAlignment="1">
      <alignment horizontal="center" vertical="center"/>
    </xf>
    <xf numFmtId="0" fontId="17" fillId="0" borderId="28" xfId="0" applyFont="1" applyBorder="1"/>
    <xf numFmtId="0" fontId="17" fillId="0" borderId="29" xfId="0" applyFont="1" applyBorder="1"/>
    <xf numFmtId="0" fontId="17" fillId="0" borderId="30" xfId="0" applyFont="1" applyBorder="1"/>
    <xf numFmtId="0" fontId="0" fillId="0" borderId="23" xfId="0" applyBorder="1"/>
    <xf numFmtId="0" fontId="0" fillId="0" borderId="24" xfId="0" applyBorder="1"/>
    <xf numFmtId="0" fontId="0" fillId="0" borderId="22" xfId="0" applyBorder="1"/>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0" fontId="17" fillId="0" borderId="31" xfId="0" applyFont="1" applyBorder="1"/>
    <xf numFmtId="0" fontId="17" fillId="0" borderId="32" xfId="0" applyFont="1" applyBorder="1"/>
    <xf numFmtId="0" fontId="17" fillId="0" borderId="33" xfId="0" applyFont="1" applyBorder="1"/>
    <xf numFmtId="0" fontId="0" fillId="0" borderId="3" xfId="0" applyBorder="1"/>
    <xf numFmtId="0" fontId="0" fillId="0" borderId="5" xfId="0" applyBorder="1"/>
    <xf numFmtId="0" fontId="0" fillId="0" borderId="2" xfId="0" applyBorder="1"/>
    <xf numFmtId="0" fontId="7" fillId="0" borderId="0" xfId="8" applyFont="1" applyAlignment="1">
      <alignment vertical="center"/>
    </xf>
    <xf numFmtId="0" fontId="7" fillId="0" borderId="5" xfId="8" applyFont="1" applyBorder="1" applyAlignment="1">
      <alignment vertical="center"/>
    </xf>
    <xf numFmtId="0" fontId="7" fillId="0" borderId="3" xfId="8" applyFont="1" applyBorder="1" applyAlignment="1">
      <alignment vertical="center"/>
    </xf>
    <xf numFmtId="0" fontId="7" fillId="0" borderId="4" xfId="8" applyFont="1" applyBorder="1" applyAlignment="1">
      <alignment vertical="center"/>
    </xf>
    <xf numFmtId="0" fontId="7" fillId="0" borderId="33" xfId="8" applyFont="1" applyBorder="1" applyAlignment="1">
      <alignment horizontal="center" vertical="center"/>
    </xf>
    <xf numFmtId="0" fontId="7" fillId="0" borderId="32" xfId="8" applyFont="1" applyBorder="1" applyAlignment="1">
      <alignment horizontal="center" vertical="center"/>
    </xf>
    <xf numFmtId="0" fontId="7" fillId="0" borderId="31" xfId="8" applyFont="1" applyBorder="1" applyAlignment="1">
      <alignment horizontal="center" vertical="center"/>
    </xf>
    <xf numFmtId="0" fontId="7" fillId="0" borderId="34" xfId="8" applyFont="1" applyBorder="1" applyAlignment="1">
      <alignment vertical="center"/>
    </xf>
    <xf numFmtId="0" fontId="7" fillId="0" borderId="33" xfId="8" applyFont="1" applyBorder="1" applyAlignment="1">
      <alignment horizontal="left" vertical="center"/>
    </xf>
    <xf numFmtId="0" fontId="7" fillId="0" borderId="32" xfId="8" applyFont="1" applyBorder="1" applyAlignment="1">
      <alignment horizontal="left" vertical="center"/>
    </xf>
    <xf numFmtId="0" fontId="7" fillId="0" borderId="31" xfId="8" applyFont="1" applyBorder="1" applyAlignment="1">
      <alignment horizontal="left" vertical="center"/>
    </xf>
    <xf numFmtId="0" fontId="8" fillId="0" borderId="33" xfId="8" applyFont="1" applyBorder="1" applyAlignment="1">
      <alignment horizontal="center" vertical="center"/>
    </xf>
    <xf numFmtId="0" fontId="8" fillId="0" borderId="32" xfId="8" applyFont="1" applyBorder="1" applyAlignment="1">
      <alignment horizontal="center" vertical="center"/>
    </xf>
    <xf numFmtId="0" fontId="8" fillId="0" borderId="31" xfId="8" quotePrefix="1" applyFont="1" applyBorder="1" applyAlignment="1">
      <alignment horizontal="center" vertical="center"/>
    </xf>
    <xf numFmtId="0" fontId="7" fillId="0" borderId="34" xfId="8" applyFont="1" applyBorder="1" applyAlignment="1">
      <alignment horizontal="center" vertical="center"/>
    </xf>
    <xf numFmtId="0" fontId="7" fillId="0" borderId="33" xfId="8" applyFont="1" applyBorder="1" applyAlignment="1">
      <alignment vertical="center"/>
    </xf>
    <xf numFmtId="0" fontId="7" fillId="0" borderId="32" xfId="8" applyFont="1" applyBorder="1" applyAlignment="1">
      <alignment vertical="center"/>
    </xf>
    <xf numFmtId="0" fontId="7" fillId="0" borderId="31" xfId="8" applyFont="1" applyBorder="1" applyAlignment="1">
      <alignment vertical="center"/>
    </xf>
    <xf numFmtId="0" fontId="7" fillId="0" borderId="33" xfId="8" quotePrefix="1" applyFont="1" applyBorder="1" applyAlignment="1">
      <alignment vertical="center"/>
    </xf>
    <xf numFmtId="0" fontId="7" fillId="0" borderId="32" xfId="8" quotePrefix="1" applyFont="1" applyBorder="1" applyAlignment="1">
      <alignment vertical="center"/>
    </xf>
    <xf numFmtId="0" fontId="7" fillId="0" borderId="31" xfId="8" quotePrefix="1" applyFont="1" applyBorder="1" applyAlignment="1">
      <alignment vertical="center"/>
    </xf>
    <xf numFmtId="0" fontId="7" fillId="0" borderId="35" xfId="8" applyFont="1" applyBorder="1" applyAlignment="1">
      <alignment horizontal="center" vertical="center"/>
    </xf>
    <xf numFmtId="0" fontId="7" fillId="0" borderId="36" xfId="8" applyFont="1" applyBorder="1" applyAlignment="1">
      <alignment horizontal="center" vertical="center"/>
    </xf>
    <xf numFmtId="0" fontId="7" fillId="0" borderId="37" xfId="8" applyFont="1" applyBorder="1" applyAlignment="1">
      <alignment horizontal="center" vertical="center"/>
    </xf>
    <xf numFmtId="0" fontId="7" fillId="0" borderId="38" xfId="8" applyFont="1" applyBorder="1" applyAlignment="1">
      <alignment vertical="center"/>
    </xf>
    <xf numFmtId="0" fontId="7" fillId="0" borderId="35" xfId="8" applyFont="1" applyBorder="1" applyAlignment="1">
      <alignment horizontal="left" vertical="center"/>
    </xf>
    <xf numFmtId="0" fontId="7" fillId="0" borderId="36" xfId="8" applyFont="1" applyBorder="1" applyAlignment="1">
      <alignment horizontal="left" vertical="center"/>
    </xf>
    <xf numFmtId="0" fontId="7" fillId="0" borderId="37" xfId="8" applyFont="1" applyBorder="1" applyAlignment="1">
      <alignment horizontal="left" vertical="center"/>
    </xf>
    <xf numFmtId="0" fontId="7" fillId="0" borderId="37" xfId="8" quotePrefix="1" applyFont="1" applyBorder="1" applyAlignment="1">
      <alignment horizontal="center" vertical="center"/>
    </xf>
    <xf numFmtId="0" fontId="7" fillId="0" borderId="38" xfId="8" applyFont="1" applyBorder="1" applyAlignment="1">
      <alignment horizontal="center" vertical="center"/>
    </xf>
    <xf numFmtId="0" fontId="7" fillId="0" borderId="39" xfId="8" applyFont="1" applyBorder="1" applyAlignment="1">
      <alignment horizontal="center" vertical="center"/>
    </xf>
    <xf numFmtId="0" fontId="7" fillId="0" borderId="35" xfId="8" applyFont="1" applyBorder="1" applyAlignment="1">
      <alignment vertical="center"/>
    </xf>
    <xf numFmtId="0" fontId="7" fillId="0" borderId="36" xfId="8" applyFont="1" applyBorder="1" applyAlignment="1">
      <alignment vertical="center"/>
    </xf>
    <xf numFmtId="0" fontId="7" fillId="0" borderId="37" xfId="8" applyFont="1" applyBorder="1" applyAlignment="1">
      <alignment vertical="center"/>
    </xf>
    <xf numFmtId="0" fontId="7" fillId="0" borderId="35" xfId="8" quotePrefix="1" applyFont="1" applyBorder="1" applyAlignment="1">
      <alignment vertical="center" wrapText="1"/>
    </xf>
    <xf numFmtId="0" fontId="7" fillId="0" borderId="36" xfId="8" quotePrefix="1" applyFont="1" applyBorder="1" applyAlignment="1">
      <alignment vertical="center" wrapText="1"/>
    </xf>
    <xf numFmtId="0" fontId="7" fillId="0" borderId="37" xfId="8" quotePrefix="1" applyFont="1" applyBorder="1" applyAlignment="1">
      <alignment vertical="center" wrapText="1"/>
    </xf>
    <xf numFmtId="0" fontId="8" fillId="0" borderId="35" xfId="8" applyFont="1" applyBorder="1" applyAlignment="1">
      <alignment horizontal="center" vertical="center" wrapText="1"/>
    </xf>
    <xf numFmtId="0" fontId="8" fillId="0" borderId="36" xfId="8" applyFont="1" applyBorder="1" applyAlignment="1">
      <alignment horizontal="center" vertical="center" wrapText="1"/>
    </xf>
    <xf numFmtId="0" fontId="8" fillId="0" borderId="37" xfId="8" quotePrefix="1" applyFont="1" applyBorder="1" applyAlignment="1">
      <alignment horizontal="center" vertical="center" wrapText="1"/>
    </xf>
    <xf numFmtId="0" fontId="8" fillId="0" borderId="37" xfId="8" applyFont="1" applyBorder="1" applyAlignment="1">
      <alignment horizontal="center" vertical="center"/>
    </xf>
    <xf numFmtId="0" fontId="18" fillId="0" borderId="37" xfId="8" applyFont="1" applyBorder="1" applyAlignment="1">
      <alignment vertical="center" wrapText="1"/>
    </xf>
    <xf numFmtId="0" fontId="8" fillId="0" borderId="35" xfId="8" applyFont="1" applyBorder="1" applyAlignment="1">
      <alignment horizontal="center" vertical="center"/>
    </xf>
    <xf numFmtId="0" fontId="8" fillId="0" borderId="36" xfId="8" applyFont="1" applyBorder="1" applyAlignment="1">
      <alignment horizontal="center" vertical="center"/>
    </xf>
    <xf numFmtId="0" fontId="8" fillId="0" borderId="37" xfId="8" quotePrefix="1" applyFont="1" applyBorder="1" applyAlignment="1">
      <alignment horizontal="center" vertical="center"/>
    </xf>
    <xf numFmtId="0" fontId="7" fillId="0" borderId="35" xfId="8" quotePrefix="1" applyFont="1" applyBorder="1" applyAlignment="1">
      <alignment vertical="center"/>
    </xf>
    <xf numFmtId="0" fontId="7" fillId="0" borderId="36" xfId="8" quotePrefix="1" applyFont="1" applyBorder="1" applyAlignment="1">
      <alignment vertical="center"/>
    </xf>
    <xf numFmtId="0" fontId="7" fillId="0" borderId="37" xfId="8" quotePrefix="1" applyFont="1" applyBorder="1" applyAlignment="1">
      <alignment vertical="center"/>
    </xf>
    <xf numFmtId="0" fontId="7" fillId="0" borderId="30" xfId="8" applyFont="1" applyBorder="1" applyAlignment="1">
      <alignment horizontal="center" vertical="center"/>
    </xf>
    <xf numFmtId="0" fontId="7" fillId="0" borderId="29" xfId="8" applyFont="1" applyBorder="1" applyAlignment="1">
      <alignment horizontal="center" vertical="center"/>
    </xf>
    <xf numFmtId="0" fontId="7" fillId="0" borderId="28" xfId="8" applyFont="1" applyBorder="1" applyAlignment="1">
      <alignment horizontal="center" vertical="center"/>
    </xf>
    <xf numFmtId="0" fontId="7" fillId="0" borderId="43" xfId="8" applyFont="1" applyBorder="1" applyAlignment="1">
      <alignment vertical="center"/>
    </xf>
    <xf numFmtId="0" fontId="7" fillId="0" borderId="30" xfId="8" applyFont="1" applyBorder="1" applyAlignment="1">
      <alignment horizontal="left" vertical="center"/>
    </xf>
    <xf numFmtId="0" fontId="7" fillId="0" borderId="29" xfId="8" applyFont="1" applyBorder="1" applyAlignment="1">
      <alignment horizontal="left" vertical="center"/>
    </xf>
    <xf numFmtId="0" fontId="7" fillId="0" borderId="28" xfId="8" applyFont="1" applyBorder="1" applyAlignment="1">
      <alignment horizontal="left" vertical="center"/>
    </xf>
    <xf numFmtId="0" fontId="8" fillId="0" borderId="30" xfId="8" applyFont="1" applyBorder="1" applyAlignment="1">
      <alignment horizontal="center" vertical="center" wrapText="1"/>
    </xf>
    <xf numFmtId="0" fontId="8" fillId="0" borderId="29" xfId="8" applyFont="1" applyBorder="1" applyAlignment="1">
      <alignment horizontal="center" vertical="center" wrapText="1"/>
    </xf>
    <xf numFmtId="0" fontId="8" fillId="0" borderId="28" xfId="8" applyFont="1" applyBorder="1" applyAlignment="1">
      <alignment horizontal="center" vertical="center" wrapText="1"/>
    </xf>
    <xf numFmtId="0" fontId="8" fillId="0" borderId="28" xfId="8" applyFont="1" applyBorder="1" applyAlignment="1">
      <alignment horizontal="center" vertical="center"/>
    </xf>
    <xf numFmtId="0" fontId="7" fillId="0" borderId="30" xfId="8" applyFont="1" applyBorder="1" applyAlignment="1">
      <alignment horizontal="center" vertical="center"/>
    </xf>
    <xf numFmtId="0" fontId="7" fillId="0" borderId="30" xfId="8" applyFont="1" applyBorder="1" applyAlignment="1">
      <alignment vertical="center"/>
    </xf>
    <xf numFmtId="0" fontId="7" fillId="0" borderId="29" xfId="8" applyFont="1" applyBorder="1" applyAlignment="1">
      <alignment vertical="center"/>
    </xf>
    <xf numFmtId="0" fontId="7" fillId="0" borderId="28" xfId="8" applyFont="1" applyBorder="1" applyAlignment="1">
      <alignment vertical="center"/>
    </xf>
    <xf numFmtId="0" fontId="7" fillId="4" borderId="5" xfId="8" applyFont="1" applyFill="1" applyBorder="1" applyAlignment="1">
      <alignment vertical="center"/>
    </xf>
    <xf numFmtId="0" fontId="7" fillId="4" borderId="3" xfId="8" applyFont="1" applyFill="1" applyBorder="1" applyAlignment="1">
      <alignment vertical="center"/>
    </xf>
    <xf numFmtId="0" fontId="7" fillId="4" borderId="2" xfId="8" applyFont="1" applyFill="1" applyBorder="1" applyAlignment="1">
      <alignment vertical="center"/>
    </xf>
    <xf numFmtId="0" fontId="7" fillId="5" borderId="27" xfId="8" applyFont="1" applyFill="1" applyBorder="1" applyAlignment="1">
      <alignment vertical="center"/>
    </xf>
    <xf numFmtId="0" fontId="7" fillId="5" borderId="26" xfId="8" applyFont="1" applyFill="1" applyBorder="1" applyAlignment="1">
      <alignment vertical="center"/>
    </xf>
    <xf numFmtId="0" fontId="8" fillId="5" borderId="44" xfId="8" applyFont="1" applyFill="1" applyBorder="1" applyAlignment="1">
      <alignment vertical="center"/>
    </xf>
    <xf numFmtId="0" fontId="7" fillId="5" borderId="45" xfId="8" applyFont="1" applyFill="1" applyBorder="1" applyAlignment="1">
      <alignment vertical="center"/>
    </xf>
    <xf numFmtId="0" fontId="8" fillId="5" borderId="25" xfId="8" applyFont="1" applyFill="1" applyBorder="1" applyAlignment="1">
      <alignment vertical="center"/>
    </xf>
    <xf numFmtId="0" fontId="8" fillId="5" borderId="5" xfId="8" applyFont="1" applyFill="1" applyBorder="1" applyAlignment="1">
      <alignment vertical="center" wrapText="1"/>
    </xf>
    <xf numFmtId="0" fontId="8" fillId="5" borderId="46" xfId="8" applyFont="1" applyFill="1" applyBorder="1" applyAlignment="1">
      <alignment vertical="center" wrapText="1"/>
    </xf>
    <xf numFmtId="0" fontId="7" fillId="5" borderId="2" xfId="8" applyFont="1" applyFill="1" applyBorder="1" applyAlignment="1">
      <alignment vertical="center" wrapText="1"/>
    </xf>
    <xf numFmtId="0" fontId="7" fillId="6" borderId="5" xfId="8" applyFont="1" applyFill="1" applyBorder="1" applyAlignment="1">
      <alignment vertical="center"/>
    </xf>
    <xf numFmtId="0" fontId="7" fillId="6" borderId="3" xfId="8" applyFont="1" applyFill="1" applyBorder="1" applyAlignment="1">
      <alignment vertical="center"/>
    </xf>
    <xf numFmtId="0" fontId="7" fillId="6" borderId="2" xfId="8" applyFont="1" applyFill="1" applyBorder="1" applyAlignment="1">
      <alignment vertical="center"/>
    </xf>
    <xf numFmtId="0" fontId="7" fillId="6" borderId="27" xfId="8" applyFont="1" applyFill="1" applyBorder="1" applyAlignment="1">
      <alignment vertical="center"/>
    </xf>
    <xf numFmtId="0" fontId="7" fillId="6" borderId="26" xfId="8" applyFont="1" applyFill="1" applyBorder="1" applyAlignment="1">
      <alignment vertical="center"/>
    </xf>
    <xf numFmtId="0" fontId="8" fillId="6" borderId="25" xfId="8" applyFont="1" applyFill="1" applyBorder="1" applyAlignment="1">
      <alignment vertical="center"/>
    </xf>
    <xf numFmtId="0" fontId="8" fillId="7" borderId="46" xfId="8" applyFont="1" applyFill="1" applyBorder="1" applyAlignment="1">
      <alignment vertical="center" wrapText="1"/>
    </xf>
    <xf numFmtId="0" fontId="7" fillId="7" borderId="46" xfId="8" applyFont="1" applyFill="1" applyBorder="1" applyAlignment="1">
      <alignment vertical="center" shrinkToFit="1"/>
    </xf>
    <xf numFmtId="0" fontId="7" fillId="7" borderId="5" xfId="8" applyFont="1" applyFill="1" applyBorder="1" applyAlignment="1">
      <alignment vertical="center"/>
    </xf>
    <xf numFmtId="0" fontId="7" fillId="7" borderId="3" xfId="8" applyFont="1" applyFill="1" applyBorder="1" applyAlignment="1">
      <alignment vertical="center"/>
    </xf>
    <xf numFmtId="0" fontId="7" fillId="7" borderId="2" xfId="8" applyFont="1" applyFill="1" applyBorder="1" applyAlignment="1">
      <alignment vertical="center"/>
    </xf>
    <xf numFmtId="0" fontId="7" fillId="4" borderId="4" xfId="8" applyFont="1" applyFill="1" applyBorder="1" applyAlignment="1">
      <alignment vertical="center"/>
    </xf>
    <xf numFmtId="0" fontId="7" fillId="4" borderId="0" xfId="8" applyFont="1" applyFill="1" applyAlignment="1">
      <alignment vertical="center"/>
    </xf>
    <xf numFmtId="0" fontId="7" fillId="4" borderId="1" xfId="8" applyFont="1" applyFill="1" applyBorder="1" applyAlignment="1">
      <alignment vertical="center"/>
    </xf>
    <xf numFmtId="0" fontId="8" fillId="5" borderId="24" xfId="8" applyFont="1" applyFill="1" applyBorder="1" applyAlignment="1">
      <alignment vertical="center" wrapText="1"/>
    </xf>
    <xf numFmtId="0" fontId="8" fillId="5" borderId="47" xfId="8" applyFont="1" applyFill="1" applyBorder="1" applyAlignment="1">
      <alignment vertical="center" wrapText="1"/>
    </xf>
    <xf numFmtId="0" fontId="7" fillId="5" borderId="22" xfId="8" applyFont="1" applyFill="1" applyBorder="1" applyAlignment="1">
      <alignment vertical="center" wrapText="1"/>
    </xf>
    <xf numFmtId="0" fontId="7" fillId="6" borderId="24" xfId="8" applyFont="1" applyFill="1" applyBorder="1" applyAlignment="1">
      <alignment vertical="center"/>
    </xf>
    <xf numFmtId="0" fontId="7" fillId="6" borderId="23" xfId="8" applyFont="1" applyFill="1" applyBorder="1" applyAlignment="1">
      <alignment vertical="center"/>
    </xf>
    <xf numFmtId="0" fontId="8" fillId="6" borderId="22" xfId="8" applyFont="1" applyFill="1" applyBorder="1" applyAlignment="1">
      <alignment vertical="center"/>
    </xf>
    <xf numFmtId="0" fontId="8" fillId="6" borderId="27" xfId="8" applyFont="1" applyFill="1" applyBorder="1"/>
    <xf numFmtId="0" fontId="8" fillId="6" borderId="26" xfId="8" applyFont="1" applyFill="1" applyBorder="1"/>
    <xf numFmtId="0" fontId="8" fillId="6" borderId="25" xfId="8" applyFont="1" applyFill="1" applyBorder="1"/>
    <xf numFmtId="0" fontId="8" fillId="7" borderId="48" xfId="8" applyFont="1" applyFill="1" applyBorder="1" applyAlignment="1">
      <alignment vertical="center" wrapText="1"/>
    </xf>
    <xf numFmtId="0" fontId="7" fillId="7" borderId="48" xfId="8" applyFont="1" applyFill="1" applyBorder="1" applyAlignment="1">
      <alignment vertical="center" shrinkToFit="1"/>
    </xf>
    <xf numFmtId="0" fontId="7" fillId="7" borderId="4" xfId="8" applyFont="1" applyFill="1" applyBorder="1" applyAlignment="1">
      <alignment vertical="center"/>
    </xf>
    <xf numFmtId="0" fontId="7" fillId="7" borderId="0" xfId="8" applyFont="1" applyFill="1" applyAlignment="1">
      <alignment vertical="center"/>
    </xf>
    <xf numFmtId="0" fontId="7" fillId="7" borderId="1" xfId="8" applyFont="1" applyFill="1" applyBorder="1" applyAlignment="1">
      <alignment vertical="center"/>
    </xf>
    <xf numFmtId="0" fontId="7" fillId="4" borderId="24" xfId="8" applyFont="1" applyFill="1" applyBorder="1" applyAlignment="1">
      <alignment vertical="center"/>
    </xf>
    <xf numFmtId="0" fontId="7" fillId="4" borderId="23" xfId="8" applyFont="1" applyFill="1" applyBorder="1" applyAlignment="1">
      <alignment vertical="center"/>
    </xf>
    <xf numFmtId="0" fontId="8" fillId="4" borderId="22" xfId="8" applyFont="1" applyFill="1" applyBorder="1" applyAlignment="1">
      <alignment vertical="center"/>
    </xf>
    <xf numFmtId="0" fontId="8" fillId="7" borderId="47" xfId="8" applyFont="1" applyFill="1" applyBorder="1" applyAlignment="1">
      <alignment vertical="center" wrapText="1"/>
    </xf>
    <xf numFmtId="0" fontId="7" fillId="7" borderId="47" xfId="8" applyFont="1" applyFill="1" applyBorder="1" applyAlignment="1">
      <alignment vertical="center" shrinkToFit="1"/>
    </xf>
    <xf numFmtId="0" fontId="7" fillId="7" borderId="24" xfId="8" applyFont="1" applyFill="1" applyBorder="1" applyAlignment="1">
      <alignment vertical="center"/>
    </xf>
    <xf numFmtId="0" fontId="7" fillId="7" borderId="23" xfId="8" applyFont="1" applyFill="1" applyBorder="1" applyAlignment="1">
      <alignment vertical="center"/>
    </xf>
    <xf numFmtId="0" fontId="8" fillId="7" borderId="22" xfId="8" applyFont="1" applyFill="1" applyBorder="1" applyAlignment="1">
      <alignment vertical="center"/>
    </xf>
    <xf numFmtId="0" fontId="8" fillId="7" borderId="22" xfId="8" applyFont="1" applyFill="1" applyBorder="1" applyAlignment="1">
      <alignment vertical="center" wrapText="1"/>
    </xf>
    <xf numFmtId="0" fontId="8" fillId="0" borderId="0" xfId="8" applyFont="1" applyAlignment="1">
      <alignment vertical="center"/>
    </xf>
    <xf numFmtId="0" fontId="7" fillId="0" borderId="1" xfId="8" applyFont="1" applyBorder="1" applyAlignment="1">
      <alignment vertical="center"/>
    </xf>
    <xf numFmtId="0" fontId="7" fillId="0" borderId="2" xfId="8" applyFont="1" applyBorder="1" applyAlignment="1">
      <alignment vertical="center"/>
    </xf>
    <xf numFmtId="0" fontId="14" fillId="0" borderId="0" xfId="8" applyFont="1" applyAlignment="1">
      <alignment vertical="center"/>
    </xf>
    <xf numFmtId="0" fontId="14" fillId="0" borderId="28" xfId="8" applyFont="1" applyBorder="1" applyAlignment="1">
      <alignment vertical="center" wrapText="1"/>
    </xf>
    <xf numFmtId="0" fontId="14" fillId="0" borderId="29" xfId="8" applyFont="1" applyBorder="1" applyAlignment="1">
      <alignment vertical="center" wrapText="1"/>
    </xf>
    <xf numFmtId="0" fontId="14" fillId="0" borderId="30" xfId="8" applyFont="1" applyBorder="1" applyAlignment="1">
      <alignment vertical="center" wrapText="1"/>
    </xf>
    <xf numFmtId="0" fontId="14" fillId="0" borderId="36" xfId="8" applyFont="1" applyBorder="1" applyAlignment="1">
      <alignment vertical="center"/>
    </xf>
    <xf numFmtId="0" fontId="14" fillId="0" borderId="35" xfId="8" applyFont="1" applyBorder="1" applyAlignment="1">
      <alignment vertical="center"/>
    </xf>
    <xf numFmtId="0" fontId="14" fillId="0" borderId="37" xfId="8" applyFont="1" applyBorder="1" applyAlignment="1">
      <alignment vertical="center"/>
    </xf>
    <xf numFmtId="0" fontId="14" fillId="0" borderId="42" xfId="8" quotePrefix="1" applyFont="1" applyBorder="1" applyAlignment="1">
      <alignment vertical="center"/>
    </xf>
    <xf numFmtId="0" fontId="14" fillId="0" borderId="41" xfId="8" quotePrefix="1" applyFont="1" applyBorder="1" applyAlignment="1">
      <alignment vertical="center"/>
    </xf>
    <xf numFmtId="0" fontId="14" fillId="0" borderId="40" xfId="8" quotePrefix="1" applyFont="1" applyBorder="1" applyAlignment="1">
      <alignment vertical="center"/>
    </xf>
    <xf numFmtId="0" fontId="14" fillId="0" borderId="42" xfId="8" applyFont="1" applyBorder="1" applyAlignment="1">
      <alignment vertical="center"/>
    </xf>
    <xf numFmtId="0" fontId="14" fillId="0" borderId="41" xfId="8" applyFont="1" applyBorder="1" applyAlignment="1">
      <alignment vertical="center"/>
    </xf>
    <xf numFmtId="0" fontId="14" fillId="0" borderId="40" xfId="8" applyFont="1" applyBorder="1" applyAlignment="1">
      <alignment vertical="center"/>
    </xf>
    <xf numFmtId="0" fontId="14" fillId="0" borderId="31" xfId="8" applyFont="1" applyBorder="1" applyAlignment="1">
      <alignment vertical="center"/>
    </xf>
    <xf numFmtId="0" fontId="14" fillId="0" borderId="32" xfId="8" applyFont="1" applyBorder="1" applyAlignment="1">
      <alignment vertical="center"/>
    </xf>
    <xf numFmtId="0" fontId="14" fillId="0" borderId="33" xfId="8" applyFont="1" applyBorder="1" applyAlignment="1">
      <alignmen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 name="標準 2 2" xfId="8" xr:uid="{A1434579-FCB0-4389-B4F0-0EF3E5686E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451</xdr:colOff>
      <xdr:row>12</xdr:row>
      <xdr:rowOff>1200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33400" y="16383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0</xdr:colOff>
      <xdr:row>12</xdr:row>
      <xdr:rowOff>0</xdr:rowOff>
    </xdr:from>
    <xdr:to>
      <xdr:col>8</xdr:col>
      <xdr:colOff>0</xdr:colOff>
      <xdr:row>14</xdr:row>
      <xdr:rowOff>0</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33400" y="2400300"/>
          <a:ext cx="16002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39_WAONポイントN倍設定</a:t>
          </a:r>
        </a:p>
      </xdr:txBody>
    </xdr:sp>
    <xdr:clientData/>
  </xdr:twoCellAnchor>
  <xdr:twoCellAnchor>
    <xdr:from>
      <xdr:col>2</xdr:col>
      <xdr:colOff>0</xdr:colOff>
      <xdr:row>17</xdr:row>
      <xdr:rowOff>0</xdr:rowOff>
    </xdr:from>
    <xdr:to>
      <xdr:col>7</xdr:col>
      <xdr:colOff>235322</xdr:colOff>
      <xdr:row>21</xdr:row>
      <xdr:rowOff>0</xdr:rowOff>
    </xdr:to>
    <xdr:sp macro="" textlink="" fLocksText="0">
      <xdr:nvSpPr>
        <xdr:cNvPr id="4" name="正方形/長方形 1">
          <a:extLst>
            <a:ext uri="{FF2B5EF4-FFF2-40B4-BE49-F238E27FC236}">
              <a16:creationId xmlns:a16="http://schemas.microsoft.com/office/drawing/2014/main" id="{00000000-0008-0000-0400-000004000000}"/>
            </a:ext>
          </a:extLst>
        </xdr:cNvPr>
        <xdr:cNvSpPr/>
      </xdr:nvSpPr>
      <xdr:spPr>
        <a:xfrm>
          <a:off x="533400" y="3352800"/>
          <a:ext cx="157162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SC3901</a:t>
          </a:r>
        </a:p>
        <a:p>
          <a:pPr algn="ctr">
            <a:defRPr lang="en-US" altLang="ja-JP" sz="1100">
              <a:solidFill>
                <a:srgbClr val="000000"/>
              </a:solidFill>
              <a:latin typeface="Meiryo UI" panose="020B0604030504040204" pitchFamily="50" charset="-128"/>
              <a:ea typeface="Meiryo UI" panose="020B0604030504040204" pitchFamily="50"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WAONポイントN倍設定画面（初期化）</a:t>
          </a:r>
        </a:p>
      </xdr:txBody>
    </xdr:sp>
    <xdr:clientData/>
  </xdr:twoCellAnchor>
  <xdr:twoCellAnchor>
    <xdr:from>
      <xdr:col>4</xdr:col>
      <xdr:colOff>235323</xdr:colOff>
      <xdr:row>14</xdr:row>
      <xdr:rowOff>0</xdr:rowOff>
    </xdr:from>
    <xdr:to>
      <xdr:col>5</xdr:col>
      <xdr:colOff>0</xdr:colOff>
      <xdr:row>17</xdr:row>
      <xdr:rowOff>0</xdr:rowOff>
    </xdr:to>
    <xdr:cxnSp macro="">
      <xdr:nvCxnSpPr>
        <xdr:cNvPr id="5" name="直線矢印コネクタ 1010">
          <a:extLst>
            <a:ext uri="{FF2B5EF4-FFF2-40B4-BE49-F238E27FC236}">
              <a16:creationId xmlns:a16="http://schemas.microsoft.com/office/drawing/2014/main" id="{00000000-0008-0000-0400-000005000000}"/>
            </a:ext>
          </a:extLst>
        </xdr:cNvPr>
        <xdr:cNvCxnSpPr>
          <a:stCxn id="3" idx="2"/>
          <a:endCxn id="4" idx="0"/>
        </xdr:cNvCxnSpPr>
      </xdr:nvCxnSpPr>
      <xdr:spPr>
        <a:xfrm flipH="1">
          <a:off x="1304925" y="27813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30</xdr:row>
      <xdr:rowOff>8283</xdr:rowOff>
    </xdr:from>
    <xdr:to>
      <xdr:col>7</xdr:col>
      <xdr:colOff>0</xdr:colOff>
      <xdr:row>32</xdr:row>
      <xdr:rowOff>8283</xdr:rowOff>
    </xdr:to>
    <xdr:sp macro="" textlink="" fLocksText="0">
      <xdr:nvSpPr>
        <xdr:cNvPr id="8" name="四角形: 角を丸くする 1101">
          <a:extLst>
            <a:ext uri="{FF2B5EF4-FFF2-40B4-BE49-F238E27FC236}">
              <a16:creationId xmlns:a16="http://schemas.microsoft.com/office/drawing/2014/main" id="{00000000-0008-0000-0400-000008000000}"/>
            </a:ext>
          </a:extLst>
        </xdr:cNvPr>
        <xdr:cNvSpPr/>
      </xdr:nvSpPr>
      <xdr:spPr>
        <a:xfrm>
          <a:off x="800100" y="5838825"/>
          <a:ext cx="10668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設定なし</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0</xdr:colOff>
      <xdr:row>30</xdr:row>
      <xdr:rowOff>0</xdr:rowOff>
    </xdr:from>
    <xdr:to>
      <xdr:col>15</xdr:col>
      <xdr:colOff>0</xdr:colOff>
      <xdr:row>32</xdr:row>
      <xdr:rowOff>0</xdr:rowOff>
    </xdr:to>
    <xdr:sp macro="" textlink="" fLocksText="0">
      <xdr:nvSpPr>
        <xdr:cNvPr id="9" name="四角形: 角を丸くする 1101">
          <a:extLst>
            <a:ext uri="{FF2B5EF4-FFF2-40B4-BE49-F238E27FC236}">
              <a16:creationId xmlns:a16="http://schemas.microsoft.com/office/drawing/2014/main" id="{00000000-0008-0000-0400-000009000000}"/>
            </a:ext>
          </a:extLst>
        </xdr:cNvPr>
        <xdr:cNvSpPr/>
      </xdr:nvSpPr>
      <xdr:spPr>
        <a:xfrm>
          <a:off x="2933700" y="5829300"/>
          <a:ext cx="10668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設定あり</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1</xdr:colOff>
      <xdr:row>28</xdr:row>
      <xdr:rowOff>0</xdr:rowOff>
    </xdr:from>
    <xdr:to>
      <xdr:col>5</xdr:col>
      <xdr:colOff>1</xdr:colOff>
      <xdr:row>30</xdr:row>
      <xdr:rowOff>8283</xdr:rowOff>
    </xdr:to>
    <xdr:cxnSp macro="">
      <xdr:nvCxnSpPr>
        <xdr:cNvPr id="10" name="直線矢印コネクタ 1010">
          <a:extLst>
            <a:ext uri="{FF2B5EF4-FFF2-40B4-BE49-F238E27FC236}">
              <a16:creationId xmlns:a16="http://schemas.microsoft.com/office/drawing/2014/main" id="{00000000-0008-0000-0400-00000A000000}"/>
            </a:ext>
          </a:extLst>
        </xdr:cNvPr>
        <xdr:cNvCxnSpPr>
          <a:stCxn id="38" idx="2"/>
          <a:endCxn id="8" idx="0"/>
        </xdr:cNvCxnSpPr>
      </xdr:nvCxnSpPr>
      <xdr:spPr>
        <a:xfrm>
          <a:off x="1333500" y="5448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28</xdr:row>
      <xdr:rowOff>0</xdr:rowOff>
    </xdr:from>
    <xdr:to>
      <xdr:col>12</xdr:col>
      <xdr:colOff>240195</xdr:colOff>
      <xdr:row>30</xdr:row>
      <xdr:rowOff>0</xdr:rowOff>
    </xdr:to>
    <xdr:cxnSp macro="">
      <xdr:nvCxnSpPr>
        <xdr:cNvPr id="13" name="Connector: Elbow 12">
          <a:extLst>
            <a:ext uri="{FF2B5EF4-FFF2-40B4-BE49-F238E27FC236}">
              <a16:creationId xmlns:a16="http://schemas.microsoft.com/office/drawing/2014/main" id="{00000000-0008-0000-0400-00000D000000}"/>
            </a:ext>
          </a:extLst>
        </xdr:cNvPr>
        <xdr:cNvCxnSpPr>
          <a:stCxn id="38" idx="2"/>
          <a:endCxn id="9" idx="0"/>
        </xdr:cNvCxnSpPr>
      </xdr:nvCxnSpPr>
      <xdr:spPr>
        <a:xfrm rot="16200000" flipH="1">
          <a:off x="1333500" y="5448300"/>
          <a:ext cx="21050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34</xdr:row>
      <xdr:rowOff>0</xdr:rowOff>
    </xdr:from>
    <xdr:to>
      <xdr:col>6</xdr:col>
      <xdr:colOff>0</xdr:colOff>
      <xdr:row>35</xdr:row>
      <xdr:rowOff>0</xdr:rowOff>
    </xdr:to>
    <xdr:sp macro="" textlink="" fLocksText="0">
      <xdr:nvSpPr>
        <xdr:cNvPr id="16" name="四角形: 角を丸くする 1101">
          <a:extLst>
            <a:ext uri="{FF2B5EF4-FFF2-40B4-BE49-F238E27FC236}">
              <a16:creationId xmlns:a16="http://schemas.microsoft.com/office/drawing/2014/main" id="{00000000-0008-0000-0400-000010000000}"/>
            </a:ext>
          </a:extLst>
        </xdr:cNvPr>
        <xdr:cNvSpPr/>
      </xdr:nvSpPr>
      <xdr:spPr>
        <a:xfrm>
          <a:off x="1066800" y="6591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39.1</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12</xdr:col>
      <xdr:colOff>0</xdr:colOff>
      <xdr:row>34</xdr:row>
      <xdr:rowOff>0</xdr:rowOff>
    </xdr:from>
    <xdr:to>
      <xdr:col>14</xdr:col>
      <xdr:colOff>0</xdr:colOff>
      <xdr:row>35</xdr:row>
      <xdr:rowOff>0</xdr:rowOff>
    </xdr:to>
    <xdr:sp macro="" textlink="" fLocksText="0">
      <xdr:nvSpPr>
        <xdr:cNvPr id="17" name="四角形: 角を丸くする 1101">
          <a:extLst>
            <a:ext uri="{FF2B5EF4-FFF2-40B4-BE49-F238E27FC236}">
              <a16:creationId xmlns:a16="http://schemas.microsoft.com/office/drawing/2014/main" id="{00000000-0008-0000-0400-000011000000}"/>
            </a:ext>
          </a:extLst>
        </xdr:cNvPr>
        <xdr:cNvSpPr/>
      </xdr:nvSpPr>
      <xdr:spPr>
        <a:xfrm>
          <a:off x="3200400" y="6591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39.2</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1</xdr:colOff>
      <xdr:row>32</xdr:row>
      <xdr:rowOff>8283</xdr:rowOff>
    </xdr:from>
    <xdr:to>
      <xdr:col>5</xdr:col>
      <xdr:colOff>1</xdr:colOff>
      <xdr:row>34</xdr:row>
      <xdr:rowOff>0</xdr:rowOff>
    </xdr:to>
    <xdr:cxnSp macro="">
      <xdr:nvCxnSpPr>
        <xdr:cNvPr id="18" name="直線矢印コネクタ 1010">
          <a:extLst>
            <a:ext uri="{FF2B5EF4-FFF2-40B4-BE49-F238E27FC236}">
              <a16:creationId xmlns:a16="http://schemas.microsoft.com/office/drawing/2014/main" id="{00000000-0008-0000-0400-000012000000}"/>
            </a:ext>
          </a:extLst>
        </xdr:cNvPr>
        <xdr:cNvCxnSpPr>
          <a:stCxn id="8" idx="2"/>
          <a:endCxn id="16" idx="0"/>
        </xdr:cNvCxnSpPr>
      </xdr:nvCxnSpPr>
      <xdr:spPr>
        <a:xfrm>
          <a:off x="1333500" y="6219825"/>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240195</xdr:colOff>
      <xdr:row>32</xdr:row>
      <xdr:rowOff>0</xdr:rowOff>
    </xdr:from>
    <xdr:to>
      <xdr:col>12</xdr:col>
      <xdr:colOff>240195</xdr:colOff>
      <xdr:row>34</xdr:row>
      <xdr:rowOff>0</xdr:rowOff>
    </xdr:to>
    <xdr:cxnSp macro="">
      <xdr:nvCxnSpPr>
        <xdr:cNvPr id="22" name="直線矢印コネクタ 1010">
          <a:extLst>
            <a:ext uri="{FF2B5EF4-FFF2-40B4-BE49-F238E27FC236}">
              <a16:creationId xmlns:a16="http://schemas.microsoft.com/office/drawing/2014/main" id="{00000000-0008-0000-0400-000016000000}"/>
            </a:ext>
          </a:extLst>
        </xdr:cNvPr>
        <xdr:cNvCxnSpPr>
          <a:stCxn id="9" idx="2"/>
          <a:endCxn id="17" idx="0"/>
        </xdr:cNvCxnSpPr>
      </xdr:nvCxnSpPr>
      <xdr:spPr>
        <a:xfrm>
          <a:off x="3438525" y="6210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13</xdr:row>
      <xdr:rowOff>190499</xdr:rowOff>
    </xdr:from>
    <xdr:to>
      <xdr:col>61</xdr:col>
      <xdr:colOff>0</xdr:colOff>
      <xdr:row>29</xdr:row>
      <xdr:rowOff>56028</xdr:rowOff>
    </xdr:to>
    <xdr:sp macro="" textlink="" fLocksText="0">
      <xdr:nvSpPr>
        <xdr:cNvPr id="25" name="吹き出し: 線 2">
          <a:extLst>
            <a:ext uri="{FF2B5EF4-FFF2-40B4-BE49-F238E27FC236}">
              <a16:creationId xmlns:a16="http://schemas.microsoft.com/office/drawing/2014/main" id="{00000000-0008-0000-0400-000019000000}"/>
            </a:ext>
          </a:extLst>
        </xdr:cNvPr>
        <xdr:cNvSpPr/>
      </xdr:nvSpPr>
      <xdr:spPr>
        <a:xfrm>
          <a:off x="8942294" y="2779058"/>
          <a:ext cx="5412441" cy="2913529"/>
        </a:xfrm>
        <a:prstGeom prst="borderCallout1">
          <a:avLst>
            <a:gd name="adj1" fmla="val 46845"/>
            <a:gd name="adj2" fmla="val 677"/>
            <a:gd name="adj3" fmla="val 28080"/>
            <a:gd name="adj4" fmla="val -1344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SC3901_WAONポイントN倍設定画面（初期化）には以下の情報が含まれている。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倍率: 数字のみ入力可能、</a:t>
          </a:r>
          <a:r>
            <a:rPr lang="en-US" altLang="ja-JP" sz="1000" b="0" i="0" u="none" baseline="0">
              <a:solidFill>
                <a:srgbClr val="00B050"/>
              </a:solidFill>
              <a:latin typeface="Meiryo UI" panose="020B0604030504040204" pitchFamily="34" charset="-128"/>
              <a:ea typeface="Meiryo UI" panose="020B0604030504040204" pitchFamily="34" charset="-128"/>
            </a:rPr>
            <a:t>最大2文字</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対象日付</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a:t>
          </a:r>
          <a:endParaRPr lang="en-US" altLang="ja-JP" sz="1000" b="0" i="0" u="none" baseline="0">
            <a:solidFill>
              <a:srgbClr val="00B05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　</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割引日を</a:t>
          </a:r>
          <a:r>
            <a:rPr lang="en-US" altLang="ja-JP" sz="1000" b="0" i="0" u="none" baseline="0">
              <a:solidFill>
                <a:srgbClr val="00B050"/>
              </a:solidFill>
              <a:latin typeface="Meiryo UI" panose="020B0604030504040204" pitchFamily="34" charset="-128"/>
              <a:ea typeface="Meiryo UI" panose="020B0604030504040204" pitchFamily="34" charset="-128"/>
            </a:rPr>
            <a:t>1</a:t>
          </a:r>
          <a:r>
            <a:rPr lang="ja-JP" altLang="en-US" sz="1000" b="0" i="0" u="none" baseline="0">
              <a:solidFill>
                <a:srgbClr val="00B050"/>
              </a:solidFill>
              <a:latin typeface="Meiryo UI" panose="020B0604030504040204" pitchFamily="34" charset="-128"/>
              <a:ea typeface="Meiryo UI" panose="020B0604030504040204" pitchFamily="34" charset="-128"/>
            </a:rPr>
            <a:t>から</a:t>
          </a:r>
          <a:r>
            <a:rPr lang="en-US" altLang="ja-JP" sz="1000" b="0" i="0" u="none" baseline="0">
              <a:solidFill>
                <a:srgbClr val="00B050"/>
              </a:solidFill>
              <a:latin typeface="Meiryo UI" panose="020B0604030504040204" pitchFamily="34" charset="-128"/>
              <a:ea typeface="Meiryo UI" panose="020B0604030504040204" pitchFamily="34" charset="-128"/>
            </a:rPr>
            <a:t>31</a:t>
          </a:r>
          <a:r>
            <a:rPr lang="ja-JP" altLang="en-US" sz="1000" b="0" i="0" u="none" baseline="0">
              <a:solidFill>
                <a:srgbClr val="00B050"/>
              </a:solidFill>
              <a:latin typeface="Meiryo UI" panose="020B0604030504040204" pitchFamily="34" charset="-128"/>
              <a:ea typeface="Meiryo UI" panose="020B0604030504040204" pitchFamily="34" charset="-128"/>
            </a:rPr>
            <a:t>までの範囲で入力する</a:t>
          </a:r>
          <a:endParaRPr lang="en-US" altLang="ja-JP" sz="1000" b="0" i="0" u="none" baseline="0">
            <a:solidFill>
              <a:srgbClr val="00B05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　</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数字のみ入力可能、最大</a:t>
          </a:r>
          <a:r>
            <a:rPr lang="en-US" altLang="ja-JP" sz="1000" b="0" i="0" u="none" baseline="0">
              <a:solidFill>
                <a:srgbClr val="00B050"/>
              </a:solidFill>
              <a:latin typeface="Meiryo UI" panose="020B0604030504040204" pitchFamily="34" charset="-128"/>
              <a:ea typeface="Meiryo UI" panose="020B0604030504040204" pitchFamily="34" charset="-128"/>
            </a:rPr>
            <a:t>2</a:t>
          </a:r>
          <a:r>
            <a:rPr lang="ja-JP" altLang="en-US" sz="1000" b="0" i="0" u="none" baseline="0">
              <a:solidFill>
                <a:srgbClr val="00B050"/>
              </a:solidFill>
              <a:latin typeface="Meiryo UI" panose="020B0604030504040204" pitchFamily="34" charset="-128"/>
              <a:ea typeface="Meiryo UI" panose="020B0604030504040204" pitchFamily="34" charset="-128"/>
            </a:rPr>
            <a:t>文字</a:t>
          </a:r>
          <a:endParaRPr lang="en-US" altLang="ja-JP" sz="1000" b="0" i="0" u="none" baseline="0">
            <a:solidFill>
              <a:srgbClr val="00B05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設定曜日</a:t>
          </a:r>
          <a:r>
            <a:rPr lang="en-US" altLang="ja-JP" sz="1000" b="0" i="0" u="none" baseline="0">
              <a:solidFill>
                <a:srgbClr val="00B050"/>
              </a:solidFill>
              <a:latin typeface="Meiryo UI" panose="020B0604030504040204" pitchFamily="34" charset="-128"/>
              <a:ea typeface="Meiryo UI" panose="020B0604030504040204" pitchFamily="34" charset="-128"/>
            </a:rPr>
            <a:t>]:</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　</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割引を適用する曜日を選択する。</a:t>
          </a:r>
          <a:endParaRPr lang="en-US" altLang="ja-JP" sz="1000" b="0" i="0" u="none" baseline="0">
            <a:solidFill>
              <a:srgbClr val="00B05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　</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複数の曜日選択可能。</a:t>
          </a:r>
          <a:endParaRPr lang="en-US" altLang="ja-JP" sz="1000" b="0" i="0" u="none" baseline="0">
            <a:solidFill>
              <a:srgbClr val="00B05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画面初期化時、システム権限を持っているアカウントが店舗を選択した場合、選択されている店舗のWAONポイントN倍設定を取得する。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設定がない場合、SC3901_WAONポイントN倍設定画面が新規作成モードで表示される。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設定がある場合、SC3901_WAONポイントN倍設定画面が編集モードで表示され、画面に情報が表示される。</a:t>
          </a:r>
        </a:p>
        <a:p>
          <a:pPr>
            <a:defRPr lang="en-US" altLang="ja-JP" sz="1000" b="0" i="0" u="none" baseline="0">
              <a:solidFill>
                <a:srgbClr val="000000"/>
              </a:solidFill>
              <a:latin typeface="Meiryo UI"/>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10</xdr:row>
      <xdr:rowOff>0</xdr:rowOff>
    </xdr:from>
    <xdr:to>
      <xdr:col>61</xdr:col>
      <xdr:colOff>0</xdr:colOff>
      <xdr:row>12</xdr:row>
      <xdr:rowOff>0</xdr:rowOff>
    </xdr:to>
    <xdr:sp macro="" textlink="" fLocksText="0">
      <xdr:nvSpPr>
        <xdr:cNvPr id="26" name="吹き出し: 線 2">
          <a:extLst>
            <a:ext uri="{FF2B5EF4-FFF2-40B4-BE49-F238E27FC236}">
              <a16:creationId xmlns:a16="http://schemas.microsoft.com/office/drawing/2014/main" id="{00000000-0008-0000-0400-00001A000000}"/>
            </a:ext>
          </a:extLst>
        </xdr:cNvPr>
        <xdr:cNvSpPr/>
      </xdr:nvSpPr>
      <xdr:spPr>
        <a:xfrm>
          <a:off x="10134600" y="2019300"/>
          <a:ext cx="6134100" cy="381000"/>
        </a:xfrm>
        <a:prstGeom prst="borderCallout1">
          <a:avLst>
            <a:gd name="adj1" fmla="val 54828"/>
            <a:gd name="adj2" fmla="val -151"/>
            <a:gd name="adj3" fmla="val 146846"/>
            <a:gd name="adj4" fmla="val -13181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ID Menu item MF039</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システム権限を持つアカウントのみがこの機能を実行できる。</a:t>
          </a:r>
        </a:p>
      </xdr:txBody>
    </xdr:sp>
    <xdr:clientData/>
  </xdr:twoCellAnchor>
  <xdr:twoCellAnchor>
    <xdr:from>
      <xdr:col>4</xdr:col>
      <xdr:colOff>0</xdr:colOff>
      <xdr:row>38</xdr:row>
      <xdr:rowOff>0</xdr:rowOff>
    </xdr:from>
    <xdr:to>
      <xdr:col>6</xdr:col>
      <xdr:colOff>0</xdr:colOff>
      <xdr:row>39</xdr:row>
      <xdr:rowOff>11206</xdr:rowOff>
    </xdr:to>
    <xdr:sp macro="" textlink="" fLocksText="0">
      <xdr:nvSpPr>
        <xdr:cNvPr id="28" name="四角形: 角を丸くする 1101">
          <a:extLst>
            <a:ext uri="{FF2B5EF4-FFF2-40B4-BE49-F238E27FC236}">
              <a16:creationId xmlns:a16="http://schemas.microsoft.com/office/drawing/2014/main" id="{00000000-0008-0000-0400-00001C000000}"/>
            </a:ext>
          </a:extLst>
        </xdr:cNvPr>
        <xdr:cNvSpPr/>
      </xdr:nvSpPr>
      <xdr:spPr>
        <a:xfrm>
          <a:off x="1066800" y="7353300"/>
          <a:ext cx="533400" cy="20002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39.1</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0</xdr:colOff>
      <xdr:row>41</xdr:row>
      <xdr:rowOff>0</xdr:rowOff>
    </xdr:from>
    <xdr:to>
      <xdr:col>7</xdr:col>
      <xdr:colOff>235322</xdr:colOff>
      <xdr:row>45</xdr:row>
      <xdr:rowOff>0</xdr:rowOff>
    </xdr:to>
    <xdr:sp macro="" textlink="" fLocksText="0">
      <xdr:nvSpPr>
        <xdr:cNvPr id="30" name="正方形/長方形 1">
          <a:extLst>
            <a:ext uri="{FF2B5EF4-FFF2-40B4-BE49-F238E27FC236}">
              <a16:creationId xmlns:a16="http://schemas.microsoft.com/office/drawing/2014/main" id="{00000000-0008-0000-0400-00001E000000}"/>
            </a:ext>
          </a:extLst>
        </xdr:cNvPr>
        <xdr:cNvSpPr/>
      </xdr:nvSpPr>
      <xdr:spPr>
        <a:xfrm>
          <a:off x="533400" y="7924800"/>
          <a:ext cx="157162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SC3901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WAONポイントN倍設定画面（新規作成）</a:t>
          </a:r>
        </a:p>
      </xdr:txBody>
    </xdr:sp>
    <xdr:clientData/>
  </xdr:twoCellAnchor>
  <xdr:twoCellAnchor>
    <xdr:from>
      <xdr:col>4</xdr:col>
      <xdr:colOff>237759</xdr:colOff>
      <xdr:row>39</xdr:row>
      <xdr:rowOff>11206</xdr:rowOff>
    </xdr:from>
    <xdr:to>
      <xdr:col>5</xdr:col>
      <xdr:colOff>1</xdr:colOff>
      <xdr:row>41</xdr:row>
      <xdr:rowOff>0</xdr:rowOff>
    </xdr:to>
    <xdr:cxnSp macro="">
      <xdr:nvCxnSpPr>
        <xdr:cNvPr id="31" name="直線矢印コネクタ 1010">
          <a:extLst>
            <a:ext uri="{FF2B5EF4-FFF2-40B4-BE49-F238E27FC236}">
              <a16:creationId xmlns:a16="http://schemas.microsoft.com/office/drawing/2014/main" id="{00000000-0008-0000-0400-00001F000000}"/>
            </a:ext>
          </a:extLst>
        </xdr:cNvPr>
        <xdr:cNvCxnSpPr>
          <a:stCxn id="28" idx="2"/>
          <a:endCxn id="30" idx="0"/>
        </xdr:cNvCxnSpPr>
      </xdr:nvCxnSpPr>
      <xdr:spPr>
        <a:xfrm flipH="1">
          <a:off x="1304925" y="7553325"/>
          <a:ext cx="28575"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240195</xdr:colOff>
      <xdr:row>46</xdr:row>
      <xdr:rowOff>190499</xdr:rowOff>
    </xdr:from>
    <xdr:to>
      <xdr:col>6</xdr:col>
      <xdr:colOff>240195</xdr:colOff>
      <xdr:row>48</xdr:row>
      <xdr:rowOff>0</xdr:rowOff>
    </xdr:to>
    <xdr:sp macro="" textlink="" fLocksText="0">
      <xdr:nvSpPr>
        <xdr:cNvPr id="11" name="四角形: 角を丸くする 1101">
          <a:extLst>
            <a:ext uri="{FF2B5EF4-FFF2-40B4-BE49-F238E27FC236}">
              <a16:creationId xmlns:a16="http://schemas.microsoft.com/office/drawing/2014/main" id="{00000000-0008-0000-0400-00000B000000}"/>
            </a:ext>
          </a:extLst>
        </xdr:cNvPr>
        <xdr:cNvSpPr/>
      </xdr:nvSpPr>
      <xdr:spPr>
        <a:xfrm>
          <a:off x="771525" y="9067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確定</a:t>
          </a:r>
        </a:p>
      </xdr:txBody>
    </xdr:sp>
    <xdr:clientData/>
  </xdr:twoCellAnchor>
  <xdr:twoCellAnchor>
    <xdr:from>
      <xdr:col>9</xdr:col>
      <xdr:colOff>0</xdr:colOff>
      <xdr:row>47</xdr:row>
      <xdr:rowOff>0</xdr:rowOff>
    </xdr:from>
    <xdr:to>
      <xdr:col>12</xdr:col>
      <xdr:colOff>0</xdr:colOff>
      <xdr:row>48</xdr:row>
      <xdr:rowOff>1</xdr:rowOff>
    </xdr:to>
    <xdr:sp macro="" textlink="" fLocksText="0">
      <xdr:nvSpPr>
        <xdr:cNvPr id="12" name="四角形: 角を丸くする 1101">
          <a:extLst>
            <a:ext uri="{FF2B5EF4-FFF2-40B4-BE49-F238E27FC236}">
              <a16:creationId xmlns:a16="http://schemas.microsoft.com/office/drawing/2014/main" id="{00000000-0008-0000-0400-00000C000000}"/>
            </a:ext>
          </a:extLst>
        </xdr:cNvPr>
        <xdr:cNvSpPr/>
      </xdr:nvSpPr>
      <xdr:spPr>
        <a:xfrm>
          <a:off x="2400300" y="90678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4</xdr:col>
      <xdr:colOff>237759</xdr:colOff>
      <xdr:row>45</xdr:row>
      <xdr:rowOff>0</xdr:rowOff>
    </xdr:from>
    <xdr:to>
      <xdr:col>5</xdr:col>
      <xdr:colOff>0</xdr:colOff>
      <xdr:row>46</xdr:row>
      <xdr:rowOff>190499</xdr:rowOff>
    </xdr:to>
    <xdr:cxnSp macro="">
      <xdr:nvCxnSpPr>
        <xdr:cNvPr id="21" name="直線矢印コネクタ 1010">
          <a:extLst>
            <a:ext uri="{FF2B5EF4-FFF2-40B4-BE49-F238E27FC236}">
              <a16:creationId xmlns:a16="http://schemas.microsoft.com/office/drawing/2014/main" id="{00000000-0008-0000-0400-000015000000}"/>
            </a:ext>
          </a:extLst>
        </xdr:cNvPr>
        <xdr:cNvCxnSpPr>
          <a:stCxn id="30" idx="2"/>
          <a:endCxn id="11" idx="0"/>
        </xdr:cNvCxnSpPr>
      </xdr:nvCxnSpPr>
      <xdr:spPr>
        <a:xfrm>
          <a:off x="1304925" y="8686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237758</xdr:colOff>
      <xdr:row>45</xdr:row>
      <xdr:rowOff>0</xdr:rowOff>
    </xdr:from>
    <xdr:to>
      <xdr:col>10</xdr:col>
      <xdr:colOff>120097</xdr:colOff>
      <xdr:row>47</xdr:row>
      <xdr:rowOff>0</xdr:rowOff>
    </xdr:to>
    <xdr:cxnSp macro="">
      <xdr:nvCxnSpPr>
        <xdr:cNvPr id="35" name="Connector: Elbow 34">
          <a:extLst>
            <a:ext uri="{FF2B5EF4-FFF2-40B4-BE49-F238E27FC236}">
              <a16:creationId xmlns:a16="http://schemas.microsoft.com/office/drawing/2014/main" id="{00000000-0008-0000-0400-000023000000}"/>
            </a:ext>
          </a:extLst>
        </xdr:cNvPr>
        <xdr:cNvCxnSpPr>
          <a:stCxn id="30" idx="2"/>
          <a:endCxn id="12" idx="0"/>
        </xdr:cNvCxnSpPr>
      </xdr:nvCxnSpPr>
      <xdr:spPr>
        <a:xfrm rot="16200000" flipH="1">
          <a:off x="1304925" y="8686800"/>
          <a:ext cx="1485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xdr:colOff>
      <xdr:row>24</xdr:row>
      <xdr:rowOff>0</xdr:rowOff>
    </xdr:from>
    <xdr:to>
      <xdr:col>8</xdr:col>
      <xdr:colOff>1</xdr:colOff>
      <xdr:row>28</xdr:row>
      <xdr:rowOff>0</xdr:rowOff>
    </xdr:to>
    <xdr:sp macro="" textlink="" fLocksText="0">
      <xdr:nvSpPr>
        <xdr:cNvPr id="38" name="四角形: 角を丸くする 3">
          <a:extLst>
            <a:ext uri="{FF2B5EF4-FFF2-40B4-BE49-F238E27FC236}">
              <a16:creationId xmlns:a16="http://schemas.microsoft.com/office/drawing/2014/main" id="{00000000-0008-0000-0400-000026000000}"/>
            </a:ext>
          </a:extLst>
        </xdr:cNvPr>
        <xdr:cNvSpPr/>
      </xdr:nvSpPr>
      <xdr:spPr>
        <a:xfrm>
          <a:off x="533400" y="4686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KN3901</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en-US" altLang="ja-JP" sz="1100">
              <a:solidFill>
                <a:srgbClr val="000000"/>
              </a:solidFill>
              <a:latin typeface="Meiryo UI" panose="020B0604030504040204" pitchFamily="50" charset="-128"/>
              <a:ea typeface="Meiryo UI" panose="020B0604030504040204" pitchFamily="50"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WAONポイントN倍設定取得</a:t>
          </a:r>
        </a:p>
      </xdr:txBody>
    </xdr:sp>
    <xdr:clientData/>
  </xdr:twoCellAnchor>
  <xdr:twoCellAnchor>
    <xdr:from>
      <xdr:col>4</xdr:col>
      <xdr:colOff>235323</xdr:colOff>
      <xdr:row>21</xdr:row>
      <xdr:rowOff>0</xdr:rowOff>
    </xdr:from>
    <xdr:to>
      <xdr:col>5</xdr:col>
      <xdr:colOff>1</xdr:colOff>
      <xdr:row>24</xdr:row>
      <xdr:rowOff>0</xdr:rowOff>
    </xdr:to>
    <xdr:cxnSp macro="">
      <xdr:nvCxnSpPr>
        <xdr:cNvPr id="47" name="直線矢印コネクタ 1010">
          <a:extLst>
            <a:ext uri="{FF2B5EF4-FFF2-40B4-BE49-F238E27FC236}">
              <a16:creationId xmlns:a16="http://schemas.microsoft.com/office/drawing/2014/main" id="{00000000-0008-0000-0400-00002F000000}"/>
            </a:ext>
          </a:extLst>
        </xdr:cNvPr>
        <xdr:cNvCxnSpPr>
          <a:stCxn id="4" idx="2"/>
          <a:endCxn id="38" idx="0"/>
        </xdr:cNvCxnSpPr>
      </xdr:nvCxnSpPr>
      <xdr:spPr>
        <a:xfrm>
          <a:off x="1304925" y="41148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24</xdr:row>
      <xdr:rowOff>0</xdr:rowOff>
    </xdr:from>
    <xdr:to>
      <xdr:col>34</xdr:col>
      <xdr:colOff>210963</xdr:colOff>
      <xdr:row>28</xdr:row>
      <xdr:rowOff>0</xdr:rowOff>
    </xdr:to>
    <xdr:sp macro="" textlink="" fLocksText="0">
      <xdr:nvSpPr>
        <xdr:cNvPr id="50" name="フローチャート: 磁気ディスク 13">
          <a:extLst>
            <a:ext uri="{FF2B5EF4-FFF2-40B4-BE49-F238E27FC236}">
              <a16:creationId xmlns:a16="http://schemas.microsoft.com/office/drawing/2014/main" id="{00000000-0008-0000-0400-000032000000}"/>
            </a:ext>
          </a:extLst>
        </xdr:cNvPr>
        <xdr:cNvSpPr/>
      </xdr:nvSpPr>
      <xdr:spPr>
        <a:xfrm>
          <a:off x="7734300" y="4686300"/>
          <a:ext cx="154305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AP3901
get N WAON</a:t>
          </a:r>
          <a:endParaRPr lang="ja-JP" altLang="en-US"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1</xdr:colOff>
      <xdr:row>26</xdr:row>
      <xdr:rowOff>0</xdr:rowOff>
    </xdr:from>
    <xdr:to>
      <xdr:col>29</xdr:col>
      <xdr:colOff>0</xdr:colOff>
      <xdr:row>26</xdr:row>
      <xdr:rowOff>0</xdr:rowOff>
    </xdr:to>
    <xdr:cxnSp macro="">
      <xdr:nvCxnSpPr>
        <xdr:cNvPr id="51" name="直線矢印コネクタ 196">
          <a:extLst>
            <a:ext uri="{FF2B5EF4-FFF2-40B4-BE49-F238E27FC236}">
              <a16:creationId xmlns:a16="http://schemas.microsoft.com/office/drawing/2014/main" id="{00000000-0008-0000-0400-000033000000}"/>
            </a:ext>
          </a:extLst>
        </xdr:cNvPr>
        <xdr:cNvCxnSpPr>
          <a:stCxn id="38" idx="3"/>
          <a:endCxn id="50" idx="2"/>
        </xdr:cNvCxnSpPr>
      </xdr:nvCxnSpPr>
      <xdr:spPr>
        <a:xfrm>
          <a:off x="2133600" y="5067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40</xdr:row>
      <xdr:rowOff>0</xdr:rowOff>
    </xdr:from>
    <xdr:to>
      <xdr:col>61</xdr:col>
      <xdr:colOff>0</xdr:colOff>
      <xdr:row>61</xdr:row>
      <xdr:rowOff>11206</xdr:rowOff>
    </xdr:to>
    <xdr:sp macro="" textlink="" fLocksText="0">
      <xdr:nvSpPr>
        <xdr:cNvPr id="56" name="吹き出し: 線 2">
          <a:extLst>
            <a:ext uri="{FF2B5EF4-FFF2-40B4-BE49-F238E27FC236}">
              <a16:creationId xmlns:a16="http://schemas.microsoft.com/office/drawing/2014/main" id="{00000000-0008-0000-0400-000038000000}"/>
            </a:ext>
          </a:extLst>
        </xdr:cNvPr>
        <xdr:cNvSpPr/>
      </xdr:nvSpPr>
      <xdr:spPr>
        <a:xfrm>
          <a:off x="10134600" y="7734300"/>
          <a:ext cx="6134100" cy="4010025"/>
        </a:xfrm>
        <a:prstGeom prst="borderCallout1">
          <a:avLst>
            <a:gd name="adj1" fmla="val 46845"/>
            <a:gd name="adj2" fmla="val 677"/>
            <a:gd name="adj3" fmla="val 28080"/>
            <a:gd name="adj4" fmla="val -1344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SC3901_WAONポイントN倍設定画面（新規作成）：</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「確定」ボタンと「取消」ボタンを有効にする。「削除」ボタンを無効にする。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倍率: 数字のみ入力可能、</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最大</a:t>
          </a:r>
          <a:r>
            <a:rPr lang="en-US" altLang="ja-JP" sz="1000" b="0" i="0" u="none" baseline="0">
              <a:solidFill>
                <a:srgbClr val="00B050"/>
              </a:solidFill>
              <a:latin typeface="Meiryo UI" panose="020B0604030504040204" pitchFamily="34" charset="-128"/>
              <a:ea typeface="Meiryo UI" panose="020B0604030504040204" pitchFamily="34" charset="-128"/>
            </a:rPr>
            <a:t>2</a:t>
          </a:r>
          <a:r>
            <a:rPr lang="ja-JP" altLang="en-US" sz="1000" b="0" i="0" u="none" baseline="0">
              <a:solidFill>
                <a:srgbClr val="00B050"/>
              </a:solidFill>
              <a:latin typeface="Meiryo UI" panose="020B0604030504040204" pitchFamily="34" charset="-128"/>
              <a:ea typeface="Meiryo UI" panose="020B0604030504040204" pitchFamily="34" charset="-128"/>
            </a:rPr>
            <a:t>文字</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対象日付</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　</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割引日を</a:t>
          </a:r>
          <a:r>
            <a:rPr lang="en-US" altLang="ja-JP" sz="1000" b="0" i="0" u="none" baseline="0">
              <a:solidFill>
                <a:srgbClr val="00B050"/>
              </a:solidFill>
              <a:latin typeface="Meiryo UI" panose="020B0604030504040204" pitchFamily="34" charset="-128"/>
              <a:ea typeface="Meiryo UI" panose="020B0604030504040204" pitchFamily="34" charset="-128"/>
            </a:rPr>
            <a:t>1</a:t>
          </a:r>
          <a:r>
            <a:rPr lang="ja-JP" altLang="en-US" sz="1000" b="0" i="0" u="none" baseline="0">
              <a:solidFill>
                <a:srgbClr val="00B050"/>
              </a:solidFill>
              <a:latin typeface="Meiryo UI" panose="020B0604030504040204" pitchFamily="34" charset="-128"/>
              <a:ea typeface="Meiryo UI" panose="020B0604030504040204" pitchFamily="34" charset="-128"/>
            </a:rPr>
            <a:t>から</a:t>
          </a:r>
          <a:r>
            <a:rPr lang="en-US" altLang="ja-JP" sz="1000" b="0" i="0" u="none" baseline="0">
              <a:solidFill>
                <a:srgbClr val="00B050"/>
              </a:solidFill>
              <a:latin typeface="Meiryo UI" panose="020B0604030504040204" pitchFamily="34" charset="-128"/>
              <a:ea typeface="Meiryo UI" panose="020B0604030504040204" pitchFamily="34" charset="-128"/>
            </a:rPr>
            <a:t>31</a:t>
          </a:r>
          <a:r>
            <a:rPr lang="ja-JP" altLang="en-US" sz="1000" b="0" i="0" u="none" baseline="0">
              <a:solidFill>
                <a:srgbClr val="00B050"/>
              </a:solidFill>
              <a:latin typeface="Meiryo UI" panose="020B0604030504040204" pitchFamily="34" charset="-128"/>
              <a:ea typeface="Meiryo UI" panose="020B0604030504040204" pitchFamily="34" charset="-128"/>
            </a:rPr>
            <a:t>までの範囲で入力する</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　</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数字のみ入力可能、最大</a:t>
          </a:r>
          <a:r>
            <a:rPr lang="en-US" altLang="ja-JP" sz="1000" b="0" i="0" u="none" baseline="0">
              <a:solidFill>
                <a:srgbClr val="00B050"/>
              </a:solidFill>
              <a:latin typeface="Meiryo UI" panose="020B0604030504040204" pitchFamily="34" charset="-128"/>
              <a:ea typeface="Meiryo UI" panose="020B0604030504040204" pitchFamily="34" charset="-128"/>
            </a:rPr>
            <a:t>2</a:t>
          </a:r>
          <a:r>
            <a:rPr lang="ja-JP" altLang="en-US" sz="1000" b="0" i="0" u="none" baseline="0">
              <a:solidFill>
                <a:srgbClr val="00B050"/>
              </a:solidFill>
              <a:latin typeface="Meiryo UI" panose="020B0604030504040204" pitchFamily="34" charset="-128"/>
              <a:ea typeface="Meiryo UI" panose="020B0604030504040204" pitchFamily="34" charset="-128"/>
            </a:rPr>
            <a:t>文字</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設定曜日</a:t>
          </a:r>
          <a:r>
            <a:rPr lang="en-US" altLang="ja-JP" sz="1000" b="0" i="0" u="none" baseline="0">
              <a:solidFill>
                <a:srgbClr val="00B050"/>
              </a:solidFill>
              <a:latin typeface="Meiryo UI" panose="020B0604030504040204" pitchFamily="34" charset="-128"/>
              <a:ea typeface="Meiryo UI" panose="020B0604030504040204" pitchFamily="34" charset="-128"/>
            </a:rPr>
            <a:t>]:</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　</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割引を適用する曜日を選択する。</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　</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複数の曜日選択可能。</a:t>
          </a:r>
          <a:endParaRPr lang="en-US" altLang="ja-JP" sz="1000" b="0" i="0" u="none" baseline="0">
            <a:solidFill>
              <a:srgbClr val="00B05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「取消」ボタンをタッチすると、入力した値を全てクリアし、編集前の倍率設定情報を表示する。</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「確定」ボタンをタッチすると、バリデーションチェックを行う。</a:t>
          </a:r>
          <a:endParaRPr lang="en-US" altLang="ja-JP" sz="1000" b="0" i="0" u="none" baseline="0">
            <a:solidFill>
              <a:srgbClr val="00B05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・入力された日付が重複している場合、エラーモダールを表示する。メッセージ：毎月かかる日に重複があります。</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・日付 </a:t>
          </a:r>
          <a:r>
            <a:rPr lang="en-US" altLang="ja-JP" sz="1000" b="0" i="0" u="none" baseline="0">
              <a:solidFill>
                <a:srgbClr val="00B050"/>
              </a:solidFill>
              <a:latin typeface="Meiryo UI" panose="020B0604030504040204" pitchFamily="34" charset="-128"/>
              <a:ea typeface="Meiryo UI" panose="020B0604030504040204" pitchFamily="34" charset="-128"/>
            </a:rPr>
            <a:t>= 0 </a:t>
          </a:r>
          <a:r>
            <a:rPr lang="ja-JP" altLang="en-US" sz="1000" b="0" i="0" u="none" baseline="0">
              <a:solidFill>
                <a:srgbClr val="00B050"/>
              </a:solidFill>
              <a:latin typeface="Meiryo UI" panose="020B0604030504040204" pitchFamily="34" charset="-128"/>
              <a:ea typeface="Meiryo UI" panose="020B0604030504040204" pitchFamily="34" charset="-128"/>
            </a:rPr>
            <a:t>又は日付</a:t>
          </a:r>
          <a:r>
            <a:rPr lang="en-US" altLang="ja-JP" sz="1000" b="0" i="0" u="none" baseline="0">
              <a:solidFill>
                <a:srgbClr val="00B050"/>
              </a:solidFill>
              <a:latin typeface="Meiryo UI" panose="020B0604030504040204" pitchFamily="34" charset="-128"/>
              <a:ea typeface="Meiryo UI" panose="020B0604030504040204" pitchFamily="34" charset="-128"/>
            </a:rPr>
            <a:t>&gt; 31</a:t>
          </a:r>
          <a:r>
            <a:rPr lang="ja-JP" altLang="en-US" sz="1000" b="0" i="0" u="none" baseline="0">
              <a:solidFill>
                <a:srgbClr val="00B050"/>
              </a:solidFill>
              <a:latin typeface="Meiryo UI" panose="020B0604030504040204" pitchFamily="34" charset="-128"/>
              <a:ea typeface="Meiryo UI" panose="020B0604030504040204" pitchFamily="34" charset="-128"/>
            </a:rPr>
            <a:t>で入力した場合、「</a:t>
          </a:r>
          <a:r>
            <a:rPr lang="en-US" altLang="ja-JP" sz="1000" b="0" i="0" u="none" baseline="0">
              <a:solidFill>
                <a:srgbClr val="00B050"/>
              </a:solidFill>
              <a:latin typeface="Meiryo UI" panose="020B0604030504040204" pitchFamily="34" charset="-128"/>
              <a:ea typeface="Meiryo UI" panose="020B0604030504040204" pitchFamily="34" charset="-128"/>
            </a:rPr>
            <a:t>1~31</a:t>
          </a:r>
          <a:r>
            <a:rPr lang="ja-JP" altLang="en-US" sz="1000" b="0" i="0" u="none" baseline="0">
              <a:solidFill>
                <a:srgbClr val="00B050"/>
              </a:solidFill>
              <a:latin typeface="Meiryo UI" panose="020B0604030504040204" pitchFamily="34" charset="-128"/>
              <a:ea typeface="Meiryo UI" panose="020B0604030504040204" pitchFamily="34" charset="-128"/>
            </a:rPr>
            <a:t>の範囲で入力してください。」エラーメッセージを表示する。</a:t>
          </a:r>
          <a:endParaRPr lang="en-US" altLang="ja-JP" sz="1000" b="0" i="0" u="none" baseline="0">
            <a:solidFill>
              <a:srgbClr val="00B05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・倍率</a:t>
          </a:r>
          <a:r>
            <a:rPr lang="en-US" altLang="ja-JP" sz="1000" b="0" i="0" u="none" baseline="0">
              <a:solidFill>
                <a:srgbClr val="00B050"/>
              </a:solidFill>
              <a:latin typeface="Meiryo UI" panose="020B0604030504040204" pitchFamily="34" charset="-128"/>
              <a:ea typeface="Meiryo UI" panose="020B0604030504040204" pitchFamily="34" charset="-128"/>
            </a:rPr>
            <a:t>= 0</a:t>
          </a:r>
          <a:r>
            <a:rPr lang="ja-JP" altLang="en-US" sz="1000" b="0" i="0" u="none" baseline="0">
              <a:solidFill>
                <a:srgbClr val="00B050"/>
              </a:solidFill>
              <a:latin typeface="Meiryo UI" panose="020B0604030504040204" pitchFamily="34" charset="-128"/>
              <a:ea typeface="Meiryo UI" panose="020B0604030504040204" pitchFamily="34" charset="-128"/>
            </a:rPr>
            <a:t>の場合、「倍率は</a:t>
          </a:r>
          <a:r>
            <a:rPr lang="en-US" altLang="ja-JP" sz="1000" b="0" i="0" u="none" baseline="0">
              <a:solidFill>
                <a:srgbClr val="00B050"/>
              </a:solidFill>
              <a:latin typeface="Meiryo UI" panose="020B0604030504040204" pitchFamily="34" charset="-128"/>
              <a:ea typeface="Meiryo UI" panose="020B0604030504040204" pitchFamily="34" charset="-128"/>
            </a:rPr>
            <a:t>1~99</a:t>
          </a:r>
          <a:r>
            <a:rPr lang="ja-JP" altLang="en-US" sz="1000" b="0" i="0" u="none" baseline="0">
              <a:solidFill>
                <a:srgbClr val="00B050"/>
              </a:solidFill>
              <a:latin typeface="Meiryo UI" panose="020B0604030504040204" pitchFamily="34" charset="-128"/>
              <a:ea typeface="Meiryo UI" panose="020B0604030504040204" pitchFamily="34" charset="-128"/>
            </a:rPr>
            <a:t>の範囲で入力してください。」エラーメッセージを表示する。</a:t>
          </a:r>
          <a:endParaRPr lang="en-US" altLang="ja-JP" sz="1000" b="0" i="0" u="none" baseline="0">
            <a:solidFill>
              <a:srgbClr val="00B05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・バリデーションチェック</a:t>
          </a:r>
          <a:r>
            <a:rPr lang="en-US" altLang="ja-JP" sz="1000" b="0" i="0" u="none" baseline="0">
              <a:solidFill>
                <a:srgbClr val="00B050"/>
              </a:solidFill>
              <a:latin typeface="Meiryo UI" panose="020B0604030504040204" pitchFamily="34" charset="-128"/>
              <a:ea typeface="Meiryo UI" panose="020B0604030504040204" pitchFamily="34" charset="-128"/>
            </a:rPr>
            <a:t>OK</a:t>
          </a:r>
          <a:r>
            <a:rPr lang="ja-JP" altLang="en-US" sz="1000" b="0" i="0" u="none" baseline="0">
              <a:solidFill>
                <a:srgbClr val="00B050"/>
              </a:solidFill>
              <a:latin typeface="Meiryo UI" panose="020B0604030504040204" pitchFamily="34" charset="-128"/>
              <a:ea typeface="Meiryo UI" panose="020B0604030504040204" pitchFamily="34" charset="-128"/>
            </a:rPr>
            <a:t>の場合、</a:t>
          </a:r>
          <a:r>
            <a:rPr lang="en-US" altLang="ja-JP" sz="1000" b="0" i="0" u="none" baseline="0">
              <a:solidFill>
                <a:srgbClr val="00B050"/>
              </a:solidFill>
              <a:latin typeface="Meiryo UI" panose="020B0604030504040204" pitchFamily="34" charset="-128"/>
              <a:ea typeface="Meiryo UI" panose="020B0604030504040204" pitchFamily="34" charset="-128"/>
            </a:rPr>
            <a:t>WAON</a:t>
          </a:r>
          <a:r>
            <a:rPr lang="ja-JP" altLang="en-US" sz="1000" b="0" i="0" u="none" baseline="0">
              <a:solidFill>
                <a:srgbClr val="00B050"/>
              </a:solidFill>
              <a:latin typeface="Meiryo UI" panose="020B0604030504040204" pitchFamily="34" charset="-128"/>
              <a:ea typeface="Meiryo UI" panose="020B0604030504040204" pitchFamily="34" charset="-128"/>
            </a:rPr>
            <a:t>倍率を作成する。作成が成功した場合、</a:t>
          </a:r>
          <a:r>
            <a:rPr lang="en-US" altLang="ja-JP" sz="1000" b="0" i="0" u="none" baseline="0">
              <a:solidFill>
                <a:srgbClr val="00B050"/>
              </a:solidFill>
              <a:latin typeface="Meiryo UI" panose="020B0604030504040204" pitchFamily="34" charset="-128"/>
              <a:ea typeface="Meiryo UI" panose="020B0604030504040204" pitchFamily="34" charset="-128"/>
            </a:rPr>
            <a:t>WAON</a:t>
          </a:r>
          <a:r>
            <a:rPr lang="ja-JP" altLang="en-US" sz="1000" b="0" i="0" u="none" baseline="0">
              <a:solidFill>
                <a:srgbClr val="00B050"/>
              </a:solidFill>
              <a:latin typeface="Meiryo UI" panose="020B0604030504040204" pitchFamily="34" charset="-128"/>
              <a:ea typeface="Meiryo UI" panose="020B0604030504040204" pitchFamily="34" charset="-128"/>
            </a:rPr>
            <a:t>倍率情報を取得して画面を編集モードで表示する。</a:t>
          </a:r>
          <a:endParaRPr lang="en-US" altLang="ja-JP" sz="1000" b="0" i="0" u="none" baseline="0">
            <a:solidFill>
              <a:srgbClr val="00B05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a:ea typeface="Meiryo UI" panose="020B0604030504040204" pitchFamily="34" charset="-128"/>
            </a:defRPr>
          </a:pPr>
          <a:endParaRPr lang="en-US" altLang="ja-JP"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52</xdr:row>
      <xdr:rowOff>0</xdr:rowOff>
    </xdr:from>
    <xdr:to>
      <xdr:col>8</xdr:col>
      <xdr:colOff>0</xdr:colOff>
      <xdr:row>56</xdr:row>
      <xdr:rowOff>0</xdr:rowOff>
    </xdr:to>
    <xdr:sp macro="" textlink="" fLocksText="0">
      <xdr:nvSpPr>
        <xdr:cNvPr id="59" name="四角形: 角を丸くする 3">
          <a:extLst>
            <a:ext uri="{FF2B5EF4-FFF2-40B4-BE49-F238E27FC236}">
              <a16:creationId xmlns:a16="http://schemas.microsoft.com/office/drawing/2014/main" id="{00000000-0008-0000-0400-00003B000000}"/>
            </a:ext>
          </a:extLst>
        </xdr:cNvPr>
        <xdr:cNvSpPr/>
      </xdr:nvSpPr>
      <xdr:spPr>
        <a:xfrm>
          <a:off x="533400" y="10020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KN3902</a:t>
          </a:r>
        </a:p>
        <a:p>
          <a:pPr algn="ctr">
            <a:defRPr lang="en-US" altLang="ja-JP" sz="1100">
              <a:solidFill>
                <a:srgbClr val="000000"/>
              </a:solidFill>
              <a:latin typeface="Meiryo UI" panose="020B0604030504040204" pitchFamily="50" charset="-128"/>
              <a:ea typeface="Meiryo UI" panose="020B0604030504040204" pitchFamily="50"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WAONポイントN倍設定作成</a:t>
          </a:r>
        </a:p>
      </xdr:txBody>
    </xdr:sp>
    <xdr:clientData/>
  </xdr:twoCellAnchor>
  <xdr:twoCellAnchor>
    <xdr:from>
      <xdr:col>28</xdr:col>
      <xdr:colOff>235322</xdr:colOff>
      <xdr:row>52</xdr:row>
      <xdr:rowOff>0</xdr:rowOff>
    </xdr:from>
    <xdr:to>
      <xdr:col>34</xdr:col>
      <xdr:colOff>210962</xdr:colOff>
      <xdr:row>56</xdr:row>
      <xdr:rowOff>0</xdr:rowOff>
    </xdr:to>
    <xdr:sp macro="" textlink="" fLocksText="0">
      <xdr:nvSpPr>
        <xdr:cNvPr id="60" name="フローチャート: 磁気ディスク 13">
          <a:extLst>
            <a:ext uri="{FF2B5EF4-FFF2-40B4-BE49-F238E27FC236}">
              <a16:creationId xmlns:a16="http://schemas.microsoft.com/office/drawing/2014/main" id="{00000000-0008-0000-0400-00003C000000}"/>
            </a:ext>
          </a:extLst>
        </xdr:cNvPr>
        <xdr:cNvSpPr/>
      </xdr:nvSpPr>
      <xdr:spPr>
        <a:xfrm>
          <a:off x="7705725" y="10020300"/>
          <a:ext cx="157162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AP3902
create N WAON</a:t>
          </a:r>
          <a:endParaRPr lang="ja-JP" altLang="en-US"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54</xdr:row>
      <xdr:rowOff>0</xdr:rowOff>
    </xdr:from>
    <xdr:to>
      <xdr:col>28</xdr:col>
      <xdr:colOff>235322</xdr:colOff>
      <xdr:row>54</xdr:row>
      <xdr:rowOff>0</xdr:rowOff>
    </xdr:to>
    <xdr:cxnSp macro="">
      <xdr:nvCxnSpPr>
        <xdr:cNvPr id="61" name="直線矢印コネクタ 196">
          <a:extLst>
            <a:ext uri="{FF2B5EF4-FFF2-40B4-BE49-F238E27FC236}">
              <a16:creationId xmlns:a16="http://schemas.microsoft.com/office/drawing/2014/main" id="{00000000-0008-0000-0400-00003D000000}"/>
            </a:ext>
          </a:extLst>
        </xdr:cNvPr>
        <xdr:cNvCxnSpPr>
          <a:stCxn id="59" idx="3"/>
          <a:endCxn id="60" idx="2"/>
        </xdr:cNvCxnSpPr>
      </xdr:nvCxnSpPr>
      <xdr:spPr>
        <a:xfrm>
          <a:off x="2133600" y="10401300"/>
          <a:ext cx="55721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48</xdr:row>
      <xdr:rowOff>0</xdr:rowOff>
    </xdr:from>
    <xdr:to>
      <xdr:col>5</xdr:col>
      <xdr:colOff>4871</xdr:colOff>
      <xdr:row>52</xdr:row>
      <xdr:rowOff>0</xdr:rowOff>
    </xdr:to>
    <xdr:cxnSp macro="">
      <xdr:nvCxnSpPr>
        <xdr:cNvPr id="62" name="直線矢印コネクタ 1010">
          <a:extLst>
            <a:ext uri="{FF2B5EF4-FFF2-40B4-BE49-F238E27FC236}">
              <a16:creationId xmlns:a16="http://schemas.microsoft.com/office/drawing/2014/main" id="{00000000-0008-0000-0400-00003E000000}"/>
            </a:ext>
          </a:extLst>
        </xdr:cNvPr>
        <xdr:cNvCxnSpPr>
          <a:stCxn id="11" idx="2"/>
          <a:endCxn id="59" idx="0"/>
        </xdr:cNvCxnSpPr>
      </xdr:nvCxnSpPr>
      <xdr:spPr>
        <a:xfrm flipH="1">
          <a:off x="1333500" y="9258300"/>
          <a:ext cx="9525"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11206</xdr:colOff>
      <xdr:row>22</xdr:row>
      <xdr:rowOff>1</xdr:rowOff>
    </xdr:from>
    <xdr:to>
      <xdr:col>3</xdr:col>
      <xdr:colOff>11206</xdr:colOff>
      <xdr:row>23</xdr:row>
      <xdr:rowOff>11207</xdr:rowOff>
    </xdr:to>
    <xdr:sp macro="" textlink="" fLocksText="0">
      <xdr:nvSpPr>
        <xdr:cNvPr id="65" name="四角形: 角を丸くする 1101">
          <a:extLst>
            <a:ext uri="{FF2B5EF4-FFF2-40B4-BE49-F238E27FC236}">
              <a16:creationId xmlns:a16="http://schemas.microsoft.com/office/drawing/2014/main" id="{00000000-0008-0000-0400-000041000000}"/>
            </a:ext>
          </a:extLst>
        </xdr:cNvPr>
        <xdr:cNvSpPr/>
      </xdr:nvSpPr>
      <xdr:spPr>
        <a:xfrm>
          <a:off x="276225" y="4305300"/>
          <a:ext cx="533400" cy="20002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39</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11206</xdr:colOff>
      <xdr:row>22</xdr:row>
      <xdr:rowOff>100854</xdr:rowOff>
    </xdr:from>
    <xdr:to>
      <xdr:col>5</xdr:col>
      <xdr:colOff>1</xdr:colOff>
      <xdr:row>24</xdr:row>
      <xdr:rowOff>0</xdr:rowOff>
    </xdr:to>
    <xdr:cxnSp macro="">
      <xdr:nvCxnSpPr>
        <xdr:cNvPr id="66" name="Connector: Elbow 65">
          <a:extLst>
            <a:ext uri="{FF2B5EF4-FFF2-40B4-BE49-F238E27FC236}">
              <a16:creationId xmlns:a16="http://schemas.microsoft.com/office/drawing/2014/main" id="{00000000-0008-0000-0400-000042000000}"/>
            </a:ext>
          </a:extLst>
        </xdr:cNvPr>
        <xdr:cNvCxnSpPr>
          <a:stCxn id="65" idx="3"/>
          <a:endCxn id="38" idx="0"/>
        </xdr:cNvCxnSpPr>
      </xdr:nvCxnSpPr>
      <xdr:spPr>
        <a:xfrm>
          <a:off x="809625" y="4410075"/>
          <a:ext cx="523875" cy="27622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58</xdr:row>
      <xdr:rowOff>0</xdr:rowOff>
    </xdr:from>
    <xdr:to>
      <xdr:col>6</xdr:col>
      <xdr:colOff>0</xdr:colOff>
      <xdr:row>59</xdr:row>
      <xdr:rowOff>11206</xdr:rowOff>
    </xdr:to>
    <xdr:sp macro="" textlink="" fLocksText="0">
      <xdr:nvSpPr>
        <xdr:cNvPr id="70" name="四角形: 角を丸くする 1101">
          <a:extLst>
            <a:ext uri="{FF2B5EF4-FFF2-40B4-BE49-F238E27FC236}">
              <a16:creationId xmlns:a16="http://schemas.microsoft.com/office/drawing/2014/main" id="{00000000-0008-0000-0400-000046000000}"/>
            </a:ext>
          </a:extLst>
        </xdr:cNvPr>
        <xdr:cNvSpPr/>
      </xdr:nvSpPr>
      <xdr:spPr>
        <a:xfrm>
          <a:off x="1066800" y="11163300"/>
          <a:ext cx="533400" cy="20002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39</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56</xdr:row>
      <xdr:rowOff>0</xdr:rowOff>
    </xdr:from>
    <xdr:to>
      <xdr:col>5</xdr:col>
      <xdr:colOff>0</xdr:colOff>
      <xdr:row>58</xdr:row>
      <xdr:rowOff>0</xdr:rowOff>
    </xdr:to>
    <xdr:cxnSp macro="">
      <xdr:nvCxnSpPr>
        <xdr:cNvPr id="71" name="直線矢印コネクタ 1010">
          <a:extLst>
            <a:ext uri="{FF2B5EF4-FFF2-40B4-BE49-F238E27FC236}">
              <a16:creationId xmlns:a16="http://schemas.microsoft.com/office/drawing/2014/main" id="{00000000-0008-0000-0400-000047000000}"/>
            </a:ext>
          </a:extLst>
        </xdr:cNvPr>
        <xdr:cNvCxnSpPr>
          <a:stCxn id="59" idx="2"/>
          <a:endCxn id="70" idx="0"/>
        </xdr:cNvCxnSpPr>
      </xdr:nvCxnSpPr>
      <xdr:spPr>
        <a:xfrm>
          <a:off x="1333500" y="1078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67</xdr:row>
      <xdr:rowOff>0</xdr:rowOff>
    </xdr:from>
    <xdr:to>
      <xdr:col>6</xdr:col>
      <xdr:colOff>0</xdr:colOff>
      <xdr:row>68</xdr:row>
      <xdr:rowOff>11206</xdr:rowOff>
    </xdr:to>
    <xdr:sp macro="" textlink="" fLocksText="0">
      <xdr:nvSpPr>
        <xdr:cNvPr id="79" name="四角形: 角を丸くする 1101">
          <a:extLst>
            <a:ext uri="{FF2B5EF4-FFF2-40B4-BE49-F238E27FC236}">
              <a16:creationId xmlns:a16="http://schemas.microsoft.com/office/drawing/2014/main" id="{00000000-0008-0000-0400-00004F000000}"/>
            </a:ext>
          </a:extLst>
        </xdr:cNvPr>
        <xdr:cNvSpPr/>
      </xdr:nvSpPr>
      <xdr:spPr>
        <a:xfrm>
          <a:off x="1066800" y="12877800"/>
          <a:ext cx="533400" cy="20002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39.2</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0</xdr:colOff>
      <xdr:row>70</xdr:row>
      <xdr:rowOff>0</xdr:rowOff>
    </xdr:from>
    <xdr:to>
      <xdr:col>7</xdr:col>
      <xdr:colOff>235322</xdr:colOff>
      <xdr:row>74</xdr:row>
      <xdr:rowOff>0</xdr:rowOff>
    </xdr:to>
    <xdr:sp macro="" textlink="" fLocksText="0">
      <xdr:nvSpPr>
        <xdr:cNvPr id="80" name="正方形/長方形 1">
          <a:extLst>
            <a:ext uri="{FF2B5EF4-FFF2-40B4-BE49-F238E27FC236}">
              <a16:creationId xmlns:a16="http://schemas.microsoft.com/office/drawing/2014/main" id="{00000000-0008-0000-0400-000050000000}"/>
            </a:ext>
          </a:extLst>
        </xdr:cNvPr>
        <xdr:cNvSpPr/>
      </xdr:nvSpPr>
      <xdr:spPr>
        <a:xfrm>
          <a:off x="533400" y="13449300"/>
          <a:ext cx="157162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SC3901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WAONポイントN倍設定画面（編集）</a:t>
          </a:r>
        </a:p>
      </xdr:txBody>
    </xdr:sp>
    <xdr:clientData/>
  </xdr:twoCellAnchor>
  <xdr:twoCellAnchor>
    <xdr:from>
      <xdr:col>4</xdr:col>
      <xdr:colOff>237759</xdr:colOff>
      <xdr:row>68</xdr:row>
      <xdr:rowOff>11206</xdr:rowOff>
    </xdr:from>
    <xdr:to>
      <xdr:col>5</xdr:col>
      <xdr:colOff>1</xdr:colOff>
      <xdr:row>70</xdr:row>
      <xdr:rowOff>0</xdr:rowOff>
    </xdr:to>
    <xdr:cxnSp macro="">
      <xdr:nvCxnSpPr>
        <xdr:cNvPr id="81" name="直線矢印コネクタ 1010">
          <a:extLst>
            <a:ext uri="{FF2B5EF4-FFF2-40B4-BE49-F238E27FC236}">
              <a16:creationId xmlns:a16="http://schemas.microsoft.com/office/drawing/2014/main" id="{00000000-0008-0000-0400-000051000000}"/>
            </a:ext>
          </a:extLst>
        </xdr:cNvPr>
        <xdr:cNvCxnSpPr>
          <a:stCxn id="79" idx="2"/>
          <a:endCxn id="80" idx="0"/>
        </xdr:cNvCxnSpPr>
      </xdr:nvCxnSpPr>
      <xdr:spPr>
        <a:xfrm flipH="1">
          <a:off x="1304925" y="13077825"/>
          <a:ext cx="28575"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240195</xdr:colOff>
      <xdr:row>75</xdr:row>
      <xdr:rowOff>190499</xdr:rowOff>
    </xdr:from>
    <xdr:to>
      <xdr:col>6</xdr:col>
      <xdr:colOff>240195</xdr:colOff>
      <xdr:row>77</xdr:row>
      <xdr:rowOff>0</xdr:rowOff>
    </xdr:to>
    <xdr:sp macro="" textlink="" fLocksText="0">
      <xdr:nvSpPr>
        <xdr:cNvPr id="82" name="四角形: 角を丸くする 1101">
          <a:extLst>
            <a:ext uri="{FF2B5EF4-FFF2-40B4-BE49-F238E27FC236}">
              <a16:creationId xmlns:a16="http://schemas.microsoft.com/office/drawing/2014/main" id="{00000000-0008-0000-0400-000052000000}"/>
            </a:ext>
          </a:extLst>
        </xdr:cNvPr>
        <xdr:cNvSpPr/>
      </xdr:nvSpPr>
      <xdr:spPr>
        <a:xfrm>
          <a:off x="771525" y="14592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確定</a:t>
          </a:r>
        </a:p>
      </xdr:txBody>
    </xdr:sp>
    <xdr:clientData/>
  </xdr:twoCellAnchor>
  <xdr:twoCellAnchor>
    <xdr:from>
      <xdr:col>9</xdr:col>
      <xdr:colOff>0</xdr:colOff>
      <xdr:row>76</xdr:row>
      <xdr:rowOff>0</xdr:rowOff>
    </xdr:from>
    <xdr:to>
      <xdr:col>12</xdr:col>
      <xdr:colOff>0</xdr:colOff>
      <xdr:row>77</xdr:row>
      <xdr:rowOff>1</xdr:rowOff>
    </xdr:to>
    <xdr:sp macro="" textlink="" fLocksText="0">
      <xdr:nvSpPr>
        <xdr:cNvPr id="83" name="四角形: 角を丸くする 1101">
          <a:extLst>
            <a:ext uri="{FF2B5EF4-FFF2-40B4-BE49-F238E27FC236}">
              <a16:creationId xmlns:a16="http://schemas.microsoft.com/office/drawing/2014/main" id="{00000000-0008-0000-0400-000053000000}"/>
            </a:ext>
          </a:extLst>
        </xdr:cNvPr>
        <xdr:cNvSpPr/>
      </xdr:nvSpPr>
      <xdr:spPr>
        <a:xfrm>
          <a:off x="2400300" y="145923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4</xdr:col>
      <xdr:colOff>237759</xdr:colOff>
      <xdr:row>74</xdr:row>
      <xdr:rowOff>0</xdr:rowOff>
    </xdr:from>
    <xdr:to>
      <xdr:col>5</xdr:col>
      <xdr:colOff>0</xdr:colOff>
      <xdr:row>75</xdr:row>
      <xdr:rowOff>190499</xdr:rowOff>
    </xdr:to>
    <xdr:cxnSp macro="">
      <xdr:nvCxnSpPr>
        <xdr:cNvPr id="84" name="直線矢印コネクタ 1010">
          <a:extLst>
            <a:ext uri="{FF2B5EF4-FFF2-40B4-BE49-F238E27FC236}">
              <a16:creationId xmlns:a16="http://schemas.microsoft.com/office/drawing/2014/main" id="{00000000-0008-0000-0400-000054000000}"/>
            </a:ext>
          </a:extLst>
        </xdr:cNvPr>
        <xdr:cNvCxnSpPr>
          <a:stCxn id="80" idx="2"/>
          <a:endCxn id="82" idx="0"/>
        </xdr:cNvCxnSpPr>
      </xdr:nvCxnSpPr>
      <xdr:spPr>
        <a:xfrm>
          <a:off x="1304925" y="142113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237758</xdr:colOff>
      <xdr:row>74</xdr:row>
      <xdr:rowOff>0</xdr:rowOff>
    </xdr:from>
    <xdr:to>
      <xdr:col>10</xdr:col>
      <xdr:colOff>120097</xdr:colOff>
      <xdr:row>76</xdr:row>
      <xdr:rowOff>0</xdr:rowOff>
    </xdr:to>
    <xdr:cxnSp macro="">
      <xdr:nvCxnSpPr>
        <xdr:cNvPr id="85" name="Connector: Elbow 84">
          <a:extLst>
            <a:ext uri="{FF2B5EF4-FFF2-40B4-BE49-F238E27FC236}">
              <a16:creationId xmlns:a16="http://schemas.microsoft.com/office/drawing/2014/main" id="{00000000-0008-0000-0400-000055000000}"/>
            </a:ext>
          </a:extLst>
        </xdr:cNvPr>
        <xdr:cNvCxnSpPr>
          <a:stCxn id="80" idx="2"/>
          <a:endCxn id="83" idx="0"/>
        </xdr:cNvCxnSpPr>
      </xdr:nvCxnSpPr>
      <xdr:spPr>
        <a:xfrm rot="16200000" flipH="1">
          <a:off x="1304925" y="14211300"/>
          <a:ext cx="1485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69</xdr:row>
      <xdr:rowOff>0</xdr:rowOff>
    </xdr:from>
    <xdr:to>
      <xdr:col>61</xdr:col>
      <xdr:colOff>0</xdr:colOff>
      <xdr:row>96</xdr:row>
      <xdr:rowOff>0</xdr:rowOff>
    </xdr:to>
    <xdr:sp macro="" textlink="" fLocksText="0">
      <xdr:nvSpPr>
        <xdr:cNvPr id="86" name="吹き出し: 線 2">
          <a:extLst>
            <a:ext uri="{FF2B5EF4-FFF2-40B4-BE49-F238E27FC236}">
              <a16:creationId xmlns:a16="http://schemas.microsoft.com/office/drawing/2014/main" id="{00000000-0008-0000-0400-000056000000}"/>
            </a:ext>
          </a:extLst>
        </xdr:cNvPr>
        <xdr:cNvSpPr/>
      </xdr:nvSpPr>
      <xdr:spPr>
        <a:xfrm>
          <a:off x="10134600" y="13258800"/>
          <a:ext cx="6134100" cy="5143500"/>
        </a:xfrm>
        <a:prstGeom prst="borderCallout1">
          <a:avLst>
            <a:gd name="adj1" fmla="val 46845"/>
            <a:gd name="adj2" fmla="val 677"/>
            <a:gd name="adj3" fmla="val 11139"/>
            <a:gd name="adj4" fmla="val -13283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SC3901_WAONポイントN倍設定画面（編集）: 現在の店舗の倍率設定情報を表示する。「確定」ボタン、「取消」ボタン、「削除」ボタンを有効にする。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以下のように編集可能</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倍率: 数字のみ入力可能、</a:t>
          </a:r>
          <a:r>
            <a:rPr lang="ja-JP" altLang="en-US" sz="1000" b="0" i="0" u="none" baseline="0">
              <a:solidFill>
                <a:srgbClr val="00B050"/>
              </a:solidFill>
              <a:latin typeface="Meiryo UI" panose="020B0604030504040204" pitchFamily="34" charset="-128"/>
              <a:ea typeface="Meiryo UI" panose="020B0604030504040204" pitchFamily="34" charset="-128"/>
            </a:rPr>
            <a:t>最大</a:t>
          </a:r>
          <a:r>
            <a:rPr lang="en-US" altLang="ja-JP" sz="1000" b="0" i="0" u="none" baseline="0">
              <a:solidFill>
                <a:srgbClr val="00B050"/>
              </a:solidFill>
              <a:latin typeface="Meiryo UI" panose="020B0604030504040204" pitchFamily="34" charset="-128"/>
              <a:ea typeface="Meiryo UI" panose="020B0604030504040204" pitchFamily="34" charset="-128"/>
            </a:rPr>
            <a:t>2</a:t>
          </a:r>
          <a:r>
            <a:rPr lang="ja-JP" altLang="en-US" sz="1000" b="0" i="0" u="none" baseline="0">
              <a:solidFill>
                <a:srgbClr val="00B050"/>
              </a:solidFill>
              <a:latin typeface="Meiryo UI" panose="020B0604030504040204" pitchFamily="34" charset="-128"/>
              <a:ea typeface="Meiryo UI" panose="020B0604030504040204" pitchFamily="34" charset="-128"/>
            </a:rPr>
            <a:t>文字</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対象日付</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　</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割引日を</a:t>
          </a:r>
          <a:r>
            <a:rPr lang="en-US" altLang="ja-JP" sz="1000" b="0" i="0" u="none" baseline="0">
              <a:solidFill>
                <a:srgbClr val="00B050"/>
              </a:solidFill>
              <a:latin typeface="Meiryo UI" panose="020B0604030504040204" pitchFamily="34" charset="-128"/>
              <a:ea typeface="Meiryo UI" panose="020B0604030504040204" pitchFamily="34" charset="-128"/>
            </a:rPr>
            <a:t>1</a:t>
          </a:r>
          <a:r>
            <a:rPr lang="ja-JP" altLang="en-US" sz="1000" b="0" i="0" u="none" baseline="0">
              <a:solidFill>
                <a:srgbClr val="00B050"/>
              </a:solidFill>
              <a:latin typeface="Meiryo UI" panose="020B0604030504040204" pitchFamily="34" charset="-128"/>
              <a:ea typeface="Meiryo UI" panose="020B0604030504040204" pitchFamily="34" charset="-128"/>
            </a:rPr>
            <a:t>から</a:t>
          </a:r>
          <a:r>
            <a:rPr lang="en-US" altLang="ja-JP" sz="1000" b="0" i="0" u="none" baseline="0">
              <a:solidFill>
                <a:srgbClr val="00B050"/>
              </a:solidFill>
              <a:latin typeface="Meiryo UI" panose="020B0604030504040204" pitchFamily="34" charset="-128"/>
              <a:ea typeface="Meiryo UI" panose="020B0604030504040204" pitchFamily="34" charset="-128"/>
            </a:rPr>
            <a:t>31</a:t>
          </a:r>
          <a:r>
            <a:rPr lang="ja-JP" altLang="en-US" sz="1000" b="0" i="0" u="none" baseline="0">
              <a:solidFill>
                <a:srgbClr val="00B050"/>
              </a:solidFill>
              <a:latin typeface="Meiryo UI" panose="020B0604030504040204" pitchFamily="34" charset="-128"/>
              <a:ea typeface="Meiryo UI" panose="020B0604030504040204" pitchFamily="34" charset="-128"/>
            </a:rPr>
            <a:t>までの範囲で入力する</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　</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数字のみ入力可能、最大</a:t>
          </a:r>
          <a:r>
            <a:rPr lang="en-US" altLang="ja-JP" sz="1000" b="0" i="0" u="none" baseline="0">
              <a:solidFill>
                <a:srgbClr val="00B050"/>
              </a:solidFill>
              <a:latin typeface="Meiryo UI" panose="020B0604030504040204" pitchFamily="34" charset="-128"/>
              <a:ea typeface="Meiryo UI" panose="020B0604030504040204" pitchFamily="34" charset="-128"/>
            </a:rPr>
            <a:t>2</a:t>
          </a:r>
          <a:r>
            <a:rPr lang="ja-JP" altLang="en-US" sz="1000" b="0" i="0" u="none" baseline="0">
              <a:solidFill>
                <a:srgbClr val="00B050"/>
              </a:solidFill>
              <a:latin typeface="Meiryo UI" panose="020B0604030504040204" pitchFamily="34" charset="-128"/>
              <a:ea typeface="Meiryo UI" panose="020B0604030504040204" pitchFamily="34" charset="-128"/>
            </a:rPr>
            <a:t>文字</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設定曜日</a:t>
          </a:r>
          <a:r>
            <a:rPr lang="en-US" altLang="ja-JP" sz="1000" b="0" i="0" u="none" baseline="0">
              <a:solidFill>
                <a:srgbClr val="00B050"/>
              </a:solidFill>
              <a:latin typeface="Meiryo UI" panose="020B0604030504040204" pitchFamily="34" charset="-128"/>
              <a:ea typeface="Meiryo UI" panose="020B0604030504040204" pitchFamily="34" charset="-128"/>
            </a:rPr>
            <a:t>]:</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　</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割引を適用する曜日を選択する。</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　</a:t>
          </a:r>
          <a:r>
            <a:rPr lang="en-US" altLang="ja-JP" sz="1000" b="0" i="0" u="none" baseline="0">
              <a:solidFill>
                <a:srgbClr val="00B050"/>
              </a:solidFill>
              <a:latin typeface="Meiryo UI" panose="020B0604030504040204" pitchFamily="34" charset="-128"/>
              <a:ea typeface="Meiryo UI" panose="020B0604030504040204" pitchFamily="34" charset="-128"/>
            </a:rPr>
            <a:t>‣</a:t>
          </a:r>
          <a:r>
            <a:rPr lang="ja-JP" altLang="en-US" sz="1000" b="0" i="0" u="none" baseline="0">
              <a:solidFill>
                <a:srgbClr val="00B050"/>
              </a:solidFill>
              <a:latin typeface="Meiryo UI" panose="020B0604030504040204" pitchFamily="34" charset="-128"/>
              <a:ea typeface="Meiryo UI" panose="020B0604030504040204" pitchFamily="34" charset="-128"/>
            </a:rPr>
            <a:t>複数の曜日選択可能。</a:t>
          </a:r>
          <a:r>
            <a:rPr>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「取消」ボタンをタッチすると、入力した値を全てクリアし、編集前の倍率設定情報を表示する。</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「確定」ボタンをタッチすると、バリデーションチェックを行う。</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・入力された日付が重複している場合、エラーモダールを表示する。メッセージ：毎月かかる日に重複があります。</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・日付 </a:t>
          </a:r>
          <a:r>
            <a:rPr lang="en-US" altLang="ja-JP" sz="1000" b="0" i="0" u="none" baseline="0">
              <a:solidFill>
                <a:srgbClr val="00B050"/>
              </a:solidFill>
              <a:latin typeface="Meiryo UI" panose="020B0604030504040204" pitchFamily="34" charset="-128"/>
              <a:ea typeface="Meiryo UI" panose="020B0604030504040204" pitchFamily="34" charset="-128"/>
            </a:rPr>
            <a:t>= 0 </a:t>
          </a:r>
          <a:r>
            <a:rPr lang="ja-JP" altLang="en-US" sz="1000" b="0" i="0" u="none" baseline="0">
              <a:solidFill>
                <a:srgbClr val="00B050"/>
              </a:solidFill>
              <a:latin typeface="Meiryo UI" panose="020B0604030504040204" pitchFamily="34" charset="-128"/>
              <a:ea typeface="Meiryo UI" panose="020B0604030504040204" pitchFamily="34" charset="-128"/>
            </a:rPr>
            <a:t>又は日付</a:t>
          </a:r>
          <a:r>
            <a:rPr lang="en-US" altLang="ja-JP" sz="1000" b="0" i="0" u="none" baseline="0">
              <a:solidFill>
                <a:srgbClr val="00B050"/>
              </a:solidFill>
              <a:latin typeface="Meiryo UI" panose="020B0604030504040204" pitchFamily="34" charset="-128"/>
              <a:ea typeface="Meiryo UI" panose="020B0604030504040204" pitchFamily="34" charset="-128"/>
            </a:rPr>
            <a:t>&gt; 31</a:t>
          </a:r>
          <a:r>
            <a:rPr lang="ja-JP" altLang="en-US" sz="1000" b="0" i="0" u="none" baseline="0">
              <a:solidFill>
                <a:srgbClr val="00B050"/>
              </a:solidFill>
              <a:latin typeface="Meiryo UI" panose="020B0604030504040204" pitchFamily="34" charset="-128"/>
              <a:ea typeface="Meiryo UI" panose="020B0604030504040204" pitchFamily="34" charset="-128"/>
            </a:rPr>
            <a:t>で入力した場合、「</a:t>
          </a:r>
          <a:r>
            <a:rPr lang="en-US" altLang="ja-JP" sz="1000" b="0" i="0" u="none" baseline="0">
              <a:solidFill>
                <a:srgbClr val="00B050"/>
              </a:solidFill>
              <a:latin typeface="Meiryo UI" panose="020B0604030504040204" pitchFamily="34" charset="-128"/>
              <a:ea typeface="Meiryo UI" panose="020B0604030504040204" pitchFamily="34" charset="-128"/>
            </a:rPr>
            <a:t>1~31</a:t>
          </a:r>
          <a:r>
            <a:rPr lang="ja-JP" altLang="en-US" sz="1000" b="0" i="0" u="none" baseline="0">
              <a:solidFill>
                <a:srgbClr val="00B050"/>
              </a:solidFill>
              <a:latin typeface="Meiryo UI" panose="020B0604030504040204" pitchFamily="34" charset="-128"/>
              <a:ea typeface="Meiryo UI" panose="020B0604030504040204" pitchFamily="34" charset="-128"/>
            </a:rPr>
            <a:t>の範囲で入力してください。」エラーメッセージを表示する。</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・倍率</a:t>
          </a:r>
          <a:r>
            <a:rPr lang="en-US" altLang="ja-JP" sz="1000" b="0" i="0" u="none" baseline="0">
              <a:solidFill>
                <a:srgbClr val="00B050"/>
              </a:solidFill>
              <a:latin typeface="Meiryo UI" panose="020B0604030504040204" pitchFamily="34" charset="-128"/>
              <a:ea typeface="Meiryo UI" panose="020B0604030504040204" pitchFamily="34" charset="-128"/>
            </a:rPr>
            <a:t>= 0</a:t>
          </a:r>
          <a:r>
            <a:rPr lang="ja-JP" altLang="en-US" sz="1000" b="0" i="0" u="none" baseline="0">
              <a:solidFill>
                <a:srgbClr val="00B050"/>
              </a:solidFill>
              <a:latin typeface="Meiryo UI" panose="020B0604030504040204" pitchFamily="34" charset="-128"/>
              <a:ea typeface="Meiryo UI" panose="020B0604030504040204" pitchFamily="34" charset="-128"/>
            </a:rPr>
            <a:t>の場合、「倍率は</a:t>
          </a:r>
          <a:r>
            <a:rPr lang="en-US" altLang="ja-JP" sz="1000" b="0" i="0" u="none" baseline="0">
              <a:solidFill>
                <a:srgbClr val="00B050"/>
              </a:solidFill>
              <a:latin typeface="Meiryo UI" panose="020B0604030504040204" pitchFamily="34" charset="-128"/>
              <a:ea typeface="Meiryo UI" panose="020B0604030504040204" pitchFamily="34" charset="-128"/>
            </a:rPr>
            <a:t>1~99</a:t>
          </a:r>
          <a:r>
            <a:rPr lang="ja-JP" altLang="en-US" sz="1000" b="0" i="0" u="none" baseline="0">
              <a:solidFill>
                <a:srgbClr val="00B050"/>
              </a:solidFill>
              <a:latin typeface="Meiryo UI" panose="020B0604030504040204" pitchFamily="34" charset="-128"/>
              <a:ea typeface="Meiryo UI" panose="020B0604030504040204" pitchFamily="34" charset="-128"/>
            </a:rPr>
            <a:t>の範囲で入力してください。」エラーメッセージを表示する。</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・バリデーションチェック</a:t>
          </a:r>
          <a:r>
            <a:rPr lang="en-US" altLang="ja-JP" sz="1000" b="0" i="0" u="none" baseline="0">
              <a:solidFill>
                <a:srgbClr val="00B050"/>
              </a:solidFill>
              <a:latin typeface="Meiryo UI" panose="020B0604030504040204" pitchFamily="34" charset="-128"/>
              <a:ea typeface="Meiryo UI" panose="020B0604030504040204" pitchFamily="34" charset="-128"/>
            </a:rPr>
            <a:t>OK</a:t>
          </a:r>
          <a:r>
            <a:rPr lang="ja-JP" altLang="en-US" sz="1000" b="0" i="0" u="none" baseline="0">
              <a:solidFill>
                <a:srgbClr val="00B050"/>
              </a:solidFill>
              <a:latin typeface="Meiryo UI" panose="020B0604030504040204" pitchFamily="34" charset="-128"/>
              <a:ea typeface="Meiryo UI" panose="020B0604030504040204" pitchFamily="34" charset="-128"/>
            </a:rPr>
            <a:t>の場合、</a:t>
          </a:r>
          <a:r>
            <a:rPr lang="en-US" altLang="ja-JP" sz="1000" b="0" i="0" u="none" baseline="0">
              <a:solidFill>
                <a:srgbClr val="00B050"/>
              </a:solidFill>
              <a:latin typeface="Meiryo UI" panose="020B0604030504040204" pitchFamily="34" charset="-128"/>
              <a:ea typeface="Meiryo UI" panose="020B0604030504040204" pitchFamily="34" charset="-128"/>
            </a:rPr>
            <a:t>WAON</a:t>
          </a:r>
          <a:r>
            <a:rPr lang="ja-JP" altLang="en-US" sz="1000" b="0" i="0" u="none" baseline="0">
              <a:solidFill>
                <a:srgbClr val="00B050"/>
              </a:solidFill>
              <a:latin typeface="Meiryo UI" panose="020B0604030504040204" pitchFamily="34" charset="-128"/>
              <a:ea typeface="Meiryo UI" panose="020B0604030504040204" pitchFamily="34" charset="-128"/>
            </a:rPr>
            <a:t>倍率を更新する。更新が成功した場合、更新モードになる。</a:t>
          </a:r>
          <a:endParaRPr lang="en-US" altLang="ja-JP" sz="1000" b="0" i="0" u="none" baseline="0">
            <a:solidFill>
              <a:srgbClr val="00B05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「削除」ボタンをタッチすると、WAON倍率設定情報を削除し、WAON倍率設定画面を新規作成モードで表示する。</a:t>
          </a:r>
        </a:p>
        <a:p>
          <a:pPr>
            <a:defRPr lang="en-US" altLang="ja-JP" sz="1000" b="0" i="0" u="none" baseline="0">
              <a:solidFill>
                <a:srgbClr val="000000"/>
              </a:solidFill>
              <a:latin typeface="Meiryo UI"/>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81</xdr:row>
      <xdr:rowOff>0</xdr:rowOff>
    </xdr:from>
    <xdr:to>
      <xdr:col>8</xdr:col>
      <xdr:colOff>0</xdr:colOff>
      <xdr:row>85</xdr:row>
      <xdr:rowOff>0</xdr:rowOff>
    </xdr:to>
    <xdr:sp macro="" textlink="" fLocksText="0">
      <xdr:nvSpPr>
        <xdr:cNvPr id="87" name="四角形: 角を丸くする 3">
          <a:extLst>
            <a:ext uri="{FF2B5EF4-FFF2-40B4-BE49-F238E27FC236}">
              <a16:creationId xmlns:a16="http://schemas.microsoft.com/office/drawing/2014/main" id="{00000000-0008-0000-0400-000057000000}"/>
            </a:ext>
          </a:extLst>
        </xdr:cNvPr>
        <xdr:cNvSpPr/>
      </xdr:nvSpPr>
      <xdr:spPr>
        <a:xfrm>
          <a:off x="533400" y="1554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KN3902</a:t>
          </a:r>
        </a:p>
        <a:p>
          <a:pPr algn="ctr">
            <a:defRPr lang="en-US" altLang="ja-JP" sz="1100">
              <a:solidFill>
                <a:srgbClr val="000000"/>
              </a:solidFill>
              <a:latin typeface="Meiryo UI" panose="020B0604030504040204" pitchFamily="50" charset="-128"/>
              <a:ea typeface="Meiryo UI" panose="020B0604030504040204" pitchFamily="50"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WAONポイントN倍設定更新</a:t>
          </a:r>
        </a:p>
      </xdr:txBody>
    </xdr:sp>
    <xdr:clientData/>
  </xdr:twoCellAnchor>
  <xdr:twoCellAnchor>
    <xdr:from>
      <xdr:col>28</xdr:col>
      <xdr:colOff>235322</xdr:colOff>
      <xdr:row>81</xdr:row>
      <xdr:rowOff>0</xdr:rowOff>
    </xdr:from>
    <xdr:to>
      <xdr:col>34</xdr:col>
      <xdr:colOff>210962</xdr:colOff>
      <xdr:row>85</xdr:row>
      <xdr:rowOff>0</xdr:rowOff>
    </xdr:to>
    <xdr:sp macro="" textlink="" fLocksText="0">
      <xdr:nvSpPr>
        <xdr:cNvPr id="88" name="フローチャート: 磁気ディスク 13">
          <a:extLst>
            <a:ext uri="{FF2B5EF4-FFF2-40B4-BE49-F238E27FC236}">
              <a16:creationId xmlns:a16="http://schemas.microsoft.com/office/drawing/2014/main" id="{00000000-0008-0000-0400-000058000000}"/>
            </a:ext>
          </a:extLst>
        </xdr:cNvPr>
        <xdr:cNvSpPr/>
      </xdr:nvSpPr>
      <xdr:spPr>
        <a:xfrm>
          <a:off x="7705725" y="15544800"/>
          <a:ext cx="157162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AP3903
Update N WAON</a:t>
          </a:r>
          <a:endParaRPr lang="ja-JP" altLang="en-US"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83</xdr:row>
      <xdr:rowOff>0</xdr:rowOff>
    </xdr:from>
    <xdr:to>
      <xdr:col>28</xdr:col>
      <xdr:colOff>235322</xdr:colOff>
      <xdr:row>83</xdr:row>
      <xdr:rowOff>0</xdr:rowOff>
    </xdr:to>
    <xdr:cxnSp macro="">
      <xdr:nvCxnSpPr>
        <xdr:cNvPr id="89" name="直線矢印コネクタ 196">
          <a:extLst>
            <a:ext uri="{FF2B5EF4-FFF2-40B4-BE49-F238E27FC236}">
              <a16:creationId xmlns:a16="http://schemas.microsoft.com/office/drawing/2014/main" id="{00000000-0008-0000-0400-000059000000}"/>
            </a:ext>
          </a:extLst>
        </xdr:cNvPr>
        <xdr:cNvCxnSpPr>
          <a:stCxn id="87" idx="3"/>
          <a:endCxn id="88" idx="2"/>
        </xdr:cNvCxnSpPr>
      </xdr:nvCxnSpPr>
      <xdr:spPr>
        <a:xfrm>
          <a:off x="2133600" y="15925800"/>
          <a:ext cx="55721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77</xdr:row>
      <xdr:rowOff>0</xdr:rowOff>
    </xdr:from>
    <xdr:to>
      <xdr:col>5</xdr:col>
      <xdr:colOff>4871</xdr:colOff>
      <xdr:row>81</xdr:row>
      <xdr:rowOff>0</xdr:rowOff>
    </xdr:to>
    <xdr:cxnSp macro="">
      <xdr:nvCxnSpPr>
        <xdr:cNvPr id="90" name="直線矢印コネクタ 1010">
          <a:extLst>
            <a:ext uri="{FF2B5EF4-FFF2-40B4-BE49-F238E27FC236}">
              <a16:creationId xmlns:a16="http://schemas.microsoft.com/office/drawing/2014/main" id="{00000000-0008-0000-0400-00005A000000}"/>
            </a:ext>
          </a:extLst>
        </xdr:cNvPr>
        <xdr:cNvCxnSpPr>
          <a:stCxn id="82" idx="2"/>
          <a:endCxn id="87" idx="0"/>
        </xdr:cNvCxnSpPr>
      </xdr:nvCxnSpPr>
      <xdr:spPr>
        <a:xfrm flipH="1">
          <a:off x="1333500" y="14782800"/>
          <a:ext cx="9525"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87</xdr:row>
      <xdr:rowOff>0</xdr:rowOff>
    </xdr:from>
    <xdr:to>
      <xdr:col>6</xdr:col>
      <xdr:colOff>0</xdr:colOff>
      <xdr:row>88</xdr:row>
      <xdr:rowOff>11206</xdr:rowOff>
    </xdr:to>
    <xdr:sp macro="" textlink="" fLocksText="0">
      <xdr:nvSpPr>
        <xdr:cNvPr id="91" name="四角形: 角を丸くする 1101">
          <a:extLst>
            <a:ext uri="{FF2B5EF4-FFF2-40B4-BE49-F238E27FC236}">
              <a16:creationId xmlns:a16="http://schemas.microsoft.com/office/drawing/2014/main" id="{00000000-0008-0000-0400-00005B000000}"/>
            </a:ext>
          </a:extLst>
        </xdr:cNvPr>
        <xdr:cNvSpPr/>
      </xdr:nvSpPr>
      <xdr:spPr>
        <a:xfrm>
          <a:off x="1066800" y="16687800"/>
          <a:ext cx="533400" cy="20002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39</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85</xdr:row>
      <xdr:rowOff>0</xdr:rowOff>
    </xdr:from>
    <xdr:to>
      <xdr:col>5</xdr:col>
      <xdr:colOff>0</xdr:colOff>
      <xdr:row>87</xdr:row>
      <xdr:rowOff>0</xdr:rowOff>
    </xdr:to>
    <xdr:cxnSp macro="">
      <xdr:nvCxnSpPr>
        <xdr:cNvPr id="92" name="直線矢印コネクタ 1010">
          <a:extLst>
            <a:ext uri="{FF2B5EF4-FFF2-40B4-BE49-F238E27FC236}">
              <a16:creationId xmlns:a16="http://schemas.microsoft.com/office/drawing/2014/main" id="{00000000-0008-0000-0400-00005C000000}"/>
            </a:ext>
          </a:extLst>
        </xdr:cNvPr>
        <xdr:cNvCxnSpPr>
          <a:stCxn id="87" idx="2"/>
          <a:endCxn id="91" idx="0"/>
        </xdr:cNvCxnSpPr>
      </xdr:nvCxnSpPr>
      <xdr:spPr>
        <a:xfrm>
          <a:off x="1333500" y="1630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76</xdr:row>
      <xdr:rowOff>1</xdr:rowOff>
    </xdr:from>
    <xdr:to>
      <xdr:col>17</xdr:col>
      <xdr:colOff>0</xdr:colOff>
      <xdr:row>77</xdr:row>
      <xdr:rowOff>1</xdr:rowOff>
    </xdr:to>
    <xdr:sp macro="" textlink="" fLocksText="0">
      <xdr:nvSpPr>
        <xdr:cNvPr id="93" name="四角形: 角を丸くする 1101">
          <a:extLst>
            <a:ext uri="{FF2B5EF4-FFF2-40B4-BE49-F238E27FC236}">
              <a16:creationId xmlns:a16="http://schemas.microsoft.com/office/drawing/2014/main" id="{00000000-0008-0000-0400-00005D000000}"/>
            </a:ext>
          </a:extLst>
        </xdr:cNvPr>
        <xdr:cNvSpPr/>
      </xdr:nvSpPr>
      <xdr:spPr>
        <a:xfrm>
          <a:off x="4000500" y="14592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削除</a:t>
          </a:r>
        </a:p>
      </xdr:txBody>
    </xdr:sp>
    <xdr:clientData/>
  </xdr:twoCellAnchor>
  <xdr:twoCellAnchor>
    <xdr:from>
      <xdr:col>5</xdr:col>
      <xdr:colOff>0</xdr:colOff>
      <xdr:row>73</xdr:row>
      <xdr:rowOff>190499</xdr:rowOff>
    </xdr:from>
    <xdr:to>
      <xdr:col>16</xdr:col>
      <xdr:colOff>2</xdr:colOff>
      <xdr:row>76</xdr:row>
      <xdr:rowOff>0</xdr:rowOff>
    </xdr:to>
    <xdr:cxnSp macro="">
      <xdr:nvCxnSpPr>
        <xdr:cNvPr id="94" name="Connector: Elbow 93">
          <a:extLst>
            <a:ext uri="{FF2B5EF4-FFF2-40B4-BE49-F238E27FC236}">
              <a16:creationId xmlns:a16="http://schemas.microsoft.com/office/drawing/2014/main" id="{00000000-0008-0000-0400-00005E000000}"/>
            </a:ext>
          </a:extLst>
        </xdr:cNvPr>
        <xdr:cNvCxnSpPr>
          <a:stCxn id="80" idx="2"/>
          <a:endCxn id="93" idx="0"/>
        </xdr:cNvCxnSpPr>
      </xdr:nvCxnSpPr>
      <xdr:spPr>
        <a:xfrm rot="16200000" flipH="1">
          <a:off x="1333500" y="14211300"/>
          <a:ext cx="29337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92</xdr:row>
      <xdr:rowOff>0</xdr:rowOff>
    </xdr:from>
    <xdr:to>
      <xdr:col>19</xdr:col>
      <xdr:colOff>0</xdr:colOff>
      <xdr:row>96</xdr:row>
      <xdr:rowOff>0</xdr:rowOff>
    </xdr:to>
    <xdr:sp macro="" textlink="" fLocksText="0">
      <xdr:nvSpPr>
        <xdr:cNvPr id="97" name="四角形: 角を丸くする 3">
          <a:extLst>
            <a:ext uri="{FF2B5EF4-FFF2-40B4-BE49-F238E27FC236}">
              <a16:creationId xmlns:a16="http://schemas.microsoft.com/office/drawing/2014/main" id="{00000000-0008-0000-0400-000061000000}"/>
            </a:ext>
          </a:extLst>
        </xdr:cNvPr>
        <xdr:cNvSpPr/>
      </xdr:nvSpPr>
      <xdr:spPr>
        <a:xfrm>
          <a:off x="3467100" y="17640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KN3902</a:t>
          </a:r>
        </a:p>
        <a:p>
          <a:pPr algn="ctr">
            <a:defRPr lang="en-US" altLang="ja-JP" sz="1100">
              <a:solidFill>
                <a:srgbClr val="000000"/>
              </a:solidFill>
              <a:latin typeface="Meiryo UI" panose="020B0604030504040204" pitchFamily="50" charset="-128"/>
              <a:ea typeface="Meiryo UI" panose="020B0604030504040204" pitchFamily="50"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WAONポイントN倍設定削除</a:t>
          </a:r>
        </a:p>
      </xdr:txBody>
    </xdr:sp>
    <xdr:clientData/>
  </xdr:twoCellAnchor>
  <xdr:twoCellAnchor>
    <xdr:from>
      <xdr:col>29</xdr:col>
      <xdr:colOff>11205</xdr:colOff>
      <xdr:row>92</xdr:row>
      <xdr:rowOff>0</xdr:rowOff>
    </xdr:from>
    <xdr:to>
      <xdr:col>34</xdr:col>
      <xdr:colOff>222168</xdr:colOff>
      <xdr:row>96</xdr:row>
      <xdr:rowOff>0</xdr:rowOff>
    </xdr:to>
    <xdr:sp macro="" textlink="" fLocksText="0">
      <xdr:nvSpPr>
        <xdr:cNvPr id="98" name="フローチャート: 磁気ディスク 13">
          <a:extLst>
            <a:ext uri="{FF2B5EF4-FFF2-40B4-BE49-F238E27FC236}">
              <a16:creationId xmlns:a16="http://schemas.microsoft.com/office/drawing/2014/main" id="{00000000-0008-0000-0400-000062000000}"/>
            </a:ext>
          </a:extLst>
        </xdr:cNvPr>
        <xdr:cNvSpPr/>
      </xdr:nvSpPr>
      <xdr:spPr>
        <a:xfrm>
          <a:off x="7743825" y="17640300"/>
          <a:ext cx="154305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AP3904
Delete N WAON</a:t>
          </a:r>
          <a:endParaRPr lang="ja-JP" altLang="en-US"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19</xdr:col>
      <xdr:colOff>0</xdr:colOff>
      <xdr:row>94</xdr:row>
      <xdr:rowOff>0</xdr:rowOff>
    </xdr:from>
    <xdr:to>
      <xdr:col>29</xdr:col>
      <xdr:colOff>11205</xdr:colOff>
      <xdr:row>94</xdr:row>
      <xdr:rowOff>0</xdr:rowOff>
    </xdr:to>
    <xdr:cxnSp macro="">
      <xdr:nvCxnSpPr>
        <xdr:cNvPr id="99" name="直線矢印コネクタ 196">
          <a:extLst>
            <a:ext uri="{FF2B5EF4-FFF2-40B4-BE49-F238E27FC236}">
              <a16:creationId xmlns:a16="http://schemas.microsoft.com/office/drawing/2014/main" id="{00000000-0008-0000-0400-000063000000}"/>
            </a:ext>
          </a:extLst>
        </xdr:cNvPr>
        <xdr:cNvCxnSpPr>
          <a:stCxn id="97" idx="3"/>
          <a:endCxn id="98" idx="2"/>
        </xdr:cNvCxnSpPr>
      </xdr:nvCxnSpPr>
      <xdr:spPr>
        <a:xfrm>
          <a:off x="5067300" y="18021300"/>
          <a:ext cx="26765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77</xdr:row>
      <xdr:rowOff>1</xdr:rowOff>
    </xdr:from>
    <xdr:to>
      <xdr:col>16</xdr:col>
      <xdr:colOff>1</xdr:colOff>
      <xdr:row>92</xdr:row>
      <xdr:rowOff>0</xdr:rowOff>
    </xdr:to>
    <xdr:cxnSp macro="">
      <xdr:nvCxnSpPr>
        <xdr:cNvPr id="102" name="直線矢印コネクタ 1010">
          <a:extLst>
            <a:ext uri="{FF2B5EF4-FFF2-40B4-BE49-F238E27FC236}">
              <a16:creationId xmlns:a16="http://schemas.microsoft.com/office/drawing/2014/main" id="{00000000-0008-0000-0400-000066000000}"/>
            </a:ext>
          </a:extLst>
        </xdr:cNvPr>
        <xdr:cNvCxnSpPr>
          <a:stCxn id="93" idx="2"/>
          <a:endCxn id="97" idx="0"/>
        </xdr:cNvCxnSpPr>
      </xdr:nvCxnSpPr>
      <xdr:spPr>
        <a:xfrm>
          <a:off x="4267200" y="14782800"/>
          <a:ext cx="0" cy="2857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40</xdr:row>
      <xdr:rowOff>0</xdr:rowOff>
    </xdr:from>
    <xdr:to>
      <xdr:col>92</xdr:col>
      <xdr:colOff>56029</xdr:colOff>
      <xdr:row>55</xdr:row>
      <xdr:rowOff>16321</xdr:rowOff>
    </xdr:to>
    <xdr:pic>
      <xdr:nvPicPr>
        <xdr:cNvPr id="7" name="Picture 6">
          <a:extLst>
            <a:ext uri="{FF2B5EF4-FFF2-40B4-BE49-F238E27FC236}">
              <a16:creationId xmlns:a16="http://schemas.microsoft.com/office/drawing/2014/main" id="{7F9B18BB-A90F-436D-8C03-1368AC1905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31353" y="7732059"/>
          <a:ext cx="6174441" cy="2873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69</xdr:row>
      <xdr:rowOff>0</xdr:rowOff>
    </xdr:from>
    <xdr:to>
      <xdr:col>91</xdr:col>
      <xdr:colOff>235323</xdr:colOff>
      <xdr:row>83</xdr:row>
      <xdr:rowOff>174091</xdr:rowOff>
    </xdr:to>
    <xdr:pic>
      <xdr:nvPicPr>
        <xdr:cNvPr id="14" name="Picture 13">
          <a:extLst>
            <a:ext uri="{FF2B5EF4-FFF2-40B4-BE49-F238E27FC236}">
              <a16:creationId xmlns:a16="http://schemas.microsoft.com/office/drawing/2014/main" id="{D1853E9F-0BD3-4A90-BD65-2219E8EABA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531353" y="13256559"/>
          <a:ext cx="6118411" cy="2841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thinhatle\Downloads\10_&#27010;&#35201;&#27231;&#33021;_&#30011;&#38754;&#36983;&#31227;_39_WAON&#12509;&#12452;&#12531;&#12488;N&#20493;&#35373;&#23450;1.xlsx" TargetMode="External"/><Relationship Id="rId1" Type="http://schemas.openxmlformats.org/officeDocument/2006/relationships/externalLinkPath" Target="file:///C:\Users\lethinhatle\Downloads\10_&#27010;&#35201;&#27231;&#33021;_&#30011;&#38754;&#36983;&#31227;_39_WAON&#12509;&#12452;&#12531;&#12488;N&#20493;&#35373;&#2345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改訂履歴"/>
      <sheetName val="業務フロー凡例"/>
      <sheetName val="機能概要説明"/>
      <sheetName val="Khái quát chức năng"/>
      <sheetName val="テンプレート"/>
    </sheetNames>
    <sheetDataSet>
      <sheetData sheetId="0">
        <row r="1">
          <cell r="W1" t="str">
            <v>基本設計書</v>
          </cell>
        </row>
        <row r="2">
          <cell r="A2" t="str">
            <v>POSサーバー</v>
          </cell>
          <cell r="K2" t="str">
            <v>POSサーバー</v>
          </cell>
          <cell r="AP2" t="str">
            <v>DuNT</v>
          </cell>
          <cell r="AT2">
            <v>45435</v>
          </cell>
          <cell r="AY2" t="str">
            <v>LoiLV</v>
          </cell>
          <cell r="BC2">
            <v>45446</v>
          </cell>
          <cell r="BH2">
            <v>0.2</v>
          </cell>
        </row>
        <row r="4">
          <cell r="H4" t="str">
            <v>39_WAONポイントN倍設定</v>
          </cell>
          <cell r="Z4" t="str">
            <v>概要設計書</v>
          </cell>
        </row>
      </sheetData>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8" customWidth="1"/>
    <col min="61" max="16384" width="2.77734375" style="8"/>
  </cols>
  <sheetData>
    <row r="1" spans="1:63" ht="24.95" customHeight="1" x14ac:dyDescent="0.25">
      <c r="A1" s="70" t="s">
        <v>23</v>
      </c>
      <c r="B1" s="71"/>
      <c r="C1" s="71"/>
      <c r="D1" s="71"/>
      <c r="E1" s="71"/>
      <c r="F1" s="71"/>
      <c r="G1" s="71"/>
      <c r="H1" s="71"/>
      <c r="I1" s="71"/>
      <c r="J1" s="72"/>
      <c r="K1" s="70" t="s">
        <v>24</v>
      </c>
      <c r="L1" s="71"/>
      <c r="M1" s="71"/>
      <c r="N1" s="71"/>
      <c r="O1" s="71"/>
      <c r="P1" s="71"/>
      <c r="Q1" s="71"/>
      <c r="R1" s="71"/>
      <c r="S1" s="71"/>
      <c r="T1" s="71"/>
      <c r="U1" s="71"/>
      <c r="V1" s="72"/>
      <c r="W1" s="91" t="s">
        <v>25</v>
      </c>
      <c r="X1" s="92"/>
      <c r="Y1" s="92"/>
      <c r="Z1" s="92"/>
      <c r="AA1" s="92"/>
      <c r="AB1" s="92"/>
      <c r="AC1" s="92"/>
      <c r="AD1" s="92"/>
      <c r="AE1" s="92"/>
      <c r="AF1" s="92"/>
      <c r="AG1" s="92"/>
      <c r="AH1" s="92"/>
      <c r="AI1" s="92"/>
      <c r="AJ1" s="92"/>
      <c r="AK1" s="92"/>
      <c r="AL1" s="92"/>
      <c r="AM1" s="92"/>
      <c r="AN1" s="92"/>
      <c r="AO1" s="93"/>
      <c r="AP1" s="70" t="s">
        <v>26</v>
      </c>
      <c r="AQ1" s="71"/>
      <c r="AR1" s="71"/>
      <c r="AS1" s="72"/>
      <c r="AT1" s="70" t="s">
        <v>27</v>
      </c>
      <c r="AU1" s="71"/>
      <c r="AV1" s="71"/>
      <c r="AW1" s="71"/>
      <c r="AX1" s="72"/>
      <c r="AY1" s="70" t="s">
        <v>28</v>
      </c>
      <c r="AZ1" s="71"/>
      <c r="BA1" s="71"/>
      <c r="BB1" s="72"/>
      <c r="BC1" s="70" t="s">
        <v>29</v>
      </c>
      <c r="BD1" s="71"/>
      <c r="BE1" s="71"/>
      <c r="BF1" s="71"/>
      <c r="BG1" s="72"/>
      <c r="BH1" s="70" t="s">
        <v>30</v>
      </c>
      <c r="BI1" s="71"/>
      <c r="BJ1" s="71"/>
      <c r="BK1" s="72"/>
    </row>
    <row r="2" spans="1:63" ht="15" customHeight="1" x14ac:dyDescent="0.25">
      <c r="A2" s="90" t="s">
        <v>31</v>
      </c>
      <c r="B2" s="56"/>
      <c r="C2" s="56"/>
      <c r="D2" s="56"/>
      <c r="E2" s="56"/>
      <c r="F2" s="56"/>
      <c r="G2" s="56"/>
      <c r="H2" s="56"/>
      <c r="I2" s="56"/>
      <c r="J2" s="57"/>
      <c r="K2" s="55" t="s">
        <v>10</v>
      </c>
      <c r="L2" s="56"/>
      <c r="M2" s="56"/>
      <c r="N2" s="56"/>
      <c r="O2" s="56"/>
      <c r="P2" s="56"/>
      <c r="Q2" s="56"/>
      <c r="R2" s="56"/>
      <c r="S2" s="56"/>
      <c r="T2" s="56"/>
      <c r="U2" s="56"/>
      <c r="V2" s="57"/>
      <c r="W2" s="94"/>
      <c r="X2" s="95"/>
      <c r="Y2" s="95"/>
      <c r="Z2" s="95"/>
      <c r="AA2" s="95"/>
      <c r="AB2" s="95"/>
      <c r="AC2" s="95"/>
      <c r="AD2" s="95"/>
      <c r="AE2" s="95"/>
      <c r="AF2" s="95"/>
      <c r="AG2" s="95"/>
      <c r="AH2" s="95"/>
      <c r="AI2" s="95"/>
      <c r="AJ2" s="95"/>
      <c r="AK2" s="95"/>
      <c r="AL2" s="95"/>
      <c r="AM2" s="95"/>
      <c r="AN2" s="95"/>
      <c r="AO2" s="96"/>
      <c r="AP2" s="55" t="str">
        <f>改訂履歴!$H$11</f>
        <v>DuNT</v>
      </c>
      <c r="AQ2" s="56"/>
      <c r="AR2" s="56"/>
      <c r="AS2" s="57"/>
      <c r="AT2" s="84">
        <f>改訂履歴!$B$11</f>
        <v>45435</v>
      </c>
      <c r="AU2" s="85"/>
      <c r="AV2" s="85"/>
      <c r="AW2" s="85"/>
      <c r="AX2" s="86"/>
      <c r="AY2" s="55" t="str">
        <f>LOOKUP(2,1/(改訂履歴!H11:H30000&lt;&gt;""),改訂履歴!H11:H30000)</f>
        <v>LoiLV</v>
      </c>
      <c r="AZ2" s="56"/>
      <c r="BA2" s="56"/>
      <c r="BB2" s="57"/>
      <c r="BC2" s="84">
        <f>LOOKUP(2,1/(改訂履歴!B11:B30000&lt;&gt;""),改訂履歴!B11:B30000)</f>
        <v>45446</v>
      </c>
      <c r="BD2" s="85"/>
      <c r="BE2" s="85"/>
      <c r="BF2" s="85"/>
      <c r="BG2" s="86"/>
      <c r="BH2" s="78">
        <f>LOOKUP(2,1/(改訂履歴!O11:O30000&lt;&gt;""),改訂履歴!O11:O30000)</f>
        <v>0.2</v>
      </c>
      <c r="BI2" s="79"/>
      <c r="BJ2" s="79"/>
      <c r="BK2" s="80"/>
    </row>
    <row r="3" spans="1:63" ht="15" customHeight="1" x14ac:dyDescent="0.25">
      <c r="A3" s="61"/>
      <c r="B3" s="62"/>
      <c r="C3" s="62"/>
      <c r="D3" s="62"/>
      <c r="E3" s="62"/>
      <c r="F3" s="62"/>
      <c r="G3" s="62"/>
      <c r="H3" s="62"/>
      <c r="I3" s="62"/>
      <c r="J3" s="63"/>
      <c r="K3" s="61"/>
      <c r="L3" s="62"/>
      <c r="M3" s="62"/>
      <c r="N3" s="62"/>
      <c r="O3" s="62"/>
      <c r="P3" s="62"/>
      <c r="Q3" s="62"/>
      <c r="R3" s="62"/>
      <c r="S3" s="62"/>
      <c r="T3" s="62"/>
      <c r="U3" s="62"/>
      <c r="V3" s="63"/>
      <c r="W3" s="97"/>
      <c r="X3" s="98"/>
      <c r="Y3" s="98"/>
      <c r="Z3" s="98"/>
      <c r="AA3" s="98"/>
      <c r="AB3" s="98"/>
      <c r="AC3" s="98"/>
      <c r="AD3" s="98"/>
      <c r="AE3" s="98"/>
      <c r="AF3" s="98"/>
      <c r="AG3" s="98"/>
      <c r="AH3" s="98"/>
      <c r="AI3" s="98"/>
      <c r="AJ3" s="98"/>
      <c r="AK3" s="98"/>
      <c r="AL3" s="98"/>
      <c r="AM3" s="98"/>
      <c r="AN3" s="98"/>
      <c r="AO3" s="99"/>
      <c r="AP3" s="61"/>
      <c r="AQ3" s="62"/>
      <c r="AR3" s="62"/>
      <c r="AS3" s="63"/>
      <c r="AT3" s="87"/>
      <c r="AU3" s="88"/>
      <c r="AV3" s="88"/>
      <c r="AW3" s="88"/>
      <c r="AX3" s="89"/>
      <c r="AY3" s="61"/>
      <c r="AZ3" s="62"/>
      <c r="BA3" s="62"/>
      <c r="BB3" s="63"/>
      <c r="BC3" s="87"/>
      <c r="BD3" s="88"/>
      <c r="BE3" s="88"/>
      <c r="BF3" s="88"/>
      <c r="BG3" s="89"/>
      <c r="BH3" s="81"/>
      <c r="BI3" s="82"/>
      <c r="BJ3" s="82"/>
      <c r="BK3" s="83"/>
    </row>
    <row r="4" spans="1:63" ht="24.95" customHeight="1" x14ac:dyDescent="0.25">
      <c r="A4" s="70" t="s">
        <v>32</v>
      </c>
      <c r="B4" s="71"/>
      <c r="C4" s="71"/>
      <c r="D4" s="71"/>
      <c r="E4" s="71"/>
      <c r="F4" s="71"/>
      <c r="G4" s="72"/>
      <c r="H4" s="75" t="s">
        <v>22</v>
      </c>
      <c r="I4" s="76"/>
      <c r="J4" s="76"/>
      <c r="K4" s="76"/>
      <c r="L4" s="76"/>
      <c r="M4" s="76"/>
      <c r="N4" s="76"/>
      <c r="O4" s="76"/>
      <c r="P4" s="76"/>
      <c r="Q4" s="76"/>
      <c r="R4" s="76"/>
      <c r="S4" s="76"/>
      <c r="T4" s="77"/>
      <c r="U4" s="70" t="s">
        <v>33</v>
      </c>
      <c r="V4" s="71"/>
      <c r="W4" s="71"/>
      <c r="X4" s="71"/>
      <c r="Y4" s="72"/>
      <c r="Z4" s="75" t="s">
        <v>11</v>
      </c>
      <c r="AA4" s="76"/>
      <c r="AB4" s="76"/>
      <c r="AC4" s="76"/>
      <c r="AD4" s="76"/>
      <c r="AE4" s="76"/>
      <c r="AF4" s="76"/>
      <c r="AG4" s="76"/>
      <c r="AH4" s="76"/>
      <c r="AI4" s="76"/>
      <c r="AJ4" s="76"/>
      <c r="AK4" s="76"/>
      <c r="AL4" s="76"/>
      <c r="AM4" s="76"/>
      <c r="AN4" s="76"/>
      <c r="AO4" s="77"/>
      <c r="AP4" s="75" t="str">
        <f t="array" aca="1" ref="AP4" ca="1">RIGHT(CELL("filename",$A$1),LEN(CELL("filename",$A$1))-FIND("]",CELL("filename",$A$1)))</f>
        <v>表紙</v>
      </c>
      <c r="AQ4" s="76"/>
      <c r="AR4" s="76"/>
      <c r="AS4" s="76"/>
      <c r="AT4" s="76"/>
      <c r="AU4" s="76"/>
      <c r="AV4" s="76"/>
      <c r="AW4" s="76"/>
      <c r="AX4" s="76"/>
      <c r="AY4" s="76"/>
      <c r="AZ4" s="76"/>
      <c r="BA4" s="76"/>
      <c r="BB4" s="76"/>
      <c r="BC4" s="76"/>
      <c r="BD4" s="76"/>
      <c r="BE4" s="76"/>
      <c r="BF4" s="76"/>
      <c r="BG4" s="76"/>
      <c r="BH4" s="76"/>
      <c r="BI4" s="76"/>
      <c r="BJ4" s="76"/>
      <c r="BK4" s="77"/>
    </row>
    <row r="5" spans="1:63" ht="5.0999999999999996" customHeight="1" x14ac:dyDescent="0.25">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1"/>
    </row>
    <row r="6" spans="1:63" ht="15" customHeight="1" x14ac:dyDescent="0.25">
      <c r="A6" s="12"/>
      <c r="BK6" s="13"/>
    </row>
    <row r="7" spans="1:63" ht="15" customHeight="1" x14ac:dyDescent="0.25">
      <c r="A7" s="12"/>
      <c r="BK7" s="13"/>
    </row>
    <row r="8" spans="1:63" ht="15" customHeight="1" x14ac:dyDescent="0.25">
      <c r="A8" s="12"/>
      <c r="BK8" s="13"/>
    </row>
    <row r="9" spans="1:63" ht="15" customHeight="1" x14ac:dyDescent="0.25">
      <c r="A9" s="12"/>
      <c r="BK9" s="13"/>
    </row>
    <row r="10" spans="1:63" ht="15" customHeight="1" x14ac:dyDescent="0.25">
      <c r="A10" s="12"/>
      <c r="BK10" s="13"/>
    </row>
    <row r="11" spans="1:63" ht="15" customHeight="1" x14ac:dyDescent="0.25">
      <c r="A11" s="12"/>
      <c r="BK11" s="13"/>
    </row>
    <row r="12" spans="1:63" ht="15" customHeight="1" x14ac:dyDescent="0.25">
      <c r="A12" s="12"/>
      <c r="BK12" s="13"/>
    </row>
    <row r="13" spans="1:63" ht="15" customHeight="1" x14ac:dyDescent="0.25">
      <c r="A13" s="12"/>
      <c r="BK13" s="13"/>
    </row>
    <row r="14" spans="1:63" ht="15" customHeight="1" thickBot="1" x14ac:dyDescent="0.3">
      <c r="A14" s="12"/>
      <c r="BK14" s="13"/>
    </row>
    <row r="15" spans="1:63" ht="15" customHeight="1" thickTop="1" x14ac:dyDescent="0.25">
      <c r="A15" s="12"/>
      <c r="K15" s="14"/>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6"/>
      <c r="BK15" s="13"/>
    </row>
    <row r="16" spans="1:63" ht="15" customHeight="1" x14ac:dyDescent="0.25">
      <c r="A16" s="12"/>
      <c r="K16" s="17"/>
      <c r="L16" s="73" t="s">
        <v>34</v>
      </c>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18"/>
      <c r="BK16" s="13"/>
    </row>
    <row r="17" spans="1:63" ht="15" customHeight="1" x14ac:dyDescent="0.25">
      <c r="A17" s="12"/>
      <c r="K17" s="17"/>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18"/>
      <c r="BK17" s="13"/>
    </row>
    <row r="18" spans="1:63" ht="15" customHeight="1" x14ac:dyDescent="0.25">
      <c r="A18" s="12"/>
      <c r="K18" s="17"/>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18"/>
      <c r="BK18" s="13"/>
    </row>
    <row r="19" spans="1:63" ht="15" customHeight="1" x14ac:dyDescent="0.25">
      <c r="A19" s="12"/>
      <c r="K19" s="17"/>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18"/>
      <c r="BK19" s="13"/>
    </row>
    <row r="20" spans="1:63" ht="15" customHeight="1" x14ac:dyDescent="0.25">
      <c r="A20" s="12"/>
      <c r="K20" s="17"/>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18"/>
      <c r="BK20" s="13"/>
    </row>
    <row r="21" spans="1:63" ht="15" customHeight="1" x14ac:dyDescent="0.25">
      <c r="A21" s="12"/>
      <c r="K21" s="17"/>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18"/>
      <c r="BK21" s="13"/>
    </row>
    <row r="22" spans="1:63" ht="15" customHeight="1" thickBot="1" x14ac:dyDescent="0.3">
      <c r="A22" s="12"/>
      <c r="K22" s="17"/>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8"/>
      <c r="BK22" s="13"/>
    </row>
    <row r="23" spans="1:63" ht="15" customHeight="1" x14ac:dyDescent="0.25">
      <c r="A23" s="12"/>
      <c r="K23" s="17"/>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18"/>
      <c r="BK23" s="13"/>
    </row>
    <row r="24" spans="1:63" ht="15" customHeight="1" x14ac:dyDescent="0.25">
      <c r="A24" s="12"/>
      <c r="K24" s="17"/>
      <c r="L24" s="74" t="str">
        <f>K2&amp;"/"&amp;H4&amp;"/"&amp;Z4</f>
        <v>POSサーバー/39_WAONポイントN倍設定/概要設計書</v>
      </c>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18"/>
      <c r="BK24" s="13"/>
    </row>
    <row r="25" spans="1:63" ht="15" customHeight="1" x14ac:dyDescent="0.25">
      <c r="A25" s="12"/>
      <c r="K25" s="17"/>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18"/>
      <c r="BK25" s="13"/>
    </row>
    <row r="26" spans="1:63" ht="15" customHeight="1" x14ac:dyDescent="0.25">
      <c r="A26" s="12"/>
      <c r="K26" s="17"/>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18"/>
      <c r="BK26" s="13"/>
    </row>
    <row r="27" spans="1:63" ht="15" customHeight="1" x14ac:dyDescent="0.25">
      <c r="A27" s="12"/>
      <c r="K27" s="17"/>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18"/>
      <c r="BK27" s="13"/>
    </row>
    <row r="28" spans="1:63" ht="15" customHeight="1" x14ac:dyDescent="0.25">
      <c r="A28" s="12"/>
      <c r="K28" s="17"/>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18"/>
      <c r="BK28" s="13"/>
    </row>
    <row r="29" spans="1:63" ht="15" customHeight="1" x14ac:dyDescent="0.25">
      <c r="A29" s="12"/>
      <c r="K29" s="17"/>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18"/>
      <c r="BK29" s="13"/>
    </row>
    <row r="30" spans="1:63" ht="15" customHeight="1" x14ac:dyDescent="0.25">
      <c r="A30" s="12"/>
      <c r="K30" s="17"/>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18"/>
      <c r="BK30" s="13"/>
    </row>
    <row r="31" spans="1:63" ht="15" customHeight="1" x14ac:dyDescent="0.25">
      <c r="A31" s="12"/>
      <c r="K31" s="17"/>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18"/>
      <c r="BK31" s="13"/>
    </row>
    <row r="32" spans="1:63" ht="15" customHeight="1" x14ac:dyDescent="0.25">
      <c r="A32" s="12"/>
      <c r="K32" s="17"/>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18"/>
      <c r="BK32" s="13"/>
    </row>
    <row r="33" spans="1:63" ht="15" customHeight="1" x14ac:dyDescent="0.25">
      <c r="A33" s="12"/>
      <c r="K33" s="17"/>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18"/>
      <c r="BK33" s="13"/>
    </row>
    <row r="34" spans="1:63" ht="15" customHeight="1" x14ac:dyDescent="0.25">
      <c r="A34" s="12"/>
      <c r="K34" s="17"/>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18"/>
      <c r="BK34" s="13"/>
    </row>
    <row r="35" spans="1:63" ht="15" customHeight="1" x14ac:dyDescent="0.25">
      <c r="A35" s="12"/>
      <c r="K35" s="17"/>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18"/>
      <c r="BK35" s="13"/>
    </row>
    <row r="36" spans="1:63" ht="15" customHeight="1" x14ac:dyDescent="0.25">
      <c r="A36" s="12"/>
      <c r="K36" s="17"/>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18"/>
      <c r="BK36" s="13"/>
    </row>
    <row r="37" spans="1:63" ht="15" customHeight="1" thickBot="1" x14ac:dyDescent="0.3">
      <c r="A37" s="12"/>
      <c r="K37" s="21"/>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3"/>
      <c r="BK37" s="13"/>
    </row>
    <row r="38" spans="1:63" ht="15" customHeight="1" thickTop="1" x14ac:dyDescent="0.25">
      <c r="A38" s="12"/>
      <c r="BK38" s="13"/>
    </row>
    <row r="39" spans="1:63" ht="15" customHeight="1" x14ac:dyDescent="0.25">
      <c r="A39" s="12"/>
      <c r="BK39" s="13"/>
    </row>
    <row r="40" spans="1:63" ht="15" customHeight="1" x14ac:dyDescent="0.25">
      <c r="A40" s="12"/>
      <c r="BK40" s="13"/>
    </row>
    <row r="41" spans="1:63" ht="15" customHeight="1" x14ac:dyDescent="0.25">
      <c r="A41" s="12"/>
      <c r="BK41" s="13"/>
    </row>
    <row r="42" spans="1:63" ht="15" customHeight="1" x14ac:dyDescent="0.25">
      <c r="A42" s="12"/>
      <c r="BK42" s="13"/>
    </row>
    <row r="43" spans="1:63" ht="15" customHeight="1" x14ac:dyDescent="0.25">
      <c r="A43" s="12"/>
      <c r="BK43" s="13"/>
    </row>
    <row r="44" spans="1:63" ht="15" customHeight="1" x14ac:dyDescent="0.25">
      <c r="A44" s="12"/>
      <c r="Q44" s="64" t="s">
        <v>35</v>
      </c>
      <c r="R44" s="65"/>
      <c r="S44" s="65"/>
      <c r="T44" s="65"/>
      <c r="U44" s="65"/>
      <c r="V44" s="65"/>
      <c r="W44" s="65"/>
      <c r="X44" s="65"/>
      <c r="Y44" s="65"/>
      <c r="Z44" s="66"/>
      <c r="AA44" s="64" t="s">
        <v>36</v>
      </c>
      <c r="AB44" s="65"/>
      <c r="AC44" s="65"/>
      <c r="AD44" s="65"/>
      <c r="AE44" s="65"/>
      <c r="AF44" s="65"/>
      <c r="AG44" s="65"/>
      <c r="AH44" s="65"/>
      <c r="AI44" s="65"/>
      <c r="AJ44" s="65"/>
      <c r="AK44" s="65"/>
      <c r="AL44" s="65"/>
      <c r="AM44" s="65"/>
      <c r="AN44" s="65"/>
      <c r="AO44" s="65"/>
      <c r="AP44" s="66"/>
      <c r="AQ44" s="64" t="s">
        <v>30</v>
      </c>
      <c r="AR44" s="65"/>
      <c r="AS44" s="65"/>
      <c r="AT44" s="65"/>
      <c r="AU44" s="66"/>
      <c r="BK44" s="13"/>
    </row>
    <row r="45" spans="1:63" ht="15" customHeight="1" x14ac:dyDescent="0.25">
      <c r="A45" s="12"/>
      <c r="Q45" s="67"/>
      <c r="R45" s="68"/>
      <c r="S45" s="68"/>
      <c r="T45" s="68"/>
      <c r="U45" s="68"/>
      <c r="V45" s="68"/>
      <c r="W45" s="68"/>
      <c r="X45" s="68"/>
      <c r="Y45" s="68"/>
      <c r="Z45" s="69"/>
      <c r="AA45" s="67"/>
      <c r="AB45" s="68"/>
      <c r="AC45" s="68"/>
      <c r="AD45" s="68"/>
      <c r="AE45" s="68"/>
      <c r="AF45" s="68"/>
      <c r="AG45" s="68"/>
      <c r="AH45" s="68"/>
      <c r="AI45" s="68"/>
      <c r="AJ45" s="68"/>
      <c r="AK45" s="68"/>
      <c r="AL45" s="68"/>
      <c r="AM45" s="68"/>
      <c r="AN45" s="68"/>
      <c r="AO45" s="68"/>
      <c r="AP45" s="69"/>
      <c r="AQ45" s="67"/>
      <c r="AR45" s="68"/>
      <c r="AS45" s="68"/>
      <c r="AT45" s="68"/>
      <c r="AU45" s="69"/>
      <c r="BK45" s="13"/>
    </row>
    <row r="46" spans="1:63" ht="15" customHeight="1" x14ac:dyDescent="0.25">
      <c r="A46" s="12"/>
      <c r="Q46" s="55"/>
      <c r="R46" s="56"/>
      <c r="S46" s="56"/>
      <c r="T46" s="56"/>
      <c r="U46" s="56"/>
      <c r="V46" s="56"/>
      <c r="W46" s="56"/>
      <c r="X46" s="56"/>
      <c r="Y46" s="56"/>
      <c r="Z46" s="57"/>
      <c r="AA46" s="55"/>
      <c r="AB46" s="56"/>
      <c r="AC46" s="56"/>
      <c r="AD46" s="56"/>
      <c r="AE46" s="56"/>
      <c r="AF46" s="56"/>
      <c r="AG46" s="56"/>
      <c r="AH46" s="56"/>
      <c r="AI46" s="56"/>
      <c r="AJ46" s="56"/>
      <c r="AK46" s="56"/>
      <c r="AL46" s="56"/>
      <c r="AM46" s="56"/>
      <c r="AN46" s="56"/>
      <c r="AO46" s="56"/>
      <c r="AP46" s="57"/>
      <c r="AQ46" s="55"/>
      <c r="AR46" s="56"/>
      <c r="AS46" s="56"/>
      <c r="AT46" s="56"/>
      <c r="AU46" s="57"/>
      <c r="BK46" s="13"/>
    </row>
    <row r="47" spans="1:63" ht="15" customHeight="1" x14ac:dyDescent="0.25">
      <c r="A47" s="12"/>
      <c r="Q47" s="58"/>
      <c r="R47" s="59"/>
      <c r="S47" s="59"/>
      <c r="T47" s="59"/>
      <c r="U47" s="59"/>
      <c r="V47" s="59"/>
      <c r="W47" s="59"/>
      <c r="X47" s="59"/>
      <c r="Y47" s="59"/>
      <c r="Z47" s="60"/>
      <c r="AA47" s="58"/>
      <c r="AB47" s="59"/>
      <c r="AC47" s="59"/>
      <c r="AD47" s="59"/>
      <c r="AE47" s="59"/>
      <c r="AF47" s="59"/>
      <c r="AG47" s="59"/>
      <c r="AH47" s="59"/>
      <c r="AI47" s="59"/>
      <c r="AJ47" s="59"/>
      <c r="AK47" s="59"/>
      <c r="AL47" s="59"/>
      <c r="AM47" s="59"/>
      <c r="AN47" s="59"/>
      <c r="AO47" s="59"/>
      <c r="AP47" s="60"/>
      <c r="AQ47" s="58"/>
      <c r="AR47" s="59"/>
      <c r="AS47" s="59"/>
      <c r="AT47" s="59"/>
      <c r="AU47" s="60"/>
      <c r="BK47" s="13"/>
    </row>
    <row r="48" spans="1:63" ht="15" customHeight="1" x14ac:dyDescent="0.25">
      <c r="A48" s="12"/>
      <c r="Q48" s="58"/>
      <c r="R48" s="59"/>
      <c r="S48" s="59"/>
      <c r="T48" s="59"/>
      <c r="U48" s="59"/>
      <c r="V48" s="59"/>
      <c r="W48" s="59"/>
      <c r="X48" s="59"/>
      <c r="Y48" s="59"/>
      <c r="Z48" s="60"/>
      <c r="AA48" s="58"/>
      <c r="AB48" s="59"/>
      <c r="AC48" s="59"/>
      <c r="AD48" s="59"/>
      <c r="AE48" s="59"/>
      <c r="AF48" s="59"/>
      <c r="AG48" s="59"/>
      <c r="AH48" s="59"/>
      <c r="AI48" s="59"/>
      <c r="AJ48" s="59"/>
      <c r="AK48" s="59"/>
      <c r="AL48" s="59"/>
      <c r="AM48" s="59"/>
      <c r="AN48" s="59"/>
      <c r="AO48" s="59"/>
      <c r="AP48" s="60"/>
      <c r="AQ48" s="58"/>
      <c r="AR48" s="59"/>
      <c r="AS48" s="59"/>
      <c r="AT48" s="59"/>
      <c r="AU48" s="60"/>
      <c r="BK48" s="13"/>
    </row>
    <row r="49" spans="1:63" ht="15" customHeight="1" x14ac:dyDescent="0.25">
      <c r="A49" s="12"/>
      <c r="Q49" s="61"/>
      <c r="R49" s="62"/>
      <c r="S49" s="62"/>
      <c r="T49" s="62"/>
      <c r="U49" s="62"/>
      <c r="V49" s="62"/>
      <c r="W49" s="62"/>
      <c r="X49" s="62"/>
      <c r="Y49" s="62"/>
      <c r="Z49" s="63"/>
      <c r="AA49" s="61"/>
      <c r="AB49" s="62"/>
      <c r="AC49" s="62"/>
      <c r="AD49" s="62"/>
      <c r="AE49" s="62"/>
      <c r="AF49" s="62"/>
      <c r="AG49" s="62"/>
      <c r="AH49" s="62"/>
      <c r="AI49" s="62"/>
      <c r="AJ49" s="62"/>
      <c r="AK49" s="62"/>
      <c r="AL49" s="62"/>
      <c r="AM49" s="62"/>
      <c r="AN49" s="62"/>
      <c r="AO49" s="62"/>
      <c r="AP49" s="63"/>
      <c r="AQ49" s="61"/>
      <c r="AR49" s="62"/>
      <c r="AS49" s="62"/>
      <c r="AT49" s="62"/>
      <c r="AU49" s="63"/>
      <c r="BK49" s="13"/>
    </row>
    <row r="50" spans="1:63" ht="15" customHeight="1" x14ac:dyDescent="0.25">
      <c r="A50" s="12"/>
      <c r="BK50" s="13"/>
    </row>
    <row r="51" spans="1:63" ht="15" customHeight="1" x14ac:dyDescent="0.25">
      <c r="A51" s="12"/>
      <c r="BK51" s="13"/>
    </row>
    <row r="52" spans="1:63" ht="15" customHeight="1" x14ac:dyDescent="0.25">
      <c r="A52" s="12"/>
      <c r="BK52" s="13"/>
    </row>
    <row r="53" spans="1:63" ht="15" customHeight="1" x14ac:dyDescent="0.25">
      <c r="A53" s="12"/>
      <c r="BK53" s="13"/>
    </row>
    <row r="54" spans="1:63" ht="15" customHeight="1" x14ac:dyDescent="0.25">
      <c r="A54" s="12"/>
      <c r="BK54" s="13"/>
    </row>
    <row r="55" spans="1:63" ht="15" customHeight="1" x14ac:dyDescent="0.25">
      <c r="A55" s="9"/>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1"/>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8" customWidth="1"/>
    <col min="61" max="16384" width="2.77734375" style="8"/>
  </cols>
  <sheetData>
    <row r="1" spans="1:63" ht="24.95" customHeight="1" x14ac:dyDescent="0.25">
      <c r="A1" s="70" t="s">
        <v>23</v>
      </c>
      <c r="B1" s="71"/>
      <c r="C1" s="71"/>
      <c r="D1" s="71"/>
      <c r="E1" s="71"/>
      <c r="F1" s="71"/>
      <c r="G1" s="71"/>
      <c r="H1" s="71"/>
      <c r="I1" s="71"/>
      <c r="J1" s="72"/>
      <c r="K1" s="70" t="s">
        <v>24</v>
      </c>
      <c r="L1" s="71"/>
      <c r="M1" s="71"/>
      <c r="N1" s="71"/>
      <c r="O1" s="71"/>
      <c r="P1" s="71"/>
      <c r="Q1" s="71"/>
      <c r="R1" s="71"/>
      <c r="S1" s="71"/>
      <c r="T1" s="71"/>
      <c r="U1" s="71"/>
      <c r="V1" s="72"/>
      <c r="W1" s="91" t="str">
        <f>IF(表紙!W1="","",表紙!W1)</f>
        <v>基本設計書</v>
      </c>
      <c r="X1" s="92"/>
      <c r="Y1" s="92"/>
      <c r="Z1" s="92"/>
      <c r="AA1" s="92"/>
      <c r="AB1" s="92"/>
      <c r="AC1" s="92"/>
      <c r="AD1" s="92"/>
      <c r="AE1" s="92"/>
      <c r="AF1" s="92"/>
      <c r="AG1" s="92"/>
      <c r="AH1" s="92"/>
      <c r="AI1" s="92"/>
      <c r="AJ1" s="92"/>
      <c r="AK1" s="92"/>
      <c r="AL1" s="92"/>
      <c r="AM1" s="92"/>
      <c r="AN1" s="92"/>
      <c r="AO1" s="93"/>
      <c r="AP1" s="70" t="s">
        <v>26</v>
      </c>
      <c r="AQ1" s="71"/>
      <c r="AR1" s="71"/>
      <c r="AS1" s="72"/>
      <c r="AT1" s="70" t="s">
        <v>27</v>
      </c>
      <c r="AU1" s="71"/>
      <c r="AV1" s="71"/>
      <c r="AW1" s="71"/>
      <c r="AX1" s="72"/>
      <c r="AY1" s="70" t="s">
        <v>28</v>
      </c>
      <c r="AZ1" s="71"/>
      <c r="BA1" s="71"/>
      <c r="BB1" s="72"/>
      <c r="BC1" s="70" t="s">
        <v>29</v>
      </c>
      <c r="BD1" s="71"/>
      <c r="BE1" s="71"/>
      <c r="BF1" s="71"/>
      <c r="BG1" s="72"/>
      <c r="BH1" s="70" t="s">
        <v>30</v>
      </c>
      <c r="BI1" s="71"/>
      <c r="BJ1" s="71"/>
      <c r="BK1" s="72"/>
    </row>
    <row r="2" spans="1:63" ht="15" customHeight="1" x14ac:dyDescent="0.25">
      <c r="A2" s="55" t="str">
        <f>IF(表紙!A2="","",表紙!A2)</f>
        <v>POSサーバー</v>
      </c>
      <c r="B2" s="56"/>
      <c r="C2" s="56"/>
      <c r="D2" s="56"/>
      <c r="E2" s="56"/>
      <c r="F2" s="56"/>
      <c r="G2" s="56"/>
      <c r="H2" s="56"/>
      <c r="I2" s="56"/>
      <c r="J2" s="57"/>
      <c r="K2" s="55" t="str">
        <f>IF(表紙!K2="","",表紙!K2)</f>
        <v>POSサーバー</v>
      </c>
      <c r="L2" s="56"/>
      <c r="M2" s="56"/>
      <c r="N2" s="56"/>
      <c r="O2" s="56"/>
      <c r="P2" s="56"/>
      <c r="Q2" s="56"/>
      <c r="R2" s="56"/>
      <c r="S2" s="56"/>
      <c r="T2" s="56"/>
      <c r="U2" s="56"/>
      <c r="V2" s="57"/>
      <c r="W2" s="94"/>
      <c r="X2" s="95"/>
      <c r="Y2" s="95"/>
      <c r="Z2" s="95"/>
      <c r="AA2" s="95"/>
      <c r="AB2" s="95"/>
      <c r="AC2" s="95"/>
      <c r="AD2" s="95"/>
      <c r="AE2" s="95"/>
      <c r="AF2" s="95"/>
      <c r="AG2" s="95"/>
      <c r="AH2" s="95"/>
      <c r="AI2" s="95"/>
      <c r="AJ2" s="95"/>
      <c r="AK2" s="95"/>
      <c r="AL2" s="95"/>
      <c r="AM2" s="95"/>
      <c r="AN2" s="95"/>
      <c r="AO2" s="96"/>
      <c r="AP2" s="55" t="str">
        <f>IF(表紙!AP2="","",表紙!AP2)</f>
        <v>DuNT</v>
      </c>
      <c r="AQ2" s="56"/>
      <c r="AR2" s="56"/>
      <c r="AS2" s="57"/>
      <c r="AT2" s="84">
        <f>IF(表紙!AT2="","",表紙!AT2)</f>
        <v>45435</v>
      </c>
      <c r="AU2" s="85"/>
      <c r="AV2" s="85"/>
      <c r="AW2" s="85"/>
      <c r="AX2" s="86"/>
      <c r="AY2" s="55" t="str">
        <f>IF(表紙!AY2="","",表紙!AY2)</f>
        <v>LoiLV</v>
      </c>
      <c r="AZ2" s="56"/>
      <c r="BA2" s="56"/>
      <c r="BB2" s="57"/>
      <c r="BC2" s="84">
        <f>IF(表紙!BC2="","",表紙!BC2)</f>
        <v>45446</v>
      </c>
      <c r="BD2" s="85"/>
      <c r="BE2" s="85"/>
      <c r="BF2" s="85"/>
      <c r="BG2" s="86"/>
      <c r="BH2" s="55">
        <f>IF(表紙!BH2="","",表紙!BH2)</f>
        <v>0.2</v>
      </c>
      <c r="BI2" s="56"/>
      <c r="BJ2" s="56"/>
      <c r="BK2" s="57"/>
    </row>
    <row r="3" spans="1:63" ht="15" customHeight="1" x14ac:dyDescent="0.25">
      <c r="A3" s="61"/>
      <c r="B3" s="62"/>
      <c r="C3" s="62"/>
      <c r="D3" s="62"/>
      <c r="E3" s="62"/>
      <c r="F3" s="62"/>
      <c r="G3" s="62"/>
      <c r="H3" s="62"/>
      <c r="I3" s="62"/>
      <c r="J3" s="63"/>
      <c r="K3" s="61"/>
      <c r="L3" s="62"/>
      <c r="M3" s="62"/>
      <c r="N3" s="62"/>
      <c r="O3" s="62"/>
      <c r="P3" s="62"/>
      <c r="Q3" s="62"/>
      <c r="R3" s="62"/>
      <c r="S3" s="62"/>
      <c r="T3" s="62"/>
      <c r="U3" s="62"/>
      <c r="V3" s="63"/>
      <c r="W3" s="97"/>
      <c r="X3" s="98"/>
      <c r="Y3" s="98"/>
      <c r="Z3" s="98"/>
      <c r="AA3" s="98"/>
      <c r="AB3" s="98"/>
      <c r="AC3" s="98"/>
      <c r="AD3" s="98"/>
      <c r="AE3" s="98"/>
      <c r="AF3" s="98"/>
      <c r="AG3" s="98"/>
      <c r="AH3" s="98"/>
      <c r="AI3" s="98"/>
      <c r="AJ3" s="98"/>
      <c r="AK3" s="98"/>
      <c r="AL3" s="98"/>
      <c r="AM3" s="98"/>
      <c r="AN3" s="98"/>
      <c r="AO3" s="99"/>
      <c r="AP3" s="61"/>
      <c r="AQ3" s="62"/>
      <c r="AR3" s="62"/>
      <c r="AS3" s="63"/>
      <c r="AT3" s="87"/>
      <c r="AU3" s="88"/>
      <c r="AV3" s="88"/>
      <c r="AW3" s="88"/>
      <c r="AX3" s="89"/>
      <c r="AY3" s="61"/>
      <c r="AZ3" s="62"/>
      <c r="BA3" s="62"/>
      <c r="BB3" s="63"/>
      <c r="BC3" s="87"/>
      <c r="BD3" s="88"/>
      <c r="BE3" s="88"/>
      <c r="BF3" s="88"/>
      <c r="BG3" s="89"/>
      <c r="BH3" s="61"/>
      <c r="BI3" s="62"/>
      <c r="BJ3" s="62"/>
      <c r="BK3" s="63"/>
    </row>
    <row r="4" spans="1:63" ht="24.95" customHeight="1" x14ac:dyDescent="0.25">
      <c r="A4" s="70" t="s">
        <v>32</v>
      </c>
      <c r="B4" s="71"/>
      <c r="C4" s="71"/>
      <c r="D4" s="71"/>
      <c r="E4" s="71"/>
      <c r="F4" s="71"/>
      <c r="G4" s="72"/>
      <c r="H4" s="75" t="str">
        <f>IF(表紙!H4="","",表紙!H4)</f>
        <v>39_WAONポイントN倍設定</v>
      </c>
      <c r="I4" s="76"/>
      <c r="J4" s="76"/>
      <c r="K4" s="76"/>
      <c r="L4" s="76"/>
      <c r="M4" s="76"/>
      <c r="N4" s="76"/>
      <c r="O4" s="76"/>
      <c r="P4" s="76"/>
      <c r="Q4" s="76"/>
      <c r="R4" s="76"/>
      <c r="S4" s="76"/>
      <c r="T4" s="77"/>
      <c r="U4" s="70" t="s">
        <v>33</v>
      </c>
      <c r="V4" s="71"/>
      <c r="W4" s="71"/>
      <c r="X4" s="71"/>
      <c r="Y4" s="72"/>
      <c r="Z4" s="75" t="str">
        <f>IF(表紙!Z4="","",表紙!Z4)</f>
        <v>概要設計書</v>
      </c>
      <c r="AA4" s="76"/>
      <c r="AB4" s="76"/>
      <c r="AC4" s="76"/>
      <c r="AD4" s="76"/>
      <c r="AE4" s="76"/>
      <c r="AF4" s="76"/>
      <c r="AG4" s="76"/>
      <c r="AH4" s="76"/>
      <c r="AI4" s="76"/>
      <c r="AJ4" s="76"/>
      <c r="AK4" s="76"/>
      <c r="AL4" s="76"/>
      <c r="AM4" s="76"/>
      <c r="AN4" s="76"/>
      <c r="AO4" s="77"/>
      <c r="AP4" s="75" t="str">
        <f t="array" aca="1" ref="AP4" ca="1">RIGHT(CELL("filename",$A$1),LEN(CELL("filename",$A$1))-FIND("]",CELL("filename",$A$1)))</f>
        <v>改訂履歴</v>
      </c>
      <c r="AQ4" s="76"/>
      <c r="AR4" s="76"/>
      <c r="AS4" s="76"/>
      <c r="AT4" s="76"/>
      <c r="AU4" s="76"/>
      <c r="AV4" s="76"/>
      <c r="AW4" s="76"/>
      <c r="AX4" s="76"/>
      <c r="AY4" s="76"/>
      <c r="AZ4" s="76"/>
      <c r="BA4" s="76"/>
      <c r="BB4" s="76"/>
      <c r="BC4" s="76"/>
      <c r="BD4" s="76"/>
      <c r="BE4" s="76"/>
      <c r="BF4" s="76"/>
      <c r="BG4" s="76"/>
      <c r="BH4" s="76"/>
      <c r="BI4" s="76"/>
      <c r="BJ4" s="76"/>
      <c r="BK4" s="77"/>
    </row>
    <row r="5" spans="1:63" ht="5.0999999999999996" customHeight="1" x14ac:dyDescent="0.25">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1"/>
    </row>
    <row r="6" spans="1:63" ht="15" customHeight="1" x14ac:dyDescent="0.25">
      <c r="A6" s="12"/>
      <c r="BK6" s="13"/>
    </row>
    <row r="7" spans="1:63" ht="15" customHeight="1" x14ac:dyDescent="0.25">
      <c r="A7" s="12"/>
      <c r="BK7" s="13"/>
    </row>
    <row r="8" spans="1:63" ht="15" customHeight="1" x14ac:dyDescent="0.25">
      <c r="A8" s="12"/>
      <c r="B8" s="8" t="s">
        <v>9</v>
      </c>
      <c r="BK8" s="13"/>
    </row>
    <row r="9" spans="1:63" ht="15" customHeight="1" x14ac:dyDescent="0.25">
      <c r="A9" s="12"/>
      <c r="BK9" s="13"/>
    </row>
    <row r="10" spans="1:63" ht="15" customHeight="1" x14ac:dyDescent="0.25">
      <c r="A10" s="12"/>
      <c r="B10" s="112" t="s">
        <v>29</v>
      </c>
      <c r="C10" s="112"/>
      <c r="D10" s="112"/>
      <c r="E10" s="112"/>
      <c r="F10" s="112"/>
      <c r="G10" s="112"/>
      <c r="H10" s="112" t="s">
        <v>28</v>
      </c>
      <c r="I10" s="112"/>
      <c r="J10" s="112"/>
      <c r="K10" s="112"/>
      <c r="L10" s="112"/>
      <c r="M10" s="112"/>
      <c r="N10" s="112"/>
      <c r="O10" s="112" t="s">
        <v>30</v>
      </c>
      <c r="P10" s="112"/>
      <c r="Q10" s="112"/>
      <c r="R10" s="112"/>
      <c r="S10" s="112" t="s">
        <v>37</v>
      </c>
      <c r="T10" s="112"/>
      <c r="U10" s="112"/>
      <c r="V10" s="112"/>
      <c r="W10" s="112"/>
      <c r="X10" s="112"/>
      <c r="Y10" s="112"/>
      <c r="Z10" s="112"/>
      <c r="AA10" s="112"/>
      <c r="AB10" s="112"/>
      <c r="AC10" s="112"/>
      <c r="AD10" s="112"/>
      <c r="AE10" s="112"/>
      <c r="AF10" s="112"/>
      <c r="AG10" s="112"/>
      <c r="AH10" s="112"/>
      <c r="AI10" s="112"/>
      <c r="AJ10" s="112"/>
      <c r="AK10" s="112"/>
      <c r="AL10" s="112"/>
      <c r="AM10" s="112"/>
      <c r="AN10" s="112"/>
      <c r="AO10" s="112"/>
      <c r="AP10" s="112"/>
      <c r="AQ10" s="112"/>
      <c r="AR10" s="112"/>
      <c r="AS10" s="112"/>
      <c r="AT10" s="112"/>
      <c r="AU10" s="112"/>
      <c r="AV10" s="112"/>
      <c r="AW10" s="112"/>
      <c r="AX10" s="112" t="s">
        <v>35</v>
      </c>
      <c r="AY10" s="112"/>
      <c r="AZ10" s="112"/>
      <c r="BA10" s="112"/>
      <c r="BB10" s="112"/>
      <c r="BC10" s="112"/>
      <c r="BD10" s="112" t="s">
        <v>36</v>
      </c>
      <c r="BE10" s="112"/>
      <c r="BF10" s="112"/>
      <c r="BG10" s="112"/>
      <c r="BH10" s="112"/>
      <c r="BI10" s="112"/>
      <c r="BJ10" s="112"/>
      <c r="BK10" s="13"/>
    </row>
    <row r="11" spans="1:63" ht="15" customHeight="1" x14ac:dyDescent="0.25">
      <c r="A11" s="12"/>
      <c r="B11" s="84">
        <v>45435</v>
      </c>
      <c r="C11" s="56"/>
      <c r="D11" s="56"/>
      <c r="E11" s="56"/>
      <c r="F11" s="56"/>
      <c r="G11" s="57"/>
      <c r="H11" s="90" t="s">
        <v>38</v>
      </c>
      <c r="I11" s="56"/>
      <c r="J11" s="56"/>
      <c r="K11" s="56"/>
      <c r="L11" s="56"/>
      <c r="M11" s="56"/>
      <c r="N11" s="57"/>
      <c r="O11" s="55">
        <v>0.1</v>
      </c>
      <c r="P11" s="56"/>
      <c r="Q11" s="56"/>
      <c r="R11" s="56"/>
      <c r="S11" s="100" t="s">
        <v>15</v>
      </c>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2"/>
      <c r="AX11" s="103"/>
      <c r="AY11" s="103"/>
      <c r="AZ11" s="103"/>
      <c r="BA11" s="103"/>
      <c r="BB11" s="103"/>
      <c r="BC11" s="104"/>
      <c r="BD11" s="107"/>
      <c r="BE11" s="103"/>
      <c r="BF11" s="103"/>
      <c r="BG11" s="103"/>
      <c r="BH11" s="103"/>
      <c r="BI11" s="103"/>
      <c r="BJ11" s="104"/>
      <c r="BK11" s="13"/>
    </row>
    <row r="12" spans="1:63" ht="15" customHeight="1" x14ac:dyDescent="0.25">
      <c r="A12" s="12"/>
      <c r="B12" s="61"/>
      <c r="C12" s="62"/>
      <c r="D12" s="62"/>
      <c r="E12" s="62"/>
      <c r="F12" s="62"/>
      <c r="G12" s="63"/>
      <c r="H12" s="61"/>
      <c r="I12" s="62"/>
      <c r="J12" s="62"/>
      <c r="K12" s="62"/>
      <c r="L12" s="62"/>
      <c r="M12" s="62"/>
      <c r="N12" s="63"/>
      <c r="O12" s="61"/>
      <c r="P12" s="62"/>
      <c r="Q12" s="62"/>
      <c r="R12" s="62"/>
      <c r="S12" s="109"/>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1"/>
      <c r="AX12" s="105"/>
      <c r="AY12" s="105"/>
      <c r="AZ12" s="105"/>
      <c r="BA12" s="105"/>
      <c r="BB12" s="105"/>
      <c r="BC12" s="106"/>
      <c r="BD12" s="108"/>
      <c r="BE12" s="105"/>
      <c r="BF12" s="105"/>
      <c r="BG12" s="105"/>
      <c r="BH12" s="105"/>
      <c r="BI12" s="105"/>
      <c r="BJ12" s="106"/>
      <c r="BK12" s="13"/>
    </row>
    <row r="13" spans="1:63" ht="15" customHeight="1" x14ac:dyDescent="0.25">
      <c r="A13" s="12"/>
      <c r="B13" s="162">
        <v>45446</v>
      </c>
      <c r="C13" s="163"/>
      <c r="D13" s="163"/>
      <c r="E13" s="163"/>
      <c r="F13" s="163"/>
      <c r="G13" s="164"/>
      <c r="H13" s="165" t="s">
        <v>40</v>
      </c>
      <c r="I13" s="163"/>
      <c r="J13" s="163"/>
      <c r="K13" s="163"/>
      <c r="L13" s="163"/>
      <c r="M13" s="163"/>
      <c r="N13" s="164"/>
      <c r="O13" s="165">
        <v>0.2</v>
      </c>
      <c r="P13" s="163"/>
      <c r="Q13" s="163"/>
      <c r="R13" s="163"/>
      <c r="S13" s="166" t="s">
        <v>41</v>
      </c>
      <c r="T13" s="167"/>
      <c r="U13" s="167"/>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7"/>
      <c r="AS13" s="167"/>
      <c r="AT13" s="167"/>
      <c r="AU13" s="167"/>
      <c r="AV13" s="167"/>
      <c r="AW13" s="168"/>
      <c r="AX13" s="169"/>
      <c r="AY13" s="169"/>
      <c r="AZ13" s="169"/>
      <c r="BA13" s="169"/>
      <c r="BB13" s="169"/>
      <c r="BC13" s="170"/>
      <c r="BD13" s="171"/>
      <c r="BE13" s="169"/>
      <c r="BF13" s="169"/>
      <c r="BG13" s="169"/>
      <c r="BH13" s="169"/>
      <c r="BI13" s="169"/>
      <c r="BJ13" s="170"/>
      <c r="BK13" s="13"/>
    </row>
    <row r="14" spans="1:63" ht="15" customHeight="1" x14ac:dyDescent="0.25">
      <c r="A14" s="12"/>
      <c r="B14" s="172"/>
      <c r="C14" s="173"/>
      <c r="D14" s="173"/>
      <c r="E14" s="173"/>
      <c r="F14" s="173"/>
      <c r="G14" s="174"/>
      <c r="H14" s="172"/>
      <c r="I14" s="173"/>
      <c r="J14" s="173"/>
      <c r="K14" s="173"/>
      <c r="L14" s="173"/>
      <c r="M14" s="173"/>
      <c r="N14" s="174"/>
      <c r="O14" s="172"/>
      <c r="P14" s="173"/>
      <c r="Q14" s="173"/>
      <c r="R14" s="173"/>
      <c r="S14" s="175"/>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7"/>
      <c r="AX14" s="178"/>
      <c r="AY14" s="178"/>
      <c r="AZ14" s="178"/>
      <c r="BA14" s="178"/>
      <c r="BB14" s="178"/>
      <c r="BC14" s="179"/>
      <c r="BD14" s="180"/>
      <c r="BE14" s="178"/>
      <c r="BF14" s="178"/>
      <c r="BG14" s="178"/>
      <c r="BH14" s="178"/>
      <c r="BI14" s="178"/>
      <c r="BJ14" s="179"/>
      <c r="BK14" s="13"/>
    </row>
    <row r="15" spans="1:63" ht="15" customHeight="1" x14ac:dyDescent="0.25">
      <c r="A15" s="12"/>
      <c r="B15" s="55"/>
      <c r="C15" s="56"/>
      <c r="D15" s="56"/>
      <c r="E15" s="56"/>
      <c r="F15" s="56"/>
      <c r="G15" s="57"/>
      <c r="H15" s="55"/>
      <c r="I15" s="56"/>
      <c r="J15" s="56"/>
      <c r="K15" s="56"/>
      <c r="L15" s="56"/>
      <c r="M15" s="56"/>
      <c r="N15" s="57"/>
      <c r="O15" s="55"/>
      <c r="P15" s="56"/>
      <c r="Q15" s="56"/>
      <c r="R15" s="56"/>
      <c r="S15" s="100"/>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2"/>
      <c r="AX15" s="103"/>
      <c r="AY15" s="103"/>
      <c r="AZ15" s="103"/>
      <c r="BA15" s="103"/>
      <c r="BB15" s="103"/>
      <c r="BC15" s="104"/>
      <c r="BD15" s="107"/>
      <c r="BE15" s="103"/>
      <c r="BF15" s="103"/>
      <c r="BG15" s="103"/>
      <c r="BH15" s="103"/>
      <c r="BI15" s="103"/>
      <c r="BJ15" s="104"/>
      <c r="BK15" s="13"/>
    </row>
    <row r="16" spans="1:63" ht="15" customHeight="1" x14ac:dyDescent="0.25">
      <c r="A16" s="12"/>
      <c r="B16" s="61"/>
      <c r="C16" s="62"/>
      <c r="D16" s="62"/>
      <c r="E16" s="62"/>
      <c r="F16" s="62"/>
      <c r="G16" s="63"/>
      <c r="H16" s="61"/>
      <c r="I16" s="62"/>
      <c r="J16" s="62"/>
      <c r="K16" s="62"/>
      <c r="L16" s="62"/>
      <c r="M16" s="62"/>
      <c r="N16" s="63"/>
      <c r="O16" s="61"/>
      <c r="P16" s="62"/>
      <c r="Q16" s="62"/>
      <c r="R16" s="62"/>
      <c r="S16" s="109"/>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1"/>
      <c r="AX16" s="105"/>
      <c r="AY16" s="105"/>
      <c r="AZ16" s="105"/>
      <c r="BA16" s="105"/>
      <c r="BB16" s="105"/>
      <c r="BC16" s="106"/>
      <c r="BD16" s="108"/>
      <c r="BE16" s="105"/>
      <c r="BF16" s="105"/>
      <c r="BG16" s="105"/>
      <c r="BH16" s="105"/>
      <c r="BI16" s="105"/>
      <c r="BJ16" s="106"/>
      <c r="BK16" s="13"/>
    </row>
    <row r="17" spans="1:63" ht="15" customHeight="1" x14ac:dyDescent="0.25">
      <c r="A17" s="12"/>
      <c r="B17" s="55"/>
      <c r="C17" s="56"/>
      <c r="D17" s="56"/>
      <c r="E17" s="56"/>
      <c r="F17" s="56"/>
      <c r="G17" s="57"/>
      <c r="H17" s="55"/>
      <c r="I17" s="56"/>
      <c r="J17" s="56"/>
      <c r="K17" s="56"/>
      <c r="L17" s="56"/>
      <c r="M17" s="56"/>
      <c r="N17" s="57"/>
      <c r="O17" s="55"/>
      <c r="P17" s="56"/>
      <c r="Q17" s="56"/>
      <c r="R17" s="56"/>
      <c r="S17" s="100"/>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2"/>
      <c r="AX17" s="103"/>
      <c r="AY17" s="103"/>
      <c r="AZ17" s="103"/>
      <c r="BA17" s="103"/>
      <c r="BB17" s="103"/>
      <c r="BC17" s="104"/>
      <c r="BD17" s="107"/>
      <c r="BE17" s="103"/>
      <c r="BF17" s="103"/>
      <c r="BG17" s="103"/>
      <c r="BH17" s="103"/>
      <c r="BI17" s="103"/>
      <c r="BJ17" s="104"/>
      <c r="BK17" s="13"/>
    </row>
    <row r="18" spans="1:63" ht="15" customHeight="1" x14ac:dyDescent="0.25">
      <c r="A18" s="12"/>
      <c r="B18" s="61"/>
      <c r="C18" s="62"/>
      <c r="D18" s="62"/>
      <c r="E18" s="62"/>
      <c r="F18" s="62"/>
      <c r="G18" s="63"/>
      <c r="H18" s="61"/>
      <c r="I18" s="62"/>
      <c r="J18" s="62"/>
      <c r="K18" s="62"/>
      <c r="L18" s="62"/>
      <c r="M18" s="62"/>
      <c r="N18" s="63"/>
      <c r="O18" s="61"/>
      <c r="P18" s="62"/>
      <c r="Q18" s="62"/>
      <c r="R18" s="62"/>
      <c r="S18" s="109"/>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1"/>
      <c r="AX18" s="105"/>
      <c r="AY18" s="105"/>
      <c r="AZ18" s="105"/>
      <c r="BA18" s="105"/>
      <c r="BB18" s="105"/>
      <c r="BC18" s="106"/>
      <c r="BD18" s="108"/>
      <c r="BE18" s="105"/>
      <c r="BF18" s="105"/>
      <c r="BG18" s="105"/>
      <c r="BH18" s="105"/>
      <c r="BI18" s="105"/>
      <c r="BJ18" s="106"/>
      <c r="BK18" s="13"/>
    </row>
    <row r="19" spans="1:63" ht="15" customHeight="1" x14ac:dyDescent="0.25">
      <c r="A19" s="12"/>
      <c r="B19" s="55"/>
      <c r="C19" s="56"/>
      <c r="D19" s="56"/>
      <c r="E19" s="56"/>
      <c r="F19" s="56"/>
      <c r="G19" s="57"/>
      <c r="H19" s="55"/>
      <c r="I19" s="56"/>
      <c r="J19" s="56"/>
      <c r="K19" s="56"/>
      <c r="L19" s="56"/>
      <c r="M19" s="56"/>
      <c r="N19" s="57"/>
      <c r="O19" s="55"/>
      <c r="P19" s="56"/>
      <c r="Q19" s="56"/>
      <c r="R19" s="56"/>
      <c r="S19" s="100"/>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2"/>
      <c r="AX19" s="103"/>
      <c r="AY19" s="103"/>
      <c r="AZ19" s="103"/>
      <c r="BA19" s="103"/>
      <c r="BB19" s="103"/>
      <c r="BC19" s="104"/>
      <c r="BD19" s="107"/>
      <c r="BE19" s="103"/>
      <c r="BF19" s="103"/>
      <c r="BG19" s="103"/>
      <c r="BH19" s="103"/>
      <c r="BI19" s="103"/>
      <c r="BJ19" s="104"/>
      <c r="BK19" s="13"/>
    </row>
    <row r="20" spans="1:63" ht="15" customHeight="1" x14ac:dyDescent="0.25">
      <c r="A20" s="12"/>
      <c r="B20" s="61"/>
      <c r="C20" s="62"/>
      <c r="D20" s="62"/>
      <c r="E20" s="62"/>
      <c r="F20" s="62"/>
      <c r="G20" s="63"/>
      <c r="H20" s="61"/>
      <c r="I20" s="62"/>
      <c r="J20" s="62"/>
      <c r="K20" s="62"/>
      <c r="L20" s="62"/>
      <c r="M20" s="62"/>
      <c r="N20" s="63"/>
      <c r="O20" s="61"/>
      <c r="P20" s="62"/>
      <c r="Q20" s="62"/>
      <c r="R20" s="62"/>
      <c r="S20" s="109"/>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1"/>
      <c r="AX20" s="105"/>
      <c r="AY20" s="105"/>
      <c r="AZ20" s="105"/>
      <c r="BA20" s="105"/>
      <c r="BB20" s="105"/>
      <c r="BC20" s="106"/>
      <c r="BD20" s="108"/>
      <c r="BE20" s="105"/>
      <c r="BF20" s="105"/>
      <c r="BG20" s="105"/>
      <c r="BH20" s="105"/>
      <c r="BI20" s="105"/>
      <c r="BJ20" s="106"/>
      <c r="BK20" s="13"/>
    </row>
    <row r="21" spans="1:63" ht="15" customHeight="1" x14ac:dyDescent="0.25">
      <c r="A21" s="12"/>
      <c r="B21" s="55"/>
      <c r="C21" s="56"/>
      <c r="D21" s="56"/>
      <c r="E21" s="56"/>
      <c r="F21" s="56"/>
      <c r="G21" s="57"/>
      <c r="H21" s="55"/>
      <c r="I21" s="56"/>
      <c r="J21" s="56"/>
      <c r="K21" s="56"/>
      <c r="L21" s="56"/>
      <c r="M21" s="56"/>
      <c r="N21" s="57"/>
      <c r="O21" s="55"/>
      <c r="P21" s="56"/>
      <c r="Q21" s="56"/>
      <c r="R21" s="56"/>
      <c r="S21" s="100"/>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2"/>
      <c r="AX21" s="103"/>
      <c r="AY21" s="103"/>
      <c r="AZ21" s="103"/>
      <c r="BA21" s="103"/>
      <c r="BB21" s="103"/>
      <c r="BC21" s="104"/>
      <c r="BD21" s="107"/>
      <c r="BE21" s="103"/>
      <c r="BF21" s="103"/>
      <c r="BG21" s="103"/>
      <c r="BH21" s="103"/>
      <c r="BI21" s="103"/>
      <c r="BJ21" s="104"/>
      <c r="BK21" s="13"/>
    </row>
    <row r="22" spans="1:63" ht="15" customHeight="1" x14ac:dyDescent="0.25">
      <c r="A22" s="12"/>
      <c r="B22" s="61"/>
      <c r="C22" s="62"/>
      <c r="D22" s="62"/>
      <c r="E22" s="62"/>
      <c r="F22" s="62"/>
      <c r="G22" s="63"/>
      <c r="H22" s="61"/>
      <c r="I22" s="62"/>
      <c r="J22" s="62"/>
      <c r="K22" s="62"/>
      <c r="L22" s="62"/>
      <c r="M22" s="62"/>
      <c r="N22" s="63"/>
      <c r="O22" s="61"/>
      <c r="P22" s="62"/>
      <c r="Q22" s="62"/>
      <c r="R22" s="62"/>
      <c r="S22" s="109"/>
      <c r="T22" s="110"/>
      <c r="U22" s="110"/>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c r="AR22" s="110"/>
      <c r="AS22" s="110"/>
      <c r="AT22" s="110"/>
      <c r="AU22" s="110"/>
      <c r="AV22" s="110"/>
      <c r="AW22" s="111"/>
      <c r="AX22" s="105"/>
      <c r="AY22" s="105"/>
      <c r="AZ22" s="105"/>
      <c r="BA22" s="105"/>
      <c r="BB22" s="105"/>
      <c r="BC22" s="106"/>
      <c r="BD22" s="108"/>
      <c r="BE22" s="105"/>
      <c r="BF22" s="105"/>
      <c r="BG22" s="105"/>
      <c r="BH22" s="105"/>
      <c r="BI22" s="105"/>
      <c r="BJ22" s="106"/>
      <c r="BK22" s="13"/>
    </row>
    <row r="23" spans="1:63" ht="15" customHeight="1" x14ac:dyDescent="0.25">
      <c r="A23" s="12"/>
      <c r="B23" s="55"/>
      <c r="C23" s="56"/>
      <c r="D23" s="56"/>
      <c r="E23" s="56"/>
      <c r="F23" s="56"/>
      <c r="G23" s="57"/>
      <c r="H23" s="55"/>
      <c r="I23" s="56"/>
      <c r="J23" s="56"/>
      <c r="K23" s="56"/>
      <c r="L23" s="56"/>
      <c r="M23" s="56"/>
      <c r="N23" s="57"/>
      <c r="O23" s="55"/>
      <c r="P23" s="56"/>
      <c r="Q23" s="56"/>
      <c r="R23" s="56"/>
      <c r="S23" s="100"/>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2"/>
      <c r="AX23" s="103"/>
      <c r="AY23" s="103"/>
      <c r="AZ23" s="103"/>
      <c r="BA23" s="103"/>
      <c r="BB23" s="103"/>
      <c r="BC23" s="104"/>
      <c r="BD23" s="107"/>
      <c r="BE23" s="103"/>
      <c r="BF23" s="103"/>
      <c r="BG23" s="103"/>
      <c r="BH23" s="103"/>
      <c r="BI23" s="103"/>
      <c r="BJ23" s="104"/>
      <c r="BK23" s="13"/>
    </row>
    <row r="24" spans="1:63" ht="15" customHeight="1" x14ac:dyDescent="0.25">
      <c r="A24" s="12"/>
      <c r="B24" s="61"/>
      <c r="C24" s="62"/>
      <c r="D24" s="62"/>
      <c r="E24" s="62"/>
      <c r="F24" s="62"/>
      <c r="G24" s="63"/>
      <c r="H24" s="61"/>
      <c r="I24" s="62"/>
      <c r="J24" s="62"/>
      <c r="K24" s="62"/>
      <c r="L24" s="62"/>
      <c r="M24" s="62"/>
      <c r="N24" s="63"/>
      <c r="O24" s="61"/>
      <c r="P24" s="62"/>
      <c r="Q24" s="62"/>
      <c r="R24" s="62"/>
      <c r="S24" s="109"/>
      <c r="T24" s="110"/>
      <c r="U24" s="110"/>
      <c r="V24" s="110"/>
      <c r="W24" s="110"/>
      <c r="X24" s="110"/>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1"/>
      <c r="AX24" s="105"/>
      <c r="AY24" s="105"/>
      <c r="AZ24" s="105"/>
      <c r="BA24" s="105"/>
      <c r="BB24" s="105"/>
      <c r="BC24" s="106"/>
      <c r="BD24" s="108"/>
      <c r="BE24" s="105"/>
      <c r="BF24" s="105"/>
      <c r="BG24" s="105"/>
      <c r="BH24" s="105"/>
      <c r="BI24" s="105"/>
      <c r="BJ24" s="106"/>
      <c r="BK24" s="13"/>
    </row>
    <row r="25" spans="1:63" ht="15" customHeight="1" x14ac:dyDescent="0.25">
      <c r="A25" s="12"/>
      <c r="B25" s="55"/>
      <c r="C25" s="56"/>
      <c r="D25" s="56"/>
      <c r="E25" s="56"/>
      <c r="F25" s="56"/>
      <c r="G25" s="57"/>
      <c r="H25" s="55"/>
      <c r="I25" s="56"/>
      <c r="J25" s="56"/>
      <c r="K25" s="56"/>
      <c r="L25" s="56"/>
      <c r="M25" s="56"/>
      <c r="N25" s="57"/>
      <c r="O25" s="55"/>
      <c r="P25" s="56"/>
      <c r="Q25" s="56"/>
      <c r="R25" s="56"/>
      <c r="S25" s="100"/>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2"/>
      <c r="AX25" s="103"/>
      <c r="AY25" s="103"/>
      <c r="AZ25" s="103"/>
      <c r="BA25" s="103"/>
      <c r="BB25" s="103"/>
      <c r="BC25" s="104"/>
      <c r="BD25" s="107"/>
      <c r="BE25" s="103"/>
      <c r="BF25" s="103"/>
      <c r="BG25" s="103"/>
      <c r="BH25" s="103"/>
      <c r="BI25" s="103"/>
      <c r="BJ25" s="104"/>
      <c r="BK25" s="13"/>
    </row>
    <row r="26" spans="1:63" ht="15" customHeight="1" x14ac:dyDescent="0.25">
      <c r="A26" s="12"/>
      <c r="B26" s="61"/>
      <c r="C26" s="62"/>
      <c r="D26" s="62"/>
      <c r="E26" s="62"/>
      <c r="F26" s="62"/>
      <c r="G26" s="63"/>
      <c r="H26" s="61"/>
      <c r="I26" s="62"/>
      <c r="J26" s="62"/>
      <c r="K26" s="62"/>
      <c r="L26" s="62"/>
      <c r="M26" s="62"/>
      <c r="N26" s="63"/>
      <c r="O26" s="61"/>
      <c r="P26" s="62"/>
      <c r="Q26" s="62"/>
      <c r="R26" s="62"/>
      <c r="S26" s="109"/>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0"/>
      <c r="AU26" s="110"/>
      <c r="AV26" s="110"/>
      <c r="AW26" s="111"/>
      <c r="AX26" s="105"/>
      <c r="AY26" s="105"/>
      <c r="AZ26" s="105"/>
      <c r="BA26" s="105"/>
      <c r="BB26" s="105"/>
      <c r="BC26" s="106"/>
      <c r="BD26" s="108"/>
      <c r="BE26" s="105"/>
      <c r="BF26" s="105"/>
      <c r="BG26" s="105"/>
      <c r="BH26" s="105"/>
      <c r="BI26" s="105"/>
      <c r="BJ26" s="106"/>
      <c r="BK26" s="13"/>
    </row>
    <row r="27" spans="1:63" ht="15" customHeight="1" x14ac:dyDescent="0.25">
      <c r="A27" s="12"/>
      <c r="B27" s="55"/>
      <c r="C27" s="56"/>
      <c r="D27" s="56"/>
      <c r="E27" s="56"/>
      <c r="F27" s="56"/>
      <c r="G27" s="57"/>
      <c r="H27" s="55"/>
      <c r="I27" s="56"/>
      <c r="J27" s="56"/>
      <c r="K27" s="56"/>
      <c r="L27" s="56"/>
      <c r="M27" s="56"/>
      <c r="N27" s="57"/>
      <c r="O27" s="55"/>
      <c r="P27" s="56"/>
      <c r="Q27" s="56"/>
      <c r="R27" s="56"/>
      <c r="S27" s="100"/>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2"/>
      <c r="AX27" s="103"/>
      <c r="AY27" s="103"/>
      <c r="AZ27" s="103"/>
      <c r="BA27" s="103"/>
      <c r="BB27" s="103"/>
      <c r="BC27" s="104"/>
      <c r="BD27" s="107"/>
      <c r="BE27" s="103"/>
      <c r="BF27" s="103"/>
      <c r="BG27" s="103"/>
      <c r="BH27" s="103"/>
      <c r="BI27" s="103"/>
      <c r="BJ27" s="104"/>
      <c r="BK27" s="13"/>
    </row>
    <row r="28" spans="1:63" ht="15" customHeight="1" x14ac:dyDescent="0.25">
      <c r="A28" s="12"/>
      <c r="B28" s="61"/>
      <c r="C28" s="62"/>
      <c r="D28" s="62"/>
      <c r="E28" s="62"/>
      <c r="F28" s="62"/>
      <c r="G28" s="63"/>
      <c r="H28" s="61"/>
      <c r="I28" s="62"/>
      <c r="J28" s="62"/>
      <c r="K28" s="62"/>
      <c r="L28" s="62"/>
      <c r="M28" s="62"/>
      <c r="N28" s="63"/>
      <c r="O28" s="61"/>
      <c r="P28" s="62"/>
      <c r="Q28" s="62"/>
      <c r="R28" s="62"/>
      <c r="S28" s="109"/>
      <c r="T28" s="110"/>
      <c r="U28" s="110"/>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c r="AV28" s="110"/>
      <c r="AW28" s="111"/>
      <c r="AX28" s="105"/>
      <c r="AY28" s="105"/>
      <c r="AZ28" s="105"/>
      <c r="BA28" s="105"/>
      <c r="BB28" s="105"/>
      <c r="BC28" s="106"/>
      <c r="BD28" s="108"/>
      <c r="BE28" s="105"/>
      <c r="BF28" s="105"/>
      <c r="BG28" s="105"/>
      <c r="BH28" s="105"/>
      <c r="BI28" s="105"/>
      <c r="BJ28" s="106"/>
      <c r="BK28" s="13"/>
    </row>
    <row r="29" spans="1:63" ht="15" customHeight="1" x14ac:dyDescent="0.25">
      <c r="A29" s="12"/>
      <c r="B29" s="55"/>
      <c r="C29" s="56"/>
      <c r="D29" s="56"/>
      <c r="E29" s="56"/>
      <c r="F29" s="56"/>
      <c r="G29" s="57"/>
      <c r="H29" s="55"/>
      <c r="I29" s="56"/>
      <c r="J29" s="56"/>
      <c r="K29" s="56"/>
      <c r="L29" s="56"/>
      <c r="M29" s="56"/>
      <c r="N29" s="57"/>
      <c r="O29" s="55"/>
      <c r="P29" s="56"/>
      <c r="Q29" s="56"/>
      <c r="R29" s="56"/>
      <c r="S29" s="100"/>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2"/>
      <c r="AX29" s="103"/>
      <c r="AY29" s="103"/>
      <c r="AZ29" s="103"/>
      <c r="BA29" s="103"/>
      <c r="BB29" s="103"/>
      <c r="BC29" s="104"/>
      <c r="BD29" s="107"/>
      <c r="BE29" s="103"/>
      <c r="BF29" s="103"/>
      <c r="BG29" s="103"/>
      <c r="BH29" s="103"/>
      <c r="BI29" s="103"/>
      <c r="BJ29" s="104"/>
      <c r="BK29" s="13"/>
    </row>
    <row r="30" spans="1:63" ht="15" customHeight="1" x14ac:dyDescent="0.25">
      <c r="A30" s="12"/>
      <c r="B30" s="61"/>
      <c r="C30" s="62"/>
      <c r="D30" s="62"/>
      <c r="E30" s="62"/>
      <c r="F30" s="62"/>
      <c r="G30" s="63"/>
      <c r="H30" s="61"/>
      <c r="I30" s="62"/>
      <c r="J30" s="62"/>
      <c r="K30" s="62"/>
      <c r="L30" s="62"/>
      <c r="M30" s="62"/>
      <c r="N30" s="63"/>
      <c r="O30" s="61"/>
      <c r="P30" s="62"/>
      <c r="Q30" s="62"/>
      <c r="R30" s="62"/>
      <c r="S30" s="109"/>
      <c r="T30" s="110"/>
      <c r="U30" s="110"/>
      <c r="V30" s="110"/>
      <c r="W30" s="110"/>
      <c r="X30" s="110"/>
      <c r="Y30" s="110"/>
      <c r="Z30" s="110"/>
      <c r="AA30" s="110"/>
      <c r="AB30" s="110"/>
      <c r="AC30" s="110"/>
      <c r="AD30" s="110"/>
      <c r="AE30" s="110"/>
      <c r="AF30" s="110"/>
      <c r="AG30" s="110"/>
      <c r="AH30" s="110"/>
      <c r="AI30" s="110"/>
      <c r="AJ30" s="110"/>
      <c r="AK30" s="110"/>
      <c r="AL30" s="110"/>
      <c r="AM30" s="110"/>
      <c r="AN30" s="110"/>
      <c r="AO30" s="110"/>
      <c r="AP30" s="110"/>
      <c r="AQ30" s="110"/>
      <c r="AR30" s="110"/>
      <c r="AS30" s="110"/>
      <c r="AT30" s="110"/>
      <c r="AU30" s="110"/>
      <c r="AV30" s="110"/>
      <c r="AW30" s="111"/>
      <c r="AX30" s="105"/>
      <c r="AY30" s="105"/>
      <c r="AZ30" s="105"/>
      <c r="BA30" s="105"/>
      <c r="BB30" s="105"/>
      <c r="BC30" s="106"/>
      <c r="BD30" s="108"/>
      <c r="BE30" s="105"/>
      <c r="BF30" s="105"/>
      <c r="BG30" s="105"/>
      <c r="BH30" s="105"/>
      <c r="BI30" s="105"/>
      <c r="BJ30" s="106"/>
      <c r="BK30" s="13"/>
    </row>
    <row r="31" spans="1:63" ht="15" customHeight="1" x14ac:dyDescent="0.25">
      <c r="A31" s="12"/>
      <c r="B31" s="55"/>
      <c r="C31" s="56"/>
      <c r="D31" s="56"/>
      <c r="E31" s="56"/>
      <c r="F31" s="56"/>
      <c r="G31" s="57"/>
      <c r="H31" s="55"/>
      <c r="I31" s="56"/>
      <c r="J31" s="56"/>
      <c r="K31" s="56"/>
      <c r="L31" s="56"/>
      <c r="M31" s="56"/>
      <c r="N31" s="57"/>
      <c r="O31" s="55"/>
      <c r="P31" s="56"/>
      <c r="Q31" s="56"/>
      <c r="R31" s="56"/>
      <c r="S31" s="100"/>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2"/>
      <c r="AX31" s="103"/>
      <c r="AY31" s="103"/>
      <c r="AZ31" s="103"/>
      <c r="BA31" s="103"/>
      <c r="BB31" s="103"/>
      <c r="BC31" s="104"/>
      <c r="BD31" s="107"/>
      <c r="BE31" s="103"/>
      <c r="BF31" s="103"/>
      <c r="BG31" s="103"/>
      <c r="BH31" s="103"/>
      <c r="BI31" s="103"/>
      <c r="BJ31" s="104"/>
      <c r="BK31" s="13"/>
    </row>
    <row r="32" spans="1:63" ht="15" customHeight="1" x14ac:dyDescent="0.25">
      <c r="A32" s="12"/>
      <c r="B32" s="61"/>
      <c r="C32" s="62"/>
      <c r="D32" s="62"/>
      <c r="E32" s="62"/>
      <c r="F32" s="62"/>
      <c r="G32" s="63"/>
      <c r="H32" s="61"/>
      <c r="I32" s="62"/>
      <c r="J32" s="62"/>
      <c r="K32" s="62"/>
      <c r="L32" s="62"/>
      <c r="M32" s="62"/>
      <c r="N32" s="63"/>
      <c r="O32" s="61"/>
      <c r="P32" s="62"/>
      <c r="Q32" s="62"/>
      <c r="R32" s="62"/>
      <c r="S32" s="109"/>
      <c r="T32" s="110"/>
      <c r="U32" s="110"/>
      <c r="V32" s="110"/>
      <c r="W32" s="110"/>
      <c r="X32" s="110"/>
      <c r="Y32" s="110"/>
      <c r="Z32" s="110"/>
      <c r="AA32" s="110"/>
      <c r="AB32" s="110"/>
      <c r="AC32" s="110"/>
      <c r="AD32" s="110"/>
      <c r="AE32" s="110"/>
      <c r="AF32" s="110"/>
      <c r="AG32" s="110"/>
      <c r="AH32" s="110"/>
      <c r="AI32" s="110"/>
      <c r="AJ32" s="110"/>
      <c r="AK32" s="110"/>
      <c r="AL32" s="110"/>
      <c r="AM32" s="110"/>
      <c r="AN32" s="110"/>
      <c r="AO32" s="110"/>
      <c r="AP32" s="110"/>
      <c r="AQ32" s="110"/>
      <c r="AR32" s="110"/>
      <c r="AS32" s="110"/>
      <c r="AT32" s="110"/>
      <c r="AU32" s="110"/>
      <c r="AV32" s="110"/>
      <c r="AW32" s="111"/>
      <c r="AX32" s="105"/>
      <c r="AY32" s="105"/>
      <c r="AZ32" s="105"/>
      <c r="BA32" s="105"/>
      <c r="BB32" s="105"/>
      <c r="BC32" s="106"/>
      <c r="BD32" s="108"/>
      <c r="BE32" s="105"/>
      <c r="BF32" s="105"/>
      <c r="BG32" s="105"/>
      <c r="BH32" s="105"/>
      <c r="BI32" s="105"/>
      <c r="BJ32" s="106"/>
      <c r="BK32" s="13"/>
    </row>
    <row r="33" spans="1:63" ht="15" customHeight="1" x14ac:dyDescent="0.25">
      <c r="A33" s="12"/>
      <c r="B33" s="55"/>
      <c r="C33" s="56"/>
      <c r="D33" s="56"/>
      <c r="E33" s="56"/>
      <c r="F33" s="56"/>
      <c r="G33" s="57"/>
      <c r="H33" s="55"/>
      <c r="I33" s="56"/>
      <c r="J33" s="56"/>
      <c r="K33" s="56"/>
      <c r="L33" s="56"/>
      <c r="M33" s="56"/>
      <c r="N33" s="57"/>
      <c r="O33" s="55"/>
      <c r="P33" s="56"/>
      <c r="Q33" s="56"/>
      <c r="R33" s="56"/>
      <c r="S33" s="100"/>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2"/>
      <c r="AX33" s="103"/>
      <c r="AY33" s="103"/>
      <c r="AZ33" s="103"/>
      <c r="BA33" s="103"/>
      <c r="BB33" s="103"/>
      <c r="BC33" s="104"/>
      <c r="BD33" s="107"/>
      <c r="BE33" s="103"/>
      <c r="BF33" s="103"/>
      <c r="BG33" s="103"/>
      <c r="BH33" s="103"/>
      <c r="BI33" s="103"/>
      <c r="BJ33" s="104"/>
      <c r="BK33" s="13"/>
    </row>
    <row r="34" spans="1:63" ht="15" customHeight="1" x14ac:dyDescent="0.25">
      <c r="A34" s="12"/>
      <c r="B34" s="61"/>
      <c r="C34" s="62"/>
      <c r="D34" s="62"/>
      <c r="E34" s="62"/>
      <c r="F34" s="62"/>
      <c r="G34" s="63"/>
      <c r="H34" s="61"/>
      <c r="I34" s="62"/>
      <c r="J34" s="62"/>
      <c r="K34" s="62"/>
      <c r="L34" s="62"/>
      <c r="M34" s="62"/>
      <c r="N34" s="63"/>
      <c r="O34" s="61"/>
      <c r="P34" s="62"/>
      <c r="Q34" s="62"/>
      <c r="R34" s="62"/>
      <c r="S34" s="109"/>
      <c r="T34" s="110"/>
      <c r="U34" s="110"/>
      <c r="V34" s="110"/>
      <c r="W34" s="110"/>
      <c r="X34" s="110"/>
      <c r="Y34" s="110"/>
      <c r="Z34" s="110"/>
      <c r="AA34" s="110"/>
      <c r="AB34" s="110"/>
      <c r="AC34" s="110"/>
      <c r="AD34" s="110"/>
      <c r="AE34" s="110"/>
      <c r="AF34" s="110"/>
      <c r="AG34" s="110"/>
      <c r="AH34" s="110"/>
      <c r="AI34" s="110"/>
      <c r="AJ34" s="110"/>
      <c r="AK34" s="110"/>
      <c r="AL34" s="110"/>
      <c r="AM34" s="110"/>
      <c r="AN34" s="110"/>
      <c r="AO34" s="110"/>
      <c r="AP34" s="110"/>
      <c r="AQ34" s="110"/>
      <c r="AR34" s="110"/>
      <c r="AS34" s="110"/>
      <c r="AT34" s="110"/>
      <c r="AU34" s="110"/>
      <c r="AV34" s="110"/>
      <c r="AW34" s="111"/>
      <c r="AX34" s="105"/>
      <c r="AY34" s="105"/>
      <c r="AZ34" s="105"/>
      <c r="BA34" s="105"/>
      <c r="BB34" s="105"/>
      <c r="BC34" s="106"/>
      <c r="BD34" s="108"/>
      <c r="BE34" s="105"/>
      <c r="BF34" s="105"/>
      <c r="BG34" s="105"/>
      <c r="BH34" s="105"/>
      <c r="BI34" s="105"/>
      <c r="BJ34" s="106"/>
      <c r="BK34" s="13"/>
    </row>
    <row r="35" spans="1:63" ht="15" customHeight="1" x14ac:dyDescent="0.25">
      <c r="A35" s="12"/>
      <c r="B35" s="55"/>
      <c r="C35" s="56"/>
      <c r="D35" s="56"/>
      <c r="E35" s="56"/>
      <c r="F35" s="56"/>
      <c r="G35" s="57"/>
      <c r="H35" s="55"/>
      <c r="I35" s="56"/>
      <c r="J35" s="56"/>
      <c r="K35" s="56"/>
      <c r="L35" s="56"/>
      <c r="M35" s="56"/>
      <c r="N35" s="57"/>
      <c r="O35" s="55"/>
      <c r="P35" s="56"/>
      <c r="Q35" s="56"/>
      <c r="R35" s="56"/>
      <c r="S35" s="100"/>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2"/>
      <c r="AX35" s="103"/>
      <c r="AY35" s="103"/>
      <c r="AZ35" s="103"/>
      <c r="BA35" s="103"/>
      <c r="BB35" s="103"/>
      <c r="BC35" s="104"/>
      <c r="BD35" s="107"/>
      <c r="BE35" s="103"/>
      <c r="BF35" s="103"/>
      <c r="BG35" s="103"/>
      <c r="BH35" s="103"/>
      <c r="BI35" s="103"/>
      <c r="BJ35" s="104"/>
      <c r="BK35" s="13"/>
    </row>
    <row r="36" spans="1:63" ht="15" customHeight="1" x14ac:dyDescent="0.25">
      <c r="A36" s="12"/>
      <c r="B36" s="61"/>
      <c r="C36" s="62"/>
      <c r="D36" s="62"/>
      <c r="E36" s="62"/>
      <c r="F36" s="62"/>
      <c r="G36" s="63"/>
      <c r="H36" s="61"/>
      <c r="I36" s="62"/>
      <c r="J36" s="62"/>
      <c r="K36" s="62"/>
      <c r="L36" s="62"/>
      <c r="M36" s="62"/>
      <c r="N36" s="63"/>
      <c r="O36" s="61"/>
      <c r="P36" s="62"/>
      <c r="Q36" s="62"/>
      <c r="R36" s="62"/>
      <c r="S36" s="109"/>
      <c r="T36" s="110"/>
      <c r="U36" s="110"/>
      <c r="V36" s="110"/>
      <c r="W36" s="110"/>
      <c r="X36" s="110"/>
      <c r="Y36" s="110"/>
      <c r="Z36" s="110"/>
      <c r="AA36" s="110"/>
      <c r="AB36" s="110"/>
      <c r="AC36" s="110"/>
      <c r="AD36" s="110"/>
      <c r="AE36" s="110"/>
      <c r="AF36" s="110"/>
      <c r="AG36" s="110"/>
      <c r="AH36" s="110"/>
      <c r="AI36" s="110"/>
      <c r="AJ36" s="110"/>
      <c r="AK36" s="110"/>
      <c r="AL36" s="110"/>
      <c r="AM36" s="110"/>
      <c r="AN36" s="110"/>
      <c r="AO36" s="110"/>
      <c r="AP36" s="110"/>
      <c r="AQ36" s="110"/>
      <c r="AR36" s="110"/>
      <c r="AS36" s="110"/>
      <c r="AT36" s="110"/>
      <c r="AU36" s="110"/>
      <c r="AV36" s="110"/>
      <c r="AW36" s="111"/>
      <c r="AX36" s="105"/>
      <c r="AY36" s="105"/>
      <c r="AZ36" s="105"/>
      <c r="BA36" s="105"/>
      <c r="BB36" s="105"/>
      <c r="BC36" s="106"/>
      <c r="BD36" s="108"/>
      <c r="BE36" s="105"/>
      <c r="BF36" s="105"/>
      <c r="BG36" s="105"/>
      <c r="BH36" s="105"/>
      <c r="BI36" s="105"/>
      <c r="BJ36" s="106"/>
      <c r="BK36" s="13"/>
    </row>
    <row r="37" spans="1:63" ht="15" customHeight="1" x14ac:dyDescent="0.25">
      <c r="A37" s="12"/>
      <c r="B37" s="55"/>
      <c r="C37" s="56"/>
      <c r="D37" s="56"/>
      <c r="E37" s="56"/>
      <c r="F37" s="56"/>
      <c r="G37" s="57"/>
      <c r="H37" s="55"/>
      <c r="I37" s="56"/>
      <c r="J37" s="56"/>
      <c r="K37" s="56"/>
      <c r="L37" s="56"/>
      <c r="M37" s="56"/>
      <c r="N37" s="57"/>
      <c r="O37" s="55"/>
      <c r="P37" s="56"/>
      <c r="Q37" s="56"/>
      <c r="R37" s="56"/>
      <c r="S37" s="100"/>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2"/>
      <c r="AX37" s="103"/>
      <c r="AY37" s="103"/>
      <c r="AZ37" s="103"/>
      <c r="BA37" s="103"/>
      <c r="BB37" s="103"/>
      <c r="BC37" s="104"/>
      <c r="BD37" s="107"/>
      <c r="BE37" s="103"/>
      <c r="BF37" s="103"/>
      <c r="BG37" s="103"/>
      <c r="BH37" s="103"/>
      <c r="BI37" s="103"/>
      <c r="BJ37" s="104"/>
      <c r="BK37" s="13"/>
    </row>
    <row r="38" spans="1:63" ht="15" customHeight="1" x14ac:dyDescent="0.25">
      <c r="A38" s="12"/>
      <c r="B38" s="61"/>
      <c r="C38" s="62"/>
      <c r="D38" s="62"/>
      <c r="E38" s="62"/>
      <c r="F38" s="62"/>
      <c r="G38" s="63"/>
      <c r="H38" s="61"/>
      <c r="I38" s="62"/>
      <c r="J38" s="62"/>
      <c r="K38" s="62"/>
      <c r="L38" s="62"/>
      <c r="M38" s="62"/>
      <c r="N38" s="63"/>
      <c r="O38" s="61"/>
      <c r="P38" s="62"/>
      <c r="Q38" s="62"/>
      <c r="R38" s="62"/>
      <c r="S38" s="109"/>
      <c r="T38" s="110"/>
      <c r="U38" s="110"/>
      <c r="V38" s="110"/>
      <c r="W38" s="110"/>
      <c r="X38" s="110"/>
      <c r="Y38" s="110"/>
      <c r="Z38" s="110"/>
      <c r="AA38" s="110"/>
      <c r="AB38" s="110"/>
      <c r="AC38" s="110"/>
      <c r="AD38" s="110"/>
      <c r="AE38" s="110"/>
      <c r="AF38" s="110"/>
      <c r="AG38" s="110"/>
      <c r="AH38" s="110"/>
      <c r="AI38" s="110"/>
      <c r="AJ38" s="110"/>
      <c r="AK38" s="110"/>
      <c r="AL38" s="110"/>
      <c r="AM38" s="110"/>
      <c r="AN38" s="110"/>
      <c r="AO38" s="110"/>
      <c r="AP38" s="110"/>
      <c r="AQ38" s="110"/>
      <c r="AR38" s="110"/>
      <c r="AS38" s="110"/>
      <c r="AT38" s="110"/>
      <c r="AU38" s="110"/>
      <c r="AV38" s="110"/>
      <c r="AW38" s="111"/>
      <c r="AX38" s="105"/>
      <c r="AY38" s="105"/>
      <c r="AZ38" s="105"/>
      <c r="BA38" s="105"/>
      <c r="BB38" s="105"/>
      <c r="BC38" s="106"/>
      <c r="BD38" s="108"/>
      <c r="BE38" s="105"/>
      <c r="BF38" s="105"/>
      <c r="BG38" s="105"/>
      <c r="BH38" s="105"/>
      <c r="BI38" s="105"/>
      <c r="BJ38" s="106"/>
      <c r="BK38" s="13"/>
    </row>
    <row r="39" spans="1:63" ht="15" customHeight="1" x14ac:dyDescent="0.25">
      <c r="A39" s="12"/>
      <c r="B39" s="55"/>
      <c r="C39" s="56"/>
      <c r="D39" s="56"/>
      <c r="E39" s="56"/>
      <c r="F39" s="56"/>
      <c r="G39" s="57"/>
      <c r="H39" s="55"/>
      <c r="I39" s="56"/>
      <c r="J39" s="56"/>
      <c r="K39" s="56"/>
      <c r="L39" s="56"/>
      <c r="M39" s="56"/>
      <c r="N39" s="57"/>
      <c r="O39" s="55"/>
      <c r="P39" s="56"/>
      <c r="Q39" s="56"/>
      <c r="R39" s="56"/>
      <c r="S39" s="100"/>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2"/>
      <c r="AX39" s="103"/>
      <c r="AY39" s="103"/>
      <c r="AZ39" s="103"/>
      <c r="BA39" s="103"/>
      <c r="BB39" s="103"/>
      <c r="BC39" s="104"/>
      <c r="BD39" s="107"/>
      <c r="BE39" s="103"/>
      <c r="BF39" s="103"/>
      <c r="BG39" s="103"/>
      <c r="BH39" s="103"/>
      <c r="BI39" s="103"/>
      <c r="BJ39" s="104"/>
      <c r="BK39" s="13"/>
    </row>
    <row r="40" spans="1:63" ht="15" customHeight="1" x14ac:dyDescent="0.25">
      <c r="A40" s="12"/>
      <c r="B40" s="61"/>
      <c r="C40" s="62"/>
      <c r="D40" s="62"/>
      <c r="E40" s="62"/>
      <c r="F40" s="62"/>
      <c r="G40" s="63"/>
      <c r="H40" s="61"/>
      <c r="I40" s="62"/>
      <c r="J40" s="62"/>
      <c r="K40" s="62"/>
      <c r="L40" s="62"/>
      <c r="M40" s="62"/>
      <c r="N40" s="63"/>
      <c r="O40" s="61"/>
      <c r="P40" s="62"/>
      <c r="Q40" s="62"/>
      <c r="R40" s="62"/>
      <c r="S40" s="109"/>
      <c r="T40" s="110"/>
      <c r="U40" s="110"/>
      <c r="V40" s="110"/>
      <c r="W40" s="110"/>
      <c r="X40" s="110"/>
      <c r="Y40" s="110"/>
      <c r="Z40" s="110"/>
      <c r="AA40" s="110"/>
      <c r="AB40" s="110"/>
      <c r="AC40" s="110"/>
      <c r="AD40" s="110"/>
      <c r="AE40" s="110"/>
      <c r="AF40" s="110"/>
      <c r="AG40" s="110"/>
      <c r="AH40" s="110"/>
      <c r="AI40" s="110"/>
      <c r="AJ40" s="110"/>
      <c r="AK40" s="110"/>
      <c r="AL40" s="110"/>
      <c r="AM40" s="110"/>
      <c r="AN40" s="110"/>
      <c r="AO40" s="110"/>
      <c r="AP40" s="110"/>
      <c r="AQ40" s="110"/>
      <c r="AR40" s="110"/>
      <c r="AS40" s="110"/>
      <c r="AT40" s="110"/>
      <c r="AU40" s="110"/>
      <c r="AV40" s="110"/>
      <c r="AW40" s="111"/>
      <c r="AX40" s="105"/>
      <c r="AY40" s="105"/>
      <c r="AZ40" s="105"/>
      <c r="BA40" s="105"/>
      <c r="BB40" s="105"/>
      <c r="BC40" s="106"/>
      <c r="BD40" s="108"/>
      <c r="BE40" s="105"/>
      <c r="BF40" s="105"/>
      <c r="BG40" s="105"/>
      <c r="BH40" s="105"/>
      <c r="BI40" s="105"/>
      <c r="BJ40" s="106"/>
      <c r="BK40" s="13"/>
    </row>
    <row r="41" spans="1:63" ht="15" customHeight="1" x14ac:dyDescent="0.25">
      <c r="A41" s="12"/>
      <c r="B41" s="55"/>
      <c r="C41" s="56"/>
      <c r="D41" s="56"/>
      <c r="E41" s="56"/>
      <c r="F41" s="56"/>
      <c r="G41" s="57"/>
      <c r="H41" s="55"/>
      <c r="I41" s="56"/>
      <c r="J41" s="56"/>
      <c r="K41" s="56"/>
      <c r="L41" s="56"/>
      <c r="M41" s="56"/>
      <c r="N41" s="57"/>
      <c r="O41" s="55"/>
      <c r="P41" s="56"/>
      <c r="Q41" s="56"/>
      <c r="R41" s="56"/>
      <c r="S41" s="100"/>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2"/>
      <c r="AX41" s="103"/>
      <c r="AY41" s="103"/>
      <c r="AZ41" s="103"/>
      <c r="BA41" s="103"/>
      <c r="BB41" s="103"/>
      <c r="BC41" s="104"/>
      <c r="BD41" s="107"/>
      <c r="BE41" s="103"/>
      <c r="BF41" s="103"/>
      <c r="BG41" s="103"/>
      <c r="BH41" s="103"/>
      <c r="BI41" s="103"/>
      <c r="BJ41" s="104"/>
      <c r="BK41" s="13"/>
    </row>
    <row r="42" spans="1:63" ht="15" customHeight="1" x14ac:dyDescent="0.25">
      <c r="A42" s="12"/>
      <c r="B42" s="61"/>
      <c r="C42" s="62"/>
      <c r="D42" s="62"/>
      <c r="E42" s="62"/>
      <c r="F42" s="62"/>
      <c r="G42" s="63"/>
      <c r="H42" s="61"/>
      <c r="I42" s="62"/>
      <c r="J42" s="62"/>
      <c r="K42" s="62"/>
      <c r="L42" s="62"/>
      <c r="M42" s="62"/>
      <c r="N42" s="63"/>
      <c r="O42" s="61"/>
      <c r="P42" s="62"/>
      <c r="Q42" s="62"/>
      <c r="R42" s="62"/>
      <c r="S42" s="109"/>
      <c r="T42" s="110"/>
      <c r="U42" s="110"/>
      <c r="V42" s="110"/>
      <c r="W42" s="110"/>
      <c r="X42" s="110"/>
      <c r="Y42" s="110"/>
      <c r="Z42" s="110"/>
      <c r="AA42" s="110"/>
      <c r="AB42" s="110"/>
      <c r="AC42" s="110"/>
      <c r="AD42" s="110"/>
      <c r="AE42" s="110"/>
      <c r="AF42" s="110"/>
      <c r="AG42" s="110"/>
      <c r="AH42" s="110"/>
      <c r="AI42" s="110"/>
      <c r="AJ42" s="110"/>
      <c r="AK42" s="110"/>
      <c r="AL42" s="110"/>
      <c r="AM42" s="110"/>
      <c r="AN42" s="110"/>
      <c r="AO42" s="110"/>
      <c r="AP42" s="110"/>
      <c r="AQ42" s="110"/>
      <c r="AR42" s="110"/>
      <c r="AS42" s="110"/>
      <c r="AT42" s="110"/>
      <c r="AU42" s="110"/>
      <c r="AV42" s="110"/>
      <c r="AW42" s="111"/>
      <c r="AX42" s="105"/>
      <c r="AY42" s="105"/>
      <c r="AZ42" s="105"/>
      <c r="BA42" s="105"/>
      <c r="BB42" s="105"/>
      <c r="BC42" s="106"/>
      <c r="BD42" s="108"/>
      <c r="BE42" s="105"/>
      <c r="BF42" s="105"/>
      <c r="BG42" s="105"/>
      <c r="BH42" s="105"/>
      <c r="BI42" s="105"/>
      <c r="BJ42" s="106"/>
      <c r="BK42" s="13"/>
    </row>
    <row r="43" spans="1:63" ht="15" customHeight="1" x14ac:dyDescent="0.25">
      <c r="A43" s="12"/>
      <c r="B43" s="55"/>
      <c r="C43" s="56"/>
      <c r="D43" s="56"/>
      <c r="E43" s="56"/>
      <c r="F43" s="56"/>
      <c r="G43" s="57"/>
      <c r="H43" s="55"/>
      <c r="I43" s="56"/>
      <c r="J43" s="56"/>
      <c r="K43" s="56"/>
      <c r="L43" s="56"/>
      <c r="M43" s="56"/>
      <c r="N43" s="57"/>
      <c r="O43" s="55"/>
      <c r="P43" s="56"/>
      <c r="Q43" s="56"/>
      <c r="R43" s="56"/>
      <c r="S43" s="100"/>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2"/>
      <c r="AX43" s="103"/>
      <c r="AY43" s="103"/>
      <c r="AZ43" s="103"/>
      <c r="BA43" s="103"/>
      <c r="BB43" s="103"/>
      <c r="BC43" s="104"/>
      <c r="BD43" s="107"/>
      <c r="BE43" s="103"/>
      <c r="BF43" s="103"/>
      <c r="BG43" s="103"/>
      <c r="BH43" s="103"/>
      <c r="BI43" s="103"/>
      <c r="BJ43" s="104"/>
      <c r="BK43" s="13"/>
    </row>
    <row r="44" spans="1:63" ht="15" customHeight="1" x14ac:dyDescent="0.25">
      <c r="A44" s="12"/>
      <c r="B44" s="61"/>
      <c r="C44" s="62"/>
      <c r="D44" s="62"/>
      <c r="E44" s="62"/>
      <c r="F44" s="62"/>
      <c r="G44" s="63"/>
      <c r="H44" s="61"/>
      <c r="I44" s="62"/>
      <c r="J44" s="62"/>
      <c r="K44" s="62"/>
      <c r="L44" s="62"/>
      <c r="M44" s="62"/>
      <c r="N44" s="63"/>
      <c r="O44" s="61"/>
      <c r="P44" s="62"/>
      <c r="Q44" s="62"/>
      <c r="R44" s="62"/>
      <c r="S44" s="109"/>
      <c r="T44" s="110"/>
      <c r="U44" s="110"/>
      <c r="V44" s="110"/>
      <c r="W44" s="110"/>
      <c r="X44" s="110"/>
      <c r="Y44" s="110"/>
      <c r="Z44" s="110"/>
      <c r="AA44" s="110"/>
      <c r="AB44" s="110"/>
      <c r="AC44" s="110"/>
      <c r="AD44" s="110"/>
      <c r="AE44" s="110"/>
      <c r="AF44" s="110"/>
      <c r="AG44" s="110"/>
      <c r="AH44" s="110"/>
      <c r="AI44" s="110"/>
      <c r="AJ44" s="110"/>
      <c r="AK44" s="110"/>
      <c r="AL44" s="110"/>
      <c r="AM44" s="110"/>
      <c r="AN44" s="110"/>
      <c r="AO44" s="110"/>
      <c r="AP44" s="110"/>
      <c r="AQ44" s="110"/>
      <c r="AR44" s="110"/>
      <c r="AS44" s="110"/>
      <c r="AT44" s="110"/>
      <c r="AU44" s="110"/>
      <c r="AV44" s="110"/>
      <c r="AW44" s="111"/>
      <c r="AX44" s="105"/>
      <c r="AY44" s="105"/>
      <c r="AZ44" s="105"/>
      <c r="BA44" s="105"/>
      <c r="BB44" s="105"/>
      <c r="BC44" s="106"/>
      <c r="BD44" s="108"/>
      <c r="BE44" s="105"/>
      <c r="BF44" s="105"/>
      <c r="BG44" s="105"/>
      <c r="BH44" s="105"/>
      <c r="BI44" s="105"/>
      <c r="BJ44" s="106"/>
      <c r="BK44" s="13"/>
    </row>
    <row r="45" spans="1:63" ht="15" customHeight="1" x14ac:dyDescent="0.25">
      <c r="A45" s="12"/>
      <c r="B45" s="55"/>
      <c r="C45" s="56"/>
      <c r="D45" s="56"/>
      <c r="E45" s="56"/>
      <c r="F45" s="56"/>
      <c r="G45" s="57"/>
      <c r="H45" s="55"/>
      <c r="I45" s="56"/>
      <c r="J45" s="56"/>
      <c r="K45" s="56"/>
      <c r="L45" s="56"/>
      <c r="M45" s="56"/>
      <c r="N45" s="57"/>
      <c r="O45" s="55"/>
      <c r="P45" s="56"/>
      <c r="Q45" s="56"/>
      <c r="R45" s="56"/>
      <c r="S45" s="100"/>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2"/>
      <c r="AX45" s="103"/>
      <c r="AY45" s="103"/>
      <c r="AZ45" s="103"/>
      <c r="BA45" s="103"/>
      <c r="BB45" s="103"/>
      <c r="BC45" s="104"/>
      <c r="BD45" s="107"/>
      <c r="BE45" s="103"/>
      <c r="BF45" s="103"/>
      <c r="BG45" s="103"/>
      <c r="BH45" s="103"/>
      <c r="BI45" s="103"/>
      <c r="BJ45" s="104"/>
      <c r="BK45" s="13"/>
    </row>
    <row r="46" spans="1:63" ht="15" customHeight="1" x14ac:dyDescent="0.25">
      <c r="A46" s="12"/>
      <c r="B46" s="61"/>
      <c r="C46" s="62"/>
      <c r="D46" s="62"/>
      <c r="E46" s="62"/>
      <c r="F46" s="62"/>
      <c r="G46" s="63"/>
      <c r="H46" s="61"/>
      <c r="I46" s="62"/>
      <c r="J46" s="62"/>
      <c r="K46" s="62"/>
      <c r="L46" s="62"/>
      <c r="M46" s="62"/>
      <c r="N46" s="63"/>
      <c r="O46" s="61"/>
      <c r="P46" s="62"/>
      <c r="Q46" s="62"/>
      <c r="R46" s="62"/>
      <c r="S46" s="109"/>
      <c r="T46" s="110"/>
      <c r="U46" s="110"/>
      <c r="V46" s="110"/>
      <c r="W46" s="110"/>
      <c r="X46" s="110"/>
      <c r="Y46" s="110"/>
      <c r="Z46" s="110"/>
      <c r="AA46" s="110"/>
      <c r="AB46" s="110"/>
      <c r="AC46" s="110"/>
      <c r="AD46" s="110"/>
      <c r="AE46" s="110"/>
      <c r="AF46" s="110"/>
      <c r="AG46" s="110"/>
      <c r="AH46" s="110"/>
      <c r="AI46" s="110"/>
      <c r="AJ46" s="110"/>
      <c r="AK46" s="110"/>
      <c r="AL46" s="110"/>
      <c r="AM46" s="110"/>
      <c r="AN46" s="110"/>
      <c r="AO46" s="110"/>
      <c r="AP46" s="110"/>
      <c r="AQ46" s="110"/>
      <c r="AR46" s="110"/>
      <c r="AS46" s="110"/>
      <c r="AT46" s="110"/>
      <c r="AU46" s="110"/>
      <c r="AV46" s="110"/>
      <c r="AW46" s="111"/>
      <c r="AX46" s="105"/>
      <c r="AY46" s="105"/>
      <c r="AZ46" s="105"/>
      <c r="BA46" s="105"/>
      <c r="BB46" s="105"/>
      <c r="BC46" s="106"/>
      <c r="BD46" s="108"/>
      <c r="BE46" s="105"/>
      <c r="BF46" s="105"/>
      <c r="BG46" s="105"/>
      <c r="BH46" s="105"/>
      <c r="BI46" s="105"/>
      <c r="BJ46" s="106"/>
      <c r="BK46" s="13"/>
    </row>
    <row r="47" spans="1:63" ht="15" customHeight="1" x14ac:dyDescent="0.25">
      <c r="A47" s="12"/>
      <c r="B47" s="55"/>
      <c r="C47" s="56"/>
      <c r="D47" s="56"/>
      <c r="E47" s="56"/>
      <c r="F47" s="56"/>
      <c r="G47" s="57"/>
      <c r="H47" s="55"/>
      <c r="I47" s="56"/>
      <c r="J47" s="56"/>
      <c r="K47" s="56"/>
      <c r="L47" s="56"/>
      <c r="M47" s="56"/>
      <c r="N47" s="57"/>
      <c r="O47" s="55"/>
      <c r="P47" s="56"/>
      <c r="Q47" s="56"/>
      <c r="R47" s="56"/>
      <c r="S47" s="100"/>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2"/>
      <c r="AX47" s="103"/>
      <c r="AY47" s="103"/>
      <c r="AZ47" s="103"/>
      <c r="BA47" s="103"/>
      <c r="BB47" s="103"/>
      <c r="BC47" s="104"/>
      <c r="BD47" s="107"/>
      <c r="BE47" s="103"/>
      <c r="BF47" s="103"/>
      <c r="BG47" s="103"/>
      <c r="BH47" s="103"/>
      <c r="BI47" s="103"/>
      <c r="BJ47" s="104"/>
      <c r="BK47" s="13"/>
    </row>
    <row r="48" spans="1:63" ht="15" customHeight="1" x14ac:dyDescent="0.25">
      <c r="A48" s="12"/>
      <c r="B48" s="61"/>
      <c r="C48" s="62"/>
      <c r="D48" s="62"/>
      <c r="E48" s="62"/>
      <c r="F48" s="62"/>
      <c r="G48" s="63"/>
      <c r="H48" s="61"/>
      <c r="I48" s="62"/>
      <c r="J48" s="62"/>
      <c r="K48" s="62"/>
      <c r="L48" s="62"/>
      <c r="M48" s="62"/>
      <c r="N48" s="63"/>
      <c r="O48" s="61"/>
      <c r="P48" s="62"/>
      <c r="Q48" s="62"/>
      <c r="R48" s="62"/>
      <c r="S48" s="109"/>
      <c r="T48" s="110"/>
      <c r="U48" s="110"/>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0"/>
      <c r="AU48" s="110"/>
      <c r="AV48" s="110"/>
      <c r="AW48" s="111"/>
      <c r="AX48" s="105"/>
      <c r="AY48" s="105"/>
      <c r="AZ48" s="105"/>
      <c r="BA48" s="105"/>
      <c r="BB48" s="105"/>
      <c r="BC48" s="106"/>
      <c r="BD48" s="108"/>
      <c r="BE48" s="105"/>
      <c r="BF48" s="105"/>
      <c r="BG48" s="105"/>
      <c r="BH48" s="105"/>
      <c r="BI48" s="105"/>
      <c r="BJ48" s="106"/>
      <c r="BK48" s="13"/>
    </row>
    <row r="49" spans="1:63" ht="15" customHeight="1" x14ac:dyDescent="0.25">
      <c r="A49" s="12"/>
      <c r="B49" s="55"/>
      <c r="C49" s="56"/>
      <c r="D49" s="56"/>
      <c r="E49" s="56"/>
      <c r="F49" s="56"/>
      <c r="G49" s="57"/>
      <c r="H49" s="55"/>
      <c r="I49" s="56"/>
      <c r="J49" s="56"/>
      <c r="K49" s="56"/>
      <c r="L49" s="56"/>
      <c r="M49" s="56"/>
      <c r="N49" s="57"/>
      <c r="O49" s="55"/>
      <c r="P49" s="56"/>
      <c r="Q49" s="56"/>
      <c r="R49" s="56"/>
      <c r="S49" s="100"/>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2"/>
      <c r="AX49" s="103"/>
      <c r="AY49" s="103"/>
      <c r="AZ49" s="103"/>
      <c r="BA49" s="103"/>
      <c r="BB49" s="103"/>
      <c r="BC49" s="104"/>
      <c r="BD49" s="107"/>
      <c r="BE49" s="103"/>
      <c r="BF49" s="103"/>
      <c r="BG49" s="103"/>
      <c r="BH49" s="103"/>
      <c r="BI49" s="103"/>
      <c r="BJ49" s="104"/>
      <c r="BK49" s="13"/>
    </row>
    <row r="50" spans="1:63" ht="15" customHeight="1" x14ac:dyDescent="0.25">
      <c r="A50" s="12"/>
      <c r="B50" s="61"/>
      <c r="C50" s="62"/>
      <c r="D50" s="62"/>
      <c r="E50" s="62"/>
      <c r="F50" s="62"/>
      <c r="G50" s="63"/>
      <c r="H50" s="61"/>
      <c r="I50" s="62"/>
      <c r="J50" s="62"/>
      <c r="K50" s="62"/>
      <c r="L50" s="62"/>
      <c r="M50" s="62"/>
      <c r="N50" s="63"/>
      <c r="O50" s="61"/>
      <c r="P50" s="62"/>
      <c r="Q50" s="62"/>
      <c r="R50" s="62"/>
      <c r="S50" s="109"/>
      <c r="T50" s="110"/>
      <c r="U50" s="110"/>
      <c r="V50" s="110"/>
      <c r="W50" s="110"/>
      <c r="X50" s="110"/>
      <c r="Y50" s="110"/>
      <c r="Z50" s="110"/>
      <c r="AA50" s="110"/>
      <c r="AB50" s="110"/>
      <c r="AC50" s="110"/>
      <c r="AD50" s="110"/>
      <c r="AE50" s="110"/>
      <c r="AF50" s="110"/>
      <c r="AG50" s="110"/>
      <c r="AH50" s="110"/>
      <c r="AI50" s="110"/>
      <c r="AJ50" s="110"/>
      <c r="AK50" s="110"/>
      <c r="AL50" s="110"/>
      <c r="AM50" s="110"/>
      <c r="AN50" s="110"/>
      <c r="AO50" s="110"/>
      <c r="AP50" s="110"/>
      <c r="AQ50" s="110"/>
      <c r="AR50" s="110"/>
      <c r="AS50" s="110"/>
      <c r="AT50" s="110"/>
      <c r="AU50" s="110"/>
      <c r="AV50" s="110"/>
      <c r="AW50" s="111"/>
      <c r="AX50" s="105"/>
      <c r="AY50" s="105"/>
      <c r="AZ50" s="105"/>
      <c r="BA50" s="105"/>
      <c r="BB50" s="105"/>
      <c r="BC50" s="106"/>
      <c r="BD50" s="108"/>
      <c r="BE50" s="105"/>
      <c r="BF50" s="105"/>
      <c r="BG50" s="105"/>
      <c r="BH50" s="105"/>
      <c r="BI50" s="105"/>
      <c r="BJ50" s="106"/>
      <c r="BK50" s="13"/>
    </row>
    <row r="51" spans="1:63" ht="15" customHeight="1" x14ac:dyDescent="0.25">
      <c r="A51" s="12"/>
      <c r="B51" s="55"/>
      <c r="C51" s="56"/>
      <c r="D51" s="56"/>
      <c r="E51" s="56"/>
      <c r="F51" s="56"/>
      <c r="G51" s="57"/>
      <c r="H51" s="55"/>
      <c r="I51" s="56"/>
      <c r="J51" s="56"/>
      <c r="K51" s="56"/>
      <c r="L51" s="56"/>
      <c r="M51" s="56"/>
      <c r="N51" s="57"/>
      <c r="O51" s="55"/>
      <c r="P51" s="56"/>
      <c r="Q51" s="56"/>
      <c r="R51" s="56"/>
      <c r="S51" s="100"/>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2"/>
      <c r="AX51" s="103"/>
      <c r="AY51" s="103"/>
      <c r="AZ51" s="103"/>
      <c r="BA51" s="103"/>
      <c r="BB51" s="103"/>
      <c r="BC51" s="104"/>
      <c r="BD51" s="107"/>
      <c r="BE51" s="103"/>
      <c r="BF51" s="103"/>
      <c r="BG51" s="103"/>
      <c r="BH51" s="103"/>
      <c r="BI51" s="103"/>
      <c r="BJ51" s="104"/>
      <c r="BK51" s="13"/>
    </row>
    <row r="52" spans="1:63" ht="15" customHeight="1" x14ac:dyDescent="0.25">
      <c r="A52" s="12"/>
      <c r="B52" s="61"/>
      <c r="C52" s="62"/>
      <c r="D52" s="62"/>
      <c r="E52" s="62"/>
      <c r="F52" s="62"/>
      <c r="G52" s="63"/>
      <c r="H52" s="61"/>
      <c r="I52" s="62"/>
      <c r="J52" s="62"/>
      <c r="K52" s="62"/>
      <c r="L52" s="62"/>
      <c r="M52" s="62"/>
      <c r="N52" s="63"/>
      <c r="O52" s="61"/>
      <c r="P52" s="62"/>
      <c r="Q52" s="62"/>
      <c r="R52" s="62"/>
      <c r="S52" s="109"/>
      <c r="T52" s="110"/>
      <c r="U52" s="110"/>
      <c r="V52" s="110"/>
      <c r="W52" s="110"/>
      <c r="X52" s="110"/>
      <c r="Y52" s="110"/>
      <c r="Z52" s="110"/>
      <c r="AA52" s="110"/>
      <c r="AB52" s="110"/>
      <c r="AC52" s="110"/>
      <c r="AD52" s="110"/>
      <c r="AE52" s="110"/>
      <c r="AF52" s="110"/>
      <c r="AG52" s="110"/>
      <c r="AH52" s="110"/>
      <c r="AI52" s="110"/>
      <c r="AJ52" s="110"/>
      <c r="AK52" s="110"/>
      <c r="AL52" s="110"/>
      <c r="AM52" s="110"/>
      <c r="AN52" s="110"/>
      <c r="AO52" s="110"/>
      <c r="AP52" s="110"/>
      <c r="AQ52" s="110"/>
      <c r="AR52" s="110"/>
      <c r="AS52" s="110"/>
      <c r="AT52" s="110"/>
      <c r="AU52" s="110"/>
      <c r="AV52" s="110"/>
      <c r="AW52" s="111"/>
      <c r="AX52" s="105"/>
      <c r="AY52" s="105"/>
      <c r="AZ52" s="105"/>
      <c r="BA52" s="105"/>
      <c r="BB52" s="105"/>
      <c r="BC52" s="106"/>
      <c r="BD52" s="108"/>
      <c r="BE52" s="105"/>
      <c r="BF52" s="105"/>
      <c r="BG52" s="105"/>
      <c r="BH52" s="105"/>
      <c r="BI52" s="105"/>
      <c r="BJ52" s="106"/>
      <c r="BK52" s="13"/>
    </row>
    <row r="53" spans="1:63" ht="15" customHeight="1" x14ac:dyDescent="0.25">
      <c r="A53" s="12"/>
      <c r="B53" s="55"/>
      <c r="C53" s="56"/>
      <c r="D53" s="56"/>
      <c r="E53" s="56"/>
      <c r="F53" s="56"/>
      <c r="G53" s="57"/>
      <c r="H53" s="55"/>
      <c r="I53" s="56"/>
      <c r="J53" s="56"/>
      <c r="K53" s="56"/>
      <c r="L53" s="56"/>
      <c r="M53" s="56"/>
      <c r="N53" s="57"/>
      <c r="O53" s="55"/>
      <c r="P53" s="56"/>
      <c r="Q53" s="56"/>
      <c r="R53" s="56"/>
      <c r="S53" s="100"/>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2"/>
      <c r="AX53" s="103"/>
      <c r="AY53" s="103"/>
      <c r="AZ53" s="103"/>
      <c r="BA53" s="103"/>
      <c r="BB53" s="103"/>
      <c r="BC53" s="104"/>
      <c r="BD53" s="107"/>
      <c r="BE53" s="103"/>
      <c r="BF53" s="103"/>
      <c r="BG53" s="103"/>
      <c r="BH53" s="103"/>
      <c r="BI53" s="103"/>
      <c r="BJ53" s="104"/>
      <c r="BK53" s="13"/>
    </row>
    <row r="54" spans="1:63" ht="15" customHeight="1" x14ac:dyDescent="0.25">
      <c r="A54" s="12"/>
      <c r="B54" s="61"/>
      <c r="C54" s="62"/>
      <c r="D54" s="62"/>
      <c r="E54" s="62"/>
      <c r="F54" s="62"/>
      <c r="G54" s="63"/>
      <c r="H54" s="61"/>
      <c r="I54" s="62"/>
      <c r="J54" s="62"/>
      <c r="K54" s="62"/>
      <c r="L54" s="62"/>
      <c r="M54" s="62"/>
      <c r="N54" s="63"/>
      <c r="O54" s="61"/>
      <c r="P54" s="62"/>
      <c r="Q54" s="62"/>
      <c r="R54" s="62"/>
      <c r="S54" s="109"/>
      <c r="T54" s="110"/>
      <c r="U54" s="110"/>
      <c r="V54" s="110"/>
      <c r="W54" s="110"/>
      <c r="X54" s="110"/>
      <c r="Y54" s="110"/>
      <c r="Z54" s="110"/>
      <c r="AA54" s="110"/>
      <c r="AB54" s="110"/>
      <c r="AC54" s="110"/>
      <c r="AD54" s="110"/>
      <c r="AE54" s="110"/>
      <c r="AF54" s="110"/>
      <c r="AG54" s="110"/>
      <c r="AH54" s="110"/>
      <c r="AI54" s="110"/>
      <c r="AJ54" s="110"/>
      <c r="AK54" s="110"/>
      <c r="AL54" s="110"/>
      <c r="AM54" s="110"/>
      <c r="AN54" s="110"/>
      <c r="AO54" s="110"/>
      <c r="AP54" s="110"/>
      <c r="AQ54" s="110"/>
      <c r="AR54" s="110"/>
      <c r="AS54" s="110"/>
      <c r="AT54" s="110"/>
      <c r="AU54" s="110"/>
      <c r="AV54" s="110"/>
      <c r="AW54" s="111"/>
      <c r="AX54" s="105"/>
      <c r="AY54" s="105"/>
      <c r="AZ54" s="105"/>
      <c r="BA54" s="105"/>
      <c r="BB54" s="105"/>
      <c r="BC54" s="106"/>
      <c r="BD54" s="108"/>
      <c r="BE54" s="105"/>
      <c r="BF54" s="105"/>
      <c r="BG54" s="105"/>
      <c r="BH54" s="105"/>
      <c r="BI54" s="105"/>
      <c r="BJ54" s="106"/>
      <c r="BK54" s="13"/>
    </row>
    <row r="55" spans="1:63" ht="15" customHeight="1" x14ac:dyDescent="0.25">
      <c r="A55" s="9"/>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1"/>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13" t="s">
        <v>0</v>
      </c>
      <c r="B1" s="114"/>
      <c r="C1" s="114"/>
      <c r="D1" s="114"/>
      <c r="E1" s="114"/>
      <c r="F1" s="114"/>
      <c r="G1" s="114"/>
      <c r="H1" s="114"/>
      <c r="I1" s="114"/>
      <c r="J1" s="115"/>
      <c r="K1" s="113" t="s">
        <v>2</v>
      </c>
      <c r="L1" s="114"/>
      <c r="M1" s="114"/>
      <c r="N1" s="114"/>
      <c r="O1" s="114"/>
      <c r="P1" s="114"/>
      <c r="Q1" s="114"/>
      <c r="R1" s="114"/>
      <c r="S1" s="114"/>
      <c r="T1" s="114"/>
      <c r="U1" s="114"/>
      <c r="V1" s="115"/>
      <c r="W1" s="128" t="str">
        <f>IF(表紙!W1="","",表紙!W1)</f>
        <v>基本設計書</v>
      </c>
      <c r="X1" s="129"/>
      <c r="Y1" s="129"/>
      <c r="Z1" s="129"/>
      <c r="AA1" s="129"/>
      <c r="AB1" s="129"/>
      <c r="AC1" s="129"/>
      <c r="AD1" s="129"/>
      <c r="AE1" s="129"/>
      <c r="AF1" s="129"/>
      <c r="AG1" s="129"/>
      <c r="AH1" s="129"/>
      <c r="AI1" s="129"/>
      <c r="AJ1" s="129"/>
      <c r="AK1" s="129"/>
      <c r="AL1" s="129"/>
      <c r="AM1" s="129"/>
      <c r="AN1" s="129"/>
      <c r="AO1" s="130"/>
      <c r="AP1" s="113" t="s">
        <v>3</v>
      </c>
      <c r="AQ1" s="114"/>
      <c r="AR1" s="114"/>
      <c r="AS1" s="115"/>
      <c r="AT1" s="113" t="s">
        <v>4</v>
      </c>
      <c r="AU1" s="114"/>
      <c r="AV1" s="114"/>
      <c r="AW1" s="114"/>
      <c r="AX1" s="115"/>
      <c r="AY1" s="113" t="s">
        <v>5</v>
      </c>
      <c r="AZ1" s="114"/>
      <c r="BA1" s="114"/>
      <c r="BB1" s="115"/>
      <c r="BC1" s="113" t="s">
        <v>6</v>
      </c>
      <c r="BD1" s="114"/>
      <c r="BE1" s="114"/>
      <c r="BF1" s="114"/>
      <c r="BG1" s="115"/>
      <c r="BH1" s="113" t="s">
        <v>7</v>
      </c>
      <c r="BI1" s="114"/>
      <c r="BJ1" s="114"/>
      <c r="BK1" s="115"/>
    </row>
    <row r="2" spans="1:63" ht="15" customHeight="1" x14ac:dyDescent="0.25">
      <c r="A2" s="116" t="str">
        <f>IF(表紙!A2="","",表紙!A2)</f>
        <v>POSサーバー</v>
      </c>
      <c r="B2" s="117"/>
      <c r="C2" s="117"/>
      <c r="D2" s="117"/>
      <c r="E2" s="117"/>
      <c r="F2" s="117"/>
      <c r="G2" s="117"/>
      <c r="H2" s="117"/>
      <c r="I2" s="117"/>
      <c r="J2" s="118"/>
      <c r="K2" s="116" t="str">
        <f>IF(表紙!K2="","",表紙!K2)</f>
        <v>POSサーバー</v>
      </c>
      <c r="L2" s="117"/>
      <c r="M2" s="117"/>
      <c r="N2" s="117"/>
      <c r="O2" s="117"/>
      <c r="P2" s="117"/>
      <c r="Q2" s="117"/>
      <c r="R2" s="117"/>
      <c r="S2" s="117"/>
      <c r="T2" s="117"/>
      <c r="U2" s="117"/>
      <c r="V2" s="118"/>
      <c r="W2" s="131"/>
      <c r="X2" s="132"/>
      <c r="Y2" s="132"/>
      <c r="Z2" s="132"/>
      <c r="AA2" s="132"/>
      <c r="AB2" s="132"/>
      <c r="AC2" s="132"/>
      <c r="AD2" s="132"/>
      <c r="AE2" s="132"/>
      <c r="AF2" s="132"/>
      <c r="AG2" s="132"/>
      <c r="AH2" s="132"/>
      <c r="AI2" s="132"/>
      <c r="AJ2" s="132"/>
      <c r="AK2" s="132"/>
      <c r="AL2" s="132"/>
      <c r="AM2" s="132"/>
      <c r="AN2" s="132"/>
      <c r="AO2" s="133"/>
      <c r="AP2" s="116" t="str">
        <f>IF(表紙!AP2="","",表紙!AP2)</f>
        <v>DuNT</v>
      </c>
      <c r="AQ2" s="117"/>
      <c r="AR2" s="117"/>
      <c r="AS2" s="118"/>
      <c r="AT2" s="122">
        <v>45084</v>
      </c>
      <c r="AU2" s="123"/>
      <c r="AV2" s="123"/>
      <c r="AW2" s="123"/>
      <c r="AX2" s="124"/>
      <c r="AY2" s="116" t="str">
        <f>IF(表紙!AY2="","",表紙!AY2)</f>
        <v>LoiLV</v>
      </c>
      <c r="AZ2" s="117"/>
      <c r="BA2" s="117"/>
      <c r="BB2" s="118"/>
      <c r="BC2" s="122">
        <f>IF(表紙!BC2="","",表紙!BC2)</f>
        <v>45446</v>
      </c>
      <c r="BD2" s="123"/>
      <c r="BE2" s="123"/>
      <c r="BF2" s="123"/>
      <c r="BG2" s="124"/>
      <c r="BH2" s="116">
        <f>IF(表紙!BH2="","",表紙!BH2)</f>
        <v>0.2</v>
      </c>
      <c r="BI2" s="117"/>
      <c r="BJ2" s="117"/>
      <c r="BK2" s="118"/>
    </row>
    <row r="3" spans="1:63" ht="15" customHeight="1" x14ac:dyDescent="0.25">
      <c r="A3" s="119"/>
      <c r="B3" s="120"/>
      <c r="C3" s="120"/>
      <c r="D3" s="120"/>
      <c r="E3" s="120"/>
      <c r="F3" s="120"/>
      <c r="G3" s="120"/>
      <c r="H3" s="120"/>
      <c r="I3" s="120"/>
      <c r="J3" s="121"/>
      <c r="K3" s="119"/>
      <c r="L3" s="120"/>
      <c r="M3" s="120"/>
      <c r="N3" s="120"/>
      <c r="O3" s="120"/>
      <c r="P3" s="120"/>
      <c r="Q3" s="120"/>
      <c r="R3" s="120"/>
      <c r="S3" s="120"/>
      <c r="T3" s="120"/>
      <c r="U3" s="120"/>
      <c r="V3" s="121"/>
      <c r="W3" s="134"/>
      <c r="X3" s="135"/>
      <c r="Y3" s="135"/>
      <c r="Z3" s="135"/>
      <c r="AA3" s="135"/>
      <c r="AB3" s="135"/>
      <c r="AC3" s="135"/>
      <c r="AD3" s="135"/>
      <c r="AE3" s="135"/>
      <c r="AF3" s="135"/>
      <c r="AG3" s="135"/>
      <c r="AH3" s="135"/>
      <c r="AI3" s="135"/>
      <c r="AJ3" s="135"/>
      <c r="AK3" s="135"/>
      <c r="AL3" s="135"/>
      <c r="AM3" s="135"/>
      <c r="AN3" s="135"/>
      <c r="AO3" s="136"/>
      <c r="AP3" s="119"/>
      <c r="AQ3" s="120"/>
      <c r="AR3" s="120"/>
      <c r="AS3" s="121"/>
      <c r="AT3" s="125"/>
      <c r="AU3" s="126"/>
      <c r="AV3" s="126"/>
      <c r="AW3" s="126"/>
      <c r="AX3" s="127"/>
      <c r="AY3" s="119"/>
      <c r="AZ3" s="120"/>
      <c r="BA3" s="120"/>
      <c r="BB3" s="121"/>
      <c r="BC3" s="125"/>
      <c r="BD3" s="126"/>
      <c r="BE3" s="126"/>
      <c r="BF3" s="126"/>
      <c r="BG3" s="127"/>
      <c r="BH3" s="119"/>
      <c r="BI3" s="120"/>
      <c r="BJ3" s="120"/>
      <c r="BK3" s="121"/>
    </row>
    <row r="4" spans="1:63" ht="24.95" customHeight="1" x14ac:dyDescent="0.25">
      <c r="A4" s="113" t="s">
        <v>1</v>
      </c>
      <c r="B4" s="114"/>
      <c r="C4" s="114"/>
      <c r="D4" s="114"/>
      <c r="E4" s="114"/>
      <c r="F4" s="114"/>
      <c r="G4" s="115"/>
      <c r="H4" s="137" t="str">
        <f>IF(表紙!H4="","",表紙!H4)</f>
        <v>39_WAONポイントN倍設定</v>
      </c>
      <c r="I4" s="138"/>
      <c r="J4" s="138"/>
      <c r="K4" s="138"/>
      <c r="L4" s="138"/>
      <c r="M4" s="138"/>
      <c r="N4" s="138"/>
      <c r="O4" s="138"/>
      <c r="P4" s="138"/>
      <c r="Q4" s="138"/>
      <c r="R4" s="138"/>
      <c r="S4" s="138"/>
      <c r="T4" s="139"/>
      <c r="U4" s="113" t="s">
        <v>8</v>
      </c>
      <c r="V4" s="114"/>
      <c r="W4" s="114"/>
      <c r="X4" s="114"/>
      <c r="Y4" s="115"/>
      <c r="Z4" s="137" t="str">
        <f>IF(表紙!Z4="","",表紙!Z4)</f>
        <v>概要設計書</v>
      </c>
      <c r="AA4" s="138"/>
      <c r="AB4" s="138"/>
      <c r="AC4" s="138"/>
      <c r="AD4" s="138"/>
      <c r="AE4" s="138"/>
      <c r="AF4" s="138"/>
      <c r="AG4" s="138"/>
      <c r="AH4" s="138"/>
      <c r="AI4" s="138"/>
      <c r="AJ4" s="138"/>
      <c r="AK4" s="138"/>
      <c r="AL4" s="138"/>
      <c r="AM4" s="138"/>
      <c r="AN4" s="138"/>
      <c r="AO4" s="139"/>
      <c r="AP4" s="137" t="str">
        <f t="array" aca="1" ref="AP4" ca="1">RIGHT(CELL("filename",$A$1),LEN(CELL("filename",$A$1))-FIND("]",CELL("filename",$A$1)))</f>
        <v>業務フロー凡例</v>
      </c>
      <c r="AQ4" s="138"/>
      <c r="AR4" s="138"/>
      <c r="AS4" s="138"/>
      <c r="AT4" s="138"/>
      <c r="AU4" s="138"/>
      <c r="AV4" s="138"/>
      <c r="AW4" s="138"/>
      <c r="AX4" s="138"/>
      <c r="AY4" s="138"/>
      <c r="AZ4" s="138"/>
      <c r="BA4" s="138"/>
      <c r="BB4" s="138"/>
      <c r="BC4" s="138"/>
      <c r="BD4" s="138"/>
      <c r="BE4" s="138"/>
      <c r="BF4" s="138"/>
      <c r="BG4" s="138"/>
      <c r="BH4" s="138"/>
      <c r="BI4" s="138"/>
      <c r="BJ4" s="138"/>
      <c r="BK4" s="139"/>
    </row>
    <row r="5" spans="1:63" ht="5.0999999999999996" customHeight="1" x14ac:dyDescent="0.25">
      <c r="A5" s="24"/>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6"/>
    </row>
    <row r="6" spans="1:63" ht="15" customHeight="1" x14ac:dyDescent="0.25">
      <c r="A6" s="27"/>
      <c r="B6" s="28"/>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30"/>
      <c r="AF6" s="28"/>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30"/>
      <c r="BJ6" s="29"/>
      <c r="BK6" s="31"/>
    </row>
    <row r="7" spans="1:63" ht="15" customHeight="1" x14ac:dyDescent="0.25">
      <c r="A7" s="27"/>
      <c r="B7" s="2" t="s">
        <v>12</v>
      </c>
      <c r="C7" s="1"/>
      <c r="D7" s="1"/>
      <c r="E7" s="1"/>
      <c r="F7" s="1"/>
      <c r="G7" s="1"/>
      <c r="H7" s="1"/>
      <c r="I7" s="1"/>
      <c r="J7" s="1"/>
      <c r="K7" s="1"/>
      <c r="L7" s="1"/>
      <c r="M7" s="1"/>
      <c r="N7" s="1"/>
      <c r="O7" s="1"/>
      <c r="P7" s="1"/>
      <c r="Q7" s="1"/>
      <c r="R7" s="1"/>
      <c r="S7" s="1"/>
      <c r="T7" s="1"/>
      <c r="U7" s="1"/>
      <c r="V7" s="1"/>
      <c r="W7" s="1"/>
      <c r="X7" s="1"/>
      <c r="Y7" s="1"/>
      <c r="Z7" s="1"/>
      <c r="AA7" s="1"/>
      <c r="AB7" s="1"/>
      <c r="AC7" s="1"/>
      <c r="AD7" s="1"/>
      <c r="AE7" s="3"/>
      <c r="AF7" s="2"/>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3"/>
      <c r="BJ7" s="1"/>
      <c r="BK7" s="31"/>
    </row>
    <row r="8" spans="1:63" ht="15" customHeight="1" x14ac:dyDescent="0.25">
      <c r="A8" s="27"/>
      <c r="B8" s="28"/>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30"/>
      <c r="AF8" s="28"/>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30"/>
      <c r="BJ8" s="29"/>
      <c r="BK8" s="31"/>
    </row>
    <row r="9" spans="1:63" ht="15" customHeight="1" x14ac:dyDescent="0.25">
      <c r="A9" s="27"/>
      <c r="B9" s="28"/>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30"/>
      <c r="AF9" s="28"/>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30"/>
      <c r="BJ9" s="29"/>
      <c r="BK9" s="31"/>
    </row>
    <row r="10" spans="1:63" ht="15" customHeight="1" x14ac:dyDescent="0.25">
      <c r="A10" s="27"/>
      <c r="B10" s="28"/>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30"/>
      <c r="AF10" s="28"/>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30"/>
      <c r="BJ10" s="29"/>
      <c r="BK10" s="31"/>
    </row>
    <row r="11" spans="1:63" ht="15" customHeight="1" x14ac:dyDescent="0.25">
      <c r="A11" s="27"/>
      <c r="B11" s="28"/>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30"/>
      <c r="AF11" s="28"/>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30"/>
      <c r="BJ11" s="29"/>
      <c r="BK11" s="31"/>
    </row>
    <row r="12" spans="1:63" ht="15" customHeight="1" x14ac:dyDescent="0.25">
      <c r="A12" s="27"/>
      <c r="B12" s="28"/>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30"/>
      <c r="AF12" s="28"/>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30"/>
      <c r="BJ12" s="29"/>
      <c r="BK12" s="31"/>
    </row>
    <row r="13" spans="1:63" ht="15" customHeight="1" x14ac:dyDescent="0.25">
      <c r="A13" s="27"/>
      <c r="B13" s="28"/>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30"/>
      <c r="AF13" s="28"/>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30"/>
      <c r="BJ13" s="29"/>
      <c r="BK13" s="31"/>
    </row>
    <row r="14" spans="1:63" ht="15" customHeight="1" x14ac:dyDescent="0.25">
      <c r="A14" s="27"/>
      <c r="B14" s="28"/>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30"/>
      <c r="AF14" s="28"/>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30"/>
      <c r="BJ14" s="29"/>
      <c r="BK14" s="31"/>
    </row>
    <row r="15" spans="1:63" ht="15" customHeight="1" x14ac:dyDescent="0.25">
      <c r="A15" s="27"/>
      <c r="B15" s="28"/>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30"/>
      <c r="AF15" s="28"/>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30"/>
      <c r="BJ15" s="29"/>
      <c r="BK15" s="31"/>
    </row>
    <row r="16" spans="1:63" ht="15" customHeight="1" x14ac:dyDescent="0.25">
      <c r="A16" s="27"/>
      <c r="B16" s="28"/>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30"/>
      <c r="AF16" s="28"/>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30"/>
      <c r="BJ16" s="29"/>
      <c r="BK16" s="31"/>
    </row>
    <row r="17" spans="1:63" ht="15" customHeight="1" x14ac:dyDescent="0.25">
      <c r="A17" s="27"/>
      <c r="B17" s="28"/>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30"/>
      <c r="AF17" s="28"/>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30"/>
      <c r="BJ17" s="29"/>
      <c r="BK17" s="31"/>
    </row>
    <row r="18" spans="1:63" ht="15" customHeight="1" x14ac:dyDescent="0.25">
      <c r="A18" s="27"/>
      <c r="B18" s="28"/>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30"/>
      <c r="AF18" s="28"/>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30"/>
      <c r="BJ18" s="29"/>
      <c r="BK18" s="31"/>
    </row>
    <row r="19" spans="1:63" ht="15" customHeight="1" x14ac:dyDescent="0.25">
      <c r="A19" s="27"/>
      <c r="B19" s="28"/>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30"/>
      <c r="AF19" s="28"/>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30"/>
      <c r="BJ19" s="29"/>
      <c r="BK19" s="31"/>
    </row>
    <row r="20" spans="1:63" ht="15" customHeight="1" x14ac:dyDescent="0.25">
      <c r="A20" s="27"/>
      <c r="B20" s="28"/>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30"/>
      <c r="AF20" s="28"/>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30"/>
      <c r="BJ20" s="29"/>
      <c r="BK20" s="31"/>
    </row>
    <row r="21" spans="1:63" ht="15" customHeight="1" x14ac:dyDescent="0.25">
      <c r="A21" s="27"/>
      <c r="B21" s="28"/>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30"/>
      <c r="AF21" s="28"/>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30"/>
      <c r="BJ21" s="29"/>
      <c r="BK21" s="31"/>
    </row>
    <row r="22" spans="1:63" ht="15" customHeight="1" x14ac:dyDescent="0.25">
      <c r="A22" s="27"/>
      <c r="B22" s="2" t="s">
        <v>13</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3"/>
      <c r="AF22" s="2"/>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3"/>
      <c r="BJ22" s="1"/>
      <c r="BK22" s="31"/>
    </row>
    <row r="23" spans="1:63" ht="15" customHeight="1" x14ac:dyDescent="0.25">
      <c r="A23" s="27"/>
      <c r="B23" s="28"/>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30"/>
      <c r="AF23" s="28"/>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30"/>
      <c r="BJ23" s="29"/>
      <c r="BK23" s="31"/>
    </row>
    <row r="24" spans="1:63" ht="15" customHeight="1" x14ac:dyDescent="0.25">
      <c r="A24" s="27"/>
      <c r="B24" s="28"/>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30"/>
      <c r="AF24" s="28"/>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30"/>
      <c r="BJ24" s="29"/>
      <c r="BK24" s="31"/>
    </row>
    <row r="25" spans="1:63" ht="15" customHeight="1" x14ac:dyDescent="0.25">
      <c r="A25" s="27"/>
      <c r="B25" s="28"/>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30"/>
      <c r="AF25" s="28"/>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30"/>
      <c r="BJ25" s="29"/>
      <c r="BK25" s="31"/>
    </row>
    <row r="26" spans="1:63" ht="15" customHeight="1" x14ac:dyDescent="0.25">
      <c r="A26" s="27"/>
      <c r="B26" s="28"/>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30"/>
      <c r="AF26" s="28"/>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30"/>
      <c r="BJ26" s="29"/>
      <c r="BK26" s="31"/>
    </row>
    <row r="27" spans="1:63" ht="15" customHeight="1" x14ac:dyDescent="0.25">
      <c r="A27" s="27"/>
      <c r="B27" s="28"/>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30"/>
      <c r="AF27" s="28"/>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30"/>
      <c r="BJ27" s="29"/>
      <c r="BK27" s="31"/>
    </row>
    <row r="28" spans="1:63" ht="15" customHeight="1" x14ac:dyDescent="0.25">
      <c r="A28" s="27"/>
      <c r="B28" s="28"/>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30"/>
      <c r="AF28" s="28"/>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30"/>
      <c r="BJ28" s="29"/>
      <c r="BK28" s="31"/>
    </row>
    <row r="29" spans="1:63" ht="15" customHeight="1" x14ac:dyDescent="0.25">
      <c r="A29" s="27"/>
      <c r="B29" s="28"/>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30"/>
      <c r="AF29" s="28"/>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30"/>
      <c r="BJ29" s="29"/>
      <c r="BK29" s="31"/>
    </row>
    <row r="30" spans="1:63" ht="15" customHeight="1" x14ac:dyDescent="0.25">
      <c r="A30" s="27"/>
      <c r="B30" s="28"/>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30"/>
      <c r="AF30" s="28"/>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30"/>
      <c r="BJ30" s="29"/>
      <c r="BK30" s="31"/>
    </row>
    <row r="31" spans="1:63" ht="15" customHeight="1" x14ac:dyDescent="0.25">
      <c r="A31" s="27"/>
      <c r="B31" s="28"/>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30"/>
      <c r="AF31" s="28"/>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30"/>
      <c r="BJ31" s="29"/>
      <c r="BK31" s="31"/>
    </row>
    <row r="32" spans="1:63" ht="15" customHeight="1" x14ac:dyDescent="0.25">
      <c r="A32" s="27"/>
      <c r="B32" s="28"/>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30"/>
      <c r="AF32" s="28"/>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30"/>
      <c r="BJ32" s="29"/>
      <c r="BK32" s="31"/>
    </row>
    <row r="33" spans="1:63" ht="15" customHeight="1" x14ac:dyDescent="0.25">
      <c r="A33" s="27"/>
      <c r="B33" s="28"/>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30"/>
      <c r="AF33" s="28"/>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30"/>
      <c r="BJ33" s="29"/>
      <c r="BK33" s="31"/>
    </row>
    <row r="34" spans="1:63" ht="15" customHeight="1" x14ac:dyDescent="0.25">
      <c r="A34" s="27"/>
      <c r="B34" s="28"/>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30"/>
      <c r="AF34" s="28"/>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30"/>
      <c r="BJ34" s="29"/>
      <c r="BK34" s="31"/>
    </row>
    <row r="35" spans="1:63" ht="15" customHeight="1" x14ac:dyDescent="0.25">
      <c r="A35" s="27"/>
      <c r="B35" s="28"/>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30"/>
      <c r="AF35" s="28"/>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30"/>
      <c r="BJ35" s="29"/>
      <c r="BK35" s="31"/>
    </row>
    <row r="36" spans="1:63" ht="15" customHeight="1" x14ac:dyDescent="0.25">
      <c r="A36" s="27"/>
      <c r="B36" s="28"/>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30"/>
      <c r="AF36" s="28"/>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30"/>
      <c r="BJ36" s="29"/>
      <c r="BK36" s="31"/>
    </row>
    <row r="37" spans="1:63" ht="15" customHeight="1" x14ac:dyDescent="0.25">
      <c r="A37" s="27"/>
      <c r="B37" s="28"/>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8"/>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30"/>
      <c r="BJ37" s="29"/>
      <c r="BK37" s="31"/>
    </row>
    <row r="38" spans="1:63" ht="15" customHeight="1" x14ac:dyDescent="0.25">
      <c r="A38" s="27"/>
      <c r="B38" s="28"/>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8"/>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30"/>
      <c r="BJ38" s="29"/>
      <c r="BK38" s="31"/>
    </row>
    <row r="39" spans="1:63" ht="15" customHeight="1" x14ac:dyDescent="0.25">
      <c r="A39" s="27"/>
      <c r="B39" s="28"/>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8"/>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30"/>
      <c r="BJ39" s="29"/>
      <c r="BK39" s="31"/>
    </row>
    <row r="40" spans="1:63" ht="15" customHeight="1" x14ac:dyDescent="0.25">
      <c r="A40" s="27"/>
      <c r="B40" s="28"/>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8"/>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30"/>
      <c r="BJ40" s="29"/>
      <c r="BK40" s="31"/>
    </row>
    <row r="41" spans="1:63" ht="15" customHeight="1" x14ac:dyDescent="0.25">
      <c r="A41" s="27"/>
      <c r="B41" s="28"/>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8"/>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30"/>
      <c r="BJ41" s="29"/>
      <c r="BK41" s="31"/>
    </row>
    <row r="42" spans="1:63" ht="15" customHeight="1" x14ac:dyDescent="0.25">
      <c r="A42" s="27"/>
      <c r="B42" s="2" t="s">
        <v>14</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3"/>
      <c r="AF42" s="2"/>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3"/>
      <c r="BJ42" s="1"/>
      <c r="BK42" s="31"/>
    </row>
    <row r="43" spans="1:63" ht="15" customHeight="1" x14ac:dyDescent="0.25">
      <c r="A43" s="27"/>
      <c r="B43" s="28"/>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30"/>
      <c r="AF43" s="28"/>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30"/>
      <c r="BJ43" s="29"/>
      <c r="BK43" s="31"/>
    </row>
    <row r="44" spans="1:63" ht="15" customHeight="1" x14ac:dyDescent="0.25">
      <c r="A44" s="27"/>
      <c r="B44" s="28"/>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30"/>
      <c r="AF44" s="28"/>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30"/>
      <c r="BJ44" s="29"/>
      <c r="BK44" s="31"/>
    </row>
    <row r="45" spans="1:63" ht="15" customHeight="1" x14ac:dyDescent="0.25">
      <c r="A45" s="27"/>
      <c r="B45" s="28"/>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30"/>
      <c r="AF45" s="28"/>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30"/>
      <c r="BJ45" s="29"/>
      <c r="BK45" s="31"/>
    </row>
    <row r="46" spans="1:63" ht="15" customHeight="1" x14ac:dyDescent="0.25">
      <c r="A46" s="27"/>
      <c r="B46" s="28"/>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30"/>
      <c r="AF46" s="28"/>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30"/>
      <c r="BJ46" s="29"/>
      <c r="BK46" s="31"/>
    </row>
    <row r="47" spans="1:63" ht="15" customHeight="1" x14ac:dyDescent="0.25">
      <c r="A47" s="27"/>
      <c r="B47" s="28"/>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30"/>
      <c r="AF47" s="28"/>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30"/>
      <c r="BJ47" s="29"/>
      <c r="BK47" s="31"/>
    </row>
    <row r="48" spans="1:63" ht="15" customHeight="1" x14ac:dyDescent="0.25">
      <c r="A48" s="27"/>
      <c r="B48" s="28"/>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30"/>
      <c r="AF48" s="28"/>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30"/>
      <c r="BJ48" s="29"/>
      <c r="BK48" s="31"/>
    </row>
    <row r="49" spans="1:63" ht="15" customHeight="1" x14ac:dyDescent="0.25">
      <c r="A49" s="27"/>
      <c r="B49" s="28"/>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8"/>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30"/>
      <c r="BJ49" s="29"/>
      <c r="BK49" s="31"/>
    </row>
    <row r="50" spans="1:63" ht="15" customHeight="1" x14ac:dyDescent="0.25">
      <c r="A50" s="27"/>
      <c r="B50" s="28"/>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8"/>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30"/>
      <c r="BJ50" s="29"/>
      <c r="BK50" s="31"/>
    </row>
    <row r="51" spans="1:63" ht="15" customHeight="1" x14ac:dyDescent="0.25">
      <c r="A51" s="27"/>
      <c r="B51" s="28"/>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8"/>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30"/>
      <c r="BJ51" s="29"/>
      <c r="BK51" s="31"/>
    </row>
    <row r="52" spans="1:63" ht="15" customHeight="1" x14ac:dyDescent="0.25">
      <c r="A52" s="27"/>
      <c r="B52" s="28"/>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8"/>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30"/>
      <c r="BJ52" s="29"/>
      <c r="BK52" s="31"/>
    </row>
    <row r="53" spans="1:63" ht="15" customHeight="1" x14ac:dyDescent="0.25">
      <c r="A53" s="27"/>
      <c r="B53" s="28"/>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8"/>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30"/>
      <c r="BJ53" s="29"/>
      <c r="BK53" s="31"/>
    </row>
    <row r="54" spans="1:63" ht="15" customHeight="1" x14ac:dyDescent="0.25">
      <c r="A54" s="27"/>
      <c r="B54" s="28"/>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8"/>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30"/>
      <c r="BJ54" s="29"/>
      <c r="BK54" s="31"/>
    </row>
    <row r="55" spans="1:63" ht="15" customHeight="1" x14ac:dyDescent="0.25">
      <c r="A55" s="27"/>
      <c r="B55" s="28"/>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8"/>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30"/>
      <c r="BJ55" s="29"/>
      <c r="BK55" s="31"/>
    </row>
    <row r="56" spans="1:63" ht="15" customHeight="1" x14ac:dyDescent="0.25">
      <c r="A56" s="27"/>
      <c r="B56" s="28"/>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8"/>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30"/>
      <c r="BJ56" s="29"/>
      <c r="BK56" s="31"/>
    </row>
    <row r="57" spans="1:63" ht="15" customHeight="1" x14ac:dyDescent="0.25">
      <c r="A57" s="27"/>
      <c r="B57" s="28"/>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8"/>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30"/>
      <c r="BJ57" s="29"/>
      <c r="BK57" s="31"/>
    </row>
    <row r="58" spans="1:63" ht="15" customHeight="1" x14ac:dyDescent="0.25">
      <c r="A58" s="27"/>
      <c r="B58" s="28"/>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8"/>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30"/>
      <c r="BJ58" s="29"/>
      <c r="BK58" s="31"/>
    </row>
    <row r="59" spans="1:63" ht="15" customHeight="1" x14ac:dyDescent="0.25">
      <c r="A59" s="27"/>
      <c r="B59" s="28"/>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8"/>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30"/>
      <c r="BJ59" s="29"/>
      <c r="BK59" s="31"/>
    </row>
    <row r="60" spans="1:63" ht="15" customHeight="1" x14ac:dyDescent="0.25">
      <c r="A60" s="27"/>
      <c r="B60" s="28"/>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8"/>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30"/>
      <c r="BJ60" s="29"/>
      <c r="BK60" s="31"/>
    </row>
    <row r="61" spans="1:63" ht="15" customHeight="1" x14ac:dyDescent="0.25">
      <c r="A61" s="27"/>
      <c r="B61" s="28"/>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8"/>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30"/>
      <c r="BJ61" s="29"/>
      <c r="BK61" s="31"/>
    </row>
    <row r="62" spans="1:63" ht="15" customHeight="1" x14ac:dyDescent="0.25">
      <c r="A62" s="32"/>
      <c r="B62" s="33"/>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4"/>
      <c r="AF62" s="33"/>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4"/>
      <c r="BJ62" s="32"/>
      <c r="BK62" s="3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8" customWidth="1"/>
    <col min="66" max="16384" width="2.77734375" style="8"/>
  </cols>
  <sheetData>
    <row r="1" spans="1:65" ht="24.95" customHeight="1" x14ac:dyDescent="0.25">
      <c r="A1" s="70" t="s">
        <v>23</v>
      </c>
      <c r="B1" s="71"/>
      <c r="C1" s="71"/>
      <c r="D1" s="71"/>
      <c r="E1" s="71"/>
      <c r="F1" s="71"/>
      <c r="G1" s="71"/>
      <c r="H1" s="71"/>
      <c r="I1" s="71"/>
      <c r="J1" s="72"/>
      <c r="K1" s="70" t="s">
        <v>24</v>
      </c>
      <c r="L1" s="71"/>
      <c r="M1" s="71"/>
      <c r="N1" s="71"/>
      <c r="O1" s="71"/>
      <c r="P1" s="71"/>
      <c r="Q1" s="71"/>
      <c r="R1" s="71"/>
      <c r="S1" s="71"/>
      <c r="T1" s="71"/>
      <c r="U1" s="71"/>
      <c r="V1" s="72"/>
      <c r="W1" s="91" t="str">
        <f>IF(表紙!W1="","",表紙!W1)</f>
        <v>基本設計書</v>
      </c>
      <c r="X1" s="92"/>
      <c r="Y1" s="92"/>
      <c r="Z1" s="92"/>
      <c r="AA1" s="92"/>
      <c r="AB1" s="92"/>
      <c r="AC1" s="92"/>
      <c r="AD1" s="92"/>
      <c r="AE1" s="92"/>
      <c r="AF1" s="92"/>
      <c r="AG1" s="92"/>
      <c r="AH1" s="92"/>
      <c r="AI1" s="92"/>
      <c r="AJ1" s="92"/>
      <c r="AK1" s="92"/>
      <c r="AL1" s="92"/>
      <c r="AM1" s="92"/>
      <c r="AN1" s="92"/>
      <c r="AO1" s="93"/>
      <c r="AP1" s="70" t="s">
        <v>26</v>
      </c>
      <c r="AQ1" s="71"/>
      <c r="AR1" s="71"/>
      <c r="AS1" s="72"/>
      <c r="AT1" s="70" t="s">
        <v>27</v>
      </c>
      <c r="AU1" s="71"/>
      <c r="AV1" s="71"/>
      <c r="AW1" s="71"/>
      <c r="AX1" s="72"/>
      <c r="AY1" s="70" t="s">
        <v>28</v>
      </c>
      <c r="AZ1" s="71"/>
      <c r="BA1" s="71"/>
      <c r="BB1" s="72"/>
      <c r="BC1" s="70" t="s">
        <v>29</v>
      </c>
      <c r="BD1" s="71"/>
      <c r="BE1" s="71"/>
      <c r="BF1" s="71"/>
      <c r="BG1" s="72"/>
      <c r="BH1" s="70" t="s">
        <v>30</v>
      </c>
      <c r="BI1" s="71"/>
      <c r="BJ1" s="71"/>
      <c r="BK1" s="72"/>
    </row>
    <row r="2" spans="1:65" ht="15" customHeight="1" x14ac:dyDescent="0.25">
      <c r="A2" s="55" t="str">
        <f>IF(表紙!A2="","",表紙!A2)</f>
        <v>POSサーバー</v>
      </c>
      <c r="B2" s="56"/>
      <c r="C2" s="56"/>
      <c r="D2" s="56"/>
      <c r="E2" s="56"/>
      <c r="F2" s="56"/>
      <c r="G2" s="56"/>
      <c r="H2" s="56"/>
      <c r="I2" s="56"/>
      <c r="J2" s="57"/>
      <c r="K2" s="55" t="str">
        <f>IF(表紙!K2="","",表紙!K2)</f>
        <v>POSサーバー</v>
      </c>
      <c r="L2" s="56"/>
      <c r="M2" s="56"/>
      <c r="N2" s="56"/>
      <c r="O2" s="56"/>
      <c r="P2" s="56"/>
      <c r="Q2" s="56"/>
      <c r="R2" s="56"/>
      <c r="S2" s="56"/>
      <c r="T2" s="56"/>
      <c r="U2" s="56"/>
      <c r="V2" s="57"/>
      <c r="W2" s="94"/>
      <c r="X2" s="95"/>
      <c r="Y2" s="95"/>
      <c r="Z2" s="95"/>
      <c r="AA2" s="95"/>
      <c r="AB2" s="95"/>
      <c r="AC2" s="95"/>
      <c r="AD2" s="95"/>
      <c r="AE2" s="95"/>
      <c r="AF2" s="95"/>
      <c r="AG2" s="95"/>
      <c r="AH2" s="95"/>
      <c r="AI2" s="95"/>
      <c r="AJ2" s="95"/>
      <c r="AK2" s="95"/>
      <c r="AL2" s="95"/>
      <c r="AM2" s="95"/>
      <c r="AN2" s="95"/>
      <c r="AO2" s="96"/>
      <c r="AP2" s="55" t="str">
        <f>IF(表紙!AP2="","",表紙!AP2)</f>
        <v>DuNT</v>
      </c>
      <c r="AQ2" s="56"/>
      <c r="AR2" s="56"/>
      <c r="AS2" s="57"/>
      <c r="AT2" s="84">
        <f>IF(表紙!AT2="","",表紙!AT2)</f>
        <v>45435</v>
      </c>
      <c r="AU2" s="85"/>
      <c r="AV2" s="85"/>
      <c r="AW2" s="85"/>
      <c r="AX2" s="86"/>
      <c r="AY2" s="55" t="str">
        <f>IF(表紙!AY2="","",表紙!AY2)</f>
        <v>LoiLV</v>
      </c>
      <c r="AZ2" s="56"/>
      <c r="BA2" s="56"/>
      <c r="BB2" s="57"/>
      <c r="BC2" s="84">
        <f>IF(表紙!BC2="","",表紙!BC2)</f>
        <v>45446</v>
      </c>
      <c r="BD2" s="85"/>
      <c r="BE2" s="85"/>
      <c r="BF2" s="85"/>
      <c r="BG2" s="86"/>
      <c r="BH2" s="55">
        <f>IF(表紙!BH2="","",表紙!BH2)</f>
        <v>0.2</v>
      </c>
      <c r="BI2" s="56"/>
      <c r="BJ2" s="56"/>
      <c r="BK2" s="57"/>
    </row>
    <row r="3" spans="1:65" ht="15" customHeight="1" x14ac:dyDescent="0.25">
      <c r="A3" s="61"/>
      <c r="B3" s="62"/>
      <c r="C3" s="62"/>
      <c r="D3" s="62"/>
      <c r="E3" s="62"/>
      <c r="F3" s="62"/>
      <c r="G3" s="62"/>
      <c r="H3" s="62"/>
      <c r="I3" s="62"/>
      <c r="J3" s="63"/>
      <c r="K3" s="61"/>
      <c r="L3" s="62"/>
      <c r="M3" s="62"/>
      <c r="N3" s="62"/>
      <c r="O3" s="62"/>
      <c r="P3" s="62"/>
      <c r="Q3" s="62"/>
      <c r="R3" s="62"/>
      <c r="S3" s="62"/>
      <c r="T3" s="62"/>
      <c r="U3" s="62"/>
      <c r="V3" s="63"/>
      <c r="W3" s="97"/>
      <c r="X3" s="98"/>
      <c r="Y3" s="98"/>
      <c r="Z3" s="98"/>
      <c r="AA3" s="98"/>
      <c r="AB3" s="98"/>
      <c r="AC3" s="98"/>
      <c r="AD3" s="98"/>
      <c r="AE3" s="98"/>
      <c r="AF3" s="98"/>
      <c r="AG3" s="98"/>
      <c r="AH3" s="98"/>
      <c r="AI3" s="98"/>
      <c r="AJ3" s="98"/>
      <c r="AK3" s="98"/>
      <c r="AL3" s="98"/>
      <c r="AM3" s="98"/>
      <c r="AN3" s="98"/>
      <c r="AO3" s="99"/>
      <c r="AP3" s="61"/>
      <c r="AQ3" s="62"/>
      <c r="AR3" s="62"/>
      <c r="AS3" s="63"/>
      <c r="AT3" s="87"/>
      <c r="AU3" s="88"/>
      <c r="AV3" s="88"/>
      <c r="AW3" s="88"/>
      <c r="AX3" s="89"/>
      <c r="AY3" s="61"/>
      <c r="AZ3" s="62"/>
      <c r="BA3" s="62"/>
      <c r="BB3" s="63"/>
      <c r="BC3" s="87"/>
      <c r="BD3" s="88"/>
      <c r="BE3" s="88"/>
      <c r="BF3" s="88"/>
      <c r="BG3" s="89"/>
      <c r="BH3" s="61"/>
      <c r="BI3" s="62"/>
      <c r="BJ3" s="62"/>
      <c r="BK3" s="63"/>
    </row>
    <row r="4" spans="1:65" ht="24.95" customHeight="1" x14ac:dyDescent="0.25">
      <c r="A4" s="70" t="s">
        <v>32</v>
      </c>
      <c r="B4" s="71"/>
      <c r="C4" s="71"/>
      <c r="D4" s="71"/>
      <c r="E4" s="71"/>
      <c r="F4" s="71"/>
      <c r="G4" s="72"/>
      <c r="H4" s="75" t="str">
        <f>IF(表紙!H4="","",表紙!H4)</f>
        <v>39_WAONポイントN倍設定</v>
      </c>
      <c r="I4" s="76"/>
      <c r="J4" s="76"/>
      <c r="K4" s="76"/>
      <c r="L4" s="76"/>
      <c r="M4" s="76"/>
      <c r="N4" s="76"/>
      <c r="O4" s="76"/>
      <c r="P4" s="76"/>
      <c r="Q4" s="76"/>
      <c r="R4" s="76"/>
      <c r="S4" s="76"/>
      <c r="T4" s="77"/>
      <c r="U4" s="70" t="s">
        <v>33</v>
      </c>
      <c r="V4" s="71"/>
      <c r="W4" s="71"/>
      <c r="X4" s="71"/>
      <c r="Y4" s="72"/>
      <c r="Z4" s="75" t="str">
        <f>IF(表紙!Z4="","",表紙!Z4)</f>
        <v>概要設計書</v>
      </c>
      <c r="AA4" s="76"/>
      <c r="AB4" s="76"/>
      <c r="AC4" s="76"/>
      <c r="AD4" s="76"/>
      <c r="AE4" s="76"/>
      <c r="AF4" s="76"/>
      <c r="AG4" s="76"/>
      <c r="AH4" s="76"/>
      <c r="AI4" s="76"/>
      <c r="AJ4" s="76"/>
      <c r="AK4" s="76"/>
      <c r="AL4" s="76"/>
      <c r="AM4" s="76"/>
      <c r="AN4" s="76"/>
      <c r="AO4" s="77"/>
      <c r="AP4" s="75" t="str">
        <f t="array" aca="1" ref="AP4" ca="1">RIGHT(CELL("filename",$A$1),LEN(CELL("filename",$A$1))-FIND("]",CELL("filename",$A$1)))</f>
        <v>機能概要説明</v>
      </c>
      <c r="AQ4" s="76"/>
      <c r="AR4" s="76"/>
      <c r="AS4" s="76"/>
      <c r="AT4" s="76"/>
      <c r="AU4" s="76"/>
      <c r="AV4" s="76"/>
      <c r="AW4" s="76"/>
      <c r="AX4" s="76"/>
      <c r="AY4" s="76"/>
      <c r="AZ4" s="76"/>
      <c r="BA4" s="76"/>
      <c r="BB4" s="76"/>
      <c r="BC4" s="76"/>
      <c r="BD4" s="76"/>
      <c r="BE4" s="76"/>
      <c r="BF4" s="76"/>
      <c r="BG4" s="76"/>
      <c r="BH4" s="76"/>
      <c r="BI4" s="76"/>
      <c r="BJ4" s="76"/>
      <c r="BK4" s="77"/>
    </row>
    <row r="5" spans="1:65" ht="5.0999999999999996" customHeight="1" x14ac:dyDescent="0.25">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1"/>
    </row>
    <row r="6" spans="1:65" ht="15" customHeight="1" x14ac:dyDescent="0.25">
      <c r="A6" s="12"/>
      <c r="BK6" s="13"/>
    </row>
    <row r="7" spans="1:65" ht="15" customHeight="1" x14ac:dyDescent="0.25">
      <c r="A7" s="12"/>
      <c r="K7" s="36"/>
      <c r="BK7" s="13"/>
      <c r="BM7" s="4">
        <f t="shared" ref="BM7:BM11" si="0">IF(BM6=50,1,BM6+1)</f>
        <v>1</v>
      </c>
    </row>
    <row r="8" spans="1:65" ht="15" customHeight="1" x14ac:dyDescent="0.25">
      <c r="A8" s="12"/>
      <c r="B8" s="8" t="s">
        <v>21</v>
      </c>
      <c r="K8" s="36"/>
      <c r="BK8" s="13"/>
      <c r="BM8" s="4">
        <f t="shared" si="0"/>
        <v>2</v>
      </c>
    </row>
    <row r="9" spans="1:65" ht="15" customHeight="1" x14ac:dyDescent="0.25">
      <c r="A9" s="12"/>
      <c r="B9" s="8" t="s">
        <v>18</v>
      </c>
      <c r="K9" s="36"/>
      <c r="BK9" s="13"/>
      <c r="BM9" s="4">
        <f t="shared" si="0"/>
        <v>3</v>
      </c>
    </row>
    <row r="10" spans="1:65" ht="15" customHeight="1" x14ac:dyDescent="0.25">
      <c r="A10" s="12"/>
      <c r="K10" s="36"/>
      <c r="BK10" s="13"/>
      <c r="BM10" s="4">
        <f t="shared" si="0"/>
        <v>4</v>
      </c>
    </row>
    <row r="11" spans="1:65" s="36" customFormat="1" ht="15" customHeight="1" x14ac:dyDescent="0.25">
      <c r="A11" s="37"/>
      <c r="BK11" s="38"/>
      <c r="BM11" s="4">
        <f t="shared" si="0"/>
        <v>5</v>
      </c>
    </row>
    <row r="12" spans="1:65" s="36" customFormat="1" ht="15" customHeight="1" x14ac:dyDescent="0.25">
      <c r="A12" s="37"/>
      <c r="BK12" s="38"/>
      <c r="BM12" s="4">
        <f t="shared" ref="BM12:BM44" si="1">IF(BM11=50,1,BM11+1)</f>
        <v>6</v>
      </c>
    </row>
    <row r="13" spans="1:65" s="36" customFormat="1" ht="15" customHeight="1" x14ac:dyDescent="0.25">
      <c r="A13" s="37"/>
      <c r="BK13" s="38"/>
      <c r="BM13" s="4">
        <f t="shared" si="1"/>
        <v>7</v>
      </c>
    </row>
    <row r="14" spans="1:65" s="36" customFormat="1" ht="15" customHeight="1" x14ac:dyDescent="0.25">
      <c r="A14" s="37"/>
      <c r="BK14" s="38"/>
      <c r="BM14" s="4">
        <f t="shared" si="1"/>
        <v>8</v>
      </c>
    </row>
    <row r="15" spans="1:65" s="36" customFormat="1" ht="15" customHeight="1" x14ac:dyDescent="0.25">
      <c r="A15" s="37"/>
      <c r="BK15" s="38"/>
      <c r="BM15" s="4">
        <f t="shared" si="1"/>
        <v>9</v>
      </c>
    </row>
    <row r="16" spans="1:65" s="36" customFormat="1" ht="15" customHeight="1" x14ac:dyDescent="0.25">
      <c r="A16" s="37"/>
      <c r="BK16" s="38"/>
      <c r="BM16" s="4">
        <f t="shared" si="1"/>
        <v>10</v>
      </c>
    </row>
    <row r="17" spans="1:65" s="36" customFormat="1" ht="15" customHeight="1" x14ac:dyDescent="0.25">
      <c r="A17" s="37"/>
      <c r="BK17" s="38"/>
      <c r="BM17" s="4">
        <f t="shared" si="1"/>
        <v>11</v>
      </c>
    </row>
    <row r="18" spans="1:65" s="36" customFormat="1" ht="15" customHeight="1" x14ac:dyDescent="0.25">
      <c r="A18" s="37"/>
      <c r="BK18" s="38"/>
      <c r="BM18" s="4">
        <f t="shared" si="1"/>
        <v>12</v>
      </c>
    </row>
    <row r="19" spans="1:65" s="36" customFormat="1" ht="15" customHeight="1" x14ac:dyDescent="0.25">
      <c r="A19" s="37"/>
      <c r="BK19" s="38"/>
      <c r="BM19" s="4">
        <f t="shared" si="1"/>
        <v>13</v>
      </c>
    </row>
    <row r="20" spans="1:65" s="36" customFormat="1" ht="15" customHeight="1" x14ac:dyDescent="0.25">
      <c r="A20" s="37"/>
      <c r="BK20" s="38"/>
      <c r="BM20" s="4">
        <f t="shared" si="1"/>
        <v>14</v>
      </c>
    </row>
    <row r="21" spans="1:65" s="36" customFormat="1" ht="15" customHeight="1" x14ac:dyDescent="0.25">
      <c r="A21" s="37"/>
      <c r="BK21" s="38"/>
      <c r="BM21" s="4">
        <f t="shared" si="1"/>
        <v>15</v>
      </c>
    </row>
    <row r="22" spans="1:65" s="36" customFormat="1" ht="15" customHeight="1" x14ac:dyDescent="0.25">
      <c r="A22" s="37"/>
      <c r="BK22" s="38"/>
      <c r="BM22" s="4">
        <f t="shared" si="1"/>
        <v>16</v>
      </c>
    </row>
    <row r="23" spans="1:65" s="36" customFormat="1" ht="15" customHeight="1" x14ac:dyDescent="0.25">
      <c r="A23" s="37"/>
      <c r="BK23" s="38"/>
      <c r="BM23" s="4">
        <f t="shared" si="1"/>
        <v>17</v>
      </c>
    </row>
    <row r="24" spans="1:65" s="36" customFormat="1" ht="15" customHeight="1" x14ac:dyDescent="0.25">
      <c r="A24" s="37"/>
      <c r="BK24" s="38"/>
      <c r="BM24" s="4">
        <f t="shared" si="1"/>
        <v>18</v>
      </c>
    </row>
    <row r="25" spans="1:65" s="36" customFormat="1" ht="15" customHeight="1" x14ac:dyDescent="0.25">
      <c r="A25" s="37"/>
      <c r="BK25" s="38"/>
      <c r="BM25" s="4">
        <f t="shared" si="1"/>
        <v>19</v>
      </c>
    </row>
    <row r="26" spans="1:65" s="36" customFormat="1" ht="15" customHeight="1" x14ac:dyDescent="0.25">
      <c r="A26" s="37"/>
      <c r="BK26" s="38"/>
      <c r="BM26" s="4">
        <f t="shared" si="1"/>
        <v>20</v>
      </c>
    </row>
    <row r="27" spans="1:65" s="36" customFormat="1" ht="15" customHeight="1" x14ac:dyDescent="0.25">
      <c r="A27" s="37"/>
      <c r="BK27" s="38"/>
      <c r="BM27" s="4">
        <f t="shared" si="1"/>
        <v>21</v>
      </c>
    </row>
    <row r="28" spans="1:65" s="36" customFormat="1" ht="15" customHeight="1" x14ac:dyDescent="0.25">
      <c r="A28" s="37"/>
      <c r="BK28" s="38"/>
      <c r="BM28" s="4">
        <f t="shared" si="1"/>
        <v>22</v>
      </c>
    </row>
    <row r="29" spans="1:65" s="36" customFormat="1" ht="15" customHeight="1" x14ac:dyDescent="0.25">
      <c r="A29" s="37"/>
      <c r="BK29" s="38"/>
      <c r="BM29" s="4">
        <f t="shared" si="1"/>
        <v>23</v>
      </c>
    </row>
    <row r="30" spans="1:65" s="36" customFormat="1" ht="15" customHeight="1" x14ac:dyDescent="0.25">
      <c r="A30" s="37"/>
      <c r="BK30" s="38"/>
      <c r="BM30" s="4">
        <f t="shared" si="1"/>
        <v>24</v>
      </c>
    </row>
    <row r="31" spans="1:65" s="36" customFormat="1" ht="15" customHeight="1" x14ac:dyDescent="0.25">
      <c r="A31" s="37"/>
      <c r="BK31" s="38"/>
      <c r="BM31" s="4">
        <f t="shared" si="1"/>
        <v>25</v>
      </c>
    </row>
    <row r="32" spans="1:65" s="36" customFormat="1" ht="15" customHeight="1" x14ac:dyDescent="0.25">
      <c r="A32" s="37"/>
      <c r="BK32" s="38"/>
      <c r="BM32" s="4">
        <f t="shared" si="1"/>
        <v>26</v>
      </c>
    </row>
    <row r="33" spans="1:65" s="36" customFormat="1" ht="15" customHeight="1" x14ac:dyDescent="0.25">
      <c r="A33" s="37"/>
      <c r="BK33" s="38"/>
      <c r="BM33" s="4">
        <f t="shared" si="1"/>
        <v>27</v>
      </c>
    </row>
    <row r="34" spans="1:65" s="36" customFormat="1" ht="15" customHeight="1" x14ac:dyDescent="0.25">
      <c r="A34" s="37"/>
      <c r="BK34" s="38"/>
      <c r="BM34" s="4">
        <f t="shared" si="1"/>
        <v>28</v>
      </c>
    </row>
    <row r="35" spans="1:65" s="36" customFormat="1" ht="15" customHeight="1" x14ac:dyDescent="0.25">
      <c r="A35" s="37"/>
      <c r="BK35" s="38"/>
      <c r="BM35" s="4">
        <f t="shared" si="1"/>
        <v>29</v>
      </c>
    </row>
    <row r="36" spans="1:65" s="36" customFormat="1" ht="15" customHeight="1" x14ac:dyDescent="0.25">
      <c r="A36" s="37"/>
      <c r="BK36" s="38"/>
      <c r="BM36" s="4">
        <f t="shared" si="1"/>
        <v>30</v>
      </c>
    </row>
    <row r="37" spans="1:65" s="36" customFormat="1" ht="15" customHeight="1" x14ac:dyDescent="0.25">
      <c r="A37" s="37"/>
      <c r="BK37" s="38"/>
      <c r="BM37" s="4">
        <f t="shared" si="1"/>
        <v>31</v>
      </c>
    </row>
    <row r="38" spans="1:65" s="36" customFormat="1" ht="15" customHeight="1" x14ac:dyDescent="0.25">
      <c r="A38" s="37"/>
      <c r="BK38" s="38"/>
      <c r="BM38" s="4">
        <f t="shared" si="1"/>
        <v>32</v>
      </c>
    </row>
    <row r="39" spans="1:65" s="36" customFormat="1" ht="15" customHeight="1" x14ac:dyDescent="0.25">
      <c r="A39" s="37"/>
      <c r="BK39" s="38"/>
      <c r="BM39" s="4">
        <f t="shared" si="1"/>
        <v>33</v>
      </c>
    </row>
    <row r="40" spans="1:65" s="36" customFormat="1" ht="15" customHeight="1" x14ac:dyDescent="0.25">
      <c r="A40" s="37"/>
      <c r="BK40" s="38"/>
      <c r="BM40" s="4">
        <f t="shared" si="1"/>
        <v>34</v>
      </c>
    </row>
    <row r="41" spans="1:65" s="36" customFormat="1" ht="15" customHeight="1" x14ac:dyDescent="0.25">
      <c r="A41" s="37"/>
      <c r="BK41" s="38"/>
      <c r="BM41" s="4">
        <f t="shared" si="1"/>
        <v>35</v>
      </c>
    </row>
    <row r="42" spans="1:65" s="36" customFormat="1" ht="15" customHeight="1" x14ac:dyDescent="0.25">
      <c r="A42" s="37"/>
      <c r="BK42" s="38"/>
      <c r="BM42" s="4">
        <f t="shared" si="1"/>
        <v>36</v>
      </c>
    </row>
    <row r="43" spans="1:65" s="36" customFormat="1" ht="15" customHeight="1" x14ac:dyDescent="0.25">
      <c r="A43" s="37"/>
      <c r="BK43" s="38"/>
      <c r="BM43" s="4">
        <f t="shared" si="1"/>
        <v>37</v>
      </c>
    </row>
    <row r="44" spans="1:65" s="36" customFormat="1" ht="15" customHeight="1" x14ac:dyDescent="0.25">
      <c r="A44" s="37"/>
      <c r="BK44" s="38"/>
      <c r="BM44" s="4">
        <f t="shared" si="1"/>
        <v>38</v>
      </c>
    </row>
    <row r="45" spans="1:65" s="36" customFormat="1" ht="15" customHeight="1" x14ac:dyDescent="0.25">
      <c r="A45" s="37"/>
      <c r="BK45" s="38"/>
      <c r="BM45" s="4">
        <f t="shared" ref="BM45:BM57" si="2">IF(BM44=50,1,BM44+1)</f>
        <v>39</v>
      </c>
    </row>
    <row r="46" spans="1:65" s="36" customFormat="1" ht="15" customHeight="1" x14ac:dyDescent="0.25">
      <c r="A46" s="37"/>
      <c r="BK46" s="38"/>
      <c r="BM46" s="4">
        <f t="shared" si="2"/>
        <v>40</v>
      </c>
    </row>
    <row r="47" spans="1:65" s="36" customFormat="1" ht="15" customHeight="1" x14ac:dyDescent="0.25">
      <c r="A47" s="37"/>
      <c r="BK47" s="38"/>
      <c r="BM47" s="4">
        <f t="shared" si="2"/>
        <v>41</v>
      </c>
    </row>
    <row r="48" spans="1:65" s="36" customFormat="1" ht="15" customHeight="1" x14ac:dyDescent="0.25">
      <c r="A48" s="37"/>
      <c r="BK48" s="38"/>
      <c r="BM48" s="4">
        <f t="shared" si="2"/>
        <v>42</v>
      </c>
    </row>
    <row r="49" spans="1:65" s="36" customFormat="1" ht="15" customHeight="1" x14ac:dyDescent="0.25">
      <c r="A49" s="37"/>
      <c r="BK49" s="38"/>
      <c r="BM49" s="4">
        <f t="shared" si="2"/>
        <v>43</v>
      </c>
    </row>
    <row r="50" spans="1:65" s="36" customFormat="1" ht="15" customHeight="1" x14ac:dyDescent="0.25">
      <c r="A50" s="37"/>
      <c r="BK50" s="38"/>
      <c r="BM50" s="4">
        <f t="shared" si="2"/>
        <v>44</v>
      </c>
    </row>
    <row r="51" spans="1:65" s="36" customFormat="1" ht="15" customHeight="1" x14ac:dyDescent="0.25">
      <c r="A51" s="37"/>
      <c r="BK51" s="38"/>
      <c r="BM51" s="4">
        <f t="shared" si="2"/>
        <v>45</v>
      </c>
    </row>
    <row r="52" spans="1:65" s="36" customFormat="1" ht="15" customHeight="1" x14ac:dyDescent="0.25">
      <c r="A52" s="37"/>
      <c r="BK52" s="38"/>
      <c r="BM52" s="4">
        <f t="shared" si="2"/>
        <v>46</v>
      </c>
    </row>
    <row r="53" spans="1:65" s="36" customFormat="1" ht="15" customHeight="1" x14ac:dyDescent="0.25">
      <c r="A53" s="37"/>
      <c r="BK53" s="38"/>
      <c r="BM53" s="4">
        <f t="shared" si="2"/>
        <v>47</v>
      </c>
    </row>
    <row r="54" spans="1:65" s="36" customFormat="1" ht="15" customHeight="1" x14ac:dyDescent="0.25">
      <c r="A54" s="37"/>
      <c r="BK54" s="38"/>
      <c r="BM54" s="4">
        <f t="shared" si="2"/>
        <v>48</v>
      </c>
    </row>
    <row r="55" spans="1:65" s="36" customFormat="1" ht="15" customHeight="1" x14ac:dyDescent="0.25">
      <c r="A55" s="37"/>
      <c r="BK55" s="38"/>
      <c r="BM55" s="4">
        <f t="shared" si="2"/>
        <v>49</v>
      </c>
    </row>
    <row r="56" spans="1:65" s="36" customFormat="1" ht="15" customHeight="1" x14ac:dyDescent="0.25">
      <c r="A56" s="37"/>
      <c r="BK56" s="38"/>
      <c r="BM56" s="4">
        <f t="shared" si="2"/>
        <v>50</v>
      </c>
    </row>
    <row r="57" spans="1:65" s="36" customFormat="1" ht="15" customHeight="1" x14ac:dyDescent="0.25">
      <c r="A57" s="39"/>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1"/>
      <c r="BM57" s="4">
        <f t="shared" si="2"/>
        <v>1</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B050"/>
    <pageSetUpPr fitToPage="1"/>
  </sheetPr>
  <dimension ref="A1:BM101"/>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8" customWidth="1"/>
    <col min="66" max="16384" width="2.77734375" style="8"/>
  </cols>
  <sheetData>
    <row r="1" spans="1:65" ht="24.95" customHeight="1" x14ac:dyDescent="0.25">
      <c r="A1" s="70" t="s">
        <v>23</v>
      </c>
      <c r="B1" s="71"/>
      <c r="C1" s="71"/>
      <c r="D1" s="71"/>
      <c r="E1" s="71"/>
      <c r="F1" s="71"/>
      <c r="G1" s="71"/>
      <c r="H1" s="71"/>
      <c r="I1" s="71"/>
      <c r="J1" s="72"/>
      <c r="K1" s="70" t="s">
        <v>24</v>
      </c>
      <c r="L1" s="71"/>
      <c r="M1" s="71"/>
      <c r="N1" s="71"/>
      <c r="O1" s="71"/>
      <c r="P1" s="71"/>
      <c r="Q1" s="71"/>
      <c r="R1" s="71"/>
      <c r="S1" s="71"/>
      <c r="T1" s="71"/>
      <c r="U1" s="71"/>
      <c r="V1" s="72"/>
      <c r="W1" s="91" t="str">
        <f>IF(表紙!W1="","",表紙!W1)</f>
        <v>基本設計書</v>
      </c>
      <c r="X1" s="92"/>
      <c r="Y1" s="92"/>
      <c r="Z1" s="92"/>
      <c r="AA1" s="92"/>
      <c r="AB1" s="92"/>
      <c r="AC1" s="92"/>
      <c r="AD1" s="92"/>
      <c r="AE1" s="92"/>
      <c r="AF1" s="92"/>
      <c r="AG1" s="92"/>
      <c r="AH1" s="92"/>
      <c r="AI1" s="92"/>
      <c r="AJ1" s="92"/>
      <c r="AK1" s="92"/>
      <c r="AL1" s="92"/>
      <c r="AM1" s="92"/>
      <c r="AN1" s="92"/>
      <c r="AO1" s="93"/>
      <c r="AP1" s="70" t="s">
        <v>26</v>
      </c>
      <c r="AQ1" s="71"/>
      <c r="AR1" s="71"/>
      <c r="AS1" s="72"/>
      <c r="AT1" s="70" t="s">
        <v>27</v>
      </c>
      <c r="AU1" s="71"/>
      <c r="AV1" s="71"/>
      <c r="AW1" s="71"/>
      <c r="AX1" s="72"/>
      <c r="AY1" s="70" t="s">
        <v>28</v>
      </c>
      <c r="AZ1" s="71"/>
      <c r="BA1" s="71"/>
      <c r="BB1" s="72"/>
      <c r="BC1" s="70" t="s">
        <v>29</v>
      </c>
      <c r="BD1" s="71"/>
      <c r="BE1" s="71"/>
      <c r="BF1" s="71"/>
      <c r="BG1" s="72"/>
      <c r="BH1" s="70" t="s">
        <v>30</v>
      </c>
      <c r="BI1" s="71"/>
      <c r="BJ1" s="71"/>
      <c r="BK1" s="72"/>
    </row>
    <row r="2" spans="1:65" ht="15" customHeight="1" x14ac:dyDescent="0.25">
      <c r="A2" s="55" t="str">
        <f>IF(表紙!A2="","",表紙!A2)</f>
        <v>POSサーバー</v>
      </c>
      <c r="B2" s="56"/>
      <c r="C2" s="56"/>
      <c r="D2" s="56"/>
      <c r="E2" s="56"/>
      <c r="F2" s="56"/>
      <c r="G2" s="56"/>
      <c r="H2" s="56"/>
      <c r="I2" s="56"/>
      <c r="J2" s="57"/>
      <c r="K2" s="55" t="str">
        <f>IF(表紙!K2="","",表紙!K2)</f>
        <v>POSサーバー</v>
      </c>
      <c r="L2" s="56"/>
      <c r="M2" s="56"/>
      <c r="N2" s="56"/>
      <c r="O2" s="56"/>
      <c r="P2" s="56"/>
      <c r="Q2" s="56"/>
      <c r="R2" s="56"/>
      <c r="S2" s="56"/>
      <c r="T2" s="56"/>
      <c r="U2" s="56"/>
      <c r="V2" s="57"/>
      <c r="W2" s="94"/>
      <c r="X2" s="95"/>
      <c r="Y2" s="95"/>
      <c r="Z2" s="95"/>
      <c r="AA2" s="95"/>
      <c r="AB2" s="95"/>
      <c r="AC2" s="95"/>
      <c r="AD2" s="95"/>
      <c r="AE2" s="95"/>
      <c r="AF2" s="95"/>
      <c r="AG2" s="95"/>
      <c r="AH2" s="95"/>
      <c r="AI2" s="95"/>
      <c r="AJ2" s="95"/>
      <c r="AK2" s="95"/>
      <c r="AL2" s="95"/>
      <c r="AM2" s="95"/>
      <c r="AN2" s="95"/>
      <c r="AO2" s="96"/>
      <c r="AP2" s="55" t="str">
        <f>IF(表紙!AP2="","",表紙!AP2)</f>
        <v>DuNT</v>
      </c>
      <c r="AQ2" s="56"/>
      <c r="AR2" s="56"/>
      <c r="AS2" s="57"/>
      <c r="AT2" s="84">
        <f>IF(表紙!AT2="","",表紙!AT2)</f>
        <v>45435</v>
      </c>
      <c r="AU2" s="85"/>
      <c r="AV2" s="85"/>
      <c r="AW2" s="85"/>
      <c r="AX2" s="86"/>
      <c r="AY2" s="55" t="str">
        <f>IF(表紙!AY2="","",表紙!AY2)</f>
        <v>LoiLV</v>
      </c>
      <c r="AZ2" s="56"/>
      <c r="BA2" s="56"/>
      <c r="BB2" s="57"/>
      <c r="BC2" s="84">
        <f>IF(表紙!BC2="","",表紙!BC2)</f>
        <v>45446</v>
      </c>
      <c r="BD2" s="85"/>
      <c r="BE2" s="85"/>
      <c r="BF2" s="85"/>
      <c r="BG2" s="86"/>
      <c r="BH2" s="55">
        <f>IF(表紙!BH2="","",表紙!BH2)</f>
        <v>0.2</v>
      </c>
      <c r="BI2" s="56"/>
      <c r="BJ2" s="56"/>
      <c r="BK2" s="57"/>
    </row>
    <row r="3" spans="1:65" ht="15" customHeight="1" x14ac:dyDescent="0.25">
      <c r="A3" s="61"/>
      <c r="B3" s="62"/>
      <c r="C3" s="62"/>
      <c r="D3" s="62"/>
      <c r="E3" s="62"/>
      <c r="F3" s="62"/>
      <c r="G3" s="62"/>
      <c r="H3" s="62"/>
      <c r="I3" s="62"/>
      <c r="J3" s="63"/>
      <c r="K3" s="61"/>
      <c r="L3" s="62"/>
      <c r="M3" s="62"/>
      <c r="N3" s="62"/>
      <c r="O3" s="62"/>
      <c r="P3" s="62"/>
      <c r="Q3" s="62"/>
      <c r="R3" s="62"/>
      <c r="S3" s="62"/>
      <c r="T3" s="62"/>
      <c r="U3" s="62"/>
      <c r="V3" s="63"/>
      <c r="W3" s="97"/>
      <c r="X3" s="98"/>
      <c r="Y3" s="98"/>
      <c r="Z3" s="98"/>
      <c r="AA3" s="98"/>
      <c r="AB3" s="98"/>
      <c r="AC3" s="98"/>
      <c r="AD3" s="98"/>
      <c r="AE3" s="98"/>
      <c r="AF3" s="98"/>
      <c r="AG3" s="98"/>
      <c r="AH3" s="98"/>
      <c r="AI3" s="98"/>
      <c r="AJ3" s="98"/>
      <c r="AK3" s="98"/>
      <c r="AL3" s="98"/>
      <c r="AM3" s="98"/>
      <c r="AN3" s="98"/>
      <c r="AO3" s="99"/>
      <c r="AP3" s="61"/>
      <c r="AQ3" s="62"/>
      <c r="AR3" s="62"/>
      <c r="AS3" s="63"/>
      <c r="AT3" s="87"/>
      <c r="AU3" s="88"/>
      <c r="AV3" s="88"/>
      <c r="AW3" s="88"/>
      <c r="AX3" s="89"/>
      <c r="AY3" s="61"/>
      <c r="AZ3" s="62"/>
      <c r="BA3" s="62"/>
      <c r="BB3" s="63"/>
      <c r="BC3" s="87"/>
      <c r="BD3" s="88"/>
      <c r="BE3" s="88"/>
      <c r="BF3" s="88"/>
      <c r="BG3" s="89"/>
      <c r="BH3" s="61"/>
      <c r="BI3" s="62"/>
      <c r="BJ3" s="62"/>
      <c r="BK3" s="63"/>
    </row>
    <row r="4" spans="1:65" ht="24.95" customHeight="1" x14ac:dyDescent="0.25">
      <c r="A4" s="70" t="s">
        <v>32</v>
      </c>
      <c r="B4" s="71"/>
      <c r="C4" s="71"/>
      <c r="D4" s="71"/>
      <c r="E4" s="71"/>
      <c r="F4" s="71"/>
      <c r="G4" s="72"/>
      <c r="H4" s="75" t="str">
        <f>IF(表紙!H4="","",表紙!H4)</f>
        <v>39_WAONポイントN倍設定</v>
      </c>
      <c r="I4" s="76"/>
      <c r="J4" s="76"/>
      <c r="K4" s="76"/>
      <c r="L4" s="76"/>
      <c r="M4" s="76"/>
      <c r="N4" s="76"/>
      <c r="O4" s="76"/>
      <c r="P4" s="76"/>
      <c r="Q4" s="76"/>
      <c r="R4" s="76"/>
      <c r="S4" s="76"/>
      <c r="T4" s="77"/>
      <c r="U4" s="70" t="s">
        <v>33</v>
      </c>
      <c r="V4" s="71"/>
      <c r="W4" s="71"/>
      <c r="X4" s="71"/>
      <c r="Y4" s="72"/>
      <c r="Z4" s="75" t="str">
        <f>IF(表紙!Z4="","",表紙!Z4)</f>
        <v>概要設計書</v>
      </c>
      <c r="AA4" s="76"/>
      <c r="AB4" s="76"/>
      <c r="AC4" s="76"/>
      <c r="AD4" s="76"/>
      <c r="AE4" s="76"/>
      <c r="AF4" s="76"/>
      <c r="AG4" s="76"/>
      <c r="AH4" s="76"/>
      <c r="AI4" s="76"/>
      <c r="AJ4" s="76"/>
      <c r="AK4" s="76"/>
      <c r="AL4" s="76"/>
      <c r="AM4" s="76"/>
      <c r="AN4" s="76"/>
      <c r="AO4" s="77"/>
      <c r="AP4" s="75" t="str">
        <f t="array" aca="1" ref="AP4" ca="1">RIGHT(CELL("filename",$A$1),LEN(CELL("filename",$A$1))-FIND("]",CELL("filename",$A$1)))</f>
        <v>機能概要</v>
      </c>
      <c r="AQ4" s="76"/>
      <c r="AR4" s="76"/>
      <c r="AS4" s="76"/>
      <c r="AT4" s="76"/>
      <c r="AU4" s="76"/>
      <c r="AV4" s="76"/>
      <c r="AW4" s="76"/>
      <c r="AX4" s="76"/>
      <c r="AY4" s="76"/>
      <c r="AZ4" s="76"/>
      <c r="BA4" s="76"/>
      <c r="BB4" s="76"/>
      <c r="BC4" s="76"/>
      <c r="BD4" s="76"/>
      <c r="BE4" s="76"/>
      <c r="BF4" s="76"/>
      <c r="BG4" s="76"/>
      <c r="BH4" s="76"/>
      <c r="BI4" s="76"/>
      <c r="BJ4" s="76"/>
      <c r="BK4" s="77"/>
    </row>
    <row r="5" spans="1:65" ht="5.0999999999999996" customHeight="1" x14ac:dyDescent="0.25">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1"/>
    </row>
    <row r="6" spans="1:65" ht="15" customHeight="1" x14ac:dyDescent="0.25">
      <c r="A6" s="12"/>
      <c r="BK6" s="13"/>
    </row>
    <row r="7" spans="1:65" ht="15" customHeight="1" x14ac:dyDescent="0.25">
      <c r="A7" s="12"/>
      <c r="B7" s="42" t="s">
        <v>39</v>
      </c>
      <c r="C7" s="43"/>
      <c r="D7" s="44"/>
      <c r="E7" s="44"/>
      <c r="F7" s="44"/>
      <c r="G7" s="44"/>
      <c r="H7" s="44"/>
      <c r="I7" s="44"/>
      <c r="J7" s="44"/>
      <c r="K7" s="45"/>
      <c r="L7" s="44"/>
      <c r="M7" s="44"/>
      <c r="N7" s="44"/>
      <c r="O7" s="44"/>
      <c r="P7" s="44"/>
      <c r="Q7" s="44"/>
      <c r="R7" s="44"/>
      <c r="S7" s="44"/>
      <c r="T7" s="45"/>
      <c r="U7" s="43"/>
      <c r="V7" s="44"/>
      <c r="W7" s="44"/>
      <c r="X7" s="44"/>
      <c r="Y7" s="44"/>
      <c r="Z7" s="44"/>
      <c r="AA7" s="44"/>
      <c r="AB7" s="44"/>
      <c r="AC7" s="45"/>
      <c r="AD7" s="43"/>
      <c r="AE7" s="44"/>
      <c r="AF7" s="44"/>
      <c r="AG7" s="44"/>
      <c r="AH7" s="44"/>
      <c r="AI7" s="44"/>
      <c r="AJ7" s="44"/>
      <c r="AK7" s="44"/>
      <c r="AL7" s="45"/>
      <c r="AM7" s="43"/>
      <c r="AN7" s="44"/>
      <c r="AO7" s="44"/>
      <c r="AP7" s="44"/>
      <c r="AQ7" s="44"/>
      <c r="AR7" s="44"/>
      <c r="AS7" s="44"/>
      <c r="AT7" s="44"/>
      <c r="AU7" s="44"/>
      <c r="AV7" s="44"/>
      <c r="AW7" s="44"/>
      <c r="AX7" s="44"/>
      <c r="AY7" s="44"/>
      <c r="AZ7" s="44"/>
      <c r="BA7" s="44"/>
      <c r="BB7" s="44"/>
      <c r="BC7" s="44"/>
      <c r="BD7" s="44"/>
      <c r="BE7" s="44"/>
      <c r="BF7" s="44"/>
      <c r="BG7" s="44"/>
      <c r="BH7" s="44"/>
      <c r="BI7" s="45"/>
      <c r="BJ7" s="44"/>
      <c r="BK7" s="13"/>
    </row>
    <row r="8" spans="1:65" ht="15" customHeight="1" x14ac:dyDescent="0.25">
      <c r="A8" s="12"/>
      <c r="B8" s="46"/>
      <c r="K8" s="47"/>
      <c r="U8" s="46"/>
      <c r="AD8" s="46"/>
      <c r="AM8" s="46"/>
      <c r="BI8" s="48"/>
      <c r="BK8" s="13"/>
      <c r="BM8" s="4">
        <f t="shared" ref="BM8:BM21" si="0">IF(BM7=50,1,BM7+1)</f>
        <v>1</v>
      </c>
    </row>
    <row r="9" spans="1:65" ht="15" customHeight="1" x14ac:dyDescent="0.25">
      <c r="A9" s="12"/>
      <c r="B9" s="46"/>
      <c r="K9" s="47"/>
      <c r="U9" s="46"/>
      <c r="AD9" s="46"/>
      <c r="AM9" s="46"/>
      <c r="BI9" s="48"/>
      <c r="BK9" s="13"/>
      <c r="BM9" s="4">
        <f t="shared" si="0"/>
        <v>2</v>
      </c>
    </row>
    <row r="10" spans="1:65" ht="15" customHeight="1" x14ac:dyDescent="0.25">
      <c r="A10" s="12"/>
      <c r="B10" s="46"/>
      <c r="K10" s="47"/>
      <c r="U10" s="46"/>
      <c r="AD10" s="46"/>
      <c r="AM10" s="46"/>
      <c r="BI10" s="48"/>
      <c r="BK10" s="13"/>
      <c r="BM10" s="4">
        <f t="shared" si="0"/>
        <v>3</v>
      </c>
    </row>
    <row r="11" spans="1:65" ht="15" customHeight="1" x14ac:dyDescent="0.25">
      <c r="A11" s="12"/>
      <c r="B11" s="46"/>
      <c r="K11" s="47"/>
      <c r="U11" s="46"/>
      <c r="AD11" s="46"/>
      <c r="AM11" s="46"/>
      <c r="BI11" s="48"/>
      <c r="BK11" s="13"/>
      <c r="BM11" s="4">
        <f t="shared" si="0"/>
        <v>4</v>
      </c>
    </row>
    <row r="12" spans="1:65" ht="15" customHeight="1" x14ac:dyDescent="0.25">
      <c r="A12" s="12"/>
      <c r="B12" s="46"/>
      <c r="K12" s="47"/>
      <c r="U12" s="46"/>
      <c r="AD12" s="46"/>
      <c r="AM12" s="46"/>
      <c r="BI12" s="48"/>
      <c r="BK12" s="13"/>
      <c r="BM12" s="4">
        <f t="shared" si="0"/>
        <v>5</v>
      </c>
    </row>
    <row r="13" spans="1:65" ht="15" customHeight="1" x14ac:dyDescent="0.25">
      <c r="A13" s="12"/>
      <c r="B13" s="46"/>
      <c r="K13" s="47"/>
      <c r="U13" s="46"/>
      <c r="AD13" s="46"/>
      <c r="AM13" s="46"/>
      <c r="BI13" s="48"/>
      <c r="BK13" s="13"/>
      <c r="BM13" s="4">
        <f t="shared" si="0"/>
        <v>6</v>
      </c>
    </row>
    <row r="14" spans="1:65" ht="15" customHeight="1" x14ac:dyDescent="0.25">
      <c r="A14" s="12"/>
      <c r="B14" s="46"/>
      <c r="K14" s="47"/>
      <c r="U14" s="46"/>
      <c r="AD14" s="46"/>
      <c r="AM14" s="46"/>
      <c r="BI14" s="48"/>
      <c r="BK14" s="13"/>
      <c r="BM14" s="4">
        <f t="shared" si="0"/>
        <v>7</v>
      </c>
    </row>
    <row r="15" spans="1:65" ht="15" customHeight="1" x14ac:dyDescent="0.25">
      <c r="A15" s="12"/>
      <c r="B15" s="46"/>
      <c r="K15" s="47"/>
      <c r="U15" s="46"/>
      <c r="AD15" s="46"/>
      <c r="AM15" s="46"/>
      <c r="BI15" s="48"/>
      <c r="BK15" s="13"/>
      <c r="BM15" s="4">
        <f t="shared" si="0"/>
        <v>8</v>
      </c>
    </row>
    <row r="16" spans="1:65" ht="15" customHeight="1" x14ac:dyDescent="0.25">
      <c r="A16" s="12"/>
      <c r="B16" s="46"/>
      <c r="K16" s="47"/>
      <c r="U16" s="46"/>
      <c r="AD16" s="46"/>
      <c r="AM16" s="46"/>
      <c r="BI16" s="48"/>
      <c r="BK16" s="13"/>
      <c r="BM16" s="4">
        <f t="shared" si="0"/>
        <v>9</v>
      </c>
    </row>
    <row r="17" spans="1:65" ht="15" customHeight="1" x14ac:dyDescent="0.25">
      <c r="A17" s="12"/>
      <c r="B17" s="46"/>
      <c r="K17" s="47"/>
      <c r="U17" s="46"/>
      <c r="AD17" s="46"/>
      <c r="AM17" s="46"/>
      <c r="BI17" s="48"/>
      <c r="BK17" s="13"/>
      <c r="BM17" s="4">
        <f t="shared" si="0"/>
        <v>10</v>
      </c>
    </row>
    <row r="18" spans="1:65" ht="15" customHeight="1" x14ac:dyDescent="0.25">
      <c r="A18" s="12"/>
      <c r="B18" s="46"/>
      <c r="K18" s="47"/>
      <c r="U18" s="46"/>
      <c r="AD18" s="46"/>
      <c r="AM18" s="46"/>
      <c r="BI18" s="48"/>
      <c r="BK18" s="13"/>
      <c r="BM18" s="4">
        <f t="shared" si="0"/>
        <v>11</v>
      </c>
    </row>
    <row r="19" spans="1:65" ht="15" customHeight="1" x14ac:dyDescent="0.25">
      <c r="A19" s="12"/>
      <c r="B19" s="46"/>
      <c r="K19" s="47"/>
      <c r="U19" s="46"/>
      <c r="AD19" s="46"/>
      <c r="AM19" s="46"/>
      <c r="BI19" s="48"/>
      <c r="BK19" s="13"/>
      <c r="BM19" s="4">
        <f t="shared" si="0"/>
        <v>12</v>
      </c>
    </row>
    <row r="20" spans="1:65" ht="15" customHeight="1" x14ac:dyDescent="0.25">
      <c r="A20" s="12"/>
      <c r="B20" s="46"/>
      <c r="K20" s="47"/>
      <c r="U20" s="46"/>
      <c r="AD20" s="46"/>
      <c r="AM20" s="46"/>
      <c r="BI20" s="48"/>
      <c r="BK20" s="13"/>
      <c r="BM20" s="4">
        <f t="shared" si="0"/>
        <v>13</v>
      </c>
    </row>
    <row r="21" spans="1:65" ht="15" customHeight="1" x14ac:dyDescent="0.25">
      <c r="A21" s="12"/>
      <c r="B21" s="46"/>
      <c r="K21" s="47"/>
      <c r="U21" s="46"/>
      <c r="AD21" s="46"/>
      <c r="AM21" s="46"/>
      <c r="BI21" s="48"/>
      <c r="BK21" s="13"/>
      <c r="BM21" s="4">
        <f t="shared" si="0"/>
        <v>14</v>
      </c>
    </row>
    <row r="22" spans="1:65" ht="15" customHeight="1" x14ac:dyDescent="0.25">
      <c r="A22" s="12"/>
      <c r="B22" s="46"/>
      <c r="K22" s="47"/>
      <c r="U22" s="46"/>
      <c r="AD22" s="46"/>
      <c r="AM22" s="46"/>
      <c r="BI22" s="48"/>
      <c r="BK22" s="13"/>
      <c r="BM22" s="4"/>
    </row>
    <row r="23" spans="1:65" s="36" customFormat="1" ht="15" customHeight="1" x14ac:dyDescent="0.25">
      <c r="A23" s="37"/>
      <c r="B23" s="46"/>
      <c r="K23" s="47"/>
      <c r="L23" s="49"/>
      <c r="T23" s="47"/>
      <c r="U23" s="49"/>
      <c r="AC23" s="47"/>
      <c r="AD23" s="49"/>
      <c r="AL23" s="47"/>
      <c r="AM23" s="49"/>
      <c r="BI23" s="47"/>
      <c r="BK23" s="38"/>
      <c r="BM23" s="4">
        <f>IF(BM21=50,1,BM21+1)</f>
        <v>15</v>
      </c>
    </row>
    <row r="24" spans="1:65" s="36" customFormat="1" ht="15" customHeight="1" x14ac:dyDescent="0.25">
      <c r="A24" s="37"/>
      <c r="B24" s="46"/>
      <c r="K24" s="47"/>
      <c r="L24" s="49"/>
      <c r="T24" s="47"/>
      <c r="U24" s="49"/>
      <c r="AC24" s="47"/>
      <c r="AD24" s="49"/>
      <c r="AL24" s="47"/>
      <c r="AM24" s="49"/>
      <c r="BI24" s="47"/>
      <c r="BK24" s="38"/>
      <c r="BM24" s="4">
        <f t="shared" ref="BM24:BM87" si="1">IF(BM23=50,1,BM23+1)</f>
        <v>16</v>
      </c>
    </row>
    <row r="25" spans="1:65" s="36" customFormat="1" ht="15" customHeight="1" x14ac:dyDescent="0.25">
      <c r="A25" s="37"/>
      <c r="B25" s="46"/>
      <c r="K25" s="47"/>
      <c r="L25" s="49"/>
      <c r="T25" s="47"/>
      <c r="U25" s="49"/>
      <c r="AC25" s="47"/>
      <c r="AD25" s="49"/>
      <c r="AL25" s="47"/>
      <c r="AM25" s="49"/>
      <c r="BI25" s="47"/>
      <c r="BK25" s="38"/>
      <c r="BM25" s="4">
        <f t="shared" si="1"/>
        <v>17</v>
      </c>
    </row>
    <row r="26" spans="1:65" s="36" customFormat="1" ht="15" customHeight="1" x14ac:dyDescent="0.25">
      <c r="A26" s="37"/>
      <c r="B26" s="46"/>
      <c r="K26" s="47"/>
      <c r="L26" s="49"/>
      <c r="T26" s="47"/>
      <c r="U26" s="49"/>
      <c r="AC26" s="47"/>
      <c r="AD26" s="49"/>
      <c r="AL26" s="47"/>
      <c r="AM26" s="49"/>
      <c r="BI26" s="47"/>
      <c r="BK26" s="38"/>
      <c r="BM26" s="4">
        <f t="shared" si="1"/>
        <v>18</v>
      </c>
    </row>
    <row r="27" spans="1:65" s="36" customFormat="1" ht="15" customHeight="1" x14ac:dyDescent="0.25">
      <c r="A27" s="37"/>
      <c r="B27" s="46"/>
      <c r="K27" s="47"/>
      <c r="L27" s="49"/>
      <c r="T27" s="47"/>
      <c r="U27" s="49"/>
      <c r="AC27" s="47"/>
      <c r="AD27" s="49"/>
      <c r="AL27" s="47"/>
      <c r="AM27" s="49"/>
      <c r="BI27" s="47"/>
      <c r="BK27" s="38"/>
      <c r="BM27" s="4">
        <f t="shared" si="1"/>
        <v>19</v>
      </c>
    </row>
    <row r="28" spans="1:65" s="36" customFormat="1" ht="15" customHeight="1" x14ac:dyDescent="0.25">
      <c r="A28" s="37"/>
      <c r="B28" s="46"/>
      <c r="K28" s="47"/>
      <c r="L28" s="49"/>
      <c r="T28" s="47"/>
      <c r="U28" s="49"/>
      <c r="AC28" s="47"/>
      <c r="AD28" s="49"/>
      <c r="AL28" s="47"/>
      <c r="AM28" s="49"/>
      <c r="BI28" s="47"/>
      <c r="BK28" s="38"/>
      <c r="BM28" s="4">
        <f t="shared" si="1"/>
        <v>20</v>
      </c>
    </row>
    <row r="29" spans="1:65" s="36" customFormat="1" ht="15" customHeight="1" x14ac:dyDescent="0.25">
      <c r="A29" s="37"/>
      <c r="B29" s="46"/>
      <c r="K29" s="47"/>
      <c r="L29" s="49"/>
      <c r="T29" s="47"/>
      <c r="U29" s="49"/>
      <c r="AC29" s="47"/>
      <c r="AD29" s="49"/>
      <c r="AL29" s="47"/>
      <c r="AM29" s="49"/>
      <c r="BI29" s="47"/>
      <c r="BK29" s="38"/>
      <c r="BM29" s="4">
        <f t="shared" si="1"/>
        <v>21</v>
      </c>
    </row>
    <row r="30" spans="1:65" s="36" customFormat="1" ht="15" customHeight="1" x14ac:dyDescent="0.25">
      <c r="A30" s="37"/>
      <c r="B30" s="46"/>
      <c r="K30" s="47"/>
      <c r="L30" s="49"/>
      <c r="T30" s="47"/>
      <c r="U30" s="49"/>
      <c r="AC30" s="47"/>
      <c r="AD30" s="49"/>
      <c r="AL30" s="47"/>
      <c r="AM30" s="49"/>
      <c r="BI30" s="47"/>
      <c r="BK30" s="38"/>
      <c r="BM30" s="4">
        <f t="shared" si="1"/>
        <v>22</v>
      </c>
    </row>
    <row r="31" spans="1:65" s="36" customFormat="1" ht="15" customHeight="1" x14ac:dyDescent="0.25">
      <c r="A31" s="37"/>
      <c r="B31" s="46"/>
      <c r="K31" s="47"/>
      <c r="L31" s="49"/>
      <c r="T31" s="47"/>
      <c r="U31" s="49"/>
      <c r="AC31" s="47"/>
      <c r="AD31" s="49"/>
      <c r="AL31" s="47"/>
      <c r="AM31" s="49"/>
      <c r="BI31" s="47"/>
      <c r="BK31" s="38"/>
      <c r="BM31" s="4">
        <f t="shared" si="1"/>
        <v>23</v>
      </c>
    </row>
    <row r="32" spans="1:65" s="36" customFormat="1" ht="15" customHeight="1" x14ac:dyDescent="0.25">
      <c r="A32" s="37"/>
      <c r="B32" s="46"/>
      <c r="K32" s="47"/>
      <c r="L32" s="49"/>
      <c r="T32" s="47"/>
      <c r="U32" s="49"/>
      <c r="AC32" s="47"/>
      <c r="AD32" s="49"/>
      <c r="AL32" s="47"/>
      <c r="AM32" s="49"/>
      <c r="BI32" s="47"/>
      <c r="BK32" s="38"/>
      <c r="BM32" s="4">
        <f t="shared" si="1"/>
        <v>24</v>
      </c>
    </row>
    <row r="33" spans="1:65" s="36" customFormat="1" ht="15" customHeight="1" x14ac:dyDescent="0.25">
      <c r="A33" s="37"/>
      <c r="B33" s="46"/>
      <c r="K33" s="47"/>
      <c r="L33" s="49"/>
      <c r="T33" s="47"/>
      <c r="U33" s="49"/>
      <c r="AC33" s="47"/>
      <c r="AD33" s="49"/>
      <c r="AL33" s="47"/>
      <c r="AM33" s="49"/>
      <c r="BI33" s="47"/>
      <c r="BK33" s="38"/>
      <c r="BM33" s="4">
        <f t="shared" si="1"/>
        <v>25</v>
      </c>
    </row>
    <row r="34" spans="1:65" s="36" customFormat="1" ht="15" customHeight="1" x14ac:dyDescent="0.25">
      <c r="A34" s="37"/>
      <c r="B34" s="46"/>
      <c r="K34" s="47"/>
      <c r="L34" s="49"/>
      <c r="T34" s="47"/>
      <c r="U34" s="49"/>
      <c r="AC34" s="47"/>
      <c r="AD34" s="49"/>
      <c r="AL34" s="47"/>
      <c r="AM34" s="49"/>
      <c r="BI34" s="47"/>
      <c r="BK34" s="38"/>
      <c r="BM34" s="4">
        <f t="shared" si="1"/>
        <v>26</v>
      </c>
    </row>
    <row r="35" spans="1:65" s="36" customFormat="1" ht="15" customHeight="1" x14ac:dyDescent="0.25">
      <c r="A35" s="37"/>
      <c r="B35" s="46"/>
      <c r="K35" s="47"/>
      <c r="L35" s="49"/>
      <c r="T35" s="47"/>
      <c r="U35" s="49"/>
      <c r="AC35" s="47"/>
      <c r="AD35" s="49"/>
      <c r="AL35" s="47"/>
      <c r="AM35" s="49"/>
      <c r="BI35" s="47"/>
      <c r="BK35" s="38"/>
      <c r="BM35" s="4">
        <f t="shared" si="1"/>
        <v>27</v>
      </c>
    </row>
    <row r="36" spans="1:65" s="36" customFormat="1" ht="15" customHeight="1" x14ac:dyDescent="0.25">
      <c r="A36" s="37"/>
      <c r="B36" s="46"/>
      <c r="K36" s="47"/>
      <c r="L36" s="49"/>
      <c r="T36" s="47"/>
      <c r="U36" s="49"/>
      <c r="AC36" s="47"/>
      <c r="AD36" s="49"/>
      <c r="AL36" s="47"/>
      <c r="AM36" s="49"/>
      <c r="BI36" s="47"/>
      <c r="BK36" s="38"/>
      <c r="BM36" s="4">
        <f t="shared" si="1"/>
        <v>28</v>
      </c>
    </row>
    <row r="37" spans="1:65" s="36" customFormat="1" ht="15" customHeight="1" x14ac:dyDescent="0.25">
      <c r="A37" s="37"/>
      <c r="B37" s="50" t="s">
        <v>19</v>
      </c>
      <c r="C37" s="51"/>
      <c r="D37" s="51"/>
      <c r="E37" s="51"/>
      <c r="F37" s="51"/>
      <c r="G37" s="51"/>
      <c r="H37" s="51"/>
      <c r="I37" s="51"/>
      <c r="J37" s="51"/>
      <c r="K37" s="52"/>
      <c r="L37" s="50"/>
      <c r="M37" s="51"/>
      <c r="N37" s="51"/>
      <c r="O37" s="51"/>
      <c r="P37" s="51"/>
      <c r="Q37" s="51"/>
      <c r="R37" s="51"/>
      <c r="S37" s="51"/>
      <c r="T37" s="52"/>
      <c r="U37" s="50"/>
      <c r="V37" s="51"/>
      <c r="W37" s="51"/>
      <c r="X37" s="51"/>
      <c r="Y37" s="51"/>
      <c r="Z37" s="51"/>
      <c r="AA37" s="51"/>
      <c r="AB37" s="51"/>
      <c r="AC37" s="52"/>
      <c r="AD37" s="50"/>
      <c r="AE37" s="51"/>
      <c r="AF37" s="51"/>
      <c r="AG37" s="51"/>
      <c r="AH37" s="51"/>
      <c r="AI37" s="51"/>
      <c r="AJ37" s="51"/>
      <c r="AK37" s="51"/>
      <c r="AL37" s="52"/>
      <c r="AM37" s="50"/>
      <c r="AN37" s="51"/>
      <c r="AO37" s="51"/>
      <c r="AP37" s="51"/>
      <c r="AQ37" s="51"/>
      <c r="AR37" s="51"/>
      <c r="AS37" s="51"/>
      <c r="AT37" s="51"/>
      <c r="AU37" s="51"/>
      <c r="AV37" s="51"/>
      <c r="AW37" s="51"/>
      <c r="AX37" s="51"/>
      <c r="AY37" s="51"/>
      <c r="AZ37" s="51"/>
      <c r="BA37" s="51"/>
      <c r="BB37" s="51"/>
      <c r="BC37" s="51"/>
      <c r="BD37" s="51"/>
      <c r="BE37" s="51"/>
      <c r="BF37" s="51"/>
      <c r="BG37" s="51"/>
      <c r="BH37" s="51"/>
      <c r="BI37" s="52"/>
      <c r="BJ37" s="51"/>
      <c r="BK37" s="38"/>
      <c r="BM37" s="4">
        <f t="shared" si="1"/>
        <v>29</v>
      </c>
    </row>
    <row r="38" spans="1:65" s="36" customFormat="1" ht="15" customHeight="1" x14ac:dyDescent="0.25">
      <c r="A38" s="37"/>
      <c r="B38" s="46"/>
      <c r="K38" s="47"/>
      <c r="L38" s="49"/>
      <c r="T38" s="47"/>
      <c r="U38" s="49"/>
      <c r="AC38" s="47"/>
      <c r="AD38" s="49"/>
      <c r="AL38" s="47"/>
      <c r="AM38" s="49"/>
      <c r="BI38" s="47"/>
      <c r="BK38" s="38"/>
      <c r="BM38" s="4">
        <f t="shared" si="1"/>
        <v>30</v>
      </c>
    </row>
    <row r="39" spans="1:65" s="36" customFormat="1" ht="15" customHeight="1" x14ac:dyDescent="0.25">
      <c r="A39" s="37"/>
      <c r="B39" s="46"/>
      <c r="K39" s="47"/>
      <c r="L39" s="49"/>
      <c r="T39" s="47"/>
      <c r="U39" s="49"/>
      <c r="AC39" s="47"/>
      <c r="AD39" s="49"/>
      <c r="AL39" s="47"/>
      <c r="AM39" s="49"/>
      <c r="BI39" s="47"/>
      <c r="BK39" s="38"/>
      <c r="BM39" s="4">
        <f t="shared" si="1"/>
        <v>31</v>
      </c>
    </row>
    <row r="40" spans="1:65" s="36" customFormat="1" ht="15" customHeight="1" x14ac:dyDescent="0.25">
      <c r="A40" s="37"/>
      <c r="B40" s="46"/>
      <c r="K40" s="47"/>
      <c r="L40" s="49"/>
      <c r="T40" s="47"/>
      <c r="U40" s="49"/>
      <c r="AC40" s="47"/>
      <c r="AD40" s="49"/>
      <c r="AL40" s="47"/>
      <c r="AM40" s="49"/>
      <c r="BI40" s="47"/>
      <c r="BK40" s="38"/>
      <c r="BM40" s="4">
        <f t="shared" si="1"/>
        <v>32</v>
      </c>
    </row>
    <row r="41" spans="1:65" s="36" customFormat="1" ht="15" customHeight="1" x14ac:dyDescent="0.25">
      <c r="A41" s="37"/>
      <c r="B41" s="46"/>
      <c r="K41" s="47"/>
      <c r="L41" s="49"/>
      <c r="T41" s="47"/>
      <c r="U41" s="49"/>
      <c r="AC41" s="47"/>
      <c r="AD41" s="49"/>
      <c r="AL41" s="47"/>
      <c r="AM41" s="49"/>
      <c r="BI41" s="47"/>
      <c r="BK41" s="38"/>
      <c r="BM41" s="4">
        <f t="shared" si="1"/>
        <v>33</v>
      </c>
    </row>
    <row r="42" spans="1:65" s="36" customFormat="1" ht="15" customHeight="1" x14ac:dyDescent="0.25">
      <c r="A42" s="37"/>
      <c r="B42" s="46"/>
      <c r="K42" s="47"/>
      <c r="L42" s="49"/>
      <c r="T42" s="47"/>
      <c r="U42" s="49"/>
      <c r="AC42" s="47"/>
      <c r="AD42" s="49"/>
      <c r="AL42" s="47"/>
      <c r="AM42" s="49"/>
      <c r="BI42" s="47"/>
      <c r="BK42" s="38"/>
      <c r="BM42" s="4">
        <f t="shared" si="1"/>
        <v>34</v>
      </c>
    </row>
    <row r="43" spans="1:65" s="36" customFormat="1" ht="15" customHeight="1" x14ac:dyDescent="0.25">
      <c r="A43" s="37"/>
      <c r="B43" s="46"/>
      <c r="K43" s="47"/>
      <c r="L43" s="49"/>
      <c r="T43" s="47"/>
      <c r="U43" s="49"/>
      <c r="AC43" s="47"/>
      <c r="AD43" s="49"/>
      <c r="AL43" s="47"/>
      <c r="AM43" s="49"/>
      <c r="BI43" s="47"/>
      <c r="BK43" s="38"/>
      <c r="BM43" s="4">
        <f t="shared" si="1"/>
        <v>35</v>
      </c>
    </row>
    <row r="44" spans="1:65" s="36" customFormat="1" ht="15" customHeight="1" x14ac:dyDescent="0.25">
      <c r="A44" s="37"/>
      <c r="B44" s="49"/>
      <c r="K44" s="47"/>
      <c r="L44" s="49"/>
      <c r="T44" s="47"/>
      <c r="U44" s="49"/>
      <c r="AC44" s="47"/>
      <c r="AD44" s="49"/>
      <c r="AL44" s="47"/>
      <c r="AM44" s="49"/>
      <c r="BI44" s="47"/>
      <c r="BK44" s="38"/>
      <c r="BM44" s="4">
        <f t="shared" si="1"/>
        <v>36</v>
      </c>
    </row>
    <row r="45" spans="1:65" s="36" customFormat="1" ht="15" customHeight="1" x14ac:dyDescent="0.25">
      <c r="A45" s="37"/>
      <c r="B45" s="49"/>
      <c r="K45" s="47"/>
      <c r="L45" s="49"/>
      <c r="T45" s="47"/>
      <c r="U45" s="49"/>
      <c r="AC45" s="47"/>
      <c r="AD45" s="49"/>
      <c r="AL45" s="47"/>
      <c r="AM45" s="49"/>
      <c r="BI45" s="47"/>
      <c r="BK45" s="38"/>
      <c r="BM45" s="4">
        <f t="shared" si="1"/>
        <v>37</v>
      </c>
    </row>
    <row r="46" spans="1:65" s="36" customFormat="1" ht="15" customHeight="1" x14ac:dyDescent="0.25">
      <c r="A46" s="37"/>
      <c r="B46" s="49"/>
      <c r="K46" s="47"/>
      <c r="L46" s="49"/>
      <c r="T46" s="47"/>
      <c r="U46" s="49"/>
      <c r="AC46" s="47"/>
      <c r="AL46" s="47"/>
      <c r="AM46" s="49"/>
      <c r="BI46" s="47"/>
      <c r="BK46" s="38"/>
      <c r="BM46" s="4">
        <f t="shared" si="1"/>
        <v>38</v>
      </c>
    </row>
    <row r="47" spans="1:65" s="36" customFormat="1" ht="15" customHeight="1" x14ac:dyDescent="0.25">
      <c r="A47" s="37"/>
      <c r="B47" s="49"/>
      <c r="K47" s="47"/>
      <c r="L47" s="49"/>
      <c r="T47" s="47"/>
      <c r="U47" s="49"/>
      <c r="AC47" s="47"/>
      <c r="AD47" s="49"/>
      <c r="AL47" s="47"/>
      <c r="AM47" s="49"/>
      <c r="BI47" s="47"/>
      <c r="BK47" s="38"/>
      <c r="BM47" s="4">
        <f t="shared" si="1"/>
        <v>39</v>
      </c>
    </row>
    <row r="48" spans="1:65" s="36" customFormat="1" ht="15" customHeight="1" x14ac:dyDescent="0.25">
      <c r="A48" s="37"/>
      <c r="B48" s="49"/>
      <c r="K48" s="47"/>
      <c r="L48" s="49"/>
      <c r="T48" s="47"/>
      <c r="U48" s="49"/>
      <c r="AC48" s="47"/>
      <c r="AD48" s="49"/>
      <c r="AL48" s="47"/>
      <c r="AM48" s="49"/>
      <c r="BI48" s="47"/>
      <c r="BK48" s="38"/>
      <c r="BM48" s="4">
        <f t="shared" si="1"/>
        <v>40</v>
      </c>
    </row>
    <row r="49" spans="1:65" s="36" customFormat="1" ht="15" customHeight="1" x14ac:dyDescent="0.25">
      <c r="A49" s="37"/>
      <c r="B49" s="49"/>
      <c r="K49" s="47"/>
      <c r="L49" s="49"/>
      <c r="T49" s="47"/>
      <c r="U49" s="49"/>
      <c r="AC49" s="47"/>
      <c r="AD49" s="49"/>
      <c r="AL49" s="47"/>
      <c r="AM49" s="49"/>
      <c r="BI49" s="47"/>
      <c r="BK49" s="38"/>
      <c r="BM49" s="4">
        <f t="shared" si="1"/>
        <v>41</v>
      </c>
    </row>
    <row r="50" spans="1:65" s="36" customFormat="1" ht="15" customHeight="1" x14ac:dyDescent="0.25">
      <c r="A50" s="37"/>
      <c r="B50" s="49"/>
      <c r="K50" s="47"/>
      <c r="L50" s="49"/>
      <c r="T50" s="47"/>
      <c r="U50" s="49"/>
      <c r="AC50" s="47"/>
      <c r="AD50" s="49"/>
      <c r="AL50" s="47"/>
      <c r="AM50" s="49"/>
      <c r="BI50" s="47"/>
      <c r="BK50" s="38"/>
      <c r="BM50" s="4">
        <f t="shared" si="1"/>
        <v>42</v>
      </c>
    </row>
    <row r="51" spans="1:65" s="36" customFormat="1" ht="15" customHeight="1" x14ac:dyDescent="0.25">
      <c r="A51" s="37"/>
      <c r="B51" s="49"/>
      <c r="K51" s="47"/>
      <c r="L51" s="49"/>
      <c r="T51" s="47"/>
      <c r="U51" s="49"/>
      <c r="AC51" s="47"/>
      <c r="AD51" s="49"/>
      <c r="AL51" s="47"/>
      <c r="AM51" s="49"/>
      <c r="BI51" s="47"/>
      <c r="BK51" s="38"/>
      <c r="BM51" s="4">
        <f t="shared" si="1"/>
        <v>43</v>
      </c>
    </row>
    <row r="52" spans="1:65" s="36" customFormat="1" ht="15" customHeight="1" x14ac:dyDescent="0.25">
      <c r="A52" s="37"/>
      <c r="B52" s="49"/>
      <c r="K52" s="47"/>
      <c r="L52" s="49"/>
      <c r="T52" s="47"/>
      <c r="U52" s="49"/>
      <c r="AC52" s="47"/>
      <c r="AD52" s="49"/>
      <c r="AL52" s="47"/>
      <c r="AM52" s="49"/>
      <c r="BI52" s="47"/>
      <c r="BK52" s="38"/>
      <c r="BM52" s="4">
        <f t="shared" si="1"/>
        <v>44</v>
      </c>
    </row>
    <row r="53" spans="1:65" s="36" customFormat="1" ht="15" customHeight="1" x14ac:dyDescent="0.25">
      <c r="A53" s="37"/>
      <c r="B53" s="49"/>
      <c r="K53" s="47"/>
      <c r="L53" s="49"/>
      <c r="T53" s="47"/>
      <c r="U53" s="49"/>
      <c r="AC53" s="47"/>
      <c r="AD53" s="49"/>
      <c r="AL53" s="47"/>
      <c r="AM53" s="49"/>
      <c r="BI53" s="47"/>
      <c r="BK53" s="38"/>
      <c r="BM53" s="4">
        <f t="shared" si="1"/>
        <v>45</v>
      </c>
    </row>
    <row r="54" spans="1:65" s="36" customFormat="1" ht="15" customHeight="1" x14ac:dyDescent="0.25">
      <c r="A54" s="37"/>
      <c r="B54" s="49"/>
      <c r="K54" s="47"/>
      <c r="L54" s="49"/>
      <c r="T54" s="47"/>
      <c r="U54" s="49"/>
      <c r="AC54" s="47"/>
      <c r="AD54" s="49"/>
      <c r="AL54" s="47"/>
      <c r="AM54" s="49"/>
      <c r="BI54" s="47"/>
      <c r="BK54" s="38"/>
      <c r="BM54" s="4">
        <f t="shared" si="1"/>
        <v>46</v>
      </c>
    </row>
    <row r="55" spans="1:65" s="36" customFormat="1" ht="15" customHeight="1" x14ac:dyDescent="0.25">
      <c r="A55" s="37"/>
      <c r="B55" s="49"/>
      <c r="K55" s="47"/>
      <c r="L55" s="49"/>
      <c r="T55" s="47"/>
      <c r="U55" s="49"/>
      <c r="AC55" s="47"/>
      <c r="AD55" s="49"/>
      <c r="AL55" s="47"/>
      <c r="AM55" s="49"/>
      <c r="BI55" s="47"/>
      <c r="BK55" s="38"/>
      <c r="BM55" s="4">
        <f t="shared" si="1"/>
        <v>47</v>
      </c>
    </row>
    <row r="56" spans="1:65" s="36" customFormat="1" ht="15" customHeight="1" x14ac:dyDescent="0.25">
      <c r="A56" s="37"/>
      <c r="B56" s="49"/>
      <c r="K56" s="47"/>
      <c r="L56" s="49"/>
      <c r="T56" s="47"/>
      <c r="U56" s="49"/>
      <c r="AC56" s="47"/>
      <c r="AD56" s="49"/>
      <c r="AL56" s="47"/>
      <c r="AM56" s="49"/>
      <c r="BI56" s="47"/>
      <c r="BK56" s="38"/>
      <c r="BM56" s="4">
        <f t="shared" si="1"/>
        <v>48</v>
      </c>
    </row>
    <row r="57" spans="1:65" s="36" customFormat="1" ht="15" customHeight="1" x14ac:dyDescent="0.25">
      <c r="A57" s="37"/>
      <c r="B57" s="49"/>
      <c r="K57" s="47"/>
      <c r="L57" s="49"/>
      <c r="T57" s="47"/>
      <c r="U57" s="49"/>
      <c r="AC57" s="47"/>
      <c r="AD57" s="49"/>
      <c r="AL57" s="47"/>
      <c r="AM57" s="49"/>
      <c r="BI57" s="47"/>
      <c r="BK57" s="38"/>
      <c r="BM57" s="4">
        <f t="shared" si="1"/>
        <v>49</v>
      </c>
    </row>
    <row r="58" spans="1:65" s="36" customFormat="1" ht="15" customHeight="1" x14ac:dyDescent="0.25">
      <c r="A58" s="37"/>
      <c r="B58" s="49"/>
      <c r="K58" s="47"/>
      <c r="L58" s="49"/>
      <c r="T58" s="47"/>
      <c r="U58" s="49"/>
      <c r="AC58" s="47"/>
      <c r="AD58" s="49"/>
      <c r="AL58" s="47"/>
      <c r="AM58" s="49"/>
      <c r="BI58" s="47"/>
      <c r="BK58" s="38"/>
      <c r="BM58" s="4">
        <f t="shared" si="1"/>
        <v>50</v>
      </c>
    </row>
    <row r="59" spans="1:65" s="36" customFormat="1" ht="15" customHeight="1" x14ac:dyDescent="0.25">
      <c r="A59" s="37"/>
      <c r="B59" s="49"/>
      <c r="K59" s="47"/>
      <c r="L59" s="49"/>
      <c r="T59" s="47"/>
      <c r="U59" s="49"/>
      <c r="AC59" s="47"/>
      <c r="AD59" s="49"/>
      <c r="AL59" s="47"/>
      <c r="AM59" s="49"/>
      <c r="BI59" s="47"/>
      <c r="BK59" s="38"/>
      <c r="BM59" s="4">
        <f t="shared" si="1"/>
        <v>1</v>
      </c>
    </row>
    <row r="60" spans="1:65" s="36" customFormat="1" ht="15" customHeight="1" x14ac:dyDescent="0.25">
      <c r="A60" s="37"/>
      <c r="B60" s="49"/>
      <c r="K60" s="47"/>
      <c r="L60" s="49"/>
      <c r="T60" s="47"/>
      <c r="U60" s="49"/>
      <c r="AC60" s="47"/>
      <c r="AD60" s="49"/>
      <c r="AL60" s="47"/>
      <c r="AM60" s="49"/>
      <c r="BI60" s="47"/>
      <c r="BK60" s="38"/>
      <c r="BM60" s="4">
        <f t="shared" si="1"/>
        <v>2</v>
      </c>
    </row>
    <row r="61" spans="1:65" s="36" customFormat="1" ht="15" customHeight="1" x14ac:dyDescent="0.25">
      <c r="A61" s="37"/>
      <c r="B61" s="49"/>
      <c r="K61" s="47"/>
      <c r="L61" s="49"/>
      <c r="T61" s="47"/>
      <c r="U61" s="49"/>
      <c r="AC61" s="47"/>
      <c r="AD61" s="49"/>
      <c r="AL61" s="47"/>
      <c r="AM61" s="49"/>
      <c r="BI61" s="47"/>
      <c r="BK61" s="38"/>
      <c r="BM61" s="4">
        <f t="shared" si="1"/>
        <v>3</v>
      </c>
    </row>
    <row r="62" spans="1:65" s="36" customFormat="1" ht="15" customHeight="1" x14ac:dyDescent="0.25">
      <c r="A62" s="37"/>
      <c r="B62" s="49"/>
      <c r="K62" s="47"/>
      <c r="L62" s="49"/>
      <c r="T62" s="47"/>
      <c r="U62" s="49"/>
      <c r="AC62" s="47"/>
      <c r="AD62" s="49"/>
      <c r="AL62" s="47"/>
      <c r="AM62" s="49"/>
      <c r="BI62" s="47"/>
      <c r="BK62" s="38"/>
      <c r="BM62" s="4">
        <f t="shared" si="1"/>
        <v>4</v>
      </c>
    </row>
    <row r="63" spans="1:65" s="36" customFormat="1" ht="15" customHeight="1" x14ac:dyDescent="0.25">
      <c r="A63" s="37"/>
      <c r="B63" s="49"/>
      <c r="K63" s="47"/>
      <c r="L63" s="49"/>
      <c r="T63" s="47"/>
      <c r="U63" s="49"/>
      <c r="AC63" s="47"/>
      <c r="AD63" s="49"/>
      <c r="AL63" s="47"/>
      <c r="AM63" s="49"/>
      <c r="BI63" s="47"/>
      <c r="BK63" s="38"/>
      <c r="BM63" s="4">
        <f t="shared" si="1"/>
        <v>5</v>
      </c>
    </row>
    <row r="64" spans="1:65" s="36" customFormat="1" ht="15" customHeight="1" x14ac:dyDescent="0.25">
      <c r="A64" s="37"/>
      <c r="B64" s="49"/>
      <c r="K64" s="47"/>
      <c r="L64" s="49"/>
      <c r="T64" s="47"/>
      <c r="U64" s="49"/>
      <c r="AC64" s="47"/>
      <c r="AD64" s="49"/>
      <c r="AL64" s="47"/>
      <c r="AM64" s="49"/>
      <c r="BI64" s="47"/>
      <c r="BK64" s="38"/>
      <c r="BM64" s="4">
        <f t="shared" si="1"/>
        <v>6</v>
      </c>
    </row>
    <row r="65" spans="1:65" s="36" customFormat="1" ht="15" customHeight="1" x14ac:dyDescent="0.25">
      <c r="A65" s="37"/>
      <c r="B65" s="49"/>
      <c r="K65" s="47"/>
      <c r="L65" s="49"/>
      <c r="T65" s="47"/>
      <c r="U65" s="49"/>
      <c r="AC65" s="47"/>
      <c r="AD65" s="49"/>
      <c r="AL65" s="47"/>
      <c r="AM65" s="49"/>
      <c r="BI65" s="47"/>
      <c r="BK65" s="38"/>
      <c r="BM65" s="4">
        <f t="shared" si="1"/>
        <v>7</v>
      </c>
    </row>
    <row r="66" spans="1:65" s="36" customFormat="1" ht="15" customHeight="1" x14ac:dyDescent="0.25">
      <c r="A66" s="37"/>
      <c r="B66" s="50" t="s">
        <v>20</v>
      </c>
      <c r="C66" s="51"/>
      <c r="D66" s="51"/>
      <c r="E66" s="51"/>
      <c r="F66" s="51"/>
      <c r="G66" s="51"/>
      <c r="H66" s="51"/>
      <c r="I66" s="51"/>
      <c r="J66" s="51"/>
      <c r="K66" s="52"/>
      <c r="L66" s="50"/>
      <c r="M66" s="51"/>
      <c r="N66" s="51"/>
      <c r="O66" s="51"/>
      <c r="P66" s="51"/>
      <c r="Q66" s="51"/>
      <c r="R66" s="51"/>
      <c r="S66" s="51"/>
      <c r="T66" s="52"/>
      <c r="U66" s="50"/>
      <c r="V66" s="51"/>
      <c r="W66" s="51"/>
      <c r="X66" s="51"/>
      <c r="Y66" s="51"/>
      <c r="Z66" s="51"/>
      <c r="AA66" s="51"/>
      <c r="AB66" s="51"/>
      <c r="AC66" s="52"/>
      <c r="AD66" s="50"/>
      <c r="AE66" s="51"/>
      <c r="AF66" s="51"/>
      <c r="AG66" s="51"/>
      <c r="AH66" s="51"/>
      <c r="AI66" s="51"/>
      <c r="AJ66" s="51"/>
      <c r="AK66" s="51"/>
      <c r="AL66" s="52"/>
      <c r="AM66" s="50"/>
      <c r="AN66" s="51"/>
      <c r="AO66" s="51"/>
      <c r="AP66" s="51"/>
      <c r="AQ66" s="51"/>
      <c r="AR66" s="51"/>
      <c r="AS66" s="51"/>
      <c r="AT66" s="51"/>
      <c r="AU66" s="51"/>
      <c r="AV66" s="51"/>
      <c r="AW66" s="51"/>
      <c r="AX66" s="51"/>
      <c r="AY66" s="51"/>
      <c r="AZ66" s="51"/>
      <c r="BA66" s="51"/>
      <c r="BB66" s="51"/>
      <c r="BC66" s="51"/>
      <c r="BD66" s="51"/>
      <c r="BE66" s="51"/>
      <c r="BF66" s="51"/>
      <c r="BG66" s="51"/>
      <c r="BH66" s="51"/>
      <c r="BI66" s="52"/>
      <c r="BJ66" s="51"/>
      <c r="BK66" s="38"/>
      <c r="BM66" s="4">
        <f t="shared" si="1"/>
        <v>8</v>
      </c>
    </row>
    <row r="67" spans="1:65" s="36" customFormat="1" ht="15" customHeight="1" x14ac:dyDescent="0.25">
      <c r="A67" s="37"/>
      <c r="B67" s="49"/>
      <c r="K67" s="47"/>
      <c r="L67" s="49"/>
      <c r="T67" s="47"/>
      <c r="U67" s="49"/>
      <c r="AC67" s="47"/>
      <c r="AD67" s="49"/>
      <c r="AL67" s="47"/>
      <c r="AM67" s="49"/>
      <c r="BI67" s="47"/>
      <c r="BK67" s="38"/>
      <c r="BM67" s="4">
        <f t="shared" si="1"/>
        <v>9</v>
      </c>
    </row>
    <row r="68" spans="1:65" s="36" customFormat="1" ht="15" customHeight="1" x14ac:dyDescent="0.25">
      <c r="A68" s="37"/>
      <c r="B68" s="49"/>
      <c r="K68" s="47"/>
      <c r="L68" s="49"/>
      <c r="T68" s="47"/>
      <c r="U68" s="49"/>
      <c r="AC68" s="47"/>
      <c r="AD68" s="49"/>
      <c r="AL68" s="47"/>
      <c r="AM68" s="49"/>
      <c r="BI68" s="47"/>
      <c r="BK68" s="38"/>
      <c r="BM68" s="4">
        <f t="shared" si="1"/>
        <v>10</v>
      </c>
    </row>
    <row r="69" spans="1:65" s="36" customFormat="1" ht="15" customHeight="1" x14ac:dyDescent="0.25">
      <c r="A69" s="37"/>
      <c r="B69" s="46"/>
      <c r="K69" s="47"/>
      <c r="L69" s="49"/>
      <c r="T69" s="47"/>
      <c r="U69" s="49"/>
      <c r="AC69" s="47"/>
      <c r="AD69" s="49"/>
      <c r="AL69" s="47"/>
      <c r="AM69" s="49"/>
      <c r="BI69" s="47"/>
      <c r="BK69" s="38"/>
      <c r="BM69" s="4">
        <f t="shared" si="1"/>
        <v>11</v>
      </c>
    </row>
    <row r="70" spans="1:65" s="36" customFormat="1" ht="15" customHeight="1" x14ac:dyDescent="0.25">
      <c r="A70" s="37"/>
      <c r="B70" s="46"/>
      <c r="K70" s="47"/>
      <c r="L70" s="49"/>
      <c r="T70" s="47"/>
      <c r="U70" s="49"/>
      <c r="AC70" s="47"/>
      <c r="AD70" s="49"/>
      <c r="AL70" s="47"/>
      <c r="AM70" s="49"/>
      <c r="BI70" s="47"/>
      <c r="BK70" s="38"/>
      <c r="BM70" s="4">
        <f t="shared" si="1"/>
        <v>12</v>
      </c>
    </row>
    <row r="71" spans="1:65" s="36" customFormat="1" ht="15" customHeight="1" x14ac:dyDescent="0.25">
      <c r="A71" s="37"/>
      <c r="B71" s="46"/>
      <c r="K71" s="47"/>
      <c r="L71" s="49"/>
      <c r="T71" s="47"/>
      <c r="U71" s="49"/>
      <c r="AC71" s="47"/>
      <c r="AD71" s="49"/>
      <c r="AL71" s="47"/>
      <c r="AM71" s="49"/>
      <c r="BI71" s="47"/>
      <c r="BK71" s="38"/>
      <c r="BM71" s="4">
        <f t="shared" si="1"/>
        <v>13</v>
      </c>
    </row>
    <row r="72" spans="1:65" s="36" customFormat="1" ht="15" customHeight="1" x14ac:dyDescent="0.25">
      <c r="A72" s="37"/>
      <c r="B72" s="46"/>
      <c r="K72" s="47"/>
      <c r="L72" s="49"/>
      <c r="T72" s="47"/>
      <c r="U72" s="49"/>
      <c r="AC72" s="47"/>
      <c r="AD72" s="49"/>
      <c r="AL72" s="47"/>
      <c r="AM72" s="49"/>
      <c r="BI72" s="47"/>
      <c r="BK72" s="38"/>
      <c r="BM72" s="4">
        <f t="shared" si="1"/>
        <v>14</v>
      </c>
    </row>
    <row r="73" spans="1:65" s="36" customFormat="1" ht="15" customHeight="1" x14ac:dyDescent="0.25">
      <c r="A73" s="37"/>
      <c r="B73" s="49"/>
      <c r="K73" s="47"/>
      <c r="L73" s="49"/>
      <c r="T73" s="47"/>
      <c r="U73" s="49"/>
      <c r="AC73" s="47"/>
      <c r="AD73" s="49"/>
      <c r="AL73" s="47"/>
      <c r="AM73" s="49"/>
      <c r="BI73" s="47"/>
      <c r="BK73" s="38"/>
      <c r="BM73" s="4">
        <f t="shared" si="1"/>
        <v>15</v>
      </c>
    </row>
    <row r="74" spans="1:65" s="36" customFormat="1" ht="15" customHeight="1" x14ac:dyDescent="0.25">
      <c r="A74" s="37"/>
      <c r="B74" s="49"/>
      <c r="K74" s="47"/>
      <c r="L74" s="49"/>
      <c r="T74" s="47"/>
      <c r="U74" s="49"/>
      <c r="AC74" s="47"/>
      <c r="AD74" s="49"/>
      <c r="AL74" s="47"/>
      <c r="AM74" s="49"/>
      <c r="BI74" s="47"/>
      <c r="BK74" s="38"/>
      <c r="BM74" s="4">
        <f t="shared" si="1"/>
        <v>16</v>
      </c>
    </row>
    <row r="75" spans="1:65" s="36" customFormat="1" ht="15" customHeight="1" x14ac:dyDescent="0.25">
      <c r="A75" s="37"/>
      <c r="B75" s="49"/>
      <c r="K75" s="47"/>
      <c r="L75" s="49"/>
      <c r="T75" s="47"/>
      <c r="U75" s="49"/>
      <c r="AC75" s="47"/>
      <c r="AL75" s="47"/>
      <c r="AM75" s="49"/>
      <c r="BI75" s="47"/>
      <c r="BK75" s="38"/>
      <c r="BM75" s="4">
        <f t="shared" si="1"/>
        <v>17</v>
      </c>
    </row>
    <row r="76" spans="1:65" s="36" customFormat="1" ht="15" customHeight="1" x14ac:dyDescent="0.25">
      <c r="A76" s="37"/>
      <c r="B76" s="49"/>
      <c r="K76" s="47"/>
      <c r="L76" s="49"/>
      <c r="T76" s="47"/>
      <c r="U76" s="49"/>
      <c r="AC76" s="47"/>
      <c r="AD76" s="49"/>
      <c r="AL76" s="47"/>
      <c r="AM76" s="49"/>
      <c r="BI76" s="47"/>
      <c r="BK76" s="38"/>
      <c r="BM76" s="4">
        <f t="shared" si="1"/>
        <v>18</v>
      </c>
    </row>
    <row r="77" spans="1:65" s="36" customFormat="1" ht="15" customHeight="1" x14ac:dyDescent="0.25">
      <c r="A77" s="37"/>
      <c r="B77" s="49"/>
      <c r="K77" s="47"/>
      <c r="L77" s="49"/>
      <c r="T77" s="47"/>
      <c r="U77" s="49"/>
      <c r="AC77" s="47"/>
      <c r="AD77" s="49"/>
      <c r="AL77" s="47"/>
      <c r="AM77" s="49"/>
      <c r="BI77" s="47"/>
      <c r="BK77" s="38"/>
      <c r="BM77" s="4">
        <f t="shared" si="1"/>
        <v>19</v>
      </c>
    </row>
    <row r="78" spans="1:65" s="36" customFormat="1" ht="15" customHeight="1" x14ac:dyDescent="0.25">
      <c r="A78" s="37"/>
      <c r="B78" s="49"/>
      <c r="K78" s="47"/>
      <c r="L78" s="49"/>
      <c r="T78" s="47"/>
      <c r="U78" s="49"/>
      <c r="AC78" s="47"/>
      <c r="AD78" s="49"/>
      <c r="AL78" s="47"/>
      <c r="AM78" s="49"/>
      <c r="BI78" s="47"/>
      <c r="BK78" s="38"/>
      <c r="BM78" s="4">
        <f t="shared" si="1"/>
        <v>20</v>
      </c>
    </row>
    <row r="79" spans="1:65" s="36" customFormat="1" ht="15" customHeight="1" x14ac:dyDescent="0.25">
      <c r="A79" s="37"/>
      <c r="B79" s="49"/>
      <c r="K79" s="47"/>
      <c r="L79" s="49"/>
      <c r="T79" s="47"/>
      <c r="U79" s="49"/>
      <c r="AC79" s="47"/>
      <c r="AD79" s="49"/>
      <c r="AL79" s="47"/>
      <c r="AM79" s="49"/>
      <c r="BI79" s="47"/>
      <c r="BK79" s="38"/>
      <c r="BM79" s="4">
        <f t="shared" si="1"/>
        <v>21</v>
      </c>
    </row>
    <row r="80" spans="1:65" s="36" customFormat="1" ht="15" customHeight="1" x14ac:dyDescent="0.25">
      <c r="A80" s="37"/>
      <c r="B80" s="49"/>
      <c r="K80" s="47"/>
      <c r="L80" s="49"/>
      <c r="T80" s="47"/>
      <c r="U80" s="49"/>
      <c r="AC80" s="47"/>
      <c r="AD80" s="49"/>
      <c r="AL80" s="47"/>
      <c r="AM80" s="49"/>
      <c r="BI80" s="47"/>
      <c r="BK80" s="38"/>
      <c r="BM80" s="4">
        <f t="shared" si="1"/>
        <v>22</v>
      </c>
    </row>
    <row r="81" spans="1:65" s="36" customFormat="1" ht="15" customHeight="1" x14ac:dyDescent="0.25">
      <c r="A81" s="37"/>
      <c r="B81" s="49"/>
      <c r="K81" s="47"/>
      <c r="L81" s="49"/>
      <c r="T81" s="47"/>
      <c r="U81" s="49"/>
      <c r="AC81" s="47"/>
      <c r="AD81" s="49"/>
      <c r="AL81" s="47"/>
      <c r="AM81" s="49"/>
      <c r="BI81" s="47"/>
      <c r="BK81" s="38"/>
      <c r="BM81" s="4">
        <f t="shared" si="1"/>
        <v>23</v>
      </c>
    </row>
    <row r="82" spans="1:65" s="36" customFormat="1" ht="15" customHeight="1" x14ac:dyDescent="0.25">
      <c r="A82" s="37"/>
      <c r="B82" s="49"/>
      <c r="K82" s="47"/>
      <c r="L82" s="49"/>
      <c r="T82" s="47"/>
      <c r="U82" s="49"/>
      <c r="AC82" s="47"/>
      <c r="AD82" s="49"/>
      <c r="AL82" s="47"/>
      <c r="AM82" s="49"/>
      <c r="BI82" s="47"/>
      <c r="BK82" s="38"/>
      <c r="BM82" s="4">
        <f t="shared" si="1"/>
        <v>24</v>
      </c>
    </row>
    <row r="83" spans="1:65" s="36" customFormat="1" ht="15" customHeight="1" x14ac:dyDescent="0.25">
      <c r="A83" s="37"/>
      <c r="B83" s="49"/>
      <c r="K83" s="47"/>
      <c r="L83" s="49"/>
      <c r="T83" s="47"/>
      <c r="U83" s="49"/>
      <c r="AC83" s="47"/>
      <c r="AD83" s="49"/>
      <c r="AL83" s="47"/>
      <c r="AM83" s="49"/>
      <c r="BI83" s="47"/>
      <c r="BK83" s="38"/>
      <c r="BM83" s="4">
        <f t="shared" si="1"/>
        <v>25</v>
      </c>
    </row>
    <row r="84" spans="1:65" s="36" customFormat="1" ht="15" customHeight="1" x14ac:dyDescent="0.25">
      <c r="A84" s="37"/>
      <c r="B84" s="49"/>
      <c r="K84" s="47"/>
      <c r="L84" s="49"/>
      <c r="T84" s="47"/>
      <c r="U84" s="49"/>
      <c r="AC84" s="47"/>
      <c r="AD84" s="49"/>
      <c r="AL84" s="47"/>
      <c r="AM84" s="49"/>
      <c r="BI84" s="47"/>
      <c r="BK84" s="38"/>
      <c r="BM84" s="4">
        <f t="shared" si="1"/>
        <v>26</v>
      </c>
    </row>
    <row r="85" spans="1:65" s="36" customFormat="1" ht="15" customHeight="1" x14ac:dyDescent="0.25">
      <c r="A85" s="37"/>
      <c r="B85" s="49"/>
      <c r="K85" s="47"/>
      <c r="L85" s="49"/>
      <c r="T85" s="47"/>
      <c r="U85" s="49"/>
      <c r="AC85" s="47"/>
      <c r="AD85" s="49"/>
      <c r="AL85" s="47"/>
      <c r="AM85" s="49"/>
      <c r="BI85" s="47"/>
      <c r="BK85" s="38"/>
      <c r="BM85" s="4">
        <f t="shared" si="1"/>
        <v>27</v>
      </c>
    </row>
    <row r="86" spans="1:65" s="36" customFormat="1" ht="15" customHeight="1" x14ac:dyDescent="0.25">
      <c r="A86" s="37"/>
      <c r="B86" s="49"/>
      <c r="K86" s="47"/>
      <c r="L86" s="49"/>
      <c r="T86" s="47"/>
      <c r="U86" s="49"/>
      <c r="AC86" s="47"/>
      <c r="AD86" s="49"/>
      <c r="AL86" s="47"/>
      <c r="AM86" s="49"/>
      <c r="BI86" s="47"/>
      <c r="BK86" s="38"/>
      <c r="BM86" s="4">
        <f t="shared" si="1"/>
        <v>28</v>
      </c>
    </row>
    <row r="87" spans="1:65" s="36" customFormat="1" ht="15" customHeight="1" x14ac:dyDescent="0.25">
      <c r="A87" s="37"/>
      <c r="B87" s="49"/>
      <c r="K87" s="47"/>
      <c r="L87" s="49"/>
      <c r="T87" s="47"/>
      <c r="U87" s="49"/>
      <c r="AC87" s="47"/>
      <c r="AD87" s="49"/>
      <c r="AL87" s="47"/>
      <c r="AM87" s="49"/>
      <c r="BI87" s="47"/>
      <c r="BK87" s="38"/>
      <c r="BM87" s="4">
        <f t="shared" si="1"/>
        <v>29</v>
      </c>
    </row>
    <row r="88" spans="1:65" s="36" customFormat="1" ht="15" customHeight="1" x14ac:dyDescent="0.25">
      <c r="A88" s="37"/>
      <c r="B88" s="49"/>
      <c r="K88" s="47"/>
      <c r="L88" s="49"/>
      <c r="T88" s="47"/>
      <c r="U88" s="49"/>
      <c r="AC88" s="47"/>
      <c r="AD88" s="49"/>
      <c r="AL88" s="47"/>
      <c r="AM88" s="49"/>
      <c r="BI88" s="47"/>
      <c r="BK88" s="38"/>
      <c r="BM88" s="4">
        <f t="shared" ref="BM88:BM92" si="2">IF(BM87=50,1,BM87+1)</f>
        <v>30</v>
      </c>
    </row>
    <row r="89" spans="1:65" s="36" customFormat="1" ht="15" customHeight="1" x14ac:dyDescent="0.25">
      <c r="A89" s="37"/>
      <c r="B89" s="49"/>
      <c r="K89" s="47"/>
      <c r="L89" s="49"/>
      <c r="T89" s="47"/>
      <c r="U89" s="49"/>
      <c r="AC89" s="47"/>
      <c r="AD89" s="49"/>
      <c r="AL89" s="47"/>
      <c r="AM89" s="49"/>
      <c r="BI89" s="47"/>
      <c r="BK89" s="38"/>
      <c r="BM89" s="4">
        <f t="shared" si="2"/>
        <v>31</v>
      </c>
    </row>
    <row r="90" spans="1:65" s="36" customFormat="1" ht="15" customHeight="1" x14ac:dyDescent="0.25">
      <c r="A90" s="37"/>
      <c r="B90" s="49"/>
      <c r="K90" s="47"/>
      <c r="L90" s="49"/>
      <c r="T90" s="47"/>
      <c r="U90" s="49"/>
      <c r="AC90" s="47"/>
      <c r="AD90" s="49"/>
      <c r="AL90" s="47"/>
      <c r="AM90" s="49"/>
      <c r="BI90" s="47"/>
      <c r="BK90" s="38"/>
      <c r="BM90" s="4">
        <f t="shared" si="2"/>
        <v>32</v>
      </c>
    </row>
    <row r="91" spans="1:65" s="36" customFormat="1" ht="15" customHeight="1" x14ac:dyDescent="0.25">
      <c r="A91" s="37"/>
      <c r="B91" s="49"/>
      <c r="K91" s="47"/>
      <c r="L91" s="49"/>
      <c r="T91" s="47"/>
      <c r="U91" s="49"/>
      <c r="AC91" s="47"/>
      <c r="AD91" s="49"/>
      <c r="AL91" s="47"/>
      <c r="AM91" s="49"/>
      <c r="BI91" s="47"/>
      <c r="BK91" s="38"/>
      <c r="BM91" s="4">
        <f t="shared" si="2"/>
        <v>33</v>
      </c>
    </row>
    <row r="92" spans="1:65" s="36" customFormat="1" ht="15" customHeight="1" x14ac:dyDescent="0.25">
      <c r="A92" s="37"/>
      <c r="B92" s="49"/>
      <c r="K92" s="47"/>
      <c r="L92" s="49"/>
      <c r="T92" s="47"/>
      <c r="U92" s="49"/>
      <c r="AC92" s="47"/>
      <c r="AD92" s="49"/>
      <c r="AL92" s="47"/>
      <c r="AM92" s="49"/>
      <c r="BI92" s="47"/>
      <c r="BK92" s="38"/>
      <c r="BM92" s="4">
        <f t="shared" si="2"/>
        <v>34</v>
      </c>
    </row>
    <row r="93" spans="1:65" s="36" customFormat="1" ht="15" customHeight="1" x14ac:dyDescent="0.25">
      <c r="A93" s="37"/>
      <c r="B93" s="49"/>
      <c r="K93" s="47"/>
      <c r="L93" s="49"/>
      <c r="T93" s="47"/>
      <c r="U93" s="49"/>
      <c r="AC93" s="47"/>
      <c r="AD93" s="49"/>
      <c r="AL93" s="47"/>
      <c r="AM93" s="49"/>
      <c r="BI93" s="47"/>
      <c r="BK93" s="38"/>
      <c r="BM93" s="4">
        <f t="shared" ref="BM93:BM101" si="3">IF(BM92=50,1,BM92+1)</f>
        <v>35</v>
      </c>
    </row>
    <row r="94" spans="1:65" s="36" customFormat="1" ht="15" customHeight="1" x14ac:dyDescent="0.25">
      <c r="A94" s="37"/>
      <c r="B94" s="49"/>
      <c r="K94" s="47"/>
      <c r="L94" s="49"/>
      <c r="T94" s="47"/>
      <c r="U94" s="49"/>
      <c r="AC94" s="47"/>
      <c r="AD94" s="49"/>
      <c r="AL94" s="47"/>
      <c r="AM94" s="49"/>
      <c r="BI94" s="47"/>
      <c r="BK94" s="38"/>
      <c r="BM94" s="4">
        <f t="shared" si="3"/>
        <v>36</v>
      </c>
    </row>
    <row r="95" spans="1:65" s="36" customFormat="1" ht="15" customHeight="1" x14ac:dyDescent="0.25">
      <c r="A95" s="37"/>
      <c r="B95" s="49"/>
      <c r="K95" s="47"/>
      <c r="L95" s="49"/>
      <c r="T95" s="47"/>
      <c r="U95" s="49"/>
      <c r="AC95" s="47"/>
      <c r="AD95" s="49"/>
      <c r="AL95" s="47"/>
      <c r="AM95" s="49"/>
      <c r="BI95" s="47"/>
      <c r="BK95" s="38"/>
      <c r="BM95" s="4">
        <f t="shared" si="3"/>
        <v>37</v>
      </c>
    </row>
    <row r="96" spans="1:65" s="36" customFormat="1" ht="15" customHeight="1" x14ac:dyDescent="0.25">
      <c r="A96" s="37"/>
      <c r="B96" s="49"/>
      <c r="K96" s="47"/>
      <c r="L96" s="49"/>
      <c r="T96" s="47"/>
      <c r="U96" s="49"/>
      <c r="AC96" s="47"/>
      <c r="AD96" s="49"/>
      <c r="AL96" s="47"/>
      <c r="AM96" s="49"/>
      <c r="BI96" s="47"/>
      <c r="BK96" s="38"/>
      <c r="BM96" s="4">
        <f t="shared" si="3"/>
        <v>38</v>
      </c>
    </row>
    <row r="97" spans="1:65" s="36" customFormat="1" ht="15" customHeight="1" x14ac:dyDescent="0.25">
      <c r="A97" s="37"/>
      <c r="B97" s="49"/>
      <c r="K97" s="47"/>
      <c r="L97" s="49"/>
      <c r="T97" s="47"/>
      <c r="U97" s="49"/>
      <c r="AC97" s="47"/>
      <c r="AD97" s="49"/>
      <c r="AL97" s="47"/>
      <c r="AM97" s="49"/>
      <c r="BI97" s="47"/>
      <c r="BK97" s="38"/>
      <c r="BM97" s="4">
        <f t="shared" si="3"/>
        <v>39</v>
      </c>
    </row>
    <row r="98" spans="1:65" s="36" customFormat="1" ht="15" customHeight="1" x14ac:dyDescent="0.25">
      <c r="A98" s="37"/>
      <c r="B98" s="49"/>
      <c r="K98" s="47"/>
      <c r="L98" s="49"/>
      <c r="T98" s="47"/>
      <c r="U98" s="49"/>
      <c r="AC98" s="47"/>
      <c r="AD98" s="49"/>
      <c r="AL98" s="47"/>
      <c r="AM98" s="49"/>
      <c r="BI98" s="47"/>
      <c r="BK98" s="38"/>
      <c r="BM98" s="4">
        <f t="shared" si="3"/>
        <v>40</v>
      </c>
    </row>
    <row r="99" spans="1:65" s="36" customFormat="1" ht="15" customHeight="1" x14ac:dyDescent="0.25">
      <c r="A99" s="37"/>
      <c r="B99" s="49"/>
      <c r="K99" s="47"/>
      <c r="L99" s="49"/>
      <c r="T99" s="47"/>
      <c r="U99" s="49"/>
      <c r="AC99" s="47"/>
      <c r="AD99" s="49"/>
      <c r="AL99" s="47"/>
      <c r="AM99" s="49"/>
      <c r="BI99" s="47"/>
      <c r="BK99" s="38"/>
      <c r="BM99" s="4">
        <f t="shared" si="3"/>
        <v>41</v>
      </c>
    </row>
    <row r="100" spans="1:65" s="36" customFormat="1" ht="15" customHeight="1" x14ac:dyDescent="0.25">
      <c r="A100" s="37"/>
      <c r="B100" s="49"/>
      <c r="K100" s="47"/>
      <c r="L100" s="49"/>
      <c r="T100" s="47"/>
      <c r="U100" s="49"/>
      <c r="AC100" s="47"/>
      <c r="AD100" s="49"/>
      <c r="AL100" s="47"/>
      <c r="AM100" s="49"/>
      <c r="BI100" s="47"/>
      <c r="BK100" s="38"/>
      <c r="BM100" s="4">
        <f t="shared" si="3"/>
        <v>42</v>
      </c>
    </row>
    <row r="101" spans="1:65" s="36" customFormat="1" ht="15" customHeight="1" x14ac:dyDescent="0.25">
      <c r="A101" s="37"/>
      <c r="B101" s="49"/>
      <c r="K101" s="47"/>
      <c r="L101" s="49"/>
      <c r="T101" s="47"/>
      <c r="U101" s="49"/>
      <c r="AC101" s="47"/>
      <c r="AD101" s="49"/>
      <c r="AL101" s="47"/>
      <c r="AM101" s="49"/>
      <c r="BI101" s="47"/>
      <c r="BK101" s="38"/>
      <c r="BM101" s="4">
        <f t="shared" si="3"/>
        <v>43</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33"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A6FE1-51B1-40F5-9E90-EE231A5AF5E1}">
  <sheetPr>
    <tabColor rgb="FF00B050"/>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181" customWidth="1"/>
    <col min="64" max="16384" width="10.109375" style="181"/>
  </cols>
  <sheetData>
    <row r="1" spans="1:63" s="8" customFormat="1" ht="24.95" customHeight="1" x14ac:dyDescent="0.25">
      <c r="A1" s="70" t="s">
        <v>23</v>
      </c>
      <c r="B1" s="71"/>
      <c r="C1" s="71"/>
      <c r="D1" s="71"/>
      <c r="E1" s="71"/>
      <c r="F1" s="71"/>
      <c r="G1" s="71"/>
      <c r="H1" s="71"/>
      <c r="I1" s="71"/>
      <c r="J1" s="72"/>
      <c r="K1" s="70" t="s">
        <v>24</v>
      </c>
      <c r="L1" s="71"/>
      <c r="M1" s="71"/>
      <c r="N1" s="71"/>
      <c r="O1" s="71"/>
      <c r="P1" s="71"/>
      <c r="Q1" s="71"/>
      <c r="R1" s="71"/>
      <c r="S1" s="71"/>
      <c r="T1" s="71"/>
      <c r="U1" s="71"/>
      <c r="V1" s="72"/>
      <c r="W1" s="91" t="str">
        <f>IF([1]表紙!W1="","",[1]表紙!W1)</f>
        <v>基本設計書</v>
      </c>
      <c r="X1" s="92"/>
      <c r="Y1" s="92"/>
      <c r="Z1" s="92"/>
      <c r="AA1" s="92"/>
      <c r="AB1" s="92"/>
      <c r="AC1" s="92"/>
      <c r="AD1" s="92"/>
      <c r="AE1" s="92"/>
      <c r="AF1" s="92"/>
      <c r="AG1" s="92"/>
      <c r="AH1" s="92"/>
      <c r="AI1" s="92"/>
      <c r="AJ1" s="92"/>
      <c r="AK1" s="92"/>
      <c r="AL1" s="92"/>
      <c r="AM1" s="92"/>
      <c r="AN1" s="92"/>
      <c r="AO1" s="93"/>
      <c r="AP1" s="70" t="s">
        <v>26</v>
      </c>
      <c r="AQ1" s="71"/>
      <c r="AR1" s="71"/>
      <c r="AS1" s="72"/>
      <c r="AT1" s="70" t="s">
        <v>27</v>
      </c>
      <c r="AU1" s="71"/>
      <c r="AV1" s="71"/>
      <c r="AW1" s="71"/>
      <c r="AX1" s="72"/>
      <c r="AY1" s="70" t="s">
        <v>28</v>
      </c>
      <c r="AZ1" s="71"/>
      <c r="BA1" s="71"/>
      <c r="BB1" s="72"/>
      <c r="BC1" s="70" t="s">
        <v>29</v>
      </c>
      <c r="BD1" s="71"/>
      <c r="BE1" s="71"/>
      <c r="BF1" s="71"/>
      <c r="BG1" s="72"/>
      <c r="BH1" s="70" t="s">
        <v>30</v>
      </c>
      <c r="BI1" s="71"/>
      <c r="BJ1" s="71"/>
      <c r="BK1" s="72"/>
    </row>
    <row r="2" spans="1:63" s="8" customFormat="1" ht="15" customHeight="1" x14ac:dyDescent="0.25">
      <c r="A2" s="55" t="str">
        <f>IF([1]表紙!A2="","",[1]表紙!A2)</f>
        <v>POSサーバー</v>
      </c>
      <c r="B2" s="56"/>
      <c r="C2" s="56"/>
      <c r="D2" s="56"/>
      <c r="E2" s="56"/>
      <c r="F2" s="56"/>
      <c r="G2" s="56"/>
      <c r="H2" s="56"/>
      <c r="I2" s="56"/>
      <c r="J2" s="57"/>
      <c r="K2" s="55" t="str">
        <f>IF([1]表紙!K2="","",[1]表紙!K2)</f>
        <v>POSサーバー</v>
      </c>
      <c r="L2" s="56"/>
      <c r="M2" s="56"/>
      <c r="N2" s="56"/>
      <c r="O2" s="56"/>
      <c r="P2" s="56"/>
      <c r="Q2" s="56"/>
      <c r="R2" s="56"/>
      <c r="S2" s="56"/>
      <c r="T2" s="56"/>
      <c r="U2" s="56"/>
      <c r="V2" s="57"/>
      <c r="W2" s="94"/>
      <c r="X2" s="95"/>
      <c r="Y2" s="95"/>
      <c r="Z2" s="95"/>
      <c r="AA2" s="95"/>
      <c r="AB2" s="95"/>
      <c r="AC2" s="95"/>
      <c r="AD2" s="95"/>
      <c r="AE2" s="95"/>
      <c r="AF2" s="95"/>
      <c r="AG2" s="95"/>
      <c r="AH2" s="95"/>
      <c r="AI2" s="95"/>
      <c r="AJ2" s="95"/>
      <c r="AK2" s="95"/>
      <c r="AL2" s="95"/>
      <c r="AM2" s="95"/>
      <c r="AN2" s="95"/>
      <c r="AO2" s="96"/>
      <c r="AP2" s="55" t="str">
        <f>IF([1]表紙!AP2="","",[1]表紙!AP2)</f>
        <v>DuNT</v>
      </c>
      <c r="AQ2" s="56"/>
      <c r="AR2" s="56"/>
      <c r="AS2" s="57"/>
      <c r="AT2" s="84">
        <f>IF([1]表紙!AT2="","",[1]表紙!AT2)</f>
        <v>45435</v>
      </c>
      <c r="AU2" s="85"/>
      <c r="AV2" s="85"/>
      <c r="AW2" s="85"/>
      <c r="AX2" s="86"/>
      <c r="AY2" s="55" t="str">
        <f>IF([1]表紙!AY2="","",[1]表紙!AY2)</f>
        <v>LoiLV</v>
      </c>
      <c r="AZ2" s="56"/>
      <c r="BA2" s="56"/>
      <c r="BB2" s="57"/>
      <c r="BC2" s="84">
        <f>IF([1]表紙!BC2="","",[1]表紙!BC2)</f>
        <v>45446</v>
      </c>
      <c r="BD2" s="85"/>
      <c r="BE2" s="85"/>
      <c r="BF2" s="85"/>
      <c r="BG2" s="86"/>
      <c r="BH2" s="55">
        <f>IF([1]表紙!BH2="","",[1]表紙!BH2)</f>
        <v>0.2</v>
      </c>
      <c r="BI2" s="56"/>
      <c r="BJ2" s="56"/>
      <c r="BK2" s="57"/>
    </row>
    <row r="3" spans="1:63" s="8" customFormat="1" ht="15" customHeight="1" x14ac:dyDescent="0.25">
      <c r="A3" s="61"/>
      <c r="B3" s="62"/>
      <c r="C3" s="62"/>
      <c r="D3" s="62"/>
      <c r="E3" s="62"/>
      <c r="F3" s="62"/>
      <c r="G3" s="62"/>
      <c r="H3" s="62"/>
      <c r="I3" s="62"/>
      <c r="J3" s="63"/>
      <c r="K3" s="61"/>
      <c r="L3" s="62"/>
      <c r="M3" s="62"/>
      <c r="N3" s="62"/>
      <c r="O3" s="62"/>
      <c r="P3" s="62"/>
      <c r="Q3" s="62"/>
      <c r="R3" s="62"/>
      <c r="S3" s="62"/>
      <c r="T3" s="62"/>
      <c r="U3" s="62"/>
      <c r="V3" s="63"/>
      <c r="W3" s="97"/>
      <c r="X3" s="98"/>
      <c r="Y3" s="98"/>
      <c r="Z3" s="98"/>
      <c r="AA3" s="98"/>
      <c r="AB3" s="98"/>
      <c r="AC3" s="98"/>
      <c r="AD3" s="98"/>
      <c r="AE3" s="98"/>
      <c r="AF3" s="98"/>
      <c r="AG3" s="98"/>
      <c r="AH3" s="98"/>
      <c r="AI3" s="98"/>
      <c r="AJ3" s="98"/>
      <c r="AK3" s="98"/>
      <c r="AL3" s="98"/>
      <c r="AM3" s="98"/>
      <c r="AN3" s="98"/>
      <c r="AO3" s="99"/>
      <c r="AP3" s="61"/>
      <c r="AQ3" s="62"/>
      <c r="AR3" s="62"/>
      <c r="AS3" s="63"/>
      <c r="AT3" s="87"/>
      <c r="AU3" s="88"/>
      <c r="AV3" s="88"/>
      <c r="AW3" s="88"/>
      <c r="AX3" s="89"/>
      <c r="AY3" s="61"/>
      <c r="AZ3" s="62"/>
      <c r="BA3" s="62"/>
      <c r="BB3" s="63"/>
      <c r="BC3" s="87"/>
      <c r="BD3" s="88"/>
      <c r="BE3" s="88"/>
      <c r="BF3" s="88"/>
      <c r="BG3" s="89"/>
      <c r="BH3" s="61"/>
      <c r="BI3" s="62"/>
      <c r="BJ3" s="62"/>
      <c r="BK3" s="63"/>
    </row>
    <row r="4" spans="1:63" s="8" customFormat="1" ht="24.95" customHeight="1" x14ac:dyDescent="0.25">
      <c r="A4" s="70" t="s">
        <v>32</v>
      </c>
      <c r="B4" s="71"/>
      <c r="C4" s="71"/>
      <c r="D4" s="71"/>
      <c r="E4" s="71"/>
      <c r="F4" s="71"/>
      <c r="G4" s="72"/>
      <c r="H4" s="75" t="str">
        <f>IF([1]表紙!H4="","",[1]表紙!H4)</f>
        <v>39_WAONポイントN倍設定</v>
      </c>
      <c r="I4" s="76"/>
      <c r="J4" s="76"/>
      <c r="K4" s="76"/>
      <c r="L4" s="76"/>
      <c r="M4" s="76"/>
      <c r="N4" s="76"/>
      <c r="O4" s="76"/>
      <c r="P4" s="76"/>
      <c r="Q4" s="76"/>
      <c r="R4" s="76"/>
      <c r="S4" s="76"/>
      <c r="T4" s="77"/>
      <c r="U4" s="70" t="s">
        <v>33</v>
      </c>
      <c r="V4" s="71"/>
      <c r="W4" s="71"/>
      <c r="X4" s="71"/>
      <c r="Y4" s="72"/>
      <c r="Z4" s="75" t="str">
        <f>IF([1]表紙!Z4="","",[1]表紙!Z4)</f>
        <v>概要設計書</v>
      </c>
      <c r="AA4" s="76"/>
      <c r="AB4" s="76"/>
      <c r="AC4" s="76"/>
      <c r="AD4" s="76"/>
      <c r="AE4" s="76"/>
      <c r="AF4" s="76"/>
      <c r="AG4" s="76"/>
      <c r="AH4" s="76"/>
      <c r="AI4" s="76"/>
      <c r="AJ4" s="76"/>
      <c r="AK4" s="76"/>
      <c r="AL4" s="76"/>
      <c r="AM4" s="76"/>
      <c r="AN4" s="76"/>
      <c r="AO4" s="77"/>
      <c r="AP4" s="75" t="str">
        <f ca="1">RIGHT(CELL("filename",$A$1),LEN(CELL("filename",$A$1))-FIND("]",CELL("filename",$A$1)))</f>
        <v>画面設計書</v>
      </c>
      <c r="AQ4" s="76"/>
      <c r="AR4" s="76"/>
      <c r="AS4" s="76"/>
      <c r="AT4" s="76"/>
      <c r="AU4" s="76"/>
      <c r="AV4" s="76"/>
      <c r="AW4" s="76"/>
      <c r="AX4" s="76"/>
      <c r="AY4" s="76"/>
      <c r="AZ4" s="76"/>
      <c r="BA4" s="76"/>
      <c r="BB4" s="76"/>
      <c r="BC4" s="76"/>
      <c r="BD4" s="76"/>
      <c r="BE4" s="76"/>
      <c r="BF4" s="76"/>
      <c r="BG4" s="76"/>
      <c r="BH4" s="76"/>
      <c r="BI4" s="76"/>
      <c r="BJ4" s="76"/>
      <c r="BK4" s="77"/>
    </row>
    <row r="5" spans="1:63" ht="5.0999999999999996" customHeight="1" x14ac:dyDescent="0.25">
      <c r="A5" s="294"/>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83"/>
      <c r="AL5" s="183"/>
      <c r="AM5" s="183"/>
      <c r="AN5" s="183"/>
      <c r="AO5" s="183"/>
      <c r="AP5" s="183"/>
      <c r="AQ5" s="183"/>
      <c r="AR5" s="183"/>
      <c r="AS5" s="183"/>
      <c r="AT5" s="183"/>
      <c r="AU5" s="183"/>
      <c r="AV5" s="183"/>
      <c r="AW5" s="183"/>
      <c r="AX5" s="183"/>
      <c r="AY5" s="183"/>
      <c r="AZ5" s="183"/>
      <c r="BA5" s="183"/>
      <c r="BB5" s="183"/>
      <c r="BC5" s="183"/>
      <c r="BD5" s="183"/>
      <c r="BE5" s="183"/>
      <c r="BF5" s="183"/>
      <c r="BG5" s="183"/>
      <c r="BH5" s="183"/>
      <c r="BI5" s="183"/>
      <c r="BJ5" s="183"/>
      <c r="BK5" s="182"/>
    </row>
    <row r="6" spans="1:63" ht="15" customHeight="1" x14ac:dyDescent="0.25">
      <c r="A6" s="293"/>
      <c r="BK6" s="184"/>
    </row>
    <row r="7" spans="1:63" ht="15" customHeight="1" x14ac:dyDescent="0.25">
      <c r="A7" s="293"/>
      <c r="B7" s="295" t="s">
        <v>16</v>
      </c>
      <c r="C7" s="295"/>
      <c r="D7" s="295"/>
      <c r="E7" s="295"/>
      <c r="F7" s="295"/>
      <c r="G7" s="295"/>
      <c r="H7" s="295"/>
      <c r="I7" s="295"/>
      <c r="J7" s="295"/>
      <c r="AE7" s="292"/>
      <c r="BK7" s="184"/>
    </row>
    <row r="8" spans="1:63" ht="15" customHeight="1" x14ac:dyDescent="0.25">
      <c r="A8" s="293"/>
      <c r="BK8" s="184"/>
    </row>
    <row r="9" spans="1:63" ht="15" customHeight="1" x14ac:dyDescent="0.25">
      <c r="A9" s="293"/>
      <c r="BK9" s="184"/>
    </row>
    <row r="10" spans="1:63" ht="15" customHeight="1" x14ac:dyDescent="0.25">
      <c r="A10" s="293"/>
      <c r="BK10" s="184"/>
    </row>
    <row r="11" spans="1:63" ht="15" customHeight="1" x14ac:dyDescent="0.25">
      <c r="A11" s="293"/>
      <c r="BK11" s="184"/>
    </row>
    <row r="12" spans="1:63" ht="15" customHeight="1" x14ac:dyDescent="0.25">
      <c r="A12" s="293"/>
      <c r="BK12" s="184"/>
    </row>
    <row r="13" spans="1:63" ht="15" customHeight="1" x14ac:dyDescent="0.25">
      <c r="A13" s="293"/>
      <c r="BK13" s="184"/>
    </row>
    <row r="14" spans="1:63" ht="15" customHeight="1" x14ac:dyDescent="0.25">
      <c r="A14" s="293"/>
      <c r="BK14" s="184"/>
    </row>
    <row r="15" spans="1:63" ht="15" customHeight="1" x14ac:dyDescent="0.25">
      <c r="A15" s="293"/>
      <c r="BK15" s="184"/>
    </row>
    <row r="16" spans="1:63" ht="15" customHeight="1" x14ac:dyDescent="0.25">
      <c r="A16" s="293"/>
      <c r="BK16" s="184"/>
    </row>
    <row r="17" spans="1:63" ht="15" customHeight="1" x14ac:dyDescent="0.25">
      <c r="A17" s="293"/>
      <c r="BK17" s="184"/>
    </row>
    <row r="18" spans="1:63" ht="15" customHeight="1" x14ac:dyDescent="0.25">
      <c r="A18" s="293"/>
      <c r="BK18" s="184"/>
    </row>
    <row r="19" spans="1:63" ht="15" customHeight="1" x14ac:dyDescent="0.25">
      <c r="A19" s="293"/>
      <c r="BK19" s="184"/>
    </row>
    <row r="20" spans="1:63" ht="15" customHeight="1" x14ac:dyDescent="0.25">
      <c r="A20" s="293"/>
      <c r="BK20" s="184"/>
    </row>
    <row r="21" spans="1:63" ht="15" customHeight="1" x14ac:dyDescent="0.25">
      <c r="A21" s="293"/>
      <c r="BK21" s="184"/>
    </row>
    <row r="22" spans="1:63" ht="15" customHeight="1" x14ac:dyDescent="0.25">
      <c r="A22" s="293"/>
      <c r="BK22" s="184"/>
    </row>
    <row r="23" spans="1:63" ht="15" customHeight="1" x14ac:dyDescent="0.25">
      <c r="A23" s="293"/>
      <c r="BK23" s="184"/>
    </row>
    <row r="24" spans="1:63" ht="15" customHeight="1" x14ac:dyDescent="0.25">
      <c r="A24" s="293"/>
      <c r="BK24" s="184"/>
    </row>
    <row r="25" spans="1:63" ht="14.25" customHeight="1" x14ac:dyDescent="0.25">
      <c r="A25" s="293"/>
      <c r="BK25" s="184"/>
    </row>
    <row r="26" spans="1:63" ht="15" customHeight="1" x14ac:dyDescent="0.25">
      <c r="A26" s="293"/>
      <c r="BK26" s="184"/>
    </row>
    <row r="27" spans="1:63" ht="15" customHeight="1" x14ac:dyDescent="0.25">
      <c r="A27" s="293"/>
      <c r="BK27" s="184"/>
    </row>
    <row r="28" spans="1:63" x14ac:dyDescent="0.25">
      <c r="BK28" s="184"/>
    </row>
    <row r="29" spans="1:63" x14ac:dyDescent="0.25">
      <c r="BK29" s="184"/>
    </row>
    <row r="30" spans="1:63" x14ac:dyDescent="0.25">
      <c r="BK30" s="184"/>
    </row>
    <row r="31" spans="1:63" x14ac:dyDescent="0.25">
      <c r="BK31" s="184"/>
    </row>
    <row r="32" spans="1:63" x14ac:dyDescent="0.25">
      <c r="BK32" s="184"/>
    </row>
    <row r="33" spans="1:63" x14ac:dyDescent="0.25">
      <c r="BK33" s="184"/>
    </row>
    <row r="34" spans="1:63" x14ac:dyDescent="0.25">
      <c r="BK34" s="184"/>
    </row>
    <row r="35" spans="1:63" ht="15" customHeight="1" x14ac:dyDescent="0.25">
      <c r="A35" s="293"/>
      <c r="B35" s="292" t="s">
        <v>57</v>
      </c>
      <c r="BK35" s="184"/>
    </row>
    <row r="36" spans="1:63" x14ac:dyDescent="0.25">
      <c r="BK36" s="184"/>
    </row>
    <row r="37" spans="1:63" ht="15.75" customHeight="1" x14ac:dyDescent="0.25">
      <c r="B37" s="291" t="s">
        <v>58</v>
      </c>
      <c r="C37" s="288"/>
      <c r="D37" s="290" t="s">
        <v>59</v>
      </c>
      <c r="E37" s="289"/>
      <c r="F37" s="289"/>
      <c r="G37" s="289"/>
      <c r="H37" s="289"/>
      <c r="I37" s="289"/>
      <c r="J37" s="288"/>
      <c r="K37" s="290" t="s">
        <v>60</v>
      </c>
      <c r="L37" s="289"/>
      <c r="M37" s="288"/>
      <c r="N37" s="287" t="s">
        <v>54</v>
      </c>
      <c r="O37" s="286" t="s">
        <v>61</v>
      </c>
      <c r="P37" s="260" t="s">
        <v>62</v>
      </c>
      <c r="Q37" s="259"/>
      <c r="R37" s="259"/>
      <c r="S37" s="259"/>
      <c r="T37" s="259"/>
      <c r="U37" s="259"/>
      <c r="V37" s="259"/>
      <c r="W37" s="259"/>
      <c r="X37" s="259"/>
      <c r="Y37" s="259"/>
      <c r="Z37" s="259"/>
      <c r="AA37" s="259"/>
      <c r="AB37" s="259"/>
      <c r="AC37" s="259"/>
      <c r="AD37" s="259"/>
      <c r="AE37" s="259"/>
      <c r="AF37" s="259"/>
      <c r="AG37" s="259"/>
      <c r="AH37" s="259"/>
      <c r="AI37" s="259"/>
      <c r="AJ37" s="259"/>
      <c r="AK37" s="259"/>
      <c r="AL37" s="259"/>
      <c r="AM37" s="259"/>
      <c r="AN37" s="259"/>
      <c r="AO37" s="259"/>
      <c r="AP37" s="259"/>
      <c r="AQ37" s="258"/>
      <c r="AR37" s="251" t="s">
        <v>63</v>
      </c>
      <c r="AS37" s="248"/>
      <c r="AT37" s="248"/>
      <c r="AU37" s="248"/>
      <c r="AV37" s="248"/>
      <c r="AW37" s="248"/>
      <c r="AX37" s="248"/>
      <c r="AY37" s="248"/>
      <c r="AZ37" s="248"/>
      <c r="BA37" s="248"/>
      <c r="BB37" s="247"/>
      <c r="BC37" s="285" t="s">
        <v>64</v>
      </c>
      <c r="BD37" s="284"/>
      <c r="BE37" s="284"/>
      <c r="BF37" s="284"/>
      <c r="BG37" s="284"/>
      <c r="BH37" s="284"/>
      <c r="BI37" s="284"/>
      <c r="BJ37" s="283"/>
      <c r="BK37" s="184"/>
    </row>
    <row r="38" spans="1:63" ht="15.75" customHeight="1" x14ac:dyDescent="0.25">
      <c r="B38" s="282"/>
      <c r="C38" s="280"/>
      <c r="D38" s="282"/>
      <c r="E38" s="281"/>
      <c r="F38" s="281"/>
      <c r="G38" s="281"/>
      <c r="H38" s="281"/>
      <c r="I38" s="281"/>
      <c r="J38" s="280"/>
      <c r="K38" s="282"/>
      <c r="L38" s="281"/>
      <c r="M38" s="280"/>
      <c r="N38" s="279"/>
      <c r="O38" s="278"/>
      <c r="P38" s="277" t="s">
        <v>65</v>
      </c>
      <c r="Q38" s="276"/>
      <c r="R38" s="276"/>
      <c r="S38" s="276"/>
      <c r="T38" s="276"/>
      <c r="U38" s="276"/>
      <c r="V38" s="276"/>
      <c r="W38" s="275"/>
      <c r="X38" s="274" t="s">
        <v>66</v>
      </c>
      <c r="Y38" s="273"/>
      <c r="Z38" s="272"/>
      <c r="AA38" s="274" t="s">
        <v>67</v>
      </c>
      <c r="AB38" s="273"/>
      <c r="AC38" s="273"/>
      <c r="AD38" s="273"/>
      <c r="AE38" s="273"/>
      <c r="AF38" s="273"/>
      <c r="AG38" s="273"/>
      <c r="AH38" s="272"/>
      <c r="AI38" s="274" t="s">
        <v>68</v>
      </c>
      <c r="AJ38" s="273"/>
      <c r="AK38" s="273"/>
      <c r="AL38" s="273"/>
      <c r="AM38" s="273"/>
      <c r="AN38" s="273"/>
      <c r="AO38" s="273"/>
      <c r="AP38" s="273"/>
      <c r="AQ38" s="272"/>
      <c r="AR38" s="271" t="s">
        <v>53</v>
      </c>
      <c r="AS38" s="270" t="s">
        <v>69</v>
      </c>
      <c r="AT38" s="269" t="s">
        <v>70</v>
      </c>
      <c r="AU38" s="251" t="s">
        <v>65</v>
      </c>
      <c r="AV38" s="248"/>
      <c r="AW38" s="248"/>
      <c r="AX38" s="248"/>
      <c r="AY38" s="248"/>
      <c r="AZ38" s="248"/>
      <c r="BA38" s="248"/>
      <c r="BB38" s="247"/>
      <c r="BC38" s="268"/>
      <c r="BD38" s="267"/>
      <c r="BE38" s="267"/>
      <c r="BF38" s="267"/>
      <c r="BG38" s="267"/>
      <c r="BH38" s="267"/>
      <c r="BI38" s="267"/>
      <c r="BJ38" s="266"/>
      <c r="BK38" s="184"/>
    </row>
    <row r="39" spans="1:63" x14ac:dyDescent="0.25">
      <c r="B39" s="265"/>
      <c r="C39" s="263"/>
      <c r="D39" s="265"/>
      <c r="E39" s="264"/>
      <c r="F39" s="264"/>
      <c r="G39" s="264"/>
      <c r="H39" s="264"/>
      <c r="I39" s="264"/>
      <c r="J39" s="263"/>
      <c r="K39" s="265"/>
      <c r="L39" s="264"/>
      <c r="M39" s="263"/>
      <c r="N39" s="262"/>
      <c r="O39" s="261"/>
      <c r="P39" s="260" t="s">
        <v>71</v>
      </c>
      <c r="Q39" s="259"/>
      <c r="R39" s="259"/>
      <c r="S39" s="258"/>
      <c r="T39" s="260" t="s">
        <v>59</v>
      </c>
      <c r="U39" s="259"/>
      <c r="V39" s="259"/>
      <c r="W39" s="258"/>
      <c r="X39" s="257"/>
      <c r="Y39" s="256"/>
      <c r="Z39" s="255"/>
      <c r="AA39" s="257"/>
      <c r="AB39" s="256"/>
      <c r="AC39" s="256"/>
      <c r="AD39" s="256"/>
      <c r="AE39" s="256"/>
      <c r="AF39" s="256"/>
      <c r="AG39" s="256"/>
      <c r="AH39" s="255"/>
      <c r="AI39" s="257"/>
      <c r="AJ39" s="256"/>
      <c r="AK39" s="256"/>
      <c r="AL39" s="256"/>
      <c r="AM39" s="256"/>
      <c r="AN39" s="256"/>
      <c r="AO39" s="256"/>
      <c r="AP39" s="256"/>
      <c r="AQ39" s="255"/>
      <c r="AR39" s="254"/>
      <c r="AS39" s="253"/>
      <c r="AT39" s="252"/>
      <c r="AU39" s="251" t="s">
        <v>71</v>
      </c>
      <c r="AV39" s="248"/>
      <c r="AW39" s="248"/>
      <c r="AX39" s="250"/>
      <c r="AY39" s="249" t="s">
        <v>59</v>
      </c>
      <c r="AZ39" s="248"/>
      <c r="BA39" s="248"/>
      <c r="BB39" s="247"/>
      <c r="BC39" s="246"/>
      <c r="BD39" s="245"/>
      <c r="BE39" s="245"/>
      <c r="BF39" s="245"/>
      <c r="BG39" s="245"/>
      <c r="BH39" s="245"/>
      <c r="BI39" s="245"/>
      <c r="BJ39" s="244"/>
      <c r="BK39" s="184"/>
    </row>
    <row r="40" spans="1:63" ht="15.75" customHeight="1" x14ac:dyDescent="0.25">
      <c r="B40" s="231">
        <v>1</v>
      </c>
      <c r="C40" s="229"/>
      <c r="D40" s="243"/>
      <c r="E40" s="242"/>
      <c r="F40" s="242"/>
      <c r="G40" s="242"/>
      <c r="H40" s="242"/>
      <c r="I40" s="242"/>
      <c r="J40" s="241"/>
      <c r="K40" s="214" t="s">
        <v>52</v>
      </c>
      <c r="L40" s="213"/>
      <c r="M40" s="212"/>
      <c r="N40" s="240" t="s">
        <v>45</v>
      </c>
      <c r="O40" s="210" t="s">
        <v>47</v>
      </c>
      <c r="P40" s="239" t="s">
        <v>45</v>
      </c>
      <c r="Q40" s="230"/>
      <c r="R40" s="230"/>
      <c r="S40" s="229"/>
      <c r="T40" s="239" t="s">
        <v>45</v>
      </c>
      <c r="U40" s="230"/>
      <c r="V40" s="230"/>
      <c r="W40" s="229"/>
      <c r="X40" s="238" t="s">
        <v>55</v>
      </c>
      <c r="Y40" s="237"/>
      <c r="Z40" s="236"/>
      <c r="AA40" s="231" t="s">
        <v>43</v>
      </c>
      <c r="AB40" s="230"/>
      <c r="AC40" s="230"/>
      <c r="AD40" s="230"/>
      <c r="AE40" s="230"/>
      <c r="AF40" s="230"/>
      <c r="AG40" s="230"/>
      <c r="AH40" s="229"/>
      <c r="AI40" s="235" t="s">
        <v>45</v>
      </c>
      <c r="AJ40" s="234"/>
      <c r="AK40" s="234"/>
      <c r="AL40" s="234"/>
      <c r="AM40" s="234"/>
      <c r="AN40" s="234"/>
      <c r="AO40" s="234"/>
      <c r="AP40" s="234"/>
      <c r="AQ40" s="233"/>
      <c r="AR40" s="232" t="s">
        <v>45</v>
      </c>
      <c r="AS40" s="232" t="s">
        <v>43</v>
      </c>
      <c r="AT40" s="232" t="s">
        <v>43</v>
      </c>
      <c r="AU40" s="231" t="s">
        <v>44</v>
      </c>
      <c r="AV40" s="230"/>
      <c r="AW40" s="230"/>
      <c r="AX40" s="229"/>
      <c r="AY40" s="231" t="s">
        <v>43</v>
      </c>
      <c r="AZ40" s="230"/>
      <c r="BA40" s="230"/>
      <c r="BB40" s="229"/>
      <c r="BC40" s="296"/>
      <c r="BD40" s="297"/>
      <c r="BE40" s="297"/>
      <c r="BF40" s="297"/>
      <c r="BG40" s="297"/>
      <c r="BH40" s="297"/>
      <c r="BI40" s="297"/>
      <c r="BJ40" s="298"/>
      <c r="BK40" s="184"/>
    </row>
    <row r="41" spans="1:63" x14ac:dyDescent="0.25">
      <c r="B41" s="204">
        <v>2</v>
      </c>
      <c r="C41" s="202"/>
      <c r="D41" s="228"/>
      <c r="E41" s="227"/>
      <c r="F41" s="227"/>
      <c r="G41" s="227"/>
      <c r="H41" s="227"/>
      <c r="I41" s="227"/>
      <c r="J41" s="226"/>
      <c r="K41" s="214" t="s">
        <v>52</v>
      </c>
      <c r="L41" s="213"/>
      <c r="M41" s="212"/>
      <c r="N41" s="210" t="s">
        <v>51</v>
      </c>
      <c r="O41" s="210" t="s">
        <v>47</v>
      </c>
      <c r="P41" s="204" t="s">
        <v>44</v>
      </c>
      <c r="Q41" s="203"/>
      <c r="R41" s="203"/>
      <c r="S41" s="202"/>
      <c r="T41" s="204" t="s">
        <v>44</v>
      </c>
      <c r="U41" s="203"/>
      <c r="V41" s="203"/>
      <c r="W41" s="202"/>
      <c r="X41" s="225" t="s">
        <v>72</v>
      </c>
      <c r="Y41" s="224"/>
      <c r="Z41" s="223"/>
      <c r="AA41" s="204" t="s">
        <v>43</v>
      </c>
      <c r="AB41" s="203"/>
      <c r="AC41" s="203"/>
      <c r="AD41" s="203"/>
      <c r="AE41" s="203"/>
      <c r="AF41" s="203"/>
      <c r="AG41" s="203"/>
      <c r="AH41" s="202"/>
      <c r="AI41" s="208" t="s">
        <v>43</v>
      </c>
      <c r="AJ41" s="207"/>
      <c r="AK41" s="207"/>
      <c r="AL41" s="207"/>
      <c r="AM41" s="207"/>
      <c r="AN41" s="207"/>
      <c r="AO41" s="207"/>
      <c r="AP41" s="207"/>
      <c r="AQ41" s="206"/>
      <c r="AR41" s="205" t="s">
        <v>45</v>
      </c>
      <c r="AS41" s="205" t="s">
        <v>43</v>
      </c>
      <c r="AT41" s="205" t="s">
        <v>43</v>
      </c>
      <c r="AU41" s="204" t="s">
        <v>44</v>
      </c>
      <c r="AV41" s="203"/>
      <c r="AW41" s="203"/>
      <c r="AX41" s="202"/>
      <c r="AY41" s="204" t="s">
        <v>43</v>
      </c>
      <c r="AZ41" s="203"/>
      <c r="BA41" s="203"/>
      <c r="BB41" s="202"/>
      <c r="BC41" s="222"/>
      <c r="BD41" s="299"/>
      <c r="BE41" s="299"/>
      <c r="BF41" s="299"/>
      <c r="BG41" s="299"/>
      <c r="BH41" s="299"/>
      <c r="BI41" s="299"/>
      <c r="BJ41" s="300"/>
      <c r="BK41" s="184"/>
    </row>
    <row r="42" spans="1:63" x14ac:dyDescent="0.25">
      <c r="B42" s="204">
        <v>3</v>
      </c>
      <c r="C42" s="202"/>
      <c r="D42" s="217"/>
      <c r="E42" s="216"/>
      <c r="F42" s="216"/>
      <c r="G42" s="216"/>
      <c r="H42" s="216"/>
      <c r="I42" s="216"/>
      <c r="J42" s="215"/>
      <c r="K42" s="214" t="s">
        <v>52</v>
      </c>
      <c r="L42" s="213"/>
      <c r="M42" s="212"/>
      <c r="N42" s="210" t="s">
        <v>48</v>
      </c>
      <c r="O42" s="210" t="s">
        <v>45</v>
      </c>
      <c r="P42" s="221" t="s">
        <v>45</v>
      </c>
      <c r="Q42" s="203"/>
      <c r="R42" s="203"/>
      <c r="S42" s="202"/>
      <c r="T42" s="204"/>
      <c r="U42" s="203"/>
      <c r="V42" s="203"/>
      <c r="W42" s="202"/>
      <c r="X42" s="220" t="s">
        <v>45</v>
      </c>
      <c r="Y42" s="219"/>
      <c r="Z42" s="218"/>
      <c r="AA42" s="204" t="s">
        <v>43</v>
      </c>
      <c r="AB42" s="203"/>
      <c r="AC42" s="203"/>
      <c r="AD42" s="203"/>
      <c r="AE42" s="203"/>
      <c r="AF42" s="203"/>
      <c r="AG42" s="203"/>
      <c r="AH42" s="202"/>
      <c r="AI42" s="208" t="s">
        <v>43</v>
      </c>
      <c r="AJ42" s="207"/>
      <c r="AK42" s="207"/>
      <c r="AL42" s="207"/>
      <c r="AM42" s="207"/>
      <c r="AN42" s="207"/>
      <c r="AO42" s="207"/>
      <c r="AP42" s="207"/>
      <c r="AQ42" s="206"/>
      <c r="AR42" s="205" t="s">
        <v>45</v>
      </c>
      <c r="AS42" s="205" t="s">
        <v>43</v>
      </c>
      <c r="AT42" s="205" t="s">
        <v>43</v>
      </c>
      <c r="AU42" s="204" t="s">
        <v>44</v>
      </c>
      <c r="AV42" s="203"/>
      <c r="AW42" s="203"/>
      <c r="AX42" s="202"/>
      <c r="AY42" s="204" t="s">
        <v>43</v>
      </c>
      <c r="AZ42" s="203"/>
      <c r="BA42" s="203"/>
      <c r="BB42" s="202"/>
      <c r="BC42" s="301"/>
      <c r="BD42" s="299"/>
      <c r="BE42" s="299"/>
      <c r="BF42" s="299"/>
      <c r="BG42" s="299"/>
      <c r="BH42" s="299"/>
      <c r="BI42" s="299"/>
      <c r="BJ42" s="300"/>
      <c r="BK42" s="184"/>
    </row>
    <row r="43" spans="1:63" x14ac:dyDescent="0.25">
      <c r="B43" s="204">
        <v>4</v>
      </c>
      <c r="C43" s="202"/>
      <c r="D43" s="302"/>
      <c r="E43" s="303"/>
      <c r="F43" s="303"/>
      <c r="G43" s="303"/>
      <c r="H43" s="303"/>
      <c r="I43" s="303"/>
      <c r="J43" s="304"/>
      <c r="K43" s="214" t="s">
        <v>52</v>
      </c>
      <c r="L43" s="213"/>
      <c r="M43" s="212"/>
      <c r="N43" s="211" t="s">
        <v>51</v>
      </c>
      <c r="O43" s="210" t="s">
        <v>47</v>
      </c>
      <c r="P43" s="204" t="s">
        <v>44</v>
      </c>
      <c r="Q43" s="203"/>
      <c r="R43" s="203"/>
      <c r="S43" s="202"/>
      <c r="T43" s="204" t="s">
        <v>44</v>
      </c>
      <c r="U43" s="203"/>
      <c r="V43" s="203"/>
      <c r="W43" s="202"/>
      <c r="X43" s="209" t="s">
        <v>56</v>
      </c>
      <c r="Y43" s="203"/>
      <c r="Z43" s="202"/>
      <c r="AA43" s="204" t="s">
        <v>43</v>
      </c>
      <c r="AB43" s="203"/>
      <c r="AC43" s="203"/>
      <c r="AD43" s="203"/>
      <c r="AE43" s="203"/>
      <c r="AF43" s="203"/>
      <c r="AG43" s="203"/>
      <c r="AH43" s="202"/>
      <c r="AI43" s="208" t="s">
        <v>43</v>
      </c>
      <c r="AJ43" s="207"/>
      <c r="AK43" s="207"/>
      <c r="AL43" s="207"/>
      <c r="AM43" s="207"/>
      <c r="AN43" s="207"/>
      <c r="AO43" s="207"/>
      <c r="AP43" s="207"/>
      <c r="AQ43" s="206"/>
      <c r="AR43" s="205" t="s">
        <v>45</v>
      </c>
      <c r="AS43" s="205" t="s">
        <v>43</v>
      </c>
      <c r="AT43" s="205" t="s">
        <v>43</v>
      </c>
      <c r="AU43" s="204" t="s">
        <v>44</v>
      </c>
      <c r="AV43" s="203"/>
      <c r="AW43" s="203"/>
      <c r="AX43" s="202"/>
      <c r="AY43" s="204" t="s">
        <v>43</v>
      </c>
      <c r="AZ43" s="203"/>
      <c r="BA43" s="203"/>
      <c r="BB43" s="202"/>
      <c r="BC43" s="305"/>
      <c r="BD43" s="306"/>
      <c r="BE43" s="306"/>
      <c r="BF43" s="306"/>
      <c r="BG43" s="306"/>
      <c r="BH43" s="306"/>
      <c r="BI43" s="306"/>
      <c r="BJ43" s="307"/>
      <c r="BK43" s="184"/>
    </row>
    <row r="44" spans="1:63" x14ac:dyDescent="0.25">
      <c r="B44" s="204">
        <v>5</v>
      </c>
      <c r="C44" s="202"/>
      <c r="D44" s="217"/>
      <c r="E44" s="216"/>
      <c r="F44" s="216"/>
      <c r="G44" s="216"/>
      <c r="H44" s="216"/>
      <c r="I44" s="216"/>
      <c r="J44" s="215"/>
      <c r="K44" s="214" t="s">
        <v>50</v>
      </c>
      <c r="L44" s="213"/>
      <c r="M44" s="212"/>
      <c r="N44" s="211" t="s">
        <v>48</v>
      </c>
      <c r="O44" s="210" t="s">
        <v>45</v>
      </c>
      <c r="P44" s="204" t="s">
        <v>44</v>
      </c>
      <c r="Q44" s="203"/>
      <c r="R44" s="203"/>
      <c r="S44" s="202"/>
      <c r="T44" s="204" t="s">
        <v>44</v>
      </c>
      <c r="U44" s="203"/>
      <c r="V44" s="203"/>
      <c r="W44" s="202"/>
      <c r="X44" s="209" t="s">
        <v>45</v>
      </c>
      <c r="Y44" s="203"/>
      <c r="Z44" s="202"/>
      <c r="AA44" s="204" t="s">
        <v>43</v>
      </c>
      <c r="AB44" s="203"/>
      <c r="AC44" s="203"/>
      <c r="AD44" s="203"/>
      <c r="AE44" s="203"/>
      <c r="AF44" s="203"/>
      <c r="AG44" s="203"/>
      <c r="AH44" s="202"/>
      <c r="AI44" s="208" t="s">
        <v>43</v>
      </c>
      <c r="AJ44" s="207"/>
      <c r="AK44" s="207"/>
      <c r="AL44" s="207"/>
      <c r="AM44" s="207"/>
      <c r="AN44" s="207"/>
      <c r="AO44" s="207"/>
      <c r="AP44" s="207"/>
      <c r="AQ44" s="206"/>
      <c r="AR44" s="205" t="s">
        <v>45</v>
      </c>
      <c r="AS44" s="205" t="s">
        <v>43</v>
      </c>
      <c r="AT44" s="205" t="s">
        <v>43</v>
      </c>
      <c r="AU44" s="204" t="s">
        <v>44</v>
      </c>
      <c r="AV44" s="203"/>
      <c r="AW44" s="203"/>
      <c r="AX44" s="202"/>
      <c r="AY44" s="204" t="s">
        <v>43</v>
      </c>
      <c r="AZ44" s="203"/>
      <c r="BA44" s="203"/>
      <c r="BB44" s="202"/>
      <c r="BC44" s="301"/>
      <c r="BD44" s="299"/>
      <c r="BE44" s="299"/>
      <c r="BF44" s="299"/>
      <c r="BG44" s="299"/>
      <c r="BH44" s="299"/>
      <c r="BI44" s="299"/>
      <c r="BJ44" s="300"/>
      <c r="BK44" s="184"/>
    </row>
    <row r="45" spans="1:63" x14ac:dyDescent="0.25">
      <c r="B45" s="187">
        <v>6</v>
      </c>
      <c r="C45" s="185"/>
      <c r="D45" s="201"/>
      <c r="E45" s="200"/>
      <c r="F45" s="200"/>
      <c r="G45" s="200"/>
      <c r="H45" s="200"/>
      <c r="I45" s="200"/>
      <c r="J45" s="199"/>
      <c r="K45" s="198" t="s">
        <v>49</v>
      </c>
      <c r="L45" s="197"/>
      <c r="M45" s="196"/>
      <c r="N45" s="195" t="s">
        <v>48</v>
      </c>
      <c r="O45" s="195" t="s">
        <v>47</v>
      </c>
      <c r="P45" s="187" t="s">
        <v>44</v>
      </c>
      <c r="Q45" s="186"/>
      <c r="R45" s="186"/>
      <c r="S45" s="185"/>
      <c r="T45" s="187" t="s">
        <v>44</v>
      </c>
      <c r="U45" s="186"/>
      <c r="V45" s="186"/>
      <c r="W45" s="185"/>
      <c r="X45" s="194" t="s">
        <v>73</v>
      </c>
      <c r="Y45" s="193"/>
      <c r="Z45" s="192"/>
      <c r="AA45" s="187" t="s">
        <v>43</v>
      </c>
      <c r="AB45" s="186"/>
      <c r="AC45" s="186"/>
      <c r="AD45" s="186"/>
      <c r="AE45" s="186"/>
      <c r="AF45" s="186"/>
      <c r="AG45" s="186"/>
      <c r="AH45" s="185"/>
      <c r="AI45" s="191" t="s">
        <v>46</v>
      </c>
      <c r="AJ45" s="190"/>
      <c r="AK45" s="190"/>
      <c r="AL45" s="190"/>
      <c r="AM45" s="190"/>
      <c r="AN45" s="190"/>
      <c r="AO45" s="190"/>
      <c r="AP45" s="190"/>
      <c r="AQ45" s="189"/>
      <c r="AR45" s="188" t="s">
        <v>45</v>
      </c>
      <c r="AS45" s="188" t="s">
        <v>43</v>
      </c>
      <c r="AT45" s="188" t="s">
        <v>43</v>
      </c>
      <c r="AU45" s="187" t="s">
        <v>44</v>
      </c>
      <c r="AV45" s="186"/>
      <c r="AW45" s="186"/>
      <c r="AX45" s="185"/>
      <c r="AY45" s="187" t="s">
        <v>43</v>
      </c>
      <c r="AZ45" s="186"/>
      <c r="BA45" s="186"/>
      <c r="BB45" s="185"/>
      <c r="BC45" s="308" t="s">
        <v>42</v>
      </c>
      <c r="BD45" s="309"/>
      <c r="BE45" s="309"/>
      <c r="BF45" s="309"/>
      <c r="BG45" s="309"/>
      <c r="BH45" s="309"/>
      <c r="BI45" s="309"/>
      <c r="BJ45" s="310"/>
      <c r="BK45" s="184"/>
    </row>
    <row r="46" spans="1:63" x14ac:dyDescent="0.25">
      <c r="BK46" s="184"/>
    </row>
    <row r="47" spans="1:63" x14ac:dyDescent="0.25">
      <c r="BK47" s="184"/>
    </row>
    <row r="48" spans="1:63" x14ac:dyDescent="0.25">
      <c r="BK48" s="184"/>
    </row>
    <row r="49" spans="1:63" x14ac:dyDescent="0.25">
      <c r="BK49" s="184"/>
    </row>
    <row r="50" spans="1:63" x14ac:dyDescent="0.25">
      <c r="BK50" s="184"/>
    </row>
    <row r="51" spans="1:63" x14ac:dyDescent="0.25">
      <c r="BK51" s="184"/>
    </row>
    <row r="52" spans="1:63" x14ac:dyDescent="0.25">
      <c r="BK52" s="184"/>
    </row>
    <row r="53" spans="1:63" x14ac:dyDescent="0.25">
      <c r="BK53" s="184"/>
    </row>
    <row r="54" spans="1:63" x14ac:dyDescent="0.25">
      <c r="BK54" s="184"/>
    </row>
    <row r="55" spans="1:63" x14ac:dyDescent="0.25">
      <c r="A55" s="183"/>
      <c r="B55" s="183"/>
      <c r="C55" s="183"/>
      <c r="D55" s="183"/>
      <c r="E55" s="183"/>
      <c r="F55" s="183"/>
      <c r="G55" s="183"/>
      <c r="H55" s="183"/>
      <c r="I55" s="183"/>
      <c r="J55" s="183"/>
      <c r="K55" s="183"/>
      <c r="L55" s="183"/>
      <c r="M55" s="183"/>
      <c r="N55" s="183"/>
      <c r="O55" s="183"/>
      <c r="P55" s="183"/>
      <c r="Q55" s="183"/>
      <c r="R55" s="183"/>
      <c r="S55" s="183"/>
      <c r="T55" s="183"/>
      <c r="U55" s="183"/>
      <c r="V55" s="183"/>
      <c r="W55" s="183"/>
      <c r="X55" s="183"/>
      <c r="Y55" s="183"/>
      <c r="Z55" s="183"/>
      <c r="AA55" s="183"/>
      <c r="AB55" s="183"/>
      <c r="AC55" s="183"/>
      <c r="AD55" s="183"/>
      <c r="AE55" s="183"/>
      <c r="AF55" s="183"/>
      <c r="AG55" s="183"/>
      <c r="AH55" s="183"/>
      <c r="AI55" s="183"/>
      <c r="AJ55" s="183"/>
      <c r="AK55" s="183"/>
      <c r="AL55" s="183"/>
      <c r="AM55" s="183"/>
      <c r="AN55" s="183"/>
      <c r="AO55" s="183"/>
      <c r="AP55" s="183"/>
      <c r="AQ55" s="183"/>
      <c r="AR55" s="183"/>
      <c r="AS55" s="183"/>
      <c r="AT55" s="183"/>
      <c r="AU55" s="183"/>
      <c r="AV55" s="183"/>
      <c r="AW55" s="183"/>
      <c r="AX55" s="183"/>
      <c r="AY55" s="183"/>
      <c r="AZ55" s="183"/>
      <c r="BA55" s="183"/>
      <c r="BB55" s="183"/>
      <c r="BC55" s="183"/>
      <c r="BD55" s="183"/>
      <c r="BE55" s="183"/>
      <c r="BF55" s="183"/>
      <c r="BG55" s="183"/>
      <c r="BH55" s="183"/>
      <c r="BI55" s="183"/>
      <c r="BJ55" s="183"/>
      <c r="BK55" s="182"/>
    </row>
  </sheetData>
  <mergeCells count="106">
    <mergeCell ref="X45:Z45"/>
    <mergeCell ref="AA45:AH45"/>
    <mergeCell ref="AI45:AQ45"/>
    <mergeCell ref="AU45:AX45"/>
    <mergeCell ref="AY45:BB45"/>
    <mergeCell ref="BC45:BJ45"/>
    <mergeCell ref="B45:C45"/>
    <mergeCell ref="D45:J45"/>
    <mergeCell ref="K45:M45"/>
    <mergeCell ref="P45:S45"/>
    <mergeCell ref="T45:W45"/>
    <mergeCell ref="AA43:AH43"/>
    <mergeCell ref="AI43:AQ43"/>
    <mergeCell ref="AU43:AX43"/>
    <mergeCell ref="AY43:BB43"/>
    <mergeCell ref="BC43:BJ43"/>
    <mergeCell ref="X43:Z43"/>
    <mergeCell ref="X44:Z44"/>
    <mergeCell ref="AA44:AH44"/>
    <mergeCell ref="AI44:AQ44"/>
    <mergeCell ref="AU44:AX44"/>
    <mergeCell ref="AY44:BB44"/>
    <mergeCell ref="BC44:BJ44"/>
    <mergeCell ref="B44:C44"/>
    <mergeCell ref="D44:J44"/>
    <mergeCell ref="K44:M44"/>
    <mergeCell ref="P44:S44"/>
    <mergeCell ref="T44:W44"/>
    <mergeCell ref="B43:C43"/>
    <mergeCell ref="D43:J43"/>
    <mergeCell ref="K43:M43"/>
    <mergeCell ref="P43:S43"/>
    <mergeCell ref="T43:W43"/>
    <mergeCell ref="AA42:AH42"/>
    <mergeCell ref="AI42:AQ42"/>
    <mergeCell ref="AU42:AX42"/>
    <mergeCell ref="AY42:BB42"/>
    <mergeCell ref="BC42:BJ42"/>
    <mergeCell ref="AA41:AH41"/>
    <mergeCell ref="AI41:AQ41"/>
    <mergeCell ref="AU41:AX41"/>
    <mergeCell ref="AY41:BB41"/>
    <mergeCell ref="BC41:BJ41"/>
    <mergeCell ref="B41:C41"/>
    <mergeCell ref="D41:J41"/>
    <mergeCell ref="K41:M41"/>
    <mergeCell ref="P41:S41"/>
    <mergeCell ref="T41:W41"/>
    <mergeCell ref="X42:Z42"/>
    <mergeCell ref="X41:Z41"/>
    <mergeCell ref="AY40:BB40"/>
    <mergeCell ref="BC40:BJ40"/>
    <mergeCell ref="AU38:BB38"/>
    <mergeCell ref="P39:S39"/>
    <mergeCell ref="T39:W39"/>
    <mergeCell ref="B42:C42"/>
    <mergeCell ref="D42:J42"/>
    <mergeCell ref="K42:M42"/>
    <mergeCell ref="P42:S42"/>
    <mergeCell ref="T42:W42"/>
    <mergeCell ref="BC37:BJ39"/>
    <mergeCell ref="P38:W38"/>
    <mergeCell ref="X38:Z39"/>
    <mergeCell ref="AA38:AH39"/>
    <mergeCell ref="AI38:AQ39"/>
    <mergeCell ref="AR38:AR39"/>
    <mergeCell ref="AS38:AS39"/>
    <mergeCell ref="AT38:AT39"/>
    <mergeCell ref="AY39:BB39"/>
    <mergeCell ref="B40:C40"/>
    <mergeCell ref="D40:J40"/>
    <mergeCell ref="K40:M40"/>
    <mergeCell ref="P40:S40"/>
    <mergeCell ref="T40:W40"/>
    <mergeCell ref="X40:Z40"/>
    <mergeCell ref="AA40:AH40"/>
    <mergeCell ref="AI40:AQ40"/>
    <mergeCell ref="AU40:AX40"/>
    <mergeCell ref="B37:C39"/>
    <mergeCell ref="D37:J39"/>
    <mergeCell ref="K37:M39"/>
    <mergeCell ref="N37:N39"/>
    <mergeCell ref="O37:O39"/>
    <mergeCell ref="AU39:AX39"/>
    <mergeCell ref="P37:AQ37"/>
    <mergeCell ref="AR37:BB37"/>
    <mergeCell ref="K1:V1"/>
    <mergeCell ref="W1:AO3"/>
    <mergeCell ref="AP1:AS1"/>
    <mergeCell ref="AT1:AX1"/>
    <mergeCell ref="AY1:BB1"/>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EB757-D398-4CBC-A61A-584C8BFA5C67}">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8" customWidth="1"/>
    <col min="61" max="16384" width="2.77734375" style="8"/>
  </cols>
  <sheetData>
    <row r="1" spans="1:63" s="4" customFormat="1" ht="24.95" customHeight="1" x14ac:dyDescent="0.25">
      <c r="A1" s="150" t="s">
        <v>23</v>
      </c>
      <c r="B1" s="151"/>
      <c r="C1" s="151"/>
      <c r="D1" s="151"/>
      <c r="E1" s="151"/>
      <c r="F1" s="151"/>
      <c r="G1" s="151"/>
      <c r="H1" s="151"/>
      <c r="I1" s="151"/>
      <c r="J1" s="152"/>
      <c r="K1" s="150" t="s">
        <v>24</v>
      </c>
      <c r="L1" s="151"/>
      <c r="M1" s="151"/>
      <c r="N1" s="151"/>
      <c r="O1" s="151"/>
      <c r="P1" s="151"/>
      <c r="Q1" s="151"/>
      <c r="R1" s="151"/>
      <c r="S1" s="151"/>
      <c r="T1" s="151"/>
      <c r="U1" s="151"/>
      <c r="V1" s="152"/>
      <c r="W1" s="153" t="str">
        <f>IF(表紙!W1="","",表紙!W1)</f>
        <v>基本設計書</v>
      </c>
      <c r="X1" s="154"/>
      <c r="Y1" s="154"/>
      <c r="Z1" s="154"/>
      <c r="AA1" s="154"/>
      <c r="AB1" s="154"/>
      <c r="AC1" s="154"/>
      <c r="AD1" s="154"/>
      <c r="AE1" s="154"/>
      <c r="AF1" s="154"/>
      <c r="AG1" s="154"/>
      <c r="AH1" s="154"/>
      <c r="AI1" s="154"/>
      <c r="AJ1" s="154"/>
      <c r="AK1" s="154"/>
      <c r="AL1" s="154"/>
      <c r="AM1" s="154"/>
      <c r="AN1" s="154"/>
      <c r="AO1" s="155"/>
      <c r="AP1" s="70" t="s">
        <v>26</v>
      </c>
      <c r="AQ1" s="71"/>
      <c r="AR1" s="71"/>
      <c r="AS1" s="72"/>
      <c r="AT1" s="70" t="s">
        <v>27</v>
      </c>
      <c r="AU1" s="71"/>
      <c r="AV1" s="71"/>
      <c r="AW1" s="71"/>
      <c r="AX1" s="72"/>
      <c r="AY1" s="70" t="s">
        <v>28</v>
      </c>
      <c r="AZ1" s="71"/>
      <c r="BA1" s="71"/>
      <c r="BB1" s="72"/>
      <c r="BC1" s="70" t="s">
        <v>29</v>
      </c>
      <c r="BD1" s="71"/>
      <c r="BE1" s="71"/>
      <c r="BF1" s="71"/>
      <c r="BG1" s="72"/>
      <c r="BH1" s="70" t="s">
        <v>30</v>
      </c>
      <c r="BI1" s="71"/>
      <c r="BJ1" s="71"/>
      <c r="BK1" s="72"/>
    </row>
    <row r="2" spans="1:63" s="4" customFormat="1" ht="15" customHeight="1" x14ac:dyDescent="0.25">
      <c r="A2" s="140" t="str">
        <f>IF(表紙!A2="","",表紙!A2)</f>
        <v>POSサーバー</v>
      </c>
      <c r="B2" s="141"/>
      <c r="C2" s="141"/>
      <c r="D2" s="141"/>
      <c r="E2" s="141"/>
      <c r="F2" s="141"/>
      <c r="G2" s="141"/>
      <c r="H2" s="141"/>
      <c r="I2" s="141"/>
      <c r="J2" s="142"/>
      <c r="K2" s="140" t="str">
        <f>IF(表紙!K2="","",表紙!K2)</f>
        <v>POSサーバー</v>
      </c>
      <c r="L2" s="141"/>
      <c r="M2" s="141"/>
      <c r="N2" s="141"/>
      <c r="O2" s="141"/>
      <c r="P2" s="141"/>
      <c r="Q2" s="141"/>
      <c r="R2" s="141"/>
      <c r="S2" s="141"/>
      <c r="T2" s="141"/>
      <c r="U2" s="141"/>
      <c r="V2" s="142"/>
      <c r="W2" s="156"/>
      <c r="X2" s="157"/>
      <c r="Y2" s="157"/>
      <c r="Z2" s="157"/>
      <c r="AA2" s="157"/>
      <c r="AB2" s="157"/>
      <c r="AC2" s="157"/>
      <c r="AD2" s="157"/>
      <c r="AE2" s="157"/>
      <c r="AF2" s="157"/>
      <c r="AG2" s="157"/>
      <c r="AH2" s="157"/>
      <c r="AI2" s="157"/>
      <c r="AJ2" s="157"/>
      <c r="AK2" s="157"/>
      <c r="AL2" s="157"/>
      <c r="AM2" s="157"/>
      <c r="AN2" s="157"/>
      <c r="AO2" s="158"/>
      <c r="AP2" s="55" t="str">
        <f>IF(表紙!AP2="","",表紙!AP2)</f>
        <v>DuNT</v>
      </c>
      <c r="AQ2" s="56"/>
      <c r="AR2" s="56"/>
      <c r="AS2" s="57"/>
      <c r="AT2" s="84">
        <f>IF(表紙!AT2="","",表紙!AT2)</f>
        <v>45435</v>
      </c>
      <c r="AU2" s="85"/>
      <c r="AV2" s="85"/>
      <c r="AW2" s="85"/>
      <c r="AX2" s="86"/>
      <c r="AY2" s="55" t="str">
        <f>IF(表紙!AY2="","",表紙!AY2)</f>
        <v>LoiLV</v>
      </c>
      <c r="AZ2" s="56"/>
      <c r="BA2" s="56"/>
      <c r="BB2" s="57"/>
      <c r="BC2" s="84">
        <f>IF(表紙!BC2="","",表紙!BC2)</f>
        <v>45446</v>
      </c>
      <c r="BD2" s="85"/>
      <c r="BE2" s="85"/>
      <c r="BF2" s="85"/>
      <c r="BG2" s="86"/>
      <c r="BH2" s="55">
        <f>IF(表紙!BH2="","",表紙!BH2)</f>
        <v>0.2</v>
      </c>
      <c r="BI2" s="56"/>
      <c r="BJ2" s="56"/>
      <c r="BK2" s="57"/>
    </row>
    <row r="3" spans="1:63" s="4" customFormat="1" ht="15" customHeight="1" x14ac:dyDescent="0.25">
      <c r="A3" s="143"/>
      <c r="B3" s="144"/>
      <c r="C3" s="144"/>
      <c r="D3" s="144"/>
      <c r="E3" s="144"/>
      <c r="F3" s="144"/>
      <c r="G3" s="144"/>
      <c r="H3" s="144"/>
      <c r="I3" s="144"/>
      <c r="J3" s="145"/>
      <c r="K3" s="143"/>
      <c r="L3" s="144"/>
      <c r="M3" s="144"/>
      <c r="N3" s="144"/>
      <c r="O3" s="144"/>
      <c r="P3" s="144"/>
      <c r="Q3" s="144"/>
      <c r="R3" s="144"/>
      <c r="S3" s="144"/>
      <c r="T3" s="144"/>
      <c r="U3" s="144"/>
      <c r="V3" s="145"/>
      <c r="W3" s="159"/>
      <c r="X3" s="160"/>
      <c r="Y3" s="160"/>
      <c r="Z3" s="160"/>
      <c r="AA3" s="160"/>
      <c r="AB3" s="160"/>
      <c r="AC3" s="160"/>
      <c r="AD3" s="160"/>
      <c r="AE3" s="160"/>
      <c r="AF3" s="160"/>
      <c r="AG3" s="160"/>
      <c r="AH3" s="160"/>
      <c r="AI3" s="160"/>
      <c r="AJ3" s="160"/>
      <c r="AK3" s="160"/>
      <c r="AL3" s="160"/>
      <c r="AM3" s="160"/>
      <c r="AN3" s="160"/>
      <c r="AO3" s="161"/>
      <c r="AP3" s="61"/>
      <c r="AQ3" s="62"/>
      <c r="AR3" s="62"/>
      <c r="AS3" s="63"/>
      <c r="AT3" s="87"/>
      <c r="AU3" s="88"/>
      <c r="AV3" s="88"/>
      <c r="AW3" s="88"/>
      <c r="AX3" s="89"/>
      <c r="AY3" s="61"/>
      <c r="AZ3" s="62"/>
      <c r="BA3" s="62"/>
      <c r="BB3" s="63"/>
      <c r="BC3" s="87"/>
      <c r="BD3" s="88"/>
      <c r="BE3" s="88"/>
      <c r="BF3" s="88"/>
      <c r="BG3" s="89"/>
      <c r="BH3" s="61"/>
      <c r="BI3" s="62"/>
      <c r="BJ3" s="62"/>
      <c r="BK3" s="63"/>
    </row>
    <row r="4" spans="1:63" s="4" customFormat="1" ht="24.95" customHeight="1" x14ac:dyDescent="0.25">
      <c r="A4" s="150" t="s">
        <v>32</v>
      </c>
      <c r="B4" s="151"/>
      <c r="C4" s="151"/>
      <c r="D4" s="151"/>
      <c r="E4" s="151"/>
      <c r="F4" s="151"/>
      <c r="G4" s="152"/>
      <c r="H4" s="146" t="str">
        <f>IF(表紙!H4="","",表紙!H4)</f>
        <v>39_WAONポイントN倍設定</v>
      </c>
      <c r="I4" s="147"/>
      <c r="J4" s="147"/>
      <c r="K4" s="147"/>
      <c r="L4" s="147"/>
      <c r="M4" s="147"/>
      <c r="N4" s="147"/>
      <c r="O4" s="147"/>
      <c r="P4" s="147"/>
      <c r="Q4" s="147"/>
      <c r="R4" s="147"/>
      <c r="S4" s="147"/>
      <c r="T4" s="148"/>
      <c r="U4" s="150" t="s">
        <v>33</v>
      </c>
      <c r="V4" s="151"/>
      <c r="W4" s="151"/>
      <c r="X4" s="151"/>
      <c r="Y4" s="152"/>
      <c r="Z4" s="146" t="str">
        <f>IF(表紙!Z4="","",表紙!Z4)</f>
        <v>概要設計書</v>
      </c>
      <c r="AA4" s="147"/>
      <c r="AB4" s="147"/>
      <c r="AC4" s="147"/>
      <c r="AD4" s="147"/>
      <c r="AE4" s="147"/>
      <c r="AF4" s="147"/>
      <c r="AG4" s="147"/>
      <c r="AH4" s="147"/>
      <c r="AI4" s="147"/>
      <c r="AJ4" s="147"/>
      <c r="AK4" s="147"/>
      <c r="AL4" s="147"/>
      <c r="AM4" s="147"/>
      <c r="AN4" s="147"/>
      <c r="AO4" s="148"/>
      <c r="AP4" s="149" t="str">
        <f ca="1">MID(CELL("filename",A1),FIND("]",CELL("filename",A1))+1,255)</f>
        <v>テンプレート</v>
      </c>
      <c r="AQ4" s="147"/>
      <c r="AR4" s="147"/>
      <c r="AS4" s="147"/>
      <c r="AT4" s="147"/>
      <c r="AU4" s="147"/>
      <c r="AV4" s="147"/>
      <c r="AW4" s="147"/>
      <c r="AX4" s="147"/>
      <c r="AY4" s="147"/>
      <c r="AZ4" s="147"/>
      <c r="BA4" s="147"/>
      <c r="BB4" s="147"/>
      <c r="BC4" s="147"/>
      <c r="BD4" s="147"/>
      <c r="BE4" s="147"/>
      <c r="BF4" s="147"/>
      <c r="BG4" s="147"/>
      <c r="BH4" s="147"/>
      <c r="BI4" s="147"/>
      <c r="BJ4" s="147"/>
      <c r="BK4" s="148"/>
    </row>
    <row r="5" spans="1:63" s="4" customFormat="1" ht="5.0999999999999996" customHeight="1" x14ac:dyDescent="0.25">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7"/>
    </row>
    <row r="6" spans="1:63" ht="15" customHeight="1" x14ac:dyDescent="0.25">
      <c r="A6" s="12"/>
      <c r="BK6" s="13"/>
    </row>
    <row r="7" spans="1:63" ht="15" customHeight="1" x14ac:dyDescent="0.25">
      <c r="A7" s="12"/>
      <c r="B7" s="42"/>
      <c r="C7" s="43"/>
      <c r="D7" s="44"/>
      <c r="E7" s="44"/>
      <c r="F7" s="44"/>
      <c r="G7" s="44"/>
      <c r="H7" s="44"/>
      <c r="I7" s="44"/>
      <c r="J7" s="44"/>
      <c r="K7" s="44"/>
      <c r="L7" s="44"/>
      <c r="M7" s="44"/>
      <c r="N7" s="44"/>
      <c r="O7" s="44"/>
      <c r="P7" s="44"/>
      <c r="Q7" s="44"/>
      <c r="R7" s="44"/>
      <c r="S7" s="44"/>
      <c r="T7" s="45"/>
      <c r="U7" s="43"/>
      <c r="V7" s="44"/>
      <c r="W7" s="44"/>
      <c r="X7" s="44"/>
      <c r="Y7" s="44"/>
      <c r="Z7" s="44"/>
      <c r="AA7" s="44"/>
      <c r="AB7" s="44"/>
      <c r="AC7" s="45"/>
      <c r="AD7" s="43"/>
      <c r="AE7" s="44"/>
      <c r="AF7" s="44"/>
      <c r="AG7" s="44"/>
      <c r="AH7" s="44"/>
      <c r="AI7" s="44"/>
      <c r="AJ7" s="44"/>
      <c r="AK7" s="44"/>
      <c r="AL7" s="45"/>
      <c r="AM7" s="43"/>
      <c r="AN7" s="44"/>
      <c r="AO7" s="44"/>
      <c r="AP7" s="44"/>
      <c r="AQ7" s="44"/>
      <c r="AR7" s="44"/>
      <c r="AS7" s="44"/>
      <c r="AT7" s="44"/>
      <c r="AU7" s="44"/>
      <c r="AV7" s="44"/>
      <c r="AW7" s="44"/>
      <c r="AX7" s="44"/>
      <c r="AY7" s="44"/>
      <c r="AZ7" s="44"/>
      <c r="BA7" s="44"/>
      <c r="BB7" s="44"/>
      <c r="BC7" s="44"/>
      <c r="BD7" s="44"/>
      <c r="BE7" s="44"/>
      <c r="BF7" s="44"/>
      <c r="BG7" s="44"/>
      <c r="BH7" s="44"/>
      <c r="BI7" s="45"/>
      <c r="BJ7" s="44"/>
      <c r="BK7" s="13"/>
    </row>
    <row r="8" spans="1:63" ht="15" customHeight="1" x14ac:dyDescent="0.25">
      <c r="A8" s="12"/>
      <c r="C8" s="46"/>
      <c r="U8" s="46"/>
      <c r="AD8" s="46"/>
      <c r="AM8" s="46"/>
      <c r="BI8" s="48"/>
    </row>
    <row r="9" spans="1:63" ht="15" customHeight="1" x14ac:dyDescent="0.25">
      <c r="A9" s="12"/>
      <c r="C9" s="46"/>
      <c r="U9" s="46"/>
      <c r="AD9" s="46"/>
      <c r="AM9" s="46"/>
      <c r="BI9" s="48"/>
    </row>
    <row r="10" spans="1:63" ht="15" customHeight="1" x14ac:dyDescent="0.25">
      <c r="A10" s="12"/>
      <c r="C10" s="46"/>
      <c r="U10" s="46"/>
      <c r="AD10" s="46"/>
      <c r="AM10" s="46"/>
      <c r="BI10" s="48"/>
    </row>
    <row r="11" spans="1:63" ht="15" customHeight="1" x14ac:dyDescent="0.25">
      <c r="A11" s="12"/>
      <c r="C11" s="46"/>
      <c r="U11" s="46"/>
      <c r="AD11" s="46"/>
      <c r="AM11" s="46"/>
      <c r="BI11" s="48"/>
    </row>
    <row r="12" spans="1:63" ht="15" customHeight="1" x14ac:dyDescent="0.25">
      <c r="A12" s="12"/>
      <c r="C12" s="46"/>
      <c r="U12" s="46"/>
      <c r="AD12" s="46"/>
      <c r="AM12" s="46"/>
      <c r="AX12" s="8" t="s">
        <v>17</v>
      </c>
      <c r="BI12" s="48"/>
    </row>
    <row r="13" spans="1:63" ht="15" customHeight="1" x14ac:dyDescent="0.25">
      <c r="A13" s="12"/>
      <c r="C13" s="46"/>
      <c r="U13" s="46"/>
      <c r="AD13" s="46"/>
      <c r="AM13" s="46"/>
      <c r="BI13" s="48"/>
    </row>
    <row r="14" spans="1:63" ht="15" customHeight="1" x14ac:dyDescent="0.25">
      <c r="A14" s="12"/>
      <c r="C14" s="46"/>
      <c r="U14" s="46"/>
      <c r="AD14" s="46"/>
      <c r="AM14" s="46"/>
      <c r="BI14" s="48"/>
    </row>
    <row r="15" spans="1:63" ht="15" customHeight="1" x14ac:dyDescent="0.25">
      <c r="A15" s="12"/>
      <c r="C15" s="46"/>
      <c r="U15" s="46"/>
      <c r="AD15" s="46"/>
      <c r="AM15" s="46"/>
      <c r="BI15" s="48"/>
    </row>
    <row r="16" spans="1:63" ht="15" customHeight="1" x14ac:dyDescent="0.25">
      <c r="A16" s="12"/>
      <c r="C16" s="46"/>
      <c r="U16" s="46"/>
      <c r="AD16" s="46"/>
      <c r="AM16" s="46"/>
      <c r="BI16" s="48"/>
    </row>
    <row r="17" spans="1:61" ht="15" customHeight="1" x14ac:dyDescent="0.25">
      <c r="A17" s="12"/>
      <c r="C17" s="46"/>
      <c r="U17" s="46"/>
      <c r="AD17" s="46"/>
      <c r="AM17" s="46"/>
      <c r="BI17" s="48"/>
    </row>
    <row r="18" spans="1:61" ht="15" customHeight="1" x14ac:dyDescent="0.25">
      <c r="A18" s="12"/>
      <c r="C18" s="46"/>
      <c r="U18" s="46"/>
      <c r="AD18" s="46"/>
      <c r="AM18" s="46"/>
      <c r="BI18" s="48"/>
    </row>
    <row r="19" spans="1:61" ht="15" customHeight="1" x14ac:dyDescent="0.25">
      <c r="A19" s="12"/>
      <c r="C19" s="46"/>
      <c r="U19" s="46"/>
      <c r="AD19" s="46"/>
      <c r="AM19" s="46"/>
      <c r="BI19" s="48"/>
    </row>
    <row r="20" spans="1:61" ht="15" customHeight="1" x14ac:dyDescent="0.25">
      <c r="A20" s="12"/>
      <c r="C20" s="46"/>
      <c r="U20" s="46"/>
      <c r="AD20" s="46"/>
      <c r="AM20" s="46"/>
      <c r="BI20" s="48"/>
    </row>
    <row r="21" spans="1:61" ht="15" customHeight="1" x14ac:dyDescent="0.25">
      <c r="A21" s="12"/>
      <c r="C21" s="46"/>
      <c r="U21" s="46"/>
      <c r="AD21" s="46"/>
      <c r="AM21" s="46"/>
      <c r="BI21" s="48"/>
    </row>
    <row r="22" spans="1:61" ht="15" customHeight="1" x14ac:dyDescent="0.25">
      <c r="A22" s="12"/>
      <c r="C22" s="46"/>
      <c r="U22" s="46"/>
      <c r="AD22" s="46"/>
      <c r="AM22" s="46"/>
      <c r="BI22" s="48"/>
    </row>
    <row r="23" spans="1:61" ht="15" customHeight="1" x14ac:dyDescent="0.25">
      <c r="A23" s="12"/>
      <c r="C23" s="46"/>
      <c r="U23" s="46"/>
      <c r="AD23" s="46"/>
      <c r="AM23" s="46"/>
      <c r="BI23" s="48"/>
    </row>
    <row r="24" spans="1:61" ht="15" customHeight="1" x14ac:dyDescent="0.25">
      <c r="A24" s="12"/>
      <c r="C24" s="46"/>
      <c r="U24" s="46"/>
      <c r="AD24" s="46"/>
      <c r="AM24" s="46"/>
      <c r="BI24" s="48"/>
    </row>
    <row r="25" spans="1:61" ht="15" customHeight="1" x14ac:dyDescent="0.25">
      <c r="A25" s="12"/>
      <c r="C25" s="46"/>
      <c r="U25" s="46"/>
      <c r="AD25" s="46"/>
      <c r="AM25" s="46"/>
      <c r="BI25" s="48"/>
    </row>
    <row r="26" spans="1:61" ht="15" customHeight="1" x14ac:dyDescent="0.25">
      <c r="A26" s="12"/>
      <c r="C26" s="46"/>
      <c r="U26" s="46"/>
      <c r="AD26" s="46"/>
      <c r="AM26" s="46"/>
      <c r="BI26" s="48"/>
    </row>
    <row r="27" spans="1:61" ht="15" customHeight="1" x14ac:dyDescent="0.25">
      <c r="A27" s="12"/>
      <c r="C27" s="46"/>
      <c r="U27" s="46"/>
      <c r="AD27" s="46"/>
      <c r="AM27" s="46"/>
      <c r="BI27" s="48"/>
    </row>
    <row r="28" spans="1:61" ht="15" customHeight="1" x14ac:dyDescent="0.25">
      <c r="A28" s="12"/>
      <c r="C28" s="46"/>
      <c r="U28" s="46"/>
      <c r="AD28" s="46"/>
      <c r="AM28" s="46"/>
      <c r="BI28" s="48"/>
    </row>
    <row r="29" spans="1:61" ht="15" customHeight="1" x14ac:dyDescent="0.25">
      <c r="A29" s="12"/>
      <c r="C29" s="46"/>
      <c r="U29" s="46"/>
      <c r="AD29" s="46"/>
      <c r="AM29" s="46"/>
      <c r="BI29" s="48"/>
    </row>
    <row r="30" spans="1:61" ht="15" customHeight="1" x14ac:dyDescent="0.25">
      <c r="A30" s="12"/>
      <c r="C30" s="46"/>
      <c r="U30" s="46"/>
      <c r="AD30" s="46"/>
      <c r="AM30" s="46"/>
      <c r="BI30" s="48"/>
    </row>
    <row r="31" spans="1:61" ht="15" customHeight="1" x14ac:dyDescent="0.25">
      <c r="A31" s="12"/>
      <c r="C31" s="46"/>
      <c r="U31" s="46"/>
      <c r="AD31" s="46"/>
      <c r="AM31" s="46"/>
      <c r="BI31" s="48"/>
    </row>
    <row r="32" spans="1:61" ht="15" customHeight="1" x14ac:dyDescent="0.25">
      <c r="A32" s="12"/>
      <c r="C32" s="46"/>
      <c r="U32" s="46"/>
      <c r="AD32" s="46"/>
      <c r="AM32" s="46"/>
      <c r="BI32" s="48"/>
    </row>
    <row r="33" spans="1:61" ht="15" customHeight="1" x14ac:dyDescent="0.25">
      <c r="A33" s="12"/>
      <c r="C33" s="46"/>
      <c r="U33" s="46"/>
      <c r="AD33" s="46"/>
      <c r="AM33" s="46"/>
      <c r="BI33" s="48"/>
    </row>
    <row r="34" spans="1:61" ht="15" customHeight="1" x14ac:dyDescent="0.25">
      <c r="A34" s="12"/>
      <c r="C34" s="46"/>
      <c r="U34" s="46"/>
      <c r="AD34" s="46"/>
      <c r="AM34" s="46"/>
      <c r="BI34" s="48"/>
    </row>
    <row r="35" spans="1:61" ht="15" customHeight="1" x14ac:dyDescent="0.25">
      <c r="A35" s="12"/>
      <c r="C35" s="46"/>
      <c r="U35" s="46"/>
      <c r="AD35" s="46"/>
      <c r="AM35" s="46"/>
      <c r="BI35" s="48"/>
    </row>
    <row r="36" spans="1:61" ht="15" customHeight="1" x14ac:dyDescent="0.25">
      <c r="A36" s="12"/>
      <c r="C36" s="46"/>
      <c r="U36" s="46"/>
      <c r="AD36" s="46"/>
      <c r="AM36" s="46"/>
      <c r="BI36" s="48"/>
    </row>
    <row r="37" spans="1:61" ht="15" customHeight="1" x14ac:dyDescent="0.25">
      <c r="A37" s="12"/>
      <c r="C37" s="46"/>
      <c r="U37" s="46"/>
      <c r="AD37" s="46"/>
      <c r="AM37" s="46"/>
      <c r="BI37" s="48"/>
    </row>
    <row r="38" spans="1:61" ht="15" customHeight="1" x14ac:dyDescent="0.25">
      <c r="A38" s="12"/>
      <c r="C38" s="46"/>
      <c r="U38" s="46"/>
      <c r="AD38" s="46"/>
      <c r="AM38" s="46"/>
      <c r="BI38" s="48"/>
    </row>
    <row r="39" spans="1:61" ht="15" customHeight="1" x14ac:dyDescent="0.25">
      <c r="A39" s="12"/>
      <c r="C39" s="46"/>
      <c r="U39" s="46"/>
      <c r="AD39" s="46"/>
      <c r="AM39" s="46"/>
      <c r="BI39" s="48"/>
    </row>
    <row r="40" spans="1:61" ht="15" customHeight="1" x14ac:dyDescent="0.25">
      <c r="A40" s="12"/>
      <c r="C40" s="46"/>
      <c r="U40" s="46"/>
      <c r="AD40" s="46"/>
      <c r="AM40" s="46"/>
      <c r="BI40" s="48"/>
    </row>
    <row r="41" spans="1:61" ht="15" customHeight="1" x14ac:dyDescent="0.25">
      <c r="A41" s="12"/>
      <c r="C41" s="46"/>
      <c r="U41" s="46"/>
      <c r="AD41" s="46"/>
      <c r="AM41" s="46"/>
      <c r="BI41" s="48"/>
    </row>
    <row r="42" spans="1:61" ht="15" customHeight="1" x14ac:dyDescent="0.25">
      <c r="A42" s="12"/>
      <c r="C42" s="46"/>
      <c r="U42" s="46"/>
      <c r="AD42" s="46"/>
      <c r="AM42" s="46"/>
      <c r="BI42" s="48"/>
    </row>
    <row r="43" spans="1:61" ht="15" customHeight="1" x14ac:dyDescent="0.25">
      <c r="A43" s="12"/>
      <c r="C43" s="46"/>
      <c r="U43" s="46"/>
      <c r="AD43" s="46"/>
      <c r="AM43" s="46"/>
      <c r="BI43" s="48"/>
    </row>
    <row r="44" spans="1:61" ht="15" customHeight="1" x14ac:dyDescent="0.25">
      <c r="A44" s="12"/>
      <c r="C44" s="46"/>
      <c r="U44" s="46"/>
      <c r="AD44" s="46"/>
      <c r="AM44" s="46"/>
      <c r="BI44" s="48"/>
    </row>
    <row r="45" spans="1:61" ht="15" customHeight="1" x14ac:dyDescent="0.25">
      <c r="A45" s="12"/>
      <c r="C45" s="46"/>
      <c r="U45" s="46"/>
      <c r="AD45" s="46"/>
      <c r="AM45" s="46"/>
      <c r="BI45" s="48"/>
    </row>
    <row r="46" spans="1:61" ht="15" customHeight="1" x14ac:dyDescent="0.25">
      <c r="A46" s="12"/>
      <c r="C46" s="46"/>
      <c r="U46" s="46"/>
      <c r="AD46" s="46"/>
      <c r="AM46" s="46"/>
      <c r="BI46" s="48"/>
    </row>
    <row r="47" spans="1:61" ht="15" customHeight="1" x14ac:dyDescent="0.25">
      <c r="A47" s="12"/>
      <c r="C47" s="46"/>
      <c r="U47" s="46"/>
      <c r="AD47" s="46"/>
      <c r="AM47" s="46"/>
      <c r="BI47" s="48"/>
    </row>
    <row r="48" spans="1:61" ht="15" customHeight="1" x14ac:dyDescent="0.25">
      <c r="A48" s="12"/>
      <c r="C48" s="46"/>
      <c r="U48" s="46"/>
      <c r="AD48" s="46"/>
      <c r="AM48" s="46"/>
      <c r="BI48" s="48"/>
    </row>
    <row r="49" spans="1:63" ht="15" customHeight="1" x14ac:dyDescent="0.25">
      <c r="A49" s="12"/>
      <c r="C49" s="46"/>
      <c r="U49" s="46"/>
      <c r="AD49" s="46"/>
      <c r="AM49" s="46"/>
      <c r="BI49" s="48"/>
    </row>
    <row r="50" spans="1:63" ht="15" customHeight="1" x14ac:dyDescent="0.25">
      <c r="A50" s="12"/>
      <c r="C50" s="46"/>
      <c r="U50" s="46"/>
      <c r="AD50" s="46"/>
      <c r="AM50" s="46"/>
      <c r="BI50" s="48"/>
    </row>
    <row r="51" spans="1:63" ht="15" customHeight="1" x14ac:dyDescent="0.25">
      <c r="A51" s="12"/>
      <c r="C51" s="46"/>
      <c r="U51" s="46"/>
      <c r="AD51" s="46"/>
      <c r="AM51" s="46"/>
      <c r="BI51" s="48"/>
    </row>
    <row r="52" spans="1:63" ht="15" customHeight="1" x14ac:dyDescent="0.25">
      <c r="A52" s="12"/>
      <c r="C52" s="46"/>
      <c r="U52" s="46"/>
      <c r="AD52" s="46"/>
      <c r="AM52" s="46"/>
      <c r="BI52" s="48"/>
    </row>
    <row r="53" spans="1:63" ht="15" customHeight="1" x14ac:dyDescent="0.25">
      <c r="A53" s="12"/>
      <c r="C53" s="46"/>
      <c r="U53" s="46"/>
      <c r="AD53" s="46"/>
      <c r="AM53" s="46"/>
      <c r="BI53" s="48"/>
    </row>
    <row r="54" spans="1:63" ht="15" customHeight="1" x14ac:dyDescent="0.25">
      <c r="A54" s="12"/>
      <c r="C54" s="46"/>
      <c r="U54" s="46"/>
      <c r="AD54" s="46"/>
      <c r="AM54" s="46"/>
      <c r="BI54" s="48"/>
    </row>
    <row r="55" spans="1:63" ht="15" customHeight="1" x14ac:dyDescent="0.25">
      <c r="A55" s="9"/>
      <c r="B55" s="53"/>
      <c r="C55" s="10"/>
      <c r="D55" s="10"/>
      <c r="E55" s="10"/>
      <c r="F55" s="10"/>
      <c r="G55" s="10"/>
      <c r="H55" s="10"/>
      <c r="I55" s="10"/>
      <c r="J55" s="10"/>
      <c r="K55" s="10"/>
      <c r="L55" s="10"/>
      <c r="M55" s="10"/>
      <c r="N55" s="10"/>
      <c r="O55" s="10"/>
      <c r="P55" s="10"/>
      <c r="Q55" s="10"/>
      <c r="R55" s="10"/>
      <c r="S55" s="10"/>
      <c r="T55" s="10"/>
      <c r="U55" s="53"/>
      <c r="V55" s="10"/>
      <c r="W55" s="10"/>
      <c r="X55" s="10"/>
      <c r="Y55" s="10"/>
      <c r="Z55" s="10"/>
      <c r="AA55" s="10"/>
      <c r="AB55" s="10"/>
      <c r="AC55" s="10"/>
      <c r="AD55" s="53"/>
      <c r="AE55" s="10"/>
      <c r="AF55" s="10"/>
      <c r="AG55" s="10"/>
      <c r="AH55" s="10"/>
      <c r="AI55" s="10"/>
      <c r="AJ55" s="10"/>
      <c r="AK55" s="10"/>
      <c r="AL55" s="10"/>
      <c r="AM55" s="53"/>
      <c r="AN55" s="10"/>
      <c r="AO55" s="10"/>
      <c r="AP55" s="10"/>
      <c r="AQ55" s="10"/>
      <c r="AR55" s="10"/>
      <c r="AS55" s="10"/>
      <c r="AT55" s="10"/>
      <c r="AU55" s="10"/>
      <c r="AV55" s="10"/>
      <c r="AW55" s="10"/>
      <c r="AX55" s="10"/>
      <c r="AY55" s="10"/>
      <c r="AZ55" s="10"/>
      <c r="BA55" s="10"/>
      <c r="BB55" s="10"/>
      <c r="BC55" s="10"/>
      <c r="BD55" s="10"/>
      <c r="BE55" s="10"/>
      <c r="BF55" s="10"/>
      <c r="BG55" s="10"/>
      <c r="BH55" s="10"/>
      <c r="BI55" s="54"/>
      <c r="BJ55" s="10"/>
      <c r="BK55" s="11"/>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表紙</vt:lpstr>
      <vt:lpstr>改訂履歴</vt:lpstr>
      <vt:lpstr>業務フロー凡例</vt:lpstr>
      <vt:lpstr>機能概要説明</vt:lpstr>
      <vt:lpstr>機能概要</vt:lpstr>
      <vt:lpstr>画面設計書</vt:lpstr>
      <vt:lpstr>テンプレート</vt:lpstr>
      <vt:lpstr>テンプレート!Print_Area</vt:lpstr>
      <vt:lpstr>改訂履歴!Print_Area</vt:lpstr>
      <vt:lpstr>機能概要!Print_Area</vt:lpstr>
      <vt:lpstr>機能概要説明!Print_Area</vt:lpstr>
      <vt:lpstr>表紙!Print_Area</vt:lpstr>
      <vt:lpstr>テンプレート!Print_Titles</vt:lpstr>
      <vt:lpstr>改訂履歴!Print_Titles</vt:lpstr>
      <vt:lpstr>業務フロー凡例!Print_Titles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cp:lastModifiedBy>
  <dcterms:created xsi:type="dcterms:W3CDTF">2015-06-05T18:19:34Z</dcterms:created>
  <dcterms:modified xsi:type="dcterms:W3CDTF">2024-06-06T06:55:16Z</dcterms:modified>
  <cp:category/>
  <cp:contentStatus/>
</cp:coreProperties>
</file>