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B611B40D-8E6A-46B8-8641-1C9CDE5CEA1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" sheetId="6" r:id="rId3"/>
    <sheet name="機能概要説明" sheetId="8" r:id="rId4"/>
    <sheet name="機能概要" sheetId="9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機能概要!$A$1:$BK$302</definedName>
    <definedName name="_xlnm.Print_Area" localSheetId="3">機能概要説明!$A$1:$BK$54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8" i="9"/>
  <c r="BM9" i="9" s="1"/>
  <c r="BM10" i="9" s="1"/>
  <c r="BM11" i="9" s="1"/>
  <c r="BM12" i="9" s="1"/>
  <c r="BM13" i="9" s="1"/>
  <c r="BM14" i="9" s="1"/>
  <c r="BM15" i="9" s="1"/>
  <c r="BM16" i="9" s="1"/>
  <c r="BM17" i="9" s="1"/>
  <c r="BM18" i="9" s="1"/>
  <c r="BM19" i="9" s="1"/>
  <c r="BM20" i="9" s="1"/>
  <c r="BM21" i="9" s="1"/>
  <c r="BM22" i="9" s="1"/>
  <c r="BM23" i="9" s="1"/>
  <c r="BM24" i="9" s="1"/>
  <c r="BM25" i="9" s="1"/>
  <c r="BM26" i="9" s="1"/>
  <c r="BM27" i="9" s="1"/>
  <c r="BM28" i="9" s="1"/>
  <c r="BM29" i="9" s="1"/>
  <c r="BM30" i="9" s="1"/>
  <c r="BM31" i="9" s="1"/>
  <c r="BM32" i="9" s="1"/>
  <c r="BM33" i="9" s="1"/>
  <c r="BM34" i="9" s="1"/>
  <c r="BM35" i="9" s="1"/>
  <c r="BM36" i="9" s="1"/>
  <c r="BM37" i="9" s="1"/>
  <c r="BM38" i="9" s="1"/>
  <c r="BM39" i="9" s="1"/>
  <c r="BM40" i="9" s="1"/>
  <c r="BM41" i="9" s="1"/>
  <c r="BM42" i="9" s="1"/>
  <c r="BM43" i="9" s="1"/>
  <c r="BM44" i="9" s="1"/>
  <c r="BM45" i="9" s="1"/>
  <c r="BM46" i="9" s="1"/>
  <c r="BM47" i="9" s="1"/>
  <c r="BM48" i="9" s="1"/>
  <c r="BM49" i="9" s="1"/>
  <c r="BM50" i="9" s="1"/>
  <c r="BM51" i="9" s="1"/>
  <c r="BM52" i="9" s="1"/>
  <c r="BM53" i="9" s="1"/>
  <c r="BM54" i="9" s="1"/>
  <c r="BM55" i="9" s="1"/>
  <c r="BM56" i="9" s="1"/>
  <c r="BM57" i="9" s="1"/>
  <c r="BM58" i="9" s="1"/>
  <c r="BM59" i="9" s="1"/>
  <c r="BM60" i="9" s="1"/>
  <c r="BM61" i="9" s="1"/>
  <c r="BM62" i="9" s="1"/>
  <c r="BM63" i="9" s="1"/>
  <c r="BM64" i="9" s="1"/>
  <c r="BM65" i="9" s="1"/>
  <c r="BM66" i="9" s="1"/>
  <c r="BM67" i="9" s="1"/>
  <c r="BM68" i="9" s="1"/>
  <c r="BM69" i="9" s="1"/>
  <c r="BM70" i="9" s="1"/>
  <c r="BM71" i="9" s="1"/>
  <c r="BM72" i="9" s="1"/>
  <c r="BM73" i="9" s="1"/>
  <c r="BM74" i="9" s="1"/>
  <c r="BM75" i="9" s="1"/>
  <c r="BM76" i="9" s="1"/>
  <c r="BM77" i="9" s="1"/>
  <c r="BM78" i="9" s="1"/>
  <c r="BM79" i="9" s="1"/>
  <c r="BM80" i="9" s="1"/>
  <c r="BM81" i="9" s="1"/>
  <c r="BM82" i="9" s="1"/>
  <c r="BM83" i="9" s="1"/>
  <c r="BM84" i="9" s="1"/>
  <c r="BM85" i="9" s="1"/>
  <c r="BM86" i="9" s="1"/>
  <c r="BM87" i="9" s="1"/>
  <c r="BM88" i="9" s="1"/>
  <c r="BM89" i="9" s="1"/>
  <c r="BM90" i="9" s="1"/>
  <c r="BM91" i="9" s="1"/>
  <c r="BM92" i="9" s="1"/>
  <c r="BM93" i="9" s="1"/>
  <c r="BM94" i="9" s="1"/>
  <c r="BM95" i="9" s="1"/>
  <c r="BM96" i="9" s="1"/>
  <c r="BM97" i="9" s="1"/>
  <c r="BM98" i="9" s="1"/>
  <c r="BM99" i="9" s="1"/>
  <c r="BM100" i="9" s="1"/>
  <c r="BM101" i="9" s="1"/>
  <c r="BM102" i="9" s="1"/>
  <c r="BM103" i="9" s="1"/>
  <c r="BM104" i="9" s="1"/>
  <c r="BM105" i="9" s="1"/>
  <c r="BM106" i="9" s="1"/>
  <c r="BM107" i="9" s="1"/>
  <c r="BM108" i="9" s="1"/>
  <c r="BM109" i="9" s="1"/>
  <c r="BM110" i="9" s="1"/>
  <c r="BM111" i="9" s="1"/>
  <c r="BM112" i="9" s="1"/>
  <c r="BM113" i="9" s="1"/>
  <c r="BM114" i="9" s="1"/>
  <c r="BM115" i="9" s="1"/>
  <c r="BM116" i="9" s="1"/>
  <c r="BM117" i="9" s="1"/>
  <c r="BM118" i="9" s="1"/>
  <c r="BM119" i="9" s="1"/>
  <c r="BM120" i="9" s="1"/>
  <c r="BM121" i="9" s="1"/>
  <c r="BM122" i="9" s="1"/>
  <c r="BM123" i="9" s="1"/>
  <c r="BM124" i="9" s="1"/>
  <c r="BM125" i="9" s="1"/>
  <c r="BM126" i="9" s="1"/>
  <c r="BM127" i="9" s="1"/>
  <c r="BM128" i="9" s="1"/>
  <c r="BM129" i="9" s="1"/>
  <c r="BM130" i="9" s="1"/>
  <c r="BM131" i="9" s="1"/>
  <c r="BM132" i="9" s="1"/>
  <c r="BM133" i="9" s="1"/>
  <c r="BM134" i="9" s="1"/>
  <c r="BM135" i="9" s="1"/>
  <c r="BM136" i="9" s="1"/>
  <c r="BM137" i="9" s="1"/>
  <c r="BM138" i="9" s="1"/>
  <c r="BM139" i="9" s="1"/>
  <c r="BM140" i="9" s="1"/>
  <c r="BM141" i="9" s="1"/>
  <c r="BM142" i="9" s="1"/>
  <c r="BM143" i="9" s="1"/>
  <c r="BM144" i="9" s="1"/>
  <c r="BM145" i="9" s="1"/>
  <c r="BM146" i="9" s="1"/>
  <c r="BM147" i="9" s="1"/>
  <c r="BM148" i="9" s="1"/>
  <c r="BM149" i="9" s="1"/>
  <c r="BM150" i="9" s="1"/>
  <c r="BM151" i="9" s="1"/>
  <c r="BM152" i="9" s="1"/>
  <c r="BM153" i="9" s="1"/>
  <c r="BM154" i="9" s="1"/>
  <c r="BM155" i="9" s="1"/>
  <c r="BM156" i="9" s="1"/>
  <c r="BM157" i="9" s="1"/>
  <c r="BM158" i="9" s="1"/>
  <c r="BM159" i="9" s="1"/>
  <c r="BM160" i="9" s="1"/>
  <c r="BM161" i="9" s="1"/>
  <c r="BM162" i="9" s="1"/>
  <c r="BM163" i="9" s="1"/>
  <c r="BM164" i="9" s="1"/>
  <c r="BM165" i="9" s="1"/>
  <c r="BM166" i="9" s="1"/>
  <c r="BM167" i="9" s="1"/>
  <c r="BM168" i="9" s="1"/>
  <c r="BM169" i="9" s="1"/>
  <c r="BM170" i="9" s="1"/>
  <c r="BM171" i="9" s="1"/>
  <c r="BM172" i="9" s="1"/>
  <c r="BM173" i="9" s="1"/>
  <c r="BM174" i="9" s="1"/>
  <c r="BM175" i="9" s="1"/>
  <c r="BM176" i="9" s="1"/>
  <c r="BM177" i="9" s="1"/>
  <c r="BM178" i="9" s="1"/>
  <c r="BM179" i="9" s="1"/>
  <c r="BM180" i="9" s="1"/>
  <c r="BM181" i="9" s="1"/>
  <c r="BM182" i="9" s="1"/>
  <c r="BM183" i="9" s="1"/>
  <c r="BM184" i="9" s="1"/>
  <c r="BM185" i="9" s="1"/>
  <c r="BM186" i="9" s="1"/>
  <c r="BM187" i="9" s="1"/>
  <c r="BM188" i="9" s="1"/>
  <c r="BM189" i="9" s="1"/>
  <c r="BM190" i="9" s="1"/>
  <c r="BM191" i="9" s="1"/>
  <c r="BM192" i="9" s="1"/>
  <c r="BM193" i="9" s="1"/>
  <c r="BM194" i="9" s="1"/>
  <c r="BM195" i="9" s="1"/>
  <c r="BM196" i="9" s="1"/>
  <c r="BM197" i="9" s="1"/>
  <c r="BM198" i="9" s="1"/>
  <c r="BM199" i="9" s="1"/>
  <c r="BM200" i="9" s="1"/>
  <c r="BM201" i="9" s="1"/>
  <c r="BM202" i="9" s="1"/>
  <c r="BM203" i="9" s="1"/>
  <c r="BM204" i="9" s="1"/>
  <c r="BM205" i="9" s="1"/>
  <c r="BM206" i="9" s="1"/>
  <c r="BM207" i="9" s="1"/>
  <c r="BM208" i="9" s="1"/>
  <c r="BM209" i="9" s="1"/>
  <c r="BM210" i="9" s="1"/>
  <c r="BM211" i="9" s="1"/>
  <c r="BM212" i="9" s="1"/>
  <c r="BM213" i="9" s="1"/>
  <c r="BM214" i="9" s="1"/>
  <c r="BM215" i="9" s="1"/>
  <c r="BM216" i="9" s="1"/>
  <c r="BM217" i="9" s="1"/>
  <c r="BM218" i="9" s="1"/>
  <c r="BM219" i="9" s="1"/>
  <c r="BM220" i="9" s="1"/>
  <c r="BM221" i="9" s="1"/>
  <c r="BM222" i="9" s="1"/>
  <c r="BM223" i="9" s="1"/>
  <c r="BM224" i="9" s="1"/>
  <c r="BM225" i="9" s="1"/>
  <c r="BM226" i="9" s="1"/>
  <c r="BM227" i="9" s="1"/>
  <c r="BM228" i="9" s="1"/>
  <c r="BM229" i="9" s="1"/>
  <c r="BM230" i="9" s="1"/>
  <c r="BM231" i="9" s="1"/>
  <c r="BM232" i="9" s="1"/>
  <c r="BM233" i="9" s="1"/>
  <c r="BM234" i="9" s="1"/>
  <c r="BM235" i="9" s="1"/>
  <c r="BM236" i="9" s="1"/>
  <c r="BM237" i="9" s="1"/>
  <c r="BM238" i="9" s="1"/>
  <c r="BM239" i="9" s="1"/>
  <c r="BM240" i="9" s="1"/>
  <c r="BM241" i="9" s="1"/>
  <c r="BM242" i="9" s="1"/>
  <c r="BM243" i="9" s="1"/>
  <c r="BM244" i="9" s="1"/>
  <c r="BM245" i="9" s="1"/>
  <c r="BM246" i="9" s="1"/>
  <c r="BM247" i="9" s="1"/>
  <c r="BM248" i="9" s="1"/>
  <c r="BM249" i="9" s="1"/>
  <c r="BM250" i="9" s="1"/>
  <c r="BM251" i="9" s="1"/>
  <c r="BM252" i="9" s="1"/>
  <c r="BM253" i="9" s="1"/>
  <c r="BM254" i="9" s="1"/>
  <c r="BM255" i="9" s="1"/>
  <c r="BM256" i="9" s="1"/>
  <c r="BM257" i="9" s="1"/>
  <c r="BM258" i="9" s="1"/>
  <c r="BM259" i="9" s="1"/>
  <c r="BM260" i="9" s="1"/>
  <c r="BM261" i="9" s="1"/>
  <c r="BM262" i="9" s="1"/>
  <c r="BM263" i="9" s="1"/>
  <c r="BM264" i="9" s="1"/>
  <c r="BM265" i="9" s="1"/>
  <c r="BM266" i="9" s="1"/>
  <c r="BM267" i="9" s="1"/>
  <c r="BM7" i="9"/>
  <c r="AP4" i="9" a="1"/>
  <c r="AP4" i="9" s="1"/>
  <c r="Z4" i="9"/>
  <c r="H4" i="9"/>
  <c r="K2" i="9"/>
  <c r="A2" i="9"/>
  <c r="W1" i="9"/>
  <c r="BM8" i="8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7" i="8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C2" i="4"/>
  <c r="BC2" i="3" s="1"/>
  <c r="AY2" i="4"/>
  <c r="AY2" i="6" s="1"/>
  <c r="AT2" i="4"/>
  <c r="AT2" i="8" s="1"/>
  <c r="AP2" i="4"/>
  <c r="AT2" i="3" l="1"/>
  <c r="BH2" i="2"/>
  <c r="BH2" i="9"/>
  <c r="BH2" i="7"/>
  <c r="BC2" i="7"/>
  <c r="BC2" i="8"/>
  <c r="BC2" i="6"/>
  <c r="BC2" i="9"/>
  <c r="BC2" i="2"/>
  <c r="AP2" i="2"/>
  <c r="AP2" i="9"/>
  <c r="AP2" i="7"/>
  <c r="AP2" i="6"/>
  <c r="BH2" i="3"/>
  <c r="AP2" i="8"/>
  <c r="AY2" i="2"/>
  <c r="AY2" i="3"/>
  <c r="AY2" i="8"/>
  <c r="AY2" i="7"/>
  <c r="AY2" i="9"/>
  <c r="AP2" i="3"/>
  <c r="BH2" i="6"/>
  <c r="BH2" i="8"/>
  <c r="BM268" i="9"/>
  <c r="BM269" i="9" s="1"/>
  <c r="BM270" i="9" s="1"/>
  <c r="BM271" i="9" s="1"/>
  <c r="BM272" i="9" s="1"/>
  <c r="BM273" i="9" s="1"/>
  <c r="BM274" i="9"/>
  <c r="BM275" i="9" s="1"/>
  <c r="AT2" i="7"/>
  <c r="AT2" i="9"/>
  <c r="AT2" i="2"/>
  <c r="BM283" i="9" l="1"/>
  <c r="BM284" i="9" s="1"/>
  <c r="BM285" i="9" s="1"/>
  <c r="BM286" i="9" s="1"/>
  <c r="BM287" i="9" s="1"/>
  <c r="BM288" i="9" s="1"/>
  <c r="BM289" i="9" s="1"/>
  <c r="BM290" i="9" s="1"/>
  <c r="BM291" i="9" s="1"/>
  <c r="BM292" i="9" s="1"/>
  <c r="BM293" i="9" s="1"/>
  <c r="BM294" i="9" s="1"/>
  <c r="BM295" i="9" s="1"/>
  <c r="BM296" i="9" s="1"/>
  <c r="BM297" i="9" s="1"/>
  <c r="BM298" i="9" s="1"/>
  <c r="BM299" i="9" s="1"/>
  <c r="BM300" i="9" s="1"/>
  <c r="BM301" i="9" s="1"/>
  <c r="BM302" i="9" s="1"/>
  <c r="BM276" i="9"/>
  <c r="BM277" i="9" s="1"/>
  <c r="BM278" i="9" s="1"/>
  <c r="BM279" i="9" s="1"/>
  <c r="BM280" i="9" s="1"/>
  <c r="BM281" i="9" s="1"/>
  <c r="BM282" i="9" s="1"/>
</calcChain>
</file>

<file path=xl/sharedStrings.xml><?xml version="1.0" encoding="utf-8"?>
<sst xmlns="http://schemas.openxmlformats.org/spreadsheetml/2006/main" count="215" uniqueCount="94">
  <si>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</si>
  <si>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</si>
  <si>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</si>
  <si>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</si>
  <si>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</si>
  <si>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</si>
  <si>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</si>
  <si>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</si>
  <si>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</si>
  <si>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</si>
  <si>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</si>
  <si>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</si>
  <si>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</si>
  <si>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8"/>
        <color rgb="FF000000"/>
        <rFont val="Meiryo UI"/>
        <family val="3"/>
      </rPr>
      <t>基本設計書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</si>
  <si>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</si>
  <si>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</si>
  <si>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</si>
  <si>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</si>
  <si>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</si>
  <si>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</si>
  <si>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</si>
  <si>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</si>
  <si>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</si>
  <si>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</si>
  <si>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</si>
  <si>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</si>
  <si>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</si>
  <si>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</si>
  <si>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</si>
  <si>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</si>
  <si>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r>
      <rPr>
        <sz val="11"/>
        <color rgb="FF000000"/>
        <rFont val="Meiryo UI"/>
        <family val="2"/>
      </rPr>
      <t>POSサーバー</t>
    </r>
  </si>
  <si>
    <t>`</t>
  </si>
  <si>
    <r>
      <rPr>
        <sz val="24"/>
        <color rgb="FF000000"/>
        <rFont val="Meiryo UI"/>
        <family val="3"/>
      </rPr>
      <t>POSサーバーの基本設計書</t>
    </r>
  </si>
  <si>
    <r>
      <rPr>
        <sz val="11"/>
        <color rgb="FF000000"/>
        <rFont val="Meiryo UI"/>
        <family val="2"/>
      </rPr>
      <t>40_従業員設定</t>
    </r>
  </si>
  <si>
    <r>
      <rPr>
        <sz val="11"/>
        <color rgb="FF000000"/>
        <rFont val="Meiryo UI"/>
        <family val="2"/>
      </rPr>
      <t>検索結果がオレンジ枠で囲まれたところに表示される。</t>
    </r>
  </si>
  <si>
    <r>
      <rPr>
        <sz val="11"/>
        <color rgb="FF000000"/>
        <rFont val="Meiryo UI"/>
        <family val="2"/>
      </rPr>
      <t>この機能は、</t>
    </r>
  </si>
  <si>
    <r>
      <rPr>
        <sz val="11"/>
        <color rgb="FF000000"/>
        <rFont val="Meiryo UI"/>
        <family val="2"/>
      </rPr>
      <t>追加・編集・削除などの状態を表示する。</t>
    </r>
  </si>
  <si>
    <r>
      <rPr>
        <sz val="11"/>
        <color rgb="FF000000"/>
        <rFont val="Meiryo UI"/>
        <family val="2"/>
      </rPr>
      <t>従業員のバーコード</t>
    </r>
  </si>
  <si>
    <r>
      <rPr>
        <sz val="11"/>
        <color rgb="FF000000"/>
        <rFont val="Meiryo UI"/>
        <family val="2"/>
      </rPr>
      <t>新規モーダル</t>
    </r>
  </si>
  <si>
    <r>
      <rPr>
        <sz val="11"/>
        <color rgb="FF000000"/>
        <rFont val="Meiryo UI"/>
        <family val="2"/>
      </rPr>
      <t>新規時のバリデーションチェックエラーの場合</t>
    </r>
  </si>
  <si>
    <r>
      <rPr>
        <sz val="11"/>
        <color rgb="FF000000"/>
        <rFont val="Meiryo UI"/>
        <family val="2"/>
      </rPr>
      <t>編集時のバリデーションチェックエラーの場合</t>
    </r>
  </si>
  <si>
    <r>
      <rPr>
        <sz val="11"/>
        <color rgb="FF000000"/>
        <rFont val="Meiryo UI"/>
        <family val="2"/>
      </rPr>
      <t>・従業員一覧の検索・表示を行う。</t>
    </r>
  </si>
  <si>
    <r>
      <rPr>
        <sz val="11"/>
        <color rgb="FF000000"/>
        <rFont val="Meiryo UI"/>
        <family val="2"/>
      </rPr>
      <t>・従業員情報の追加・削除などを行う。</t>
    </r>
  </si>
  <si>
    <t>AnhDD</t>
  </si>
  <si>
    <t>機能概要</t>
  </si>
  <si>
    <t>従業員を新規作成する時に重複チェック ロジックを追加する。
従業員コードを6桁から9桁に変更し、チェックデジットを削除する。</t>
  </si>
  <si>
    <t>DuNT</t>
  </si>
  <si>
    <t>店舗選択モーダルを削除する。ご指摘により更新する。</t>
  </si>
  <si>
    <t>新規</t>
  </si>
  <si>
    <t>従業員コードにチェックデジットを追加</t>
  </si>
  <si>
    <t>TuyenNH</t>
  </si>
  <si>
    <t>csv取込ボタンを追加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</si>
  <si>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</si>
  <si>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</si>
  <si>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</si>
  <si>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</si>
  <si>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</si>
  <si>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</si>
  <si>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</si>
  <si>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</si>
  <si>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</si>
  <si>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</si>
  <si>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</si>
  <si>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</si>
  <si>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●1_自動釣銭機</t>
    </r>
  </si>
  <si>
    <r>
      <rPr>
        <sz val="11"/>
        <color rgb="FFFFFFFF"/>
        <rFont val="Meiryo UI"/>
        <family val="2"/>
      </rPr>
      <t>●1_レジ周辺機器</t>
    </r>
  </si>
  <si>
    <r>
      <rPr>
        <sz val="11"/>
        <color rgb="FFFFFFFF"/>
        <rFont val="Meiryo UI"/>
        <family val="2"/>
      </rPr>
      <t>●外部連携</t>
    </r>
  </si>
  <si>
    <t>●40_従業員設定</t>
  </si>
  <si>
    <t>従業員情報バリデーションチェック機能</t>
  </si>
  <si>
    <t>従業員情報一覧取得機能</t>
  </si>
  <si>
    <t>印刷時</t>
  </si>
  <si>
    <t>[F08: 削除」タッチ時</t>
  </si>
  <si>
    <t>編集時</t>
  </si>
  <si>
    <t>新規時</t>
  </si>
  <si>
    <t>従業員情報保存機能</t>
  </si>
  <si>
    <t>CSV取込機能</t>
  </si>
  <si>
    <t>Android POS Control</t>
  </si>
  <si>
    <t>■画面項目定義</t>
  </si>
  <si>
    <t>画面項目ID</t>
  </si>
  <si>
    <t>項目</t>
  </si>
  <si>
    <t>タイプ</t>
  </si>
  <si>
    <t>多言語対象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</si>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</sst>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9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1"/>
      <name val="Meiryo UI"/>
      <family val="3"/>
      <charset val="128"/>
    </font>
    <font>
      <sz val="11"/>
      <name val="Meiryo UI"/>
      <family val="2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color rgb="FFFF0000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2" fillId="0" borderId="0">
      <alignment vertical="center"/>
    </xf>
  </cellStyleXfs>
  <cellXfs count="34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8" fillId="0" borderId="0" xfId="6" applyFont="1" applyAlignment="1">
      <alignment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vertical="center"/>
    </xf>
    <xf numFmtId="0" fontId="7" fillId="0" borderId="23" xfId="6" applyFont="1" applyBorder="1" applyAlignment="1">
      <alignment vertical="center"/>
    </xf>
    <xf numFmtId="0" fontId="7" fillId="0" borderId="25" xfId="6" applyFont="1" applyBorder="1" applyAlignment="1">
      <alignment horizontal="center" vertical="center"/>
    </xf>
    <xf numFmtId="0" fontId="7" fillId="0" borderId="26" xfId="6" applyFont="1" applyBorder="1" applyAlignment="1">
      <alignment horizontal="center" vertical="center"/>
    </xf>
    <xf numFmtId="0" fontId="7" fillId="0" borderId="26" xfId="6" applyFont="1" applyBorder="1" applyAlignment="1">
      <alignment vertical="center"/>
    </xf>
    <xf numFmtId="0" fontId="8" fillId="0" borderId="18" xfId="7" applyFont="1" applyBorder="1">
      <alignment vertical="center"/>
    </xf>
    <xf numFmtId="0" fontId="8" fillId="3" borderId="18" xfId="7" applyFont="1" applyFill="1" applyBorder="1">
      <alignment vertical="center"/>
    </xf>
    <xf numFmtId="0" fontId="7" fillId="0" borderId="0" xfId="7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33" xfId="0" applyFont="1" applyBorder="1"/>
    <xf numFmtId="0" fontId="7" fillId="0" borderId="34" xfId="0" applyFont="1" applyBorder="1"/>
    <xf numFmtId="0" fontId="7" fillId="0" borderId="22" xfId="0" applyFont="1" applyBorder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7" fillId="0" borderId="35" xfId="6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7" fillId="0" borderId="35" xfId="6" applyFont="1" applyBorder="1" applyAlignment="1">
      <alignment horizontal="left" vertical="center"/>
    </xf>
    <xf numFmtId="0" fontId="7" fillId="0" borderId="36" xfId="6" applyFont="1" applyBorder="1" applyAlignment="1">
      <alignment horizontal="left" vertical="center"/>
    </xf>
    <xf numFmtId="0" fontId="7" fillId="0" borderId="37" xfId="6" applyFont="1" applyBorder="1" applyAlignment="1">
      <alignment horizontal="left" vertical="center"/>
    </xf>
    <xf numFmtId="0" fontId="7" fillId="0" borderId="35" xfId="6" quotePrefix="1" applyFont="1" applyBorder="1" applyAlignment="1">
      <alignment vertical="center"/>
    </xf>
    <xf numFmtId="0" fontId="7" fillId="0" borderId="36" xfId="6" quotePrefix="1" applyFont="1" applyBorder="1" applyAlignment="1">
      <alignment vertical="center"/>
    </xf>
    <xf numFmtId="0" fontId="7" fillId="0" borderId="37" xfId="6" quotePrefix="1" applyFont="1" applyBorder="1" applyAlignment="1">
      <alignment vertical="center"/>
    </xf>
    <xf numFmtId="0" fontId="7" fillId="0" borderId="35" xfId="6" applyFont="1" applyBorder="1" applyAlignment="1">
      <alignment vertical="center"/>
    </xf>
    <xf numFmtId="0" fontId="7" fillId="0" borderId="36" xfId="6" applyFont="1" applyBorder="1" applyAlignment="1">
      <alignment vertical="center"/>
    </xf>
    <xf numFmtId="0" fontId="7" fillId="0" borderId="37" xfId="6" applyFont="1" applyBorder="1" applyAlignment="1">
      <alignment vertical="center"/>
    </xf>
    <xf numFmtId="0" fontId="8" fillId="0" borderId="35" xfId="6" quotePrefix="1" applyFont="1" applyBorder="1" applyAlignment="1">
      <alignment horizontal="center" vertical="center"/>
    </xf>
    <xf numFmtId="0" fontId="8" fillId="0" borderId="36" xfId="6" applyFont="1" applyBorder="1" applyAlignment="1">
      <alignment horizontal="center" vertical="center"/>
    </xf>
    <xf numFmtId="0" fontId="8" fillId="0" borderId="37" xfId="6" applyFont="1" applyBorder="1" applyAlignment="1">
      <alignment horizontal="center" vertical="center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3" xfId="6" applyFont="1" applyBorder="1" applyAlignment="1">
      <alignment horizontal="center" vertical="center"/>
    </xf>
    <xf numFmtId="0" fontId="7" fillId="0" borderId="43" xfId="6" applyFont="1" applyBorder="1" applyAlignment="1">
      <alignment horizontal="left" vertical="center"/>
    </xf>
    <xf numFmtId="0" fontId="7" fillId="0" borderId="44" xfId="6" applyFont="1" applyBorder="1" applyAlignment="1">
      <alignment horizontal="left" vertical="center"/>
    </xf>
    <xf numFmtId="0" fontId="7" fillId="0" borderId="45" xfId="6" applyFont="1" applyBorder="1" applyAlignment="1">
      <alignment horizontal="left" vertical="center"/>
    </xf>
    <xf numFmtId="0" fontId="7" fillId="0" borderId="43" xfId="6" quotePrefix="1" applyFont="1" applyBorder="1" applyAlignment="1">
      <alignment vertical="center" wrapText="1"/>
    </xf>
    <xf numFmtId="0" fontId="7" fillId="0" borderId="44" xfId="6" quotePrefix="1" applyFont="1" applyBorder="1" applyAlignment="1">
      <alignment vertical="center" wrapText="1"/>
    </xf>
    <xf numFmtId="0" fontId="7" fillId="0" borderId="45" xfId="6" quotePrefix="1" applyFont="1" applyBorder="1" applyAlignment="1">
      <alignment vertical="center" wrapText="1"/>
    </xf>
    <xf numFmtId="0" fontId="7" fillId="0" borderId="43" xfId="6" applyFont="1" applyBorder="1" applyAlignment="1">
      <alignment vertical="center"/>
    </xf>
    <xf numFmtId="0" fontId="7" fillId="0" borderId="44" xfId="6" applyFont="1" applyBorder="1" applyAlignment="1">
      <alignment vertical="center"/>
    </xf>
    <xf numFmtId="0" fontId="7" fillId="0" borderId="45" xfId="6" applyFont="1" applyBorder="1" applyAlignment="1">
      <alignment vertical="center"/>
    </xf>
    <xf numFmtId="0" fontId="8" fillId="0" borderId="43" xfId="6" quotePrefix="1" applyFont="1" applyBorder="1" applyAlignment="1">
      <alignment horizontal="center" vertical="center" wrapText="1"/>
    </xf>
    <xf numFmtId="0" fontId="8" fillId="0" borderId="44" xfId="6" applyFont="1" applyBorder="1" applyAlignment="1">
      <alignment horizontal="center" vertical="center" wrapText="1"/>
    </xf>
    <xf numFmtId="0" fontId="8" fillId="0" borderId="45" xfId="6" applyFont="1" applyBorder="1" applyAlignment="1">
      <alignment horizontal="center" vertical="center" wrapText="1"/>
    </xf>
    <xf numFmtId="0" fontId="9" fillId="0" borderId="43" xfId="6" applyFont="1" applyBorder="1" applyAlignment="1">
      <alignment vertical="center" wrapText="1"/>
    </xf>
    <xf numFmtId="0" fontId="8" fillId="0" borderId="43" xfId="6" quotePrefix="1" applyFont="1" applyBorder="1" applyAlignment="1">
      <alignment horizontal="center" vertical="center"/>
    </xf>
    <xf numFmtId="0" fontId="8" fillId="0" borderId="44" xfId="6" applyFont="1" applyBorder="1" applyAlignment="1">
      <alignment horizontal="center" vertical="center"/>
    </xf>
    <xf numFmtId="0" fontId="8" fillId="0" borderId="45" xfId="6" applyFont="1" applyBorder="1" applyAlignment="1">
      <alignment horizontal="center" vertical="center"/>
    </xf>
    <xf numFmtId="0" fontId="8" fillId="0" borderId="43" xfId="6" applyFont="1" applyBorder="1" applyAlignment="1">
      <alignment horizontal="center" vertical="center"/>
    </xf>
    <xf numFmtId="0" fontId="7" fillId="0" borderId="43" xfId="6" quotePrefix="1" applyFont="1" applyBorder="1" applyAlignment="1">
      <alignment vertical="center"/>
    </xf>
    <xf numFmtId="0" fontId="7" fillId="0" borderId="44" xfId="6" quotePrefix="1" applyFont="1" applyBorder="1" applyAlignment="1">
      <alignment vertical="center"/>
    </xf>
    <xf numFmtId="0" fontId="7" fillId="0" borderId="45" xfId="6" quotePrefix="1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33" xfId="6" applyFont="1" applyBorder="1" applyAlignment="1">
      <alignment vertical="center"/>
    </xf>
    <xf numFmtId="0" fontId="7" fillId="0" borderId="34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8" fillId="0" borderId="33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8" fillId="6" borderId="30" xfId="6" applyFont="1" applyFill="1" applyBorder="1" applyAlignment="1">
      <alignment vertical="center"/>
    </xf>
    <xf numFmtId="0" fontId="7" fillId="6" borderId="31" xfId="6" applyFont="1" applyFill="1" applyBorder="1" applyAlignment="1">
      <alignment vertical="center"/>
    </xf>
    <xf numFmtId="0" fontId="7" fillId="6" borderId="32" xfId="6" applyFont="1" applyFill="1" applyBorder="1" applyAlignment="1">
      <alignment vertical="center"/>
    </xf>
    <xf numFmtId="0" fontId="8" fillId="5" borderId="30" xfId="6" applyFont="1" applyFill="1" applyBorder="1" applyAlignment="1">
      <alignment vertical="center"/>
    </xf>
    <xf numFmtId="0" fontId="7" fillId="5" borderId="31" xfId="6" applyFont="1" applyFill="1" applyBorder="1" applyAlignment="1">
      <alignment vertical="center"/>
    </xf>
    <xf numFmtId="0" fontId="7" fillId="5" borderId="32" xfId="6" applyFont="1" applyFill="1" applyBorder="1" applyAlignment="1">
      <alignment vertical="center"/>
    </xf>
    <xf numFmtId="0" fontId="8" fillId="7" borderId="27" xfId="6" applyFont="1" applyFill="1" applyBorder="1" applyAlignment="1">
      <alignment vertical="center"/>
    </xf>
    <xf numFmtId="0" fontId="7" fillId="7" borderId="28" xfId="6" applyFont="1" applyFill="1" applyBorder="1" applyAlignment="1">
      <alignment vertical="center"/>
    </xf>
    <xf numFmtId="0" fontId="7" fillId="7" borderId="29" xfId="6" applyFont="1" applyFill="1" applyBorder="1" applyAlignment="1">
      <alignment vertical="center"/>
    </xf>
    <xf numFmtId="0" fontId="7" fillId="7" borderId="1" xfId="6" applyFont="1" applyFill="1" applyBorder="1" applyAlignment="1">
      <alignment vertical="center"/>
    </xf>
    <xf numFmtId="0" fontId="7" fillId="7" borderId="0" xfId="6" applyFont="1" applyFill="1" applyAlignment="1">
      <alignment vertical="center"/>
    </xf>
    <xf numFmtId="0" fontId="7" fillId="7" borderId="4" xfId="6" applyFont="1" applyFill="1" applyBorder="1" applyAlignment="1">
      <alignment vertical="center"/>
    </xf>
    <xf numFmtId="0" fontId="7" fillId="7" borderId="2" xfId="6" applyFont="1" applyFill="1" applyBorder="1" applyAlignment="1">
      <alignment vertical="center"/>
    </xf>
    <xf numFmtId="0" fontId="7" fillId="7" borderId="3" xfId="6" applyFont="1" applyFill="1" applyBorder="1" applyAlignment="1">
      <alignment vertical="center"/>
    </xf>
    <xf numFmtId="0" fontId="7" fillId="7" borderId="5" xfId="6" applyFont="1" applyFill="1" applyBorder="1" applyAlignment="1">
      <alignment vertical="center"/>
    </xf>
    <xf numFmtId="0" fontId="8" fillId="6" borderId="30" xfId="6" applyFont="1" applyFill="1" applyBorder="1"/>
    <xf numFmtId="0" fontId="8" fillId="6" borderId="31" xfId="6" applyFont="1" applyFill="1" applyBorder="1"/>
    <xf numFmtId="0" fontId="8" fillId="6" borderId="32" xfId="6" applyFont="1" applyFill="1" applyBorder="1"/>
    <xf numFmtId="0" fontId="8" fillId="6" borderId="27" xfId="6" applyFont="1" applyFill="1" applyBorder="1" applyAlignment="1">
      <alignment vertical="center"/>
    </xf>
    <xf numFmtId="0" fontId="7" fillId="6" borderId="28" xfId="6" applyFont="1" applyFill="1" applyBorder="1" applyAlignment="1">
      <alignment vertical="center"/>
    </xf>
    <xf numFmtId="0" fontId="7" fillId="6" borderId="29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7" fillId="5" borderId="27" xfId="6" applyFont="1" applyFill="1" applyBorder="1" applyAlignment="1">
      <alignment vertical="center" wrapText="1"/>
    </xf>
    <xf numFmtId="0" fontId="7" fillId="5" borderId="2" xfId="6" applyFont="1" applyFill="1" applyBorder="1" applyAlignment="1">
      <alignment vertical="center" wrapText="1"/>
    </xf>
    <xf numFmtId="0" fontId="8" fillId="5" borderId="38" xfId="6" applyFont="1" applyFill="1" applyBorder="1" applyAlignment="1">
      <alignment vertical="center" wrapText="1"/>
    </xf>
    <xf numFmtId="0" fontId="8" fillId="5" borderId="40" xfId="6" applyFont="1" applyFill="1" applyBorder="1" applyAlignment="1">
      <alignment vertical="center" wrapText="1"/>
    </xf>
    <xf numFmtId="0" fontId="8" fillId="5" borderId="29" xfId="6" applyFont="1" applyFill="1" applyBorder="1" applyAlignment="1">
      <alignment vertical="center" wrapText="1"/>
    </xf>
    <xf numFmtId="0" fontId="8" fillId="5" borderId="5" xfId="6" applyFont="1" applyFill="1" applyBorder="1" applyAlignment="1">
      <alignment vertical="center" wrapText="1"/>
    </xf>
    <xf numFmtId="0" fontId="8" fillId="0" borderId="33" xfId="6" applyFont="1" applyBorder="1" applyAlignment="1">
      <alignment horizontal="center" vertical="center" wrapText="1"/>
    </xf>
    <xf numFmtId="0" fontId="8" fillId="0" borderId="34" xfId="6" applyFont="1" applyBorder="1" applyAlignment="1">
      <alignment horizontal="center" vertical="center" wrapText="1"/>
    </xf>
    <xf numFmtId="0" fontId="8" fillId="0" borderId="22" xfId="6" applyFont="1" applyBorder="1" applyAlignment="1">
      <alignment horizontal="center" vertical="center" wrapText="1"/>
    </xf>
    <xf numFmtId="0" fontId="7" fillId="0" borderId="33" xfId="6" applyFont="1" applyBorder="1" applyAlignment="1">
      <alignment horizontal="left" vertical="center"/>
    </xf>
    <xf numFmtId="0" fontId="7" fillId="0" borderId="34" xfId="6" applyFont="1" applyBorder="1" applyAlignment="1">
      <alignment horizontal="left" vertical="center"/>
    </xf>
    <xf numFmtId="0" fontId="7" fillId="0" borderId="22" xfId="6" applyFont="1" applyBorder="1" applyAlignment="1">
      <alignment horizontal="left" vertical="center"/>
    </xf>
    <xf numFmtId="0" fontId="7" fillId="0" borderId="30" xfId="6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0" borderId="32" xfId="6" applyFont="1" applyBorder="1" applyAlignment="1">
      <alignment horizontal="center" vertical="center"/>
    </xf>
    <xf numFmtId="0" fontId="8" fillId="0" borderId="30" xfId="6" applyFont="1" applyBorder="1" applyAlignment="1">
      <alignment horizontal="center" vertical="center"/>
    </xf>
    <xf numFmtId="0" fontId="8" fillId="4" borderId="27" xfId="6" applyFont="1" applyFill="1" applyBorder="1" applyAlignment="1">
      <alignment vertical="center" wrapText="1"/>
    </xf>
    <xf numFmtId="0" fontId="7" fillId="4" borderId="29" xfId="6" applyFont="1" applyFill="1" applyBorder="1" applyAlignment="1">
      <alignment vertical="center"/>
    </xf>
    <xf numFmtId="0" fontId="7" fillId="4" borderId="1" xfId="6" applyFont="1" applyFill="1" applyBorder="1" applyAlignment="1">
      <alignment vertical="center"/>
    </xf>
    <xf numFmtId="0" fontId="7" fillId="4" borderId="4" xfId="6" applyFont="1" applyFill="1" applyBorder="1" applyAlignment="1">
      <alignment vertical="center"/>
    </xf>
    <xf numFmtId="0" fontId="7" fillId="4" borderId="2" xfId="6" applyFont="1" applyFill="1" applyBorder="1" applyAlignment="1">
      <alignment vertical="center"/>
    </xf>
    <xf numFmtId="0" fontId="7" fillId="4" borderId="5" xfId="6" applyFont="1" applyFill="1" applyBorder="1" applyAlignment="1">
      <alignment vertical="center"/>
    </xf>
    <xf numFmtId="0" fontId="8" fillId="4" borderId="27" xfId="6" applyFont="1" applyFill="1" applyBorder="1" applyAlignment="1">
      <alignment vertical="center"/>
    </xf>
    <xf numFmtId="0" fontId="7" fillId="4" borderId="28" xfId="6" applyFont="1" applyFill="1" applyBorder="1" applyAlignment="1">
      <alignment vertical="center"/>
    </xf>
    <xf numFmtId="0" fontId="7" fillId="4" borderId="0" xfId="6" applyFont="1" applyFill="1" applyAlignment="1">
      <alignment vertical="center"/>
    </xf>
    <xf numFmtId="0" fontId="7" fillId="4" borderId="3" xfId="6" applyFont="1" applyFill="1" applyBorder="1" applyAlignment="1">
      <alignment vertical="center"/>
    </xf>
    <xf numFmtId="0" fontId="7" fillId="4" borderId="38" xfId="6" applyFont="1" applyFill="1" applyBorder="1" applyAlignment="1">
      <alignment vertical="center" shrinkToFit="1"/>
    </xf>
    <xf numFmtId="0" fontId="7" fillId="4" borderId="39" xfId="6" applyFont="1" applyFill="1" applyBorder="1" applyAlignment="1">
      <alignment vertical="center" shrinkToFit="1"/>
    </xf>
    <xf numFmtId="0" fontId="7" fillId="4" borderId="40" xfId="6" applyFont="1" applyFill="1" applyBorder="1" applyAlignment="1">
      <alignment vertical="center" shrinkToFit="1"/>
    </xf>
    <xf numFmtId="0" fontId="8" fillId="4" borderId="38" xfId="6" applyFont="1" applyFill="1" applyBorder="1" applyAlignment="1">
      <alignment vertical="center" wrapText="1"/>
    </xf>
    <xf numFmtId="0" fontId="8" fillId="4" borderId="39" xfId="6" applyFont="1" applyFill="1" applyBorder="1" applyAlignment="1">
      <alignment vertical="center" wrapText="1"/>
    </xf>
    <xf numFmtId="0" fontId="8" fillId="4" borderId="40" xfId="6" applyFont="1" applyFill="1" applyBorder="1" applyAlignment="1">
      <alignment vertical="center" wrapText="1"/>
    </xf>
    <xf numFmtId="0" fontId="7" fillId="5" borderId="41" xfId="6" applyFont="1" applyFill="1" applyBorder="1" applyAlignment="1">
      <alignment vertical="center"/>
    </xf>
    <xf numFmtId="0" fontId="8" fillId="5" borderId="42" xfId="6" applyFont="1" applyFill="1" applyBorder="1" applyAlignment="1">
      <alignment vertical="center"/>
    </xf>
    <xf numFmtId="0" fontId="7" fillId="0" borderId="27" xfId="6" applyFont="1" applyBorder="1" applyAlignment="1">
      <alignment horizontal="center" vertical="center"/>
    </xf>
    <xf numFmtId="0" fontId="7" fillId="0" borderId="28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14" fontId="13" fillId="0" borderId="27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33" xfId="0" applyFont="1" applyBorder="1"/>
    <xf numFmtId="0" fontId="13" fillId="0" borderId="34" xfId="0" applyFont="1" applyBorder="1"/>
    <xf numFmtId="0" fontId="13" fillId="0" borderId="22" xfId="0" applyFont="1" applyBorder="1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5" xfId="0" applyFont="1" applyBorder="1"/>
    <xf numFmtId="0" fontId="13" fillId="0" borderId="36" xfId="0" applyFont="1" applyBorder="1"/>
    <xf numFmtId="0" fontId="13" fillId="0" borderId="37" xfId="0" applyFont="1" applyBorder="1"/>
    <xf numFmtId="14" fontId="14" fillId="0" borderId="27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33" xfId="0" applyFont="1" applyBorder="1"/>
    <xf numFmtId="0" fontId="14" fillId="0" borderId="34" xfId="0" applyFont="1" applyBorder="1"/>
    <xf numFmtId="0" fontId="14" fillId="0" borderId="22" xfId="0" applyFont="1" applyBorder="1"/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7" fillId="0" borderId="35" xfId="0" applyFont="1" applyBorder="1" applyAlignment="1">
      <alignment vertical="top" wrapText="1"/>
    </xf>
    <xf numFmtId="0" fontId="7" fillId="0" borderId="36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15" fillId="2" borderId="30" xfId="0" applyFont="1" applyFill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3" fillId="0" borderId="0" xfId="0" applyFont="1"/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4" fontId="13" fillId="0" borderId="28" xfId="0" applyNumberFormat="1" applyFont="1" applyBorder="1" applyAlignment="1">
      <alignment horizontal="center" vertical="center"/>
    </xf>
    <xf numFmtId="14" fontId="13" fillId="0" borderId="29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1" xfId="0" applyFont="1" applyBorder="1"/>
    <xf numFmtId="0" fontId="13" fillId="0" borderId="4" xfId="0" applyFont="1" applyBorder="1"/>
    <xf numFmtId="0" fontId="15" fillId="2" borderId="0" xfId="0" applyFont="1" applyFill="1"/>
    <xf numFmtId="0" fontId="13" fillId="0" borderId="28" xfId="0" applyFont="1" applyBorder="1"/>
    <xf numFmtId="0" fontId="13" fillId="0" borderId="29" xfId="0" applyFont="1" applyBorder="1"/>
    <xf numFmtId="0" fontId="13" fillId="0" borderId="27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2" xfId="0" applyFont="1" applyBorder="1"/>
    <xf numFmtId="0" fontId="18" fillId="0" borderId="28" xfId="0" applyFont="1" applyBorder="1"/>
    <xf numFmtId="0" fontId="18" fillId="0" borderId="29" xfId="0" applyFont="1" applyBorder="1"/>
    <xf numFmtId="0" fontId="18" fillId="0" borderId="27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2" xfId="0" applyFont="1" applyBorder="1"/>
    <xf numFmtId="0" fontId="13" fillId="0" borderId="1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5" fillId="2" borderId="18" xfId="0" applyFont="1" applyFill="1" applyBorder="1" applyAlignment="1">
      <alignment vertical="center"/>
    </xf>
    <xf numFmtId="0" fontId="15" fillId="2" borderId="0" xfId="0" applyFont="1" applyFill="1" applyAlignment="1">
      <alignment vertical="center"/>
    </xf>
    <xf numFmtId="0" fontId="15" fillId="2" borderId="19" xfId="0" applyFont="1" applyFill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5" fillId="0" borderId="0" xfId="7" applyFont="1">
      <alignment vertical="center"/>
    </xf>
    <xf numFmtId="0" fontId="15" fillId="0" borderId="19" xfId="7" applyFont="1" applyBorder="1">
      <alignment vertical="center"/>
    </xf>
    <xf numFmtId="0" fontId="15" fillId="0" borderId="18" xfId="7" applyFont="1" applyBorder="1">
      <alignment vertical="center"/>
    </xf>
    <xf numFmtId="0" fontId="13" fillId="0" borderId="0" xfId="0" quotePrefix="1" applyFont="1"/>
    <xf numFmtId="0" fontId="13" fillId="0" borderId="0" xfId="7" applyFont="1">
      <alignment vertical="center"/>
    </xf>
    <xf numFmtId="0" fontId="13" fillId="0" borderId="1" xfId="7" applyFont="1" applyBorder="1">
      <alignment vertical="center"/>
    </xf>
    <xf numFmtId="0" fontId="13" fillId="0" borderId="4" xfId="7" applyFont="1" applyBorder="1">
      <alignment vertical="center"/>
    </xf>
    <xf numFmtId="0" fontId="18" fillId="0" borderId="0" xfId="0" quotePrefix="1" applyFont="1"/>
    <xf numFmtId="0" fontId="13" fillId="0" borderId="2" xfId="7" applyFont="1" applyBorder="1">
      <alignment vertical="center"/>
    </xf>
    <xf numFmtId="0" fontId="13" fillId="0" borderId="3" xfId="7" applyFont="1" applyBorder="1">
      <alignment vertical="center"/>
    </xf>
    <xf numFmtId="0" fontId="13" fillId="0" borderId="5" xfId="7" applyFont="1" applyBorder="1">
      <alignment vertical="center"/>
    </xf>
    <xf numFmtId="0" fontId="16" fillId="2" borderId="0" xfId="7" applyFont="1" applyFill="1">
      <alignment vertical="center"/>
    </xf>
    <xf numFmtId="0" fontId="15" fillId="2" borderId="18" xfId="7" applyFont="1" applyFill="1" applyBorder="1">
      <alignment vertical="center"/>
    </xf>
    <xf numFmtId="0" fontId="15" fillId="2" borderId="0" xfId="7" applyFont="1" applyFill="1">
      <alignment vertical="center"/>
    </xf>
    <xf numFmtId="0" fontId="15" fillId="2" borderId="19" xfId="7" applyFont="1" applyFill="1" applyBorder="1">
      <alignment vertical="center"/>
    </xf>
    <xf numFmtId="0" fontId="13" fillId="0" borderId="19" xfId="7" applyFont="1" applyBorder="1">
      <alignment vertical="center"/>
    </xf>
    <xf numFmtId="0" fontId="13" fillId="0" borderId="18" xfId="7" applyFont="1" applyBorder="1">
      <alignment vertical="center"/>
    </xf>
    <xf numFmtId="0" fontId="13" fillId="0" borderId="18" xfId="7" quotePrefix="1" applyFont="1" applyBorder="1">
      <alignment vertical="center"/>
    </xf>
    <xf numFmtId="0" fontId="13" fillId="3" borderId="0" xfId="7" applyFont="1" applyFill="1">
      <alignment vertical="center"/>
    </xf>
    <xf numFmtId="0" fontId="13" fillId="3" borderId="19" xfId="7" applyFont="1" applyFill="1" applyBorder="1">
      <alignment vertical="center"/>
    </xf>
    <xf numFmtId="0" fontId="13" fillId="3" borderId="18" xfId="7" applyFont="1" applyFill="1" applyBorder="1">
      <alignment vertical="center"/>
    </xf>
    <xf numFmtId="0" fontId="14" fillId="0" borderId="1" xfId="7" applyFont="1" applyBorder="1">
      <alignment vertical="center"/>
    </xf>
    <xf numFmtId="0" fontId="14" fillId="3" borderId="18" xfId="7" applyFont="1" applyFill="1" applyBorder="1">
      <alignment vertical="center"/>
    </xf>
    <xf numFmtId="0" fontId="14" fillId="3" borderId="0" xfId="7" applyFont="1" applyFill="1">
      <alignment vertical="center"/>
    </xf>
    <xf numFmtId="0" fontId="14" fillId="3" borderId="19" xfId="7" applyFont="1" applyFill="1" applyBorder="1">
      <alignment vertical="center"/>
    </xf>
    <xf numFmtId="0" fontId="14" fillId="0" borderId="4" xfId="7" applyFont="1" applyBorder="1">
      <alignment vertical="center"/>
    </xf>
    <xf numFmtId="0" fontId="14" fillId="0" borderId="0" xfId="7" applyFont="1">
      <alignment vertical="center"/>
    </xf>
    <xf numFmtId="0" fontId="14" fillId="0" borderId="18" xfId="7" applyFont="1" applyBorder="1">
      <alignment vertical="center"/>
    </xf>
    <xf numFmtId="0" fontId="14" fillId="0" borderId="19" xfId="7" applyFont="1" applyBorder="1">
      <alignment vertical="center"/>
    </xf>
    <xf numFmtId="0" fontId="15" fillId="2" borderId="30" xfId="6" applyFont="1" applyFill="1" applyBorder="1" applyAlignment="1">
      <alignment horizontal="center" vertical="center"/>
    </xf>
    <xf numFmtId="0" fontId="15" fillId="2" borderId="31" xfId="6" applyFont="1" applyFill="1" applyBorder="1" applyAlignment="1">
      <alignment horizontal="center" vertical="center"/>
    </xf>
    <xf numFmtId="0" fontId="15" fillId="2" borderId="32" xfId="6" applyFont="1" applyFill="1" applyBorder="1" applyAlignment="1">
      <alignment horizontal="center" vertical="center"/>
    </xf>
    <xf numFmtId="0" fontId="17" fillId="0" borderId="27" xfId="6" applyFont="1" applyBorder="1" applyAlignment="1">
      <alignment horizontal="center" vertical="center"/>
    </xf>
    <xf numFmtId="0" fontId="17" fillId="0" borderId="28" xfId="6" applyFont="1" applyBorder="1" applyAlignment="1">
      <alignment horizontal="center" vertical="center"/>
    </xf>
    <xf numFmtId="0" fontId="17" fillId="0" borderId="29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3" fillId="0" borderId="0" xfId="6" applyFont="1" applyAlignment="1">
      <alignment vertical="center"/>
    </xf>
    <xf numFmtId="0" fontId="13" fillId="0" borderId="33" xfId="6" applyFont="1" applyBorder="1" applyAlignment="1">
      <alignment vertical="center" wrapText="1"/>
    </xf>
    <xf numFmtId="0" fontId="13" fillId="0" borderId="34" xfId="6" applyFont="1" applyBorder="1" applyAlignment="1">
      <alignment vertical="center" wrapText="1"/>
    </xf>
    <xf numFmtId="0" fontId="13" fillId="0" borderId="22" xfId="6" applyFont="1" applyBorder="1" applyAlignment="1">
      <alignment vertical="center" wrapText="1"/>
    </xf>
    <xf numFmtId="0" fontId="13" fillId="0" borderId="44" xfId="6" applyFont="1" applyBorder="1" applyAlignment="1">
      <alignment vertical="center"/>
    </xf>
    <xf numFmtId="0" fontId="13" fillId="0" borderId="45" xfId="6" applyFont="1" applyBorder="1" applyAlignment="1">
      <alignment vertical="center"/>
    </xf>
    <xf numFmtId="0" fontId="13" fillId="0" borderId="43" xfId="6" applyFont="1" applyBorder="1" applyAlignment="1">
      <alignment vertical="center"/>
    </xf>
    <xf numFmtId="0" fontId="13" fillId="0" borderId="46" xfId="6" quotePrefix="1" applyFont="1" applyBorder="1" applyAlignment="1">
      <alignment vertical="center"/>
    </xf>
    <xf numFmtId="0" fontId="13" fillId="0" borderId="47" xfId="6" quotePrefix="1" applyFont="1" applyBorder="1" applyAlignment="1">
      <alignment vertical="center"/>
    </xf>
    <xf numFmtId="0" fontId="13" fillId="0" borderId="48" xfId="6" quotePrefix="1" applyFont="1" applyBorder="1" applyAlignment="1">
      <alignment vertical="center"/>
    </xf>
    <xf numFmtId="0" fontId="13" fillId="0" borderId="46" xfId="6" applyFont="1" applyBorder="1" applyAlignment="1">
      <alignment vertical="center"/>
    </xf>
    <xf numFmtId="0" fontId="13" fillId="0" borderId="47" xfId="6" applyFont="1" applyBorder="1" applyAlignment="1">
      <alignment vertical="center"/>
    </xf>
    <xf numFmtId="0" fontId="13" fillId="0" borderId="48" xfId="6" applyFont="1" applyBorder="1" applyAlignment="1">
      <alignment vertical="center"/>
    </xf>
    <xf numFmtId="0" fontId="13" fillId="0" borderId="35" xfId="6" applyFont="1" applyBorder="1" applyAlignment="1">
      <alignment vertical="center"/>
    </xf>
    <xf numFmtId="0" fontId="13" fillId="0" borderId="36" xfId="6" applyFont="1" applyBorder="1" applyAlignment="1">
      <alignment vertical="center"/>
    </xf>
    <xf numFmtId="0" fontId="13" fillId="0" borderId="37" xfId="6" applyFont="1" applyBorder="1" applyAlignment="1">
      <alignment vertical="center"/>
    </xf>
    <xf numFmtId="0" fontId="16" fillId="2" borderId="0" xfId="0" applyFont="1" applyFill="1" applyAlignment="1">
      <alignment vertical="center"/>
    </xf>
    <xf numFmtId="0" fontId="15" fillId="2" borderId="16" xfId="0" applyFont="1" applyFill="1" applyBorder="1" applyAlignment="1">
      <alignment vertical="center"/>
    </xf>
    <xf numFmtId="0" fontId="15" fillId="2" borderId="17" xfId="0" applyFont="1" applyFill="1" applyBorder="1" applyAlignment="1">
      <alignment vertical="center"/>
    </xf>
    <xf numFmtId="0" fontId="13" fillId="0" borderId="18" xfId="0" applyFont="1" applyBorder="1"/>
    <xf numFmtId="0" fontId="13" fillId="0" borderId="19" xfId="0" applyFont="1" applyBorder="1"/>
    <xf numFmtId="0" fontId="13" fillId="0" borderId="20" xfId="0" applyFont="1" applyBorder="1"/>
    <xf numFmtId="0" fontId="13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68</xdr:col>
      <xdr:colOff>0</xdr:colOff>
      <xdr:row>25</xdr:row>
      <xdr:rowOff>168088</xdr:rowOff>
    </xdr:from>
    <xdr:to>
      <xdr:col>123</xdr:col>
      <xdr:colOff>68356</xdr:colOff>
      <xdr:row>60</xdr:row>
      <xdr:rowOff>158563</xdr:rowOff>
    </xdr:to>
    <xdr:pic>
      <xdr:nvPicPr>
        <xdr:cNvPr id="322" name="img961330">
          <a:extLst>
            <a:ext uri="{FF2B5EF4-FFF2-40B4-BE49-F238E27FC236}">
              <a16:creationId xmlns:a16="http://schemas.microsoft.com/office/drawing/2014/main" id="{00000000-0008-0000-04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8449925" y="5048250"/>
          <a:ext cx="14735175" cy="6657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227505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495300" y="1638300"/>
          <a:ext cx="16383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227729</xdr:colOff>
      <xdr:row>14</xdr:row>
      <xdr:rowOff>11207</xdr:rowOff>
    </xdr:from>
    <xdr:to>
      <xdr:col>7</xdr:col>
      <xdr:colOff>238124</xdr:colOff>
      <xdr:row>16</xdr:row>
      <xdr:rowOff>22414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95300" y="2790825"/>
          <a:ext cx="1609725" cy="3905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40: 従業員設定</a:t>
          </a:r>
        </a:p>
      </xdr:txBody>
    </xdr:sp>
    <xdr:clientData/>
  </xdr:twoCellAnchor>
  <xdr:twoCellAnchor>
    <xdr:from>
      <xdr:col>4</xdr:col>
      <xdr:colOff>232815</xdr:colOff>
      <xdr:row>12</xdr:row>
      <xdr:rowOff>0</xdr:rowOff>
    </xdr:from>
    <xdr:to>
      <xdr:col>4</xdr:col>
      <xdr:colOff>232927</xdr:colOff>
      <xdr:row>14</xdr:row>
      <xdr:rowOff>11207</xdr:rowOff>
    </xdr:to>
    <xdr:cxnSp macro="">
      <xdr:nvCxnSpPr>
        <xdr:cNvPr id="4" name="直線矢印コネクタ 1010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2" idx="2"/>
          <a:endCxn id="3" idx="0"/>
        </xdr:cNvCxnSpPr>
      </xdr:nvCxnSpPr>
      <xdr:spPr>
        <a:xfrm>
          <a:off x="1295400" y="24003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2801</xdr:colOff>
      <xdr:row>20</xdr:row>
      <xdr:rowOff>3</xdr:rowOff>
    </xdr:from>
    <xdr:to>
      <xdr:col>8</xdr:col>
      <xdr:colOff>0</xdr:colOff>
      <xdr:row>24</xdr:row>
      <xdr:rowOff>0</xdr:rowOff>
    </xdr:to>
    <xdr:sp macro="" textlink="" fLocksText="0">
      <xdr:nvSpPr>
        <xdr:cNvPr id="5" name="正方形/長方形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33400" y="3924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SC4001_従業員設定</a:t>
          </a:r>
        </a:p>
      </xdr:txBody>
    </xdr:sp>
    <xdr:clientData/>
  </xdr:twoCellAnchor>
  <xdr:twoCellAnchor>
    <xdr:from>
      <xdr:col>2</xdr:col>
      <xdr:colOff>227729</xdr:colOff>
      <xdr:row>26</xdr:row>
      <xdr:rowOff>13608</xdr:rowOff>
    </xdr:from>
    <xdr:to>
      <xdr:col>7</xdr:col>
      <xdr:colOff>2800</xdr:colOff>
      <xdr:row>27</xdr:row>
      <xdr:rowOff>1</xdr:rowOff>
    </xdr:to>
    <xdr:sp macro="" textlink="" fLocksText="0">
      <xdr:nvSpPr>
        <xdr:cNvPr id="7" name="四角形: 角を丸くする 1101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762000" y="5076825"/>
          <a:ext cx="11049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232927</xdr:colOff>
      <xdr:row>16</xdr:row>
      <xdr:rowOff>22414</xdr:rowOff>
    </xdr:from>
    <xdr:to>
      <xdr:col>5</xdr:col>
      <xdr:colOff>1400</xdr:colOff>
      <xdr:row>20</xdr:row>
      <xdr:rowOff>3</xdr:rowOff>
    </xdr:to>
    <xdr:cxnSp macro="">
      <xdr:nvCxnSpPr>
        <xdr:cNvPr id="9" name="直線矢印コネクタ 1010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2"/>
          <a:endCxn id="5" idx="0"/>
        </xdr:cNvCxnSpPr>
      </xdr:nvCxnSpPr>
      <xdr:spPr>
        <a:xfrm>
          <a:off x="1295400" y="3181350"/>
          <a:ext cx="38100" cy="7429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232927</xdr:colOff>
      <xdr:row>24</xdr:row>
      <xdr:rowOff>0</xdr:rowOff>
    </xdr:from>
    <xdr:to>
      <xdr:col>5</xdr:col>
      <xdr:colOff>0</xdr:colOff>
      <xdr:row>26</xdr:row>
      <xdr:rowOff>13608</xdr:rowOff>
    </xdr:to>
    <xdr:cxnSp macro="">
      <xdr:nvCxnSpPr>
        <xdr:cNvPr id="10" name="直線矢印コネクタ 1010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CxnSpPr>
          <a:stCxn id="5" idx="2"/>
          <a:endCxn id="7" idx="0"/>
        </xdr:cNvCxnSpPr>
      </xdr:nvCxnSpPr>
      <xdr:spPr>
        <a:xfrm flipH="1">
          <a:off x="1295400" y="4686300"/>
          <a:ext cx="3810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34</xdr:row>
      <xdr:rowOff>11206</xdr:rowOff>
    </xdr:from>
    <xdr:to>
      <xdr:col>8</xdr:col>
      <xdr:colOff>0</xdr:colOff>
      <xdr:row>38</xdr:row>
      <xdr:rowOff>11206</xdr:rowOff>
    </xdr:to>
    <xdr:sp macro="" textlink="" fLocksText="0">
      <xdr:nvSpPr>
        <xdr:cNvPr id="21" name="正方形/長方形 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533400" y="6600825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SC4001_従業員設定画面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232927</xdr:colOff>
      <xdr:row>27</xdr:row>
      <xdr:rowOff>1</xdr:rowOff>
    </xdr:from>
    <xdr:to>
      <xdr:col>5</xdr:col>
      <xdr:colOff>0</xdr:colOff>
      <xdr:row>34</xdr:row>
      <xdr:rowOff>11206</xdr:rowOff>
    </xdr:to>
    <xdr:cxnSp macro="">
      <xdr:nvCxnSpPr>
        <xdr:cNvPr id="24" name="Connector: Elbow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>
          <a:stCxn id="7" idx="2"/>
          <a:endCxn id="21" idx="0"/>
        </xdr:cNvCxnSpPr>
      </xdr:nvCxnSpPr>
      <xdr:spPr>
        <a:xfrm>
          <a:off x="1295400" y="5257800"/>
          <a:ext cx="38100" cy="1343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100</xdr:row>
      <xdr:rowOff>1</xdr:rowOff>
    </xdr:from>
    <xdr:to>
      <xdr:col>8</xdr:col>
      <xdr:colOff>1</xdr:colOff>
      <xdr:row>104</xdr:row>
      <xdr:rowOff>0</xdr:rowOff>
    </xdr:to>
    <xdr:sp macro="" textlink="" fLocksText="0">
      <xdr:nvSpPr>
        <xdr:cNvPr id="25" name="四角形: 角を丸くする 3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533400" y="19164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KN4001</a:t>
          </a:r>
        </a:p>
        <a:p>
          <a:pPr algn="ctr">
            <a:defRPr lang="en-US" altLang="ja-JP" sz="10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従業員情報一覧取得機能</a:t>
          </a:r>
        </a:p>
      </xdr:txBody>
    </xdr:sp>
    <xdr:clientData/>
  </xdr:twoCellAnchor>
  <xdr:twoCellAnchor>
    <xdr:from>
      <xdr:col>8</xdr:col>
      <xdr:colOff>1</xdr:colOff>
      <xdr:row>102</xdr:row>
      <xdr:rowOff>0</xdr:rowOff>
    </xdr:from>
    <xdr:to>
      <xdr:col>29</xdr:col>
      <xdr:colOff>0</xdr:colOff>
      <xdr:row>102</xdr:row>
      <xdr:rowOff>1</xdr:rowOff>
    </xdr:to>
    <xdr:cxnSp macro="">
      <xdr:nvCxnSpPr>
        <xdr:cNvPr id="27" name="直線矢印コネクタ 19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25" idx="3"/>
          <a:endCxn id="29" idx="2"/>
        </xdr:cNvCxnSpPr>
      </xdr:nvCxnSpPr>
      <xdr:spPr>
        <a:xfrm flipV="1">
          <a:off x="2133600" y="19545300"/>
          <a:ext cx="56007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100</xdr:row>
      <xdr:rowOff>0</xdr:rowOff>
    </xdr:from>
    <xdr:to>
      <xdr:col>61</xdr:col>
      <xdr:colOff>0</xdr:colOff>
      <xdr:row>105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10134600" y="19164300"/>
          <a:ext cx="6134100" cy="952500"/>
        </a:xfrm>
        <a:prstGeom prst="borderCallout1">
          <a:avLst>
            <a:gd name="adj1" fmla="val 60585"/>
            <a:gd name="adj2" fmla="val 56"/>
            <a:gd name="adj3" fmla="val 60974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以下の検索条件で従業員一覧を取得する：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・従業員コード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・従業員名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・ログイン中のアカウント権限</a:t>
          </a:r>
        </a:p>
      </xdr:txBody>
    </xdr:sp>
    <xdr:clientData/>
  </xdr:twoCellAnchor>
  <xdr:twoCellAnchor>
    <xdr:from>
      <xdr:col>29</xdr:col>
      <xdr:colOff>0</xdr:colOff>
      <xdr:row>100</xdr:row>
      <xdr:rowOff>0</xdr:rowOff>
    </xdr:from>
    <xdr:to>
      <xdr:col>35</xdr:col>
      <xdr:colOff>0</xdr:colOff>
      <xdr:row>104</xdr:row>
      <xdr:rowOff>0</xdr:rowOff>
    </xdr:to>
    <xdr:sp macro="" textlink="" fLocksText="0">
      <xdr:nvSpPr>
        <xdr:cNvPr id="29" name="フローチャート: 磁気ディスク 194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7734300" y="19164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AP4001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従業員一覧取得API</a:t>
          </a:r>
        </a:p>
      </xdr:txBody>
    </xdr:sp>
    <xdr:clientData/>
  </xdr:twoCellAnchor>
  <xdr:twoCellAnchor>
    <xdr:from>
      <xdr:col>2</xdr:col>
      <xdr:colOff>228600</xdr:colOff>
      <xdr:row>40</xdr:row>
      <xdr:rowOff>6350</xdr:rowOff>
    </xdr:from>
    <xdr:to>
      <xdr:col>6</xdr:col>
      <xdr:colOff>228600</xdr:colOff>
      <xdr:row>42</xdr:row>
      <xdr:rowOff>0</xdr:rowOff>
    </xdr:to>
    <xdr:sp macro="" textlink="" fLocksText="0">
      <xdr:nvSpPr>
        <xdr:cNvPr id="32" name="四角形: 角を丸くする 110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762000" y="7743825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F12：検索</a:t>
          </a:r>
        </a:p>
      </xdr:txBody>
    </xdr:sp>
    <xdr:clientData/>
  </xdr:twoCellAnchor>
  <xdr:twoCellAnchor>
    <xdr:from>
      <xdr:col>4</xdr:col>
      <xdr:colOff>228600</xdr:colOff>
      <xdr:row>38</xdr:row>
      <xdr:rowOff>11206</xdr:rowOff>
    </xdr:from>
    <xdr:to>
      <xdr:col>5</xdr:col>
      <xdr:colOff>0</xdr:colOff>
      <xdr:row>40</xdr:row>
      <xdr:rowOff>6350</xdr:rowOff>
    </xdr:to>
    <xdr:cxnSp macro="">
      <xdr:nvCxnSpPr>
        <xdr:cNvPr id="33" name="Connector: Elbow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>
          <a:stCxn id="21" idx="2"/>
          <a:endCxn id="32" idx="0"/>
        </xdr:cNvCxnSpPr>
      </xdr:nvCxnSpPr>
      <xdr:spPr>
        <a:xfrm rot="5400000">
          <a:off x="1295400" y="7362825"/>
          <a:ext cx="381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33</xdr:row>
      <xdr:rowOff>0</xdr:rowOff>
    </xdr:from>
    <xdr:to>
      <xdr:col>61</xdr:col>
      <xdr:colOff>0</xdr:colOff>
      <xdr:row>62</xdr:row>
      <xdr:rowOff>0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942294" y="6398559"/>
          <a:ext cx="5412441" cy="5524500"/>
        </a:xfrm>
        <a:prstGeom prst="borderCallout1">
          <a:avLst>
            <a:gd name="adj1" fmla="val 4135"/>
            <a:gd name="adj2" fmla="val 56"/>
            <a:gd name="adj3" fmla="val 4352"/>
            <a:gd name="adj4" fmla="val -13027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>
            <a:def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初期化の状態：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NA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検索項目: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・従業員コード：最大7桁まで入力可能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・従業員名：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を含む」、「から始まる」、「で終わる」などの検索タイプを選択できる。最大50桁まで入力可能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検索結果表示エリア：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・メッセージ表示エリア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：通知メッセージ表示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· 表示列: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・店舗：表示フォーマットは「{店舗コード}:{店舗名}」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・従業員コード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・従業員名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・従業区分員説明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・従業員バーコード印刷: チェックボックス チェックを入れると、バーコード印刷機能をマークする。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ボタン・アクション：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・【F12：検索】ボタンをタッチすると、KN4001機能を実行する。検索結果表示件数には制限がない。ページングで表示し、各ページに15件を表示する。ページング共通をご参照ください。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・【F07：印刷】をタッチすると、「従業員バーコード印刷」で選択された従業員バーコードを印刷する。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・【F08：削除】をタッチすると、選択されたレコードを削除する（取り消し線） 選択されているレコードが削除済みとしてマークされている場合、削除状態をキャンセルし、そのレコードの表示を元の状態(黒いテキスト、赤い取り消し線なし）に復元する。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・[編集]ボタンをタッチすると、MD4001_従業員情報編集モーダルを表示する。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・【新規】ボタンをタッチすると、MD4002_従業員新規モーダルを表示する。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・CSV取込ボタン：従業員一覧CSVを手動で取り込む。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・[F09:確定]: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＋従業員情報の変更有（新規、削除、編集）の場合のみに有効になる。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＋タッチ時、KN4002_従業員情報保存機能を実行する。</a:t>
          </a:r>
        </a:p>
      </xdr:txBody>
    </xdr:sp>
    <xdr:clientData/>
  </xdr:twoCellAnchor>
  <xdr:twoCellAnchor>
    <xdr:from>
      <xdr:col>5</xdr:col>
      <xdr:colOff>0</xdr:colOff>
      <xdr:row>104</xdr:row>
      <xdr:rowOff>0</xdr:rowOff>
    </xdr:from>
    <xdr:to>
      <xdr:col>5</xdr:col>
      <xdr:colOff>1</xdr:colOff>
      <xdr:row>106</xdr:row>
      <xdr:rowOff>0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25" idx="2"/>
          <a:endCxn id="61" idx="0"/>
        </xdr:cNvCxnSpPr>
      </xdr:nvCxnSpPr>
      <xdr:spPr>
        <a:xfrm flipH="1">
          <a:off x="1333500" y="19926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106</xdr:row>
      <xdr:rowOff>0</xdr:rowOff>
    </xdr:from>
    <xdr:to>
      <xdr:col>7</xdr:col>
      <xdr:colOff>0</xdr:colOff>
      <xdr:row>106</xdr:row>
      <xdr:rowOff>176893</xdr:rowOff>
    </xdr:to>
    <xdr:sp macro="" textlink="" fLocksText="0">
      <xdr:nvSpPr>
        <xdr:cNvPr id="61" name="四角形: 角を丸くする 1101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/>
      </xdr:nvSpPr>
      <xdr:spPr>
        <a:xfrm>
          <a:off x="800100" y="20307300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データあり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106</xdr:row>
      <xdr:rowOff>176893</xdr:rowOff>
    </xdr:from>
    <xdr:to>
      <xdr:col>5</xdr:col>
      <xdr:colOff>5603</xdr:colOff>
      <xdr:row>109</xdr:row>
      <xdr:rowOff>0</xdr:rowOff>
    </xdr:to>
    <xdr:cxnSp macro="">
      <xdr:nvCxnSpPr>
        <xdr:cNvPr id="63" name="Connector: Elbow 84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CxnSpPr>
          <a:stCxn id="61" idx="2"/>
          <a:endCxn id="272" idx="0"/>
        </xdr:cNvCxnSpPr>
      </xdr:nvCxnSpPr>
      <xdr:spPr>
        <a:xfrm>
          <a:off x="1333500" y="20488275"/>
          <a:ext cx="952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109</xdr:row>
      <xdr:rowOff>0</xdr:rowOff>
    </xdr:from>
    <xdr:to>
      <xdr:col>14</xdr:col>
      <xdr:colOff>0</xdr:colOff>
      <xdr:row>113</xdr:row>
      <xdr:rowOff>0</xdr:rowOff>
    </xdr:to>
    <xdr:sp macro="" textlink="" fLocksText="0">
      <xdr:nvSpPr>
        <xdr:cNvPr id="73" name="正方形/長方形 1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SpPr/>
      </xdr:nvSpPr>
      <xdr:spPr>
        <a:xfrm>
          <a:off x="2133600" y="20878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検索条件のバリデーションチェック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104</xdr:row>
      <xdr:rowOff>0</xdr:rowOff>
    </xdr:from>
    <xdr:to>
      <xdr:col>10</xdr:col>
      <xdr:colOff>235322</xdr:colOff>
      <xdr:row>106</xdr:row>
      <xdr:rowOff>0</xdr:rowOff>
    </xdr:to>
    <xdr:cxnSp macro="">
      <xdr:nvCxnSpPr>
        <xdr:cNvPr id="74" name="Connector: Elbow 84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CxnSpPr>
          <a:stCxn id="25" idx="2"/>
          <a:endCxn id="77" idx="0"/>
        </xdr:cNvCxnSpPr>
      </xdr:nvCxnSpPr>
      <xdr:spPr>
        <a:xfrm rot="16200000" flipH="1">
          <a:off x="1333500" y="19926300"/>
          <a:ext cx="157162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235323</xdr:colOff>
      <xdr:row>106</xdr:row>
      <xdr:rowOff>0</xdr:rowOff>
    </xdr:from>
    <xdr:to>
      <xdr:col>12</xdr:col>
      <xdr:colOff>235323</xdr:colOff>
      <xdr:row>106</xdr:row>
      <xdr:rowOff>176893</xdr:rowOff>
    </xdr:to>
    <xdr:sp macro="" textlink="" fLocksText="0">
      <xdr:nvSpPr>
        <xdr:cNvPr id="77" name="四角形: 角を丸くする 1101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2371725" y="20307300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データなし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235323</xdr:colOff>
      <xdr:row>106</xdr:row>
      <xdr:rowOff>176893</xdr:rowOff>
    </xdr:from>
    <xdr:to>
      <xdr:col>11</xdr:col>
      <xdr:colOff>0</xdr:colOff>
      <xdr:row>109</xdr:row>
      <xdr:rowOff>0</xdr:rowOff>
    </xdr:to>
    <xdr:cxnSp macro="">
      <xdr:nvCxnSpPr>
        <xdr:cNvPr id="81" name="Connector: Elbow 84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CxnSpPr>
          <a:stCxn id="77" idx="2"/>
          <a:endCxn id="73" idx="0"/>
        </xdr:cNvCxnSpPr>
      </xdr:nvCxnSpPr>
      <xdr:spPr>
        <a:xfrm>
          <a:off x="2905125" y="20488275"/>
          <a:ext cx="2857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109</xdr:row>
      <xdr:rowOff>0</xdr:rowOff>
    </xdr:from>
    <xdr:to>
      <xdr:col>61</xdr:col>
      <xdr:colOff>0</xdr:colOff>
      <xdr:row>110</xdr:row>
      <xdr:rowOff>0</xdr:rowOff>
    </xdr:to>
    <xdr:sp macro="" textlink="" fLocksText="0">
      <xdr:nvSpPr>
        <xdr:cNvPr id="98" name="吹き出し: 線 2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/>
      </xdr:nvSpPr>
      <xdr:spPr>
        <a:xfrm>
          <a:off x="10134600" y="20878800"/>
          <a:ext cx="6134100" cy="190500"/>
        </a:xfrm>
        <a:prstGeom prst="borderCallout1">
          <a:avLst>
            <a:gd name="adj1" fmla="val 51151"/>
            <a:gd name="adj2" fmla="val 232"/>
            <a:gd name="adj3" fmla="val 58277"/>
            <a:gd name="adj4" fmla="val -10380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▪条件を満たすデータがない場合、「データが見つかりませんでした。」が表示される。</a:t>
          </a:r>
        </a:p>
      </xdr:txBody>
    </xdr:sp>
    <xdr:clientData/>
  </xdr:twoCellAnchor>
  <xdr:twoCellAnchor>
    <xdr:from>
      <xdr:col>10</xdr:col>
      <xdr:colOff>6464</xdr:colOff>
      <xdr:row>113</xdr:row>
      <xdr:rowOff>13072</xdr:rowOff>
    </xdr:from>
    <xdr:to>
      <xdr:col>12</xdr:col>
      <xdr:colOff>0</xdr:colOff>
      <xdr:row>114</xdr:row>
      <xdr:rowOff>0</xdr:rowOff>
    </xdr:to>
    <xdr:sp macro="" textlink="" fLocksText="0">
      <xdr:nvSpPr>
        <xdr:cNvPr id="103" name="四角形: 角を丸くする 1101">
          <a:extLst>
            <a:ext uri="{FF2B5EF4-FFF2-40B4-BE49-F238E27FC236}">
              <a16:creationId xmlns:a16="http://schemas.microsoft.com/office/drawing/2014/main" id="{00000000-0008-0000-0400-000067000000}"/>
            </a:ext>
          </a:extLst>
        </xdr:cNvPr>
        <xdr:cNvSpPr/>
      </xdr:nvSpPr>
      <xdr:spPr>
        <a:xfrm>
          <a:off x="2676525" y="21650325"/>
          <a:ext cx="523875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228600</xdr:colOff>
      <xdr:row>42</xdr:row>
      <xdr:rowOff>0</xdr:rowOff>
    </xdr:from>
    <xdr:to>
      <xdr:col>4</xdr:col>
      <xdr:colOff>231962</xdr:colOff>
      <xdr:row>44</xdr:row>
      <xdr:rowOff>1868</xdr:rowOff>
    </xdr:to>
    <xdr:cxnSp macro="">
      <xdr:nvCxnSpPr>
        <xdr:cNvPr id="69" name="Connector: Elbow 32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CxnSpPr>
          <a:stCxn id="32" idx="2"/>
          <a:endCxn id="35" idx="0"/>
        </xdr:cNvCxnSpPr>
      </xdr:nvCxnSpPr>
      <xdr:spPr>
        <a:xfrm>
          <a:off x="1295400" y="811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0</xdr:colOff>
      <xdr:row>36</xdr:row>
      <xdr:rowOff>0</xdr:rowOff>
    </xdr:from>
    <xdr:to>
      <xdr:col>122</xdr:col>
      <xdr:colOff>0</xdr:colOff>
      <xdr:row>57</xdr:row>
      <xdr:rowOff>0</xdr:rowOff>
    </xdr:to>
    <xdr:sp macro="" textlink="" fLocksText="0">
      <xdr:nvSpPr>
        <xdr:cNvPr id="76" name="Rectangle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SpPr/>
      </xdr:nvSpPr>
      <xdr:spPr>
        <a:xfrm>
          <a:off x="18716625" y="6972300"/>
          <a:ext cx="14135100" cy="4000500"/>
        </a:xfrm>
        <a:prstGeom prst="rect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40</xdr:row>
      <xdr:rowOff>0</xdr:rowOff>
    </xdr:from>
    <xdr:to>
      <xdr:col>12</xdr:col>
      <xdr:colOff>0</xdr:colOff>
      <xdr:row>42</xdr:row>
      <xdr:rowOff>0</xdr:rowOff>
    </xdr:to>
    <xdr:sp macro="" textlink="" fLocksText="0">
      <xdr:nvSpPr>
        <xdr:cNvPr id="78" name="四角形: 角を丸くする 1101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2133600" y="7734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F07：印刷</a:t>
          </a:r>
          <a:endParaRPr lang="en-US" altLang="ja-JP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12</xdr:col>
      <xdr:colOff>224119</xdr:colOff>
      <xdr:row>40</xdr:row>
      <xdr:rowOff>0</xdr:rowOff>
    </xdr:from>
    <xdr:to>
      <xdr:col>16</xdr:col>
      <xdr:colOff>224119</xdr:colOff>
      <xdr:row>41</xdr:row>
      <xdr:rowOff>184150</xdr:rowOff>
    </xdr:to>
    <xdr:sp macro="" textlink="" fLocksText="0">
      <xdr:nvSpPr>
        <xdr:cNvPr id="79" name="四角形: 角を丸くする 1101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3429000" y="7734300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F08：削除</a:t>
          </a:r>
          <a:endParaRPr lang="en-US" altLang="ja-JP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17</xdr:col>
      <xdr:colOff>231963</xdr:colOff>
      <xdr:row>40</xdr:row>
      <xdr:rowOff>6350</xdr:rowOff>
    </xdr:from>
    <xdr:to>
      <xdr:col>21</xdr:col>
      <xdr:colOff>231963</xdr:colOff>
      <xdr:row>42</xdr:row>
      <xdr:rowOff>0</xdr:rowOff>
    </xdr:to>
    <xdr:sp macro="" textlink="" fLocksText="0">
      <xdr:nvSpPr>
        <xdr:cNvPr id="80" name="四角形: 角を丸くする 1101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4762500" y="7743825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編集</a:t>
          </a:r>
        </a:p>
      </xdr:txBody>
    </xdr:sp>
    <xdr:clientData/>
  </xdr:twoCellAnchor>
  <xdr:twoCellAnchor>
    <xdr:from>
      <xdr:col>29</xdr:col>
      <xdr:colOff>0</xdr:colOff>
      <xdr:row>40</xdr:row>
      <xdr:rowOff>0</xdr:rowOff>
    </xdr:from>
    <xdr:to>
      <xdr:col>33</xdr:col>
      <xdr:colOff>0</xdr:colOff>
      <xdr:row>42</xdr:row>
      <xdr:rowOff>0</xdr:rowOff>
    </xdr:to>
    <xdr:sp macro="" textlink="" fLocksText="0">
      <xdr:nvSpPr>
        <xdr:cNvPr id="82" name="四角形: 角を丸くする 110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7734300" y="7734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F09:確定</a:t>
          </a:r>
          <a:endParaRPr lang="ja-JP" altLang="en-US" sz="800" b="1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23</xdr:col>
      <xdr:colOff>11206</xdr:colOff>
      <xdr:row>40</xdr:row>
      <xdr:rowOff>0</xdr:rowOff>
    </xdr:from>
    <xdr:to>
      <xdr:col>27</xdr:col>
      <xdr:colOff>11206</xdr:colOff>
      <xdr:row>41</xdr:row>
      <xdr:rowOff>184150</xdr:rowOff>
    </xdr:to>
    <xdr:sp macro="" textlink="" fLocksText="0">
      <xdr:nvSpPr>
        <xdr:cNvPr id="83" name="四角形: 角を丸くする 1101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6143625" y="7734300"/>
          <a:ext cx="1066800" cy="3714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新規</a:t>
          </a:r>
          <a:endParaRPr lang="en-US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0</xdr:colOff>
      <xdr:row>36</xdr:row>
      <xdr:rowOff>11206</xdr:rowOff>
    </xdr:from>
    <xdr:to>
      <xdr:col>10</xdr:col>
      <xdr:colOff>0</xdr:colOff>
      <xdr:row>40</xdr:row>
      <xdr:rowOff>0</xdr:rowOff>
    </xdr:to>
    <xdr:cxnSp macro="">
      <xdr:nvCxnSpPr>
        <xdr:cNvPr id="84" name="Connector: Elbow 32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CxnSpPr>
          <a:stCxn id="21" idx="3"/>
          <a:endCxn id="78" idx="0"/>
        </xdr:cNvCxnSpPr>
      </xdr:nvCxnSpPr>
      <xdr:spPr>
        <a:xfrm>
          <a:off x="2133600" y="6981825"/>
          <a:ext cx="533400" cy="7524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36</xdr:row>
      <xdr:rowOff>11206</xdr:rowOff>
    </xdr:from>
    <xdr:to>
      <xdr:col>14</xdr:col>
      <xdr:colOff>224119</xdr:colOff>
      <xdr:row>40</xdr:row>
      <xdr:rowOff>0</xdr:rowOff>
    </xdr:to>
    <xdr:cxnSp macro="">
      <xdr:nvCxnSpPr>
        <xdr:cNvPr id="89" name="Connector: Elbow 32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CxnSpPr>
          <a:stCxn id="21" idx="3"/>
          <a:endCxn id="79" idx="0"/>
        </xdr:cNvCxnSpPr>
      </xdr:nvCxnSpPr>
      <xdr:spPr>
        <a:xfrm>
          <a:off x="2133600" y="6981825"/>
          <a:ext cx="1828800" cy="7524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36</xdr:row>
      <xdr:rowOff>11206</xdr:rowOff>
    </xdr:from>
    <xdr:to>
      <xdr:col>19</xdr:col>
      <xdr:colOff>231963</xdr:colOff>
      <xdr:row>40</xdr:row>
      <xdr:rowOff>6350</xdr:rowOff>
    </xdr:to>
    <xdr:cxnSp macro="">
      <xdr:nvCxnSpPr>
        <xdr:cNvPr id="93" name="Connector: Elbow 3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CxnSpPr>
          <a:stCxn id="21" idx="3"/>
          <a:endCxn id="80" idx="0"/>
        </xdr:cNvCxnSpPr>
      </xdr:nvCxnSpPr>
      <xdr:spPr>
        <a:xfrm>
          <a:off x="2133600" y="6981825"/>
          <a:ext cx="3162300" cy="7620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36</xdr:row>
      <xdr:rowOff>11206</xdr:rowOff>
    </xdr:from>
    <xdr:to>
      <xdr:col>31</xdr:col>
      <xdr:colOff>0</xdr:colOff>
      <xdr:row>40</xdr:row>
      <xdr:rowOff>0</xdr:rowOff>
    </xdr:to>
    <xdr:cxnSp macro="">
      <xdr:nvCxnSpPr>
        <xdr:cNvPr id="97" name="Connector: Elbow 32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CxnSpPr>
          <a:stCxn id="21" idx="3"/>
          <a:endCxn id="82" idx="0"/>
        </xdr:cNvCxnSpPr>
      </xdr:nvCxnSpPr>
      <xdr:spPr>
        <a:xfrm>
          <a:off x="2133600" y="6981825"/>
          <a:ext cx="6134100" cy="7524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36</xdr:row>
      <xdr:rowOff>11206</xdr:rowOff>
    </xdr:from>
    <xdr:to>
      <xdr:col>25</xdr:col>
      <xdr:colOff>11206</xdr:colOff>
      <xdr:row>40</xdr:row>
      <xdr:rowOff>0</xdr:rowOff>
    </xdr:to>
    <xdr:cxnSp macro="">
      <xdr:nvCxnSpPr>
        <xdr:cNvPr id="102" name="Connector: Elbow 32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>
          <a:stCxn id="21" idx="3"/>
          <a:endCxn id="83" idx="0"/>
        </xdr:cNvCxnSpPr>
      </xdr:nvCxnSpPr>
      <xdr:spPr>
        <a:xfrm>
          <a:off x="2133600" y="6981825"/>
          <a:ext cx="4543425" cy="7524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127</xdr:row>
      <xdr:rowOff>0</xdr:rowOff>
    </xdr:from>
    <xdr:to>
      <xdr:col>8</xdr:col>
      <xdr:colOff>1</xdr:colOff>
      <xdr:row>131</xdr:row>
      <xdr:rowOff>0</xdr:rowOff>
    </xdr:to>
    <xdr:sp macro="" textlink="" fLocksText="0">
      <xdr:nvSpPr>
        <xdr:cNvPr id="107" name="フローチャート: 書類 11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533400" y="24307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PR4001</a:t>
          </a: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従業員のバーコード</a:t>
          </a:r>
        </a:p>
      </xdr:txBody>
    </xdr:sp>
    <xdr:clientData/>
  </xdr:twoCellAnchor>
  <xdr:twoCellAnchor>
    <xdr:from>
      <xdr:col>5</xdr:col>
      <xdr:colOff>0</xdr:colOff>
      <xdr:row>120</xdr:row>
      <xdr:rowOff>0</xdr:rowOff>
    </xdr:from>
    <xdr:to>
      <xdr:col>5</xdr:col>
      <xdr:colOff>0</xdr:colOff>
      <xdr:row>123</xdr:row>
      <xdr:rowOff>0</xdr:rowOff>
    </xdr:to>
    <xdr:cxnSp macro="">
      <xdr:nvCxnSpPr>
        <xdr:cNvPr id="108" name="Connector: Elbow 32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CxnSpPr>
          <a:stCxn id="458" idx="2"/>
          <a:endCxn id="116" idx="0"/>
        </xdr:cNvCxnSpPr>
      </xdr:nvCxnSpPr>
      <xdr:spPr>
        <a:xfrm>
          <a:off x="1333500" y="22974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123</xdr:row>
      <xdr:rowOff>0</xdr:rowOff>
    </xdr:from>
    <xdr:to>
      <xdr:col>7</xdr:col>
      <xdr:colOff>0</xdr:colOff>
      <xdr:row>125</xdr:row>
      <xdr:rowOff>0</xdr:rowOff>
    </xdr:to>
    <xdr:sp macro="" textlink="" fLocksText="0">
      <xdr:nvSpPr>
        <xdr:cNvPr id="116" name="四角形: 角を丸くする 1101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SpPr/>
      </xdr:nvSpPr>
      <xdr:spPr>
        <a:xfrm>
          <a:off x="800100" y="235458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従業員が選択された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1</xdr:colOff>
      <xdr:row>123</xdr:row>
      <xdr:rowOff>13607</xdr:rowOff>
    </xdr:from>
    <xdr:to>
      <xdr:col>14</xdr:col>
      <xdr:colOff>1</xdr:colOff>
      <xdr:row>125</xdr:row>
      <xdr:rowOff>0</xdr:rowOff>
    </xdr:to>
    <xdr:sp macro="" textlink="" fLocksText="0">
      <xdr:nvSpPr>
        <xdr:cNvPr id="117" name="四角形: 角を丸くする 1101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/>
      </xdr:nvSpPr>
      <xdr:spPr>
        <a:xfrm>
          <a:off x="2667000" y="23555325"/>
          <a:ext cx="1066800" cy="3714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従業員が選択されない</a:t>
          </a:r>
          <a:endParaRPr lang="ja-JP" alt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1</xdr:colOff>
      <xdr:row>127</xdr:row>
      <xdr:rowOff>0</xdr:rowOff>
    </xdr:from>
    <xdr:to>
      <xdr:col>15</xdr:col>
      <xdr:colOff>1</xdr:colOff>
      <xdr:row>131</xdr:row>
      <xdr:rowOff>0</xdr:rowOff>
    </xdr:to>
    <xdr:sp macro="" textlink="" fLocksText="0">
      <xdr:nvSpPr>
        <xdr:cNvPr id="131" name="正方形/長方形 1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/>
      </xdr:nvSpPr>
      <xdr:spPr>
        <a:xfrm>
          <a:off x="2400300" y="24307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従業員が選択されません。</a:t>
          </a:r>
        </a:p>
      </xdr:txBody>
    </xdr:sp>
    <xdr:clientData/>
  </xdr:twoCellAnchor>
  <xdr:twoCellAnchor>
    <xdr:from>
      <xdr:col>11</xdr:col>
      <xdr:colOff>0</xdr:colOff>
      <xdr:row>130</xdr:row>
      <xdr:rowOff>179294</xdr:rowOff>
    </xdr:from>
    <xdr:to>
      <xdr:col>12</xdr:col>
      <xdr:colOff>228860</xdr:colOff>
      <xdr:row>131</xdr:row>
      <xdr:rowOff>166222</xdr:rowOff>
    </xdr:to>
    <xdr:sp macro="" textlink="" fLocksText="0">
      <xdr:nvSpPr>
        <xdr:cNvPr id="132" name="四角形: 角を丸くする 110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2933700" y="25060275"/>
          <a:ext cx="495300" cy="17145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12</xdr:col>
      <xdr:colOff>0</xdr:colOff>
      <xdr:row>125</xdr:row>
      <xdr:rowOff>0</xdr:rowOff>
    </xdr:from>
    <xdr:to>
      <xdr:col>12</xdr:col>
      <xdr:colOff>1</xdr:colOff>
      <xdr:row>127</xdr:row>
      <xdr:rowOff>0</xdr:rowOff>
    </xdr:to>
    <xdr:cxnSp macro="">
      <xdr:nvCxnSpPr>
        <xdr:cNvPr id="134" name="Connector: Elbow 84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CxnSpPr>
          <a:stCxn id="117" idx="2"/>
          <a:endCxn id="131" idx="0"/>
        </xdr:cNvCxnSpPr>
      </xdr:nvCxnSpPr>
      <xdr:spPr>
        <a:xfrm rot="16200000" flipH="1">
          <a:off x="3200400" y="23926800"/>
          <a:ext cx="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125</xdr:row>
      <xdr:rowOff>0</xdr:rowOff>
    </xdr:from>
    <xdr:to>
      <xdr:col>5</xdr:col>
      <xdr:colOff>0</xdr:colOff>
      <xdr:row>127</xdr:row>
      <xdr:rowOff>0</xdr:rowOff>
    </xdr:to>
    <xdr:cxnSp macro="">
      <xdr:nvCxnSpPr>
        <xdr:cNvPr id="141" name="Connector: Elbow 84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>
          <a:stCxn id="116" idx="2"/>
          <a:endCxn id="107" idx="0"/>
        </xdr:cNvCxnSpPr>
      </xdr:nvCxnSpPr>
      <xdr:spPr>
        <a:xfrm rot="16200000" flipH="1">
          <a:off x="1304925" y="23926800"/>
          <a:ext cx="285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119</xdr:row>
      <xdr:rowOff>190499</xdr:rowOff>
    </xdr:from>
    <xdr:to>
      <xdr:col>12</xdr:col>
      <xdr:colOff>1</xdr:colOff>
      <xdr:row>123</xdr:row>
      <xdr:rowOff>13606</xdr:rowOff>
    </xdr:to>
    <xdr:cxnSp macro="">
      <xdr:nvCxnSpPr>
        <xdr:cNvPr id="145" name="Connector: Elbow 8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CxnSpPr>
          <a:stCxn id="458" idx="2"/>
          <a:endCxn id="117" idx="0"/>
        </xdr:cNvCxnSpPr>
      </xdr:nvCxnSpPr>
      <xdr:spPr>
        <a:xfrm rot="16200000" flipH="1">
          <a:off x="1333500" y="22974300"/>
          <a:ext cx="1866900" cy="5810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127</xdr:row>
      <xdr:rowOff>0</xdr:rowOff>
    </xdr:from>
    <xdr:to>
      <xdr:col>61</xdr:col>
      <xdr:colOff>0</xdr:colOff>
      <xdr:row>129</xdr:row>
      <xdr:rowOff>0</xdr:rowOff>
    </xdr:to>
    <xdr:sp macro="" textlink="" fLocksText="0">
      <xdr:nvSpPr>
        <xdr:cNvPr id="149" name="吹き出し: 線 2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10134600" y="24307800"/>
          <a:ext cx="6134100" cy="381000"/>
        </a:xfrm>
        <a:prstGeom prst="borderCallout1">
          <a:avLst>
            <a:gd name="adj1" fmla="val 51151"/>
            <a:gd name="adj2" fmla="val 232"/>
            <a:gd name="adj3" fmla="val 46514"/>
            <a:gd name="adj4" fmla="val -10028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従業員が選択されない場合、「出力対象が選択されていません。」というエラーメッセージを表示する。</a:t>
          </a:r>
        </a:p>
      </xdr:txBody>
    </xdr:sp>
    <xdr:clientData/>
  </xdr:twoCellAnchor>
  <xdr:twoCellAnchor>
    <xdr:from>
      <xdr:col>3</xdr:col>
      <xdr:colOff>0</xdr:colOff>
      <xdr:row>140</xdr:row>
      <xdr:rowOff>1</xdr:rowOff>
    </xdr:from>
    <xdr:to>
      <xdr:col>7</xdr:col>
      <xdr:colOff>0</xdr:colOff>
      <xdr:row>142</xdr:row>
      <xdr:rowOff>6351</xdr:rowOff>
    </xdr:to>
    <xdr:sp macro="" textlink="" fLocksText="0">
      <xdr:nvSpPr>
        <xdr:cNvPr id="151" name="四角形: 角を丸くする 1101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800100" y="26784300"/>
          <a:ext cx="1066800" cy="39052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明細行が選択された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8</xdr:col>
      <xdr:colOff>1</xdr:colOff>
      <xdr:row>140</xdr:row>
      <xdr:rowOff>0</xdr:rowOff>
    </xdr:from>
    <xdr:to>
      <xdr:col>12</xdr:col>
      <xdr:colOff>1</xdr:colOff>
      <xdr:row>142</xdr:row>
      <xdr:rowOff>0</xdr:rowOff>
    </xdr:to>
    <xdr:sp macro="" textlink="" fLocksText="0">
      <xdr:nvSpPr>
        <xdr:cNvPr id="152" name="四角形: 角を丸くする 1101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SpPr/>
      </xdr:nvSpPr>
      <xdr:spPr>
        <a:xfrm>
          <a:off x="2133600" y="26784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明細行が選択されなかった</a:t>
          </a:r>
          <a:endParaRPr lang="ja-JP" alt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144</xdr:row>
      <xdr:rowOff>0</xdr:rowOff>
    </xdr:from>
    <xdr:to>
      <xdr:col>13</xdr:col>
      <xdr:colOff>0</xdr:colOff>
      <xdr:row>148</xdr:row>
      <xdr:rowOff>0</xdr:rowOff>
    </xdr:to>
    <xdr:sp macro="" textlink="" fLocksText="0">
      <xdr:nvSpPr>
        <xdr:cNvPr id="156" name="正方形/長方形 1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SpPr/>
      </xdr:nvSpPr>
      <xdr:spPr>
        <a:xfrm>
          <a:off x="1866900" y="27546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明細行が選択されていません。</a:t>
          </a:r>
        </a:p>
      </xdr:txBody>
    </xdr:sp>
    <xdr:clientData/>
  </xdr:twoCellAnchor>
  <xdr:twoCellAnchor>
    <xdr:from>
      <xdr:col>9</xdr:col>
      <xdr:colOff>28876</xdr:colOff>
      <xdr:row>148</xdr:row>
      <xdr:rowOff>0</xdr:rowOff>
    </xdr:from>
    <xdr:to>
      <xdr:col>11</xdr:col>
      <xdr:colOff>22412</xdr:colOff>
      <xdr:row>148</xdr:row>
      <xdr:rowOff>177428</xdr:rowOff>
    </xdr:to>
    <xdr:sp macro="" textlink="" fLocksText="0">
      <xdr:nvSpPr>
        <xdr:cNvPr id="157" name="四角形: 角を丸くする 1101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SpPr/>
      </xdr:nvSpPr>
      <xdr:spPr>
        <a:xfrm>
          <a:off x="2428875" y="28308300"/>
          <a:ext cx="523875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3</xdr:col>
      <xdr:colOff>0</xdr:colOff>
      <xdr:row>32</xdr:row>
      <xdr:rowOff>0</xdr:rowOff>
    </xdr:to>
    <xdr:sp macro="" textlink="" fLocksText="0">
      <xdr:nvSpPr>
        <xdr:cNvPr id="159" name="四角形: 角を丸くする 1101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SpPr/>
      </xdr:nvSpPr>
      <xdr:spPr>
        <a:xfrm>
          <a:off x="266700" y="60198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0</xdr:colOff>
      <xdr:row>31</xdr:row>
      <xdr:rowOff>95250</xdr:rowOff>
    </xdr:from>
    <xdr:to>
      <xdr:col>5</xdr:col>
      <xdr:colOff>0</xdr:colOff>
      <xdr:row>34</xdr:row>
      <xdr:rowOff>11206</xdr:rowOff>
    </xdr:to>
    <xdr:cxnSp macro="">
      <xdr:nvCxnSpPr>
        <xdr:cNvPr id="160" name="Connector: Elbow 26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CxnSpPr>
          <a:stCxn id="159" idx="3"/>
          <a:endCxn id="21" idx="0"/>
        </xdr:cNvCxnSpPr>
      </xdr:nvCxnSpPr>
      <xdr:spPr>
        <a:xfrm>
          <a:off x="800100" y="6115050"/>
          <a:ext cx="533400" cy="485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142</xdr:row>
      <xdr:rowOff>6351</xdr:rowOff>
    </xdr:from>
    <xdr:to>
      <xdr:col>5</xdr:col>
      <xdr:colOff>0</xdr:colOff>
      <xdr:row>145</xdr:row>
      <xdr:rowOff>0</xdr:rowOff>
    </xdr:to>
    <xdr:cxnSp macro="">
      <xdr:nvCxnSpPr>
        <xdr:cNvPr id="164" name="Connector: Elbow 84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151" idx="2"/>
          <a:endCxn id="171" idx="0"/>
        </xdr:cNvCxnSpPr>
      </xdr:nvCxnSpPr>
      <xdr:spPr>
        <a:xfrm>
          <a:off x="1333500" y="27174825"/>
          <a:ext cx="0" cy="561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145</xdr:row>
      <xdr:rowOff>0</xdr:rowOff>
    </xdr:from>
    <xdr:to>
      <xdr:col>6</xdr:col>
      <xdr:colOff>0</xdr:colOff>
      <xdr:row>146</xdr:row>
      <xdr:rowOff>0</xdr:rowOff>
    </xdr:to>
    <xdr:sp macro="" textlink="" fLocksText="0">
      <xdr:nvSpPr>
        <xdr:cNvPr id="171" name="四角形: 角を丸くする 1101">
          <a:extLst>
            <a:ext uri="{FF2B5EF4-FFF2-40B4-BE49-F238E27FC236}">
              <a16:creationId xmlns:a16="http://schemas.microsoft.com/office/drawing/2014/main" id="{00000000-0008-0000-0400-0000AB000000}"/>
            </a:ext>
          </a:extLst>
        </xdr:cNvPr>
        <xdr:cNvSpPr/>
      </xdr:nvSpPr>
      <xdr:spPr>
        <a:xfrm>
          <a:off x="1066800" y="277368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1</xdr:colOff>
      <xdr:row>142</xdr:row>
      <xdr:rowOff>0</xdr:rowOff>
    </xdr:from>
    <xdr:to>
      <xdr:col>10</xdr:col>
      <xdr:colOff>1</xdr:colOff>
      <xdr:row>144</xdr:row>
      <xdr:rowOff>0</xdr:rowOff>
    </xdr:to>
    <xdr:cxnSp macro="">
      <xdr:nvCxnSpPr>
        <xdr:cNvPr id="181" name="Connector: Elbow 84">
          <a:extLst>
            <a:ext uri="{FF2B5EF4-FFF2-40B4-BE49-F238E27FC236}">
              <a16:creationId xmlns:a16="http://schemas.microsoft.com/office/drawing/2014/main" id="{00000000-0008-0000-0400-0000B5000000}"/>
            </a:ext>
          </a:extLst>
        </xdr:cNvPr>
        <xdr:cNvCxnSpPr>
          <a:stCxn id="152" idx="2"/>
          <a:endCxn id="156" idx="0"/>
        </xdr:cNvCxnSpPr>
      </xdr:nvCxnSpPr>
      <xdr:spPr>
        <a:xfrm>
          <a:off x="2667000" y="2716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144</xdr:row>
      <xdr:rowOff>0</xdr:rowOff>
    </xdr:from>
    <xdr:to>
      <xdr:col>61</xdr:col>
      <xdr:colOff>0</xdr:colOff>
      <xdr:row>146</xdr:row>
      <xdr:rowOff>0</xdr:rowOff>
    </xdr:to>
    <xdr:sp macro="" textlink="" fLocksText="0">
      <xdr:nvSpPr>
        <xdr:cNvPr id="190" name="吹き出し: 線 2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>
          <a:off x="10134600" y="27546300"/>
          <a:ext cx="6134100" cy="381000"/>
        </a:xfrm>
        <a:prstGeom prst="borderCallout1">
          <a:avLst>
            <a:gd name="adj1" fmla="val 51151"/>
            <a:gd name="adj2" fmla="val 232"/>
            <a:gd name="adj3" fmla="val 122984"/>
            <a:gd name="adj4" fmla="val -111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・従業員が選択されない場合、「明細行が選択されていません。」というメッセージを表示する。</a:t>
          </a:r>
        </a:p>
      </xdr:txBody>
    </xdr:sp>
    <xdr:clientData/>
  </xdr:twoCellAnchor>
  <xdr:twoCellAnchor>
    <xdr:from>
      <xdr:col>3</xdr:col>
      <xdr:colOff>0</xdr:colOff>
      <xdr:row>156</xdr:row>
      <xdr:rowOff>0</xdr:rowOff>
    </xdr:from>
    <xdr:to>
      <xdr:col>7</xdr:col>
      <xdr:colOff>0</xdr:colOff>
      <xdr:row>158</xdr:row>
      <xdr:rowOff>0</xdr:rowOff>
    </xdr:to>
    <xdr:sp macro="" textlink="" fLocksText="0">
      <xdr:nvSpPr>
        <xdr:cNvPr id="192" name="四角形: 角を丸くする 1101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/>
      </xdr:nvSpPr>
      <xdr:spPr>
        <a:xfrm>
          <a:off x="800100" y="29832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明細行が選択された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9</xdr:col>
      <xdr:colOff>0</xdr:colOff>
      <xdr:row>156</xdr:row>
      <xdr:rowOff>0</xdr:rowOff>
    </xdr:from>
    <xdr:to>
      <xdr:col>13</xdr:col>
      <xdr:colOff>0</xdr:colOff>
      <xdr:row>158</xdr:row>
      <xdr:rowOff>0</xdr:rowOff>
    </xdr:to>
    <xdr:sp macro="" textlink="" fLocksText="0">
      <xdr:nvSpPr>
        <xdr:cNvPr id="193" name="四角形: 角を丸くする 1101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/>
      </xdr:nvSpPr>
      <xdr:spPr>
        <a:xfrm>
          <a:off x="2400300" y="29832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明細行が選択されなかった</a:t>
          </a:r>
          <a:endParaRPr lang="ja-JP" alt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0</xdr:colOff>
      <xdr:row>171</xdr:row>
      <xdr:rowOff>0</xdr:rowOff>
    </xdr:from>
    <xdr:to>
      <xdr:col>8</xdr:col>
      <xdr:colOff>0</xdr:colOff>
      <xdr:row>175</xdr:row>
      <xdr:rowOff>0</xdr:rowOff>
    </xdr:to>
    <xdr:sp macro="" textlink="" fLocksText="0">
      <xdr:nvSpPr>
        <xdr:cNvPr id="216" name="正方形/長方形 19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/>
      </xdr:nvSpPr>
      <xdr:spPr>
        <a:xfrm>
          <a:off x="533400" y="3268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MD2010201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従業員情報編集機能</a:t>
          </a:r>
        </a:p>
      </xdr:txBody>
    </xdr:sp>
    <xdr:clientData/>
  </xdr:twoCellAnchor>
  <xdr:twoCellAnchor>
    <xdr:from>
      <xdr:col>6</xdr:col>
      <xdr:colOff>0</xdr:colOff>
      <xdr:row>177</xdr:row>
      <xdr:rowOff>0</xdr:rowOff>
    </xdr:from>
    <xdr:to>
      <xdr:col>8</xdr:col>
      <xdr:colOff>0</xdr:colOff>
      <xdr:row>178</xdr:row>
      <xdr:rowOff>0</xdr:rowOff>
    </xdr:to>
    <xdr:sp macro="" textlink="" fLocksText="0">
      <xdr:nvSpPr>
        <xdr:cNvPr id="219" name="四角形: 角を丸くする 1101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SpPr/>
      </xdr:nvSpPr>
      <xdr:spPr>
        <a:xfrm>
          <a:off x="1600200" y="33832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更新</a:t>
          </a:r>
          <a:endParaRPr lang="en-US" sz="900" b="0" i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0</xdr:colOff>
      <xdr:row>177</xdr:row>
      <xdr:rowOff>0</xdr:rowOff>
    </xdr:from>
    <xdr:to>
      <xdr:col>4</xdr:col>
      <xdr:colOff>0</xdr:colOff>
      <xdr:row>178</xdr:row>
      <xdr:rowOff>0</xdr:rowOff>
    </xdr:to>
    <xdr:sp macro="" textlink="" fLocksText="0">
      <xdr:nvSpPr>
        <xdr:cNvPr id="220" name="四角形: 角を丸くする 1101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/>
      </xdr:nvSpPr>
      <xdr:spPr>
        <a:xfrm>
          <a:off x="533400" y="33832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戻る</a:t>
          </a:r>
          <a:endParaRPr lang="en-US" sz="900" b="0" i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0</xdr:colOff>
      <xdr:row>199</xdr:row>
      <xdr:rowOff>0</xdr:rowOff>
    </xdr:from>
    <xdr:to>
      <xdr:col>4</xdr:col>
      <xdr:colOff>0</xdr:colOff>
      <xdr:row>200</xdr:row>
      <xdr:rowOff>0</xdr:rowOff>
    </xdr:to>
    <xdr:sp macro="" textlink="" fLocksText="0">
      <xdr:nvSpPr>
        <xdr:cNvPr id="221" name="四角形: 角を丸くする 1101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/>
      </xdr:nvSpPr>
      <xdr:spPr>
        <a:xfrm>
          <a:off x="533400" y="380238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175</xdr:row>
      <xdr:rowOff>0</xdr:rowOff>
    </xdr:from>
    <xdr:to>
      <xdr:col>6</xdr:col>
      <xdr:colOff>235323</xdr:colOff>
      <xdr:row>177</xdr:row>
      <xdr:rowOff>0</xdr:rowOff>
    </xdr:to>
    <xdr:cxnSp macro="">
      <xdr:nvCxnSpPr>
        <xdr:cNvPr id="222" name="Connector: Elbow 84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CxnSpPr>
          <a:stCxn id="216" idx="2"/>
          <a:endCxn id="219" idx="0"/>
        </xdr:cNvCxnSpPr>
      </xdr:nvCxnSpPr>
      <xdr:spPr>
        <a:xfrm rot="16200000" flipH="1">
          <a:off x="1304925" y="33451800"/>
          <a:ext cx="5334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175</xdr:row>
      <xdr:rowOff>1</xdr:rowOff>
    </xdr:from>
    <xdr:to>
      <xdr:col>5</xdr:col>
      <xdr:colOff>0</xdr:colOff>
      <xdr:row>177</xdr:row>
      <xdr:rowOff>1</xdr:rowOff>
    </xdr:to>
    <xdr:cxnSp macro="">
      <xdr:nvCxnSpPr>
        <xdr:cNvPr id="225" name="Connector: Elbow 84">
          <a:extLst>
            <a:ext uri="{FF2B5EF4-FFF2-40B4-BE49-F238E27FC236}">
              <a16:creationId xmlns:a16="http://schemas.microsoft.com/office/drawing/2014/main" id="{00000000-0008-0000-0400-0000E1000000}"/>
            </a:ext>
          </a:extLst>
        </xdr:cNvPr>
        <xdr:cNvCxnSpPr>
          <a:stCxn id="216" idx="2"/>
          <a:endCxn id="220" idx="0"/>
        </xdr:cNvCxnSpPr>
      </xdr:nvCxnSpPr>
      <xdr:spPr>
        <a:xfrm rot="5400000">
          <a:off x="800100" y="33451800"/>
          <a:ext cx="5334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178</xdr:row>
      <xdr:rowOff>0</xdr:rowOff>
    </xdr:from>
    <xdr:to>
      <xdr:col>7</xdr:col>
      <xdr:colOff>0</xdr:colOff>
      <xdr:row>182</xdr:row>
      <xdr:rowOff>0</xdr:rowOff>
    </xdr:to>
    <xdr:cxnSp macro="">
      <xdr:nvCxnSpPr>
        <xdr:cNvPr id="229" name="Connector: Elbow 84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CxnSpPr>
          <a:stCxn id="219" idx="2"/>
          <a:endCxn id="302" idx="0"/>
        </xdr:cNvCxnSpPr>
      </xdr:nvCxnSpPr>
      <xdr:spPr>
        <a:xfrm>
          <a:off x="1866900" y="34023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178</xdr:row>
      <xdr:rowOff>0</xdr:rowOff>
    </xdr:from>
    <xdr:to>
      <xdr:col>3</xdr:col>
      <xdr:colOff>0</xdr:colOff>
      <xdr:row>199</xdr:row>
      <xdr:rowOff>0</xdr:rowOff>
    </xdr:to>
    <xdr:cxnSp macro="">
      <xdr:nvCxnSpPr>
        <xdr:cNvPr id="232" name="Connector: Elbow 84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CxnSpPr>
          <a:stCxn id="220" idx="2"/>
          <a:endCxn id="221" idx="0"/>
        </xdr:cNvCxnSpPr>
      </xdr:nvCxnSpPr>
      <xdr:spPr>
        <a:xfrm>
          <a:off x="800100" y="34023300"/>
          <a:ext cx="0" cy="400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0</xdr:colOff>
      <xdr:row>160</xdr:row>
      <xdr:rowOff>0</xdr:rowOff>
    </xdr:to>
    <xdr:cxnSp macro="">
      <xdr:nvCxnSpPr>
        <xdr:cNvPr id="235" name="Connector: Elbow 84">
          <a:extLst>
            <a:ext uri="{FF2B5EF4-FFF2-40B4-BE49-F238E27FC236}">
              <a16:creationId xmlns:a16="http://schemas.microsoft.com/office/drawing/2014/main" id="{00000000-0008-0000-0400-0000EB000000}"/>
            </a:ext>
          </a:extLst>
        </xdr:cNvPr>
        <xdr:cNvCxnSpPr>
          <a:stCxn id="192" idx="2"/>
          <a:endCxn id="327" idx="0"/>
        </xdr:cNvCxnSpPr>
      </xdr:nvCxnSpPr>
      <xdr:spPr>
        <a:xfrm>
          <a:off x="1333500" y="30213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208</xdr:row>
      <xdr:rowOff>0</xdr:rowOff>
    </xdr:from>
    <xdr:to>
      <xdr:col>8</xdr:col>
      <xdr:colOff>0</xdr:colOff>
      <xdr:row>212</xdr:row>
      <xdr:rowOff>0</xdr:rowOff>
    </xdr:to>
    <xdr:sp macro="" textlink="" fLocksText="0">
      <xdr:nvSpPr>
        <xdr:cNvPr id="238" name="正方形/長方形 19">
          <a:extLst>
            <a:ext uri="{FF2B5EF4-FFF2-40B4-BE49-F238E27FC236}">
              <a16:creationId xmlns:a16="http://schemas.microsoft.com/office/drawing/2014/main" id="{00000000-0008-0000-0400-0000EE000000}"/>
            </a:ext>
          </a:extLst>
        </xdr:cNvPr>
        <xdr:cNvSpPr/>
      </xdr:nvSpPr>
      <xdr:spPr>
        <a:xfrm>
          <a:off x="533400" y="397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MD4002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従業員新規モーダル</a:t>
          </a:r>
        </a:p>
      </xdr:txBody>
    </xdr:sp>
    <xdr:clientData/>
  </xdr:twoCellAnchor>
  <xdr:twoCellAnchor>
    <xdr:from>
      <xdr:col>25</xdr:col>
      <xdr:colOff>11205</xdr:colOff>
      <xdr:row>41</xdr:row>
      <xdr:rowOff>184150</xdr:rowOff>
    </xdr:from>
    <xdr:to>
      <xdr:col>25</xdr:col>
      <xdr:colOff>11206</xdr:colOff>
      <xdr:row>43</xdr:row>
      <xdr:rowOff>179668</xdr:rowOff>
    </xdr:to>
    <xdr:cxnSp macro="">
      <xdr:nvCxnSpPr>
        <xdr:cNvPr id="239" name="Connector: Elbow 32">
          <a:extLst>
            <a:ext uri="{FF2B5EF4-FFF2-40B4-BE49-F238E27FC236}">
              <a16:creationId xmlns:a16="http://schemas.microsoft.com/office/drawing/2014/main" id="{00000000-0008-0000-0400-0000EF000000}"/>
            </a:ext>
          </a:extLst>
        </xdr:cNvPr>
        <xdr:cNvCxnSpPr>
          <a:stCxn id="83" idx="2"/>
          <a:endCxn id="503" idx="0"/>
        </xdr:cNvCxnSpPr>
      </xdr:nvCxnSpPr>
      <xdr:spPr>
        <a:xfrm rot="16200000" flipH="1">
          <a:off x="6677025" y="8105775"/>
          <a:ext cx="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214</xdr:row>
      <xdr:rowOff>0</xdr:rowOff>
    </xdr:from>
    <xdr:to>
      <xdr:col>8</xdr:col>
      <xdr:colOff>0</xdr:colOff>
      <xdr:row>215</xdr:row>
      <xdr:rowOff>0</xdr:rowOff>
    </xdr:to>
    <xdr:sp macro="" textlink="" fLocksText="0">
      <xdr:nvSpPr>
        <xdr:cNvPr id="248" name="四角形: 角を丸くする 1101"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SpPr/>
      </xdr:nvSpPr>
      <xdr:spPr>
        <a:xfrm>
          <a:off x="1600200" y="408813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登録</a:t>
          </a:r>
          <a:endParaRPr lang="en-US" sz="900" b="0" i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0</xdr:colOff>
      <xdr:row>214</xdr:row>
      <xdr:rowOff>0</xdr:rowOff>
    </xdr:from>
    <xdr:to>
      <xdr:col>4</xdr:col>
      <xdr:colOff>0</xdr:colOff>
      <xdr:row>215</xdr:row>
      <xdr:rowOff>6350</xdr:rowOff>
    </xdr:to>
    <xdr:sp macro="" textlink="" fLocksText="0">
      <xdr:nvSpPr>
        <xdr:cNvPr id="249" name="四角形: 角を丸くする 1101">
          <a:extLst>
            <a:ext uri="{FF2B5EF4-FFF2-40B4-BE49-F238E27FC236}">
              <a16:creationId xmlns:a16="http://schemas.microsoft.com/office/drawing/2014/main" id="{00000000-0008-0000-0400-0000F9000000}"/>
            </a:ext>
          </a:extLst>
        </xdr:cNvPr>
        <xdr:cNvSpPr/>
      </xdr:nvSpPr>
      <xdr:spPr>
        <a:xfrm>
          <a:off x="533400" y="40881300"/>
          <a:ext cx="533400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戻る</a:t>
          </a:r>
          <a:endParaRPr lang="en-US" sz="900" b="0" i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0</xdr:colOff>
      <xdr:row>246</xdr:row>
      <xdr:rowOff>0</xdr:rowOff>
    </xdr:from>
    <xdr:to>
      <xdr:col>4</xdr:col>
      <xdr:colOff>0</xdr:colOff>
      <xdr:row>247</xdr:row>
      <xdr:rowOff>0</xdr:rowOff>
    </xdr:to>
    <xdr:sp macro="" textlink="" fLocksText="0">
      <xdr:nvSpPr>
        <xdr:cNvPr id="250" name="四角形: 角を丸くする 1101">
          <a:extLst>
            <a:ext uri="{FF2B5EF4-FFF2-40B4-BE49-F238E27FC236}">
              <a16:creationId xmlns:a16="http://schemas.microsoft.com/office/drawing/2014/main" id="{00000000-0008-0000-0400-0000FA000000}"/>
            </a:ext>
          </a:extLst>
        </xdr:cNvPr>
        <xdr:cNvSpPr/>
      </xdr:nvSpPr>
      <xdr:spPr>
        <a:xfrm>
          <a:off x="533400" y="469773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212</xdr:row>
      <xdr:rowOff>0</xdr:rowOff>
    </xdr:from>
    <xdr:to>
      <xdr:col>6</xdr:col>
      <xdr:colOff>235323</xdr:colOff>
      <xdr:row>214</xdr:row>
      <xdr:rowOff>0</xdr:rowOff>
    </xdr:to>
    <xdr:cxnSp macro="">
      <xdr:nvCxnSpPr>
        <xdr:cNvPr id="251" name="Connector: Elbow 84">
          <a:extLst>
            <a:ext uri="{FF2B5EF4-FFF2-40B4-BE49-F238E27FC236}">
              <a16:creationId xmlns:a16="http://schemas.microsoft.com/office/drawing/2014/main" id="{00000000-0008-0000-0400-0000FB000000}"/>
            </a:ext>
          </a:extLst>
        </xdr:cNvPr>
        <xdr:cNvCxnSpPr>
          <a:stCxn id="238" idx="2"/>
          <a:endCxn id="248" idx="0"/>
        </xdr:cNvCxnSpPr>
      </xdr:nvCxnSpPr>
      <xdr:spPr>
        <a:xfrm rot="16200000" flipH="1">
          <a:off x="1304925" y="40500300"/>
          <a:ext cx="5334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212</xdr:row>
      <xdr:rowOff>1</xdr:rowOff>
    </xdr:from>
    <xdr:to>
      <xdr:col>5</xdr:col>
      <xdr:colOff>0</xdr:colOff>
      <xdr:row>214</xdr:row>
      <xdr:rowOff>1</xdr:rowOff>
    </xdr:to>
    <xdr:cxnSp macro="">
      <xdr:nvCxnSpPr>
        <xdr:cNvPr id="252" name="Connector: Elbow 84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CxnSpPr>
          <a:stCxn id="238" idx="2"/>
          <a:endCxn id="249" idx="0"/>
        </xdr:cNvCxnSpPr>
      </xdr:nvCxnSpPr>
      <xdr:spPr>
        <a:xfrm rot="5400000">
          <a:off x="800100" y="40500300"/>
          <a:ext cx="5334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215</xdr:row>
      <xdr:rowOff>0</xdr:rowOff>
    </xdr:from>
    <xdr:to>
      <xdr:col>7</xdr:col>
      <xdr:colOff>5603</xdr:colOff>
      <xdr:row>219</xdr:row>
      <xdr:rowOff>0</xdr:rowOff>
    </xdr:to>
    <xdr:cxnSp macro="">
      <xdr:nvCxnSpPr>
        <xdr:cNvPr id="253" name="Connector: Elbow 84">
          <a:extLst>
            <a:ext uri="{FF2B5EF4-FFF2-40B4-BE49-F238E27FC236}">
              <a16:creationId xmlns:a16="http://schemas.microsoft.com/office/drawing/2014/main" id="{00000000-0008-0000-0400-0000FD000000}"/>
            </a:ext>
          </a:extLst>
        </xdr:cNvPr>
        <xdr:cNvCxnSpPr>
          <a:stCxn id="248" idx="2"/>
          <a:endCxn id="283" idx="0"/>
        </xdr:cNvCxnSpPr>
      </xdr:nvCxnSpPr>
      <xdr:spPr>
        <a:xfrm>
          <a:off x="1866900" y="41071800"/>
          <a:ext cx="952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215</xdr:row>
      <xdr:rowOff>6350</xdr:rowOff>
    </xdr:from>
    <xdr:to>
      <xdr:col>3</xdr:col>
      <xdr:colOff>0</xdr:colOff>
      <xdr:row>246</xdr:row>
      <xdr:rowOff>0</xdr:rowOff>
    </xdr:to>
    <xdr:cxnSp macro="">
      <xdr:nvCxnSpPr>
        <xdr:cNvPr id="254" name="Connector: Elbow 84">
          <a:extLst>
            <a:ext uri="{FF2B5EF4-FFF2-40B4-BE49-F238E27FC236}">
              <a16:creationId xmlns:a16="http://schemas.microsoft.com/office/drawing/2014/main" id="{00000000-0008-0000-0400-0000FE000000}"/>
            </a:ext>
          </a:extLst>
        </xdr:cNvPr>
        <xdr:cNvCxnSpPr>
          <a:stCxn id="249" idx="2"/>
          <a:endCxn id="250" idx="0"/>
        </xdr:cNvCxnSpPr>
      </xdr:nvCxnSpPr>
      <xdr:spPr>
        <a:xfrm>
          <a:off x="800100" y="41081325"/>
          <a:ext cx="0" cy="5895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11206</xdr:colOff>
      <xdr:row>109</xdr:row>
      <xdr:rowOff>0</xdr:rowOff>
    </xdr:from>
    <xdr:to>
      <xdr:col>6</xdr:col>
      <xdr:colOff>0</xdr:colOff>
      <xdr:row>110</xdr:row>
      <xdr:rowOff>0</xdr:rowOff>
    </xdr:to>
    <xdr:sp macro="" textlink="" fLocksText="0">
      <xdr:nvSpPr>
        <xdr:cNvPr id="272" name="四角形: 角を丸くする 1101"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SpPr/>
      </xdr:nvSpPr>
      <xdr:spPr>
        <a:xfrm>
          <a:off x="1076325" y="20878800"/>
          <a:ext cx="523875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0</xdr:colOff>
      <xdr:row>219</xdr:row>
      <xdr:rowOff>0</xdr:rowOff>
    </xdr:from>
    <xdr:to>
      <xdr:col>10</xdr:col>
      <xdr:colOff>11206</xdr:colOff>
      <xdr:row>223</xdr:row>
      <xdr:rowOff>0</xdr:rowOff>
    </xdr:to>
    <xdr:sp macro="" textlink="" fLocksText="0">
      <xdr:nvSpPr>
        <xdr:cNvPr id="283" name="四角形: 角を丸くする 3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SpPr/>
      </xdr:nvSpPr>
      <xdr:spPr>
        <a:xfrm>
          <a:off x="1066800" y="41833800"/>
          <a:ext cx="1609725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KN4003</a:t>
          </a:r>
        </a:p>
        <a:p>
          <a:pPr algn="ctr">
            <a:defRPr lang="en-US" altLang="ja-JP" sz="10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従業員情報バリデーションチェック機能</a:t>
          </a:r>
        </a:p>
      </xdr:txBody>
    </xdr:sp>
    <xdr:clientData/>
  </xdr:twoCellAnchor>
  <xdr:twoCellAnchor>
    <xdr:from>
      <xdr:col>4</xdr:col>
      <xdr:colOff>0</xdr:colOff>
      <xdr:row>182</xdr:row>
      <xdr:rowOff>0</xdr:rowOff>
    </xdr:from>
    <xdr:to>
      <xdr:col>10</xdr:col>
      <xdr:colOff>0</xdr:colOff>
      <xdr:row>186</xdr:row>
      <xdr:rowOff>0</xdr:rowOff>
    </xdr:to>
    <xdr:sp macro="" textlink="" fLocksText="0">
      <xdr:nvSpPr>
        <xdr:cNvPr id="302" name="四角形: 角を丸くする 3"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SpPr/>
      </xdr:nvSpPr>
      <xdr:spPr>
        <a:xfrm>
          <a:off x="1066800" y="34785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KN4003</a:t>
          </a:r>
        </a:p>
        <a:p>
          <a:pPr algn="ctr">
            <a:defRPr lang="en-US" altLang="ja-JP" sz="10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従業員情報バリデーションチェック機能</a:t>
          </a:r>
        </a:p>
      </xdr:txBody>
    </xdr:sp>
    <xdr:clientData/>
  </xdr:twoCellAnchor>
  <xdr:twoCellAnchor>
    <xdr:from>
      <xdr:col>30</xdr:col>
      <xdr:colOff>0</xdr:colOff>
      <xdr:row>44</xdr:row>
      <xdr:rowOff>0</xdr:rowOff>
    </xdr:from>
    <xdr:to>
      <xdr:col>32</xdr:col>
      <xdr:colOff>0</xdr:colOff>
      <xdr:row>45</xdr:row>
      <xdr:rowOff>0</xdr:rowOff>
    </xdr:to>
    <xdr:sp macro="" textlink="" fLocksText="0">
      <xdr:nvSpPr>
        <xdr:cNvPr id="305" name="四角形: 角を丸くする 1101">
          <a:extLst>
            <a:ext uri="{FF2B5EF4-FFF2-40B4-BE49-F238E27FC236}">
              <a16:creationId xmlns:a16="http://schemas.microsoft.com/office/drawing/2014/main" id="{00000000-0008-0000-0400-000031010000}"/>
            </a:ext>
          </a:extLst>
        </xdr:cNvPr>
        <xdr:cNvSpPr/>
      </xdr:nvSpPr>
      <xdr:spPr>
        <a:xfrm>
          <a:off x="8001000" y="84963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40.6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31</xdr:col>
      <xdr:colOff>0</xdr:colOff>
      <xdr:row>42</xdr:row>
      <xdr:rowOff>0</xdr:rowOff>
    </xdr:from>
    <xdr:to>
      <xdr:col>31</xdr:col>
      <xdr:colOff>1</xdr:colOff>
      <xdr:row>44</xdr:row>
      <xdr:rowOff>0</xdr:rowOff>
    </xdr:to>
    <xdr:cxnSp macro="">
      <xdr:nvCxnSpPr>
        <xdr:cNvPr id="307" name="Connector: Elbow 32">
          <a:extLst>
            <a:ext uri="{FF2B5EF4-FFF2-40B4-BE49-F238E27FC236}">
              <a16:creationId xmlns:a16="http://schemas.microsoft.com/office/drawing/2014/main" id="{00000000-0008-0000-0400-000033010000}"/>
            </a:ext>
          </a:extLst>
        </xdr:cNvPr>
        <xdr:cNvCxnSpPr>
          <a:stCxn id="82" idx="2"/>
          <a:endCxn id="305" idx="0"/>
        </xdr:cNvCxnSpPr>
      </xdr:nvCxnSpPr>
      <xdr:spPr>
        <a:xfrm>
          <a:off x="8267700" y="811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204</xdr:row>
      <xdr:rowOff>0</xdr:rowOff>
    </xdr:from>
    <xdr:to>
      <xdr:col>60</xdr:col>
      <xdr:colOff>235322</xdr:colOff>
      <xdr:row>235</xdr:row>
      <xdr:rowOff>0</xdr:rowOff>
    </xdr:to>
    <xdr:sp macro="" textlink="" fLocksText="0">
      <xdr:nvSpPr>
        <xdr:cNvPr id="317" name="吹き出し: 線 2">
          <a:extLst>
            <a:ext uri="{FF2B5EF4-FFF2-40B4-BE49-F238E27FC236}">
              <a16:creationId xmlns:a16="http://schemas.microsoft.com/office/drawing/2014/main" id="{00000000-0008-0000-0400-00003D010000}"/>
            </a:ext>
          </a:extLst>
        </xdr:cNvPr>
        <xdr:cNvSpPr/>
      </xdr:nvSpPr>
      <xdr:spPr>
        <a:xfrm>
          <a:off x="10134600" y="38976300"/>
          <a:ext cx="6105525" cy="5905500"/>
        </a:xfrm>
        <a:prstGeom prst="borderCallout1">
          <a:avLst>
            <a:gd name="adj1" fmla="val 19899"/>
            <a:gd name="adj2" fmla="val -358"/>
            <a:gd name="adj3" fmla="val 19970"/>
            <a:gd name="adj4" fmla="val -1307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MD4002_従業員新規モーダル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表示項目：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・店舗：ドロップダウン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必須項目 選択できる店舗一覧はMD1501_店舗一覧モダールの画面に入った時に選択された一覧である。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・従業員コード: 数字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+入力必須。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+数字のみ入力可能。桁数：7 (値：0000000～9999999)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+フォーカスアウトした場合、7桁が入力されていないと、先頭に「0」を自動追加する。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・従業員名：テキスト、入力必須。最大50桁入力可能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・従業区分員説明: テキスト, 任意。最大50桁入力可能。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ボタン・アクション：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・【戻る】ボタンをタッチすると、SC4001画面に戻る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【登録】ボタン：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＋ダイアログを開くときは無効にする。必須フィールドに値が入力されている場合に有効になる。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＋タッチ時、KN4003_従業員情報バリデーションチェック機能を実行する。以下の場合：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‣バリエーションチェックがOKの場合、SC4001画面で最初の行に新たな従業員を追加する。新規レコードの文字が赤くなる。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‣バリエーションチェックがNGの場合、バリエーションチェックエラーのMD_Errorが表示する。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+バリデーションチェックのエラーがない場合、[KN4004_従業員重複チェック機能]を実行する。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‣従業員が存在した場合、「重複するデータが存在するため登録できません。」メッセージを表示する。    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‣従業員が存在していない場合、SC4001に戻り、作成された従業員を表示する。</a:t>
          </a:r>
        </a:p>
      </xdr:txBody>
    </xdr:sp>
    <xdr:clientData/>
  </xdr:twoCellAnchor>
  <xdr:twoCellAnchor>
    <xdr:from>
      <xdr:col>38</xdr:col>
      <xdr:colOff>0</xdr:colOff>
      <xdr:row>167</xdr:row>
      <xdr:rowOff>0</xdr:rowOff>
    </xdr:from>
    <xdr:to>
      <xdr:col>60</xdr:col>
      <xdr:colOff>235322</xdr:colOff>
      <xdr:row>187</xdr:row>
      <xdr:rowOff>0</xdr:rowOff>
    </xdr:to>
    <xdr:sp macro="" textlink="" fLocksText="0">
      <xdr:nvSpPr>
        <xdr:cNvPr id="321" name="吹き出し: 線 2"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SpPr/>
      </xdr:nvSpPr>
      <xdr:spPr>
        <a:xfrm>
          <a:off x="10134600" y="31927800"/>
          <a:ext cx="6105525" cy="3810000"/>
        </a:xfrm>
        <a:prstGeom prst="borderCallout1">
          <a:avLst>
            <a:gd name="adj1" fmla="val 25968"/>
            <a:gd name="adj2" fmla="val 56"/>
            <a:gd name="adj3" fmla="val 26090"/>
            <a:gd name="adj4" fmla="val -1307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MD4002_従業員編集モーダル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表示項目：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・店舗：ドロップダウン 無効。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・従業員コード: 数字 無効。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・従業員名：テキスト、入力必須。最大50桁入力可能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・従業区分員説明: テキスト, 任意。最大50桁入力可能。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ボタン・アクション：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・【戻る】ボタンをタッチすると、SC4001画面に戻る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・【更新】ボタン：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 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＋ダイアログを開くときは無効にする。情報変更有の場合のみに有効になる。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＋タッチ時、KN4003_従業員情報バリデーションチェック機能を実行する。以下の場合：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・バリエーションチェックがOKの場合、SC4001画面で編集された情報を表示する。編集されたレコードの文字が赤くなり、表示フォーマットは「{旧情報} -&gt; {新規情報}」</a:t>
          </a:r>
        </a:p>
        <a:p>
          <a:pPr>
            <a:defRPr lang="vi-VN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・バリエーションチェックがNGの場合、バリエーションチェックエラーのMD_Errorを表示する。</a:t>
          </a:r>
        </a:p>
      </xdr:txBody>
    </xdr:sp>
    <xdr:clientData/>
  </xdr:twoCellAnchor>
  <xdr:twoCellAnchor editAs="oneCell">
    <xdr:from>
      <xdr:col>68</xdr:col>
      <xdr:colOff>0</xdr:colOff>
      <xdr:row>64</xdr:row>
      <xdr:rowOff>112059</xdr:rowOff>
    </xdr:from>
    <xdr:to>
      <xdr:col>123</xdr:col>
      <xdr:colOff>161959</xdr:colOff>
      <xdr:row>99</xdr:row>
      <xdr:rowOff>112058</xdr:rowOff>
    </xdr:to>
    <xdr:pic>
      <xdr:nvPicPr>
        <xdr:cNvPr id="323" name="img797848">
          <a:extLst>
            <a:ext uri="{FF2B5EF4-FFF2-40B4-BE49-F238E27FC236}">
              <a16:creationId xmlns:a16="http://schemas.microsoft.com/office/drawing/2014/main" id="{00000000-0008-0000-04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8449925" y="12420600"/>
          <a:ext cx="14830425" cy="6667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125</xdr:col>
      <xdr:colOff>190501</xdr:colOff>
      <xdr:row>64</xdr:row>
      <xdr:rowOff>113178</xdr:rowOff>
    </xdr:from>
    <xdr:to>
      <xdr:col>181</xdr:col>
      <xdr:colOff>4483</xdr:colOff>
      <xdr:row>86</xdr:row>
      <xdr:rowOff>56028</xdr:rowOff>
    </xdr:to>
    <xdr:pic>
      <xdr:nvPicPr>
        <xdr:cNvPr id="324" name="img821548"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3842325" y="12420600"/>
          <a:ext cx="14744700" cy="41338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0</xdr:colOff>
      <xdr:row>160</xdr:row>
      <xdr:rowOff>0</xdr:rowOff>
    </xdr:from>
    <xdr:to>
      <xdr:col>7</xdr:col>
      <xdr:colOff>0</xdr:colOff>
      <xdr:row>162</xdr:row>
      <xdr:rowOff>0</xdr:rowOff>
    </xdr:to>
    <xdr:sp macro="" textlink="" fLocksText="0">
      <xdr:nvSpPr>
        <xdr:cNvPr id="327" name="四角形: 角を丸くする 1101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/>
      </xdr:nvSpPr>
      <xdr:spPr>
        <a:xfrm>
          <a:off x="800100" y="30594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削除状態以外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162</xdr:row>
      <xdr:rowOff>0</xdr:rowOff>
    </xdr:from>
    <xdr:to>
      <xdr:col>5</xdr:col>
      <xdr:colOff>0</xdr:colOff>
      <xdr:row>171</xdr:row>
      <xdr:rowOff>0</xdr:rowOff>
    </xdr:to>
    <xdr:cxnSp macro="">
      <xdr:nvCxnSpPr>
        <xdr:cNvPr id="328" name="Connector: Elbow 84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CxnSpPr>
          <a:stCxn id="327" idx="2"/>
          <a:endCxn id="216" idx="0"/>
        </xdr:cNvCxnSpPr>
      </xdr:nvCxnSpPr>
      <xdr:spPr>
        <a:xfrm>
          <a:off x="1333500" y="30975300"/>
          <a:ext cx="0" cy="1714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160</xdr:row>
      <xdr:rowOff>0</xdr:rowOff>
    </xdr:from>
    <xdr:to>
      <xdr:col>13</xdr:col>
      <xdr:colOff>0</xdr:colOff>
      <xdr:row>162</xdr:row>
      <xdr:rowOff>0</xdr:rowOff>
    </xdr:to>
    <xdr:sp macro="" textlink="" fLocksText="0">
      <xdr:nvSpPr>
        <xdr:cNvPr id="332" name="四角形: 角を丸くする 1101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SpPr/>
      </xdr:nvSpPr>
      <xdr:spPr>
        <a:xfrm>
          <a:off x="2400300" y="30594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削除状態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158</xdr:row>
      <xdr:rowOff>0</xdr:rowOff>
    </xdr:from>
    <xdr:to>
      <xdr:col>10</xdr:col>
      <xdr:colOff>235323</xdr:colOff>
      <xdr:row>160</xdr:row>
      <xdr:rowOff>0</xdr:rowOff>
    </xdr:to>
    <xdr:cxnSp macro="">
      <xdr:nvCxnSpPr>
        <xdr:cNvPr id="336" name="Connector: Elbow 84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CxnSpPr>
          <a:stCxn id="192" idx="2"/>
          <a:endCxn id="332" idx="0"/>
        </xdr:cNvCxnSpPr>
      </xdr:nvCxnSpPr>
      <xdr:spPr>
        <a:xfrm rot="16200000" flipH="1">
          <a:off x="1304925" y="30213300"/>
          <a:ext cx="16002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162</xdr:row>
      <xdr:rowOff>0</xdr:rowOff>
    </xdr:from>
    <xdr:to>
      <xdr:col>11</xdr:col>
      <xdr:colOff>0</xdr:colOff>
      <xdr:row>164</xdr:row>
      <xdr:rowOff>0</xdr:rowOff>
    </xdr:to>
    <xdr:cxnSp macro="">
      <xdr:nvCxnSpPr>
        <xdr:cNvPr id="339" name="Connector: Elbow 84">
          <a:extLst>
            <a:ext uri="{FF2B5EF4-FFF2-40B4-BE49-F238E27FC236}">
              <a16:creationId xmlns:a16="http://schemas.microsoft.com/office/drawing/2014/main" id="{00000000-0008-0000-0400-000053010000}"/>
            </a:ext>
          </a:extLst>
        </xdr:cNvPr>
        <xdr:cNvCxnSpPr>
          <a:stCxn id="332" idx="2"/>
          <a:endCxn id="343" idx="0"/>
        </xdr:cNvCxnSpPr>
      </xdr:nvCxnSpPr>
      <xdr:spPr>
        <a:xfrm>
          <a:off x="2933700" y="3097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164</xdr:row>
      <xdr:rowOff>0</xdr:rowOff>
    </xdr:from>
    <xdr:to>
      <xdr:col>14</xdr:col>
      <xdr:colOff>0</xdr:colOff>
      <xdr:row>168</xdr:row>
      <xdr:rowOff>0</xdr:rowOff>
    </xdr:to>
    <xdr:sp macro="" textlink="" fLocksText="0">
      <xdr:nvSpPr>
        <xdr:cNvPr id="343" name="正方形/長方形 19">
          <a:extLst>
            <a:ext uri="{FF2B5EF4-FFF2-40B4-BE49-F238E27FC236}">
              <a16:creationId xmlns:a16="http://schemas.microsoft.com/office/drawing/2014/main" id="{00000000-0008-0000-0400-000057010000}"/>
            </a:ext>
          </a:extLst>
        </xdr:cNvPr>
        <xdr:cNvSpPr/>
      </xdr:nvSpPr>
      <xdr:spPr>
        <a:xfrm>
          <a:off x="2133600" y="31356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MD_ERROR</a:t>
          </a:r>
        </a:p>
        <a:p>
          <a:pPr algn="ctr">
            <a:defRPr lang="vi-VN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削除された行は編集できません。</a:t>
          </a:r>
        </a:p>
      </xdr:txBody>
    </xdr:sp>
    <xdr:clientData/>
  </xdr:twoCellAnchor>
  <xdr:twoCellAnchor>
    <xdr:from>
      <xdr:col>10</xdr:col>
      <xdr:colOff>6464</xdr:colOff>
      <xdr:row>168</xdr:row>
      <xdr:rowOff>0</xdr:rowOff>
    </xdr:from>
    <xdr:to>
      <xdr:col>12</xdr:col>
      <xdr:colOff>0</xdr:colOff>
      <xdr:row>169</xdr:row>
      <xdr:rowOff>0</xdr:rowOff>
    </xdr:to>
    <xdr:sp macro="" textlink="" fLocksText="0">
      <xdr:nvSpPr>
        <xdr:cNvPr id="345" name="四角形: 角を丸くする 1101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SpPr/>
      </xdr:nvSpPr>
      <xdr:spPr>
        <a:xfrm>
          <a:off x="2676525" y="32118300"/>
          <a:ext cx="523875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0</xdr:colOff>
      <xdr:row>251</xdr:row>
      <xdr:rowOff>0</xdr:rowOff>
    </xdr:from>
    <xdr:to>
      <xdr:col>6</xdr:col>
      <xdr:colOff>0</xdr:colOff>
      <xdr:row>252</xdr:row>
      <xdr:rowOff>0</xdr:rowOff>
    </xdr:to>
    <xdr:sp macro="" textlink="" fLocksText="0">
      <xdr:nvSpPr>
        <xdr:cNvPr id="347" name="四角形: 角を丸くする 1101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SpPr/>
      </xdr:nvSpPr>
      <xdr:spPr>
        <a:xfrm>
          <a:off x="1066800" y="479298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40.6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4162</xdr:colOff>
      <xdr:row>254</xdr:row>
      <xdr:rowOff>12700</xdr:rowOff>
    </xdr:from>
    <xdr:to>
      <xdr:col>8</xdr:col>
      <xdr:colOff>0</xdr:colOff>
      <xdr:row>258</xdr:row>
      <xdr:rowOff>0</xdr:rowOff>
    </xdr:to>
    <xdr:sp macro="" textlink="" fLocksText="0">
      <xdr:nvSpPr>
        <xdr:cNvPr id="348" name="四角形: 角を丸くする 3"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SpPr/>
      </xdr:nvSpPr>
      <xdr:spPr>
        <a:xfrm>
          <a:off x="533400" y="48510825"/>
          <a:ext cx="1600200" cy="75247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KN4002</a:t>
          </a:r>
        </a:p>
        <a:p>
          <a:pPr algn="ctr">
            <a:defRPr lang="en-US" altLang="ja-JP" sz="10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従業員情報保存</a:t>
          </a:r>
        </a:p>
      </xdr:txBody>
    </xdr:sp>
    <xdr:clientData/>
  </xdr:twoCellAnchor>
  <xdr:twoCellAnchor>
    <xdr:from>
      <xdr:col>5</xdr:col>
      <xdr:colOff>0</xdr:colOff>
      <xdr:row>252</xdr:row>
      <xdr:rowOff>0</xdr:rowOff>
    </xdr:from>
    <xdr:to>
      <xdr:col>5</xdr:col>
      <xdr:colOff>0</xdr:colOff>
      <xdr:row>254</xdr:row>
      <xdr:rowOff>12700</xdr:rowOff>
    </xdr:to>
    <xdr:cxnSp macro="">
      <xdr:nvCxnSpPr>
        <xdr:cNvPr id="350" name="Connector: Elbow 84">
          <a:extLst>
            <a:ext uri="{FF2B5EF4-FFF2-40B4-BE49-F238E27FC236}">
              <a16:creationId xmlns:a16="http://schemas.microsoft.com/office/drawing/2014/main" id="{00000000-0008-0000-0400-00005E010000}"/>
            </a:ext>
          </a:extLst>
        </xdr:cNvPr>
        <xdr:cNvCxnSpPr>
          <a:stCxn id="347" idx="2"/>
          <a:endCxn id="348" idx="0"/>
        </xdr:cNvCxnSpPr>
      </xdr:nvCxnSpPr>
      <xdr:spPr>
        <a:xfrm>
          <a:off x="1333500" y="481203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254</xdr:row>
      <xdr:rowOff>0</xdr:rowOff>
    </xdr:from>
    <xdr:to>
      <xdr:col>35</xdr:col>
      <xdr:colOff>0</xdr:colOff>
      <xdr:row>257</xdr:row>
      <xdr:rowOff>190499</xdr:rowOff>
    </xdr:to>
    <xdr:sp macro="" textlink="" fLocksText="0">
      <xdr:nvSpPr>
        <xdr:cNvPr id="371" name="フローチャート: 磁気ディスク 194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SpPr/>
      </xdr:nvSpPr>
      <xdr:spPr>
        <a:xfrm>
          <a:off x="7734300" y="48501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AP4002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従業員情報一覧保存API</a:t>
          </a:r>
        </a:p>
      </xdr:txBody>
    </xdr:sp>
    <xdr:clientData/>
  </xdr:twoCellAnchor>
  <xdr:twoCellAnchor>
    <xdr:from>
      <xdr:col>8</xdr:col>
      <xdr:colOff>0</xdr:colOff>
      <xdr:row>256</xdr:row>
      <xdr:rowOff>0</xdr:rowOff>
    </xdr:from>
    <xdr:to>
      <xdr:col>29</xdr:col>
      <xdr:colOff>0</xdr:colOff>
      <xdr:row>256</xdr:row>
      <xdr:rowOff>6350</xdr:rowOff>
    </xdr:to>
    <xdr:cxnSp macro="">
      <xdr:nvCxnSpPr>
        <xdr:cNvPr id="372" name="直線矢印コネクタ 196">
          <a:extLst>
            <a:ext uri="{FF2B5EF4-FFF2-40B4-BE49-F238E27FC236}">
              <a16:creationId xmlns:a16="http://schemas.microsoft.com/office/drawing/2014/main" id="{00000000-0008-0000-0400-000074010000}"/>
            </a:ext>
          </a:extLst>
        </xdr:cNvPr>
        <xdr:cNvCxnSpPr>
          <a:stCxn id="348" idx="3"/>
          <a:endCxn id="371" idx="2"/>
        </xdr:cNvCxnSpPr>
      </xdr:nvCxnSpPr>
      <xdr:spPr>
        <a:xfrm flipV="1">
          <a:off x="2133600" y="48882300"/>
          <a:ext cx="56007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254</xdr:row>
      <xdr:rowOff>0</xdr:rowOff>
    </xdr:from>
    <xdr:to>
      <xdr:col>61</xdr:col>
      <xdr:colOff>0</xdr:colOff>
      <xdr:row>262</xdr:row>
      <xdr:rowOff>0</xdr:rowOff>
    </xdr:to>
    <xdr:sp macro="" textlink="" fLocksText="0">
      <xdr:nvSpPr>
        <xdr:cNvPr id="378" name="吹き出し: 線 2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/>
      </xdr:nvSpPr>
      <xdr:spPr>
        <a:xfrm>
          <a:off x="10134600" y="48501300"/>
          <a:ext cx="6134100" cy="1524000"/>
        </a:xfrm>
        <a:prstGeom prst="borderCallout1">
          <a:avLst>
            <a:gd name="adj1" fmla="val 37670"/>
            <a:gd name="adj2" fmla="val 319"/>
            <a:gd name="adj3" fmla="val 37077"/>
            <a:gd name="adj4" fmla="val -1300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画面で表示される状態で従業員を保存する。2人のユーザーが同じ従業員を操作している場合 (従業員コードに基づいて従業員を識別)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_削除された従業員を編集：従業員を新規作成する。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_新規従業員の作成: 情報が間違った場合、編集作業と同様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_削除された従業員を削除: 何も処理しない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224117</xdr:colOff>
      <xdr:row>266</xdr:row>
      <xdr:rowOff>0</xdr:rowOff>
    </xdr:from>
    <xdr:to>
      <xdr:col>6</xdr:col>
      <xdr:colOff>0</xdr:colOff>
      <xdr:row>267</xdr:row>
      <xdr:rowOff>0</xdr:rowOff>
    </xdr:to>
    <xdr:sp macro="" textlink="" fLocksText="0">
      <xdr:nvSpPr>
        <xdr:cNvPr id="379" name="四角形: 角を丸くする 1101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SpPr/>
      </xdr:nvSpPr>
      <xdr:spPr>
        <a:xfrm>
          <a:off x="1028700" y="50787300"/>
          <a:ext cx="5715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258</xdr:row>
      <xdr:rowOff>0</xdr:rowOff>
    </xdr:from>
    <xdr:to>
      <xdr:col>5</xdr:col>
      <xdr:colOff>2081</xdr:colOff>
      <xdr:row>260</xdr:row>
      <xdr:rowOff>24813</xdr:rowOff>
    </xdr:to>
    <xdr:cxnSp macro="">
      <xdr:nvCxnSpPr>
        <xdr:cNvPr id="380" name="Connector: Elbow 84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CxnSpPr>
          <a:stCxn id="348" idx="2"/>
          <a:endCxn id="385" idx="0"/>
        </xdr:cNvCxnSpPr>
      </xdr:nvCxnSpPr>
      <xdr:spPr>
        <a:xfrm flipH="1">
          <a:off x="1333500" y="49263300"/>
          <a:ext cx="0" cy="4095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260</xdr:row>
      <xdr:rowOff>24813</xdr:rowOff>
    </xdr:from>
    <xdr:to>
      <xdr:col>7</xdr:col>
      <xdr:colOff>0</xdr:colOff>
      <xdr:row>261</xdr:row>
      <xdr:rowOff>11206</xdr:rowOff>
    </xdr:to>
    <xdr:sp macro="" textlink="" fLocksText="0">
      <xdr:nvSpPr>
        <xdr:cNvPr id="385" name="四角形: 角を丸くする 1101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SpPr/>
      </xdr:nvSpPr>
      <xdr:spPr>
        <a:xfrm>
          <a:off x="800100" y="49672875"/>
          <a:ext cx="1066800" cy="17145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231121</xdr:colOff>
      <xdr:row>261</xdr:row>
      <xdr:rowOff>11206</xdr:rowOff>
    </xdr:from>
    <xdr:to>
      <xdr:col>5</xdr:col>
      <xdr:colOff>0</xdr:colOff>
      <xdr:row>266</xdr:row>
      <xdr:rowOff>0</xdr:rowOff>
    </xdr:to>
    <xdr:cxnSp macro="">
      <xdr:nvCxnSpPr>
        <xdr:cNvPr id="387" name="Connector: Elbow 84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CxnSpPr>
          <a:stCxn id="385" idx="2"/>
          <a:endCxn id="379" idx="0"/>
        </xdr:cNvCxnSpPr>
      </xdr:nvCxnSpPr>
      <xdr:spPr>
        <a:xfrm flipH="1">
          <a:off x="1295400" y="49844325"/>
          <a:ext cx="38100" cy="9429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260</xdr:row>
      <xdr:rowOff>13607</xdr:rowOff>
    </xdr:from>
    <xdr:to>
      <xdr:col>15</xdr:col>
      <xdr:colOff>0</xdr:colOff>
      <xdr:row>261</xdr:row>
      <xdr:rowOff>6350</xdr:rowOff>
    </xdr:to>
    <xdr:sp macro="" textlink="" fLocksText="0">
      <xdr:nvSpPr>
        <xdr:cNvPr id="392" name="四角形: 角を丸くする 1101">
          <a:extLst>
            <a:ext uri="{FF2B5EF4-FFF2-40B4-BE49-F238E27FC236}">
              <a16:creationId xmlns:a16="http://schemas.microsoft.com/office/drawing/2014/main" id="{00000000-0008-0000-0400-000088010000}"/>
            </a:ext>
          </a:extLst>
        </xdr:cNvPr>
        <xdr:cNvSpPr/>
      </xdr:nvSpPr>
      <xdr:spPr>
        <a:xfrm>
          <a:off x="2933700" y="49653825"/>
          <a:ext cx="10668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2081</xdr:colOff>
      <xdr:row>257</xdr:row>
      <xdr:rowOff>190499</xdr:rowOff>
    </xdr:from>
    <xdr:to>
      <xdr:col>13</xdr:col>
      <xdr:colOff>0</xdr:colOff>
      <xdr:row>260</xdr:row>
      <xdr:rowOff>13606</xdr:rowOff>
    </xdr:to>
    <xdr:cxnSp macro="">
      <xdr:nvCxnSpPr>
        <xdr:cNvPr id="393" name="Connector: Elbow 84"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CxnSpPr>
          <a:stCxn id="348" idx="2"/>
          <a:endCxn id="392" idx="0"/>
        </xdr:cNvCxnSpPr>
      </xdr:nvCxnSpPr>
      <xdr:spPr>
        <a:xfrm rot="16200000" flipH="1">
          <a:off x="1333500" y="49263300"/>
          <a:ext cx="2133600" cy="390525"/>
        </a:xfrm>
        <a:prstGeom prst="bentConnector3">
          <a:avLst>
            <a:gd name="adj1" fmla="val 50001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263</xdr:row>
      <xdr:rowOff>6350</xdr:rowOff>
    </xdr:from>
    <xdr:to>
      <xdr:col>16</xdr:col>
      <xdr:colOff>0</xdr:colOff>
      <xdr:row>267</xdr:row>
      <xdr:rowOff>0</xdr:rowOff>
    </xdr:to>
    <xdr:sp macro="" textlink="" fLocksText="0">
      <xdr:nvSpPr>
        <xdr:cNvPr id="397" name="正方形/長方形 1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/>
      </xdr:nvSpPr>
      <xdr:spPr>
        <a:xfrm>
          <a:off x="2667000" y="50225325"/>
          <a:ext cx="1600200" cy="7524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vi-VN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処理エラー</a:t>
          </a:r>
        </a:p>
      </xdr:txBody>
    </xdr:sp>
    <xdr:clientData/>
  </xdr:twoCellAnchor>
  <xdr:twoCellAnchor>
    <xdr:from>
      <xdr:col>13</xdr:col>
      <xdr:colOff>0</xdr:colOff>
      <xdr:row>261</xdr:row>
      <xdr:rowOff>6350</xdr:rowOff>
    </xdr:from>
    <xdr:to>
      <xdr:col>13</xdr:col>
      <xdr:colOff>0</xdr:colOff>
      <xdr:row>263</xdr:row>
      <xdr:rowOff>6350</xdr:rowOff>
    </xdr:to>
    <xdr:cxnSp macro="">
      <xdr:nvCxnSpPr>
        <xdr:cNvPr id="398" name="Connector: Elbow 84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CxnSpPr>
          <a:stCxn id="392" idx="2"/>
          <a:endCxn id="397" idx="0"/>
        </xdr:cNvCxnSpPr>
      </xdr:nvCxnSpPr>
      <xdr:spPr>
        <a:xfrm>
          <a:off x="3467100" y="49844325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267</xdr:row>
      <xdr:rowOff>0</xdr:rowOff>
    </xdr:from>
    <xdr:to>
      <xdr:col>14</xdr:col>
      <xdr:colOff>0</xdr:colOff>
      <xdr:row>268</xdr:row>
      <xdr:rowOff>0</xdr:rowOff>
    </xdr:to>
    <xdr:sp macro="" textlink="" fLocksText="0">
      <xdr:nvSpPr>
        <xdr:cNvPr id="419" name="四角形: 角を丸くする 1101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/>
      </xdr:nvSpPr>
      <xdr:spPr>
        <a:xfrm>
          <a:off x="3200400" y="50977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264</xdr:row>
      <xdr:rowOff>0</xdr:rowOff>
    </xdr:from>
    <xdr:to>
      <xdr:col>61</xdr:col>
      <xdr:colOff>0</xdr:colOff>
      <xdr:row>265</xdr:row>
      <xdr:rowOff>0</xdr:rowOff>
    </xdr:to>
    <xdr:sp macro="" textlink="" fLocksText="0">
      <xdr:nvSpPr>
        <xdr:cNvPr id="420" name="吹き出し: 線 2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SpPr/>
      </xdr:nvSpPr>
      <xdr:spPr>
        <a:xfrm>
          <a:off x="10134600" y="50406300"/>
          <a:ext cx="6134100" cy="190500"/>
        </a:xfrm>
        <a:prstGeom prst="borderCallout1">
          <a:avLst>
            <a:gd name="adj1" fmla="val 51151"/>
            <a:gd name="adj2" fmla="val 232"/>
            <a:gd name="adj3" fmla="val 49269"/>
            <a:gd name="adj4" fmla="val -955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▪処理エラーの場合は、APIから返された情報をもとにエラー内容を報告する。</a:t>
          </a:r>
        </a:p>
      </xdr:txBody>
    </xdr:sp>
    <xdr:clientData/>
  </xdr:twoCellAnchor>
  <xdr:twoCellAnchor>
    <xdr:from>
      <xdr:col>2</xdr:col>
      <xdr:colOff>0</xdr:colOff>
      <xdr:row>76</xdr:row>
      <xdr:rowOff>0</xdr:rowOff>
    </xdr:from>
    <xdr:to>
      <xdr:col>8</xdr:col>
      <xdr:colOff>0</xdr:colOff>
      <xdr:row>80</xdr:row>
      <xdr:rowOff>0</xdr:rowOff>
    </xdr:to>
    <xdr:sp macro="" textlink="" fLocksText="0">
      <xdr:nvSpPr>
        <xdr:cNvPr id="421" name="四角形: 角を丸くする 3"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SpPr/>
      </xdr:nvSpPr>
      <xdr:spPr>
        <a:xfrm>
          <a:off x="533400" y="14592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KN4003</a:t>
          </a:r>
        </a:p>
        <a:p>
          <a:pPr algn="ctr">
            <a:defRPr lang="en-US" altLang="ja-JP" sz="10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従業員情報バリデーションチェック機能</a:t>
          </a:r>
        </a:p>
      </xdr:txBody>
    </xdr:sp>
    <xdr:clientData/>
  </xdr:twoCellAnchor>
  <xdr:twoCellAnchor>
    <xdr:from>
      <xdr:col>12</xdr:col>
      <xdr:colOff>0</xdr:colOff>
      <xdr:row>90</xdr:row>
      <xdr:rowOff>0</xdr:rowOff>
    </xdr:from>
    <xdr:to>
      <xdr:col>14</xdr:col>
      <xdr:colOff>0</xdr:colOff>
      <xdr:row>91</xdr:row>
      <xdr:rowOff>0</xdr:rowOff>
    </xdr:to>
    <xdr:sp macro="" textlink="" fLocksText="0">
      <xdr:nvSpPr>
        <xdr:cNvPr id="422" name="四角形: 角を丸くする 1101">
          <a:extLst>
            <a:ext uri="{FF2B5EF4-FFF2-40B4-BE49-F238E27FC236}">
              <a16:creationId xmlns:a16="http://schemas.microsoft.com/office/drawing/2014/main" id="{00000000-0008-0000-0400-0000A6010000}"/>
            </a:ext>
          </a:extLst>
        </xdr:cNvPr>
        <xdr:cNvSpPr/>
      </xdr:nvSpPr>
      <xdr:spPr>
        <a:xfrm>
          <a:off x="3200400" y="172593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0</xdr:colOff>
      <xdr:row>93</xdr:row>
      <xdr:rowOff>0</xdr:rowOff>
    </xdr:from>
    <xdr:to>
      <xdr:col>6</xdr:col>
      <xdr:colOff>0</xdr:colOff>
      <xdr:row>94</xdr:row>
      <xdr:rowOff>0</xdr:rowOff>
    </xdr:to>
    <xdr:sp macro="" textlink="" fLocksText="0">
      <xdr:nvSpPr>
        <xdr:cNvPr id="423" name="四角形: 角を丸くする 1101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SpPr/>
      </xdr:nvSpPr>
      <xdr:spPr>
        <a:xfrm>
          <a:off x="1066800" y="178308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37</xdr:col>
      <xdr:colOff>235322</xdr:colOff>
      <xdr:row>77</xdr:row>
      <xdr:rowOff>0</xdr:rowOff>
    </xdr:from>
    <xdr:to>
      <xdr:col>60</xdr:col>
      <xdr:colOff>235322</xdr:colOff>
      <xdr:row>85</xdr:row>
      <xdr:rowOff>0</xdr:rowOff>
    </xdr:to>
    <xdr:sp macro="" textlink="" fLocksText="0">
      <xdr:nvSpPr>
        <xdr:cNvPr id="427" name="吹き出し: 線 2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SpPr/>
      </xdr:nvSpPr>
      <xdr:spPr>
        <a:xfrm>
          <a:off x="10106025" y="14782800"/>
          <a:ext cx="6134100" cy="1524000"/>
        </a:xfrm>
        <a:prstGeom prst="borderCallout1">
          <a:avLst>
            <a:gd name="adj1" fmla="val 19876"/>
            <a:gd name="adj2" fmla="val 319"/>
            <a:gd name="adj3" fmla="val 20753"/>
            <a:gd name="adj4" fmla="val -1307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従業員情報のバリデーションチェック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・入力必須：満たさない場合、以下を含むエラーモダールを表示する。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[{エラー項目名}を入力してください。]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・最大桁数：満たさない場合、以下を含むエラーモダールを表示する。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[{項目名}の長さは{項目の最大長}桁以下にしてください。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・エラーが発生した場合、「OK」をタッチすると、最初のエラー項目にフォーカス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が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当たる。</a:t>
          </a:r>
        </a:p>
      </xdr:txBody>
    </xdr:sp>
    <xdr:clientData/>
  </xdr:twoCellAnchor>
  <xdr:twoCellAnchor>
    <xdr:from>
      <xdr:col>3</xdr:col>
      <xdr:colOff>0</xdr:colOff>
      <xdr:row>82</xdr:row>
      <xdr:rowOff>0</xdr:rowOff>
    </xdr:from>
    <xdr:to>
      <xdr:col>7</xdr:col>
      <xdr:colOff>0</xdr:colOff>
      <xdr:row>83</xdr:row>
      <xdr:rowOff>0</xdr:rowOff>
    </xdr:to>
    <xdr:sp macro="" textlink="" fLocksText="0">
      <xdr:nvSpPr>
        <xdr:cNvPr id="428" name="四角形: 角を丸くする 1101">
          <a:extLst>
            <a:ext uri="{FF2B5EF4-FFF2-40B4-BE49-F238E27FC236}">
              <a16:creationId xmlns:a16="http://schemas.microsoft.com/office/drawing/2014/main" id="{00000000-0008-0000-0400-0000AC010000}"/>
            </a:ext>
          </a:extLst>
        </xdr:cNvPr>
        <xdr:cNvSpPr/>
      </xdr:nvSpPr>
      <xdr:spPr>
        <a:xfrm>
          <a:off x="800100" y="15735300"/>
          <a:ext cx="10668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満たす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81</xdr:row>
      <xdr:rowOff>190498</xdr:rowOff>
    </xdr:from>
    <xdr:to>
      <xdr:col>15</xdr:col>
      <xdr:colOff>0</xdr:colOff>
      <xdr:row>83</xdr:row>
      <xdr:rowOff>190499</xdr:rowOff>
    </xdr:to>
    <xdr:sp macro="" textlink="" fLocksText="0">
      <xdr:nvSpPr>
        <xdr:cNvPr id="429" name="四角形: 角を丸くする 1101">
          <a:extLst>
            <a:ext uri="{FF2B5EF4-FFF2-40B4-BE49-F238E27FC236}">
              <a16:creationId xmlns:a16="http://schemas.microsoft.com/office/drawing/2014/main" id="{00000000-0008-0000-0400-0000AD010000}"/>
            </a:ext>
          </a:extLst>
        </xdr:cNvPr>
        <xdr:cNvSpPr/>
      </xdr:nvSpPr>
      <xdr:spPr>
        <a:xfrm>
          <a:off x="2933700" y="15735300"/>
          <a:ext cx="1066800" cy="3810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満たさない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80</xdr:row>
      <xdr:rowOff>0</xdr:rowOff>
    </xdr:from>
    <xdr:to>
      <xdr:col>5</xdr:col>
      <xdr:colOff>0</xdr:colOff>
      <xdr:row>82</xdr:row>
      <xdr:rowOff>0</xdr:rowOff>
    </xdr:to>
    <xdr:cxnSp macro="">
      <xdr:nvCxnSpPr>
        <xdr:cNvPr id="430" name="Connector: Elbow 84"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CxnSpPr>
          <a:stCxn id="421" idx="2"/>
          <a:endCxn id="428" idx="0"/>
        </xdr:cNvCxnSpPr>
      </xdr:nvCxnSpPr>
      <xdr:spPr>
        <a:xfrm>
          <a:off x="1333500" y="15354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86</xdr:row>
      <xdr:rowOff>0</xdr:rowOff>
    </xdr:from>
    <xdr:to>
      <xdr:col>16</xdr:col>
      <xdr:colOff>0</xdr:colOff>
      <xdr:row>90</xdr:row>
      <xdr:rowOff>0</xdr:rowOff>
    </xdr:to>
    <xdr:sp macro="" textlink="" fLocksText="0">
      <xdr:nvSpPr>
        <xdr:cNvPr id="435" name="正方形/長方形 1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2667000" y="16497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バリデーションチェックエラー</a:t>
          </a:r>
        </a:p>
      </xdr:txBody>
    </xdr:sp>
    <xdr:clientData/>
  </xdr:twoCellAnchor>
  <xdr:twoCellAnchor>
    <xdr:from>
      <xdr:col>5</xdr:col>
      <xdr:colOff>0</xdr:colOff>
      <xdr:row>83</xdr:row>
      <xdr:rowOff>0</xdr:rowOff>
    </xdr:from>
    <xdr:to>
      <xdr:col>5</xdr:col>
      <xdr:colOff>0</xdr:colOff>
      <xdr:row>93</xdr:row>
      <xdr:rowOff>0</xdr:rowOff>
    </xdr:to>
    <xdr:cxnSp macro="">
      <xdr:nvCxnSpPr>
        <xdr:cNvPr id="440" name="Connector: Elbow 84">
          <a:extLst>
            <a:ext uri="{FF2B5EF4-FFF2-40B4-BE49-F238E27FC236}">
              <a16:creationId xmlns:a16="http://schemas.microsoft.com/office/drawing/2014/main" id="{00000000-0008-0000-0400-0000B8010000}"/>
            </a:ext>
          </a:extLst>
        </xdr:cNvPr>
        <xdr:cNvCxnSpPr>
          <a:stCxn id="428" idx="2"/>
          <a:endCxn id="423" idx="0"/>
        </xdr:cNvCxnSpPr>
      </xdr:nvCxnSpPr>
      <xdr:spPr>
        <a:xfrm>
          <a:off x="1333500" y="15925800"/>
          <a:ext cx="0" cy="1905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80</xdr:row>
      <xdr:rowOff>0</xdr:rowOff>
    </xdr:from>
    <xdr:to>
      <xdr:col>13</xdr:col>
      <xdr:colOff>0</xdr:colOff>
      <xdr:row>81</xdr:row>
      <xdr:rowOff>190498</xdr:rowOff>
    </xdr:to>
    <xdr:cxnSp macro="">
      <xdr:nvCxnSpPr>
        <xdr:cNvPr id="444" name="Connector: Elbow 84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CxnSpPr>
          <a:stCxn id="421" idx="2"/>
          <a:endCxn id="429" idx="0"/>
        </xdr:cNvCxnSpPr>
      </xdr:nvCxnSpPr>
      <xdr:spPr>
        <a:xfrm rot="16200000" flipH="1">
          <a:off x="1333500" y="15354300"/>
          <a:ext cx="21336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83</xdr:row>
      <xdr:rowOff>190499</xdr:rowOff>
    </xdr:from>
    <xdr:to>
      <xdr:col>13</xdr:col>
      <xdr:colOff>0</xdr:colOff>
      <xdr:row>86</xdr:row>
      <xdr:rowOff>0</xdr:rowOff>
    </xdr:to>
    <xdr:cxnSp macro="">
      <xdr:nvCxnSpPr>
        <xdr:cNvPr id="447" name="Connector: Elbow 84"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CxnSpPr>
          <a:stCxn id="429" idx="2"/>
          <a:endCxn id="435" idx="0"/>
        </xdr:cNvCxnSpPr>
      </xdr:nvCxnSpPr>
      <xdr:spPr>
        <a:xfrm>
          <a:off x="3467100" y="16116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68</xdr:col>
      <xdr:colOff>0</xdr:colOff>
      <xdr:row>253</xdr:row>
      <xdr:rowOff>0</xdr:rowOff>
    </xdr:from>
    <xdr:to>
      <xdr:col>123</xdr:col>
      <xdr:colOff>58831</xdr:colOff>
      <xdr:row>270</xdr:row>
      <xdr:rowOff>0</xdr:rowOff>
    </xdr:to>
    <xdr:pic>
      <xdr:nvPicPr>
        <xdr:cNvPr id="450" name="img211703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57" b="10447"/>
        <a:stretch>
          <a:fillRect/>
        </a:stretch>
      </xdr:blipFill>
      <xdr:spPr bwMode="auto">
        <a:xfrm>
          <a:off x="18449925" y="48310800"/>
          <a:ext cx="14725650" cy="3238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125</xdr:col>
      <xdr:colOff>0</xdr:colOff>
      <xdr:row>252</xdr:row>
      <xdr:rowOff>168088</xdr:rowOff>
    </xdr:from>
    <xdr:to>
      <xdr:col>179</xdr:col>
      <xdr:colOff>227479</xdr:colOff>
      <xdr:row>271</xdr:row>
      <xdr:rowOff>0</xdr:rowOff>
    </xdr:to>
    <xdr:pic>
      <xdr:nvPicPr>
        <xdr:cNvPr id="451" name="img552273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870" b="-1522"/>
        <a:stretch>
          <a:fillRect/>
        </a:stretch>
      </xdr:blipFill>
      <xdr:spPr bwMode="auto">
        <a:xfrm>
          <a:off x="33651825" y="48291750"/>
          <a:ext cx="14630400" cy="34480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68</xdr:col>
      <xdr:colOff>0</xdr:colOff>
      <xdr:row>152</xdr:row>
      <xdr:rowOff>0</xdr:rowOff>
    </xdr:from>
    <xdr:to>
      <xdr:col>123</xdr:col>
      <xdr:colOff>68356</xdr:colOff>
      <xdr:row>170</xdr:row>
      <xdr:rowOff>1</xdr:rowOff>
    </xdr:to>
    <xdr:pic>
      <xdr:nvPicPr>
        <xdr:cNvPr id="452" name="img461899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5"/>
        <a:stretch>
          <a:fillRect/>
        </a:stretch>
      </xdr:blipFill>
      <xdr:spPr bwMode="auto">
        <a:xfrm>
          <a:off x="18449925" y="29070300"/>
          <a:ext cx="14735175" cy="34290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124</xdr:col>
      <xdr:colOff>56029</xdr:colOff>
      <xdr:row>204</xdr:row>
      <xdr:rowOff>0</xdr:rowOff>
    </xdr:from>
    <xdr:to>
      <xdr:col>179</xdr:col>
      <xdr:colOff>124385</xdr:colOff>
      <xdr:row>227</xdr:row>
      <xdr:rowOff>0</xdr:rowOff>
    </xdr:to>
    <xdr:pic>
      <xdr:nvPicPr>
        <xdr:cNvPr id="453" name="img536605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07" b="34895"/>
        <a:stretch>
          <a:fillRect/>
        </a:stretch>
      </xdr:blipFill>
      <xdr:spPr bwMode="auto">
        <a:xfrm>
          <a:off x="33442275" y="38976300"/>
          <a:ext cx="14735175" cy="4381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68</xdr:col>
      <xdr:colOff>0</xdr:colOff>
      <xdr:row>203</xdr:row>
      <xdr:rowOff>136712</xdr:rowOff>
    </xdr:from>
    <xdr:to>
      <xdr:col>123</xdr:col>
      <xdr:colOff>30256</xdr:colOff>
      <xdr:row>227</xdr:row>
      <xdr:rowOff>0</xdr:rowOff>
    </xdr:to>
    <xdr:pic>
      <xdr:nvPicPr>
        <xdr:cNvPr id="454" name="img842106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2"/>
        <a:stretch>
          <a:fillRect/>
        </a:stretch>
      </xdr:blipFill>
      <xdr:spPr bwMode="auto">
        <a:xfrm>
          <a:off x="18449925" y="38919150"/>
          <a:ext cx="14697075" cy="44386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0</xdr:colOff>
      <xdr:row>44</xdr:row>
      <xdr:rowOff>1868</xdr:rowOff>
    </xdr:from>
    <xdr:to>
      <xdr:col>5</xdr:col>
      <xdr:colOff>228599</xdr:colOff>
      <xdr:row>45</xdr:row>
      <xdr:rowOff>6350</xdr:rowOff>
    </xdr:to>
    <xdr:sp macro="" textlink="" fLocksText="0">
      <xdr:nvSpPr>
        <xdr:cNvPr id="35" name="四角形: 角を丸くする 1101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066800" y="8496300"/>
          <a:ext cx="495300" cy="20002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40.1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0</xdr:colOff>
      <xdr:row>97</xdr:row>
      <xdr:rowOff>0</xdr:rowOff>
    </xdr:from>
    <xdr:to>
      <xdr:col>6</xdr:col>
      <xdr:colOff>0</xdr:colOff>
      <xdr:row>98</xdr:row>
      <xdr:rowOff>0</xdr:rowOff>
    </xdr:to>
    <xdr:sp macro="" textlink="" fLocksText="0">
      <xdr:nvSpPr>
        <xdr:cNvPr id="41" name="四角形: 角を丸くする 1101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1066800" y="185928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40.1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98</xdr:row>
      <xdr:rowOff>0</xdr:rowOff>
    </xdr:from>
    <xdr:to>
      <xdr:col>5</xdr:col>
      <xdr:colOff>1</xdr:colOff>
      <xdr:row>100</xdr:row>
      <xdr:rowOff>1</xdr:rowOff>
    </xdr:to>
    <xdr:cxnSp macro="">
      <xdr:nvCxnSpPr>
        <xdr:cNvPr id="42" name="Connector: Elbow 84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>
          <a:stCxn id="41" idx="2"/>
          <a:endCxn id="25" idx="0"/>
        </xdr:cNvCxnSpPr>
      </xdr:nvCxnSpPr>
      <xdr:spPr>
        <a:xfrm>
          <a:off x="1333500" y="18783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6724</xdr:colOff>
      <xdr:row>44</xdr:row>
      <xdr:rowOff>0</xdr:rowOff>
    </xdr:from>
    <xdr:to>
      <xdr:col>11</xdr:col>
      <xdr:colOff>0</xdr:colOff>
      <xdr:row>45</xdr:row>
      <xdr:rowOff>4482</xdr:rowOff>
    </xdr:to>
    <xdr:sp macro="" textlink="" fLocksText="0">
      <xdr:nvSpPr>
        <xdr:cNvPr id="50" name="四角形: 角を丸くする 1101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409825" y="8496300"/>
          <a:ext cx="523875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40.2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3363</xdr:colOff>
      <xdr:row>44</xdr:row>
      <xdr:rowOff>0</xdr:rowOff>
    </xdr:to>
    <xdr:cxnSp macro="">
      <xdr:nvCxnSpPr>
        <xdr:cNvPr id="51" name="Connector: Elbow 32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CxnSpPr>
          <a:stCxn id="78" idx="2"/>
          <a:endCxn id="50" idx="0"/>
        </xdr:cNvCxnSpPr>
      </xdr:nvCxnSpPr>
      <xdr:spPr>
        <a:xfrm>
          <a:off x="2667000" y="811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119</xdr:row>
      <xdr:rowOff>0</xdr:rowOff>
    </xdr:from>
    <xdr:to>
      <xdr:col>6</xdr:col>
      <xdr:colOff>0</xdr:colOff>
      <xdr:row>120</xdr:row>
      <xdr:rowOff>0</xdr:rowOff>
    </xdr:to>
    <xdr:sp macro="" textlink="" fLocksText="0">
      <xdr:nvSpPr>
        <xdr:cNvPr id="458" name="四角形: 角を丸くする 1101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1066800" y="227838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40.2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15</xdr:col>
      <xdr:colOff>0</xdr:colOff>
      <xdr:row>155</xdr:row>
      <xdr:rowOff>0</xdr:rowOff>
    </xdr:from>
    <xdr:to>
      <xdr:col>21</xdr:col>
      <xdr:colOff>0</xdr:colOff>
      <xdr:row>159</xdr:row>
      <xdr:rowOff>0</xdr:rowOff>
    </xdr:to>
    <xdr:sp macro="" textlink="" fLocksText="0">
      <xdr:nvSpPr>
        <xdr:cNvPr id="463" name="正方形/長方形 1"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SpPr/>
      </xdr:nvSpPr>
      <xdr:spPr>
        <a:xfrm>
          <a:off x="4000500" y="29641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明細行が選択されていません。</a:t>
          </a:r>
        </a:p>
      </xdr:txBody>
    </xdr:sp>
    <xdr:clientData/>
  </xdr:twoCellAnchor>
  <xdr:twoCellAnchor>
    <xdr:from>
      <xdr:col>13</xdr:col>
      <xdr:colOff>0</xdr:colOff>
      <xdr:row>157</xdr:row>
      <xdr:rowOff>0</xdr:rowOff>
    </xdr:from>
    <xdr:to>
      <xdr:col>15</xdr:col>
      <xdr:colOff>0</xdr:colOff>
      <xdr:row>157</xdr:row>
      <xdr:rowOff>0</xdr:rowOff>
    </xdr:to>
    <xdr:cxnSp macro="">
      <xdr:nvCxnSpPr>
        <xdr:cNvPr id="465" name="Connector: Elbow 84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CxnSpPr>
          <a:stCxn id="193" idx="3"/>
          <a:endCxn id="463" idx="1"/>
        </xdr:cNvCxnSpPr>
      </xdr:nvCxnSpPr>
      <xdr:spPr>
        <a:xfrm>
          <a:off x="3467100" y="30022800"/>
          <a:ext cx="533400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137</xdr:row>
      <xdr:rowOff>0</xdr:rowOff>
    </xdr:from>
    <xdr:to>
      <xdr:col>6</xdr:col>
      <xdr:colOff>0</xdr:colOff>
      <xdr:row>138</xdr:row>
      <xdr:rowOff>0</xdr:rowOff>
    </xdr:to>
    <xdr:sp macro="" textlink="" fLocksText="0">
      <xdr:nvSpPr>
        <xdr:cNvPr id="468" name="四角形: 角を丸くする 1101"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SpPr/>
      </xdr:nvSpPr>
      <xdr:spPr>
        <a:xfrm>
          <a:off x="1066800" y="262128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40.3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138</xdr:row>
      <xdr:rowOff>0</xdr:rowOff>
    </xdr:from>
    <xdr:to>
      <xdr:col>5</xdr:col>
      <xdr:colOff>0</xdr:colOff>
      <xdr:row>140</xdr:row>
      <xdr:rowOff>1</xdr:rowOff>
    </xdr:to>
    <xdr:cxnSp macro="">
      <xdr:nvCxnSpPr>
        <xdr:cNvPr id="470" name="Connector: Elbow 84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CxnSpPr>
          <a:stCxn id="468" idx="2"/>
          <a:endCxn id="151" idx="0"/>
        </xdr:cNvCxnSpPr>
      </xdr:nvCxnSpPr>
      <xdr:spPr>
        <a:xfrm>
          <a:off x="1333500" y="26403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138</xdr:row>
      <xdr:rowOff>0</xdr:rowOff>
    </xdr:from>
    <xdr:to>
      <xdr:col>10</xdr:col>
      <xdr:colOff>1</xdr:colOff>
      <xdr:row>140</xdr:row>
      <xdr:rowOff>0</xdr:rowOff>
    </xdr:to>
    <xdr:cxnSp macro="">
      <xdr:nvCxnSpPr>
        <xdr:cNvPr id="473" name="Connector: Elbow 84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CxnSpPr>
          <a:stCxn id="468" idx="2"/>
          <a:endCxn id="152" idx="0"/>
        </xdr:cNvCxnSpPr>
      </xdr:nvCxnSpPr>
      <xdr:spPr>
        <a:xfrm rot="16200000" flipH="1">
          <a:off x="1333500" y="26403300"/>
          <a:ext cx="13335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224118</xdr:colOff>
      <xdr:row>44</xdr:row>
      <xdr:rowOff>0</xdr:rowOff>
    </xdr:from>
    <xdr:to>
      <xdr:col>15</xdr:col>
      <xdr:colOff>217394</xdr:colOff>
      <xdr:row>45</xdr:row>
      <xdr:rowOff>4482</xdr:rowOff>
    </xdr:to>
    <xdr:sp macro="" textlink="" fLocksText="0">
      <xdr:nvSpPr>
        <xdr:cNvPr id="477" name="四角形: 角を丸くする 1101"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SpPr/>
      </xdr:nvSpPr>
      <xdr:spPr>
        <a:xfrm>
          <a:off x="3695700" y="8496300"/>
          <a:ext cx="523875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40.3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14</xdr:col>
      <xdr:colOff>220757</xdr:colOff>
      <xdr:row>41</xdr:row>
      <xdr:rowOff>184150</xdr:rowOff>
    </xdr:from>
    <xdr:to>
      <xdr:col>14</xdr:col>
      <xdr:colOff>224119</xdr:colOff>
      <xdr:row>44</xdr:row>
      <xdr:rowOff>0</xdr:rowOff>
    </xdr:to>
    <xdr:cxnSp macro="">
      <xdr:nvCxnSpPr>
        <xdr:cNvPr id="478" name="Connector: Elbow 32"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CxnSpPr>
          <a:stCxn id="79" idx="2"/>
          <a:endCxn id="477" idx="0"/>
        </xdr:cNvCxnSpPr>
      </xdr:nvCxnSpPr>
      <xdr:spPr>
        <a:xfrm flipH="1">
          <a:off x="3952875" y="8105775"/>
          <a:ext cx="952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231962</xdr:colOff>
      <xdr:row>44</xdr:row>
      <xdr:rowOff>1868</xdr:rowOff>
    </xdr:from>
    <xdr:to>
      <xdr:col>20</xdr:col>
      <xdr:colOff>225238</xdr:colOff>
      <xdr:row>45</xdr:row>
      <xdr:rowOff>6350</xdr:rowOff>
    </xdr:to>
    <xdr:sp macro="" textlink="" fLocksText="0">
      <xdr:nvSpPr>
        <xdr:cNvPr id="482" name="四角形: 角を丸くする 1101">
          <a:extLst>
            <a:ext uri="{FF2B5EF4-FFF2-40B4-BE49-F238E27FC236}">
              <a16:creationId xmlns:a16="http://schemas.microsoft.com/office/drawing/2014/main" id="{00000000-0008-0000-0400-0000E2010000}"/>
            </a:ext>
          </a:extLst>
        </xdr:cNvPr>
        <xdr:cNvSpPr/>
      </xdr:nvSpPr>
      <xdr:spPr>
        <a:xfrm>
          <a:off x="5029200" y="8496300"/>
          <a:ext cx="533400" cy="20002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40.4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19</xdr:col>
      <xdr:colOff>228601</xdr:colOff>
      <xdr:row>42</xdr:row>
      <xdr:rowOff>0</xdr:rowOff>
    </xdr:from>
    <xdr:to>
      <xdr:col>19</xdr:col>
      <xdr:colOff>231963</xdr:colOff>
      <xdr:row>44</xdr:row>
      <xdr:rowOff>1868</xdr:rowOff>
    </xdr:to>
    <xdr:cxnSp macro="">
      <xdr:nvCxnSpPr>
        <xdr:cNvPr id="483" name="Connector: Elbow 32">
          <a:extLst>
            <a:ext uri="{FF2B5EF4-FFF2-40B4-BE49-F238E27FC236}">
              <a16:creationId xmlns:a16="http://schemas.microsoft.com/office/drawing/2014/main" id="{00000000-0008-0000-0400-0000E3010000}"/>
            </a:ext>
          </a:extLst>
        </xdr:cNvPr>
        <xdr:cNvCxnSpPr>
          <a:stCxn id="80" idx="2"/>
          <a:endCxn id="482" idx="0"/>
        </xdr:cNvCxnSpPr>
      </xdr:nvCxnSpPr>
      <xdr:spPr>
        <a:xfrm flipH="1">
          <a:off x="5295900" y="811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6724</xdr:colOff>
      <xdr:row>151</xdr:row>
      <xdr:rowOff>186018</xdr:rowOff>
    </xdr:from>
    <xdr:to>
      <xdr:col>6</xdr:col>
      <xdr:colOff>0</xdr:colOff>
      <xdr:row>153</xdr:row>
      <xdr:rowOff>0</xdr:rowOff>
    </xdr:to>
    <xdr:sp macro="" textlink="" fLocksText="0">
      <xdr:nvSpPr>
        <xdr:cNvPr id="489" name="四角形: 角を丸くする 1101">
          <a:extLst>
            <a:ext uri="{FF2B5EF4-FFF2-40B4-BE49-F238E27FC236}">
              <a16:creationId xmlns:a16="http://schemas.microsoft.com/office/drawing/2014/main" id="{00000000-0008-0000-0400-0000E9010000}"/>
            </a:ext>
          </a:extLst>
        </xdr:cNvPr>
        <xdr:cNvSpPr/>
      </xdr:nvSpPr>
      <xdr:spPr>
        <a:xfrm>
          <a:off x="1076325" y="29070300"/>
          <a:ext cx="523875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40.4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153</xdr:row>
      <xdr:rowOff>0</xdr:rowOff>
    </xdr:from>
    <xdr:to>
      <xdr:col>5</xdr:col>
      <xdr:colOff>3362</xdr:colOff>
      <xdr:row>156</xdr:row>
      <xdr:rowOff>0</xdr:rowOff>
    </xdr:to>
    <xdr:cxnSp macro="">
      <xdr:nvCxnSpPr>
        <xdr:cNvPr id="491" name="Connector: Elbow 84">
          <a:extLst>
            <a:ext uri="{FF2B5EF4-FFF2-40B4-BE49-F238E27FC236}">
              <a16:creationId xmlns:a16="http://schemas.microsoft.com/office/drawing/2014/main" id="{00000000-0008-0000-0400-0000EB010000}"/>
            </a:ext>
          </a:extLst>
        </xdr:cNvPr>
        <xdr:cNvCxnSpPr>
          <a:stCxn id="489" idx="2"/>
          <a:endCxn id="192" idx="0"/>
        </xdr:cNvCxnSpPr>
      </xdr:nvCxnSpPr>
      <xdr:spPr>
        <a:xfrm flipH="1">
          <a:off x="1333500" y="29260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3361</xdr:colOff>
      <xdr:row>153</xdr:row>
      <xdr:rowOff>0</xdr:rowOff>
    </xdr:from>
    <xdr:to>
      <xdr:col>10</xdr:col>
      <xdr:colOff>235323</xdr:colOff>
      <xdr:row>156</xdr:row>
      <xdr:rowOff>0</xdr:rowOff>
    </xdr:to>
    <xdr:cxnSp macro="">
      <xdr:nvCxnSpPr>
        <xdr:cNvPr id="494" name="Connector: Elbow 84">
          <a:extLst>
            <a:ext uri="{FF2B5EF4-FFF2-40B4-BE49-F238E27FC236}">
              <a16:creationId xmlns:a16="http://schemas.microsoft.com/office/drawing/2014/main" id="{00000000-0008-0000-0400-0000EE010000}"/>
            </a:ext>
          </a:extLst>
        </xdr:cNvPr>
        <xdr:cNvCxnSpPr>
          <a:stCxn id="489" idx="2"/>
          <a:endCxn id="193" idx="0"/>
        </xdr:cNvCxnSpPr>
      </xdr:nvCxnSpPr>
      <xdr:spPr>
        <a:xfrm rot="16200000" flipH="1">
          <a:off x="1333500" y="29260800"/>
          <a:ext cx="1571625" cy="571500"/>
        </a:xfrm>
        <a:prstGeom prst="bentConnector3">
          <a:avLst>
            <a:gd name="adj1" fmla="val 3627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6724</xdr:colOff>
      <xdr:row>204</xdr:row>
      <xdr:rowOff>0</xdr:rowOff>
    </xdr:from>
    <xdr:to>
      <xdr:col>6</xdr:col>
      <xdr:colOff>0</xdr:colOff>
      <xdr:row>205</xdr:row>
      <xdr:rowOff>4482</xdr:rowOff>
    </xdr:to>
    <xdr:sp macro="" textlink="" fLocksText="0">
      <xdr:nvSpPr>
        <xdr:cNvPr id="499" name="四角形: 角を丸くする 1101">
          <a:extLst>
            <a:ext uri="{FF2B5EF4-FFF2-40B4-BE49-F238E27FC236}">
              <a16:creationId xmlns:a16="http://schemas.microsoft.com/office/drawing/2014/main" id="{00000000-0008-0000-0400-0000F3010000}"/>
            </a:ext>
          </a:extLst>
        </xdr:cNvPr>
        <xdr:cNvSpPr/>
      </xdr:nvSpPr>
      <xdr:spPr>
        <a:xfrm>
          <a:off x="1076325" y="38976300"/>
          <a:ext cx="523875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40.5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205</xdr:row>
      <xdr:rowOff>4482</xdr:rowOff>
    </xdr:from>
    <xdr:to>
      <xdr:col>5</xdr:col>
      <xdr:colOff>3362</xdr:colOff>
      <xdr:row>208</xdr:row>
      <xdr:rowOff>0</xdr:rowOff>
    </xdr:to>
    <xdr:cxnSp macro="">
      <xdr:nvCxnSpPr>
        <xdr:cNvPr id="500" name="Connector: Elbow 84">
          <a:extLst>
            <a:ext uri="{FF2B5EF4-FFF2-40B4-BE49-F238E27FC236}">
              <a16:creationId xmlns:a16="http://schemas.microsoft.com/office/drawing/2014/main" id="{00000000-0008-0000-0400-0000F4010000}"/>
            </a:ext>
          </a:extLst>
        </xdr:cNvPr>
        <xdr:cNvCxnSpPr>
          <a:stCxn id="499" idx="2"/>
          <a:endCxn id="238" idx="0"/>
        </xdr:cNvCxnSpPr>
      </xdr:nvCxnSpPr>
      <xdr:spPr>
        <a:xfrm flipH="1">
          <a:off x="1333500" y="39166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11206</xdr:colOff>
      <xdr:row>43</xdr:row>
      <xdr:rowOff>179668</xdr:rowOff>
    </xdr:from>
    <xdr:to>
      <xdr:col>26</xdr:col>
      <xdr:colOff>11206</xdr:colOff>
      <xdr:row>44</xdr:row>
      <xdr:rowOff>184150</xdr:rowOff>
    </xdr:to>
    <xdr:sp macro="" textlink="" fLocksText="0">
      <xdr:nvSpPr>
        <xdr:cNvPr id="503" name="四角形: 角を丸くする 1101">
          <a:extLst>
            <a:ext uri="{FF2B5EF4-FFF2-40B4-BE49-F238E27FC236}">
              <a16:creationId xmlns:a16="http://schemas.microsoft.com/office/drawing/2014/main" id="{00000000-0008-0000-0400-0000F7010000}"/>
            </a:ext>
          </a:extLst>
        </xdr:cNvPr>
        <xdr:cNvSpPr/>
      </xdr:nvSpPr>
      <xdr:spPr>
        <a:xfrm>
          <a:off x="6410325" y="8486775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40.5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17</xdr:col>
      <xdr:colOff>0</xdr:colOff>
      <xdr:row>159</xdr:row>
      <xdr:rowOff>13072</xdr:rowOff>
    </xdr:from>
    <xdr:to>
      <xdr:col>18</xdr:col>
      <xdr:colOff>228859</xdr:colOff>
      <xdr:row>160</xdr:row>
      <xdr:rowOff>0</xdr:rowOff>
    </xdr:to>
    <xdr:sp macro="" textlink="" fLocksText="0">
      <xdr:nvSpPr>
        <xdr:cNvPr id="126" name="四角形: 角を丸くする 1101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4533900" y="30413325"/>
          <a:ext cx="495300" cy="180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155</xdr:row>
      <xdr:rowOff>0</xdr:rowOff>
    </xdr:from>
    <xdr:to>
      <xdr:col>61</xdr:col>
      <xdr:colOff>0</xdr:colOff>
      <xdr:row>157</xdr:row>
      <xdr:rowOff>0</xdr:rowOff>
    </xdr:to>
    <xdr:sp macro="" textlink="" fLocksText="0">
      <xdr:nvSpPr>
        <xdr:cNvPr id="128" name="吹き出し: 線 2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SpPr/>
      </xdr:nvSpPr>
      <xdr:spPr>
        <a:xfrm>
          <a:off x="10134600" y="29641800"/>
          <a:ext cx="6134100" cy="381000"/>
        </a:xfrm>
        <a:prstGeom prst="borderCallout1">
          <a:avLst>
            <a:gd name="adj1" fmla="val 51151"/>
            <a:gd name="adj2" fmla="val 232"/>
            <a:gd name="adj3" fmla="val 55336"/>
            <a:gd name="adj4" fmla="val -737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・従業員が選択されない場合、「明細行が選択されていません。」というメッセージを表示する。</a:t>
          </a:r>
        </a:p>
      </xdr:txBody>
    </xdr:sp>
    <xdr:clientData/>
  </xdr:twoCellAnchor>
  <xdr:twoCellAnchor editAs="oneCell">
    <xdr:from>
      <xdr:col>89</xdr:col>
      <xdr:colOff>208634</xdr:colOff>
      <xdr:row>118</xdr:row>
      <xdr:rowOff>0</xdr:rowOff>
    </xdr:from>
    <xdr:to>
      <xdr:col>102</xdr:col>
      <xdr:colOff>0</xdr:colOff>
      <xdr:row>126</xdr:row>
      <xdr:rowOff>121346</xdr:rowOff>
    </xdr:to>
    <xdr:pic>
      <xdr:nvPicPr>
        <xdr:cNvPr id="133" name="Picture 132" descr="Uploaded image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4260175" y="22593300"/>
          <a:ext cx="3257550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0</xdr:colOff>
      <xdr:row>130</xdr:row>
      <xdr:rowOff>11205</xdr:rowOff>
    </xdr:from>
    <xdr:to>
      <xdr:col>61</xdr:col>
      <xdr:colOff>0</xdr:colOff>
      <xdr:row>135</xdr:row>
      <xdr:rowOff>145676</xdr:rowOff>
    </xdr:to>
    <xdr:sp macro="" textlink="" fLocksText="0">
      <xdr:nvSpPr>
        <xdr:cNvPr id="136" name="吹き出し: 線 2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/>
      </xdr:nvSpPr>
      <xdr:spPr>
        <a:xfrm>
          <a:off x="8942294" y="24888264"/>
          <a:ext cx="5412441" cy="1086971"/>
        </a:xfrm>
        <a:prstGeom prst="borderCallout1">
          <a:avLst>
            <a:gd name="adj1" fmla="val 51151"/>
            <a:gd name="adj2" fmla="val 232"/>
            <a:gd name="adj3" fmla="val -26620"/>
            <a:gd name="adj4" fmla="val -13030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バーコード印刷帳票: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バーコードには以下の形式の情報が含まれている。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[41{従業員コード}468]。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・バーコード種類：コード128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・ヒューマンリーダブル値情報：[41{従業員コード}468]</a:t>
          </a:r>
        </a:p>
      </xdr:txBody>
    </xdr:sp>
    <xdr:clientData/>
  </xdr:twoCellAnchor>
  <xdr:twoCellAnchor editAs="oneCell">
    <xdr:from>
      <xdr:col>68</xdr:col>
      <xdr:colOff>0</xdr:colOff>
      <xdr:row>118</xdr:row>
      <xdr:rowOff>1</xdr:rowOff>
    </xdr:from>
    <xdr:to>
      <xdr:col>87</xdr:col>
      <xdr:colOff>127262</xdr:colOff>
      <xdr:row>135</xdr:row>
      <xdr:rowOff>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449925" y="22593300"/>
          <a:ext cx="5191125" cy="3238500"/>
        </a:xfrm>
        <a:prstGeom prst="rect">
          <a:avLst/>
        </a:prstGeom>
        <a:effectLst>
          <a:glow rad="25400">
            <a:schemeClr val="tx1">
              <a:lumMod val="65000"/>
              <a:lumOff val="35000"/>
              <a:alpha val="90000"/>
            </a:schemeClr>
          </a:glow>
        </a:effectLst>
      </xdr:spPr>
    </xdr:pic>
    <xdr:clientData/>
  </xdr:twoCellAnchor>
  <xdr:twoCellAnchor>
    <xdr:from>
      <xdr:col>7</xdr:col>
      <xdr:colOff>0</xdr:colOff>
      <xdr:row>186</xdr:row>
      <xdr:rowOff>0</xdr:rowOff>
    </xdr:from>
    <xdr:to>
      <xdr:col>7</xdr:col>
      <xdr:colOff>0</xdr:colOff>
      <xdr:row>188</xdr:row>
      <xdr:rowOff>0</xdr:rowOff>
    </xdr:to>
    <xdr:cxnSp macro="">
      <xdr:nvCxnSpPr>
        <xdr:cNvPr id="23" name="Connector: Elbow 84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302" idx="2"/>
        </xdr:cNvCxnSpPr>
      </xdr:nvCxnSpPr>
      <xdr:spPr>
        <a:xfrm>
          <a:off x="1866900" y="35547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191</xdr:row>
      <xdr:rowOff>0</xdr:rowOff>
    </xdr:from>
    <xdr:to>
      <xdr:col>10</xdr:col>
      <xdr:colOff>0</xdr:colOff>
      <xdr:row>195</xdr:row>
      <xdr:rowOff>0</xdr:rowOff>
    </xdr:to>
    <xdr:sp macro="" textlink="" fLocksText="0">
      <xdr:nvSpPr>
        <xdr:cNvPr id="30" name="正方形/長方形 1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1066800" y="3649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MD_ERROR</a:t>
          </a:r>
        </a:p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Message validate</a:t>
          </a:r>
          <a:endParaRPr lang="vi-VN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123266</xdr:colOff>
      <xdr:row>188</xdr:row>
      <xdr:rowOff>0</xdr:rowOff>
    </xdr:from>
    <xdr:to>
      <xdr:col>9</xdr:col>
      <xdr:colOff>123265</xdr:colOff>
      <xdr:row>189</xdr:row>
      <xdr:rowOff>0</xdr:rowOff>
    </xdr:to>
    <xdr:sp macro="" textlink="" fLocksText="0">
      <xdr:nvSpPr>
        <xdr:cNvPr id="31" name="四角形: 角を丸くする 110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1190625" y="35928300"/>
          <a:ext cx="13335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バリデーションチェックのエラーがある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14</xdr:col>
      <xdr:colOff>1</xdr:colOff>
      <xdr:row>188</xdr:row>
      <xdr:rowOff>0</xdr:rowOff>
    </xdr:from>
    <xdr:to>
      <xdr:col>19</xdr:col>
      <xdr:colOff>0</xdr:colOff>
      <xdr:row>189</xdr:row>
      <xdr:rowOff>0</xdr:rowOff>
    </xdr:to>
    <xdr:sp macro="" textlink="" fLocksText="0">
      <xdr:nvSpPr>
        <xdr:cNvPr id="34" name="四角形: 角を丸くする 1101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3733800" y="35928300"/>
          <a:ext cx="13335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バリデーションチェックのエラーがない</a:t>
          </a:r>
          <a:endParaRPr lang="ja-JP" alt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189</xdr:row>
      <xdr:rowOff>0</xdr:rowOff>
    </xdr:from>
    <xdr:to>
      <xdr:col>7</xdr:col>
      <xdr:colOff>5604</xdr:colOff>
      <xdr:row>191</xdr:row>
      <xdr:rowOff>0</xdr:rowOff>
    </xdr:to>
    <xdr:cxnSp macro="">
      <xdr:nvCxnSpPr>
        <xdr:cNvPr id="44" name="Connector: Elbow 84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CxnSpPr>
          <a:stCxn id="31" idx="2"/>
          <a:endCxn id="30" idx="0"/>
        </xdr:cNvCxnSpPr>
      </xdr:nvCxnSpPr>
      <xdr:spPr>
        <a:xfrm flipH="1">
          <a:off x="1866900" y="361188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195</xdr:row>
      <xdr:rowOff>0</xdr:rowOff>
    </xdr:from>
    <xdr:to>
      <xdr:col>7</xdr:col>
      <xdr:colOff>228859</xdr:colOff>
      <xdr:row>196</xdr:row>
      <xdr:rowOff>0</xdr:rowOff>
    </xdr:to>
    <xdr:sp macro="" textlink="" fLocksText="0">
      <xdr:nvSpPr>
        <xdr:cNvPr id="47" name="四角形: 角を丸くする 1101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1600200" y="37261800"/>
          <a:ext cx="4953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186</xdr:row>
      <xdr:rowOff>0</xdr:rowOff>
    </xdr:from>
    <xdr:to>
      <xdr:col>16</xdr:col>
      <xdr:colOff>117663</xdr:colOff>
      <xdr:row>188</xdr:row>
      <xdr:rowOff>0</xdr:rowOff>
    </xdr:to>
    <xdr:cxnSp macro="">
      <xdr:nvCxnSpPr>
        <xdr:cNvPr id="48" name="Connector: Elbow 84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302" idx="2"/>
          <a:endCxn id="34" idx="0"/>
        </xdr:cNvCxnSpPr>
      </xdr:nvCxnSpPr>
      <xdr:spPr>
        <a:xfrm rot="16200000" flipH="1">
          <a:off x="1866900" y="35547300"/>
          <a:ext cx="25146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123266</xdr:colOff>
      <xdr:row>228</xdr:row>
      <xdr:rowOff>0</xdr:rowOff>
    </xdr:from>
    <xdr:to>
      <xdr:col>19</xdr:col>
      <xdr:colOff>123266</xdr:colOff>
      <xdr:row>232</xdr:row>
      <xdr:rowOff>0</xdr:rowOff>
    </xdr:to>
    <xdr:sp macro="" textlink="" fLocksText="0">
      <xdr:nvSpPr>
        <xdr:cNvPr id="474" name="四角形: 角を丸くする 3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SpPr/>
      </xdr:nvSpPr>
      <xdr:spPr>
        <a:xfrm>
          <a:off x="3590925" y="43548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KN4004</a:t>
          </a:r>
        </a:p>
        <a:p>
          <a:pPr algn="ctr">
            <a:defRPr lang="en-US" altLang="ja-JP" sz="10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従業員重複チェック</a:t>
          </a:r>
        </a:p>
      </xdr:txBody>
    </xdr:sp>
    <xdr:clientData/>
  </xdr:twoCellAnchor>
  <xdr:twoCellAnchor>
    <xdr:from>
      <xdr:col>4</xdr:col>
      <xdr:colOff>0</xdr:colOff>
      <xdr:row>228</xdr:row>
      <xdr:rowOff>0</xdr:rowOff>
    </xdr:from>
    <xdr:to>
      <xdr:col>10</xdr:col>
      <xdr:colOff>0</xdr:colOff>
      <xdr:row>232</xdr:row>
      <xdr:rowOff>0</xdr:rowOff>
    </xdr:to>
    <xdr:sp macro="" textlink="" fLocksText="0">
      <xdr:nvSpPr>
        <xdr:cNvPr id="475" name="正方形/長方形 19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SpPr/>
      </xdr:nvSpPr>
      <xdr:spPr>
        <a:xfrm>
          <a:off x="1066800" y="4354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MD_ERROR</a:t>
          </a:r>
        </a:p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Message validate</a:t>
          </a:r>
          <a:endParaRPr lang="vi-VN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123266</xdr:colOff>
      <xdr:row>225</xdr:row>
      <xdr:rowOff>0</xdr:rowOff>
    </xdr:from>
    <xdr:to>
      <xdr:col>9</xdr:col>
      <xdr:colOff>123265</xdr:colOff>
      <xdr:row>226</xdr:row>
      <xdr:rowOff>0</xdr:rowOff>
    </xdr:to>
    <xdr:sp macro="" textlink="" fLocksText="0">
      <xdr:nvSpPr>
        <xdr:cNvPr id="476" name="四角形: 角を丸くする 1101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SpPr/>
      </xdr:nvSpPr>
      <xdr:spPr>
        <a:xfrm>
          <a:off x="1190625" y="42976800"/>
          <a:ext cx="13335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バリデーションチェックのエラーがある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14</xdr:col>
      <xdr:colOff>1</xdr:colOff>
      <xdr:row>225</xdr:row>
      <xdr:rowOff>0</xdr:rowOff>
    </xdr:from>
    <xdr:to>
      <xdr:col>19</xdr:col>
      <xdr:colOff>0</xdr:colOff>
      <xdr:row>226</xdr:row>
      <xdr:rowOff>0</xdr:rowOff>
    </xdr:to>
    <xdr:sp macro="" textlink="" fLocksText="0">
      <xdr:nvSpPr>
        <xdr:cNvPr id="479" name="四角形: 角を丸くする 1101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/>
      </xdr:nvSpPr>
      <xdr:spPr>
        <a:xfrm>
          <a:off x="3733800" y="42976800"/>
          <a:ext cx="13335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バリデーションチェックのエラーがない</a:t>
          </a:r>
          <a:endParaRPr lang="ja-JP" altLang="en-US" sz="8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7</xdr:col>
      <xdr:colOff>0</xdr:colOff>
      <xdr:row>226</xdr:row>
      <xdr:rowOff>0</xdr:rowOff>
    </xdr:from>
    <xdr:to>
      <xdr:col>7</xdr:col>
      <xdr:colOff>5604</xdr:colOff>
      <xdr:row>228</xdr:row>
      <xdr:rowOff>0</xdr:rowOff>
    </xdr:to>
    <xdr:cxnSp macro="">
      <xdr:nvCxnSpPr>
        <xdr:cNvPr id="480" name="Connector: Elbow 84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CxnSpPr>
          <a:stCxn id="476" idx="2"/>
          <a:endCxn id="475" idx="0"/>
        </xdr:cNvCxnSpPr>
      </xdr:nvCxnSpPr>
      <xdr:spPr>
        <a:xfrm flipH="1">
          <a:off x="1866900" y="431673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232</xdr:row>
      <xdr:rowOff>0</xdr:rowOff>
    </xdr:from>
    <xdr:to>
      <xdr:col>7</xdr:col>
      <xdr:colOff>228859</xdr:colOff>
      <xdr:row>233</xdr:row>
      <xdr:rowOff>0</xdr:rowOff>
    </xdr:to>
    <xdr:sp macro="" textlink="" fLocksText="0">
      <xdr:nvSpPr>
        <xdr:cNvPr id="481" name="四角形: 角を丸くする 1101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SpPr/>
      </xdr:nvSpPr>
      <xdr:spPr>
        <a:xfrm>
          <a:off x="1600200" y="44310300"/>
          <a:ext cx="4953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16</xdr:col>
      <xdr:colOff>117663</xdr:colOff>
      <xdr:row>226</xdr:row>
      <xdr:rowOff>0</xdr:rowOff>
    </xdr:from>
    <xdr:to>
      <xdr:col>16</xdr:col>
      <xdr:colOff>123267</xdr:colOff>
      <xdr:row>228</xdr:row>
      <xdr:rowOff>0</xdr:rowOff>
    </xdr:to>
    <xdr:cxnSp macro="">
      <xdr:nvCxnSpPr>
        <xdr:cNvPr id="484" name="Connector: Elbow 84">
          <a:extLst>
            <a:ext uri="{FF2B5EF4-FFF2-40B4-BE49-F238E27FC236}">
              <a16:creationId xmlns:a16="http://schemas.microsoft.com/office/drawing/2014/main" id="{00000000-0008-0000-0400-0000E4010000}"/>
            </a:ext>
          </a:extLst>
        </xdr:cNvPr>
        <xdr:cNvCxnSpPr>
          <a:stCxn id="479" idx="2"/>
          <a:endCxn id="474" idx="0"/>
        </xdr:cNvCxnSpPr>
      </xdr:nvCxnSpPr>
      <xdr:spPr>
        <a:xfrm>
          <a:off x="4381500" y="431673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11207</xdr:colOff>
      <xdr:row>234</xdr:row>
      <xdr:rowOff>11206</xdr:rowOff>
    </xdr:from>
    <xdr:to>
      <xdr:col>19</xdr:col>
      <xdr:colOff>11206</xdr:colOff>
      <xdr:row>235</xdr:row>
      <xdr:rowOff>0</xdr:rowOff>
    </xdr:to>
    <xdr:sp macro="" textlink="" fLocksText="0">
      <xdr:nvSpPr>
        <xdr:cNvPr id="485" name="四角形: 角を丸くする 1101">
          <a:extLst>
            <a:ext uri="{FF2B5EF4-FFF2-40B4-BE49-F238E27FC236}">
              <a16:creationId xmlns:a16="http://schemas.microsoft.com/office/drawing/2014/main" id="{00000000-0008-0000-0400-0000E5010000}"/>
            </a:ext>
          </a:extLst>
        </xdr:cNvPr>
        <xdr:cNvSpPr/>
      </xdr:nvSpPr>
      <xdr:spPr>
        <a:xfrm>
          <a:off x="3743325" y="44700825"/>
          <a:ext cx="13335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重複あり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21</xdr:col>
      <xdr:colOff>235323</xdr:colOff>
      <xdr:row>234</xdr:row>
      <xdr:rowOff>0</xdr:rowOff>
    </xdr:from>
    <xdr:to>
      <xdr:col>27</xdr:col>
      <xdr:colOff>0</xdr:colOff>
      <xdr:row>235</xdr:row>
      <xdr:rowOff>0</xdr:rowOff>
    </xdr:to>
    <xdr:sp macro="" textlink="" fLocksText="0">
      <xdr:nvSpPr>
        <xdr:cNvPr id="486" name="四角形: 角を丸くする 1101">
          <a:extLst>
            <a:ext uri="{FF2B5EF4-FFF2-40B4-BE49-F238E27FC236}">
              <a16:creationId xmlns:a16="http://schemas.microsoft.com/office/drawing/2014/main" id="{00000000-0008-0000-0400-0000E6010000}"/>
            </a:ext>
          </a:extLst>
        </xdr:cNvPr>
        <xdr:cNvSpPr/>
      </xdr:nvSpPr>
      <xdr:spPr>
        <a:xfrm>
          <a:off x="5838825" y="44691300"/>
          <a:ext cx="1362075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重複なし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19</xdr:col>
      <xdr:colOff>123266</xdr:colOff>
      <xdr:row>230</xdr:row>
      <xdr:rowOff>0</xdr:rowOff>
    </xdr:from>
    <xdr:to>
      <xdr:col>28</xdr:col>
      <xdr:colOff>235322</xdr:colOff>
      <xdr:row>230</xdr:row>
      <xdr:rowOff>0</xdr:rowOff>
    </xdr:to>
    <xdr:cxnSp macro="">
      <xdr:nvCxnSpPr>
        <xdr:cNvPr id="487" name="直線矢印コネクタ 196">
          <a:extLst>
            <a:ext uri="{FF2B5EF4-FFF2-40B4-BE49-F238E27FC236}">
              <a16:creationId xmlns:a16="http://schemas.microsoft.com/office/drawing/2014/main" id="{00000000-0008-0000-0400-0000E7010000}"/>
            </a:ext>
          </a:extLst>
        </xdr:cNvPr>
        <xdr:cNvCxnSpPr>
          <a:stCxn id="474" idx="3"/>
          <a:endCxn id="488" idx="2"/>
        </xdr:cNvCxnSpPr>
      </xdr:nvCxnSpPr>
      <xdr:spPr>
        <a:xfrm>
          <a:off x="5191125" y="43929300"/>
          <a:ext cx="25146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235322</xdr:colOff>
      <xdr:row>228</xdr:row>
      <xdr:rowOff>0</xdr:rowOff>
    </xdr:from>
    <xdr:to>
      <xdr:col>35</xdr:col>
      <xdr:colOff>0</xdr:colOff>
      <xdr:row>232</xdr:row>
      <xdr:rowOff>0</xdr:rowOff>
    </xdr:to>
    <xdr:sp macro="" textlink="" fLocksText="0">
      <xdr:nvSpPr>
        <xdr:cNvPr id="488" name="フローチャート: 磁気ディスク 194">
          <a:extLst>
            <a:ext uri="{FF2B5EF4-FFF2-40B4-BE49-F238E27FC236}">
              <a16:creationId xmlns:a16="http://schemas.microsoft.com/office/drawing/2014/main" id="{00000000-0008-0000-0400-0000E8010000}"/>
            </a:ext>
          </a:extLst>
        </xdr:cNvPr>
        <xdr:cNvSpPr/>
      </xdr:nvSpPr>
      <xdr:spPr>
        <a:xfrm>
          <a:off x="7705725" y="43548300"/>
          <a:ext cx="1628775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AP4003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従業員重複チェックAPI</a:t>
          </a:r>
        </a:p>
      </xdr:txBody>
    </xdr:sp>
    <xdr:clientData/>
  </xdr:twoCellAnchor>
  <xdr:twoCellAnchor>
    <xdr:from>
      <xdr:col>16</xdr:col>
      <xdr:colOff>123267</xdr:colOff>
      <xdr:row>232</xdr:row>
      <xdr:rowOff>0</xdr:rowOff>
    </xdr:from>
    <xdr:to>
      <xdr:col>16</xdr:col>
      <xdr:colOff>128869</xdr:colOff>
      <xdr:row>234</xdr:row>
      <xdr:rowOff>11206</xdr:rowOff>
    </xdr:to>
    <xdr:cxnSp macro="">
      <xdr:nvCxnSpPr>
        <xdr:cNvPr id="490" name="Connector: Elbow 84">
          <a:extLst>
            <a:ext uri="{FF2B5EF4-FFF2-40B4-BE49-F238E27FC236}">
              <a16:creationId xmlns:a16="http://schemas.microsoft.com/office/drawing/2014/main" id="{00000000-0008-0000-0400-0000EA010000}"/>
            </a:ext>
          </a:extLst>
        </xdr:cNvPr>
        <xdr:cNvCxnSpPr>
          <a:stCxn id="474" idx="2"/>
          <a:endCxn id="485" idx="0"/>
        </xdr:cNvCxnSpPr>
      </xdr:nvCxnSpPr>
      <xdr:spPr>
        <a:xfrm>
          <a:off x="4391025" y="44310300"/>
          <a:ext cx="9525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123266</xdr:colOff>
      <xdr:row>232</xdr:row>
      <xdr:rowOff>0</xdr:rowOff>
    </xdr:from>
    <xdr:to>
      <xdr:col>24</xdr:col>
      <xdr:colOff>117660</xdr:colOff>
      <xdr:row>234</xdr:row>
      <xdr:rowOff>0</xdr:rowOff>
    </xdr:to>
    <xdr:cxnSp macro="">
      <xdr:nvCxnSpPr>
        <xdr:cNvPr id="492" name="Connector: Elbow 84">
          <a:extLst>
            <a:ext uri="{FF2B5EF4-FFF2-40B4-BE49-F238E27FC236}">
              <a16:creationId xmlns:a16="http://schemas.microsoft.com/office/drawing/2014/main" id="{00000000-0008-0000-0400-0000EC010000}"/>
            </a:ext>
          </a:extLst>
        </xdr:cNvPr>
        <xdr:cNvCxnSpPr>
          <a:stCxn id="474" idx="2"/>
          <a:endCxn id="486" idx="0"/>
        </xdr:cNvCxnSpPr>
      </xdr:nvCxnSpPr>
      <xdr:spPr>
        <a:xfrm rot="16200000" flipH="1">
          <a:off x="4391025" y="44310300"/>
          <a:ext cx="21240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123266</xdr:colOff>
      <xdr:row>237</xdr:row>
      <xdr:rowOff>0</xdr:rowOff>
    </xdr:from>
    <xdr:to>
      <xdr:col>19</xdr:col>
      <xdr:colOff>123266</xdr:colOff>
      <xdr:row>241</xdr:row>
      <xdr:rowOff>0</xdr:rowOff>
    </xdr:to>
    <xdr:sp macro="" textlink="" fLocksText="0">
      <xdr:nvSpPr>
        <xdr:cNvPr id="493" name="正方形/長方形 19">
          <a:extLst>
            <a:ext uri="{FF2B5EF4-FFF2-40B4-BE49-F238E27FC236}">
              <a16:creationId xmlns:a16="http://schemas.microsoft.com/office/drawing/2014/main" id="{00000000-0008-0000-0400-0000ED010000}"/>
            </a:ext>
          </a:extLst>
        </xdr:cNvPr>
        <xdr:cNvSpPr/>
      </xdr:nvSpPr>
      <xdr:spPr>
        <a:xfrm>
          <a:off x="3590925" y="45262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vi-VN" altLang="ja-JP" sz="11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MD_ERROR</a:t>
          </a:r>
        </a:p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Message validate</a:t>
          </a:r>
          <a:endParaRPr lang="vi-VN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15</xdr:col>
      <xdr:colOff>123266</xdr:colOff>
      <xdr:row>241</xdr:row>
      <xdr:rowOff>0</xdr:rowOff>
    </xdr:from>
    <xdr:to>
      <xdr:col>17</xdr:col>
      <xdr:colOff>116802</xdr:colOff>
      <xdr:row>242</xdr:row>
      <xdr:rowOff>0</xdr:rowOff>
    </xdr:to>
    <xdr:sp macro="" textlink="" fLocksText="0">
      <xdr:nvSpPr>
        <xdr:cNvPr id="495" name="四角形: 角を丸くする 1101">
          <a:extLst>
            <a:ext uri="{FF2B5EF4-FFF2-40B4-BE49-F238E27FC236}">
              <a16:creationId xmlns:a16="http://schemas.microsoft.com/office/drawing/2014/main" id="{00000000-0008-0000-0400-0000EF010000}"/>
            </a:ext>
          </a:extLst>
        </xdr:cNvPr>
        <xdr:cNvSpPr/>
      </xdr:nvSpPr>
      <xdr:spPr>
        <a:xfrm>
          <a:off x="4124325" y="46024800"/>
          <a:ext cx="523875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800" b="0" i="0" u="none" baseline="0">
            <a:solidFill>
              <a:srgbClr val="FFFF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16</xdr:col>
      <xdr:colOff>123267</xdr:colOff>
      <xdr:row>235</xdr:row>
      <xdr:rowOff>0</xdr:rowOff>
    </xdr:from>
    <xdr:to>
      <xdr:col>16</xdr:col>
      <xdr:colOff>128869</xdr:colOff>
      <xdr:row>237</xdr:row>
      <xdr:rowOff>0</xdr:rowOff>
    </xdr:to>
    <xdr:cxnSp macro="">
      <xdr:nvCxnSpPr>
        <xdr:cNvPr id="496" name="Connector: Elbow 84">
          <a:extLst>
            <a:ext uri="{FF2B5EF4-FFF2-40B4-BE49-F238E27FC236}">
              <a16:creationId xmlns:a16="http://schemas.microsoft.com/office/drawing/2014/main" id="{00000000-0008-0000-0400-0000F0010000}"/>
            </a:ext>
          </a:extLst>
        </xdr:cNvPr>
        <xdr:cNvCxnSpPr>
          <a:stCxn id="485" idx="2"/>
          <a:endCxn id="493" idx="0"/>
        </xdr:cNvCxnSpPr>
      </xdr:nvCxnSpPr>
      <xdr:spPr>
        <a:xfrm flipH="1">
          <a:off x="4391025" y="44881800"/>
          <a:ext cx="9525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5603</xdr:colOff>
      <xdr:row>223</xdr:row>
      <xdr:rowOff>0</xdr:rowOff>
    </xdr:from>
    <xdr:to>
      <xdr:col>7</xdr:col>
      <xdr:colOff>5604</xdr:colOff>
      <xdr:row>225</xdr:row>
      <xdr:rowOff>0</xdr:rowOff>
    </xdr:to>
    <xdr:cxnSp macro="">
      <xdr:nvCxnSpPr>
        <xdr:cNvPr id="497" name="Connector: Elbow 84">
          <a:extLst>
            <a:ext uri="{FF2B5EF4-FFF2-40B4-BE49-F238E27FC236}">
              <a16:creationId xmlns:a16="http://schemas.microsoft.com/office/drawing/2014/main" id="{00000000-0008-0000-0400-0000F1010000}"/>
            </a:ext>
          </a:extLst>
        </xdr:cNvPr>
        <xdr:cNvCxnSpPr>
          <a:stCxn id="283" idx="2"/>
          <a:endCxn id="476" idx="0"/>
        </xdr:cNvCxnSpPr>
      </xdr:nvCxnSpPr>
      <xdr:spPr>
        <a:xfrm>
          <a:off x="1876425" y="42595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5602</xdr:colOff>
      <xdr:row>223</xdr:row>
      <xdr:rowOff>0</xdr:rowOff>
    </xdr:from>
    <xdr:to>
      <xdr:col>16</xdr:col>
      <xdr:colOff>117662</xdr:colOff>
      <xdr:row>225</xdr:row>
      <xdr:rowOff>0</xdr:rowOff>
    </xdr:to>
    <xdr:cxnSp macro="">
      <xdr:nvCxnSpPr>
        <xdr:cNvPr id="502" name="Connector: Elbow 84">
          <a:extLst>
            <a:ext uri="{FF2B5EF4-FFF2-40B4-BE49-F238E27FC236}">
              <a16:creationId xmlns:a16="http://schemas.microsoft.com/office/drawing/2014/main" id="{00000000-0008-0000-0400-0000F6010000}"/>
            </a:ext>
          </a:extLst>
        </xdr:cNvPr>
        <xdr:cNvCxnSpPr>
          <a:stCxn id="283" idx="2"/>
          <a:endCxn id="479" idx="0"/>
        </xdr:cNvCxnSpPr>
      </xdr:nvCxnSpPr>
      <xdr:spPr>
        <a:xfrm rot="16200000" flipH="1">
          <a:off x="1876425" y="42595800"/>
          <a:ext cx="2505075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235</xdr:row>
      <xdr:rowOff>1</xdr:rowOff>
    </xdr:from>
    <xdr:to>
      <xdr:col>24</xdr:col>
      <xdr:colOff>117661</xdr:colOff>
      <xdr:row>246</xdr:row>
      <xdr:rowOff>1</xdr:rowOff>
    </xdr:to>
    <xdr:cxnSp macro="">
      <xdr:nvCxnSpPr>
        <xdr:cNvPr id="506" name="Connector: Elbow 84">
          <a:extLst>
            <a:ext uri="{FF2B5EF4-FFF2-40B4-BE49-F238E27FC236}">
              <a16:creationId xmlns:a16="http://schemas.microsoft.com/office/drawing/2014/main" id="{00000000-0008-0000-0400-0000FA010000}"/>
            </a:ext>
          </a:extLst>
        </xdr:cNvPr>
        <xdr:cNvCxnSpPr>
          <a:stCxn id="486" idx="2"/>
          <a:endCxn id="250" idx="0"/>
        </xdr:cNvCxnSpPr>
      </xdr:nvCxnSpPr>
      <xdr:spPr>
        <a:xfrm rot="5400000">
          <a:off x="800100" y="44881800"/>
          <a:ext cx="5715000" cy="2095500"/>
        </a:xfrm>
        <a:prstGeom prst="bentConnector3">
          <a:avLst>
            <a:gd name="adj1" fmla="val 8208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189</xdr:row>
      <xdr:rowOff>0</xdr:rowOff>
    </xdr:from>
    <xdr:to>
      <xdr:col>16</xdr:col>
      <xdr:colOff>117663</xdr:colOff>
      <xdr:row>199</xdr:row>
      <xdr:rowOff>0</xdr:rowOff>
    </xdr:to>
    <xdr:cxnSp macro="">
      <xdr:nvCxnSpPr>
        <xdr:cNvPr id="510" name="Connector: Elbow 84">
          <a:extLst>
            <a:ext uri="{FF2B5EF4-FFF2-40B4-BE49-F238E27FC236}">
              <a16:creationId xmlns:a16="http://schemas.microsoft.com/office/drawing/2014/main" id="{00000000-0008-0000-0400-0000FE010000}"/>
            </a:ext>
          </a:extLst>
        </xdr:cNvPr>
        <xdr:cNvCxnSpPr>
          <a:stCxn id="34" idx="2"/>
          <a:endCxn id="221" idx="0"/>
        </xdr:cNvCxnSpPr>
      </xdr:nvCxnSpPr>
      <xdr:spPr>
        <a:xfrm rot="5400000">
          <a:off x="800100" y="36118800"/>
          <a:ext cx="3581400" cy="1905000"/>
        </a:xfrm>
        <a:prstGeom prst="bentConnector3">
          <a:avLst>
            <a:gd name="adj1" fmla="val 8941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23</xdr:row>
      <xdr:rowOff>0</xdr:rowOff>
    </xdr:from>
    <xdr:to>
      <xdr:col>61</xdr:col>
      <xdr:colOff>0</xdr:colOff>
      <xdr:row>29</xdr:row>
      <xdr:rowOff>0</xdr:rowOff>
    </xdr:to>
    <xdr:sp macro="" textlink="" fLocksText="0">
      <xdr:nvSpPr>
        <xdr:cNvPr id="49" name="吹き出し: 線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10134600" y="4495800"/>
          <a:ext cx="6134100" cy="1143000"/>
        </a:xfrm>
        <a:prstGeom prst="borderCallout1">
          <a:avLst>
            <a:gd name="adj1" fmla="val 49927"/>
            <a:gd name="adj2" fmla="val -182"/>
            <a:gd name="adj3" fmla="val 60227"/>
            <a:gd name="adj4" fmla="val -1353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画面には以下の3つのエリアを表示する。店舗選択エリア、検索条件エリア、一覧表示エリア。</a:t>
          </a:r>
        </a:p>
        <a:p>
          <a:pPr algn="l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初期表示：店舗選択エリアのみ操作可能で、その他のエリアが無効になって操作不可。</a:t>
          </a:r>
        </a:p>
        <a:p>
          <a:pPr>
            <a:defRPr lang="en-US" sz="1000" b="0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検索条件エリア：店舗が選択されている場合にのみ操作可能。</a:t>
          </a:r>
        </a:p>
        <a:p>
          <a:pPr>
            <a:defRPr lang="en-US" sz="1000" b="0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共通店舗機能を実行する。複数の店舗選択可能。</a:t>
          </a:r>
        </a:p>
        <a:p>
          <a:pPr>
            <a:defRPr lang="en-US" sz="1000" b="0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sz="1000" b="0" i="0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162</xdr:row>
      <xdr:rowOff>0</xdr:rowOff>
    </xdr:from>
    <xdr:to>
      <xdr:col>61</xdr:col>
      <xdr:colOff>0</xdr:colOff>
      <xdr:row>164</xdr:row>
      <xdr:rowOff>0</xdr:rowOff>
    </xdr:to>
    <xdr:sp macro="" textlink="" fLocksText="0">
      <xdr:nvSpPr>
        <xdr:cNvPr id="52" name="吹き出し: 線 2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10134600" y="30975300"/>
          <a:ext cx="6134100" cy="381000"/>
        </a:xfrm>
        <a:prstGeom prst="borderCallout1">
          <a:avLst>
            <a:gd name="adj1" fmla="val 51151"/>
            <a:gd name="adj2" fmla="val 232"/>
            <a:gd name="adj3" fmla="val 49454"/>
            <a:gd name="adj4" fmla="val -10877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・従業員が選択されない場合、「明細行が選択されていません。」というメッセージを表示する。</a:t>
          </a:r>
        </a:p>
      </xdr:txBody>
    </xdr:sp>
    <xdr:clientData/>
  </xdr:twoCellAnchor>
  <xdr:twoCellAnchor>
    <xdr:from>
      <xdr:col>38</xdr:col>
      <xdr:colOff>0</xdr:colOff>
      <xdr:row>138</xdr:row>
      <xdr:rowOff>0</xdr:rowOff>
    </xdr:from>
    <xdr:to>
      <xdr:col>61</xdr:col>
      <xdr:colOff>0</xdr:colOff>
      <xdr:row>143</xdr:row>
      <xdr:rowOff>0</xdr:rowOff>
    </xdr:to>
    <xdr:sp macro="" textlink="" fLocksText="0">
      <xdr:nvSpPr>
        <xdr:cNvPr id="346" name="吹き出し: 線 2">
          <a:extLst>
            <a:ext uri="{FF2B5EF4-FFF2-40B4-BE49-F238E27FC236}">
              <a16:creationId xmlns:a16="http://schemas.microsoft.com/office/drawing/2014/main" id="{00000000-0008-0000-0400-00005A010000}"/>
            </a:ext>
          </a:extLst>
        </xdr:cNvPr>
        <xdr:cNvSpPr/>
      </xdr:nvSpPr>
      <xdr:spPr>
        <a:xfrm>
          <a:off x="10134600" y="26403300"/>
          <a:ext cx="6134100" cy="952500"/>
        </a:xfrm>
        <a:prstGeom prst="borderCallout1">
          <a:avLst>
            <a:gd name="adj1" fmla="val 48210"/>
            <a:gd name="adj2" fmla="val 646"/>
            <a:gd name="adj3" fmla="val 52198"/>
            <a:gd name="adj4" fmla="val -13527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選択されているレコードが削除済みとしてマークされている場合、削除状態をキャンセルし、そのレコードの表示を元の状態(黒いテキスト、赤い取り消し線なし）に復元する。</a:t>
          </a:r>
          <a:endParaRPr lang="vi-VN" altLang="ja-JP" sz="1000" b="0" i="0" u="none" baseline="0">
            <a:solidFill>
              <a:schemeClr val="tx1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chemeClr val="tx1"/>
              </a:solidFill>
              <a:latin typeface="Meiryo UI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選択されているレコードがまだ削除済みとマークされていない場合、そのレコードを一時的に削除する（赤いテキスト、赤い取り消し線付き）</a:t>
          </a:r>
        </a:p>
      </xdr:txBody>
    </xdr:sp>
    <xdr:clientData/>
  </xdr:twoCellAnchor>
  <xdr:twoCellAnchor>
    <xdr:from>
      <xdr:col>34</xdr:col>
      <xdr:colOff>0</xdr:colOff>
      <xdr:row>40</xdr:row>
      <xdr:rowOff>0</xdr:rowOff>
    </xdr:from>
    <xdr:to>
      <xdr:col>38</xdr:col>
      <xdr:colOff>0</xdr:colOff>
      <xdr:row>42</xdr:row>
      <xdr:rowOff>0</xdr:rowOff>
    </xdr:to>
    <xdr:sp macro="" textlink="" fLocksText="0">
      <xdr:nvSpPr>
        <xdr:cNvPr id="13" name="四角形: 角を丸くする 110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9067800" y="77343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CSV取込</a:t>
          </a:r>
          <a:endParaRPr lang="ja-JP" altLang="en-US" sz="800" b="1" i="0" u="none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35</xdr:col>
      <xdr:colOff>0</xdr:colOff>
      <xdr:row>44</xdr:row>
      <xdr:rowOff>0</xdr:rowOff>
    </xdr:from>
    <xdr:to>
      <xdr:col>37</xdr:col>
      <xdr:colOff>0</xdr:colOff>
      <xdr:row>45</xdr:row>
      <xdr:rowOff>0</xdr:rowOff>
    </xdr:to>
    <xdr:sp macro="" textlink="" fLocksText="0">
      <xdr:nvSpPr>
        <xdr:cNvPr id="14" name="四角形: 角を丸くする 1101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9334500" y="84963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40.7</a:t>
          </a:r>
          <a:endParaRPr lang="ja-JP" altLang="en-US" sz="9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36</xdr:col>
      <xdr:colOff>0</xdr:colOff>
      <xdr:row>42</xdr:row>
      <xdr:rowOff>0</xdr:rowOff>
    </xdr:from>
    <xdr:to>
      <xdr:col>36</xdr:col>
      <xdr:colOff>1</xdr:colOff>
      <xdr:row>44</xdr:row>
      <xdr:rowOff>0</xdr:rowOff>
    </xdr:to>
    <xdr:cxnSp macro="">
      <xdr:nvCxnSpPr>
        <xdr:cNvPr id="15" name="Connector: Elbow 32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13" idx="2"/>
        </xdr:cNvCxnSpPr>
      </xdr:nvCxnSpPr>
      <xdr:spPr>
        <a:xfrm>
          <a:off x="9601200" y="8115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36</xdr:row>
      <xdr:rowOff>11206</xdr:rowOff>
    </xdr:from>
    <xdr:to>
      <xdr:col>36</xdr:col>
      <xdr:colOff>0</xdr:colOff>
      <xdr:row>40</xdr:row>
      <xdr:rowOff>0</xdr:rowOff>
    </xdr:to>
    <xdr:cxnSp macro="">
      <xdr:nvCxnSpPr>
        <xdr:cNvPr id="17" name="Connector: Elbow 3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21" idx="3"/>
          <a:endCxn id="13" idx="0"/>
        </xdr:cNvCxnSpPr>
      </xdr:nvCxnSpPr>
      <xdr:spPr>
        <a:xfrm>
          <a:off x="2133600" y="6981825"/>
          <a:ext cx="7467600" cy="7524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272</xdr:row>
      <xdr:rowOff>0</xdr:rowOff>
    </xdr:from>
    <xdr:to>
      <xdr:col>6</xdr:col>
      <xdr:colOff>0</xdr:colOff>
      <xdr:row>273</xdr:row>
      <xdr:rowOff>0</xdr:rowOff>
    </xdr:to>
    <xdr:sp macro="" textlink="" fLocksText="0">
      <xdr:nvSpPr>
        <xdr:cNvPr id="20" name="四角形: 角を丸くする 1101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51930300"/>
          <a:ext cx="5334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40.7</a:t>
          </a:r>
          <a:endParaRPr lang="ja-JP" altLang="en-US" sz="9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</xdr:col>
      <xdr:colOff>4162</xdr:colOff>
      <xdr:row>284</xdr:row>
      <xdr:rowOff>12700</xdr:rowOff>
    </xdr:from>
    <xdr:to>
      <xdr:col>8</xdr:col>
      <xdr:colOff>0</xdr:colOff>
      <xdr:row>288</xdr:row>
      <xdr:rowOff>0</xdr:rowOff>
    </xdr:to>
    <xdr:sp macro="" textlink="" fLocksText="0">
      <xdr:nvSpPr>
        <xdr:cNvPr id="26" name="四角形: 角を丸くする 3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533400" y="54225825"/>
          <a:ext cx="1600200" cy="75247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KN4005</a:t>
          </a:r>
        </a:p>
        <a:p>
          <a:pPr algn="ctr">
            <a:defRPr lang="en-US" altLang="ja-JP" sz="10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従業員情報CSV取込</a:t>
          </a:r>
        </a:p>
      </xdr:txBody>
    </xdr:sp>
    <xdr:clientData/>
  </xdr:twoCellAnchor>
  <xdr:twoCellAnchor>
    <xdr:from>
      <xdr:col>5</xdr:col>
      <xdr:colOff>0</xdr:colOff>
      <xdr:row>282</xdr:row>
      <xdr:rowOff>0</xdr:rowOff>
    </xdr:from>
    <xdr:to>
      <xdr:col>5</xdr:col>
      <xdr:colOff>0</xdr:colOff>
      <xdr:row>284</xdr:row>
      <xdr:rowOff>12700</xdr:rowOff>
    </xdr:to>
    <xdr:cxnSp macro="">
      <xdr:nvCxnSpPr>
        <xdr:cNvPr id="36" name="Connector: Elbow 84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20" idx="2"/>
          <a:endCxn id="26" idx="0"/>
        </xdr:cNvCxnSpPr>
      </xdr:nvCxnSpPr>
      <xdr:spPr>
        <a:xfrm>
          <a:off x="1333500" y="538353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284</xdr:row>
      <xdr:rowOff>0</xdr:rowOff>
    </xdr:from>
    <xdr:to>
      <xdr:col>35</xdr:col>
      <xdr:colOff>0</xdr:colOff>
      <xdr:row>287</xdr:row>
      <xdr:rowOff>190499</xdr:rowOff>
    </xdr:to>
    <xdr:sp macro="" textlink="" fLocksText="0">
      <xdr:nvSpPr>
        <xdr:cNvPr id="37" name="フローチャート: 磁気ディスク 194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7734300" y="54216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AP4004</a:t>
          </a:r>
        </a:p>
        <a:p>
          <a:pPr algn="ctr">
            <a:def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従業員一覧取込API </a:t>
          </a:r>
        </a:p>
      </xdr:txBody>
    </xdr:sp>
    <xdr:clientData/>
  </xdr:twoCellAnchor>
  <xdr:twoCellAnchor>
    <xdr:from>
      <xdr:col>8</xdr:col>
      <xdr:colOff>0</xdr:colOff>
      <xdr:row>286</xdr:row>
      <xdr:rowOff>0</xdr:rowOff>
    </xdr:from>
    <xdr:to>
      <xdr:col>29</xdr:col>
      <xdr:colOff>0</xdr:colOff>
      <xdr:row>286</xdr:row>
      <xdr:rowOff>6350</xdr:rowOff>
    </xdr:to>
    <xdr:cxnSp macro="">
      <xdr:nvCxnSpPr>
        <xdr:cNvPr id="39" name="直線矢印コネクタ 196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>
          <a:stCxn id="26" idx="3"/>
          <a:endCxn id="37" idx="2"/>
        </xdr:cNvCxnSpPr>
      </xdr:nvCxnSpPr>
      <xdr:spPr>
        <a:xfrm flipV="1">
          <a:off x="2133600" y="54597300"/>
          <a:ext cx="5600700" cy="9525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284</xdr:row>
      <xdr:rowOff>0</xdr:rowOff>
    </xdr:from>
    <xdr:to>
      <xdr:col>61</xdr:col>
      <xdr:colOff>0</xdr:colOff>
      <xdr:row>286</xdr:row>
      <xdr:rowOff>0</xdr:rowOff>
    </xdr:to>
    <xdr:sp macro="" textlink="" fLocksText="0">
      <xdr:nvSpPr>
        <xdr:cNvPr id="40" name="吹き出し: 線 2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10134600" y="54216300"/>
          <a:ext cx="6134100" cy="381000"/>
        </a:xfrm>
        <a:prstGeom prst="borderCallout1">
          <a:avLst>
            <a:gd name="adj1" fmla="val 37670"/>
            <a:gd name="adj2" fmla="val 319"/>
            <a:gd name="adj3" fmla="val 37077"/>
            <a:gd name="adj4" fmla="val -13002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従業員情報一覧をCSVファイルに保存する。</a:t>
          </a:r>
          <a:endParaRPr lang="vi-VN" altLang="ja-JP" sz="1000" b="0" i="0" u="none" baseline="0">
            <a:solidFill>
              <a:srgbClr val="0000FF"/>
            </a:solidFill>
            <a:latin typeface="Meiryo UI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224117</xdr:colOff>
      <xdr:row>296</xdr:row>
      <xdr:rowOff>0</xdr:rowOff>
    </xdr:from>
    <xdr:to>
      <xdr:col>6</xdr:col>
      <xdr:colOff>0</xdr:colOff>
      <xdr:row>297</xdr:row>
      <xdr:rowOff>0</xdr:rowOff>
    </xdr:to>
    <xdr:sp macro="" textlink="" fLocksText="0">
      <xdr:nvSpPr>
        <xdr:cNvPr id="43" name="四角形: 角を丸くする 110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1028700" y="56502300"/>
          <a:ext cx="5715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40</a:t>
          </a:r>
          <a:endParaRPr lang="ja-JP" altLang="en-US" sz="9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229721</xdr:colOff>
      <xdr:row>288</xdr:row>
      <xdr:rowOff>0</xdr:rowOff>
    </xdr:from>
    <xdr:to>
      <xdr:col>5</xdr:col>
      <xdr:colOff>2081</xdr:colOff>
      <xdr:row>296</xdr:row>
      <xdr:rowOff>0</xdr:rowOff>
    </xdr:to>
    <xdr:cxnSp macro="">
      <xdr:nvCxnSpPr>
        <xdr:cNvPr id="53" name="Connector: Elbow 84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26" idx="2"/>
          <a:endCxn id="43" idx="0"/>
        </xdr:cNvCxnSpPr>
      </xdr:nvCxnSpPr>
      <xdr:spPr>
        <a:xfrm flipH="1">
          <a:off x="1295400" y="54978300"/>
          <a:ext cx="38100" cy="1524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287</xdr:row>
      <xdr:rowOff>6350</xdr:rowOff>
    </xdr:from>
    <xdr:to>
      <xdr:col>17</xdr:col>
      <xdr:colOff>0</xdr:colOff>
      <xdr:row>291</xdr:row>
      <xdr:rowOff>0</xdr:rowOff>
    </xdr:to>
    <xdr:sp macro="" textlink="" fLocksText="0">
      <xdr:nvSpPr>
        <xdr:cNvPr id="56" name="正方形/長方形 1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2933700" y="54797325"/>
          <a:ext cx="1600200" cy="75247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MD_ERROR</a:t>
          </a:r>
          <a:endParaRPr lang="vi-VN" altLang="ja-JP" sz="1100" b="0" i="0" u="none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1100" b="0" i="0" u="none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11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処理エラー</a:t>
          </a:r>
        </a:p>
      </xdr:txBody>
    </xdr:sp>
    <xdr:clientData/>
  </xdr:twoCellAnchor>
  <xdr:twoCellAnchor>
    <xdr:from>
      <xdr:col>14</xdr:col>
      <xdr:colOff>0</xdr:colOff>
      <xdr:row>281</xdr:row>
      <xdr:rowOff>183243</xdr:rowOff>
    </xdr:from>
    <xdr:to>
      <xdr:col>14</xdr:col>
      <xdr:colOff>1</xdr:colOff>
      <xdr:row>287</xdr:row>
      <xdr:rowOff>6350</xdr:rowOff>
    </xdr:to>
    <xdr:cxnSp macro="">
      <xdr:nvCxnSpPr>
        <xdr:cNvPr id="57" name="Connector: Elbow 84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505" idx="2"/>
          <a:endCxn id="56" idx="0"/>
        </xdr:cNvCxnSpPr>
      </xdr:nvCxnSpPr>
      <xdr:spPr>
        <a:xfrm>
          <a:off x="3733800" y="53825775"/>
          <a:ext cx="0" cy="9715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291</xdr:row>
      <xdr:rowOff>0</xdr:rowOff>
    </xdr:from>
    <xdr:to>
      <xdr:col>15</xdr:col>
      <xdr:colOff>0</xdr:colOff>
      <xdr:row>292</xdr:row>
      <xdr:rowOff>0</xdr:rowOff>
    </xdr:to>
    <xdr:sp macro="" textlink="" fLocksText="0">
      <xdr:nvSpPr>
        <xdr:cNvPr id="58" name="四角形: 角を丸くする 1101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/>
      </xdr:nvSpPr>
      <xdr:spPr>
        <a:xfrm>
          <a:off x="3467100" y="55549800"/>
          <a:ext cx="5334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8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  <a:endParaRPr lang="ja-JP" altLang="en-US" sz="8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280</xdr:row>
      <xdr:rowOff>0</xdr:rowOff>
    </xdr:from>
    <xdr:to>
      <xdr:col>61</xdr:col>
      <xdr:colOff>0</xdr:colOff>
      <xdr:row>282</xdr:row>
      <xdr:rowOff>0</xdr:rowOff>
    </xdr:to>
    <xdr:sp macro="" textlink="" fLocksText="0">
      <xdr:nvSpPr>
        <xdr:cNvPr id="59" name="吹き出し: 線 2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10134600" y="53454300"/>
          <a:ext cx="6134100" cy="381000"/>
        </a:xfrm>
        <a:prstGeom prst="borderCallout1">
          <a:avLst>
            <a:gd name="adj1" fmla="val 51151"/>
            <a:gd name="adj2" fmla="val 232"/>
            <a:gd name="adj3" fmla="val 93387"/>
            <a:gd name="adj4" fmla="val -9593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FF"/>
              </a:solidFill>
              <a:latin typeface="Meiryo UI"/>
              <a:ea typeface="Meiryo UI" panose="020B0604030504040204" pitchFamily="34" charset="-128"/>
            </a:rPr>
            <a:t>▪形式が不正な場合、取込ファイル形式は正しくありません。</a:t>
          </a:r>
        </a:p>
      </xdr:txBody>
    </xdr:sp>
    <xdr:clientData/>
  </xdr:twoCellAnchor>
  <xdr:oneCellAnchor>
    <xdr:from>
      <xdr:col>68</xdr:col>
      <xdr:colOff>0</xdr:colOff>
      <xdr:row>283</xdr:row>
      <xdr:rowOff>0</xdr:rowOff>
    </xdr:from>
    <xdr:ext cx="13001625" cy="3238500"/>
    <xdr:pic>
      <xdr:nvPicPr>
        <xdr:cNvPr id="60" name="img211703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57" b="10447"/>
        <a:stretch>
          <a:fillRect/>
        </a:stretch>
      </xdr:blipFill>
      <xdr:spPr bwMode="auto">
        <a:xfrm>
          <a:off x="18449925" y="54025800"/>
          <a:ext cx="13001625" cy="3238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125</xdr:col>
      <xdr:colOff>0</xdr:colOff>
      <xdr:row>282</xdr:row>
      <xdr:rowOff>171450</xdr:rowOff>
    </xdr:from>
    <xdr:ext cx="12934950" cy="3448050"/>
    <xdr:pic>
      <xdr:nvPicPr>
        <xdr:cNvPr id="62" name="img552273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870" b="-1522"/>
        <a:stretch>
          <a:fillRect/>
        </a:stretch>
      </xdr:blipFill>
      <xdr:spPr bwMode="auto">
        <a:xfrm>
          <a:off x="33651825" y="54006750"/>
          <a:ext cx="12934950" cy="3448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2</xdr:col>
      <xdr:colOff>4162</xdr:colOff>
      <xdr:row>275</xdr:row>
      <xdr:rowOff>12700</xdr:rowOff>
    </xdr:from>
    <xdr:to>
      <xdr:col>8</xdr:col>
      <xdr:colOff>0</xdr:colOff>
      <xdr:row>279</xdr:row>
      <xdr:rowOff>0</xdr:rowOff>
    </xdr:to>
    <xdr:sp macro="" textlink="" fLocksText="0">
      <xdr:nvSpPr>
        <xdr:cNvPr id="457" name="四角形: 角を丸くする 3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533400" y="52511325"/>
          <a:ext cx="1600200" cy="75247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KN4004</a:t>
          </a:r>
        </a:p>
        <a:p>
          <a:pPr algn="ctr">
            <a:defRPr lang="en-US" altLang="ja-JP" sz="10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csvファイルバリデーションチェック機能</a:t>
          </a:r>
        </a:p>
      </xdr:txBody>
    </xdr:sp>
    <xdr:clientData/>
  </xdr:twoCellAnchor>
  <xdr:twoCellAnchor>
    <xdr:from>
      <xdr:col>5</xdr:col>
      <xdr:colOff>0</xdr:colOff>
      <xdr:row>273</xdr:row>
      <xdr:rowOff>0</xdr:rowOff>
    </xdr:from>
    <xdr:to>
      <xdr:col>5</xdr:col>
      <xdr:colOff>2081</xdr:colOff>
      <xdr:row>275</xdr:row>
      <xdr:rowOff>12700</xdr:rowOff>
    </xdr:to>
    <xdr:cxnSp macro="">
      <xdr:nvCxnSpPr>
        <xdr:cNvPr id="461" name="Connector: Elbow 84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CxnSpPr>
          <a:stCxn id="20" idx="2"/>
          <a:endCxn id="457" idx="0"/>
        </xdr:cNvCxnSpPr>
      </xdr:nvCxnSpPr>
      <xdr:spPr>
        <a:xfrm>
          <a:off x="1333500" y="52120800"/>
          <a:ext cx="0" cy="390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22412</xdr:colOff>
      <xdr:row>273</xdr:row>
      <xdr:rowOff>11205</xdr:rowOff>
    </xdr:from>
    <xdr:to>
      <xdr:col>61</xdr:col>
      <xdr:colOff>22412</xdr:colOff>
      <xdr:row>275</xdr:row>
      <xdr:rowOff>0</xdr:rowOff>
    </xdr:to>
    <xdr:sp macro="" textlink="" fLocksText="0">
      <xdr:nvSpPr>
        <xdr:cNvPr id="467" name="吹き出し: 線 2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SpPr/>
      </xdr:nvSpPr>
      <xdr:spPr>
        <a:xfrm>
          <a:off x="10153650" y="52130325"/>
          <a:ext cx="6134100" cy="371475"/>
        </a:xfrm>
        <a:prstGeom prst="borderCallout1">
          <a:avLst>
            <a:gd name="adj1" fmla="val 48210"/>
            <a:gd name="adj2" fmla="val 884"/>
            <a:gd name="adj3" fmla="val 237376"/>
            <a:gd name="adj4" fmla="val -13216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r>
            <a:rPr 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以下のフォーマットファイルのバリデーションチェックを行う。</a:t>
          </a:r>
        </a:p>
        <a:p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CSV</a:t>
          </a:r>
          <a:endParaRPr lang="en-US" sz="10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5</xdr:col>
      <xdr:colOff>0</xdr:colOff>
      <xdr:row>279</xdr:row>
      <xdr:rowOff>0</xdr:rowOff>
    </xdr:from>
    <xdr:to>
      <xdr:col>5</xdr:col>
      <xdr:colOff>2081</xdr:colOff>
      <xdr:row>281</xdr:row>
      <xdr:rowOff>0</xdr:rowOff>
    </xdr:to>
    <xdr:cxnSp macro="">
      <xdr:nvCxnSpPr>
        <xdr:cNvPr id="501" name="Connector: Elbow 84">
          <a:extLst>
            <a:ext uri="{FF2B5EF4-FFF2-40B4-BE49-F238E27FC236}">
              <a16:creationId xmlns:a16="http://schemas.microsoft.com/office/drawing/2014/main" id="{00000000-0008-0000-0400-0000F5010000}"/>
            </a:ext>
          </a:extLst>
        </xdr:cNvPr>
        <xdr:cNvCxnSpPr>
          <a:stCxn id="457" idx="2"/>
          <a:endCxn id="504" idx="0"/>
        </xdr:cNvCxnSpPr>
      </xdr:nvCxnSpPr>
      <xdr:spPr>
        <a:xfrm flipH="1">
          <a:off x="1333500" y="53263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281</xdr:row>
      <xdr:rowOff>0</xdr:rowOff>
    </xdr:from>
    <xdr:to>
      <xdr:col>7</xdr:col>
      <xdr:colOff>0</xdr:colOff>
      <xdr:row>281</xdr:row>
      <xdr:rowOff>176893</xdr:rowOff>
    </xdr:to>
    <xdr:sp macro="" textlink="" fLocksText="0">
      <xdr:nvSpPr>
        <xdr:cNvPr id="504" name="四角形: 角を丸くする 1101">
          <a:extLst>
            <a:ext uri="{FF2B5EF4-FFF2-40B4-BE49-F238E27FC236}">
              <a16:creationId xmlns:a16="http://schemas.microsoft.com/office/drawing/2014/main" id="{00000000-0008-0000-0400-0000F8010000}"/>
            </a:ext>
          </a:extLst>
        </xdr:cNvPr>
        <xdr:cNvSpPr/>
      </xdr:nvSpPr>
      <xdr:spPr>
        <a:xfrm>
          <a:off x="800100" y="53644800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  <a:endParaRPr lang="ja-JP" altLang="en-US" sz="9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12</xdr:col>
      <xdr:colOff>0</xdr:colOff>
      <xdr:row>281</xdr:row>
      <xdr:rowOff>0</xdr:rowOff>
    </xdr:from>
    <xdr:to>
      <xdr:col>16</xdr:col>
      <xdr:colOff>0</xdr:colOff>
      <xdr:row>281</xdr:row>
      <xdr:rowOff>183243</xdr:rowOff>
    </xdr:to>
    <xdr:sp macro="" textlink="" fLocksText="0">
      <xdr:nvSpPr>
        <xdr:cNvPr id="505" name="四角形: 角を丸くする 1101">
          <a:extLst>
            <a:ext uri="{FF2B5EF4-FFF2-40B4-BE49-F238E27FC236}">
              <a16:creationId xmlns:a16="http://schemas.microsoft.com/office/drawing/2014/main" id="{00000000-0008-0000-0400-0000F9010000}"/>
            </a:ext>
          </a:extLst>
        </xdr:cNvPr>
        <xdr:cNvSpPr/>
      </xdr:nvSpPr>
      <xdr:spPr>
        <a:xfrm>
          <a:off x="3200400" y="53644800"/>
          <a:ext cx="1066800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  <a:endParaRPr lang="ja-JP" altLang="en-US" sz="90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2081</xdr:colOff>
      <xdr:row>279</xdr:row>
      <xdr:rowOff>0</xdr:rowOff>
    </xdr:from>
    <xdr:to>
      <xdr:col>14</xdr:col>
      <xdr:colOff>0</xdr:colOff>
      <xdr:row>281</xdr:row>
      <xdr:rowOff>0</xdr:rowOff>
    </xdr:to>
    <xdr:cxnSp macro="">
      <xdr:nvCxnSpPr>
        <xdr:cNvPr id="507" name="Connector: Elbow 84">
          <a:extLst>
            <a:ext uri="{FF2B5EF4-FFF2-40B4-BE49-F238E27FC236}">
              <a16:creationId xmlns:a16="http://schemas.microsoft.com/office/drawing/2014/main" id="{00000000-0008-0000-0400-0000FB010000}"/>
            </a:ext>
          </a:extLst>
        </xdr:cNvPr>
        <xdr:cNvCxnSpPr>
          <a:stCxn id="457" idx="2"/>
          <a:endCxn id="505" idx="0"/>
        </xdr:cNvCxnSpPr>
      </xdr:nvCxnSpPr>
      <xdr:spPr>
        <a:xfrm rot="16200000" flipH="1">
          <a:off x="1333500" y="53263800"/>
          <a:ext cx="2400300" cy="381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13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30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8"/>
      <c r="AP2" s="11" t="str">
        <f>改訂履歴!$H$11</f>
        <v>AnhDD</v>
      </c>
      <c r="AQ2" s="10"/>
      <c r="AR2" s="10"/>
      <c r="AS2" s="9"/>
      <c r="AT2" s="63">
        <f>改訂履歴!$B$11</f>
        <v>45432</v>
      </c>
      <c r="AU2" s="64"/>
      <c r="AV2" s="64"/>
      <c r="AW2" s="64"/>
      <c r="AX2" s="65"/>
      <c r="AY2" s="11" t="str">
        <f>LOOKUP(2,1/(改訂履歴!H11:H30000&lt;&gt;""),改訂履歴!H11:H30000)</f>
        <v>DuNT</v>
      </c>
      <c r="AZ2" s="10"/>
      <c r="BA2" s="10"/>
      <c r="BB2" s="9"/>
      <c r="BC2" s="63">
        <f>LOOKUP(2,1/(改訂履歴!B11:B30000&lt;&gt;""),改訂履歴!B11:B30000)</f>
        <v>45576</v>
      </c>
      <c r="BD2" s="64"/>
      <c r="BE2" s="64"/>
      <c r="BF2" s="64"/>
      <c r="BG2" s="65"/>
      <c r="BH2" s="57">
        <f>LOOKUP(2,1/(改訂履歴!O11:O30000&lt;&gt;""),改訂履歴!O11:O30000)</f>
        <v>0.5</v>
      </c>
      <c r="BI2" s="58"/>
      <c r="BJ2" s="58"/>
      <c r="BK2" s="59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49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8"/>
      <c r="AQ3" s="7"/>
      <c r="AR3" s="7"/>
      <c r="AS3" s="6"/>
      <c r="AT3" s="66"/>
      <c r="AU3" s="67"/>
      <c r="AV3" s="67"/>
      <c r="AW3" s="67"/>
      <c r="AX3" s="68"/>
      <c r="AY3" s="8"/>
      <c r="AZ3" s="7"/>
      <c r="BA3" s="7"/>
      <c r="BB3" s="6"/>
      <c r="BC3" s="66"/>
      <c r="BD3" s="67"/>
      <c r="BE3" s="67"/>
      <c r="BF3" s="67"/>
      <c r="BG3" s="68"/>
      <c r="BH3" s="60"/>
      <c r="BI3" s="61"/>
      <c r="BJ3" s="61"/>
      <c r="BK3" s="62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54" t="s">
        <v>33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6"/>
      <c r="U4" s="14" t="s">
        <v>8</v>
      </c>
      <c r="V4" s="13"/>
      <c r="W4" s="13"/>
      <c r="X4" s="13"/>
      <c r="Y4" s="12"/>
      <c r="Z4" s="54" t="s">
        <v>14</v>
      </c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6"/>
      <c r="AP4" s="54" t="str">
        <f t="array" aca="1" ref="AP4" ca="1">RIGHT(CELL("filename",$A$1),LEN(CELL("filename",$A$1))-FIND("]",CELL("filename",$A$1)))</f>
        <v>表紙</v>
      </c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6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52" t="s">
        <v>32</v>
      </c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26"/>
      <c r="BK16" s="18"/>
    </row>
    <row r="17" spans="1:63" ht="15" customHeight="1" x14ac:dyDescent="0.25">
      <c r="A17" s="15"/>
      <c r="K17" s="20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26"/>
      <c r="BK17" s="18"/>
    </row>
    <row r="18" spans="1:63" ht="15" customHeight="1" x14ac:dyDescent="0.25">
      <c r="A18" s="15"/>
      <c r="K18" s="20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26"/>
      <c r="BK18" s="18"/>
    </row>
    <row r="19" spans="1:63" ht="15" customHeight="1" x14ac:dyDescent="0.25">
      <c r="A19" s="15"/>
      <c r="K19" s="20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26"/>
      <c r="BK19" s="18"/>
    </row>
    <row r="20" spans="1:63" ht="15" customHeight="1" x14ac:dyDescent="0.25">
      <c r="A20" s="15"/>
      <c r="K20" s="20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26"/>
      <c r="BK20" s="18"/>
    </row>
    <row r="21" spans="1:63" ht="15" customHeight="1" x14ac:dyDescent="0.25">
      <c r="A21" s="15"/>
      <c r="K21" s="20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53" t="str">
        <f>K2&amp;"/"&amp;H4&amp;"/"&amp;Z4</f>
        <v>POSサーバ/40_従業員設定/概要設計</v>
      </c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26"/>
      <c r="BK24" s="18"/>
    </row>
    <row r="25" spans="1:63" ht="15" customHeight="1" x14ac:dyDescent="0.25">
      <c r="A25" s="15"/>
      <c r="K25" s="20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26"/>
      <c r="BK25" s="18"/>
    </row>
    <row r="26" spans="1:63" ht="15" customHeight="1" x14ac:dyDescent="0.25">
      <c r="A26" s="15"/>
      <c r="K26" s="20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26"/>
      <c r="BK26" s="18"/>
    </row>
    <row r="27" spans="1:63" ht="15" customHeight="1" x14ac:dyDescent="0.25">
      <c r="A27" s="15"/>
      <c r="K27" s="20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26"/>
      <c r="BK27" s="18"/>
    </row>
    <row r="28" spans="1:63" ht="15" customHeight="1" x14ac:dyDescent="0.25">
      <c r="A28" s="15"/>
      <c r="K28" s="20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26"/>
      <c r="BK28" s="18"/>
    </row>
    <row r="29" spans="1:63" ht="15" customHeight="1" x14ac:dyDescent="0.25">
      <c r="A29" s="15"/>
      <c r="K29" s="20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26"/>
      <c r="BK29" s="18"/>
    </row>
    <row r="30" spans="1:63" ht="15" customHeight="1" x14ac:dyDescent="0.25">
      <c r="A30" s="15"/>
      <c r="K30" s="20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26"/>
      <c r="BK30" s="18"/>
    </row>
    <row r="31" spans="1:63" ht="15" customHeight="1" x14ac:dyDescent="0.25">
      <c r="A31" s="15"/>
      <c r="K31" s="20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26"/>
      <c r="BK31" s="18"/>
    </row>
    <row r="32" spans="1:63" ht="15" customHeight="1" x14ac:dyDescent="0.25">
      <c r="A32" s="15"/>
      <c r="K32" s="20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26"/>
      <c r="BK32" s="18"/>
    </row>
    <row r="33" spans="1:63" ht="15" customHeight="1" x14ac:dyDescent="0.25">
      <c r="A33" s="15"/>
      <c r="K33" s="20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26"/>
      <c r="BK33" s="18"/>
    </row>
    <row r="34" spans="1:63" ht="15" customHeight="1" x14ac:dyDescent="0.25">
      <c r="A34" s="15"/>
      <c r="K34" s="20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26"/>
      <c r="BK34" s="18"/>
    </row>
    <row r="35" spans="1:63" ht="15" customHeight="1" x14ac:dyDescent="0.25">
      <c r="A35" s="15"/>
      <c r="K35" s="20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26"/>
      <c r="BK35" s="18"/>
    </row>
    <row r="36" spans="1:63" ht="15" customHeight="1" x14ac:dyDescent="0.25">
      <c r="A36" s="15"/>
      <c r="K36" s="20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72" t="s">
        <v>10</v>
      </c>
      <c r="R44" s="73"/>
      <c r="S44" s="73"/>
      <c r="T44" s="73"/>
      <c r="U44" s="73"/>
      <c r="V44" s="73"/>
      <c r="W44" s="73"/>
      <c r="X44" s="73"/>
      <c r="Y44" s="73"/>
      <c r="Z44" s="74"/>
      <c r="AA44" s="72" t="s">
        <v>11</v>
      </c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4"/>
      <c r="AQ44" s="72" t="s">
        <v>7</v>
      </c>
      <c r="AR44" s="73"/>
      <c r="AS44" s="73"/>
      <c r="AT44" s="73"/>
      <c r="AU44" s="74"/>
      <c r="BK44" s="18"/>
    </row>
    <row r="45" spans="1:63" ht="15" customHeight="1" x14ac:dyDescent="0.25">
      <c r="A45" s="15"/>
      <c r="Q45" s="75"/>
      <c r="R45" s="76"/>
      <c r="S45" s="76"/>
      <c r="T45" s="76"/>
      <c r="U45" s="76"/>
      <c r="V45" s="76"/>
      <c r="W45" s="76"/>
      <c r="X45" s="76"/>
      <c r="Y45" s="76"/>
      <c r="Z45" s="77"/>
      <c r="AA45" s="75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7"/>
      <c r="AQ45" s="75"/>
      <c r="AR45" s="76"/>
      <c r="AS45" s="76"/>
      <c r="AT45" s="76"/>
      <c r="AU45" s="77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69"/>
      <c r="R47" s="70"/>
      <c r="S47" s="70"/>
      <c r="T47" s="70"/>
      <c r="U47" s="70"/>
      <c r="V47" s="70"/>
      <c r="W47" s="70"/>
      <c r="X47" s="70"/>
      <c r="Y47" s="70"/>
      <c r="Z47" s="71"/>
      <c r="AA47" s="69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1"/>
      <c r="AQ47" s="69"/>
      <c r="AR47" s="70"/>
      <c r="AS47" s="70"/>
      <c r="AT47" s="70"/>
      <c r="AU47" s="71"/>
      <c r="BK47" s="18"/>
    </row>
    <row r="48" spans="1:63" ht="15" customHeight="1" x14ac:dyDescent="0.25">
      <c r="A48" s="15"/>
      <c r="Q48" s="69"/>
      <c r="R48" s="70"/>
      <c r="S48" s="70"/>
      <c r="T48" s="70"/>
      <c r="U48" s="70"/>
      <c r="V48" s="70"/>
      <c r="W48" s="70"/>
      <c r="X48" s="70"/>
      <c r="Y48" s="70"/>
      <c r="Z48" s="71"/>
      <c r="AA48" s="69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1"/>
      <c r="AQ48" s="69"/>
      <c r="AR48" s="70"/>
      <c r="AS48" s="70"/>
      <c r="AT48" s="70"/>
      <c r="AU48" s="71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236" customWidth="1"/>
    <col min="61" max="16384" width="2.77734375" style="236"/>
  </cols>
  <sheetData>
    <row r="1" spans="1:63" ht="24.95" customHeight="1" x14ac:dyDescent="0.25">
      <c r="A1" s="230" t="s">
        <v>52</v>
      </c>
      <c r="B1" s="231"/>
      <c r="C1" s="231"/>
      <c r="D1" s="231"/>
      <c r="E1" s="231"/>
      <c r="F1" s="231"/>
      <c r="G1" s="231"/>
      <c r="H1" s="231"/>
      <c r="I1" s="231"/>
      <c r="J1" s="232"/>
      <c r="K1" s="230" t="s">
        <v>53</v>
      </c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2"/>
      <c r="W1" s="233" t="str">
        <f>IF(表紙!W1="","",表紙!W1)</f>
        <v>基本設計書</v>
      </c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5"/>
      <c r="AP1" s="230" t="s">
        <v>54</v>
      </c>
      <c r="AQ1" s="231"/>
      <c r="AR1" s="231"/>
      <c r="AS1" s="232"/>
      <c r="AT1" s="230" t="s">
        <v>55</v>
      </c>
      <c r="AU1" s="231"/>
      <c r="AV1" s="231"/>
      <c r="AW1" s="231"/>
      <c r="AX1" s="232"/>
      <c r="AY1" s="230" t="s">
        <v>56</v>
      </c>
      <c r="AZ1" s="231"/>
      <c r="BA1" s="231"/>
      <c r="BB1" s="232"/>
      <c r="BC1" s="230" t="s">
        <v>57</v>
      </c>
      <c r="BD1" s="231"/>
      <c r="BE1" s="231"/>
      <c r="BF1" s="231"/>
      <c r="BG1" s="232"/>
      <c r="BH1" s="230" t="s">
        <v>58</v>
      </c>
      <c r="BI1" s="231"/>
      <c r="BJ1" s="231"/>
      <c r="BK1" s="232"/>
    </row>
    <row r="2" spans="1:63" ht="15" customHeight="1" x14ac:dyDescent="0.25">
      <c r="A2" s="204" t="str">
        <f>IF(表紙!A2="","",表紙!A2)</f>
        <v>POSサーバー</v>
      </c>
      <c r="B2" s="202"/>
      <c r="C2" s="202"/>
      <c r="D2" s="202"/>
      <c r="E2" s="202"/>
      <c r="F2" s="202"/>
      <c r="G2" s="202"/>
      <c r="H2" s="202"/>
      <c r="I2" s="202"/>
      <c r="J2" s="203"/>
      <c r="K2" s="204" t="str">
        <f>IF(表紙!K2="","",表紙!K2)</f>
        <v>POSサーバ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37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9"/>
      <c r="AP2" s="204" t="str">
        <f>IF(表紙!AP2="","",表紙!AP2)</f>
        <v>AnhDD</v>
      </c>
      <c r="AQ2" s="202"/>
      <c r="AR2" s="202"/>
      <c r="AS2" s="203"/>
      <c r="AT2" s="201">
        <f>IF(表紙!AT2="","",表紙!AT2)</f>
        <v>45432</v>
      </c>
      <c r="AU2" s="240"/>
      <c r="AV2" s="240"/>
      <c r="AW2" s="240"/>
      <c r="AX2" s="241"/>
      <c r="AY2" s="204" t="str">
        <f>IF(表紙!AY2="","",表紙!AY2)</f>
        <v>DuNT</v>
      </c>
      <c r="AZ2" s="202"/>
      <c r="BA2" s="202"/>
      <c r="BB2" s="203"/>
      <c r="BC2" s="201">
        <f>IF(表紙!BC2="","",表紙!BC2)</f>
        <v>45576</v>
      </c>
      <c r="BD2" s="240"/>
      <c r="BE2" s="240"/>
      <c r="BF2" s="240"/>
      <c r="BG2" s="241"/>
      <c r="BH2" s="204">
        <f>IF(表紙!BH2="","",表紙!BH2)</f>
        <v>0.5</v>
      </c>
      <c r="BI2" s="202"/>
      <c r="BJ2" s="202"/>
      <c r="BK2" s="203"/>
    </row>
    <row r="3" spans="1:63" ht="15" customHeight="1" x14ac:dyDescent="0.25">
      <c r="A3" s="208"/>
      <c r="B3" s="209"/>
      <c r="C3" s="209"/>
      <c r="D3" s="209"/>
      <c r="E3" s="209"/>
      <c r="F3" s="209"/>
      <c r="G3" s="209"/>
      <c r="H3" s="209"/>
      <c r="I3" s="209"/>
      <c r="J3" s="210"/>
      <c r="K3" s="208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10"/>
      <c r="W3" s="242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4"/>
      <c r="AP3" s="208"/>
      <c r="AQ3" s="209"/>
      <c r="AR3" s="209"/>
      <c r="AS3" s="210"/>
      <c r="AT3" s="245"/>
      <c r="AU3" s="246"/>
      <c r="AV3" s="246"/>
      <c r="AW3" s="246"/>
      <c r="AX3" s="247"/>
      <c r="AY3" s="208"/>
      <c r="AZ3" s="209"/>
      <c r="BA3" s="209"/>
      <c r="BB3" s="210"/>
      <c r="BC3" s="245"/>
      <c r="BD3" s="246"/>
      <c r="BE3" s="246"/>
      <c r="BF3" s="246"/>
      <c r="BG3" s="247"/>
      <c r="BH3" s="208"/>
      <c r="BI3" s="209"/>
      <c r="BJ3" s="209"/>
      <c r="BK3" s="210"/>
    </row>
    <row r="4" spans="1:63" ht="24.95" customHeight="1" x14ac:dyDescent="0.25">
      <c r="A4" s="230" t="s">
        <v>59</v>
      </c>
      <c r="B4" s="231"/>
      <c r="C4" s="231"/>
      <c r="D4" s="231"/>
      <c r="E4" s="231"/>
      <c r="F4" s="231"/>
      <c r="G4" s="232"/>
      <c r="H4" s="248" t="str">
        <f>IF(表紙!H4="","",表紙!H4)</f>
        <v>40_従業員設定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50"/>
      <c r="U4" s="230" t="s">
        <v>60</v>
      </c>
      <c r="V4" s="231"/>
      <c r="W4" s="231"/>
      <c r="X4" s="231"/>
      <c r="Y4" s="232"/>
      <c r="Z4" s="248" t="str">
        <f>IF(表紙!Z4="","",表紙!Z4)</f>
        <v>概要設計</v>
      </c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50"/>
      <c r="AP4" s="248" t="str">
        <f t="array" aca="1" ref="AP4" ca="1">RIGHT(CELL("filename",$A$1),LEN(CELL("filename",$A$1))-FIND("]",CELL("filename",$A$1)))</f>
        <v>改訂履歴</v>
      </c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50"/>
    </row>
    <row r="5" spans="1:63" ht="5.0999999999999996" customHeight="1" x14ac:dyDescent="0.25">
      <c r="A5" s="251"/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3"/>
    </row>
    <row r="6" spans="1:63" ht="15" customHeight="1" x14ac:dyDescent="0.25">
      <c r="A6" s="254"/>
      <c r="BK6" s="255"/>
    </row>
    <row r="7" spans="1:63" ht="15" customHeight="1" x14ac:dyDescent="0.25">
      <c r="A7" s="254"/>
      <c r="BK7" s="255"/>
    </row>
    <row r="8" spans="1:63" ht="15" customHeight="1" x14ac:dyDescent="0.25">
      <c r="A8" s="254"/>
      <c r="B8" s="236" t="s">
        <v>9</v>
      </c>
      <c r="BK8" s="255"/>
    </row>
    <row r="9" spans="1:63" ht="15" customHeight="1" x14ac:dyDescent="0.25">
      <c r="A9" s="254"/>
      <c r="BK9" s="255"/>
    </row>
    <row r="10" spans="1:63" ht="15" customHeight="1" x14ac:dyDescent="0.25">
      <c r="A10" s="254"/>
      <c r="B10" s="256" t="s">
        <v>57</v>
      </c>
      <c r="C10" s="256"/>
      <c r="D10" s="256"/>
      <c r="E10" s="256"/>
      <c r="F10" s="256"/>
      <c r="G10" s="256"/>
      <c r="H10" s="256" t="s">
        <v>56</v>
      </c>
      <c r="I10" s="256"/>
      <c r="J10" s="256"/>
      <c r="K10" s="256"/>
      <c r="L10" s="256"/>
      <c r="M10" s="256"/>
      <c r="N10" s="256"/>
      <c r="O10" s="256" t="s">
        <v>58</v>
      </c>
      <c r="P10" s="256"/>
      <c r="Q10" s="256"/>
      <c r="R10" s="256"/>
      <c r="S10" s="256" t="s">
        <v>61</v>
      </c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 t="s">
        <v>62</v>
      </c>
      <c r="AY10" s="256"/>
      <c r="AZ10" s="256"/>
      <c r="BA10" s="256"/>
      <c r="BB10" s="256"/>
      <c r="BC10" s="256"/>
      <c r="BD10" s="256" t="s">
        <v>63</v>
      </c>
      <c r="BE10" s="256"/>
      <c r="BF10" s="256"/>
      <c r="BG10" s="256"/>
      <c r="BH10" s="256"/>
      <c r="BI10" s="256"/>
      <c r="BJ10" s="256"/>
      <c r="BK10" s="255"/>
    </row>
    <row r="11" spans="1:63" ht="15" customHeight="1" x14ac:dyDescent="0.25">
      <c r="A11" s="254"/>
      <c r="B11" s="78">
        <v>45432</v>
      </c>
      <c r="C11" s="79"/>
      <c r="D11" s="79"/>
      <c r="E11" s="79"/>
      <c r="F11" s="79"/>
      <c r="G11" s="80"/>
      <c r="H11" s="84" t="s">
        <v>43</v>
      </c>
      <c r="I11" s="79"/>
      <c r="J11" s="79"/>
      <c r="K11" s="79"/>
      <c r="L11" s="79"/>
      <c r="M11" s="79"/>
      <c r="N11" s="80"/>
      <c r="O11" s="84">
        <v>0.1</v>
      </c>
      <c r="P11" s="79"/>
      <c r="Q11" s="79"/>
      <c r="R11" s="79"/>
      <c r="S11" s="85" t="s">
        <v>48</v>
      </c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7"/>
      <c r="AX11" s="257"/>
      <c r="AY11" s="257"/>
      <c r="AZ11" s="257"/>
      <c r="BA11" s="257"/>
      <c r="BB11" s="257"/>
      <c r="BC11" s="258"/>
      <c r="BD11" s="259"/>
      <c r="BE11" s="257"/>
      <c r="BF11" s="257"/>
      <c r="BG11" s="257"/>
      <c r="BH11" s="257"/>
      <c r="BI11" s="257"/>
      <c r="BJ11" s="258"/>
      <c r="BK11" s="255"/>
    </row>
    <row r="12" spans="1:63" ht="15" customHeight="1" x14ac:dyDescent="0.25">
      <c r="A12" s="254"/>
      <c r="B12" s="81"/>
      <c r="C12" s="82"/>
      <c r="D12" s="82"/>
      <c r="E12" s="82"/>
      <c r="F12" s="82"/>
      <c r="G12" s="83"/>
      <c r="H12" s="81"/>
      <c r="I12" s="82"/>
      <c r="J12" s="82"/>
      <c r="K12" s="82"/>
      <c r="L12" s="82"/>
      <c r="M12" s="82"/>
      <c r="N12" s="83"/>
      <c r="O12" s="81"/>
      <c r="P12" s="82"/>
      <c r="Q12" s="82"/>
      <c r="R12" s="82"/>
      <c r="S12" s="88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90"/>
      <c r="AX12" s="260"/>
      <c r="AY12" s="260"/>
      <c r="AZ12" s="260"/>
      <c r="BA12" s="260"/>
      <c r="BB12" s="260"/>
      <c r="BC12" s="261"/>
      <c r="BD12" s="262"/>
      <c r="BE12" s="260"/>
      <c r="BF12" s="260"/>
      <c r="BG12" s="260"/>
      <c r="BH12" s="260"/>
      <c r="BI12" s="260"/>
      <c r="BJ12" s="261"/>
      <c r="BK12" s="255"/>
    </row>
    <row r="13" spans="1:63" ht="15" customHeight="1" x14ac:dyDescent="0.25">
      <c r="A13" s="254"/>
      <c r="B13" s="78">
        <v>45449</v>
      </c>
      <c r="C13" s="79"/>
      <c r="D13" s="79"/>
      <c r="E13" s="79"/>
      <c r="F13" s="79"/>
      <c r="G13" s="80"/>
      <c r="H13" s="84" t="s">
        <v>43</v>
      </c>
      <c r="I13" s="79"/>
      <c r="J13" s="79"/>
      <c r="K13" s="79"/>
      <c r="L13" s="79"/>
      <c r="M13" s="79"/>
      <c r="N13" s="80"/>
      <c r="O13" s="84">
        <v>0.2</v>
      </c>
      <c r="P13" s="79"/>
      <c r="Q13" s="79"/>
      <c r="R13" s="79"/>
      <c r="S13" s="85" t="s">
        <v>49</v>
      </c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7"/>
      <c r="AX13" s="257"/>
      <c r="AY13" s="257"/>
      <c r="AZ13" s="257"/>
      <c r="BA13" s="257"/>
      <c r="BB13" s="257"/>
      <c r="BC13" s="258"/>
      <c r="BD13" s="259"/>
      <c r="BE13" s="257"/>
      <c r="BF13" s="257"/>
      <c r="BG13" s="257"/>
      <c r="BH13" s="257"/>
      <c r="BI13" s="257"/>
      <c r="BJ13" s="258"/>
      <c r="BK13" s="255"/>
    </row>
    <row r="14" spans="1:63" ht="15" customHeight="1" x14ac:dyDescent="0.25">
      <c r="A14" s="254"/>
      <c r="B14" s="81"/>
      <c r="C14" s="82"/>
      <c r="D14" s="82"/>
      <c r="E14" s="82"/>
      <c r="F14" s="82"/>
      <c r="G14" s="83"/>
      <c r="H14" s="81"/>
      <c r="I14" s="82"/>
      <c r="J14" s="82"/>
      <c r="K14" s="82"/>
      <c r="L14" s="82"/>
      <c r="M14" s="82"/>
      <c r="N14" s="83"/>
      <c r="O14" s="81"/>
      <c r="P14" s="82"/>
      <c r="Q14" s="82"/>
      <c r="R14" s="82"/>
      <c r="S14" s="88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89"/>
      <c r="AW14" s="90"/>
      <c r="AX14" s="260"/>
      <c r="AY14" s="260"/>
      <c r="AZ14" s="260"/>
      <c r="BA14" s="260"/>
      <c r="BB14" s="260"/>
      <c r="BC14" s="261"/>
      <c r="BD14" s="262"/>
      <c r="BE14" s="260"/>
      <c r="BF14" s="260"/>
      <c r="BG14" s="260"/>
      <c r="BH14" s="260"/>
      <c r="BI14" s="260"/>
      <c r="BJ14" s="261"/>
      <c r="BK14" s="255"/>
    </row>
    <row r="15" spans="1:63" ht="15" customHeight="1" x14ac:dyDescent="0.25">
      <c r="A15" s="254"/>
      <c r="B15" s="78">
        <v>45463</v>
      </c>
      <c r="C15" s="79"/>
      <c r="D15" s="79"/>
      <c r="E15" s="79"/>
      <c r="F15" s="79"/>
      <c r="G15" s="80"/>
      <c r="H15" s="84" t="s">
        <v>50</v>
      </c>
      <c r="I15" s="79"/>
      <c r="J15" s="79"/>
      <c r="K15" s="79"/>
      <c r="L15" s="79"/>
      <c r="M15" s="79"/>
      <c r="N15" s="80"/>
      <c r="O15" s="84">
        <v>0.3</v>
      </c>
      <c r="P15" s="79"/>
      <c r="Q15" s="79"/>
      <c r="R15" s="79"/>
      <c r="S15" s="85" t="s">
        <v>44</v>
      </c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7"/>
      <c r="AX15" s="263"/>
      <c r="AY15" s="263"/>
      <c r="AZ15" s="263"/>
      <c r="BA15" s="263"/>
      <c r="BB15" s="263"/>
      <c r="BC15" s="264"/>
      <c r="BD15" s="265"/>
      <c r="BE15" s="263"/>
      <c r="BF15" s="263"/>
      <c r="BG15" s="263"/>
      <c r="BH15" s="263"/>
      <c r="BI15" s="263"/>
      <c r="BJ15" s="264"/>
      <c r="BK15" s="255"/>
    </row>
    <row r="16" spans="1:63" ht="15" customHeight="1" x14ac:dyDescent="0.25">
      <c r="A16" s="254"/>
      <c r="B16" s="81"/>
      <c r="C16" s="82"/>
      <c r="D16" s="82"/>
      <c r="E16" s="82"/>
      <c r="F16" s="82"/>
      <c r="G16" s="83"/>
      <c r="H16" s="81"/>
      <c r="I16" s="82"/>
      <c r="J16" s="82"/>
      <c r="K16" s="82"/>
      <c r="L16" s="82"/>
      <c r="M16" s="82"/>
      <c r="N16" s="83"/>
      <c r="O16" s="81"/>
      <c r="P16" s="82"/>
      <c r="Q16" s="82"/>
      <c r="R16" s="82"/>
      <c r="S16" s="227" t="s">
        <v>45</v>
      </c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8"/>
      <c r="AP16" s="228"/>
      <c r="AQ16" s="228"/>
      <c r="AR16" s="228"/>
      <c r="AS16" s="228"/>
      <c r="AT16" s="228"/>
      <c r="AU16" s="228"/>
      <c r="AV16" s="228"/>
      <c r="AW16" s="229"/>
      <c r="AX16" s="266"/>
      <c r="AY16" s="266"/>
      <c r="AZ16" s="266"/>
      <c r="BA16" s="266"/>
      <c r="BB16" s="266"/>
      <c r="BC16" s="267"/>
      <c r="BD16" s="268"/>
      <c r="BE16" s="266"/>
      <c r="BF16" s="266"/>
      <c r="BG16" s="266"/>
      <c r="BH16" s="266"/>
      <c r="BI16" s="266"/>
      <c r="BJ16" s="267"/>
      <c r="BK16" s="255"/>
    </row>
    <row r="17" spans="1:63" ht="15" customHeight="1" x14ac:dyDescent="0.25">
      <c r="A17" s="254"/>
      <c r="B17" s="78">
        <v>45545</v>
      </c>
      <c r="C17" s="79"/>
      <c r="D17" s="79"/>
      <c r="E17" s="79"/>
      <c r="F17" s="79"/>
      <c r="G17" s="80"/>
      <c r="H17" s="84" t="s">
        <v>46</v>
      </c>
      <c r="I17" s="79"/>
      <c r="J17" s="79"/>
      <c r="K17" s="79"/>
      <c r="L17" s="79"/>
      <c r="M17" s="79"/>
      <c r="N17" s="80"/>
      <c r="O17" s="84">
        <v>0.4</v>
      </c>
      <c r="P17" s="79"/>
      <c r="Q17" s="79"/>
      <c r="R17" s="79"/>
      <c r="S17" s="85" t="s">
        <v>44</v>
      </c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7"/>
      <c r="AX17" s="257"/>
      <c r="AY17" s="257"/>
      <c r="AZ17" s="257"/>
      <c r="BA17" s="257"/>
      <c r="BB17" s="257"/>
      <c r="BC17" s="258"/>
      <c r="BD17" s="259"/>
      <c r="BE17" s="257"/>
      <c r="BF17" s="257"/>
      <c r="BG17" s="257"/>
      <c r="BH17" s="257"/>
      <c r="BI17" s="257"/>
      <c r="BJ17" s="258"/>
      <c r="BK17" s="255"/>
    </row>
    <row r="18" spans="1:63" ht="15" customHeight="1" x14ac:dyDescent="0.25">
      <c r="A18" s="254"/>
      <c r="B18" s="81"/>
      <c r="C18" s="82"/>
      <c r="D18" s="82"/>
      <c r="E18" s="82"/>
      <c r="F18" s="82"/>
      <c r="G18" s="83"/>
      <c r="H18" s="81"/>
      <c r="I18" s="82"/>
      <c r="J18" s="82"/>
      <c r="K18" s="82"/>
      <c r="L18" s="82"/>
      <c r="M18" s="82"/>
      <c r="N18" s="83"/>
      <c r="O18" s="81"/>
      <c r="P18" s="82"/>
      <c r="Q18" s="82"/>
      <c r="R18" s="82"/>
      <c r="S18" s="88" t="s">
        <v>47</v>
      </c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90"/>
      <c r="AX18" s="260"/>
      <c r="AY18" s="260"/>
      <c r="AZ18" s="260"/>
      <c r="BA18" s="260"/>
      <c r="BB18" s="260"/>
      <c r="BC18" s="261"/>
      <c r="BD18" s="262"/>
      <c r="BE18" s="260"/>
      <c r="BF18" s="260"/>
      <c r="BG18" s="260"/>
      <c r="BH18" s="260"/>
      <c r="BI18" s="260"/>
      <c r="BJ18" s="261"/>
      <c r="BK18" s="255"/>
    </row>
    <row r="19" spans="1:63" ht="15" customHeight="1" x14ac:dyDescent="0.25">
      <c r="A19" s="254"/>
      <c r="B19" s="214">
        <v>45576</v>
      </c>
      <c r="C19" s="215"/>
      <c r="D19" s="215"/>
      <c r="E19" s="215"/>
      <c r="F19" s="215"/>
      <c r="G19" s="216"/>
      <c r="H19" s="217" t="s">
        <v>46</v>
      </c>
      <c r="I19" s="215"/>
      <c r="J19" s="215"/>
      <c r="K19" s="215"/>
      <c r="L19" s="215"/>
      <c r="M19" s="215"/>
      <c r="N19" s="216"/>
      <c r="O19" s="217">
        <v>0.5</v>
      </c>
      <c r="P19" s="215"/>
      <c r="Q19" s="215"/>
      <c r="R19" s="215"/>
      <c r="S19" s="218" t="s">
        <v>44</v>
      </c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19"/>
      <c r="AQ19" s="219"/>
      <c r="AR19" s="219"/>
      <c r="AS19" s="219"/>
      <c r="AT19" s="219"/>
      <c r="AU19" s="219"/>
      <c r="AV19" s="219"/>
      <c r="AW19" s="220"/>
      <c r="AX19" s="257"/>
      <c r="AY19" s="257"/>
      <c r="AZ19" s="257"/>
      <c r="BA19" s="257"/>
      <c r="BB19" s="257"/>
      <c r="BC19" s="258"/>
      <c r="BD19" s="259"/>
      <c r="BE19" s="257"/>
      <c r="BF19" s="257"/>
      <c r="BG19" s="257"/>
      <c r="BH19" s="257"/>
      <c r="BI19" s="257"/>
      <c r="BJ19" s="258"/>
      <c r="BK19" s="255"/>
    </row>
    <row r="20" spans="1:63" ht="15" customHeight="1" x14ac:dyDescent="0.25">
      <c r="A20" s="254"/>
      <c r="B20" s="221"/>
      <c r="C20" s="222"/>
      <c r="D20" s="222"/>
      <c r="E20" s="222"/>
      <c r="F20" s="222"/>
      <c r="G20" s="223"/>
      <c r="H20" s="221"/>
      <c r="I20" s="222"/>
      <c r="J20" s="222"/>
      <c r="K20" s="222"/>
      <c r="L20" s="222"/>
      <c r="M20" s="222"/>
      <c r="N20" s="223"/>
      <c r="O20" s="221"/>
      <c r="P20" s="222"/>
      <c r="Q20" s="222"/>
      <c r="R20" s="222"/>
      <c r="S20" s="224" t="s">
        <v>51</v>
      </c>
      <c r="T20" s="225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5"/>
      <c r="AU20" s="225"/>
      <c r="AV20" s="225"/>
      <c r="AW20" s="226"/>
      <c r="AX20" s="260"/>
      <c r="AY20" s="260"/>
      <c r="AZ20" s="260"/>
      <c r="BA20" s="260"/>
      <c r="BB20" s="260"/>
      <c r="BC20" s="261"/>
      <c r="BD20" s="262"/>
      <c r="BE20" s="260"/>
      <c r="BF20" s="260"/>
      <c r="BG20" s="260"/>
      <c r="BH20" s="260"/>
      <c r="BI20" s="260"/>
      <c r="BJ20" s="261"/>
      <c r="BK20" s="255"/>
    </row>
    <row r="21" spans="1:63" ht="15" customHeight="1" x14ac:dyDescent="0.25">
      <c r="A21" s="254"/>
      <c r="B21" s="204"/>
      <c r="C21" s="202"/>
      <c r="D21" s="202"/>
      <c r="E21" s="202"/>
      <c r="F21" s="202"/>
      <c r="G21" s="203"/>
      <c r="H21" s="204"/>
      <c r="I21" s="202"/>
      <c r="J21" s="202"/>
      <c r="K21" s="202"/>
      <c r="L21" s="202"/>
      <c r="M21" s="202"/>
      <c r="N21" s="203"/>
      <c r="O21" s="204"/>
      <c r="P21" s="202"/>
      <c r="Q21" s="202"/>
      <c r="R21" s="202"/>
      <c r="S21" s="205"/>
      <c r="T21" s="206"/>
      <c r="U21" s="206"/>
      <c r="V21" s="206"/>
      <c r="W21" s="206"/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K21" s="206"/>
      <c r="AL21" s="206"/>
      <c r="AM21" s="206"/>
      <c r="AN21" s="206"/>
      <c r="AO21" s="206"/>
      <c r="AP21" s="206"/>
      <c r="AQ21" s="206"/>
      <c r="AR21" s="206"/>
      <c r="AS21" s="206"/>
      <c r="AT21" s="206"/>
      <c r="AU21" s="206"/>
      <c r="AV21" s="206"/>
      <c r="AW21" s="207"/>
      <c r="AX21" s="257"/>
      <c r="AY21" s="257"/>
      <c r="AZ21" s="257"/>
      <c r="BA21" s="257"/>
      <c r="BB21" s="257"/>
      <c r="BC21" s="258"/>
      <c r="BD21" s="259"/>
      <c r="BE21" s="257"/>
      <c r="BF21" s="257"/>
      <c r="BG21" s="257"/>
      <c r="BH21" s="257"/>
      <c r="BI21" s="257"/>
      <c r="BJ21" s="258"/>
      <c r="BK21" s="255"/>
    </row>
    <row r="22" spans="1:63" ht="15" customHeight="1" x14ac:dyDescent="0.25">
      <c r="A22" s="254"/>
      <c r="B22" s="208"/>
      <c r="C22" s="209"/>
      <c r="D22" s="209"/>
      <c r="E22" s="209"/>
      <c r="F22" s="209"/>
      <c r="G22" s="210"/>
      <c r="H22" s="208"/>
      <c r="I22" s="209"/>
      <c r="J22" s="209"/>
      <c r="K22" s="209"/>
      <c r="L22" s="209"/>
      <c r="M22" s="209"/>
      <c r="N22" s="210"/>
      <c r="O22" s="208"/>
      <c r="P22" s="209"/>
      <c r="Q22" s="209"/>
      <c r="R22" s="209"/>
      <c r="S22" s="211"/>
      <c r="T22" s="212"/>
      <c r="U22" s="212"/>
      <c r="V22" s="212"/>
      <c r="W22" s="212"/>
      <c r="X22" s="212"/>
      <c r="Y22" s="212"/>
      <c r="Z22" s="212"/>
      <c r="AA22" s="212"/>
      <c r="AB22" s="212"/>
      <c r="AC22" s="212"/>
      <c r="AD22" s="212"/>
      <c r="AE22" s="212"/>
      <c r="AF22" s="212"/>
      <c r="AG22" s="212"/>
      <c r="AH22" s="212"/>
      <c r="AI22" s="212"/>
      <c r="AJ22" s="212"/>
      <c r="AK22" s="212"/>
      <c r="AL22" s="212"/>
      <c r="AM22" s="212"/>
      <c r="AN22" s="212"/>
      <c r="AO22" s="212"/>
      <c r="AP22" s="212"/>
      <c r="AQ22" s="212"/>
      <c r="AR22" s="212"/>
      <c r="AS22" s="212"/>
      <c r="AT22" s="212"/>
      <c r="AU22" s="212"/>
      <c r="AV22" s="212"/>
      <c r="AW22" s="213"/>
      <c r="AX22" s="260"/>
      <c r="AY22" s="260"/>
      <c r="AZ22" s="260"/>
      <c r="BA22" s="260"/>
      <c r="BB22" s="260"/>
      <c r="BC22" s="261"/>
      <c r="BD22" s="262"/>
      <c r="BE22" s="260"/>
      <c r="BF22" s="260"/>
      <c r="BG22" s="260"/>
      <c r="BH22" s="260"/>
      <c r="BI22" s="260"/>
      <c r="BJ22" s="261"/>
      <c r="BK22" s="255"/>
    </row>
    <row r="23" spans="1:63" ht="15" customHeight="1" x14ac:dyDescent="0.25">
      <c r="A23" s="254"/>
      <c r="B23" s="204"/>
      <c r="C23" s="202"/>
      <c r="D23" s="202"/>
      <c r="E23" s="202"/>
      <c r="F23" s="202"/>
      <c r="G23" s="203"/>
      <c r="H23" s="204"/>
      <c r="I23" s="202"/>
      <c r="J23" s="202"/>
      <c r="K23" s="202"/>
      <c r="L23" s="202"/>
      <c r="M23" s="202"/>
      <c r="N23" s="203"/>
      <c r="O23" s="204"/>
      <c r="P23" s="202"/>
      <c r="Q23" s="202"/>
      <c r="R23" s="202"/>
      <c r="S23" s="205"/>
      <c r="T23" s="206"/>
      <c r="U23" s="206"/>
      <c r="V23" s="206"/>
      <c r="W23" s="206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7"/>
      <c r="AX23" s="257"/>
      <c r="AY23" s="257"/>
      <c r="AZ23" s="257"/>
      <c r="BA23" s="257"/>
      <c r="BB23" s="257"/>
      <c r="BC23" s="258"/>
      <c r="BD23" s="259"/>
      <c r="BE23" s="257"/>
      <c r="BF23" s="257"/>
      <c r="BG23" s="257"/>
      <c r="BH23" s="257"/>
      <c r="BI23" s="257"/>
      <c r="BJ23" s="258"/>
      <c r="BK23" s="255"/>
    </row>
    <row r="24" spans="1:63" ht="15" customHeight="1" x14ac:dyDescent="0.25">
      <c r="A24" s="254"/>
      <c r="B24" s="208"/>
      <c r="C24" s="209"/>
      <c r="D24" s="209"/>
      <c r="E24" s="209"/>
      <c r="F24" s="209"/>
      <c r="G24" s="210"/>
      <c r="H24" s="208"/>
      <c r="I24" s="209"/>
      <c r="J24" s="209"/>
      <c r="K24" s="209"/>
      <c r="L24" s="209"/>
      <c r="M24" s="209"/>
      <c r="N24" s="210"/>
      <c r="O24" s="208"/>
      <c r="P24" s="209"/>
      <c r="Q24" s="209"/>
      <c r="R24" s="209"/>
      <c r="S24" s="211"/>
      <c r="T24" s="212"/>
      <c r="U24" s="212"/>
      <c r="V24" s="212"/>
      <c r="W24" s="212"/>
      <c r="X24" s="212"/>
      <c r="Y24" s="212"/>
      <c r="Z24" s="212"/>
      <c r="AA24" s="212"/>
      <c r="AB24" s="212"/>
      <c r="AC24" s="212"/>
      <c r="AD24" s="212"/>
      <c r="AE24" s="212"/>
      <c r="AF24" s="212"/>
      <c r="AG24" s="212"/>
      <c r="AH24" s="212"/>
      <c r="AI24" s="212"/>
      <c r="AJ24" s="212"/>
      <c r="AK24" s="212"/>
      <c r="AL24" s="212"/>
      <c r="AM24" s="212"/>
      <c r="AN24" s="212"/>
      <c r="AO24" s="212"/>
      <c r="AP24" s="212"/>
      <c r="AQ24" s="212"/>
      <c r="AR24" s="212"/>
      <c r="AS24" s="212"/>
      <c r="AT24" s="212"/>
      <c r="AU24" s="212"/>
      <c r="AV24" s="212"/>
      <c r="AW24" s="213"/>
      <c r="AX24" s="260"/>
      <c r="AY24" s="260"/>
      <c r="AZ24" s="260"/>
      <c r="BA24" s="260"/>
      <c r="BB24" s="260"/>
      <c r="BC24" s="261"/>
      <c r="BD24" s="262"/>
      <c r="BE24" s="260"/>
      <c r="BF24" s="260"/>
      <c r="BG24" s="260"/>
      <c r="BH24" s="260"/>
      <c r="BI24" s="260"/>
      <c r="BJ24" s="261"/>
      <c r="BK24" s="255"/>
    </row>
    <row r="25" spans="1:63" ht="15" customHeight="1" x14ac:dyDescent="0.25">
      <c r="A25" s="254"/>
      <c r="B25" s="204"/>
      <c r="C25" s="202"/>
      <c r="D25" s="202"/>
      <c r="E25" s="202"/>
      <c r="F25" s="202"/>
      <c r="G25" s="203"/>
      <c r="H25" s="204"/>
      <c r="I25" s="202"/>
      <c r="J25" s="202"/>
      <c r="K25" s="202"/>
      <c r="L25" s="202"/>
      <c r="M25" s="202"/>
      <c r="N25" s="203"/>
      <c r="O25" s="204"/>
      <c r="P25" s="202"/>
      <c r="Q25" s="202"/>
      <c r="R25" s="202"/>
      <c r="S25" s="205"/>
      <c r="T25" s="206"/>
      <c r="U25" s="206"/>
      <c r="V25" s="206"/>
      <c r="W25" s="206"/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7"/>
      <c r="AX25" s="257"/>
      <c r="AY25" s="257"/>
      <c r="AZ25" s="257"/>
      <c r="BA25" s="257"/>
      <c r="BB25" s="257"/>
      <c r="BC25" s="258"/>
      <c r="BD25" s="259"/>
      <c r="BE25" s="257"/>
      <c r="BF25" s="257"/>
      <c r="BG25" s="257"/>
      <c r="BH25" s="257"/>
      <c r="BI25" s="257"/>
      <c r="BJ25" s="258"/>
      <c r="BK25" s="255"/>
    </row>
    <row r="26" spans="1:63" ht="15" customHeight="1" x14ac:dyDescent="0.25">
      <c r="A26" s="254"/>
      <c r="B26" s="208"/>
      <c r="C26" s="209"/>
      <c r="D26" s="209"/>
      <c r="E26" s="209"/>
      <c r="F26" s="209"/>
      <c r="G26" s="210"/>
      <c r="H26" s="208"/>
      <c r="I26" s="209"/>
      <c r="J26" s="209"/>
      <c r="K26" s="209"/>
      <c r="L26" s="209"/>
      <c r="M26" s="209"/>
      <c r="N26" s="210"/>
      <c r="O26" s="208"/>
      <c r="P26" s="209"/>
      <c r="Q26" s="209"/>
      <c r="R26" s="209"/>
      <c r="S26" s="211"/>
      <c r="T26" s="212"/>
      <c r="U26" s="212"/>
      <c r="V26" s="212"/>
      <c r="W26" s="212"/>
      <c r="X26" s="212"/>
      <c r="Y26" s="212"/>
      <c r="Z26" s="212"/>
      <c r="AA26" s="212"/>
      <c r="AB26" s="212"/>
      <c r="AC26" s="212"/>
      <c r="AD26" s="212"/>
      <c r="AE26" s="212"/>
      <c r="AF26" s="212"/>
      <c r="AG26" s="212"/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  <c r="AS26" s="212"/>
      <c r="AT26" s="212"/>
      <c r="AU26" s="212"/>
      <c r="AV26" s="212"/>
      <c r="AW26" s="213"/>
      <c r="AX26" s="260"/>
      <c r="AY26" s="260"/>
      <c r="AZ26" s="260"/>
      <c r="BA26" s="260"/>
      <c r="BB26" s="260"/>
      <c r="BC26" s="261"/>
      <c r="BD26" s="262"/>
      <c r="BE26" s="260"/>
      <c r="BF26" s="260"/>
      <c r="BG26" s="260"/>
      <c r="BH26" s="260"/>
      <c r="BI26" s="260"/>
      <c r="BJ26" s="261"/>
      <c r="BK26" s="255"/>
    </row>
    <row r="27" spans="1:63" ht="15" customHeight="1" x14ac:dyDescent="0.25">
      <c r="A27" s="254"/>
      <c r="B27" s="204"/>
      <c r="C27" s="202"/>
      <c r="D27" s="202"/>
      <c r="E27" s="202"/>
      <c r="F27" s="202"/>
      <c r="G27" s="203"/>
      <c r="H27" s="204"/>
      <c r="I27" s="202"/>
      <c r="J27" s="202"/>
      <c r="K27" s="202"/>
      <c r="L27" s="202"/>
      <c r="M27" s="202"/>
      <c r="N27" s="203"/>
      <c r="O27" s="204"/>
      <c r="P27" s="202"/>
      <c r="Q27" s="202"/>
      <c r="R27" s="202"/>
      <c r="S27" s="205"/>
      <c r="T27" s="206"/>
      <c r="U27" s="206"/>
      <c r="V27" s="206"/>
      <c r="W27" s="206"/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7"/>
      <c r="AX27" s="257"/>
      <c r="AY27" s="257"/>
      <c r="AZ27" s="257"/>
      <c r="BA27" s="257"/>
      <c r="BB27" s="257"/>
      <c r="BC27" s="258"/>
      <c r="BD27" s="259"/>
      <c r="BE27" s="257"/>
      <c r="BF27" s="257"/>
      <c r="BG27" s="257"/>
      <c r="BH27" s="257"/>
      <c r="BI27" s="257"/>
      <c r="BJ27" s="258"/>
      <c r="BK27" s="255"/>
    </row>
    <row r="28" spans="1:63" ht="15" customHeight="1" x14ac:dyDescent="0.25">
      <c r="A28" s="254"/>
      <c r="B28" s="208"/>
      <c r="C28" s="209"/>
      <c r="D28" s="209"/>
      <c r="E28" s="209"/>
      <c r="F28" s="209"/>
      <c r="G28" s="210"/>
      <c r="H28" s="208"/>
      <c r="I28" s="209"/>
      <c r="J28" s="209"/>
      <c r="K28" s="209"/>
      <c r="L28" s="209"/>
      <c r="M28" s="209"/>
      <c r="N28" s="210"/>
      <c r="O28" s="208"/>
      <c r="P28" s="209"/>
      <c r="Q28" s="209"/>
      <c r="R28" s="209"/>
      <c r="S28" s="211"/>
      <c r="T28" s="212"/>
      <c r="U28" s="212"/>
      <c r="V28" s="212"/>
      <c r="W28" s="212"/>
      <c r="X28" s="212"/>
      <c r="Y28" s="212"/>
      <c r="Z28" s="212"/>
      <c r="AA28" s="212"/>
      <c r="AB28" s="212"/>
      <c r="AC28" s="212"/>
      <c r="AD28" s="212"/>
      <c r="AE28" s="212"/>
      <c r="AF28" s="212"/>
      <c r="AG28" s="212"/>
      <c r="AH28" s="212"/>
      <c r="AI28" s="212"/>
      <c r="AJ28" s="212"/>
      <c r="AK28" s="212"/>
      <c r="AL28" s="212"/>
      <c r="AM28" s="212"/>
      <c r="AN28" s="212"/>
      <c r="AO28" s="212"/>
      <c r="AP28" s="212"/>
      <c r="AQ28" s="212"/>
      <c r="AR28" s="212"/>
      <c r="AS28" s="212"/>
      <c r="AT28" s="212"/>
      <c r="AU28" s="212"/>
      <c r="AV28" s="212"/>
      <c r="AW28" s="213"/>
      <c r="AX28" s="260"/>
      <c r="AY28" s="260"/>
      <c r="AZ28" s="260"/>
      <c r="BA28" s="260"/>
      <c r="BB28" s="260"/>
      <c r="BC28" s="261"/>
      <c r="BD28" s="262"/>
      <c r="BE28" s="260"/>
      <c r="BF28" s="260"/>
      <c r="BG28" s="260"/>
      <c r="BH28" s="260"/>
      <c r="BI28" s="260"/>
      <c r="BJ28" s="261"/>
      <c r="BK28" s="255"/>
    </row>
    <row r="29" spans="1:63" ht="15" customHeight="1" x14ac:dyDescent="0.25">
      <c r="A29" s="254"/>
      <c r="B29" s="204"/>
      <c r="C29" s="202"/>
      <c r="D29" s="202"/>
      <c r="E29" s="202"/>
      <c r="F29" s="202"/>
      <c r="G29" s="203"/>
      <c r="H29" s="204"/>
      <c r="I29" s="202"/>
      <c r="J29" s="202"/>
      <c r="K29" s="202"/>
      <c r="L29" s="202"/>
      <c r="M29" s="202"/>
      <c r="N29" s="203"/>
      <c r="O29" s="204"/>
      <c r="P29" s="202"/>
      <c r="Q29" s="202"/>
      <c r="R29" s="202"/>
      <c r="S29" s="205"/>
      <c r="T29" s="206"/>
      <c r="U29" s="206"/>
      <c r="V29" s="206"/>
      <c r="W29" s="206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7"/>
      <c r="AX29" s="257"/>
      <c r="AY29" s="257"/>
      <c r="AZ29" s="257"/>
      <c r="BA29" s="257"/>
      <c r="BB29" s="257"/>
      <c r="BC29" s="258"/>
      <c r="BD29" s="259"/>
      <c r="BE29" s="257"/>
      <c r="BF29" s="257"/>
      <c r="BG29" s="257"/>
      <c r="BH29" s="257"/>
      <c r="BI29" s="257"/>
      <c r="BJ29" s="258"/>
      <c r="BK29" s="255"/>
    </row>
    <row r="30" spans="1:63" ht="15" customHeight="1" x14ac:dyDescent="0.25">
      <c r="A30" s="254"/>
      <c r="B30" s="208"/>
      <c r="C30" s="209"/>
      <c r="D30" s="209"/>
      <c r="E30" s="209"/>
      <c r="F30" s="209"/>
      <c r="G30" s="210"/>
      <c r="H30" s="208"/>
      <c r="I30" s="209"/>
      <c r="J30" s="209"/>
      <c r="K30" s="209"/>
      <c r="L30" s="209"/>
      <c r="M30" s="209"/>
      <c r="N30" s="210"/>
      <c r="O30" s="208"/>
      <c r="P30" s="209"/>
      <c r="Q30" s="209"/>
      <c r="R30" s="209"/>
      <c r="S30" s="211"/>
      <c r="T30" s="212"/>
      <c r="U30" s="212"/>
      <c r="V30" s="212"/>
      <c r="W30" s="212"/>
      <c r="X30" s="212"/>
      <c r="Y30" s="212"/>
      <c r="Z30" s="212"/>
      <c r="AA30" s="212"/>
      <c r="AB30" s="212"/>
      <c r="AC30" s="212"/>
      <c r="AD30" s="212"/>
      <c r="AE30" s="212"/>
      <c r="AF30" s="212"/>
      <c r="AG30" s="212"/>
      <c r="AH30" s="212"/>
      <c r="AI30" s="212"/>
      <c r="AJ30" s="212"/>
      <c r="AK30" s="212"/>
      <c r="AL30" s="212"/>
      <c r="AM30" s="212"/>
      <c r="AN30" s="212"/>
      <c r="AO30" s="212"/>
      <c r="AP30" s="212"/>
      <c r="AQ30" s="212"/>
      <c r="AR30" s="212"/>
      <c r="AS30" s="212"/>
      <c r="AT30" s="212"/>
      <c r="AU30" s="212"/>
      <c r="AV30" s="212"/>
      <c r="AW30" s="213"/>
      <c r="AX30" s="260"/>
      <c r="AY30" s="260"/>
      <c r="AZ30" s="260"/>
      <c r="BA30" s="260"/>
      <c r="BB30" s="260"/>
      <c r="BC30" s="261"/>
      <c r="BD30" s="262"/>
      <c r="BE30" s="260"/>
      <c r="BF30" s="260"/>
      <c r="BG30" s="260"/>
      <c r="BH30" s="260"/>
      <c r="BI30" s="260"/>
      <c r="BJ30" s="261"/>
      <c r="BK30" s="255"/>
    </row>
    <row r="31" spans="1:63" ht="15" customHeight="1" x14ac:dyDescent="0.25">
      <c r="A31" s="254"/>
      <c r="B31" s="204"/>
      <c r="C31" s="202"/>
      <c r="D31" s="202"/>
      <c r="E31" s="202"/>
      <c r="F31" s="202"/>
      <c r="G31" s="203"/>
      <c r="H31" s="204"/>
      <c r="I31" s="202"/>
      <c r="J31" s="202"/>
      <c r="K31" s="202"/>
      <c r="L31" s="202"/>
      <c r="M31" s="202"/>
      <c r="N31" s="203"/>
      <c r="O31" s="204"/>
      <c r="P31" s="202"/>
      <c r="Q31" s="202"/>
      <c r="R31" s="202"/>
      <c r="S31" s="205"/>
      <c r="T31" s="206"/>
      <c r="U31" s="206"/>
      <c r="V31" s="206"/>
      <c r="W31" s="206"/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7"/>
      <c r="AX31" s="257"/>
      <c r="AY31" s="257"/>
      <c r="AZ31" s="257"/>
      <c r="BA31" s="257"/>
      <c r="BB31" s="257"/>
      <c r="BC31" s="258"/>
      <c r="BD31" s="259"/>
      <c r="BE31" s="257"/>
      <c r="BF31" s="257"/>
      <c r="BG31" s="257"/>
      <c r="BH31" s="257"/>
      <c r="BI31" s="257"/>
      <c r="BJ31" s="258"/>
      <c r="BK31" s="255"/>
    </row>
    <row r="32" spans="1:63" ht="15" customHeight="1" x14ac:dyDescent="0.25">
      <c r="A32" s="254"/>
      <c r="B32" s="208"/>
      <c r="C32" s="209"/>
      <c r="D32" s="209"/>
      <c r="E32" s="209"/>
      <c r="F32" s="209"/>
      <c r="G32" s="210"/>
      <c r="H32" s="208"/>
      <c r="I32" s="209"/>
      <c r="J32" s="209"/>
      <c r="K32" s="209"/>
      <c r="L32" s="209"/>
      <c r="M32" s="209"/>
      <c r="N32" s="210"/>
      <c r="O32" s="208"/>
      <c r="P32" s="209"/>
      <c r="Q32" s="209"/>
      <c r="R32" s="209"/>
      <c r="S32" s="211"/>
      <c r="T32" s="212"/>
      <c r="U32" s="212"/>
      <c r="V32" s="212"/>
      <c r="W32" s="212"/>
      <c r="X32" s="212"/>
      <c r="Y32" s="212"/>
      <c r="Z32" s="212"/>
      <c r="AA32" s="212"/>
      <c r="AB32" s="212"/>
      <c r="AC32" s="212"/>
      <c r="AD32" s="212"/>
      <c r="AE32" s="212"/>
      <c r="AF32" s="212"/>
      <c r="AG32" s="212"/>
      <c r="AH32" s="212"/>
      <c r="AI32" s="212"/>
      <c r="AJ32" s="212"/>
      <c r="AK32" s="212"/>
      <c r="AL32" s="212"/>
      <c r="AM32" s="212"/>
      <c r="AN32" s="212"/>
      <c r="AO32" s="212"/>
      <c r="AP32" s="212"/>
      <c r="AQ32" s="212"/>
      <c r="AR32" s="212"/>
      <c r="AS32" s="212"/>
      <c r="AT32" s="212"/>
      <c r="AU32" s="212"/>
      <c r="AV32" s="212"/>
      <c r="AW32" s="213"/>
      <c r="AX32" s="260"/>
      <c r="AY32" s="260"/>
      <c r="AZ32" s="260"/>
      <c r="BA32" s="260"/>
      <c r="BB32" s="260"/>
      <c r="BC32" s="261"/>
      <c r="BD32" s="262"/>
      <c r="BE32" s="260"/>
      <c r="BF32" s="260"/>
      <c r="BG32" s="260"/>
      <c r="BH32" s="260"/>
      <c r="BI32" s="260"/>
      <c r="BJ32" s="261"/>
      <c r="BK32" s="255"/>
    </row>
    <row r="33" spans="1:63" ht="15" customHeight="1" x14ac:dyDescent="0.25">
      <c r="A33" s="254"/>
      <c r="B33" s="204"/>
      <c r="C33" s="202"/>
      <c r="D33" s="202"/>
      <c r="E33" s="202"/>
      <c r="F33" s="202"/>
      <c r="G33" s="203"/>
      <c r="H33" s="204"/>
      <c r="I33" s="202"/>
      <c r="J33" s="202"/>
      <c r="K33" s="202"/>
      <c r="L33" s="202"/>
      <c r="M33" s="202"/>
      <c r="N33" s="203"/>
      <c r="O33" s="204"/>
      <c r="P33" s="202"/>
      <c r="Q33" s="202"/>
      <c r="R33" s="202"/>
      <c r="S33" s="205"/>
      <c r="T33" s="206"/>
      <c r="U33" s="206"/>
      <c r="V33" s="206"/>
      <c r="W33" s="206"/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7"/>
      <c r="AX33" s="257"/>
      <c r="AY33" s="257"/>
      <c r="AZ33" s="257"/>
      <c r="BA33" s="257"/>
      <c r="BB33" s="257"/>
      <c r="BC33" s="258"/>
      <c r="BD33" s="259"/>
      <c r="BE33" s="257"/>
      <c r="BF33" s="257"/>
      <c r="BG33" s="257"/>
      <c r="BH33" s="257"/>
      <c r="BI33" s="257"/>
      <c r="BJ33" s="258"/>
      <c r="BK33" s="255"/>
    </row>
    <row r="34" spans="1:63" ht="15" customHeight="1" x14ac:dyDescent="0.25">
      <c r="A34" s="254"/>
      <c r="B34" s="208"/>
      <c r="C34" s="209"/>
      <c r="D34" s="209"/>
      <c r="E34" s="209"/>
      <c r="F34" s="209"/>
      <c r="G34" s="210"/>
      <c r="H34" s="208"/>
      <c r="I34" s="209"/>
      <c r="J34" s="209"/>
      <c r="K34" s="209"/>
      <c r="L34" s="209"/>
      <c r="M34" s="209"/>
      <c r="N34" s="210"/>
      <c r="O34" s="208"/>
      <c r="P34" s="209"/>
      <c r="Q34" s="209"/>
      <c r="R34" s="209"/>
      <c r="S34" s="211"/>
      <c r="T34" s="212"/>
      <c r="U34" s="212"/>
      <c r="V34" s="212"/>
      <c r="W34" s="212"/>
      <c r="X34" s="212"/>
      <c r="Y34" s="212"/>
      <c r="Z34" s="212"/>
      <c r="AA34" s="212"/>
      <c r="AB34" s="212"/>
      <c r="AC34" s="212"/>
      <c r="AD34" s="212"/>
      <c r="AE34" s="212"/>
      <c r="AF34" s="212"/>
      <c r="AG34" s="212"/>
      <c r="AH34" s="212"/>
      <c r="AI34" s="212"/>
      <c r="AJ34" s="212"/>
      <c r="AK34" s="212"/>
      <c r="AL34" s="212"/>
      <c r="AM34" s="212"/>
      <c r="AN34" s="212"/>
      <c r="AO34" s="212"/>
      <c r="AP34" s="212"/>
      <c r="AQ34" s="212"/>
      <c r="AR34" s="212"/>
      <c r="AS34" s="212"/>
      <c r="AT34" s="212"/>
      <c r="AU34" s="212"/>
      <c r="AV34" s="212"/>
      <c r="AW34" s="213"/>
      <c r="AX34" s="260"/>
      <c r="AY34" s="260"/>
      <c r="AZ34" s="260"/>
      <c r="BA34" s="260"/>
      <c r="BB34" s="260"/>
      <c r="BC34" s="261"/>
      <c r="BD34" s="262"/>
      <c r="BE34" s="260"/>
      <c r="BF34" s="260"/>
      <c r="BG34" s="260"/>
      <c r="BH34" s="260"/>
      <c r="BI34" s="260"/>
      <c r="BJ34" s="261"/>
      <c r="BK34" s="255"/>
    </row>
    <row r="35" spans="1:63" ht="15" customHeight="1" x14ac:dyDescent="0.25">
      <c r="A35" s="254"/>
      <c r="B35" s="204"/>
      <c r="C35" s="202"/>
      <c r="D35" s="202"/>
      <c r="E35" s="202"/>
      <c r="F35" s="202"/>
      <c r="G35" s="203"/>
      <c r="H35" s="204"/>
      <c r="I35" s="202"/>
      <c r="J35" s="202"/>
      <c r="K35" s="202"/>
      <c r="L35" s="202"/>
      <c r="M35" s="202"/>
      <c r="N35" s="203"/>
      <c r="O35" s="204"/>
      <c r="P35" s="202"/>
      <c r="Q35" s="202"/>
      <c r="R35" s="202"/>
      <c r="S35" s="205"/>
      <c r="T35" s="206"/>
      <c r="U35" s="206"/>
      <c r="V35" s="206"/>
      <c r="W35" s="206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K35" s="206"/>
      <c r="AL35" s="206"/>
      <c r="AM35" s="206"/>
      <c r="AN35" s="206"/>
      <c r="AO35" s="206"/>
      <c r="AP35" s="206"/>
      <c r="AQ35" s="206"/>
      <c r="AR35" s="206"/>
      <c r="AS35" s="206"/>
      <c r="AT35" s="206"/>
      <c r="AU35" s="206"/>
      <c r="AV35" s="206"/>
      <c r="AW35" s="207"/>
      <c r="AX35" s="257"/>
      <c r="AY35" s="257"/>
      <c r="AZ35" s="257"/>
      <c r="BA35" s="257"/>
      <c r="BB35" s="257"/>
      <c r="BC35" s="258"/>
      <c r="BD35" s="259"/>
      <c r="BE35" s="257"/>
      <c r="BF35" s="257"/>
      <c r="BG35" s="257"/>
      <c r="BH35" s="257"/>
      <c r="BI35" s="257"/>
      <c r="BJ35" s="258"/>
      <c r="BK35" s="255"/>
    </row>
    <row r="36" spans="1:63" ht="15" customHeight="1" x14ac:dyDescent="0.25">
      <c r="A36" s="254"/>
      <c r="B36" s="208"/>
      <c r="C36" s="209"/>
      <c r="D36" s="209"/>
      <c r="E36" s="209"/>
      <c r="F36" s="209"/>
      <c r="G36" s="210"/>
      <c r="H36" s="208"/>
      <c r="I36" s="209"/>
      <c r="J36" s="209"/>
      <c r="K36" s="209"/>
      <c r="L36" s="209"/>
      <c r="M36" s="209"/>
      <c r="N36" s="210"/>
      <c r="O36" s="208"/>
      <c r="P36" s="209"/>
      <c r="Q36" s="209"/>
      <c r="R36" s="209"/>
      <c r="S36" s="211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/>
      <c r="AI36" s="212"/>
      <c r="AJ36" s="212"/>
      <c r="AK36" s="212"/>
      <c r="AL36" s="212"/>
      <c r="AM36" s="212"/>
      <c r="AN36" s="212"/>
      <c r="AO36" s="212"/>
      <c r="AP36" s="212"/>
      <c r="AQ36" s="212"/>
      <c r="AR36" s="212"/>
      <c r="AS36" s="212"/>
      <c r="AT36" s="212"/>
      <c r="AU36" s="212"/>
      <c r="AV36" s="212"/>
      <c r="AW36" s="213"/>
      <c r="AX36" s="260"/>
      <c r="AY36" s="260"/>
      <c r="AZ36" s="260"/>
      <c r="BA36" s="260"/>
      <c r="BB36" s="260"/>
      <c r="BC36" s="261"/>
      <c r="BD36" s="262"/>
      <c r="BE36" s="260"/>
      <c r="BF36" s="260"/>
      <c r="BG36" s="260"/>
      <c r="BH36" s="260"/>
      <c r="BI36" s="260"/>
      <c r="BJ36" s="261"/>
      <c r="BK36" s="255"/>
    </row>
    <row r="37" spans="1:63" ht="15" customHeight="1" x14ac:dyDescent="0.25">
      <c r="A37" s="254"/>
      <c r="B37" s="204"/>
      <c r="C37" s="202"/>
      <c r="D37" s="202"/>
      <c r="E37" s="202"/>
      <c r="F37" s="202"/>
      <c r="G37" s="203"/>
      <c r="H37" s="204"/>
      <c r="I37" s="202"/>
      <c r="J37" s="202"/>
      <c r="K37" s="202"/>
      <c r="L37" s="202"/>
      <c r="M37" s="202"/>
      <c r="N37" s="203"/>
      <c r="O37" s="204"/>
      <c r="P37" s="202"/>
      <c r="Q37" s="202"/>
      <c r="R37" s="202"/>
      <c r="S37" s="205"/>
      <c r="T37" s="206"/>
      <c r="U37" s="206"/>
      <c r="V37" s="206"/>
      <c r="W37" s="206"/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206"/>
      <c r="AM37" s="206"/>
      <c r="AN37" s="206"/>
      <c r="AO37" s="206"/>
      <c r="AP37" s="206"/>
      <c r="AQ37" s="206"/>
      <c r="AR37" s="206"/>
      <c r="AS37" s="206"/>
      <c r="AT37" s="206"/>
      <c r="AU37" s="206"/>
      <c r="AV37" s="206"/>
      <c r="AW37" s="207"/>
      <c r="AX37" s="257"/>
      <c r="AY37" s="257"/>
      <c r="AZ37" s="257"/>
      <c r="BA37" s="257"/>
      <c r="BB37" s="257"/>
      <c r="BC37" s="258"/>
      <c r="BD37" s="259"/>
      <c r="BE37" s="257"/>
      <c r="BF37" s="257"/>
      <c r="BG37" s="257"/>
      <c r="BH37" s="257"/>
      <c r="BI37" s="257"/>
      <c r="BJ37" s="258"/>
      <c r="BK37" s="255"/>
    </row>
    <row r="38" spans="1:63" ht="15" customHeight="1" x14ac:dyDescent="0.25">
      <c r="A38" s="254"/>
      <c r="B38" s="208"/>
      <c r="C38" s="209"/>
      <c r="D38" s="209"/>
      <c r="E38" s="209"/>
      <c r="F38" s="209"/>
      <c r="G38" s="210"/>
      <c r="H38" s="208"/>
      <c r="I38" s="209"/>
      <c r="J38" s="209"/>
      <c r="K38" s="209"/>
      <c r="L38" s="209"/>
      <c r="M38" s="209"/>
      <c r="N38" s="210"/>
      <c r="O38" s="208"/>
      <c r="P38" s="209"/>
      <c r="Q38" s="209"/>
      <c r="R38" s="209"/>
      <c r="S38" s="211"/>
      <c r="T38" s="212"/>
      <c r="U38" s="212"/>
      <c r="V38" s="212"/>
      <c r="W38" s="212"/>
      <c r="X38" s="212"/>
      <c r="Y38" s="212"/>
      <c r="Z38" s="212"/>
      <c r="AA38" s="212"/>
      <c r="AB38" s="212"/>
      <c r="AC38" s="212"/>
      <c r="AD38" s="212"/>
      <c r="AE38" s="212"/>
      <c r="AF38" s="212"/>
      <c r="AG38" s="212"/>
      <c r="AH38" s="212"/>
      <c r="AI38" s="212"/>
      <c r="AJ38" s="212"/>
      <c r="AK38" s="212"/>
      <c r="AL38" s="212"/>
      <c r="AM38" s="212"/>
      <c r="AN38" s="212"/>
      <c r="AO38" s="212"/>
      <c r="AP38" s="212"/>
      <c r="AQ38" s="212"/>
      <c r="AR38" s="212"/>
      <c r="AS38" s="212"/>
      <c r="AT38" s="212"/>
      <c r="AU38" s="212"/>
      <c r="AV38" s="212"/>
      <c r="AW38" s="213"/>
      <c r="AX38" s="260"/>
      <c r="AY38" s="260"/>
      <c r="AZ38" s="260"/>
      <c r="BA38" s="260"/>
      <c r="BB38" s="260"/>
      <c r="BC38" s="261"/>
      <c r="BD38" s="262"/>
      <c r="BE38" s="260"/>
      <c r="BF38" s="260"/>
      <c r="BG38" s="260"/>
      <c r="BH38" s="260"/>
      <c r="BI38" s="260"/>
      <c r="BJ38" s="261"/>
      <c r="BK38" s="255"/>
    </row>
    <row r="39" spans="1:63" ht="15" customHeight="1" x14ac:dyDescent="0.25">
      <c r="A39" s="254"/>
      <c r="B39" s="204"/>
      <c r="C39" s="202"/>
      <c r="D39" s="202"/>
      <c r="E39" s="202"/>
      <c r="F39" s="202"/>
      <c r="G39" s="203"/>
      <c r="H39" s="204"/>
      <c r="I39" s="202"/>
      <c r="J39" s="202"/>
      <c r="K39" s="202"/>
      <c r="L39" s="202"/>
      <c r="M39" s="202"/>
      <c r="N39" s="203"/>
      <c r="O39" s="204"/>
      <c r="P39" s="202"/>
      <c r="Q39" s="202"/>
      <c r="R39" s="202"/>
      <c r="S39" s="205"/>
      <c r="T39" s="206"/>
      <c r="U39" s="206"/>
      <c r="V39" s="206"/>
      <c r="W39" s="206"/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K39" s="206"/>
      <c r="AL39" s="206"/>
      <c r="AM39" s="206"/>
      <c r="AN39" s="206"/>
      <c r="AO39" s="206"/>
      <c r="AP39" s="206"/>
      <c r="AQ39" s="206"/>
      <c r="AR39" s="206"/>
      <c r="AS39" s="206"/>
      <c r="AT39" s="206"/>
      <c r="AU39" s="206"/>
      <c r="AV39" s="206"/>
      <c r="AW39" s="207"/>
      <c r="AX39" s="257"/>
      <c r="AY39" s="257"/>
      <c r="AZ39" s="257"/>
      <c r="BA39" s="257"/>
      <c r="BB39" s="257"/>
      <c r="BC39" s="258"/>
      <c r="BD39" s="259"/>
      <c r="BE39" s="257"/>
      <c r="BF39" s="257"/>
      <c r="BG39" s="257"/>
      <c r="BH39" s="257"/>
      <c r="BI39" s="257"/>
      <c r="BJ39" s="258"/>
      <c r="BK39" s="255"/>
    </row>
    <row r="40" spans="1:63" ht="15" customHeight="1" x14ac:dyDescent="0.25">
      <c r="A40" s="254"/>
      <c r="B40" s="208"/>
      <c r="C40" s="209"/>
      <c r="D40" s="209"/>
      <c r="E40" s="209"/>
      <c r="F40" s="209"/>
      <c r="G40" s="210"/>
      <c r="H40" s="208"/>
      <c r="I40" s="209"/>
      <c r="J40" s="209"/>
      <c r="K40" s="209"/>
      <c r="L40" s="209"/>
      <c r="M40" s="209"/>
      <c r="N40" s="210"/>
      <c r="O40" s="208"/>
      <c r="P40" s="209"/>
      <c r="Q40" s="209"/>
      <c r="R40" s="209"/>
      <c r="S40" s="211"/>
      <c r="T40" s="212"/>
      <c r="U40" s="212"/>
      <c r="V40" s="212"/>
      <c r="W40" s="212"/>
      <c r="X40" s="212"/>
      <c r="Y40" s="212"/>
      <c r="Z40" s="212"/>
      <c r="AA40" s="212"/>
      <c r="AB40" s="212"/>
      <c r="AC40" s="212"/>
      <c r="AD40" s="212"/>
      <c r="AE40" s="212"/>
      <c r="AF40" s="212"/>
      <c r="AG40" s="212"/>
      <c r="AH40" s="212"/>
      <c r="AI40" s="212"/>
      <c r="AJ40" s="212"/>
      <c r="AK40" s="212"/>
      <c r="AL40" s="212"/>
      <c r="AM40" s="212"/>
      <c r="AN40" s="212"/>
      <c r="AO40" s="212"/>
      <c r="AP40" s="212"/>
      <c r="AQ40" s="212"/>
      <c r="AR40" s="212"/>
      <c r="AS40" s="212"/>
      <c r="AT40" s="212"/>
      <c r="AU40" s="212"/>
      <c r="AV40" s="212"/>
      <c r="AW40" s="213"/>
      <c r="AX40" s="260"/>
      <c r="AY40" s="260"/>
      <c r="AZ40" s="260"/>
      <c r="BA40" s="260"/>
      <c r="BB40" s="260"/>
      <c r="BC40" s="261"/>
      <c r="BD40" s="262"/>
      <c r="BE40" s="260"/>
      <c r="BF40" s="260"/>
      <c r="BG40" s="260"/>
      <c r="BH40" s="260"/>
      <c r="BI40" s="260"/>
      <c r="BJ40" s="261"/>
      <c r="BK40" s="255"/>
    </row>
    <row r="41" spans="1:63" ht="15" customHeight="1" x14ac:dyDescent="0.25">
      <c r="A41" s="254"/>
      <c r="B41" s="204"/>
      <c r="C41" s="202"/>
      <c r="D41" s="202"/>
      <c r="E41" s="202"/>
      <c r="F41" s="202"/>
      <c r="G41" s="203"/>
      <c r="H41" s="204"/>
      <c r="I41" s="202"/>
      <c r="J41" s="202"/>
      <c r="K41" s="202"/>
      <c r="L41" s="202"/>
      <c r="M41" s="202"/>
      <c r="N41" s="203"/>
      <c r="O41" s="204"/>
      <c r="P41" s="202"/>
      <c r="Q41" s="202"/>
      <c r="R41" s="202"/>
      <c r="S41" s="205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7"/>
      <c r="AX41" s="257"/>
      <c r="AY41" s="257"/>
      <c r="AZ41" s="257"/>
      <c r="BA41" s="257"/>
      <c r="BB41" s="257"/>
      <c r="BC41" s="258"/>
      <c r="BD41" s="259"/>
      <c r="BE41" s="257"/>
      <c r="BF41" s="257"/>
      <c r="BG41" s="257"/>
      <c r="BH41" s="257"/>
      <c r="BI41" s="257"/>
      <c r="BJ41" s="258"/>
      <c r="BK41" s="255"/>
    </row>
    <row r="42" spans="1:63" ht="15" customHeight="1" x14ac:dyDescent="0.25">
      <c r="A42" s="254"/>
      <c r="B42" s="208"/>
      <c r="C42" s="209"/>
      <c r="D42" s="209"/>
      <c r="E42" s="209"/>
      <c r="F42" s="209"/>
      <c r="G42" s="210"/>
      <c r="H42" s="208"/>
      <c r="I42" s="209"/>
      <c r="J42" s="209"/>
      <c r="K42" s="209"/>
      <c r="L42" s="209"/>
      <c r="M42" s="209"/>
      <c r="N42" s="210"/>
      <c r="O42" s="208"/>
      <c r="P42" s="209"/>
      <c r="Q42" s="209"/>
      <c r="R42" s="209"/>
      <c r="S42" s="211"/>
      <c r="T42" s="212"/>
      <c r="U42" s="212"/>
      <c r="V42" s="212"/>
      <c r="W42" s="212"/>
      <c r="X42" s="212"/>
      <c r="Y42" s="212"/>
      <c r="Z42" s="212"/>
      <c r="AA42" s="212"/>
      <c r="AB42" s="212"/>
      <c r="AC42" s="212"/>
      <c r="AD42" s="212"/>
      <c r="AE42" s="212"/>
      <c r="AF42" s="212"/>
      <c r="AG42" s="212"/>
      <c r="AH42" s="212"/>
      <c r="AI42" s="212"/>
      <c r="AJ42" s="212"/>
      <c r="AK42" s="212"/>
      <c r="AL42" s="212"/>
      <c r="AM42" s="212"/>
      <c r="AN42" s="212"/>
      <c r="AO42" s="212"/>
      <c r="AP42" s="212"/>
      <c r="AQ42" s="212"/>
      <c r="AR42" s="212"/>
      <c r="AS42" s="212"/>
      <c r="AT42" s="212"/>
      <c r="AU42" s="212"/>
      <c r="AV42" s="212"/>
      <c r="AW42" s="213"/>
      <c r="AX42" s="260"/>
      <c r="AY42" s="260"/>
      <c r="AZ42" s="260"/>
      <c r="BA42" s="260"/>
      <c r="BB42" s="260"/>
      <c r="BC42" s="261"/>
      <c r="BD42" s="262"/>
      <c r="BE42" s="260"/>
      <c r="BF42" s="260"/>
      <c r="BG42" s="260"/>
      <c r="BH42" s="260"/>
      <c r="BI42" s="260"/>
      <c r="BJ42" s="261"/>
      <c r="BK42" s="255"/>
    </row>
    <row r="43" spans="1:63" ht="15" customHeight="1" x14ac:dyDescent="0.25">
      <c r="A43" s="254"/>
      <c r="B43" s="204"/>
      <c r="C43" s="202"/>
      <c r="D43" s="202"/>
      <c r="E43" s="202"/>
      <c r="F43" s="202"/>
      <c r="G43" s="203"/>
      <c r="H43" s="204"/>
      <c r="I43" s="202"/>
      <c r="J43" s="202"/>
      <c r="K43" s="202"/>
      <c r="L43" s="202"/>
      <c r="M43" s="202"/>
      <c r="N43" s="203"/>
      <c r="O43" s="204"/>
      <c r="P43" s="202"/>
      <c r="Q43" s="202"/>
      <c r="R43" s="202"/>
      <c r="S43" s="205"/>
      <c r="T43" s="206"/>
      <c r="U43" s="206"/>
      <c r="V43" s="206"/>
      <c r="W43" s="206"/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6"/>
      <c r="AW43" s="207"/>
      <c r="AX43" s="257"/>
      <c r="AY43" s="257"/>
      <c r="AZ43" s="257"/>
      <c r="BA43" s="257"/>
      <c r="BB43" s="257"/>
      <c r="BC43" s="258"/>
      <c r="BD43" s="259"/>
      <c r="BE43" s="257"/>
      <c r="BF43" s="257"/>
      <c r="BG43" s="257"/>
      <c r="BH43" s="257"/>
      <c r="BI43" s="257"/>
      <c r="BJ43" s="258"/>
      <c r="BK43" s="255"/>
    </row>
    <row r="44" spans="1:63" ht="15" customHeight="1" x14ac:dyDescent="0.25">
      <c r="A44" s="254"/>
      <c r="B44" s="208"/>
      <c r="C44" s="209"/>
      <c r="D44" s="209"/>
      <c r="E44" s="209"/>
      <c r="F44" s="209"/>
      <c r="G44" s="210"/>
      <c r="H44" s="208"/>
      <c r="I44" s="209"/>
      <c r="J44" s="209"/>
      <c r="K44" s="209"/>
      <c r="L44" s="209"/>
      <c r="M44" s="209"/>
      <c r="N44" s="210"/>
      <c r="O44" s="208"/>
      <c r="P44" s="209"/>
      <c r="Q44" s="209"/>
      <c r="R44" s="209"/>
      <c r="S44" s="211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2"/>
      <c r="AN44" s="212"/>
      <c r="AO44" s="212"/>
      <c r="AP44" s="212"/>
      <c r="AQ44" s="212"/>
      <c r="AR44" s="212"/>
      <c r="AS44" s="212"/>
      <c r="AT44" s="212"/>
      <c r="AU44" s="212"/>
      <c r="AV44" s="212"/>
      <c r="AW44" s="213"/>
      <c r="AX44" s="260"/>
      <c r="AY44" s="260"/>
      <c r="AZ44" s="260"/>
      <c r="BA44" s="260"/>
      <c r="BB44" s="260"/>
      <c r="BC44" s="261"/>
      <c r="BD44" s="262"/>
      <c r="BE44" s="260"/>
      <c r="BF44" s="260"/>
      <c r="BG44" s="260"/>
      <c r="BH44" s="260"/>
      <c r="BI44" s="260"/>
      <c r="BJ44" s="261"/>
      <c r="BK44" s="255"/>
    </row>
    <row r="45" spans="1:63" ht="15" customHeight="1" x14ac:dyDescent="0.25">
      <c r="A45" s="254"/>
      <c r="B45" s="204"/>
      <c r="C45" s="202"/>
      <c r="D45" s="202"/>
      <c r="E45" s="202"/>
      <c r="F45" s="202"/>
      <c r="G45" s="203"/>
      <c r="H45" s="204"/>
      <c r="I45" s="202"/>
      <c r="J45" s="202"/>
      <c r="K45" s="202"/>
      <c r="L45" s="202"/>
      <c r="M45" s="202"/>
      <c r="N45" s="203"/>
      <c r="O45" s="204"/>
      <c r="P45" s="202"/>
      <c r="Q45" s="202"/>
      <c r="R45" s="202"/>
      <c r="S45" s="205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6"/>
      <c r="AP45" s="206"/>
      <c r="AQ45" s="206"/>
      <c r="AR45" s="206"/>
      <c r="AS45" s="206"/>
      <c r="AT45" s="206"/>
      <c r="AU45" s="206"/>
      <c r="AV45" s="206"/>
      <c r="AW45" s="207"/>
      <c r="AX45" s="257"/>
      <c r="AY45" s="257"/>
      <c r="AZ45" s="257"/>
      <c r="BA45" s="257"/>
      <c r="BB45" s="257"/>
      <c r="BC45" s="258"/>
      <c r="BD45" s="259"/>
      <c r="BE45" s="257"/>
      <c r="BF45" s="257"/>
      <c r="BG45" s="257"/>
      <c r="BH45" s="257"/>
      <c r="BI45" s="257"/>
      <c r="BJ45" s="258"/>
      <c r="BK45" s="255"/>
    </row>
    <row r="46" spans="1:63" ht="15" customHeight="1" x14ac:dyDescent="0.25">
      <c r="A46" s="254"/>
      <c r="B46" s="208"/>
      <c r="C46" s="209"/>
      <c r="D46" s="209"/>
      <c r="E46" s="209"/>
      <c r="F46" s="209"/>
      <c r="G46" s="210"/>
      <c r="H46" s="208"/>
      <c r="I46" s="209"/>
      <c r="J46" s="209"/>
      <c r="K46" s="209"/>
      <c r="L46" s="209"/>
      <c r="M46" s="209"/>
      <c r="N46" s="210"/>
      <c r="O46" s="208"/>
      <c r="P46" s="209"/>
      <c r="Q46" s="209"/>
      <c r="R46" s="209"/>
      <c r="S46" s="211"/>
      <c r="T46" s="212"/>
      <c r="U46" s="212"/>
      <c r="V46" s="212"/>
      <c r="W46" s="212"/>
      <c r="X46" s="212"/>
      <c r="Y46" s="212"/>
      <c r="Z46" s="212"/>
      <c r="AA46" s="212"/>
      <c r="AB46" s="212"/>
      <c r="AC46" s="212"/>
      <c r="AD46" s="212"/>
      <c r="AE46" s="212"/>
      <c r="AF46" s="212"/>
      <c r="AG46" s="212"/>
      <c r="AH46" s="212"/>
      <c r="AI46" s="212"/>
      <c r="AJ46" s="212"/>
      <c r="AK46" s="212"/>
      <c r="AL46" s="212"/>
      <c r="AM46" s="212"/>
      <c r="AN46" s="212"/>
      <c r="AO46" s="212"/>
      <c r="AP46" s="212"/>
      <c r="AQ46" s="212"/>
      <c r="AR46" s="212"/>
      <c r="AS46" s="212"/>
      <c r="AT46" s="212"/>
      <c r="AU46" s="212"/>
      <c r="AV46" s="212"/>
      <c r="AW46" s="213"/>
      <c r="AX46" s="260"/>
      <c r="AY46" s="260"/>
      <c r="AZ46" s="260"/>
      <c r="BA46" s="260"/>
      <c r="BB46" s="260"/>
      <c r="BC46" s="261"/>
      <c r="BD46" s="262"/>
      <c r="BE46" s="260"/>
      <c r="BF46" s="260"/>
      <c r="BG46" s="260"/>
      <c r="BH46" s="260"/>
      <c r="BI46" s="260"/>
      <c r="BJ46" s="261"/>
      <c r="BK46" s="255"/>
    </row>
    <row r="47" spans="1:63" ht="15" customHeight="1" x14ac:dyDescent="0.25">
      <c r="A47" s="254"/>
      <c r="B47" s="204"/>
      <c r="C47" s="202"/>
      <c r="D47" s="202"/>
      <c r="E47" s="202"/>
      <c r="F47" s="202"/>
      <c r="G47" s="203"/>
      <c r="H47" s="204"/>
      <c r="I47" s="202"/>
      <c r="J47" s="202"/>
      <c r="K47" s="202"/>
      <c r="L47" s="202"/>
      <c r="M47" s="202"/>
      <c r="N47" s="203"/>
      <c r="O47" s="204"/>
      <c r="P47" s="202"/>
      <c r="Q47" s="202"/>
      <c r="R47" s="202"/>
      <c r="S47" s="205"/>
      <c r="T47" s="206"/>
      <c r="U47" s="206"/>
      <c r="V47" s="206"/>
      <c r="W47" s="206"/>
      <c r="X47" s="206"/>
      <c r="Y47" s="206"/>
      <c r="Z47" s="206"/>
      <c r="AA47" s="206"/>
      <c r="AB47" s="206"/>
      <c r="AC47" s="206"/>
      <c r="AD47" s="206"/>
      <c r="AE47" s="206"/>
      <c r="AF47" s="206"/>
      <c r="AG47" s="206"/>
      <c r="AH47" s="206"/>
      <c r="AI47" s="206"/>
      <c r="AJ47" s="206"/>
      <c r="AK47" s="206"/>
      <c r="AL47" s="206"/>
      <c r="AM47" s="206"/>
      <c r="AN47" s="206"/>
      <c r="AO47" s="206"/>
      <c r="AP47" s="206"/>
      <c r="AQ47" s="206"/>
      <c r="AR47" s="206"/>
      <c r="AS47" s="206"/>
      <c r="AT47" s="206"/>
      <c r="AU47" s="206"/>
      <c r="AV47" s="206"/>
      <c r="AW47" s="207"/>
      <c r="AX47" s="257"/>
      <c r="AY47" s="257"/>
      <c r="AZ47" s="257"/>
      <c r="BA47" s="257"/>
      <c r="BB47" s="257"/>
      <c r="BC47" s="258"/>
      <c r="BD47" s="259"/>
      <c r="BE47" s="257"/>
      <c r="BF47" s="257"/>
      <c r="BG47" s="257"/>
      <c r="BH47" s="257"/>
      <c r="BI47" s="257"/>
      <c r="BJ47" s="258"/>
      <c r="BK47" s="255"/>
    </row>
    <row r="48" spans="1:63" ht="15" customHeight="1" x14ac:dyDescent="0.25">
      <c r="A48" s="254"/>
      <c r="B48" s="208"/>
      <c r="C48" s="209"/>
      <c r="D48" s="209"/>
      <c r="E48" s="209"/>
      <c r="F48" s="209"/>
      <c r="G48" s="210"/>
      <c r="H48" s="208"/>
      <c r="I48" s="209"/>
      <c r="J48" s="209"/>
      <c r="K48" s="209"/>
      <c r="L48" s="209"/>
      <c r="M48" s="209"/>
      <c r="N48" s="210"/>
      <c r="O48" s="208"/>
      <c r="P48" s="209"/>
      <c r="Q48" s="209"/>
      <c r="R48" s="209"/>
      <c r="S48" s="211"/>
      <c r="T48" s="212"/>
      <c r="U48" s="212"/>
      <c r="V48" s="212"/>
      <c r="W48" s="212"/>
      <c r="X48" s="212"/>
      <c r="Y48" s="212"/>
      <c r="Z48" s="212"/>
      <c r="AA48" s="212"/>
      <c r="AB48" s="212"/>
      <c r="AC48" s="212"/>
      <c r="AD48" s="212"/>
      <c r="AE48" s="212"/>
      <c r="AF48" s="212"/>
      <c r="AG48" s="212"/>
      <c r="AH48" s="212"/>
      <c r="AI48" s="212"/>
      <c r="AJ48" s="212"/>
      <c r="AK48" s="212"/>
      <c r="AL48" s="212"/>
      <c r="AM48" s="212"/>
      <c r="AN48" s="212"/>
      <c r="AO48" s="212"/>
      <c r="AP48" s="212"/>
      <c r="AQ48" s="212"/>
      <c r="AR48" s="212"/>
      <c r="AS48" s="212"/>
      <c r="AT48" s="212"/>
      <c r="AU48" s="212"/>
      <c r="AV48" s="212"/>
      <c r="AW48" s="213"/>
      <c r="AX48" s="260"/>
      <c r="AY48" s="260"/>
      <c r="AZ48" s="260"/>
      <c r="BA48" s="260"/>
      <c r="BB48" s="260"/>
      <c r="BC48" s="261"/>
      <c r="BD48" s="262"/>
      <c r="BE48" s="260"/>
      <c r="BF48" s="260"/>
      <c r="BG48" s="260"/>
      <c r="BH48" s="260"/>
      <c r="BI48" s="260"/>
      <c r="BJ48" s="261"/>
      <c r="BK48" s="255"/>
    </row>
    <row r="49" spans="1:63" ht="15" customHeight="1" x14ac:dyDescent="0.25">
      <c r="A49" s="254"/>
      <c r="B49" s="204"/>
      <c r="C49" s="202"/>
      <c r="D49" s="202"/>
      <c r="E49" s="202"/>
      <c r="F49" s="202"/>
      <c r="G49" s="203"/>
      <c r="H49" s="204"/>
      <c r="I49" s="202"/>
      <c r="J49" s="202"/>
      <c r="K49" s="202"/>
      <c r="L49" s="202"/>
      <c r="M49" s="202"/>
      <c r="N49" s="203"/>
      <c r="O49" s="204"/>
      <c r="P49" s="202"/>
      <c r="Q49" s="202"/>
      <c r="R49" s="202"/>
      <c r="S49" s="205"/>
      <c r="T49" s="206"/>
      <c r="U49" s="206"/>
      <c r="V49" s="206"/>
      <c r="W49" s="206"/>
      <c r="X49" s="206"/>
      <c r="Y49" s="206"/>
      <c r="Z49" s="206"/>
      <c r="AA49" s="206"/>
      <c r="AB49" s="206"/>
      <c r="AC49" s="206"/>
      <c r="AD49" s="206"/>
      <c r="AE49" s="206"/>
      <c r="AF49" s="206"/>
      <c r="AG49" s="206"/>
      <c r="AH49" s="206"/>
      <c r="AI49" s="206"/>
      <c r="AJ49" s="206"/>
      <c r="AK49" s="206"/>
      <c r="AL49" s="206"/>
      <c r="AM49" s="206"/>
      <c r="AN49" s="206"/>
      <c r="AO49" s="206"/>
      <c r="AP49" s="206"/>
      <c r="AQ49" s="206"/>
      <c r="AR49" s="206"/>
      <c r="AS49" s="206"/>
      <c r="AT49" s="206"/>
      <c r="AU49" s="206"/>
      <c r="AV49" s="206"/>
      <c r="AW49" s="207"/>
      <c r="AX49" s="257"/>
      <c r="AY49" s="257"/>
      <c r="AZ49" s="257"/>
      <c r="BA49" s="257"/>
      <c r="BB49" s="257"/>
      <c r="BC49" s="258"/>
      <c r="BD49" s="259"/>
      <c r="BE49" s="257"/>
      <c r="BF49" s="257"/>
      <c r="BG49" s="257"/>
      <c r="BH49" s="257"/>
      <c r="BI49" s="257"/>
      <c r="BJ49" s="258"/>
      <c r="BK49" s="255"/>
    </row>
    <row r="50" spans="1:63" ht="15" customHeight="1" x14ac:dyDescent="0.25">
      <c r="A50" s="254"/>
      <c r="B50" s="208"/>
      <c r="C50" s="209"/>
      <c r="D50" s="209"/>
      <c r="E50" s="209"/>
      <c r="F50" s="209"/>
      <c r="G50" s="210"/>
      <c r="H50" s="208"/>
      <c r="I50" s="209"/>
      <c r="J50" s="209"/>
      <c r="K50" s="209"/>
      <c r="L50" s="209"/>
      <c r="M50" s="209"/>
      <c r="N50" s="210"/>
      <c r="O50" s="208"/>
      <c r="P50" s="209"/>
      <c r="Q50" s="209"/>
      <c r="R50" s="209"/>
      <c r="S50" s="211"/>
      <c r="T50" s="212"/>
      <c r="U50" s="212"/>
      <c r="V50" s="212"/>
      <c r="W50" s="212"/>
      <c r="X50" s="212"/>
      <c r="Y50" s="212"/>
      <c r="Z50" s="212"/>
      <c r="AA50" s="212"/>
      <c r="AB50" s="212"/>
      <c r="AC50" s="212"/>
      <c r="AD50" s="212"/>
      <c r="AE50" s="212"/>
      <c r="AF50" s="212"/>
      <c r="AG50" s="212"/>
      <c r="AH50" s="212"/>
      <c r="AI50" s="212"/>
      <c r="AJ50" s="212"/>
      <c r="AK50" s="212"/>
      <c r="AL50" s="212"/>
      <c r="AM50" s="212"/>
      <c r="AN50" s="212"/>
      <c r="AO50" s="212"/>
      <c r="AP50" s="212"/>
      <c r="AQ50" s="212"/>
      <c r="AR50" s="212"/>
      <c r="AS50" s="212"/>
      <c r="AT50" s="212"/>
      <c r="AU50" s="212"/>
      <c r="AV50" s="212"/>
      <c r="AW50" s="213"/>
      <c r="AX50" s="260"/>
      <c r="AY50" s="260"/>
      <c r="AZ50" s="260"/>
      <c r="BA50" s="260"/>
      <c r="BB50" s="260"/>
      <c r="BC50" s="261"/>
      <c r="BD50" s="262"/>
      <c r="BE50" s="260"/>
      <c r="BF50" s="260"/>
      <c r="BG50" s="260"/>
      <c r="BH50" s="260"/>
      <c r="BI50" s="260"/>
      <c r="BJ50" s="261"/>
      <c r="BK50" s="255"/>
    </row>
    <row r="51" spans="1:63" ht="15" customHeight="1" x14ac:dyDescent="0.25">
      <c r="A51" s="254"/>
      <c r="B51" s="204"/>
      <c r="C51" s="202"/>
      <c r="D51" s="202"/>
      <c r="E51" s="202"/>
      <c r="F51" s="202"/>
      <c r="G51" s="203"/>
      <c r="H51" s="204"/>
      <c r="I51" s="202"/>
      <c r="J51" s="202"/>
      <c r="K51" s="202"/>
      <c r="L51" s="202"/>
      <c r="M51" s="202"/>
      <c r="N51" s="203"/>
      <c r="O51" s="204"/>
      <c r="P51" s="202"/>
      <c r="Q51" s="202"/>
      <c r="R51" s="202"/>
      <c r="S51" s="205"/>
      <c r="T51" s="206"/>
      <c r="U51" s="206"/>
      <c r="V51" s="206"/>
      <c r="W51" s="206"/>
      <c r="X51" s="206"/>
      <c r="Y51" s="206"/>
      <c r="Z51" s="206"/>
      <c r="AA51" s="206"/>
      <c r="AB51" s="206"/>
      <c r="AC51" s="206"/>
      <c r="AD51" s="206"/>
      <c r="AE51" s="206"/>
      <c r="AF51" s="206"/>
      <c r="AG51" s="206"/>
      <c r="AH51" s="206"/>
      <c r="AI51" s="206"/>
      <c r="AJ51" s="206"/>
      <c r="AK51" s="206"/>
      <c r="AL51" s="206"/>
      <c r="AM51" s="206"/>
      <c r="AN51" s="206"/>
      <c r="AO51" s="206"/>
      <c r="AP51" s="206"/>
      <c r="AQ51" s="206"/>
      <c r="AR51" s="206"/>
      <c r="AS51" s="206"/>
      <c r="AT51" s="206"/>
      <c r="AU51" s="206"/>
      <c r="AV51" s="206"/>
      <c r="AW51" s="207"/>
      <c r="AX51" s="257"/>
      <c r="AY51" s="257"/>
      <c r="AZ51" s="257"/>
      <c r="BA51" s="257"/>
      <c r="BB51" s="257"/>
      <c r="BC51" s="258"/>
      <c r="BD51" s="259"/>
      <c r="BE51" s="257"/>
      <c r="BF51" s="257"/>
      <c r="BG51" s="257"/>
      <c r="BH51" s="257"/>
      <c r="BI51" s="257"/>
      <c r="BJ51" s="258"/>
      <c r="BK51" s="255"/>
    </row>
    <row r="52" spans="1:63" ht="15" customHeight="1" x14ac:dyDescent="0.25">
      <c r="A52" s="254"/>
      <c r="B52" s="208"/>
      <c r="C52" s="209"/>
      <c r="D52" s="209"/>
      <c r="E52" s="209"/>
      <c r="F52" s="209"/>
      <c r="G52" s="210"/>
      <c r="H52" s="208"/>
      <c r="I52" s="209"/>
      <c r="J52" s="209"/>
      <c r="K52" s="209"/>
      <c r="L52" s="209"/>
      <c r="M52" s="209"/>
      <c r="N52" s="210"/>
      <c r="O52" s="208"/>
      <c r="P52" s="209"/>
      <c r="Q52" s="209"/>
      <c r="R52" s="209"/>
      <c r="S52" s="211"/>
      <c r="T52" s="212"/>
      <c r="U52" s="212"/>
      <c r="V52" s="212"/>
      <c r="W52" s="212"/>
      <c r="X52" s="212"/>
      <c r="Y52" s="212"/>
      <c r="Z52" s="212"/>
      <c r="AA52" s="212"/>
      <c r="AB52" s="212"/>
      <c r="AC52" s="212"/>
      <c r="AD52" s="212"/>
      <c r="AE52" s="212"/>
      <c r="AF52" s="212"/>
      <c r="AG52" s="212"/>
      <c r="AH52" s="212"/>
      <c r="AI52" s="212"/>
      <c r="AJ52" s="212"/>
      <c r="AK52" s="212"/>
      <c r="AL52" s="212"/>
      <c r="AM52" s="212"/>
      <c r="AN52" s="212"/>
      <c r="AO52" s="212"/>
      <c r="AP52" s="212"/>
      <c r="AQ52" s="212"/>
      <c r="AR52" s="212"/>
      <c r="AS52" s="212"/>
      <c r="AT52" s="212"/>
      <c r="AU52" s="212"/>
      <c r="AV52" s="212"/>
      <c r="AW52" s="213"/>
      <c r="AX52" s="260"/>
      <c r="AY52" s="260"/>
      <c r="AZ52" s="260"/>
      <c r="BA52" s="260"/>
      <c r="BB52" s="260"/>
      <c r="BC52" s="261"/>
      <c r="BD52" s="262"/>
      <c r="BE52" s="260"/>
      <c r="BF52" s="260"/>
      <c r="BG52" s="260"/>
      <c r="BH52" s="260"/>
      <c r="BI52" s="260"/>
      <c r="BJ52" s="261"/>
      <c r="BK52" s="255"/>
    </row>
    <row r="53" spans="1:63" ht="15" customHeight="1" x14ac:dyDescent="0.25">
      <c r="A53" s="254"/>
      <c r="B53" s="204"/>
      <c r="C53" s="202"/>
      <c r="D53" s="202"/>
      <c r="E53" s="202"/>
      <c r="F53" s="202"/>
      <c r="G53" s="203"/>
      <c r="H53" s="204"/>
      <c r="I53" s="202"/>
      <c r="J53" s="202"/>
      <c r="K53" s="202"/>
      <c r="L53" s="202"/>
      <c r="M53" s="202"/>
      <c r="N53" s="203"/>
      <c r="O53" s="204"/>
      <c r="P53" s="202"/>
      <c r="Q53" s="202"/>
      <c r="R53" s="202"/>
      <c r="S53" s="205"/>
      <c r="T53" s="206"/>
      <c r="U53" s="206"/>
      <c r="V53" s="206"/>
      <c r="W53" s="206"/>
      <c r="X53" s="206"/>
      <c r="Y53" s="206"/>
      <c r="Z53" s="206"/>
      <c r="AA53" s="206"/>
      <c r="AB53" s="206"/>
      <c r="AC53" s="206"/>
      <c r="AD53" s="206"/>
      <c r="AE53" s="206"/>
      <c r="AF53" s="206"/>
      <c r="AG53" s="206"/>
      <c r="AH53" s="206"/>
      <c r="AI53" s="206"/>
      <c r="AJ53" s="206"/>
      <c r="AK53" s="206"/>
      <c r="AL53" s="206"/>
      <c r="AM53" s="206"/>
      <c r="AN53" s="206"/>
      <c r="AO53" s="206"/>
      <c r="AP53" s="206"/>
      <c r="AQ53" s="206"/>
      <c r="AR53" s="206"/>
      <c r="AS53" s="206"/>
      <c r="AT53" s="206"/>
      <c r="AU53" s="206"/>
      <c r="AV53" s="206"/>
      <c r="AW53" s="207"/>
      <c r="AX53" s="257"/>
      <c r="AY53" s="257"/>
      <c r="AZ53" s="257"/>
      <c r="BA53" s="257"/>
      <c r="BB53" s="257"/>
      <c r="BC53" s="258"/>
      <c r="BD53" s="259"/>
      <c r="BE53" s="257"/>
      <c r="BF53" s="257"/>
      <c r="BG53" s="257"/>
      <c r="BH53" s="257"/>
      <c r="BI53" s="257"/>
      <c r="BJ53" s="258"/>
      <c r="BK53" s="255"/>
    </row>
    <row r="54" spans="1:63" ht="15" customHeight="1" x14ac:dyDescent="0.25">
      <c r="A54" s="254"/>
      <c r="B54" s="208"/>
      <c r="C54" s="209"/>
      <c r="D54" s="209"/>
      <c r="E54" s="209"/>
      <c r="F54" s="209"/>
      <c r="G54" s="210"/>
      <c r="H54" s="208"/>
      <c r="I54" s="209"/>
      <c r="J54" s="209"/>
      <c r="K54" s="209"/>
      <c r="L54" s="209"/>
      <c r="M54" s="209"/>
      <c r="N54" s="210"/>
      <c r="O54" s="208"/>
      <c r="P54" s="209"/>
      <c r="Q54" s="209"/>
      <c r="R54" s="209"/>
      <c r="S54" s="211"/>
      <c r="T54" s="212"/>
      <c r="U54" s="212"/>
      <c r="V54" s="212"/>
      <c r="W54" s="212"/>
      <c r="X54" s="212"/>
      <c r="Y54" s="212"/>
      <c r="Z54" s="212"/>
      <c r="AA54" s="212"/>
      <c r="AB54" s="212"/>
      <c r="AC54" s="212"/>
      <c r="AD54" s="212"/>
      <c r="AE54" s="212"/>
      <c r="AF54" s="212"/>
      <c r="AG54" s="212"/>
      <c r="AH54" s="212"/>
      <c r="AI54" s="212"/>
      <c r="AJ54" s="212"/>
      <c r="AK54" s="212"/>
      <c r="AL54" s="212"/>
      <c r="AM54" s="212"/>
      <c r="AN54" s="212"/>
      <c r="AO54" s="212"/>
      <c r="AP54" s="212"/>
      <c r="AQ54" s="212"/>
      <c r="AR54" s="212"/>
      <c r="AS54" s="212"/>
      <c r="AT54" s="212"/>
      <c r="AU54" s="212"/>
      <c r="AV54" s="212"/>
      <c r="AW54" s="213"/>
      <c r="AX54" s="260"/>
      <c r="AY54" s="260"/>
      <c r="AZ54" s="260"/>
      <c r="BA54" s="260"/>
      <c r="BB54" s="260"/>
      <c r="BC54" s="261"/>
      <c r="BD54" s="262"/>
      <c r="BE54" s="260"/>
      <c r="BF54" s="260"/>
      <c r="BG54" s="260"/>
      <c r="BH54" s="260"/>
      <c r="BI54" s="260"/>
      <c r="BJ54" s="261"/>
      <c r="BK54" s="255"/>
    </row>
    <row r="55" spans="1:63" ht="15" customHeight="1" x14ac:dyDescent="0.25">
      <c r="A55" s="251"/>
      <c r="B55" s="252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252"/>
      <c r="V55" s="252"/>
      <c r="W55" s="252"/>
      <c r="X55" s="252"/>
      <c r="Y55" s="252"/>
      <c r="Z55" s="252"/>
      <c r="AA55" s="252"/>
      <c r="AB55" s="252"/>
      <c r="AC55" s="252"/>
      <c r="AD55" s="252"/>
      <c r="AE55" s="252"/>
      <c r="AF55" s="252"/>
      <c r="AG55" s="252"/>
      <c r="AH55" s="252"/>
      <c r="AI55" s="252"/>
      <c r="AJ55" s="252"/>
      <c r="AK55" s="252"/>
      <c r="AL55" s="252"/>
      <c r="AM55" s="252"/>
      <c r="AN55" s="252"/>
      <c r="AO55" s="252"/>
      <c r="AP55" s="252"/>
      <c r="AQ55" s="252"/>
      <c r="AR55" s="252"/>
      <c r="AS55" s="252"/>
      <c r="AT55" s="252"/>
      <c r="AU55" s="252"/>
      <c r="AV55" s="252"/>
      <c r="AW55" s="252"/>
      <c r="AX55" s="252"/>
      <c r="AY55" s="252"/>
      <c r="AZ55" s="252"/>
      <c r="BA55" s="252"/>
      <c r="BB55" s="252"/>
      <c r="BC55" s="252"/>
      <c r="BD55" s="252"/>
      <c r="BE55" s="252"/>
      <c r="BF55" s="252"/>
      <c r="BG55" s="252"/>
      <c r="BH55" s="252"/>
      <c r="BI55" s="252"/>
      <c r="BJ55" s="252"/>
      <c r="BK55" s="253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36" customWidth="1"/>
    <col min="64" max="16384" width="8.88671875" style="236"/>
  </cols>
  <sheetData>
    <row r="1" spans="1:63" ht="24.95" customHeight="1" x14ac:dyDescent="0.25">
      <c r="A1" s="230" t="s">
        <v>52</v>
      </c>
      <c r="B1" s="231"/>
      <c r="C1" s="231"/>
      <c r="D1" s="231"/>
      <c r="E1" s="231"/>
      <c r="F1" s="231"/>
      <c r="G1" s="231"/>
      <c r="H1" s="231"/>
      <c r="I1" s="231"/>
      <c r="J1" s="232"/>
      <c r="K1" s="230" t="s">
        <v>53</v>
      </c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2"/>
      <c r="W1" s="233" t="str">
        <f>IF(表紙!W1="","",表紙!W1)</f>
        <v>基本設計書</v>
      </c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5"/>
      <c r="AP1" s="230" t="s">
        <v>54</v>
      </c>
      <c r="AQ1" s="231"/>
      <c r="AR1" s="231"/>
      <c r="AS1" s="232"/>
      <c r="AT1" s="230" t="s">
        <v>55</v>
      </c>
      <c r="AU1" s="231"/>
      <c r="AV1" s="231"/>
      <c r="AW1" s="231"/>
      <c r="AX1" s="232"/>
      <c r="AY1" s="230" t="s">
        <v>56</v>
      </c>
      <c r="AZ1" s="231"/>
      <c r="BA1" s="231"/>
      <c r="BB1" s="232"/>
      <c r="BC1" s="230" t="s">
        <v>57</v>
      </c>
      <c r="BD1" s="231"/>
      <c r="BE1" s="231"/>
      <c r="BF1" s="231"/>
      <c r="BG1" s="232"/>
      <c r="BH1" s="230" t="s">
        <v>58</v>
      </c>
      <c r="BI1" s="231"/>
      <c r="BJ1" s="231"/>
      <c r="BK1" s="232"/>
    </row>
    <row r="2" spans="1:63" ht="15" customHeight="1" x14ac:dyDescent="0.25">
      <c r="A2" s="204" t="str">
        <f>IF(表紙!A2="","",表紙!A2)</f>
        <v>POSサーバー</v>
      </c>
      <c r="B2" s="202"/>
      <c r="C2" s="202"/>
      <c r="D2" s="202"/>
      <c r="E2" s="202"/>
      <c r="F2" s="202"/>
      <c r="G2" s="202"/>
      <c r="H2" s="202"/>
      <c r="I2" s="202"/>
      <c r="J2" s="203"/>
      <c r="K2" s="204" t="str">
        <f>IF(表紙!K2="","",表紙!K2)</f>
        <v>POSサーバ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37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9"/>
      <c r="AP2" s="204" t="str">
        <f>IF(表紙!AP2="","",表紙!AP2)</f>
        <v>AnhDD</v>
      </c>
      <c r="AQ2" s="202"/>
      <c r="AR2" s="202"/>
      <c r="AS2" s="203"/>
      <c r="AT2" s="201">
        <v>45084</v>
      </c>
      <c r="AU2" s="240"/>
      <c r="AV2" s="240"/>
      <c r="AW2" s="240"/>
      <c r="AX2" s="241"/>
      <c r="AY2" s="204" t="str">
        <f>IF(表紙!AY2="","",表紙!AY2)</f>
        <v>DuNT</v>
      </c>
      <c r="AZ2" s="202"/>
      <c r="BA2" s="202"/>
      <c r="BB2" s="203"/>
      <c r="BC2" s="201">
        <f>IF(表紙!BC2="","",表紙!BC2)</f>
        <v>45576</v>
      </c>
      <c r="BD2" s="240"/>
      <c r="BE2" s="240"/>
      <c r="BF2" s="240"/>
      <c r="BG2" s="241"/>
      <c r="BH2" s="204">
        <f>IF(表紙!BH2="","",表紙!BH2)</f>
        <v>0.5</v>
      </c>
      <c r="BI2" s="202"/>
      <c r="BJ2" s="202"/>
      <c r="BK2" s="203"/>
    </row>
    <row r="3" spans="1:63" ht="15" customHeight="1" x14ac:dyDescent="0.25">
      <c r="A3" s="208"/>
      <c r="B3" s="209"/>
      <c r="C3" s="209"/>
      <c r="D3" s="209"/>
      <c r="E3" s="209"/>
      <c r="F3" s="209"/>
      <c r="G3" s="209"/>
      <c r="H3" s="209"/>
      <c r="I3" s="209"/>
      <c r="J3" s="210"/>
      <c r="K3" s="208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10"/>
      <c r="W3" s="242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4"/>
      <c r="AP3" s="208"/>
      <c r="AQ3" s="209"/>
      <c r="AR3" s="209"/>
      <c r="AS3" s="210"/>
      <c r="AT3" s="245"/>
      <c r="AU3" s="246"/>
      <c r="AV3" s="246"/>
      <c r="AW3" s="246"/>
      <c r="AX3" s="247"/>
      <c r="AY3" s="208"/>
      <c r="AZ3" s="209"/>
      <c r="BA3" s="209"/>
      <c r="BB3" s="210"/>
      <c r="BC3" s="245"/>
      <c r="BD3" s="246"/>
      <c r="BE3" s="246"/>
      <c r="BF3" s="246"/>
      <c r="BG3" s="247"/>
      <c r="BH3" s="208"/>
      <c r="BI3" s="209"/>
      <c r="BJ3" s="209"/>
      <c r="BK3" s="210"/>
    </row>
    <row r="4" spans="1:63" ht="24.95" customHeight="1" x14ac:dyDescent="0.25">
      <c r="A4" s="230" t="s">
        <v>59</v>
      </c>
      <c r="B4" s="231"/>
      <c r="C4" s="231"/>
      <c r="D4" s="231"/>
      <c r="E4" s="231"/>
      <c r="F4" s="231"/>
      <c r="G4" s="232"/>
      <c r="H4" s="248" t="str">
        <f>IF(表紙!H4="","",表紙!H4)</f>
        <v>40_従業員設定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50"/>
      <c r="U4" s="230" t="s">
        <v>60</v>
      </c>
      <c r="V4" s="231"/>
      <c r="W4" s="231"/>
      <c r="X4" s="231"/>
      <c r="Y4" s="232"/>
      <c r="Z4" s="248" t="str">
        <f>IF(表紙!Z4="","",表紙!Z4)</f>
        <v>概要設計</v>
      </c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50"/>
      <c r="AP4" s="248" t="str">
        <f t="array" aca="1" ref="AP4" ca="1">RIGHT(CELL("filename",$A$1),LEN(CELL("filename",$A$1))-FIND("]",CELL("filename",$A$1)))</f>
        <v>業務フロー</v>
      </c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50"/>
    </row>
    <row r="5" spans="1:63" ht="5.0999999999999996" customHeight="1" x14ac:dyDescent="0.25">
      <c r="A5" s="251"/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3"/>
    </row>
    <row r="6" spans="1:63" ht="15" customHeight="1" x14ac:dyDescent="0.25">
      <c r="A6" s="269"/>
      <c r="B6" s="270"/>
      <c r="C6" s="271"/>
      <c r="D6" s="271"/>
      <c r="E6" s="271"/>
      <c r="F6" s="271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  <c r="AA6" s="271"/>
      <c r="AB6" s="271"/>
      <c r="AC6" s="271"/>
      <c r="AD6" s="271"/>
      <c r="AE6" s="272"/>
      <c r="AF6" s="270"/>
      <c r="AG6" s="271"/>
      <c r="AH6" s="271"/>
      <c r="AI6" s="271"/>
      <c r="AJ6" s="271"/>
      <c r="AK6" s="271"/>
      <c r="AL6" s="271"/>
      <c r="AM6" s="271"/>
      <c r="AN6" s="271"/>
      <c r="AO6" s="271"/>
      <c r="AP6" s="271"/>
      <c r="AQ6" s="271"/>
      <c r="AR6" s="271"/>
      <c r="AS6" s="271"/>
      <c r="AT6" s="271"/>
      <c r="AU6" s="271"/>
      <c r="AV6" s="271"/>
      <c r="AW6" s="271"/>
      <c r="AX6" s="271"/>
      <c r="AY6" s="271"/>
      <c r="AZ6" s="271"/>
      <c r="BA6" s="271"/>
      <c r="BB6" s="271"/>
      <c r="BC6" s="271"/>
      <c r="BD6" s="271"/>
      <c r="BE6" s="271"/>
      <c r="BF6" s="271"/>
      <c r="BG6" s="271"/>
      <c r="BH6" s="271"/>
      <c r="BI6" s="272"/>
      <c r="BJ6" s="271"/>
      <c r="BK6" s="273"/>
    </row>
    <row r="7" spans="1:63" ht="15" customHeight="1" x14ac:dyDescent="0.25">
      <c r="A7" s="269"/>
      <c r="B7" s="274" t="s">
        <v>64</v>
      </c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  <c r="AE7" s="276"/>
      <c r="AF7" s="274"/>
      <c r="AG7" s="275"/>
      <c r="AH7" s="275"/>
      <c r="AI7" s="275"/>
      <c r="AJ7" s="275"/>
      <c r="AK7" s="275"/>
      <c r="AL7" s="275"/>
      <c r="AM7" s="275"/>
      <c r="AN7" s="275"/>
      <c r="AO7" s="275"/>
      <c r="AP7" s="275"/>
      <c r="AQ7" s="275"/>
      <c r="AR7" s="275"/>
      <c r="AS7" s="275"/>
      <c r="AT7" s="275"/>
      <c r="AU7" s="275"/>
      <c r="AV7" s="275"/>
      <c r="AW7" s="275"/>
      <c r="AX7" s="275"/>
      <c r="AY7" s="275"/>
      <c r="AZ7" s="275"/>
      <c r="BA7" s="275"/>
      <c r="BB7" s="275"/>
      <c r="BC7" s="275"/>
      <c r="BD7" s="275"/>
      <c r="BE7" s="275"/>
      <c r="BF7" s="275"/>
      <c r="BG7" s="275"/>
      <c r="BH7" s="275"/>
      <c r="BI7" s="276"/>
      <c r="BJ7" s="275"/>
      <c r="BK7" s="273"/>
    </row>
    <row r="8" spans="1:63" ht="15" customHeight="1" x14ac:dyDescent="0.25">
      <c r="A8" s="269"/>
      <c r="B8" s="270"/>
      <c r="C8" s="271"/>
      <c r="D8" s="271"/>
      <c r="E8" s="271"/>
      <c r="F8" s="271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  <c r="AA8" s="271"/>
      <c r="AB8" s="271"/>
      <c r="AC8" s="271"/>
      <c r="AD8" s="271"/>
      <c r="AE8" s="272"/>
      <c r="AF8" s="270"/>
      <c r="AG8" s="271"/>
      <c r="AH8" s="271"/>
      <c r="AI8" s="271"/>
      <c r="AJ8" s="271"/>
      <c r="AK8" s="271"/>
      <c r="AL8" s="271"/>
      <c r="AM8" s="271"/>
      <c r="AN8" s="271"/>
      <c r="AO8" s="271"/>
      <c r="AP8" s="271"/>
      <c r="AQ8" s="271"/>
      <c r="AR8" s="271"/>
      <c r="AS8" s="271"/>
      <c r="AT8" s="271"/>
      <c r="AU8" s="271"/>
      <c r="AV8" s="271"/>
      <c r="AW8" s="271"/>
      <c r="AX8" s="271"/>
      <c r="AY8" s="271"/>
      <c r="AZ8" s="271"/>
      <c r="BA8" s="271"/>
      <c r="BB8" s="271"/>
      <c r="BC8" s="271"/>
      <c r="BD8" s="271"/>
      <c r="BE8" s="271"/>
      <c r="BF8" s="271"/>
      <c r="BG8" s="271"/>
      <c r="BH8" s="271"/>
      <c r="BI8" s="272"/>
      <c r="BJ8" s="271"/>
      <c r="BK8" s="273"/>
    </row>
    <row r="9" spans="1:63" ht="15" customHeight="1" x14ac:dyDescent="0.25">
      <c r="A9" s="269"/>
      <c r="B9" s="270"/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2"/>
      <c r="AF9" s="270"/>
      <c r="AG9" s="271"/>
      <c r="AH9" s="271"/>
      <c r="AI9" s="271"/>
      <c r="AJ9" s="271"/>
      <c r="AK9" s="271"/>
      <c r="AL9" s="271"/>
      <c r="AM9" s="271"/>
      <c r="AN9" s="271"/>
      <c r="AO9" s="271"/>
      <c r="AP9" s="271"/>
      <c r="AQ9" s="271"/>
      <c r="AR9" s="271"/>
      <c r="AS9" s="271"/>
      <c r="AT9" s="271"/>
      <c r="AU9" s="271"/>
      <c r="AV9" s="271"/>
      <c r="AW9" s="271"/>
      <c r="AX9" s="271"/>
      <c r="AY9" s="271"/>
      <c r="AZ9" s="271"/>
      <c r="BA9" s="271"/>
      <c r="BB9" s="271"/>
      <c r="BC9" s="271"/>
      <c r="BD9" s="271"/>
      <c r="BE9" s="271"/>
      <c r="BF9" s="271"/>
      <c r="BG9" s="271"/>
      <c r="BH9" s="271"/>
      <c r="BI9" s="272"/>
      <c r="BJ9" s="271"/>
      <c r="BK9" s="273"/>
    </row>
    <row r="10" spans="1:63" ht="15" customHeight="1" x14ac:dyDescent="0.25">
      <c r="A10" s="269"/>
      <c r="B10" s="270"/>
      <c r="C10" s="271"/>
      <c r="D10" s="271"/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  <c r="AA10" s="271"/>
      <c r="AB10" s="271"/>
      <c r="AC10" s="271"/>
      <c r="AD10" s="271"/>
      <c r="AE10" s="272"/>
      <c r="AF10" s="270"/>
      <c r="AG10" s="271"/>
      <c r="AH10" s="271"/>
      <c r="AI10" s="271"/>
      <c r="AJ10" s="271"/>
      <c r="AK10" s="271"/>
      <c r="AL10" s="271"/>
      <c r="AM10" s="271"/>
      <c r="AN10" s="271"/>
      <c r="AO10" s="271"/>
      <c r="AP10" s="271"/>
      <c r="AQ10" s="271"/>
      <c r="AR10" s="271"/>
      <c r="AS10" s="271"/>
      <c r="AT10" s="271"/>
      <c r="AU10" s="271"/>
      <c r="AV10" s="271"/>
      <c r="AW10" s="271"/>
      <c r="AX10" s="271"/>
      <c r="AY10" s="271"/>
      <c r="AZ10" s="271"/>
      <c r="BA10" s="271"/>
      <c r="BB10" s="271"/>
      <c r="BC10" s="271"/>
      <c r="BD10" s="271"/>
      <c r="BE10" s="271"/>
      <c r="BF10" s="271"/>
      <c r="BG10" s="271"/>
      <c r="BH10" s="271"/>
      <c r="BI10" s="272"/>
      <c r="BJ10" s="271"/>
      <c r="BK10" s="273"/>
    </row>
    <row r="11" spans="1:63" ht="15" customHeight="1" x14ac:dyDescent="0.25">
      <c r="A11" s="269"/>
      <c r="B11" s="270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  <c r="AA11" s="271"/>
      <c r="AB11" s="271"/>
      <c r="AC11" s="271"/>
      <c r="AD11" s="271"/>
      <c r="AE11" s="272"/>
      <c r="AF11" s="270"/>
      <c r="AG11" s="271"/>
      <c r="AH11" s="271"/>
      <c r="AI11" s="271"/>
      <c r="AJ11" s="271"/>
      <c r="AK11" s="271"/>
      <c r="AL11" s="271"/>
      <c r="AM11" s="271"/>
      <c r="AN11" s="271"/>
      <c r="AO11" s="271"/>
      <c r="AP11" s="271"/>
      <c r="AQ11" s="271"/>
      <c r="AR11" s="271"/>
      <c r="AS11" s="271"/>
      <c r="AT11" s="271"/>
      <c r="AU11" s="271"/>
      <c r="AV11" s="271"/>
      <c r="AW11" s="271"/>
      <c r="AX11" s="271"/>
      <c r="AY11" s="271"/>
      <c r="AZ11" s="271"/>
      <c r="BA11" s="271"/>
      <c r="BB11" s="271"/>
      <c r="BC11" s="271"/>
      <c r="BD11" s="271"/>
      <c r="BE11" s="271"/>
      <c r="BF11" s="271"/>
      <c r="BG11" s="271"/>
      <c r="BH11" s="271"/>
      <c r="BI11" s="272"/>
      <c r="BJ11" s="271"/>
      <c r="BK11" s="273"/>
    </row>
    <row r="12" spans="1:63" ht="15" customHeight="1" x14ac:dyDescent="0.25">
      <c r="A12" s="269"/>
      <c r="B12" s="270"/>
      <c r="C12" s="271"/>
      <c r="D12" s="271"/>
      <c r="E12" s="271"/>
      <c r="F12" s="271"/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  <c r="AA12" s="271"/>
      <c r="AB12" s="271"/>
      <c r="AC12" s="271"/>
      <c r="AD12" s="271"/>
      <c r="AE12" s="272"/>
      <c r="AF12" s="270"/>
      <c r="AG12" s="271"/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271"/>
      <c r="AY12" s="271"/>
      <c r="AZ12" s="271"/>
      <c r="BA12" s="271"/>
      <c r="BB12" s="271"/>
      <c r="BC12" s="271"/>
      <c r="BD12" s="271"/>
      <c r="BE12" s="271"/>
      <c r="BF12" s="271"/>
      <c r="BG12" s="271"/>
      <c r="BH12" s="271"/>
      <c r="BI12" s="272"/>
      <c r="BJ12" s="271"/>
      <c r="BK12" s="273"/>
    </row>
    <row r="13" spans="1:63" ht="15" customHeight="1" x14ac:dyDescent="0.25">
      <c r="A13" s="269"/>
      <c r="B13" s="270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  <c r="AA13" s="271"/>
      <c r="AB13" s="271"/>
      <c r="AC13" s="271"/>
      <c r="AD13" s="271"/>
      <c r="AE13" s="272"/>
      <c r="AF13" s="270"/>
      <c r="AG13" s="271"/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271"/>
      <c r="AY13" s="271"/>
      <c r="AZ13" s="271"/>
      <c r="BA13" s="271"/>
      <c r="BB13" s="271"/>
      <c r="BC13" s="271"/>
      <c r="BD13" s="271"/>
      <c r="BE13" s="271"/>
      <c r="BF13" s="271"/>
      <c r="BG13" s="271"/>
      <c r="BH13" s="271"/>
      <c r="BI13" s="272"/>
      <c r="BJ13" s="271"/>
      <c r="BK13" s="273"/>
    </row>
    <row r="14" spans="1:63" ht="15" customHeight="1" x14ac:dyDescent="0.25">
      <c r="A14" s="269"/>
      <c r="B14" s="270"/>
      <c r="C14" s="271"/>
      <c r="D14" s="271"/>
      <c r="E14" s="271"/>
      <c r="F14" s="271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  <c r="AA14" s="271"/>
      <c r="AB14" s="271"/>
      <c r="AC14" s="271"/>
      <c r="AD14" s="271"/>
      <c r="AE14" s="272"/>
      <c r="AF14" s="270"/>
      <c r="AG14" s="271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1"/>
      <c r="AX14" s="271"/>
      <c r="AY14" s="271"/>
      <c r="AZ14" s="271"/>
      <c r="BA14" s="271"/>
      <c r="BB14" s="271"/>
      <c r="BC14" s="271"/>
      <c r="BD14" s="271"/>
      <c r="BE14" s="271"/>
      <c r="BF14" s="271"/>
      <c r="BG14" s="271"/>
      <c r="BH14" s="271"/>
      <c r="BI14" s="272"/>
      <c r="BJ14" s="271"/>
      <c r="BK14" s="273"/>
    </row>
    <row r="15" spans="1:63" ht="15" customHeight="1" x14ac:dyDescent="0.25">
      <c r="A15" s="269"/>
      <c r="B15" s="270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  <c r="AA15" s="271"/>
      <c r="AB15" s="271"/>
      <c r="AC15" s="271"/>
      <c r="AD15" s="271"/>
      <c r="AE15" s="272"/>
      <c r="AF15" s="270"/>
      <c r="AG15" s="271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1"/>
      <c r="BC15" s="271"/>
      <c r="BD15" s="271"/>
      <c r="BE15" s="271"/>
      <c r="BF15" s="271"/>
      <c r="BG15" s="271"/>
      <c r="BH15" s="271"/>
      <c r="BI15" s="272"/>
      <c r="BJ15" s="271"/>
      <c r="BK15" s="273"/>
    </row>
    <row r="16" spans="1:63" ht="15" customHeight="1" x14ac:dyDescent="0.25">
      <c r="A16" s="269"/>
      <c r="B16" s="270"/>
      <c r="C16" s="271"/>
      <c r="D16" s="271"/>
      <c r="E16" s="271"/>
      <c r="F16" s="271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  <c r="AA16" s="271"/>
      <c r="AB16" s="271"/>
      <c r="AC16" s="271"/>
      <c r="AD16" s="271"/>
      <c r="AE16" s="272"/>
      <c r="AF16" s="270"/>
      <c r="AG16" s="271"/>
      <c r="AH16" s="271"/>
      <c r="AI16" s="271"/>
      <c r="AJ16" s="271"/>
      <c r="AK16" s="271"/>
      <c r="AL16" s="271"/>
      <c r="AM16" s="271"/>
      <c r="AN16" s="271"/>
      <c r="AO16" s="271"/>
      <c r="AP16" s="271"/>
      <c r="AQ16" s="271"/>
      <c r="AR16" s="271"/>
      <c r="AS16" s="271"/>
      <c r="AT16" s="271"/>
      <c r="AU16" s="271"/>
      <c r="AV16" s="271"/>
      <c r="AW16" s="271"/>
      <c r="AX16" s="271"/>
      <c r="AY16" s="271"/>
      <c r="AZ16" s="271"/>
      <c r="BA16" s="271"/>
      <c r="BB16" s="271"/>
      <c r="BC16" s="271"/>
      <c r="BD16" s="271"/>
      <c r="BE16" s="271"/>
      <c r="BF16" s="271"/>
      <c r="BG16" s="271"/>
      <c r="BH16" s="271"/>
      <c r="BI16" s="272"/>
      <c r="BJ16" s="271"/>
      <c r="BK16" s="273"/>
    </row>
    <row r="17" spans="1:63" ht="15" customHeight="1" x14ac:dyDescent="0.25">
      <c r="A17" s="269"/>
      <c r="B17" s="270"/>
      <c r="C17" s="271"/>
      <c r="D17" s="271"/>
      <c r="E17" s="271"/>
      <c r="F17" s="271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2"/>
      <c r="AF17" s="270"/>
      <c r="AG17" s="271"/>
      <c r="AH17" s="271"/>
      <c r="AI17" s="271"/>
      <c r="AJ17" s="271"/>
      <c r="AK17" s="271"/>
      <c r="AL17" s="271"/>
      <c r="AM17" s="271"/>
      <c r="AN17" s="271"/>
      <c r="AO17" s="271"/>
      <c r="AP17" s="271"/>
      <c r="AQ17" s="271"/>
      <c r="AR17" s="271"/>
      <c r="AS17" s="271"/>
      <c r="AT17" s="271"/>
      <c r="AU17" s="271"/>
      <c r="AV17" s="271"/>
      <c r="AW17" s="271"/>
      <c r="AX17" s="271"/>
      <c r="AY17" s="271"/>
      <c r="AZ17" s="271"/>
      <c r="BA17" s="271"/>
      <c r="BB17" s="271"/>
      <c r="BC17" s="271"/>
      <c r="BD17" s="271"/>
      <c r="BE17" s="271"/>
      <c r="BF17" s="271"/>
      <c r="BG17" s="271"/>
      <c r="BH17" s="271"/>
      <c r="BI17" s="272"/>
      <c r="BJ17" s="271"/>
      <c r="BK17" s="273"/>
    </row>
    <row r="18" spans="1:63" ht="15" customHeight="1" x14ac:dyDescent="0.25">
      <c r="A18" s="269"/>
      <c r="B18" s="270"/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  <c r="AA18" s="271"/>
      <c r="AB18" s="271"/>
      <c r="AC18" s="271"/>
      <c r="AD18" s="271"/>
      <c r="AE18" s="272"/>
      <c r="AF18" s="270"/>
      <c r="AG18" s="271"/>
      <c r="AH18" s="271"/>
      <c r="AI18" s="271"/>
      <c r="AJ18" s="271"/>
      <c r="AK18" s="271"/>
      <c r="AL18" s="271"/>
      <c r="AM18" s="271"/>
      <c r="AN18" s="271"/>
      <c r="AO18" s="271"/>
      <c r="AP18" s="271"/>
      <c r="AQ18" s="271"/>
      <c r="AR18" s="271"/>
      <c r="AS18" s="271"/>
      <c r="AT18" s="271"/>
      <c r="AU18" s="271"/>
      <c r="AV18" s="271"/>
      <c r="AW18" s="271"/>
      <c r="AX18" s="271"/>
      <c r="AY18" s="271"/>
      <c r="AZ18" s="271"/>
      <c r="BA18" s="271"/>
      <c r="BB18" s="271"/>
      <c r="BC18" s="271"/>
      <c r="BD18" s="271"/>
      <c r="BE18" s="271"/>
      <c r="BF18" s="271"/>
      <c r="BG18" s="271"/>
      <c r="BH18" s="271"/>
      <c r="BI18" s="272"/>
      <c r="BJ18" s="271"/>
      <c r="BK18" s="273"/>
    </row>
    <row r="19" spans="1:63" ht="15" customHeight="1" x14ac:dyDescent="0.25">
      <c r="A19" s="269"/>
      <c r="B19" s="270"/>
      <c r="C19" s="271"/>
      <c r="D19" s="271"/>
      <c r="E19" s="271"/>
      <c r="F19" s="271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2"/>
      <c r="AF19" s="270"/>
      <c r="AG19" s="271"/>
      <c r="AH19" s="271"/>
      <c r="AI19" s="271"/>
      <c r="AJ19" s="271"/>
      <c r="AK19" s="271"/>
      <c r="AL19" s="271"/>
      <c r="AM19" s="271"/>
      <c r="AN19" s="271"/>
      <c r="AO19" s="271"/>
      <c r="AP19" s="271"/>
      <c r="AQ19" s="271"/>
      <c r="AR19" s="271"/>
      <c r="AS19" s="271"/>
      <c r="AT19" s="271"/>
      <c r="AU19" s="271"/>
      <c r="AV19" s="271"/>
      <c r="AW19" s="271"/>
      <c r="AX19" s="271"/>
      <c r="AY19" s="271"/>
      <c r="AZ19" s="271"/>
      <c r="BA19" s="271"/>
      <c r="BB19" s="271"/>
      <c r="BC19" s="271"/>
      <c r="BD19" s="271"/>
      <c r="BE19" s="271"/>
      <c r="BF19" s="271"/>
      <c r="BG19" s="271"/>
      <c r="BH19" s="271"/>
      <c r="BI19" s="272"/>
      <c r="BJ19" s="271"/>
      <c r="BK19" s="273"/>
    </row>
    <row r="20" spans="1:63" ht="15" customHeight="1" x14ac:dyDescent="0.25">
      <c r="A20" s="269"/>
      <c r="B20" s="270"/>
      <c r="C20" s="271"/>
      <c r="D20" s="271"/>
      <c r="E20" s="271"/>
      <c r="F20" s="271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2"/>
      <c r="AF20" s="270"/>
      <c r="AG20" s="271"/>
      <c r="AH20" s="271"/>
      <c r="AI20" s="271"/>
      <c r="AJ20" s="271"/>
      <c r="AK20" s="271"/>
      <c r="AL20" s="271"/>
      <c r="AM20" s="271"/>
      <c r="AN20" s="271"/>
      <c r="AO20" s="271"/>
      <c r="AP20" s="271"/>
      <c r="AQ20" s="271"/>
      <c r="AR20" s="271"/>
      <c r="AS20" s="271"/>
      <c r="AT20" s="271"/>
      <c r="AU20" s="271"/>
      <c r="AV20" s="271"/>
      <c r="AW20" s="271"/>
      <c r="AX20" s="271"/>
      <c r="AY20" s="271"/>
      <c r="AZ20" s="271"/>
      <c r="BA20" s="271"/>
      <c r="BB20" s="271"/>
      <c r="BC20" s="271"/>
      <c r="BD20" s="271"/>
      <c r="BE20" s="271"/>
      <c r="BF20" s="271"/>
      <c r="BG20" s="271"/>
      <c r="BH20" s="271"/>
      <c r="BI20" s="272"/>
      <c r="BJ20" s="271"/>
      <c r="BK20" s="273"/>
    </row>
    <row r="21" spans="1:63" ht="15" customHeight="1" x14ac:dyDescent="0.25">
      <c r="A21" s="269"/>
      <c r="B21" s="270"/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  <c r="AA21" s="271"/>
      <c r="AB21" s="271"/>
      <c r="AC21" s="271"/>
      <c r="AD21" s="271"/>
      <c r="AE21" s="272"/>
      <c r="AF21" s="270"/>
      <c r="AG21" s="271"/>
      <c r="AH21" s="271"/>
      <c r="AI21" s="271"/>
      <c r="AJ21" s="271"/>
      <c r="AK21" s="271"/>
      <c r="AL21" s="271"/>
      <c r="AM21" s="271"/>
      <c r="AN21" s="271"/>
      <c r="AO21" s="271"/>
      <c r="AP21" s="271"/>
      <c r="AQ21" s="271"/>
      <c r="AR21" s="271"/>
      <c r="AS21" s="271"/>
      <c r="AT21" s="271"/>
      <c r="AU21" s="271"/>
      <c r="AV21" s="271"/>
      <c r="AW21" s="271"/>
      <c r="AX21" s="271"/>
      <c r="AY21" s="271"/>
      <c r="AZ21" s="271"/>
      <c r="BA21" s="271"/>
      <c r="BB21" s="271"/>
      <c r="BC21" s="271"/>
      <c r="BD21" s="271"/>
      <c r="BE21" s="271"/>
      <c r="BF21" s="271"/>
      <c r="BG21" s="271"/>
      <c r="BH21" s="271"/>
      <c r="BI21" s="272"/>
      <c r="BJ21" s="271"/>
      <c r="BK21" s="273"/>
    </row>
    <row r="22" spans="1:63" ht="15" customHeight="1" x14ac:dyDescent="0.25">
      <c r="A22" s="269"/>
      <c r="B22" s="274" t="s">
        <v>65</v>
      </c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  <c r="AD22" s="275"/>
      <c r="AE22" s="276"/>
      <c r="AF22" s="274"/>
      <c r="AG22" s="275"/>
      <c r="AH22" s="275"/>
      <c r="AI22" s="275"/>
      <c r="AJ22" s="275"/>
      <c r="AK22" s="275"/>
      <c r="AL22" s="275"/>
      <c r="AM22" s="275"/>
      <c r="AN22" s="275"/>
      <c r="AO22" s="275"/>
      <c r="AP22" s="275"/>
      <c r="AQ22" s="275"/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5"/>
      <c r="BE22" s="275"/>
      <c r="BF22" s="275"/>
      <c r="BG22" s="275"/>
      <c r="BH22" s="275"/>
      <c r="BI22" s="276"/>
      <c r="BJ22" s="275"/>
      <c r="BK22" s="273"/>
    </row>
    <row r="23" spans="1:63" ht="15" customHeight="1" x14ac:dyDescent="0.25">
      <c r="A23" s="269"/>
      <c r="B23" s="270"/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  <c r="AA23" s="271"/>
      <c r="AB23" s="271"/>
      <c r="AC23" s="271"/>
      <c r="AD23" s="271"/>
      <c r="AE23" s="272"/>
      <c r="AF23" s="270"/>
      <c r="AG23" s="271"/>
      <c r="AH23" s="271"/>
      <c r="AI23" s="271"/>
      <c r="AJ23" s="271"/>
      <c r="AK23" s="271"/>
      <c r="AL23" s="271"/>
      <c r="AM23" s="271"/>
      <c r="AN23" s="271"/>
      <c r="AO23" s="271"/>
      <c r="AP23" s="271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  <c r="BG23" s="271"/>
      <c r="BH23" s="271"/>
      <c r="BI23" s="272"/>
      <c r="BJ23" s="271"/>
      <c r="BK23" s="273"/>
    </row>
    <row r="24" spans="1:63" ht="15" customHeight="1" x14ac:dyDescent="0.25">
      <c r="A24" s="269"/>
      <c r="B24" s="270"/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2"/>
      <c r="AF24" s="270"/>
      <c r="AG24" s="271"/>
      <c r="AH24" s="271"/>
      <c r="AI24" s="271"/>
      <c r="AJ24" s="271"/>
      <c r="AK24" s="271"/>
      <c r="AL24" s="271"/>
      <c r="AM24" s="271"/>
      <c r="AN24" s="271"/>
      <c r="AO24" s="271"/>
      <c r="AP24" s="271"/>
      <c r="AQ24" s="271"/>
      <c r="AR24" s="271"/>
      <c r="AS24" s="271"/>
      <c r="AT24" s="271"/>
      <c r="AU24" s="271"/>
      <c r="AV24" s="271"/>
      <c r="AW24" s="271"/>
      <c r="AX24" s="271"/>
      <c r="AY24" s="271"/>
      <c r="AZ24" s="271"/>
      <c r="BA24" s="271"/>
      <c r="BB24" s="271"/>
      <c r="BC24" s="271"/>
      <c r="BD24" s="271"/>
      <c r="BE24" s="271"/>
      <c r="BF24" s="271"/>
      <c r="BG24" s="271"/>
      <c r="BH24" s="271"/>
      <c r="BI24" s="272"/>
      <c r="BJ24" s="271"/>
      <c r="BK24" s="273"/>
    </row>
    <row r="25" spans="1:63" ht="15" customHeight="1" x14ac:dyDescent="0.25">
      <c r="A25" s="269"/>
      <c r="B25" s="270"/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2"/>
      <c r="AF25" s="270"/>
      <c r="AG25" s="271"/>
      <c r="AH25" s="271"/>
      <c r="AI25" s="271"/>
      <c r="AJ25" s="271"/>
      <c r="AK25" s="271"/>
      <c r="AL25" s="271"/>
      <c r="AM25" s="271"/>
      <c r="AN25" s="271"/>
      <c r="AO25" s="271"/>
      <c r="AP25" s="271"/>
      <c r="AQ25" s="271"/>
      <c r="AR25" s="271"/>
      <c r="AS25" s="271"/>
      <c r="AT25" s="271"/>
      <c r="AU25" s="271"/>
      <c r="AV25" s="271"/>
      <c r="AW25" s="271"/>
      <c r="AX25" s="271"/>
      <c r="AY25" s="271"/>
      <c r="AZ25" s="271"/>
      <c r="BA25" s="271"/>
      <c r="BB25" s="271"/>
      <c r="BC25" s="271"/>
      <c r="BD25" s="271"/>
      <c r="BE25" s="271"/>
      <c r="BF25" s="271"/>
      <c r="BG25" s="271"/>
      <c r="BH25" s="271"/>
      <c r="BI25" s="272"/>
      <c r="BJ25" s="271"/>
      <c r="BK25" s="273"/>
    </row>
    <row r="26" spans="1:63" ht="15" customHeight="1" x14ac:dyDescent="0.25">
      <c r="A26" s="269"/>
      <c r="B26" s="270"/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2"/>
      <c r="AF26" s="270"/>
      <c r="AG26" s="271"/>
      <c r="AH26" s="271"/>
      <c r="AI26" s="271"/>
      <c r="AJ26" s="271"/>
      <c r="AK26" s="271"/>
      <c r="AL26" s="271"/>
      <c r="AM26" s="271"/>
      <c r="AN26" s="271"/>
      <c r="AO26" s="271"/>
      <c r="AP26" s="271"/>
      <c r="AQ26" s="271"/>
      <c r="AR26" s="271"/>
      <c r="AS26" s="271"/>
      <c r="AT26" s="271"/>
      <c r="AU26" s="271"/>
      <c r="AV26" s="271"/>
      <c r="AW26" s="271"/>
      <c r="AX26" s="271"/>
      <c r="AY26" s="271"/>
      <c r="AZ26" s="271"/>
      <c r="BA26" s="271"/>
      <c r="BB26" s="271"/>
      <c r="BC26" s="271"/>
      <c r="BD26" s="271"/>
      <c r="BE26" s="271"/>
      <c r="BF26" s="271"/>
      <c r="BG26" s="271"/>
      <c r="BH26" s="271"/>
      <c r="BI26" s="272"/>
      <c r="BJ26" s="271"/>
      <c r="BK26" s="273"/>
    </row>
    <row r="27" spans="1:63" ht="15" customHeight="1" x14ac:dyDescent="0.25">
      <c r="A27" s="269"/>
      <c r="B27" s="270"/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  <c r="AA27" s="271"/>
      <c r="AB27" s="271"/>
      <c r="AC27" s="271"/>
      <c r="AD27" s="271"/>
      <c r="AE27" s="272"/>
      <c r="AF27" s="270"/>
      <c r="AG27" s="271"/>
      <c r="AH27" s="271"/>
      <c r="AI27" s="271"/>
      <c r="AJ27" s="271"/>
      <c r="AK27" s="271"/>
      <c r="AL27" s="271"/>
      <c r="AM27" s="271"/>
      <c r="AN27" s="271"/>
      <c r="AO27" s="271"/>
      <c r="AP27" s="271"/>
      <c r="AQ27" s="271"/>
      <c r="AR27" s="271"/>
      <c r="AS27" s="271"/>
      <c r="AT27" s="271"/>
      <c r="AU27" s="271"/>
      <c r="AV27" s="271"/>
      <c r="AW27" s="271"/>
      <c r="AX27" s="271"/>
      <c r="AY27" s="271"/>
      <c r="AZ27" s="271"/>
      <c r="BA27" s="271"/>
      <c r="BB27" s="271"/>
      <c r="BC27" s="271"/>
      <c r="BD27" s="271"/>
      <c r="BE27" s="271"/>
      <c r="BF27" s="271"/>
      <c r="BG27" s="271"/>
      <c r="BH27" s="271"/>
      <c r="BI27" s="272"/>
      <c r="BJ27" s="271"/>
      <c r="BK27" s="273"/>
    </row>
    <row r="28" spans="1:63" ht="15" customHeight="1" x14ac:dyDescent="0.25">
      <c r="A28" s="269"/>
      <c r="B28" s="270"/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  <c r="AA28" s="271"/>
      <c r="AB28" s="271"/>
      <c r="AC28" s="271"/>
      <c r="AD28" s="271"/>
      <c r="AE28" s="272"/>
      <c r="AF28" s="270"/>
      <c r="AG28" s="271"/>
      <c r="AH28" s="271"/>
      <c r="AI28" s="271"/>
      <c r="AJ28" s="271"/>
      <c r="AK28" s="271"/>
      <c r="AL28" s="271"/>
      <c r="AM28" s="271"/>
      <c r="AN28" s="271"/>
      <c r="AO28" s="271"/>
      <c r="AP28" s="271"/>
      <c r="AQ28" s="271"/>
      <c r="AR28" s="271"/>
      <c r="AS28" s="271"/>
      <c r="AT28" s="271"/>
      <c r="AU28" s="271"/>
      <c r="AV28" s="271"/>
      <c r="AW28" s="271"/>
      <c r="AX28" s="271"/>
      <c r="AY28" s="271"/>
      <c r="AZ28" s="271"/>
      <c r="BA28" s="271"/>
      <c r="BB28" s="271"/>
      <c r="BC28" s="271"/>
      <c r="BD28" s="271"/>
      <c r="BE28" s="271"/>
      <c r="BF28" s="271"/>
      <c r="BG28" s="271"/>
      <c r="BH28" s="271"/>
      <c r="BI28" s="272"/>
      <c r="BJ28" s="271"/>
      <c r="BK28" s="273"/>
    </row>
    <row r="29" spans="1:63" ht="15" customHeight="1" x14ac:dyDescent="0.25">
      <c r="A29" s="269"/>
      <c r="B29" s="270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  <c r="AA29" s="271"/>
      <c r="AB29" s="271"/>
      <c r="AC29" s="271"/>
      <c r="AD29" s="271"/>
      <c r="AE29" s="272"/>
      <c r="AF29" s="270"/>
      <c r="AG29" s="271"/>
      <c r="AH29" s="271"/>
      <c r="AI29" s="271"/>
      <c r="AJ29" s="271"/>
      <c r="AK29" s="271"/>
      <c r="AL29" s="271"/>
      <c r="AM29" s="271"/>
      <c r="AN29" s="271"/>
      <c r="AO29" s="271"/>
      <c r="AP29" s="271"/>
      <c r="AQ29" s="271"/>
      <c r="AR29" s="271"/>
      <c r="AS29" s="271"/>
      <c r="AT29" s="271"/>
      <c r="AU29" s="271"/>
      <c r="AV29" s="271"/>
      <c r="AW29" s="271"/>
      <c r="AX29" s="271"/>
      <c r="AY29" s="271"/>
      <c r="AZ29" s="271"/>
      <c r="BA29" s="271"/>
      <c r="BB29" s="271"/>
      <c r="BC29" s="271"/>
      <c r="BD29" s="271"/>
      <c r="BE29" s="271"/>
      <c r="BF29" s="271"/>
      <c r="BG29" s="271"/>
      <c r="BH29" s="271"/>
      <c r="BI29" s="272"/>
      <c r="BJ29" s="271"/>
      <c r="BK29" s="273"/>
    </row>
    <row r="30" spans="1:63" ht="15" customHeight="1" x14ac:dyDescent="0.25">
      <c r="A30" s="269"/>
      <c r="B30" s="270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  <c r="AA30" s="271"/>
      <c r="AB30" s="271"/>
      <c r="AC30" s="271"/>
      <c r="AD30" s="271"/>
      <c r="AE30" s="272"/>
      <c r="AF30" s="270"/>
      <c r="AG30" s="271"/>
      <c r="AH30" s="271"/>
      <c r="AI30" s="271"/>
      <c r="AJ30" s="271"/>
      <c r="AK30" s="271"/>
      <c r="AL30" s="271"/>
      <c r="AM30" s="271"/>
      <c r="AN30" s="271"/>
      <c r="AO30" s="271"/>
      <c r="AP30" s="271"/>
      <c r="AQ30" s="271"/>
      <c r="AR30" s="271"/>
      <c r="AS30" s="271"/>
      <c r="AT30" s="271"/>
      <c r="AU30" s="271"/>
      <c r="AV30" s="271"/>
      <c r="AW30" s="271"/>
      <c r="AX30" s="271"/>
      <c r="AY30" s="271"/>
      <c r="AZ30" s="271"/>
      <c r="BA30" s="271"/>
      <c r="BB30" s="271"/>
      <c r="BC30" s="271"/>
      <c r="BD30" s="271"/>
      <c r="BE30" s="271"/>
      <c r="BF30" s="271"/>
      <c r="BG30" s="271"/>
      <c r="BH30" s="271"/>
      <c r="BI30" s="272"/>
      <c r="BJ30" s="271"/>
      <c r="BK30" s="273"/>
    </row>
    <row r="31" spans="1:63" ht="15" customHeight="1" x14ac:dyDescent="0.25">
      <c r="A31" s="269"/>
      <c r="B31" s="270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  <c r="AA31" s="271"/>
      <c r="AB31" s="271"/>
      <c r="AC31" s="271"/>
      <c r="AD31" s="271"/>
      <c r="AE31" s="272"/>
      <c r="AF31" s="270"/>
      <c r="AG31" s="271"/>
      <c r="AH31" s="271"/>
      <c r="AI31" s="271"/>
      <c r="AJ31" s="271"/>
      <c r="AK31" s="271"/>
      <c r="AL31" s="271"/>
      <c r="AM31" s="271"/>
      <c r="AN31" s="271"/>
      <c r="AO31" s="271"/>
      <c r="AP31" s="271"/>
      <c r="AQ31" s="271"/>
      <c r="AR31" s="271"/>
      <c r="AS31" s="271"/>
      <c r="AT31" s="271"/>
      <c r="AU31" s="271"/>
      <c r="AV31" s="271"/>
      <c r="AW31" s="271"/>
      <c r="AX31" s="271"/>
      <c r="AY31" s="271"/>
      <c r="AZ31" s="271"/>
      <c r="BA31" s="271"/>
      <c r="BB31" s="271"/>
      <c r="BC31" s="271"/>
      <c r="BD31" s="271"/>
      <c r="BE31" s="271"/>
      <c r="BF31" s="271"/>
      <c r="BG31" s="271"/>
      <c r="BH31" s="271"/>
      <c r="BI31" s="272"/>
      <c r="BJ31" s="271"/>
      <c r="BK31" s="273"/>
    </row>
    <row r="32" spans="1:63" ht="15" customHeight="1" x14ac:dyDescent="0.25">
      <c r="A32" s="269"/>
      <c r="B32" s="270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  <c r="AA32" s="271"/>
      <c r="AB32" s="271"/>
      <c r="AC32" s="271"/>
      <c r="AD32" s="271"/>
      <c r="AE32" s="272"/>
      <c r="AF32" s="270"/>
      <c r="AG32" s="271"/>
      <c r="AH32" s="271"/>
      <c r="AI32" s="271"/>
      <c r="AJ32" s="271"/>
      <c r="AK32" s="271"/>
      <c r="AL32" s="271"/>
      <c r="AM32" s="271"/>
      <c r="AN32" s="271"/>
      <c r="AO32" s="271"/>
      <c r="AP32" s="271"/>
      <c r="AQ32" s="271"/>
      <c r="AR32" s="271"/>
      <c r="AS32" s="271"/>
      <c r="AT32" s="271"/>
      <c r="AU32" s="271"/>
      <c r="AV32" s="271"/>
      <c r="AW32" s="271"/>
      <c r="AX32" s="271"/>
      <c r="AY32" s="271"/>
      <c r="AZ32" s="271"/>
      <c r="BA32" s="271"/>
      <c r="BB32" s="271"/>
      <c r="BC32" s="271"/>
      <c r="BD32" s="271"/>
      <c r="BE32" s="271"/>
      <c r="BF32" s="271"/>
      <c r="BG32" s="271"/>
      <c r="BH32" s="271"/>
      <c r="BI32" s="272"/>
      <c r="BJ32" s="271"/>
      <c r="BK32" s="273"/>
    </row>
    <row r="33" spans="1:63" ht="15" customHeight="1" x14ac:dyDescent="0.25">
      <c r="A33" s="269"/>
      <c r="B33" s="270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  <c r="AA33" s="271"/>
      <c r="AB33" s="271"/>
      <c r="AC33" s="271"/>
      <c r="AD33" s="271"/>
      <c r="AE33" s="272"/>
      <c r="AF33" s="270"/>
      <c r="AG33" s="271"/>
      <c r="AH33" s="271"/>
      <c r="AI33" s="271"/>
      <c r="AJ33" s="271"/>
      <c r="AK33" s="271"/>
      <c r="AL33" s="271"/>
      <c r="AM33" s="271"/>
      <c r="AN33" s="271"/>
      <c r="AO33" s="271"/>
      <c r="AP33" s="271"/>
      <c r="AQ33" s="271"/>
      <c r="AR33" s="271"/>
      <c r="AS33" s="271"/>
      <c r="AT33" s="271"/>
      <c r="AU33" s="271"/>
      <c r="AV33" s="271"/>
      <c r="AW33" s="271"/>
      <c r="AX33" s="271"/>
      <c r="AY33" s="271"/>
      <c r="AZ33" s="271"/>
      <c r="BA33" s="271"/>
      <c r="BB33" s="271"/>
      <c r="BC33" s="271"/>
      <c r="BD33" s="271"/>
      <c r="BE33" s="271"/>
      <c r="BF33" s="271"/>
      <c r="BG33" s="271"/>
      <c r="BH33" s="271"/>
      <c r="BI33" s="272"/>
      <c r="BJ33" s="271"/>
      <c r="BK33" s="273"/>
    </row>
    <row r="34" spans="1:63" ht="15" customHeight="1" x14ac:dyDescent="0.25">
      <c r="A34" s="269"/>
      <c r="B34" s="270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  <c r="AA34" s="271"/>
      <c r="AB34" s="271"/>
      <c r="AC34" s="271"/>
      <c r="AD34" s="271"/>
      <c r="AE34" s="272"/>
      <c r="AF34" s="270"/>
      <c r="AG34" s="271"/>
      <c r="AH34" s="271"/>
      <c r="AI34" s="271"/>
      <c r="AJ34" s="271"/>
      <c r="AK34" s="271"/>
      <c r="AL34" s="271"/>
      <c r="AM34" s="271"/>
      <c r="AN34" s="271"/>
      <c r="AO34" s="271"/>
      <c r="AP34" s="271"/>
      <c r="AQ34" s="271"/>
      <c r="AR34" s="271"/>
      <c r="AS34" s="271"/>
      <c r="AT34" s="271"/>
      <c r="AU34" s="271"/>
      <c r="AV34" s="271"/>
      <c r="AW34" s="271"/>
      <c r="AX34" s="271"/>
      <c r="AY34" s="271"/>
      <c r="AZ34" s="271"/>
      <c r="BA34" s="271"/>
      <c r="BB34" s="271"/>
      <c r="BC34" s="271"/>
      <c r="BD34" s="271"/>
      <c r="BE34" s="271"/>
      <c r="BF34" s="271"/>
      <c r="BG34" s="271"/>
      <c r="BH34" s="271"/>
      <c r="BI34" s="272"/>
      <c r="BJ34" s="271"/>
      <c r="BK34" s="273"/>
    </row>
    <row r="35" spans="1:63" ht="15" customHeight="1" x14ac:dyDescent="0.25">
      <c r="A35" s="269"/>
      <c r="B35" s="270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  <c r="AA35" s="271"/>
      <c r="AB35" s="271"/>
      <c r="AC35" s="271"/>
      <c r="AD35" s="271"/>
      <c r="AE35" s="272"/>
      <c r="AF35" s="270"/>
      <c r="AG35" s="271"/>
      <c r="AH35" s="271"/>
      <c r="AI35" s="271"/>
      <c r="AJ35" s="271"/>
      <c r="AK35" s="271"/>
      <c r="AL35" s="271"/>
      <c r="AM35" s="271"/>
      <c r="AN35" s="271"/>
      <c r="AO35" s="271"/>
      <c r="AP35" s="271"/>
      <c r="AQ35" s="271"/>
      <c r="AR35" s="271"/>
      <c r="AS35" s="271"/>
      <c r="AT35" s="271"/>
      <c r="AU35" s="271"/>
      <c r="AV35" s="271"/>
      <c r="AW35" s="271"/>
      <c r="AX35" s="271"/>
      <c r="AY35" s="271"/>
      <c r="AZ35" s="271"/>
      <c r="BA35" s="271"/>
      <c r="BB35" s="271"/>
      <c r="BC35" s="271"/>
      <c r="BD35" s="271"/>
      <c r="BE35" s="271"/>
      <c r="BF35" s="271"/>
      <c r="BG35" s="271"/>
      <c r="BH35" s="271"/>
      <c r="BI35" s="272"/>
      <c r="BJ35" s="271"/>
      <c r="BK35" s="273"/>
    </row>
    <row r="36" spans="1:63" ht="15" customHeight="1" x14ac:dyDescent="0.25">
      <c r="A36" s="269"/>
      <c r="B36" s="270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  <c r="AA36" s="271"/>
      <c r="AB36" s="271"/>
      <c r="AC36" s="271"/>
      <c r="AD36" s="271"/>
      <c r="AE36" s="272"/>
      <c r="AF36" s="270"/>
      <c r="AG36" s="271"/>
      <c r="AH36" s="271"/>
      <c r="AI36" s="271"/>
      <c r="AJ36" s="271"/>
      <c r="AK36" s="271"/>
      <c r="AL36" s="271"/>
      <c r="AM36" s="271"/>
      <c r="AN36" s="271"/>
      <c r="AO36" s="271"/>
      <c r="AP36" s="271"/>
      <c r="AQ36" s="271"/>
      <c r="AR36" s="271"/>
      <c r="AS36" s="271"/>
      <c r="AT36" s="271"/>
      <c r="AU36" s="271"/>
      <c r="AV36" s="271"/>
      <c r="AW36" s="271"/>
      <c r="AX36" s="271"/>
      <c r="AY36" s="271"/>
      <c r="AZ36" s="271"/>
      <c r="BA36" s="271"/>
      <c r="BB36" s="271"/>
      <c r="BC36" s="271"/>
      <c r="BD36" s="271"/>
      <c r="BE36" s="271"/>
      <c r="BF36" s="271"/>
      <c r="BG36" s="271"/>
      <c r="BH36" s="271"/>
      <c r="BI36" s="272"/>
      <c r="BJ36" s="271"/>
      <c r="BK36" s="273"/>
    </row>
    <row r="37" spans="1:63" ht="15" customHeight="1" x14ac:dyDescent="0.25">
      <c r="A37" s="269"/>
      <c r="B37" s="270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  <c r="AA37" s="271"/>
      <c r="AB37" s="271"/>
      <c r="AC37" s="271"/>
      <c r="AD37" s="271"/>
      <c r="AE37" s="271"/>
      <c r="AF37" s="270"/>
      <c r="AG37" s="271"/>
      <c r="AH37" s="271"/>
      <c r="AI37" s="271"/>
      <c r="AJ37" s="271"/>
      <c r="AK37" s="271"/>
      <c r="AL37" s="271"/>
      <c r="AM37" s="271"/>
      <c r="AN37" s="271"/>
      <c r="AO37" s="271"/>
      <c r="AP37" s="271"/>
      <c r="AQ37" s="271"/>
      <c r="AR37" s="271"/>
      <c r="AS37" s="271"/>
      <c r="AT37" s="271"/>
      <c r="AU37" s="271"/>
      <c r="AV37" s="271"/>
      <c r="AW37" s="271"/>
      <c r="AX37" s="271"/>
      <c r="AY37" s="271"/>
      <c r="AZ37" s="271"/>
      <c r="BA37" s="271"/>
      <c r="BB37" s="271"/>
      <c r="BC37" s="271"/>
      <c r="BD37" s="271"/>
      <c r="BE37" s="271"/>
      <c r="BF37" s="271"/>
      <c r="BG37" s="271"/>
      <c r="BH37" s="271"/>
      <c r="BI37" s="272"/>
      <c r="BJ37" s="271"/>
      <c r="BK37" s="273"/>
    </row>
    <row r="38" spans="1:63" ht="15" customHeight="1" x14ac:dyDescent="0.25">
      <c r="A38" s="269"/>
      <c r="B38" s="270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  <c r="AA38" s="271"/>
      <c r="AB38" s="271"/>
      <c r="AC38" s="271"/>
      <c r="AD38" s="271"/>
      <c r="AE38" s="271"/>
      <c r="AF38" s="270"/>
      <c r="AG38" s="271"/>
      <c r="AH38" s="271"/>
      <c r="AI38" s="271"/>
      <c r="AJ38" s="271"/>
      <c r="AK38" s="271"/>
      <c r="AL38" s="271"/>
      <c r="AM38" s="271"/>
      <c r="AN38" s="271"/>
      <c r="AO38" s="271"/>
      <c r="AP38" s="271"/>
      <c r="AQ38" s="271"/>
      <c r="AR38" s="271"/>
      <c r="AS38" s="271"/>
      <c r="AT38" s="271"/>
      <c r="AU38" s="271"/>
      <c r="AV38" s="271"/>
      <c r="AW38" s="271"/>
      <c r="AX38" s="271"/>
      <c r="AY38" s="271"/>
      <c r="AZ38" s="271"/>
      <c r="BA38" s="271"/>
      <c r="BB38" s="271"/>
      <c r="BC38" s="271"/>
      <c r="BD38" s="271"/>
      <c r="BE38" s="271"/>
      <c r="BF38" s="271"/>
      <c r="BG38" s="271"/>
      <c r="BH38" s="271"/>
      <c r="BI38" s="272"/>
      <c r="BJ38" s="271"/>
      <c r="BK38" s="273"/>
    </row>
    <row r="39" spans="1:63" ht="15" customHeight="1" x14ac:dyDescent="0.25">
      <c r="A39" s="269"/>
      <c r="B39" s="270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  <c r="AA39" s="271"/>
      <c r="AB39" s="271"/>
      <c r="AC39" s="271"/>
      <c r="AD39" s="271"/>
      <c r="AE39" s="271"/>
      <c r="AF39" s="270"/>
      <c r="AG39" s="271"/>
      <c r="AH39" s="271"/>
      <c r="AI39" s="271"/>
      <c r="AJ39" s="271"/>
      <c r="AK39" s="271"/>
      <c r="AL39" s="271"/>
      <c r="AM39" s="271"/>
      <c r="AN39" s="271"/>
      <c r="AO39" s="271"/>
      <c r="AP39" s="271"/>
      <c r="AQ39" s="271"/>
      <c r="AR39" s="271"/>
      <c r="AS39" s="271"/>
      <c r="AT39" s="271"/>
      <c r="AU39" s="271"/>
      <c r="AV39" s="271"/>
      <c r="AW39" s="271"/>
      <c r="AX39" s="271"/>
      <c r="AY39" s="271"/>
      <c r="AZ39" s="271"/>
      <c r="BA39" s="271"/>
      <c r="BB39" s="271"/>
      <c r="BC39" s="271"/>
      <c r="BD39" s="271"/>
      <c r="BE39" s="271"/>
      <c r="BF39" s="271"/>
      <c r="BG39" s="271"/>
      <c r="BH39" s="271"/>
      <c r="BI39" s="272"/>
      <c r="BJ39" s="271"/>
      <c r="BK39" s="273"/>
    </row>
    <row r="40" spans="1:63" ht="15" customHeight="1" x14ac:dyDescent="0.25">
      <c r="A40" s="269"/>
      <c r="B40" s="270"/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  <c r="AA40" s="271"/>
      <c r="AB40" s="271"/>
      <c r="AC40" s="271"/>
      <c r="AD40" s="271"/>
      <c r="AE40" s="271"/>
      <c r="AF40" s="270"/>
      <c r="AG40" s="271"/>
      <c r="AH40" s="271"/>
      <c r="AI40" s="271"/>
      <c r="AJ40" s="271"/>
      <c r="AK40" s="271"/>
      <c r="AL40" s="271"/>
      <c r="AM40" s="271"/>
      <c r="AN40" s="271"/>
      <c r="AO40" s="271"/>
      <c r="AP40" s="271"/>
      <c r="AQ40" s="271"/>
      <c r="AR40" s="271"/>
      <c r="AS40" s="271"/>
      <c r="AT40" s="271"/>
      <c r="AU40" s="271"/>
      <c r="AV40" s="271"/>
      <c r="AW40" s="271"/>
      <c r="AX40" s="271"/>
      <c r="AY40" s="271"/>
      <c r="AZ40" s="271"/>
      <c r="BA40" s="271"/>
      <c r="BB40" s="271"/>
      <c r="BC40" s="271"/>
      <c r="BD40" s="271"/>
      <c r="BE40" s="271"/>
      <c r="BF40" s="271"/>
      <c r="BG40" s="271"/>
      <c r="BH40" s="271"/>
      <c r="BI40" s="272"/>
      <c r="BJ40" s="271"/>
      <c r="BK40" s="273"/>
    </row>
    <row r="41" spans="1:63" ht="15" customHeight="1" x14ac:dyDescent="0.25">
      <c r="A41" s="269"/>
      <c r="B41" s="270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  <c r="AA41" s="271"/>
      <c r="AB41" s="271"/>
      <c r="AC41" s="271"/>
      <c r="AD41" s="271"/>
      <c r="AE41" s="271"/>
      <c r="AF41" s="270"/>
      <c r="AG41" s="271"/>
      <c r="AH41" s="271"/>
      <c r="AI41" s="271"/>
      <c r="AJ41" s="271"/>
      <c r="AK41" s="271"/>
      <c r="AL41" s="271"/>
      <c r="AM41" s="271"/>
      <c r="AN41" s="271"/>
      <c r="AO41" s="271"/>
      <c r="AP41" s="271"/>
      <c r="AQ41" s="271"/>
      <c r="AR41" s="271"/>
      <c r="AS41" s="271"/>
      <c r="AT41" s="271"/>
      <c r="AU41" s="271"/>
      <c r="AV41" s="271"/>
      <c r="AW41" s="271"/>
      <c r="AX41" s="271"/>
      <c r="AY41" s="271"/>
      <c r="AZ41" s="271"/>
      <c r="BA41" s="271"/>
      <c r="BB41" s="271"/>
      <c r="BC41" s="271"/>
      <c r="BD41" s="271"/>
      <c r="BE41" s="271"/>
      <c r="BF41" s="271"/>
      <c r="BG41" s="271"/>
      <c r="BH41" s="271"/>
      <c r="BI41" s="272"/>
      <c r="BJ41" s="271"/>
      <c r="BK41" s="273"/>
    </row>
    <row r="42" spans="1:63" ht="15" customHeight="1" x14ac:dyDescent="0.25">
      <c r="A42" s="269"/>
      <c r="B42" s="274" t="s">
        <v>66</v>
      </c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5"/>
      <c r="AA42" s="275"/>
      <c r="AB42" s="275"/>
      <c r="AC42" s="275"/>
      <c r="AD42" s="275"/>
      <c r="AE42" s="276"/>
      <c r="AF42" s="274"/>
      <c r="AG42" s="275"/>
      <c r="AH42" s="275"/>
      <c r="AI42" s="275"/>
      <c r="AJ42" s="275"/>
      <c r="AK42" s="275"/>
      <c r="AL42" s="275"/>
      <c r="AM42" s="275"/>
      <c r="AN42" s="275"/>
      <c r="AO42" s="275"/>
      <c r="AP42" s="275"/>
      <c r="AQ42" s="275"/>
      <c r="AR42" s="275"/>
      <c r="AS42" s="275"/>
      <c r="AT42" s="275"/>
      <c r="AU42" s="275"/>
      <c r="AV42" s="275"/>
      <c r="AW42" s="275"/>
      <c r="AX42" s="275"/>
      <c r="AY42" s="275"/>
      <c r="AZ42" s="275"/>
      <c r="BA42" s="275"/>
      <c r="BB42" s="275"/>
      <c r="BC42" s="275"/>
      <c r="BD42" s="275"/>
      <c r="BE42" s="275"/>
      <c r="BF42" s="275"/>
      <c r="BG42" s="275"/>
      <c r="BH42" s="275"/>
      <c r="BI42" s="276"/>
      <c r="BJ42" s="275"/>
      <c r="BK42" s="273"/>
    </row>
    <row r="43" spans="1:63" ht="15" customHeight="1" x14ac:dyDescent="0.25">
      <c r="A43" s="269"/>
      <c r="B43" s="270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  <c r="AA43" s="271"/>
      <c r="AB43" s="271"/>
      <c r="AC43" s="271"/>
      <c r="AD43" s="271"/>
      <c r="AE43" s="272"/>
      <c r="AF43" s="270"/>
      <c r="AG43" s="271"/>
      <c r="AH43" s="271"/>
      <c r="AI43" s="271"/>
      <c r="AJ43" s="271"/>
      <c r="AK43" s="271"/>
      <c r="AL43" s="271"/>
      <c r="AM43" s="271"/>
      <c r="AN43" s="271"/>
      <c r="AO43" s="271"/>
      <c r="AP43" s="271"/>
      <c r="AQ43" s="271"/>
      <c r="AR43" s="271"/>
      <c r="AS43" s="271"/>
      <c r="AT43" s="271"/>
      <c r="AU43" s="271"/>
      <c r="AV43" s="271"/>
      <c r="AW43" s="271"/>
      <c r="AX43" s="271"/>
      <c r="AY43" s="271"/>
      <c r="AZ43" s="271"/>
      <c r="BA43" s="271"/>
      <c r="BB43" s="271"/>
      <c r="BC43" s="271"/>
      <c r="BD43" s="271"/>
      <c r="BE43" s="271"/>
      <c r="BF43" s="271"/>
      <c r="BG43" s="271"/>
      <c r="BH43" s="271"/>
      <c r="BI43" s="272"/>
      <c r="BJ43" s="271"/>
      <c r="BK43" s="273"/>
    </row>
    <row r="44" spans="1:63" ht="15" customHeight="1" x14ac:dyDescent="0.25">
      <c r="A44" s="269"/>
      <c r="B44" s="270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  <c r="AA44" s="271"/>
      <c r="AB44" s="271"/>
      <c r="AC44" s="271"/>
      <c r="AD44" s="271"/>
      <c r="AE44" s="272"/>
      <c r="AF44" s="270"/>
      <c r="AG44" s="271"/>
      <c r="AH44" s="271"/>
      <c r="AI44" s="271"/>
      <c r="AJ44" s="271"/>
      <c r="AK44" s="271"/>
      <c r="AL44" s="271"/>
      <c r="AM44" s="271"/>
      <c r="AN44" s="271"/>
      <c r="AO44" s="271"/>
      <c r="AP44" s="271"/>
      <c r="AQ44" s="271"/>
      <c r="AR44" s="271"/>
      <c r="AS44" s="271"/>
      <c r="AT44" s="271"/>
      <c r="AU44" s="271"/>
      <c r="AV44" s="271"/>
      <c r="AW44" s="271"/>
      <c r="AX44" s="271"/>
      <c r="AY44" s="271"/>
      <c r="AZ44" s="271"/>
      <c r="BA44" s="271"/>
      <c r="BB44" s="271"/>
      <c r="BC44" s="271"/>
      <c r="BD44" s="271"/>
      <c r="BE44" s="271"/>
      <c r="BF44" s="271"/>
      <c r="BG44" s="271"/>
      <c r="BH44" s="271"/>
      <c r="BI44" s="272"/>
      <c r="BJ44" s="271"/>
      <c r="BK44" s="273"/>
    </row>
    <row r="45" spans="1:63" ht="15" customHeight="1" x14ac:dyDescent="0.25">
      <c r="A45" s="269"/>
      <c r="B45" s="270"/>
      <c r="C45" s="271"/>
      <c r="D45" s="271"/>
      <c r="E45" s="271"/>
      <c r="F45" s="271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  <c r="AA45" s="271"/>
      <c r="AB45" s="271"/>
      <c r="AC45" s="271"/>
      <c r="AD45" s="271"/>
      <c r="AE45" s="272"/>
      <c r="AF45" s="270"/>
      <c r="AG45" s="271"/>
      <c r="AH45" s="271"/>
      <c r="AI45" s="271"/>
      <c r="AJ45" s="271"/>
      <c r="AK45" s="271"/>
      <c r="AL45" s="271"/>
      <c r="AM45" s="271"/>
      <c r="AN45" s="271"/>
      <c r="AO45" s="271"/>
      <c r="AP45" s="271"/>
      <c r="AQ45" s="271"/>
      <c r="AR45" s="271"/>
      <c r="AS45" s="271"/>
      <c r="AT45" s="271"/>
      <c r="AU45" s="271"/>
      <c r="AV45" s="271"/>
      <c r="AW45" s="271"/>
      <c r="AX45" s="271"/>
      <c r="AY45" s="271"/>
      <c r="AZ45" s="271"/>
      <c r="BA45" s="271"/>
      <c r="BB45" s="271"/>
      <c r="BC45" s="271"/>
      <c r="BD45" s="271"/>
      <c r="BE45" s="271"/>
      <c r="BF45" s="271"/>
      <c r="BG45" s="271"/>
      <c r="BH45" s="271"/>
      <c r="BI45" s="272"/>
      <c r="BJ45" s="271"/>
      <c r="BK45" s="273"/>
    </row>
    <row r="46" spans="1:63" ht="15" customHeight="1" x14ac:dyDescent="0.25">
      <c r="A46" s="269"/>
      <c r="B46" s="270"/>
      <c r="C46" s="271"/>
      <c r="D46" s="271"/>
      <c r="E46" s="271"/>
      <c r="F46" s="271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  <c r="AA46" s="271"/>
      <c r="AB46" s="271"/>
      <c r="AC46" s="271"/>
      <c r="AD46" s="271"/>
      <c r="AE46" s="272"/>
      <c r="AF46" s="270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1"/>
      <c r="AX46" s="271"/>
      <c r="AY46" s="271"/>
      <c r="AZ46" s="271"/>
      <c r="BA46" s="271"/>
      <c r="BB46" s="271"/>
      <c r="BC46" s="271"/>
      <c r="BD46" s="271"/>
      <c r="BE46" s="271"/>
      <c r="BF46" s="271"/>
      <c r="BG46" s="271"/>
      <c r="BH46" s="271"/>
      <c r="BI46" s="272"/>
      <c r="BJ46" s="271"/>
      <c r="BK46" s="273"/>
    </row>
    <row r="47" spans="1:63" ht="15" customHeight="1" x14ac:dyDescent="0.25">
      <c r="A47" s="269"/>
      <c r="B47" s="270"/>
      <c r="C47" s="271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2"/>
      <c r="AF47" s="270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  <c r="BA47" s="271"/>
      <c r="BB47" s="271"/>
      <c r="BC47" s="271"/>
      <c r="BD47" s="271"/>
      <c r="BE47" s="271"/>
      <c r="BF47" s="271"/>
      <c r="BG47" s="271"/>
      <c r="BH47" s="271"/>
      <c r="BI47" s="272"/>
      <c r="BJ47" s="271"/>
      <c r="BK47" s="273"/>
    </row>
    <row r="48" spans="1:63" ht="15" customHeight="1" x14ac:dyDescent="0.25">
      <c r="A48" s="269"/>
      <c r="B48" s="270"/>
      <c r="C48" s="271"/>
      <c r="D48" s="271"/>
      <c r="E48" s="271"/>
      <c r="F48" s="271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  <c r="AA48" s="271"/>
      <c r="AB48" s="271"/>
      <c r="AC48" s="271"/>
      <c r="AD48" s="271"/>
      <c r="AE48" s="272"/>
      <c r="AF48" s="270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1"/>
      <c r="AS48" s="271"/>
      <c r="AT48" s="271"/>
      <c r="AU48" s="271"/>
      <c r="AV48" s="271"/>
      <c r="AW48" s="271"/>
      <c r="AX48" s="271"/>
      <c r="AY48" s="271"/>
      <c r="AZ48" s="271"/>
      <c r="BA48" s="271"/>
      <c r="BB48" s="271"/>
      <c r="BC48" s="271"/>
      <c r="BD48" s="271"/>
      <c r="BE48" s="271"/>
      <c r="BF48" s="271"/>
      <c r="BG48" s="271"/>
      <c r="BH48" s="271"/>
      <c r="BI48" s="272"/>
      <c r="BJ48" s="271"/>
      <c r="BK48" s="273"/>
    </row>
    <row r="49" spans="1:63" ht="15" customHeight="1" x14ac:dyDescent="0.25">
      <c r="A49" s="269"/>
      <c r="B49" s="270"/>
      <c r="C49" s="271"/>
      <c r="D49" s="271"/>
      <c r="E49" s="271"/>
      <c r="F49" s="271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  <c r="AA49" s="271"/>
      <c r="AB49" s="271"/>
      <c r="AC49" s="271"/>
      <c r="AD49" s="271"/>
      <c r="AE49" s="271"/>
      <c r="AF49" s="270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1"/>
      <c r="AS49" s="271"/>
      <c r="AT49" s="271"/>
      <c r="AU49" s="271"/>
      <c r="AV49" s="271"/>
      <c r="AW49" s="271"/>
      <c r="AX49" s="271"/>
      <c r="AY49" s="271"/>
      <c r="AZ49" s="271"/>
      <c r="BA49" s="271"/>
      <c r="BB49" s="271"/>
      <c r="BC49" s="271"/>
      <c r="BD49" s="271"/>
      <c r="BE49" s="271"/>
      <c r="BF49" s="271"/>
      <c r="BG49" s="271"/>
      <c r="BH49" s="271"/>
      <c r="BI49" s="272"/>
      <c r="BJ49" s="271"/>
      <c r="BK49" s="273"/>
    </row>
    <row r="50" spans="1:63" ht="15" customHeight="1" x14ac:dyDescent="0.25">
      <c r="A50" s="269"/>
      <c r="B50" s="270"/>
      <c r="C50" s="271"/>
      <c r="D50" s="271"/>
      <c r="E50" s="271"/>
      <c r="F50" s="271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  <c r="AA50" s="271"/>
      <c r="AB50" s="271"/>
      <c r="AC50" s="271"/>
      <c r="AD50" s="271"/>
      <c r="AE50" s="271"/>
      <c r="AF50" s="270"/>
      <c r="AG50" s="271"/>
      <c r="AH50" s="271"/>
      <c r="AI50" s="271"/>
      <c r="AJ50" s="271"/>
      <c r="AK50" s="271"/>
      <c r="AL50" s="271"/>
      <c r="AM50" s="271"/>
      <c r="AN50" s="271"/>
      <c r="AO50" s="271"/>
      <c r="AP50" s="271"/>
      <c r="AQ50" s="271"/>
      <c r="AR50" s="271"/>
      <c r="AS50" s="271"/>
      <c r="AT50" s="271"/>
      <c r="AU50" s="271"/>
      <c r="AV50" s="271"/>
      <c r="AW50" s="271"/>
      <c r="AX50" s="271"/>
      <c r="AY50" s="271"/>
      <c r="AZ50" s="271"/>
      <c r="BA50" s="271"/>
      <c r="BB50" s="271"/>
      <c r="BC50" s="271"/>
      <c r="BD50" s="271"/>
      <c r="BE50" s="271"/>
      <c r="BF50" s="271"/>
      <c r="BG50" s="271"/>
      <c r="BH50" s="271"/>
      <c r="BI50" s="272"/>
      <c r="BJ50" s="271"/>
      <c r="BK50" s="273"/>
    </row>
    <row r="51" spans="1:63" ht="15" customHeight="1" x14ac:dyDescent="0.25">
      <c r="A51" s="269"/>
      <c r="B51" s="270"/>
      <c r="C51" s="271"/>
      <c r="D51" s="271"/>
      <c r="E51" s="271"/>
      <c r="F51" s="271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  <c r="AA51" s="271"/>
      <c r="AB51" s="271"/>
      <c r="AC51" s="271"/>
      <c r="AD51" s="271"/>
      <c r="AE51" s="271"/>
      <c r="AF51" s="270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1"/>
      <c r="AR51" s="271"/>
      <c r="AS51" s="271"/>
      <c r="AT51" s="271"/>
      <c r="AU51" s="271"/>
      <c r="AV51" s="271"/>
      <c r="AW51" s="271"/>
      <c r="AX51" s="271"/>
      <c r="AY51" s="271"/>
      <c r="AZ51" s="271"/>
      <c r="BA51" s="271"/>
      <c r="BB51" s="271"/>
      <c r="BC51" s="271"/>
      <c r="BD51" s="271"/>
      <c r="BE51" s="271"/>
      <c r="BF51" s="271"/>
      <c r="BG51" s="271"/>
      <c r="BH51" s="271"/>
      <c r="BI51" s="272"/>
      <c r="BJ51" s="271"/>
      <c r="BK51" s="273"/>
    </row>
    <row r="52" spans="1:63" ht="15" customHeight="1" x14ac:dyDescent="0.25">
      <c r="A52" s="269"/>
      <c r="B52" s="270"/>
      <c r="C52" s="271"/>
      <c r="D52" s="271"/>
      <c r="E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  <c r="AA52" s="271"/>
      <c r="AB52" s="271"/>
      <c r="AC52" s="271"/>
      <c r="AD52" s="271"/>
      <c r="AE52" s="271"/>
      <c r="AF52" s="270"/>
      <c r="AG52" s="271"/>
      <c r="AH52" s="271"/>
      <c r="AI52" s="271"/>
      <c r="AJ52" s="271"/>
      <c r="AK52" s="271"/>
      <c r="AL52" s="271"/>
      <c r="AM52" s="271"/>
      <c r="AN52" s="271"/>
      <c r="AO52" s="271"/>
      <c r="AP52" s="271"/>
      <c r="AQ52" s="271"/>
      <c r="AR52" s="271"/>
      <c r="AS52" s="271"/>
      <c r="AT52" s="271"/>
      <c r="AU52" s="271"/>
      <c r="AV52" s="271"/>
      <c r="AW52" s="271"/>
      <c r="AX52" s="271"/>
      <c r="AY52" s="271"/>
      <c r="AZ52" s="271"/>
      <c r="BA52" s="271"/>
      <c r="BB52" s="271"/>
      <c r="BC52" s="271"/>
      <c r="BD52" s="271"/>
      <c r="BE52" s="271"/>
      <c r="BF52" s="271"/>
      <c r="BG52" s="271"/>
      <c r="BH52" s="271"/>
      <c r="BI52" s="272"/>
      <c r="BJ52" s="271"/>
      <c r="BK52" s="273"/>
    </row>
    <row r="53" spans="1:63" ht="15" customHeight="1" x14ac:dyDescent="0.25">
      <c r="A53" s="269"/>
      <c r="B53" s="270"/>
      <c r="C53" s="271"/>
      <c r="D53" s="271"/>
      <c r="E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  <c r="AA53" s="271"/>
      <c r="AB53" s="271"/>
      <c r="AC53" s="271"/>
      <c r="AD53" s="271"/>
      <c r="AE53" s="271"/>
      <c r="AF53" s="270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1"/>
      <c r="AR53" s="271"/>
      <c r="AS53" s="271"/>
      <c r="AT53" s="271"/>
      <c r="AU53" s="271"/>
      <c r="AV53" s="271"/>
      <c r="AW53" s="271"/>
      <c r="AX53" s="271"/>
      <c r="AY53" s="271"/>
      <c r="AZ53" s="271"/>
      <c r="BA53" s="271"/>
      <c r="BB53" s="271"/>
      <c r="BC53" s="271"/>
      <c r="BD53" s="271"/>
      <c r="BE53" s="271"/>
      <c r="BF53" s="271"/>
      <c r="BG53" s="271"/>
      <c r="BH53" s="271"/>
      <c r="BI53" s="272"/>
      <c r="BJ53" s="271"/>
      <c r="BK53" s="273"/>
    </row>
    <row r="54" spans="1:63" ht="15" customHeight="1" x14ac:dyDescent="0.25">
      <c r="A54" s="269"/>
      <c r="B54" s="270"/>
      <c r="C54" s="271"/>
      <c r="D54" s="271"/>
      <c r="E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  <c r="AA54" s="271"/>
      <c r="AB54" s="271"/>
      <c r="AC54" s="271"/>
      <c r="AD54" s="271"/>
      <c r="AE54" s="271"/>
      <c r="AF54" s="270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1"/>
      <c r="AS54" s="271"/>
      <c r="AT54" s="271"/>
      <c r="AU54" s="271"/>
      <c r="AV54" s="271"/>
      <c r="AW54" s="271"/>
      <c r="AX54" s="271"/>
      <c r="AY54" s="271"/>
      <c r="AZ54" s="271"/>
      <c r="BA54" s="271"/>
      <c r="BB54" s="271"/>
      <c r="BC54" s="271"/>
      <c r="BD54" s="271"/>
      <c r="BE54" s="271"/>
      <c r="BF54" s="271"/>
      <c r="BG54" s="271"/>
      <c r="BH54" s="271"/>
      <c r="BI54" s="272"/>
      <c r="BJ54" s="271"/>
      <c r="BK54" s="273"/>
    </row>
    <row r="55" spans="1:63" ht="15" customHeight="1" x14ac:dyDescent="0.25">
      <c r="A55" s="269"/>
      <c r="B55" s="270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  <c r="AA55" s="271"/>
      <c r="AB55" s="271"/>
      <c r="AC55" s="271"/>
      <c r="AD55" s="271"/>
      <c r="AE55" s="271"/>
      <c r="AF55" s="270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1"/>
      <c r="AR55" s="271"/>
      <c r="AS55" s="271"/>
      <c r="AT55" s="271"/>
      <c r="AU55" s="271"/>
      <c r="AV55" s="271"/>
      <c r="AW55" s="271"/>
      <c r="AX55" s="271"/>
      <c r="AY55" s="271"/>
      <c r="AZ55" s="271"/>
      <c r="BA55" s="271"/>
      <c r="BB55" s="271"/>
      <c r="BC55" s="271"/>
      <c r="BD55" s="271"/>
      <c r="BE55" s="271"/>
      <c r="BF55" s="271"/>
      <c r="BG55" s="271"/>
      <c r="BH55" s="271"/>
      <c r="BI55" s="272"/>
      <c r="BJ55" s="271"/>
      <c r="BK55" s="273"/>
    </row>
    <row r="56" spans="1:63" ht="15" customHeight="1" x14ac:dyDescent="0.25">
      <c r="A56" s="269"/>
      <c r="B56" s="270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  <c r="AA56" s="271"/>
      <c r="AB56" s="271"/>
      <c r="AC56" s="271"/>
      <c r="AD56" s="271"/>
      <c r="AE56" s="271"/>
      <c r="AF56" s="270"/>
      <c r="AG56" s="271"/>
      <c r="AH56" s="271"/>
      <c r="AI56" s="271"/>
      <c r="AJ56" s="271"/>
      <c r="AK56" s="271"/>
      <c r="AL56" s="271"/>
      <c r="AM56" s="271"/>
      <c r="AN56" s="271"/>
      <c r="AO56" s="271"/>
      <c r="AP56" s="271"/>
      <c r="AQ56" s="271"/>
      <c r="AR56" s="271"/>
      <c r="AS56" s="271"/>
      <c r="AT56" s="271"/>
      <c r="AU56" s="271"/>
      <c r="AV56" s="271"/>
      <c r="AW56" s="271"/>
      <c r="AX56" s="271"/>
      <c r="AY56" s="271"/>
      <c r="AZ56" s="271"/>
      <c r="BA56" s="271"/>
      <c r="BB56" s="271"/>
      <c r="BC56" s="271"/>
      <c r="BD56" s="271"/>
      <c r="BE56" s="271"/>
      <c r="BF56" s="271"/>
      <c r="BG56" s="271"/>
      <c r="BH56" s="271"/>
      <c r="BI56" s="272"/>
      <c r="BJ56" s="271"/>
      <c r="BK56" s="273"/>
    </row>
    <row r="57" spans="1:63" ht="15" customHeight="1" x14ac:dyDescent="0.25">
      <c r="A57" s="269"/>
      <c r="B57" s="270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  <c r="AA57" s="271"/>
      <c r="AB57" s="271"/>
      <c r="AC57" s="271"/>
      <c r="AD57" s="271"/>
      <c r="AE57" s="271"/>
      <c r="AF57" s="270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1"/>
      <c r="AR57" s="271"/>
      <c r="AS57" s="271"/>
      <c r="AT57" s="271"/>
      <c r="AU57" s="271"/>
      <c r="AV57" s="271"/>
      <c r="AW57" s="271"/>
      <c r="AX57" s="271"/>
      <c r="AY57" s="271"/>
      <c r="AZ57" s="271"/>
      <c r="BA57" s="271"/>
      <c r="BB57" s="271"/>
      <c r="BC57" s="271"/>
      <c r="BD57" s="271"/>
      <c r="BE57" s="271"/>
      <c r="BF57" s="271"/>
      <c r="BG57" s="271"/>
      <c r="BH57" s="271"/>
      <c r="BI57" s="272"/>
      <c r="BJ57" s="271"/>
      <c r="BK57" s="273"/>
    </row>
    <row r="58" spans="1:63" ht="15" customHeight="1" x14ac:dyDescent="0.25">
      <c r="A58" s="269"/>
      <c r="B58" s="270"/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  <c r="AA58" s="271"/>
      <c r="AB58" s="271"/>
      <c r="AC58" s="271"/>
      <c r="AD58" s="271"/>
      <c r="AE58" s="271"/>
      <c r="AF58" s="270"/>
      <c r="AG58" s="271"/>
      <c r="AH58" s="271"/>
      <c r="AI58" s="271"/>
      <c r="AJ58" s="271"/>
      <c r="AK58" s="271"/>
      <c r="AL58" s="271"/>
      <c r="AM58" s="271"/>
      <c r="AN58" s="271"/>
      <c r="AO58" s="271"/>
      <c r="AP58" s="271"/>
      <c r="AQ58" s="271"/>
      <c r="AR58" s="271"/>
      <c r="AS58" s="271"/>
      <c r="AT58" s="271"/>
      <c r="AU58" s="271"/>
      <c r="AV58" s="271"/>
      <c r="AW58" s="271"/>
      <c r="AX58" s="271"/>
      <c r="AY58" s="271"/>
      <c r="AZ58" s="271"/>
      <c r="BA58" s="271"/>
      <c r="BB58" s="271"/>
      <c r="BC58" s="271"/>
      <c r="BD58" s="271"/>
      <c r="BE58" s="271"/>
      <c r="BF58" s="271"/>
      <c r="BG58" s="271"/>
      <c r="BH58" s="271"/>
      <c r="BI58" s="272"/>
      <c r="BJ58" s="271"/>
      <c r="BK58" s="273"/>
    </row>
    <row r="59" spans="1:63" ht="15" customHeight="1" x14ac:dyDescent="0.25">
      <c r="A59" s="269"/>
      <c r="B59" s="270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  <c r="AA59" s="271"/>
      <c r="AB59" s="271"/>
      <c r="AC59" s="271"/>
      <c r="AD59" s="271"/>
      <c r="AE59" s="271"/>
      <c r="AF59" s="270"/>
      <c r="AG59" s="271"/>
      <c r="AH59" s="271"/>
      <c r="AI59" s="271"/>
      <c r="AJ59" s="271"/>
      <c r="AK59" s="271"/>
      <c r="AL59" s="271"/>
      <c r="AM59" s="271"/>
      <c r="AN59" s="271"/>
      <c r="AO59" s="271"/>
      <c r="AP59" s="271"/>
      <c r="AQ59" s="271"/>
      <c r="AR59" s="271"/>
      <c r="AS59" s="271"/>
      <c r="AT59" s="271"/>
      <c r="AU59" s="271"/>
      <c r="AV59" s="271"/>
      <c r="AW59" s="271"/>
      <c r="AX59" s="271"/>
      <c r="AY59" s="271"/>
      <c r="AZ59" s="271"/>
      <c r="BA59" s="271"/>
      <c r="BB59" s="271"/>
      <c r="BC59" s="271"/>
      <c r="BD59" s="271"/>
      <c r="BE59" s="271"/>
      <c r="BF59" s="271"/>
      <c r="BG59" s="271"/>
      <c r="BH59" s="271"/>
      <c r="BI59" s="272"/>
      <c r="BJ59" s="271"/>
      <c r="BK59" s="273"/>
    </row>
    <row r="60" spans="1:63" ht="15" customHeight="1" x14ac:dyDescent="0.25">
      <c r="A60" s="269"/>
      <c r="B60" s="270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0"/>
      <c r="AG60" s="271"/>
      <c r="AH60" s="271"/>
      <c r="AI60" s="271"/>
      <c r="AJ60" s="271"/>
      <c r="AK60" s="271"/>
      <c r="AL60" s="271"/>
      <c r="AM60" s="271"/>
      <c r="AN60" s="271"/>
      <c r="AO60" s="271"/>
      <c r="AP60" s="271"/>
      <c r="AQ60" s="271"/>
      <c r="AR60" s="271"/>
      <c r="AS60" s="271"/>
      <c r="AT60" s="271"/>
      <c r="AU60" s="271"/>
      <c r="AV60" s="271"/>
      <c r="AW60" s="271"/>
      <c r="AX60" s="271"/>
      <c r="AY60" s="271"/>
      <c r="AZ60" s="271"/>
      <c r="BA60" s="271"/>
      <c r="BB60" s="271"/>
      <c r="BC60" s="271"/>
      <c r="BD60" s="271"/>
      <c r="BE60" s="271"/>
      <c r="BF60" s="271"/>
      <c r="BG60" s="271"/>
      <c r="BH60" s="271"/>
      <c r="BI60" s="272"/>
      <c r="BJ60" s="271"/>
      <c r="BK60" s="273"/>
    </row>
    <row r="61" spans="1:63" ht="15" customHeight="1" x14ac:dyDescent="0.25">
      <c r="A61" s="269"/>
      <c r="B61" s="270"/>
      <c r="C61" s="271"/>
      <c r="D61" s="271"/>
      <c r="E61" s="271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  <c r="AA61" s="271"/>
      <c r="AB61" s="271"/>
      <c r="AC61" s="271"/>
      <c r="AD61" s="271"/>
      <c r="AE61" s="271"/>
      <c r="AF61" s="270"/>
      <c r="AG61" s="271"/>
      <c r="AH61" s="271"/>
      <c r="AI61" s="271"/>
      <c r="AJ61" s="271"/>
      <c r="AK61" s="271"/>
      <c r="AL61" s="271"/>
      <c r="AM61" s="271"/>
      <c r="AN61" s="271"/>
      <c r="AO61" s="271"/>
      <c r="AP61" s="271"/>
      <c r="AQ61" s="271"/>
      <c r="AR61" s="271"/>
      <c r="AS61" s="271"/>
      <c r="AT61" s="271"/>
      <c r="AU61" s="271"/>
      <c r="AV61" s="271"/>
      <c r="AW61" s="271"/>
      <c r="AX61" s="271"/>
      <c r="AY61" s="271"/>
      <c r="AZ61" s="271"/>
      <c r="BA61" s="271"/>
      <c r="BB61" s="271"/>
      <c r="BC61" s="271"/>
      <c r="BD61" s="271"/>
      <c r="BE61" s="271"/>
      <c r="BF61" s="271"/>
      <c r="BG61" s="271"/>
      <c r="BH61" s="271"/>
      <c r="BI61" s="272"/>
      <c r="BJ61" s="271"/>
      <c r="BK61" s="273"/>
    </row>
    <row r="62" spans="1:63" ht="15" customHeight="1" x14ac:dyDescent="0.25">
      <c r="A62" s="277"/>
      <c r="B62" s="278"/>
      <c r="C62" s="277"/>
      <c r="D62" s="277"/>
      <c r="E62" s="277"/>
      <c r="F62" s="277"/>
      <c r="G62" s="277"/>
      <c r="H62" s="277"/>
      <c r="I62" s="277"/>
      <c r="J62" s="277"/>
      <c r="K62" s="277"/>
      <c r="L62" s="277"/>
      <c r="M62" s="277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B62" s="277"/>
      <c r="AC62" s="277"/>
      <c r="AD62" s="277"/>
      <c r="AE62" s="279"/>
      <c r="AF62" s="278"/>
      <c r="AG62" s="277"/>
      <c r="AH62" s="277"/>
      <c r="AI62" s="277"/>
      <c r="AJ62" s="277"/>
      <c r="AK62" s="277"/>
      <c r="AL62" s="277"/>
      <c r="AM62" s="277"/>
      <c r="AN62" s="277"/>
      <c r="AO62" s="277"/>
      <c r="AP62" s="277"/>
      <c r="AQ62" s="277"/>
      <c r="AR62" s="277"/>
      <c r="AS62" s="277"/>
      <c r="AT62" s="277"/>
      <c r="AU62" s="277"/>
      <c r="AV62" s="277"/>
      <c r="AW62" s="277"/>
      <c r="AX62" s="277"/>
      <c r="AY62" s="277"/>
      <c r="AZ62" s="277"/>
      <c r="BA62" s="277"/>
      <c r="BB62" s="277"/>
      <c r="BC62" s="277"/>
      <c r="BD62" s="277"/>
      <c r="BE62" s="277"/>
      <c r="BF62" s="277"/>
      <c r="BG62" s="277"/>
      <c r="BH62" s="277"/>
      <c r="BI62" s="279"/>
      <c r="BJ62" s="277"/>
      <c r="BK62" s="28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4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236" customWidth="1"/>
    <col min="66" max="16384" width="2.77734375" style="236"/>
  </cols>
  <sheetData>
    <row r="1" spans="1:65" ht="24.95" customHeight="1" x14ac:dyDescent="0.25">
      <c r="A1" s="230" t="s">
        <v>52</v>
      </c>
      <c r="B1" s="231"/>
      <c r="C1" s="231"/>
      <c r="D1" s="231"/>
      <c r="E1" s="231"/>
      <c r="F1" s="231"/>
      <c r="G1" s="231"/>
      <c r="H1" s="231"/>
      <c r="I1" s="231"/>
      <c r="J1" s="232"/>
      <c r="K1" s="230" t="s">
        <v>53</v>
      </c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2"/>
      <c r="W1" s="233" t="str">
        <f>IF(表紙!W1="","",表紙!W1)</f>
        <v>基本設計書</v>
      </c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5"/>
      <c r="AP1" s="230" t="s">
        <v>54</v>
      </c>
      <c r="AQ1" s="231"/>
      <c r="AR1" s="231"/>
      <c r="AS1" s="232"/>
      <c r="AT1" s="230" t="s">
        <v>55</v>
      </c>
      <c r="AU1" s="231"/>
      <c r="AV1" s="231"/>
      <c r="AW1" s="231"/>
      <c r="AX1" s="232"/>
      <c r="AY1" s="230" t="s">
        <v>56</v>
      </c>
      <c r="AZ1" s="231"/>
      <c r="BA1" s="231"/>
      <c r="BB1" s="232"/>
      <c r="BC1" s="230" t="s">
        <v>57</v>
      </c>
      <c r="BD1" s="231"/>
      <c r="BE1" s="231"/>
      <c r="BF1" s="231"/>
      <c r="BG1" s="232"/>
      <c r="BH1" s="230" t="s">
        <v>58</v>
      </c>
      <c r="BI1" s="231"/>
      <c r="BJ1" s="231"/>
      <c r="BK1" s="232"/>
    </row>
    <row r="2" spans="1:65" ht="15" customHeight="1" x14ac:dyDescent="0.25">
      <c r="A2" s="204" t="str">
        <f>IF(表紙!A2="","",表紙!A2)</f>
        <v>POSサーバー</v>
      </c>
      <c r="B2" s="202"/>
      <c r="C2" s="202"/>
      <c r="D2" s="202"/>
      <c r="E2" s="202"/>
      <c r="F2" s="202"/>
      <c r="G2" s="202"/>
      <c r="H2" s="202"/>
      <c r="I2" s="202"/>
      <c r="J2" s="203"/>
      <c r="K2" s="204" t="str">
        <f>IF(表紙!K2="","",表紙!K2)</f>
        <v>POSサーバ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37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9"/>
      <c r="AP2" s="204" t="str">
        <f>IF(表紙!AP2="","",表紙!AP2)</f>
        <v>AnhDD</v>
      </c>
      <c r="AQ2" s="202"/>
      <c r="AR2" s="202"/>
      <c r="AS2" s="203"/>
      <c r="AT2" s="201">
        <f>IF(表紙!AT2="","",表紙!AT2)</f>
        <v>45432</v>
      </c>
      <c r="AU2" s="240"/>
      <c r="AV2" s="240"/>
      <c r="AW2" s="240"/>
      <c r="AX2" s="241"/>
      <c r="AY2" s="204" t="str">
        <f>IF(表紙!AY2="","",表紙!AY2)</f>
        <v>DuNT</v>
      </c>
      <c r="AZ2" s="202"/>
      <c r="BA2" s="202"/>
      <c r="BB2" s="203"/>
      <c r="BC2" s="201">
        <f>IF(表紙!BC2="","",表紙!BC2)</f>
        <v>45576</v>
      </c>
      <c r="BD2" s="240"/>
      <c r="BE2" s="240"/>
      <c r="BF2" s="240"/>
      <c r="BG2" s="241"/>
      <c r="BH2" s="204">
        <f>IF(表紙!BH2="","",表紙!BH2)</f>
        <v>0.5</v>
      </c>
      <c r="BI2" s="202"/>
      <c r="BJ2" s="202"/>
      <c r="BK2" s="203"/>
    </row>
    <row r="3" spans="1:65" ht="15" customHeight="1" x14ac:dyDescent="0.25">
      <c r="A3" s="208"/>
      <c r="B3" s="209"/>
      <c r="C3" s="209"/>
      <c r="D3" s="209"/>
      <c r="E3" s="209"/>
      <c r="F3" s="209"/>
      <c r="G3" s="209"/>
      <c r="H3" s="209"/>
      <c r="I3" s="209"/>
      <c r="J3" s="210"/>
      <c r="K3" s="208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10"/>
      <c r="W3" s="242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4"/>
      <c r="AP3" s="208"/>
      <c r="AQ3" s="209"/>
      <c r="AR3" s="209"/>
      <c r="AS3" s="210"/>
      <c r="AT3" s="245"/>
      <c r="AU3" s="246"/>
      <c r="AV3" s="246"/>
      <c r="AW3" s="246"/>
      <c r="AX3" s="247"/>
      <c r="AY3" s="208"/>
      <c r="AZ3" s="209"/>
      <c r="BA3" s="209"/>
      <c r="BB3" s="210"/>
      <c r="BC3" s="245"/>
      <c r="BD3" s="246"/>
      <c r="BE3" s="246"/>
      <c r="BF3" s="246"/>
      <c r="BG3" s="247"/>
      <c r="BH3" s="208"/>
      <c r="BI3" s="209"/>
      <c r="BJ3" s="209"/>
      <c r="BK3" s="210"/>
    </row>
    <row r="4" spans="1:65" ht="24.95" customHeight="1" x14ac:dyDescent="0.25">
      <c r="A4" s="230" t="s">
        <v>59</v>
      </c>
      <c r="B4" s="231"/>
      <c r="C4" s="231"/>
      <c r="D4" s="231"/>
      <c r="E4" s="231"/>
      <c r="F4" s="231"/>
      <c r="G4" s="232"/>
      <c r="H4" s="248" t="str">
        <f>IF(表紙!H4="","",表紙!H4)</f>
        <v>40_従業員設定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50"/>
      <c r="U4" s="230" t="s">
        <v>60</v>
      </c>
      <c r="V4" s="231"/>
      <c r="W4" s="231"/>
      <c r="X4" s="231"/>
      <c r="Y4" s="232"/>
      <c r="Z4" s="248" t="str">
        <f>IF(表紙!Z4="","",表紙!Z4)</f>
        <v>概要設計</v>
      </c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50"/>
      <c r="AP4" s="248" t="str">
        <f t="array" aca="1" ref="AP4" ca="1">RIGHT(CELL("filename",$A$1),LEN(CELL("filename",$A$1))-FIND("]",CELL("filename",$A$1)))</f>
        <v>機能概要説明</v>
      </c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50"/>
    </row>
    <row r="5" spans="1:65" ht="5.0999999999999996" customHeight="1" x14ac:dyDescent="0.25">
      <c r="A5" s="251"/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3"/>
    </row>
    <row r="6" spans="1:65" ht="15" customHeight="1" x14ac:dyDescent="0.25">
      <c r="A6" s="254"/>
      <c r="BK6" s="255"/>
    </row>
    <row r="7" spans="1:65" ht="15" customHeight="1" x14ac:dyDescent="0.25">
      <c r="A7" s="254"/>
      <c r="B7" s="236" t="s">
        <v>35</v>
      </c>
      <c r="F7" s="281"/>
      <c r="G7" s="281"/>
      <c r="H7" s="281"/>
      <c r="I7" s="281"/>
      <c r="J7" s="281"/>
      <c r="K7" s="282"/>
      <c r="L7" s="283"/>
      <c r="M7" s="281"/>
      <c r="N7" s="281"/>
      <c r="O7" s="281"/>
      <c r="P7" s="281"/>
      <c r="Q7" s="281"/>
      <c r="R7" s="281"/>
      <c r="S7" s="281"/>
      <c r="T7" s="282"/>
      <c r="U7" s="283"/>
      <c r="V7" s="281"/>
      <c r="W7" s="281"/>
      <c r="X7" s="281"/>
      <c r="Y7" s="281"/>
      <c r="Z7" s="281"/>
      <c r="AA7" s="281"/>
      <c r="AB7" s="281"/>
      <c r="AC7" s="282"/>
      <c r="AD7" s="283"/>
      <c r="AE7" s="281"/>
      <c r="AF7" s="281"/>
      <c r="AG7" s="281"/>
      <c r="AH7" s="281"/>
      <c r="AI7" s="281"/>
      <c r="AJ7" s="281"/>
      <c r="AK7" s="281"/>
      <c r="AL7" s="282"/>
      <c r="AM7" s="283"/>
      <c r="AN7" s="281"/>
      <c r="AO7" s="281"/>
      <c r="AP7" s="281"/>
      <c r="AQ7" s="281"/>
      <c r="AR7" s="281"/>
      <c r="AS7" s="281"/>
      <c r="AT7" s="281"/>
      <c r="AU7" s="281"/>
      <c r="AV7" s="281"/>
      <c r="AW7" s="281"/>
      <c r="AX7" s="281"/>
      <c r="AY7" s="281"/>
      <c r="AZ7" s="281"/>
      <c r="BA7" s="281"/>
      <c r="BB7" s="281"/>
      <c r="BC7" s="281"/>
      <c r="BD7" s="281"/>
      <c r="BE7" s="281"/>
      <c r="BF7" s="281"/>
      <c r="BG7" s="281"/>
      <c r="BH7" s="281"/>
      <c r="BI7" s="282"/>
      <c r="BJ7" s="281"/>
      <c r="BK7" s="255"/>
      <c r="BM7" s="30">
        <f t="shared" ref="BM7:BM53" si="0">IF(BM6=50,1,BM6+1)</f>
        <v>1</v>
      </c>
    </row>
    <row r="8" spans="1:65" ht="15" customHeight="1" x14ac:dyDescent="0.25">
      <c r="A8" s="254"/>
      <c r="C8" s="284" t="s">
        <v>41</v>
      </c>
      <c r="K8" s="285"/>
      <c r="BK8" s="255"/>
      <c r="BM8" s="30">
        <f t="shared" si="0"/>
        <v>2</v>
      </c>
    </row>
    <row r="9" spans="1:65" ht="15" customHeight="1" x14ac:dyDescent="0.25">
      <c r="A9" s="254"/>
      <c r="C9" s="284" t="s">
        <v>42</v>
      </c>
      <c r="D9" s="284"/>
      <c r="K9" s="285"/>
      <c r="BK9" s="255"/>
      <c r="BM9" s="30">
        <f t="shared" si="0"/>
        <v>3</v>
      </c>
    </row>
    <row r="10" spans="1:65" s="285" customFormat="1" ht="15" customHeight="1" x14ac:dyDescent="0.25">
      <c r="A10" s="286"/>
      <c r="B10" s="236"/>
      <c r="C10" s="236"/>
      <c r="D10" s="284"/>
      <c r="E10" s="236"/>
      <c r="BK10" s="287"/>
      <c r="BM10" s="30">
        <f t="shared" si="0"/>
        <v>4</v>
      </c>
    </row>
    <row r="11" spans="1:65" s="285" customFormat="1" ht="15" customHeight="1" x14ac:dyDescent="0.25">
      <c r="A11" s="286"/>
      <c r="B11" s="236"/>
      <c r="C11" s="288"/>
      <c r="D11" s="284"/>
      <c r="E11" s="236"/>
      <c r="BK11" s="287"/>
      <c r="BM11" s="30">
        <f t="shared" si="0"/>
        <v>5</v>
      </c>
    </row>
    <row r="12" spans="1:65" s="285" customFormat="1" ht="15" customHeight="1" x14ac:dyDescent="0.25">
      <c r="A12" s="286"/>
      <c r="B12" s="236"/>
      <c r="C12" s="236"/>
      <c r="D12" s="288"/>
      <c r="E12" s="236"/>
      <c r="BK12" s="287"/>
      <c r="BM12" s="30">
        <f t="shared" si="0"/>
        <v>6</v>
      </c>
    </row>
    <row r="13" spans="1:65" s="285" customFormat="1" ht="15" customHeight="1" x14ac:dyDescent="0.25">
      <c r="A13" s="286"/>
      <c r="B13" s="236"/>
      <c r="C13" s="236"/>
      <c r="D13" s="284"/>
      <c r="E13" s="236"/>
      <c r="BK13" s="287"/>
      <c r="BM13" s="30">
        <f t="shared" si="0"/>
        <v>7</v>
      </c>
    </row>
    <row r="14" spans="1:65" s="285" customFormat="1" ht="15" customHeight="1" x14ac:dyDescent="0.25">
      <c r="A14" s="286"/>
      <c r="B14" s="236"/>
      <c r="C14" s="236"/>
      <c r="D14" s="284"/>
      <c r="E14" s="236"/>
      <c r="BK14" s="287"/>
      <c r="BM14" s="30">
        <f t="shared" si="0"/>
        <v>8</v>
      </c>
    </row>
    <row r="15" spans="1:65" s="285" customFormat="1" ht="15" customHeight="1" x14ac:dyDescent="0.25">
      <c r="A15" s="286"/>
      <c r="B15" s="236"/>
      <c r="C15" s="236"/>
      <c r="D15" s="236"/>
      <c r="E15" s="236"/>
      <c r="BK15" s="287"/>
      <c r="BM15" s="30">
        <f t="shared" si="0"/>
        <v>9</v>
      </c>
    </row>
    <row r="16" spans="1:65" s="285" customFormat="1" ht="15" customHeight="1" x14ac:dyDescent="0.25">
      <c r="A16" s="286"/>
      <c r="B16" s="236"/>
      <c r="C16" s="236"/>
      <c r="D16" s="284"/>
      <c r="E16" s="236"/>
      <c r="BK16" s="287"/>
      <c r="BM16" s="30">
        <f t="shared" si="0"/>
        <v>10</v>
      </c>
    </row>
    <row r="17" spans="1:65" s="285" customFormat="1" ht="15" customHeight="1" x14ac:dyDescent="0.25">
      <c r="A17" s="286"/>
      <c r="B17" s="236"/>
      <c r="C17" s="236"/>
      <c r="D17" s="284"/>
      <c r="E17" s="236"/>
      <c r="BK17" s="287"/>
      <c r="BM17" s="30">
        <f t="shared" si="0"/>
        <v>11</v>
      </c>
    </row>
    <row r="18" spans="1:65" s="285" customFormat="1" ht="15" customHeight="1" x14ac:dyDescent="0.25">
      <c r="A18" s="286"/>
      <c r="B18" s="236"/>
      <c r="C18" s="236"/>
      <c r="D18" s="236"/>
      <c r="E18" s="284"/>
      <c r="BK18" s="287"/>
      <c r="BM18" s="30">
        <f t="shared" si="0"/>
        <v>12</v>
      </c>
    </row>
    <row r="19" spans="1:65" s="285" customFormat="1" ht="15" customHeight="1" x14ac:dyDescent="0.25">
      <c r="A19" s="286"/>
      <c r="B19" s="236"/>
      <c r="C19" s="236"/>
      <c r="D19" s="236"/>
      <c r="E19" s="284"/>
      <c r="BK19" s="287"/>
      <c r="BM19" s="30">
        <f t="shared" si="0"/>
        <v>13</v>
      </c>
    </row>
    <row r="20" spans="1:65" s="285" customFormat="1" ht="15" customHeight="1" x14ac:dyDescent="0.25">
      <c r="A20" s="286"/>
      <c r="BK20" s="287"/>
      <c r="BM20" s="30">
        <f t="shared" si="0"/>
        <v>14</v>
      </c>
    </row>
    <row r="21" spans="1:65" s="285" customFormat="1" ht="15" customHeight="1" x14ac:dyDescent="0.25">
      <c r="A21" s="286"/>
      <c r="BK21" s="287"/>
      <c r="BM21" s="30">
        <f t="shared" si="0"/>
        <v>15</v>
      </c>
    </row>
    <row r="22" spans="1:65" s="285" customFormat="1" ht="15" customHeight="1" x14ac:dyDescent="0.25">
      <c r="A22" s="286"/>
      <c r="BK22" s="287"/>
      <c r="BM22" s="30">
        <f t="shared" si="0"/>
        <v>16</v>
      </c>
    </row>
    <row r="23" spans="1:65" s="285" customFormat="1" ht="15" customHeight="1" x14ac:dyDescent="0.25">
      <c r="A23" s="286"/>
      <c r="BK23" s="287"/>
      <c r="BM23" s="30">
        <f t="shared" si="0"/>
        <v>17</v>
      </c>
    </row>
    <row r="24" spans="1:65" s="285" customFormat="1" ht="15" customHeight="1" x14ac:dyDescent="0.25">
      <c r="A24" s="286"/>
      <c r="BK24" s="287"/>
      <c r="BM24" s="30">
        <f t="shared" si="0"/>
        <v>18</v>
      </c>
    </row>
    <row r="25" spans="1:65" s="285" customFormat="1" ht="15" customHeight="1" x14ac:dyDescent="0.25">
      <c r="A25" s="286"/>
      <c r="BK25" s="287"/>
      <c r="BM25" s="30">
        <f t="shared" si="0"/>
        <v>19</v>
      </c>
    </row>
    <row r="26" spans="1:65" s="285" customFormat="1" ht="15" customHeight="1" x14ac:dyDescent="0.25">
      <c r="A26" s="286"/>
      <c r="BK26" s="287"/>
      <c r="BM26" s="30">
        <f t="shared" si="0"/>
        <v>20</v>
      </c>
    </row>
    <row r="27" spans="1:65" s="285" customFormat="1" ht="15" customHeight="1" x14ac:dyDescent="0.25">
      <c r="A27" s="286"/>
      <c r="BK27" s="287"/>
      <c r="BM27" s="30">
        <f t="shared" si="0"/>
        <v>21</v>
      </c>
    </row>
    <row r="28" spans="1:65" s="285" customFormat="1" ht="15" customHeight="1" x14ac:dyDescent="0.25">
      <c r="A28" s="286"/>
      <c r="BK28" s="287"/>
      <c r="BM28" s="30">
        <f t="shared" si="0"/>
        <v>22</v>
      </c>
    </row>
    <row r="29" spans="1:65" s="285" customFormat="1" ht="15" customHeight="1" x14ac:dyDescent="0.25">
      <c r="A29" s="286"/>
      <c r="BK29" s="287"/>
      <c r="BM29" s="30">
        <f t="shared" si="0"/>
        <v>23</v>
      </c>
    </row>
    <row r="30" spans="1:65" s="285" customFormat="1" ht="15" customHeight="1" x14ac:dyDescent="0.25">
      <c r="A30" s="286"/>
      <c r="BK30" s="287"/>
      <c r="BM30" s="30">
        <f t="shared" si="0"/>
        <v>24</v>
      </c>
    </row>
    <row r="31" spans="1:65" s="285" customFormat="1" ht="15" customHeight="1" x14ac:dyDescent="0.25">
      <c r="A31" s="286"/>
      <c r="BK31" s="287"/>
      <c r="BM31" s="30">
        <f t="shared" si="0"/>
        <v>25</v>
      </c>
    </row>
    <row r="32" spans="1:65" s="285" customFormat="1" ht="15" customHeight="1" x14ac:dyDescent="0.25">
      <c r="A32" s="286"/>
      <c r="BK32" s="287"/>
      <c r="BM32" s="30">
        <f t="shared" si="0"/>
        <v>26</v>
      </c>
    </row>
    <row r="33" spans="1:65" s="285" customFormat="1" ht="15" customHeight="1" x14ac:dyDescent="0.25">
      <c r="A33" s="286"/>
      <c r="BK33" s="287"/>
      <c r="BM33" s="30">
        <f t="shared" si="0"/>
        <v>27</v>
      </c>
    </row>
    <row r="34" spans="1:65" s="285" customFormat="1" ht="15" customHeight="1" x14ac:dyDescent="0.25">
      <c r="A34" s="286"/>
      <c r="BK34" s="287"/>
      <c r="BM34" s="30">
        <f t="shared" si="0"/>
        <v>28</v>
      </c>
    </row>
    <row r="35" spans="1:65" s="285" customFormat="1" ht="15" customHeight="1" x14ac:dyDescent="0.25">
      <c r="A35" s="286"/>
      <c r="BK35" s="287"/>
      <c r="BM35" s="30">
        <f t="shared" si="0"/>
        <v>29</v>
      </c>
    </row>
    <row r="36" spans="1:65" s="285" customFormat="1" ht="15" customHeight="1" x14ac:dyDescent="0.25">
      <c r="A36" s="286"/>
      <c r="BK36" s="287"/>
      <c r="BM36" s="30">
        <f t="shared" si="0"/>
        <v>30</v>
      </c>
    </row>
    <row r="37" spans="1:65" s="285" customFormat="1" ht="15" customHeight="1" x14ac:dyDescent="0.25">
      <c r="A37" s="286"/>
      <c r="BK37" s="287"/>
      <c r="BM37" s="30">
        <f t="shared" si="0"/>
        <v>31</v>
      </c>
    </row>
    <row r="38" spans="1:65" s="285" customFormat="1" ht="15" customHeight="1" x14ac:dyDescent="0.25">
      <c r="A38" s="286"/>
      <c r="BK38" s="287"/>
      <c r="BM38" s="30">
        <f t="shared" si="0"/>
        <v>32</v>
      </c>
    </row>
    <row r="39" spans="1:65" s="285" customFormat="1" ht="15" customHeight="1" x14ac:dyDescent="0.25">
      <c r="A39" s="286"/>
      <c r="BK39" s="287"/>
      <c r="BM39" s="30">
        <f t="shared" si="0"/>
        <v>33</v>
      </c>
    </row>
    <row r="40" spans="1:65" s="285" customFormat="1" ht="15" customHeight="1" x14ac:dyDescent="0.25">
      <c r="A40" s="286"/>
      <c r="BK40" s="287"/>
      <c r="BM40" s="30">
        <f t="shared" si="0"/>
        <v>34</v>
      </c>
    </row>
    <row r="41" spans="1:65" s="285" customFormat="1" ht="15" customHeight="1" x14ac:dyDescent="0.25">
      <c r="A41" s="286"/>
      <c r="BK41" s="287"/>
      <c r="BM41" s="30">
        <f t="shared" si="0"/>
        <v>35</v>
      </c>
    </row>
    <row r="42" spans="1:65" s="285" customFormat="1" ht="15" customHeight="1" x14ac:dyDescent="0.25">
      <c r="A42" s="286"/>
      <c r="BK42" s="287"/>
      <c r="BM42" s="30">
        <f t="shared" si="0"/>
        <v>36</v>
      </c>
    </row>
    <row r="43" spans="1:65" s="285" customFormat="1" ht="15" customHeight="1" x14ac:dyDescent="0.25">
      <c r="A43" s="286"/>
      <c r="BK43" s="287"/>
      <c r="BM43" s="30">
        <f t="shared" si="0"/>
        <v>37</v>
      </c>
    </row>
    <row r="44" spans="1:65" s="285" customFormat="1" ht="15" customHeight="1" x14ac:dyDescent="0.25">
      <c r="A44" s="286"/>
      <c r="BK44" s="287"/>
      <c r="BM44" s="30">
        <f t="shared" si="0"/>
        <v>38</v>
      </c>
    </row>
    <row r="45" spans="1:65" s="285" customFormat="1" ht="15" customHeight="1" x14ac:dyDescent="0.25">
      <c r="A45" s="286"/>
      <c r="BK45" s="287"/>
      <c r="BM45" s="30">
        <f t="shared" si="0"/>
        <v>39</v>
      </c>
    </row>
    <row r="46" spans="1:65" s="285" customFormat="1" ht="15" customHeight="1" x14ac:dyDescent="0.25">
      <c r="A46" s="286"/>
      <c r="BK46" s="287"/>
      <c r="BM46" s="30">
        <f t="shared" si="0"/>
        <v>40</v>
      </c>
    </row>
    <row r="47" spans="1:65" s="285" customFormat="1" ht="15" customHeight="1" x14ac:dyDescent="0.25">
      <c r="A47" s="286"/>
      <c r="BK47" s="287"/>
      <c r="BM47" s="30">
        <f t="shared" si="0"/>
        <v>41</v>
      </c>
    </row>
    <row r="48" spans="1:65" s="285" customFormat="1" ht="15" customHeight="1" x14ac:dyDescent="0.25">
      <c r="A48" s="286"/>
      <c r="BK48" s="287"/>
      <c r="BM48" s="30">
        <f t="shared" si="0"/>
        <v>42</v>
      </c>
    </row>
    <row r="49" spans="1:65" s="285" customFormat="1" ht="15" customHeight="1" x14ac:dyDescent="0.25">
      <c r="A49" s="286"/>
      <c r="BK49" s="287"/>
      <c r="BM49" s="30">
        <f t="shared" si="0"/>
        <v>43</v>
      </c>
    </row>
    <row r="50" spans="1:65" s="285" customFormat="1" ht="15" customHeight="1" x14ac:dyDescent="0.25">
      <c r="A50" s="286"/>
      <c r="BK50" s="287"/>
      <c r="BM50" s="30">
        <f t="shared" si="0"/>
        <v>44</v>
      </c>
    </row>
    <row r="51" spans="1:65" s="285" customFormat="1" ht="15" customHeight="1" x14ac:dyDescent="0.25">
      <c r="A51" s="286"/>
      <c r="BK51" s="287"/>
      <c r="BM51" s="30">
        <f t="shared" si="0"/>
        <v>45</v>
      </c>
    </row>
    <row r="52" spans="1:65" s="285" customFormat="1" ht="15" customHeight="1" x14ac:dyDescent="0.25">
      <c r="A52" s="286"/>
      <c r="BK52" s="287"/>
      <c r="BM52" s="30">
        <f t="shared" si="0"/>
        <v>46</v>
      </c>
    </row>
    <row r="53" spans="1:65" s="285" customFormat="1" ht="15" customHeight="1" x14ac:dyDescent="0.25">
      <c r="A53" s="286"/>
      <c r="BK53" s="287"/>
      <c r="BM53" s="30">
        <f t="shared" si="0"/>
        <v>47</v>
      </c>
    </row>
    <row r="54" spans="1:65" s="285" customFormat="1" ht="15" customHeight="1" x14ac:dyDescent="0.25">
      <c r="A54" s="289"/>
      <c r="B54" s="290"/>
      <c r="C54" s="290"/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0"/>
      <c r="R54" s="290"/>
      <c r="S54" s="290"/>
      <c r="T54" s="290"/>
      <c r="U54" s="290"/>
      <c r="V54" s="290"/>
      <c r="W54" s="290"/>
      <c r="X54" s="290"/>
      <c r="Y54" s="290"/>
      <c r="Z54" s="290"/>
      <c r="AA54" s="290"/>
      <c r="AB54" s="290"/>
      <c r="AC54" s="290"/>
      <c r="AD54" s="290"/>
      <c r="AE54" s="290"/>
      <c r="AF54" s="290"/>
      <c r="AG54" s="290"/>
      <c r="AH54" s="290"/>
      <c r="AI54" s="290"/>
      <c r="AJ54" s="290"/>
      <c r="AK54" s="290"/>
      <c r="AL54" s="290"/>
      <c r="AM54" s="290"/>
      <c r="AN54" s="290"/>
      <c r="AO54" s="290"/>
      <c r="AP54" s="290"/>
      <c r="AQ54" s="290"/>
      <c r="AR54" s="290"/>
      <c r="AS54" s="290"/>
      <c r="AT54" s="290"/>
      <c r="AU54" s="290"/>
      <c r="AV54" s="290"/>
      <c r="AW54" s="290"/>
      <c r="AX54" s="290"/>
      <c r="AY54" s="290"/>
      <c r="AZ54" s="290"/>
      <c r="BA54" s="290"/>
      <c r="BB54" s="290"/>
      <c r="BC54" s="290"/>
      <c r="BD54" s="290"/>
      <c r="BE54" s="290"/>
      <c r="BF54" s="290"/>
      <c r="BG54" s="290"/>
      <c r="BH54" s="290"/>
      <c r="BI54" s="290"/>
      <c r="BJ54" s="290"/>
      <c r="BK54" s="291"/>
      <c r="BM54" s="30">
        <f>IF(BM53=50,1,BM53+1)</f>
        <v>48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37232-D969-49C4-874E-3831A458F2E0}">
  <sheetPr>
    <tabColor rgb="FF0000FF"/>
    <pageSetUpPr fitToPage="1"/>
  </sheetPr>
  <dimension ref="A1:CD302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4" width="2.77734375" style="236" customWidth="1"/>
    <col min="65" max="65" width="6.109375" style="236" bestFit="1" customWidth="1"/>
    <col min="66" max="69" width="2.77734375" style="236" customWidth="1"/>
    <col min="70" max="16384" width="2.77734375" style="236"/>
  </cols>
  <sheetData>
    <row r="1" spans="1:65" ht="24.95" customHeight="1" x14ac:dyDescent="0.25">
      <c r="A1" s="230" t="s">
        <v>52</v>
      </c>
      <c r="B1" s="231"/>
      <c r="C1" s="231"/>
      <c r="D1" s="231"/>
      <c r="E1" s="231"/>
      <c r="F1" s="231"/>
      <c r="G1" s="231"/>
      <c r="H1" s="231"/>
      <c r="I1" s="231"/>
      <c r="J1" s="232"/>
      <c r="K1" s="230" t="s">
        <v>53</v>
      </c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2"/>
      <c r="W1" s="233" t="str">
        <f>IF(表紙!W1="","",表紙!W1)</f>
        <v>基本設計書</v>
      </c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4"/>
      <c r="AN1" s="234"/>
      <c r="AO1" s="235"/>
      <c r="AP1" s="230" t="s">
        <v>54</v>
      </c>
      <c r="AQ1" s="231"/>
      <c r="AR1" s="231"/>
      <c r="AS1" s="232"/>
      <c r="AT1" s="230" t="s">
        <v>55</v>
      </c>
      <c r="AU1" s="231"/>
      <c r="AV1" s="231"/>
      <c r="AW1" s="231"/>
      <c r="AX1" s="232"/>
      <c r="AY1" s="230" t="s">
        <v>56</v>
      </c>
      <c r="AZ1" s="231"/>
      <c r="BA1" s="231"/>
      <c r="BB1" s="232"/>
      <c r="BC1" s="230" t="s">
        <v>57</v>
      </c>
      <c r="BD1" s="231"/>
      <c r="BE1" s="231"/>
      <c r="BF1" s="231"/>
      <c r="BG1" s="232"/>
      <c r="BH1" s="230" t="s">
        <v>58</v>
      </c>
      <c r="BI1" s="231"/>
      <c r="BJ1" s="231"/>
      <c r="BK1" s="232"/>
    </row>
    <row r="2" spans="1:65" ht="15" customHeight="1" x14ac:dyDescent="0.25">
      <c r="A2" s="204" t="str">
        <f>IF(表紙!A2="","",表紙!A2)</f>
        <v>POSサーバー</v>
      </c>
      <c r="B2" s="202"/>
      <c r="C2" s="202"/>
      <c r="D2" s="202"/>
      <c r="E2" s="202"/>
      <c r="F2" s="202"/>
      <c r="G2" s="202"/>
      <c r="H2" s="202"/>
      <c r="I2" s="202"/>
      <c r="J2" s="203"/>
      <c r="K2" s="204" t="str">
        <f>IF(表紙!K2="","",表紙!K2)</f>
        <v>POSサーバ</v>
      </c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3"/>
      <c r="W2" s="237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9"/>
      <c r="AP2" s="204" t="str">
        <f>IF(表紙!AP2="","",表紙!AP2)</f>
        <v>AnhDD</v>
      </c>
      <c r="AQ2" s="202"/>
      <c r="AR2" s="202"/>
      <c r="AS2" s="203"/>
      <c r="AT2" s="201">
        <f>IF(表紙!AT2="","",表紙!AT2)</f>
        <v>45432</v>
      </c>
      <c r="AU2" s="240"/>
      <c r="AV2" s="240"/>
      <c r="AW2" s="240"/>
      <c r="AX2" s="241"/>
      <c r="AY2" s="204" t="str">
        <f>IF(表紙!AY2="","",表紙!AY2)</f>
        <v>DuNT</v>
      </c>
      <c r="AZ2" s="202"/>
      <c r="BA2" s="202"/>
      <c r="BB2" s="203"/>
      <c r="BC2" s="201">
        <f>IF(表紙!BC2="","",表紙!BC2)</f>
        <v>45576</v>
      </c>
      <c r="BD2" s="240"/>
      <c r="BE2" s="240"/>
      <c r="BF2" s="240"/>
      <c r="BG2" s="241"/>
      <c r="BH2" s="204">
        <f>IF(表紙!BH2="","",表紙!BH2)</f>
        <v>0.5</v>
      </c>
      <c r="BI2" s="202"/>
      <c r="BJ2" s="202"/>
      <c r="BK2" s="203"/>
    </row>
    <row r="3" spans="1:65" ht="15" customHeight="1" x14ac:dyDescent="0.25">
      <c r="A3" s="208"/>
      <c r="B3" s="209"/>
      <c r="C3" s="209"/>
      <c r="D3" s="209"/>
      <c r="E3" s="209"/>
      <c r="F3" s="209"/>
      <c r="G3" s="209"/>
      <c r="H3" s="209"/>
      <c r="I3" s="209"/>
      <c r="J3" s="210"/>
      <c r="K3" s="208"/>
      <c r="L3" s="209"/>
      <c r="M3" s="209"/>
      <c r="N3" s="209"/>
      <c r="O3" s="209"/>
      <c r="P3" s="209"/>
      <c r="Q3" s="209"/>
      <c r="R3" s="209"/>
      <c r="S3" s="209"/>
      <c r="T3" s="209"/>
      <c r="U3" s="209"/>
      <c r="V3" s="210"/>
      <c r="W3" s="242"/>
      <c r="X3" s="243"/>
      <c r="Y3" s="243"/>
      <c r="Z3" s="243"/>
      <c r="AA3" s="243"/>
      <c r="AB3" s="243"/>
      <c r="AC3" s="243"/>
      <c r="AD3" s="243"/>
      <c r="AE3" s="243"/>
      <c r="AF3" s="243"/>
      <c r="AG3" s="243"/>
      <c r="AH3" s="243"/>
      <c r="AI3" s="243"/>
      <c r="AJ3" s="243"/>
      <c r="AK3" s="243"/>
      <c r="AL3" s="243"/>
      <c r="AM3" s="243"/>
      <c r="AN3" s="243"/>
      <c r="AO3" s="244"/>
      <c r="AP3" s="208"/>
      <c r="AQ3" s="209"/>
      <c r="AR3" s="209"/>
      <c r="AS3" s="210"/>
      <c r="AT3" s="245"/>
      <c r="AU3" s="246"/>
      <c r="AV3" s="246"/>
      <c r="AW3" s="246"/>
      <c r="AX3" s="247"/>
      <c r="AY3" s="208"/>
      <c r="AZ3" s="209"/>
      <c r="BA3" s="209"/>
      <c r="BB3" s="210"/>
      <c r="BC3" s="245"/>
      <c r="BD3" s="246"/>
      <c r="BE3" s="246"/>
      <c r="BF3" s="246"/>
      <c r="BG3" s="247"/>
      <c r="BH3" s="208"/>
      <c r="BI3" s="209"/>
      <c r="BJ3" s="209"/>
      <c r="BK3" s="210"/>
    </row>
    <row r="4" spans="1:65" ht="24.95" customHeight="1" x14ac:dyDescent="0.25">
      <c r="A4" s="230" t="s">
        <v>59</v>
      </c>
      <c r="B4" s="231"/>
      <c r="C4" s="231"/>
      <c r="D4" s="231"/>
      <c r="E4" s="231"/>
      <c r="F4" s="231"/>
      <c r="G4" s="232"/>
      <c r="H4" s="248" t="str">
        <f>IF(表紙!H4="","",表紙!H4)</f>
        <v>40_従業員設定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50"/>
      <c r="U4" s="230" t="s">
        <v>60</v>
      </c>
      <c r="V4" s="231"/>
      <c r="W4" s="231"/>
      <c r="X4" s="231"/>
      <c r="Y4" s="232"/>
      <c r="Z4" s="248" t="str">
        <f>IF(表紙!Z4="","",表紙!Z4)</f>
        <v>概要設計</v>
      </c>
      <c r="AA4" s="249"/>
      <c r="AB4" s="249"/>
      <c r="AC4" s="249"/>
      <c r="AD4" s="249"/>
      <c r="AE4" s="249"/>
      <c r="AF4" s="249"/>
      <c r="AG4" s="249"/>
      <c r="AH4" s="249"/>
      <c r="AI4" s="249"/>
      <c r="AJ4" s="249"/>
      <c r="AK4" s="249"/>
      <c r="AL4" s="249"/>
      <c r="AM4" s="249"/>
      <c r="AN4" s="249"/>
      <c r="AO4" s="250"/>
      <c r="AP4" s="248" t="str">
        <f t="array" aca="1" ref="AP4" ca="1">RIGHT(CELL("filename",$A$1),LEN(CELL("filename",$A$1))-FIND("]",CELL("filename",$A$1)))</f>
        <v>機能概要</v>
      </c>
      <c r="AQ4" s="249"/>
      <c r="AR4" s="249"/>
      <c r="AS4" s="249"/>
      <c r="AT4" s="249"/>
      <c r="AU4" s="249"/>
      <c r="AV4" s="249"/>
      <c r="AW4" s="249"/>
      <c r="AX4" s="249"/>
      <c r="AY4" s="249"/>
      <c r="AZ4" s="249"/>
      <c r="BA4" s="249"/>
      <c r="BB4" s="249"/>
      <c r="BC4" s="249"/>
      <c r="BD4" s="249"/>
      <c r="BE4" s="249"/>
      <c r="BF4" s="249"/>
      <c r="BG4" s="249"/>
      <c r="BH4" s="249"/>
      <c r="BI4" s="249"/>
      <c r="BJ4" s="249"/>
      <c r="BK4" s="250"/>
    </row>
    <row r="5" spans="1:65" ht="5.0999999999999996" customHeight="1" x14ac:dyDescent="0.25">
      <c r="A5" s="251"/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3"/>
    </row>
    <row r="6" spans="1:65" ht="15" customHeight="1" x14ac:dyDescent="0.25">
      <c r="A6" s="254"/>
      <c r="BK6" s="255"/>
    </row>
    <row r="7" spans="1:65" ht="15" customHeight="1" x14ac:dyDescent="0.25">
      <c r="A7" s="254"/>
      <c r="B7" s="292" t="s">
        <v>67</v>
      </c>
      <c r="C7" s="293"/>
      <c r="D7" s="294"/>
      <c r="E7" s="294"/>
      <c r="F7" s="294"/>
      <c r="G7" s="294"/>
      <c r="H7" s="294"/>
      <c r="I7" s="294"/>
      <c r="J7" s="294"/>
      <c r="K7" s="295"/>
      <c r="L7" s="293"/>
      <c r="M7" s="294"/>
      <c r="N7" s="294"/>
      <c r="O7" s="294"/>
      <c r="P7" s="294"/>
      <c r="Q7" s="294"/>
      <c r="R7" s="294"/>
      <c r="S7" s="294"/>
      <c r="T7" s="295"/>
      <c r="U7" s="293"/>
      <c r="V7" s="294"/>
      <c r="W7" s="294"/>
      <c r="X7" s="294"/>
      <c r="Y7" s="294"/>
      <c r="Z7" s="294"/>
      <c r="AA7" s="294"/>
      <c r="AB7" s="294"/>
      <c r="AC7" s="295"/>
      <c r="AD7" s="293"/>
      <c r="AE7" s="294"/>
      <c r="AF7" s="294"/>
      <c r="AG7" s="294"/>
      <c r="AH7" s="294"/>
      <c r="AI7" s="294"/>
      <c r="AJ7" s="294"/>
      <c r="AK7" s="294"/>
      <c r="AL7" s="295"/>
      <c r="AM7" s="293"/>
      <c r="AN7" s="294"/>
      <c r="AO7" s="294"/>
      <c r="AP7" s="294"/>
      <c r="AQ7" s="294"/>
      <c r="AR7" s="294"/>
      <c r="AS7" s="294"/>
      <c r="AT7" s="294"/>
      <c r="AU7" s="294"/>
      <c r="AV7" s="294"/>
      <c r="AW7" s="294"/>
      <c r="AX7" s="294"/>
      <c r="AY7" s="294"/>
      <c r="AZ7" s="294"/>
      <c r="BA7" s="294"/>
      <c r="BB7" s="294"/>
      <c r="BC7" s="294"/>
      <c r="BD7" s="294"/>
      <c r="BE7" s="294"/>
      <c r="BF7" s="294"/>
      <c r="BG7" s="294"/>
      <c r="BH7" s="294"/>
      <c r="BI7" s="295"/>
      <c r="BJ7" s="294"/>
      <c r="BK7" s="255"/>
      <c r="BM7" s="30">
        <f t="shared" ref="BM7:BM74" si="0">IF(BM6=50,1,BM6+1)</f>
        <v>1</v>
      </c>
    </row>
    <row r="8" spans="1:65" s="285" customFormat="1" ht="15" customHeight="1" x14ac:dyDescent="0.25">
      <c r="A8" s="286"/>
      <c r="B8" s="44"/>
      <c r="K8" s="296"/>
      <c r="L8" s="297"/>
      <c r="T8" s="296"/>
      <c r="U8" s="297"/>
      <c r="AC8" s="296"/>
      <c r="AD8" s="297"/>
      <c r="AL8" s="296"/>
      <c r="AM8" s="297"/>
      <c r="BI8" s="296"/>
      <c r="BK8" s="287"/>
      <c r="BM8" s="30">
        <f t="shared" si="0"/>
        <v>2</v>
      </c>
    </row>
    <row r="9" spans="1:65" s="285" customFormat="1" ht="15" customHeight="1" x14ac:dyDescent="0.25">
      <c r="A9" s="286"/>
      <c r="B9" s="44"/>
      <c r="K9" s="296"/>
      <c r="L9" s="297"/>
      <c r="T9" s="296"/>
      <c r="U9" s="297"/>
      <c r="AC9" s="296"/>
      <c r="AD9" s="297"/>
      <c r="AL9" s="296"/>
      <c r="AM9" s="297"/>
      <c r="BI9" s="296"/>
      <c r="BK9" s="287"/>
      <c r="BM9" s="30">
        <f t="shared" si="0"/>
        <v>3</v>
      </c>
    </row>
    <row r="10" spans="1:65" s="285" customFormat="1" ht="15" customHeight="1" x14ac:dyDescent="0.25">
      <c r="A10" s="286"/>
      <c r="B10" s="44"/>
      <c r="K10" s="296"/>
      <c r="L10" s="297"/>
      <c r="T10" s="296"/>
      <c r="U10" s="297"/>
      <c r="AC10" s="296"/>
      <c r="AD10" s="297"/>
      <c r="AL10" s="296"/>
      <c r="AM10" s="297"/>
      <c r="BI10" s="296"/>
      <c r="BK10" s="287"/>
      <c r="BM10" s="30">
        <f t="shared" si="0"/>
        <v>4</v>
      </c>
    </row>
    <row r="11" spans="1:65" s="285" customFormat="1" ht="15" customHeight="1" x14ac:dyDescent="0.25">
      <c r="A11" s="286"/>
      <c r="B11" s="44"/>
      <c r="K11" s="296"/>
      <c r="L11" s="297"/>
      <c r="T11" s="296"/>
      <c r="U11" s="297"/>
      <c r="AC11" s="296"/>
      <c r="AD11" s="297"/>
      <c r="AL11" s="296"/>
      <c r="AM11" s="297"/>
      <c r="BI11" s="296"/>
      <c r="BK11" s="287"/>
      <c r="BM11" s="30">
        <f t="shared" si="0"/>
        <v>5</v>
      </c>
    </row>
    <row r="12" spans="1:65" s="285" customFormat="1" ht="15" customHeight="1" x14ac:dyDescent="0.25">
      <c r="A12" s="286"/>
      <c r="B12" s="44"/>
      <c r="K12" s="296"/>
      <c r="L12" s="297"/>
      <c r="T12" s="296"/>
      <c r="U12" s="297"/>
      <c r="AC12" s="296"/>
      <c r="AD12" s="297"/>
      <c r="AL12" s="296"/>
      <c r="AM12" s="297"/>
      <c r="BI12" s="296"/>
      <c r="BK12" s="287"/>
      <c r="BM12" s="30">
        <f t="shared" si="0"/>
        <v>6</v>
      </c>
    </row>
    <row r="13" spans="1:65" s="285" customFormat="1" ht="15" customHeight="1" x14ac:dyDescent="0.25">
      <c r="A13" s="286"/>
      <c r="B13" s="44"/>
      <c r="K13" s="296"/>
      <c r="L13" s="297"/>
      <c r="T13" s="296"/>
      <c r="U13" s="297"/>
      <c r="AC13" s="296"/>
      <c r="AD13" s="297"/>
      <c r="AL13" s="296"/>
      <c r="AM13" s="297"/>
      <c r="BI13" s="296"/>
      <c r="BK13" s="287"/>
      <c r="BM13" s="30">
        <f t="shared" si="0"/>
        <v>7</v>
      </c>
    </row>
    <row r="14" spans="1:65" s="285" customFormat="1" ht="15" customHeight="1" x14ac:dyDescent="0.25">
      <c r="A14" s="286"/>
      <c r="B14" s="44"/>
      <c r="K14" s="296"/>
      <c r="L14" s="297"/>
      <c r="T14" s="296"/>
      <c r="U14" s="297"/>
      <c r="AC14" s="296"/>
      <c r="AD14" s="297"/>
      <c r="AL14" s="296"/>
      <c r="AM14" s="297"/>
      <c r="BI14" s="296"/>
      <c r="BK14" s="287"/>
      <c r="BM14" s="30">
        <f t="shared" si="0"/>
        <v>8</v>
      </c>
    </row>
    <row r="15" spans="1:65" s="285" customFormat="1" ht="15" customHeight="1" x14ac:dyDescent="0.25">
      <c r="A15" s="286"/>
      <c r="B15" s="44"/>
      <c r="K15" s="296"/>
      <c r="L15" s="297"/>
      <c r="T15" s="296"/>
      <c r="U15" s="297"/>
      <c r="AC15" s="296"/>
      <c r="AD15" s="297"/>
      <c r="AL15" s="296"/>
      <c r="AM15" s="297"/>
      <c r="BI15" s="296"/>
      <c r="BK15" s="287"/>
      <c r="BM15" s="30">
        <f t="shared" si="0"/>
        <v>9</v>
      </c>
    </row>
    <row r="16" spans="1:65" s="285" customFormat="1" ht="15" customHeight="1" x14ac:dyDescent="0.25">
      <c r="A16" s="286"/>
      <c r="B16" s="44"/>
      <c r="K16" s="296"/>
      <c r="L16" s="297"/>
      <c r="T16" s="296"/>
      <c r="U16" s="297"/>
      <c r="AC16" s="296"/>
      <c r="AD16" s="297"/>
      <c r="AL16" s="296"/>
      <c r="AM16" s="297"/>
      <c r="BI16" s="296"/>
      <c r="BK16" s="287"/>
      <c r="BM16" s="30">
        <f t="shared" si="0"/>
        <v>10</v>
      </c>
    </row>
    <row r="17" spans="1:69" s="285" customFormat="1" ht="15" customHeight="1" x14ac:dyDescent="0.25">
      <c r="A17" s="286"/>
      <c r="B17" s="44"/>
      <c r="K17" s="296"/>
      <c r="L17" s="297"/>
      <c r="T17" s="296"/>
      <c r="U17" s="297"/>
      <c r="AC17" s="296"/>
      <c r="AD17" s="297"/>
      <c r="AL17" s="296"/>
      <c r="AM17" s="297"/>
      <c r="BI17" s="296"/>
      <c r="BK17" s="287"/>
      <c r="BM17" s="30">
        <f t="shared" si="0"/>
        <v>11</v>
      </c>
    </row>
    <row r="18" spans="1:69" s="285" customFormat="1" ht="15" customHeight="1" x14ac:dyDescent="0.25">
      <c r="A18" s="286"/>
      <c r="B18" s="44"/>
      <c r="K18" s="296"/>
      <c r="L18" s="297"/>
      <c r="T18" s="296"/>
      <c r="U18" s="297"/>
      <c r="AC18" s="296"/>
      <c r="AD18" s="297"/>
      <c r="AL18" s="296"/>
      <c r="AM18" s="297"/>
      <c r="BI18" s="296"/>
      <c r="BK18" s="287"/>
      <c r="BM18" s="30">
        <f t="shared" si="0"/>
        <v>12</v>
      </c>
    </row>
    <row r="19" spans="1:69" s="285" customFormat="1" ht="15" customHeight="1" x14ac:dyDescent="0.25">
      <c r="A19" s="286"/>
      <c r="B19" s="44"/>
      <c r="K19" s="296"/>
      <c r="L19" s="297"/>
      <c r="T19" s="296"/>
      <c r="U19" s="297"/>
      <c r="AC19" s="296"/>
      <c r="AD19" s="297"/>
      <c r="AL19" s="296"/>
      <c r="AM19" s="297"/>
      <c r="BI19" s="296"/>
      <c r="BK19" s="287"/>
      <c r="BM19" s="30">
        <f t="shared" si="0"/>
        <v>13</v>
      </c>
    </row>
    <row r="20" spans="1:69" s="285" customFormat="1" ht="15" customHeight="1" x14ac:dyDescent="0.25">
      <c r="A20" s="286"/>
      <c r="B20" s="44"/>
      <c r="K20" s="296"/>
      <c r="L20" s="297"/>
      <c r="T20" s="296"/>
      <c r="U20" s="297"/>
      <c r="AC20" s="296"/>
      <c r="AD20" s="297"/>
      <c r="AL20" s="296"/>
      <c r="AM20" s="297"/>
      <c r="BI20" s="296"/>
      <c r="BK20" s="287"/>
      <c r="BM20" s="30">
        <f t="shared" si="0"/>
        <v>14</v>
      </c>
    </row>
    <row r="21" spans="1:69" s="285" customFormat="1" ht="15" customHeight="1" x14ac:dyDescent="0.25">
      <c r="A21" s="286"/>
      <c r="B21" s="44"/>
      <c r="K21" s="296"/>
      <c r="L21" s="297"/>
      <c r="T21" s="296"/>
      <c r="U21" s="297"/>
      <c r="AC21" s="296"/>
      <c r="AD21" s="297"/>
      <c r="AL21" s="296"/>
      <c r="AM21" s="297"/>
      <c r="BI21" s="296"/>
      <c r="BK21" s="287"/>
      <c r="BM21" s="30">
        <f t="shared" si="0"/>
        <v>15</v>
      </c>
    </row>
    <row r="22" spans="1:69" s="285" customFormat="1" ht="15" customHeight="1" x14ac:dyDescent="0.25">
      <c r="A22" s="286"/>
      <c r="B22" s="44"/>
      <c r="K22" s="296"/>
      <c r="L22" s="297"/>
      <c r="T22" s="296"/>
      <c r="U22" s="297"/>
      <c r="AC22" s="296"/>
      <c r="AD22" s="297"/>
      <c r="AL22" s="296"/>
      <c r="AM22" s="297"/>
      <c r="BI22" s="296"/>
      <c r="BK22" s="287"/>
      <c r="BM22" s="30">
        <f t="shared" si="0"/>
        <v>16</v>
      </c>
    </row>
    <row r="23" spans="1:69" s="285" customFormat="1" ht="15" customHeight="1" x14ac:dyDescent="0.25">
      <c r="A23" s="286"/>
      <c r="B23" s="44"/>
      <c r="K23" s="296"/>
      <c r="L23" s="297"/>
      <c r="T23" s="296"/>
      <c r="U23" s="297"/>
      <c r="AC23" s="296"/>
      <c r="AD23" s="297"/>
      <c r="AL23" s="296"/>
      <c r="AM23" s="297"/>
      <c r="BI23" s="296"/>
      <c r="BK23" s="287"/>
      <c r="BM23" s="30">
        <f t="shared" si="0"/>
        <v>17</v>
      </c>
    </row>
    <row r="24" spans="1:69" s="285" customFormat="1" ht="15" customHeight="1" x14ac:dyDescent="0.25">
      <c r="A24" s="286"/>
      <c r="B24" s="44"/>
      <c r="K24" s="296"/>
      <c r="L24" s="297"/>
      <c r="T24" s="296"/>
      <c r="U24" s="297"/>
      <c r="AC24" s="296"/>
      <c r="AD24" s="297"/>
      <c r="AL24" s="296"/>
      <c r="AM24" s="297"/>
      <c r="BI24" s="296"/>
      <c r="BK24" s="287"/>
      <c r="BM24" s="30">
        <f t="shared" si="0"/>
        <v>18</v>
      </c>
      <c r="BQ24" s="285" t="s">
        <v>34</v>
      </c>
    </row>
    <row r="25" spans="1:69" s="285" customFormat="1" ht="15" customHeight="1" x14ac:dyDescent="0.25">
      <c r="A25" s="286"/>
      <c r="B25" s="44"/>
      <c r="K25" s="296"/>
      <c r="L25" s="297"/>
      <c r="T25" s="296"/>
      <c r="U25" s="297"/>
      <c r="AC25" s="296"/>
      <c r="AD25" s="297"/>
      <c r="AL25" s="296"/>
      <c r="AM25" s="297"/>
      <c r="BI25" s="296"/>
      <c r="BK25" s="287"/>
      <c r="BM25" s="30">
        <f t="shared" si="0"/>
        <v>19</v>
      </c>
    </row>
    <row r="26" spans="1:69" s="285" customFormat="1" ht="15" customHeight="1" x14ac:dyDescent="0.25">
      <c r="A26" s="286"/>
      <c r="B26" s="44"/>
      <c r="K26" s="296"/>
      <c r="L26" s="297"/>
      <c r="T26" s="296"/>
      <c r="U26" s="297"/>
      <c r="AC26" s="296"/>
      <c r="AD26" s="297"/>
      <c r="AL26" s="296"/>
      <c r="AM26" s="297"/>
      <c r="BI26" s="296"/>
      <c r="BK26" s="287"/>
      <c r="BM26" s="30">
        <f t="shared" si="0"/>
        <v>20</v>
      </c>
    </row>
    <row r="27" spans="1:69" s="285" customFormat="1" ht="15" customHeight="1" x14ac:dyDescent="0.25">
      <c r="A27" s="286"/>
      <c r="B27" s="44"/>
      <c r="K27" s="296"/>
      <c r="L27" s="297"/>
      <c r="T27" s="296"/>
      <c r="U27" s="297"/>
      <c r="AC27" s="296"/>
      <c r="AD27" s="297"/>
      <c r="AL27" s="296"/>
      <c r="AM27" s="297"/>
      <c r="BI27" s="296"/>
      <c r="BK27" s="287"/>
      <c r="BM27" s="30">
        <f t="shared" si="0"/>
        <v>21</v>
      </c>
    </row>
    <row r="28" spans="1:69" s="285" customFormat="1" ht="15" customHeight="1" x14ac:dyDescent="0.25">
      <c r="A28" s="286"/>
      <c r="B28" s="44"/>
      <c r="K28" s="296"/>
      <c r="L28" s="297"/>
      <c r="T28" s="296"/>
      <c r="U28" s="297"/>
      <c r="AC28" s="296"/>
      <c r="AD28" s="297"/>
      <c r="AL28" s="296"/>
      <c r="AM28" s="297"/>
      <c r="BI28" s="296"/>
      <c r="BK28" s="287"/>
      <c r="BM28" s="30">
        <f t="shared" si="0"/>
        <v>22</v>
      </c>
    </row>
    <row r="29" spans="1:69" s="285" customFormat="1" ht="15" customHeight="1" x14ac:dyDescent="0.25">
      <c r="A29" s="286"/>
      <c r="B29" s="44"/>
      <c r="K29" s="296"/>
      <c r="L29" s="297"/>
      <c r="T29" s="296"/>
      <c r="U29" s="297"/>
      <c r="AC29" s="296"/>
      <c r="AD29" s="297"/>
      <c r="AL29" s="296"/>
      <c r="AM29" s="297"/>
      <c r="BI29" s="296"/>
      <c r="BK29" s="287"/>
      <c r="BM29" s="30">
        <f t="shared" si="0"/>
        <v>23</v>
      </c>
    </row>
    <row r="30" spans="1:69" s="285" customFormat="1" ht="15" customHeight="1" x14ac:dyDescent="0.25">
      <c r="A30" s="286"/>
      <c r="B30" s="44"/>
      <c r="K30" s="296"/>
      <c r="L30" s="297"/>
      <c r="T30" s="296"/>
      <c r="U30" s="297"/>
      <c r="AC30" s="296"/>
      <c r="AD30" s="297"/>
      <c r="AL30" s="296"/>
      <c r="AM30" s="297"/>
      <c r="BI30" s="296"/>
      <c r="BK30" s="287"/>
      <c r="BM30" s="30">
        <f t="shared" si="0"/>
        <v>24</v>
      </c>
    </row>
    <row r="31" spans="1:69" s="285" customFormat="1" ht="15" customHeight="1" x14ac:dyDescent="0.25">
      <c r="A31" s="286"/>
      <c r="B31" s="44"/>
      <c r="K31" s="296"/>
      <c r="L31" s="297"/>
      <c r="T31" s="296"/>
      <c r="U31" s="297"/>
      <c r="AC31" s="296"/>
      <c r="AD31" s="297"/>
      <c r="AL31" s="296"/>
      <c r="AM31" s="297"/>
      <c r="BI31" s="296"/>
      <c r="BK31" s="287"/>
      <c r="BM31" s="30">
        <f t="shared" si="0"/>
        <v>25</v>
      </c>
    </row>
    <row r="32" spans="1:69" s="285" customFormat="1" ht="15" customHeight="1" x14ac:dyDescent="0.25">
      <c r="A32" s="286"/>
      <c r="B32" s="44"/>
      <c r="K32" s="296"/>
      <c r="L32" s="297"/>
      <c r="T32" s="296"/>
      <c r="U32" s="297"/>
      <c r="AC32" s="296"/>
      <c r="AD32" s="297"/>
      <c r="AL32" s="296"/>
      <c r="AM32" s="297"/>
      <c r="BI32" s="296"/>
      <c r="BK32" s="287"/>
      <c r="BM32" s="30">
        <f t="shared" si="0"/>
        <v>26</v>
      </c>
    </row>
    <row r="33" spans="1:65" s="285" customFormat="1" ht="15" customHeight="1" x14ac:dyDescent="0.25">
      <c r="A33" s="286"/>
      <c r="B33" s="44"/>
      <c r="K33" s="296"/>
      <c r="L33" s="297"/>
      <c r="T33" s="296"/>
      <c r="U33" s="297"/>
      <c r="AC33" s="296"/>
      <c r="AD33" s="297"/>
      <c r="AL33" s="296"/>
      <c r="AM33" s="297"/>
      <c r="BI33" s="296"/>
      <c r="BK33" s="287"/>
      <c r="BM33" s="30">
        <f t="shared" si="0"/>
        <v>27</v>
      </c>
    </row>
    <row r="34" spans="1:65" s="285" customFormat="1" ht="15" customHeight="1" x14ac:dyDescent="0.25">
      <c r="A34" s="286"/>
      <c r="B34" s="44"/>
      <c r="K34" s="296"/>
      <c r="L34" s="297"/>
      <c r="T34" s="296"/>
      <c r="U34" s="297"/>
      <c r="AC34" s="296"/>
      <c r="AD34" s="297"/>
      <c r="AL34" s="296"/>
      <c r="AM34" s="297"/>
      <c r="BI34" s="296"/>
      <c r="BK34" s="287"/>
      <c r="BM34" s="30">
        <f t="shared" si="0"/>
        <v>28</v>
      </c>
    </row>
    <row r="35" spans="1:65" s="285" customFormat="1" ht="15" customHeight="1" x14ac:dyDescent="0.25">
      <c r="A35" s="286"/>
      <c r="B35" s="44"/>
      <c r="K35" s="296"/>
      <c r="L35" s="297"/>
      <c r="T35" s="296"/>
      <c r="U35" s="297"/>
      <c r="AC35" s="296"/>
      <c r="AD35" s="297"/>
      <c r="AL35" s="296"/>
      <c r="AM35" s="297"/>
      <c r="BI35" s="296"/>
      <c r="BK35" s="287"/>
      <c r="BM35" s="30">
        <f t="shared" si="0"/>
        <v>29</v>
      </c>
    </row>
    <row r="36" spans="1:65" s="285" customFormat="1" ht="15" customHeight="1" x14ac:dyDescent="0.25">
      <c r="A36" s="286"/>
      <c r="B36" s="44"/>
      <c r="K36" s="296"/>
      <c r="L36" s="297"/>
      <c r="T36" s="296"/>
      <c r="U36" s="297"/>
      <c r="AC36" s="296"/>
      <c r="AD36" s="297"/>
      <c r="AL36" s="296"/>
      <c r="AM36" s="297"/>
      <c r="BI36" s="296"/>
      <c r="BK36" s="287"/>
      <c r="BM36" s="30">
        <f t="shared" si="0"/>
        <v>30</v>
      </c>
    </row>
    <row r="37" spans="1:65" s="285" customFormat="1" ht="15" customHeight="1" x14ac:dyDescent="0.25">
      <c r="A37" s="286"/>
      <c r="B37" s="44"/>
      <c r="K37" s="296"/>
      <c r="L37" s="297"/>
      <c r="T37" s="296"/>
      <c r="U37" s="297"/>
      <c r="AC37" s="296"/>
      <c r="AD37" s="297"/>
      <c r="AL37" s="296"/>
      <c r="AM37" s="297"/>
      <c r="BI37" s="296"/>
      <c r="BK37" s="287"/>
      <c r="BM37" s="30">
        <f t="shared" si="0"/>
        <v>31</v>
      </c>
    </row>
    <row r="38" spans="1:65" s="285" customFormat="1" ht="15" customHeight="1" x14ac:dyDescent="0.25">
      <c r="A38" s="286"/>
      <c r="B38" s="44"/>
      <c r="K38" s="296"/>
      <c r="L38" s="297"/>
      <c r="T38" s="296"/>
      <c r="U38" s="297"/>
      <c r="AC38" s="296"/>
      <c r="AD38" s="297"/>
      <c r="AL38" s="296"/>
      <c r="AM38" s="297"/>
      <c r="BI38" s="296"/>
      <c r="BK38" s="287"/>
      <c r="BM38" s="30">
        <f t="shared" si="0"/>
        <v>32</v>
      </c>
    </row>
    <row r="39" spans="1:65" s="285" customFormat="1" ht="15" customHeight="1" x14ac:dyDescent="0.25">
      <c r="A39" s="286"/>
      <c r="B39" s="44"/>
      <c r="K39" s="296"/>
      <c r="L39" s="297"/>
      <c r="T39" s="296"/>
      <c r="U39" s="297"/>
      <c r="AC39" s="296"/>
      <c r="AD39" s="297"/>
      <c r="AL39" s="296"/>
      <c r="AM39" s="297"/>
      <c r="BI39" s="296"/>
      <c r="BK39" s="287"/>
      <c r="BM39" s="30">
        <f t="shared" si="0"/>
        <v>33</v>
      </c>
    </row>
    <row r="40" spans="1:65" s="285" customFormat="1" ht="15" customHeight="1" x14ac:dyDescent="0.25">
      <c r="A40" s="286"/>
      <c r="B40" s="44"/>
      <c r="K40" s="296"/>
      <c r="L40" s="297"/>
      <c r="T40" s="296"/>
      <c r="U40" s="297"/>
      <c r="AC40" s="296"/>
      <c r="AD40" s="297"/>
      <c r="AL40" s="296"/>
      <c r="AM40" s="297"/>
      <c r="BI40" s="296"/>
      <c r="BK40" s="287"/>
      <c r="BM40" s="30">
        <f t="shared" si="0"/>
        <v>34</v>
      </c>
    </row>
    <row r="41" spans="1:65" s="285" customFormat="1" ht="15" customHeight="1" x14ac:dyDescent="0.25">
      <c r="A41" s="286"/>
      <c r="B41" s="44"/>
      <c r="K41" s="296"/>
      <c r="L41" s="297"/>
      <c r="T41" s="296"/>
      <c r="U41" s="297"/>
      <c r="AC41" s="296"/>
      <c r="AD41" s="297"/>
      <c r="AL41" s="296"/>
      <c r="AM41" s="297"/>
      <c r="BI41" s="296"/>
      <c r="BK41" s="287"/>
      <c r="BM41" s="30">
        <f t="shared" si="0"/>
        <v>35</v>
      </c>
    </row>
    <row r="42" spans="1:65" s="285" customFormat="1" ht="15" customHeight="1" x14ac:dyDescent="0.25">
      <c r="A42" s="286"/>
      <c r="B42" s="44"/>
      <c r="K42" s="296"/>
      <c r="L42" s="297"/>
      <c r="T42" s="296"/>
      <c r="U42" s="297"/>
      <c r="AC42" s="296"/>
      <c r="AD42" s="297"/>
      <c r="AL42" s="296"/>
      <c r="AM42" s="297"/>
      <c r="BI42" s="296"/>
      <c r="BK42" s="287"/>
      <c r="BM42" s="30">
        <f t="shared" si="0"/>
        <v>36</v>
      </c>
    </row>
    <row r="43" spans="1:65" s="285" customFormat="1" ht="15" customHeight="1" x14ac:dyDescent="0.25">
      <c r="A43" s="286"/>
      <c r="B43" s="44"/>
      <c r="K43" s="296"/>
      <c r="L43" s="297"/>
      <c r="T43" s="296"/>
      <c r="U43" s="297"/>
      <c r="AC43" s="296"/>
      <c r="AD43" s="297"/>
      <c r="AL43" s="296"/>
      <c r="AM43" s="297"/>
      <c r="BI43" s="296"/>
      <c r="BK43" s="287"/>
      <c r="BM43" s="30">
        <f t="shared" si="0"/>
        <v>37</v>
      </c>
    </row>
    <row r="44" spans="1:65" s="285" customFormat="1" ht="15" customHeight="1" x14ac:dyDescent="0.25">
      <c r="A44" s="286"/>
      <c r="B44" s="44"/>
      <c r="K44" s="296"/>
      <c r="L44" s="297"/>
      <c r="T44" s="296"/>
      <c r="U44" s="297"/>
      <c r="AC44" s="296"/>
      <c r="AD44" s="297"/>
      <c r="AL44" s="296"/>
      <c r="AM44" s="297"/>
      <c r="BI44" s="296"/>
      <c r="BK44" s="287"/>
      <c r="BM44" s="30">
        <f t="shared" si="0"/>
        <v>38</v>
      </c>
    </row>
    <row r="45" spans="1:65" s="285" customFormat="1" ht="15" customHeight="1" x14ac:dyDescent="0.25">
      <c r="A45" s="286"/>
      <c r="B45" s="44"/>
      <c r="K45" s="296"/>
      <c r="L45" s="297"/>
      <c r="T45" s="296"/>
      <c r="U45" s="297"/>
      <c r="AC45" s="296"/>
      <c r="AD45" s="297"/>
      <c r="AL45" s="296"/>
      <c r="AM45" s="297"/>
      <c r="BI45" s="296"/>
      <c r="BK45" s="287"/>
      <c r="BM45" s="30">
        <f t="shared" si="0"/>
        <v>39</v>
      </c>
    </row>
    <row r="46" spans="1:65" s="285" customFormat="1" ht="15" customHeight="1" x14ac:dyDescent="0.25">
      <c r="A46" s="286"/>
      <c r="B46" s="44"/>
      <c r="K46" s="296"/>
      <c r="L46" s="297"/>
      <c r="T46" s="296"/>
      <c r="U46" s="297"/>
      <c r="AC46" s="296"/>
      <c r="AD46" s="297"/>
      <c r="AL46" s="296"/>
      <c r="AM46" s="297"/>
      <c r="BI46" s="296"/>
      <c r="BK46" s="287"/>
      <c r="BM46" s="30">
        <f t="shared" si="0"/>
        <v>40</v>
      </c>
    </row>
    <row r="47" spans="1:65" s="285" customFormat="1" ht="15" customHeight="1" x14ac:dyDescent="0.25">
      <c r="A47" s="286"/>
      <c r="B47" s="44"/>
      <c r="K47" s="296"/>
      <c r="L47" s="297"/>
      <c r="T47" s="296"/>
      <c r="U47" s="297"/>
      <c r="AC47" s="296"/>
      <c r="AD47" s="297"/>
      <c r="AL47" s="296"/>
      <c r="AM47" s="297"/>
      <c r="BI47" s="296"/>
      <c r="BK47" s="287"/>
      <c r="BM47" s="30">
        <f t="shared" si="0"/>
        <v>41</v>
      </c>
    </row>
    <row r="48" spans="1:65" s="285" customFormat="1" ht="15" customHeight="1" x14ac:dyDescent="0.25">
      <c r="A48" s="286"/>
      <c r="B48" s="44"/>
      <c r="K48" s="296"/>
      <c r="L48" s="297"/>
      <c r="T48" s="296"/>
      <c r="U48" s="297"/>
      <c r="AC48" s="296"/>
      <c r="AD48" s="297"/>
      <c r="AL48" s="296"/>
      <c r="AM48" s="297"/>
      <c r="BI48" s="296"/>
      <c r="BK48" s="287"/>
      <c r="BM48" s="30">
        <f t="shared" si="0"/>
        <v>42</v>
      </c>
    </row>
    <row r="49" spans="1:69" s="285" customFormat="1" ht="15" customHeight="1" x14ac:dyDescent="0.25">
      <c r="A49" s="286"/>
      <c r="B49" s="44"/>
      <c r="K49" s="296"/>
      <c r="L49" s="297"/>
      <c r="T49" s="296"/>
      <c r="U49" s="297"/>
      <c r="AC49" s="296"/>
      <c r="AD49" s="297"/>
      <c r="AL49" s="296"/>
      <c r="AM49" s="297"/>
      <c r="BI49" s="296"/>
      <c r="BK49" s="287"/>
      <c r="BM49" s="30">
        <f t="shared" si="0"/>
        <v>43</v>
      </c>
    </row>
    <row r="50" spans="1:69" s="285" customFormat="1" ht="15" customHeight="1" x14ac:dyDescent="0.25">
      <c r="A50" s="286"/>
      <c r="B50" s="44"/>
      <c r="K50" s="296"/>
      <c r="L50" s="297"/>
      <c r="T50" s="296"/>
      <c r="U50" s="297"/>
      <c r="AC50" s="296"/>
      <c r="AD50" s="297"/>
      <c r="AL50" s="296"/>
      <c r="AM50" s="297"/>
      <c r="BI50" s="296"/>
      <c r="BK50" s="287"/>
      <c r="BM50" s="30">
        <f t="shared" si="0"/>
        <v>44</v>
      </c>
    </row>
    <row r="51" spans="1:69" s="285" customFormat="1" ht="15" customHeight="1" x14ac:dyDescent="0.25">
      <c r="A51" s="286"/>
      <c r="B51" s="44"/>
      <c r="K51" s="296"/>
      <c r="L51" s="297"/>
      <c r="T51" s="296"/>
      <c r="U51" s="297"/>
      <c r="AC51" s="296"/>
      <c r="AD51" s="297"/>
      <c r="AL51" s="296"/>
      <c r="AM51" s="297"/>
      <c r="BI51" s="296"/>
      <c r="BK51" s="287"/>
      <c r="BM51" s="30">
        <f t="shared" si="0"/>
        <v>45</v>
      </c>
    </row>
    <row r="52" spans="1:69" s="285" customFormat="1" ht="15" customHeight="1" x14ac:dyDescent="0.25">
      <c r="A52" s="286"/>
      <c r="B52" s="44"/>
      <c r="K52" s="296"/>
      <c r="L52" s="297"/>
      <c r="T52" s="296"/>
      <c r="U52" s="297"/>
      <c r="AC52" s="296"/>
      <c r="AD52" s="297"/>
      <c r="AL52" s="296"/>
      <c r="AM52" s="297"/>
      <c r="BI52" s="296"/>
      <c r="BK52" s="287"/>
      <c r="BM52" s="30">
        <f t="shared" si="0"/>
        <v>46</v>
      </c>
    </row>
    <row r="53" spans="1:69" s="285" customFormat="1" ht="15" customHeight="1" x14ac:dyDescent="0.25">
      <c r="A53" s="286"/>
      <c r="B53" s="44"/>
      <c r="K53" s="296"/>
      <c r="L53" s="297"/>
      <c r="T53" s="296"/>
      <c r="U53" s="297"/>
      <c r="AC53" s="296"/>
      <c r="AD53" s="297"/>
      <c r="AL53" s="296"/>
      <c r="AM53" s="297"/>
      <c r="BI53" s="296"/>
      <c r="BK53" s="287"/>
      <c r="BM53" s="30">
        <f t="shared" si="0"/>
        <v>47</v>
      </c>
    </row>
    <row r="54" spans="1:69" s="285" customFormat="1" ht="15" customHeight="1" x14ac:dyDescent="0.25">
      <c r="A54" s="286"/>
      <c r="B54" s="44"/>
      <c r="K54" s="296"/>
      <c r="L54" s="297"/>
      <c r="T54" s="296"/>
      <c r="U54" s="297"/>
      <c r="AC54" s="296"/>
      <c r="AD54" s="297"/>
      <c r="AL54" s="296"/>
      <c r="AM54" s="297"/>
      <c r="BI54" s="296"/>
      <c r="BK54" s="287"/>
      <c r="BM54" s="30">
        <f t="shared" si="0"/>
        <v>48</v>
      </c>
    </row>
    <row r="55" spans="1:69" s="285" customFormat="1" ht="15" customHeight="1" x14ac:dyDescent="0.25">
      <c r="A55" s="286"/>
      <c r="B55" s="44"/>
      <c r="K55" s="296"/>
      <c r="L55" s="297"/>
      <c r="T55" s="296"/>
      <c r="U55" s="297"/>
      <c r="AC55" s="296"/>
      <c r="AD55" s="297"/>
      <c r="AL55" s="296"/>
      <c r="AM55" s="297"/>
      <c r="BI55" s="296"/>
      <c r="BK55" s="287"/>
      <c r="BM55" s="30">
        <f t="shared" si="0"/>
        <v>49</v>
      </c>
    </row>
    <row r="56" spans="1:69" s="285" customFormat="1" ht="15" customHeight="1" x14ac:dyDescent="0.25">
      <c r="A56" s="286"/>
      <c r="B56" s="44"/>
      <c r="K56" s="296"/>
      <c r="L56" s="297"/>
      <c r="T56" s="296"/>
      <c r="U56" s="297"/>
      <c r="AC56" s="296"/>
      <c r="AD56" s="297"/>
      <c r="AL56" s="296"/>
      <c r="AM56" s="297"/>
      <c r="BI56" s="296"/>
      <c r="BK56" s="287"/>
      <c r="BM56" s="30">
        <f t="shared" si="0"/>
        <v>50</v>
      </c>
    </row>
    <row r="57" spans="1:69" s="285" customFormat="1" ht="15" customHeight="1" x14ac:dyDescent="0.25">
      <c r="A57" s="286"/>
      <c r="B57" s="44"/>
      <c r="K57" s="296"/>
      <c r="L57" s="297"/>
      <c r="T57" s="296"/>
      <c r="U57" s="297"/>
      <c r="AC57" s="296"/>
      <c r="AD57" s="297"/>
      <c r="AL57" s="296"/>
      <c r="AM57" s="297"/>
      <c r="BI57" s="296"/>
      <c r="BK57" s="287"/>
      <c r="BM57" s="30">
        <f t="shared" si="0"/>
        <v>1</v>
      </c>
    </row>
    <row r="58" spans="1:69" s="285" customFormat="1" ht="15" customHeight="1" x14ac:dyDescent="0.25">
      <c r="A58" s="286"/>
      <c r="B58" s="44"/>
      <c r="K58" s="296"/>
      <c r="L58" s="297"/>
      <c r="T58" s="296"/>
      <c r="U58" s="297"/>
      <c r="AC58" s="296"/>
      <c r="AD58" s="297"/>
      <c r="AL58" s="296"/>
      <c r="AM58" s="297"/>
      <c r="BI58" s="296"/>
      <c r="BK58" s="287"/>
      <c r="BM58" s="30">
        <f t="shared" si="0"/>
        <v>2</v>
      </c>
    </row>
    <row r="59" spans="1:69" s="285" customFormat="1" ht="15" customHeight="1" x14ac:dyDescent="0.25">
      <c r="A59" s="286"/>
      <c r="B59" s="44"/>
      <c r="K59" s="296"/>
      <c r="L59" s="297"/>
      <c r="T59" s="296"/>
      <c r="U59" s="297"/>
      <c r="AC59" s="296"/>
      <c r="AD59" s="297"/>
      <c r="AL59" s="296"/>
      <c r="AM59" s="297"/>
      <c r="BI59" s="296"/>
      <c r="BK59" s="287"/>
      <c r="BM59" s="30">
        <f t="shared" si="0"/>
        <v>3</v>
      </c>
    </row>
    <row r="60" spans="1:69" s="285" customFormat="1" ht="15" customHeight="1" x14ac:dyDescent="0.25">
      <c r="A60" s="286"/>
      <c r="B60" s="44"/>
      <c r="K60" s="296"/>
      <c r="L60" s="297"/>
      <c r="T60" s="296"/>
      <c r="U60" s="297"/>
      <c r="AC60" s="296"/>
      <c r="AD60" s="297"/>
      <c r="AL60" s="296"/>
      <c r="AM60" s="297"/>
      <c r="BI60" s="296"/>
      <c r="BK60" s="287"/>
      <c r="BM60" s="30">
        <f t="shared" si="0"/>
        <v>4</v>
      </c>
    </row>
    <row r="61" spans="1:69" s="285" customFormat="1" ht="15" customHeight="1" x14ac:dyDescent="0.25">
      <c r="A61" s="286"/>
      <c r="B61" s="44"/>
      <c r="K61" s="296"/>
      <c r="L61" s="297"/>
      <c r="T61" s="296"/>
      <c r="U61" s="297"/>
      <c r="AC61" s="296"/>
      <c r="AD61" s="297"/>
      <c r="AL61" s="296"/>
      <c r="AM61" s="297"/>
      <c r="BI61" s="296"/>
      <c r="BK61" s="287"/>
      <c r="BM61" s="30">
        <f t="shared" si="0"/>
        <v>5</v>
      </c>
    </row>
    <row r="62" spans="1:69" s="285" customFormat="1" ht="15" customHeight="1" x14ac:dyDescent="0.25">
      <c r="A62" s="286"/>
      <c r="B62" s="44"/>
      <c r="K62" s="296"/>
      <c r="L62" s="297"/>
      <c r="T62" s="296"/>
      <c r="U62" s="297"/>
      <c r="AC62" s="296"/>
      <c r="AD62" s="297"/>
      <c r="AL62" s="296"/>
      <c r="AM62" s="297"/>
      <c r="BI62" s="296"/>
      <c r="BK62" s="287"/>
      <c r="BM62" s="30">
        <f t="shared" si="0"/>
        <v>6</v>
      </c>
    </row>
    <row r="63" spans="1:69" s="285" customFormat="1" ht="15" customHeight="1" x14ac:dyDescent="0.25">
      <c r="A63" s="286"/>
      <c r="B63" s="44"/>
      <c r="K63" s="296"/>
      <c r="L63" s="297"/>
      <c r="T63" s="296"/>
      <c r="U63" s="297"/>
      <c r="AC63" s="296"/>
      <c r="AD63" s="297"/>
      <c r="AL63" s="296"/>
      <c r="AM63" s="297"/>
      <c r="BI63" s="296"/>
      <c r="BK63" s="287"/>
      <c r="BM63" s="30">
        <f t="shared" si="0"/>
        <v>7</v>
      </c>
      <c r="BQ63" s="285" t="s">
        <v>36</v>
      </c>
    </row>
    <row r="64" spans="1:69" s="285" customFormat="1" ht="15" customHeight="1" x14ac:dyDescent="0.25">
      <c r="A64" s="286"/>
      <c r="B64" s="44"/>
      <c r="K64" s="296"/>
      <c r="L64" s="297"/>
      <c r="T64" s="296"/>
      <c r="U64" s="297"/>
      <c r="AC64" s="296"/>
      <c r="AD64" s="297"/>
      <c r="AL64" s="296"/>
      <c r="AM64" s="297"/>
      <c r="BI64" s="296"/>
      <c r="BK64" s="287"/>
      <c r="BM64" s="30">
        <f t="shared" si="0"/>
        <v>8</v>
      </c>
    </row>
    <row r="65" spans="1:65" s="285" customFormat="1" ht="15" customHeight="1" x14ac:dyDescent="0.25">
      <c r="A65" s="286"/>
      <c r="B65" s="44"/>
      <c r="K65" s="296"/>
      <c r="L65" s="297"/>
      <c r="T65" s="296"/>
      <c r="U65" s="297"/>
      <c r="AC65" s="296"/>
      <c r="AD65" s="297"/>
      <c r="AL65" s="296"/>
      <c r="AM65" s="297"/>
      <c r="BI65" s="296"/>
      <c r="BK65" s="287"/>
      <c r="BM65" s="30">
        <f t="shared" si="0"/>
        <v>9</v>
      </c>
    </row>
    <row r="66" spans="1:65" s="285" customFormat="1" ht="15" customHeight="1" x14ac:dyDescent="0.25">
      <c r="A66" s="286"/>
      <c r="B66" s="44"/>
      <c r="K66" s="296"/>
      <c r="L66" s="297"/>
      <c r="T66" s="296"/>
      <c r="U66" s="297"/>
      <c r="AC66" s="296"/>
      <c r="AD66" s="297"/>
      <c r="AL66" s="296"/>
      <c r="AM66" s="297"/>
      <c r="BI66" s="296"/>
      <c r="BK66" s="287"/>
      <c r="BM66" s="30">
        <f t="shared" si="0"/>
        <v>10</v>
      </c>
    </row>
    <row r="67" spans="1:65" s="285" customFormat="1" ht="15" customHeight="1" x14ac:dyDescent="0.25">
      <c r="A67" s="286"/>
      <c r="B67" s="44"/>
      <c r="K67" s="296"/>
      <c r="L67" s="297"/>
      <c r="T67" s="296"/>
      <c r="U67" s="297"/>
      <c r="AC67" s="296"/>
      <c r="AD67" s="297"/>
      <c r="AL67" s="296"/>
      <c r="AM67" s="297"/>
      <c r="BI67" s="296"/>
      <c r="BK67" s="287"/>
      <c r="BM67" s="30">
        <f t="shared" si="0"/>
        <v>11</v>
      </c>
    </row>
    <row r="68" spans="1:65" s="285" customFormat="1" ht="15" customHeight="1" x14ac:dyDescent="0.25">
      <c r="A68" s="286"/>
      <c r="B68" s="44"/>
      <c r="K68" s="296"/>
      <c r="L68" s="297"/>
      <c r="T68" s="296"/>
      <c r="U68" s="297"/>
      <c r="AC68" s="296"/>
      <c r="AD68" s="297"/>
      <c r="AL68" s="296"/>
      <c r="AM68" s="297"/>
      <c r="BI68" s="296"/>
      <c r="BK68" s="287"/>
      <c r="BM68" s="30">
        <f t="shared" si="0"/>
        <v>12</v>
      </c>
    </row>
    <row r="69" spans="1:65" s="285" customFormat="1" ht="15" customHeight="1" x14ac:dyDescent="0.25">
      <c r="A69" s="286"/>
      <c r="B69" s="44"/>
      <c r="K69" s="296"/>
      <c r="L69" s="297"/>
      <c r="T69" s="296"/>
      <c r="U69" s="297"/>
      <c r="AC69" s="296"/>
      <c r="AD69" s="297"/>
      <c r="AL69" s="296"/>
      <c r="AM69" s="297"/>
      <c r="BI69" s="296"/>
      <c r="BK69" s="287"/>
      <c r="BM69" s="30">
        <f t="shared" si="0"/>
        <v>13</v>
      </c>
    </row>
    <row r="70" spans="1:65" s="285" customFormat="1" ht="15" customHeight="1" x14ac:dyDescent="0.25">
      <c r="A70" s="286"/>
      <c r="B70" s="44"/>
      <c r="K70" s="296"/>
      <c r="L70" s="297"/>
      <c r="T70" s="296"/>
      <c r="U70" s="297"/>
      <c r="AC70" s="296"/>
      <c r="AD70" s="297"/>
      <c r="AL70" s="296"/>
      <c r="AM70" s="297"/>
      <c r="BI70" s="296"/>
      <c r="BK70" s="287"/>
      <c r="BM70" s="30">
        <f t="shared" si="0"/>
        <v>14</v>
      </c>
    </row>
    <row r="71" spans="1:65" s="285" customFormat="1" ht="15" customHeight="1" x14ac:dyDescent="0.25">
      <c r="A71" s="286"/>
      <c r="B71" s="44"/>
      <c r="K71" s="296"/>
      <c r="L71" s="297"/>
      <c r="T71" s="296"/>
      <c r="U71" s="297"/>
      <c r="AC71" s="296"/>
      <c r="AD71" s="297"/>
      <c r="AL71" s="296"/>
      <c r="AM71" s="297"/>
      <c r="BI71" s="296"/>
      <c r="BK71" s="287"/>
      <c r="BM71" s="30">
        <f t="shared" si="0"/>
        <v>15</v>
      </c>
    </row>
    <row r="72" spans="1:65" s="285" customFormat="1" ht="15" customHeight="1" x14ac:dyDescent="0.25">
      <c r="A72" s="286"/>
      <c r="BK72" s="287"/>
      <c r="BM72" s="30">
        <f t="shared" si="0"/>
        <v>16</v>
      </c>
    </row>
    <row r="73" spans="1:65" s="285" customFormat="1" ht="15" customHeight="1" x14ac:dyDescent="0.25">
      <c r="A73" s="286"/>
      <c r="B73" s="44"/>
      <c r="K73" s="296"/>
      <c r="L73" s="297"/>
      <c r="T73" s="296"/>
      <c r="U73" s="297"/>
      <c r="AC73" s="296"/>
      <c r="AD73" s="297"/>
      <c r="AL73" s="296"/>
      <c r="AM73" s="297"/>
      <c r="BI73" s="296"/>
      <c r="BK73" s="287"/>
      <c r="BM73" s="30">
        <f t="shared" si="0"/>
        <v>17</v>
      </c>
    </row>
    <row r="74" spans="1:65" s="285" customFormat="1" ht="15" customHeight="1" x14ac:dyDescent="0.25">
      <c r="A74" s="286"/>
      <c r="B74" s="44"/>
      <c r="K74" s="296"/>
      <c r="L74" s="298"/>
      <c r="T74" s="296"/>
      <c r="U74" s="297"/>
      <c r="AC74" s="296"/>
      <c r="AD74" s="297"/>
      <c r="AL74" s="296"/>
      <c r="AM74" s="297"/>
      <c r="BI74" s="296"/>
      <c r="BK74" s="287"/>
      <c r="BM74" s="30">
        <f t="shared" si="0"/>
        <v>18</v>
      </c>
    </row>
    <row r="75" spans="1:65" s="285" customFormat="1" ht="15" customHeight="1" x14ac:dyDescent="0.25">
      <c r="A75" s="286"/>
      <c r="B75" s="45" t="s">
        <v>68</v>
      </c>
      <c r="C75" s="299"/>
      <c r="D75" s="299"/>
      <c r="E75" s="299"/>
      <c r="F75" s="299"/>
      <c r="G75" s="299"/>
      <c r="H75" s="299"/>
      <c r="I75" s="299"/>
      <c r="J75" s="299"/>
      <c r="K75" s="300"/>
      <c r="L75" s="301"/>
      <c r="M75" s="299"/>
      <c r="N75" s="299"/>
      <c r="O75" s="299"/>
      <c r="P75" s="299"/>
      <c r="Q75" s="299"/>
      <c r="R75" s="299"/>
      <c r="S75" s="299"/>
      <c r="T75" s="300"/>
      <c r="U75" s="301"/>
      <c r="V75" s="299"/>
      <c r="W75" s="299"/>
      <c r="X75" s="299"/>
      <c r="Y75" s="299"/>
      <c r="Z75" s="299"/>
      <c r="AA75" s="299"/>
      <c r="AB75" s="299"/>
      <c r="AC75" s="300"/>
      <c r="AD75" s="301"/>
      <c r="AE75" s="299"/>
      <c r="AF75" s="299"/>
      <c r="AG75" s="299"/>
      <c r="AH75" s="299"/>
      <c r="AI75" s="299"/>
      <c r="AJ75" s="299"/>
      <c r="AK75" s="299"/>
      <c r="AL75" s="300"/>
      <c r="AM75" s="301"/>
      <c r="AN75" s="299"/>
      <c r="AO75" s="299"/>
      <c r="AP75" s="299"/>
      <c r="AQ75" s="299"/>
      <c r="AR75" s="299"/>
      <c r="AS75" s="299"/>
      <c r="AT75" s="299"/>
      <c r="AU75" s="299"/>
      <c r="AV75" s="299"/>
      <c r="AW75" s="299"/>
      <c r="AX75" s="299"/>
      <c r="AY75" s="299"/>
      <c r="AZ75" s="299"/>
      <c r="BA75" s="299"/>
      <c r="BB75" s="299"/>
      <c r="BC75" s="299"/>
      <c r="BD75" s="299"/>
      <c r="BE75" s="299"/>
      <c r="BF75" s="299"/>
      <c r="BG75" s="299"/>
      <c r="BH75" s="299"/>
      <c r="BI75" s="300"/>
      <c r="BJ75" s="299"/>
      <c r="BK75" s="287"/>
      <c r="BM75" s="30">
        <f t="shared" ref="BM75:BM85" si="1">IF(BM74=50,1,BM74+1)</f>
        <v>19</v>
      </c>
    </row>
    <row r="76" spans="1:65" s="285" customFormat="1" ht="15" customHeight="1" x14ac:dyDescent="0.25">
      <c r="A76" s="286"/>
      <c r="B76" s="44"/>
      <c r="K76" s="296"/>
      <c r="L76" s="297"/>
      <c r="T76" s="296"/>
      <c r="U76" s="297"/>
      <c r="AC76" s="296"/>
      <c r="AD76" s="297"/>
      <c r="AL76" s="296"/>
      <c r="AM76" s="297"/>
      <c r="BI76" s="296"/>
      <c r="BK76" s="287"/>
      <c r="BM76" s="30">
        <f t="shared" si="1"/>
        <v>20</v>
      </c>
    </row>
    <row r="77" spans="1:65" s="285" customFormat="1" ht="15" customHeight="1" x14ac:dyDescent="0.25">
      <c r="A77" s="286"/>
      <c r="B77" s="44"/>
      <c r="K77" s="296"/>
      <c r="L77" s="297"/>
      <c r="T77" s="296"/>
      <c r="U77" s="297"/>
      <c r="AC77" s="296"/>
      <c r="AD77" s="297"/>
      <c r="AL77" s="296"/>
      <c r="AM77" s="297"/>
      <c r="BI77" s="296"/>
      <c r="BK77" s="287"/>
      <c r="BM77" s="30">
        <f t="shared" si="1"/>
        <v>21</v>
      </c>
    </row>
    <row r="78" spans="1:65" s="285" customFormat="1" ht="15" customHeight="1" x14ac:dyDescent="0.25">
      <c r="A78" s="286"/>
      <c r="B78" s="44"/>
      <c r="K78" s="296"/>
      <c r="L78" s="297"/>
      <c r="T78" s="296"/>
      <c r="U78" s="297"/>
      <c r="AC78" s="296"/>
      <c r="AD78" s="297"/>
      <c r="AL78" s="296"/>
      <c r="AM78" s="297"/>
      <c r="BI78" s="296"/>
      <c r="BK78" s="287"/>
      <c r="BM78" s="30">
        <f t="shared" si="1"/>
        <v>22</v>
      </c>
    </row>
    <row r="79" spans="1:65" s="285" customFormat="1" ht="15" customHeight="1" x14ac:dyDescent="0.25">
      <c r="A79" s="286"/>
      <c r="B79" s="44"/>
      <c r="K79" s="296"/>
      <c r="L79" s="297"/>
      <c r="T79" s="296"/>
      <c r="U79" s="297"/>
      <c r="AC79" s="296"/>
      <c r="AD79" s="297"/>
      <c r="AL79" s="296"/>
      <c r="AM79" s="297"/>
      <c r="BI79" s="296"/>
      <c r="BK79" s="287"/>
      <c r="BM79" s="30">
        <f t="shared" si="1"/>
        <v>23</v>
      </c>
    </row>
    <row r="80" spans="1:65" s="285" customFormat="1" ht="15" customHeight="1" x14ac:dyDescent="0.25">
      <c r="A80" s="286"/>
      <c r="B80" s="44"/>
      <c r="K80" s="296"/>
      <c r="L80" s="297"/>
      <c r="T80" s="296"/>
      <c r="U80" s="297"/>
      <c r="AC80" s="296"/>
      <c r="AD80" s="297"/>
      <c r="AL80" s="296"/>
      <c r="AM80" s="297"/>
      <c r="BI80" s="296"/>
      <c r="BK80" s="287"/>
      <c r="BM80" s="30">
        <f t="shared" si="1"/>
        <v>24</v>
      </c>
    </row>
    <row r="81" spans="1:65" s="285" customFormat="1" ht="15" customHeight="1" x14ac:dyDescent="0.25">
      <c r="A81" s="286"/>
      <c r="B81" s="44"/>
      <c r="K81" s="296"/>
      <c r="L81" s="297"/>
      <c r="T81" s="296"/>
      <c r="U81" s="297"/>
      <c r="AC81" s="296"/>
      <c r="AD81" s="297"/>
      <c r="AL81" s="296"/>
      <c r="AM81" s="297"/>
      <c r="BI81" s="296"/>
      <c r="BK81" s="287"/>
      <c r="BM81" s="30">
        <f t="shared" si="1"/>
        <v>25</v>
      </c>
    </row>
    <row r="82" spans="1:65" s="285" customFormat="1" ht="15" customHeight="1" x14ac:dyDescent="0.25">
      <c r="A82" s="286"/>
      <c r="B82" s="44"/>
      <c r="K82" s="296"/>
      <c r="L82" s="298"/>
      <c r="T82" s="296"/>
      <c r="U82" s="297"/>
      <c r="AC82" s="296"/>
      <c r="AD82" s="297"/>
      <c r="AL82" s="296"/>
      <c r="AM82" s="297"/>
      <c r="BI82" s="296"/>
      <c r="BK82" s="287"/>
      <c r="BM82" s="30">
        <f t="shared" si="1"/>
        <v>26</v>
      </c>
    </row>
    <row r="83" spans="1:65" s="285" customFormat="1" ht="15" customHeight="1" x14ac:dyDescent="0.25">
      <c r="A83" s="286"/>
      <c r="B83" s="44"/>
      <c r="K83" s="296"/>
      <c r="L83" s="297"/>
      <c r="T83" s="296"/>
      <c r="U83" s="297"/>
      <c r="AC83" s="296"/>
      <c r="AD83" s="297"/>
      <c r="AL83" s="296"/>
      <c r="AM83" s="297"/>
      <c r="BI83" s="296"/>
      <c r="BK83" s="287"/>
      <c r="BM83" s="30">
        <f t="shared" si="1"/>
        <v>27</v>
      </c>
    </row>
    <row r="84" spans="1:65" s="285" customFormat="1" ht="15" customHeight="1" x14ac:dyDescent="0.25">
      <c r="A84" s="286"/>
      <c r="B84" s="44"/>
      <c r="K84" s="296"/>
      <c r="L84" s="297"/>
      <c r="T84" s="296"/>
      <c r="U84" s="297"/>
      <c r="AC84" s="296"/>
      <c r="AD84" s="297"/>
      <c r="AL84" s="296"/>
      <c r="AM84" s="297"/>
      <c r="BI84" s="296"/>
      <c r="BK84" s="287"/>
      <c r="BM84" s="30">
        <f t="shared" si="1"/>
        <v>28</v>
      </c>
    </row>
    <row r="85" spans="1:65" s="285" customFormat="1" ht="15" customHeight="1" x14ac:dyDescent="0.25">
      <c r="A85" s="286"/>
      <c r="B85" s="44"/>
      <c r="L85" s="297"/>
      <c r="T85" s="296"/>
      <c r="U85" s="297"/>
      <c r="AC85" s="296"/>
      <c r="AD85" s="297"/>
      <c r="AL85" s="296"/>
      <c r="AM85" s="297"/>
      <c r="BI85" s="296"/>
      <c r="BK85" s="287"/>
      <c r="BM85" s="30">
        <f t="shared" si="1"/>
        <v>29</v>
      </c>
    </row>
    <row r="86" spans="1:65" s="285" customFormat="1" ht="15" customHeight="1" x14ac:dyDescent="0.25">
      <c r="A86" s="286"/>
      <c r="B86" s="44"/>
      <c r="L86" s="297"/>
      <c r="T86" s="296"/>
      <c r="U86" s="297"/>
      <c r="AC86" s="296"/>
      <c r="AD86" s="297"/>
      <c r="AL86" s="296"/>
      <c r="AM86" s="297"/>
      <c r="BI86" s="296"/>
      <c r="BK86" s="287"/>
      <c r="BM86" s="30">
        <f t="shared" ref="BM86:BM131" si="2">IF(BM85=50,1,BM85+1)</f>
        <v>30</v>
      </c>
    </row>
    <row r="87" spans="1:65" s="285" customFormat="1" ht="15" customHeight="1" x14ac:dyDescent="0.25">
      <c r="A87" s="286"/>
      <c r="B87" s="44"/>
      <c r="L87" s="297"/>
      <c r="T87" s="296"/>
      <c r="U87" s="297"/>
      <c r="AC87" s="296"/>
      <c r="AD87" s="297"/>
      <c r="AL87" s="296"/>
      <c r="AM87" s="297"/>
      <c r="BI87" s="296"/>
      <c r="BK87" s="287"/>
      <c r="BM87" s="30">
        <f t="shared" si="2"/>
        <v>31</v>
      </c>
    </row>
    <row r="88" spans="1:65" s="285" customFormat="1" ht="15" customHeight="1" x14ac:dyDescent="0.25">
      <c r="A88" s="286"/>
      <c r="B88" s="44"/>
      <c r="L88" s="297"/>
      <c r="T88" s="296"/>
      <c r="U88" s="297"/>
      <c r="AC88" s="296"/>
      <c r="AD88" s="297"/>
      <c r="AL88" s="296"/>
      <c r="AM88" s="297"/>
      <c r="BI88" s="296"/>
      <c r="BK88" s="287"/>
      <c r="BM88" s="30">
        <f t="shared" si="2"/>
        <v>32</v>
      </c>
    </row>
    <row r="89" spans="1:65" s="285" customFormat="1" ht="15" customHeight="1" x14ac:dyDescent="0.25">
      <c r="A89" s="286"/>
      <c r="B89" s="44"/>
      <c r="L89" s="297"/>
      <c r="T89" s="296"/>
      <c r="U89" s="297"/>
      <c r="AC89" s="296"/>
      <c r="AD89" s="297"/>
      <c r="AL89" s="296"/>
      <c r="AM89" s="297"/>
      <c r="BI89" s="296"/>
      <c r="BK89" s="287"/>
      <c r="BM89" s="30">
        <f t="shared" si="2"/>
        <v>33</v>
      </c>
    </row>
    <row r="90" spans="1:65" s="285" customFormat="1" ht="15" customHeight="1" x14ac:dyDescent="0.25">
      <c r="A90" s="286"/>
      <c r="B90" s="44"/>
      <c r="L90" s="297"/>
      <c r="T90" s="296"/>
      <c r="U90" s="297"/>
      <c r="AC90" s="296"/>
      <c r="AD90" s="297"/>
      <c r="AL90" s="296"/>
      <c r="AM90" s="297"/>
      <c r="BI90" s="296"/>
      <c r="BK90" s="287"/>
      <c r="BM90" s="30">
        <f t="shared" si="2"/>
        <v>34</v>
      </c>
    </row>
    <row r="91" spans="1:65" s="285" customFormat="1" ht="15" customHeight="1" x14ac:dyDescent="0.25">
      <c r="A91" s="286"/>
      <c r="B91" s="44"/>
      <c r="L91" s="297"/>
      <c r="T91" s="296"/>
      <c r="U91" s="297"/>
      <c r="AC91" s="296"/>
      <c r="AD91" s="297"/>
      <c r="AL91" s="296"/>
      <c r="AM91" s="297"/>
      <c r="BI91" s="296"/>
      <c r="BK91" s="287"/>
      <c r="BM91" s="30">
        <f t="shared" si="2"/>
        <v>35</v>
      </c>
    </row>
    <row r="92" spans="1:65" s="285" customFormat="1" ht="15" customHeight="1" x14ac:dyDescent="0.25">
      <c r="A92" s="286"/>
      <c r="B92" s="44"/>
      <c r="L92" s="297"/>
      <c r="T92" s="296"/>
      <c r="U92" s="297"/>
      <c r="AC92" s="296"/>
      <c r="AD92" s="297"/>
      <c r="AL92" s="296"/>
      <c r="AM92" s="297"/>
      <c r="BI92" s="296"/>
      <c r="BK92" s="287"/>
      <c r="BM92" s="30">
        <f t="shared" si="2"/>
        <v>36</v>
      </c>
    </row>
    <row r="93" spans="1:65" s="285" customFormat="1" ht="15" customHeight="1" x14ac:dyDescent="0.25">
      <c r="A93" s="286"/>
      <c r="B93" s="44"/>
      <c r="L93" s="297"/>
      <c r="T93" s="296"/>
      <c r="U93" s="297"/>
      <c r="AC93" s="296"/>
      <c r="AD93" s="297"/>
      <c r="AL93" s="296"/>
      <c r="AM93" s="297"/>
      <c r="BI93" s="296"/>
      <c r="BK93" s="287"/>
      <c r="BM93" s="30">
        <f t="shared" si="2"/>
        <v>37</v>
      </c>
    </row>
    <row r="94" spans="1:65" s="285" customFormat="1" ht="15" customHeight="1" x14ac:dyDescent="0.25">
      <c r="A94" s="286"/>
      <c r="B94" s="44"/>
      <c r="L94" s="297"/>
      <c r="T94" s="296"/>
      <c r="U94" s="297"/>
      <c r="AC94" s="296"/>
      <c r="AD94" s="297"/>
      <c r="AL94" s="296"/>
      <c r="AM94" s="297"/>
      <c r="BI94" s="296"/>
      <c r="BK94" s="287"/>
      <c r="BM94" s="30">
        <f t="shared" si="2"/>
        <v>38</v>
      </c>
    </row>
    <row r="95" spans="1:65" s="285" customFormat="1" ht="15" customHeight="1" x14ac:dyDescent="0.25">
      <c r="A95" s="286"/>
      <c r="B95" s="44"/>
      <c r="L95" s="297"/>
      <c r="T95" s="296"/>
      <c r="U95" s="297"/>
      <c r="AC95" s="296"/>
      <c r="AD95" s="297"/>
      <c r="AL95" s="296"/>
      <c r="AM95" s="297"/>
      <c r="BI95" s="296"/>
      <c r="BK95" s="287"/>
      <c r="BM95" s="30">
        <f t="shared" si="2"/>
        <v>39</v>
      </c>
    </row>
    <row r="96" spans="1:65" s="285" customFormat="1" ht="15" customHeight="1" x14ac:dyDescent="0.25">
      <c r="A96" s="286"/>
      <c r="B96" s="45" t="s">
        <v>69</v>
      </c>
      <c r="C96" s="299"/>
      <c r="D96" s="299"/>
      <c r="E96" s="299"/>
      <c r="F96" s="299"/>
      <c r="G96" s="299"/>
      <c r="H96" s="299"/>
      <c r="I96" s="299"/>
      <c r="J96" s="299"/>
      <c r="K96" s="300"/>
      <c r="L96" s="301"/>
      <c r="M96" s="299"/>
      <c r="N96" s="299"/>
      <c r="O96" s="299"/>
      <c r="P96" s="299"/>
      <c r="Q96" s="299"/>
      <c r="R96" s="299"/>
      <c r="S96" s="299"/>
      <c r="T96" s="300"/>
      <c r="U96" s="301"/>
      <c r="V96" s="299"/>
      <c r="W96" s="299"/>
      <c r="X96" s="299"/>
      <c r="Y96" s="299"/>
      <c r="Z96" s="299"/>
      <c r="AA96" s="299"/>
      <c r="AB96" s="299"/>
      <c r="AC96" s="300"/>
      <c r="AD96" s="301"/>
      <c r="AE96" s="299"/>
      <c r="AF96" s="299"/>
      <c r="AG96" s="299"/>
      <c r="AH96" s="299"/>
      <c r="AI96" s="299"/>
      <c r="AJ96" s="299"/>
      <c r="AK96" s="299"/>
      <c r="AL96" s="300"/>
      <c r="AM96" s="301"/>
      <c r="AN96" s="299"/>
      <c r="AO96" s="299"/>
      <c r="AP96" s="299"/>
      <c r="AQ96" s="299"/>
      <c r="AR96" s="299"/>
      <c r="AS96" s="299"/>
      <c r="AT96" s="299"/>
      <c r="AU96" s="299"/>
      <c r="AV96" s="299"/>
      <c r="AW96" s="299"/>
      <c r="AX96" s="299"/>
      <c r="AY96" s="299"/>
      <c r="AZ96" s="299"/>
      <c r="BA96" s="299"/>
      <c r="BB96" s="299"/>
      <c r="BC96" s="299"/>
      <c r="BD96" s="299"/>
      <c r="BE96" s="299"/>
      <c r="BF96" s="299"/>
      <c r="BG96" s="299"/>
      <c r="BH96" s="299"/>
      <c r="BI96" s="300"/>
      <c r="BJ96" s="299"/>
      <c r="BK96" s="287"/>
      <c r="BM96" s="30">
        <f t="shared" si="2"/>
        <v>40</v>
      </c>
    </row>
    <row r="97" spans="1:65" s="285" customFormat="1" ht="15" customHeight="1" x14ac:dyDescent="0.25">
      <c r="A97" s="286"/>
      <c r="B97" s="44"/>
      <c r="L97" s="297"/>
      <c r="T97" s="296"/>
      <c r="U97" s="297"/>
      <c r="AC97" s="296"/>
      <c r="AD97" s="297"/>
      <c r="AL97" s="296"/>
      <c r="AM97" s="297"/>
      <c r="BI97" s="296"/>
      <c r="BK97" s="287"/>
      <c r="BM97" s="30">
        <f t="shared" si="2"/>
        <v>41</v>
      </c>
    </row>
    <row r="98" spans="1:65" s="285" customFormat="1" ht="15" customHeight="1" x14ac:dyDescent="0.25">
      <c r="A98" s="286"/>
      <c r="B98" s="44"/>
      <c r="L98" s="297"/>
      <c r="T98" s="296"/>
      <c r="U98" s="297"/>
      <c r="AC98" s="296"/>
      <c r="AD98" s="297"/>
      <c r="AL98" s="296"/>
      <c r="AM98" s="297"/>
      <c r="BI98" s="296"/>
      <c r="BK98" s="287"/>
      <c r="BM98" s="30">
        <f t="shared" si="2"/>
        <v>42</v>
      </c>
    </row>
    <row r="99" spans="1:65" s="285" customFormat="1" ht="15" customHeight="1" x14ac:dyDescent="0.25">
      <c r="A99" s="286"/>
      <c r="B99" s="44"/>
      <c r="L99" s="297"/>
      <c r="T99" s="296"/>
      <c r="U99" s="297"/>
      <c r="AC99" s="296"/>
      <c r="AD99" s="297"/>
      <c r="AL99" s="296"/>
      <c r="AM99" s="297"/>
      <c r="BI99" s="296"/>
      <c r="BK99" s="287"/>
      <c r="BM99" s="30">
        <f t="shared" si="2"/>
        <v>43</v>
      </c>
    </row>
    <row r="100" spans="1:65" s="285" customFormat="1" ht="15" customHeight="1" x14ac:dyDescent="0.25">
      <c r="A100" s="286"/>
      <c r="B100" s="44"/>
      <c r="L100" s="297"/>
      <c r="T100" s="296"/>
      <c r="U100" s="297"/>
      <c r="AC100" s="296"/>
      <c r="AD100" s="297"/>
      <c r="AL100" s="296"/>
      <c r="AM100" s="297"/>
      <c r="BI100" s="296"/>
      <c r="BK100" s="287"/>
      <c r="BM100" s="30">
        <f t="shared" si="2"/>
        <v>44</v>
      </c>
    </row>
    <row r="101" spans="1:65" s="285" customFormat="1" ht="15" customHeight="1" x14ac:dyDescent="0.25">
      <c r="A101" s="286"/>
      <c r="B101" s="44"/>
      <c r="L101" s="297"/>
      <c r="T101" s="296"/>
      <c r="U101" s="297"/>
      <c r="AC101" s="296"/>
      <c r="AD101" s="297"/>
      <c r="AL101" s="296"/>
      <c r="AM101" s="297"/>
      <c r="BI101" s="296"/>
      <c r="BK101" s="287"/>
      <c r="BM101" s="30">
        <f t="shared" si="2"/>
        <v>45</v>
      </c>
    </row>
    <row r="102" spans="1:65" s="285" customFormat="1" ht="15" customHeight="1" x14ac:dyDescent="0.25">
      <c r="A102" s="286"/>
      <c r="B102" s="44"/>
      <c r="L102" s="297"/>
      <c r="T102" s="296"/>
      <c r="U102" s="297"/>
      <c r="AC102" s="296"/>
      <c r="AD102" s="297"/>
      <c r="AL102" s="296"/>
      <c r="AM102" s="297"/>
      <c r="BI102" s="296"/>
      <c r="BK102" s="287"/>
      <c r="BM102" s="30">
        <f t="shared" si="2"/>
        <v>46</v>
      </c>
    </row>
    <row r="103" spans="1:65" s="285" customFormat="1" ht="15" customHeight="1" x14ac:dyDescent="0.25">
      <c r="A103" s="286"/>
      <c r="B103" s="44"/>
      <c r="L103" s="297"/>
      <c r="T103" s="296"/>
      <c r="U103" s="297"/>
      <c r="AC103" s="296"/>
      <c r="AD103" s="297"/>
      <c r="AL103" s="296"/>
      <c r="AM103" s="297"/>
      <c r="BI103" s="296"/>
      <c r="BK103" s="287"/>
      <c r="BM103" s="30">
        <f t="shared" si="2"/>
        <v>47</v>
      </c>
    </row>
    <row r="104" spans="1:65" s="285" customFormat="1" ht="15" customHeight="1" x14ac:dyDescent="0.25">
      <c r="A104" s="286"/>
      <c r="B104" s="44"/>
      <c r="L104" s="297"/>
      <c r="T104" s="296"/>
      <c r="U104" s="297"/>
      <c r="AC104" s="296"/>
      <c r="AD104" s="297"/>
      <c r="AL104" s="296"/>
      <c r="AM104" s="297"/>
      <c r="BI104" s="296"/>
      <c r="BK104" s="287"/>
      <c r="BM104" s="30">
        <f t="shared" si="2"/>
        <v>48</v>
      </c>
    </row>
    <row r="105" spans="1:65" s="285" customFormat="1" ht="15" customHeight="1" x14ac:dyDescent="0.25">
      <c r="A105" s="286"/>
      <c r="B105" s="44"/>
      <c r="L105" s="297"/>
      <c r="T105" s="296"/>
      <c r="U105" s="297"/>
      <c r="AC105" s="296"/>
      <c r="AD105" s="297"/>
      <c r="AL105" s="296"/>
      <c r="AM105" s="297"/>
      <c r="BI105" s="296"/>
      <c r="BK105" s="287"/>
      <c r="BM105" s="30">
        <f t="shared" si="2"/>
        <v>49</v>
      </c>
    </row>
    <row r="106" spans="1:65" s="285" customFormat="1" ht="15" customHeight="1" x14ac:dyDescent="0.25">
      <c r="A106" s="286"/>
      <c r="B106" s="44"/>
      <c r="L106" s="297"/>
      <c r="T106" s="296"/>
      <c r="U106" s="297"/>
      <c r="AC106" s="296"/>
      <c r="AD106" s="297"/>
      <c r="AL106" s="296"/>
      <c r="AM106" s="297"/>
      <c r="BI106" s="296"/>
      <c r="BK106" s="287"/>
      <c r="BM106" s="30">
        <f t="shared" si="2"/>
        <v>50</v>
      </c>
    </row>
    <row r="107" spans="1:65" s="285" customFormat="1" ht="15" customHeight="1" x14ac:dyDescent="0.25">
      <c r="A107" s="286"/>
      <c r="B107" s="44"/>
      <c r="L107" s="297"/>
      <c r="T107" s="296"/>
      <c r="U107" s="297"/>
      <c r="AC107" s="296"/>
      <c r="AD107" s="297"/>
      <c r="AL107" s="296"/>
      <c r="AM107" s="297"/>
      <c r="BI107" s="296"/>
      <c r="BK107" s="287"/>
      <c r="BM107" s="30">
        <f t="shared" si="2"/>
        <v>1</v>
      </c>
    </row>
    <row r="108" spans="1:65" s="285" customFormat="1" ht="15" customHeight="1" x14ac:dyDescent="0.25">
      <c r="A108" s="286"/>
      <c r="B108" s="44"/>
      <c r="L108" s="297"/>
      <c r="T108" s="296"/>
      <c r="U108" s="297"/>
      <c r="AC108" s="296"/>
      <c r="AD108" s="297"/>
      <c r="AL108" s="296"/>
      <c r="AM108" s="297"/>
      <c r="BI108" s="296"/>
      <c r="BK108" s="287"/>
      <c r="BM108" s="30">
        <f t="shared" si="2"/>
        <v>2</v>
      </c>
    </row>
    <row r="109" spans="1:65" s="285" customFormat="1" ht="15" customHeight="1" x14ac:dyDescent="0.25">
      <c r="A109" s="286"/>
      <c r="B109" s="44"/>
      <c r="L109" s="297"/>
      <c r="T109" s="296"/>
      <c r="U109" s="297"/>
      <c r="AC109" s="296"/>
      <c r="AD109" s="297"/>
      <c r="AL109" s="296"/>
      <c r="AM109" s="297"/>
      <c r="BI109" s="296"/>
      <c r="BK109" s="287"/>
      <c r="BM109" s="30">
        <f t="shared" si="2"/>
        <v>3</v>
      </c>
    </row>
    <row r="110" spans="1:65" s="285" customFormat="1" ht="15" customHeight="1" x14ac:dyDescent="0.25">
      <c r="A110" s="286"/>
      <c r="B110" s="44"/>
      <c r="L110" s="297"/>
      <c r="T110" s="296"/>
      <c r="U110" s="297"/>
      <c r="AC110" s="296"/>
      <c r="AD110" s="297"/>
      <c r="AL110" s="296"/>
      <c r="AM110" s="297"/>
      <c r="BI110" s="296"/>
      <c r="BK110" s="287"/>
      <c r="BM110" s="30">
        <f t="shared" si="2"/>
        <v>4</v>
      </c>
    </row>
    <row r="111" spans="1:65" s="285" customFormat="1" ht="15" customHeight="1" x14ac:dyDescent="0.25">
      <c r="A111" s="286"/>
      <c r="B111" s="44"/>
      <c r="L111" s="297"/>
      <c r="T111" s="296"/>
      <c r="U111" s="297"/>
      <c r="AC111" s="296"/>
      <c r="AD111" s="297"/>
      <c r="AL111" s="296"/>
      <c r="AM111" s="297"/>
      <c r="BI111" s="296"/>
      <c r="BK111" s="287"/>
      <c r="BM111" s="30">
        <f t="shared" si="2"/>
        <v>5</v>
      </c>
    </row>
    <row r="112" spans="1:65" s="285" customFormat="1" ht="15" customHeight="1" x14ac:dyDescent="0.25">
      <c r="A112" s="286"/>
      <c r="B112" s="44"/>
      <c r="L112" s="297"/>
      <c r="T112" s="296"/>
      <c r="U112" s="297"/>
      <c r="AC112" s="296"/>
      <c r="AD112" s="297"/>
      <c r="AL112" s="296"/>
      <c r="AM112" s="297"/>
      <c r="BI112" s="296"/>
      <c r="BK112" s="287"/>
      <c r="BM112" s="30">
        <f t="shared" si="2"/>
        <v>6</v>
      </c>
    </row>
    <row r="113" spans="1:69" s="285" customFormat="1" ht="15" customHeight="1" x14ac:dyDescent="0.25">
      <c r="A113" s="286"/>
      <c r="B113" s="44"/>
      <c r="L113" s="297"/>
      <c r="T113" s="296"/>
      <c r="U113" s="297"/>
      <c r="AC113" s="296"/>
      <c r="AD113" s="297"/>
      <c r="AL113" s="296"/>
      <c r="AM113" s="297"/>
      <c r="BI113" s="296"/>
      <c r="BK113" s="287"/>
      <c r="BM113" s="30">
        <f t="shared" si="2"/>
        <v>7</v>
      </c>
    </row>
    <row r="114" spans="1:69" s="285" customFormat="1" ht="15" customHeight="1" x14ac:dyDescent="0.25">
      <c r="A114" s="286"/>
      <c r="B114" s="44"/>
      <c r="L114" s="297"/>
      <c r="T114" s="296"/>
      <c r="U114" s="297"/>
      <c r="AC114" s="296"/>
      <c r="AD114" s="297"/>
      <c r="AL114" s="296"/>
      <c r="AM114" s="297"/>
      <c r="BI114" s="296"/>
      <c r="BK114" s="287"/>
      <c r="BM114" s="30">
        <f t="shared" si="2"/>
        <v>8</v>
      </c>
    </row>
    <row r="115" spans="1:69" s="285" customFormat="1" ht="15" customHeight="1" x14ac:dyDescent="0.25">
      <c r="A115" s="286"/>
      <c r="B115" s="44"/>
      <c r="L115" s="297"/>
      <c r="T115" s="296"/>
      <c r="U115" s="297"/>
      <c r="AC115" s="296"/>
      <c r="AD115" s="297"/>
      <c r="AL115" s="296"/>
      <c r="AM115" s="297"/>
      <c r="BI115" s="296"/>
      <c r="BK115" s="287"/>
      <c r="BM115" s="30">
        <f t="shared" si="2"/>
        <v>9</v>
      </c>
    </row>
    <row r="116" spans="1:69" s="285" customFormat="1" ht="15" customHeight="1" x14ac:dyDescent="0.25">
      <c r="A116" s="286"/>
      <c r="B116" s="44"/>
      <c r="L116" s="297"/>
      <c r="T116" s="296"/>
      <c r="U116" s="297"/>
      <c r="AC116" s="296"/>
      <c r="AD116" s="297"/>
      <c r="AL116" s="296"/>
      <c r="AM116" s="297"/>
      <c r="BI116" s="296"/>
      <c r="BK116" s="287"/>
      <c r="BM116" s="30">
        <f t="shared" si="2"/>
        <v>10</v>
      </c>
    </row>
    <row r="117" spans="1:69" s="285" customFormat="1" ht="15" customHeight="1" x14ac:dyDescent="0.25">
      <c r="A117" s="286"/>
      <c r="B117" s="44"/>
      <c r="L117" s="297"/>
      <c r="T117" s="296"/>
      <c r="U117" s="297"/>
      <c r="AC117" s="296"/>
      <c r="AD117" s="297"/>
      <c r="AL117" s="296"/>
      <c r="AM117" s="297"/>
      <c r="BI117" s="296"/>
      <c r="BK117" s="287"/>
      <c r="BM117" s="30">
        <f t="shared" si="2"/>
        <v>11</v>
      </c>
    </row>
    <row r="118" spans="1:69" s="285" customFormat="1" ht="15" customHeight="1" x14ac:dyDescent="0.25">
      <c r="A118" s="286"/>
      <c r="B118" s="45" t="s">
        <v>70</v>
      </c>
      <c r="C118" s="299"/>
      <c r="D118" s="299"/>
      <c r="E118" s="299"/>
      <c r="F118" s="299"/>
      <c r="G118" s="299"/>
      <c r="H118" s="299"/>
      <c r="I118" s="299"/>
      <c r="J118" s="299"/>
      <c r="K118" s="300"/>
      <c r="L118" s="301"/>
      <c r="M118" s="299"/>
      <c r="N118" s="299"/>
      <c r="O118" s="299"/>
      <c r="P118" s="299"/>
      <c r="Q118" s="299"/>
      <c r="R118" s="299"/>
      <c r="S118" s="299"/>
      <c r="T118" s="300"/>
      <c r="U118" s="301"/>
      <c r="V118" s="299"/>
      <c r="W118" s="299"/>
      <c r="X118" s="299"/>
      <c r="Y118" s="299"/>
      <c r="Z118" s="299"/>
      <c r="AA118" s="299"/>
      <c r="AB118" s="299"/>
      <c r="AC118" s="300"/>
      <c r="AD118" s="301"/>
      <c r="AE118" s="299"/>
      <c r="AF118" s="299"/>
      <c r="AG118" s="299"/>
      <c r="AH118" s="299"/>
      <c r="AI118" s="299"/>
      <c r="AJ118" s="299"/>
      <c r="AK118" s="299"/>
      <c r="AL118" s="300"/>
      <c r="AM118" s="301"/>
      <c r="AN118" s="299"/>
      <c r="AO118" s="299"/>
      <c r="AP118" s="299"/>
      <c r="AQ118" s="299"/>
      <c r="AR118" s="299"/>
      <c r="AS118" s="299"/>
      <c r="AT118" s="299"/>
      <c r="AU118" s="299"/>
      <c r="AV118" s="299"/>
      <c r="AW118" s="299"/>
      <c r="AX118" s="299"/>
      <c r="AY118" s="299"/>
      <c r="AZ118" s="299"/>
      <c r="BA118" s="299"/>
      <c r="BB118" s="299"/>
      <c r="BC118" s="299"/>
      <c r="BD118" s="299"/>
      <c r="BE118" s="299"/>
      <c r="BF118" s="299"/>
      <c r="BG118" s="299"/>
      <c r="BH118" s="299"/>
      <c r="BI118" s="300"/>
      <c r="BJ118" s="299"/>
      <c r="BK118" s="287"/>
      <c r="BM118" s="30">
        <f t="shared" si="2"/>
        <v>12</v>
      </c>
      <c r="BQ118" s="285" t="s">
        <v>37</v>
      </c>
    </row>
    <row r="119" spans="1:69" s="285" customFormat="1" ht="15" customHeight="1" x14ac:dyDescent="0.25">
      <c r="A119" s="286"/>
      <c r="B119" s="44"/>
      <c r="L119" s="297"/>
      <c r="T119" s="296"/>
      <c r="U119" s="297"/>
      <c r="AC119" s="296"/>
      <c r="AD119" s="297"/>
      <c r="AL119" s="296"/>
      <c r="AM119" s="297"/>
      <c r="BI119" s="296"/>
      <c r="BK119" s="287"/>
      <c r="BM119" s="30">
        <f t="shared" si="2"/>
        <v>13</v>
      </c>
    </row>
    <row r="120" spans="1:69" s="285" customFormat="1" ht="15" customHeight="1" x14ac:dyDescent="0.25">
      <c r="A120" s="286"/>
      <c r="B120" s="44"/>
      <c r="L120" s="297"/>
      <c r="T120" s="296"/>
      <c r="U120" s="297"/>
      <c r="AC120" s="296"/>
      <c r="AD120" s="297"/>
      <c r="AL120" s="296"/>
      <c r="AM120" s="297"/>
      <c r="BI120" s="296"/>
      <c r="BK120" s="287"/>
      <c r="BM120" s="30">
        <f t="shared" si="2"/>
        <v>14</v>
      </c>
    </row>
    <row r="121" spans="1:69" s="285" customFormat="1" ht="15" customHeight="1" x14ac:dyDescent="0.25">
      <c r="A121" s="286"/>
      <c r="B121" s="44"/>
      <c r="L121" s="297"/>
      <c r="T121" s="296"/>
      <c r="U121" s="297"/>
      <c r="AC121" s="296"/>
      <c r="AD121" s="297"/>
      <c r="AL121" s="296"/>
      <c r="AM121" s="297"/>
      <c r="BI121" s="296"/>
      <c r="BK121" s="287"/>
      <c r="BM121" s="30">
        <f t="shared" si="2"/>
        <v>15</v>
      </c>
    </row>
    <row r="122" spans="1:69" s="285" customFormat="1" ht="15" customHeight="1" x14ac:dyDescent="0.25">
      <c r="A122" s="286"/>
      <c r="B122" s="44"/>
      <c r="L122" s="297"/>
      <c r="T122" s="296"/>
      <c r="U122" s="297"/>
      <c r="AC122" s="296"/>
      <c r="AD122" s="297"/>
      <c r="AL122" s="296"/>
      <c r="AM122" s="297"/>
      <c r="BI122" s="296"/>
      <c r="BK122" s="287"/>
      <c r="BM122" s="30">
        <f t="shared" si="2"/>
        <v>16</v>
      </c>
    </row>
    <row r="123" spans="1:69" s="285" customFormat="1" ht="15" customHeight="1" x14ac:dyDescent="0.25">
      <c r="A123" s="286"/>
      <c r="B123" s="44"/>
      <c r="L123" s="297"/>
      <c r="T123" s="296"/>
      <c r="U123" s="297"/>
      <c r="AC123" s="296"/>
      <c r="AD123" s="297"/>
      <c r="AL123" s="296"/>
      <c r="AM123" s="297"/>
      <c r="BI123" s="296"/>
      <c r="BK123" s="287"/>
      <c r="BM123" s="30">
        <f t="shared" si="2"/>
        <v>17</v>
      </c>
    </row>
    <row r="124" spans="1:69" s="285" customFormat="1" ht="15" customHeight="1" x14ac:dyDescent="0.25">
      <c r="A124" s="286"/>
      <c r="B124" s="44"/>
      <c r="L124" s="297"/>
      <c r="T124" s="296"/>
      <c r="U124" s="297"/>
      <c r="AC124" s="296"/>
      <c r="AD124" s="297"/>
      <c r="AL124" s="296"/>
      <c r="AM124" s="297"/>
      <c r="BI124" s="296"/>
      <c r="BK124" s="287"/>
      <c r="BM124" s="30">
        <f t="shared" si="2"/>
        <v>18</v>
      </c>
    </row>
    <row r="125" spans="1:69" s="285" customFormat="1" ht="15" customHeight="1" x14ac:dyDescent="0.25">
      <c r="A125" s="286"/>
      <c r="B125" s="44"/>
      <c r="L125" s="297"/>
      <c r="T125" s="296"/>
      <c r="U125" s="297"/>
      <c r="AC125" s="296"/>
      <c r="AD125" s="297"/>
      <c r="AL125" s="296"/>
      <c r="AM125" s="297"/>
      <c r="BI125" s="296"/>
      <c r="BK125" s="287"/>
      <c r="BM125" s="30">
        <f t="shared" si="2"/>
        <v>19</v>
      </c>
    </row>
    <row r="126" spans="1:69" s="285" customFormat="1" ht="15" customHeight="1" x14ac:dyDescent="0.25">
      <c r="A126" s="286"/>
      <c r="B126" s="44"/>
      <c r="L126" s="297"/>
      <c r="T126" s="296"/>
      <c r="U126" s="297"/>
      <c r="AC126" s="296"/>
      <c r="AD126" s="297"/>
      <c r="AL126" s="296"/>
      <c r="AM126" s="297"/>
      <c r="BI126" s="296"/>
      <c r="BK126" s="287"/>
      <c r="BM126" s="30">
        <f t="shared" si="2"/>
        <v>20</v>
      </c>
    </row>
    <row r="127" spans="1:69" s="285" customFormat="1" ht="15" customHeight="1" x14ac:dyDescent="0.25">
      <c r="A127" s="286"/>
      <c r="B127" s="44"/>
      <c r="L127" s="297"/>
      <c r="T127" s="296"/>
      <c r="U127" s="297"/>
      <c r="AC127" s="296"/>
      <c r="AD127" s="297"/>
      <c r="AL127" s="296"/>
      <c r="AM127" s="297"/>
      <c r="BI127" s="296"/>
      <c r="BK127" s="287"/>
      <c r="BM127" s="30">
        <f t="shared" si="2"/>
        <v>21</v>
      </c>
    </row>
    <row r="128" spans="1:69" s="285" customFormat="1" ht="15" customHeight="1" x14ac:dyDescent="0.25">
      <c r="A128" s="286"/>
      <c r="B128" s="44"/>
      <c r="L128" s="297"/>
      <c r="T128" s="296"/>
      <c r="U128" s="297"/>
      <c r="AC128" s="296"/>
      <c r="AD128" s="297"/>
      <c r="AL128" s="296"/>
      <c r="AM128" s="297"/>
      <c r="BI128" s="296"/>
      <c r="BK128" s="287"/>
      <c r="BM128" s="30">
        <f t="shared" si="2"/>
        <v>22</v>
      </c>
    </row>
    <row r="129" spans="1:65" s="285" customFormat="1" ht="15" customHeight="1" x14ac:dyDescent="0.25">
      <c r="A129" s="286"/>
      <c r="B129" s="44"/>
      <c r="L129" s="297"/>
      <c r="T129" s="296"/>
      <c r="U129" s="297"/>
      <c r="AC129" s="296"/>
      <c r="AD129" s="297"/>
      <c r="AL129" s="296"/>
      <c r="AM129" s="297"/>
      <c r="BI129" s="296"/>
      <c r="BK129" s="287"/>
      <c r="BM129" s="30">
        <f t="shared" si="2"/>
        <v>23</v>
      </c>
    </row>
    <row r="130" spans="1:65" s="285" customFormat="1" ht="15" customHeight="1" x14ac:dyDescent="0.25">
      <c r="A130" s="286"/>
      <c r="B130" s="44"/>
      <c r="L130" s="297"/>
      <c r="T130" s="296"/>
      <c r="U130" s="297"/>
      <c r="AC130" s="296"/>
      <c r="AD130" s="297"/>
      <c r="AL130" s="296"/>
      <c r="AM130" s="297"/>
      <c r="BI130" s="296"/>
      <c r="BK130" s="287"/>
      <c r="BM130" s="30">
        <f t="shared" si="2"/>
        <v>24</v>
      </c>
    </row>
    <row r="131" spans="1:65" s="285" customFormat="1" ht="15" customHeight="1" x14ac:dyDescent="0.25">
      <c r="A131" s="286"/>
      <c r="B131" s="44"/>
      <c r="L131" s="297"/>
      <c r="T131" s="296"/>
      <c r="U131" s="297"/>
      <c r="AC131" s="296"/>
      <c r="AD131" s="297"/>
      <c r="AL131" s="296"/>
      <c r="AM131" s="297"/>
      <c r="BI131" s="296"/>
      <c r="BK131" s="287"/>
      <c r="BM131" s="30">
        <f t="shared" si="2"/>
        <v>25</v>
      </c>
    </row>
    <row r="132" spans="1:65" s="285" customFormat="1" ht="15" customHeight="1" x14ac:dyDescent="0.25">
      <c r="A132" s="286"/>
      <c r="B132" s="44"/>
      <c r="L132" s="297"/>
      <c r="T132" s="296"/>
      <c r="U132" s="297"/>
      <c r="AC132" s="296"/>
      <c r="AD132" s="297"/>
      <c r="AL132" s="296"/>
      <c r="AM132" s="297"/>
      <c r="BI132" s="296"/>
      <c r="BK132" s="287"/>
      <c r="BM132" s="30">
        <f t="shared" ref="BM132:BM210" si="3">IF(BM131=50,1,BM131+1)</f>
        <v>26</v>
      </c>
    </row>
    <row r="133" spans="1:65" s="285" customFormat="1" ht="15" customHeight="1" x14ac:dyDescent="0.25">
      <c r="A133" s="286"/>
      <c r="B133" s="44"/>
      <c r="L133" s="297"/>
      <c r="T133" s="296"/>
      <c r="U133" s="297"/>
      <c r="AC133" s="296"/>
      <c r="AD133" s="297"/>
      <c r="AL133" s="296"/>
      <c r="AM133" s="297"/>
      <c r="BI133" s="296"/>
      <c r="BK133" s="287"/>
      <c r="BM133" s="30">
        <f t="shared" si="3"/>
        <v>27</v>
      </c>
    </row>
    <row r="134" spans="1:65" s="285" customFormat="1" ht="15" customHeight="1" x14ac:dyDescent="0.25">
      <c r="A134" s="286"/>
      <c r="B134" s="44"/>
      <c r="L134" s="297"/>
      <c r="T134" s="296"/>
      <c r="U134" s="297"/>
      <c r="AC134" s="296"/>
      <c r="AD134" s="297"/>
      <c r="AL134" s="296"/>
      <c r="AM134" s="297"/>
      <c r="BI134" s="296"/>
      <c r="BK134" s="287"/>
      <c r="BM134" s="30">
        <f t="shared" si="3"/>
        <v>28</v>
      </c>
    </row>
    <row r="135" spans="1:65" s="285" customFormat="1" ht="15" customHeight="1" x14ac:dyDescent="0.25">
      <c r="A135" s="286"/>
      <c r="B135" s="44"/>
      <c r="L135" s="297"/>
      <c r="T135" s="296"/>
      <c r="U135" s="297"/>
      <c r="AC135" s="296"/>
      <c r="AD135" s="297"/>
      <c r="AL135" s="296"/>
      <c r="AM135" s="297"/>
      <c r="BI135" s="296"/>
      <c r="BK135" s="287"/>
      <c r="BM135" s="30">
        <f t="shared" si="3"/>
        <v>29</v>
      </c>
    </row>
    <row r="136" spans="1:65" s="285" customFormat="1" ht="15" customHeight="1" x14ac:dyDescent="0.25">
      <c r="A136" s="286"/>
      <c r="B136" s="45" t="s">
        <v>71</v>
      </c>
      <c r="C136" s="299"/>
      <c r="D136" s="299"/>
      <c r="E136" s="299"/>
      <c r="F136" s="299"/>
      <c r="G136" s="299"/>
      <c r="H136" s="299"/>
      <c r="I136" s="299"/>
      <c r="J136" s="299"/>
      <c r="K136" s="300"/>
      <c r="L136" s="301"/>
      <c r="M136" s="299"/>
      <c r="N136" s="299"/>
      <c r="O136" s="299"/>
      <c r="P136" s="299"/>
      <c r="Q136" s="299"/>
      <c r="R136" s="299"/>
      <c r="S136" s="299"/>
      <c r="T136" s="300"/>
      <c r="U136" s="301"/>
      <c r="V136" s="299"/>
      <c r="W136" s="299"/>
      <c r="X136" s="299"/>
      <c r="Y136" s="299"/>
      <c r="Z136" s="299"/>
      <c r="AA136" s="299"/>
      <c r="AB136" s="299"/>
      <c r="AC136" s="300"/>
      <c r="AD136" s="301"/>
      <c r="AE136" s="299"/>
      <c r="AF136" s="299"/>
      <c r="AG136" s="299"/>
      <c r="AH136" s="299"/>
      <c r="AI136" s="299"/>
      <c r="AJ136" s="299"/>
      <c r="AK136" s="299"/>
      <c r="AL136" s="300"/>
      <c r="AM136" s="301"/>
      <c r="AN136" s="299"/>
      <c r="AO136" s="299"/>
      <c r="AP136" s="299"/>
      <c r="AQ136" s="299"/>
      <c r="AR136" s="299"/>
      <c r="AS136" s="299"/>
      <c r="AT136" s="299"/>
      <c r="AU136" s="299"/>
      <c r="AV136" s="299"/>
      <c r="AW136" s="299"/>
      <c r="AX136" s="299"/>
      <c r="AY136" s="299"/>
      <c r="AZ136" s="299"/>
      <c r="BA136" s="299"/>
      <c r="BB136" s="299"/>
      <c r="BC136" s="299"/>
      <c r="BD136" s="299"/>
      <c r="BE136" s="299"/>
      <c r="BF136" s="299"/>
      <c r="BG136" s="299"/>
      <c r="BH136" s="299"/>
      <c r="BI136" s="300"/>
      <c r="BJ136" s="299"/>
      <c r="BK136" s="287"/>
      <c r="BM136" s="30">
        <f t="shared" si="3"/>
        <v>30</v>
      </c>
    </row>
    <row r="137" spans="1:65" s="285" customFormat="1" ht="15" customHeight="1" x14ac:dyDescent="0.25">
      <c r="A137" s="286"/>
      <c r="B137" s="44"/>
      <c r="L137" s="297"/>
      <c r="T137" s="296"/>
      <c r="U137" s="297"/>
      <c r="AC137" s="296"/>
      <c r="AD137" s="297"/>
      <c r="AL137" s="296"/>
      <c r="AM137" s="297"/>
      <c r="BI137" s="296"/>
      <c r="BK137" s="287"/>
      <c r="BM137" s="30">
        <f t="shared" si="3"/>
        <v>31</v>
      </c>
    </row>
    <row r="138" spans="1:65" s="285" customFormat="1" ht="15" customHeight="1" x14ac:dyDescent="0.25">
      <c r="A138" s="286"/>
      <c r="B138" s="44"/>
      <c r="L138" s="297"/>
      <c r="T138" s="296"/>
      <c r="U138" s="297"/>
      <c r="AC138" s="296"/>
      <c r="AD138" s="297"/>
      <c r="AL138" s="296"/>
      <c r="AM138" s="297"/>
      <c r="BI138" s="296"/>
      <c r="BK138" s="287"/>
      <c r="BM138" s="30">
        <f t="shared" si="3"/>
        <v>32</v>
      </c>
    </row>
    <row r="139" spans="1:65" s="285" customFormat="1" ht="15" customHeight="1" x14ac:dyDescent="0.25">
      <c r="A139" s="286"/>
      <c r="B139" s="44"/>
      <c r="L139" s="297"/>
      <c r="T139" s="296"/>
      <c r="U139" s="297"/>
      <c r="AC139" s="296"/>
      <c r="AD139" s="297"/>
      <c r="AL139" s="296"/>
      <c r="AM139" s="297"/>
      <c r="BI139" s="296"/>
      <c r="BK139" s="287"/>
      <c r="BM139" s="30">
        <f t="shared" si="3"/>
        <v>33</v>
      </c>
    </row>
    <row r="140" spans="1:65" s="285" customFormat="1" ht="15" customHeight="1" x14ac:dyDescent="0.25">
      <c r="A140" s="286"/>
      <c r="B140" s="44"/>
      <c r="L140" s="297"/>
      <c r="T140" s="296"/>
      <c r="U140" s="297"/>
      <c r="AC140" s="296"/>
      <c r="AD140" s="297"/>
      <c r="AL140" s="296"/>
      <c r="AM140" s="297"/>
      <c r="BI140" s="296"/>
      <c r="BK140" s="287"/>
      <c r="BM140" s="30">
        <f t="shared" si="3"/>
        <v>34</v>
      </c>
    </row>
    <row r="141" spans="1:65" s="285" customFormat="1" ht="15" customHeight="1" x14ac:dyDescent="0.25">
      <c r="A141" s="286"/>
      <c r="B141" s="44"/>
      <c r="L141" s="297"/>
      <c r="T141" s="296"/>
      <c r="U141" s="297"/>
      <c r="AC141" s="296"/>
      <c r="AD141" s="297"/>
      <c r="AL141" s="296"/>
      <c r="AM141" s="297"/>
      <c r="BI141" s="296"/>
      <c r="BK141" s="287"/>
      <c r="BM141" s="30">
        <f t="shared" si="3"/>
        <v>35</v>
      </c>
    </row>
    <row r="142" spans="1:65" s="285" customFormat="1" ht="15" customHeight="1" x14ac:dyDescent="0.25">
      <c r="A142" s="286"/>
      <c r="B142" s="44"/>
      <c r="L142" s="297"/>
      <c r="T142" s="296"/>
      <c r="U142" s="297"/>
      <c r="AC142" s="296"/>
      <c r="AD142" s="297"/>
      <c r="AL142" s="296"/>
      <c r="AM142" s="297"/>
      <c r="BI142" s="296"/>
      <c r="BK142" s="287"/>
      <c r="BM142" s="30">
        <f t="shared" si="3"/>
        <v>36</v>
      </c>
    </row>
    <row r="143" spans="1:65" s="285" customFormat="1" ht="15" customHeight="1" x14ac:dyDescent="0.25">
      <c r="A143" s="286"/>
      <c r="B143" s="44"/>
      <c r="L143" s="297"/>
      <c r="T143" s="296"/>
      <c r="U143" s="297"/>
      <c r="AC143" s="296"/>
      <c r="AD143" s="297"/>
      <c r="AL143" s="296"/>
      <c r="AM143" s="297"/>
      <c r="BI143" s="296"/>
      <c r="BK143" s="287"/>
      <c r="BM143" s="30">
        <f t="shared" si="3"/>
        <v>37</v>
      </c>
    </row>
    <row r="144" spans="1:65" s="285" customFormat="1" ht="15" customHeight="1" x14ac:dyDescent="0.25">
      <c r="A144" s="286"/>
      <c r="B144" s="44"/>
      <c r="L144" s="297"/>
      <c r="T144" s="296"/>
      <c r="U144" s="297"/>
      <c r="AC144" s="296"/>
      <c r="AD144" s="297"/>
      <c r="AL144" s="296"/>
      <c r="AM144" s="297"/>
      <c r="BI144" s="296"/>
      <c r="BK144" s="287"/>
      <c r="BM144" s="30">
        <f t="shared" si="3"/>
        <v>38</v>
      </c>
    </row>
    <row r="145" spans="1:69" s="285" customFormat="1" ht="15" customHeight="1" x14ac:dyDescent="0.25">
      <c r="A145" s="286"/>
      <c r="B145" s="44"/>
      <c r="L145" s="297"/>
      <c r="T145" s="296"/>
      <c r="U145" s="297"/>
      <c r="AC145" s="296"/>
      <c r="AD145" s="297"/>
      <c r="AL145" s="296"/>
      <c r="AM145" s="297"/>
      <c r="BI145" s="296"/>
      <c r="BK145" s="287"/>
      <c r="BM145" s="30">
        <f t="shared" si="3"/>
        <v>39</v>
      </c>
    </row>
    <row r="146" spans="1:69" s="285" customFormat="1" ht="15" customHeight="1" x14ac:dyDescent="0.25">
      <c r="A146" s="286"/>
      <c r="B146" s="44"/>
      <c r="L146" s="297"/>
      <c r="T146" s="296"/>
      <c r="U146" s="297"/>
      <c r="AC146" s="296"/>
      <c r="AD146" s="297"/>
      <c r="AL146" s="296"/>
      <c r="AM146" s="297"/>
      <c r="BI146" s="296"/>
      <c r="BK146" s="287"/>
      <c r="BM146" s="30">
        <f t="shared" si="3"/>
        <v>40</v>
      </c>
    </row>
    <row r="147" spans="1:69" s="285" customFormat="1" ht="15" customHeight="1" x14ac:dyDescent="0.25">
      <c r="A147" s="286"/>
      <c r="B147" s="44"/>
      <c r="L147" s="297"/>
      <c r="T147" s="296"/>
      <c r="U147" s="297"/>
      <c r="AC147" s="296"/>
      <c r="AD147" s="297"/>
      <c r="AL147" s="296"/>
      <c r="AM147" s="297"/>
      <c r="BI147" s="296"/>
      <c r="BK147" s="287"/>
      <c r="BM147" s="30">
        <f t="shared" si="3"/>
        <v>41</v>
      </c>
    </row>
    <row r="148" spans="1:69" s="285" customFormat="1" ht="15" customHeight="1" x14ac:dyDescent="0.25">
      <c r="A148" s="286"/>
      <c r="B148" s="44"/>
      <c r="L148" s="297"/>
      <c r="T148" s="296"/>
      <c r="U148" s="297"/>
      <c r="AC148" s="296"/>
      <c r="AD148" s="297"/>
      <c r="AL148" s="296"/>
      <c r="AM148" s="297"/>
      <c r="BI148" s="296"/>
      <c r="BK148" s="287"/>
      <c r="BM148" s="30">
        <f t="shared" si="3"/>
        <v>42</v>
      </c>
    </row>
    <row r="149" spans="1:69" s="285" customFormat="1" ht="15" customHeight="1" x14ac:dyDescent="0.25">
      <c r="A149" s="286"/>
      <c r="B149" s="44"/>
      <c r="L149" s="297"/>
      <c r="T149" s="296"/>
      <c r="U149" s="297"/>
      <c r="AC149" s="296"/>
      <c r="AD149" s="297"/>
      <c r="AL149" s="296"/>
      <c r="AM149" s="297"/>
      <c r="BI149" s="296"/>
      <c r="BK149" s="287"/>
      <c r="BM149" s="30">
        <f t="shared" si="3"/>
        <v>43</v>
      </c>
    </row>
    <row r="150" spans="1:69" s="285" customFormat="1" ht="15" customHeight="1" x14ac:dyDescent="0.25">
      <c r="A150" s="286"/>
      <c r="B150" s="44"/>
      <c r="L150" s="297"/>
      <c r="T150" s="296"/>
      <c r="U150" s="297"/>
      <c r="AC150" s="296"/>
      <c r="AD150" s="297"/>
      <c r="AL150" s="296"/>
      <c r="AM150" s="297"/>
      <c r="BI150" s="296"/>
      <c r="BK150" s="287"/>
      <c r="BM150" s="30">
        <f t="shared" si="3"/>
        <v>44</v>
      </c>
    </row>
    <row r="151" spans="1:69" s="285" customFormat="1" ht="15" customHeight="1" x14ac:dyDescent="0.25">
      <c r="A151" s="286"/>
      <c r="B151" s="45" t="s">
        <v>72</v>
      </c>
      <c r="C151" s="299"/>
      <c r="D151" s="299"/>
      <c r="E151" s="299"/>
      <c r="F151" s="299"/>
      <c r="G151" s="299"/>
      <c r="H151" s="299"/>
      <c r="I151" s="299"/>
      <c r="J151" s="299"/>
      <c r="K151" s="300"/>
      <c r="L151" s="301"/>
      <c r="M151" s="299"/>
      <c r="N151" s="299"/>
      <c r="O151" s="299"/>
      <c r="P151" s="299"/>
      <c r="Q151" s="299"/>
      <c r="R151" s="299"/>
      <c r="S151" s="299"/>
      <c r="T151" s="300"/>
      <c r="U151" s="301"/>
      <c r="V151" s="299"/>
      <c r="W151" s="299"/>
      <c r="X151" s="299"/>
      <c r="Y151" s="299"/>
      <c r="Z151" s="299"/>
      <c r="AA151" s="299"/>
      <c r="AB151" s="299"/>
      <c r="AC151" s="300"/>
      <c r="AD151" s="301"/>
      <c r="AE151" s="299"/>
      <c r="AF151" s="299"/>
      <c r="AG151" s="299"/>
      <c r="AH151" s="299"/>
      <c r="AI151" s="299"/>
      <c r="AJ151" s="299"/>
      <c r="AK151" s="299"/>
      <c r="AL151" s="300"/>
      <c r="AM151" s="301"/>
      <c r="AN151" s="299"/>
      <c r="AO151" s="299"/>
      <c r="AP151" s="299"/>
      <c r="AQ151" s="299"/>
      <c r="AR151" s="299"/>
      <c r="AS151" s="299"/>
      <c r="AT151" s="299"/>
      <c r="AU151" s="299"/>
      <c r="AV151" s="299"/>
      <c r="AW151" s="299"/>
      <c r="AX151" s="299"/>
      <c r="AY151" s="299"/>
      <c r="AZ151" s="299"/>
      <c r="BA151" s="299"/>
      <c r="BB151" s="299"/>
      <c r="BC151" s="299"/>
      <c r="BD151" s="299"/>
      <c r="BE151" s="299"/>
      <c r="BF151" s="299"/>
      <c r="BG151" s="299"/>
      <c r="BH151" s="299"/>
      <c r="BI151" s="300"/>
      <c r="BJ151" s="299"/>
      <c r="BK151" s="287"/>
      <c r="BM151" s="30">
        <f t="shared" si="3"/>
        <v>45</v>
      </c>
      <c r="BQ151" s="285" t="s">
        <v>40</v>
      </c>
    </row>
    <row r="152" spans="1:69" s="285" customFormat="1" ht="15" customHeight="1" x14ac:dyDescent="0.25">
      <c r="A152" s="286"/>
      <c r="B152" s="44"/>
      <c r="L152" s="297"/>
      <c r="T152" s="296"/>
      <c r="U152" s="297"/>
      <c r="AC152" s="296"/>
      <c r="AD152" s="297"/>
      <c r="AL152" s="296"/>
      <c r="AM152" s="297"/>
      <c r="BI152" s="296"/>
      <c r="BK152" s="287"/>
      <c r="BM152" s="30">
        <f t="shared" si="3"/>
        <v>46</v>
      </c>
    </row>
    <row r="153" spans="1:69" s="285" customFormat="1" ht="15" customHeight="1" x14ac:dyDescent="0.25">
      <c r="A153" s="286"/>
      <c r="B153" s="44"/>
      <c r="L153" s="297"/>
      <c r="T153" s="296"/>
      <c r="U153" s="297"/>
      <c r="AC153" s="296"/>
      <c r="AD153" s="297"/>
      <c r="AL153" s="296"/>
      <c r="AM153" s="297"/>
      <c r="BI153" s="296"/>
      <c r="BK153" s="287"/>
      <c r="BM153" s="30">
        <f t="shared" si="3"/>
        <v>47</v>
      </c>
    </row>
    <row r="154" spans="1:69" s="285" customFormat="1" ht="15" customHeight="1" x14ac:dyDescent="0.25">
      <c r="A154" s="286"/>
      <c r="B154" s="44"/>
      <c r="L154" s="297"/>
      <c r="T154" s="296"/>
      <c r="U154" s="297"/>
      <c r="AC154" s="296"/>
      <c r="AD154" s="297"/>
      <c r="AL154" s="296"/>
      <c r="AM154" s="297"/>
      <c r="BI154" s="296"/>
      <c r="BK154" s="287"/>
      <c r="BM154" s="30">
        <f t="shared" si="3"/>
        <v>48</v>
      </c>
    </row>
    <row r="155" spans="1:69" s="285" customFormat="1" ht="15" customHeight="1" x14ac:dyDescent="0.25">
      <c r="A155" s="286"/>
      <c r="B155" s="44"/>
      <c r="L155" s="297"/>
      <c r="T155" s="296"/>
      <c r="U155" s="297"/>
      <c r="AC155" s="296"/>
      <c r="AD155" s="297"/>
      <c r="AL155" s="296"/>
      <c r="AM155" s="297"/>
      <c r="BI155" s="296"/>
      <c r="BK155" s="287"/>
      <c r="BM155" s="30">
        <f t="shared" si="3"/>
        <v>49</v>
      </c>
    </row>
    <row r="156" spans="1:69" s="285" customFormat="1" ht="15" customHeight="1" x14ac:dyDescent="0.25">
      <c r="A156" s="286"/>
      <c r="B156" s="44"/>
      <c r="L156" s="297"/>
      <c r="T156" s="296"/>
      <c r="U156" s="297"/>
      <c r="AC156" s="296"/>
      <c r="AD156" s="297"/>
      <c r="AL156" s="296"/>
      <c r="AM156" s="297"/>
      <c r="BI156" s="296"/>
      <c r="BK156" s="287"/>
      <c r="BM156" s="30">
        <f t="shared" si="3"/>
        <v>50</v>
      </c>
    </row>
    <row r="157" spans="1:69" s="285" customFormat="1" ht="15" customHeight="1" x14ac:dyDescent="0.25">
      <c r="A157" s="286"/>
      <c r="B157" s="44"/>
      <c r="L157" s="297"/>
      <c r="T157" s="296"/>
      <c r="U157" s="297"/>
      <c r="AC157" s="296"/>
      <c r="AD157" s="297"/>
      <c r="AL157" s="296"/>
      <c r="AM157" s="297"/>
      <c r="BI157" s="296"/>
      <c r="BK157" s="287"/>
      <c r="BM157" s="30">
        <f t="shared" si="3"/>
        <v>1</v>
      </c>
    </row>
    <row r="158" spans="1:69" s="285" customFormat="1" ht="15" customHeight="1" x14ac:dyDescent="0.25">
      <c r="A158" s="286"/>
      <c r="B158" s="44"/>
      <c r="L158" s="297"/>
      <c r="T158" s="296"/>
      <c r="U158" s="297"/>
      <c r="AC158" s="296"/>
      <c r="AD158" s="297"/>
      <c r="AL158" s="296"/>
      <c r="AM158" s="297"/>
      <c r="BI158" s="296"/>
      <c r="BK158" s="287"/>
      <c r="BM158" s="30">
        <f t="shared" si="3"/>
        <v>2</v>
      </c>
    </row>
    <row r="159" spans="1:69" s="285" customFormat="1" ht="15" customHeight="1" x14ac:dyDescent="0.25">
      <c r="A159" s="286"/>
      <c r="B159" s="44"/>
      <c r="L159" s="297"/>
      <c r="T159" s="296"/>
      <c r="U159" s="297"/>
      <c r="AC159" s="296"/>
      <c r="AD159" s="297"/>
      <c r="AL159" s="296"/>
      <c r="AM159" s="297"/>
      <c r="BI159" s="296"/>
      <c r="BK159" s="287"/>
      <c r="BM159" s="30">
        <f t="shared" si="3"/>
        <v>3</v>
      </c>
    </row>
    <row r="160" spans="1:69" s="285" customFormat="1" ht="15" customHeight="1" x14ac:dyDescent="0.25">
      <c r="A160" s="286"/>
      <c r="B160" s="44"/>
      <c r="L160" s="297"/>
      <c r="T160" s="296"/>
      <c r="U160" s="297"/>
      <c r="AC160" s="296"/>
      <c r="AD160" s="297"/>
      <c r="AL160" s="296"/>
      <c r="AM160" s="297"/>
      <c r="BI160" s="296"/>
      <c r="BK160" s="287"/>
      <c r="BM160" s="30">
        <f t="shared" si="3"/>
        <v>4</v>
      </c>
    </row>
    <row r="161" spans="1:65" s="285" customFormat="1" ht="15" customHeight="1" x14ac:dyDescent="0.25">
      <c r="A161" s="286"/>
      <c r="B161" s="44"/>
      <c r="L161" s="297"/>
      <c r="T161" s="296"/>
      <c r="U161" s="297"/>
      <c r="AC161" s="296"/>
      <c r="AD161" s="297"/>
      <c r="AL161" s="296"/>
      <c r="AM161" s="297"/>
      <c r="BI161" s="296"/>
      <c r="BK161" s="287"/>
      <c r="BM161" s="30">
        <f t="shared" si="3"/>
        <v>5</v>
      </c>
    </row>
    <row r="162" spans="1:65" s="285" customFormat="1" ht="15" customHeight="1" x14ac:dyDescent="0.25">
      <c r="A162" s="286"/>
      <c r="B162" s="44"/>
      <c r="L162" s="297"/>
      <c r="T162" s="296"/>
      <c r="U162" s="297"/>
      <c r="AC162" s="296"/>
      <c r="AD162" s="297"/>
      <c r="AL162" s="296"/>
      <c r="AM162" s="297"/>
      <c r="BI162" s="296"/>
      <c r="BK162" s="287"/>
      <c r="BM162" s="30">
        <f t="shared" si="3"/>
        <v>6</v>
      </c>
    </row>
    <row r="163" spans="1:65" s="285" customFormat="1" ht="15" customHeight="1" x14ac:dyDescent="0.25">
      <c r="A163" s="286"/>
      <c r="B163" s="44"/>
      <c r="L163" s="297"/>
      <c r="T163" s="296"/>
      <c r="U163" s="297"/>
      <c r="AC163" s="296"/>
      <c r="AD163" s="297"/>
      <c r="AL163" s="296"/>
      <c r="AM163" s="297"/>
      <c r="BI163" s="296"/>
      <c r="BK163" s="287"/>
      <c r="BM163" s="30">
        <f t="shared" si="3"/>
        <v>7</v>
      </c>
    </row>
    <row r="164" spans="1:65" s="285" customFormat="1" ht="15" customHeight="1" x14ac:dyDescent="0.25">
      <c r="A164" s="286"/>
      <c r="B164" s="44"/>
      <c r="L164" s="297"/>
      <c r="T164" s="296"/>
      <c r="U164" s="297"/>
      <c r="AC164" s="296"/>
      <c r="AD164" s="297"/>
      <c r="AL164" s="296"/>
      <c r="AM164" s="297"/>
      <c r="BI164" s="296"/>
      <c r="BK164" s="287"/>
      <c r="BM164" s="30">
        <f t="shared" si="3"/>
        <v>8</v>
      </c>
    </row>
    <row r="165" spans="1:65" s="285" customFormat="1" ht="15" customHeight="1" x14ac:dyDescent="0.25">
      <c r="A165" s="286"/>
      <c r="B165" s="44"/>
      <c r="L165" s="297"/>
      <c r="T165" s="296"/>
      <c r="U165" s="297"/>
      <c r="AC165" s="296"/>
      <c r="AD165" s="297"/>
      <c r="AL165" s="296"/>
      <c r="AM165" s="297"/>
      <c r="BI165" s="296"/>
      <c r="BK165" s="287"/>
      <c r="BM165" s="30">
        <f t="shared" si="3"/>
        <v>9</v>
      </c>
    </row>
    <row r="166" spans="1:65" s="285" customFormat="1" ht="15" customHeight="1" x14ac:dyDescent="0.25">
      <c r="A166" s="286"/>
      <c r="B166" s="44"/>
      <c r="L166" s="297"/>
      <c r="T166" s="296"/>
      <c r="U166" s="297"/>
      <c r="AC166" s="296"/>
      <c r="AD166" s="297"/>
      <c r="AL166" s="296"/>
      <c r="AM166" s="297"/>
      <c r="BI166" s="296"/>
      <c r="BK166" s="287"/>
      <c r="BM166" s="30">
        <f t="shared" si="3"/>
        <v>10</v>
      </c>
    </row>
    <row r="167" spans="1:65" s="285" customFormat="1" ht="15" customHeight="1" x14ac:dyDescent="0.25">
      <c r="A167" s="286"/>
      <c r="B167" s="44"/>
      <c r="L167" s="297"/>
      <c r="T167" s="296"/>
      <c r="U167" s="297"/>
      <c r="AC167" s="296"/>
      <c r="AD167" s="297"/>
      <c r="AL167" s="296"/>
      <c r="AM167" s="297"/>
      <c r="BI167" s="296"/>
      <c r="BK167" s="287"/>
      <c r="BM167" s="30">
        <f t="shared" si="3"/>
        <v>11</v>
      </c>
    </row>
    <row r="168" spans="1:65" s="285" customFormat="1" ht="15" customHeight="1" x14ac:dyDescent="0.25">
      <c r="A168" s="286"/>
      <c r="B168" s="44"/>
      <c r="L168" s="297"/>
      <c r="T168" s="296"/>
      <c r="U168" s="297"/>
      <c r="AC168" s="296"/>
      <c r="AD168" s="297"/>
      <c r="AL168" s="296"/>
      <c r="AM168" s="297"/>
      <c r="BI168" s="296"/>
      <c r="BK168" s="287"/>
      <c r="BM168" s="30">
        <f t="shared" si="3"/>
        <v>12</v>
      </c>
    </row>
    <row r="169" spans="1:65" s="285" customFormat="1" ht="15" customHeight="1" x14ac:dyDescent="0.25">
      <c r="A169" s="286"/>
      <c r="B169" s="44"/>
      <c r="L169" s="297"/>
      <c r="T169" s="296"/>
      <c r="U169" s="297"/>
      <c r="AC169" s="296"/>
      <c r="AD169" s="297"/>
      <c r="AL169" s="296"/>
      <c r="AM169" s="297"/>
      <c r="BI169" s="296"/>
      <c r="BK169" s="287"/>
      <c r="BM169" s="30">
        <f t="shared" si="3"/>
        <v>13</v>
      </c>
    </row>
    <row r="170" spans="1:65" s="285" customFormat="1" ht="15" customHeight="1" x14ac:dyDescent="0.25">
      <c r="A170" s="286"/>
      <c r="B170" s="44"/>
      <c r="L170" s="297"/>
      <c r="T170" s="296"/>
      <c r="U170" s="297"/>
      <c r="AC170" s="296"/>
      <c r="AD170" s="297"/>
      <c r="AL170" s="296"/>
      <c r="AM170" s="297"/>
      <c r="BI170" s="296"/>
      <c r="BK170" s="287"/>
      <c r="BM170" s="30">
        <f t="shared" si="3"/>
        <v>14</v>
      </c>
    </row>
    <row r="171" spans="1:65" s="285" customFormat="1" ht="15" customHeight="1" x14ac:dyDescent="0.25">
      <c r="A171" s="286"/>
      <c r="B171" s="44"/>
      <c r="L171" s="297"/>
      <c r="T171" s="296"/>
      <c r="U171" s="297"/>
      <c r="AC171" s="296"/>
      <c r="AD171" s="297"/>
      <c r="AL171" s="296"/>
      <c r="AM171" s="297"/>
      <c r="BI171" s="296"/>
      <c r="BK171" s="287"/>
      <c r="BM171" s="30">
        <f t="shared" si="3"/>
        <v>15</v>
      </c>
    </row>
    <row r="172" spans="1:65" s="285" customFormat="1" ht="15" customHeight="1" x14ac:dyDescent="0.25">
      <c r="A172" s="286"/>
      <c r="B172" s="44"/>
      <c r="L172" s="297"/>
      <c r="T172" s="296"/>
      <c r="U172" s="297"/>
      <c r="AC172" s="296"/>
      <c r="AD172" s="297"/>
      <c r="AL172" s="296"/>
      <c r="AM172" s="297"/>
      <c r="BI172" s="296"/>
      <c r="BK172" s="287"/>
      <c r="BM172" s="30">
        <f t="shared" si="3"/>
        <v>16</v>
      </c>
    </row>
    <row r="173" spans="1:65" s="285" customFormat="1" ht="15" customHeight="1" x14ac:dyDescent="0.25">
      <c r="A173" s="286"/>
      <c r="B173" s="44"/>
      <c r="L173" s="297"/>
      <c r="T173" s="296"/>
      <c r="U173" s="297"/>
      <c r="AC173" s="296"/>
      <c r="AD173" s="297"/>
      <c r="AL173" s="296"/>
      <c r="AM173" s="297"/>
      <c r="BI173" s="296"/>
      <c r="BK173" s="287"/>
      <c r="BM173" s="30">
        <f t="shared" si="3"/>
        <v>17</v>
      </c>
    </row>
    <row r="174" spans="1:65" s="285" customFormat="1" ht="15" customHeight="1" x14ac:dyDescent="0.25">
      <c r="A174" s="286"/>
      <c r="B174" s="44"/>
      <c r="L174" s="297"/>
      <c r="T174" s="296"/>
      <c r="U174" s="297"/>
      <c r="AC174" s="296"/>
      <c r="AD174" s="297"/>
      <c r="AL174" s="296"/>
      <c r="AM174" s="297"/>
      <c r="BI174" s="296"/>
      <c r="BK174" s="287"/>
      <c r="BM174" s="30">
        <f t="shared" si="3"/>
        <v>18</v>
      </c>
    </row>
    <row r="175" spans="1:65" s="285" customFormat="1" ht="15" customHeight="1" x14ac:dyDescent="0.25">
      <c r="A175" s="286"/>
      <c r="B175" s="44"/>
      <c r="L175" s="297"/>
      <c r="T175" s="296"/>
      <c r="U175" s="297"/>
      <c r="AC175" s="296"/>
      <c r="AD175" s="297"/>
      <c r="AL175" s="296"/>
      <c r="AM175" s="297"/>
      <c r="BI175" s="296"/>
      <c r="BK175" s="287"/>
      <c r="BM175" s="30">
        <f t="shared" si="3"/>
        <v>19</v>
      </c>
    </row>
    <row r="176" spans="1:65" s="285" customFormat="1" ht="15" customHeight="1" x14ac:dyDescent="0.25">
      <c r="A176" s="286"/>
      <c r="B176" s="44"/>
      <c r="L176" s="297"/>
      <c r="T176" s="296"/>
      <c r="U176" s="297"/>
      <c r="AC176" s="296"/>
      <c r="AD176" s="297"/>
      <c r="AL176" s="296"/>
      <c r="AM176" s="297"/>
      <c r="BI176" s="296"/>
      <c r="BK176" s="287"/>
      <c r="BM176" s="30">
        <f t="shared" si="3"/>
        <v>20</v>
      </c>
    </row>
    <row r="177" spans="1:65" s="285" customFormat="1" ht="15" customHeight="1" x14ac:dyDescent="0.25">
      <c r="A177" s="286"/>
      <c r="B177" s="44"/>
      <c r="L177" s="297"/>
      <c r="T177" s="296"/>
      <c r="U177" s="297"/>
      <c r="AC177" s="296"/>
      <c r="AD177" s="297"/>
      <c r="AL177" s="296"/>
      <c r="AM177" s="297"/>
      <c r="BI177" s="296"/>
      <c r="BK177" s="287"/>
      <c r="BM177" s="30">
        <f t="shared" si="3"/>
        <v>21</v>
      </c>
    </row>
    <row r="178" spans="1:65" s="285" customFormat="1" ht="15" customHeight="1" x14ac:dyDescent="0.25">
      <c r="A178" s="286"/>
      <c r="B178" s="44"/>
      <c r="L178" s="297"/>
      <c r="T178" s="296"/>
      <c r="U178" s="297"/>
      <c r="AC178" s="296"/>
      <c r="AD178" s="297"/>
      <c r="AL178" s="296"/>
      <c r="AM178" s="297"/>
      <c r="BI178" s="296"/>
      <c r="BK178" s="287"/>
      <c r="BM178" s="30">
        <f t="shared" si="3"/>
        <v>22</v>
      </c>
    </row>
    <row r="179" spans="1:65" s="285" customFormat="1" ht="15" customHeight="1" x14ac:dyDescent="0.25">
      <c r="A179" s="286"/>
      <c r="B179" s="44"/>
      <c r="L179" s="297"/>
      <c r="T179" s="296"/>
      <c r="U179" s="297"/>
      <c r="AC179" s="296"/>
      <c r="AD179" s="297"/>
      <c r="AL179" s="296"/>
      <c r="AM179" s="297"/>
      <c r="BI179" s="296"/>
      <c r="BK179" s="287"/>
      <c r="BM179" s="30">
        <f t="shared" si="3"/>
        <v>23</v>
      </c>
    </row>
    <row r="180" spans="1:65" s="285" customFormat="1" ht="15" customHeight="1" x14ac:dyDescent="0.25">
      <c r="A180" s="286"/>
      <c r="B180" s="44"/>
      <c r="L180" s="297"/>
      <c r="T180" s="296"/>
      <c r="U180" s="297"/>
      <c r="AC180" s="296"/>
      <c r="AD180" s="297"/>
      <c r="AL180" s="296"/>
      <c r="AM180" s="297"/>
      <c r="BI180" s="296"/>
      <c r="BK180" s="287"/>
      <c r="BM180" s="30">
        <f t="shared" si="3"/>
        <v>24</v>
      </c>
    </row>
    <row r="181" spans="1:65" s="285" customFormat="1" ht="15" customHeight="1" x14ac:dyDescent="0.25">
      <c r="A181" s="286"/>
      <c r="B181" s="44"/>
      <c r="L181" s="297"/>
      <c r="T181" s="296"/>
      <c r="U181" s="297"/>
      <c r="AC181" s="296"/>
      <c r="AD181" s="297"/>
      <c r="AL181" s="296"/>
      <c r="AM181" s="297"/>
      <c r="BI181" s="296"/>
      <c r="BK181" s="287"/>
      <c r="BM181" s="30">
        <f t="shared" si="3"/>
        <v>25</v>
      </c>
    </row>
    <row r="182" spans="1:65" s="285" customFormat="1" ht="15" customHeight="1" x14ac:dyDescent="0.25">
      <c r="A182" s="286"/>
      <c r="B182" s="44"/>
      <c r="L182" s="297"/>
      <c r="T182" s="296"/>
      <c r="U182" s="297"/>
      <c r="AC182" s="296"/>
      <c r="AD182" s="297"/>
      <c r="AL182" s="296"/>
      <c r="AM182" s="297"/>
      <c r="BI182" s="296"/>
      <c r="BK182" s="287"/>
      <c r="BM182" s="30">
        <f t="shared" si="3"/>
        <v>26</v>
      </c>
    </row>
    <row r="183" spans="1:65" s="285" customFormat="1" ht="15" customHeight="1" x14ac:dyDescent="0.25">
      <c r="A183" s="286"/>
      <c r="B183" s="44"/>
      <c r="L183" s="297"/>
      <c r="T183" s="296"/>
      <c r="U183" s="297"/>
      <c r="AC183" s="296"/>
      <c r="AD183" s="297"/>
      <c r="AL183" s="296"/>
      <c r="AM183" s="297"/>
      <c r="BI183" s="296"/>
      <c r="BK183" s="287"/>
      <c r="BM183" s="30">
        <f t="shared" si="3"/>
        <v>27</v>
      </c>
    </row>
    <row r="184" spans="1:65" s="285" customFormat="1" ht="15" customHeight="1" x14ac:dyDescent="0.25">
      <c r="A184" s="286"/>
      <c r="B184" s="44"/>
      <c r="L184" s="297"/>
      <c r="T184" s="296"/>
      <c r="U184" s="297"/>
      <c r="AC184" s="296"/>
      <c r="AD184" s="297"/>
      <c r="AL184" s="296"/>
      <c r="AM184" s="297"/>
      <c r="BI184" s="296"/>
      <c r="BK184" s="287"/>
      <c r="BM184" s="30">
        <f t="shared" si="3"/>
        <v>28</v>
      </c>
    </row>
    <row r="185" spans="1:65" s="285" customFormat="1" ht="15" customHeight="1" x14ac:dyDescent="0.25">
      <c r="A185" s="286"/>
      <c r="B185" s="44"/>
      <c r="L185" s="297"/>
      <c r="T185" s="296"/>
      <c r="U185" s="297"/>
      <c r="AC185" s="296"/>
      <c r="AD185" s="297"/>
      <c r="AL185" s="296"/>
      <c r="AM185" s="297"/>
      <c r="BI185" s="296"/>
      <c r="BK185" s="287"/>
      <c r="BM185" s="30">
        <f t="shared" si="3"/>
        <v>29</v>
      </c>
    </row>
    <row r="186" spans="1:65" s="285" customFormat="1" ht="15" customHeight="1" x14ac:dyDescent="0.25">
      <c r="A186" s="286"/>
      <c r="B186" s="44"/>
      <c r="L186" s="297"/>
      <c r="T186" s="296"/>
      <c r="U186" s="297"/>
      <c r="AC186" s="296"/>
      <c r="AD186" s="297"/>
      <c r="AL186" s="296"/>
      <c r="AM186" s="297"/>
      <c r="BI186" s="296"/>
      <c r="BK186" s="287"/>
      <c r="BM186" s="30">
        <f t="shared" si="3"/>
        <v>30</v>
      </c>
    </row>
    <row r="187" spans="1:65" s="285" customFormat="1" ht="15" customHeight="1" x14ac:dyDescent="0.25">
      <c r="A187" s="286"/>
      <c r="B187" s="44"/>
      <c r="L187" s="297"/>
      <c r="T187" s="296"/>
      <c r="U187" s="297"/>
      <c r="AC187" s="296"/>
      <c r="AD187" s="297"/>
      <c r="AL187" s="296"/>
      <c r="AM187" s="297"/>
      <c r="BI187" s="296"/>
      <c r="BK187" s="287"/>
      <c r="BM187" s="30">
        <f t="shared" si="3"/>
        <v>31</v>
      </c>
    </row>
    <row r="188" spans="1:65" s="285" customFormat="1" ht="15" customHeight="1" x14ac:dyDescent="0.25">
      <c r="A188" s="286"/>
      <c r="B188" s="44"/>
      <c r="L188" s="297"/>
      <c r="T188" s="296"/>
      <c r="U188" s="297"/>
      <c r="AC188" s="296"/>
      <c r="AD188" s="297"/>
      <c r="AL188" s="296"/>
      <c r="AM188" s="297"/>
      <c r="BI188" s="296"/>
      <c r="BK188" s="287"/>
      <c r="BM188" s="30">
        <f t="shared" si="3"/>
        <v>32</v>
      </c>
    </row>
    <row r="189" spans="1:65" s="285" customFormat="1" ht="15" customHeight="1" x14ac:dyDescent="0.25">
      <c r="A189" s="286"/>
      <c r="B189" s="44"/>
      <c r="L189" s="297"/>
      <c r="T189" s="296"/>
      <c r="U189" s="297"/>
      <c r="AC189" s="296"/>
      <c r="AD189" s="297"/>
      <c r="AL189" s="296"/>
      <c r="AM189" s="297"/>
      <c r="BI189" s="296"/>
      <c r="BK189" s="287"/>
      <c r="BM189" s="30">
        <f t="shared" si="3"/>
        <v>33</v>
      </c>
    </row>
    <row r="190" spans="1:65" s="285" customFormat="1" ht="15" customHeight="1" x14ac:dyDescent="0.25">
      <c r="A190" s="286"/>
      <c r="B190" s="44"/>
      <c r="L190" s="297"/>
      <c r="T190" s="296"/>
      <c r="U190" s="297"/>
      <c r="AC190" s="296"/>
      <c r="AD190" s="297"/>
      <c r="AL190" s="296"/>
      <c r="AM190" s="297"/>
      <c r="BI190" s="296"/>
      <c r="BK190" s="287"/>
      <c r="BM190" s="30">
        <f t="shared" si="3"/>
        <v>34</v>
      </c>
    </row>
    <row r="191" spans="1:65" s="285" customFormat="1" ht="15" customHeight="1" x14ac:dyDescent="0.25">
      <c r="A191" s="286"/>
      <c r="B191" s="44"/>
      <c r="L191" s="297"/>
      <c r="T191" s="296"/>
      <c r="U191" s="297"/>
      <c r="AC191" s="296"/>
      <c r="AD191" s="297"/>
      <c r="AL191" s="296"/>
      <c r="AM191" s="297"/>
      <c r="BI191" s="296"/>
      <c r="BK191" s="287"/>
      <c r="BM191" s="30">
        <f t="shared" si="3"/>
        <v>35</v>
      </c>
    </row>
    <row r="192" spans="1:65" s="285" customFormat="1" ht="15" customHeight="1" x14ac:dyDescent="0.25">
      <c r="A192" s="286"/>
      <c r="B192" s="44"/>
      <c r="L192" s="297"/>
      <c r="T192" s="296"/>
      <c r="U192" s="297"/>
      <c r="AC192" s="296"/>
      <c r="AD192" s="297"/>
      <c r="AL192" s="296"/>
      <c r="AM192" s="297"/>
      <c r="BI192" s="296"/>
      <c r="BK192" s="287"/>
      <c r="BM192" s="30">
        <f t="shared" si="3"/>
        <v>36</v>
      </c>
    </row>
    <row r="193" spans="1:69" s="285" customFormat="1" ht="15" customHeight="1" x14ac:dyDescent="0.25">
      <c r="A193" s="286"/>
      <c r="B193" s="44"/>
      <c r="L193" s="297"/>
      <c r="T193" s="296"/>
      <c r="U193" s="297"/>
      <c r="AC193" s="296"/>
      <c r="AD193" s="297"/>
      <c r="AL193" s="296"/>
      <c r="AM193" s="297"/>
      <c r="BI193" s="296"/>
      <c r="BK193" s="287"/>
      <c r="BM193" s="30">
        <f t="shared" si="3"/>
        <v>37</v>
      </c>
    </row>
    <row r="194" spans="1:69" s="285" customFormat="1" ht="15" customHeight="1" x14ac:dyDescent="0.25">
      <c r="A194" s="286"/>
      <c r="B194" s="44"/>
      <c r="L194" s="297"/>
      <c r="T194" s="296"/>
      <c r="U194" s="297"/>
      <c r="AC194" s="296"/>
      <c r="AD194" s="297"/>
      <c r="AL194" s="296"/>
      <c r="AM194" s="297"/>
      <c r="BI194" s="296"/>
      <c r="BK194" s="287"/>
      <c r="BM194" s="30">
        <f t="shared" si="3"/>
        <v>38</v>
      </c>
    </row>
    <row r="195" spans="1:69" s="285" customFormat="1" ht="15" customHeight="1" x14ac:dyDescent="0.25">
      <c r="A195" s="286"/>
      <c r="B195" s="44"/>
      <c r="L195" s="297"/>
      <c r="T195" s="296"/>
      <c r="U195" s="297"/>
      <c r="AC195" s="296"/>
      <c r="AD195" s="297"/>
      <c r="AL195" s="296"/>
      <c r="AM195" s="297"/>
      <c r="BI195" s="296"/>
      <c r="BK195" s="287"/>
      <c r="BM195" s="30">
        <f t="shared" si="3"/>
        <v>39</v>
      </c>
    </row>
    <row r="196" spans="1:69" s="285" customFormat="1" ht="15" customHeight="1" x14ac:dyDescent="0.25">
      <c r="A196" s="286"/>
      <c r="B196" s="44"/>
      <c r="L196" s="297"/>
      <c r="T196" s="296"/>
      <c r="U196" s="297"/>
      <c r="AC196" s="296"/>
      <c r="AD196" s="297"/>
      <c r="AL196" s="296"/>
      <c r="AM196" s="297"/>
      <c r="BI196" s="296"/>
      <c r="BK196" s="287"/>
      <c r="BM196" s="30">
        <f t="shared" si="3"/>
        <v>40</v>
      </c>
    </row>
    <row r="197" spans="1:69" s="285" customFormat="1" ht="15" customHeight="1" x14ac:dyDescent="0.25">
      <c r="A197" s="286"/>
      <c r="B197" s="44"/>
      <c r="L197" s="297"/>
      <c r="T197" s="296"/>
      <c r="U197" s="297"/>
      <c r="AC197" s="296"/>
      <c r="AD197" s="297"/>
      <c r="AL197" s="296"/>
      <c r="AM197" s="297"/>
      <c r="BI197" s="296"/>
      <c r="BK197" s="287"/>
      <c r="BM197" s="30">
        <f t="shared" si="3"/>
        <v>41</v>
      </c>
    </row>
    <row r="198" spans="1:69" s="285" customFormat="1" ht="15" customHeight="1" x14ac:dyDescent="0.25">
      <c r="A198" s="286"/>
      <c r="B198" s="44"/>
      <c r="L198" s="297"/>
      <c r="T198" s="296"/>
      <c r="U198" s="297"/>
      <c r="AC198" s="296"/>
      <c r="AD198" s="297"/>
      <c r="AL198" s="296"/>
      <c r="AM198" s="297"/>
      <c r="BI198" s="296"/>
      <c r="BK198" s="287"/>
      <c r="BM198" s="30">
        <f t="shared" si="3"/>
        <v>42</v>
      </c>
    </row>
    <row r="199" spans="1:69" s="285" customFormat="1" ht="15" customHeight="1" x14ac:dyDescent="0.25">
      <c r="A199" s="286"/>
      <c r="B199" s="44"/>
      <c r="L199" s="297"/>
      <c r="T199" s="296"/>
      <c r="U199" s="297"/>
      <c r="AC199" s="296"/>
      <c r="AD199" s="297"/>
      <c r="AL199" s="296"/>
      <c r="AM199" s="297"/>
      <c r="BI199" s="296"/>
      <c r="BK199" s="287"/>
      <c r="BM199" s="30">
        <f t="shared" si="3"/>
        <v>43</v>
      </c>
    </row>
    <row r="200" spans="1:69" s="285" customFormat="1" ht="15" customHeight="1" x14ac:dyDescent="0.25">
      <c r="A200" s="286"/>
      <c r="B200" s="44"/>
      <c r="L200" s="297"/>
      <c r="T200" s="296"/>
      <c r="U200" s="297"/>
      <c r="AC200" s="296"/>
      <c r="AD200" s="297"/>
      <c r="AL200" s="296"/>
      <c r="AM200" s="297"/>
      <c r="BI200" s="296"/>
      <c r="BK200" s="287"/>
      <c r="BM200" s="30">
        <f t="shared" si="3"/>
        <v>44</v>
      </c>
    </row>
    <row r="201" spans="1:69" s="285" customFormat="1" ht="15" customHeight="1" x14ac:dyDescent="0.25">
      <c r="A201" s="286"/>
      <c r="B201" s="44"/>
      <c r="L201" s="297"/>
      <c r="T201" s="296"/>
      <c r="U201" s="297"/>
      <c r="AC201" s="296"/>
      <c r="AD201" s="297"/>
      <c r="AL201" s="296"/>
      <c r="AM201" s="297"/>
      <c r="BI201" s="296"/>
      <c r="BK201" s="287"/>
      <c r="BM201" s="30">
        <f t="shared" si="3"/>
        <v>45</v>
      </c>
    </row>
    <row r="202" spans="1:69" s="285" customFormat="1" ht="15" customHeight="1" x14ac:dyDescent="0.25">
      <c r="A202" s="286"/>
      <c r="B202" s="44"/>
      <c r="L202" s="297"/>
      <c r="T202" s="296"/>
      <c r="U202" s="297"/>
      <c r="AC202" s="296"/>
      <c r="AD202" s="297"/>
      <c r="AL202" s="296"/>
      <c r="AM202" s="297"/>
      <c r="BI202" s="296"/>
      <c r="BK202" s="287"/>
      <c r="BM202" s="30">
        <f t="shared" si="3"/>
        <v>46</v>
      </c>
    </row>
    <row r="203" spans="1:69" s="285" customFormat="1" ht="15" customHeight="1" x14ac:dyDescent="0.25">
      <c r="A203" s="286"/>
      <c r="B203" s="45" t="s">
        <v>73</v>
      </c>
      <c r="C203" s="299"/>
      <c r="D203" s="299"/>
      <c r="E203" s="299"/>
      <c r="F203" s="299"/>
      <c r="G203" s="299"/>
      <c r="H203" s="299"/>
      <c r="I203" s="299"/>
      <c r="J203" s="299"/>
      <c r="K203" s="300"/>
      <c r="L203" s="301"/>
      <c r="M203" s="299"/>
      <c r="N203" s="299"/>
      <c r="O203" s="299"/>
      <c r="P203" s="299"/>
      <c r="Q203" s="299"/>
      <c r="R203" s="299"/>
      <c r="S203" s="299"/>
      <c r="T203" s="300"/>
      <c r="U203" s="301"/>
      <c r="V203" s="299"/>
      <c r="W203" s="299"/>
      <c r="X203" s="299"/>
      <c r="Y203" s="299"/>
      <c r="Z203" s="299"/>
      <c r="AA203" s="299"/>
      <c r="AB203" s="299"/>
      <c r="AC203" s="300"/>
      <c r="AD203" s="301"/>
      <c r="AE203" s="299"/>
      <c r="AF203" s="299"/>
      <c r="AG203" s="299"/>
      <c r="AH203" s="299"/>
      <c r="AI203" s="299"/>
      <c r="AJ203" s="299"/>
      <c r="AK203" s="299"/>
      <c r="AL203" s="300"/>
      <c r="AM203" s="301"/>
      <c r="AN203" s="299"/>
      <c r="AO203" s="299"/>
      <c r="AP203" s="299"/>
      <c r="AQ203" s="299"/>
      <c r="AR203" s="299"/>
      <c r="AS203" s="299"/>
      <c r="AT203" s="299"/>
      <c r="AU203" s="299"/>
      <c r="AV203" s="299"/>
      <c r="AW203" s="299"/>
      <c r="AX203" s="299"/>
      <c r="AY203" s="299"/>
      <c r="AZ203" s="299"/>
      <c r="BA203" s="299"/>
      <c r="BB203" s="299"/>
      <c r="BC203" s="299"/>
      <c r="BD203" s="299"/>
      <c r="BE203" s="299"/>
      <c r="BF203" s="299"/>
      <c r="BG203" s="299"/>
      <c r="BH203" s="299"/>
      <c r="BI203" s="300"/>
      <c r="BJ203" s="299"/>
      <c r="BK203" s="287"/>
      <c r="BM203" s="30">
        <f t="shared" si="3"/>
        <v>47</v>
      </c>
      <c r="BQ203" s="285" t="s">
        <v>38</v>
      </c>
    </row>
    <row r="204" spans="1:69" s="285" customFormat="1" ht="15" customHeight="1" x14ac:dyDescent="0.25">
      <c r="A204" s="286"/>
      <c r="B204" s="44"/>
      <c r="L204" s="297"/>
      <c r="T204" s="296"/>
      <c r="U204" s="297"/>
      <c r="AC204" s="296"/>
      <c r="AD204" s="297"/>
      <c r="AL204" s="296"/>
      <c r="AM204" s="297"/>
      <c r="BI204" s="296"/>
      <c r="BK204" s="287"/>
      <c r="BM204" s="30">
        <f t="shared" si="3"/>
        <v>48</v>
      </c>
    </row>
    <row r="205" spans="1:69" s="285" customFormat="1" ht="15" customHeight="1" x14ac:dyDescent="0.25">
      <c r="A205" s="286"/>
      <c r="B205" s="44"/>
      <c r="L205" s="297"/>
      <c r="T205" s="296"/>
      <c r="U205" s="297"/>
      <c r="AC205" s="296"/>
      <c r="AD205" s="297"/>
      <c r="AL205" s="296"/>
      <c r="AM205" s="297"/>
      <c r="BI205" s="296"/>
      <c r="BK205" s="287"/>
      <c r="BM205" s="30">
        <f t="shared" si="3"/>
        <v>49</v>
      </c>
    </row>
    <row r="206" spans="1:69" s="285" customFormat="1" ht="15" customHeight="1" x14ac:dyDescent="0.25">
      <c r="A206" s="286"/>
      <c r="B206" s="44"/>
      <c r="L206" s="297"/>
      <c r="T206" s="296"/>
      <c r="U206" s="297"/>
      <c r="AC206" s="296"/>
      <c r="AD206" s="297"/>
      <c r="AL206" s="296"/>
      <c r="AM206" s="297"/>
      <c r="BI206" s="296"/>
      <c r="BK206" s="287"/>
      <c r="BM206" s="30">
        <f t="shared" si="3"/>
        <v>50</v>
      </c>
    </row>
    <row r="207" spans="1:69" s="285" customFormat="1" ht="15" customHeight="1" x14ac:dyDescent="0.25">
      <c r="A207" s="286"/>
      <c r="B207" s="44"/>
      <c r="L207" s="297"/>
      <c r="T207" s="296"/>
      <c r="U207" s="297"/>
      <c r="AC207" s="296"/>
      <c r="AD207" s="297"/>
      <c r="AL207" s="296"/>
      <c r="AM207" s="297"/>
      <c r="BI207" s="296"/>
      <c r="BK207" s="287"/>
      <c r="BM207" s="30">
        <f t="shared" si="3"/>
        <v>1</v>
      </c>
    </row>
    <row r="208" spans="1:69" s="285" customFormat="1" ht="15" customHeight="1" x14ac:dyDescent="0.25">
      <c r="A208" s="286"/>
      <c r="B208" s="44"/>
      <c r="L208" s="297"/>
      <c r="T208" s="296"/>
      <c r="U208" s="297"/>
      <c r="AC208" s="296"/>
      <c r="AD208" s="297"/>
      <c r="AL208" s="296"/>
      <c r="AM208" s="297"/>
      <c r="BI208" s="296"/>
      <c r="BK208" s="287"/>
      <c r="BM208" s="30">
        <f t="shared" si="3"/>
        <v>2</v>
      </c>
    </row>
    <row r="209" spans="1:66" s="285" customFormat="1" ht="15" customHeight="1" x14ac:dyDescent="0.25">
      <c r="A209" s="286"/>
      <c r="B209" s="44"/>
      <c r="L209" s="297"/>
      <c r="T209" s="296"/>
      <c r="U209" s="297"/>
      <c r="AC209" s="296"/>
      <c r="AD209" s="297"/>
      <c r="AL209" s="296"/>
      <c r="AM209" s="297"/>
      <c r="BI209" s="296"/>
      <c r="BK209" s="287"/>
      <c r="BM209" s="30">
        <f t="shared" si="3"/>
        <v>3</v>
      </c>
    </row>
    <row r="210" spans="1:66" s="285" customFormat="1" ht="15" customHeight="1" x14ac:dyDescent="0.25">
      <c r="A210" s="286"/>
      <c r="B210" s="44"/>
      <c r="L210" s="297"/>
      <c r="T210" s="296"/>
      <c r="U210" s="297"/>
      <c r="AC210" s="296"/>
      <c r="AD210" s="297"/>
      <c r="AL210" s="296"/>
      <c r="AM210" s="297"/>
      <c r="BI210" s="296"/>
      <c r="BK210" s="287"/>
      <c r="BM210" s="30">
        <f t="shared" si="3"/>
        <v>4</v>
      </c>
    </row>
    <row r="211" spans="1:66" s="285" customFormat="1" ht="15" customHeight="1" x14ac:dyDescent="0.25">
      <c r="A211" s="286"/>
      <c r="B211" s="44"/>
      <c r="L211" s="297"/>
      <c r="T211" s="296"/>
      <c r="U211" s="297"/>
      <c r="AC211" s="296"/>
      <c r="AD211" s="297"/>
      <c r="AL211" s="296"/>
      <c r="AM211" s="297"/>
      <c r="BI211" s="296"/>
      <c r="BK211" s="287"/>
      <c r="BM211" s="30">
        <f t="shared" ref="BM211:BM273" si="4">IF(BM210=50,1,BM210+1)</f>
        <v>5</v>
      </c>
    </row>
    <row r="212" spans="1:66" s="285" customFormat="1" ht="15" customHeight="1" x14ac:dyDescent="0.25">
      <c r="A212" s="286"/>
      <c r="B212" s="44"/>
      <c r="L212" s="297"/>
      <c r="T212" s="296"/>
      <c r="U212" s="297"/>
      <c r="AC212" s="296"/>
      <c r="AD212" s="297"/>
      <c r="AL212" s="296"/>
      <c r="AM212" s="297"/>
      <c r="BI212" s="296"/>
      <c r="BK212" s="287"/>
      <c r="BM212" s="30">
        <f t="shared" si="4"/>
        <v>6</v>
      </c>
    </row>
    <row r="213" spans="1:66" s="285" customFormat="1" ht="15" customHeight="1" x14ac:dyDescent="0.25">
      <c r="A213" s="286"/>
      <c r="B213" s="44"/>
      <c r="L213" s="297"/>
      <c r="T213" s="296"/>
      <c r="U213" s="297"/>
      <c r="AC213" s="296"/>
      <c r="AD213" s="297"/>
      <c r="AL213" s="296"/>
      <c r="AM213" s="297"/>
      <c r="BI213" s="296"/>
      <c r="BK213" s="287"/>
      <c r="BM213" s="30">
        <f t="shared" si="4"/>
        <v>7</v>
      </c>
    </row>
    <row r="214" spans="1:66" s="285" customFormat="1" ht="15" customHeight="1" x14ac:dyDescent="0.25">
      <c r="A214" s="286"/>
      <c r="B214" s="44"/>
      <c r="L214" s="297"/>
      <c r="T214" s="296"/>
      <c r="U214" s="297"/>
      <c r="AC214" s="296"/>
      <c r="AD214" s="297"/>
      <c r="AL214" s="296"/>
      <c r="AM214" s="297"/>
      <c r="BI214" s="296"/>
      <c r="BK214" s="287"/>
      <c r="BM214" s="30">
        <f t="shared" si="4"/>
        <v>8</v>
      </c>
    </row>
    <row r="215" spans="1:66" s="285" customFormat="1" ht="15" customHeight="1" x14ac:dyDescent="0.25">
      <c r="A215" s="286"/>
      <c r="B215" s="44"/>
      <c r="L215" s="297"/>
      <c r="T215" s="296"/>
      <c r="U215" s="297"/>
      <c r="AC215" s="296"/>
      <c r="AD215" s="297"/>
      <c r="AL215" s="296"/>
      <c r="AM215" s="297"/>
      <c r="BI215" s="296"/>
      <c r="BK215" s="287"/>
      <c r="BM215" s="30">
        <f t="shared" si="4"/>
        <v>9</v>
      </c>
    </row>
    <row r="216" spans="1:66" s="285" customFormat="1" ht="15" customHeight="1" x14ac:dyDescent="0.25">
      <c r="A216" s="286"/>
      <c r="B216" s="44"/>
      <c r="L216" s="297"/>
      <c r="T216" s="296"/>
      <c r="U216" s="297"/>
      <c r="AC216" s="296"/>
      <c r="AD216" s="297"/>
      <c r="AL216" s="296"/>
      <c r="AM216" s="297"/>
      <c r="BI216" s="296"/>
      <c r="BK216" s="287"/>
      <c r="BM216" s="30">
        <f t="shared" si="4"/>
        <v>10</v>
      </c>
      <c r="BN216" s="236"/>
    </row>
    <row r="217" spans="1:66" s="285" customFormat="1" ht="15" customHeight="1" x14ac:dyDescent="0.25">
      <c r="A217" s="286"/>
      <c r="B217" s="44"/>
      <c r="L217" s="297"/>
      <c r="T217" s="296"/>
      <c r="U217" s="297"/>
      <c r="AC217" s="296"/>
      <c r="AD217" s="297"/>
      <c r="AL217" s="296"/>
      <c r="AM217" s="297"/>
      <c r="BI217" s="296"/>
      <c r="BK217" s="287"/>
      <c r="BM217" s="30">
        <f t="shared" si="4"/>
        <v>11</v>
      </c>
    </row>
    <row r="218" spans="1:66" s="285" customFormat="1" ht="15" customHeight="1" x14ac:dyDescent="0.25">
      <c r="A218" s="286"/>
      <c r="B218" s="44"/>
      <c r="L218" s="297"/>
      <c r="T218" s="296"/>
      <c r="U218" s="297"/>
      <c r="AC218" s="296"/>
      <c r="AD218" s="297"/>
      <c r="AL218" s="296"/>
      <c r="AM218" s="297"/>
      <c r="BI218" s="296"/>
      <c r="BK218" s="287"/>
      <c r="BM218" s="30">
        <f t="shared" si="4"/>
        <v>12</v>
      </c>
    </row>
    <row r="219" spans="1:66" s="285" customFormat="1" ht="15" customHeight="1" x14ac:dyDescent="0.25">
      <c r="A219" s="286"/>
      <c r="B219" s="44"/>
      <c r="L219" s="297"/>
      <c r="T219" s="296"/>
      <c r="U219" s="297"/>
      <c r="AC219" s="296"/>
      <c r="AD219" s="297"/>
      <c r="AL219" s="296"/>
      <c r="AM219" s="297"/>
      <c r="BI219" s="296"/>
      <c r="BK219" s="287"/>
      <c r="BM219" s="30">
        <f t="shared" si="4"/>
        <v>13</v>
      </c>
    </row>
    <row r="220" spans="1:66" s="285" customFormat="1" ht="15" customHeight="1" x14ac:dyDescent="0.25">
      <c r="A220" s="286"/>
      <c r="B220" s="44"/>
      <c r="L220" s="297"/>
      <c r="T220" s="296"/>
      <c r="U220" s="297"/>
      <c r="AC220" s="296"/>
      <c r="AD220" s="297"/>
      <c r="AL220" s="296"/>
      <c r="AM220" s="297"/>
      <c r="BI220" s="296"/>
      <c r="BK220" s="287"/>
      <c r="BM220" s="30">
        <f t="shared" si="4"/>
        <v>14</v>
      </c>
    </row>
    <row r="221" spans="1:66" s="285" customFormat="1" ht="15" customHeight="1" x14ac:dyDescent="0.25">
      <c r="A221" s="286"/>
      <c r="B221" s="44"/>
      <c r="L221" s="297"/>
      <c r="T221" s="296"/>
      <c r="U221" s="297"/>
      <c r="AC221" s="296"/>
      <c r="AD221" s="297"/>
      <c r="AL221" s="296"/>
      <c r="AM221" s="297"/>
      <c r="BI221" s="296"/>
      <c r="BK221" s="287"/>
      <c r="BM221" s="30">
        <f t="shared" si="4"/>
        <v>15</v>
      </c>
    </row>
    <row r="222" spans="1:66" s="285" customFormat="1" ht="15" customHeight="1" x14ac:dyDescent="0.25">
      <c r="A222" s="286"/>
      <c r="B222" s="44"/>
      <c r="L222" s="297"/>
      <c r="T222" s="296"/>
      <c r="U222" s="297"/>
      <c r="AC222" s="296"/>
      <c r="AD222" s="297"/>
      <c r="AL222" s="296"/>
      <c r="AM222" s="297"/>
      <c r="BI222" s="296"/>
      <c r="BK222" s="287"/>
      <c r="BM222" s="30">
        <f t="shared" si="4"/>
        <v>16</v>
      </c>
    </row>
    <row r="223" spans="1:66" s="285" customFormat="1" ht="15" customHeight="1" x14ac:dyDescent="0.25">
      <c r="A223" s="286"/>
      <c r="B223" s="44"/>
      <c r="L223" s="297"/>
      <c r="T223" s="296"/>
      <c r="U223" s="297"/>
      <c r="AC223" s="296"/>
      <c r="AD223" s="297"/>
      <c r="AL223" s="296"/>
      <c r="AM223" s="297"/>
      <c r="BI223" s="296"/>
      <c r="BK223" s="287"/>
      <c r="BM223" s="30">
        <f t="shared" si="4"/>
        <v>17</v>
      </c>
    </row>
    <row r="224" spans="1:66" s="285" customFormat="1" ht="15" customHeight="1" x14ac:dyDescent="0.25">
      <c r="A224" s="286"/>
      <c r="B224" s="44"/>
      <c r="L224" s="297"/>
      <c r="T224" s="296"/>
      <c r="U224" s="297"/>
      <c r="AC224" s="296"/>
      <c r="AD224" s="297"/>
      <c r="AL224" s="296"/>
      <c r="AM224" s="297"/>
      <c r="BI224" s="296"/>
      <c r="BK224" s="287"/>
      <c r="BM224" s="30">
        <f t="shared" si="4"/>
        <v>18</v>
      </c>
    </row>
    <row r="225" spans="1:65" s="285" customFormat="1" ht="15" customHeight="1" x14ac:dyDescent="0.25">
      <c r="A225" s="286"/>
      <c r="B225" s="44"/>
      <c r="L225" s="297"/>
      <c r="T225" s="296"/>
      <c r="U225" s="297"/>
      <c r="AC225" s="296"/>
      <c r="AD225" s="297"/>
      <c r="AL225" s="296"/>
      <c r="AM225" s="297"/>
      <c r="BI225" s="296"/>
      <c r="BK225" s="287"/>
      <c r="BM225" s="30">
        <f t="shared" si="4"/>
        <v>19</v>
      </c>
    </row>
    <row r="226" spans="1:65" s="285" customFormat="1" ht="15" customHeight="1" x14ac:dyDescent="0.25">
      <c r="A226" s="286"/>
      <c r="B226" s="44"/>
      <c r="L226" s="297"/>
      <c r="T226" s="296"/>
      <c r="U226" s="297"/>
      <c r="AC226" s="296"/>
      <c r="AD226" s="297"/>
      <c r="AL226" s="296"/>
      <c r="AM226" s="297"/>
      <c r="BI226" s="296"/>
      <c r="BK226" s="287"/>
      <c r="BM226" s="30">
        <f t="shared" si="4"/>
        <v>20</v>
      </c>
    </row>
    <row r="227" spans="1:65" s="285" customFormat="1" ht="15" customHeight="1" x14ac:dyDescent="0.25">
      <c r="A227" s="286"/>
      <c r="B227" s="44"/>
      <c r="L227" s="297"/>
      <c r="T227" s="296"/>
      <c r="U227" s="297"/>
      <c r="AC227" s="296"/>
      <c r="AD227" s="297"/>
      <c r="AL227" s="296"/>
      <c r="AM227" s="297"/>
      <c r="BI227" s="296"/>
      <c r="BK227" s="287"/>
      <c r="BM227" s="30">
        <f t="shared" si="4"/>
        <v>21</v>
      </c>
    </row>
    <row r="228" spans="1:65" s="285" customFormat="1" ht="15" customHeight="1" x14ac:dyDescent="0.25">
      <c r="A228" s="286"/>
      <c r="B228" s="44"/>
      <c r="L228" s="297"/>
      <c r="T228" s="296"/>
      <c r="U228" s="297"/>
      <c r="AC228" s="296"/>
      <c r="AD228" s="297"/>
      <c r="AL228" s="296"/>
      <c r="AM228" s="297"/>
      <c r="BI228" s="296"/>
      <c r="BK228" s="287"/>
      <c r="BM228" s="30">
        <f t="shared" si="4"/>
        <v>22</v>
      </c>
    </row>
    <row r="229" spans="1:65" s="285" customFormat="1" ht="15" customHeight="1" x14ac:dyDescent="0.25">
      <c r="A229" s="286"/>
      <c r="B229" s="44"/>
      <c r="L229" s="297"/>
      <c r="T229" s="296"/>
      <c r="U229" s="297"/>
      <c r="AC229" s="296"/>
      <c r="AD229" s="297"/>
      <c r="AL229" s="296"/>
      <c r="AM229" s="297"/>
      <c r="BI229" s="296"/>
      <c r="BK229" s="287"/>
      <c r="BM229" s="30">
        <f t="shared" si="4"/>
        <v>23</v>
      </c>
    </row>
    <row r="230" spans="1:65" s="285" customFormat="1" ht="15" customHeight="1" x14ac:dyDescent="0.25">
      <c r="A230" s="286"/>
      <c r="B230" s="44"/>
      <c r="L230" s="297"/>
      <c r="T230" s="296"/>
      <c r="U230" s="297"/>
      <c r="AC230" s="296"/>
      <c r="AD230" s="297"/>
      <c r="AL230" s="296"/>
      <c r="AM230" s="297"/>
      <c r="BI230" s="296"/>
      <c r="BK230" s="287"/>
      <c r="BM230" s="30">
        <f t="shared" si="4"/>
        <v>24</v>
      </c>
    </row>
    <row r="231" spans="1:65" s="285" customFormat="1" ht="15" customHeight="1" x14ac:dyDescent="0.25">
      <c r="A231" s="286"/>
      <c r="B231" s="44"/>
      <c r="L231" s="297"/>
      <c r="T231" s="296"/>
      <c r="U231" s="297"/>
      <c r="AC231" s="296"/>
      <c r="AD231" s="297"/>
      <c r="AL231" s="296"/>
      <c r="AM231" s="297"/>
      <c r="BI231" s="296"/>
      <c r="BK231" s="287"/>
      <c r="BM231" s="30">
        <f t="shared" si="4"/>
        <v>25</v>
      </c>
    </row>
    <row r="232" spans="1:65" s="285" customFormat="1" ht="15" customHeight="1" x14ac:dyDescent="0.25">
      <c r="A232" s="286"/>
      <c r="B232" s="44"/>
      <c r="L232" s="297"/>
      <c r="T232" s="296"/>
      <c r="U232" s="297"/>
      <c r="AC232" s="296"/>
      <c r="AD232" s="297"/>
      <c r="AL232" s="296"/>
      <c r="AM232" s="297"/>
      <c r="BI232" s="296"/>
      <c r="BK232" s="287"/>
      <c r="BM232" s="30">
        <f t="shared" si="4"/>
        <v>26</v>
      </c>
    </row>
    <row r="233" spans="1:65" s="285" customFormat="1" ht="15" customHeight="1" x14ac:dyDescent="0.25">
      <c r="A233" s="286"/>
      <c r="B233" s="44"/>
      <c r="L233" s="297"/>
      <c r="T233" s="296"/>
      <c r="U233" s="297"/>
      <c r="AC233" s="296"/>
      <c r="AD233" s="297"/>
      <c r="AL233" s="296"/>
      <c r="AM233" s="297"/>
      <c r="BI233" s="296"/>
      <c r="BK233" s="287"/>
      <c r="BM233" s="30">
        <f t="shared" si="4"/>
        <v>27</v>
      </c>
    </row>
    <row r="234" spans="1:65" s="285" customFormat="1" ht="15" customHeight="1" x14ac:dyDescent="0.25">
      <c r="A234" s="286"/>
      <c r="B234" s="44"/>
      <c r="L234" s="297"/>
      <c r="T234" s="296"/>
      <c r="U234" s="297"/>
      <c r="AC234" s="296"/>
      <c r="AD234" s="297"/>
      <c r="AL234" s="296"/>
      <c r="AM234" s="297"/>
      <c r="BI234" s="296"/>
      <c r="BK234" s="287"/>
      <c r="BM234" s="30">
        <f t="shared" si="4"/>
        <v>28</v>
      </c>
    </row>
    <row r="235" spans="1:65" s="285" customFormat="1" ht="15" customHeight="1" x14ac:dyDescent="0.25">
      <c r="A235" s="286"/>
      <c r="B235" s="44"/>
      <c r="L235" s="297"/>
      <c r="T235" s="296"/>
      <c r="U235" s="297"/>
      <c r="AC235" s="296"/>
      <c r="AD235" s="297"/>
      <c r="AL235" s="296"/>
      <c r="AM235" s="297"/>
      <c r="BI235" s="296"/>
      <c r="BK235" s="287"/>
      <c r="BM235" s="30">
        <f t="shared" si="4"/>
        <v>29</v>
      </c>
    </row>
    <row r="236" spans="1:65" s="285" customFormat="1" ht="15" customHeight="1" x14ac:dyDescent="0.25">
      <c r="A236" s="286"/>
      <c r="B236" s="44"/>
      <c r="L236" s="297"/>
      <c r="T236" s="296"/>
      <c r="U236" s="297"/>
      <c r="AC236" s="296"/>
      <c r="AD236" s="297"/>
      <c r="AL236" s="296"/>
      <c r="AM236" s="297"/>
      <c r="BI236" s="296"/>
      <c r="BK236" s="287"/>
      <c r="BM236" s="30">
        <f t="shared" si="4"/>
        <v>30</v>
      </c>
    </row>
    <row r="237" spans="1:65" s="285" customFormat="1" ht="15" customHeight="1" x14ac:dyDescent="0.25">
      <c r="A237" s="286"/>
      <c r="B237" s="44"/>
      <c r="L237" s="297"/>
      <c r="T237" s="296"/>
      <c r="U237" s="297"/>
      <c r="AC237" s="296"/>
      <c r="AD237" s="297"/>
      <c r="AL237" s="296"/>
      <c r="AM237" s="297"/>
      <c r="BI237" s="296"/>
      <c r="BK237" s="287"/>
      <c r="BM237" s="30">
        <f t="shared" si="4"/>
        <v>31</v>
      </c>
    </row>
    <row r="238" spans="1:65" s="285" customFormat="1" ht="15" customHeight="1" x14ac:dyDescent="0.25">
      <c r="A238" s="286"/>
      <c r="B238" s="44"/>
      <c r="L238" s="297"/>
      <c r="T238" s="296"/>
      <c r="U238" s="297"/>
      <c r="AC238" s="296"/>
      <c r="AD238" s="297"/>
      <c r="AL238" s="296"/>
      <c r="AM238" s="297"/>
      <c r="BI238" s="296"/>
      <c r="BK238" s="287"/>
      <c r="BM238" s="30">
        <f t="shared" si="4"/>
        <v>32</v>
      </c>
    </row>
    <row r="239" spans="1:65" s="285" customFormat="1" ht="15" customHeight="1" x14ac:dyDescent="0.25">
      <c r="A239" s="286"/>
      <c r="B239" s="44"/>
      <c r="L239" s="297"/>
      <c r="T239" s="296"/>
      <c r="U239" s="297"/>
      <c r="AC239" s="296"/>
      <c r="AD239" s="297"/>
      <c r="AL239" s="296"/>
      <c r="AM239" s="297"/>
      <c r="BI239" s="296"/>
      <c r="BK239" s="287"/>
      <c r="BM239" s="30">
        <f t="shared" si="4"/>
        <v>33</v>
      </c>
    </row>
    <row r="240" spans="1:65" s="285" customFormat="1" ht="15" customHeight="1" x14ac:dyDescent="0.25">
      <c r="A240" s="286"/>
      <c r="B240" s="44"/>
      <c r="L240" s="297"/>
      <c r="T240" s="296"/>
      <c r="U240" s="297"/>
      <c r="AC240" s="296"/>
      <c r="AD240" s="297"/>
      <c r="AL240" s="296"/>
      <c r="AM240" s="297"/>
      <c r="BI240" s="296"/>
      <c r="BK240" s="287"/>
      <c r="BM240" s="30">
        <f t="shared" si="4"/>
        <v>34</v>
      </c>
    </row>
    <row r="241" spans="1:69" s="285" customFormat="1" ht="15" customHeight="1" x14ac:dyDescent="0.25">
      <c r="A241" s="286"/>
      <c r="B241" s="44"/>
      <c r="L241" s="297"/>
      <c r="T241" s="296"/>
      <c r="U241" s="297"/>
      <c r="AC241" s="296"/>
      <c r="AD241" s="297"/>
      <c r="AL241" s="296"/>
      <c r="AM241" s="297"/>
      <c r="BI241" s="296"/>
      <c r="BK241" s="287"/>
      <c r="BM241" s="30">
        <f t="shared" si="4"/>
        <v>35</v>
      </c>
    </row>
    <row r="242" spans="1:69" s="285" customFormat="1" ht="15" customHeight="1" x14ac:dyDescent="0.25">
      <c r="A242" s="286"/>
      <c r="B242" s="44"/>
      <c r="L242" s="297"/>
      <c r="T242" s="296"/>
      <c r="U242" s="297"/>
      <c r="AC242" s="296"/>
      <c r="AD242" s="297"/>
      <c r="AL242" s="296"/>
      <c r="AM242" s="297"/>
      <c r="BI242" s="296"/>
      <c r="BK242" s="287"/>
      <c r="BM242" s="30">
        <f t="shared" si="4"/>
        <v>36</v>
      </c>
    </row>
    <row r="243" spans="1:69" s="285" customFormat="1" ht="15" customHeight="1" x14ac:dyDescent="0.25">
      <c r="A243" s="286"/>
      <c r="B243" s="44"/>
      <c r="L243" s="297"/>
      <c r="T243" s="296"/>
      <c r="U243" s="297"/>
      <c r="AC243" s="296"/>
      <c r="AD243" s="297"/>
      <c r="AL243" s="296"/>
      <c r="AM243" s="297"/>
      <c r="BI243" s="296"/>
      <c r="BK243" s="287"/>
      <c r="BM243" s="30">
        <f t="shared" si="4"/>
        <v>37</v>
      </c>
    </row>
    <row r="244" spans="1:69" s="285" customFormat="1" ht="15" customHeight="1" x14ac:dyDescent="0.25">
      <c r="A244" s="286"/>
      <c r="B244" s="44"/>
      <c r="L244" s="297"/>
      <c r="T244" s="296"/>
      <c r="U244" s="297"/>
      <c r="AC244" s="296"/>
      <c r="AD244" s="297"/>
      <c r="AL244" s="296"/>
      <c r="AM244" s="297"/>
      <c r="BI244" s="296"/>
      <c r="BK244" s="287"/>
      <c r="BM244" s="30">
        <f t="shared" si="4"/>
        <v>38</v>
      </c>
    </row>
    <row r="245" spans="1:69" s="285" customFormat="1" ht="15" customHeight="1" x14ac:dyDescent="0.25">
      <c r="A245" s="286"/>
      <c r="B245" s="44"/>
      <c r="L245" s="297"/>
      <c r="T245" s="296"/>
      <c r="U245" s="297"/>
      <c r="AC245" s="296"/>
      <c r="AD245" s="297"/>
      <c r="AL245" s="296"/>
      <c r="AM245" s="297"/>
      <c r="BI245" s="296"/>
      <c r="BK245" s="287"/>
      <c r="BM245" s="30">
        <f t="shared" si="4"/>
        <v>39</v>
      </c>
    </row>
    <row r="246" spans="1:69" s="285" customFormat="1" ht="15" customHeight="1" x14ac:dyDescent="0.25">
      <c r="A246" s="286"/>
      <c r="B246" s="44"/>
      <c r="L246" s="297"/>
      <c r="T246" s="296"/>
      <c r="U246" s="297"/>
      <c r="AC246" s="296"/>
      <c r="AD246" s="297"/>
      <c r="AL246" s="296"/>
      <c r="AM246" s="297"/>
      <c r="BI246" s="296"/>
      <c r="BK246" s="287"/>
      <c r="BM246" s="30">
        <f t="shared" si="4"/>
        <v>40</v>
      </c>
    </row>
    <row r="247" spans="1:69" s="285" customFormat="1" ht="15" customHeight="1" x14ac:dyDescent="0.25">
      <c r="A247" s="286"/>
      <c r="B247" s="44"/>
      <c r="L247" s="297"/>
      <c r="T247" s="296"/>
      <c r="U247" s="297"/>
      <c r="AC247" s="296"/>
      <c r="AD247" s="297"/>
      <c r="AL247" s="296"/>
      <c r="AM247" s="297"/>
      <c r="BI247" s="296"/>
      <c r="BK247" s="287"/>
      <c r="BM247" s="30">
        <f t="shared" si="4"/>
        <v>41</v>
      </c>
    </row>
    <row r="248" spans="1:69" s="285" customFormat="1" ht="15" customHeight="1" x14ac:dyDescent="0.25">
      <c r="A248" s="286"/>
      <c r="B248" s="44"/>
      <c r="L248" s="297"/>
      <c r="T248" s="296"/>
      <c r="U248" s="297"/>
      <c r="AC248" s="296"/>
      <c r="AD248" s="297"/>
      <c r="AL248" s="296"/>
      <c r="AM248" s="297"/>
      <c r="BI248" s="296"/>
      <c r="BK248" s="287"/>
      <c r="BM248" s="30">
        <f t="shared" si="4"/>
        <v>42</v>
      </c>
    </row>
    <row r="249" spans="1:69" s="285" customFormat="1" ht="15" customHeight="1" x14ac:dyDescent="0.25">
      <c r="A249" s="286"/>
      <c r="B249" s="44"/>
      <c r="L249" s="297"/>
      <c r="T249" s="296"/>
      <c r="U249" s="297"/>
      <c r="AC249" s="296"/>
      <c r="AD249" s="297"/>
      <c r="AL249" s="296"/>
      <c r="AM249" s="297"/>
      <c r="BI249" s="296"/>
      <c r="BK249" s="287"/>
      <c r="BM249" s="30">
        <f t="shared" si="4"/>
        <v>43</v>
      </c>
    </row>
    <row r="250" spans="1:69" s="285" customFormat="1" ht="15" customHeight="1" x14ac:dyDescent="0.25">
      <c r="A250" s="286"/>
      <c r="B250" s="45" t="s">
        <v>74</v>
      </c>
      <c r="C250" s="299"/>
      <c r="D250" s="299"/>
      <c r="E250" s="299"/>
      <c r="F250" s="299"/>
      <c r="G250" s="299"/>
      <c r="H250" s="299"/>
      <c r="I250" s="299"/>
      <c r="J250" s="299"/>
      <c r="K250" s="300"/>
      <c r="L250" s="301"/>
      <c r="M250" s="299"/>
      <c r="N250" s="299"/>
      <c r="O250" s="299"/>
      <c r="P250" s="299"/>
      <c r="Q250" s="299"/>
      <c r="R250" s="299"/>
      <c r="S250" s="299"/>
      <c r="T250" s="300"/>
      <c r="U250" s="301"/>
      <c r="V250" s="299"/>
      <c r="W250" s="299"/>
      <c r="X250" s="299"/>
      <c r="Y250" s="299"/>
      <c r="Z250" s="299"/>
      <c r="AA250" s="299"/>
      <c r="AB250" s="299"/>
      <c r="AC250" s="300"/>
      <c r="AD250" s="301"/>
      <c r="AE250" s="299"/>
      <c r="AF250" s="299"/>
      <c r="AG250" s="299"/>
      <c r="AH250" s="299"/>
      <c r="AI250" s="299"/>
      <c r="AJ250" s="299"/>
      <c r="AK250" s="299"/>
      <c r="AL250" s="300"/>
      <c r="AM250" s="301"/>
      <c r="AN250" s="299"/>
      <c r="AO250" s="299"/>
      <c r="AP250" s="299"/>
      <c r="AQ250" s="299"/>
      <c r="AR250" s="299"/>
      <c r="AS250" s="299"/>
      <c r="AT250" s="299"/>
      <c r="AU250" s="299"/>
      <c r="AV250" s="299"/>
      <c r="AW250" s="299"/>
      <c r="AX250" s="299"/>
      <c r="AY250" s="299"/>
      <c r="AZ250" s="299"/>
      <c r="BA250" s="299"/>
      <c r="BB250" s="299"/>
      <c r="BC250" s="299"/>
      <c r="BD250" s="299"/>
      <c r="BE250" s="299"/>
      <c r="BF250" s="299"/>
      <c r="BG250" s="299"/>
      <c r="BH250" s="299"/>
      <c r="BI250" s="300"/>
      <c r="BJ250" s="299"/>
      <c r="BK250" s="287"/>
      <c r="BM250" s="30">
        <f t="shared" si="4"/>
        <v>44</v>
      </c>
    </row>
    <row r="251" spans="1:69" s="285" customFormat="1" ht="15" customHeight="1" x14ac:dyDescent="0.25">
      <c r="A251" s="286"/>
      <c r="B251" s="44"/>
      <c r="L251" s="297"/>
      <c r="T251" s="296"/>
      <c r="U251" s="297"/>
      <c r="AC251" s="296"/>
      <c r="AD251" s="297"/>
      <c r="AL251" s="296"/>
      <c r="AM251" s="297"/>
      <c r="BI251" s="296"/>
      <c r="BK251" s="287"/>
      <c r="BM251" s="30">
        <f t="shared" si="4"/>
        <v>45</v>
      </c>
    </row>
    <row r="252" spans="1:69" s="285" customFormat="1" ht="15" customHeight="1" x14ac:dyDescent="0.25">
      <c r="A252" s="286"/>
      <c r="B252" s="44"/>
      <c r="L252" s="297"/>
      <c r="T252" s="296"/>
      <c r="U252" s="297"/>
      <c r="AC252" s="296"/>
      <c r="AD252" s="297"/>
      <c r="AL252" s="296"/>
      <c r="AM252" s="297"/>
      <c r="BI252" s="296"/>
      <c r="BK252" s="287"/>
      <c r="BM252" s="30">
        <f t="shared" si="4"/>
        <v>46</v>
      </c>
    </row>
    <row r="253" spans="1:69" s="285" customFormat="1" ht="15" customHeight="1" x14ac:dyDescent="0.25">
      <c r="A253" s="286"/>
      <c r="B253" s="44"/>
      <c r="L253" s="297"/>
      <c r="T253" s="296"/>
      <c r="U253" s="297"/>
      <c r="AC253" s="296"/>
      <c r="AD253" s="297"/>
      <c r="AL253" s="296"/>
      <c r="AM253" s="297"/>
      <c r="BI253" s="296"/>
      <c r="BK253" s="287"/>
      <c r="BM253" s="30">
        <f t="shared" si="4"/>
        <v>47</v>
      </c>
      <c r="BQ253" s="285" t="s">
        <v>39</v>
      </c>
    </row>
    <row r="254" spans="1:69" s="285" customFormat="1" ht="15" customHeight="1" x14ac:dyDescent="0.25">
      <c r="A254" s="286"/>
      <c r="B254" s="44"/>
      <c r="L254" s="297"/>
      <c r="T254" s="296"/>
      <c r="U254" s="297"/>
      <c r="AC254" s="296"/>
      <c r="AD254" s="297"/>
      <c r="AL254" s="296"/>
      <c r="AM254" s="297"/>
      <c r="BI254" s="296"/>
      <c r="BK254" s="287"/>
      <c r="BM254" s="30">
        <f t="shared" si="4"/>
        <v>48</v>
      </c>
    </row>
    <row r="255" spans="1:69" s="285" customFormat="1" ht="15" customHeight="1" x14ac:dyDescent="0.25">
      <c r="A255" s="286"/>
      <c r="B255" s="44"/>
      <c r="L255" s="297"/>
      <c r="T255" s="296"/>
      <c r="U255" s="297"/>
      <c r="AC255" s="296"/>
      <c r="AD255" s="297"/>
      <c r="AL255" s="296"/>
      <c r="AM255" s="297"/>
      <c r="BI255" s="296"/>
      <c r="BK255" s="287"/>
      <c r="BM255" s="30">
        <f t="shared" si="4"/>
        <v>49</v>
      </c>
    </row>
    <row r="256" spans="1:69" s="285" customFormat="1" ht="15" customHeight="1" x14ac:dyDescent="0.25">
      <c r="A256" s="286"/>
      <c r="B256" s="44"/>
      <c r="L256" s="297"/>
      <c r="T256" s="296"/>
      <c r="U256" s="297"/>
      <c r="AC256" s="296"/>
      <c r="AD256" s="297"/>
      <c r="AL256" s="296"/>
      <c r="AM256" s="297"/>
      <c r="BI256" s="296"/>
      <c r="BK256" s="287"/>
      <c r="BM256" s="30">
        <f t="shared" si="4"/>
        <v>50</v>
      </c>
    </row>
    <row r="257" spans="1:65" s="285" customFormat="1" ht="15" customHeight="1" x14ac:dyDescent="0.25">
      <c r="A257" s="286"/>
      <c r="B257" s="44"/>
      <c r="L257" s="297"/>
      <c r="T257" s="296"/>
      <c r="U257" s="297"/>
      <c r="AC257" s="296"/>
      <c r="AD257" s="297"/>
      <c r="AL257" s="296"/>
      <c r="AM257" s="297"/>
      <c r="BI257" s="296"/>
      <c r="BK257" s="287"/>
      <c r="BM257" s="30">
        <f t="shared" si="4"/>
        <v>1</v>
      </c>
    </row>
    <row r="258" spans="1:65" s="285" customFormat="1" ht="15" customHeight="1" x14ac:dyDescent="0.25">
      <c r="A258" s="286"/>
      <c r="B258" s="44"/>
      <c r="L258" s="297"/>
      <c r="T258" s="296"/>
      <c r="U258" s="297"/>
      <c r="AC258" s="296"/>
      <c r="AD258" s="297"/>
      <c r="AL258" s="296"/>
      <c r="AM258" s="297"/>
      <c r="BI258" s="296"/>
      <c r="BK258" s="287"/>
      <c r="BM258" s="30">
        <f t="shared" si="4"/>
        <v>2</v>
      </c>
    </row>
    <row r="259" spans="1:65" s="285" customFormat="1" ht="15" customHeight="1" x14ac:dyDescent="0.25">
      <c r="A259" s="286"/>
      <c r="B259" s="44"/>
      <c r="L259" s="297"/>
      <c r="T259" s="296"/>
      <c r="U259" s="297"/>
      <c r="AC259" s="296"/>
      <c r="AD259" s="297"/>
      <c r="AL259" s="296"/>
      <c r="AM259" s="297"/>
      <c r="BI259" s="296"/>
      <c r="BK259" s="287"/>
      <c r="BM259" s="30">
        <f t="shared" si="4"/>
        <v>3</v>
      </c>
    </row>
    <row r="260" spans="1:65" s="285" customFormat="1" ht="15" customHeight="1" x14ac:dyDescent="0.25">
      <c r="A260" s="286"/>
      <c r="B260" s="44"/>
      <c r="L260" s="297"/>
      <c r="T260" s="296"/>
      <c r="U260" s="297"/>
      <c r="AC260" s="296"/>
      <c r="AD260" s="297"/>
      <c r="AL260" s="296"/>
      <c r="AM260" s="297"/>
      <c r="BI260" s="296"/>
      <c r="BK260" s="287"/>
      <c r="BM260" s="30">
        <f t="shared" si="4"/>
        <v>4</v>
      </c>
    </row>
    <row r="261" spans="1:65" s="285" customFormat="1" ht="15" customHeight="1" x14ac:dyDescent="0.25">
      <c r="A261" s="286"/>
      <c r="B261" s="44"/>
      <c r="L261" s="297"/>
      <c r="T261" s="296"/>
      <c r="U261" s="297"/>
      <c r="AC261" s="296"/>
      <c r="AD261" s="297"/>
      <c r="AL261" s="296"/>
      <c r="AM261" s="297"/>
      <c r="BI261" s="296"/>
      <c r="BK261" s="287"/>
      <c r="BM261" s="30">
        <f t="shared" si="4"/>
        <v>5</v>
      </c>
    </row>
    <row r="262" spans="1:65" s="285" customFormat="1" ht="15" customHeight="1" x14ac:dyDescent="0.25">
      <c r="A262" s="286"/>
      <c r="B262" s="44"/>
      <c r="L262" s="297"/>
      <c r="T262" s="296"/>
      <c r="U262" s="297"/>
      <c r="AC262" s="296"/>
      <c r="AD262" s="297"/>
      <c r="AL262" s="296"/>
      <c r="AM262" s="297"/>
      <c r="BI262" s="296"/>
      <c r="BK262" s="287"/>
      <c r="BM262" s="30">
        <f t="shared" si="4"/>
        <v>6</v>
      </c>
    </row>
    <row r="263" spans="1:65" s="285" customFormat="1" ht="15" customHeight="1" x14ac:dyDescent="0.25">
      <c r="A263" s="286"/>
      <c r="B263" s="44"/>
      <c r="L263" s="297"/>
      <c r="T263" s="296"/>
      <c r="U263" s="297"/>
      <c r="AC263" s="296"/>
      <c r="AD263" s="297"/>
      <c r="AL263" s="296"/>
      <c r="AM263" s="297"/>
      <c r="BI263" s="296"/>
      <c r="BK263" s="287"/>
      <c r="BM263" s="30">
        <f t="shared" si="4"/>
        <v>7</v>
      </c>
    </row>
    <row r="264" spans="1:65" s="285" customFormat="1" ht="15" customHeight="1" x14ac:dyDescent="0.25">
      <c r="A264" s="286"/>
      <c r="B264" s="44"/>
      <c r="L264" s="297"/>
      <c r="T264" s="296"/>
      <c r="U264" s="297"/>
      <c r="AC264" s="296"/>
      <c r="AD264" s="297"/>
      <c r="AL264" s="296"/>
      <c r="AM264" s="297"/>
      <c r="BI264" s="296"/>
      <c r="BK264" s="287"/>
      <c r="BM264" s="30">
        <f t="shared" si="4"/>
        <v>8</v>
      </c>
    </row>
    <row r="265" spans="1:65" s="285" customFormat="1" ht="15" customHeight="1" x14ac:dyDescent="0.25">
      <c r="A265" s="286"/>
      <c r="B265" s="44"/>
      <c r="L265" s="297"/>
      <c r="T265" s="296"/>
      <c r="U265" s="297"/>
      <c r="AC265" s="296"/>
      <c r="AD265" s="297"/>
      <c r="AL265" s="296"/>
      <c r="AM265" s="297"/>
      <c r="BI265" s="296"/>
      <c r="BK265" s="287"/>
      <c r="BM265" s="30">
        <f t="shared" si="4"/>
        <v>9</v>
      </c>
    </row>
    <row r="266" spans="1:65" s="285" customFormat="1" ht="15" customHeight="1" x14ac:dyDescent="0.25">
      <c r="A266" s="286"/>
      <c r="B266" s="44"/>
      <c r="L266" s="297"/>
      <c r="T266" s="296"/>
      <c r="U266" s="297"/>
      <c r="AC266" s="296"/>
      <c r="AD266" s="297"/>
      <c r="AL266" s="296"/>
      <c r="AM266" s="297"/>
      <c r="BI266" s="296"/>
      <c r="BK266" s="287"/>
      <c r="BM266" s="30">
        <f t="shared" si="4"/>
        <v>10</v>
      </c>
    </row>
    <row r="267" spans="1:65" s="285" customFormat="1" ht="15" customHeight="1" x14ac:dyDescent="0.25">
      <c r="A267" s="286"/>
      <c r="B267" s="44"/>
      <c r="L267" s="297"/>
      <c r="T267" s="296"/>
      <c r="U267" s="297"/>
      <c r="AC267" s="296"/>
      <c r="AD267" s="297"/>
      <c r="AL267" s="296"/>
      <c r="AM267" s="297"/>
      <c r="BI267" s="296"/>
      <c r="BK267" s="287"/>
      <c r="BM267" s="30">
        <f t="shared" si="4"/>
        <v>11</v>
      </c>
    </row>
    <row r="268" spans="1:65" s="285" customFormat="1" ht="15" customHeight="1" x14ac:dyDescent="0.25">
      <c r="A268" s="286"/>
      <c r="B268" s="44"/>
      <c r="L268" s="297"/>
      <c r="T268" s="296"/>
      <c r="U268" s="297"/>
      <c r="AC268" s="296"/>
      <c r="AD268" s="297"/>
      <c r="AL268" s="296"/>
      <c r="AM268" s="297"/>
      <c r="BI268" s="296"/>
      <c r="BK268" s="287"/>
      <c r="BM268" s="30">
        <f t="shared" si="4"/>
        <v>12</v>
      </c>
    </row>
    <row r="269" spans="1:65" s="285" customFormat="1" ht="15" customHeight="1" x14ac:dyDescent="0.25">
      <c r="A269" s="286"/>
      <c r="B269" s="44"/>
      <c r="L269" s="297"/>
      <c r="T269" s="296"/>
      <c r="U269" s="297"/>
      <c r="AC269" s="296"/>
      <c r="AD269" s="297"/>
      <c r="AL269" s="296"/>
      <c r="AM269" s="297"/>
      <c r="BI269" s="296"/>
      <c r="BK269" s="287"/>
      <c r="BM269" s="30">
        <f t="shared" si="4"/>
        <v>13</v>
      </c>
    </row>
    <row r="270" spans="1:65" s="285" customFormat="1" ht="15" customHeight="1" x14ac:dyDescent="0.25">
      <c r="A270" s="286"/>
      <c r="B270" s="44"/>
      <c r="L270" s="297"/>
      <c r="T270" s="296"/>
      <c r="U270" s="297"/>
      <c r="AC270" s="296"/>
      <c r="AD270" s="297"/>
      <c r="AL270" s="296"/>
      <c r="AM270" s="297"/>
      <c r="BI270" s="296"/>
      <c r="BK270" s="287"/>
      <c r="BM270" s="30">
        <f t="shared" si="4"/>
        <v>14</v>
      </c>
    </row>
    <row r="271" spans="1:65" s="307" customFormat="1" ht="15" customHeight="1" x14ac:dyDescent="0.25">
      <c r="A271" s="302"/>
      <c r="B271" s="303" t="s">
        <v>75</v>
      </c>
      <c r="C271" s="304"/>
      <c r="D271" s="304"/>
      <c r="E271" s="304"/>
      <c r="F271" s="304"/>
      <c r="G271" s="304"/>
      <c r="H271" s="304"/>
      <c r="I271" s="304"/>
      <c r="J271" s="304"/>
      <c r="K271" s="305"/>
      <c r="L271" s="303"/>
      <c r="M271" s="304"/>
      <c r="N271" s="304"/>
      <c r="O271" s="304"/>
      <c r="P271" s="304"/>
      <c r="Q271" s="304"/>
      <c r="R271" s="304"/>
      <c r="S271" s="304"/>
      <c r="T271" s="305"/>
      <c r="U271" s="303"/>
      <c r="V271" s="304"/>
      <c r="W271" s="304"/>
      <c r="X271" s="304"/>
      <c r="Y271" s="304"/>
      <c r="Z271" s="304"/>
      <c r="AA271" s="304"/>
      <c r="AB271" s="304"/>
      <c r="AC271" s="305"/>
      <c r="AD271" s="303"/>
      <c r="AE271" s="304"/>
      <c r="AF271" s="304"/>
      <c r="AG271" s="304"/>
      <c r="AH271" s="304"/>
      <c r="AI271" s="304"/>
      <c r="AJ271" s="304"/>
      <c r="AK271" s="304"/>
      <c r="AL271" s="305"/>
      <c r="AM271" s="303"/>
      <c r="AN271" s="304"/>
      <c r="AO271" s="304"/>
      <c r="AP271" s="304"/>
      <c r="AQ271" s="304"/>
      <c r="AR271" s="304"/>
      <c r="AS271" s="304"/>
      <c r="AT271" s="304"/>
      <c r="AU271" s="304"/>
      <c r="AV271" s="304"/>
      <c r="AW271" s="304"/>
      <c r="AX271" s="304"/>
      <c r="AY271" s="304"/>
      <c r="AZ271" s="304"/>
      <c r="BA271" s="304"/>
      <c r="BB271" s="304"/>
      <c r="BC271" s="304"/>
      <c r="BD271" s="304"/>
      <c r="BE271" s="304"/>
      <c r="BF271" s="304"/>
      <c r="BG271" s="304"/>
      <c r="BH271" s="304"/>
      <c r="BI271" s="305"/>
      <c r="BJ271" s="304"/>
      <c r="BK271" s="306"/>
      <c r="BM271" s="30">
        <f t="shared" si="4"/>
        <v>15</v>
      </c>
    </row>
    <row r="272" spans="1:65" s="307" customFormat="1" ht="15" customHeight="1" x14ac:dyDescent="0.25">
      <c r="A272" s="302"/>
      <c r="B272" s="308"/>
      <c r="L272" s="308"/>
      <c r="T272" s="309"/>
      <c r="U272" s="308"/>
      <c r="AC272" s="309"/>
      <c r="AD272" s="308"/>
      <c r="AL272" s="309"/>
      <c r="AM272" s="308"/>
      <c r="BI272" s="309"/>
      <c r="BK272" s="306"/>
      <c r="BM272" s="30">
        <f t="shared" si="4"/>
        <v>16</v>
      </c>
    </row>
    <row r="273" spans="1:82" s="307" customFormat="1" ht="15" customHeight="1" x14ac:dyDescent="0.25">
      <c r="A273" s="302"/>
      <c r="B273" s="308"/>
      <c r="L273" s="308"/>
      <c r="T273" s="309"/>
      <c r="U273" s="308"/>
      <c r="AC273" s="309"/>
      <c r="AD273" s="308"/>
      <c r="AL273" s="309"/>
      <c r="AM273" s="308"/>
      <c r="BI273" s="309"/>
      <c r="BK273" s="306"/>
      <c r="BM273" s="30">
        <f t="shared" si="4"/>
        <v>17</v>
      </c>
    </row>
    <row r="274" spans="1:82" s="307" customFormat="1" ht="15" customHeight="1" x14ac:dyDescent="0.25">
      <c r="A274" s="302"/>
      <c r="B274" s="308"/>
      <c r="L274" s="308"/>
      <c r="T274" s="309"/>
      <c r="U274" s="308"/>
      <c r="AC274" s="309"/>
      <c r="AD274" s="308"/>
      <c r="AL274" s="309"/>
      <c r="AM274" s="308"/>
      <c r="BI274" s="309"/>
      <c r="BK274" s="306"/>
      <c r="BM274" s="30">
        <f>IF(BM267=50,1,BM267+1)</f>
        <v>12</v>
      </c>
      <c r="BQ274" s="46"/>
      <c r="BR274" s="46"/>
      <c r="BS274" s="46"/>
      <c r="BT274" s="46"/>
      <c r="BU274" s="46"/>
      <c r="BV274" s="46"/>
      <c r="BW274" s="46"/>
      <c r="BX274" s="46"/>
      <c r="BY274" s="46"/>
      <c r="BZ274" s="46"/>
      <c r="CA274" s="46"/>
      <c r="CB274" s="46"/>
      <c r="CC274" s="46"/>
      <c r="CD274" s="46"/>
    </row>
    <row r="275" spans="1:82" s="307" customFormat="1" ht="15" customHeight="1" x14ac:dyDescent="0.25">
      <c r="A275" s="302"/>
      <c r="B275" s="308"/>
      <c r="L275" s="308"/>
      <c r="T275" s="309"/>
      <c r="U275" s="308"/>
      <c r="AC275" s="309"/>
      <c r="AD275" s="308"/>
      <c r="AL275" s="309"/>
      <c r="AM275" s="308"/>
      <c r="BI275" s="309"/>
      <c r="BK275" s="306"/>
      <c r="BM275" s="30">
        <f t="shared" ref="BM275" si="5">IF(BM274=50,1,BM274+1)</f>
        <v>13</v>
      </c>
      <c r="BQ275" s="46"/>
      <c r="BR275" s="46"/>
      <c r="BS275" s="46"/>
      <c r="BT275" s="46"/>
      <c r="BU275" s="46"/>
      <c r="BV275" s="46"/>
      <c r="BW275" s="46"/>
      <c r="BX275" s="46"/>
      <c r="BY275" s="46"/>
      <c r="BZ275" s="46"/>
      <c r="CA275" s="46"/>
      <c r="CB275" s="46"/>
      <c r="CC275" s="46"/>
      <c r="CD275" s="46"/>
    </row>
    <row r="276" spans="1:82" s="307" customFormat="1" ht="15" customHeight="1" x14ac:dyDescent="0.25">
      <c r="A276" s="302"/>
      <c r="B276" s="308"/>
      <c r="L276" s="308"/>
      <c r="T276" s="309"/>
      <c r="U276" s="308"/>
      <c r="AC276" s="309"/>
      <c r="AD276" s="308"/>
      <c r="AL276" s="309"/>
      <c r="AM276" s="308"/>
      <c r="BI276" s="309"/>
      <c r="BK276" s="306"/>
      <c r="BM276" s="30">
        <f>IF(BM273=50,1,BM273+1)</f>
        <v>18</v>
      </c>
      <c r="BQ276" s="46"/>
      <c r="BR276" s="46"/>
      <c r="BS276" s="46"/>
      <c r="BT276" s="46"/>
      <c r="BU276" s="46"/>
      <c r="BV276" s="46"/>
      <c r="BW276" s="46"/>
      <c r="BX276" s="46"/>
      <c r="BY276" s="46"/>
      <c r="BZ276" s="46"/>
      <c r="CA276" s="46"/>
      <c r="CB276" s="46"/>
      <c r="CC276" s="46"/>
      <c r="CD276" s="46"/>
    </row>
    <row r="277" spans="1:82" s="307" customFormat="1" ht="15" customHeight="1" x14ac:dyDescent="0.25">
      <c r="A277" s="302"/>
      <c r="B277" s="308"/>
      <c r="L277" s="308"/>
      <c r="T277" s="309"/>
      <c r="U277" s="308"/>
      <c r="AC277" s="309"/>
      <c r="AD277" s="308"/>
      <c r="AL277" s="309"/>
      <c r="AM277" s="308"/>
      <c r="BI277" s="309"/>
      <c r="BK277" s="306"/>
      <c r="BM277" s="30">
        <f t="shared" ref="BM277:BM282" si="6">IF(BM276=50,1,BM276+1)</f>
        <v>19</v>
      </c>
      <c r="BQ277" s="46"/>
      <c r="BR277" s="46"/>
      <c r="BS277" s="46"/>
      <c r="BT277" s="46"/>
      <c r="BU277" s="46"/>
      <c r="BV277" s="46"/>
      <c r="BW277" s="46"/>
      <c r="BX277" s="46"/>
      <c r="BY277" s="46"/>
      <c r="BZ277" s="46"/>
      <c r="CA277" s="46"/>
      <c r="CB277" s="46"/>
      <c r="CC277" s="46"/>
      <c r="CD277" s="46"/>
    </row>
    <row r="278" spans="1:82" s="307" customFormat="1" ht="15" customHeight="1" x14ac:dyDescent="0.25">
      <c r="A278" s="302"/>
      <c r="B278" s="308"/>
      <c r="L278" s="308"/>
      <c r="T278" s="309"/>
      <c r="U278" s="308"/>
      <c r="AC278" s="309"/>
      <c r="AD278" s="308"/>
      <c r="AL278" s="309"/>
      <c r="AM278" s="308"/>
      <c r="BI278" s="309"/>
      <c r="BK278" s="306"/>
      <c r="BM278" s="30">
        <f t="shared" si="6"/>
        <v>20</v>
      </c>
      <c r="BQ278" s="46"/>
      <c r="BR278" s="46"/>
      <c r="BS278" s="46"/>
      <c r="BT278" s="46"/>
      <c r="BU278" s="46"/>
      <c r="BV278" s="46"/>
      <c r="BW278" s="46"/>
      <c r="BX278" s="46"/>
      <c r="BY278" s="46"/>
      <c r="BZ278" s="46"/>
      <c r="CA278" s="46"/>
      <c r="CB278" s="46"/>
      <c r="CC278" s="46"/>
      <c r="CD278" s="46"/>
    </row>
    <row r="279" spans="1:82" s="307" customFormat="1" ht="15" customHeight="1" x14ac:dyDescent="0.25">
      <c r="A279" s="302"/>
      <c r="B279" s="308"/>
      <c r="L279" s="308"/>
      <c r="T279" s="309"/>
      <c r="U279" s="308"/>
      <c r="AC279" s="309"/>
      <c r="AD279" s="308"/>
      <c r="AL279" s="309"/>
      <c r="AM279" s="308"/>
      <c r="BI279" s="309"/>
      <c r="BK279" s="306"/>
      <c r="BM279" s="30">
        <f t="shared" si="6"/>
        <v>21</v>
      </c>
      <c r="BQ279" s="46"/>
      <c r="BR279" s="46"/>
      <c r="BS279" s="46"/>
      <c r="BT279" s="46"/>
      <c r="BU279" s="46"/>
      <c r="BV279" s="46"/>
      <c r="BW279" s="46"/>
      <c r="BX279" s="46"/>
      <c r="BY279" s="46"/>
      <c r="BZ279" s="46"/>
      <c r="CA279" s="46"/>
      <c r="CB279" s="46"/>
      <c r="CC279" s="46"/>
      <c r="CD279" s="46"/>
    </row>
    <row r="280" spans="1:82" s="307" customFormat="1" ht="15" customHeight="1" x14ac:dyDescent="0.25">
      <c r="A280" s="302"/>
      <c r="B280" s="308"/>
      <c r="L280" s="308"/>
      <c r="T280" s="309"/>
      <c r="U280" s="308"/>
      <c r="AC280" s="309"/>
      <c r="AD280" s="308"/>
      <c r="AL280" s="309"/>
      <c r="AM280" s="308"/>
      <c r="BI280" s="309"/>
      <c r="BK280" s="306"/>
      <c r="BM280" s="30">
        <f t="shared" si="6"/>
        <v>22</v>
      </c>
      <c r="BQ280" s="46"/>
      <c r="BR280" s="46"/>
      <c r="BS280" s="46"/>
      <c r="BT280" s="46"/>
      <c r="BU280" s="46"/>
      <c r="BV280" s="46"/>
      <c r="BW280" s="46"/>
      <c r="BX280" s="46"/>
      <c r="BY280" s="46"/>
      <c r="BZ280" s="46"/>
      <c r="CA280" s="46"/>
      <c r="CB280" s="46"/>
      <c r="CC280" s="46"/>
      <c r="CD280" s="46"/>
    </row>
    <row r="281" spans="1:82" s="307" customFormat="1" ht="15" customHeight="1" x14ac:dyDescent="0.25">
      <c r="A281" s="302"/>
      <c r="B281" s="308"/>
      <c r="L281" s="308"/>
      <c r="T281" s="309"/>
      <c r="U281" s="308"/>
      <c r="AC281" s="309"/>
      <c r="AD281" s="308"/>
      <c r="AL281" s="309"/>
      <c r="AM281" s="308"/>
      <c r="BI281" s="309"/>
      <c r="BK281" s="306"/>
      <c r="BM281" s="30">
        <f t="shared" si="6"/>
        <v>23</v>
      </c>
      <c r="BQ281" s="46"/>
      <c r="BR281" s="46"/>
      <c r="BS281" s="46"/>
      <c r="BT281" s="46"/>
      <c r="BU281" s="46"/>
      <c r="BV281" s="46"/>
      <c r="BW281" s="46"/>
      <c r="BX281" s="46"/>
      <c r="BY281" s="46"/>
      <c r="BZ281" s="46"/>
      <c r="CA281" s="46"/>
      <c r="CB281" s="46"/>
      <c r="CC281" s="46"/>
      <c r="CD281" s="46"/>
    </row>
    <row r="282" spans="1:82" s="307" customFormat="1" ht="15" customHeight="1" x14ac:dyDescent="0.25">
      <c r="A282" s="302"/>
      <c r="B282" s="308"/>
      <c r="L282" s="308"/>
      <c r="T282" s="309"/>
      <c r="U282" s="308"/>
      <c r="AC282" s="309"/>
      <c r="AD282" s="308"/>
      <c r="AL282" s="309"/>
      <c r="AM282" s="308"/>
      <c r="BI282" s="309"/>
      <c r="BK282" s="306"/>
      <c r="BM282" s="30">
        <f t="shared" si="6"/>
        <v>24</v>
      </c>
      <c r="BQ282" s="46"/>
      <c r="BR282" s="46"/>
      <c r="BS282" s="46"/>
      <c r="BT282" s="46"/>
      <c r="BU282" s="46"/>
      <c r="BV282" s="46"/>
      <c r="BW282" s="46"/>
      <c r="BX282" s="46"/>
      <c r="BY282" s="46"/>
      <c r="BZ282" s="46"/>
      <c r="CA282" s="46"/>
      <c r="CB282" s="46"/>
      <c r="CC282" s="46"/>
      <c r="CD282" s="46"/>
    </row>
    <row r="283" spans="1:82" s="307" customFormat="1" ht="15" customHeight="1" x14ac:dyDescent="0.25">
      <c r="A283" s="302"/>
      <c r="B283" s="308"/>
      <c r="L283" s="308"/>
      <c r="T283" s="309"/>
      <c r="U283" s="308"/>
      <c r="AC283" s="309"/>
      <c r="AD283" s="308"/>
      <c r="AL283" s="309"/>
      <c r="AM283" s="308"/>
      <c r="BI283" s="309"/>
      <c r="BK283" s="306"/>
      <c r="BM283" s="30">
        <f>IF(BM273=50,1,BM273+1)</f>
        <v>18</v>
      </c>
      <c r="BQ283" s="46" t="s">
        <v>39</v>
      </c>
      <c r="BR283" s="46"/>
      <c r="BS283" s="46"/>
      <c r="BT283" s="46"/>
      <c r="BU283" s="46"/>
      <c r="BV283" s="46"/>
      <c r="BW283" s="46"/>
      <c r="BX283" s="46"/>
      <c r="BY283" s="46"/>
      <c r="BZ283" s="46"/>
      <c r="CA283" s="46"/>
      <c r="CB283" s="46"/>
      <c r="CC283" s="46"/>
      <c r="CD283" s="46"/>
    </row>
    <row r="284" spans="1:82" s="307" customFormat="1" ht="15" customHeight="1" x14ac:dyDescent="0.25">
      <c r="A284" s="302"/>
      <c r="B284" s="308"/>
      <c r="L284" s="308"/>
      <c r="T284" s="309"/>
      <c r="U284" s="308"/>
      <c r="AC284" s="309"/>
      <c r="AD284" s="308"/>
      <c r="AL284" s="309"/>
      <c r="AM284" s="308"/>
      <c r="BI284" s="309"/>
      <c r="BK284" s="306"/>
      <c r="BM284" s="30">
        <f t="shared" ref="BM284:BM300" si="7">IF(BM283=50,1,BM283+1)</f>
        <v>19</v>
      </c>
    </row>
    <row r="285" spans="1:82" s="307" customFormat="1" ht="15" customHeight="1" x14ac:dyDescent="0.25">
      <c r="A285" s="302"/>
      <c r="B285" s="308"/>
      <c r="L285" s="308"/>
      <c r="T285" s="309"/>
      <c r="U285" s="308"/>
      <c r="AC285" s="309"/>
      <c r="AD285" s="308"/>
      <c r="AL285" s="309"/>
      <c r="AM285" s="308"/>
      <c r="BI285" s="309"/>
      <c r="BK285" s="306"/>
      <c r="BM285" s="30">
        <f t="shared" si="7"/>
        <v>20</v>
      </c>
    </row>
    <row r="286" spans="1:82" s="307" customFormat="1" ht="15" customHeight="1" x14ac:dyDescent="0.25">
      <c r="A286" s="302"/>
      <c r="B286" s="308"/>
      <c r="L286" s="308"/>
      <c r="T286" s="309"/>
      <c r="U286" s="308"/>
      <c r="AC286" s="309"/>
      <c r="AD286" s="308"/>
      <c r="AL286" s="309"/>
      <c r="AM286" s="308"/>
      <c r="BI286" s="309"/>
      <c r="BK286" s="306"/>
      <c r="BM286" s="30">
        <f t="shared" si="7"/>
        <v>21</v>
      </c>
    </row>
    <row r="287" spans="1:82" s="307" customFormat="1" ht="15" customHeight="1" x14ac:dyDescent="0.25">
      <c r="A287" s="302"/>
      <c r="B287" s="308"/>
      <c r="L287" s="308"/>
      <c r="T287" s="309"/>
      <c r="U287" s="308"/>
      <c r="AC287" s="309"/>
      <c r="AD287" s="308"/>
      <c r="AL287" s="309"/>
      <c r="AM287" s="308"/>
      <c r="BI287" s="309"/>
      <c r="BK287" s="306"/>
      <c r="BM287" s="30">
        <f t="shared" si="7"/>
        <v>22</v>
      </c>
    </row>
    <row r="288" spans="1:82" s="307" customFormat="1" ht="15" customHeight="1" x14ac:dyDescent="0.25">
      <c r="A288" s="302"/>
      <c r="B288" s="308"/>
      <c r="L288" s="308"/>
      <c r="T288" s="309"/>
      <c r="U288" s="308"/>
      <c r="AC288" s="309"/>
      <c r="AD288" s="308"/>
      <c r="AL288" s="309"/>
      <c r="AM288" s="308"/>
      <c r="BI288" s="309"/>
      <c r="BK288" s="306"/>
      <c r="BM288" s="30">
        <f t="shared" si="7"/>
        <v>23</v>
      </c>
    </row>
    <row r="289" spans="1:65" s="307" customFormat="1" ht="15" customHeight="1" x14ac:dyDescent="0.25">
      <c r="A289" s="302"/>
      <c r="B289" s="308"/>
      <c r="L289" s="308"/>
      <c r="T289" s="309"/>
      <c r="U289" s="308"/>
      <c r="AC289" s="309"/>
      <c r="AD289" s="308"/>
      <c r="AL289" s="309"/>
      <c r="AM289" s="308"/>
      <c r="BI289" s="309"/>
      <c r="BK289" s="306"/>
      <c r="BM289" s="30">
        <f t="shared" si="7"/>
        <v>24</v>
      </c>
    </row>
    <row r="290" spans="1:65" s="307" customFormat="1" ht="15" customHeight="1" x14ac:dyDescent="0.25">
      <c r="A290" s="302"/>
      <c r="B290" s="308"/>
      <c r="L290" s="308"/>
      <c r="T290" s="309"/>
      <c r="U290" s="308"/>
      <c r="AC290" s="309"/>
      <c r="AD290" s="308"/>
      <c r="AL290" s="309"/>
      <c r="AM290" s="308"/>
      <c r="BI290" s="309"/>
      <c r="BK290" s="306"/>
      <c r="BM290" s="30">
        <f t="shared" si="7"/>
        <v>25</v>
      </c>
    </row>
    <row r="291" spans="1:65" s="307" customFormat="1" ht="15" customHeight="1" x14ac:dyDescent="0.25">
      <c r="A291" s="302"/>
      <c r="B291" s="308"/>
      <c r="L291" s="308"/>
      <c r="T291" s="309"/>
      <c r="U291" s="308"/>
      <c r="AC291" s="309"/>
      <c r="AD291" s="308"/>
      <c r="AL291" s="309"/>
      <c r="AM291" s="308"/>
      <c r="BI291" s="309"/>
      <c r="BK291" s="306"/>
      <c r="BM291" s="30">
        <f t="shared" si="7"/>
        <v>26</v>
      </c>
    </row>
    <row r="292" spans="1:65" s="307" customFormat="1" ht="15" customHeight="1" x14ac:dyDescent="0.25">
      <c r="A292" s="302"/>
      <c r="B292" s="308"/>
      <c r="L292" s="308"/>
      <c r="T292" s="309"/>
      <c r="U292" s="308"/>
      <c r="AC292" s="309"/>
      <c r="AD292" s="308"/>
      <c r="AL292" s="309"/>
      <c r="AM292" s="308"/>
      <c r="BI292" s="309"/>
      <c r="BK292" s="306"/>
      <c r="BM292" s="30">
        <f t="shared" si="7"/>
        <v>27</v>
      </c>
    </row>
    <row r="293" spans="1:65" s="307" customFormat="1" ht="15" customHeight="1" x14ac:dyDescent="0.25">
      <c r="A293" s="302"/>
      <c r="B293" s="308"/>
      <c r="L293" s="308"/>
      <c r="T293" s="309"/>
      <c r="U293" s="308"/>
      <c r="AC293" s="309"/>
      <c r="AD293" s="308"/>
      <c r="AL293" s="309"/>
      <c r="AM293" s="308"/>
      <c r="BI293" s="309"/>
      <c r="BK293" s="306"/>
      <c r="BM293" s="30">
        <f t="shared" si="7"/>
        <v>28</v>
      </c>
    </row>
    <row r="294" spans="1:65" s="307" customFormat="1" ht="15" customHeight="1" x14ac:dyDescent="0.25">
      <c r="A294" s="302"/>
      <c r="B294" s="308"/>
      <c r="L294" s="308"/>
      <c r="T294" s="309"/>
      <c r="U294" s="308"/>
      <c r="AC294" s="309"/>
      <c r="AD294" s="308"/>
      <c r="AL294" s="309"/>
      <c r="AM294" s="308"/>
      <c r="BI294" s="309"/>
      <c r="BK294" s="306"/>
      <c r="BM294" s="30">
        <f t="shared" si="7"/>
        <v>29</v>
      </c>
    </row>
    <row r="295" spans="1:65" s="307" customFormat="1" ht="15" customHeight="1" x14ac:dyDescent="0.25">
      <c r="A295" s="302"/>
      <c r="B295" s="308"/>
      <c r="L295" s="308"/>
      <c r="T295" s="309"/>
      <c r="U295" s="308"/>
      <c r="AC295" s="309"/>
      <c r="AD295" s="308"/>
      <c r="AL295" s="309"/>
      <c r="AM295" s="308"/>
      <c r="BI295" s="309"/>
      <c r="BK295" s="306"/>
      <c r="BM295" s="30">
        <f t="shared" si="7"/>
        <v>30</v>
      </c>
    </row>
    <row r="296" spans="1:65" s="307" customFormat="1" ht="15" customHeight="1" x14ac:dyDescent="0.25">
      <c r="A296" s="302"/>
      <c r="B296" s="308"/>
      <c r="L296" s="308"/>
      <c r="T296" s="309"/>
      <c r="U296" s="308"/>
      <c r="AC296" s="309"/>
      <c r="AD296" s="308"/>
      <c r="AL296" s="309"/>
      <c r="AM296" s="308"/>
      <c r="BI296" s="309"/>
      <c r="BK296" s="306"/>
      <c r="BM296" s="30">
        <f t="shared" si="7"/>
        <v>31</v>
      </c>
    </row>
    <row r="297" spans="1:65" s="307" customFormat="1" ht="15" customHeight="1" x14ac:dyDescent="0.25">
      <c r="A297" s="302"/>
      <c r="B297" s="308"/>
      <c r="L297" s="308"/>
      <c r="T297" s="309"/>
      <c r="U297" s="308"/>
      <c r="AC297" s="309"/>
      <c r="AD297" s="308"/>
      <c r="AL297" s="309"/>
      <c r="AM297" s="308"/>
      <c r="BI297" s="309"/>
      <c r="BK297" s="306"/>
      <c r="BM297" s="30">
        <f t="shared" si="7"/>
        <v>32</v>
      </c>
    </row>
    <row r="298" spans="1:65" s="307" customFormat="1" ht="15" customHeight="1" x14ac:dyDescent="0.25">
      <c r="A298" s="302"/>
      <c r="B298" s="308"/>
      <c r="L298" s="308"/>
      <c r="T298" s="309"/>
      <c r="U298" s="308"/>
      <c r="AC298" s="309"/>
      <c r="AD298" s="308"/>
      <c r="AL298" s="309"/>
      <c r="AM298" s="308"/>
      <c r="BI298" s="309"/>
      <c r="BK298" s="306"/>
      <c r="BM298" s="30">
        <f t="shared" si="7"/>
        <v>33</v>
      </c>
    </row>
    <row r="299" spans="1:65" s="285" customFormat="1" ht="15" customHeight="1" x14ac:dyDescent="0.25">
      <c r="A299" s="286"/>
      <c r="B299" s="44"/>
      <c r="L299" s="297"/>
      <c r="T299" s="296"/>
      <c r="U299" s="297"/>
      <c r="AC299" s="296"/>
      <c r="AD299" s="297"/>
      <c r="AL299" s="296"/>
      <c r="AM299" s="297"/>
      <c r="BI299" s="296"/>
      <c r="BK299" s="287"/>
      <c r="BM299" s="30">
        <f t="shared" si="7"/>
        <v>34</v>
      </c>
    </row>
    <row r="300" spans="1:65" s="285" customFormat="1" ht="15" customHeight="1" x14ac:dyDescent="0.25">
      <c r="A300" s="286"/>
      <c r="B300" s="44"/>
      <c r="L300" s="297"/>
      <c r="T300" s="296"/>
      <c r="U300" s="297"/>
      <c r="AC300" s="296"/>
      <c r="AD300" s="297"/>
      <c r="AL300" s="296"/>
      <c r="AM300" s="297"/>
      <c r="BI300" s="296"/>
      <c r="BK300" s="287"/>
      <c r="BM300" s="30">
        <f t="shared" si="7"/>
        <v>35</v>
      </c>
    </row>
    <row r="301" spans="1:65" s="285" customFormat="1" ht="15" customHeight="1" x14ac:dyDescent="0.25">
      <c r="A301" s="286"/>
      <c r="B301" s="44"/>
      <c r="L301" s="297"/>
      <c r="T301" s="296"/>
      <c r="U301" s="297"/>
      <c r="AC301" s="296"/>
      <c r="AD301" s="297"/>
      <c r="AL301" s="296"/>
      <c r="AM301" s="297"/>
      <c r="BI301" s="296"/>
      <c r="BK301" s="287"/>
      <c r="BM301" s="30">
        <f t="shared" ref="BM301:BM302" si="8">IF(BM300=50,1,BM300+1)</f>
        <v>36</v>
      </c>
    </row>
    <row r="302" spans="1:65" s="285" customFormat="1" ht="15" customHeight="1" x14ac:dyDescent="0.25">
      <c r="A302" s="286"/>
      <c r="B302" s="44"/>
      <c r="L302" s="297"/>
      <c r="T302" s="296"/>
      <c r="U302" s="297"/>
      <c r="AC302" s="296"/>
      <c r="AD302" s="297"/>
      <c r="AL302" s="296"/>
      <c r="AM302" s="297"/>
      <c r="BI302" s="296"/>
      <c r="BK302" s="287"/>
      <c r="BM302" s="30">
        <f t="shared" si="8"/>
        <v>37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11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30" customWidth="1"/>
    <col min="64" max="16384" width="10.109375" style="30"/>
  </cols>
  <sheetData>
    <row r="1" spans="1:63" ht="24.95" customHeight="1" x14ac:dyDescent="0.25">
      <c r="A1" s="310" t="s">
        <v>52</v>
      </c>
      <c r="B1" s="311"/>
      <c r="C1" s="311"/>
      <c r="D1" s="311"/>
      <c r="E1" s="311"/>
      <c r="F1" s="311"/>
      <c r="G1" s="311"/>
      <c r="H1" s="311"/>
      <c r="I1" s="311"/>
      <c r="J1" s="312"/>
      <c r="K1" s="310" t="s">
        <v>53</v>
      </c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2"/>
      <c r="W1" s="313" t="str">
        <f>IF(表紙!W1="","",表紙!W1)</f>
        <v>基本設計書</v>
      </c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4"/>
      <c r="AN1" s="314"/>
      <c r="AO1" s="315"/>
      <c r="AP1" s="230" t="s">
        <v>54</v>
      </c>
      <c r="AQ1" s="231"/>
      <c r="AR1" s="231"/>
      <c r="AS1" s="232"/>
      <c r="AT1" s="230" t="s">
        <v>55</v>
      </c>
      <c r="AU1" s="231"/>
      <c r="AV1" s="231"/>
      <c r="AW1" s="231"/>
      <c r="AX1" s="232"/>
      <c r="AY1" s="230" t="s">
        <v>56</v>
      </c>
      <c r="AZ1" s="231"/>
      <c r="BA1" s="231"/>
      <c r="BB1" s="232"/>
      <c r="BC1" s="230" t="s">
        <v>57</v>
      </c>
      <c r="BD1" s="231"/>
      <c r="BE1" s="231"/>
      <c r="BF1" s="231"/>
      <c r="BG1" s="232"/>
      <c r="BH1" s="230" t="s">
        <v>58</v>
      </c>
      <c r="BI1" s="231"/>
      <c r="BJ1" s="231"/>
      <c r="BK1" s="232"/>
    </row>
    <row r="2" spans="1:63" ht="15" customHeight="1" x14ac:dyDescent="0.25">
      <c r="A2" s="195" t="str">
        <f>IF(表紙!A2="","",表紙!A2)</f>
        <v>POSサーバー</v>
      </c>
      <c r="B2" s="196"/>
      <c r="C2" s="196"/>
      <c r="D2" s="196"/>
      <c r="E2" s="196"/>
      <c r="F2" s="196"/>
      <c r="G2" s="196"/>
      <c r="H2" s="196"/>
      <c r="I2" s="196"/>
      <c r="J2" s="197"/>
      <c r="K2" s="195" t="str">
        <f>IF(表紙!K2="","",表紙!K2)</f>
        <v>POSサーバ</v>
      </c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7"/>
      <c r="W2" s="316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8"/>
      <c r="AP2" s="204" t="str">
        <f>IF(表紙!AP2="","",表紙!AP2)</f>
        <v>AnhDD</v>
      </c>
      <c r="AQ2" s="202"/>
      <c r="AR2" s="202"/>
      <c r="AS2" s="203"/>
      <c r="AT2" s="201">
        <f>IF(表紙!AT2="","",表紙!AT2)</f>
        <v>45432</v>
      </c>
      <c r="AU2" s="240"/>
      <c r="AV2" s="240"/>
      <c r="AW2" s="240"/>
      <c r="AX2" s="241"/>
      <c r="AY2" s="204" t="str">
        <f>IF(表紙!AY2="","",表紙!AY2)</f>
        <v>DuNT</v>
      </c>
      <c r="AZ2" s="202"/>
      <c r="BA2" s="202"/>
      <c r="BB2" s="203"/>
      <c r="BC2" s="201">
        <f>IF(表紙!BC2="","",表紙!BC2)</f>
        <v>45576</v>
      </c>
      <c r="BD2" s="240"/>
      <c r="BE2" s="240"/>
      <c r="BF2" s="240"/>
      <c r="BG2" s="241"/>
      <c r="BH2" s="204">
        <f>IF(表紙!BH2="","",表紙!BH2)</f>
        <v>0.5</v>
      </c>
      <c r="BI2" s="202"/>
      <c r="BJ2" s="202"/>
      <c r="BK2" s="203"/>
    </row>
    <row r="3" spans="1:63" ht="15" customHeight="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200"/>
      <c r="K3" s="198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200"/>
      <c r="W3" s="319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1"/>
      <c r="AP3" s="208"/>
      <c r="AQ3" s="209"/>
      <c r="AR3" s="209"/>
      <c r="AS3" s="210"/>
      <c r="AT3" s="245"/>
      <c r="AU3" s="246"/>
      <c r="AV3" s="246"/>
      <c r="AW3" s="246"/>
      <c r="AX3" s="247"/>
      <c r="AY3" s="208"/>
      <c r="AZ3" s="209"/>
      <c r="BA3" s="209"/>
      <c r="BB3" s="210"/>
      <c r="BC3" s="245"/>
      <c r="BD3" s="246"/>
      <c r="BE3" s="246"/>
      <c r="BF3" s="246"/>
      <c r="BG3" s="247"/>
      <c r="BH3" s="208"/>
      <c r="BI3" s="209"/>
      <c r="BJ3" s="209"/>
      <c r="BK3" s="210"/>
    </row>
    <row r="4" spans="1:63" ht="24.95" customHeight="1" x14ac:dyDescent="0.25">
      <c r="A4" s="310" t="s">
        <v>59</v>
      </c>
      <c r="B4" s="311"/>
      <c r="C4" s="311"/>
      <c r="D4" s="311"/>
      <c r="E4" s="311"/>
      <c r="F4" s="311"/>
      <c r="G4" s="312"/>
      <c r="H4" s="173" t="str">
        <f>IF(表紙!H4="","",表紙!H4)</f>
        <v>40_従業員設定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310" t="s">
        <v>60</v>
      </c>
      <c r="V4" s="311"/>
      <c r="W4" s="311"/>
      <c r="X4" s="311"/>
      <c r="Y4" s="312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6" t="str">
        <f ca="1">MID(CELL("filename",A1),FIND("]",CELL("filename",A1))+1,255)</f>
        <v>画面設計書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4"/>
      <c r="BK6" s="35"/>
    </row>
    <row r="7" spans="1:63" ht="15" customHeight="1" x14ac:dyDescent="0.25">
      <c r="A7" s="34"/>
      <c r="B7" s="322" t="s">
        <v>15</v>
      </c>
      <c r="C7" s="322"/>
      <c r="D7" s="322"/>
      <c r="E7" s="322"/>
      <c r="F7" s="322"/>
      <c r="G7" s="322"/>
      <c r="H7" s="322"/>
      <c r="I7" s="322"/>
      <c r="J7" s="322"/>
      <c r="AE7" s="36"/>
      <c r="BK7" s="35"/>
    </row>
    <row r="8" spans="1:63" ht="15" customHeight="1" x14ac:dyDescent="0.25">
      <c r="A8" s="34"/>
      <c r="BK8" s="35"/>
    </row>
    <row r="9" spans="1:63" ht="15" customHeight="1" x14ac:dyDescent="0.25">
      <c r="A9" s="34"/>
      <c r="BK9" s="35"/>
    </row>
    <row r="10" spans="1:63" ht="15" customHeight="1" x14ac:dyDescent="0.25">
      <c r="A10" s="34"/>
      <c r="BK10" s="35"/>
    </row>
    <row r="11" spans="1:63" ht="15" customHeight="1" x14ac:dyDescent="0.25">
      <c r="A11" s="34"/>
      <c r="BK11" s="35"/>
    </row>
    <row r="12" spans="1:63" ht="15" customHeight="1" x14ac:dyDescent="0.25">
      <c r="A12" s="34"/>
      <c r="BK12" s="35"/>
    </row>
    <row r="13" spans="1:63" ht="15" customHeight="1" x14ac:dyDescent="0.25">
      <c r="A13" s="34"/>
      <c r="BK13" s="35"/>
    </row>
    <row r="14" spans="1:63" ht="15" customHeight="1" x14ac:dyDescent="0.25">
      <c r="A14" s="34"/>
      <c r="BK14" s="35"/>
    </row>
    <row r="15" spans="1:63" ht="15" customHeight="1" x14ac:dyDescent="0.25">
      <c r="A15" s="34"/>
      <c r="BK15" s="35"/>
    </row>
    <row r="16" spans="1:63" ht="15" customHeight="1" x14ac:dyDescent="0.25">
      <c r="A16" s="34"/>
      <c r="BK16" s="35"/>
    </row>
    <row r="17" spans="1:63" ht="15" customHeight="1" x14ac:dyDescent="0.25">
      <c r="A17" s="34"/>
      <c r="BK17" s="35"/>
    </row>
    <row r="18" spans="1:63" ht="15" customHeight="1" x14ac:dyDescent="0.25">
      <c r="A18" s="34"/>
      <c r="BK18" s="35"/>
    </row>
    <row r="19" spans="1:63" ht="15" customHeight="1" x14ac:dyDescent="0.25">
      <c r="A19" s="34"/>
      <c r="BK19" s="35"/>
    </row>
    <row r="20" spans="1:63" ht="15" customHeight="1" x14ac:dyDescent="0.25">
      <c r="A20" s="34"/>
      <c r="BK20" s="35"/>
    </row>
    <row r="21" spans="1:63" ht="15" customHeight="1" x14ac:dyDescent="0.25">
      <c r="A21" s="34"/>
      <c r="BK21" s="35"/>
    </row>
    <row r="22" spans="1:63" ht="15" customHeight="1" x14ac:dyDescent="0.25">
      <c r="A22" s="34"/>
      <c r="BK22" s="35"/>
    </row>
    <row r="23" spans="1:63" ht="15" customHeight="1" x14ac:dyDescent="0.25">
      <c r="A23" s="34"/>
      <c r="BK23" s="35"/>
    </row>
    <row r="24" spans="1:63" ht="15" customHeight="1" x14ac:dyDescent="0.25">
      <c r="A24" s="34"/>
      <c r="BK24" s="35"/>
    </row>
    <row r="25" spans="1:63" ht="14.25" customHeight="1" x14ac:dyDescent="0.25">
      <c r="A25" s="34"/>
      <c r="BK25" s="35"/>
    </row>
    <row r="26" spans="1:63" ht="15" customHeight="1" x14ac:dyDescent="0.25">
      <c r="A26" s="34"/>
      <c r="BK26" s="35"/>
    </row>
    <row r="27" spans="1:63" ht="15" customHeight="1" x14ac:dyDescent="0.25">
      <c r="A27" s="34"/>
      <c r="BK27" s="35"/>
    </row>
    <row r="28" spans="1:63" x14ac:dyDescent="0.25">
      <c r="BK28" s="35"/>
    </row>
    <row r="29" spans="1:63" x14ac:dyDescent="0.25">
      <c r="BK29" s="35"/>
    </row>
    <row r="30" spans="1:63" x14ac:dyDescent="0.25">
      <c r="BK30" s="35"/>
    </row>
    <row r="31" spans="1:63" x14ac:dyDescent="0.25">
      <c r="BK31" s="35"/>
    </row>
    <row r="32" spans="1:63" x14ac:dyDescent="0.25">
      <c r="BK32" s="35"/>
    </row>
    <row r="33" spans="1:63" x14ac:dyDescent="0.25">
      <c r="BK33" s="35"/>
    </row>
    <row r="34" spans="1:63" x14ac:dyDescent="0.25">
      <c r="BK34" s="35"/>
    </row>
    <row r="35" spans="1:63" ht="15" customHeight="1" x14ac:dyDescent="0.25">
      <c r="A35" s="34"/>
      <c r="B35" s="36" t="s">
        <v>77</v>
      </c>
      <c r="BK35" s="35"/>
    </row>
    <row r="36" spans="1:63" x14ac:dyDescent="0.25">
      <c r="BK36" s="35"/>
    </row>
    <row r="37" spans="1:63" ht="15.75" customHeight="1" x14ac:dyDescent="0.25">
      <c r="B37" s="177" t="s">
        <v>78</v>
      </c>
      <c r="C37" s="178"/>
      <c r="D37" s="183" t="s">
        <v>79</v>
      </c>
      <c r="E37" s="184"/>
      <c r="F37" s="184"/>
      <c r="G37" s="184"/>
      <c r="H37" s="184"/>
      <c r="I37" s="184"/>
      <c r="J37" s="178"/>
      <c r="K37" s="183" t="s">
        <v>80</v>
      </c>
      <c r="L37" s="184"/>
      <c r="M37" s="178"/>
      <c r="N37" s="187" t="s">
        <v>16</v>
      </c>
      <c r="O37" s="190" t="s">
        <v>81</v>
      </c>
      <c r="P37" s="137" t="s">
        <v>82</v>
      </c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  <c r="AE37" s="138"/>
      <c r="AF37" s="138"/>
      <c r="AG37" s="138"/>
      <c r="AH37" s="138"/>
      <c r="AI37" s="138"/>
      <c r="AJ37" s="138"/>
      <c r="AK37" s="138"/>
      <c r="AL37" s="138"/>
      <c r="AM37" s="138"/>
      <c r="AN37" s="138"/>
      <c r="AO37" s="138"/>
      <c r="AP37" s="138"/>
      <c r="AQ37" s="139"/>
      <c r="AR37" s="140" t="s">
        <v>83</v>
      </c>
      <c r="AS37" s="141"/>
      <c r="AT37" s="141"/>
      <c r="AU37" s="141"/>
      <c r="AV37" s="141"/>
      <c r="AW37" s="141"/>
      <c r="AX37" s="141"/>
      <c r="AY37" s="141"/>
      <c r="AZ37" s="141"/>
      <c r="BA37" s="141"/>
      <c r="BB37" s="142"/>
      <c r="BC37" s="143" t="s">
        <v>84</v>
      </c>
      <c r="BD37" s="144"/>
      <c r="BE37" s="144"/>
      <c r="BF37" s="144"/>
      <c r="BG37" s="144"/>
      <c r="BH37" s="144"/>
      <c r="BI37" s="144"/>
      <c r="BJ37" s="145"/>
      <c r="BK37" s="35"/>
    </row>
    <row r="38" spans="1:63" ht="15.75" customHeight="1" x14ac:dyDescent="0.25">
      <c r="B38" s="179"/>
      <c r="C38" s="180"/>
      <c r="D38" s="179"/>
      <c r="E38" s="185"/>
      <c r="F38" s="185"/>
      <c r="G38" s="185"/>
      <c r="H38" s="185"/>
      <c r="I38" s="185"/>
      <c r="J38" s="180"/>
      <c r="K38" s="179"/>
      <c r="L38" s="185"/>
      <c r="M38" s="180"/>
      <c r="N38" s="188"/>
      <c r="O38" s="191"/>
      <c r="P38" s="152" t="s">
        <v>85</v>
      </c>
      <c r="Q38" s="153"/>
      <c r="R38" s="153"/>
      <c r="S38" s="153"/>
      <c r="T38" s="153"/>
      <c r="U38" s="153"/>
      <c r="V38" s="153"/>
      <c r="W38" s="154"/>
      <c r="X38" s="155" t="s">
        <v>86</v>
      </c>
      <c r="Y38" s="156"/>
      <c r="Z38" s="157"/>
      <c r="AA38" s="155" t="s">
        <v>87</v>
      </c>
      <c r="AB38" s="156"/>
      <c r="AC38" s="156"/>
      <c r="AD38" s="156"/>
      <c r="AE38" s="156"/>
      <c r="AF38" s="156"/>
      <c r="AG38" s="156"/>
      <c r="AH38" s="157"/>
      <c r="AI38" s="155" t="s">
        <v>88</v>
      </c>
      <c r="AJ38" s="156"/>
      <c r="AK38" s="156"/>
      <c r="AL38" s="156"/>
      <c r="AM38" s="156"/>
      <c r="AN38" s="156"/>
      <c r="AO38" s="156"/>
      <c r="AP38" s="156"/>
      <c r="AQ38" s="157"/>
      <c r="AR38" s="161" t="s">
        <v>17</v>
      </c>
      <c r="AS38" s="163" t="s">
        <v>89</v>
      </c>
      <c r="AT38" s="165" t="s">
        <v>90</v>
      </c>
      <c r="AU38" s="140" t="s">
        <v>85</v>
      </c>
      <c r="AV38" s="141"/>
      <c r="AW38" s="141"/>
      <c r="AX38" s="141"/>
      <c r="AY38" s="141"/>
      <c r="AZ38" s="141"/>
      <c r="BA38" s="141"/>
      <c r="BB38" s="142"/>
      <c r="BC38" s="146"/>
      <c r="BD38" s="147"/>
      <c r="BE38" s="147"/>
      <c r="BF38" s="147"/>
      <c r="BG38" s="147"/>
      <c r="BH38" s="147"/>
      <c r="BI38" s="147"/>
      <c r="BJ38" s="148"/>
      <c r="BK38" s="35"/>
    </row>
    <row r="39" spans="1:63" x14ac:dyDescent="0.25">
      <c r="B39" s="181"/>
      <c r="C39" s="182"/>
      <c r="D39" s="181"/>
      <c r="E39" s="186"/>
      <c r="F39" s="186"/>
      <c r="G39" s="186"/>
      <c r="H39" s="186"/>
      <c r="I39" s="186"/>
      <c r="J39" s="182"/>
      <c r="K39" s="181"/>
      <c r="L39" s="186"/>
      <c r="M39" s="182"/>
      <c r="N39" s="189"/>
      <c r="O39" s="192"/>
      <c r="P39" s="137" t="s">
        <v>91</v>
      </c>
      <c r="Q39" s="138"/>
      <c r="R39" s="138"/>
      <c r="S39" s="139"/>
      <c r="T39" s="137" t="s">
        <v>79</v>
      </c>
      <c r="U39" s="138"/>
      <c r="V39" s="138"/>
      <c r="W39" s="139"/>
      <c r="X39" s="158"/>
      <c r="Y39" s="159"/>
      <c r="Z39" s="160"/>
      <c r="AA39" s="158"/>
      <c r="AB39" s="159"/>
      <c r="AC39" s="159"/>
      <c r="AD39" s="159"/>
      <c r="AE39" s="159"/>
      <c r="AF39" s="159"/>
      <c r="AG39" s="159"/>
      <c r="AH39" s="160"/>
      <c r="AI39" s="158"/>
      <c r="AJ39" s="159"/>
      <c r="AK39" s="159"/>
      <c r="AL39" s="159"/>
      <c r="AM39" s="159"/>
      <c r="AN39" s="159"/>
      <c r="AO39" s="159"/>
      <c r="AP39" s="159"/>
      <c r="AQ39" s="160"/>
      <c r="AR39" s="162"/>
      <c r="AS39" s="164"/>
      <c r="AT39" s="166"/>
      <c r="AU39" s="140" t="s">
        <v>91</v>
      </c>
      <c r="AV39" s="141"/>
      <c r="AW39" s="141"/>
      <c r="AX39" s="193"/>
      <c r="AY39" s="194" t="s">
        <v>79</v>
      </c>
      <c r="AZ39" s="141"/>
      <c r="BA39" s="141"/>
      <c r="BB39" s="142"/>
      <c r="BC39" s="149"/>
      <c r="BD39" s="150"/>
      <c r="BE39" s="150"/>
      <c r="BF39" s="150"/>
      <c r="BG39" s="150"/>
      <c r="BH39" s="150"/>
      <c r="BI39" s="150"/>
      <c r="BJ39" s="151"/>
      <c r="BK39" s="35"/>
    </row>
    <row r="40" spans="1:63" ht="15.75" customHeight="1" x14ac:dyDescent="0.25">
      <c r="B40" s="130">
        <v>1</v>
      </c>
      <c r="C40" s="131"/>
      <c r="D40" s="132"/>
      <c r="E40" s="133"/>
      <c r="F40" s="133"/>
      <c r="G40" s="133"/>
      <c r="H40" s="133"/>
      <c r="I40" s="133"/>
      <c r="J40" s="134"/>
      <c r="K40" s="116" t="s">
        <v>18</v>
      </c>
      <c r="L40" s="117"/>
      <c r="M40" s="118"/>
      <c r="N40" s="37" t="s">
        <v>19</v>
      </c>
      <c r="O40" s="38" t="s">
        <v>20</v>
      </c>
      <c r="P40" s="135" t="s">
        <v>19</v>
      </c>
      <c r="Q40" s="136"/>
      <c r="R40" s="136"/>
      <c r="S40" s="131"/>
      <c r="T40" s="135" t="s">
        <v>19</v>
      </c>
      <c r="U40" s="136"/>
      <c r="V40" s="136"/>
      <c r="W40" s="131"/>
      <c r="X40" s="167" t="s">
        <v>76</v>
      </c>
      <c r="Y40" s="168"/>
      <c r="Z40" s="169"/>
      <c r="AA40" s="130" t="s">
        <v>21</v>
      </c>
      <c r="AB40" s="136"/>
      <c r="AC40" s="136"/>
      <c r="AD40" s="136"/>
      <c r="AE40" s="136"/>
      <c r="AF40" s="136"/>
      <c r="AG40" s="136"/>
      <c r="AH40" s="131"/>
      <c r="AI40" s="170" t="s">
        <v>19</v>
      </c>
      <c r="AJ40" s="171"/>
      <c r="AK40" s="171"/>
      <c r="AL40" s="171"/>
      <c r="AM40" s="171"/>
      <c r="AN40" s="171"/>
      <c r="AO40" s="171"/>
      <c r="AP40" s="171"/>
      <c r="AQ40" s="172"/>
      <c r="AR40" s="39" t="s">
        <v>19</v>
      </c>
      <c r="AS40" s="39" t="s">
        <v>21</v>
      </c>
      <c r="AT40" s="39" t="s">
        <v>21</v>
      </c>
      <c r="AU40" s="130" t="s">
        <v>22</v>
      </c>
      <c r="AV40" s="136"/>
      <c r="AW40" s="136"/>
      <c r="AX40" s="131"/>
      <c r="AY40" s="130" t="s">
        <v>21</v>
      </c>
      <c r="AZ40" s="136"/>
      <c r="BA40" s="136"/>
      <c r="BB40" s="131"/>
      <c r="BC40" s="323"/>
      <c r="BD40" s="324"/>
      <c r="BE40" s="324"/>
      <c r="BF40" s="324"/>
      <c r="BG40" s="324"/>
      <c r="BH40" s="324"/>
      <c r="BI40" s="324"/>
      <c r="BJ40" s="325"/>
      <c r="BK40" s="35"/>
    </row>
    <row r="41" spans="1:63" x14ac:dyDescent="0.25">
      <c r="B41" s="109">
        <v>2</v>
      </c>
      <c r="C41" s="108"/>
      <c r="D41" s="127"/>
      <c r="E41" s="128"/>
      <c r="F41" s="128"/>
      <c r="G41" s="128"/>
      <c r="H41" s="128"/>
      <c r="I41" s="128"/>
      <c r="J41" s="129"/>
      <c r="K41" s="116" t="s">
        <v>18</v>
      </c>
      <c r="L41" s="117"/>
      <c r="M41" s="118"/>
      <c r="N41" s="38" t="s">
        <v>23</v>
      </c>
      <c r="O41" s="38" t="s">
        <v>20</v>
      </c>
      <c r="P41" s="109" t="s">
        <v>22</v>
      </c>
      <c r="Q41" s="107"/>
      <c r="R41" s="107"/>
      <c r="S41" s="108"/>
      <c r="T41" s="109" t="s">
        <v>22</v>
      </c>
      <c r="U41" s="107"/>
      <c r="V41" s="107"/>
      <c r="W41" s="108"/>
      <c r="X41" s="123" t="s">
        <v>92</v>
      </c>
      <c r="Y41" s="124"/>
      <c r="Z41" s="125"/>
      <c r="AA41" s="109" t="s">
        <v>21</v>
      </c>
      <c r="AB41" s="107"/>
      <c r="AC41" s="107"/>
      <c r="AD41" s="107"/>
      <c r="AE41" s="107"/>
      <c r="AF41" s="107"/>
      <c r="AG41" s="107"/>
      <c r="AH41" s="108"/>
      <c r="AI41" s="110" t="s">
        <v>21</v>
      </c>
      <c r="AJ41" s="111"/>
      <c r="AK41" s="111"/>
      <c r="AL41" s="111"/>
      <c r="AM41" s="111"/>
      <c r="AN41" s="111"/>
      <c r="AO41" s="111"/>
      <c r="AP41" s="111"/>
      <c r="AQ41" s="112"/>
      <c r="AR41" s="40" t="s">
        <v>19</v>
      </c>
      <c r="AS41" s="40" t="s">
        <v>21</v>
      </c>
      <c r="AT41" s="40" t="s">
        <v>21</v>
      </c>
      <c r="AU41" s="109" t="s">
        <v>22</v>
      </c>
      <c r="AV41" s="107"/>
      <c r="AW41" s="107"/>
      <c r="AX41" s="108"/>
      <c r="AY41" s="109" t="s">
        <v>21</v>
      </c>
      <c r="AZ41" s="107"/>
      <c r="BA41" s="107"/>
      <c r="BB41" s="108"/>
      <c r="BC41" s="122"/>
      <c r="BD41" s="326"/>
      <c r="BE41" s="326"/>
      <c r="BF41" s="326"/>
      <c r="BG41" s="326"/>
      <c r="BH41" s="326"/>
      <c r="BI41" s="326"/>
      <c r="BJ41" s="327"/>
      <c r="BK41" s="35"/>
    </row>
    <row r="42" spans="1:63" x14ac:dyDescent="0.25">
      <c r="B42" s="109">
        <v>3</v>
      </c>
      <c r="C42" s="108"/>
      <c r="D42" s="113"/>
      <c r="E42" s="114"/>
      <c r="F42" s="114"/>
      <c r="G42" s="114"/>
      <c r="H42" s="114"/>
      <c r="I42" s="114"/>
      <c r="J42" s="115"/>
      <c r="K42" s="116" t="s">
        <v>18</v>
      </c>
      <c r="L42" s="117"/>
      <c r="M42" s="118"/>
      <c r="N42" s="38" t="s">
        <v>24</v>
      </c>
      <c r="O42" s="38" t="s">
        <v>19</v>
      </c>
      <c r="P42" s="126" t="s">
        <v>19</v>
      </c>
      <c r="Q42" s="107"/>
      <c r="R42" s="107"/>
      <c r="S42" s="108"/>
      <c r="T42" s="109"/>
      <c r="U42" s="107"/>
      <c r="V42" s="107"/>
      <c r="W42" s="108"/>
      <c r="X42" s="119" t="s">
        <v>19</v>
      </c>
      <c r="Y42" s="120"/>
      <c r="Z42" s="121"/>
      <c r="AA42" s="109" t="s">
        <v>21</v>
      </c>
      <c r="AB42" s="107"/>
      <c r="AC42" s="107"/>
      <c r="AD42" s="107"/>
      <c r="AE42" s="107"/>
      <c r="AF42" s="107"/>
      <c r="AG42" s="107"/>
      <c r="AH42" s="108"/>
      <c r="AI42" s="110" t="s">
        <v>21</v>
      </c>
      <c r="AJ42" s="111"/>
      <c r="AK42" s="111"/>
      <c r="AL42" s="111"/>
      <c r="AM42" s="111"/>
      <c r="AN42" s="111"/>
      <c r="AO42" s="111"/>
      <c r="AP42" s="111"/>
      <c r="AQ42" s="112"/>
      <c r="AR42" s="40" t="s">
        <v>19</v>
      </c>
      <c r="AS42" s="40" t="s">
        <v>21</v>
      </c>
      <c r="AT42" s="40" t="s">
        <v>21</v>
      </c>
      <c r="AU42" s="109" t="s">
        <v>22</v>
      </c>
      <c r="AV42" s="107"/>
      <c r="AW42" s="107"/>
      <c r="AX42" s="108"/>
      <c r="AY42" s="109" t="s">
        <v>21</v>
      </c>
      <c r="AZ42" s="107"/>
      <c r="BA42" s="107"/>
      <c r="BB42" s="108"/>
      <c r="BC42" s="328"/>
      <c r="BD42" s="326"/>
      <c r="BE42" s="326"/>
      <c r="BF42" s="326"/>
      <c r="BG42" s="326"/>
      <c r="BH42" s="326"/>
      <c r="BI42" s="326"/>
      <c r="BJ42" s="327"/>
      <c r="BK42" s="35"/>
    </row>
    <row r="43" spans="1:63" x14ac:dyDescent="0.25">
      <c r="B43" s="109">
        <v>4</v>
      </c>
      <c r="C43" s="108"/>
      <c r="D43" s="329"/>
      <c r="E43" s="330"/>
      <c r="F43" s="330"/>
      <c r="G43" s="330"/>
      <c r="H43" s="330"/>
      <c r="I43" s="330"/>
      <c r="J43" s="331"/>
      <c r="K43" s="116" t="s">
        <v>18</v>
      </c>
      <c r="L43" s="117"/>
      <c r="M43" s="118"/>
      <c r="N43" s="41" t="s">
        <v>23</v>
      </c>
      <c r="O43" s="38" t="s">
        <v>20</v>
      </c>
      <c r="P43" s="109" t="s">
        <v>22</v>
      </c>
      <c r="Q43" s="107"/>
      <c r="R43" s="107"/>
      <c r="S43" s="108"/>
      <c r="T43" s="109" t="s">
        <v>22</v>
      </c>
      <c r="U43" s="107"/>
      <c r="V43" s="107"/>
      <c r="W43" s="108"/>
      <c r="X43" s="106" t="s">
        <v>25</v>
      </c>
      <c r="Y43" s="107"/>
      <c r="Z43" s="108"/>
      <c r="AA43" s="109" t="s">
        <v>21</v>
      </c>
      <c r="AB43" s="107"/>
      <c r="AC43" s="107"/>
      <c r="AD43" s="107"/>
      <c r="AE43" s="107"/>
      <c r="AF43" s="107"/>
      <c r="AG43" s="107"/>
      <c r="AH43" s="108"/>
      <c r="AI43" s="110" t="s">
        <v>21</v>
      </c>
      <c r="AJ43" s="111"/>
      <c r="AK43" s="111"/>
      <c r="AL43" s="111"/>
      <c r="AM43" s="111"/>
      <c r="AN43" s="111"/>
      <c r="AO43" s="111"/>
      <c r="AP43" s="111"/>
      <c r="AQ43" s="112"/>
      <c r="AR43" s="40" t="s">
        <v>19</v>
      </c>
      <c r="AS43" s="40" t="s">
        <v>21</v>
      </c>
      <c r="AT43" s="40" t="s">
        <v>21</v>
      </c>
      <c r="AU43" s="109" t="s">
        <v>22</v>
      </c>
      <c r="AV43" s="107"/>
      <c r="AW43" s="107"/>
      <c r="AX43" s="108"/>
      <c r="AY43" s="109" t="s">
        <v>21</v>
      </c>
      <c r="AZ43" s="107"/>
      <c r="BA43" s="107"/>
      <c r="BB43" s="108"/>
      <c r="BC43" s="332"/>
      <c r="BD43" s="333"/>
      <c r="BE43" s="333"/>
      <c r="BF43" s="333"/>
      <c r="BG43" s="333"/>
      <c r="BH43" s="333"/>
      <c r="BI43" s="333"/>
      <c r="BJ43" s="334"/>
      <c r="BK43" s="35"/>
    </row>
    <row r="44" spans="1:63" x14ac:dyDescent="0.25">
      <c r="B44" s="109">
        <v>5</v>
      </c>
      <c r="C44" s="108"/>
      <c r="D44" s="113"/>
      <c r="E44" s="114"/>
      <c r="F44" s="114"/>
      <c r="G44" s="114"/>
      <c r="H44" s="114"/>
      <c r="I44" s="114"/>
      <c r="J44" s="115"/>
      <c r="K44" s="116" t="s">
        <v>26</v>
      </c>
      <c r="L44" s="117"/>
      <c r="M44" s="118"/>
      <c r="N44" s="41" t="s">
        <v>24</v>
      </c>
      <c r="O44" s="38" t="s">
        <v>19</v>
      </c>
      <c r="P44" s="109" t="s">
        <v>22</v>
      </c>
      <c r="Q44" s="107"/>
      <c r="R44" s="107"/>
      <c r="S44" s="108"/>
      <c r="T44" s="109" t="s">
        <v>22</v>
      </c>
      <c r="U44" s="107"/>
      <c r="V44" s="107"/>
      <c r="W44" s="108"/>
      <c r="X44" s="106" t="s">
        <v>19</v>
      </c>
      <c r="Y44" s="107"/>
      <c r="Z44" s="108"/>
      <c r="AA44" s="109" t="s">
        <v>21</v>
      </c>
      <c r="AB44" s="107"/>
      <c r="AC44" s="107"/>
      <c r="AD44" s="107"/>
      <c r="AE44" s="107"/>
      <c r="AF44" s="107"/>
      <c r="AG44" s="107"/>
      <c r="AH44" s="108"/>
      <c r="AI44" s="110" t="s">
        <v>21</v>
      </c>
      <c r="AJ44" s="111"/>
      <c r="AK44" s="111"/>
      <c r="AL44" s="111"/>
      <c r="AM44" s="111"/>
      <c r="AN44" s="111"/>
      <c r="AO44" s="111"/>
      <c r="AP44" s="111"/>
      <c r="AQ44" s="112"/>
      <c r="AR44" s="40" t="s">
        <v>19</v>
      </c>
      <c r="AS44" s="40" t="s">
        <v>21</v>
      </c>
      <c r="AT44" s="40" t="s">
        <v>21</v>
      </c>
      <c r="AU44" s="109" t="s">
        <v>22</v>
      </c>
      <c r="AV44" s="107"/>
      <c r="AW44" s="107"/>
      <c r="AX44" s="108"/>
      <c r="AY44" s="109" t="s">
        <v>21</v>
      </c>
      <c r="AZ44" s="107"/>
      <c r="BA44" s="107"/>
      <c r="BB44" s="108"/>
      <c r="BC44" s="328"/>
      <c r="BD44" s="326"/>
      <c r="BE44" s="326"/>
      <c r="BF44" s="326"/>
      <c r="BG44" s="326"/>
      <c r="BH44" s="326"/>
      <c r="BI44" s="326"/>
      <c r="BJ44" s="327"/>
      <c r="BK44" s="35"/>
    </row>
    <row r="45" spans="1:63" x14ac:dyDescent="0.25">
      <c r="B45" s="91">
        <v>6</v>
      </c>
      <c r="C45" s="93"/>
      <c r="D45" s="97"/>
      <c r="E45" s="98"/>
      <c r="F45" s="98"/>
      <c r="G45" s="98"/>
      <c r="H45" s="98"/>
      <c r="I45" s="98"/>
      <c r="J45" s="99"/>
      <c r="K45" s="100" t="s">
        <v>27</v>
      </c>
      <c r="L45" s="101"/>
      <c r="M45" s="102"/>
      <c r="N45" s="42" t="s">
        <v>24</v>
      </c>
      <c r="O45" s="42" t="s">
        <v>20</v>
      </c>
      <c r="P45" s="91" t="s">
        <v>22</v>
      </c>
      <c r="Q45" s="92"/>
      <c r="R45" s="92"/>
      <c r="S45" s="93"/>
      <c r="T45" s="91" t="s">
        <v>22</v>
      </c>
      <c r="U45" s="92"/>
      <c r="V45" s="92"/>
      <c r="W45" s="93"/>
      <c r="X45" s="103" t="s">
        <v>93</v>
      </c>
      <c r="Y45" s="104"/>
      <c r="Z45" s="105"/>
      <c r="AA45" s="91" t="s">
        <v>21</v>
      </c>
      <c r="AB45" s="92"/>
      <c r="AC45" s="92"/>
      <c r="AD45" s="92"/>
      <c r="AE45" s="92"/>
      <c r="AF45" s="92"/>
      <c r="AG45" s="92"/>
      <c r="AH45" s="93"/>
      <c r="AI45" s="94" t="s">
        <v>28</v>
      </c>
      <c r="AJ45" s="95"/>
      <c r="AK45" s="95"/>
      <c r="AL45" s="95"/>
      <c r="AM45" s="95"/>
      <c r="AN45" s="95"/>
      <c r="AO45" s="95"/>
      <c r="AP45" s="95"/>
      <c r="AQ45" s="96"/>
      <c r="AR45" s="43" t="s">
        <v>19</v>
      </c>
      <c r="AS45" s="43" t="s">
        <v>21</v>
      </c>
      <c r="AT45" s="43" t="s">
        <v>21</v>
      </c>
      <c r="AU45" s="91" t="s">
        <v>22</v>
      </c>
      <c r="AV45" s="92"/>
      <c r="AW45" s="92"/>
      <c r="AX45" s="93"/>
      <c r="AY45" s="91" t="s">
        <v>21</v>
      </c>
      <c r="AZ45" s="92"/>
      <c r="BA45" s="92"/>
      <c r="BB45" s="93"/>
      <c r="BC45" s="335" t="s">
        <v>29</v>
      </c>
      <c r="BD45" s="336"/>
      <c r="BE45" s="336"/>
      <c r="BF45" s="336"/>
      <c r="BG45" s="336"/>
      <c r="BH45" s="336"/>
      <c r="BI45" s="336"/>
      <c r="BJ45" s="337"/>
      <c r="BK45" s="35"/>
    </row>
    <row r="46" spans="1:63" x14ac:dyDescent="0.25">
      <c r="BK46" s="35"/>
    </row>
    <row r="47" spans="1:63" x14ac:dyDescent="0.25">
      <c r="BK47" s="35"/>
    </row>
    <row r="48" spans="1:63" x14ac:dyDescent="0.25">
      <c r="BK48" s="35"/>
    </row>
    <row r="49" spans="1:63" x14ac:dyDescent="0.25">
      <c r="BK49" s="35"/>
    </row>
    <row r="50" spans="1:63" x14ac:dyDescent="0.25">
      <c r="BK50" s="35"/>
    </row>
    <row r="51" spans="1:63" x14ac:dyDescent="0.25">
      <c r="BK51" s="35"/>
    </row>
    <row r="52" spans="1:63" x14ac:dyDescent="0.25">
      <c r="BK52" s="35"/>
    </row>
    <row r="53" spans="1:63" x14ac:dyDescent="0.25">
      <c r="BK53" s="35"/>
    </row>
    <row r="54" spans="1:63" x14ac:dyDescent="0.25">
      <c r="BK54" s="35"/>
    </row>
    <row r="55" spans="1:63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3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236" customWidth="1"/>
    <col min="61" max="16384" width="2.77734375" style="236"/>
  </cols>
  <sheetData>
    <row r="1" spans="1:63" ht="24.95" customHeight="1" x14ac:dyDescent="0.25">
      <c r="A1" s="310" t="s">
        <v>52</v>
      </c>
      <c r="B1" s="311"/>
      <c r="C1" s="311"/>
      <c r="D1" s="311"/>
      <c r="E1" s="311"/>
      <c r="F1" s="311"/>
      <c r="G1" s="311"/>
      <c r="H1" s="311"/>
      <c r="I1" s="311"/>
      <c r="J1" s="312"/>
      <c r="K1" s="310" t="s">
        <v>53</v>
      </c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2"/>
      <c r="W1" s="313" t="str">
        <f>IF(表紙!W1="","",表紙!W1)</f>
        <v>基本設計書</v>
      </c>
      <c r="X1" s="314"/>
      <c r="Y1" s="314"/>
      <c r="Z1" s="314"/>
      <c r="AA1" s="314"/>
      <c r="AB1" s="314"/>
      <c r="AC1" s="314"/>
      <c r="AD1" s="314"/>
      <c r="AE1" s="314"/>
      <c r="AF1" s="314"/>
      <c r="AG1" s="314"/>
      <c r="AH1" s="314"/>
      <c r="AI1" s="314"/>
      <c r="AJ1" s="314"/>
      <c r="AK1" s="314"/>
      <c r="AL1" s="314"/>
      <c r="AM1" s="314"/>
      <c r="AN1" s="314"/>
      <c r="AO1" s="315"/>
      <c r="AP1" s="230" t="s">
        <v>54</v>
      </c>
      <c r="AQ1" s="231"/>
      <c r="AR1" s="231"/>
      <c r="AS1" s="232"/>
      <c r="AT1" s="230" t="s">
        <v>55</v>
      </c>
      <c r="AU1" s="231"/>
      <c r="AV1" s="231"/>
      <c r="AW1" s="231"/>
      <c r="AX1" s="232"/>
      <c r="AY1" s="230" t="s">
        <v>56</v>
      </c>
      <c r="AZ1" s="231"/>
      <c r="BA1" s="231"/>
      <c r="BB1" s="232"/>
      <c r="BC1" s="230" t="s">
        <v>57</v>
      </c>
      <c r="BD1" s="231"/>
      <c r="BE1" s="231"/>
      <c r="BF1" s="231"/>
      <c r="BG1" s="232"/>
      <c r="BH1" s="230" t="s">
        <v>58</v>
      </c>
      <c r="BI1" s="231"/>
      <c r="BJ1" s="231"/>
      <c r="BK1" s="232"/>
    </row>
    <row r="2" spans="1:63" ht="15" customHeight="1" x14ac:dyDescent="0.25">
      <c r="A2" s="195" t="str">
        <f>IF(表紙!A2="","",表紙!A2)</f>
        <v>POSサーバー</v>
      </c>
      <c r="B2" s="196"/>
      <c r="C2" s="196"/>
      <c r="D2" s="196"/>
      <c r="E2" s="196"/>
      <c r="F2" s="196"/>
      <c r="G2" s="196"/>
      <c r="H2" s="196"/>
      <c r="I2" s="196"/>
      <c r="J2" s="197"/>
      <c r="K2" s="195" t="str">
        <f>IF(表紙!K2="","",表紙!K2)</f>
        <v>POSサーバ</v>
      </c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7"/>
      <c r="W2" s="316"/>
      <c r="X2" s="317"/>
      <c r="Y2" s="317"/>
      <c r="Z2" s="317"/>
      <c r="AA2" s="317"/>
      <c r="AB2" s="317"/>
      <c r="AC2" s="317"/>
      <c r="AD2" s="317"/>
      <c r="AE2" s="317"/>
      <c r="AF2" s="317"/>
      <c r="AG2" s="317"/>
      <c r="AH2" s="317"/>
      <c r="AI2" s="317"/>
      <c r="AJ2" s="317"/>
      <c r="AK2" s="317"/>
      <c r="AL2" s="317"/>
      <c r="AM2" s="317"/>
      <c r="AN2" s="317"/>
      <c r="AO2" s="318"/>
      <c r="AP2" s="204" t="str">
        <f>IF(表紙!AP2="","",表紙!AP2)</f>
        <v>AnhDD</v>
      </c>
      <c r="AQ2" s="202"/>
      <c r="AR2" s="202"/>
      <c r="AS2" s="203"/>
      <c r="AT2" s="201">
        <f>IF(表紙!AT2="","",表紙!AT2)</f>
        <v>45432</v>
      </c>
      <c r="AU2" s="240"/>
      <c r="AV2" s="240"/>
      <c r="AW2" s="240"/>
      <c r="AX2" s="241"/>
      <c r="AY2" s="204" t="str">
        <f>IF(表紙!AY2="","",表紙!AY2)</f>
        <v>DuNT</v>
      </c>
      <c r="AZ2" s="202"/>
      <c r="BA2" s="202"/>
      <c r="BB2" s="203"/>
      <c r="BC2" s="201">
        <f>IF(表紙!BC2="","",表紙!BC2)</f>
        <v>45576</v>
      </c>
      <c r="BD2" s="240"/>
      <c r="BE2" s="240"/>
      <c r="BF2" s="240"/>
      <c r="BG2" s="241"/>
      <c r="BH2" s="204">
        <f>IF(表紙!BH2="","",表紙!BH2)</f>
        <v>0.5</v>
      </c>
      <c r="BI2" s="202"/>
      <c r="BJ2" s="202"/>
      <c r="BK2" s="203"/>
    </row>
    <row r="3" spans="1:63" ht="15" customHeight="1" x14ac:dyDescent="0.25">
      <c r="A3" s="198"/>
      <c r="B3" s="199"/>
      <c r="C3" s="199"/>
      <c r="D3" s="199"/>
      <c r="E3" s="199"/>
      <c r="F3" s="199"/>
      <c r="G3" s="199"/>
      <c r="H3" s="199"/>
      <c r="I3" s="199"/>
      <c r="J3" s="200"/>
      <c r="K3" s="198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200"/>
      <c r="W3" s="319"/>
      <c r="X3" s="320"/>
      <c r="Y3" s="320"/>
      <c r="Z3" s="320"/>
      <c r="AA3" s="320"/>
      <c r="AB3" s="320"/>
      <c r="AC3" s="320"/>
      <c r="AD3" s="320"/>
      <c r="AE3" s="320"/>
      <c r="AF3" s="320"/>
      <c r="AG3" s="320"/>
      <c r="AH3" s="320"/>
      <c r="AI3" s="320"/>
      <c r="AJ3" s="320"/>
      <c r="AK3" s="320"/>
      <c r="AL3" s="320"/>
      <c r="AM3" s="320"/>
      <c r="AN3" s="320"/>
      <c r="AO3" s="321"/>
      <c r="AP3" s="208"/>
      <c r="AQ3" s="209"/>
      <c r="AR3" s="209"/>
      <c r="AS3" s="210"/>
      <c r="AT3" s="245"/>
      <c r="AU3" s="246"/>
      <c r="AV3" s="246"/>
      <c r="AW3" s="246"/>
      <c r="AX3" s="247"/>
      <c r="AY3" s="208"/>
      <c r="AZ3" s="209"/>
      <c r="BA3" s="209"/>
      <c r="BB3" s="210"/>
      <c r="BC3" s="245"/>
      <c r="BD3" s="246"/>
      <c r="BE3" s="246"/>
      <c r="BF3" s="246"/>
      <c r="BG3" s="247"/>
      <c r="BH3" s="208"/>
      <c r="BI3" s="209"/>
      <c r="BJ3" s="209"/>
      <c r="BK3" s="210"/>
    </row>
    <row r="4" spans="1:63" ht="24.95" customHeight="1" x14ac:dyDescent="0.25">
      <c r="A4" s="310" t="s">
        <v>59</v>
      </c>
      <c r="B4" s="311"/>
      <c r="C4" s="311"/>
      <c r="D4" s="311"/>
      <c r="E4" s="311"/>
      <c r="F4" s="311"/>
      <c r="G4" s="312"/>
      <c r="H4" s="173" t="str">
        <f>IF(表紙!H4="","",表紙!H4)</f>
        <v>40_従業員設定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310" t="s">
        <v>60</v>
      </c>
      <c r="V4" s="311"/>
      <c r="W4" s="311"/>
      <c r="X4" s="311"/>
      <c r="Y4" s="312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6" t="str">
        <f ca="1">MID(CELL("filename",A1),FIND("]",CELL("filename",A1))+1,255)</f>
        <v>テンプレート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251"/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252"/>
      <c r="AE5" s="252"/>
      <c r="AF5" s="252"/>
      <c r="AG5" s="252"/>
      <c r="AH5" s="252"/>
      <c r="AI5" s="252"/>
      <c r="AJ5" s="252"/>
      <c r="AK5" s="252"/>
      <c r="AL5" s="252"/>
      <c r="AM5" s="252"/>
      <c r="AN5" s="252"/>
      <c r="AO5" s="252"/>
      <c r="AP5" s="252"/>
      <c r="AQ5" s="252"/>
      <c r="AR5" s="252"/>
      <c r="AS5" s="252"/>
      <c r="AT5" s="252"/>
      <c r="AU5" s="252"/>
      <c r="AV5" s="252"/>
      <c r="AW5" s="252"/>
      <c r="AX5" s="252"/>
      <c r="AY5" s="252"/>
      <c r="AZ5" s="252"/>
      <c r="BA5" s="252"/>
      <c r="BB5" s="252"/>
      <c r="BC5" s="252"/>
      <c r="BD5" s="252"/>
      <c r="BE5" s="252"/>
      <c r="BF5" s="252"/>
      <c r="BG5" s="252"/>
      <c r="BH5" s="252"/>
      <c r="BI5" s="252"/>
      <c r="BJ5" s="252"/>
      <c r="BK5" s="253"/>
    </row>
    <row r="6" spans="1:63" ht="15" customHeight="1" x14ac:dyDescent="0.25">
      <c r="A6" s="254"/>
      <c r="BK6" s="255"/>
    </row>
    <row r="7" spans="1:63" ht="15" customHeight="1" x14ac:dyDescent="0.25">
      <c r="A7" s="254"/>
      <c r="B7" s="338"/>
      <c r="C7" s="339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340"/>
      <c r="U7" s="339"/>
      <c r="V7" s="275"/>
      <c r="W7" s="275"/>
      <c r="X7" s="275"/>
      <c r="Y7" s="275"/>
      <c r="Z7" s="275"/>
      <c r="AA7" s="275"/>
      <c r="AB7" s="275"/>
      <c r="AC7" s="340"/>
      <c r="AD7" s="339"/>
      <c r="AE7" s="275"/>
      <c r="AF7" s="275"/>
      <c r="AG7" s="275"/>
      <c r="AH7" s="275"/>
      <c r="AI7" s="275"/>
      <c r="AJ7" s="275"/>
      <c r="AK7" s="275"/>
      <c r="AL7" s="340"/>
      <c r="AM7" s="339"/>
      <c r="AN7" s="275"/>
      <c r="AO7" s="275"/>
      <c r="AP7" s="275"/>
      <c r="AQ7" s="275"/>
      <c r="AR7" s="275"/>
      <c r="AS7" s="275"/>
      <c r="AT7" s="275"/>
      <c r="AU7" s="275"/>
      <c r="AV7" s="275"/>
      <c r="AW7" s="275"/>
      <c r="AX7" s="275"/>
      <c r="AY7" s="275"/>
      <c r="AZ7" s="275"/>
      <c r="BA7" s="275"/>
      <c r="BB7" s="275"/>
      <c r="BC7" s="275"/>
      <c r="BD7" s="275"/>
      <c r="BE7" s="275"/>
      <c r="BF7" s="275"/>
      <c r="BG7" s="275"/>
      <c r="BH7" s="275"/>
      <c r="BI7" s="340"/>
      <c r="BJ7" s="275"/>
      <c r="BK7" s="255"/>
    </row>
    <row r="8" spans="1:63" ht="15" customHeight="1" x14ac:dyDescent="0.25">
      <c r="A8" s="254"/>
      <c r="C8" s="341"/>
      <c r="U8" s="341"/>
      <c r="AD8" s="341"/>
      <c r="AM8" s="341"/>
      <c r="BI8" s="342"/>
    </row>
    <row r="9" spans="1:63" ht="15" customHeight="1" x14ac:dyDescent="0.25">
      <c r="A9" s="254"/>
      <c r="C9" s="341"/>
      <c r="U9" s="341"/>
      <c r="AD9" s="341"/>
      <c r="AM9" s="341"/>
      <c r="BI9" s="342"/>
    </row>
    <row r="10" spans="1:63" ht="15" customHeight="1" x14ac:dyDescent="0.25">
      <c r="A10" s="254"/>
      <c r="C10" s="341"/>
      <c r="U10" s="341"/>
      <c r="AD10" s="341"/>
      <c r="AM10" s="341"/>
      <c r="BI10" s="342"/>
    </row>
    <row r="11" spans="1:63" ht="15" customHeight="1" x14ac:dyDescent="0.25">
      <c r="A11" s="254"/>
      <c r="C11" s="341"/>
      <c r="U11" s="341"/>
      <c r="AD11" s="341"/>
      <c r="AM11" s="341"/>
      <c r="BI11" s="342"/>
    </row>
    <row r="12" spans="1:63" ht="15" customHeight="1" x14ac:dyDescent="0.25">
      <c r="A12" s="254"/>
      <c r="C12" s="341"/>
      <c r="U12" s="341"/>
      <c r="AD12" s="341"/>
      <c r="AM12" s="341"/>
      <c r="AX12" s="236" t="s">
        <v>31</v>
      </c>
      <c r="BI12" s="342"/>
    </row>
    <row r="13" spans="1:63" ht="15" customHeight="1" x14ac:dyDescent="0.25">
      <c r="A13" s="254"/>
      <c r="C13" s="341"/>
      <c r="U13" s="341"/>
      <c r="AD13" s="341"/>
      <c r="AM13" s="341"/>
      <c r="BI13" s="342"/>
    </row>
    <row r="14" spans="1:63" ht="15" customHeight="1" x14ac:dyDescent="0.25">
      <c r="A14" s="254"/>
      <c r="C14" s="341"/>
      <c r="U14" s="341"/>
      <c r="AD14" s="341"/>
      <c r="AM14" s="341"/>
      <c r="BI14" s="342"/>
    </row>
    <row r="15" spans="1:63" ht="15" customHeight="1" x14ac:dyDescent="0.25">
      <c r="A15" s="254"/>
      <c r="C15" s="341"/>
      <c r="U15" s="341"/>
      <c r="AD15" s="341"/>
      <c r="AM15" s="341"/>
      <c r="BI15" s="342"/>
    </row>
    <row r="16" spans="1:63" ht="15" customHeight="1" x14ac:dyDescent="0.25">
      <c r="A16" s="254"/>
      <c r="C16" s="341"/>
      <c r="U16" s="341"/>
      <c r="AD16" s="341"/>
      <c r="AM16" s="341"/>
      <c r="BI16" s="342"/>
    </row>
    <row r="17" spans="1:61" ht="15" customHeight="1" x14ac:dyDescent="0.25">
      <c r="A17" s="254"/>
      <c r="C17" s="341"/>
      <c r="U17" s="341"/>
      <c r="AD17" s="341"/>
      <c r="AM17" s="341"/>
      <c r="BI17" s="342"/>
    </row>
    <row r="18" spans="1:61" ht="15" customHeight="1" x14ac:dyDescent="0.25">
      <c r="A18" s="254"/>
      <c r="C18" s="341"/>
      <c r="U18" s="341"/>
      <c r="AD18" s="341"/>
      <c r="AM18" s="341"/>
      <c r="BI18" s="342"/>
    </row>
    <row r="19" spans="1:61" ht="15" customHeight="1" x14ac:dyDescent="0.25">
      <c r="A19" s="254"/>
      <c r="C19" s="341"/>
      <c r="U19" s="341"/>
      <c r="AD19" s="341"/>
      <c r="AM19" s="341"/>
      <c r="BI19" s="342"/>
    </row>
    <row r="20" spans="1:61" ht="15" customHeight="1" x14ac:dyDescent="0.25">
      <c r="A20" s="254"/>
      <c r="C20" s="341"/>
      <c r="U20" s="341"/>
      <c r="AD20" s="341"/>
      <c r="AM20" s="341"/>
      <c r="BI20" s="342"/>
    </row>
    <row r="21" spans="1:61" ht="15" customHeight="1" x14ac:dyDescent="0.25">
      <c r="A21" s="254"/>
      <c r="C21" s="341"/>
      <c r="U21" s="341"/>
      <c r="AD21" s="341"/>
      <c r="AM21" s="341"/>
      <c r="BI21" s="342"/>
    </row>
    <row r="22" spans="1:61" ht="15" customHeight="1" x14ac:dyDescent="0.25">
      <c r="A22" s="254"/>
      <c r="C22" s="341"/>
      <c r="U22" s="341"/>
      <c r="AD22" s="341"/>
      <c r="AM22" s="341"/>
      <c r="BI22" s="342"/>
    </row>
    <row r="23" spans="1:61" ht="15" customHeight="1" x14ac:dyDescent="0.25">
      <c r="A23" s="254"/>
      <c r="C23" s="341"/>
      <c r="U23" s="341"/>
      <c r="AD23" s="341"/>
      <c r="AM23" s="341"/>
      <c r="BI23" s="342"/>
    </row>
    <row r="24" spans="1:61" ht="15" customHeight="1" x14ac:dyDescent="0.25">
      <c r="A24" s="254"/>
      <c r="C24" s="341"/>
      <c r="U24" s="341"/>
      <c r="AD24" s="341"/>
      <c r="AM24" s="341"/>
      <c r="BI24" s="342"/>
    </row>
    <row r="25" spans="1:61" ht="15" customHeight="1" x14ac:dyDescent="0.25">
      <c r="A25" s="254"/>
      <c r="C25" s="341"/>
      <c r="U25" s="341"/>
      <c r="AD25" s="341"/>
      <c r="AM25" s="341"/>
      <c r="BI25" s="342"/>
    </row>
    <row r="26" spans="1:61" ht="15" customHeight="1" x14ac:dyDescent="0.25">
      <c r="A26" s="254"/>
      <c r="C26" s="341"/>
      <c r="U26" s="341"/>
      <c r="AD26" s="341"/>
      <c r="AM26" s="341"/>
      <c r="BI26" s="342"/>
    </row>
    <row r="27" spans="1:61" ht="15" customHeight="1" x14ac:dyDescent="0.25">
      <c r="A27" s="254"/>
      <c r="C27" s="341"/>
      <c r="U27" s="341"/>
      <c r="AD27" s="341"/>
      <c r="AM27" s="341"/>
      <c r="BI27" s="342"/>
    </row>
    <row r="28" spans="1:61" ht="15" customHeight="1" x14ac:dyDescent="0.25">
      <c r="A28" s="254"/>
      <c r="C28" s="341"/>
      <c r="U28" s="341"/>
      <c r="AD28" s="341"/>
      <c r="AM28" s="341"/>
      <c r="BI28" s="342"/>
    </row>
    <row r="29" spans="1:61" ht="15" customHeight="1" x14ac:dyDescent="0.25">
      <c r="A29" s="254"/>
      <c r="C29" s="341"/>
      <c r="U29" s="341"/>
      <c r="AD29" s="341"/>
      <c r="AM29" s="341"/>
      <c r="BI29" s="342"/>
    </row>
    <row r="30" spans="1:61" ht="15" customHeight="1" x14ac:dyDescent="0.25">
      <c r="A30" s="254"/>
      <c r="C30" s="341"/>
      <c r="U30" s="341"/>
      <c r="AD30" s="341"/>
      <c r="AM30" s="341"/>
      <c r="BI30" s="342"/>
    </row>
    <row r="31" spans="1:61" ht="15" customHeight="1" x14ac:dyDescent="0.25">
      <c r="A31" s="254"/>
      <c r="C31" s="341"/>
      <c r="U31" s="341"/>
      <c r="AD31" s="341"/>
      <c r="AM31" s="341"/>
      <c r="BI31" s="342"/>
    </row>
    <row r="32" spans="1:61" ht="15" customHeight="1" x14ac:dyDescent="0.25">
      <c r="A32" s="254"/>
      <c r="C32" s="341"/>
      <c r="U32" s="341"/>
      <c r="AD32" s="341"/>
      <c r="AM32" s="341"/>
      <c r="BI32" s="342"/>
    </row>
    <row r="33" spans="1:61" ht="15" customHeight="1" x14ac:dyDescent="0.25">
      <c r="A33" s="254"/>
      <c r="C33" s="341"/>
      <c r="U33" s="341"/>
      <c r="AD33" s="341"/>
      <c r="AM33" s="341"/>
      <c r="BI33" s="342"/>
    </row>
    <row r="34" spans="1:61" ht="15" customHeight="1" x14ac:dyDescent="0.25">
      <c r="A34" s="254"/>
      <c r="C34" s="341"/>
      <c r="U34" s="341"/>
      <c r="AD34" s="341"/>
      <c r="AM34" s="341"/>
      <c r="BI34" s="342"/>
    </row>
    <row r="35" spans="1:61" ht="15" customHeight="1" x14ac:dyDescent="0.25">
      <c r="A35" s="254"/>
      <c r="C35" s="341"/>
      <c r="U35" s="341"/>
      <c r="AD35" s="341"/>
      <c r="AM35" s="341"/>
      <c r="BI35" s="342"/>
    </row>
    <row r="36" spans="1:61" ht="15" customHeight="1" x14ac:dyDescent="0.25">
      <c r="A36" s="254"/>
      <c r="C36" s="341"/>
      <c r="U36" s="341"/>
      <c r="AD36" s="341"/>
      <c r="AM36" s="341"/>
      <c r="BI36" s="342"/>
    </row>
    <row r="37" spans="1:61" ht="15" customHeight="1" x14ac:dyDescent="0.25">
      <c r="A37" s="254"/>
      <c r="C37" s="341"/>
      <c r="U37" s="341"/>
      <c r="AD37" s="341"/>
      <c r="AM37" s="341"/>
      <c r="BI37" s="342"/>
    </row>
    <row r="38" spans="1:61" ht="15" customHeight="1" x14ac:dyDescent="0.25">
      <c r="A38" s="254"/>
      <c r="C38" s="341"/>
      <c r="U38" s="341"/>
      <c r="AD38" s="341"/>
      <c r="AM38" s="341"/>
      <c r="BI38" s="342"/>
    </row>
    <row r="39" spans="1:61" ht="15" customHeight="1" x14ac:dyDescent="0.25">
      <c r="A39" s="254"/>
      <c r="C39" s="341"/>
      <c r="U39" s="341"/>
      <c r="AD39" s="341"/>
      <c r="AM39" s="341"/>
      <c r="BI39" s="342"/>
    </row>
    <row r="40" spans="1:61" ht="15" customHeight="1" x14ac:dyDescent="0.25">
      <c r="A40" s="254"/>
      <c r="C40" s="341"/>
      <c r="U40" s="341"/>
      <c r="AD40" s="341"/>
      <c r="AM40" s="341"/>
      <c r="BI40" s="342"/>
    </row>
    <row r="41" spans="1:61" ht="15" customHeight="1" x14ac:dyDescent="0.25">
      <c r="A41" s="254"/>
      <c r="C41" s="341"/>
      <c r="U41" s="341"/>
      <c r="AD41" s="341"/>
      <c r="AM41" s="341"/>
      <c r="BI41" s="342"/>
    </row>
    <row r="42" spans="1:61" ht="15" customHeight="1" x14ac:dyDescent="0.25">
      <c r="A42" s="254"/>
      <c r="C42" s="341"/>
      <c r="U42" s="341"/>
      <c r="AD42" s="341"/>
      <c r="AM42" s="341"/>
      <c r="BI42" s="342"/>
    </row>
    <row r="43" spans="1:61" ht="15" customHeight="1" x14ac:dyDescent="0.25">
      <c r="A43" s="254"/>
      <c r="C43" s="341"/>
      <c r="U43" s="341"/>
      <c r="AD43" s="341"/>
      <c r="AM43" s="341"/>
      <c r="BI43" s="342"/>
    </row>
    <row r="44" spans="1:61" ht="15" customHeight="1" x14ac:dyDescent="0.25">
      <c r="A44" s="254"/>
      <c r="C44" s="341"/>
      <c r="U44" s="341"/>
      <c r="AD44" s="341"/>
      <c r="AM44" s="341"/>
      <c r="BI44" s="342"/>
    </row>
    <row r="45" spans="1:61" ht="15" customHeight="1" x14ac:dyDescent="0.25">
      <c r="A45" s="254"/>
      <c r="C45" s="341"/>
      <c r="U45" s="341"/>
      <c r="AD45" s="341"/>
      <c r="AM45" s="341"/>
      <c r="BI45" s="342"/>
    </row>
    <row r="46" spans="1:61" ht="15" customHeight="1" x14ac:dyDescent="0.25">
      <c r="A46" s="254"/>
      <c r="C46" s="341"/>
      <c r="U46" s="341"/>
      <c r="AD46" s="341"/>
      <c r="AM46" s="341"/>
      <c r="BI46" s="342"/>
    </row>
    <row r="47" spans="1:61" ht="15" customHeight="1" x14ac:dyDescent="0.25">
      <c r="A47" s="254"/>
      <c r="C47" s="341"/>
      <c r="U47" s="341"/>
      <c r="AD47" s="341"/>
      <c r="AM47" s="341"/>
      <c r="BI47" s="342"/>
    </row>
    <row r="48" spans="1:61" ht="15" customHeight="1" x14ac:dyDescent="0.25">
      <c r="A48" s="254"/>
      <c r="C48" s="341"/>
      <c r="U48" s="341"/>
      <c r="AD48" s="341"/>
      <c r="AM48" s="341"/>
      <c r="BI48" s="342"/>
    </row>
    <row r="49" spans="1:63" ht="15" customHeight="1" x14ac:dyDescent="0.25">
      <c r="A49" s="254"/>
      <c r="C49" s="341"/>
      <c r="U49" s="341"/>
      <c r="AD49" s="341"/>
      <c r="AM49" s="341"/>
      <c r="BI49" s="342"/>
    </row>
    <row r="50" spans="1:63" ht="15" customHeight="1" x14ac:dyDescent="0.25">
      <c r="A50" s="254"/>
      <c r="C50" s="341"/>
      <c r="U50" s="341"/>
      <c r="AD50" s="341"/>
      <c r="AM50" s="341"/>
      <c r="BI50" s="342"/>
    </row>
    <row r="51" spans="1:63" ht="15" customHeight="1" x14ac:dyDescent="0.25">
      <c r="A51" s="254"/>
      <c r="C51" s="341"/>
      <c r="U51" s="341"/>
      <c r="AD51" s="341"/>
      <c r="AM51" s="341"/>
      <c r="BI51" s="342"/>
    </row>
    <row r="52" spans="1:63" ht="15" customHeight="1" x14ac:dyDescent="0.25">
      <c r="A52" s="254"/>
      <c r="C52" s="341"/>
      <c r="U52" s="341"/>
      <c r="AD52" s="341"/>
      <c r="AM52" s="341"/>
      <c r="BI52" s="342"/>
    </row>
    <row r="53" spans="1:63" ht="15" customHeight="1" x14ac:dyDescent="0.25">
      <c r="A53" s="254"/>
      <c r="C53" s="341"/>
      <c r="U53" s="341"/>
      <c r="AD53" s="341"/>
      <c r="AM53" s="341"/>
      <c r="BI53" s="342"/>
    </row>
    <row r="54" spans="1:63" ht="15" customHeight="1" x14ac:dyDescent="0.25">
      <c r="A54" s="254"/>
      <c r="C54" s="341"/>
      <c r="U54" s="341"/>
      <c r="AD54" s="341"/>
      <c r="AM54" s="341"/>
      <c r="BI54" s="342"/>
    </row>
    <row r="55" spans="1:63" ht="15" customHeight="1" x14ac:dyDescent="0.25">
      <c r="A55" s="251"/>
      <c r="B55" s="343"/>
      <c r="C55" s="252"/>
      <c r="D55" s="252"/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2"/>
      <c r="R55" s="252"/>
      <c r="S55" s="252"/>
      <c r="T55" s="252"/>
      <c r="U55" s="343"/>
      <c r="V55" s="252"/>
      <c r="W55" s="252"/>
      <c r="X55" s="252"/>
      <c r="Y55" s="252"/>
      <c r="Z55" s="252"/>
      <c r="AA55" s="252"/>
      <c r="AB55" s="252"/>
      <c r="AC55" s="252"/>
      <c r="AD55" s="343"/>
      <c r="AE55" s="252"/>
      <c r="AF55" s="252"/>
      <c r="AG55" s="252"/>
      <c r="AH55" s="252"/>
      <c r="AI55" s="252"/>
      <c r="AJ55" s="252"/>
      <c r="AK55" s="252"/>
      <c r="AL55" s="252"/>
      <c r="AM55" s="343"/>
      <c r="AN55" s="252"/>
      <c r="AO55" s="252"/>
      <c r="AP55" s="252"/>
      <c r="AQ55" s="252"/>
      <c r="AR55" s="252"/>
      <c r="AS55" s="252"/>
      <c r="AT55" s="252"/>
      <c r="AU55" s="252"/>
      <c r="AV55" s="252"/>
      <c r="AW55" s="252"/>
      <c r="AX55" s="252"/>
      <c r="AY55" s="252"/>
      <c r="AZ55" s="252"/>
      <c r="BA55" s="252"/>
      <c r="BB55" s="252"/>
      <c r="BC55" s="252"/>
      <c r="BD55" s="252"/>
      <c r="BE55" s="252"/>
      <c r="BF55" s="252"/>
      <c r="BG55" s="252"/>
      <c r="BH55" s="252"/>
      <c r="BI55" s="344"/>
      <c r="BJ55" s="252"/>
      <c r="BK55" s="253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1EA4CD-F183-47B7-870E-F49FFFB63BED}"/>
</file>

<file path=customXml/itemProps2.xml><?xml version="1.0" encoding="utf-8"?>
<ds:datastoreItem xmlns:ds="http://schemas.openxmlformats.org/officeDocument/2006/customXml" ds:itemID="{0C80DA82-3ADA-4CC7-98E9-6D0B58816E4A}"/>
</file>

<file path=customXml/itemProps3.xml><?xml version="1.0" encoding="utf-8"?>
<ds:datastoreItem xmlns:ds="http://schemas.openxmlformats.org/officeDocument/2006/customXml" ds:itemID="{DCBD1DC5-7974-4CE1-9050-5CC3803457D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cp:lastPrinted>2024-05-20T11:38:25Z</cp:lastPrinted>
  <dcterms:created xsi:type="dcterms:W3CDTF">2015-06-05T18:19:34Z</dcterms:created>
  <dcterms:modified xsi:type="dcterms:W3CDTF">2024-12-05T07:26:39Z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