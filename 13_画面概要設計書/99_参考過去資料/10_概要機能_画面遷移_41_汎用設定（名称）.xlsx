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C6AA679A-B334-46C1-9985-D3DDE45F519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4">機能概要!$A$1:$BK$92</definedName>
    <definedName name="_xlnm.Print_Area" localSheetId="3">機能概要説明!$A$1:$BK$57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8" i="8" l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AP4" i="2"/>
  <c r="Z4" i="2"/>
  <c r="H4" i="2"/>
  <c r="AT2" i="2"/>
  <c r="AP2" i="2"/>
  <c r="K2" i="2"/>
  <c r="A2" i="2"/>
  <c r="W1" i="2"/>
  <c r="AP4" i="7"/>
  <c r="Z4" i="7"/>
  <c r="H4" i="7"/>
  <c r="AP2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AP4" i="5" a="1"/>
  <c r="AP4" i="5" s="1"/>
  <c r="Z4" i="5"/>
  <c r="H4" i="5"/>
  <c r="AT2" i="5"/>
  <c r="AP2" i="5"/>
  <c r="K2" i="5"/>
  <c r="A2" i="5"/>
  <c r="W1" i="5"/>
  <c r="BM7" i="8"/>
  <c r="AP4" i="8" a="1"/>
  <c r="AP4" i="8" s="1"/>
  <c r="Z4" i="8"/>
  <c r="H4" i="8"/>
  <c r="AT2" i="8"/>
  <c r="AP2" i="8"/>
  <c r="K2" i="8"/>
  <c r="A2" i="8"/>
  <c r="W1" i="8"/>
  <c r="AP4" i="6" a="1"/>
  <c r="AP4" i="6" s="1"/>
  <c r="Z4" i="6"/>
  <c r="H4" i="6"/>
  <c r="AP2" i="6"/>
  <c r="K2" i="6"/>
  <c r="A2" i="6"/>
  <c r="W1" i="6"/>
  <c r="AP4" i="3" a="1"/>
  <c r="AP4" i="3"/>
  <c r="Z4" i="3"/>
  <c r="H4" i="3"/>
  <c r="AP2" i="3"/>
  <c r="K2" i="3"/>
  <c r="A2" i="3"/>
  <c r="W1" i="3"/>
  <c r="L24" i="4"/>
  <c r="AP4" i="4" a="1"/>
  <c r="AP4" i="4" s="1"/>
  <c r="BH2" i="4"/>
  <c r="BH2" i="7" s="1"/>
  <c r="BC2" i="4"/>
  <c r="BC2" i="2" s="1"/>
  <c r="AY2" i="4"/>
  <c r="AY2" i="7" s="1"/>
  <c r="AT2" i="4"/>
  <c r="AT2" i="7" s="1"/>
  <c r="AP2" i="4"/>
  <c r="BC2" i="3" l="1"/>
  <c r="BH2" i="6"/>
  <c r="BH2" i="8"/>
  <c r="BH2" i="2"/>
  <c r="BH2" i="5"/>
  <c r="BC2" i="7"/>
  <c r="AT2" i="3"/>
  <c r="AY2" i="6"/>
  <c r="AY2" i="8"/>
  <c r="AY2" i="5"/>
  <c r="AY2" i="2"/>
  <c r="BH2" i="3"/>
  <c r="AY2" i="3"/>
  <c r="BC2" i="6"/>
  <c r="BC2" i="8"/>
  <c r="BC2" i="5"/>
</calcChain>
</file>

<file path=xl/sharedStrings.xml><?xml version="1.0" encoding="utf-8"?>
<sst xmlns="http://schemas.openxmlformats.org/spreadsheetml/2006/main" count="191" uniqueCount="73">
  <si>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</si>
  <si>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</si>
  <si>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</si>
  <si>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</si>
  <si>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</si>
  <si>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</si>
  <si>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</si>
  <si>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</si>
  <si>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</si>
  <si>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</si>
  <si>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</si>
  <si>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</si>
  <si>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</si>
  <si>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</si>
  <si>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</si>
  <si>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</si>
  <si>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</si>
  <si>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</si>
  <si>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</si>
  <si>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</si>
  <si>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</si>
  <si>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</si>
  <si>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</si>
  <si>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</si>
  <si>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</si>
  <si>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</si>
  <si>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</si>
  <si>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</si>
  <si>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</si>
  <si>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</si>
  <si>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</si>
  <si>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この機能では、汎用マスタ設定可能とする。</t>
    </r>
  </si>
  <si>
    <r>
      <rPr>
        <sz val="11"/>
        <color rgb="FF000000"/>
        <rFont val="Meiryo UI"/>
        <family val="2"/>
      </rPr>
      <t>・71__レジマスタ設定：ファンクションレイアウト</t>
    </r>
  </si>
  <si>
    <r>
      <rPr>
        <sz val="11"/>
        <color rgb="FF000000"/>
        <rFont val="Meiryo UI"/>
        <family val="2"/>
      </rPr>
      <t>・82_店舗マスタ設定：店舗区分</t>
    </r>
  </si>
  <si>
    <r>
      <rPr>
        <sz val="11"/>
        <color rgb="FF000000"/>
        <rFont val="Meiryo UI"/>
        <family val="2"/>
      </rPr>
      <t>41_名称マスタ設定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</si>
  <si>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</si>
  <si>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</si>
  <si>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</si>
  <si>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</si>
  <si>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</si>
  <si>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</si>
  <si>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</si>
  <si>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</si>
  <si>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</si>
  <si>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</si>
  <si>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</si>
  <si>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</si>
  <si>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</si>
  <si>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</si>
  <si>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</si>
  <si>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</si>
  <si>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新規</t>
  </si>
  <si>
    <r>
      <rPr>
        <sz val="11"/>
        <color rgb="FF000000"/>
        <rFont val="Meiryo UI"/>
        <family val="2"/>
      </rPr>
      <t>・71__レジマスタ設定：ノード種別</t>
    </r>
  </si>
  <si>
    <t>41_名称マスタ設定</t>
  </si>
  <si>
    <t>Android POS Control</t>
  </si>
  <si>
    <t>■画面項目定義</t>
  </si>
  <si>
    <t>画面項目ID</t>
  </si>
  <si>
    <t>項目</t>
  </si>
  <si>
    <t>タイプ</t>
  </si>
  <si>
    <t>多言語対象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</si>
  <si>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</si>
  <si>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</si>
  <si>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</si>
  <si>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</si>
  <si>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</si>
  <si>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</si>
  <si>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</si>
  <si>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</si>
  <si>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</si>
  <si>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</si>
  <si>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User ID</t>
  </si>
  <si>
    <t>Login</t>
  </si>
  <si>
    <r>
      <t>‣</t>
    </r>
    <r>
      <rPr>
        <sz val="11"/>
        <color rgb="FF000000"/>
        <rFont val="Meiryo UI"/>
        <family val="2"/>
      </rPr>
      <t>会社の全店舗に汎用マスタを設定する。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</si>
</sst>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7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9" fillId="0" borderId="0">
      <alignment vertical="center"/>
    </xf>
  </cellStyleXfs>
  <cellXfs count="29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33" xfId="0" applyFont="1" applyBorder="1"/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6" fillId="0" borderId="43" xfId="6" quotePrefix="1" applyFont="1" applyBorder="1" applyAlignment="1">
      <alignment horizontal="center" vertical="center"/>
    </xf>
    <xf numFmtId="0" fontId="6" fillId="0" borderId="44" xfId="6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43" xfId="6" applyFont="1" applyBorder="1" applyAlignment="1">
      <alignment horizontal="left" vertical="center"/>
    </xf>
    <xf numFmtId="0" fontId="6" fillId="0" borderId="44" xfId="6" applyFont="1" applyBorder="1" applyAlignment="1">
      <alignment horizontal="left" vertical="center"/>
    </xf>
    <xf numFmtId="0" fontId="6" fillId="0" borderId="45" xfId="6" applyFont="1" applyBorder="1" applyAlignment="1">
      <alignment horizontal="left" vertical="center"/>
    </xf>
    <xf numFmtId="0" fontId="6" fillId="0" borderId="43" xfId="6" quotePrefix="1" applyFont="1" applyBorder="1" applyAlignment="1">
      <alignment vertical="center" wrapText="1"/>
    </xf>
    <xf numFmtId="0" fontId="6" fillId="0" borderId="44" xfId="6" quotePrefix="1" applyFont="1" applyBorder="1" applyAlignment="1">
      <alignment vertical="center" wrapText="1"/>
    </xf>
    <xf numFmtId="0" fontId="6" fillId="0" borderId="45" xfId="6" quotePrefix="1" applyFont="1" applyBorder="1" applyAlignment="1">
      <alignment vertical="center" wrapText="1"/>
    </xf>
    <xf numFmtId="0" fontId="6" fillId="0" borderId="43" xfId="6" applyFont="1" applyBorder="1" applyAlignment="1">
      <alignment vertical="center"/>
    </xf>
    <xf numFmtId="0" fontId="6" fillId="0" borderId="44" xfId="6" applyFont="1" applyBorder="1" applyAlignment="1">
      <alignment vertical="center"/>
    </xf>
    <xf numFmtId="0" fontId="6" fillId="0" borderId="45" xfId="6" applyFont="1" applyBorder="1" applyAlignment="1">
      <alignment vertical="center"/>
    </xf>
    <xf numFmtId="0" fontId="7" fillId="0" borderId="43" xfId="6" quotePrefix="1" applyFont="1" applyBorder="1" applyAlignment="1">
      <alignment horizontal="center" vertical="center" wrapText="1"/>
    </xf>
    <xf numFmtId="0" fontId="7" fillId="0" borderId="44" xfId="6" applyFont="1" applyBorder="1" applyAlignment="1">
      <alignment horizontal="center" vertical="center" wrapText="1"/>
    </xf>
    <xf numFmtId="0" fontId="7" fillId="0" borderId="45" xfId="6" applyFont="1" applyBorder="1" applyAlignment="1">
      <alignment horizontal="center" vertical="center" wrapText="1"/>
    </xf>
    <xf numFmtId="0" fontId="8" fillId="0" borderId="43" xfId="6" applyFont="1" applyBorder="1" applyAlignment="1">
      <alignment vertical="center" wrapText="1"/>
    </xf>
    <xf numFmtId="0" fontId="7" fillId="0" borderId="43" xfId="6" quotePrefix="1" applyFont="1" applyBorder="1" applyAlignment="1">
      <alignment horizontal="center" vertical="center"/>
    </xf>
    <xf numFmtId="0" fontId="7" fillId="0" borderId="44" xfId="6" applyFont="1" applyBorder="1" applyAlignment="1">
      <alignment horizontal="center" vertical="center"/>
    </xf>
    <xf numFmtId="0" fontId="7" fillId="0" borderId="45" xfId="6" applyFont="1" applyBorder="1" applyAlignment="1">
      <alignment horizontal="center" vertical="center"/>
    </xf>
    <xf numFmtId="0" fontId="7" fillId="0" borderId="43" xfId="6" applyFont="1" applyBorder="1" applyAlignment="1">
      <alignment horizontal="center" vertical="center"/>
    </xf>
    <xf numFmtId="0" fontId="6" fillId="0" borderId="43" xfId="6" quotePrefix="1" applyFont="1" applyBorder="1" applyAlignment="1">
      <alignment vertical="center"/>
    </xf>
    <xf numFmtId="0" fontId="6" fillId="0" borderId="44" xfId="6" quotePrefix="1" applyFont="1" applyBorder="1" applyAlignment="1">
      <alignment vertical="center"/>
    </xf>
    <xf numFmtId="0" fontId="6" fillId="0" borderId="45" xfId="6" quotePrefix="1" applyFont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5" borderId="30" xfId="6" applyFont="1" applyFill="1" applyBorder="1" applyAlignment="1">
      <alignment vertical="center"/>
    </xf>
    <xf numFmtId="0" fontId="6" fillId="5" borderId="31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/>
    </xf>
    <xf numFmtId="0" fontId="7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7" fillId="6" borderId="27" xfId="6" applyFont="1" applyFill="1" applyBorder="1" applyAlignment="1">
      <alignment vertical="center"/>
    </xf>
    <xf numFmtId="0" fontId="6" fillId="6" borderId="28" xfId="6" applyFont="1" applyFill="1" applyBorder="1" applyAlignment="1">
      <alignment vertical="center"/>
    </xf>
    <xf numFmtId="0" fontId="6" fillId="6" borderId="29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5" borderId="30" xfId="6" applyFont="1" applyFill="1" applyBorder="1"/>
    <xf numFmtId="0" fontId="7" fillId="5" borderId="31" xfId="6" applyFont="1" applyFill="1" applyBorder="1"/>
    <xf numFmtId="0" fontId="7" fillId="5" borderId="32" xfId="6" applyFont="1" applyFill="1" applyBorder="1"/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6" fillId="4" borderId="27" xfId="6" applyFont="1" applyFill="1" applyBorder="1" applyAlignment="1">
      <alignment vertical="center" wrapText="1"/>
    </xf>
    <xf numFmtId="0" fontId="6" fillId="4" borderId="2" xfId="6" applyFont="1" applyFill="1" applyBorder="1" applyAlignment="1">
      <alignment vertical="center" wrapText="1"/>
    </xf>
    <xf numFmtId="0" fontId="7" fillId="4" borderId="38" xfId="6" applyFont="1" applyFill="1" applyBorder="1" applyAlignment="1">
      <alignment vertical="center" wrapText="1"/>
    </xf>
    <xf numFmtId="0" fontId="7" fillId="4" borderId="40" xfId="6" applyFont="1" applyFill="1" applyBorder="1" applyAlignment="1">
      <alignment vertical="center" wrapText="1"/>
    </xf>
    <xf numFmtId="0" fontId="7" fillId="4" borderId="29" xfId="6" applyFont="1" applyFill="1" applyBorder="1" applyAlignment="1">
      <alignment vertical="center" wrapText="1"/>
    </xf>
    <xf numFmtId="0" fontId="7" fillId="4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7" fillId="0" borderId="30" xfId="6" applyFont="1" applyBorder="1" applyAlignment="1">
      <alignment horizontal="center" vertical="center"/>
    </xf>
    <xf numFmtId="0" fontId="7" fillId="3" borderId="27" xfId="6" applyFont="1" applyFill="1" applyBorder="1" applyAlignment="1">
      <alignment vertical="center" wrapText="1"/>
    </xf>
    <xf numFmtId="0" fontId="6" fillId="3" borderId="29" xfId="6" applyFont="1" applyFill="1" applyBorder="1" applyAlignment="1">
      <alignment vertical="center"/>
    </xf>
    <xf numFmtId="0" fontId="6" fillId="3" borderId="1" xfId="6" applyFont="1" applyFill="1" applyBorder="1" applyAlignment="1">
      <alignment vertical="center"/>
    </xf>
    <xf numFmtId="0" fontId="6" fillId="3" borderId="4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7" fillId="3" borderId="27" xfId="6" applyFont="1" applyFill="1" applyBorder="1" applyAlignment="1">
      <alignment vertical="center"/>
    </xf>
    <xf numFmtId="0" fontId="6" fillId="3" borderId="28" xfId="6" applyFont="1" applyFill="1" applyBorder="1" applyAlignment="1">
      <alignment vertical="center"/>
    </xf>
    <xf numFmtId="0" fontId="6" fillId="3" borderId="0" xfId="6" applyFont="1" applyFill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38" xfId="6" applyFont="1" applyFill="1" applyBorder="1" applyAlignment="1">
      <alignment vertical="center" shrinkToFit="1"/>
    </xf>
    <xf numFmtId="0" fontId="6" fillId="3" borderId="39" xfId="6" applyFont="1" applyFill="1" applyBorder="1" applyAlignment="1">
      <alignment vertical="center" shrinkToFit="1"/>
    </xf>
    <xf numFmtId="0" fontId="6" fillId="3" borderId="40" xfId="6" applyFont="1" applyFill="1" applyBorder="1" applyAlignment="1">
      <alignment vertical="center" shrinkToFit="1"/>
    </xf>
    <xf numFmtId="0" fontId="7" fillId="3" borderId="38" xfId="6" applyFont="1" applyFill="1" applyBorder="1" applyAlignment="1">
      <alignment vertical="center" wrapText="1"/>
    </xf>
    <xf numFmtId="0" fontId="7" fillId="3" borderId="39" xfId="6" applyFont="1" applyFill="1" applyBorder="1" applyAlignment="1">
      <alignment vertical="center" wrapText="1"/>
    </xf>
    <xf numFmtId="0" fontId="7" fillId="3" borderId="40" xfId="6" applyFont="1" applyFill="1" applyBorder="1" applyAlignment="1">
      <alignment vertical="center" wrapText="1"/>
    </xf>
    <xf numFmtId="0" fontId="6" fillId="4" borderId="41" xfId="6" applyFont="1" applyFill="1" applyBorder="1" applyAlignment="1">
      <alignment vertical="center"/>
    </xf>
    <xf numFmtId="0" fontId="7" fillId="4" borderId="42" xfId="6" applyFont="1" applyFill="1" applyBorder="1" applyAlignment="1">
      <alignment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4" fillId="0" borderId="0" xfId="0" applyFont="1"/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4" fillId="0" borderId="27" xfId="0" applyNumberFormat="1" applyFont="1" applyBorder="1" applyAlignment="1">
      <alignment horizontal="center" vertical="center"/>
    </xf>
    <xf numFmtId="14" fontId="14" fillId="0" borderId="28" xfId="0" applyNumberFormat="1" applyFont="1" applyBorder="1" applyAlignment="1">
      <alignment horizontal="center" vertical="center"/>
    </xf>
    <xf numFmtId="14" fontId="14" fillId="0" borderId="29" xfId="0" applyNumberFormat="1" applyFont="1" applyBorder="1" applyAlignment="1">
      <alignment horizontal="center" vertical="center"/>
    </xf>
    <xf numFmtId="2" fontId="14" fillId="0" borderId="27" xfId="0" applyNumberFormat="1" applyFont="1" applyBorder="1" applyAlignment="1">
      <alignment horizontal="center" vertical="center"/>
    </xf>
    <xf numFmtId="2" fontId="14" fillId="0" borderId="28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2" borderId="0" xfId="0" applyFont="1" applyFill="1"/>
    <xf numFmtId="0" fontId="14" fillId="0" borderId="34" xfId="0" applyFont="1" applyBorder="1"/>
    <xf numFmtId="0" fontId="14" fillId="0" borderId="22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0" borderId="27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2" xfId="0" applyFont="1" applyBorder="1"/>
    <xf numFmtId="0" fontId="14" fillId="0" borderId="33" xfId="0" applyFont="1" applyBorder="1"/>
    <xf numFmtId="0" fontId="0" fillId="0" borderId="0" xfId="0" applyFont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4" fontId="0" fillId="0" borderId="27" xfId="0" applyNumberFormat="1" applyFont="1" applyBorder="1" applyAlignment="1">
      <alignment horizontal="center" vertical="center"/>
    </xf>
    <xf numFmtId="14" fontId="0" fillId="0" borderId="28" xfId="0" applyNumberFormat="1" applyFont="1" applyBorder="1" applyAlignment="1">
      <alignment horizontal="center" vertical="center"/>
    </xf>
    <xf numFmtId="14" fontId="0" fillId="0" borderId="29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4" fillId="0" borderId="0" xfId="7" applyFont="1">
      <alignment vertical="center"/>
    </xf>
    <xf numFmtId="0" fontId="14" fillId="0" borderId="0" xfId="0" quotePrefix="1" applyFont="1"/>
    <xf numFmtId="0" fontId="14" fillId="0" borderId="1" xfId="7" applyFont="1" applyBorder="1">
      <alignment vertical="center"/>
    </xf>
    <xf numFmtId="0" fontId="14" fillId="0" borderId="4" xfId="7" applyFont="1" applyBorder="1">
      <alignment vertical="center"/>
    </xf>
    <xf numFmtId="0" fontId="14" fillId="0" borderId="2" xfId="7" applyFont="1" applyBorder="1">
      <alignment vertical="center"/>
    </xf>
    <xf numFmtId="0" fontId="14" fillId="0" borderId="3" xfId="7" applyFont="1" applyBorder="1">
      <alignment vertical="center"/>
    </xf>
    <xf numFmtId="0" fontId="14" fillId="0" borderId="5" xfId="7" applyFont="1" applyBorder="1">
      <alignment vertical="center"/>
    </xf>
    <xf numFmtId="0" fontId="11" fillId="2" borderId="0" xfId="0" applyFont="1" applyFill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17" xfId="0" applyFont="1" applyFill="1" applyBorder="1" applyAlignment="1">
      <alignment vertical="center"/>
    </xf>
    <xf numFmtId="0" fontId="14" fillId="0" borderId="18" xfId="0" applyFont="1" applyBorder="1"/>
    <xf numFmtId="0" fontId="14" fillId="0" borderId="19" xfId="7" applyFont="1" applyBorder="1">
      <alignment vertical="center"/>
    </xf>
    <xf numFmtId="0" fontId="14" fillId="0" borderId="19" xfId="0" applyFont="1" applyBorder="1"/>
    <xf numFmtId="0" fontId="14" fillId="0" borderId="18" xfId="7" applyFont="1" applyBorder="1">
      <alignment vertical="center"/>
    </xf>
    <xf numFmtId="0" fontId="14" fillId="0" borderId="20" xfId="7" applyFont="1" applyBorder="1">
      <alignment vertical="center"/>
    </xf>
    <xf numFmtId="0" fontId="14" fillId="0" borderId="21" xfId="7" applyFont="1" applyBorder="1">
      <alignment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/>
    </xf>
    <xf numFmtId="0" fontId="12" fillId="0" borderId="29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4" fillId="0" borderId="0" xfId="6" applyFont="1" applyAlignment="1">
      <alignment vertical="center"/>
    </xf>
    <xf numFmtId="0" fontId="14" fillId="0" borderId="33" xfId="6" applyFont="1" applyBorder="1" applyAlignment="1">
      <alignment vertical="center" wrapText="1"/>
    </xf>
    <xf numFmtId="0" fontId="14" fillId="0" borderId="34" xfId="6" applyFont="1" applyBorder="1" applyAlignment="1">
      <alignment vertical="center" wrapText="1"/>
    </xf>
    <xf numFmtId="0" fontId="14" fillId="0" borderId="22" xfId="6" applyFont="1" applyBorder="1" applyAlignment="1">
      <alignment vertical="center" wrapText="1"/>
    </xf>
    <xf numFmtId="0" fontId="14" fillId="0" borderId="44" xfId="6" applyFont="1" applyBorder="1" applyAlignment="1">
      <alignment vertical="center"/>
    </xf>
    <xf numFmtId="0" fontId="14" fillId="0" borderId="45" xfId="6" applyFont="1" applyBorder="1" applyAlignment="1">
      <alignment vertical="center"/>
    </xf>
    <xf numFmtId="0" fontId="14" fillId="0" borderId="43" xfId="6" applyFont="1" applyBorder="1" applyAlignment="1">
      <alignment vertical="center"/>
    </xf>
    <xf numFmtId="0" fontId="14" fillId="0" borderId="46" xfId="6" quotePrefix="1" applyFont="1" applyBorder="1" applyAlignment="1">
      <alignment vertical="center"/>
    </xf>
    <xf numFmtId="0" fontId="14" fillId="0" borderId="47" xfId="6" quotePrefix="1" applyFont="1" applyBorder="1" applyAlignment="1">
      <alignment vertical="center"/>
    </xf>
    <xf numFmtId="0" fontId="14" fillId="0" borderId="48" xfId="6" quotePrefix="1" applyFont="1" applyBorder="1" applyAlignment="1">
      <alignment vertical="center"/>
    </xf>
    <xf numFmtId="0" fontId="14" fillId="0" borderId="46" xfId="6" applyFont="1" applyBorder="1" applyAlignment="1">
      <alignment vertical="center"/>
    </xf>
    <xf numFmtId="0" fontId="14" fillId="0" borderId="47" xfId="6" applyFont="1" applyBorder="1" applyAlignment="1">
      <alignment vertical="center"/>
    </xf>
    <xf numFmtId="0" fontId="14" fillId="0" borderId="48" xfId="6" applyFont="1" applyBorder="1" applyAlignment="1">
      <alignment vertical="center"/>
    </xf>
    <xf numFmtId="0" fontId="14" fillId="0" borderId="35" xfId="6" applyFont="1" applyBorder="1" applyAlignment="1">
      <alignment vertical="center"/>
    </xf>
    <xf numFmtId="0" fontId="14" fillId="0" borderId="36" xfId="6" applyFont="1" applyBorder="1" applyAlignment="1">
      <alignment vertical="center"/>
    </xf>
    <xf numFmtId="0" fontId="14" fillId="0" borderId="37" xfId="6" applyFont="1" applyBorder="1" applyAlignment="1">
      <alignment vertical="center"/>
    </xf>
    <xf numFmtId="0" fontId="14" fillId="0" borderId="20" xfId="0" applyFont="1" applyBorder="1"/>
    <xf numFmtId="0" fontId="14" fillId="0" borderId="21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9</xdr:col>
      <xdr:colOff>0</xdr:colOff>
      <xdr:row>12</xdr:row>
      <xdr:rowOff>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00100" y="16383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9</xdr:col>
      <xdr:colOff>0</xdr:colOff>
      <xdr:row>15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00100" y="24003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41_名称マスタ</a:t>
          </a:r>
        </a:p>
      </xdr:txBody>
    </xdr:sp>
    <xdr:clientData/>
  </xdr:twoCellAnchor>
  <xdr:twoCellAnchor>
    <xdr:from>
      <xdr:col>3</xdr:col>
      <xdr:colOff>0</xdr:colOff>
      <xdr:row>19</xdr:row>
      <xdr:rowOff>0</xdr:rowOff>
    </xdr:from>
    <xdr:to>
      <xdr:col>9</xdr:col>
      <xdr:colOff>0</xdr:colOff>
      <xdr:row>23</xdr:row>
      <xdr:rowOff>0</xdr:rowOff>
    </xdr:to>
    <xdr:sp macro="" textlink="" fLocksText="0">
      <xdr:nvSpPr>
        <xdr:cNvPr id="78" name="正方形/長方形 1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800100" y="3733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SC4101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汎用設定（名称マスタ）画面（初期化）</a:t>
          </a:r>
        </a:p>
      </xdr:txBody>
    </xdr:sp>
    <xdr:clientData/>
  </xdr:twoCellAnchor>
  <xdr:twoCellAnchor>
    <xdr:from>
      <xdr:col>6</xdr:col>
      <xdr:colOff>1</xdr:colOff>
      <xdr:row>15</xdr:row>
      <xdr:rowOff>0</xdr:rowOff>
    </xdr:from>
    <xdr:to>
      <xdr:col>6</xdr:col>
      <xdr:colOff>1</xdr:colOff>
      <xdr:row>19</xdr:row>
      <xdr:rowOff>0</xdr:rowOff>
    </xdr:to>
    <xdr:cxnSp macro="">
      <xdr:nvCxnSpPr>
        <xdr:cNvPr id="79" name="直線矢印コネクタ 1010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3" idx="2"/>
          <a:endCxn id="78" idx="0"/>
        </xdr:cNvCxnSpPr>
      </xdr:nvCxnSpPr>
      <xdr:spPr>
        <a:xfrm>
          <a:off x="1600200" y="2971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29</xdr:row>
      <xdr:rowOff>0</xdr:rowOff>
    </xdr:from>
    <xdr:to>
      <xdr:col>9</xdr:col>
      <xdr:colOff>1</xdr:colOff>
      <xdr:row>32</xdr:row>
      <xdr:rowOff>0</xdr:rowOff>
    </xdr:to>
    <xdr:sp macro="" textlink="" fLocksText="0">
      <xdr:nvSpPr>
        <xdr:cNvPr id="84" name="四角形: 角を丸くする 294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800100" y="56388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キー種別入力項目からフォーカスアウト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6</xdr:col>
      <xdr:colOff>1</xdr:colOff>
      <xdr:row>23</xdr:row>
      <xdr:rowOff>0</xdr:rowOff>
    </xdr:from>
    <xdr:to>
      <xdr:col>6</xdr:col>
      <xdr:colOff>1</xdr:colOff>
      <xdr:row>29</xdr:row>
      <xdr:rowOff>0</xdr:rowOff>
    </xdr:to>
    <xdr:cxnSp macro="">
      <xdr:nvCxnSpPr>
        <xdr:cNvPr id="85" name="直線矢印コネクタ 1010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>
          <a:stCxn id="78" idx="2"/>
          <a:endCxn id="84" idx="0"/>
        </xdr:cNvCxnSpPr>
      </xdr:nvCxnSpPr>
      <xdr:spPr>
        <a:xfrm>
          <a:off x="1600200" y="44958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34</xdr:row>
      <xdr:rowOff>0</xdr:rowOff>
    </xdr:from>
    <xdr:to>
      <xdr:col>9</xdr:col>
      <xdr:colOff>0</xdr:colOff>
      <xdr:row>38</xdr:row>
      <xdr:rowOff>0</xdr:rowOff>
    </xdr:to>
    <xdr:sp macro="" textlink="" fLocksText="0">
      <xdr:nvSpPr>
        <xdr:cNvPr id="88" name="四角形: 角を丸くする 3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/>
      </xdr:nvSpPr>
      <xdr:spPr>
        <a:xfrm>
          <a:off x="800100" y="659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KN4101_キー種別提案機能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32</xdr:row>
      <xdr:rowOff>0</xdr:rowOff>
    </xdr:from>
    <xdr:to>
      <xdr:col>6</xdr:col>
      <xdr:colOff>1</xdr:colOff>
      <xdr:row>34</xdr:row>
      <xdr:rowOff>0</xdr:rowOff>
    </xdr:to>
    <xdr:cxnSp macro="">
      <xdr:nvCxnSpPr>
        <xdr:cNvPr id="89" name="直線矢印コネクタ 1010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CxnSpPr>
          <a:stCxn id="84" idx="2"/>
          <a:endCxn id="88" idx="0"/>
        </xdr:cNvCxnSpPr>
      </xdr:nvCxnSpPr>
      <xdr:spPr>
        <a:xfrm>
          <a:off x="1600200" y="6210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34</xdr:row>
      <xdr:rowOff>0</xdr:rowOff>
    </xdr:from>
    <xdr:to>
      <xdr:col>35</xdr:col>
      <xdr:colOff>0</xdr:colOff>
      <xdr:row>38</xdr:row>
      <xdr:rowOff>0</xdr:rowOff>
    </xdr:to>
    <xdr:sp macro="" textlink="" fLocksText="0">
      <xdr:nvSpPr>
        <xdr:cNvPr id="93" name="フローチャート: 磁気ディスク 194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7734300" y="6591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AP4101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キー種別の詳細アイテム一覧</a:t>
          </a:r>
        </a:p>
      </xdr:txBody>
    </xdr:sp>
    <xdr:clientData/>
  </xdr:twoCellAnchor>
  <xdr:twoCellAnchor>
    <xdr:from>
      <xdr:col>9</xdr:col>
      <xdr:colOff>0</xdr:colOff>
      <xdr:row>36</xdr:row>
      <xdr:rowOff>0</xdr:rowOff>
    </xdr:from>
    <xdr:to>
      <xdr:col>29</xdr:col>
      <xdr:colOff>0</xdr:colOff>
      <xdr:row>36</xdr:row>
      <xdr:rowOff>0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CxnSpPr>
          <a:stCxn id="88" idx="3"/>
          <a:endCxn id="93" idx="2"/>
        </xdr:cNvCxnSpPr>
      </xdr:nvCxnSpPr>
      <xdr:spPr>
        <a:xfrm>
          <a:off x="2400300" y="6972300"/>
          <a:ext cx="53340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42</xdr:row>
      <xdr:rowOff>0</xdr:rowOff>
    </xdr:from>
    <xdr:to>
      <xdr:col>8</xdr:col>
      <xdr:colOff>0</xdr:colOff>
      <xdr:row>44</xdr:row>
      <xdr:rowOff>0</xdr:rowOff>
    </xdr:to>
    <xdr:sp macro="" textlink="" fLocksText="0">
      <xdr:nvSpPr>
        <xdr:cNvPr id="97" name="四角形: 角を丸くする 294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1066800" y="8115300"/>
          <a:ext cx="1066800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存在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41</xdr:row>
      <xdr:rowOff>168088</xdr:rowOff>
    </xdr:from>
    <xdr:to>
      <xdr:col>18</xdr:col>
      <xdr:colOff>0</xdr:colOff>
      <xdr:row>44</xdr:row>
      <xdr:rowOff>0</xdr:rowOff>
    </xdr:to>
    <xdr:sp macro="" textlink="" fLocksText="0">
      <xdr:nvSpPr>
        <xdr:cNvPr id="98" name="四角形: 角を丸くする 294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/>
      </xdr:nvSpPr>
      <xdr:spPr>
        <a:xfrm>
          <a:off x="3733800" y="8096250"/>
          <a:ext cx="106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不在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</xdr:colOff>
      <xdr:row>42</xdr:row>
      <xdr:rowOff>0</xdr:rowOff>
    </xdr:to>
    <xdr:cxnSp macro="">
      <xdr:nvCxnSpPr>
        <xdr:cNvPr id="99" name="直線矢印コネクタ 1010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CxnSpPr>
          <a:stCxn id="88" idx="2"/>
          <a:endCxn id="97" idx="0"/>
        </xdr:cNvCxnSpPr>
      </xdr:nvCxnSpPr>
      <xdr:spPr>
        <a:xfrm flipH="1">
          <a:off x="1600200" y="7353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38</xdr:row>
      <xdr:rowOff>0</xdr:rowOff>
    </xdr:from>
    <xdr:to>
      <xdr:col>16</xdr:col>
      <xdr:colOff>0</xdr:colOff>
      <xdr:row>41</xdr:row>
      <xdr:rowOff>168088</xdr:rowOff>
    </xdr:to>
    <xdr:cxnSp macro="">
      <xdr:nvCxnSpPr>
        <xdr:cNvPr id="103" name="Connector: Elbow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CxnSpPr>
          <a:stCxn id="88" idx="2"/>
          <a:endCxn id="98" idx="0"/>
        </xdr:cNvCxnSpPr>
      </xdr:nvCxnSpPr>
      <xdr:spPr>
        <a:xfrm rot="16200000" flipH="1">
          <a:off x="1600200" y="7353300"/>
          <a:ext cx="2667000" cy="74295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54</xdr:row>
      <xdr:rowOff>0</xdr:rowOff>
    </xdr:from>
    <xdr:to>
      <xdr:col>19</xdr:col>
      <xdr:colOff>0</xdr:colOff>
      <xdr:row>58</xdr:row>
      <xdr:rowOff>0</xdr:rowOff>
    </xdr:to>
    <xdr:sp macro="" textlink="" fLocksText="0">
      <xdr:nvSpPr>
        <xdr:cNvPr id="105" name="正方形/長方形 19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3467100" y="10401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MD4101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キー種別一覧モーダル</a:t>
          </a:r>
        </a:p>
      </xdr:txBody>
    </xdr:sp>
    <xdr:clientData/>
  </xdr:twoCellAnchor>
  <xdr:twoCellAnchor>
    <xdr:from>
      <xdr:col>16</xdr:col>
      <xdr:colOff>1</xdr:colOff>
      <xdr:row>44</xdr:row>
      <xdr:rowOff>0</xdr:rowOff>
    </xdr:from>
    <xdr:to>
      <xdr:col>16</xdr:col>
      <xdr:colOff>1</xdr:colOff>
      <xdr:row>47</xdr:row>
      <xdr:rowOff>0</xdr:rowOff>
    </xdr:to>
    <xdr:cxnSp macro="">
      <xdr:nvCxnSpPr>
        <xdr:cNvPr id="106" name="直線矢印コネクタ 1010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CxnSpPr>
          <a:stCxn id="98" idx="2"/>
          <a:endCxn id="113" idx="0"/>
        </xdr:cNvCxnSpPr>
      </xdr:nvCxnSpPr>
      <xdr:spPr>
        <a:xfrm>
          <a:off x="4267200" y="8496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47</xdr:row>
      <xdr:rowOff>0</xdr:rowOff>
    </xdr:from>
    <xdr:to>
      <xdr:col>35</xdr:col>
      <xdr:colOff>0</xdr:colOff>
      <xdr:row>51</xdr:row>
      <xdr:rowOff>0</xdr:rowOff>
    </xdr:to>
    <xdr:sp macro="" textlink="" fLocksText="0">
      <xdr:nvSpPr>
        <xdr:cNvPr id="110" name="フローチャート: 磁気ディスク 194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7734300" y="9067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AP4102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キー種別一覧 </a:t>
          </a:r>
        </a:p>
      </xdr:txBody>
    </xdr:sp>
    <xdr:clientData/>
  </xdr:twoCellAnchor>
  <xdr:twoCellAnchor>
    <xdr:from>
      <xdr:col>19</xdr:col>
      <xdr:colOff>0</xdr:colOff>
      <xdr:row>49</xdr:row>
      <xdr:rowOff>0</xdr:rowOff>
    </xdr:from>
    <xdr:to>
      <xdr:col>29</xdr:col>
      <xdr:colOff>0</xdr:colOff>
      <xdr:row>49</xdr:row>
      <xdr:rowOff>0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CxnSpPr>
          <a:stCxn id="113" idx="3"/>
          <a:endCxn id="110" idx="2"/>
        </xdr:cNvCxnSpPr>
      </xdr:nvCxnSpPr>
      <xdr:spPr>
        <a:xfrm>
          <a:off x="5067300" y="9448800"/>
          <a:ext cx="26670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47</xdr:row>
      <xdr:rowOff>0</xdr:rowOff>
    </xdr:from>
    <xdr:to>
      <xdr:col>19</xdr:col>
      <xdr:colOff>0</xdr:colOff>
      <xdr:row>51</xdr:row>
      <xdr:rowOff>0</xdr:rowOff>
    </xdr:to>
    <xdr:sp macro="" textlink="" fLocksText="0">
      <xdr:nvSpPr>
        <xdr:cNvPr id="113" name="四角形: 角を丸くする 3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/>
      </xdr:nvSpPr>
      <xdr:spPr>
        <a:xfrm>
          <a:off x="3467100" y="9067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KN4102_名称マスタ一覧取得機能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16</xdr:col>
      <xdr:colOff>1</xdr:colOff>
      <xdr:row>51</xdr:row>
      <xdr:rowOff>0</xdr:rowOff>
    </xdr:from>
    <xdr:to>
      <xdr:col>16</xdr:col>
      <xdr:colOff>1</xdr:colOff>
      <xdr:row>54</xdr:row>
      <xdr:rowOff>0</xdr:rowOff>
    </xdr:to>
    <xdr:cxnSp macro="">
      <xdr:nvCxnSpPr>
        <xdr:cNvPr id="116" name="直線矢印コネクタ 1010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CxnSpPr>
          <a:stCxn id="113" idx="2"/>
          <a:endCxn id="105" idx="0"/>
        </xdr:cNvCxnSpPr>
      </xdr:nvCxnSpPr>
      <xdr:spPr>
        <a:xfrm>
          <a:off x="4267200" y="9829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64</xdr:row>
      <xdr:rowOff>0</xdr:rowOff>
    </xdr:from>
    <xdr:to>
      <xdr:col>9</xdr:col>
      <xdr:colOff>0</xdr:colOff>
      <xdr:row>68</xdr:row>
      <xdr:rowOff>0</xdr:rowOff>
    </xdr:to>
    <xdr:sp macro="" textlink="" fLocksText="0">
      <xdr:nvSpPr>
        <xdr:cNvPr id="119" name="正方形/長方形 1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/>
      </xdr:nvSpPr>
      <xdr:spPr>
        <a:xfrm>
          <a:off x="800100" y="12306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SC4102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汎用設定（名称マスタ）画面（検索）</a:t>
          </a:r>
        </a:p>
      </xdr:txBody>
    </xdr:sp>
    <xdr:clientData/>
  </xdr:twoCellAnchor>
  <xdr:twoCellAnchor>
    <xdr:from>
      <xdr:col>6</xdr:col>
      <xdr:colOff>0</xdr:colOff>
      <xdr:row>44</xdr:row>
      <xdr:rowOff>0</xdr:rowOff>
    </xdr:from>
    <xdr:to>
      <xdr:col>6</xdr:col>
      <xdr:colOff>1</xdr:colOff>
      <xdr:row>64</xdr:row>
      <xdr:rowOff>0</xdr:rowOff>
    </xdr:to>
    <xdr:cxnSp macro="">
      <xdr:nvCxnSpPr>
        <xdr:cNvPr id="120" name="直線矢印コネクタ 1010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CxnSpPr>
          <a:stCxn id="97" idx="2"/>
          <a:endCxn id="119" idx="0"/>
        </xdr:cNvCxnSpPr>
      </xdr:nvCxnSpPr>
      <xdr:spPr>
        <a:xfrm>
          <a:off x="1600200" y="8496300"/>
          <a:ext cx="0" cy="3810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</xdr:colOff>
      <xdr:row>16</xdr:row>
      <xdr:rowOff>0</xdr:rowOff>
    </xdr:from>
    <xdr:to>
      <xdr:col>61</xdr:col>
      <xdr:colOff>0</xdr:colOff>
      <xdr:row>35</xdr:row>
      <xdr:rowOff>0</xdr:rowOff>
    </xdr:to>
    <xdr:sp macro="" textlink="" fLocksText="0">
      <xdr:nvSpPr>
        <xdr:cNvPr id="123" name="吹き出し: 線 14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/>
      </xdr:nvSpPr>
      <xdr:spPr>
        <a:xfrm>
          <a:off x="10134600" y="3162300"/>
          <a:ext cx="6134100" cy="3619500"/>
        </a:xfrm>
        <a:prstGeom prst="borderCallout1">
          <a:avLst>
            <a:gd name="adj1" fmla="val 49786"/>
            <a:gd name="adj2" fmla="val 56"/>
            <a:gd name="adj3" fmla="val 30083"/>
            <a:gd name="adj4" fmla="val -12669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画面には店舗選択ビューがない。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画面を初期化する時： 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以下の項目を含む。</a:t>
          </a: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・キー種別入力項目：有効。最大3桁の数字のみ入力可能とする。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フォーカスアウト時に「0」を自動的に追加してキー種別提案機能を実行する。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+キー種別が存在している場合、SC4102画面にそのキー種別の詳細アイテム一覧を表示する。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+キー種別が存在していない場合、キー種別名項目にエラーを表示する。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・検索ボタンを有効にする。検索ボタンタッチ時、キー種別一覧を取得し、MD4101_キー種別一覧モーダルに表示する。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・「キー」、「キー名」項目：無効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・「新規」、「クリア」、「確定」ボタン：無効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・「店舗一括設定」チェックボックス：無効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235323</xdr:colOff>
      <xdr:row>29</xdr:row>
      <xdr:rowOff>0</xdr:rowOff>
    </xdr:from>
    <xdr:to>
      <xdr:col>19</xdr:col>
      <xdr:colOff>0</xdr:colOff>
      <xdr:row>32</xdr:row>
      <xdr:rowOff>0</xdr:rowOff>
    </xdr:to>
    <xdr:sp macro="" textlink="" fLocksText="0">
      <xdr:nvSpPr>
        <xdr:cNvPr id="125" name="四角形: 角を丸くする 29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3059205" y="5636559"/>
          <a:ext cx="1411942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F12:検索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6</xdr:col>
      <xdr:colOff>1</xdr:colOff>
      <xdr:row>23</xdr:row>
      <xdr:rowOff>0</xdr:rowOff>
    </xdr:from>
    <xdr:to>
      <xdr:col>16</xdr:col>
      <xdr:colOff>0</xdr:colOff>
      <xdr:row>29</xdr:row>
      <xdr:rowOff>0</xdr:rowOff>
    </xdr:to>
    <xdr:cxnSp macro="">
      <xdr:nvCxnSpPr>
        <xdr:cNvPr id="127" name="Connector: Elbow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CxnSpPr>
          <a:stCxn id="78" idx="2"/>
          <a:endCxn id="125" idx="0"/>
        </xdr:cNvCxnSpPr>
      </xdr:nvCxnSpPr>
      <xdr:spPr>
        <a:xfrm rot="16200000" flipH="1">
          <a:off x="1600200" y="4495800"/>
          <a:ext cx="2667000" cy="1143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</xdr:colOff>
      <xdr:row>61</xdr:row>
      <xdr:rowOff>0</xdr:rowOff>
    </xdr:from>
    <xdr:to>
      <xdr:col>61</xdr:col>
      <xdr:colOff>0</xdr:colOff>
      <xdr:row>85</xdr:row>
      <xdr:rowOff>0</xdr:rowOff>
    </xdr:to>
    <xdr:sp macro="" textlink="" fLocksText="0">
      <xdr:nvSpPr>
        <xdr:cNvPr id="132" name="吹き出し: 線 14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/>
      </xdr:nvSpPr>
      <xdr:spPr>
        <a:xfrm>
          <a:off x="10134600" y="11734800"/>
          <a:ext cx="6134100" cy="4572000"/>
        </a:xfrm>
        <a:prstGeom prst="borderCallout1">
          <a:avLst>
            <a:gd name="adj1" fmla="val 49786"/>
            <a:gd name="adj2" fmla="val 56"/>
            <a:gd name="adj3" fmla="val 26231"/>
            <a:gd name="adj4" fmla="val -12607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・クリアボタン：有効。クリア時、画面を初期状態に戻す。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・確定ボタン：キー種別のアイテム一覧のデータが変更された場合に有効にする。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・キー入力・編集項目：3桁を入力可能とする。フォーカスアウト時に「0」を自動追加する。3桁が入力されると</a:t>
          </a: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一覧内で検索を行い、エラーをキー名入力・編集項目に表示する。キー名入力・編集項目を無効にする。新規ボタンを無効にする。見つからない場合、キー名入力・編集項目を空白にし、新規ボタンを無効に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・キー名編集項目：最大半角50文字入力可能とする。有効で、入力文字がある場合、新規ボタンを有効にする。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・新規ボタン：テーブルの先頭に挿入し、新規作成された行は赤いテキストで表示する。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・店舗一括設定チェックボックス：この設定が全店舗に適用されることをマークし、フロー42_アプリ判定設定で提案しない。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・キー種別の詳細アイテム一覧表には以下の項目が含まれている。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キー入力項目：3桁を入力可能とする。フォーカスアウト時に「0」を自動追加する。画面上のアイテムと重複していないかを確認する。重複がある場合、ツールチップで重複エラーを表示する。重複がない場合、このキーが他のフローで使用されていない場合に変更可能と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+キー名項目：入力不可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 editAs="oneCell">
    <xdr:from>
      <xdr:col>65</xdr:col>
      <xdr:colOff>235323</xdr:colOff>
      <xdr:row>17</xdr:row>
      <xdr:rowOff>156883</xdr:rowOff>
    </xdr:from>
    <xdr:to>
      <xdr:col>95</xdr:col>
      <xdr:colOff>0</xdr:colOff>
      <xdr:row>38</xdr:row>
      <xdr:rowOff>27203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73625" y="3505200"/>
          <a:ext cx="7762875" cy="3867150"/>
        </a:xfrm>
        <a:prstGeom prst="rect">
          <a:avLst/>
        </a:prstGeom>
      </xdr:spPr>
    </xdr:pic>
    <xdr:clientData/>
  </xdr:twoCellAnchor>
  <xdr:twoCellAnchor>
    <xdr:from>
      <xdr:col>38</xdr:col>
      <xdr:colOff>0</xdr:colOff>
      <xdr:row>49</xdr:row>
      <xdr:rowOff>0</xdr:rowOff>
    </xdr:from>
    <xdr:to>
      <xdr:col>60</xdr:col>
      <xdr:colOff>235322</xdr:colOff>
      <xdr:row>56</xdr:row>
      <xdr:rowOff>0</xdr:rowOff>
    </xdr:to>
    <xdr:sp macro="" textlink="" fLocksText="0">
      <xdr:nvSpPr>
        <xdr:cNvPr id="134" name="吹き出し: 線 14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SpPr/>
      </xdr:nvSpPr>
      <xdr:spPr>
        <a:xfrm>
          <a:off x="10134600" y="9448800"/>
          <a:ext cx="6105525" cy="1333500"/>
        </a:xfrm>
        <a:prstGeom prst="borderCallout1">
          <a:avLst>
            <a:gd name="adj1" fmla="val 49786"/>
            <a:gd name="adj2" fmla="val 56"/>
            <a:gd name="adj3" fmla="val 90868"/>
            <a:gd name="adj4" fmla="val -848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名称マスタ一覧表を表示する。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キー種別と名称が含まれている。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ボタン選択をタッチすると、モーダルを閉じてSC8402画面に戻り、キー種別提案機能を実行する。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前画面ボタンをタッチすると、モーダルを閉じる。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 editAs="oneCell">
    <xdr:from>
      <xdr:col>65</xdr:col>
      <xdr:colOff>224118</xdr:colOff>
      <xdr:row>44</xdr:row>
      <xdr:rowOff>141489</xdr:rowOff>
    </xdr:from>
    <xdr:to>
      <xdr:col>90</xdr:col>
      <xdr:colOff>194610</xdr:colOff>
      <xdr:row>61</xdr:row>
      <xdr:rowOff>112059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64100" y="8639175"/>
          <a:ext cx="6638925" cy="3209925"/>
        </a:xfrm>
        <a:prstGeom prst="rect">
          <a:avLst/>
        </a:prstGeom>
      </xdr:spPr>
    </xdr:pic>
    <xdr:clientData/>
  </xdr:twoCellAnchor>
  <xdr:twoCellAnchor>
    <xdr:from>
      <xdr:col>17</xdr:col>
      <xdr:colOff>1</xdr:colOff>
      <xdr:row>58</xdr:row>
      <xdr:rowOff>11206</xdr:rowOff>
    </xdr:from>
    <xdr:to>
      <xdr:col>20</xdr:col>
      <xdr:colOff>0</xdr:colOff>
      <xdr:row>60</xdr:row>
      <xdr:rowOff>11206</xdr:rowOff>
    </xdr:to>
    <xdr:sp macro="" textlink="" fLocksText="0">
      <xdr:nvSpPr>
        <xdr:cNvPr id="137" name="四角形: 角を丸くする 294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SpPr/>
      </xdr:nvSpPr>
      <xdr:spPr>
        <a:xfrm>
          <a:off x="4533900" y="11172825"/>
          <a:ext cx="8001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前画面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12</xdr:col>
      <xdr:colOff>11207</xdr:colOff>
      <xdr:row>58</xdr:row>
      <xdr:rowOff>0</xdr:rowOff>
    </xdr:from>
    <xdr:to>
      <xdr:col>15</xdr:col>
      <xdr:colOff>11206</xdr:colOff>
      <xdr:row>60</xdr:row>
      <xdr:rowOff>0</xdr:rowOff>
    </xdr:to>
    <xdr:sp macro="" textlink="" fLocksText="0">
      <xdr:nvSpPr>
        <xdr:cNvPr id="138" name="四角形: 角を丸くする 294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/>
      </xdr:nvSpPr>
      <xdr:spPr>
        <a:xfrm>
          <a:off x="3209925" y="11163300"/>
          <a:ext cx="8001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選択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</xdr:col>
      <xdr:colOff>0</xdr:colOff>
      <xdr:row>36</xdr:row>
      <xdr:rowOff>1</xdr:rowOff>
    </xdr:from>
    <xdr:to>
      <xdr:col>13</xdr:col>
      <xdr:colOff>128868</xdr:colOff>
      <xdr:row>60</xdr:row>
      <xdr:rowOff>1</xdr:rowOff>
    </xdr:to>
    <xdr:cxnSp macro="">
      <xdr:nvCxnSpPr>
        <xdr:cNvPr id="140" name="Connector: Elbow 139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CxnSpPr>
          <a:stCxn id="138" idx="2"/>
          <a:endCxn id="88" idx="1"/>
        </xdr:cNvCxnSpPr>
      </xdr:nvCxnSpPr>
      <xdr:spPr>
        <a:xfrm rot="5400000" flipH="1">
          <a:off x="800100" y="6972300"/>
          <a:ext cx="2800350" cy="4572000"/>
        </a:xfrm>
        <a:prstGeom prst="bentConnector4">
          <a:avLst>
            <a:gd name="adj1" fmla="val -5000"/>
            <a:gd name="adj2" fmla="val 10921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72</xdr:row>
      <xdr:rowOff>0</xdr:rowOff>
    </xdr:from>
    <xdr:to>
      <xdr:col>8</xdr:col>
      <xdr:colOff>0</xdr:colOff>
      <xdr:row>74</xdr:row>
      <xdr:rowOff>0</xdr:rowOff>
    </xdr:to>
    <xdr:sp macro="" textlink="" fLocksText="0">
      <xdr:nvSpPr>
        <xdr:cNvPr id="147" name="四角形: 角を丸くする 294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/>
      </xdr:nvSpPr>
      <xdr:spPr>
        <a:xfrm>
          <a:off x="1066800" y="13830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F11：確定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29</xdr:col>
      <xdr:colOff>0</xdr:colOff>
      <xdr:row>72</xdr:row>
      <xdr:rowOff>0</xdr:rowOff>
    </xdr:from>
    <xdr:to>
      <xdr:col>31</xdr:col>
      <xdr:colOff>235323</xdr:colOff>
      <xdr:row>74</xdr:row>
      <xdr:rowOff>0</xdr:rowOff>
    </xdr:to>
    <xdr:sp macro="" textlink="" fLocksText="0">
      <xdr:nvSpPr>
        <xdr:cNvPr id="148" name="四角形: 角を丸くする 294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/>
      </xdr:nvSpPr>
      <xdr:spPr>
        <a:xfrm>
          <a:off x="7734300" y="13830300"/>
          <a:ext cx="77152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F4：クリア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23</xdr:col>
      <xdr:colOff>22412</xdr:colOff>
      <xdr:row>72</xdr:row>
      <xdr:rowOff>0</xdr:rowOff>
    </xdr:from>
    <xdr:to>
      <xdr:col>26</xdr:col>
      <xdr:colOff>22411</xdr:colOff>
      <xdr:row>74</xdr:row>
      <xdr:rowOff>0</xdr:rowOff>
    </xdr:to>
    <xdr:sp macro="" textlink="" fLocksText="0">
      <xdr:nvSpPr>
        <xdr:cNvPr id="149" name="四角形: 角を丸くする 294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/>
      </xdr:nvSpPr>
      <xdr:spPr>
        <a:xfrm>
          <a:off x="6153150" y="13830300"/>
          <a:ext cx="8001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F9: 新規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 editAs="oneCell">
    <xdr:from>
      <xdr:col>66</xdr:col>
      <xdr:colOff>0</xdr:colOff>
      <xdr:row>63</xdr:row>
      <xdr:rowOff>18756</xdr:rowOff>
    </xdr:from>
    <xdr:to>
      <xdr:col>94</xdr:col>
      <xdr:colOff>180073</xdr:colOff>
      <xdr:row>83</xdr:row>
      <xdr:rowOff>33618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02200" y="12134850"/>
          <a:ext cx="7648575" cy="38290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1</xdr:colOff>
      <xdr:row>72</xdr:row>
      <xdr:rowOff>0</xdr:rowOff>
    </xdr:to>
    <xdr:cxnSp macro="">
      <xdr:nvCxnSpPr>
        <xdr:cNvPr id="151" name="直線矢印コネクタ 101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CxnSpPr>
          <a:stCxn id="119" idx="2"/>
          <a:endCxn id="147" idx="0"/>
        </xdr:cNvCxnSpPr>
      </xdr:nvCxnSpPr>
      <xdr:spPr>
        <a:xfrm flipH="1">
          <a:off x="1600200" y="13068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68</xdr:row>
      <xdr:rowOff>0</xdr:rowOff>
    </xdr:from>
    <xdr:to>
      <xdr:col>24</xdr:col>
      <xdr:colOff>140073</xdr:colOff>
      <xdr:row>72</xdr:row>
      <xdr:rowOff>0</xdr:rowOff>
    </xdr:to>
    <xdr:cxnSp macro="">
      <xdr:nvCxnSpPr>
        <xdr:cNvPr id="154" name="Connector: Elbow 153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CxnSpPr>
          <a:stCxn id="119" idx="2"/>
          <a:endCxn id="149" idx="0"/>
        </xdr:cNvCxnSpPr>
      </xdr:nvCxnSpPr>
      <xdr:spPr>
        <a:xfrm rot="16200000" flipH="1">
          <a:off x="1600200" y="13068300"/>
          <a:ext cx="494347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68</xdr:row>
      <xdr:rowOff>0</xdr:rowOff>
    </xdr:from>
    <xdr:to>
      <xdr:col>30</xdr:col>
      <xdr:colOff>117660</xdr:colOff>
      <xdr:row>72</xdr:row>
      <xdr:rowOff>0</xdr:rowOff>
    </xdr:to>
    <xdr:cxnSp macro="">
      <xdr:nvCxnSpPr>
        <xdr:cNvPr id="157" name="Connector: Elbow 156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CxnSpPr>
          <a:stCxn id="119" idx="2"/>
          <a:endCxn id="148" idx="0"/>
        </xdr:cNvCxnSpPr>
      </xdr:nvCxnSpPr>
      <xdr:spPr>
        <a:xfrm rot="16200000" flipH="1">
          <a:off x="1600200" y="13068300"/>
          <a:ext cx="65151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79</xdr:row>
      <xdr:rowOff>0</xdr:rowOff>
    </xdr:from>
    <xdr:to>
      <xdr:col>35</xdr:col>
      <xdr:colOff>0</xdr:colOff>
      <xdr:row>83</xdr:row>
      <xdr:rowOff>0</xdr:rowOff>
    </xdr:to>
    <xdr:sp macro="" textlink="" fLocksText="0">
      <xdr:nvSpPr>
        <xdr:cNvPr id="169" name="フローチャート: 磁気ディスク 194"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SpPr/>
      </xdr:nvSpPr>
      <xdr:spPr>
        <a:xfrm>
          <a:off x="7734300" y="15163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AP4103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キー種別の詳細アイテム更新</a:t>
          </a: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29</xdr:col>
      <xdr:colOff>0</xdr:colOff>
      <xdr:row>81</xdr:row>
      <xdr:rowOff>0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CxnSpPr>
          <a:stCxn id="171" idx="3"/>
          <a:endCxn id="169" idx="2"/>
        </xdr:cNvCxnSpPr>
      </xdr:nvCxnSpPr>
      <xdr:spPr>
        <a:xfrm>
          <a:off x="2400300" y="15544800"/>
          <a:ext cx="53340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79</xdr:row>
      <xdr:rowOff>0</xdr:rowOff>
    </xdr:from>
    <xdr:to>
      <xdr:col>9</xdr:col>
      <xdr:colOff>0</xdr:colOff>
      <xdr:row>83</xdr:row>
      <xdr:rowOff>0</xdr:rowOff>
    </xdr:to>
    <xdr:sp macro="" textlink="" fLocksText="0">
      <xdr:nvSpPr>
        <xdr:cNvPr id="171" name="四角形: 角を丸くする 3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SpPr/>
      </xdr:nvSpPr>
      <xdr:spPr>
        <a:xfrm>
          <a:off x="800100" y="15163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KN4103_キー種別更新機能 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74</xdr:row>
      <xdr:rowOff>0</xdr:rowOff>
    </xdr:from>
    <xdr:to>
      <xdr:col>6</xdr:col>
      <xdr:colOff>1</xdr:colOff>
      <xdr:row>79</xdr:row>
      <xdr:rowOff>0</xdr:rowOff>
    </xdr:to>
    <xdr:cxnSp macro="">
      <xdr:nvCxnSpPr>
        <xdr:cNvPr id="172" name="直線矢印コネクタ 1010"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CxnSpPr>
          <a:stCxn id="147" idx="2"/>
          <a:endCxn id="171" idx="0"/>
        </xdr:cNvCxnSpPr>
      </xdr:nvCxnSpPr>
      <xdr:spPr>
        <a:xfrm>
          <a:off x="1600200" y="142113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72</xdr:row>
      <xdr:rowOff>0</xdr:rowOff>
    </xdr:from>
    <xdr:to>
      <xdr:col>18</xdr:col>
      <xdr:colOff>0</xdr:colOff>
      <xdr:row>74</xdr:row>
      <xdr:rowOff>0</xdr:rowOff>
    </xdr:to>
    <xdr:sp macro="" textlink="" fLocksText="0">
      <xdr:nvSpPr>
        <xdr:cNvPr id="177" name="四角形: 角を丸くする 294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/>
      </xdr:nvSpPr>
      <xdr:spPr>
        <a:xfrm>
          <a:off x="3733800" y="13830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キー編集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6</xdr:col>
      <xdr:colOff>0</xdr:colOff>
      <xdr:row>68</xdr:row>
      <xdr:rowOff>0</xdr:rowOff>
    </xdr:from>
    <xdr:to>
      <xdr:col>16</xdr:col>
      <xdr:colOff>0</xdr:colOff>
      <xdr:row>72</xdr:row>
      <xdr:rowOff>0</xdr:rowOff>
    </xdr:to>
    <xdr:cxnSp macro="">
      <xdr:nvCxnSpPr>
        <xdr:cNvPr id="178" name="Connector: Elbow 177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CxnSpPr>
          <a:stCxn id="119" idx="2"/>
          <a:endCxn id="177" idx="0"/>
        </xdr:cNvCxnSpPr>
      </xdr:nvCxnSpPr>
      <xdr:spPr>
        <a:xfrm rot="16200000" flipH="1">
          <a:off x="1600200" y="13068300"/>
          <a:ext cx="26670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83</xdr:row>
      <xdr:rowOff>179294</xdr:rowOff>
    </xdr:from>
    <xdr:to>
      <xdr:col>35</xdr:col>
      <xdr:colOff>0</xdr:colOff>
      <xdr:row>87</xdr:row>
      <xdr:rowOff>179294</xdr:rowOff>
    </xdr:to>
    <xdr:sp macro="" textlink="" fLocksText="0">
      <xdr:nvSpPr>
        <xdr:cNvPr id="182" name="フローチャート: 磁気ディスク 194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/>
      </xdr:nvSpPr>
      <xdr:spPr>
        <a:xfrm>
          <a:off x="7734300" y="16106775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AP4104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使用バリデーションチェック</a:t>
          </a:r>
        </a:p>
      </xdr:txBody>
    </xdr:sp>
    <xdr:clientData/>
  </xdr:twoCellAnchor>
  <xdr:twoCellAnchor>
    <xdr:from>
      <xdr:col>19</xdr:col>
      <xdr:colOff>0</xdr:colOff>
      <xdr:row>85</xdr:row>
      <xdr:rowOff>179294</xdr:rowOff>
    </xdr:from>
    <xdr:to>
      <xdr:col>29</xdr:col>
      <xdr:colOff>0</xdr:colOff>
      <xdr:row>86</xdr:row>
      <xdr:rowOff>0</xdr:rowOff>
    </xdr:to>
    <xdr:cxnSp macro="">
      <xdr:nvCxnSpPr>
        <xdr:cNvPr id="183" name="Straight Arrow Connector 182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CxnSpPr>
          <a:stCxn id="184" idx="3"/>
          <a:endCxn id="182" idx="2"/>
        </xdr:cNvCxnSpPr>
      </xdr:nvCxnSpPr>
      <xdr:spPr>
        <a:xfrm flipV="1">
          <a:off x="5067300" y="16487775"/>
          <a:ext cx="2667000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84</xdr:row>
      <xdr:rowOff>0</xdr:rowOff>
    </xdr:from>
    <xdr:to>
      <xdr:col>19</xdr:col>
      <xdr:colOff>0</xdr:colOff>
      <xdr:row>88</xdr:row>
      <xdr:rowOff>0</xdr:rowOff>
    </xdr:to>
    <xdr:sp macro="" textlink="" fLocksText="0">
      <xdr:nvSpPr>
        <xdr:cNvPr id="184" name="四角形: 角を丸くする 3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SpPr/>
      </xdr:nvSpPr>
      <xdr:spPr>
        <a:xfrm>
          <a:off x="3467100" y="16116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KN4104_使用バリデーションチェック機能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16</xdr:col>
      <xdr:colOff>1</xdr:colOff>
      <xdr:row>74</xdr:row>
      <xdr:rowOff>0</xdr:rowOff>
    </xdr:from>
    <xdr:to>
      <xdr:col>16</xdr:col>
      <xdr:colOff>1</xdr:colOff>
      <xdr:row>84</xdr:row>
      <xdr:rowOff>0</xdr:rowOff>
    </xdr:to>
    <xdr:cxnSp macro="">
      <xdr:nvCxnSpPr>
        <xdr:cNvPr id="187" name="直線矢印コネクタ 1010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CxnSpPr>
          <a:stCxn id="177" idx="2"/>
          <a:endCxn id="184" idx="0"/>
        </xdr:cNvCxnSpPr>
      </xdr:nvCxnSpPr>
      <xdr:spPr>
        <a:xfrm>
          <a:off x="4267200" y="14211300"/>
          <a:ext cx="0" cy="1905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29</xdr:row>
      <xdr:rowOff>0</xdr:rowOff>
    </xdr:from>
    <xdr:to>
      <xdr:col>27</xdr:col>
      <xdr:colOff>1</xdr:colOff>
      <xdr:row>32</xdr:row>
      <xdr:rowOff>0</xdr:rowOff>
    </xdr:to>
    <xdr:sp macro="" textlink="" fLocksText="0">
      <xdr:nvSpPr>
        <xdr:cNvPr id="247" name="四角形: 角を丸くする 294">
          <a:extLst>
            <a:ext uri="{FF2B5EF4-FFF2-40B4-BE49-F238E27FC236}">
              <a16:creationId xmlns:a16="http://schemas.microsoft.com/office/drawing/2014/main" id="{00000000-0008-0000-0400-0000F7000000}"/>
            </a:ext>
          </a:extLst>
        </xdr:cNvPr>
        <xdr:cNvSpPr/>
      </xdr:nvSpPr>
      <xdr:spPr>
        <a:xfrm>
          <a:off x="5600700" y="56388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店舗一括設定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23</xdr:col>
      <xdr:colOff>235323</xdr:colOff>
      <xdr:row>29</xdr:row>
      <xdr:rowOff>0</xdr:rowOff>
    </xdr:to>
    <xdr:cxnSp macro="">
      <xdr:nvCxnSpPr>
        <xdr:cNvPr id="248" name="Connector: Elbow 247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CxnSpPr>
          <a:stCxn id="78" idx="2"/>
          <a:endCxn id="247" idx="0"/>
        </xdr:cNvCxnSpPr>
      </xdr:nvCxnSpPr>
      <xdr:spPr>
        <a:xfrm rot="16200000" flipH="1">
          <a:off x="1600200" y="4495800"/>
          <a:ext cx="4772025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8" customWidth="1"/>
    <col min="61" max="16384" width="2.77734375" style="148"/>
  </cols>
  <sheetData>
    <row r="1" spans="1:63" ht="24.95" customHeight="1" x14ac:dyDescent="0.25">
      <c r="A1" s="142" t="s">
        <v>35</v>
      </c>
      <c r="B1" s="143"/>
      <c r="C1" s="143"/>
      <c r="D1" s="143"/>
      <c r="E1" s="143"/>
      <c r="F1" s="143"/>
      <c r="G1" s="143"/>
      <c r="H1" s="143"/>
      <c r="I1" s="143"/>
      <c r="J1" s="144"/>
      <c r="K1" s="142" t="s">
        <v>36</v>
      </c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4"/>
      <c r="W1" s="145" t="s">
        <v>37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7"/>
      <c r="AP1" s="142" t="s">
        <v>38</v>
      </c>
      <c r="AQ1" s="143"/>
      <c r="AR1" s="143"/>
      <c r="AS1" s="144"/>
      <c r="AT1" s="142" t="s">
        <v>39</v>
      </c>
      <c r="AU1" s="143"/>
      <c r="AV1" s="143"/>
      <c r="AW1" s="143"/>
      <c r="AX1" s="144"/>
      <c r="AY1" s="142" t="s">
        <v>40</v>
      </c>
      <c r="AZ1" s="143"/>
      <c r="BA1" s="143"/>
      <c r="BB1" s="144"/>
      <c r="BC1" s="142" t="s">
        <v>41</v>
      </c>
      <c r="BD1" s="143"/>
      <c r="BE1" s="143"/>
      <c r="BF1" s="143"/>
      <c r="BG1" s="144"/>
      <c r="BH1" s="142" t="s">
        <v>42</v>
      </c>
      <c r="BI1" s="143"/>
      <c r="BJ1" s="143"/>
      <c r="BK1" s="144"/>
    </row>
    <row r="2" spans="1:63" ht="15" customHeight="1" x14ac:dyDescent="0.25">
      <c r="A2" s="5" t="s">
        <v>43</v>
      </c>
      <c r="B2" s="149"/>
      <c r="C2" s="149"/>
      <c r="D2" s="149"/>
      <c r="E2" s="149"/>
      <c r="F2" s="149"/>
      <c r="G2" s="149"/>
      <c r="H2" s="149"/>
      <c r="I2" s="149"/>
      <c r="J2" s="150"/>
      <c r="K2" s="151" t="s">
        <v>10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151" t="str">
        <f>改訂履歴!$H$11</f>
        <v>DuNT</v>
      </c>
      <c r="AQ2" s="149"/>
      <c r="AR2" s="149"/>
      <c r="AS2" s="150"/>
      <c r="AT2" s="155">
        <f>改訂履歴!$B$11</f>
        <v>45625</v>
      </c>
      <c r="AU2" s="156"/>
      <c r="AV2" s="156"/>
      <c r="AW2" s="156"/>
      <c r="AX2" s="157"/>
      <c r="AY2" s="151" t="str">
        <f>LOOKUP(2,1/(改訂履歴!H11:H30000&lt;&gt;""),改訂履歴!H11:H30000)</f>
        <v>DuNT</v>
      </c>
      <c r="AZ2" s="149"/>
      <c r="BA2" s="149"/>
      <c r="BB2" s="150"/>
      <c r="BC2" s="155">
        <f>LOOKUP(2,1/(改訂履歴!B11:B30000&lt;&gt;""),改訂履歴!B11:B30000)</f>
        <v>45625</v>
      </c>
      <c r="BD2" s="156"/>
      <c r="BE2" s="156"/>
      <c r="BF2" s="156"/>
      <c r="BG2" s="157"/>
      <c r="BH2" s="158">
        <f>LOOKUP(2,1/(改訂履歴!O11:O30000&lt;&gt;""),改訂履歴!O11:O30000)</f>
        <v>0.1</v>
      </c>
      <c r="BI2" s="159"/>
      <c r="BJ2" s="159"/>
      <c r="BK2" s="160"/>
    </row>
    <row r="3" spans="1:63" ht="1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3"/>
      <c r="K3" s="161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70"/>
      <c r="BI3" s="171"/>
      <c r="BJ3" s="171"/>
      <c r="BK3" s="172"/>
    </row>
    <row r="4" spans="1:63" ht="24.95" customHeight="1" x14ac:dyDescent="0.25">
      <c r="A4" s="142" t="s">
        <v>44</v>
      </c>
      <c r="B4" s="143"/>
      <c r="C4" s="143"/>
      <c r="D4" s="143"/>
      <c r="E4" s="143"/>
      <c r="F4" s="143"/>
      <c r="G4" s="144"/>
      <c r="H4" s="173" t="s">
        <v>34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2" t="s">
        <v>45</v>
      </c>
      <c r="V4" s="143"/>
      <c r="W4" s="143"/>
      <c r="X4" s="143"/>
      <c r="Y4" s="144"/>
      <c r="Z4" s="173" t="s">
        <v>11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表紙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3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3" ht="15" customHeight="1" x14ac:dyDescent="0.25">
      <c r="A6" s="179"/>
      <c r="BK6" s="180"/>
    </row>
    <row r="7" spans="1:63" ht="15" customHeight="1" x14ac:dyDescent="0.25">
      <c r="A7" s="179"/>
      <c r="BK7" s="180"/>
    </row>
    <row r="8" spans="1:63" ht="15" customHeight="1" x14ac:dyDescent="0.25">
      <c r="A8" s="179"/>
      <c r="BK8" s="180"/>
    </row>
    <row r="9" spans="1:63" ht="15" customHeight="1" x14ac:dyDescent="0.25">
      <c r="A9" s="179"/>
      <c r="BK9" s="180"/>
    </row>
    <row r="10" spans="1:63" ht="15" customHeight="1" x14ac:dyDescent="0.25">
      <c r="A10" s="179"/>
      <c r="BK10" s="180"/>
    </row>
    <row r="11" spans="1:63" ht="15" customHeight="1" x14ac:dyDescent="0.25">
      <c r="A11" s="179"/>
      <c r="BK11" s="180"/>
    </row>
    <row r="12" spans="1:63" ht="15" customHeight="1" x14ac:dyDescent="0.25">
      <c r="A12" s="179"/>
      <c r="BK12" s="180"/>
    </row>
    <row r="13" spans="1:63" ht="15" customHeight="1" x14ac:dyDescent="0.25">
      <c r="A13" s="179"/>
      <c r="BK13" s="180"/>
    </row>
    <row r="14" spans="1:63" ht="15" customHeight="1" thickBot="1" x14ac:dyDescent="0.3">
      <c r="A14" s="179"/>
      <c r="BK14" s="180"/>
    </row>
    <row r="15" spans="1:63" ht="15" customHeight="1" thickTop="1" x14ac:dyDescent="0.25">
      <c r="A15" s="179"/>
      <c r="K15" s="181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182"/>
      <c r="AZ15" s="182"/>
      <c r="BA15" s="183"/>
      <c r="BK15" s="180"/>
    </row>
    <row r="16" spans="1:63" ht="15" customHeight="1" x14ac:dyDescent="0.25">
      <c r="A16" s="179"/>
      <c r="K16" s="184"/>
      <c r="L16" s="185" t="s">
        <v>46</v>
      </c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7"/>
      <c r="BK16" s="180"/>
    </row>
    <row r="17" spans="1:63" ht="15" customHeight="1" x14ac:dyDescent="0.25">
      <c r="A17" s="179"/>
      <c r="K17" s="184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7"/>
      <c r="BK17" s="180"/>
    </row>
    <row r="18" spans="1:63" ht="15" customHeight="1" x14ac:dyDescent="0.25">
      <c r="A18" s="179"/>
      <c r="K18" s="184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7"/>
      <c r="BK18" s="180"/>
    </row>
    <row r="19" spans="1:63" ht="15" customHeight="1" x14ac:dyDescent="0.25">
      <c r="A19" s="179"/>
      <c r="K19" s="184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7"/>
      <c r="BK19" s="180"/>
    </row>
    <row r="20" spans="1:63" ht="15" customHeight="1" x14ac:dyDescent="0.25">
      <c r="A20" s="179"/>
      <c r="K20" s="184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7"/>
      <c r="BK20" s="180"/>
    </row>
    <row r="21" spans="1:63" ht="15" customHeight="1" x14ac:dyDescent="0.25">
      <c r="A21" s="179"/>
      <c r="K21" s="184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7"/>
      <c r="BK21" s="180"/>
    </row>
    <row r="22" spans="1:63" ht="15" customHeight="1" thickBot="1" x14ac:dyDescent="0.3">
      <c r="A22" s="179"/>
      <c r="K22" s="184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8"/>
      <c r="AX22" s="188"/>
      <c r="AY22" s="188"/>
      <c r="AZ22" s="188"/>
      <c r="BA22" s="187"/>
      <c r="BK22" s="180"/>
    </row>
    <row r="23" spans="1:63" ht="15" customHeight="1" x14ac:dyDescent="0.25">
      <c r="A23" s="179"/>
      <c r="K23" s="184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189"/>
      <c r="AY23" s="189"/>
      <c r="AZ23" s="189"/>
      <c r="BA23" s="187"/>
      <c r="BK23" s="180"/>
    </row>
    <row r="24" spans="1:63" ht="15" customHeight="1" x14ac:dyDescent="0.25">
      <c r="A24" s="179"/>
      <c r="K24" s="184"/>
      <c r="L24" s="186" t="str">
        <f>K2&amp;"/"&amp;H4&amp;"/"&amp;Z4</f>
        <v>POSサーバ/41_名称マスタ設定/概要設計</v>
      </c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7"/>
      <c r="BK24" s="180"/>
    </row>
    <row r="25" spans="1:63" ht="15" customHeight="1" x14ac:dyDescent="0.25">
      <c r="A25" s="179"/>
      <c r="K25" s="184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7"/>
      <c r="BK25" s="180"/>
    </row>
    <row r="26" spans="1:63" ht="15" customHeight="1" x14ac:dyDescent="0.25">
      <c r="A26" s="179"/>
      <c r="K26" s="184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7"/>
      <c r="BK26" s="180"/>
    </row>
    <row r="27" spans="1:63" ht="15" customHeight="1" x14ac:dyDescent="0.25">
      <c r="A27" s="179"/>
      <c r="K27" s="184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7"/>
      <c r="BK27" s="180"/>
    </row>
    <row r="28" spans="1:63" ht="15" customHeight="1" x14ac:dyDescent="0.25">
      <c r="A28" s="179"/>
      <c r="K28" s="184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7"/>
      <c r="BK28" s="180"/>
    </row>
    <row r="29" spans="1:63" ht="15" customHeight="1" x14ac:dyDescent="0.25">
      <c r="A29" s="179"/>
      <c r="K29" s="184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7"/>
      <c r="BK29" s="180"/>
    </row>
    <row r="30" spans="1:63" ht="15" customHeight="1" x14ac:dyDescent="0.25">
      <c r="A30" s="179"/>
      <c r="K30" s="184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7"/>
      <c r="BK30" s="180"/>
    </row>
    <row r="31" spans="1:63" ht="15" customHeight="1" x14ac:dyDescent="0.25">
      <c r="A31" s="179"/>
      <c r="K31" s="184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7"/>
      <c r="BK31" s="180"/>
    </row>
    <row r="32" spans="1:63" ht="15" customHeight="1" x14ac:dyDescent="0.25">
      <c r="A32" s="179"/>
      <c r="K32" s="184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7"/>
      <c r="BK32" s="180"/>
    </row>
    <row r="33" spans="1:63" ht="15" customHeight="1" x14ac:dyDescent="0.25">
      <c r="A33" s="179"/>
      <c r="K33" s="184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7"/>
      <c r="BK33" s="180"/>
    </row>
    <row r="34" spans="1:63" ht="15" customHeight="1" x14ac:dyDescent="0.25">
      <c r="A34" s="179"/>
      <c r="K34" s="184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7"/>
      <c r="BK34" s="180"/>
    </row>
    <row r="35" spans="1:63" ht="15" customHeight="1" x14ac:dyDescent="0.25">
      <c r="A35" s="179"/>
      <c r="K35" s="184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7"/>
      <c r="BK35" s="180"/>
    </row>
    <row r="36" spans="1:63" ht="15" customHeight="1" x14ac:dyDescent="0.25">
      <c r="A36" s="179"/>
      <c r="K36" s="184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186"/>
      <c r="AZ36" s="186"/>
      <c r="BA36" s="187"/>
      <c r="BK36" s="180"/>
    </row>
    <row r="37" spans="1:63" ht="15" customHeight="1" thickBot="1" x14ac:dyDescent="0.3">
      <c r="A37" s="179"/>
      <c r="K37" s="190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91"/>
      <c r="AV37" s="191"/>
      <c r="AW37" s="191"/>
      <c r="AX37" s="191"/>
      <c r="AY37" s="191"/>
      <c r="AZ37" s="191"/>
      <c r="BA37" s="192"/>
      <c r="BK37" s="180"/>
    </row>
    <row r="38" spans="1:63" ht="15" customHeight="1" thickTop="1" x14ac:dyDescent="0.25">
      <c r="A38" s="179"/>
      <c r="BK38" s="180"/>
    </row>
    <row r="39" spans="1:63" ht="15" customHeight="1" x14ac:dyDescent="0.25">
      <c r="A39" s="179"/>
      <c r="BK39" s="180"/>
    </row>
    <row r="40" spans="1:63" ht="15" customHeight="1" x14ac:dyDescent="0.25">
      <c r="A40" s="179"/>
      <c r="BK40" s="180"/>
    </row>
    <row r="41" spans="1:63" ht="15" customHeight="1" x14ac:dyDescent="0.25">
      <c r="A41" s="179"/>
      <c r="BK41" s="180"/>
    </row>
    <row r="42" spans="1:63" ht="15" customHeight="1" x14ac:dyDescent="0.25">
      <c r="A42" s="179"/>
      <c r="BK42" s="180"/>
    </row>
    <row r="43" spans="1:63" ht="15" customHeight="1" x14ac:dyDescent="0.25">
      <c r="A43" s="179"/>
      <c r="BK43" s="180"/>
    </row>
    <row r="44" spans="1:63" ht="15" customHeight="1" x14ac:dyDescent="0.25">
      <c r="A44" s="179"/>
      <c r="Q44" s="193" t="s">
        <v>47</v>
      </c>
      <c r="R44" s="194"/>
      <c r="S44" s="194"/>
      <c r="T44" s="194"/>
      <c r="U44" s="194"/>
      <c r="V44" s="194"/>
      <c r="W44" s="194"/>
      <c r="X44" s="194"/>
      <c r="Y44" s="194"/>
      <c r="Z44" s="195"/>
      <c r="AA44" s="193" t="s">
        <v>48</v>
      </c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5"/>
      <c r="AQ44" s="193" t="s">
        <v>42</v>
      </c>
      <c r="AR44" s="194"/>
      <c r="AS44" s="194"/>
      <c r="AT44" s="194"/>
      <c r="AU44" s="195"/>
      <c r="BK44" s="180"/>
    </row>
    <row r="45" spans="1:63" ht="15" customHeight="1" x14ac:dyDescent="0.25">
      <c r="A45" s="179"/>
      <c r="Q45" s="196"/>
      <c r="R45" s="197"/>
      <c r="S45" s="197"/>
      <c r="T45" s="197"/>
      <c r="U45" s="197"/>
      <c r="V45" s="197"/>
      <c r="W45" s="197"/>
      <c r="X45" s="197"/>
      <c r="Y45" s="197"/>
      <c r="Z45" s="198"/>
      <c r="AA45" s="196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8"/>
      <c r="AQ45" s="196"/>
      <c r="AR45" s="197"/>
      <c r="AS45" s="197"/>
      <c r="AT45" s="197"/>
      <c r="AU45" s="198"/>
      <c r="BK45" s="180"/>
    </row>
    <row r="46" spans="1:63" ht="15" customHeight="1" x14ac:dyDescent="0.25">
      <c r="A46" s="179"/>
      <c r="Q46" s="151"/>
      <c r="R46" s="149"/>
      <c r="S46" s="149"/>
      <c r="T46" s="149"/>
      <c r="U46" s="149"/>
      <c r="V46" s="149"/>
      <c r="W46" s="149"/>
      <c r="X46" s="149"/>
      <c r="Y46" s="149"/>
      <c r="Z46" s="150"/>
      <c r="AA46" s="151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50"/>
      <c r="AQ46" s="151"/>
      <c r="AR46" s="149"/>
      <c r="AS46" s="149"/>
      <c r="AT46" s="149"/>
      <c r="AU46" s="150"/>
      <c r="BK46" s="180"/>
    </row>
    <row r="47" spans="1:63" ht="15" customHeight="1" x14ac:dyDescent="0.25">
      <c r="A47" s="179"/>
      <c r="Q47" s="199"/>
      <c r="R47" s="200"/>
      <c r="S47" s="200"/>
      <c r="T47" s="200"/>
      <c r="U47" s="200"/>
      <c r="V47" s="200"/>
      <c r="W47" s="200"/>
      <c r="X47" s="200"/>
      <c r="Y47" s="200"/>
      <c r="Z47" s="201"/>
      <c r="AA47" s="199"/>
      <c r="AB47" s="200"/>
      <c r="AC47" s="200"/>
      <c r="AD47" s="200"/>
      <c r="AE47" s="200"/>
      <c r="AF47" s="200"/>
      <c r="AG47" s="200"/>
      <c r="AH47" s="200"/>
      <c r="AI47" s="200"/>
      <c r="AJ47" s="200"/>
      <c r="AK47" s="200"/>
      <c r="AL47" s="200"/>
      <c r="AM47" s="200"/>
      <c r="AN47" s="200"/>
      <c r="AO47" s="200"/>
      <c r="AP47" s="201"/>
      <c r="AQ47" s="199"/>
      <c r="AR47" s="200"/>
      <c r="AS47" s="200"/>
      <c r="AT47" s="200"/>
      <c r="AU47" s="201"/>
      <c r="BK47" s="180"/>
    </row>
    <row r="48" spans="1:63" ht="15" customHeight="1" x14ac:dyDescent="0.25">
      <c r="A48" s="179"/>
      <c r="Q48" s="199"/>
      <c r="R48" s="200"/>
      <c r="S48" s="200"/>
      <c r="T48" s="200"/>
      <c r="U48" s="200"/>
      <c r="V48" s="200"/>
      <c r="W48" s="200"/>
      <c r="X48" s="200"/>
      <c r="Y48" s="200"/>
      <c r="Z48" s="201"/>
      <c r="AA48" s="199"/>
      <c r="AB48" s="200"/>
      <c r="AC48" s="200"/>
      <c r="AD48" s="200"/>
      <c r="AE48" s="200"/>
      <c r="AF48" s="200"/>
      <c r="AG48" s="200"/>
      <c r="AH48" s="200"/>
      <c r="AI48" s="200"/>
      <c r="AJ48" s="200"/>
      <c r="AK48" s="200"/>
      <c r="AL48" s="200"/>
      <c r="AM48" s="200"/>
      <c r="AN48" s="200"/>
      <c r="AO48" s="200"/>
      <c r="AP48" s="201"/>
      <c r="AQ48" s="199"/>
      <c r="AR48" s="200"/>
      <c r="AS48" s="200"/>
      <c r="AT48" s="200"/>
      <c r="AU48" s="201"/>
      <c r="BK48" s="180"/>
    </row>
    <row r="49" spans="1:63" ht="15" customHeight="1" x14ac:dyDescent="0.25">
      <c r="A49" s="179"/>
      <c r="Q49" s="161"/>
      <c r="R49" s="162"/>
      <c r="S49" s="162"/>
      <c r="T49" s="162"/>
      <c r="U49" s="162"/>
      <c r="V49" s="162"/>
      <c r="W49" s="162"/>
      <c r="X49" s="162"/>
      <c r="Y49" s="162"/>
      <c r="Z49" s="163"/>
      <c r="AA49" s="161"/>
      <c r="AB49" s="162"/>
      <c r="AC49" s="162"/>
      <c r="AD49" s="162"/>
      <c r="AE49" s="162"/>
      <c r="AF49" s="162"/>
      <c r="AG49" s="162"/>
      <c r="AH49" s="162"/>
      <c r="AI49" s="162"/>
      <c r="AJ49" s="162"/>
      <c r="AK49" s="162"/>
      <c r="AL49" s="162"/>
      <c r="AM49" s="162"/>
      <c r="AN49" s="162"/>
      <c r="AO49" s="162"/>
      <c r="AP49" s="163"/>
      <c r="AQ49" s="161"/>
      <c r="AR49" s="162"/>
      <c r="AS49" s="162"/>
      <c r="AT49" s="162"/>
      <c r="AU49" s="163"/>
      <c r="BK49" s="180"/>
    </row>
    <row r="50" spans="1:63" ht="15" customHeight="1" x14ac:dyDescent="0.25">
      <c r="A50" s="179"/>
      <c r="BK50" s="180"/>
    </row>
    <row r="51" spans="1:63" ht="15" customHeight="1" x14ac:dyDescent="0.25">
      <c r="A51" s="179"/>
      <c r="BK51" s="180"/>
    </row>
    <row r="52" spans="1:63" ht="15" customHeight="1" x14ac:dyDescent="0.25">
      <c r="A52" s="179"/>
      <c r="BK52" s="180"/>
    </row>
    <row r="53" spans="1:63" ht="15" customHeight="1" x14ac:dyDescent="0.25">
      <c r="A53" s="179"/>
      <c r="BK53" s="180"/>
    </row>
    <row r="54" spans="1:63" ht="15" customHeight="1" x14ac:dyDescent="0.25">
      <c r="A54" s="179"/>
      <c r="BK54" s="180"/>
    </row>
    <row r="55" spans="1:63" ht="15" customHeight="1" x14ac:dyDescent="0.25">
      <c r="A55" s="176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8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48" customWidth="1"/>
    <col min="61" max="16384" width="2.77734375" style="148"/>
  </cols>
  <sheetData>
    <row r="1" spans="1:63" ht="24.95" customHeight="1" x14ac:dyDescent="0.25">
      <c r="A1" s="142" t="s">
        <v>35</v>
      </c>
      <c r="B1" s="143"/>
      <c r="C1" s="143"/>
      <c r="D1" s="143"/>
      <c r="E1" s="143"/>
      <c r="F1" s="143"/>
      <c r="G1" s="143"/>
      <c r="H1" s="143"/>
      <c r="I1" s="143"/>
      <c r="J1" s="144"/>
      <c r="K1" s="142" t="s">
        <v>36</v>
      </c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4"/>
      <c r="W1" s="145" t="str">
        <f>IF(表紙!W1="","",表紙!W1)</f>
        <v>基本設計書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7"/>
      <c r="AP1" s="142" t="s">
        <v>38</v>
      </c>
      <c r="AQ1" s="143"/>
      <c r="AR1" s="143"/>
      <c r="AS1" s="144"/>
      <c r="AT1" s="142" t="s">
        <v>39</v>
      </c>
      <c r="AU1" s="143"/>
      <c r="AV1" s="143"/>
      <c r="AW1" s="143"/>
      <c r="AX1" s="144"/>
      <c r="AY1" s="142" t="s">
        <v>40</v>
      </c>
      <c r="AZ1" s="143"/>
      <c r="BA1" s="143"/>
      <c r="BB1" s="144"/>
      <c r="BC1" s="142" t="s">
        <v>41</v>
      </c>
      <c r="BD1" s="143"/>
      <c r="BE1" s="143"/>
      <c r="BF1" s="143"/>
      <c r="BG1" s="144"/>
      <c r="BH1" s="142" t="s">
        <v>42</v>
      </c>
      <c r="BI1" s="143"/>
      <c r="BJ1" s="143"/>
      <c r="BK1" s="144"/>
    </row>
    <row r="2" spans="1:63" ht="15" customHeight="1" x14ac:dyDescent="0.25">
      <c r="A2" s="151" t="str">
        <f>IF(表紙!A2="","",表紙!A2)</f>
        <v>POSサーバー</v>
      </c>
      <c r="B2" s="149"/>
      <c r="C2" s="149"/>
      <c r="D2" s="149"/>
      <c r="E2" s="149"/>
      <c r="F2" s="149"/>
      <c r="G2" s="149"/>
      <c r="H2" s="149"/>
      <c r="I2" s="149"/>
      <c r="J2" s="150"/>
      <c r="K2" s="151" t="str">
        <f>IF(表紙!K2="","",表紙!K2)</f>
        <v>POSサーバ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3" ht="1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3"/>
      <c r="K3" s="161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3" ht="24.95" customHeight="1" x14ac:dyDescent="0.25">
      <c r="A4" s="142" t="s">
        <v>44</v>
      </c>
      <c r="B4" s="143"/>
      <c r="C4" s="143"/>
      <c r="D4" s="143"/>
      <c r="E4" s="143"/>
      <c r="F4" s="143"/>
      <c r="G4" s="144"/>
      <c r="H4" s="173" t="str">
        <f>IF(表紙!H4="","",表紙!H4)</f>
        <v>41_名称マスタ設定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2" t="s">
        <v>45</v>
      </c>
      <c r="V4" s="143"/>
      <c r="W4" s="143"/>
      <c r="X4" s="143"/>
      <c r="Y4" s="144"/>
      <c r="Z4" s="173" t="str">
        <f>IF(表紙!Z4="","",表紙!Z4)</f>
        <v>概要設計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改訂履歴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3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3" ht="15" customHeight="1" x14ac:dyDescent="0.25">
      <c r="A6" s="179"/>
      <c r="BK6" s="180"/>
    </row>
    <row r="7" spans="1:63" ht="15" customHeight="1" x14ac:dyDescent="0.25">
      <c r="A7" s="179"/>
      <c r="BK7" s="180"/>
    </row>
    <row r="8" spans="1:63" ht="15" customHeight="1" x14ac:dyDescent="0.25">
      <c r="A8" s="179"/>
      <c r="B8" s="148" t="s">
        <v>9</v>
      </c>
      <c r="BK8" s="180"/>
    </row>
    <row r="9" spans="1:63" ht="15" customHeight="1" x14ac:dyDescent="0.25">
      <c r="A9" s="179"/>
      <c r="BK9" s="180"/>
    </row>
    <row r="10" spans="1:63" ht="15" customHeight="1" x14ac:dyDescent="0.25">
      <c r="A10" s="179"/>
      <c r="B10" s="202" t="s">
        <v>41</v>
      </c>
      <c r="C10" s="202"/>
      <c r="D10" s="202"/>
      <c r="E10" s="202"/>
      <c r="F10" s="202"/>
      <c r="G10" s="202"/>
      <c r="H10" s="202" t="s">
        <v>40</v>
      </c>
      <c r="I10" s="202"/>
      <c r="J10" s="202"/>
      <c r="K10" s="202"/>
      <c r="L10" s="202"/>
      <c r="M10" s="202"/>
      <c r="N10" s="202"/>
      <c r="O10" s="202" t="s">
        <v>42</v>
      </c>
      <c r="P10" s="202"/>
      <c r="Q10" s="202"/>
      <c r="R10" s="202"/>
      <c r="S10" s="202" t="s">
        <v>49</v>
      </c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02"/>
      <c r="AR10" s="202"/>
      <c r="AS10" s="202"/>
      <c r="AT10" s="202"/>
      <c r="AU10" s="202"/>
      <c r="AV10" s="202"/>
      <c r="AW10" s="202"/>
      <c r="AX10" s="202" t="s">
        <v>47</v>
      </c>
      <c r="AY10" s="202"/>
      <c r="AZ10" s="202"/>
      <c r="BA10" s="202"/>
      <c r="BB10" s="202"/>
      <c r="BC10" s="202"/>
      <c r="BD10" s="202" t="s">
        <v>48</v>
      </c>
      <c r="BE10" s="202"/>
      <c r="BF10" s="202"/>
      <c r="BG10" s="202"/>
      <c r="BH10" s="202"/>
      <c r="BI10" s="202"/>
      <c r="BJ10" s="202"/>
      <c r="BK10" s="180"/>
    </row>
    <row r="11" spans="1:63" ht="15" customHeight="1" x14ac:dyDescent="0.25">
      <c r="A11" s="179"/>
      <c r="B11" s="155">
        <v>45625</v>
      </c>
      <c r="C11" s="149"/>
      <c r="D11" s="149"/>
      <c r="E11" s="149"/>
      <c r="F11" s="149"/>
      <c r="G11" s="150"/>
      <c r="H11" s="5" t="s">
        <v>50</v>
      </c>
      <c r="I11" s="149"/>
      <c r="J11" s="149"/>
      <c r="K11" s="149"/>
      <c r="L11" s="149"/>
      <c r="M11" s="149"/>
      <c r="N11" s="150"/>
      <c r="O11" s="151">
        <v>0.1</v>
      </c>
      <c r="P11" s="149"/>
      <c r="Q11" s="149"/>
      <c r="R11" s="149"/>
      <c r="S11" s="31" t="s">
        <v>51</v>
      </c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4"/>
      <c r="AX11" s="205"/>
      <c r="AY11" s="205"/>
      <c r="AZ11" s="205"/>
      <c r="BA11" s="205"/>
      <c r="BB11" s="205"/>
      <c r="BC11" s="206"/>
      <c r="BD11" s="207"/>
      <c r="BE11" s="205"/>
      <c r="BF11" s="205"/>
      <c r="BG11" s="205"/>
      <c r="BH11" s="205"/>
      <c r="BI11" s="205"/>
      <c r="BJ11" s="206"/>
      <c r="BK11" s="180"/>
    </row>
    <row r="12" spans="1:63" ht="15" customHeight="1" x14ac:dyDescent="0.25">
      <c r="A12" s="179"/>
      <c r="B12" s="161"/>
      <c r="C12" s="162"/>
      <c r="D12" s="162"/>
      <c r="E12" s="162"/>
      <c r="F12" s="162"/>
      <c r="G12" s="163"/>
      <c r="H12" s="161"/>
      <c r="I12" s="162"/>
      <c r="J12" s="162"/>
      <c r="K12" s="162"/>
      <c r="L12" s="162"/>
      <c r="M12" s="162"/>
      <c r="N12" s="163"/>
      <c r="O12" s="161"/>
      <c r="P12" s="162"/>
      <c r="Q12" s="162"/>
      <c r="R12" s="162"/>
      <c r="S12" s="208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09"/>
      <c r="AR12" s="209"/>
      <c r="AS12" s="209"/>
      <c r="AT12" s="209"/>
      <c r="AU12" s="209"/>
      <c r="AV12" s="209"/>
      <c r="AW12" s="210"/>
      <c r="AX12" s="211"/>
      <c r="AY12" s="211"/>
      <c r="AZ12" s="211"/>
      <c r="BA12" s="211"/>
      <c r="BB12" s="211"/>
      <c r="BC12" s="212"/>
      <c r="BD12" s="213"/>
      <c r="BE12" s="211"/>
      <c r="BF12" s="211"/>
      <c r="BG12" s="211"/>
      <c r="BH12" s="211"/>
      <c r="BI12" s="211"/>
      <c r="BJ12" s="212"/>
      <c r="BK12" s="180"/>
    </row>
    <row r="13" spans="1:63" ht="15" customHeight="1" x14ac:dyDescent="0.25">
      <c r="A13" s="179"/>
      <c r="B13" s="155"/>
      <c r="C13" s="149"/>
      <c r="D13" s="149"/>
      <c r="E13" s="149"/>
      <c r="F13" s="149"/>
      <c r="G13" s="150"/>
      <c r="H13" s="151"/>
      <c r="I13" s="149"/>
      <c r="J13" s="149"/>
      <c r="K13" s="149"/>
      <c r="L13" s="149"/>
      <c r="M13" s="149"/>
      <c r="N13" s="150"/>
      <c r="O13" s="151"/>
      <c r="P13" s="149"/>
      <c r="Q13" s="149"/>
      <c r="R13" s="149"/>
      <c r="S13" s="214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4"/>
      <c r="AX13" s="205"/>
      <c r="AY13" s="205"/>
      <c r="AZ13" s="205"/>
      <c r="BA13" s="205"/>
      <c r="BB13" s="205"/>
      <c r="BC13" s="206"/>
      <c r="BD13" s="207"/>
      <c r="BE13" s="205"/>
      <c r="BF13" s="205"/>
      <c r="BG13" s="205"/>
      <c r="BH13" s="205"/>
      <c r="BI13" s="205"/>
      <c r="BJ13" s="206"/>
      <c r="BK13" s="180"/>
    </row>
    <row r="14" spans="1:63" ht="15" customHeight="1" x14ac:dyDescent="0.25">
      <c r="A14" s="179"/>
      <c r="B14" s="161"/>
      <c r="C14" s="162"/>
      <c r="D14" s="162"/>
      <c r="E14" s="162"/>
      <c r="F14" s="162"/>
      <c r="G14" s="163"/>
      <c r="H14" s="161"/>
      <c r="I14" s="162"/>
      <c r="J14" s="162"/>
      <c r="K14" s="162"/>
      <c r="L14" s="162"/>
      <c r="M14" s="162"/>
      <c r="N14" s="163"/>
      <c r="O14" s="161"/>
      <c r="P14" s="162"/>
      <c r="Q14" s="162"/>
      <c r="R14" s="162"/>
      <c r="S14" s="208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209"/>
      <c r="AF14" s="209"/>
      <c r="AG14" s="209"/>
      <c r="AH14" s="209"/>
      <c r="AI14" s="209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209"/>
      <c r="AV14" s="209"/>
      <c r="AW14" s="210"/>
      <c r="AX14" s="211"/>
      <c r="AY14" s="211"/>
      <c r="AZ14" s="211"/>
      <c r="BA14" s="211"/>
      <c r="BB14" s="211"/>
      <c r="BC14" s="212"/>
      <c r="BD14" s="213"/>
      <c r="BE14" s="211"/>
      <c r="BF14" s="211"/>
      <c r="BG14" s="211"/>
      <c r="BH14" s="211"/>
      <c r="BI14" s="211"/>
      <c r="BJ14" s="212"/>
      <c r="BK14" s="180"/>
    </row>
    <row r="15" spans="1:63" ht="15" customHeight="1" x14ac:dyDescent="0.25">
      <c r="A15" s="179"/>
      <c r="B15" s="151"/>
      <c r="C15" s="149"/>
      <c r="D15" s="149"/>
      <c r="E15" s="149"/>
      <c r="F15" s="149"/>
      <c r="G15" s="150"/>
      <c r="H15" s="151"/>
      <c r="I15" s="149"/>
      <c r="J15" s="149"/>
      <c r="K15" s="149"/>
      <c r="L15" s="149"/>
      <c r="M15" s="149"/>
      <c r="N15" s="150"/>
      <c r="O15" s="151"/>
      <c r="P15" s="149"/>
      <c r="Q15" s="149"/>
      <c r="R15" s="149"/>
      <c r="S15" s="214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4"/>
      <c r="AX15" s="205"/>
      <c r="AY15" s="205"/>
      <c r="AZ15" s="205"/>
      <c r="BA15" s="205"/>
      <c r="BB15" s="205"/>
      <c r="BC15" s="206"/>
      <c r="BD15" s="207"/>
      <c r="BE15" s="205"/>
      <c r="BF15" s="205"/>
      <c r="BG15" s="205"/>
      <c r="BH15" s="205"/>
      <c r="BI15" s="205"/>
      <c r="BJ15" s="206"/>
      <c r="BK15" s="180"/>
    </row>
    <row r="16" spans="1:63" ht="15" customHeight="1" x14ac:dyDescent="0.25">
      <c r="A16" s="179"/>
      <c r="B16" s="161"/>
      <c r="C16" s="162"/>
      <c r="D16" s="162"/>
      <c r="E16" s="162"/>
      <c r="F16" s="162"/>
      <c r="G16" s="163"/>
      <c r="H16" s="161"/>
      <c r="I16" s="162"/>
      <c r="J16" s="162"/>
      <c r="K16" s="162"/>
      <c r="L16" s="162"/>
      <c r="M16" s="162"/>
      <c r="N16" s="163"/>
      <c r="O16" s="161"/>
      <c r="P16" s="162"/>
      <c r="Q16" s="162"/>
      <c r="R16" s="162"/>
      <c r="S16" s="208"/>
      <c r="T16" s="209"/>
      <c r="U16" s="209"/>
      <c r="V16" s="209"/>
      <c r="W16" s="209"/>
      <c r="X16" s="209"/>
      <c r="Y16" s="209"/>
      <c r="Z16" s="209"/>
      <c r="AA16" s="209"/>
      <c r="AB16" s="209"/>
      <c r="AC16" s="209"/>
      <c r="AD16" s="209"/>
      <c r="AE16" s="209"/>
      <c r="AF16" s="209"/>
      <c r="AG16" s="209"/>
      <c r="AH16" s="209"/>
      <c r="AI16" s="209"/>
      <c r="AJ16" s="209"/>
      <c r="AK16" s="209"/>
      <c r="AL16" s="209"/>
      <c r="AM16" s="209"/>
      <c r="AN16" s="209"/>
      <c r="AO16" s="209"/>
      <c r="AP16" s="209"/>
      <c r="AQ16" s="209"/>
      <c r="AR16" s="209"/>
      <c r="AS16" s="209"/>
      <c r="AT16" s="209"/>
      <c r="AU16" s="209"/>
      <c r="AV16" s="209"/>
      <c r="AW16" s="210"/>
      <c r="AX16" s="211"/>
      <c r="AY16" s="211"/>
      <c r="AZ16" s="211"/>
      <c r="BA16" s="211"/>
      <c r="BB16" s="211"/>
      <c r="BC16" s="212"/>
      <c r="BD16" s="213"/>
      <c r="BE16" s="211"/>
      <c r="BF16" s="211"/>
      <c r="BG16" s="211"/>
      <c r="BH16" s="211"/>
      <c r="BI16" s="211"/>
      <c r="BJ16" s="212"/>
      <c r="BK16" s="180"/>
    </row>
    <row r="17" spans="1:63" ht="15" customHeight="1" x14ac:dyDescent="0.25">
      <c r="A17" s="179"/>
      <c r="B17" s="151"/>
      <c r="C17" s="149"/>
      <c r="D17" s="149"/>
      <c r="E17" s="149"/>
      <c r="F17" s="149"/>
      <c r="G17" s="150"/>
      <c r="H17" s="151"/>
      <c r="I17" s="149"/>
      <c r="J17" s="149"/>
      <c r="K17" s="149"/>
      <c r="L17" s="149"/>
      <c r="M17" s="149"/>
      <c r="N17" s="150"/>
      <c r="O17" s="151"/>
      <c r="P17" s="149"/>
      <c r="Q17" s="149"/>
      <c r="R17" s="149"/>
      <c r="S17" s="214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4"/>
      <c r="AX17" s="205"/>
      <c r="AY17" s="205"/>
      <c r="AZ17" s="205"/>
      <c r="BA17" s="205"/>
      <c r="BB17" s="205"/>
      <c r="BC17" s="206"/>
      <c r="BD17" s="207"/>
      <c r="BE17" s="205"/>
      <c r="BF17" s="205"/>
      <c r="BG17" s="205"/>
      <c r="BH17" s="205"/>
      <c r="BI17" s="205"/>
      <c r="BJ17" s="206"/>
      <c r="BK17" s="180"/>
    </row>
    <row r="18" spans="1:63" ht="15" customHeight="1" x14ac:dyDescent="0.25">
      <c r="A18" s="179"/>
      <c r="B18" s="161"/>
      <c r="C18" s="162"/>
      <c r="D18" s="162"/>
      <c r="E18" s="162"/>
      <c r="F18" s="162"/>
      <c r="G18" s="163"/>
      <c r="H18" s="161"/>
      <c r="I18" s="162"/>
      <c r="J18" s="162"/>
      <c r="K18" s="162"/>
      <c r="L18" s="162"/>
      <c r="M18" s="162"/>
      <c r="N18" s="163"/>
      <c r="O18" s="161"/>
      <c r="P18" s="162"/>
      <c r="Q18" s="162"/>
      <c r="R18" s="162"/>
      <c r="S18" s="208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209"/>
      <c r="AE18" s="209"/>
      <c r="AF18" s="209"/>
      <c r="AG18" s="209"/>
      <c r="AH18" s="209"/>
      <c r="AI18" s="209"/>
      <c r="AJ18" s="209"/>
      <c r="AK18" s="209"/>
      <c r="AL18" s="209"/>
      <c r="AM18" s="209"/>
      <c r="AN18" s="209"/>
      <c r="AO18" s="209"/>
      <c r="AP18" s="209"/>
      <c r="AQ18" s="209"/>
      <c r="AR18" s="209"/>
      <c r="AS18" s="209"/>
      <c r="AT18" s="209"/>
      <c r="AU18" s="209"/>
      <c r="AV18" s="209"/>
      <c r="AW18" s="210"/>
      <c r="AX18" s="211"/>
      <c r="AY18" s="211"/>
      <c r="AZ18" s="211"/>
      <c r="BA18" s="211"/>
      <c r="BB18" s="211"/>
      <c r="BC18" s="212"/>
      <c r="BD18" s="213"/>
      <c r="BE18" s="211"/>
      <c r="BF18" s="211"/>
      <c r="BG18" s="211"/>
      <c r="BH18" s="211"/>
      <c r="BI18" s="211"/>
      <c r="BJ18" s="212"/>
      <c r="BK18" s="180"/>
    </row>
    <row r="19" spans="1:63" ht="15" customHeight="1" x14ac:dyDescent="0.25">
      <c r="A19" s="179"/>
      <c r="B19" s="151"/>
      <c r="C19" s="149"/>
      <c r="D19" s="149"/>
      <c r="E19" s="149"/>
      <c r="F19" s="149"/>
      <c r="G19" s="150"/>
      <c r="H19" s="151"/>
      <c r="I19" s="149"/>
      <c r="J19" s="149"/>
      <c r="K19" s="149"/>
      <c r="L19" s="149"/>
      <c r="M19" s="149"/>
      <c r="N19" s="150"/>
      <c r="O19" s="151"/>
      <c r="P19" s="149"/>
      <c r="Q19" s="149"/>
      <c r="R19" s="149"/>
      <c r="S19" s="214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4"/>
      <c r="AX19" s="205"/>
      <c r="AY19" s="205"/>
      <c r="AZ19" s="205"/>
      <c r="BA19" s="205"/>
      <c r="BB19" s="205"/>
      <c r="BC19" s="206"/>
      <c r="BD19" s="207"/>
      <c r="BE19" s="205"/>
      <c r="BF19" s="205"/>
      <c r="BG19" s="205"/>
      <c r="BH19" s="205"/>
      <c r="BI19" s="205"/>
      <c r="BJ19" s="206"/>
      <c r="BK19" s="180"/>
    </row>
    <row r="20" spans="1:63" ht="15" customHeight="1" x14ac:dyDescent="0.25">
      <c r="A20" s="179"/>
      <c r="B20" s="161"/>
      <c r="C20" s="162"/>
      <c r="D20" s="162"/>
      <c r="E20" s="162"/>
      <c r="F20" s="162"/>
      <c r="G20" s="163"/>
      <c r="H20" s="161"/>
      <c r="I20" s="162"/>
      <c r="J20" s="162"/>
      <c r="K20" s="162"/>
      <c r="L20" s="162"/>
      <c r="M20" s="162"/>
      <c r="N20" s="163"/>
      <c r="O20" s="161"/>
      <c r="P20" s="162"/>
      <c r="Q20" s="162"/>
      <c r="R20" s="162"/>
      <c r="S20" s="208"/>
      <c r="T20" s="209"/>
      <c r="U20" s="209"/>
      <c r="V20" s="209"/>
      <c r="W20" s="209"/>
      <c r="X20" s="209"/>
      <c r="Y20" s="209"/>
      <c r="Z20" s="209"/>
      <c r="AA20" s="209"/>
      <c r="AB20" s="209"/>
      <c r="AC20" s="209"/>
      <c r="AD20" s="209"/>
      <c r="AE20" s="209"/>
      <c r="AF20" s="209"/>
      <c r="AG20" s="209"/>
      <c r="AH20" s="209"/>
      <c r="AI20" s="209"/>
      <c r="AJ20" s="209"/>
      <c r="AK20" s="209"/>
      <c r="AL20" s="209"/>
      <c r="AM20" s="209"/>
      <c r="AN20" s="209"/>
      <c r="AO20" s="209"/>
      <c r="AP20" s="209"/>
      <c r="AQ20" s="209"/>
      <c r="AR20" s="209"/>
      <c r="AS20" s="209"/>
      <c r="AT20" s="209"/>
      <c r="AU20" s="209"/>
      <c r="AV20" s="209"/>
      <c r="AW20" s="210"/>
      <c r="AX20" s="211"/>
      <c r="AY20" s="211"/>
      <c r="AZ20" s="211"/>
      <c r="BA20" s="211"/>
      <c r="BB20" s="211"/>
      <c r="BC20" s="212"/>
      <c r="BD20" s="213"/>
      <c r="BE20" s="211"/>
      <c r="BF20" s="211"/>
      <c r="BG20" s="211"/>
      <c r="BH20" s="211"/>
      <c r="BI20" s="211"/>
      <c r="BJ20" s="212"/>
      <c r="BK20" s="180"/>
    </row>
    <row r="21" spans="1:63" ht="15" customHeight="1" x14ac:dyDescent="0.25">
      <c r="A21" s="179"/>
      <c r="B21" s="151"/>
      <c r="C21" s="149"/>
      <c r="D21" s="149"/>
      <c r="E21" s="149"/>
      <c r="F21" s="149"/>
      <c r="G21" s="150"/>
      <c r="H21" s="151"/>
      <c r="I21" s="149"/>
      <c r="J21" s="149"/>
      <c r="K21" s="149"/>
      <c r="L21" s="149"/>
      <c r="M21" s="149"/>
      <c r="N21" s="150"/>
      <c r="O21" s="151"/>
      <c r="P21" s="149"/>
      <c r="Q21" s="149"/>
      <c r="R21" s="149"/>
      <c r="S21" s="214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4"/>
      <c r="AX21" s="205"/>
      <c r="AY21" s="205"/>
      <c r="AZ21" s="205"/>
      <c r="BA21" s="205"/>
      <c r="BB21" s="205"/>
      <c r="BC21" s="206"/>
      <c r="BD21" s="207"/>
      <c r="BE21" s="205"/>
      <c r="BF21" s="205"/>
      <c r="BG21" s="205"/>
      <c r="BH21" s="205"/>
      <c r="BI21" s="205"/>
      <c r="BJ21" s="206"/>
      <c r="BK21" s="180"/>
    </row>
    <row r="22" spans="1:63" ht="15" customHeight="1" x14ac:dyDescent="0.25">
      <c r="A22" s="179"/>
      <c r="B22" s="161"/>
      <c r="C22" s="162"/>
      <c r="D22" s="162"/>
      <c r="E22" s="162"/>
      <c r="F22" s="162"/>
      <c r="G22" s="163"/>
      <c r="H22" s="161"/>
      <c r="I22" s="162"/>
      <c r="J22" s="162"/>
      <c r="K22" s="162"/>
      <c r="L22" s="162"/>
      <c r="M22" s="162"/>
      <c r="N22" s="163"/>
      <c r="O22" s="161"/>
      <c r="P22" s="162"/>
      <c r="Q22" s="162"/>
      <c r="R22" s="162"/>
      <c r="S22" s="208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10"/>
      <c r="AX22" s="211"/>
      <c r="AY22" s="211"/>
      <c r="AZ22" s="211"/>
      <c r="BA22" s="211"/>
      <c r="BB22" s="211"/>
      <c r="BC22" s="212"/>
      <c r="BD22" s="213"/>
      <c r="BE22" s="211"/>
      <c r="BF22" s="211"/>
      <c r="BG22" s="211"/>
      <c r="BH22" s="211"/>
      <c r="BI22" s="211"/>
      <c r="BJ22" s="212"/>
      <c r="BK22" s="180"/>
    </row>
    <row r="23" spans="1:63" ht="15" customHeight="1" x14ac:dyDescent="0.25">
      <c r="A23" s="179"/>
      <c r="B23" s="151"/>
      <c r="C23" s="149"/>
      <c r="D23" s="149"/>
      <c r="E23" s="149"/>
      <c r="F23" s="149"/>
      <c r="G23" s="150"/>
      <c r="H23" s="151"/>
      <c r="I23" s="149"/>
      <c r="J23" s="149"/>
      <c r="K23" s="149"/>
      <c r="L23" s="149"/>
      <c r="M23" s="149"/>
      <c r="N23" s="150"/>
      <c r="O23" s="151"/>
      <c r="P23" s="149"/>
      <c r="Q23" s="149"/>
      <c r="R23" s="149"/>
      <c r="S23" s="214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3"/>
      <c r="AQ23" s="203"/>
      <c r="AR23" s="203"/>
      <c r="AS23" s="203"/>
      <c r="AT23" s="203"/>
      <c r="AU23" s="203"/>
      <c r="AV23" s="203"/>
      <c r="AW23" s="204"/>
      <c r="AX23" s="205"/>
      <c r="AY23" s="205"/>
      <c r="AZ23" s="205"/>
      <c r="BA23" s="205"/>
      <c r="BB23" s="205"/>
      <c r="BC23" s="206"/>
      <c r="BD23" s="207"/>
      <c r="BE23" s="205"/>
      <c r="BF23" s="205"/>
      <c r="BG23" s="205"/>
      <c r="BH23" s="205"/>
      <c r="BI23" s="205"/>
      <c r="BJ23" s="206"/>
      <c r="BK23" s="180"/>
    </row>
    <row r="24" spans="1:63" ht="15" customHeight="1" x14ac:dyDescent="0.25">
      <c r="A24" s="179"/>
      <c r="B24" s="161"/>
      <c r="C24" s="162"/>
      <c r="D24" s="162"/>
      <c r="E24" s="162"/>
      <c r="F24" s="162"/>
      <c r="G24" s="163"/>
      <c r="H24" s="161"/>
      <c r="I24" s="162"/>
      <c r="J24" s="162"/>
      <c r="K24" s="162"/>
      <c r="L24" s="162"/>
      <c r="M24" s="162"/>
      <c r="N24" s="163"/>
      <c r="O24" s="161"/>
      <c r="P24" s="162"/>
      <c r="Q24" s="162"/>
      <c r="R24" s="162"/>
      <c r="S24" s="208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/>
      <c r="AS24" s="209"/>
      <c r="AT24" s="209"/>
      <c r="AU24" s="209"/>
      <c r="AV24" s="209"/>
      <c r="AW24" s="210"/>
      <c r="AX24" s="211"/>
      <c r="AY24" s="211"/>
      <c r="AZ24" s="211"/>
      <c r="BA24" s="211"/>
      <c r="BB24" s="211"/>
      <c r="BC24" s="212"/>
      <c r="BD24" s="213"/>
      <c r="BE24" s="211"/>
      <c r="BF24" s="211"/>
      <c r="BG24" s="211"/>
      <c r="BH24" s="211"/>
      <c r="BI24" s="211"/>
      <c r="BJ24" s="212"/>
      <c r="BK24" s="180"/>
    </row>
    <row r="25" spans="1:63" ht="15" customHeight="1" x14ac:dyDescent="0.25">
      <c r="A25" s="179"/>
      <c r="B25" s="151"/>
      <c r="C25" s="149"/>
      <c r="D25" s="149"/>
      <c r="E25" s="149"/>
      <c r="F25" s="149"/>
      <c r="G25" s="150"/>
      <c r="H25" s="151"/>
      <c r="I25" s="149"/>
      <c r="J25" s="149"/>
      <c r="K25" s="149"/>
      <c r="L25" s="149"/>
      <c r="M25" s="149"/>
      <c r="N25" s="150"/>
      <c r="O25" s="151"/>
      <c r="P25" s="149"/>
      <c r="Q25" s="149"/>
      <c r="R25" s="149"/>
      <c r="S25" s="214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4"/>
      <c r="AX25" s="205"/>
      <c r="AY25" s="205"/>
      <c r="AZ25" s="205"/>
      <c r="BA25" s="205"/>
      <c r="BB25" s="205"/>
      <c r="BC25" s="206"/>
      <c r="BD25" s="207"/>
      <c r="BE25" s="205"/>
      <c r="BF25" s="205"/>
      <c r="BG25" s="205"/>
      <c r="BH25" s="205"/>
      <c r="BI25" s="205"/>
      <c r="BJ25" s="206"/>
      <c r="BK25" s="180"/>
    </row>
    <row r="26" spans="1:63" ht="15" customHeight="1" x14ac:dyDescent="0.25">
      <c r="A26" s="179"/>
      <c r="B26" s="161"/>
      <c r="C26" s="162"/>
      <c r="D26" s="162"/>
      <c r="E26" s="162"/>
      <c r="F26" s="162"/>
      <c r="G26" s="163"/>
      <c r="H26" s="161"/>
      <c r="I26" s="162"/>
      <c r="J26" s="162"/>
      <c r="K26" s="162"/>
      <c r="L26" s="162"/>
      <c r="M26" s="162"/>
      <c r="N26" s="163"/>
      <c r="O26" s="161"/>
      <c r="P26" s="162"/>
      <c r="Q26" s="162"/>
      <c r="R26" s="162"/>
      <c r="S26" s="208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209"/>
      <c r="AN26" s="209"/>
      <c r="AO26" s="209"/>
      <c r="AP26" s="209"/>
      <c r="AQ26" s="209"/>
      <c r="AR26" s="209"/>
      <c r="AS26" s="209"/>
      <c r="AT26" s="209"/>
      <c r="AU26" s="209"/>
      <c r="AV26" s="209"/>
      <c r="AW26" s="210"/>
      <c r="AX26" s="211"/>
      <c r="AY26" s="211"/>
      <c r="AZ26" s="211"/>
      <c r="BA26" s="211"/>
      <c r="BB26" s="211"/>
      <c r="BC26" s="212"/>
      <c r="BD26" s="213"/>
      <c r="BE26" s="211"/>
      <c r="BF26" s="211"/>
      <c r="BG26" s="211"/>
      <c r="BH26" s="211"/>
      <c r="BI26" s="211"/>
      <c r="BJ26" s="212"/>
      <c r="BK26" s="180"/>
    </row>
    <row r="27" spans="1:63" ht="15" customHeight="1" x14ac:dyDescent="0.25">
      <c r="A27" s="179"/>
      <c r="B27" s="151"/>
      <c r="C27" s="149"/>
      <c r="D27" s="149"/>
      <c r="E27" s="149"/>
      <c r="F27" s="149"/>
      <c r="G27" s="150"/>
      <c r="H27" s="151"/>
      <c r="I27" s="149"/>
      <c r="J27" s="149"/>
      <c r="K27" s="149"/>
      <c r="L27" s="149"/>
      <c r="M27" s="149"/>
      <c r="N27" s="150"/>
      <c r="O27" s="151"/>
      <c r="P27" s="149"/>
      <c r="Q27" s="149"/>
      <c r="R27" s="149"/>
      <c r="S27" s="214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4"/>
      <c r="AX27" s="205"/>
      <c r="AY27" s="205"/>
      <c r="AZ27" s="205"/>
      <c r="BA27" s="205"/>
      <c r="BB27" s="205"/>
      <c r="BC27" s="206"/>
      <c r="BD27" s="207"/>
      <c r="BE27" s="205"/>
      <c r="BF27" s="205"/>
      <c r="BG27" s="205"/>
      <c r="BH27" s="205"/>
      <c r="BI27" s="205"/>
      <c r="BJ27" s="206"/>
      <c r="BK27" s="180"/>
    </row>
    <row r="28" spans="1:63" ht="15" customHeight="1" x14ac:dyDescent="0.25">
      <c r="A28" s="179"/>
      <c r="B28" s="161"/>
      <c r="C28" s="162"/>
      <c r="D28" s="162"/>
      <c r="E28" s="162"/>
      <c r="F28" s="162"/>
      <c r="G28" s="163"/>
      <c r="H28" s="161"/>
      <c r="I28" s="162"/>
      <c r="J28" s="162"/>
      <c r="K28" s="162"/>
      <c r="L28" s="162"/>
      <c r="M28" s="162"/>
      <c r="N28" s="163"/>
      <c r="O28" s="161"/>
      <c r="P28" s="162"/>
      <c r="Q28" s="162"/>
      <c r="R28" s="162"/>
      <c r="S28" s="208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09"/>
      <c r="AW28" s="210"/>
      <c r="AX28" s="211"/>
      <c r="AY28" s="211"/>
      <c r="AZ28" s="211"/>
      <c r="BA28" s="211"/>
      <c r="BB28" s="211"/>
      <c r="BC28" s="212"/>
      <c r="BD28" s="213"/>
      <c r="BE28" s="211"/>
      <c r="BF28" s="211"/>
      <c r="BG28" s="211"/>
      <c r="BH28" s="211"/>
      <c r="BI28" s="211"/>
      <c r="BJ28" s="212"/>
      <c r="BK28" s="180"/>
    </row>
    <row r="29" spans="1:63" ht="15" customHeight="1" x14ac:dyDescent="0.25">
      <c r="A29" s="179"/>
      <c r="B29" s="151"/>
      <c r="C29" s="149"/>
      <c r="D29" s="149"/>
      <c r="E29" s="149"/>
      <c r="F29" s="149"/>
      <c r="G29" s="150"/>
      <c r="H29" s="151"/>
      <c r="I29" s="149"/>
      <c r="J29" s="149"/>
      <c r="K29" s="149"/>
      <c r="L29" s="149"/>
      <c r="M29" s="149"/>
      <c r="N29" s="150"/>
      <c r="O29" s="151"/>
      <c r="P29" s="149"/>
      <c r="Q29" s="149"/>
      <c r="R29" s="149"/>
      <c r="S29" s="214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4"/>
      <c r="AX29" s="205"/>
      <c r="AY29" s="205"/>
      <c r="AZ29" s="205"/>
      <c r="BA29" s="205"/>
      <c r="BB29" s="205"/>
      <c r="BC29" s="206"/>
      <c r="BD29" s="207"/>
      <c r="BE29" s="205"/>
      <c r="BF29" s="205"/>
      <c r="BG29" s="205"/>
      <c r="BH29" s="205"/>
      <c r="BI29" s="205"/>
      <c r="BJ29" s="206"/>
      <c r="BK29" s="180"/>
    </row>
    <row r="30" spans="1:63" ht="15" customHeight="1" x14ac:dyDescent="0.25">
      <c r="A30" s="179"/>
      <c r="B30" s="161"/>
      <c r="C30" s="162"/>
      <c r="D30" s="162"/>
      <c r="E30" s="162"/>
      <c r="F30" s="162"/>
      <c r="G30" s="163"/>
      <c r="H30" s="161"/>
      <c r="I30" s="162"/>
      <c r="J30" s="162"/>
      <c r="K30" s="162"/>
      <c r="L30" s="162"/>
      <c r="M30" s="162"/>
      <c r="N30" s="163"/>
      <c r="O30" s="161"/>
      <c r="P30" s="162"/>
      <c r="Q30" s="162"/>
      <c r="R30" s="162"/>
      <c r="S30" s="208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10"/>
      <c r="AX30" s="211"/>
      <c r="AY30" s="211"/>
      <c r="AZ30" s="211"/>
      <c r="BA30" s="211"/>
      <c r="BB30" s="211"/>
      <c r="BC30" s="212"/>
      <c r="BD30" s="213"/>
      <c r="BE30" s="211"/>
      <c r="BF30" s="211"/>
      <c r="BG30" s="211"/>
      <c r="BH30" s="211"/>
      <c r="BI30" s="211"/>
      <c r="BJ30" s="212"/>
      <c r="BK30" s="180"/>
    </row>
    <row r="31" spans="1:63" ht="15" customHeight="1" x14ac:dyDescent="0.25">
      <c r="A31" s="179"/>
      <c r="B31" s="151"/>
      <c r="C31" s="149"/>
      <c r="D31" s="149"/>
      <c r="E31" s="149"/>
      <c r="F31" s="149"/>
      <c r="G31" s="150"/>
      <c r="H31" s="151"/>
      <c r="I31" s="149"/>
      <c r="J31" s="149"/>
      <c r="K31" s="149"/>
      <c r="L31" s="149"/>
      <c r="M31" s="149"/>
      <c r="N31" s="150"/>
      <c r="O31" s="151"/>
      <c r="P31" s="149"/>
      <c r="Q31" s="149"/>
      <c r="R31" s="149"/>
      <c r="S31" s="214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4"/>
      <c r="AX31" s="205"/>
      <c r="AY31" s="205"/>
      <c r="AZ31" s="205"/>
      <c r="BA31" s="205"/>
      <c r="BB31" s="205"/>
      <c r="BC31" s="206"/>
      <c r="BD31" s="207"/>
      <c r="BE31" s="205"/>
      <c r="BF31" s="205"/>
      <c r="BG31" s="205"/>
      <c r="BH31" s="205"/>
      <c r="BI31" s="205"/>
      <c r="BJ31" s="206"/>
      <c r="BK31" s="180"/>
    </row>
    <row r="32" spans="1:63" ht="15" customHeight="1" x14ac:dyDescent="0.25">
      <c r="A32" s="179"/>
      <c r="B32" s="161"/>
      <c r="C32" s="162"/>
      <c r="D32" s="162"/>
      <c r="E32" s="162"/>
      <c r="F32" s="162"/>
      <c r="G32" s="163"/>
      <c r="H32" s="161"/>
      <c r="I32" s="162"/>
      <c r="J32" s="162"/>
      <c r="K32" s="162"/>
      <c r="L32" s="162"/>
      <c r="M32" s="162"/>
      <c r="N32" s="163"/>
      <c r="O32" s="161"/>
      <c r="P32" s="162"/>
      <c r="Q32" s="162"/>
      <c r="R32" s="162"/>
      <c r="S32" s="208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  <c r="AS32" s="209"/>
      <c r="AT32" s="209"/>
      <c r="AU32" s="209"/>
      <c r="AV32" s="209"/>
      <c r="AW32" s="210"/>
      <c r="AX32" s="211"/>
      <c r="AY32" s="211"/>
      <c r="AZ32" s="211"/>
      <c r="BA32" s="211"/>
      <c r="BB32" s="211"/>
      <c r="BC32" s="212"/>
      <c r="BD32" s="213"/>
      <c r="BE32" s="211"/>
      <c r="BF32" s="211"/>
      <c r="BG32" s="211"/>
      <c r="BH32" s="211"/>
      <c r="BI32" s="211"/>
      <c r="BJ32" s="212"/>
      <c r="BK32" s="180"/>
    </row>
    <row r="33" spans="1:63" ht="15" customHeight="1" x14ac:dyDescent="0.25">
      <c r="A33" s="179"/>
      <c r="B33" s="151"/>
      <c r="C33" s="149"/>
      <c r="D33" s="149"/>
      <c r="E33" s="149"/>
      <c r="F33" s="149"/>
      <c r="G33" s="150"/>
      <c r="H33" s="151"/>
      <c r="I33" s="149"/>
      <c r="J33" s="149"/>
      <c r="K33" s="149"/>
      <c r="L33" s="149"/>
      <c r="M33" s="149"/>
      <c r="N33" s="150"/>
      <c r="O33" s="151"/>
      <c r="P33" s="149"/>
      <c r="Q33" s="149"/>
      <c r="R33" s="149"/>
      <c r="S33" s="214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4"/>
      <c r="AX33" s="205"/>
      <c r="AY33" s="205"/>
      <c r="AZ33" s="205"/>
      <c r="BA33" s="205"/>
      <c r="BB33" s="205"/>
      <c r="BC33" s="206"/>
      <c r="BD33" s="207"/>
      <c r="BE33" s="205"/>
      <c r="BF33" s="205"/>
      <c r="BG33" s="205"/>
      <c r="BH33" s="205"/>
      <c r="BI33" s="205"/>
      <c r="BJ33" s="206"/>
      <c r="BK33" s="180"/>
    </row>
    <row r="34" spans="1:63" ht="15" customHeight="1" x14ac:dyDescent="0.25">
      <c r="A34" s="179"/>
      <c r="B34" s="161"/>
      <c r="C34" s="162"/>
      <c r="D34" s="162"/>
      <c r="E34" s="162"/>
      <c r="F34" s="162"/>
      <c r="G34" s="163"/>
      <c r="H34" s="161"/>
      <c r="I34" s="162"/>
      <c r="J34" s="162"/>
      <c r="K34" s="162"/>
      <c r="L34" s="162"/>
      <c r="M34" s="162"/>
      <c r="N34" s="163"/>
      <c r="O34" s="161"/>
      <c r="P34" s="162"/>
      <c r="Q34" s="162"/>
      <c r="R34" s="162"/>
      <c r="S34" s="208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10"/>
      <c r="AX34" s="211"/>
      <c r="AY34" s="211"/>
      <c r="AZ34" s="211"/>
      <c r="BA34" s="211"/>
      <c r="BB34" s="211"/>
      <c r="BC34" s="212"/>
      <c r="BD34" s="213"/>
      <c r="BE34" s="211"/>
      <c r="BF34" s="211"/>
      <c r="BG34" s="211"/>
      <c r="BH34" s="211"/>
      <c r="BI34" s="211"/>
      <c r="BJ34" s="212"/>
      <c r="BK34" s="180"/>
    </row>
    <row r="35" spans="1:63" ht="15" customHeight="1" x14ac:dyDescent="0.25">
      <c r="A35" s="179"/>
      <c r="B35" s="151"/>
      <c r="C35" s="149"/>
      <c r="D35" s="149"/>
      <c r="E35" s="149"/>
      <c r="F35" s="149"/>
      <c r="G35" s="150"/>
      <c r="H35" s="151"/>
      <c r="I35" s="149"/>
      <c r="J35" s="149"/>
      <c r="K35" s="149"/>
      <c r="L35" s="149"/>
      <c r="M35" s="149"/>
      <c r="N35" s="150"/>
      <c r="O35" s="151"/>
      <c r="P35" s="149"/>
      <c r="Q35" s="149"/>
      <c r="R35" s="149"/>
      <c r="S35" s="214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4"/>
      <c r="AX35" s="205"/>
      <c r="AY35" s="205"/>
      <c r="AZ35" s="205"/>
      <c r="BA35" s="205"/>
      <c r="BB35" s="205"/>
      <c r="BC35" s="206"/>
      <c r="BD35" s="207"/>
      <c r="BE35" s="205"/>
      <c r="BF35" s="205"/>
      <c r="BG35" s="205"/>
      <c r="BH35" s="205"/>
      <c r="BI35" s="205"/>
      <c r="BJ35" s="206"/>
      <c r="BK35" s="180"/>
    </row>
    <row r="36" spans="1:63" ht="15" customHeight="1" x14ac:dyDescent="0.25">
      <c r="A36" s="179"/>
      <c r="B36" s="161"/>
      <c r="C36" s="162"/>
      <c r="D36" s="162"/>
      <c r="E36" s="162"/>
      <c r="F36" s="162"/>
      <c r="G36" s="163"/>
      <c r="H36" s="161"/>
      <c r="I36" s="162"/>
      <c r="J36" s="162"/>
      <c r="K36" s="162"/>
      <c r="L36" s="162"/>
      <c r="M36" s="162"/>
      <c r="N36" s="163"/>
      <c r="O36" s="161"/>
      <c r="P36" s="162"/>
      <c r="Q36" s="162"/>
      <c r="R36" s="162"/>
      <c r="S36" s="208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209"/>
      <c r="AW36" s="210"/>
      <c r="AX36" s="211"/>
      <c r="AY36" s="211"/>
      <c r="AZ36" s="211"/>
      <c r="BA36" s="211"/>
      <c r="BB36" s="211"/>
      <c r="BC36" s="212"/>
      <c r="BD36" s="213"/>
      <c r="BE36" s="211"/>
      <c r="BF36" s="211"/>
      <c r="BG36" s="211"/>
      <c r="BH36" s="211"/>
      <c r="BI36" s="211"/>
      <c r="BJ36" s="212"/>
      <c r="BK36" s="180"/>
    </row>
    <row r="37" spans="1:63" ht="15" customHeight="1" x14ac:dyDescent="0.25">
      <c r="A37" s="179"/>
      <c r="B37" s="151"/>
      <c r="C37" s="149"/>
      <c r="D37" s="149"/>
      <c r="E37" s="149"/>
      <c r="F37" s="149"/>
      <c r="G37" s="150"/>
      <c r="H37" s="151"/>
      <c r="I37" s="149"/>
      <c r="J37" s="149"/>
      <c r="K37" s="149"/>
      <c r="L37" s="149"/>
      <c r="M37" s="149"/>
      <c r="N37" s="150"/>
      <c r="O37" s="151"/>
      <c r="P37" s="149"/>
      <c r="Q37" s="149"/>
      <c r="R37" s="149"/>
      <c r="S37" s="214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4"/>
      <c r="AX37" s="205"/>
      <c r="AY37" s="205"/>
      <c r="AZ37" s="205"/>
      <c r="BA37" s="205"/>
      <c r="BB37" s="205"/>
      <c r="BC37" s="206"/>
      <c r="BD37" s="207"/>
      <c r="BE37" s="205"/>
      <c r="BF37" s="205"/>
      <c r="BG37" s="205"/>
      <c r="BH37" s="205"/>
      <c r="BI37" s="205"/>
      <c r="BJ37" s="206"/>
      <c r="BK37" s="180"/>
    </row>
    <row r="38" spans="1:63" ht="15" customHeight="1" x14ac:dyDescent="0.25">
      <c r="A38" s="179"/>
      <c r="B38" s="161"/>
      <c r="C38" s="162"/>
      <c r="D38" s="162"/>
      <c r="E38" s="162"/>
      <c r="F38" s="162"/>
      <c r="G38" s="163"/>
      <c r="H38" s="161"/>
      <c r="I38" s="162"/>
      <c r="J38" s="162"/>
      <c r="K38" s="162"/>
      <c r="L38" s="162"/>
      <c r="M38" s="162"/>
      <c r="N38" s="163"/>
      <c r="O38" s="161"/>
      <c r="P38" s="162"/>
      <c r="Q38" s="162"/>
      <c r="R38" s="162"/>
      <c r="S38" s="208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09"/>
      <c r="AP38" s="209"/>
      <c r="AQ38" s="209"/>
      <c r="AR38" s="209"/>
      <c r="AS38" s="209"/>
      <c r="AT38" s="209"/>
      <c r="AU38" s="209"/>
      <c r="AV38" s="209"/>
      <c r="AW38" s="210"/>
      <c r="AX38" s="211"/>
      <c r="AY38" s="211"/>
      <c r="AZ38" s="211"/>
      <c r="BA38" s="211"/>
      <c r="BB38" s="211"/>
      <c r="BC38" s="212"/>
      <c r="BD38" s="213"/>
      <c r="BE38" s="211"/>
      <c r="BF38" s="211"/>
      <c r="BG38" s="211"/>
      <c r="BH38" s="211"/>
      <c r="BI38" s="211"/>
      <c r="BJ38" s="212"/>
      <c r="BK38" s="180"/>
    </row>
    <row r="39" spans="1:63" ht="15" customHeight="1" x14ac:dyDescent="0.25">
      <c r="A39" s="179"/>
      <c r="B39" s="151"/>
      <c r="C39" s="149"/>
      <c r="D39" s="149"/>
      <c r="E39" s="149"/>
      <c r="F39" s="149"/>
      <c r="G39" s="150"/>
      <c r="H39" s="151"/>
      <c r="I39" s="149"/>
      <c r="J39" s="149"/>
      <c r="K39" s="149"/>
      <c r="L39" s="149"/>
      <c r="M39" s="149"/>
      <c r="N39" s="150"/>
      <c r="O39" s="151"/>
      <c r="P39" s="149"/>
      <c r="Q39" s="149"/>
      <c r="R39" s="149"/>
      <c r="S39" s="214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4"/>
      <c r="AX39" s="205"/>
      <c r="AY39" s="205"/>
      <c r="AZ39" s="205"/>
      <c r="BA39" s="205"/>
      <c r="BB39" s="205"/>
      <c r="BC39" s="206"/>
      <c r="BD39" s="207"/>
      <c r="BE39" s="205"/>
      <c r="BF39" s="205"/>
      <c r="BG39" s="205"/>
      <c r="BH39" s="205"/>
      <c r="BI39" s="205"/>
      <c r="BJ39" s="206"/>
      <c r="BK39" s="180"/>
    </row>
    <row r="40" spans="1:63" ht="15" customHeight="1" x14ac:dyDescent="0.25">
      <c r="A40" s="179"/>
      <c r="B40" s="161"/>
      <c r="C40" s="162"/>
      <c r="D40" s="162"/>
      <c r="E40" s="162"/>
      <c r="F40" s="162"/>
      <c r="G40" s="163"/>
      <c r="H40" s="161"/>
      <c r="I40" s="162"/>
      <c r="J40" s="162"/>
      <c r="K40" s="162"/>
      <c r="L40" s="162"/>
      <c r="M40" s="162"/>
      <c r="N40" s="163"/>
      <c r="O40" s="161"/>
      <c r="P40" s="162"/>
      <c r="Q40" s="162"/>
      <c r="R40" s="162"/>
      <c r="S40" s="208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10"/>
      <c r="AX40" s="211"/>
      <c r="AY40" s="211"/>
      <c r="AZ40" s="211"/>
      <c r="BA40" s="211"/>
      <c r="BB40" s="211"/>
      <c r="BC40" s="212"/>
      <c r="BD40" s="213"/>
      <c r="BE40" s="211"/>
      <c r="BF40" s="211"/>
      <c r="BG40" s="211"/>
      <c r="BH40" s="211"/>
      <c r="BI40" s="211"/>
      <c r="BJ40" s="212"/>
      <c r="BK40" s="180"/>
    </row>
    <row r="41" spans="1:63" ht="15" customHeight="1" x14ac:dyDescent="0.25">
      <c r="A41" s="179"/>
      <c r="B41" s="151"/>
      <c r="C41" s="149"/>
      <c r="D41" s="149"/>
      <c r="E41" s="149"/>
      <c r="F41" s="149"/>
      <c r="G41" s="150"/>
      <c r="H41" s="151"/>
      <c r="I41" s="149"/>
      <c r="J41" s="149"/>
      <c r="K41" s="149"/>
      <c r="L41" s="149"/>
      <c r="M41" s="149"/>
      <c r="N41" s="150"/>
      <c r="O41" s="151"/>
      <c r="P41" s="149"/>
      <c r="Q41" s="149"/>
      <c r="R41" s="149"/>
      <c r="S41" s="214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4"/>
      <c r="AX41" s="205"/>
      <c r="AY41" s="205"/>
      <c r="AZ41" s="205"/>
      <c r="BA41" s="205"/>
      <c r="BB41" s="205"/>
      <c r="BC41" s="206"/>
      <c r="BD41" s="207"/>
      <c r="BE41" s="205"/>
      <c r="BF41" s="205"/>
      <c r="BG41" s="205"/>
      <c r="BH41" s="205"/>
      <c r="BI41" s="205"/>
      <c r="BJ41" s="206"/>
      <c r="BK41" s="180"/>
    </row>
    <row r="42" spans="1:63" ht="15" customHeight="1" x14ac:dyDescent="0.25">
      <c r="A42" s="179"/>
      <c r="B42" s="161"/>
      <c r="C42" s="162"/>
      <c r="D42" s="162"/>
      <c r="E42" s="162"/>
      <c r="F42" s="162"/>
      <c r="G42" s="163"/>
      <c r="H42" s="161"/>
      <c r="I42" s="162"/>
      <c r="J42" s="162"/>
      <c r="K42" s="162"/>
      <c r="L42" s="162"/>
      <c r="M42" s="162"/>
      <c r="N42" s="163"/>
      <c r="O42" s="161"/>
      <c r="P42" s="162"/>
      <c r="Q42" s="162"/>
      <c r="R42" s="162"/>
      <c r="S42" s="208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9"/>
      <c r="AV42" s="209"/>
      <c r="AW42" s="210"/>
      <c r="AX42" s="211"/>
      <c r="AY42" s="211"/>
      <c r="AZ42" s="211"/>
      <c r="BA42" s="211"/>
      <c r="BB42" s="211"/>
      <c r="BC42" s="212"/>
      <c r="BD42" s="213"/>
      <c r="BE42" s="211"/>
      <c r="BF42" s="211"/>
      <c r="BG42" s="211"/>
      <c r="BH42" s="211"/>
      <c r="BI42" s="211"/>
      <c r="BJ42" s="212"/>
      <c r="BK42" s="180"/>
    </row>
    <row r="43" spans="1:63" ht="15" customHeight="1" x14ac:dyDescent="0.25">
      <c r="A43" s="179"/>
      <c r="B43" s="151"/>
      <c r="C43" s="149"/>
      <c r="D43" s="149"/>
      <c r="E43" s="149"/>
      <c r="F43" s="149"/>
      <c r="G43" s="150"/>
      <c r="H43" s="151"/>
      <c r="I43" s="149"/>
      <c r="J43" s="149"/>
      <c r="K43" s="149"/>
      <c r="L43" s="149"/>
      <c r="M43" s="149"/>
      <c r="N43" s="150"/>
      <c r="O43" s="151"/>
      <c r="P43" s="149"/>
      <c r="Q43" s="149"/>
      <c r="R43" s="149"/>
      <c r="S43" s="214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4"/>
      <c r="AX43" s="205"/>
      <c r="AY43" s="205"/>
      <c r="AZ43" s="205"/>
      <c r="BA43" s="205"/>
      <c r="BB43" s="205"/>
      <c r="BC43" s="206"/>
      <c r="BD43" s="207"/>
      <c r="BE43" s="205"/>
      <c r="BF43" s="205"/>
      <c r="BG43" s="205"/>
      <c r="BH43" s="205"/>
      <c r="BI43" s="205"/>
      <c r="BJ43" s="206"/>
      <c r="BK43" s="180"/>
    </row>
    <row r="44" spans="1:63" ht="15" customHeight="1" x14ac:dyDescent="0.25">
      <c r="A44" s="179"/>
      <c r="B44" s="161"/>
      <c r="C44" s="162"/>
      <c r="D44" s="162"/>
      <c r="E44" s="162"/>
      <c r="F44" s="162"/>
      <c r="G44" s="163"/>
      <c r="H44" s="161"/>
      <c r="I44" s="162"/>
      <c r="J44" s="162"/>
      <c r="K44" s="162"/>
      <c r="L44" s="162"/>
      <c r="M44" s="162"/>
      <c r="N44" s="163"/>
      <c r="O44" s="161"/>
      <c r="P44" s="162"/>
      <c r="Q44" s="162"/>
      <c r="R44" s="162"/>
      <c r="S44" s="208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/>
      <c r="AT44" s="209"/>
      <c r="AU44" s="209"/>
      <c r="AV44" s="209"/>
      <c r="AW44" s="210"/>
      <c r="AX44" s="211"/>
      <c r="AY44" s="211"/>
      <c r="AZ44" s="211"/>
      <c r="BA44" s="211"/>
      <c r="BB44" s="211"/>
      <c r="BC44" s="212"/>
      <c r="BD44" s="213"/>
      <c r="BE44" s="211"/>
      <c r="BF44" s="211"/>
      <c r="BG44" s="211"/>
      <c r="BH44" s="211"/>
      <c r="BI44" s="211"/>
      <c r="BJ44" s="212"/>
      <c r="BK44" s="180"/>
    </row>
    <row r="45" spans="1:63" ht="15" customHeight="1" x14ac:dyDescent="0.25">
      <c r="A45" s="179"/>
      <c r="B45" s="151"/>
      <c r="C45" s="149"/>
      <c r="D45" s="149"/>
      <c r="E45" s="149"/>
      <c r="F45" s="149"/>
      <c r="G45" s="150"/>
      <c r="H45" s="151"/>
      <c r="I45" s="149"/>
      <c r="J45" s="149"/>
      <c r="K45" s="149"/>
      <c r="L45" s="149"/>
      <c r="M45" s="149"/>
      <c r="N45" s="150"/>
      <c r="O45" s="151"/>
      <c r="P45" s="149"/>
      <c r="Q45" s="149"/>
      <c r="R45" s="149"/>
      <c r="S45" s="214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4"/>
      <c r="AX45" s="205"/>
      <c r="AY45" s="205"/>
      <c r="AZ45" s="205"/>
      <c r="BA45" s="205"/>
      <c r="BB45" s="205"/>
      <c r="BC45" s="206"/>
      <c r="BD45" s="207"/>
      <c r="BE45" s="205"/>
      <c r="BF45" s="205"/>
      <c r="BG45" s="205"/>
      <c r="BH45" s="205"/>
      <c r="BI45" s="205"/>
      <c r="BJ45" s="206"/>
      <c r="BK45" s="180"/>
    </row>
    <row r="46" spans="1:63" ht="15" customHeight="1" x14ac:dyDescent="0.25">
      <c r="A46" s="179"/>
      <c r="B46" s="161"/>
      <c r="C46" s="162"/>
      <c r="D46" s="162"/>
      <c r="E46" s="162"/>
      <c r="F46" s="162"/>
      <c r="G46" s="163"/>
      <c r="H46" s="161"/>
      <c r="I46" s="162"/>
      <c r="J46" s="162"/>
      <c r="K46" s="162"/>
      <c r="L46" s="162"/>
      <c r="M46" s="162"/>
      <c r="N46" s="163"/>
      <c r="O46" s="161"/>
      <c r="P46" s="162"/>
      <c r="Q46" s="162"/>
      <c r="R46" s="162"/>
      <c r="S46" s="208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09"/>
      <c r="AQ46" s="209"/>
      <c r="AR46" s="209"/>
      <c r="AS46" s="209"/>
      <c r="AT46" s="209"/>
      <c r="AU46" s="209"/>
      <c r="AV46" s="209"/>
      <c r="AW46" s="210"/>
      <c r="AX46" s="211"/>
      <c r="AY46" s="211"/>
      <c r="AZ46" s="211"/>
      <c r="BA46" s="211"/>
      <c r="BB46" s="211"/>
      <c r="BC46" s="212"/>
      <c r="BD46" s="213"/>
      <c r="BE46" s="211"/>
      <c r="BF46" s="211"/>
      <c r="BG46" s="211"/>
      <c r="BH46" s="211"/>
      <c r="BI46" s="211"/>
      <c r="BJ46" s="212"/>
      <c r="BK46" s="180"/>
    </row>
    <row r="47" spans="1:63" ht="15" customHeight="1" x14ac:dyDescent="0.25">
      <c r="A47" s="179"/>
      <c r="B47" s="151"/>
      <c r="C47" s="149"/>
      <c r="D47" s="149"/>
      <c r="E47" s="149"/>
      <c r="F47" s="149"/>
      <c r="G47" s="150"/>
      <c r="H47" s="151"/>
      <c r="I47" s="149"/>
      <c r="J47" s="149"/>
      <c r="K47" s="149"/>
      <c r="L47" s="149"/>
      <c r="M47" s="149"/>
      <c r="N47" s="150"/>
      <c r="O47" s="151"/>
      <c r="P47" s="149"/>
      <c r="Q47" s="149"/>
      <c r="R47" s="149"/>
      <c r="S47" s="214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4"/>
      <c r="AX47" s="205"/>
      <c r="AY47" s="205"/>
      <c r="AZ47" s="205"/>
      <c r="BA47" s="205"/>
      <c r="BB47" s="205"/>
      <c r="BC47" s="206"/>
      <c r="BD47" s="207"/>
      <c r="BE47" s="205"/>
      <c r="BF47" s="205"/>
      <c r="BG47" s="205"/>
      <c r="BH47" s="205"/>
      <c r="BI47" s="205"/>
      <c r="BJ47" s="206"/>
      <c r="BK47" s="180"/>
    </row>
    <row r="48" spans="1:63" ht="15" customHeight="1" x14ac:dyDescent="0.25">
      <c r="A48" s="179"/>
      <c r="B48" s="161"/>
      <c r="C48" s="162"/>
      <c r="D48" s="162"/>
      <c r="E48" s="162"/>
      <c r="F48" s="162"/>
      <c r="G48" s="163"/>
      <c r="H48" s="161"/>
      <c r="I48" s="162"/>
      <c r="J48" s="162"/>
      <c r="K48" s="162"/>
      <c r="L48" s="162"/>
      <c r="M48" s="162"/>
      <c r="N48" s="163"/>
      <c r="O48" s="161"/>
      <c r="P48" s="162"/>
      <c r="Q48" s="162"/>
      <c r="R48" s="162"/>
      <c r="S48" s="208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10"/>
      <c r="AX48" s="211"/>
      <c r="AY48" s="211"/>
      <c r="AZ48" s="211"/>
      <c r="BA48" s="211"/>
      <c r="BB48" s="211"/>
      <c r="BC48" s="212"/>
      <c r="BD48" s="213"/>
      <c r="BE48" s="211"/>
      <c r="BF48" s="211"/>
      <c r="BG48" s="211"/>
      <c r="BH48" s="211"/>
      <c r="BI48" s="211"/>
      <c r="BJ48" s="212"/>
      <c r="BK48" s="180"/>
    </row>
    <row r="49" spans="1:63" ht="15" customHeight="1" x14ac:dyDescent="0.25">
      <c r="A49" s="179"/>
      <c r="B49" s="151"/>
      <c r="C49" s="149"/>
      <c r="D49" s="149"/>
      <c r="E49" s="149"/>
      <c r="F49" s="149"/>
      <c r="G49" s="150"/>
      <c r="H49" s="151"/>
      <c r="I49" s="149"/>
      <c r="J49" s="149"/>
      <c r="K49" s="149"/>
      <c r="L49" s="149"/>
      <c r="M49" s="149"/>
      <c r="N49" s="150"/>
      <c r="O49" s="151"/>
      <c r="P49" s="149"/>
      <c r="Q49" s="149"/>
      <c r="R49" s="149"/>
      <c r="S49" s="214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4"/>
      <c r="AX49" s="205"/>
      <c r="AY49" s="205"/>
      <c r="AZ49" s="205"/>
      <c r="BA49" s="205"/>
      <c r="BB49" s="205"/>
      <c r="BC49" s="206"/>
      <c r="BD49" s="207"/>
      <c r="BE49" s="205"/>
      <c r="BF49" s="205"/>
      <c r="BG49" s="205"/>
      <c r="BH49" s="205"/>
      <c r="BI49" s="205"/>
      <c r="BJ49" s="206"/>
      <c r="BK49" s="180"/>
    </row>
    <row r="50" spans="1:63" ht="15" customHeight="1" x14ac:dyDescent="0.25">
      <c r="A50" s="179"/>
      <c r="B50" s="161"/>
      <c r="C50" s="162"/>
      <c r="D50" s="162"/>
      <c r="E50" s="162"/>
      <c r="F50" s="162"/>
      <c r="G50" s="163"/>
      <c r="H50" s="161"/>
      <c r="I50" s="162"/>
      <c r="J50" s="162"/>
      <c r="K50" s="162"/>
      <c r="L50" s="162"/>
      <c r="M50" s="162"/>
      <c r="N50" s="163"/>
      <c r="O50" s="161"/>
      <c r="P50" s="162"/>
      <c r="Q50" s="162"/>
      <c r="R50" s="162"/>
      <c r="S50" s="208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9"/>
      <c r="AU50" s="209"/>
      <c r="AV50" s="209"/>
      <c r="AW50" s="210"/>
      <c r="AX50" s="211"/>
      <c r="AY50" s="211"/>
      <c r="AZ50" s="211"/>
      <c r="BA50" s="211"/>
      <c r="BB50" s="211"/>
      <c r="BC50" s="212"/>
      <c r="BD50" s="213"/>
      <c r="BE50" s="211"/>
      <c r="BF50" s="211"/>
      <c r="BG50" s="211"/>
      <c r="BH50" s="211"/>
      <c r="BI50" s="211"/>
      <c r="BJ50" s="212"/>
      <c r="BK50" s="180"/>
    </row>
    <row r="51" spans="1:63" ht="15" customHeight="1" x14ac:dyDescent="0.25">
      <c r="A51" s="179"/>
      <c r="B51" s="151"/>
      <c r="C51" s="149"/>
      <c r="D51" s="149"/>
      <c r="E51" s="149"/>
      <c r="F51" s="149"/>
      <c r="G51" s="150"/>
      <c r="H51" s="151"/>
      <c r="I51" s="149"/>
      <c r="J51" s="149"/>
      <c r="K51" s="149"/>
      <c r="L51" s="149"/>
      <c r="M51" s="149"/>
      <c r="N51" s="150"/>
      <c r="O51" s="151"/>
      <c r="P51" s="149"/>
      <c r="Q51" s="149"/>
      <c r="R51" s="149"/>
      <c r="S51" s="214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4"/>
      <c r="AX51" s="205"/>
      <c r="AY51" s="205"/>
      <c r="AZ51" s="205"/>
      <c r="BA51" s="205"/>
      <c r="BB51" s="205"/>
      <c r="BC51" s="206"/>
      <c r="BD51" s="207"/>
      <c r="BE51" s="205"/>
      <c r="BF51" s="205"/>
      <c r="BG51" s="205"/>
      <c r="BH51" s="205"/>
      <c r="BI51" s="205"/>
      <c r="BJ51" s="206"/>
      <c r="BK51" s="180"/>
    </row>
    <row r="52" spans="1:63" ht="15" customHeight="1" x14ac:dyDescent="0.25">
      <c r="A52" s="179"/>
      <c r="B52" s="161"/>
      <c r="C52" s="162"/>
      <c r="D52" s="162"/>
      <c r="E52" s="162"/>
      <c r="F52" s="162"/>
      <c r="G52" s="163"/>
      <c r="H52" s="161"/>
      <c r="I52" s="162"/>
      <c r="J52" s="162"/>
      <c r="K52" s="162"/>
      <c r="L52" s="162"/>
      <c r="M52" s="162"/>
      <c r="N52" s="163"/>
      <c r="O52" s="161"/>
      <c r="P52" s="162"/>
      <c r="Q52" s="162"/>
      <c r="R52" s="162"/>
      <c r="S52" s="208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09"/>
      <c r="AG52" s="209"/>
      <c r="AH52" s="209"/>
      <c r="AI52" s="209"/>
      <c r="AJ52" s="209"/>
      <c r="AK52" s="209"/>
      <c r="AL52" s="209"/>
      <c r="AM52" s="209"/>
      <c r="AN52" s="209"/>
      <c r="AO52" s="209"/>
      <c r="AP52" s="209"/>
      <c r="AQ52" s="209"/>
      <c r="AR52" s="209"/>
      <c r="AS52" s="209"/>
      <c r="AT52" s="209"/>
      <c r="AU52" s="209"/>
      <c r="AV52" s="209"/>
      <c r="AW52" s="210"/>
      <c r="AX52" s="211"/>
      <c r="AY52" s="211"/>
      <c r="AZ52" s="211"/>
      <c r="BA52" s="211"/>
      <c r="BB52" s="211"/>
      <c r="BC52" s="212"/>
      <c r="BD52" s="213"/>
      <c r="BE52" s="211"/>
      <c r="BF52" s="211"/>
      <c r="BG52" s="211"/>
      <c r="BH52" s="211"/>
      <c r="BI52" s="211"/>
      <c r="BJ52" s="212"/>
      <c r="BK52" s="180"/>
    </row>
    <row r="53" spans="1:63" ht="15" customHeight="1" x14ac:dyDescent="0.25">
      <c r="A53" s="179"/>
      <c r="B53" s="151"/>
      <c r="C53" s="149"/>
      <c r="D53" s="149"/>
      <c r="E53" s="149"/>
      <c r="F53" s="149"/>
      <c r="G53" s="150"/>
      <c r="H53" s="151"/>
      <c r="I53" s="149"/>
      <c r="J53" s="149"/>
      <c r="K53" s="149"/>
      <c r="L53" s="149"/>
      <c r="M53" s="149"/>
      <c r="N53" s="150"/>
      <c r="O53" s="151"/>
      <c r="P53" s="149"/>
      <c r="Q53" s="149"/>
      <c r="R53" s="149"/>
      <c r="S53" s="214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4"/>
      <c r="AX53" s="205"/>
      <c r="AY53" s="205"/>
      <c r="AZ53" s="205"/>
      <c r="BA53" s="205"/>
      <c r="BB53" s="205"/>
      <c r="BC53" s="206"/>
      <c r="BD53" s="207"/>
      <c r="BE53" s="205"/>
      <c r="BF53" s="205"/>
      <c r="BG53" s="205"/>
      <c r="BH53" s="205"/>
      <c r="BI53" s="205"/>
      <c r="BJ53" s="206"/>
      <c r="BK53" s="180"/>
    </row>
    <row r="54" spans="1:63" ht="15" customHeight="1" x14ac:dyDescent="0.25">
      <c r="A54" s="179"/>
      <c r="B54" s="161"/>
      <c r="C54" s="162"/>
      <c r="D54" s="162"/>
      <c r="E54" s="162"/>
      <c r="F54" s="162"/>
      <c r="G54" s="163"/>
      <c r="H54" s="161"/>
      <c r="I54" s="162"/>
      <c r="J54" s="162"/>
      <c r="K54" s="162"/>
      <c r="L54" s="162"/>
      <c r="M54" s="162"/>
      <c r="N54" s="163"/>
      <c r="O54" s="161"/>
      <c r="P54" s="162"/>
      <c r="Q54" s="162"/>
      <c r="R54" s="162"/>
      <c r="S54" s="208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09"/>
      <c r="AP54" s="209"/>
      <c r="AQ54" s="209"/>
      <c r="AR54" s="209"/>
      <c r="AS54" s="209"/>
      <c r="AT54" s="209"/>
      <c r="AU54" s="209"/>
      <c r="AV54" s="209"/>
      <c r="AW54" s="210"/>
      <c r="AX54" s="211"/>
      <c r="AY54" s="211"/>
      <c r="AZ54" s="211"/>
      <c r="BA54" s="211"/>
      <c r="BB54" s="211"/>
      <c r="BC54" s="212"/>
      <c r="BD54" s="213"/>
      <c r="BE54" s="211"/>
      <c r="BF54" s="211"/>
      <c r="BG54" s="211"/>
      <c r="BH54" s="211"/>
      <c r="BI54" s="211"/>
      <c r="BJ54" s="212"/>
      <c r="BK54" s="180"/>
    </row>
    <row r="55" spans="1:63" ht="15" customHeight="1" x14ac:dyDescent="0.25">
      <c r="A55" s="176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15" customWidth="1"/>
    <col min="64" max="16384" width="8.88671875" style="215"/>
  </cols>
  <sheetData>
    <row r="1" spans="1:63" ht="24.95" customHeight="1" x14ac:dyDescent="0.25">
      <c r="A1" s="8" t="s">
        <v>0</v>
      </c>
      <c r="B1" s="7"/>
      <c r="C1" s="7"/>
      <c r="D1" s="7"/>
      <c r="E1" s="7"/>
      <c r="F1" s="7"/>
      <c r="G1" s="7"/>
      <c r="H1" s="7"/>
      <c r="I1" s="7"/>
      <c r="J1" s="6"/>
      <c r="K1" s="8" t="s">
        <v>2</v>
      </c>
      <c r="L1" s="7"/>
      <c r="M1" s="7"/>
      <c r="N1" s="7"/>
      <c r="O1" s="7"/>
      <c r="P1" s="7"/>
      <c r="Q1" s="7"/>
      <c r="R1" s="7"/>
      <c r="S1" s="7"/>
      <c r="T1" s="7"/>
      <c r="U1" s="7"/>
      <c r="V1" s="6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8" t="s">
        <v>3</v>
      </c>
      <c r="AQ1" s="7"/>
      <c r="AR1" s="7"/>
      <c r="AS1" s="6"/>
      <c r="AT1" s="8" t="s">
        <v>4</v>
      </c>
      <c r="AU1" s="7"/>
      <c r="AV1" s="7"/>
      <c r="AW1" s="7"/>
      <c r="AX1" s="6"/>
      <c r="AY1" s="8" t="s">
        <v>5</v>
      </c>
      <c r="AZ1" s="7"/>
      <c r="BA1" s="7"/>
      <c r="BB1" s="6"/>
      <c r="BC1" s="8" t="s">
        <v>6</v>
      </c>
      <c r="BD1" s="7"/>
      <c r="BE1" s="7"/>
      <c r="BF1" s="7"/>
      <c r="BG1" s="6"/>
      <c r="BH1" s="8" t="s">
        <v>7</v>
      </c>
      <c r="BI1" s="7"/>
      <c r="BJ1" s="7"/>
      <c r="BK1" s="6"/>
    </row>
    <row r="2" spans="1:63" ht="15" customHeight="1" x14ac:dyDescent="0.25">
      <c r="A2" s="216" t="str">
        <f>IF(表紙!A2="","",表紙!A2)</f>
        <v>POSサーバー</v>
      </c>
      <c r="B2" s="217"/>
      <c r="C2" s="217"/>
      <c r="D2" s="217"/>
      <c r="E2" s="217"/>
      <c r="F2" s="217"/>
      <c r="G2" s="217"/>
      <c r="H2" s="217"/>
      <c r="I2" s="217"/>
      <c r="J2" s="218"/>
      <c r="K2" s="216" t="str">
        <f>IF(表紙!K2="","",表紙!K2)</f>
        <v>POSサーバ</v>
      </c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8"/>
      <c r="W2" s="1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7"/>
      <c r="AP2" s="216" t="str">
        <f>IF(表紙!AP2="","",表紙!AP2)</f>
        <v>DuNT</v>
      </c>
      <c r="AQ2" s="217"/>
      <c r="AR2" s="217"/>
      <c r="AS2" s="218"/>
      <c r="AT2" s="219">
        <v>45084</v>
      </c>
      <c r="AU2" s="220"/>
      <c r="AV2" s="220"/>
      <c r="AW2" s="220"/>
      <c r="AX2" s="221"/>
      <c r="AY2" s="216" t="str">
        <f>IF(表紙!AY2="","",表紙!AY2)</f>
        <v>DuNT</v>
      </c>
      <c r="AZ2" s="217"/>
      <c r="BA2" s="217"/>
      <c r="BB2" s="218"/>
      <c r="BC2" s="219">
        <f>IF(表紙!BC2="","",表紙!BC2)</f>
        <v>45625</v>
      </c>
      <c r="BD2" s="220"/>
      <c r="BE2" s="220"/>
      <c r="BF2" s="220"/>
      <c r="BG2" s="221"/>
      <c r="BH2" s="216">
        <f>IF(表紙!BH2="","",表紙!BH2)</f>
        <v>0.1</v>
      </c>
      <c r="BI2" s="217"/>
      <c r="BJ2" s="217"/>
      <c r="BK2" s="218"/>
    </row>
    <row r="3" spans="1:63" ht="15" customHeight="1" x14ac:dyDescent="0.25">
      <c r="A3" s="222"/>
      <c r="B3" s="223"/>
      <c r="C3" s="223"/>
      <c r="D3" s="223"/>
      <c r="E3" s="223"/>
      <c r="F3" s="223"/>
      <c r="G3" s="223"/>
      <c r="H3" s="223"/>
      <c r="I3" s="223"/>
      <c r="J3" s="224"/>
      <c r="K3" s="222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4"/>
      <c r="W3" s="28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30"/>
      <c r="AP3" s="222"/>
      <c r="AQ3" s="223"/>
      <c r="AR3" s="223"/>
      <c r="AS3" s="224"/>
      <c r="AT3" s="225"/>
      <c r="AU3" s="226"/>
      <c r="AV3" s="226"/>
      <c r="AW3" s="226"/>
      <c r="AX3" s="227"/>
      <c r="AY3" s="222"/>
      <c r="AZ3" s="223"/>
      <c r="BA3" s="223"/>
      <c r="BB3" s="224"/>
      <c r="BC3" s="225"/>
      <c r="BD3" s="226"/>
      <c r="BE3" s="226"/>
      <c r="BF3" s="226"/>
      <c r="BG3" s="227"/>
      <c r="BH3" s="222"/>
      <c r="BI3" s="223"/>
      <c r="BJ3" s="223"/>
      <c r="BK3" s="224"/>
    </row>
    <row r="4" spans="1:63" ht="24.95" customHeight="1" x14ac:dyDescent="0.25">
      <c r="A4" s="8" t="s">
        <v>1</v>
      </c>
      <c r="B4" s="7"/>
      <c r="C4" s="7"/>
      <c r="D4" s="7"/>
      <c r="E4" s="7"/>
      <c r="F4" s="7"/>
      <c r="G4" s="6"/>
      <c r="H4" s="228" t="str">
        <f>IF(表紙!H4="","",表紙!H4)</f>
        <v>41_名称マスタ設定</v>
      </c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30"/>
      <c r="U4" s="8" t="s">
        <v>8</v>
      </c>
      <c r="V4" s="7"/>
      <c r="W4" s="7"/>
      <c r="X4" s="7"/>
      <c r="Y4" s="6"/>
      <c r="Z4" s="228" t="str">
        <f>IF(表紙!Z4="","",表紙!Z4)</f>
        <v>概要設計</v>
      </c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30"/>
      <c r="AP4" s="228" t="str">
        <f t="array" aca="1" ref="AP4" ca="1">RIGHT(CELL("filename",$A$1),LEN(CELL("filename",$A$1))-FIND("]",CELL("filename",$A$1)))</f>
        <v>業務フロー</v>
      </c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30"/>
    </row>
    <row r="5" spans="1:63" ht="5.0999999999999996" customHeight="1" x14ac:dyDescent="0.25">
      <c r="A5" s="231"/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2"/>
      <c r="AO5" s="232"/>
      <c r="AP5" s="232"/>
      <c r="AQ5" s="232"/>
      <c r="AR5" s="232"/>
      <c r="AS5" s="232"/>
      <c r="AT5" s="232"/>
      <c r="AU5" s="232"/>
      <c r="AV5" s="232"/>
      <c r="AW5" s="232"/>
      <c r="AX5" s="232"/>
      <c r="AY5" s="232"/>
      <c r="AZ5" s="232"/>
      <c r="BA5" s="232"/>
      <c r="BB5" s="232"/>
      <c r="BC5" s="232"/>
      <c r="BD5" s="232"/>
      <c r="BE5" s="232"/>
      <c r="BF5" s="232"/>
      <c r="BG5" s="232"/>
      <c r="BH5" s="232"/>
      <c r="BI5" s="232"/>
      <c r="BJ5" s="232"/>
      <c r="BK5" s="233"/>
    </row>
    <row r="6" spans="1:63" ht="15" customHeight="1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7"/>
      <c r="AF6" s="235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6"/>
      <c r="AU6" s="236"/>
      <c r="AV6" s="236"/>
      <c r="AW6" s="236"/>
      <c r="AX6" s="236"/>
      <c r="AY6" s="236"/>
      <c r="AZ6" s="236"/>
      <c r="BA6" s="236"/>
      <c r="BB6" s="236"/>
      <c r="BC6" s="236"/>
      <c r="BD6" s="236"/>
      <c r="BE6" s="236"/>
      <c r="BF6" s="236"/>
      <c r="BG6" s="236"/>
      <c r="BH6" s="236"/>
      <c r="BI6" s="237"/>
      <c r="BJ6" s="236"/>
      <c r="BK6" s="238"/>
    </row>
    <row r="7" spans="1:63" ht="15" customHeight="1" x14ac:dyDescent="0.25">
      <c r="A7" s="234"/>
      <c r="B7" s="10" t="s">
        <v>12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1"/>
      <c r="AF7" s="10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11"/>
      <c r="BJ7" s="9"/>
      <c r="BK7" s="238"/>
    </row>
    <row r="8" spans="1:63" ht="15" customHeight="1" x14ac:dyDescent="0.25">
      <c r="A8" s="234"/>
      <c r="B8" s="235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  <c r="AD8" s="236"/>
      <c r="AE8" s="237"/>
      <c r="AF8" s="235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  <c r="AV8" s="236"/>
      <c r="AW8" s="236"/>
      <c r="AX8" s="236"/>
      <c r="AY8" s="236"/>
      <c r="AZ8" s="236"/>
      <c r="BA8" s="236"/>
      <c r="BB8" s="236"/>
      <c r="BC8" s="236"/>
      <c r="BD8" s="236"/>
      <c r="BE8" s="236"/>
      <c r="BF8" s="236"/>
      <c r="BG8" s="236"/>
      <c r="BH8" s="236"/>
      <c r="BI8" s="237"/>
      <c r="BJ8" s="236"/>
      <c r="BK8" s="238"/>
    </row>
    <row r="9" spans="1:63" ht="15" customHeight="1" x14ac:dyDescent="0.25">
      <c r="A9" s="234"/>
      <c r="B9" s="235"/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  <c r="AD9" s="236"/>
      <c r="AE9" s="237"/>
      <c r="AF9" s="235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6"/>
      <c r="AU9" s="236"/>
      <c r="AV9" s="236"/>
      <c r="AW9" s="236"/>
      <c r="AX9" s="236"/>
      <c r="AY9" s="236"/>
      <c r="AZ9" s="236"/>
      <c r="BA9" s="236"/>
      <c r="BB9" s="236"/>
      <c r="BC9" s="236"/>
      <c r="BD9" s="236"/>
      <c r="BE9" s="236"/>
      <c r="BF9" s="236"/>
      <c r="BG9" s="236"/>
      <c r="BH9" s="236"/>
      <c r="BI9" s="237"/>
      <c r="BJ9" s="236"/>
      <c r="BK9" s="238"/>
    </row>
    <row r="10" spans="1:63" ht="15" customHeight="1" x14ac:dyDescent="0.25">
      <c r="A10" s="234"/>
      <c r="B10" s="235"/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6"/>
      <c r="W10" s="236"/>
      <c r="X10" s="236"/>
      <c r="Y10" s="236"/>
      <c r="Z10" s="236"/>
      <c r="AA10" s="236"/>
      <c r="AB10" s="236"/>
      <c r="AC10" s="236"/>
      <c r="AD10" s="236"/>
      <c r="AE10" s="237"/>
      <c r="AF10" s="235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  <c r="AS10" s="236"/>
      <c r="AT10" s="236"/>
      <c r="AU10" s="236"/>
      <c r="AV10" s="236"/>
      <c r="AW10" s="236"/>
      <c r="AX10" s="236"/>
      <c r="AY10" s="236"/>
      <c r="AZ10" s="236"/>
      <c r="BA10" s="236"/>
      <c r="BB10" s="236"/>
      <c r="BC10" s="236"/>
      <c r="BD10" s="236"/>
      <c r="BE10" s="236"/>
      <c r="BF10" s="236"/>
      <c r="BG10" s="236"/>
      <c r="BH10" s="236"/>
      <c r="BI10" s="237"/>
      <c r="BJ10" s="236"/>
      <c r="BK10" s="238"/>
    </row>
    <row r="11" spans="1:63" ht="15" customHeight="1" x14ac:dyDescent="0.25">
      <c r="A11" s="234"/>
      <c r="B11" s="235"/>
      <c r="C11" s="236"/>
      <c r="D11" s="236"/>
      <c r="E11" s="236"/>
      <c r="F11" s="236"/>
      <c r="G11" s="236"/>
      <c r="H11" s="236"/>
      <c r="I11" s="236"/>
      <c r="J11" s="236"/>
      <c r="K11" s="236"/>
      <c r="L11" s="236"/>
      <c r="M11" s="236"/>
      <c r="N11" s="236"/>
      <c r="O11" s="236"/>
      <c r="P11" s="236"/>
      <c r="Q11" s="236"/>
      <c r="R11" s="236"/>
      <c r="S11" s="236"/>
      <c r="T11" s="236"/>
      <c r="U11" s="236"/>
      <c r="V11" s="236"/>
      <c r="W11" s="236"/>
      <c r="X11" s="236"/>
      <c r="Y11" s="236"/>
      <c r="Z11" s="236"/>
      <c r="AA11" s="236"/>
      <c r="AB11" s="236"/>
      <c r="AC11" s="236"/>
      <c r="AD11" s="236"/>
      <c r="AE11" s="237"/>
      <c r="AF11" s="235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6"/>
      <c r="AT11" s="236"/>
      <c r="AU11" s="236"/>
      <c r="AV11" s="236"/>
      <c r="AW11" s="236"/>
      <c r="AX11" s="236"/>
      <c r="AY11" s="236"/>
      <c r="AZ11" s="236"/>
      <c r="BA11" s="236"/>
      <c r="BB11" s="236"/>
      <c r="BC11" s="236"/>
      <c r="BD11" s="236"/>
      <c r="BE11" s="236"/>
      <c r="BF11" s="236"/>
      <c r="BG11" s="236"/>
      <c r="BH11" s="236"/>
      <c r="BI11" s="237"/>
      <c r="BJ11" s="236"/>
      <c r="BK11" s="238"/>
    </row>
    <row r="12" spans="1:63" ht="15" customHeight="1" x14ac:dyDescent="0.25">
      <c r="A12" s="234"/>
      <c r="B12" s="235"/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  <c r="AA12" s="236"/>
      <c r="AB12" s="236"/>
      <c r="AC12" s="236"/>
      <c r="AD12" s="236"/>
      <c r="AE12" s="237"/>
      <c r="AF12" s="235"/>
      <c r="AG12" s="236"/>
      <c r="AH12" s="236"/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  <c r="AS12" s="236"/>
      <c r="AT12" s="236"/>
      <c r="AU12" s="236"/>
      <c r="AV12" s="236"/>
      <c r="AW12" s="236"/>
      <c r="AX12" s="236"/>
      <c r="AY12" s="236"/>
      <c r="AZ12" s="236"/>
      <c r="BA12" s="236"/>
      <c r="BB12" s="236"/>
      <c r="BC12" s="236"/>
      <c r="BD12" s="236"/>
      <c r="BE12" s="236"/>
      <c r="BF12" s="236"/>
      <c r="BG12" s="236"/>
      <c r="BH12" s="236"/>
      <c r="BI12" s="237"/>
      <c r="BJ12" s="236"/>
      <c r="BK12" s="238"/>
    </row>
    <row r="13" spans="1:63" ht="15" customHeight="1" x14ac:dyDescent="0.25">
      <c r="A13" s="234"/>
      <c r="B13" s="235"/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36"/>
      <c r="AE13" s="237"/>
      <c r="AF13" s="235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6"/>
      <c r="AU13" s="236"/>
      <c r="AV13" s="236"/>
      <c r="AW13" s="236"/>
      <c r="AX13" s="236"/>
      <c r="AY13" s="236"/>
      <c r="AZ13" s="236"/>
      <c r="BA13" s="236"/>
      <c r="BB13" s="236"/>
      <c r="BC13" s="236"/>
      <c r="BD13" s="236"/>
      <c r="BE13" s="236"/>
      <c r="BF13" s="236"/>
      <c r="BG13" s="236"/>
      <c r="BH13" s="236"/>
      <c r="BI13" s="237"/>
      <c r="BJ13" s="236"/>
      <c r="BK13" s="238"/>
    </row>
    <row r="14" spans="1:63" ht="15" customHeight="1" x14ac:dyDescent="0.25">
      <c r="A14" s="234"/>
      <c r="B14" s="235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6"/>
      <c r="AC14" s="236"/>
      <c r="AD14" s="236"/>
      <c r="AE14" s="237"/>
      <c r="AF14" s="235"/>
      <c r="AG14" s="236"/>
      <c r="AH14" s="236"/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  <c r="AS14" s="236"/>
      <c r="AT14" s="236"/>
      <c r="AU14" s="236"/>
      <c r="AV14" s="236"/>
      <c r="AW14" s="236"/>
      <c r="AX14" s="236"/>
      <c r="AY14" s="236"/>
      <c r="AZ14" s="236"/>
      <c r="BA14" s="236"/>
      <c r="BB14" s="236"/>
      <c r="BC14" s="236"/>
      <c r="BD14" s="236"/>
      <c r="BE14" s="236"/>
      <c r="BF14" s="236"/>
      <c r="BG14" s="236"/>
      <c r="BH14" s="236"/>
      <c r="BI14" s="237"/>
      <c r="BJ14" s="236"/>
      <c r="BK14" s="238"/>
    </row>
    <row r="15" spans="1:63" ht="15" customHeight="1" x14ac:dyDescent="0.25">
      <c r="A15" s="234"/>
      <c r="B15" s="235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36"/>
      <c r="Y15" s="236"/>
      <c r="Z15" s="236"/>
      <c r="AA15" s="236"/>
      <c r="AB15" s="236"/>
      <c r="AC15" s="236"/>
      <c r="AD15" s="236"/>
      <c r="AE15" s="237"/>
      <c r="AF15" s="235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/>
      <c r="AW15" s="236"/>
      <c r="AX15" s="236"/>
      <c r="AY15" s="236"/>
      <c r="AZ15" s="236"/>
      <c r="BA15" s="236"/>
      <c r="BB15" s="236"/>
      <c r="BC15" s="236"/>
      <c r="BD15" s="236"/>
      <c r="BE15" s="236"/>
      <c r="BF15" s="236"/>
      <c r="BG15" s="236"/>
      <c r="BH15" s="236"/>
      <c r="BI15" s="237"/>
      <c r="BJ15" s="236"/>
      <c r="BK15" s="238"/>
    </row>
    <row r="16" spans="1:63" ht="15" customHeight="1" x14ac:dyDescent="0.25">
      <c r="A16" s="234"/>
      <c r="B16" s="235"/>
      <c r="C16" s="236"/>
      <c r="D16" s="236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236"/>
      <c r="X16" s="236"/>
      <c r="Y16" s="236"/>
      <c r="Z16" s="236"/>
      <c r="AA16" s="236"/>
      <c r="AB16" s="236"/>
      <c r="AC16" s="236"/>
      <c r="AD16" s="236"/>
      <c r="AE16" s="237"/>
      <c r="AF16" s="235"/>
      <c r="AG16" s="236"/>
      <c r="AH16" s="236"/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  <c r="AS16" s="236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6"/>
      <c r="BH16" s="236"/>
      <c r="BI16" s="237"/>
      <c r="BJ16" s="236"/>
      <c r="BK16" s="238"/>
    </row>
    <row r="17" spans="1:63" ht="15" customHeight="1" x14ac:dyDescent="0.25">
      <c r="A17" s="234"/>
      <c r="B17" s="235"/>
      <c r="C17" s="236"/>
      <c r="D17" s="236"/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  <c r="X17" s="236"/>
      <c r="Y17" s="236"/>
      <c r="Z17" s="236"/>
      <c r="AA17" s="236"/>
      <c r="AB17" s="236"/>
      <c r="AC17" s="236"/>
      <c r="AD17" s="236"/>
      <c r="AE17" s="237"/>
      <c r="AF17" s="235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36"/>
      <c r="AU17" s="236"/>
      <c r="AV17" s="236"/>
      <c r="AW17" s="236"/>
      <c r="AX17" s="236"/>
      <c r="AY17" s="236"/>
      <c r="AZ17" s="236"/>
      <c r="BA17" s="236"/>
      <c r="BB17" s="236"/>
      <c r="BC17" s="236"/>
      <c r="BD17" s="236"/>
      <c r="BE17" s="236"/>
      <c r="BF17" s="236"/>
      <c r="BG17" s="236"/>
      <c r="BH17" s="236"/>
      <c r="BI17" s="237"/>
      <c r="BJ17" s="236"/>
      <c r="BK17" s="238"/>
    </row>
    <row r="18" spans="1:63" ht="15" customHeight="1" x14ac:dyDescent="0.25">
      <c r="A18" s="234"/>
      <c r="B18" s="235"/>
      <c r="C18" s="236"/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236"/>
      <c r="X18" s="236"/>
      <c r="Y18" s="236"/>
      <c r="Z18" s="236"/>
      <c r="AA18" s="236"/>
      <c r="AB18" s="236"/>
      <c r="AC18" s="236"/>
      <c r="AD18" s="236"/>
      <c r="AE18" s="237"/>
      <c r="AF18" s="235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  <c r="AS18" s="236"/>
      <c r="AT18" s="236"/>
      <c r="AU18" s="236"/>
      <c r="AV18" s="236"/>
      <c r="AW18" s="236"/>
      <c r="AX18" s="236"/>
      <c r="AY18" s="236"/>
      <c r="AZ18" s="236"/>
      <c r="BA18" s="236"/>
      <c r="BB18" s="236"/>
      <c r="BC18" s="236"/>
      <c r="BD18" s="236"/>
      <c r="BE18" s="236"/>
      <c r="BF18" s="236"/>
      <c r="BG18" s="236"/>
      <c r="BH18" s="236"/>
      <c r="BI18" s="237"/>
      <c r="BJ18" s="236"/>
      <c r="BK18" s="238"/>
    </row>
    <row r="19" spans="1:63" ht="15" customHeight="1" x14ac:dyDescent="0.25">
      <c r="A19" s="234"/>
      <c r="B19" s="235"/>
      <c r="C19" s="236"/>
      <c r="D19" s="236"/>
      <c r="E19" s="236"/>
      <c r="F19" s="236"/>
      <c r="G19" s="236"/>
      <c r="H19" s="236"/>
      <c r="I19" s="236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  <c r="X19" s="236"/>
      <c r="Y19" s="236"/>
      <c r="Z19" s="236"/>
      <c r="AA19" s="236"/>
      <c r="AB19" s="236"/>
      <c r="AC19" s="236"/>
      <c r="AD19" s="236"/>
      <c r="AE19" s="237"/>
      <c r="AF19" s="235"/>
      <c r="AG19" s="236"/>
      <c r="AH19" s="236"/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  <c r="AS19" s="236"/>
      <c r="AT19" s="236"/>
      <c r="AU19" s="236"/>
      <c r="AV19" s="236"/>
      <c r="AW19" s="236"/>
      <c r="AX19" s="236"/>
      <c r="AY19" s="236"/>
      <c r="AZ19" s="236"/>
      <c r="BA19" s="236"/>
      <c r="BB19" s="236"/>
      <c r="BC19" s="236"/>
      <c r="BD19" s="236"/>
      <c r="BE19" s="236"/>
      <c r="BF19" s="236"/>
      <c r="BG19" s="236"/>
      <c r="BH19" s="236"/>
      <c r="BI19" s="237"/>
      <c r="BJ19" s="236"/>
      <c r="BK19" s="238"/>
    </row>
    <row r="20" spans="1:63" ht="15" customHeight="1" x14ac:dyDescent="0.25">
      <c r="A20" s="234"/>
      <c r="B20" s="235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  <c r="V20" s="236"/>
      <c r="W20" s="236"/>
      <c r="X20" s="236"/>
      <c r="Y20" s="236"/>
      <c r="Z20" s="236"/>
      <c r="AA20" s="236"/>
      <c r="AB20" s="236"/>
      <c r="AC20" s="236"/>
      <c r="AD20" s="236"/>
      <c r="AE20" s="237"/>
      <c r="AF20" s="235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  <c r="AS20" s="236"/>
      <c r="AT20" s="236"/>
      <c r="AU20" s="236"/>
      <c r="AV20" s="236"/>
      <c r="AW20" s="236"/>
      <c r="AX20" s="236"/>
      <c r="AY20" s="236"/>
      <c r="AZ20" s="236"/>
      <c r="BA20" s="236"/>
      <c r="BB20" s="236"/>
      <c r="BC20" s="236"/>
      <c r="BD20" s="236"/>
      <c r="BE20" s="236"/>
      <c r="BF20" s="236"/>
      <c r="BG20" s="236"/>
      <c r="BH20" s="236"/>
      <c r="BI20" s="237"/>
      <c r="BJ20" s="236"/>
      <c r="BK20" s="238"/>
    </row>
    <row r="21" spans="1:63" ht="15" customHeight="1" x14ac:dyDescent="0.25">
      <c r="A21" s="234"/>
      <c r="B21" s="235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  <c r="AA21" s="236"/>
      <c r="AB21" s="236"/>
      <c r="AC21" s="236"/>
      <c r="AD21" s="236"/>
      <c r="AE21" s="237"/>
      <c r="AF21" s="235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  <c r="AS21" s="236"/>
      <c r="AT21" s="236"/>
      <c r="AU21" s="236"/>
      <c r="AV21" s="236"/>
      <c r="AW21" s="236"/>
      <c r="AX21" s="236"/>
      <c r="AY21" s="236"/>
      <c r="AZ21" s="236"/>
      <c r="BA21" s="236"/>
      <c r="BB21" s="236"/>
      <c r="BC21" s="236"/>
      <c r="BD21" s="236"/>
      <c r="BE21" s="236"/>
      <c r="BF21" s="236"/>
      <c r="BG21" s="236"/>
      <c r="BH21" s="236"/>
      <c r="BI21" s="237"/>
      <c r="BJ21" s="236"/>
      <c r="BK21" s="238"/>
    </row>
    <row r="22" spans="1:63" ht="15" customHeight="1" x14ac:dyDescent="0.25">
      <c r="A22" s="234"/>
      <c r="B22" s="10" t="s">
        <v>13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1"/>
      <c r="AF22" s="10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1"/>
      <c r="BJ22" s="9"/>
      <c r="BK22" s="238"/>
    </row>
    <row r="23" spans="1:63" ht="15" customHeight="1" x14ac:dyDescent="0.25">
      <c r="A23" s="234"/>
      <c r="B23" s="235"/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  <c r="V23" s="236"/>
      <c r="W23" s="236"/>
      <c r="X23" s="236"/>
      <c r="Y23" s="236"/>
      <c r="Z23" s="236"/>
      <c r="AA23" s="236"/>
      <c r="AB23" s="236"/>
      <c r="AC23" s="236"/>
      <c r="AD23" s="236"/>
      <c r="AE23" s="237"/>
      <c r="AF23" s="235"/>
      <c r="AG23" s="236"/>
      <c r="AH23" s="236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6"/>
      <c r="BH23" s="236"/>
      <c r="BI23" s="237"/>
      <c r="BJ23" s="236"/>
      <c r="BK23" s="238"/>
    </row>
    <row r="24" spans="1:63" ht="15" customHeight="1" x14ac:dyDescent="0.25">
      <c r="A24" s="234"/>
      <c r="B24" s="235"/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  <c r="X24" s="236"/>
      <c r="Y24" s="236"/>
      <c r="Z24" s="236"/>
      <c r="AA24" s="236"/>
      <c r="AB24" s="236"/>
      <c r="AC24" s="236"/>
      <c r="AD24" s="236"/>
      <c r="AE24" s="237"/>
      <c r="AF24" s="235"/>
      <c r="AG24" s="236"/>
      <c r="AH24" s="236"/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236"/>
      <c r="AU24" s="236"/>
      <c r="AV24" s="236"/>
      <c r="AW24" s="236"/>
      <c r="AX24" s="236"/>
      <c r="AY24" s="236"/>
      <c r="AZ24" s="236"/>
      <c r="BA24" s="236"/>
      <c r="BB24" s="236"/>
      <c r="BC24" s="236"/>
      <c r="BD24" s="236"/>
      <c r="BE24" s="236"/>
      <c r="BF24" s="236"/>
      <c r="BG24" s="236"/>
      <c r="BH24" s="236"/>
      <c r="BI24" s="237"/>
      <c r="BJ24" s="236"/>
      <c r="BK24" s="238"/>
    </row>
    <row r="25" spans="1:63" ht="15" customHeight="1" x14ac:dyDescent="0.25">
      <c r="A25" s="234"/>
      <c r="B25" s="235"/>
      <c r="C25" s="236"/>
      <c r="D25" s="236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  <c r="AA25" s="236"/>
      <c r="AB25" s="236"/>
      <c r="AC25" s="236"/>
      <c r="AD25" s="236"/>
      <c r="AE25" s="237"/>
      <c r="AF25" s="235"/>
      <c r="AG25" s="236"/>
      <c r="AH25" s="236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6"/>
      <c r="BH25" s="236"/>
      <c r="BI25" s="237"/>
      <c r="BJ25" s="236"/>
      <c r="BK25" s="238"/>
    </row>
    <row r="26" spans="1:63" ht="15" customHeight="1" x14ac:dyDescent="0.25">
      <c r="A26" s="234"/>
      <c r="B26" s="235"/>
      <c r="C26" s="236"/>
      <c r="D26" s="236"/>
      <c r="E26" s="236"/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236"/>
      <c r="Z26" s="236"/>
      <c r="AA26" s="236"/>
      <c r="AB26" s="236"/>
      <c r="AC26" s="236"/>
      <c r="AD26" s="236"/>
      <c r="AE26" s="237"/>
      <c r="AF26" s="235"/>
      <c r="AG26" s="236"/>
      <c r="AH26" s="236"/>
      <c r="AI26" s="236"/>
      <c r="AJ26" s="236"/>
      <c r="AK26" s="236"/>
      <c r="AL26" s="236"/>
      <c r="AM26" s="236"/>
      <c r="AN26" s="236"/>
      <c r="AO26" s="236"/>
      <c r="AP26" s="236"/>
      <c r="AQ26" s="236"/>
      <c r="AR26" s="236"/>
      <c r="AS26" s="236"/>
      <c r="AT26" s="236"/>
      <c r="AU26" s="236"/>
      <c r="AV26" s="236"/>
      <c r="AW26" s="236"/>
      <c r="AX26" s="236"/>
      <c r="AY26" s="236"/>
      <c r="AZ26" s="236"/>
      <c r="BA26" s="236"/>
      <c r="BB26" s="236"/>
      <c r="BC26" s="236"/>
      <c r="BD26" s="236"/>
      <c r="BE26" s="236"/>
      <c r="BF26" s="236"/>
      <c r="BG26" s="236"/>
      <c r="BH26" s="236"/>
      <c r="BI26" s="237"/>
      <c r="BJ26" s="236"/>
      <c r="BK26" s="238"/>
    </row>
    <row r="27" spans="1:63" ht="15" customHeight="1" x14ac:dyDescent="0.25">
      <c r="A27" s="234"/>
      <c r="B27" s="235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6"/>
      <c r="AC27" s="236"/>
      <c r="AD27" s="236"/>
      <c r="AE27" s="237"/>
      <c r="AF27" s="235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6"/>
      <c r="BC27" s="236"/>
      <c r="BD27" s="236"/>
      <c r="BE27" s="236"/>
      <c r="BF27" s="236"/>
      <c r="BG27" s="236"/>
      <c r="BH27" s="236"/>
      <c r="BI27" s="237"/>
      <c r="BJ27" s="236"/>
      <c r="BK27" s="238"/>
    </row>
    <row r="28" spans="1:63" ht="15" customHeight="1" x14ac:dyDescent="0.25">
      <c r="A28" s="234"/>
      <c r="B28" s="235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  <c r="X28" s="236"/>
      <c r="Y28" s="236"/>
      <c r="Z28" s="236"/>
      <c r="AA28" s="236"/>
      <c r="AB28" s="236"/>
      <c r="AC28" s="236"/>
      <c r="AD28" s="236"/>
      <c r="AE28" s="237"/>
      <c r="AF28" s="235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6"/>
      <c r="BC28" s="236"/>
      <c r="BD28" s="236"/>
      <c r="BE28" s="236"/>
      <c r="BF28" s="236"/>
      <c r="BG28" s="236"/>
      <c r="BH28" s="236"/>
      <c r="BI28" s="237"/>
      <c r="BJ28" s="236"/>
      <c r="BK28" s="238"/>
    </row>
    <row r="29" spans="1:63" ht="15" customHeight="1" x14ac:dyDescent="0.25">
      <c r="A29" s="234"/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7"/>
      <c r="AF29" s="235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6"/>
      <c r="AX29" s="236"/>
      <c r="AY29" s="236"/>
      <c r="AZ29" s="236"/>
      <c r="BA29" s="236"/>
      <c r="BB29" s="236"/>
      <c r="BC29" s="236"/>
      <c r="BD29" s="236"/>
      <c r="BE29" s="236"/>
      <c r="BF29" s="236"/>
      <c r="BG29" s="236"/>
      <c r="BH29" s="236"/>
      <c r="BI29" s="237"/>
      <c r="BJ29" s="236"/>
      <c r="BK29" s="238"/>
    </row>
    <row r="30" spans="1:63" ht="15" customHeight="1" x14ac:dyDescent="0.25">
      <c r="A30" s="234"/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  <c r="AA30" s="236"/>
      <c r="AB30" s="236"/>
      <c r="AC30" s="236"/>
      <c r="AD30" s="236"/>
      <c r="AE30" s="237"/>
      <c r="AF30" s="235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  <c r="AS30" s="236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6"/>
      <c r="BH30" s="236"/>
      <c r="BI30" s="237"/>
      <c r="BJ30" s="236"/>
      <c r="BK30" s="238"/>
    </row>
    <row r="31" spans="1:63" ht="15" customHeight="1" x14ac:dyDescent="0.25">
      <c r="A31" s="234"/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  <c r="AA31" s="236"/>
      <c r="AB31" s="236"/>
      <c r="AC31" s="236"/>
      <c r="AD31" s="236"/>
      <c r="AE31" s="237"/>
      <c r="AF31" s="235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36"/>
      <c r="AU31" s="236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36"/>
      <c r="BG31" s="236"/>
      <c r="BH31" s="236"/>
      <c r="BI31" s="237"/>
      <c r="BJ31" s="236"/>
      <c r="BK31" s="238"/>
    </row>
    <row r="32" spans="1:63" ht="15" customHeight="1" x14ac:dyDescent="0.25">
      <c r="A32" s="234"/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  <c r="AA32" s="236"/>
      <c r="AB32" s="236"/>
      <c r="AC32" s="236"/>
      <c r="AD32" s="236"/>
      <c r="AE32" s="237"/>
      <c r="AF32" s="235"/>
      <c r="AG32" s="236"/>
      <c r="AH32" s="236"/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  <c r="AS32" s="236"/>
      <c r="AT32" s="236"/>
      <c r="AU32" s="236"/>
      <c r="AV32" s="236"/>
      <c r="AW32" s="236"/>
      <c r="AX32" s="236"/>
      <c r="AY32" s="236"/>
      <c r="AZ32" s="236"/>
      <c r="BA32" s="236"/>
      <c r="BB32" s="236"/>
      <c r="BC32" s="236"/>
      <c r="BD32" s="236"/>
      <c r="BE32" s="236"/>
      <c r="BF32" s="236"/>
      <c r="BG32" s="236"/>
      <c r="BH32" s="236"/>
      <c r="BI32" s="237"/>
      <c r="BJ32" s="236"/>
      <c r="BK32" s="238"/>
    </row>
    <row r="33" spans="1:63" ht="15" customHeight="1" x14ac:dyDescent="0.25">
      <c r="A33" s="234"/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7"/>
      <c r="AF33" s="235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6"/>
      <c r="AX33" s="236"/>
      <c r="AY33" s="236"/>
      <c r="AZ33" s="236"/>
      <c r="BA33" s="236"/>
      <c r="BB33" s="236"/>
      <c r="BC33" s="236"/>
      <c r="BD33" s="236"/>
      <c r="BE33" s="236"/>
      <c r="BF33" s="236"/>
      <c r="BG33" s="236"/>
      <c r="BH33" s="236"/>
      <c r="BI33" s="237"/>
      <c r="BJ33" s="236"/>
      <c r="BK33" s="238"/>
    </row>
    <row r="34" spans="1:63" ht="15" customHeight="1" x14ac:dyDescent="0.25">
      <c r="A34" s="234"/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  <c r="AA34" s="236"/>
      <c r="AB34" s="236"/>
      <c r="AC34" s="236"/>
      <c r="AD34" s="236"/>
      <c r="AE34" s="237"/>
      <c r="AF34" s="235"/>
      <c r="AG34" s="236"/>
      <c r="AH34" s="236"/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  <c r="BC34" s="236"/>
      <c r="BD34" s="236"/>
      <c r="BE34" s="236"/>
      <c r="BF34" s="236"/>
      <c r="BG34" s="236"/>
      <c r="BH34" s="236"/>
      <c r="BI34" s="237"/>
      <c r="BJ34" s="236"/>
      <c r="BK34" s="238"/>
    </row>
    <row r="35" spans="1:63" ht="15" customHeight="1" x14ac:dyDescent="0.25">
      <c r="A35" s="234"/>
      <c r="B35" s="235"/>
      <c r="C35" s="236"/>
      <c r="D35" s="236"/>
      <c r="E35" s="236"/>
      <c r="F35" s="236"/>
      <c r="G35" s="236"/>
      <c r="H35" s="236"/>
      <c r="I35" s="236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  <c r="Z35" s="236"/>
      <c r="AA35" s="236"/>
      <c r="AB35" s="236"/>
      <c r="AC35" s="236"/>
      <c r="AD35" s="236"/>
      <c r="AE35" s="237"/>
      <c r="AF35" s="235"/>
      <c r="AG35" s="236"/>
      <c r="AH35" s="236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  <c r="AS35" s="236"/>
      <c r="AT35" s="236"/>
      <c r="AU35" s="236"/>
      <c r="AV35" s="236"/>
      <c r="AW35" s="236"/>
      <c r="AX35" s="236"/>
      <c r="AY35" s="236"/>
      <c r="AZ35" s="236"/>
      <c r="BA35" s="236"/>
      <c r="BB35" s="236"/>
      <c r="BC35" s="236"/>
      <c r="BD35" s="236"/>
      <c r="BE35" s="236"/>
      <c r="BF35" s="236"/>
      <c r="BG35" s="236"/>
      <c r="BH35" s="236"/>
      <c r="BI35" s="237"/>
      <c r="BJ35" s="236"/>
      <c r="BK35" s="238"/>
    </row>
    <row r="36" spans="1:63" ht="15" customHeight="1" x14ac:dyDescent="0.25">
      <c r="A36" s="234"/>
      <c r="B36" s="235"/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  <c r="AA36" s="236"/>
      <c r="AB36" s="236"/>
      <c r="AC36" s="236"/>
      <c r="AD36" s="236"/>
      <c r="AE36" s="237"/>
      <c r="AF36" s="235"/>
      <c r="AG36" s="236"/>
      <c r="AH36" s="236"/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  <c r="AS36" s="236"/>
      <c r="AT36" s="236"/>
      <c r="AU36" s="236"/>
      <c r="AV36" s="236"/>
      <c r="AW36" s="236"/>
      <c r="AX36" s="236"/>
      <c r="AY36" s="236"/>
      <c r="AZ36" s="236"/>
      <c r="BA36" s="236"/>
      <c r="BB36" s="236"/>
      <c r="BC36" s="236"/>
      <c r="BD36" s="236"/>
      <c r="BE36" s="236"/>
      <c r="BF36" s="236"/>
      <c r="BG36" s="236"/>
      <c r="BH36" s="236"/>
      <c r="BI36" s="237"/>
      <c r="BJ36" s="236"/>
      <c r="BK36" s="238"/>
    </row>
    <row r="37" spans="1:63" ht="15" customHeight="1" x14ac:dyDescent="0.25">
      <c r="A37" s="234"/>
      <c r="B37" s="235"/>
      <c r="C37" s="236"/>
      <c r="D37" s="236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5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6"/>
      <c r="AU37" s="236"/>
      <c r="AV37" s="236"/>
      <c r="AW37" s="236"/>
      <c r="AX37" s="236"/>
      <c r="AY37" s="236"/>
      <c r="AZ37" s="236"/>
      <c r="BA37" s="236"/>
      <c r="BB37" s="236"/>
      <c r="BC37" s="236"/>
      <c r="BD37" s="236"/>
      <c r="BE37" s="236"/>
      <c r="BF37" s="236"/>
      <c r="BG37" s="236"/>
      <c r="BH37" s="236"/>
      <c r="BI37" s="237"/>
      <c r="BJ37" s="236"/>
      <c r="BK37" s="238"/>
    </row>
    <row r="38" spans="1:63" ht="15" customHeight="1" x14ac:dyDescent="0.25">
      <c r="A38" s="234"/>
      <c r="B38" s="235"/>
      <c r="C38" s="236"/>
      <c r="D38" s="236"/>
      <c r="E38" s="236"/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  <c r="Z38" s="236"/>
      <c r="AA38" s="236"/>
      <c r="AB38" s="236"/>
      <c r="AC38" s="236"/>
      <c r="AD38" s="236"/>
      <c r="AE38" s="236"/>
      <c r="AF38" s="235"/>
      <c r="AG38" s="236"/>
      <c r="AH38" s="236"/>
      <c r="AI38" s="236"/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236"/>
      <c r="AU38" s="236"/>
      <c r="AV38" s="236"/>
      <c r="AW38" s="236"/>
      <c r="AX38" s="236"/>
      <c r="AY38" s="236"/>
      <c r="AZ38" s="236"/>
      <c r="BA38" s="236"/>
      <c r="BB38" s="236"/>
      <c r="BC38" s="236"/>
      <c r="BD38" s="236"/>
      <c r="BE38" s="236"/>
      <c r="BF38" s="236"/>
      <c r="BG38" s="236"/>
      <c r="BH38" s="236"/>
      <c r="BI38" s="237"/>
      <c r="BJ38" s="236"/>
      <c r="BK38" s="238"/>
    </row>
    <row r="39" spans="1:63" ht="15" customHeight="1" x14ac:dyDescent="0.25">
      <c r="A39" s="234"/>
      <c r="B39" s="235"/>
      <c r="C39" s="236"/>
      <c r="D39" s="236"/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  <c r="X39" s="236"/>
      <c r="Y39" s="236"/>
      <c r="Z39" s="236"/>
      <c r="AA39" s="236"/>
      <c r="AB39" s="236"/>
      <c r="AC39" s="236"/>
      <c r="AD39" s="236"/>
      <c r="AE39" s="236"/>
      <c r="AF39" s="235"/>
      <c r="AG39" s="236"/>
      <c r="AH39" s="236"/>
      <c r="AI39" s="236"/>
      <c r="AJ39" s="236"/>
      <c r="AK39" s="236"/>
      <c r="AL39" s="236"/>
      <c r="AM39" s="236"/>
      <c r="AN39" s="236"/>
      <c r="AO39" s="236"/>
      <c r="AP39" s="236"/>
      <c r="AQ39" s="236"/>
      <c r="AR39" s="236"/>
      <c r="AS39" s="236"/>
      <c r="AT39" s="236"/>
      <c r="AU39" s="236"/>
      <c r="AV39" s="236"/>
      <c r="AW39" s="236"/>
      <c r="AX39" s="236"/>
      <c r="AY39" s="236"/>
      <c r="AZ39" s="236"/>
      <c r="BA39" s="236"/>
      <c r="BB39" s="236"/>
      <c r="BC39" s="236"/>
      <c r="BD39" s="236"/>
      <c r="BE39" s="236"/>
      <c r="BF39" s="236"/>
      <c r="BG39" s="236"/>
      <c r="BH39" s="236"/>
      <c r="BI39" s="237"/>
      <c r="BJ39" s="236"/>
      <c r="BK39" s="238"/>
    </row>
    <row r="40" spans="1:63" ht="15" customHeight="1" x14ac:dyDescent="0.25">
      <c r="A40" s="234"/>
      <c r="B40" s="235"/>
      <c r="C40" s="236"/>
      <c r="D40" s="236"/>
      <c r="E40" s="236"/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6"/>
      <c r="AC40" s="236"/>
      <c r="AD40" s="236"/>
      <c r="AE40" s="236"/>
      <c r="AF40" s="235"/>
      <c r="AG40" s="236"/>
      <c r="AH40" s="236"/>
      <c r="AI40" s="236"/>
      <c r="AJ40" s="236"/>
      <c r="AK40" s="236"/>
      <c r="AL40" s="236"/>
      <c r="AM40" s="236"/>
      <c r="AN40" s="236"/>
      <c r="AO40" s="236"/>
      <c r="AP40" s="236"/>
      <c r="AQ40" s="236"/>
      <c r="AR40" s="236"/>
      <c r="AS40" s="236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6"/>
      <c r="BH40" s="236"/>
      <c r="BI40" s="237"/>
      <c r="BJ40" s="236"/>
      <c r="BK40" s="238"/>
    </row>
    <row r="41" spans="1:63" ht="15" customHeight="1" x14ac:dyDescent="0.25">
      <c r="A41" s="234"/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6"/>
      <c r="AA41" s="236"/>
      <c r="AB41" s="236"/>
      <c r="AC41" s="236"/>
      <c r="AD41" s="236"/>
      <c r="AE41" s="236"/>
      <c r="AF41" s="235"/>
      <c r="AG41" s="236"/>
      <c r="AH41" s="236"/>
      <c r="AI41" s="236"/>
      <c r="AJ41" s="236"/>
      <c r="AK41" s="236"/>
      <c r="AL41" s="236"/>
      <c r="AM41" s="236"/>
      <c r="AN41" s="236"/>
      <c r="AO41" s="236"/>
      <c r="AP41" s="236"/>
      <c r="AQ41" s="236"/>
      <c r="AR41" s="236"/>
      <c r="AS41" s="236"/>
      <c r="AT41" s="236"/>
      <c r="AU41" s="236"/>
      <c r="AV41" s="236"/>
      <c r="AW41" s="236"/>
      <c r="AX41" s="236"/>
      <c r="AY41" s="236"/>
      <c r="AZ41" s="236"/>
      <c r="BA41" s="236"/>
      <c r="BB41" s="236"/>
      <c r="BC41" s="236"/>
      <c r="BD41" s="236"/>
      <c r="BE41" s="236"/>
      <c r="BF41" s="236"/>
      <c r="BG41" s="236"/>
      <c r="BH41" s="236"/>
      <c r="BI41" s="237"/>
      <c r="BJ41" s="236"/>
      <c r="BK41" s="238"/>
    </row>
    <row r="42" spans="1:63" ht="15" customHeight="1" x14ac:dyDescent="0.25">
      <c r="A42" s="234"/>
      <c r="B42" s="10" t="s">
        <v>14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11"/>
      <c r="AF42" s="10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1"/>
      <c r="BJ42" s="9"/>
      <c r="BK42" s="238"/>
    </row>
    <row r="43" spans="1:63" ht="15" customHeight="1" x14ac:dyDescent="0.25">
      <c r="A43" s="234"/>
      <c r="B43" s="235"/>
      <c r="C43" s="236"/>
      <c r="D43" s="236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36"/>
      <c r="AC43" s="236"/>
      <c r="AD43" s="236"/>
      <c r="AE43" s="237"/>
      <c r="AF43" s="235"/>
      <c r="AG43" s="236"/>
      <c r="AH43" s="236"/>
      <c r="AI43" s="236"/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6"/>
      <c r="AU43" s="236"/>
      <c r="AV43" s="236"/>
      <c r="AW43" s="236"/>
      <c r="AX43" s="236"/>
      <c r="AY43" s="236"/>
      <c r="AZ43" s="236"/>
      <c r="BA43" s="236"/>
      <c r="BB43" s="236"/>
      <c r="BC43" s="236"/>
      <c r="BD43" s="236"/>
      <c r="BE43" s="236"/>
      <c r="BF43" s="236"/>
      <c r="BG43" s="236"/>
      <c r="BH43" s="236"/>
      <c r="BI43" s="237"/>
      <c r="BJ43" s="236"/>
      <c r="BK43" s="238"/>
    </row>
    <row r="44" spans="1:63" ht="15" customHeight="1" x14ac:dyDescent="0.25">
      <c r="A44" s="234"/>
      <c r="B44" s="235"/>
      <c r="C44" s="236"/>
      <c r="D44" s="236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6"/>
      <c r="AC44" s="236"/>
      <c r="AD44" s="236"/>
      <c r="AE44" s="237"/>
      <c r="AF44" s="235"/>
      <c r="AG44" s="236"/>
      <c r="AH44" s="236"/>
      <c r="AI44" s="236"/>
      <c r="AJ44" s="236"/>
      <c r="AK44" s="236"/>
      <c r="AL44" s="236"/>
      <c r="AM44" s="236"/>
      <c r="AN44" s="236"/>
      <c r="AO44" s="236"/>
      <c r="AP44" s="236"/>
      <c r="AQ44" s="236"/>
      <c r="AR44" s="236"/>
      <c r="AS44" s="236"/>
      <c r="AT44" s="236"/>
      <c r="AU44" s="236"/>
      <c r="AV44" s="236"/>
      <c r="AW44" s="236"/>
      <c r="AX44" s="236"/>
      <c r="AY44" s="236"/>
      <c r="AZ44" s="236"/>
      <c r="BA44" s="236"/>
      <c r="BB44" s="236"/>
      <c r="BC44" s="236"/>
      <c r="BD44" s="236"/>
      <c r="BE44" s="236"/>
      <c r="BF44" s="236"/>
      <c r="BG44" s="236"/>
      <c r="BH44" s="236"/>
      <c r="BI44" s="237"/>
      <c r="BJ44" s="236"/>
      <c r="BK44" s="238"/>
    </row>
    <row r="45" spans="1:63" ht="15" customHeight="1" x14ac:dyDescent="0.25">
      <c r="A45" s="234"/>
      <c r="B45" s="235"/>
      <c r="C45" s="236"/>
      <c r="D45" s="236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  <c r="AA45" s="236"/>
      <c r="AB45" s="236"/>
      <c r="AC45" s="236"/>
      <c r="AD45" s="236"/>
      <c r="AE45" s="237"/>
      <c r="AF45" s="235"/>
      <c r="AG45" s="236"/>
      <c r="AH45" s="236"/>
      <c r="AI45" s="236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6"/>
      <c r="BH45" s="236"/>
      <c r="BI45" s="237"/>
      <c r="BJ45" s="236"/>
      <c r="BK45" s="238"/>
    </row>
    <row r="46" spans="1:63" ht="15" customHeight="1" x14ac:dyDescent="0.25">
      <c r="A46" s="234"/>
      <c r="B46" s="235"/>
      <c r="C46" s="236"/>
      <c r="D46" s="236"/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6"/>
      <c r="AC46" s="236"/>
      <c r="AD46" s="236"/>
      <c r="AE46" s="237"/>
      <c r="AF46" s="235"/>
      <c r="AG46" s="236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  <c r="AR46" s="236"/>
      <c r="AS46" s="236"/>
      <c r="AT46" s="236"/>
      <c r="AU46" s="236"/>
      <c r="AV46" s="236"/>
      <c r="AW46" s="236"/>
      <c r="AX46" s="236"/>
      <c r="AY46" s="236"/>
      <c r="AZ46" s="236"/>
      <c r="BA46" s="236"/>
      <c r="BB46" s="236"/>
      <c r="BC46" s="236"/>
      <c r="BD46" s="236"/>
      <c r="BE46" s="236"/>
      <c r="BF46" s="236"/>
      <c r="BG46" s="236"/>
      <c r="BH46" s="236"/>
      <c r="BI46" s="237"/>
      <c r="BJ46" s="236"/>
      <c r="BK46" s="238"/>
    </row>
    <row r="47" spans="1:63" ht="15" customHeight="1" x14ac:dyDescent="0.25">
      <c r="A47" s="234"/>
      <c r="B47" s="235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  <c r="X47" s="236"/>
      <c r="Y47" s="236"/>
      <c r="Z47" s="236"/>
      <c r="AA47" s="236"/>
      <c r="AB47" s="236"/>
      <c r="AC47" s="236"/>
      <c r="AD47" s="236"/>
      <c r="AE47" s="237"/>
      <c r="AF47" s="235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6"/>
      <c r="BH47" s="236"/>
      <c r="BI47" s="237"/>
      <c r="BJ47" s="236"/>
      <c r="BK47" s="238"/>
    </row>
    <row r="48" spans="1:63" ht="15" customHeight="1" x14ac:dyDescent="0.25">
      <c r="A48" s="234"/>
      <c r="B48" s="235"/>
      <c r="C48" s="236"/>
      <c r="D48" s="236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  <c r="X48" s="236"/>
      <c r="Y48" s="236"/>
      <c r="Z48" s="236"/>
      <c r="AA48" s="236"/>
      <c r="AB48" s="236"/>
      <c r="AC48" s="236"/>
      <c r="AD48" s="236"/>
      <c r="AE48" s="237"/>
      <c r="AF48" s="235"/>
      <c r="AG48" s="236"/>
      <c r="AH48" s="236"/>
      <c r="AI48" s="236"/>
      <c r="AJ48" s="236"/>
      <c r="AK48" s="236"/>
      <c r="AL48" s="236"/>
      <c r="AM48" s="236"/>
      <c r="AN48" s="236"/>
      <c r="AO48" s="236"/>
      <c r="AP48" s="236"/>
      <c r="AQ48" s="236"/>
      <c r="AR48" s="236"/>
      <c r="AS48" s="236"/>
      <c r="AT48" s="236"/>
      <c r="AU48" s="236"/>
      <c r="AV48" s="236"/>
      <c r="AW48" s="236"/>
      <c r="AX48" s="236"/>
      <c r="AY48" s="236"/>
      <c r="AZ48" s="236"/>
      <c r="BA48" s="236"/>
      <c r="BB48" s="236"/>
      <c r="BC48" s="236"/>
      <c r="BD48" s="236"/>
      <c r="BE48" s="236"/>
      <c r="BF48" s="236"/>
      <c r="BG48" s="236"/>
      <c r="BH48" s="236"/>
      <c r="BI48" s="237"/>
      <c r="BJ48" s="236"/>
      <c r="BK48" s="238"/>
    </row>
    <row r="49" spans="1:63" ht="15" customHeight="1" x14ac:dyDescent="0.25">
      <c r="A49" s="234"/>
      <c r="B49" s="235"/>
      <c r="C49" s="236"/>
      <c r="D49" s="236"/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236"/>
      <c r="X49" s="236"/>
      <c r="Y49" s="236"/>
      <c r="Z49" s="236"/>
      <c r="AA49" s="236"/>
      <c r="AB49" s="236"/>
      <c r="AC49" s="236"/>
      <c r="AD49" s="236"/>
      <c r="AE49" s="236"/>
      <c r="AF49" s="235"/>
      <c r="AG49" s="236"/>
      <c r="AH49" s="236"/>
      <c r="AI49" s="236"/>
      <c r="AJ49" s="236"/>
      <c r="AK49" s="236"/>
      <c r="AL49" s="236"/>
      <c r="AM49" s="236"/>
      <c r="AN49" s="236"/>
      <c r="AO49" s="236"/>
      <c r="AP49" s="236"/>
      <c r="AQ49" s="236"/>
      <c r="AR49" s="236"/>
      <c r="AS49" s="236"/>
      <c r="AT49" s="236"/>
      <c r="AU49" s="236"/>
      <c r="AV49" s="236"/>
      <c r="AW49" s="236"/>
      <c r="AX49" s="236"/>
      <c r="AY49" s="236"/>
      <c r="AZ49" s="236"/>
      <c r="BA49" s="236"/>
      <c r="BB49" s="236"/>
      <c r="BC49" s="236"/>
      <c r="BD49" s="236"/>
      <c r="BE49" s="236"/>
      <c r="BF49" s="236"/>
      <c r="BG49" s="236"/>
      <c r="BH49" s="236"/>
      <c r="BI49" s="237"/>
      <c r="BJ49" s="236"/>
      <c r="BK49" s="238"/>
    </row>
    <row r="50" spans="1:63" ht="15" customHeight="1" x14ac:dyDescent="0.25">
      <c r="A50" s="234"/>
      <c r="B50" s="235"/>
      <c r="C50" s="236"/>
      <c r="D50" s="236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  <c r="Z50" s="236"/>
      <c r="AA50" s="236"/>
      <c r="AB50" s="236"/>
      <c r="AC50" s="236"/>
      <c r="AD50" s="236"/>
      <c r="AE50" s="236"/>
      <c r="AF50" s="235"/>
      <c r="AG50" s="236"/>
      <c r="AH50" s="236"/>
      <c r="AI50" s="236"/>
      <c r="AJ50" s="236"/>
      <c r="AK50" s="236"/>
      <c r="AL50" s="236"/>
      <c r="AM50" s="236"/>
      <c r="AN50" s="236"/>
      <c r="AO50" s="236"/>
      <c r="AP50" s="236"/>
      <c r="AQ50" s="236"/>
      <c r="AR50" s="236"/>
      <c r="AS50" s="236"/>
      <c r="AT50" s="236"/>
      <c r="AU50" s="236"/>
      <c r="AV50" s="236"/>
      <c r="AW50" s="236"/>
      <c r="AX50" s="236"/>
      <c r="AY50" s="236"/>
      <c r="AZ50" s="236"/>
      <c r="BA50" s="236"/>
      <c r="BB50" s="236"/>
      <c r="BC50" s="236"/>
      <c r="BD50" s="236"/>
      <c r="BE50" s="236"/>
      <c r="BF50" s="236"/>
      <c r="BG50" s="236"/>
      <c r="BH50" s="236"/>
      <c r="BI50" s="237"/>
      <c r="BJ50" s="236"/>
      <c r="BK50" s="238"/>
    </row>
    <row r="51" spans="1:63" ht="15" customHeight="1" x14ac:dyDescent="0.25">
      <c r="A51" s="234"/>
      <c r="B51" s="235"/>
      <c r="C51" s="236"/>
      <c r="D51" s="236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5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  <c r="BC51" s="236"/>
      <c r="BD51" s="236"/>
      <c r="BE51" s="236"/>
      <c r="BF51" s="236"/>
      <c r="BG51" s="236"/>
      <c r="BH51" s="236"/>
      <c r="BI51" s="237"/>
      <c r="BJ51" s="236"/>
      <c r="BK51" s="238"/>
    </row>
    <row r="52" spans="1:63" ht="15" customHeight="1" x14ac:dyDescent="0.25">
      <c r="A52" s="234"/>
      <c r="B52" s="235"/>
      <c r="C52" s="236"/>
      <c r="D52" s="236"/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  <c r="AA52" s="236"/>
      <c r="AB52" s="236"/>
      <c r="AC52" s="236"/>
      <c r="AD52" s="236"/>
      <c r="AE52" s="236"/>
      <c r="AF52" s="235"/>
      <c r="AG52" s="236"/>
      <c r="AH52" s="236"/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6"/>
      <c r="BH52" s="236"/>
      <c r="BI52" s="237"/>
      <c r="BJ52" s="236"/>
      <c r="BK52" s="238"/>
    </row>
    <row r="53" spans="1:63" ht="15" customHeight="1" x14ac:dyDescent="0.25">
      <c r="A53" s="234"/>
      <c r="B53" s="235"/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5"/>
      <c r="AG53" s="236"/>
      <c r="AH53" s="236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  <c r="AS53" s="236"/>
      <c r="AT53" s="236"/>
      <c r="AU53" s="236"/>
      <c r="AV53" s="236"/>
      <c r="AW53" s="236"/>
      <c r="AX53" s="236"/>
      <c r="AY53" s="236"/>
      <c r="AZ53" s="236"/>
      <c r="BA53" s="236"/>
      <c r="BB53" s="236"/>
      <c r="BC53" s="236"/>
      <c r="BD53" s="236"/>
      <c r="BE53" s="236"/>
      <c r="BF53" s="236"/>
      <c r="BG53" s="236"/>
      <c r="BH53" s="236"/>
      <c r="BI53" s="237"/>
      <c r="BJ53" s="236"/>
      <c r="BK53" s="238"/>
    </row>
    <row r="54" spans="1:63" ht="15" customHeight="1" x14ac:dyDescent="0.25">
      <c r="A54" s="234"/>
      <c r="B54" s="235"/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  <c r="AC54" s="236"/>
      <c r="AD54" s="236"/>
      <c r="AE54" s="236"/>
      <c r="AF54" s="235"/>
      <c r="AG54" s="236"/>
      <c r="AH54" s="236"/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  <c r="AS54" s="236"/>
      <c r="AT54" s="236"/>
      <c r="AU54" s="236"/>
      <c r="AV54" s="236"/>
      <c r="AW54" s="236"/>
      <c r="AX54" s="236"/>
      <c r="AY54" s="236"/>
      <c r="AZ54" s="236"/>
      <c r="BA54" s="236"/>
      <c r="BB54" s="236"/>
      <c r="BC54" s="236"/>
      <c r="BD54" s="236"/>
      <c r="BE54" s="236"/>
      <c r="BF54" s="236"/>
      <c r="BG54" s="236"/>
      <c r="BH54" s="236"/>
      <c r="BI54" s="237"/>
      <c r="BJ54" s="236"/>
      <c r="BK54" s="238"/>
    </row>
    <row r="55" spans="1:63" ht="15" customHeight="1" x14ac:dyDescent="0.25">
      <c r="A55" s="234"/>
      <c r="B55" s="235"/>
      <c r="C55" s="236"/>
      <c r="D55" s="236"/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5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36"/>
      <c r="AY55" s="236"/>
      <c r="AZ55" s="236"/>
      <c r="BA55" s="236"/>
      <c r="BB55" s="236"/>
      <c r="BC55" s="236"/>
      <c r="BD55" s="236"/>
      <c r="BE55" s="236"/>
      <c r="BF55" s="236"/>
      <c r="BG55" s="236"/>
      <c r="BH55" s="236"/>
      <c r="BI55" s="237"/>
      <c r="BJ55" s="236"/>
      <c r="BK55" s="238"/>
    </row>
    <row r="56" spans="1:63" ht="15" customHeight="1" x14ac:dyDescent="0.25">
      <c r="A56" s="234"/>
      <c r="B56" s="235"/>
      <c r="C56" s="236"/>
      <c r="D56" s="236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5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6"/>
      <c r="AU56" s="236"/>
      <c r="AV56" s="236"/>
      <c r="AW56" s="236"/>
      <c r="AX56" s="236"/>
      <c r="AY56" s="236"/>
      <c r="AZ56" s="236"/>
      <c r="BA56" s="236"/>
      <c r="BB56" s="236"/>
      <c r="BC56" s="236"/>
      <c r="BD56" s="236"/>
      <c r="BE56" s="236"/>
      <c r="BF56" s="236"/>
      <c r="BG56" s="236"/>
      <c r="BH56" s="236"/>
      <c r="BI56" s="237"/>
      <c r="BJ56" s="236"/>
      <c r="BK56" s="238"/>
    </row>
    <row r="57" spans="1:63" ht="15" customHeight="1" x14ac:dyDescent="0.25">
      <c r="A57" s="234"/>
      <c r="B57" s="235"/>
      <c r="C57" s="236"/>
      <c r="D57" s="236"/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5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6"/>
      <c r="AU57" s="236"/>
      <c r="AV57" s="236"/>
      <c r="AW57" s="236"/>
      <c r="AX57" s="236"/>
      <c r="AY57" s="236"/>
      <c r="AZ57" s="236"/>
      <c r="BA57" s="236"/>
      <c r="BB57" s="236"/>
      <c r="BC57" s="236"/>
      <c r="BD57" s="236"/>
      <c r="BE57" s="236"/>
      <c r="BF57" s="236"/>
      <c r="BG57" s="236"/>
      <c r="BH57" s="236"/>
      <c r="BI57" s="237"/>
      <c r="BJ57" s="236"/>
      <c r="BK57" s="238"/>
    </row>
    <row r="58" spans="1:63" ht="15" customHeight="1" x14ac:dyDescent="0.25">
      <c r="A58" s="234"/>
      <c r="B58" s="235"/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5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36"/>
      <c r="AT58" s="236"/>
      <c r="AU58" s="236"/>
      <c r="AV58" s="236"/>
      <c r="AW58" s="236"/>
      <c r="AX58" s="236"/>
      <c r="AY58" s="236"/>
      <c r="AZ58" s="236"/>
      <c r="BA58" s="236"/>
      <c r="BB58" s="236"/>
      <c r="BC58" s="236"/>
      <c r="BD58" s="236"/>
      <c r="BE58" s="236"/>
      <c r="BF58" s="236"/>
      <c r="BG58" s="236"/>
      <c r="BH58" s="236"/>
      <c r="BI58" s="237"/>
      <c r="BJ58" s="236"/>
      <c r="BK58" s="238"/>
    </row>
    <row r="59" spans="1:63" ht="15" customHeight="1" x14ac:dyDescent="0.25">
      <c r="A59" s="234"/>
      <c r="B59" s="235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  <c r="Z59" s="236"/>
      <c r="AA59" s="236"/>
      <c r="AB59" s="236"/>
      <c r="AC59" s="236"/>
      <c r="AD59" s="236"/>
      <c r="AE59" s="236"/>
      <c r="AF59" s="235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6"/>
      <c r="AU59" s="236"/>
      <c r="AV59" s="236"/>
      <c r="AW59" s="236"/>
      <c r="AX59" s="236"/>
      <c r="AY59" s="236"/>
      <c r="AZ59" s="236"/>
      <c r="BA59" s="236"/>
      <c r="BB59" s="236"/>
      <c r="BC59" s="236"/>
      <c r="BD59" s="236"/>
      <c r="BE59" s="236"/>
      <c r="BF59" s="236"/>
      <c r="BG59" s="236"/>
      <c r="BH59" s="236"/>
      <c r="BI59" s="237"/>
      <c r="BJ59" s="236"/>
      <c r="BK59" s="238"/>
    </row>
    <row r="60" spans="1:63" ht="15" customHeight="1" x14ac:dyDescent="0.25">
      <c r="A60" s="234"/>
      <c r="B60" s="235"/>
      <c r="C60" s="236"/>
      <c r="D60" s="236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  <c r="AB60" s="236"/>
      <c r="AC60" s="236"/>
      <c r="AD60" s="236"/>
      <c r="AE60" s="236"/>
      <c r="AF60" s="235"/>
      <c r="AG60" s="236"/>
      <c r="AH60" s="236"/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  <c r="AS60" s="236"/>
      <c r="AT60" s="236"/>
      <c r="AU60" s="236"/>
      <c r="AV60" s="236"/>
      <c r="AW60" s="236"/>
      <c r="AX60" s="236"/>
      <c r="AY60" s="236"/>
      <c r="AZ60" s="236"/>
      <c r="BA60" s="236"/>
      <c r="BB60" s="236"/>
      <c r="BC60" s="236"/>
      <c r="BD60" s="236"/>
      <c r="BE60" s="236"/>
      <c r="BF60" s="236"/>
      <c r="BG60" s="236"/>
      <c r="BH60" s="236"/>
      <c r="BI60" s="237"/>
      <c r="BJ60" s="236"/>
      <c r="BK60" s="238"/>
    </row>
    <row r="61" spans="1:63" ht="15" customHeight="1" x14ac:dyDescent="0.25">
      <c r="A61" s="234"/>
      <c r="B61" s="235"/>
      <c r="C61" s="236"/>
      <c r="D61" s="236"/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236"/>
      <c r="X61" s="236"/>
      <c r="Y61" s="236"/>
      <c r="Z61" s="236"/>
      <c r="AA61" s="236"/>
      <c r="AB61" s="236"/>
      <c r="AC61" s="236"/>
      <c r="AD61" s="236"/>
      <c r="AE61" s="236"/>
      <c r="AF61" s="235"/>
      <c r="AG61" s="236"/>
      <c r="AH61" s="236"/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  <c r="AS61" s="236"/>
      <c r="AT61" s="236"/>
      <c r="AU61" s="236"/>
      <c r="AV61" s="236"/>
      <c r="AW61" s="236"/>
      <c r="AX61" s="236"/>
      <c r="AY61" s="236"/>
      <c r="AZ61" s="236"/>
      <c r="BA61" s="236"/>
      <c r="BB61" s="236"/>
      <c r="BC61" s="236"/>
      <c r="BD61" s="236"/>
      <c r="BE61" s="236"/>
      <c r="BF61" s="236"/>
      <c r="BG61" s="236"/>
      <c r="BH61" s="236"/>
      <c r="BI61" s="237"/>
      <c r="BJ61" s="236"/>
      <c r="BK61" s="238"/>
    </row>
    <row r="62" spans="1:63" ht="15" customHeight="1" x14ac:dyDescent="0.25">
      <c r="A62" s="239"/>
      <c r="B62" s="240"/>
      <c r="C62" s="239"/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41"/>
      <c r="AF62" s="240"/>
      <c r="AG62" s="239"/>
      <c r="AH62" s="239"/>
      <c r="AI62" s="239"/>
      <c r="AJ62" s="239"/>
      <c r="AK62" s="239"/>
      <c r="AL62" s="239"/>
      <c r="AM62" s="239"/>
      <c r="AN62" s="239"/>
      <c r="AO62" s="239"/>
      <c r="AP62" s="239"/>
      <c r="AQ62" s="239"/>
      <c r="AR62" s="239"/>
      <c r="AS62" s="239"/>
      <c r="AT62" s="239"/>
      <c r="AU62" s="239"/>
      <c r="AV62" s="239"/>
      <c r="AW62" s="239"/>
      <c r="AX62" s="239"/>
      <c r="AY62" s="239"/>
      <c r="AZ62" s="239"/>
      <c r="BA62" s="239"/>
      <c r="BB62" s="239"/>
      <c r="BC62" s="239"/>
      <c r="BD62" s="239"/>
      <c r="BE62" s="239"/>
      <c r="BF62" s="239"/>
      <c r="BG62" s="239"/>
      <c r="BH62" s="239"/>
      <c r="BI62" s="241"/>
      <c r="BJ62" s="239"/>
      <c r="BK62" s="242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48" customWidth="1"/>
    <col min="66" max="16384" width="2.77734375" style="148"/>
  </cols>
  <sheetData>
    <row r="1" spans="1:65" ht="24.95" customHeight="1" x14ac:dyDescent="0.25">
      <c r="A1" s="142" t="s">
        <v>35</v>
      </c>
      <c r="B1" s="143"/>
      <c r="C1" s="143"/>
      <c r="D1" s="143"/>
      <c r="E1" s="143"/>
      <c r="F1" s="143"/>
      <c r="G1" s="143"/>
      <c r="H1" s="143"/>
      <c r="I1" s="143"/>
      <c r="J1" s="144"/>
      <c r="K1" s="142" t="s">
        <v>36</v>
      </c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4"/>
      <c r="W1" s="145" t="str">
        <f>IF(表紙!W1="","",表紙!W1)</f>
        <v>基本設計書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7"/>
      <c r="AP1" s="142" t="s">
        <v>38</v>
      </c>
      <c r="AQ1" s="143"/>
      <c r="AR1" s="143"/>
      <c r="AS1" s="144"/>
      <c r="AT1" s="142" t="s">
        <v>39</v>
      </c>
      <c r="AU1" s="143"/>
      <c r="AV1" s="143"/>
      <c r="AW1" s="143"/>
      <c r="AX1" s="144"/>
      <c r="AY1" s="142" t="s">
        <v>40</v>
      </c>
      <c r="AZ1" s="143"/>
      <c r="BA1" s="143"/>
      <c r="BB1" s="144"/>
      <c r="BC1" s="142" t="s">
        <v>41</v>
      </c>
      <c r="BD1" s="143"/>
      <c r="BE1" s="143"/>
      <c r="BF1" s="143"/>
      <c r="BG1" s="144"/>
      <c r="BH1" s="142" t="s">
        <v>42</v>
      </c>
      <c r="BI1" s="143"/>
      <c r="BJ1" s="143"/>
      <c r="BK1" s="144"/>
    </row>
    <row r="2" spans="1:65" ht="15" customHeight="1" x14ac:dyDescent="0.25">
      <c r="A2" s="151" t="str">
        <f>IF(表紙!A2="","",表紙!A2)</f>
        <v>POSサーバー</v>
      </c>
      <c r="B2" s="149"/>
      <c r="C2" s="149"/>
      <c r="D2" s="149"/>
      <c r="E2" s="149"/>
      <c r="F2" s="149"/>
      <c r="G2" s="149"/>
      <c r="H2" s="149"/>
      <c r="I2" s="149"/>
      <c r="J2" s="150"/>
      <c r="K2" s="151" t="str">
        <f>IF(表紙!K2="","",表紙!K2)</f>
        <v>POSサーバ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5" ht="1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3"/>
      <c r="K3" s="161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5" ht="24.95" customHeight="1" x14ac:dyDescent="0.25">
      <c r="A4" s="142" t="s">
        <v>44</v>
      </c>
      <c r="B4" s="143"/>
      <c r="C4" s="143"/>
      <c r="D4" s="143"/>
      <c r="E4" s="143"/>
      <c r="F4" s="143"/>
      <c r="G4" s="144"/>
      <c r="H4" s="173" t="str">
        <f>IF(表紙!H4="","",表紙!H4)</f>
        <v>41_名称マスタ設定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2" t="s">
        <v>45</v>
      </c>
      <c r="V4" s="143"/>
      <c r="W4" s="143"/>
      <c r="X4" s="143"/>
      <c r="Y4" s="144"/>
      <c r="Z4" s="173" t="str">
        <f>IF(表紙!Z4="","",表紙!Z4)</f>
        <v>概要設計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機能概要説明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5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5" ht="15" customHeight="1" x14ac:dyDescent="0.25">
      <c r="A6" s="179"/>
      <c r="BK6" s="180"/>
    </row>
    <row r="7" spans="1:65" ht="15" customHeight="1" x14ac:dyDescent="0.25">
      <c r="A7" s="179"/>
      <c r="C7" s="148" t="s">
        <v>31</v>
      </c>
      <c r="K7" s="243"/>
      <c r="BK7" s="180"/>
      <c r="BM7" s="12">
        <f t="shared" ref="BM7:BM19" si="0">IF(BM6=50,1,BM6+1)</f>
        <v>1</v>
      </c>
    </row>
    <row r="8" spans="1:65" ht="15" customHeight="1" x14ac:dyDescent="0.25">
      <c r="A8" s="179"/>
      <c r="D8" s="244" t="s">
        <v>72</v>
      </c>
      <c r="K8" s="243"/>
      <c r="BK8" s="180"/>
      <c r="BM8" s="12">
        <f t="shared" si="0"/>
        <v>2</v>
      </c>
    </row>
    <row r="9" spans="1:65" ht="15" customHeight="1" x14ac:dyDescent="0.25">
      <c r="A9" s="179"/>
      <c r="D9" s="244"/>
      <c r="E9" s="244" t="s">
        <v>52</v>
      </c>
      <c r="K9" s="243"/>
      <c r="BK9" s="180"/>
      <c r="BM9" s="12">
        <f t="shared" si="0"/>
        <v>3</v>
      </c>
    </row>
    <row r="10" spans="1:65" ht="15" customHeight="1" x14ac:dyDescent="0.25">
      <c r="A10" s="179"/>
      <c r="D10" s="244"/>
      <c r="E10" s="244" t="s">
        <v>32</v>
      </c>
      <c r="K10" s="243"/>
      <c r="BK10" s="180"/>
      <c r="BM10" s="12">
        <f t="shared" si="0"/>
        <v>4</v>
      </c>
    </row>
    <row r="11" spans="1:65" ht="15" customHeight="1" x14ac:dyDescent="0.25">
      <c r="A11" s="179"/>
      <c r="D11" s="244"/>
      <c r="E11" s="244" t="s">
        <v>33</v>
      </c>
      <c r="K11" s="243"/>
      <c r="BK11" s="180"/>
      <c r="BM11" s="12">
        <f t="shared" si="0"/>
        <v>5</v>
      </c>
    </row>
    <row r="12" spans="1:65" s="243" customFormat="1" ht="15" customHeight="1" x14ac:dyDescent="0.25">
      <c r="A12" s="245"/>
      <c r="BK12" s="246"/>
      <c r="BM12" s="12">
        <f t="shared" si="0"/>
        <v>6</v>
      </c>
    </row>
    <row r="13" spans="1:65" s="243" customFormat="1" ht="15" customHeight="1" x14ac:dyDescent="0.25">
      <c r="A13" s="245"/>
      <c r="BK13" s="246"/>
      <c r="BM13" s="12">
        <f t="shared" si="0"/>
        <v>7</v>
      </c>
    </row>
    <row r="14" spans="1:65" s="243" customFormat="1" ht="15" customHeight="1" x14ac:dyDescent="0.25">
      <c r="A14" s="245"/>
      <c r="BK14" s="246"/>
      <c r="BM14" s="12">
        <f t="shared" si="0"/>
        <v>8</v>
      </c>
    </row>
    <row r="15" spans="1:65" s="243" customFormat="1" ht="15" customHeight="1" x14ac:dyDescent="0.25">
      <c r="A15" s="245"/>
      <c r="BK15" s="246"/>
      <c r="BM15" s="12">
        <f t="shared" si="0"/>
        <v>9</v>
      </c>
    </row>
    <row r="16" spans="1:65" s="243" customFormat="1" ht="15" customHeight="1" x14ac:dyDescent="0.25">
      <c r="A16" s="245"/>
      <c r="BK16" s="246"/>
      <c r="BM16" s="12">
        <f t="shared" si="0"/>
        <v>10</v>
      </c>
    </row>
    <row r="17" spans="1:65" s="243" customFormat="1" ht="15" customHeight="1" x14ac:dyDescent="0.25">
      <c r="A17" s="245"/>
      <c r="BK17" s="246"/>
      <c r="BM17" s="12">
        <f t="shared" si="0"/>
        <v>11</v>
      </c>
    </row>
    <row r="18" spans="1:65" s="243" customFormat="1" ht="15" customHeight="1" x14ac:dyDescent="0.25">
      <c r="A18" s="245"/>
      <c r="BK18" s="246"/>
      <c r="BM18" s="12">
        <f t="shared" si="0"/>
        <v>12</v>
      </c>
    </row>
    <row r="19" spans="1:65" s="243" customFormat="1" ht="15" customHeight="1" x14ac:dyDescent="0.25">
      <c r="A19" s="245"/>
      <c r="BK19" s="246"/>
      <c r="BM19" s="12">
        <f t="shared" si="0"/>
        <v>13</v>
      </c>
    </row>
    <row r="20" spans="1:65" s="243" customFormat="1" ht="15" customHeight="1" x14ac:dyDescent="0.25">
      <c r="A20" s="245"/>
      <c r="BK20" s="246"/>
      <c r="BM20" s="12">
        <f t="shared" ref="BM13:BM44" si="1">IF(BM19=50,1,BM19+1)</f>
        <v>14</v>
      </c>
    </row>
    <row r="21" spans="1:65" s="243" customFormat="1" ht="15" customHeight="1" x14ac:dyDescent="0.25">
      <c r="A21" s="245"/>
      <c r="BK21" s="246"/>
      <c r="BM21" s="12">
        <f t="shared" si="1"/>
        <v>15</v>
      </c>
    </row>
    <row r="22" spans="1:65" s="243" customFormat="1" ht="15" customHeight="1" x14ac:dyDescent="0.25">
      <c r="A22" s="245"/>
      <c r="BK22" s="246"/>
      <c r="BM22" s="12">
        <f t="shared" si="1"/>
        <v>16</v>
      </c>
    </row>
    <row r="23" spans="1:65" s="243" customFormat="1" ht="15" customHeight="1" x14ac:dyDescent="0.25">
      <c r="A23" s="245"/>
      <c r="BK23" s="246"/>
      <c r="BM23" s="12">
        <f t="shared" si="1"/>
        <v>17</v>
      </c>
    </row>
    <row r="24" spans="1:65" s="243" customFormat="1" ht="15" customHeight="1" x14ac:dyDescent="0.25">
      <c r="A24" s="245"/>
      <c r="BK24" s="246"/>
      <c r="BM24" s="12">
        <f t="shared" si="1"/>
        <v>18</v>
      </c>
    </row>
    <row r="25" spans="1:65" s="243" customFormat="1" ht="15" customHeight="1" x14ac:dyDescent="0.25">
      <c r="A25" s="245"/>
      <c r="BK25" s="246"/>
      <c r="BM25" s="12">
        <f t="shared" si="1"/>
        <v>19</v>
      </c>
    </row>
    <row r="26" spans="1:65" s="243" customFormat="1" ht="15" customHeight="1" x14ac:dyDescent="0.25">
      <c r="A26" s="245"/>
      <c r="BK26" s="246"/>
      <c r="BM26" s="12">
        <f t="shared" si="1"/>
        <v>20</v>
      </c>
    </row>
    <row r="27" spans="1:65" s="243" customFormat="1" ht="15" customHeight="1" x14ac:dyDescent="0.25">
      <c r="A27" s="245"/>
      <c r="BK27" s="246"/>
      <c r="BM27" s="12">
        <f t="shared" si="1"/>
        <v>21</v>
      </c>
    </row>
    <row r="28" spans="1:65" s="243" customFormat="1" ht="15" customHeight="1" x14ac:dyDescent="0.25">
      <c r="A28" s="245"/>
      <c r="BK28" s="246"/>
      <c r="BM28" s="12">
        <f t="shared" si="1"/>
        <v>22</v>
      </c>
    </row>
    <row r="29" spans="1:65" s="243" customFormat="1" ht="15" customHeight="1" x14ac:dyDescent="0.25">
      <c r="A29" s="245"/>
      <c r="BK29" s="246"/>
      <c r="BM29" s="12">
        <f t="shared" si="1"/>
        <v>23</v>
      </c>
    </row>
    <row r="30" spans="1:65" s="243" customFormat="1" ht="15" customHeight="1" x14ac:dyDescent="0.25">
      <c r="A30" s="245"/>
      <c r="BK30" s="246"/>
      <c r="BM30" s="12">
        <f t="shared" si="1"/>
        <v>24</v>
      </c>
    </row>
    <row r="31" spans="1:65" s="243" customFormat="1" ht="15" customHeight="1" x14ac:dyDescent="0.25">
      <c r="A31" s="245"/>
      <c r="BK31" s="246"/>
      <c r="BM31" s="12">
        <f t="shared" si="1"/>
        <v>25</v>
      </c>
    </row>
    <row r="32" spans="1:65" s="243" customFormat="1" ht="15" customHeight="1" x14ac:dyDescent="0.25">
      <c r="A32" s="245"/>
      <c r="BK32" s="246"/>
      <c r="BM32" s="12">
        <f t="shared" si="1"/>
        <v>26</v>
      </c>
    </row>
    <row r="33" spans="1:65" s="243" customFormat="1" ht="15" customHeight="1" x14ac:dyDescent="0.25">
      <c r="A33" s="245"/>
      <c r="BK33" s="246"/>
      <c r="BM33" s="12">
        <f t="shared" si="1"/>
        <v>27</v>
      </c>
    </row>
    <row r="34" spans="1:65" s="243" customFormat="1" ht="15" customHeight="1" x14ac:dyDescent="0.25">
      <c r="A34" s="245"/>
      <c r="BK34" s="246"/>
      <c r="BM34" s="12">
        <f t="shared" si="1"/>
        <v>28</v>
      </c>
    </row>
    <row r="35" spans="1:65" s="243" customFormat="1" ht="15" customHeight="1" x14ac:dyDescent="0.25">
      <c r="A35" s="245"/>
      <c r="BK35" s="246"/>
      <c r="BM35" s="12">
        <f t="shared" si="1"/>
        <v>29</v>
      </c>
    </row>
    <row r="36" spans="1:65" s="243" customFormat="1" ht="15" customHeight="1" x14ac:dyDescent="0.25">
      <c r="A36" s="245"/>
      <c r="BK36" s="246"/>
      <c r="BM36" s="12">
        <f t="shared" si="1"/>
        <v>30</v>
      </c>
    </row>
    <row r="37" spans="1:65" s="243" customFormat="1" ht="15" customHeight="1" x14ac:dyDescent="0.25">
      <c r="A37" s="245"/>
      <c r="BK37" s="246"/>
      <c r="BM37" s="12">
        <f t="shared" si="1"/>
        <v>31</v>
      </c>
    </row>
    <row r="38" spans="1:65" s="243" customFormat="1" ht="15" customHeight="1" x14ac:dyDescent="0.25">
      <c r="A38" s="245"/>
      <c r="BK38" s="246"/>
      <c r="BM38" s="12">
        <f t="shared" si="1"/>
        <v>32</v>
      </c>
    </row>
    <row r="39" spans="1:65" s="243" customFormat="1" ht="15" customHeight="1" x14ac:dyDescent="0.25">
      <c r="A39" s="245"/>
      <c r="BK39" s="246"/>
      <c r="BM39" s="12">
        <f t="shared" si="1"/>
        <v>33</v>
      </c>
    </row>
    <row r="40" spans="1:65" s="243" customFormat="1" ht="15" customHeight="1" x14ac:dyDescent="0.25">
      <c r="A40" s="245"/>
      <c r="BK40" s="246"/>
      <c r="BM40" s="12">
        <f t="shared" si="1"/>
        <v>34</v>
      </c>
    </row>
    <row r="41" spans="1:65" s="243" customFormat="1" ht="15" customHeight="1" x14ac:dyDescent="0.25">
      <c r="A41" s="245"/>
      <c r="BK41" s="246"/>
      <c r="BM41" s="12">
        <f t="shared" si="1"/>
        <v>35</v>
      </c>
    </row>
    <row r="42" spans="1:65" s="243" customFormat="1" ht="15" customHeight="1" x14ac:dyDescent="0.25">
      <c r="A42" s="245"/>
      <c r="BK42" s="246"/>
      <c r="BM42" s="12">
        <f t="shared" si="1"/>
        <v>36</v>
      </c>
    </row>
    <row r="43" spans="1:65" s="243" customFormat="1" ht="15" customHeight="1" x14ac:dyDescent="0.25">
      <c r="A43" s="245"/>
      <c r="BK43" s="246"/>
      <c r="BM43" s="12">
        <f t="shared" si="1"/>
        <v>37</v>
      </c>
    </row>
    <row r="44" spans="1:65" s="243" customFormat="1" ht="15" customHeight="1" x14ac:dyDescent="0.25">
      <c r="A44" s="245"/>
      <c r="BK44" s="246"/>
      <c r="BM44" s="12">
        <f t="shared" si="1"/>
        <v>38</v>
      </c>
    </row>
    <row r="45" spans="1:65" s="243" customFormat="1" ht="15" customHeight="1" x14ac:dyDescent="0.25">
      <c r="A45" s="245"/>
      <c r="BK45" s="246"/>
      <c r="BM45" s="12">
        <f t="shared" ref="BM45:BM57" si="2">IF(BM44=50,1,BM44+1)</f>
        <v>39</v>
      </c>
    </row>
    <row r="46" spans="1:65" s="243" customFormat="1" ht="15" customHeight="1" x14ac:dyDescent="0.25">
      <c r="A46" s="245"/>
      <c r="BK46" s="246"/>
      <c r="BM46" s="12">
        <f t="shared" si="2"/>
        <v>40</v>
      </c>
    </row>
    <row r="47" spans="1:65" s="243" customFormat="1" ht="15" customHeight="1" x14ac:dyDescent="0.25">
      <c r="A47" s="245"/>
      <c r="BK47" s="246"/>
      <c r="BM47" s="12">
        <f t="shared" si="2"/>
        <v>41</v>
      </c>
    </row>
    <row r="48" spans="1:65" s="243" customFormat="1" ht="15" customHeight="1" x14ac:dyDescent="0.25">
      <c r="A48" s="245"/>
      <c r="BK48" s="246"/>
      <c r="BM48" s="12">
        <f t="shared" si="2"/>
        <v>42</v>
      </c>
    </row>
    <row r="49" spans="1:65" s="243" customFormat="1" ht="15" customHeight="1" x14ac:dyDescent="0.25">
      <c r="A49" s="245"/>
      <c r="BK49" s="246"/>
      <c r="BM49" s="12">
        <f t="shared" si="2"/>
        <v>43</v>
      </c>
    </row>
    <row r="50" spans="1:65" s="243" customFormat="1" ht="15" customHeight="1" x14ac:dyDescent="0.25">
      <c r="A50" s="245"/>
      <c r="BK50" s="246"/>
      <c r="BM50" s="12">
        <f t="shared" si="2"/>
        <v>44</v>
      </c>
    </row>
    <row r="51" spans="1:65" s="243" customFormat="1" ht="15" customHeight="1" x14ac:dyDescent="0.25">
      <c r="A51" s="245"/>
      <c r="BK51" s="246"/>
      <c r="BM51" s="12">
        <f t="shared" si="2"/>
        <v>45</v>
      </c>
    </row>
    <row r="52" spans="1:65" s="243" customFormat="1" ht="15" customHeight="1" x14ac:dyDescent="0.25">
      <c r="A52" s="245"/>
      <c r="BK52" s="246"/>
      <c r="BM52" s="12">
        <f t="shared" si="2"/>
        <v>46</v>
      </c>
    </row>
    <row r="53" spans="1:65" s="243" customFormat="1" ht="15" customHeight="1" x14ac:dyDescent="0.25">
      <c r="A53" s="245"/>
      <c r="BK53" s="246"/>
      <c r="BM53" s="12">
        <f t="shared" si="2"/>
        <v>47</v>
      </c>
    </row>
    <row r="54" spans="1:65" s="243" customFormat="1" ht="15" customHeight="1" x14ac:dyDescent="0.25">
      <c r="A54" s="245"/>
      <c r="BK54" s="246"/>
      <c r="BM54" s="12">
        <f t="shared" si="2"/>
        <v>48</v>
      </c>
    </row>
    <row r="55" spans="1:65" s="243" customFormat="1" ht="15" customHeight="1" x14ac:dyDescent="0.25">
      <c r="A55" s="245"/>
      <c r="BK55" s="246"/>
      <c r="BM55" s="12">
        <f t="shared" si="2"/>
        <v>49</v>
      </c>
    </row>
    <row r="56" spans="1:65" s="243" customFormat="1" ht="15" customHeight="1" x14ac:dyDescent="0.25">
      <c r="A56" s="245"/>
      <c r="BK56" s="246"/>
      <c r="BM56" s="12">
        <f t="shared" si="2"/>
        <v>50</v>
      </c>
    </row>
    <row r="57" spans="1:65" s="243" customFormat="1" ht="15" customHeight="1" x14ac:dyDescent="0.25">
      <c r="A57" s="247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Z57" s="248"/>
      <c r="AA57" s="248"/>
      <c r="AB57" s="248"/>
      <c r="AC57" s="248"/>
      <c r="AD57" s="248"/>
      <c r="AE57" s="248"/>
      <c r="AF57" s="248"/>
      <c r="AG57" s="248"/>
      <c r="AH57" s="248"/>
      <c r="AI57" s="248"/>
      <c r="AJ57" s="248"/>
      <c r="AK57" s="248"/>
      <c r="AL57" s="248"/>
      <c r="AM57" s="248"/>
      <c r="AN57" s="248"/>
      <c r="AO57" s="248"/>
      <c r="AP57" s="248"/>
      <c r="AQ57" s="248"/>
      <c r="AR57" s="248"/>
      <c r="AS57" s="248"/>
      <c r="AT57" s="248"/>
      <c r="AU57" s="248"/>
      <c r="AV57" s="248"/>
      <c r="AW57" s="248"/>
      <c r="AX57" s="248"/>
      <c r="AY57" s="248"/>
      <c r="AZ57" s="248"/>
      <c r="BA57" s="248"/>
      <c r="BB57" s="248"/>
      <c r="BC57" s="248"/>
      <c r="BD57" s="248"/>
      <c r="BE57" s="248"/>
      <c r="BF57" s="248"/>
      <c r="BG57" s="248"/>
      <c r="BH57" s="248"/>
      <c r="BI57" s="248"/>
      <c r="BJ57" s="248"/>
      <c r="BK57" s="249"/>
      <c r="BM57" s="12">
        <f t="shared" si="2"/>
        <v>1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pageSetUpPr fitToPage="1"/>
  </sheetPr>
  <dimension ref="A1:BM92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48" customWidth="1"/>
    <col min="66" max="16384" width="2.77734375" style="148"/>
  </cols>
  <sheetData>
    <row r="1" spans="1:65" ht="24.95" customHeight="1" x14ac:dyDescent="0.25">
      <c r="A1" s="142" t="s">
        <v>35</v>
      </c>
      <c r="B1" s="143"/>
      <c r="C1" s="143"/>
      <c r="D1" s="143"/>
      <c r="E1" s="143"/>
      <c r="F1" s="143"/>
      <c r="G1" s="143"/>
      <c r="H1" s="143"/>
      <c r="I1" s="143"/>
      <c r="J1" s="144"/>
      <c r="K1" s="142" t="s">
        <v>36</v>
      </c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4"/>
      <c r="W1" s="145" t="str">
        <f>IF(表紙!W1="","",表紙!W1)</f>
        <v>基本設計書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7"/>
      <c r="AP1" s="142" t="s">
        <v>38</v>
      </c>
      <c r="AQ1" s="143"/>
      <c r="AR1" s="143"/>
      <c r="AS1" s="144"/>
      <c r="AT1" s="142" t="s">
        <v>39</v>
      </c>
      <c r="AU1" s="143"/>
      <c r="AV1" s="143"/>
      <c r="AW1" s="143"/>
      <c r="AX1" s="144"/>
      <c r="AY1" s="142" t="s">
        <v>40</v>
      </c>
      <c r="AZ1" s="143"/>
      <c r="BA1" s="143"/>
      <c r="BB1" s="144"/>
      <c r="BC1" s="142" t="s">
        <v>41</v>
      </c>
      <c r="BD1" s="143"/>
      <c r="BE1" s="143"/>
      <c r="BF1" s="143"/>
      <c r="BG1" s="144"/>
      <c r="BH1" s="142" t="s">
        <v>42</v>
      </c>
      <c r="BI1" s="143"/>
      <c r="BJ1" s="143"/>
      <c r="BK1" s="144"/>
    </row>
    <row r="2" spans="1:65" ht="15" customHeight="1" x14ac:dyDescent="0.25">
      <c r="A2" s="151" t="str">
        <f>IF(表紙!A2="","",表紙!A2)</f>
        <v>POSサーバー</v>
      </c>
      <c r="B2" s="149"/>
      <c r="C2" s="149"/>
      <c r="D2" s="149"/>
      <c r="E2" s="149"/>
      <c r="F2" s="149"/>
      <c r="G2" s="149"/>
      <c r="H2" s="149"/>
      <c r="I2" s="149"/>
      <c r="J2" s="150"/>
      <c r="K2" s="151" t="str">
        <f>IF(表紙!K2="","",表紙!K2)</f>
        <v>POSサーバ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5" ht="1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3"/>
      <c r="K3" s="161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5" ht="24.95" customHeight="1" x14ac:dyDescent="0.25">
      <c r="A4" s="142" t="s">
        <v>44</v>
      </c>
      <c r="B4" s="143"/>
      <c r="C4" s="143"/>
      <c r="D4" s="143"/>
      <c r="E4" s="143"/>
      <c r="F4" s="143"/>
      <c r="G4" s="144"/>
      <c r="H4" s="173" t="str">
        <f>IF(表紙!H4="","",表紙!H4)</f>
        <v>41_名称マスタ設定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2" t="s">
        <v>45</v>
      </c>
      <c r="V4" s="143"/>
      <c r="W4" s="143"/>
      <c r="X4" s="143"/>
      <c r="Y4" s="144"/>
      <c r="Z4" s="173" t="str">
        <f>IF(表紙!Z4="","",表紙!Z4)</f>
        <v>概要設計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機能概要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5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5" ht="15" customHeight="1" x14ac:dyDescent="0.25">
      <c r="A6" s="179"/>
      <c r="BK6" s="180"/>
    </row>
    <row r="7" spans="1:65" ht="15" customHeight="1" x14ac:dyDescent="0.25">
      <c r="A7" s="179"/>
      <c r="B7" s="250" t="s">
        <v>53</v>
      </c>
      <c r="C7" s="251"/>
      <c r="D7" s="252"/>
      <c r="E7" s="252"/>
      <c r="F7" s="252"/>
      <c r="G7" s="252"/>
      <c r="H7" s="252"/>
      <c r="I7" s="252"/>
      <c r="J7" s="252"/>
      <c r="K7" s="253"/>
      <c r="L7" s="252"/>
      <c r="M7" s="252"/>
      <c r="N7" s="252"/>
      <c r="O7" s="252"/>
      <c r="P7" s="252"/>
      <c r="Q7" s="252"/>
      <c r="R7" s="252"/>
      <c r="S7" s="252"/>
      <c r="T7" s="253"/>
      <c r="U7" s="251"/>
      <c r="V7" s="252"/>
      <c r="W7" s="252"/>
      <c r="X7" s="252"/>
      <c r="Y7" s="252"/>
      <c r="Z7" s="252"/>
      <c r="AA7" s="252"/>
      <c r="AB7" s="252"/>
      <c r="AC7" s="253"/>
      <c r="AD7" s="251"/>
      <c r="AE7" s="252"/>
      <c r="AF7" s="252"/>
      <c r="AG7" s="252"/>
      <c r="AH7" s="252"/>
      <c r="AI7" s="252"/>
      <c r="AJ7" s="252"/>
      <c r="AK7" s="252"/>
      <c r="AL7" s="253"/>
      <c r="AM7" s="251"/>
      <c r="AN7" s="252"/>
      <c r="AO7" s="252"/>
      <c r="AP7" s="252"/>
      <c r="AQ7" s="252"/>
      <c r="AR7" s="252"/>
      <c r="AS7" s="252"/>
      <c r="AT7" s="252"/>
      <c r="AU7" s="252"/>
      <c r="AV7" s="252"/>
      <c r="AW7" s="252"/>
      <c r="AX7" s="252"/>
      <c r="AY7" s="252"/>
      <c r="AZ7" s="252"/>
      <c r="BA7" s="252"/>
      <c r="BB7" s="252"/>
      <c r="BC7" s="252"/>
      <c r="BD7" s="252"/>
      <c r="BE7" s="252"/>
      <c r="BF7" s="252"/>
      <c r="BG7" s="252"/>
      <c r="BH7" s="252"/>
      <c r="BI7" s="253"/>
      <c r="BJ7" s="252"/>
      <c r="BK7" s="180"/>
    </row>
    <row r="8" spans="1:65" ht="15" customHeight="1" x14ac:dyDescent="0.25">
      <c r="A8" s="179"/>
      <c r="B8" s="254"/>
      <c r="K8" s="255"/>
      <c r="U8" s="254"/>
      <c r="AD8" s="254"/>
      <c r="AM8" s="254"/>
      <c r="BI8" s="256"/>
      <c r="BK8" s="180"/>
      <c r="BM8" s="12">
        <f t="shared" ref="BM8:BM34" si="0">IF(BM7=50,1,BM7+1)</f>
        <v>1</v>
      </c>
    </row>
    <row r="9" spans="1:65" ht="15" customHeight="1" x14ac:dyDescent="0.25">
      <c r="A9" s="179"/>
      <c r="B9" s="254"/>
      <c r="K9" s="255"/>
      <c r="U9" s="254"/>
      <c r="AD9" s="254"/>
      <c r="AM9" s="254"/>
      <c r="BI9" s="256"/>
      <c r="BK9" s="180"/>
      <c r="BM9" s="12">
        <f t="shared" si="0"/>
        <v>2</v>
      </c>
    </row>
    <row r="10" spans="1:65" ht="15" customHeight="1" x14ac:dyDescent="0.25">
      <c r="A10" s="179"/>
      <c r="B10" s="254"/>
      <c r="K10" s="255"/>
      <c r="U10" s="254"/>
      <c r="AD10" s="254"/>
      <c r="AM10" s="254"/>
      <c r="BI10" s="256"/>
      <c r="BK10" s="180"/>
      <c r="BM10" s="12">
        <f t="shared" si="0"/>
        <v>3</v>
      </c>
    </row>
    <row r="11" spans="1:65" ht="15" customHeight="1" x14ac:dyDescent="0.25">
      <c r="A11" s="179"/>
      <c r="B11" s="254"/>
      <c r="K11" s="255"/>
      <c r="U11" s="254"/>
      <c r="AD11" s="254"/>
      <c r="AM11" s="254"/>
      <c r="BI11" s="256"/>
      <c r="BK11" s="180"/>
      <c r="BM11" s="12">
        <f t="shared" si="0"/>
        <v>4</v>
      </c>
    </row>
    <row r="12" spans="1:65" ht="15" customHeight="1" x14ac:dyDescent="0.25">
      <c r="A12" s="179"/>
      <c r="B12" s="254"/>
      <c r="K12" s="255"/>
      <c r="U12" s="254"/>
      <c r="AD12" s="254"/>
      <c r="AM12" s="254"/>
      <c r="BI12" s="256"/>
      <c r="BK12" s="180"/>
      <c r="BM12" s="12">
        <f t="shared" si="0"/>
        <v>5</v>
      </c>
    </row>
    <row r="13" spans="1:65" ht="15" customHeight="1" x14ac:dyDescent="0.25">
      <c r="A13" s="179"/>
      <c r="B13" s="254"/>
      <c r="K13" s="255"/>
      <c r="U13" s="254"/>
      <c r="AD13" s="254"/>
      <c r="AM13" s="254"/>
      <c r="BI13" s="256"/>
      <c r="BK13" s="180"/>
      <c r="BM13" s="12">
        <f t="shared" si="0"/>
        <v>6</v>
      </c>
    </row>
    <row r="14" spans="1:65" ht="15" customHeight="1" x14ac:dyDescent="0.25">
      <c r="A14" s="179"/>
      <c r="B14" s="254"/>
      <c r="K14" s="255"/>
      <c r="U14" s="254"/>
      <c r="AD14" s="254"/>
      <c r="AM14" s="254"/>
      <c r="BI14" s="256"/>
      <c r="BK14" s="180"/>
      <c r="BM14" s="12">
        <f t="shared" si="0"/>
        <v>7</v>
      </c>
    </row>
    <row r="15" spans="1:65" ht="15" customHeight="1" x14ac:dyDescent="0.25">
      <c r="A15" s="179"/>
      <c r="B15" s="254"/>
      <c r="K15" s="255"/>
      <c r="U15" s="254"/>
      <c r="AD15" s="254"/>
      <c r="AM15" s="254"/>
      <c r="BI15" s="256"/>
      <c r="BK15" s="180"/>
      <c r="BM15" s="12">
        <f t="shared" si="0"/>
        <v>8</v>
      </c>
    </row>
    <row r="16" spans="1:65" ht="15" customHeight="1" x14ac:dyDescent="0.25">
      <c r="A16" s="179"/>
      <c r="B16" s="254"/>
      <c r="K16" s="255"/>
      <c r="U16" s="254"/>
      <c r="AD16" s="254"/>
      <c r="AM16" s="254"/>
      <c r="BI16" s="256"/>
      <c r="BK16" s="180"/>
      <c r="BM16" s="12">
        <f t="shared" si="0"/>
        <v>9</v>
      </c>
    </row>
    <row r="17" spans="1:65" s="243" customFormat="1" ht="15" customHeight="1" x14ac:dyDescent="0.25">
      <c r="A17" s="245"/>
      <c r="B17" s="254"/>
      <c r="K17" s="255"/>
      <c r="L17" s="257"/>
      <c r="T17" s="255"/>
      <c r="U17" s="257"/>
      <c r="AC17" s="255"/>
      <c r="AD17" s="257"/>
      <c r="AL17" s="255"/>
      <c r="AM17" s="257"/>
      <c r="BI17" s="255"/>
      <c r="BK17" s="246"/>
      <c r="BM17" s="12">
        <f t="shared" si="0"/>
        <v>10</v>
      </c>
    </row>
    <row r="18" spans="1:65" s="243" customFormat="1" ht="15" customHeight="1" x14ac:dyDescent="0.25">
      <c r="A18" s="245"/>
      <c r="B18" s="254"/>
      <c r="K18" s="255"/>
      <c r="L18" s="257"/>
      <c r="T18" s="255"/>
      <c r="U18" s="257"/>
      <c r="AC18" s="255"/>
      <c r="AD18" s="257"/>
      <c r="AL18" s="255"/>
      <c r="AM18" s="257"/>
      <c r="BI18" s="255"/>
      <c r="BK18" s="246"/>
      <c r="BM18" s="12">
        <f t="shared" si="0"/>
        <v>11</v>
      </c>
    </row>
    <row r="19" spans="1:65" s="243" customFormat="1" ht="15" customHeight="1" x14ac:dyDescent="0.25">
      <c r="A19" s="245"/>
      <c r="B19" s="254"/>
      <c r="K19" s="255"/>
      <c r="L19" s="257"/>
      <c r="T19" s="255"/>
      <c r="U19" s="257"/>
      <c r="AC19" s="255"/>
      <c r="AD19" s="257"/>
      <c r="AL19" s="255"/>
      <c r="AM19" s="257"/>
      <c r="BI19" s="255"/>
      <c r="BK19" s="246"/>
      <c r="BM19" s="12">
        <f t="shared" si="0"/>
        <v>12</v>
      </c>
    </row>
    <row r="20" spans="1:65" s="243" customFormat="1" ht="15" customHeight="1" x14ac:dyDescent="0.25">
      <c r="A20" s="245"/>
      <c r="B20" s="254"/>
      <c r="K20" s="255"/>
      <c r="L20" s="257"/>
      <c r="T20" s="255"/>
      <c r="U20" s="257"/>
      <c r="AC20" s="255"/>
      <c r="AD20" s="257"/>
      <c r="AL20" s="255"/>
      <c r="AM20" s="257"/>
      <c r="BI20" s="255"/>
      <c r="BK20" s="246"/>
      <c r="BM20" s="12">
        <f t="shared" si="0"/>
        <v>13</v>
      </c>
    </row>
    <row r="21" spans="1:65" s="243" customFormat="1" ht="15" customHeight="1" x14ac:dyDescent="0.25">
      <c r="A21" s="245"/>
      <c r="B21" s="254"/>
      <c r="K21" s="255"/>
      <c r="L21" s="257"/>
      <c r="T21" s="255"/>
      <c r="U21" s="257"/>
      <c r="AC21" s="255"/>
      <c r="AD21" s="257"/>
      <c r="AL21" s="255"/>
      <c r="AM21" s="257"/>
      <c r="BI21" s="255"/>
      <c r="BK21" s="246"/>
      <c r="BM21" s="12">
        <f t="shared" si="0"/>
        <v>14</v>
      </c>
    </row>
    <row r="22" spans="1:65" s="243" customFormat="1" ht="15" customHeight="1" x14ac:dyDescent="0.25">
      <c r="A22" s="245"/>
      <c r="B22" s="254"/>
      <c r="K22" s="255"/>
      <c r="L22" s="257"/>
      <c r="T22" s="255"/>
      <c r="U22" s="257"/>
      <c r="AC22" s="255"/>
      <c r="AD22" s="257"/>
      <c r="AL22" s="255"/>
      <c r="AM22" s="257"/>
      <c r="BI22" s="255"/>
      <c r="BK22" s="246"/>
      <c r="BM22" s="12">
        <f t="shared" si="0"/>
        <v>15</v>
      </c>
    </row>
    <row r="23" spans="1:65" s="243" customFormat="1" ht="15" customHeight="1" x14ac:dyDescent="0.25">
      <c r="A23" s="245"/>
      <c r="B23" s="257"/>
      <c r="K23" s="255"/>
      <c r="L23" s="257"/>
      <c r="T23" s="255"/>
      <c r="U23" s="257"/>
      <c r="AC23" s="255"/>
      <c r="AD23" s="257"/>
      <c r="AL23" s="255"/>
      <c r="AM23" s="257"/>
      <c r="BI23" s="255"/>
      <c r="BK23" s="246"/>
      <c r="BM23" s="12">
        <f t="shared" si="0"/>
        <v>16</v>
      </c>
    </row>
    <row r="24" spans="1:65" s="243" customFormat="1" ht="15" customHeight="1" x14ac:dyDescent="0.25">
      <c r="A24" s="245"/>
      <c r="B24" s="257"/>
      <c r="K24" s="255"/>
      <c r="L24" s="257"/>
      <c r="T24" s="255"/>
      <c r="U24" s="257"/>
      <c r="AC24" s="255"/>
      <c r="AD24" s="257"/>
      <c r="AL24" s="255"/>
      <c r="AM24" s="257"/>
      <c r="BI24" s="255"/>
      <c r="BK24" s="246"/>
      <c r="BM24" s="12">
        <f t="shared" si="0"/>
        <v>17</v>
      </c>
    </row>
    <row r="25" spans="1:65" s="243" customFormat="1" ht="15" customHeight="1" x14ac:dyDescent="0.25">
      <c r="A25" s="245"/>
      <c r="B25" s="257"/>
      <c r="K25" s="255"/>
      <c r="L25" s="257"/>
      <c r="T25" s="255"/>
      <c r="U25" s="257"/>
      <c r="AC25" s="255"/>
      <c r="AL25" s="255"/>
      <c r="AM25" s="257"/>
      <c r="BI25" s="255"/>
      <c r="BK25" s="246"/>
      <c r="BM25" s="12">
        <f t="shared" si="0"/>
        <v>18</v>
      </c>
    </row>
    <row r="26" spans="1:65" s="243" customFormat="1" ht="15" customHeight="1" x14ac:dyDescent="0.25">
      <c r="A26" s="245"/>
      <c r="B26" s="257"/>
      <c r="K26" s="255"/>
      <c r="L26" s="257"/>
      <c r="T26" s="255"/>
      <c r="U26" s="257"/>
      <c r="AC26" s="255"/>
      <c r="AD26" s="257"/>
      <c r="AL26" s="255"/>
      <c r="AM26" s="257"/>
      <c r="BI26" s="255"/>
      <c r="BK26" s="246"/>
      <c r="BM26" s="12">
        <f t="shared" si="0"/>
        <v>19</v>
      </c>
    </row>
    <row r="27" spans="1:65" s="243" customFormat="1" ht="15" customHeight="1" x14ac:dyDescent="0.25">
      <c r="A27" s="245"/>
      <c r="B27" s="257"/>
      <c r="K27" s="255"/>
      <c r="L27" s="257"/>
      <c r="T27" s="255"/>
      <c r="U27" s="257"/>
      <c r="AC27" s="255"/>
      <c r="AD27" s="257"/>
      <c r="AL27" s="255"/>
      <c r="AM27" s="257"/>
      <c r="BI27" s="255"/>
      <c r="BK27" s="246"/>
      <c r="BM27" s="12">
        <f t="shared" si="0"/>
        <v>20</v>
      </c>
    </row>
    <row r="28" spans="1:65" s="243" customFormat="1" ht="15" customHeight="1" x14ac:dyDescent="0.25">
      <c r="A28" s="245"/>
      <c r="B28" s="257"/>
      <c r="K28" s="255"/>
      <c r="L28" s="257"/>
      <c r="T28" s="255"/>
      <c r="U28" s="257"/>
      <c r="AC28" s="255"/>
      <c r="AD28" s="257"/>
      <c r="AL28" s="255"/>
      <c r="AM28" s="257"/>
      <c r="BI28" s="255"/>
      <c r="BK28" s="246"/>
      <c r="BM28" s="12">
        <f t="shared" si="0"/>
        <v>21</v>
      </c>
    </row>
    <row r="29" spans="1:65" s="243" customFormat="1" ht="15" customHeight="1" x14ac:dyDescent="0.25">
      <c r="A29" s="245"/>
      <c r="B29" s="257"/>
      <c r="K29" s="255"/>
      <c r="L29" s="257"/>
      <c r="T29" s="255"/>
      <c r="U29" s="257"/>
      <c r="AC29" s="255"/>
      <c r="AD29" s="257"/>
      <c r="AL29" s="255"/>
      <c r="AM29" s="257"/>
      <c r="BI29" s="255"/>
      <c r="BK29" s="246"/>
      <c r="BM29" s="12">
        <f t="shared" si="0"/>
        <v>22</v>
      </c>
    </row>
    <row r="30" spans="1:65" s="243" customFormat="1" ht="15" customHeight="1" x14ac:dyDescent="0.25">
      <c r="A30" s="245"/>
      <c r="B30" s="257"/>
      <c r="K30" s="255"/>
      <c r="L30" s="257"/>
      <c r="T30" s="255"/>
      <c r="U30" s="257"/>
      <c r="AC30" s="255"/>
      <c r="AD30" s="257"/>
      <c r="AL30" s="255"/>
      <c r="AM30" s="257"/>
      <c r="BI30" s="255"/>
      <c r="BK30" s="246"/>
      <c r="BM30" s="12">
        <f t="shared" si="0"/>
        <v>23</v>
      </c>
    </row>
    <row r="31" spans="1:65" s="243" customFormat="1" ht="15" customHeight="1" x14ac:dyDescent="0.25">
      <c r="A31" s="245"/>
      <c r="B31" s="257"/>
      <c r="K31" s="255"/>
      <c r="L31" s="257"/>
      <c r="T31" s="255"/>
      <c r="U31" s="257"/>
      <c r="AC31" s="255"/>
      <c r="AD31" s="257"/>
      <c r="AL31" s="255"/>
      <c r="AM31" s="257"/>
      <c r="BI31" s="255"/>
      <c r="BK31" s="246"/>
      <c r="BM31" s="12">
        <f t="shared" si="0"/>
        <v>24</v>
      </c>
    </row>
    <row r="32" spans="1:65" s="243" customFormat="1" ht="15" customHeight="1" x14ac:dyDescent="0.25">
      <c r="A32" s="245"/>
      <c r="B32" s="257"/>
      <c r="K32" s="255"/>
      <c r="L32" s="257"/>
      <c r="T32" s="255"/>
      <c r="U32" s="257"/>
      <c r="AC32" s="255"/>
      <c r="AD32" s="257"/>
      <c r="AL32" s="255"/>
      <c r="AM32" s="257"/>
      <c r="BI32" s="255"/>
      <c r="BK32" s="246"/>
      <c r="BM32" s="12">
        <f t="shared" si="0"/>
        <v>25</v>
      </c>
    </row>
    <row r="33" spans="1:65" s="243" customFormat="1" ht="15" customHeight="1" x14ac:dyDescent="0.25">
      <c r="A33" s="245"/>
      <c r="B33" s="257"/>
      <c r="K33" s="255"/>
      <c r="L33" s="257"/>
      <c r="T33" s="255"/>
      <c r="U33" s="257"/>
      <c r="AC33" s="255"/>
      <c r="AD33" s="257"/>
      <c r="AL33" s="255"/>
      <c r="AM33" s="257"/>
      <c r="BI33" s="255"/>
      <c r="BK33" s="246"/>
      <c r="BM33" s="12">
        <f t="shared" si="0"/>
        <v>26</v>
      </c>
    </row>
    <row r="34" spans="1:65" s="243" customFormat="1" ht="15" customHeight="1" x14ac:dyDescent="0.25">
      <c r="A34" s="245"/>
      <c r="B34" s="257"/>
      <c r="K34" s="255"/>
      <c r="L34" s="257"/>
      <c r="T34" s="255"/>
      <c r="U34" s="257"/>
      <c r="AC34" s="255"/>
      <c r="AD34" s="257"/>
      <c r="AL34" s="255"/>
      <c r="AM34" s="257"/>
      <c r="BI34" s="255"/>
      <c r="BK34" s="246"/>
      <c r="BM34" s="12">
        <f t="shared" si="0"/>
        <v>27</v>
      </c>
    </row>
    <row r="35" spans="1:65" s="243" customFormat="1" ht="15" customHeight="1" x14ac:dyDescent="0.25">
      <c r="A35" s="245"/>
      <c r="B35" s="257"/>
      <c r="K35" s="255"/>
      <c r="L35" s="257"/>
      <c r="T35" s="255"/>
      <c r="U35" s="257"/>
      <c r="AC35" s="255"/>
      <c r="AD35" s="257"/>
      <c r="AL35" s="255"/>
      <c r="AM35" s="257"/>
      <c r="BI35" s="255"/>
      <c r="BK35" s="246"/>
      <c r="BM35" s="12">
        <f t="shared" ref="BM35:BM64" si="1">IF(BM34=50,1,BM34+1)</f>
        <v>28</v>
      </c>
    </row>
    <row r="36" spans="1:65" s="243" customFormat="1" ht="15" customHeight="1" x14ac:dyDescent="0.25">
      <c r="A36" s="245"/>
      <c r="B36" s="257"/>
      <c r="K36" s="255"/>
      <c r="L36" s="257"/>
      <c r="T36" s="255"/>
      <c r="U36" s="257"/>
      <c r="AC36" s="255"/>
      <c r="AD36" s="257"/>
      <c r="AL36" s="255"/>
      <c r="AM36" s="257"/>
      <c r="BI36" s="255"/>
      <c r="BK36" s="246"/>
      <c r="BM36" s="12">
        <f t="shared" si="1"/>
        <v>29</v>
      </c>
    </row>
    <row r="37" spans="1:65" s="243" customFormat="1" ht="15" customHeight="1" x14ac:dyDescent="0.25">
      <c r="A37" s="245"/>
      <c r="B37" s="257"/>
      <c r="K37" s="255"/>
      <c r="L37" s="257"/>
      <c r="T37" s="255"/>
      <c r="U37" s="257"/>
      <c r="AC37" s="255"/>
      <c r="AD37" s="257"/>
      <c r="AL37" s="255"/>
      <c r="AM37" s="257"/>
      <c r="BI37" s="255"/>
      <c r="BK37" s="246"/>
      <c r="BM37" s="12">
        <f t="shared" si="1"/>
        <v>30</v>
      </c>
    </row>
    <row r="38" spans="1:65" s="243" customFormat="1" ht="15" customHeight="1" x14ac:dyDescent="0.25">
      <c r="A38" s="245"/>
      <c r="B38" s="257"/>
      <c r="K38" s="255"/>
      <c r="L38" s="257"/>
      <c r="T38" s="255"/>
      <c r="U38" s="257"/>
      <c r="AC38" s="255"/>
      <c r="AD38" s="257"/>
      <c r="AL38" s="255"/>
      <c r="AM38" s="257"/>
      <c r="BI38" s="255"/>
      <c r="BK38" s="246"/>
      <c r="BM38" s="12">
        <f t="shared" si="1"/>
        <v>31</v>
      </c>
    </row>
    <row r="39" spans="1:65" s="243" customFormat="1" ht="15" customHeight="1" x14ac:dyDescent="0.25">
      <c r="A39" s="245"/>
      <c r="B39" s="257"/>
      <c r="K39" s="255"/>
      <c r="L39" s="257"/>
      <c r="T39" s="255"/>
      <c r="U39" s="257"/>
      <c r="AC39" s="255"/>
      <c r="AD39" s="257"/>
      <c r="AL39" s="255"/>
      <c r="AM39" s="257"/>
      <c r="BI39" s="255"/>
      <c r="BK39" s="246"/>
      <c r="BM39" s="12">
        <f t="shared" si="1"/>
        <v>32</v>
      </c>
    </row>
    <row r="40" spans="1:65" s="243" customFormat="1" ht="15" customHeight="1" x14ac:dyDescent="0.25">
      <c r="A40" s="245"/>
      <c r="B40" s="257"/>
      <c r="K40" s="255"/>
      <c r="L40" s="257"/>
      <c r="T40" s="255"/>
      <c r="U40" s="257"/>
      <c r="AC40" s="255"/>
      <c r="AD40" s="257"/>
      <c r="AL40" s="255"/>
      <c r="AM40" s="257"/>
      <c r="BI40" s="255"/>
      <c r="BK40" s="246"/>
      <c r="BM40" s="12">
        <f t="shared" si="1"/>
        <v>33</v>
      </c>
    </row>
    <row r="41" spans="1:65" s="243" customFormat="1" ht="15" customHeight="1" x14ac:dyDescent="0.25">
      <c r="A41" s="245"/>
      <c r="B41" s="257"/>
      <c r="K41" s="255"/>
      <c r="L41" s="257"/>
      <c r="T41" s="255"/>
      <c r="U41" s="257"/>
      <c r="AC41" s="255"/>
      <c r="AD41" s="257"/>
      <c r="AL41" s="255"/>
      <c r="AM41" s="257"/>
      <c r="BI41" s="255"/>
      <c r="BK41" s="246"/>
      <c r="BM41" s="12">
        <f t="shared" si="1"/>
        <v>34</v>
      </c>
    </row>
    <row r="42" spans="1:65" s="243" customFormat="1" ht="15" customHeight="1" x14ac:dyDescent="0.25">
      <c r="A42" s="245"/>
      <c r="B42" s="257"/>
      <c r="K42" s="255"/>
      <c r="L42" s="257"/>
      <c r="T42" s="255"/>
      <c r="U42" s="257"/>
      <c r="AC42" s="255"/>
      <c r="AD42" s="257"/>
      <c r="AL42" s="255"/>
      <c r="AM42" s="257"/>
      <c r="BI42" s="255"/>
      <c r="BK42" s="246"/>
      <c r="BM42" s="12">
        <f t="shared" si="1"/>
        <v>35</v>
      </c>
    </row>
    <row r="43" spans="1:65" s="243" customFormat="1" ht="15" customHeight="1" x14ac:dyDescent="0.25">
      <c r="A43" s="245"/>
      <c r="B43" s="257"/>
      <c r="K43" s="255"/>
      <c r="L43" s="257"/>
      <c r="T43" s="255"/>
      <c r="U43" s="257"/>
      <c r="AC43" s="255"/>
      <c r="AD43" s="257"/>
      <c r="AL43" s="255"/>
      <c r="AM43" s="257"/>
      <c r="BI43" s="255"/>
      <c r="BK43" s="246"/>
      <c r="BM43" s="12">
        <f t="shared" si="1"/>
        <v>36</v>
      </c>
    </row>
    <row r="44" spans="1:65" s="243" customFormat="1" ht="15" customHeight="1" x14ac:dyDescent="0.25">
      <c r="A44" s="245"/>
      <c r="B44" s="257"/>
      <c r="K44" s="255"/>
      <c r="L44" s="257"/>
      <c r="T44" s="255"/>
      <c r="U44" s="257"/>
      <c r="AC44" s="255"/>
      <c r="AD44" s="257"/>
      <c r="AL44" s="255"/>
      <c r="AM44" s="257"/>
      <c r="BI44" s="255"/>
      <c r="BK44" s="246"/>
      <c r="BM44" s="12">
        <f t="shared" si="1"/>
        <v>37</v>
      </c>
    </row>
    <row r="45" spans="1:65" s="243" customFormat="1" ht="15" customHeight="1" x14ac:dyDescent="0.25">
      <c r="A45" s="245"/>
      <c r="B45" s="257"/>
      <c r="K45" s="255"/>
      <c r="L45" s="257"/>
      <c r="T45" s="255"/>
      <c r="U45" s="257"/>
      <c r="AC45" s="255"/>
      <c r="AD45" s="257"/>
      <c r="AL45" s="255"/>
      <c r="AM45" s="257"/>
      <c r="BI45" s="255"/>
      <c r="BK45" s="246"/>
      <c r="BM45" s="12">
        <f t="shared" si="1"/>
        <v>38</v>
      </c>
    </row>
    <row r="46" spans="1:65" s="243" customFormat="1" ht="15" customHeight="1" x14ac:dyDescent="0.25">
      <c r="A46" s="245"/>
      <c r="B46" s="257"/>
      <c r="K46" s="255"/>
      <c r="L46" s="257"/>
      <c r="T46" s="255"/>
      <c r="U46" s="257"/>
      <c r="AC46" s="255"/>
      <c r="AD46" s="257"/>
      <c r="AL46" s="255"/>
      <c r="AM46" s="257"/>
      <c r="BI46" s="255"/>
      <c r="BK46" s="246"/>
      <c r="BM46" s="12">
        <f t="shared" si="1"/>
        <v>39</v>
      </c>
    </row>
    <row r="47" spans="1:65" s="243" customFormat="1" ht="15" customHeight="1" x14ac:dyDescent="0.25">
      <c r="A47" s="245"/>
      <c r="B47" s="257"/>
      <c r="K47" s="255"/>
      <c r="L47" s="257"/>
      <c r="T47" s="255"/>
      <c r="U47" s="257"/>
      <c r="AC47" s="255"/>
      <c r="AD47" s="257"/>
      <c r="AL47" s="255"/>
      <c r="AM47" s="257"/>
      <c r="BI47" s="255"/>
      <c r="BK47" s="246"/>
      <c r="BM47" s="12">
        <f t="shared" si="1"/>
        <v>40</v>
      </c>
    </row>
    <row r="48" spans="1:65" s="243" customFormat="1" ht="15" customHeight="1" x14ac:dyDescent="0.25">
      <c r="A48" s="245"/>
      <c r="B48" s="257"/>
      <c r="K48" s="255"/>
      <c r="L48" s="257"/>
      <c r="T48" s="255"/>
      <c r="U48" s="257"/>
      <c r="AC48" s="255"/>
      <c r="AD48" s="257"/>
      <c r="AL48" s="255"/>
      <c r="AM48" s="257"/>
      <c r="BI48" s="255"/>
      <c r="BK48" s="246"/>
      <c r="BM48" s="12">
        <f t="shared" si="1"/>
        <v>41</v>
      </c>
    </row>
    <row r="49" spans="1:65" s="243" customFormat="1" ht="15" customHeight="1" x14ac:dyDescent="0.25">
      <c r="A49" s="245"/>
      <c r="B49" s="257"/>
      <c r="K49" s="255"/>
      <c r="L49" s="257"/>
      <c r="T49" s="255"/>
      <c r="U49" s="257"/>
      <c r="AC49" s="255"/>
      <c r="AD49" s="257"/>
      <c r="AL49" s="255"/>
      <c r="AM49" s="257"/>
      <c r="BI49" s="255"/>
      <c r="BK49" s="246"/>
      <c r="BM49" s="12">
        <f t="shared" si="1"/>
        <v>42</v>
      </c>
    </row>
    <row r="50" spans="1:65" s="243" customFormat="1" ht="15" customHeight="1" x14ac:dyDescent="0.25">
      <c r="A50" s="245"/>
      <c r="B50" s="257"/>
      <c r="K50" s="255"/>
      <c r="L50" s="257"/>
      <c r="T50" s="255"/>
      <c r="U50" s="257"/>
      <c r="AC50" s="255"/>
      <c r="AD50" s="257"/>
      <c r="AL50" s="255"/>
      <c r="AM50" s="257"/>
      <c r="BI50" s="255"/>
      <c r="BK50" s="246"/>
      <c r="BM50" s="12">
        <f t="shared" si="1"/>
        <v>43</v>
      </c>
    </row>
    <row r="51" spans="1:65" s="243" customFormat="1" ht="15" customHeight="1" x14ac:dyDescent="0.25">
      <c r="A51" s="245"/>
      <c r="B51" s="257"/>
      <c r="K51" s="255"/>
      <c r="L51" s="257"/>
      <c r="T51" s="255"/>
      <c r="U51" s="257"/>
      <c r="AC51" s="255"/>
      <c r="AD51" s="257"/>
      <c r="AL51" s="255"/>
      <c r="AM51" s="257"/>
      <c r="BI51" s="255"/>
      <c r="BK51" s="246"/>
      <c r="BM51" s="12">
        <f t="shared" si="1"/>
        <v>44</v>
      </c>
    </row>
    <row r="52" spans="1:65" s="243" customFormat="1" ht="15" customHeight="1" x14ac:dyDescent="0.25">
      <c r="A52" s="245"/>
      <c r="B52" s="257"/>
      <c r="K52" s="255"/>
      <c r="L52" s="257"/>
      <c r="T52" s="255"/>
      <c r="U52" s="257"/>
      <c r="AC52" s="255"/>
      <c r="AD52" s="257"/>
      <c r="AL52" s="255"/>
      <c r="AM52" s="257"/>
      <c r="BI52" s="255"/>
      <c r="BK52" s="246"/>
      <c r="BM52" s="12">
        <f t="shared" si="1"/>
        <v>45</v>
      </c>
    </row>
    <row r="53" spans="1:65" s="243" customFormat="1" ht="15" customHeight="1" x14ac:dyDescent="0.25">
      <c r="A53" s="245"/>
      <c r="B53" s="257"/>
      <c r="K53" s="255"/>
      <c r="L53" s="257"/>
      <c r="T53" s="255"/>
      <c r="U53" s="257"/>
      <c r="AC53" s="255"/>
      <c r="AD53" s="257"/>
      <c r="AL53" s="255"/>
      <c r="AM53" s="257"/>
      <c r="BI53" s="255"/>
      <c r="BK53" s="246"/>
      <c r="BM53" s="12">
        <f t="shared" si="1"/>
        <v>46</v>
      </c>
    </row>
    <row r="54" spans="1:65" s="243" customFormat="1" ht="15" customHeight="1" x14ac:dyDescent="0.25">
      <c r="A54" s="245"/>
      <c r="B54" s="257"/>
      <c r="K54" s="255"/>
      <c r="L54" s="257"/>
      <c r="T54" s="255"/>
      <c r="U54" s="257"/>
      <c r="AC54" s="255"/>
      <c r="AD54" s="257"/>
      <c r="AL54" s="255"/>
      <c r="AM54" s="257"/>
      <c r="BI54" s="255"/>
      <c r="BK54" s="246"/>
      <c r="BM54" s="12">
        <f t="shared" si="1"/>
        <v>47</v>
      </c>
    </row>
    <row r="55" spans="1:65" s="243" customFormat="1" ht="15" customHeight="1" x14ac:dyDescent="0.25">
      <c r="A55" s="245"/>
      <c r="B55" s="257"/>
      <c r="K55" s="255"/>
      <c r="L55" s="257"/>
      <c r="T55" s="255"/>
      <c r="U55" s="257"/>
      <c r="AC55" s="255"/>
      <c r="AD55" s="257"/>
      <c r="AL55" s="255"/>
      <c r="AM55" s="257"/>
      <c r="BI55" s="255"/>
      <c r="BK55" s="246"/>
      <c r="BM55" s="12">
        <f t="shared" si="1"/>
        <v>48</v>
      </c>
    </row>
    <row r="56" spans="1:65" s="243" customFormat="1" ht="15" customHeight="1" x14ac:dyDescent="0.25">
      <c r="A56" s="245"/>
      <c r="B56" s="257"/>
      <c r="K56" s="255"/>
      <c r="L56" s="257"/>
      <c r="T56" s="255"/>
      <c r="U56" s="257"/>
      <c r="AC56" s="255"/>
      <c r="AD56" s="257"/>
      <c r="AL56" s="255"/>
      <c r="AM56" s="257"/>
      <c r="BI56" s="255"/>
      <c r="BK56" s="246"/>
      <c r="BM56" s="12">
        <f t="shared" si="1"/>
        <v>49</v>
      </c>
    </row>
    <row r="57" spans="1:65" s="243" customFormat="1" ht="15" customHeight="1" x14ac:dyDescent="0.25">
      <c r="A57" s="245"/>
      <c r="B57" s="257"/>
      <c r="K57" s="255"/>
      <c r="L57" s="257"/>
      <c r="T57" s="255"/>
      <c r="U57" s="257"/>
      <c r="AC57" s="255"/>
      <c r="AD57" s="257"/>
      <c r="AL57" s="255"/>
      <c r="AM57" s="257"/>
      <c r="BI57" s="255"/>
      <c r="BK57" s="246"/>
      <c r="BM57" s="12">
        <f t="shared" si="1"/>
        <v>50</v>
      </c>
    </row>
    <row r="58" spans="1:65" s="243" customFormat="1" ht="15" customHeight="1" x14ac:dyDescent="0.25">
      <c r="A58" s="245"/>
      <c r="B58" s="257"/>
      <c r="K58" s="255"/>
      <c r="L58" s="257"/>
      <c r="T58" s="255"/>
      <c r="U58" s="257"/>
      <c r="AC58" s="255"/>
      <c r="AD58" s="257"/>
      <c r="AL58" s="255"/>
      <c r="AM58" s="257"/>
      <c r="BI58" s="255"/>
      <c r="BK58" s="246"/>
      <c r="BM58" s="12">
        <f t="shared" si="1"/>
        <v>1</v>
      </c>
    </row>
    <row r="59" spans="1:65" s="243" customFormat="1" ht="15" customHeight="1" x14ac:dyDescent="0.25">
      <c r="A59" s="245"/>
      <c r="B59" s="257"/>
      <c r="K59" s="255"/>
      <c r="L59" s="257"/>
      <c r="T59" s="255"/>
      <c r="U59" s="257"/>
      <c r="AC59" s="255"/>
      <c r="AD59" s="257"/>
      <c r="AL59" s="255"/>
      <c r="AM59" s="257"/>
      <c r="BI59" s="255"/>
      <c r="BK59" s="246"/>
      <c r="BM59" s="12">
        <f t="shared" si="1"/>
        <v>2</v>
      </c>
    </row>
    <row r="60" spans="1:65" s="243" customFormat="1" ht="15" customHeight="1" x14ac:dyDescent="0.25">
      <c r="A60" s="245"/>
      <c r="B60" s="257"/>
      <c r="K60" s="255"/>
      <c r="L60" s="257"/>
      <c r="T60" s="255"/>
      <c r="U60" s="257"/>
      <c r="AC60" s="255"/>
      <c r="AD60" s="257"/>
      <c r="AL60" s="255"/>
      <c r="AM60" s="257"/>
      <c r="BI60" s="255"/>
      <c r="BK60" s="246"/>
      <c r="BM60" s="12">
        <f t="shared" si="1"/>
        <v>3</v>
      </c>
    </row>
    <row r="61" spans="1:65" s="243" customFormat="1" ht="15" customHeight="1" x14ac:dyDescent="0.25">
      <c r="A61" s="245"/>
      <c r="B61" s="257"/>
      <c r="K61" s="255"/>
      <c r="L61" s="257"/>
      <c r="T61" s="255"/>
      <c r="U61" s="257"/>
      <c r="AC61" s="255"/>
      <c r="AD61" s="257"/>
      <c r="AL61" s="255"/>
      <c r="AM61" s="257"/>
      <c r="BI61" s="255"/>
      <c r="BK61" s="246"/>
      <c r="BM61" s="12">
        <f t="shared" si="1"/>
        <v>4</v>
      </c>
    </row>
    <row r="62" spans="1:65" s="243" customFormat="1" ht="15" customHeight="1" x14ac:dyDescent="0.25">
      <c r="A62" s="245"/>
      <c r="B62" s="257"/>
      <c r="K62" s="255"/>
      <c r="L62" s="257"/>
      <c r="T62" s="255"/>
      <c r="U62" s="257"/>
      <c r="AC62" s="255"/>
      <c r="AD62" s="257"/>
      <c r="AL62" s="255"/>
      <c r="AM62" s="257"/>
      <c r="BI62" s="255"/>
      <c r="BK62" s="246"/>
      <c r="BM62" s="12">
        <f t="shared" si="1"/>
        <v>5</v>
      </c>
    </row>
    <row r="63" spans="1:65" s="243" customFormat="1" ht="15" customHeight="1" x14ac:dyDescent="0.25">
      <c r="A63" s="245"/>
      <c r="B63" s="257"/>
      <c r="K63" s="255"/>
      <c r="L63" s="257"/>
      <c r="T63" s="255"/>
      <c r="U63" s="257"/>
      <c r="AC63" s="255"/>
      <c r="AD63" s="257"/>
      <c r="AL63" s="255"/>
      <c r="AM63" s="257"/>
      <c r="BI63" s="255"/>
      <c r="BK63" s="246"/>
      <c r="BM63" s="12">
        <f t="shared" si="1"/>
        <v>6</v>
      </c>
    </row>
    <row r="64" spans="1:65" s="243" customFormat="1" ht="15" customHeight="1" x14ac:dyDescent="0.25">
      <c r="A64" s="245"/>
      <c r="B64" s="257"/>
      <c r="K64" s="255"/>
      <c r="L64" s="257"/>
      <c r="T64" s="255"/>
      <c r="U64" s="257"/>
      <c r="AC64" s="255"/>
      <c r="AD64" s="257"/>
      <c r="AL64" s="255"/>
      <c r="AM64" s="257"/>
      <c r="BI64" s="255"/>
      <c r="BK64" s="246"/>
      <c r="BM64" s="12">
        <f t="shared" si="1"/>
        <v>7</v>
      </c>
    </row>
    <row r="65" spans="1:65" s="243" customFormat="1" ht="15" customHeight="1" x14ac:dyDescent="0.25">
      <c r="A65" s="245"/>
      <c r="B65" s="257"/>
      <c r="K65" s="255"/>
      <c r="L65" s="257"/>
      <c r="T65" s="255"/>
      <c r="U65" s="257"/>
      <c r="AC65" s="255"/>
      <c r="AD65" s="257"/>
      <c r="AL65" s="255"/>
      <c r="AM65" s="257"/>
      <c r="BI65" s="255"/>
      <c r="BK65" s="246"/>
      <c r="BM65" s="12">
        <f t="shared" ref="BM65:BM92" si="2">IF(BM64=50,1,BM64+1)</f>
        <v>8</v>
      </c>
    </row>
    <row r="66" spans="1:65" s="243" customFormat="1" ht="15" customHeight="1" x14ac:dyDescent="0.25">
      <c r="A66" s="245"/>
      <c r="B66" s="257"/>
      <c r="K66" s="255"/>
      <c r="L66" s="257"/>
      <c r="T66" s="255"/>
      <c r="U66" s="257"/>
      <c r="AC66" s="255"/>
      <c r="AD66" s="257"/>
      <c r="AL66" s="255"/>
      <c r="AM66" s="257"/>
      <c r="BI66" s="255"/>
      <c r="BK66" s="246"/>
      <c r="BM66" s="12">
        <f t="shared" si="2"/>
        <v>9</v>
      </c>
    </row>
    <row r="67" spans="1:65" s="243" customFormat="1" ht="15" customHeight="1" x14ac:dyDescent="0.25">
      <c r="A67" s="245"/>
      <c r="B67" s="257"/>
      <c r="K67" s="255"/>
      <c r="L67" s="257"/>
      <c r="T67" s="255"/>
      <c r="U67" s="257"/>
      <c r="AC67" s="255"/>
      <c r="AD67" s="257"/>
      <c r="AL67" s="255"/>
      <c r="AM67" s="257"/>
      <c r="BI67" s="255"/>
      <c r="BK67" s="246"/>
      <c r="BM67" s="12">
        <f t="shared" si="2"/>
        <v>10</v>
      </c>
    </row>
    <row r="68" spans="1:65" s="243" customFormat="1" ht="15" customHeight="1" x14ac:dyDescent="0.25">
      <c r="A68" s="245"/>
      <c r="B68" s="257"/>
      <c r="K68" s="255"/>
      <c r="L68" s="257"/>
      <c r="T68" s="255"/>
      <c r="U68" s="257"/>
      <c r="AC68" s="255"/>
      <c r="AD68" s="257"/>
      <c r="AL68" s="255"/>
      <c r="AM68" s="257"/>
      <c r="BI68" s="255"/>
      <c r="BK68" s="246"/>
      <c r="BM68" s="12">
        <f t="shared" si="2"/>
        <v>11</v>
      </c>
    </row>
    <row r="69" spans="1:65" s="243" customFormat="1" ht="15" customHeight="1" x14ac:dyDescent="0.25">
      <c r="A69" s="245"/>
      <c r="B69" s="257"/>
      <c r="K69" s="255"/>
      <c r="L69" s="257"/>
      <c r="T69" s="255"/>
      <c r="U69" s="257"/>
      <c r="AC69" s="255"/>
      <c r="AD69" s="257"/>
      <c r="AL69" s="255"/>
      <c r="AM69" s="257"/>
      <c r="BI69" s="255"/>
      <c r="BK69" s="246"/>
      <c r="BM69" s="12">
        <f t="shared" si="2"/>
        <v>12</v>
      </c>
    </row>
    <row r="70" spans="1:65" s="243" customFormat="1" ht="15" customHeight="1" x14ac:dyDescent="0.25">
      <c r="A70" s="245"/>
      <c r="B70" s="257"/>
      <c r="K70" s="255"/>
      <c r="L70" s="257"/>
      <c r="T70" s="255"/>
      <c r="U70" s="257"/>
      <c r="AC70" s="255"/>
      <c r="AD70" s="257"/>
      <c r="AL70" s="255"/>
      <c r="AM70" s="257"/>
      <c r="BI70" s="255"/>
      <c r="BK70" s="246"/>
      <c r="BM70" s="12">
        <f t="shared" si="2"/>
        <v>13</v>
      </c>
    </row>
    <row r="71" spans="1:65" s="243" customFormat="1" ht="15" customHeight="1" x14ac:dyDescent="0.25">
      <c r="A71" s="245"/>
      <c r="B71" s="257"/>
      <c r="K71" s="255"/>
      <c r="L71" s="257"/>
      <c r="T71" s="255"/>
      <c r="U71" s="257"/>
      <c r="AC71" s="255"/>
      <c r="AD71" s="257"/>
      <c r="AL71" s="255"/>
      <c r="AM71" s="257"/>
      <c r="BI71" s="255"/>
      <c r="BK71" s="246"/>
      <c r="BM71" s="12">
        <f t="shared" si="2"/>
        <v>14</v>
      </c>
    </row>
    <row r="72" spans="1:65" s="243" customFormat="1" ht="15" customHeight="1" x14ac:dyDescent="0.25">
      <c r="A72" s="245"/>
      <c r="B72" s="257"/>
      <c r="K72" s="255"/>
      <c r="L72" s="257"/>
      <c r="T72" s="255"/>
      <c r="U72" s="257"/>
      <c r="AC72" s="255"/>
      <c r="AD72" s="257"/>
      <c r="AL72" s="255"/>
      <c r="AM72" s="257"/>
      <c r="BI72" s="255"/>
      <c r="BK72" s="246"/>
      <c r="BM72" s="12">
        <f t="shared" si="2"/>
        <v>15</v>
      </c>
    </row>
    <row r="73" spans="1:65" s="243" customFormat="1" ht="15" customHeight="1" x14ac:dyDescent="0.25">
      <c r="A73" s="245"/>
      <c r="B73" s="257"/>
      <c r="K73" s="255"/>
      <c r="L73" s="257"/>
      <c r="T73" s="255"/>
      <c r="U73" s="257"/>
      <c r="AC73" s="255"/>
      <c r="AD73" s="257"/>
      <c r="AL73" s="255"/>
      <c r="AM73" s="257"/>
      <c r="BI73" s="255"/>
      <c r="BK73" s="246"/>
      <c r="BM73" s="12">
        <f t="shared" si="2"/>
        <v>16</v>
      </c>
    </row>
    <row r="74" spans="1:65" s="243" customFormat="1" ht="15" customHeight="1" x14ac:dyDescent="0.25">
      <c r="A74" s="245"/>
      <c r="B74" s="257"/>
      <c r="K74" s="255"/>
      <c r="L74" s="257"/>
      <c r="T74" s="255"/>
      <c r="U74" s="257"/>
      <c r="AC74" s="255"/>
      <c r="AD74" s="257"/>
      <c r="AL74" s="255"/>
      <c r="AM74" s="257"/>
      <c r="BI74" s="255"/>
      <c r="BK74" s="246"/>
      <c r="BM74" s="12">
        <f t="shared" si="2"/>
        <v>17</v>
      </c>
    </row>
    <row r="75" spans="1:65" s="243" customFormat="1" ht="15" customHeight="1" x14ac:dyDescent="0.25">
      <c r="A75" s="245"/>
      <c r="B75" s="257"/>
      <c r="K75" s="255"/>
      <c r="L75" s="257"/>
      <c r="T75" s="255"/>
      <c r="U75" s="257"/>
      <c r="AC75" s="255"/>
      <c r="AD75" s="257"/>
      <c r="AL75" s="255"/>
      <c r="AM75" s="257"/>
      <c r="BI75" s="255"/>
      <c r="BK75" s="246"/>
      <c r="BM75" s="12">
        <f t="shared" si="2"/>
        <v>18</v>
      </c>
    </row>
    <row r="76" spans="1:65" s="243" customFormat="1" ht="15" customHeight="1" x14ac:dyDescent="0.25">
      <c r="A76" s="245"/>
      <c r="B76" s="257"/>
      <c r="K76" s="255"/>
      <c r="L76" s="257"/>
      <c r="T76" s="255"/>
      <c r="U76" s="257"/>
      <c r="AC76" s="255"/>
      <c r="AD76" s="257"/>
      <c r="AL76" s="255"/>
      <c r="AM76" s="257"/>
      <c r="BI76" s="255"/>
      <c r="BK76" s="246"/>
      <c r="BM76" s="12">
        <f t="shared" si="2"/>
        <v>19</v>
      </c>
    </row>
    <row r="77" spans="1:65" s="243" customFormat="1" ht="15" customHeight="1" x14ac:dyDescent="0.25">
      <c r="A77" s="245"/>
      <c r="B77" s="257"/>
      <c r="K77" s="255"/>
      <c r="L77" s="257"/>
      <c r="T77" s="255"/>
      <c r="U77" s="257"/>
      <c r="AC77" s="255"/>
      <c r="AD77" s="257"/>
      <c r="AL77" s="255"/>
      <c r="AM77" s="257"/>
      <c r="BI77" s="255"/>
      <c r="BK77" s="246"/>
      <c r="BM77" s="12">
        <f t="shared" si="2"/>
        <v>20</v>
      </c>
    </row>
    <row r="78" spans="1:65" s="243" customFormat="1" ht="15" customHeight="1" x14ac:dyDescent="0.25">
      <c r="A78" s="245"/>
      <c r="B78" s="257"/>
      <c r="K78" s="255"/>
      <c r="L78" s="257"/>
      <c r="T78" s="255"/>
      <c r="U78" s="257"/>
      <c r="AC78" s="255"/>
      <c r="AD78" s="257"/>
      <c r="AL78" s="255"/>
      <c r="AM78" s="257"/>
      <c r="BI78" s="255"/>
      <c r="BK78" s="246"/>
      <c r="BM78" s="12">
        <f t="shared" si="2"/>
        <v>21</v>
      </c>
    </row>
    <row r="79" spans="1:65" s="243" customFormat="1" ht="15" customHeight="1" x14ac:dyDescent="0.25">
      <c r="A79" s="245"/>
      <c r="B79" s="257"/>
      <c r="K79" s="255"/>
      <c r="L79" s="257"/>
      <c r="T79" s="255"/>
      <c r="U79" s="257"/>
      <c r="AC79" s="255"/>
      <c r="AD79" s="257"/>
      <c r="AL79" s="255"/>
      <c r="AM79" s="257"/>
      <c r="BI79" s="255"/>
      <c r="BK79" s="246"/>
      <c r="BM79" s="12">
        <f t="shared" si="2"/>
        <v>22</v>
      </c>
    </row>
    <row r="80" spans="1:65" s="243" customFormat="1" ht="15" customHeight="1" x14ac:dyDescent="0.25">
      <c r="A80" s="245"/>
      <c r="B80" s="257"/>
      <c r="K80" s="255"/>
      <c r="L80" s="257"/>
      <c r="T80" s="255"/>
      <c r="U80" s="257"/>
      <c r="AC80" s="255"/>
      <c r="AD80" s="257"/>
      <c r="AL80" s="255"/>
      <c r="AM80" s="257"/>
      <c r="BI80" s="255"/>
      <c r="BK80" s="246"/>
      <c r="BM80" s="12">
        <f t="shared" si="2"/>
        <v>23</v>
      </c>
    </row>
    <row r="81" spans="1:65" s="243" customFormat="1" ht="15" customHeight="1" x14ac:dyDescent="0.25">
      <c r="A81" s="245"/>
      <c r="B81" s="257"/>
      <c r="K81" s="255"/>
      <c r="L81" s="257"/>
      <c r="T81" s="255"/>
      <c r="U81" s="257"/>
      <c r="AC81" s="255"/>
      <c r="AD81" s="257"/>
      <c r="AL81" s="255"/>
      <c r="AM81" s="257"/>
      <c r="BI81" s="255"/>
      <c r="BK81" s="246"/>
      <c r="BM81" s="12">
        <f t="shared" si="2"/>
        <v>24</v>
      </c>
    </row>
    <row r="82" spans="1:65" s="243" customFormat="1" ht="15" customHeight="1" x14ac:dyDescent="0.25">
      <c r="A82" s="245"/>
      <c r="B82" s="257"/>
      <c r="K82" s="255"/>
      <c r="L82" s="257"/>
      <c r="T82" s="255"/>
      <c r="U82" s="257"/>
      <c r="AC82" s="255"/>
      <c r="AD82" s="257"/>
      <c r="AL82" s="255"/>
      <c r="AM82" s="257"/>
      <c r="BI82" s="255"/>
      <c r="BK82" s="246"/>
      <c r="BM82" s="12">
        <f t="shared" si="2"/>
        <v>25</v>
      </c>
    </row>
    <row r="83" spans="1:65" s="243" customFormat="1" ht="15" customHeight="1" x14ac:dyDescent="0.25">
      <c r="A83" s="245"/>
      <c r="B83" s="257"/>
      <c r="K83" s="255"/>
      <c r="L83" s="257"/>
      <c r="T83" s="255"/>
      <c r="U83" s="257"/>
      <c r="AC83" s="255"/>
      <c r="AD83" s="257"/>
      <c r="AL83" s="255"/>
      <c r="AM83" s="257"/>
      <c r="BI83" s="255"/>
      <c r="BK83" s="246"/>
      <c r="BM83" s="12">
        <f t="shared" si="2"/>
        <v>26</v>
      </c>
    </row>
    <row r="84" spans="1:65" s="243" customFormat="1" ht="15" customHeight="1" x14ac:dyDescent="0.25">
      <c r="A84" s="245"/>
      <c r="B84" s="257"/>
      <c r="K84" s="255"/>
      <c r="L84" s="257"/>
      <c r="T84" s="255"/>
      <c r="U84" s="257"/>
      <c r="AC84" s="255"/>
      <c r="AD84" s="257"/>
      <c r="AL84" s="255"/>
      <c r="AM84" s="257"/>
      <c r="BI84" s="255"/>
      <c r="BK84" s="246"/>
      <c r="BM84" s="12">
        <f t="shared" si="2"/>
        <v>27</v>
      </c>
    </row>
    <row r="85" spans="1:65" s="243" customFormat="1" ht="15" customHeight="1" x14ac:dyDescent="0.25">
      <c r="A85" s="245"/>
      <c r="B85" s="257"/>
      <c r="K85" s="255"/>
      <c r="L85" s="257"/>
      <c r="T85" s="255"/>
      <c r="U85" s="257"/>
      <c r="AC85" s="255"/>
      <c r="AD85" s="257"/>
      <c r="AL85" s="255"/>
      <c r="AM85" s="257"/>
      <c r="BI85" s="255"/>
      <c r="BK85" s="246"/>
      <c r="BM85" s="12">
        <f t="shared" si="2"/>
        <v>28</v>
      </c>
    </row>
    <row r="86" spans="1:65" s="243" customFormat="1" ht="15" customHeight="1" x14ac:dyDescent="0.25">
      <c r="A86" s="245"/>
      <c r="B86" s="257"/>
      <c r="K86" s="255"/>
      <c r="L86" s="257"/>
      <c r="T86" s="255"/>
      <c r="U86" s="257"/>
      <c r="AC86" s="255"/>
      <c r="AD86" s="257"/>
      <c r="AL86" s="255"/>
      <c r="AM86" s="257"/>
      <c r="BI86" s="255"/>
      <c r="BK86" s="246"/>
      <c r="BM86" s="12">
        <f t="shared" si="2"/>
        <v>29</v>
      </c>
    </row>
    <row r="87" spans="1:65" s="243" customFormat="1" ht="15" customHeight="1" x14ac:dyDescent="0.25">
      <c r="A87" s="245"/>
      <c r="B87" s="257"/>
      <c r="K87" s="255"/>
      <c r="L87" s="257"/>
      <c r="T87" s="255"/>
      <c r="U87" s="257"/>
      <c r="AC87" s="255"/>
      <c r="AD87" s="257"/>
      <c r="AL87" s="255"/>
      <c r="AM87" s="257"/>
      <c r="BI87" s="255"/>
      <c r="BK87" s="246"/>
      <c r="BM87" s="12">
        <f t="shared" si="2"/>
        <v>30</v>
      </c>
    </row>
    <row r="88" spans="1:65" s="243" customFormat="1" ht="15" customHeight="1" x14ac:dyDescent="0.25">
      <c r="A88" s="245"/>
      <c r="B88" s="257"/>
      <c r="K88" s="255"/>
      <c r="L88" s="257"/>
      <c r="T88" s="255"/>
      <c r="U88" s="257"/>
      <c r="AC88" s="255"/>
      <c r="AD88" s="257"/>
      <c r="AL88" s="255"/>
      <c r="AM88" s="257"/>
      <c r="BI88" s="255"/>
      <c r="BK88" s="246"/>
      <c r="BM88" s="12">
        <f t="shared" si="2"/>
        <v>31</v>
      </c>
    </row>
    <row r="89" spans="1:65" s="243" customFormat="1" ht="15" customHeight="1" x14ac:dyDescent="0.25">
      <c r="A89" s="245"/>
      <c r="B89" s="257"/>
      <c r="K89" s="255"/>
      <c r="L89" s="257"/>
      <c r="T89" s="255"/>
      <c r="U89" s="257"/>
      <c r="AC89" s="255"/>
      <c r="AD89" s="257"/>
      <c r="AL89" s="255"/>
      <c r="AM89" s="257"/>
      <c r="BI89" s="255"/>
      <c r="BK89" s="246"/>
      <c r="BM89" s="12">
        <f t="shared" si="2"/>
        <v>32</v>
      </c>
    </row>
    <row r="90" spans="1:65" s="243" customFormat="1" ht="15" customHeight="1" x14ac:dyDescent="0.25">
      <c r="A90" s="245"/>
      <c r="B90" s="257"/>
      <c r="K90" s="255"/>
      <c r="L90" s="257"/>
      <c r="T90" s="255"/>
      <c r="U90" s="257"/>
      <c r="AC90" s="255"/>
      <c r="AD90" s="257"/>
      <c r="AL90" s="255"/>
      <c r="AM90" s="257"/>
      <c r="BI90" s="255"/>
      <c r="BK90" s="246"/>
      <c r="BM90" s="12">
        <f t="shared" si="2"/>
        <v>33</v>
      </c>
    </row>
    <row r="91" spans="1:65" s="243" customFormat="1" ht="15" customHeight="1" x14ac:dyDescent="0.25">
      <c r="A91" s="245"/>
      <c r="B91" s="257"/>
      <c r="K91" s="255"/>
      <c r="L91" s="257"/>
      <c r="T91" s="255"/>
      <c r="U91" s="257"/>
      <c r="AC91" s="255"/>
      <c r="AD91" s="257"/>
      <c r="AL91" s="255"/>
      <c r="AM91" s="257"/>
      <c r="BI91" s="255"/>
      <c r="BK91" s="246"/>
      <c r="BM91" s="12">
        <f t="shared" si="2"/>
        <v>34</v>
      </c>
    </row>
    <row r="92" spans="1:65" s="243" customFormat="1" ht="15" customHeight="1" x14ac:dyDescent="0.25">
      <c r="A92" s="247"/>
      <c r="B92" s="258"/>
      <c r="C92" s="248"/>
      <c r="D92" s="248"/>
      <c r="E92" s="248"/>
      <c r="F92" s="248"/>
      <c r="G92" s="248"/>
      <c r="H92" s="248"/>
      <c r="I92" s="248"/>
      <c r="J92" s="248"/>
      <c r="K92" s="259"/>
      <c r="L92" s="258"/>
      <c r="M92" s="248"/>
      <c r="N92" s="248"/>
      <c r="O92" s="248"/>
      <c r="P92" s="248"/>
      <c r="Q92" s="248"/>
      <c r="R92" s="248"/>
      <c r="S92" s="248"/>
      <c r="T92" s="259"/>
      <c r="U92" s="258"/>
      <c r="V92" s="248"/>
      <c r="W92" s="248"/>
      <c r="X92" s="248"/>
      <c r="Y92" s="248"/>
      <c r="Z92" s="248"/>
      <c r="AA92" s="248"/>
      <c r="AB92" s="248"/>
      <c r="AC92" s="259"/>
      <c r="AD92" s="258"/>
      <c r="AE92" s="248"/>
      <c r="AF92" s="248"/>
      <c r="AG92" s="248"/>
      <c r="AH92" s="248"/>
      <c r="AI92" s="248"/>
      <c r="AJ92" s="248"/>
      <c r="AK92" s="248"/>
      <c r="AL92" s="259"/>
      <c r="AM92" s="258"/>
      <c r="AN92" s="248"/>
      <c r="AO92" s="248"/>
      <c r="AP92" s="248"/>
      <c r="AQ92" s="248"/>
      <c r="AR92" s="248"/>
      <c r="AS92" s="248"/>
      <c r="AT92" s="248"/>
      <c r="AU92" s="248"/>
      <c r="AV92" s="248"/>
      <c r="AW92" s="248"/>
      <c r="AX92" s="248"/>
      <c r="AY92" s="248"/>
      <c r="AZ92" s="248"/>
      <c r="BA92" s="248"/>
      <c r="BB92" s="248"/>
      <c r="BC92" s="248"/>
      <c r="BD92" s="248"/>
      <c r="BE92" s="248"/>
      <c r="BF92" s="248"/>
      <c r="BG92" s="248"/>
      <c r="BH92" s="248"/>
      <c r="BI92" s="259"/>
      <c r="BJ92" s="248"/>
      <c r="BK92" s="249"/>
      <c r="BM92" s="12">
        <f t="shared" si="2"/>
        <v>35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36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12" customWidth="1"/>
    <col min="64" max="16384" width="10.109375" style="12"/>
  </cols>
  <sheetData>
    <row r="1" spans="1:63" ht="24.95" customHeight="1" x14ac:dyDescent="0.25">
      <c r="A1" s="260" t="s">
        <v>35</v>
      </c>
      <c r="B1" s="261"/>
      <c r="C1" s="261"/>
      <c r="D1" s="261"/>
      <c r="E1" s="261"/>
      <c r="F1" s="261"/>
      <c r="G1" s="261"/>
      <c r="H1" s="261"/>
      <c r="I1" s="261"/>
      <c r="J1" s="262"/>
      <c r="K1" s="260" t="s">
        <v>36</v>
      </c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2"/>
      <c r="W1" s="263" t="str">
        <f>IF(表紙!W1="","",表紙!W1)</f>
        <v>基本設計書</v>
      </c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5"/>
      <c r="AP1" s="142" t="s">
        <v>38</v>
      </c>
      <c r="AQ1" s="143"/>
      <c r="AR1" s="143"/>
      <c r="AS1" s="144"/>
      <c r="AT1" s="142" t="s">
        <v>39</v>
      </c>
      <c r="AU1" s="143"/>
      <c r="AV1" s="143"/>
      <c r="AW1" s="143"/>
      <c r="AX1" s="144"/>
      <c r="AY1" s="142" t="s">
        <v>40</v>
      </c>
      <c r="AZ1" s="143"/>
      <c r="BA1" s="143"/>
      <c r="BB1" s="144"/>
      <c r="BC1" s="142" t="s">
        <v>41</v>
      </c>
      <c r="BD1" s="143"/>
      <c r="BE1" s="143"/>
      <c r="BF1" s="143"/>
      <c r="BG1" s="144"/>
      <c r="BH1" s="142" t="s">
        <v>42</v>
      </c>
      <c r="BI1" s="143"/>
      <c r="BJ1" s="143"/>
      <c r="BK1" s="144"/>
    </row>
    <row r="2" spans="1:63" ht="15" customHeight="1" x14ac:dyDescent="0.25">
      <c r="A2" s="136" t="str">
        <f>IF(表紙!A2="","",表紙!A2)</f>
        <v>POSサーバー</v>
      </c>
      <c r="B2" s="137"/>
      <c r="C2" s="137"/>
      <c r="D2" s="137"/>
      <c r="E2" s="137"/>
      <c r="F2" s="137"/>
      <c r="G2" s="137"/>
      <c r="H2" s="137"/>
      <c r="I2" s="137"/>
      <c r="J2" s="138"/>
      <c r="K2" s="136" t="str">
        <f>IF(表紙!K2="","",表紙!K2)</f>
        <v>POSサーバ</v>
      </c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8"/>
      <c r="W2" s="266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8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3" ht="15" customHeight="1" x14ac:dyDescent="0.25">
      <c r="A3" s="139"/>
      <c r="B3" s="140"/>
      <c r="C3" s="140"/>
      <c r="D3" s="140"/>
      <c r="E3" s="140"/>
      <c r="F3" s="140"/>
      <c r="G3" s="140"/>
      <c r="H3" s="140"/>
      <c r="I3" s="140"/>
      <c r="J3" s="141"/>
      <c r="K3" s="139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1"/>
      <c r="W3" s="269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1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3" ht="24.95" customHeight="1" x14ac:dyDescent="0.25">
      <c r="A4" s="260" t="s">
        <v>44</v>
      </c>
      <c r="B4" s="261"/>
      <c r="C4" s="261"/>
      <c r="D4" s="261"/>
      <c r="E4" s="261"/>
      <c r="F4" s="261"/>
      <c r="G4" s="262"/>
      <c r="H4" s="114" t="str">
        <f>IF(表紙!H4="","",表紙!H4)</f>
        <v>41_名称マスタ設定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260" t="s">
        <v>45</v>
      </c>
      <c r="V4" s="261"/>
      <c r="W4" s="261"/>
      <c r="X4" s="261"/>
      <c r="Y4" s="262"/>
      <c r="Z4" s="114" t="str">
        <f>IF(表紙!Z4="","",表紙!Z4)</f>
        <v>概要設計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7" t="str">
        <f ca="1">MID(CELL("filename",A1),FIND("]",CELL("filename",A1))+1,255)</f>
        <v>画面設計書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6"/>
      <c r="BK6" s="17"/>
    </row>
    <row r="7" spans="1:63" ht="15" customHeight="1" x14ac:dyDescent="0.25">
      <c r="A7" s="16"/>
      <c r="B7" s="272" t="s">
        <v>15</v>
      </c>
      <c r="C7" s="272"/>
      <c r="D7" s="272"/>
      <c r="E7" s="272"/>
      <c r="F7" s="272"/>
      <c r="G7" s="272"/>
      <c r="H7" s="272"/>
      <c r="I7" s="272"/>
      <c r="J7" s="272"/>
      <c r="AE7" s="18"/>
      <c r="BK7" s="17"/>
    </row>
    <row r="8" spans="1:63" ht="15" customHeight="1" x14ac:dyDescent="0.25">
      <c r="A8" s="16"/>
      <c r="BK8" s="17"/>
    </row>
    <row r="9" spans="1:63" ht="15" customHeight="1" x14ac:dyDescent="0.25">
      <c r="A9" s="16"/>
      <c r="BK9" s="17"/>
    </row>
    <row r="10" spans="1:63" ht="15" customHeight="1" x14ac:dyDescent="0.25">
      <c r="A10" s="16"/>
      <c r="BK10" s="17"/>
    </row>
    <row r="11" spans="1:63" ht="15" customHeight="1" x14ac:dyDescent="0.25">
      <c r="A11" s="16"/>
      <c r="BK11" s="17"/>
    </row>
    <row r="12" spans="1:63" ht="15" customHeight="1" x14ac:dyDescent="0.25">
      <c r="A12" s="16"/>
      <c r="BK12" s="17"/>
    </row>
    <row r="13" spans="1:63" ht="15" customHeight="1" x14ac:dyDescent="0.25">
      <c r="A13" s="16"/>
      <c r="BK13" s="17"/>
    </row>
    <row r="14" spans="1:63" ht="15" customHeight="1" x14ac:dyDescent="0.25">
      <c r="A14" s="16"/>
      <c r="BK14" s="17"/>
    </row>
    <row r="15" spans="1:63" ht="15" customHeight="1" x14ac:dyDescent="0.25">
      <c r="A15" s="16"/>
      <c r="BK15" s="17"/>
    </row>
    <row r="16" spans="1:63" ht="15" customHeight="1" x14ac:dyDescent="0.25">
      <c r="A16" s="16"/>
      <c r="BK16" s="17"/>
    </row>
    <row r="17" spans="1:63" ht="15" customHeight="1" x14ac:dyDescent="0.25">
      <c r="A17" s="16"/>
      <c r="BK17" s="17"/>
    </row>
    <row r="18" spans="1:63" ht="15" customHeight="1" x14ac:dyDescent="0.25">
      <c r="A18" s="16"/>
      <c r="BK18" s="17"/>
    </row>
    <row r="19" spans="1:63" ht="15" customHeight="1" x14ac:dyDescent="0.25">
      <c r="A19" s="16"/>
      <c r="BK19" s="17"/>
    </row>
    <row r="20" spans="1:63" ht="15" customHeight="1" x14ac:dyDescent="0.25">
      <c r="A20" s="16"/>
      <c r="BK20" s="17"/>
    </row>
    <row r="21" spans="1:63" ht="15" customHeight="1" x14ac:dyDescent="0.25">
      <c r="A21" s="16"/>
      <c r="BK21" s="17"/>
    </row>
    <row r="22" spans="1:63" ht="15" customHeight="1" x14ac:dyDescent="0.25">
      <c r="A22" s="16"/>
      <c r="BK22" s="17"/>
    </row>
    <row r="23" spans="1:63" ht="15" customHeight="1" x14ac:dyDescent="0.25">
      <c r="A23" s="16"/>
      <c r="BK23" s="17"/>
    </row>
    <row r="24" spans="1:63" ht="15" customHeight="1" x14ac:dyDescent="0.25">
      <c r="A24" s="16"/>
      <c r="BK24" s="17"/>
    </row>
    <row r="25" spans="1:63" ht="14.25" customHeight="1" x14ac:dyDescent="0.25">
      <c r="A25" s="16"/>
      <c r="BK25" s="17"/>
    </row>
    <row r="26" spans="1:63" ht="15" customHeight="1" x14ac:dyDescent="0.25">
      <c r="A26" s="16"/>
      <c r="BK26" s="17"/>
    </row>
    <row r="27" spans="1:63" ht="15" customHeight="1" x14ac:dyDescent="0.25">
      <c r="A27" s="16"/>
      <c r="BK27" s="17"/>
    </row>
    <row r="28" spans="1:63" x14ac:dyDescent="0.25">
      <c r="BK28" s="17"/>
    </row>
    <row r="29" spans="1:63" x14ac:dyDescent="0.25">
      <c r="BK29" s="17"/>
    </row>
    <row r="30" spans="1:63" x14ac:dyDescent="0.25">
      <c r="BK30" s="17"/>
    </row>
    <row r="31" spans="1:63" x14ac:dyDescent="0.25">
      <c r="BK31" s="17"/>
    </row>
    <row r="32" spans="1:63" x14ac:dyDescent="0.25">
      <c r="BK32" s="17"/>
    </row>
    <row r="33" spans="1:63" x14ac:dyDescent="0.25">
      <c r="BK33" s="17"/>
    </row>
    <row r="34" spans="1:63" x14ac:dyDescent="0.25">
      <c r="BK34" s="17"/>
    </row>
    <row r="35" spans="1:63" ht="15" customHeight="1" x14ac:dyDescent="0.25">
      <c r="A35" s="16"/>
      <c r="B35" s="18" t="s">
        <v>55</v>
      </c>
      <c r="BK35" s="17"/>
    </row>
    <row r="36" spans="1:63" x14ac:dyDescent="0.25">
      <c r="BK36" s="17"/>
    </row>
    <row r="37" spans="1:63" ht="15.75" customHeight="1" x14ac:dyDescent="0.25">
      <c r="B37" s="118" t="s">
        <v>56</v>
      </c>
      <c r="C37" s="119"/>
      <c r="D37" s="124" t="s">
        <v>57</v>
      </c>
      <c r="E37" s="125"/>
      <c r="F37" s="125"/>
      <c r="G37" s="125"/>
      <c r="H37" s="125"/>
      <c r="I37" s="125"/>
      <c r="J37" s="119"/>
      <c r="K37" s="124" t="s">
        <v>58</v>
      </c>
      <c r="L37" s="125"/>
      <c r="M37" s="119"/>
      <c r="N37" s="128" t="s">
        <v>16</v>
      </c>
      <c r="O37" s="131" t="s">
        <v>59</v>
      </c>
      <c r="P37" s="78" t="s">
        <v>60</v>
      </c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80"/>
      <c r="AR37" s="81" t="s">
        <v>61</v>
      </c>
      <c r="AS37" s="82"/>
      <c r="AT37" s="82"/>
      <c r="AU37" s="82"/>
      <c r="AV37" s="82"/>
      <c r="AW37" s="82"/>
      <c r="AX37" s="82"/>
      <c r="AY37" s="82"/>
      <c r="AZ37" s="82"/>
      <c r="BA37" s="82"/>
      <c r="BB37" s="83"/>
      <c r="BC37" s="84" t="s">
        <v>62</v>
      </c>
      <c r="BD37" s="85"/>
      <c r="BE37" s="85"/>
      <c r="BF37" s="85"/>
      <c r="BG37" s="85"/>
      <c r="BH37" s="85"/>
      <c r="BI37" s="85"/>
      <c r="BJ37" s="86"/>
      <c r="BK37" s="17"/>
    </row>
    <row r="38" spans="1:63" ht="15.75" customHeight="1" x14ac:dyDescent="0.25">
      <c r="B38" s="120"/>
      <c r="C38" s="121"/>
      <c r="D38" s="120"/>
      <c r="E38" s="126"/>
      <c r="F38" s="126"/>
      <c r="G38" s="126"/>
      <c r="H38" s="126"/>
      <c r="I38" s="126"/>
      <c r="J38" s="121"/>
      <c r="K38" s="120"/>
      <c r="L38" s="126"/>
      <c r="M38" s="121"/>
      <c r="N38" s="129"/>
      <c r="O38" s="132"/>
      <c r="P38" s="93" t="s">
        <v>63</v>
      </c>
      <c r="Q38" s="94"/>
      <c r="R38" s="94"/>
      <c r="S38" s="94"/>
      <c r="T38" s="94"/>
      <c r="U38" s="94"/>
      <c r="V38" s="94"/>
      <c r="W38" s="95"/>
      <c r="X38" s="96" t="s">
        <v>64</v>
      </c>
      <c r="Y38" s="97"/>
      <c r="Z38" s="98"/>
      <c r="AA38" s="96" t="s">
        <v>65</v>
      </c>
      <c r="AB38" s="97"/>
      <c r="AC38" s="97"/>
      <c r="AD38" s="97"/>
      <c r="AE38" s="97"/>
      <c r="AF38" s="97"/>
      <c r="AG38" s="97"/>
      <c r="AH38" s="98"/>
      <c r="AI38" s="96" t="s">
        <v>66</v>
      </c>
      <c r="AJ38" s="97"/>
      <c r="AK38" s="97"/>
      <c r="AL38" s="97"/>
      <c r="AM38" s="97"/>
      <c r="AN38" s="97"/>
      <c r="AO38" s="97"/>
      <c r="AP38" s="97"/>
      <c r="AQ38" s="98"/>
      <c r="AR38" s="102" t="s">
        <v>17</v>
      </c>
      <c r="AS38" s="104" t="s">
        <v>67</v>
      </c>
      <c r="AT38" s="106" t="s">
        <v>68</v>
      </c>
      <c r="AU38" s="81" t="s">
        <v>63</v>
      </c>
      <c r="AV38" s="82"/>
      <c r="AW38" s="82"/>
      <c r="AX38" s="82"/>
      <c r="AY38" s="82"/>
      <c r="AZ38" s="82"/>
      <c r="BA38" s="82"/>
      <c r="BB38" s="83"/>
      <c r="BC38" s="87"/>
      <c r="BD38" s="88"/>
      <c r="BE38" s="88"/>
      <c r="BF38" s="88"/>
      <c r="BG38" s="88"/>
      <c r="BH38" s="88"/>
      <c r="BI38" s="88"/>
      <c r="BJ38" s="89"/>
      <c r="BK38" s="17"/>
    </row>
    <row r="39" spans="1:63" x14ac:dyDescent="0.25">
      <c r="B39" s="122"/>
      <c r="C39" s="123"/>
      <c r="D39" s="122"/>
      <c r="E39" s="127"/>
      <c r="F39" s="127"/>
      <c r="G39" s="127"/>
      <c r="H39" s="127"/>
      <c r="I39" s="127"/>
      <c r="J39" s="123"/>
      <c r="K39" s="122"/>
      <c r="L39" s="127"/>
      <c r="M39" s="123"/>
      <c r="N39" s="130"/>
      <c r="O39" s="133"/>
      <c r="P39" s="78" t="s">
        <v>69</v>
      </c>
      <c r="Q39" s="79"/>
      <c r="R39" s="79"/>
      <c r="S39" s="80"/>
      <c r="T39" s="78" t="s">
        <v>57</v>
      </c>
      <c r="U39" s="79"/>
      <c r="V39" s="79"/>
      <c r="W39" s="80"/>
      <c r="X39" s="99"/>
      <c r="Y39" s="100"/>
      <c r="Z39" s="101"/>
      <c r="AA39" s="99"/>
      <c r="AB39" s="100"/>
      <c r="AC39" s="100"/>
      <c r="AD39" s="100"/>
      <c r="AE39" s="100"/>
      <c r="AF39" s="100"/>
      <c r="AG39" s="100"/>
      <c r="AH39" s="101"/>
      <c r="AI39" s="99"/>
      <c r="AJ39" s="100"/>
      <c r="AK39" s="100"/>
      <c r="AL39" s="100"/>
      <c r="AM39" s="100"/>
      <c r="AN39" s="100"/>
      <c r="AO39" s="100"/>
      <c r="AP39" s="100"/>
      <c r="AQ39" s="101"/>
      <c r="AR39" s="103"/>
      <c r="AS39" s="105"/>
      <c r="AT39" s="107"/>
      <c r="AU39" s="81" t="s">
        <v>69</v>
      </c>
      <c r="AV39" s="82"/>
      <c r="AW39" s="82"/>
      <c r="AX39" s="134"/>
      <c r="AY39" s="135" t="s">
        <v>57</v>
      </c>
      <c r="AZ39" s="82"/>
      <c r="BA39" s="82"/>
      <c r="BB39" s="83"/>
      <c r="BC39" s="90"/>
      <c r="BD39" s="91"/>
      <c r="BE39" s="91"/>
      <c r="BF39" s="91"/>
      <c r="BG39" s="91"/>
      <c r="BH39" s="91"/>
      <c r="BI39" s="91"/>
      <c r="BJ39" s="92"/>
      <c r="BK39" s="17"/>
    </row>
    <row r="40" spans="1:63" ht="15.75" customHeight="1" x14ac:dyDescent="0.25">
      <c r="B40" s="71">
        <v>1</v>
      </c>
      <c r="C40" s="72"/>
      <c r="D40" s="73"/>
      <c r="E40" s="74"/>
      <c r="F40" s="74"/>
      <c r="G40" s="74"/>
      <c r="H40" s="74"/>
      <c r="I40" s="74"/>
      <c r="J40" s="75"/>
      <c r="K40" s="57" t="s">
        <v>18</v>
      </c>
      <c r="L40" s="58"/>
      <c r="M40" s="59"/>
      <c r="N40" s="19" t="s">
        <v>19</v>
      </c>
      <c r="O40" s="20" t="s">
        <v>20</v>
      </c>
      <c r="P40" s="76" t="s">
        <v>19</v>
      </c>
      <c r="Q40" s="77"/>
      <c r="R40" s="77"/>
      <c r="S40" s="72"/>
      <c r="T40" s="76" t="s">
        <v>19</v>
      </c>
      <c r="U40" s="77"/>
      <c r="V40" s="77"/>
      <c r="W40" s="72"/>
      <c r="X40" s="108" t="s">
        <v>54</v>
      </c>
      <c r="Y40" s="109"/>
      <c r="Z40" s="110"/>
      <c r="AA40" s="71" t="s">
        <v>21</v>
      </c>
      <c r="AB40" s="77"/>
      <c r="AC40" s="77"/>
      <c r="AD40" s="77"/>
      <c r="AE40" s="77"/>
      <c r="AF40" s="77"/>
      <c r="AG40" s="77"/>
      <c r="AH40" s="72"/>
      <c r="AI40" s="111" t="s">
        <v>19</v>
      </c>
      <c r="AJ40" s="112"/>
      <c r="AK40" s="112"/>
      <c r="AL40" s="112"/>
      <c r="AM40" s="112"/>
      <c r="AN40" s="112"/>
      <c r="AO40" s="112"/>
      <c r="AP40" s="112"/>
      <c r="AQ40" s="113"/>
      <c r="AR40" s="21" t="s">
        <v>19</v>
      </c>
      <c r="AS40" s="21" t="s">
        <v>21</v>
      </c>
      <c r="AT40" s="21" t="s">
        <v>21</v>
      </c>
      <c r="AU40" s="71" t="s">
        <v>22</v>
      </c>
      <c r="AV40" s="77"/>
      <c r="AW40" s="77"/>
      <c r="AX40" s="72"/>
      <c r="AY40" s="71" t="s">
        <v>21</v>
      </c>
      <c r="AZ40" s="77"/>
      <c r="BA40" s="77"/>
      <c r="BB40" s="72"/>
      <c r="BC40" s="273"/>
      <c r="BD40" s="274"/>
      <c r="BE40" s="274"/>
      <c r="BF40" s="274"/>
      <c r="BG40" s="274"/>
      <c r="BH40" s="274"/>
      <c r="BI40" s="274"/>
      <c r="BJ40" s="275"/>
      <c r="BK40" s="17"/>
    </row>
    <row r="41" spans="1:63" x14ac:dyDescent="0.25">
      <c r="B41" s="50">
        <v>2</v>
      </c>
      <c r="C41" s="49"/>
      <c r="D41" s="68"/>
      <c r="E41" s="69"/>
      <c r="F41" s="69"/>
      <c r="G41" s="69"/>
      <c r="H41" s="69"/>
      <c r="I41" s="69"/>
      <c r="J41" s="70"/>
      <c r="K41" s="57" t="s">
        <v>18</v>
      </c>
      <c r="L41" s="58"/>
      <c r="M41" s="59"/>
      <c r="N41" s="20" t="s">
        <v>23</v>
      </c>
      <c r="O41" s="20" t="s">
        <v>20</v>
      </c>
      <c r="P41" s="50" t="s">
        <v>22</v>
      </c>
      <c r="Q41" s="48"/>
      <c r="R41" s="48"/>
      <c r="S41" s="49"/>
      <c r="T41" s="50" t="s">
        <v>22</v>
      </c>
      <c r="U41" s="48"/>
      <c r="V41" s="48"/>
      <c r="W41" s="49"/>
      <c r="X41" s="64" t="s">
        <v>70</v>
      </c>
      <c r="Y41" s="65"/>
      <c r="Z41" s="66"/>
      <c r="AA41" s="50" t="s">
        <v>21</v>
      </c>
      <c r="AB41" s="48"/>
      <c r="AC41" s="48"/>
      <c r="AD41" s="48"/>
      <c r="AE41" s="48"/>
      <c r="AF41" s="48"/>
      <c r="AG41" s="48"/>
      <c r="AH41" s="49"/>
      <c r="AI41" s="51" t="s">
        <v>21</v>
      </c>
      <c r="AJ41" s="52"/>
      <c r="AK41" s="52"/>
      <c r="AL41" s="52"/>
      <c r="AM41" s="52"/>
      <c r="AN41" s="52"/>
      <c r="AO41" s="52"/>
      <c r="AP41" s="52"/>
      <c r="AQ41" s="53"/>
      <c r="AR41" s="22" t="s">
        <v>19</v>
      </c>
      <c r="AS41" s="22" t="s">
        <v>21</v>
      </c>
      <c r="AT41" s="22" t="s">
        <v>21</v>
      </c>
      <c r="AU41" s="50" t="s">
        <v>22</v>
      </c>
      <c r="AV41" s="48"/>
      <c r="AW41" s="48"/>
      <c r="AX41" s="49"/>
      <c r="AY41" s="50" t="s">
        <v>21</v>
      </c>
      <c r="AZ41" s="48"/>
      <c r="BA41" s="48"/>
      <c r="BB41" s="49"/>
      <c r="BC41" s="63"/>
      <c r="BD41" s="276"/>
      <c r="BE41" s="276"/>
      <c r="BF41" s="276"/>
      <c r="BG41" s="276"/>
      <c r="BH41" s="276"/>
      <c r="BI41" s="276"/>
      <c r="BJ41" s="277"/>
      <c r="BK41" s="17"/>
    </row>
    <row r="42" spans="1:63" x14ac:dyDescent="0.25">
      <c r="B42" s="50">
        <v>3</v>
      </c>
      <c r="C42" s="49"/>
      <c r="D42" s="54"/>
      <c r="E42" s="55"/>
      <c r="F42" s="55"/>
      <c r="G42" s="55"/>
      <c r="H42" s="55"/>
      <c r="I42" s="55"/>
      <c r="J42" s="56"/>
      <c r="K42" s="57" t="s">
        <v>18</v>
      </c>
      <c r="L42" s="58"/>
      <c r="M42" s="59"/>
      <c r="N42" s="20" t="s">
        <v>24</v>
      </c>
      <c r="O42" s="20" t="s">
        <v>19</v>
      </c>
      <c r="P42" s="67" t="s">
        <v>19</v>
      </c>
      <c r="Q42" s="48"/>
      <c r="R42" s="48"/>
      <c r="S42" s="49"/>
      <c r="T42" s="50"/>
      <c r="U42" s="48"/>
      <c r="V42" s="48"/>
      <c r="W42" s="49"/>
      <c r="X42" s="60" t="s">
        <v>19</v>
      </c>
      <c r="Y42" s="61"/>
      <c r="Z42" s="62"/>
      <c r="AA42" s="50" t="s">
        <v>21</v>
      </c>
      <c r="AB42" s="48"/>
      <c r="AC42" s="48"/>
      <c r="AD42" s="48"/>
      <c r="AE42" s="48"/>
      <c r="AF42" s="48"/>
      <c r="AG42" s="48"/>
      <c r="AH42" s="49"/>
      <c r="AI42" s="51" t="s">
        <v>21</v>
      </c>
      <c r="AJ42" s="52"/>
      <c r="AK42" s="52"/>
      <c r="AL42" s="52"/>
      <c r="AM42" s="52"/>
      <c r="AN42" s="52"/>
      <c r="AO42" s="52"/>
      <c r="AP42" s="52"/>
      <c r="AQ42" s="53"/>
      <c r="AR42" s="22" t="s">
        <v>19</v>
      </c>
      <c r="AS42" s="22" t="s">
        <v>21</v>
      </c>
      <c r="AT42" s="22" t="s">
        <v>21</v>
      </c>
      <c r="AU42" s="50" t="s">
        <v>22</v>
      </c>
      <c r="AV42" s="48"/>
      <c r="AW42" s="48"/>
      <c r="AX42" s="49"/>
      <c r="AY42" s="50" t="s">
        <v>21</v>
      </c>
      <c r="AZ42" s="48"/>
      <c r="BA42" s="48"/>
      <c r="BB42" s="49"/>
      <c r="BC42" s="278"/>
      <c r="BD42" s="276"/>
      <c r="BE42" s="276"/>
      <c r="BF42" s="276"/>
      <c r="BG42" s="276"/>
      <c r="BH42" s="276"/>
      <c r="BI42" s="276"/>
      <c r="BJ42" s="277"/>
      <c r="BK42" s="17"/>
    </row>
    <row r="43" spans="1:63" x14ac:dyDescent="0.25">
      <c r="B43" s="50">
        <v>4</v>
      </c>
      <c r="C43" s="49"/>
      <c r="D43" s="279"/>
      <c r="E43" s="280"/>
      <c r="F43" s="280"/>
      <c r="G43" s="280"/>
      <c r="H43" s="280"/>
      <c r="I43" s="280"/>
      <c r="J43" s="281"/>
      <c r="K43" s="57" t="s">
        <v>18</v>
      </c>
      <c r="L43" s="58"/>
      <c r="M43" s="59"/>
      <c r="N43" s="23" t="s">
        <v>23</v>
      </c>
      <c r="O43" s="20" t="s">
        <v>20</v>
      </c>
      <c r="P43" s="50" t="s">
        <v>22</v>
      </c>
      <c r="Q43" s="48"/>
      <c r="R43" s="48"/>
      <c r="S43" s="49"/>
      <c r="T43" s="50" t="s">
        <v>22</v>
      </c>
      <c r="U43" s="48"/>
      <c r="V43" s="48"/>
      <c r="W43" s="49"/>
      <c r="X43" s="47" t="s">
        <v>25</v>
      </c>
      <c r="Y43" s="48"/>
      <c r="Z43" s="49"/>
      <c r="AA43" s="50" t="s">
        <v>21</v>
      </c>
      <c r="AB43" s="48"/>
      <c r="AC43" s="48"/>
      <c r="AD43" s="48"/>
      <c r="AE43" s="48"/>
      <c r="AF43" s="48"/>
      <c r="AG43" s="48"/>
      <c r="AH43" s="49"/>
      <c r="AI43" s="51" t="s">
        <v>21</v>
      </c>
      <c r="AJ43" s="52"/>
      <c r="AK43" s="52"/>
      <c r="AL43" s="52"/>
      <c r="AM43" s="52"/>
      <c r="AN43" s="52"/>
      <c r="AO43" s="52"/>
      <c r="AP43" s="52"/>
      <c r="AQ43" s="53"/>
      <c r="AR43" s="22" t="s">
        <v>19</v>
      </c>
      <c r="AS43" s="22" t="s">
        <v>21</v>
      </c>
      <c r="AT43" s="22" t="s">
        <v>21</v>
      </c>
      <c r="AU43" s="50" t="s">
        <v>22</v>
      </c>
      <c r="AV43" s="48"/>
      <c r="AW43" s="48"/>
      <c r="AX43" s="49"/>
      <c r="AY43" s="50" t="s">
        <v>21</v>
      </c>
      <c r="AZ43" s="48"/>
      <c r="BA43" s="48"/>
      <c r="BB43" s="49"/>
      <c r="BC43" s="282"/>
      <c r="BD43" s="283"/>
      <c r="BE43" s="283"/>
      <c r="BF43" s="283"/>
      <c r="BG43" s="283"/>
      <c r="BH43" s="283"/>
      <c r="BI43" s="283"/>
      <c r="BJ43" s="284"/>
      <c r="BK43" s="17"/>
    </row>
    <row r="44" spans="1:63" x14ac:dyDescent="0.25">
      <c r="B44" s="50">
        <v>5</v>
      </c>
      <c r="C44" s="49"/>
      <c r="D44" s="54"/>
      <c r="E44" s="55"/>
      <c r="F44" s="55"/>
      <c r="G44" s="55"/>
      <c r="H44" s="55"/>
      <c r="I44" s="55"/>
      <c r="J44" s="56"/>
      <c r="K44" s="57" t="s">
        <v>26</v>
      </c>
      <c r="L44" s="58"/>
      <c r="M44" s="59"/>
      <c r="N44" s="23" t="s">
        <v>24</v>
      </c>
      <c r="O44" s="20" t="s">
        <v>19</v>
      </c>
      <c r="P44" s="50" t="s">
        <v>22</v>
      </c>
      <c r="Q44" s="48"/>
      <c r="R44" s="48"/>
      <c r="S44" s="49"/>
      <c r="T44" s="50" t="s">
        <v>22</v>
      </c>
      <c r="U44" s="48"/>
      <c r="V44" s="48"/>
      <c r="W44" s="49"/>
      <c r="X44" s="47" t="s">
        <v>19</v>
      </c>
      <c r="Y44" s="48"/>
      <c r="Z44" s="49"/>
      <c r="AA44" s="50" t="s">
        <v>21</v>
      </c>
      <c r="AB44" s="48"/>
      <c r="AC44" s="48"/>
      <c r="AD44" s="48"/>
      <c r="AE44" s="48"/>
      <c r="AF44" s="48"/>
      <c r="AG44" s="48"/>
      <c r="AH44" s="49"/>
      <c r="AI44" s="51" t="s">
        <v>21</v>
      </c>
      <c r="AJ44" s="52"/>
      <c r="AK44" s="52"/>
      <c r="AL44" s="52"/>
      <c r="AM44" s="52"/>
      <c r="AN44" s="52"/>
      <c r="AO44" s="52"/>
      <c r="AP44" s="52"/>
      <c r="AQ44" s="53"/>
      <c r="AR44" s="22" t="s">
        <v>19</v>
      </c>
      <c r="AS44" s="22" t="s">
        <v>21</v>
      </c>
      <c r="AT44" s="22" t="s">
        <v>21</v>
      </c>
      <c r="AU44" s="50" t="s">
        <v>22</v>
      </c>
      <c r="AV44" s="48"/>
      <c r="AW44" s="48"/>
      <c r="AX44" s="49"/>
      <c r="AY44" s="50" t="s">
        <v>21</v>
      </c>
      <c r="AZ44" s="48"/>
      <c r="BA44" s="48"/>
      <c r="BB44" s="49"/>
      <c r="BC44" s="278"/>
      <c r="BD44" s="276"/>
      <c r="BE44" s="276"/>
      <c r="BF44" s="276"/>
      <c r="BG44" s="276"/>
      <c r="BH44" s="276"/>
      <c r="BI44" s="276"/>
      <c r="BJ44" s="277"/>
      <c r="BK44" s="17"/>
    </row>
    <row r="45" spans="1:63" x14ac:dyDescent="0.25">
      <c r="B45" s="32">
        <v>6</v>
      </c>
      <c r="C45" s="34"/>
      <c r="D45" s="38"/>
      <c r="E45" s="39"/>
      <c r="F45" s="39"/>
      <c r="G45" s="39"/>
      <c r="H45" s="39"/>
      <c r="I45" s="39"/>
      <c r="J45" s="40"/>
      <c r="K45" s="41" t="s">
        <v>27</v>
      </c>
      <c r="L45" s="42"/>
      <c r="M45" s="43"/>
      <c r="N45" s="24" t="s">
        <v>24</v>
      </c>
      <c r="O45" s="24" t="s">
        <v>20</v>
      </c>
      <c r="P45" s="32" t="s">
        <v>22</v>
      </c>
      <c r="Q45" s="33"/>
      <c r="R45" s="33"/>
      <c r="S45" s="34"/>
      <c r="T45" s="32" t="s">
        <v>22</v>
      </c>
      <c r="U45" s="33"/>
      <c r="V45" s="33"/>
      <c r="W45" s="34"/>
      <c r="X45" s="44" t="s">
        <v>71</v>
      </c>
      <c r="Y45" s="45"/>
      <c r="Z45" s="46"/>
      <c r="AA45" s="32" t="s">
        <v>21</v>
      </c>
      <c r="AB45" s="33"/>
      <c r="AC45" s="33"/>
      <c r="AD45" s="33"/>
      <c r="AE45" s="33"/>
      <c r="AF45" s="33"/>
      <c r="AG45" s="33"/>
      <c r="AH45" s="34"/>
      <c r="AI45" s="35" t="s">
        <v>28</v>
      </c>
      <c r="AJ45" s="36"/>
      <c r="AK45" s="36"/>
      <c r="AL45" s="36"/>
      <c r="AM45" s="36"/>
      <c r="AN45" s="36"/>
      <c r="AO45" s="36"/>
      <c r="AP45" s="36"/>
      <c r="AQ45" s="37"/>
      <c r="AR45" s="25" t="s">
        <v>19</v>
      </c>
      <c r="AS45" s="25" t="s">
        <v>21</v>
      </c>
      <c r="AT45" s="25" t="s">
        <v>21</v>
      </c>
      <c r="AU45" s="32" t="s">
        <v>22</v>
      </c>
      <c r="AV45" s="33"/>
      <c r="AW45" s="33"/>
      <c r="AX45" s="34"/>
      <c r="AY45" s="32" t="s">
        <v>21</v>
      </c>
      <c r="AZ45" s="33"/>
      <c r="BA45" s="33"/>
      <c r="BB45" s="34"/>
      <c r="BC45" s="285" t="s">
        <v>29</v>
      </c>
      <c r="BD45" s="286"/>
      <c r="BE45" s="286"/>
      <c r="BF45" s="286"/>
      <c r="BG45" s="286"/>
      <c r="BH45" s="286"/>
      <c r="BI45" s="286"/>
      <c r="BJ45" s="287"/>
      <c r="BK45" s="17"/>
    </row>
    <row r="46" spans="1:63" x14ac:dyDescent="0.25">
      <c r="BK46" s="17"/>
    </row>
    <row r="47" spans="1:63" x14ac:dyDescent="0.25">
      <c r="BK47" s="17"/>
    </row>
    <row r="48" spans="1:63" x14ac:dyDescent="0.25">
      <c r="BK48" s="17"/>
    </row>
    <row r="49" spans="1:63" x14ac:dyDescent="0.25">
      <c r="BK49" s="17"/>
    </row>
    <row r="50" spans="1:63" x14ac:dyDescent="0.25">
      <c r="BK50" s="17"/>
    </row>
    <row r="51" spans="1:63" x14ac:dyDescent="0.25">
      <c r="BK51" s="17"/>
    </row>
    <row r="52" spans="1:63" x14ac:dyDescent="0.25">
      <c r="BK52" s="17"/>
    </row>
    <row r="53" spans="1:63" x14ac:dyDescent="0.25">
      <c r="BK53" s="17"/>
    </row>
    <row r="54" spans="1:63" x14ac:dyDescent="0.25">
      <c r="BK54" s="17"/>
    </row>
    <row r="55" spans="1:63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5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8" customWidth="1"/>
    <col min="61" max="16384" width="2.77734375" style="148"/>
  </cols>
  <sheetData>
    <row r="1" spans="1:63" ht="24.95" customHeight="1" x14ac:dyDescent="0.25">
      <c r="A1" s="260" t="s">
        <v>35</v>
      </c>
      <c r="B1" s="261"/>
      <c r="C1" s="261"/>
      <c r="D1" s="261"/>
      <c r="E1" s="261"/>
      <c r="F1" s="261"/>
      <c r="G1" s="261"/>
      <c r="H1" s="261"/>
      <c r="I1" s="261"/>
      <c r="J1" s="262"/>
      <c r="K1" s="260" t="s">
        <v>36</v>
      </c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2"/>
      <c r="W1" s="263" t="str">
        <f>IF(表紙!W1="","",表紙!W1)</f>
        <v>基本設計書</v>
      </c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5"/>
      <c r="AP1" s="142" t="s">
        <v>38</v>
      </c>
      <c r="AQ1" s="143"/>
      <c r="AR1" s="143"/>
      <c r="AS1" s="144"/>
      <c r="AT1" s="142" t="s">
        <v>39</v>
      </c>
      <c r="AU1" s="143"/>
      <c r="AV1" s="143"/>
      <c r="AW1" s="143"/>
      <c r="AX1" s="144"/>
      <c r="AY1" s="142" t="s">
        <v>40</v>
      </c>
      <c r="AZ1" s="143"/>
      <c r="BA1" s="143"/>
      <c r="BB1" s="144"/>
      <c r="BC1" s="142" t="s">
        <v>41</v>
      </c>
      <c r="BD1" s="143"/>
      <c r="BE1" s="143"/>
      <c r="BF1" s="143"/>
      <c r="BG1" s="144"/>
      <c r="BH1" s="142" t="s">
        <v>42</v>
      </c>
      <c r="BI1" s="143"/>
      <c r="BJ1" s="143"/>
      <c r="BK1" s="144"/>
    </row>
    <row r="2" spans="1:63" ht="15" customHeight="1" x14ac:dyDescent="0.25">
      <c r="A2" s="136" t="str">
        <f>IF(表紙!A2="","",表紙!A2)</f>
        <v>POSサーバー</v>
      </c>
      <c r="B2" s="137"/>
      <c r="C2" s="137"/>
      <c r="D2" s="137"/>
      <c r="E2" s="137"/>
      <c r="F2" s="137"/>
      <c r="G2" s="137"/>
      <c r="H2" s="137"/>
      <c r="I2" s="137"/>
      <c r="J2" s="138"/>
      <c r="K2" s="136" t="str">
        <f>IF(表紙!K2="","",表紙!K2)</f>
        <v>POSサーバ</v>
      </c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8"/>
      <c r="W2" s="266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8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3" ht="15" customHeight="1" x14ac:dyDescent="0.25">
      <c r="A3" s="139"/>
      <c r="B3" s="140"/>
      <c r="C3" s="140"/>
      <c r="D3" s="140"/>
      <c r="E3" s="140"/>
      <c r="F3" s="140"/>
      <c r="G3" s="140"/>
      <c r="H3" s="140"/>
      <c r="I3" s="140"/>
      <c r="J3" s="141"/>
      <c r="K3" s="139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1"/>
      <c r="W3" s="269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1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3" ht="24.95" customHeight="1" x14ac:dyDescent="0.25">
      <c r="A4" s="260" t="s">
        <v>44</v>
      </c>
      <c r="B4" s="261"/>
      <c r="C4" s="261"/>
      <c r="D4" s="261"/>
      <c r="E4" s="261"/>
      <c r="F4" s="261"/>
      <c r="G4" s="262"/>
      <c r="H4" s="114" t="str">
        <f>IF(表紙!H4="","",表紙!H4)</f>
        <v>41_名称マスタ設定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260" t="s">
        <v>45</v>
      </c>
      <c r="V4" s="261"/>
      <c r="W4" s="261"/>
      <c r="X4" s="261"/>
      <c r="Y4" s="262"/>
      <c r="Z4" s="114" t="str">
        <f>IF(表紙!Z4="","",表紙!Z4)</f>
        <v>概要設計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7" t="str">
        <f ca="1">MID(CELL("filename",A1),FIND("]",CELL("filename",A1))+1,255)</f>
        <v>テンプレート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3" ht="15" customHeight="1" x14ac:dyDescent="0.25">
      <c r="A6" s="179"/>
      <c r="BK6" s="180"/>
    </row>
    <row r="7" spans="1:63" ht="15" customHeight="1" x14ac:dyDescent="0.25">
      <c r="A7" s="179"/>
      <c r="B7" s="250"/>
      <c r="C7" s="251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3"/>
      <c r="U7" s="251"/>
      <c r="V7" s="252"/>
      <c r="W7" s="252"/>
      <c r="X7" s="252"/>
      <c r="Y7" s="252"/>
      <c r="Z7" s="252"/>
      <c r="AA7" s="252"/>
      <c r="AB7" s="252"/>
      <c r="AC7" s="253"/>
      <c r="AD7" s="251"/>
      <c r="AE7" s="252"/>
      <c r="AF7" s="252"/>
      <c r="AG7" s="252"/>
      <c r="AH7" s="252"/>
      <c r="AI7" s="252"/>
      <c r="AJ7" s="252"/>
      <c r="AK7" s="252"/>
      <c r="AL7" s="253"/>
      <c r="AM7" s="251"/>
      <c r="AN7" s="252"/>
      <c r="AO7" s="252"/>
      <c r="AP7" s="252"/>
      <c r="AQ7" s="252"/>
      <c r="AR7" s="252"/>
      <c r="AS7" s="252"/>
      <c r="AT7" s="252"/>
      <c r="AU7" s="252"/>
      <c r="AV7" s="252"/>
      <c r="AW7" s="252"/>
      <c r="AX7" s="252"/>
      <c r="AY7" s="252"/>
      <c r="AZ7" s="252"/>
      <c r="BA7" s="252"/>
      <c r="BB7" s="252"/>
      <c r="BC7" s="252"/>
      <c r="BD7" s="252"/>
      <c r="BE7" s="252"/>
      <c r="BF7" s="252"/>
      <c r="BG7" s="252"/>
      <c r="BH7" s="252"/>
      <c r="BI7" s="253"/>
      <c r="BJ7" s="252"/>
      <c r="BK7" s="180"/>
    </row>
    <row r="8" spans="1:63" ht="15" customHeight="1" x14ac:dyDescent="0.25">
      <c r="A8" s="179"/>
      <c r="C8" s="254"/>
      <c r="U8" s="254"/>
      <c r="AD8" s="254"/>
      <c r="AM8" s="254"/>
      <c r="BI8" s="256"/>
    </row>
    <row r="9" spans="1:63" ht="15" customHeight="1" x14ac:dyDescent="0.25">
      <c r="A9" s="179"/>
      <c r="C9" s="254"/>
      <c r="U9" s="254"/>
      <c r="AD9" s="254"/>
      <c r="AM9" s="254"/>
      <c r="BI9" s="256"/>
    </row>
    <row r="10" spans="1:63" ht="15" customHeight="1" x14ac:dyDescent="0.25">
      <c r="A10" s="179"/>
      <c r="C10" s="254"/>
      <c r="U10" s="254"/>
      <c r="AD10" s="254"/>
      <c r="AM10" s="254"/>
      <c r="BI10" s="256"/>
    </row>
    <row r="11" spans="1:63" ht="15" customHeight="1" x14ac:dyDescent="0.25">
      <c r="A11" s="179"/>
      <c r="C11" s="254"/>
      <c r="U11" s="254"/>
      <c r="AD11" s="254"/>
      <c r="AM11" s="254"/>
      <c r="BI11" s="256"/>
    </row>
    <row r="12" spans="1:63" ht="15" customHeight="1" x14ac:dyDescent="0.25">
      <c r="A12" s="179"/>
      <c r="C12" s="254"/>
      <c r="U12" s="254"/>
      <c r="AD12" s="254"/>
      <c r="AM12" s="254"/>
      <c r="AX12" s="148" t="s">
        <v>30</v>
      </c>
      <c r="BI12" s="256"/>
    </row>
    <row r="13" spans="1:63" ht="15" customHeight="1" x14ac:dyDescent="0.25">
      <c r="A13" s="179"/>
      <c r="C13" s="254"/>
      <c r="U13" s="254"/>
      <c r="AD13" s="254"/>
      <c r="AM13" s="254"/>
      <c r="BI13" s="256"/>
    </row>
    <row r="14" spans="1:63" ht="15" customHeight="1" x14ac:dyDescent="0.25">
      <c r="A14" s="179"/>
      <c r="C14" s="254"/>
      <c r="U14" s="254"/>
      <c r="AD14" s="254"/>
      <c r="AM14" s="254"/>
      <c r="BI14" s="256"/>
    </row>
    <row r="15" spans="1:63" ht="15" customHeight="1" x14ac:dyDescent="0.25">
      <c r="A15" s="179"/>
      <c r="C15" s="254"/>
      <c r="U15" s="254"/>
      <c r="AD15" s="254"/>
      <c r="AM15" s="254"/>
      <c r="BI15" s="256"/>
    </row>
    <row r="16" spans="1:63" ht="15" customHeight="1" x14ac:dyDescent="0.25">
      <c r="A16" s="179"/>
      <c r="C16" s="254"/>
      <c r="U16" s="254"/>
      <c r="AD16" s="254"/>
      <c r="AM16" s="254"/>
      <c r="BI16" s="256"/>
    </row>
    <row r="17" spans="1:61" ht="15" customHeight="1" x14ac:dyDescent="0.25">
      <c r="A17" s="179"/>
      <c r="C17" s="254"/>
      <c r="U17" s="254"/>
      <c r="AD17" s="254"/>
      <c r="AM17" s="254"/>
      <c r="BI17" s="256"/>
    </row>
    <row r="18" spans="1:61" ht="15" customHeight="1" x14ac:dyDescent="0.25">
      <c r="A18" s="179"/>
      <c r="C18" s="254"/>
      <c r="U18" s="254"/>
      <c r="AD18" s="254"/>
      <c r="AM18" s="254"/>
      <c r="BI18" s="256"/>
    </row>
    <row r="19" spans="1:61" ht="15" customHeight="1" x14ac:dyDescent="0.25">
      <c r="A19" s="179"/>
      <c r="C19" s="254"/>
      <c r="U19" s="254"/>
      <c r="AD19" s="254"/>
      <c r="AM19" s="254"/>
      <c r="BI19" s="256"/>
    </row>
    <row r="20" spans="1:61" ht="15" customHeight="1" x14ac:dyDescent="0.25">
      <c r="A20" s="179"/>
      <c r="C20" s="254"/>
      <c r="U20" s="254"/>
      <c r="AD20" s="254"/>
      <c r="AM20" s="254"/>
      <c r="BI20" s="256"/>
    </row>
    <row r="21" spans="1:61" ht="15" customHeight="1" x14ac:dyDescent="0.25">
      <c r="A21" s="179"/>
      <c r="C21" s="254"/>
      <c r="U21" s="254"/>
      <c r="AD21" s="254"/>
      <c r="AM21" s="254"/>
      <c r="BI21" s="256"/>
    </row>
    <row r="22" spans="1:61" ht="15" customHeight="1" x14ac:dyDescent="0.25">
      <c r="A22" s="179"/>
      <c r="C22" s="254"/>
      <c r="U22" s="254"/>
      <c r="AD22" s="254"/>
      <c r="AM22" s="254"/>
      <c r="BI22" s="256"/>
    </row>
    <row r="23" spans="1:61" ht="15" customHeight="1" x14ac:dyDescent="0.25">
      <c r="A23" s="179"/>
      <c r="C23" s="254"/>
      <c r="U23" s="254"/>
      <c r="AD23" s="254"/>
      <c r="AM23" s="254"/>
      <c r="BI23" s="256"/>
    </row>
    <row r="24" spans="1:61" ht="15" customHeight="1" x14ac:dyDescent="0.25">
      <c r="A24" s="179"/>
      <c r="C24" s="254"/>
      <c r="U24" s="254"/>
      <c r="AD24" s="254"/>
      <c r="AM24" s="254"/>
      <c r="BI24" s="256"/>
    </row>
    <row r="25" spans="1:61" ht="15" customHeight="1" x14ac:dyDescent="0.25">
      <c r="A25" s="179"/>
      <c r="C25" s="254"/>
      <c r="U25" s="254"/>
      <c r="AD25" s="254"/>
      <c r="AM25" s="254"/>
      <c r="BI25" s="256"/>
    </row>
    <row r="26" spans="1:61" ht="15" customHeight="1" x14ac:dyDescent="0.25">
      <c r="A26" s="179"/>
      <c r="C26" s="254"/>
      <c r="U26" s="254"/>
      <c r="AD26" s="254"/>
      <c r="AM26" s="254"/>
      <c r="BI26" s="256"/>
    </row>
    <row r="27" spans="1:61" ht="15" customHeight="1" x14ac:dyDescent="0.25">
      <c r="A27" s="179"/>
      <c r="C27" s="254"/>
      <c r="U27" s="254"/>
      <c r="AD27" s="254"/>
      <c r="AM27" s="254"/>
      <c r="BI27" s="256"/>
    </row>
    <row r="28" spans="1:61" ht="15" customHeight="1" x14ac:dyDescent="0.25">
      <c r="A28" s="179"/>
      <c r="C28" s="254"/>
      <c r="U28" s="254"/>
      <c r="AD28" s="254"/>
      <c r="AM28" s="254"/>
      <c r="BI28" s="256"/>
    </row>
    <row r="29" spans="1:61" ht="15" customHeight="1" x14ac:dyDescent="0.25">
      <c r="A29" s="179"/>
      <c r="C29" s="254"/>
      <c r="U29" s="254"/>
      <c r="AD29" s="254"/>
      <c r="AM29" s="254"/>
      <c r="BI29" s="256"/>
    </row>
    <row r="30" spans="1:61" ht="15" customHeight="1" x14ac:dyDescent="0.25">
      <c r="A30" s="179"/>
      <c r="C30" s="254"/>
      <c r="U30" s="254"/>
      <c r="AD30" s="254"/>
      <c r="AM30" s="254"/>
      <c r="BI30" s="256"/>
    </row>
    <row r="31" spans="1:61" ht="15" customHeight="1" x14ac:dyDescent="0.25">
      <c r="A31" s="179"/>
      <c r="C31" s="254"/>
      <c r="U31" s="254"/>
      <c r="AD31" s="254"/>
      <c r="AM31" s="254"/>
      <c r="BI31" s="256"/>
    </row>
    <row r="32" spans="1:61" ht="15" customHeight="1" x14ac:dyDescent="0.25">
      <c r="A32" s="179"/>
      <c r="C32" s="254"/>
      <c r="U32" s="254"/>
      <c r="AD32" s="254"/>
      <c r="AM32" s="254"/>
      <c r="BI32" s="256"/>
    </row>
    <row r="33" spans="1:61" ht="15" customHeight="1" x14ac:dyDescent="0.25">
      <c r="A33" s="179"/>
      <c r="C33" s="254"/>
      <c r="U33" s="254"/>
      <c r="AD33" s="254"/>
      <c r="AM33" s="254"/>
      <c r="BI33" s="256"/>
    </row>
    <row r="34" spans="1:61" ht="15" customHeight="1" x14ac:dyDescent="0.25">
      <c r="A34" s="179"/>
      <c r="C34" s="254"/>
      <c r="U34" s="254"/>
      <c r="AD34" s="254"/>
      <c r="AM34" s="254"/>
      <c r="BI34" s="256"/>
    </row>
    <row r="35" spans="1:61" ht="15" customHeight="1" x14ac:dyDescent="0.25">
      <c r="A35" s="179"/>
      <c r="C35" s="254"/>
      <c r="U35" s="254"/>
      <c r="AD35" s="254"/>
      <c r="AM35" s="254"/>
      <c r="BI35" s="256"/>
    </row>
    <row r="36" spans="1:61" ht="15" customHeight="1" x14ac:dyDescent="0.25">
      <c r="A36" s="179"/>
      <c r="C36" s="254"/>
      <c r="U36" s="254"/>
      <c r="AD36" s="254"/>
      <c r="AM36" s="254"/>
      <c r="BI36" s="256"/>
    </row>
    <row r="37" spans="1:61" ht="15" customHeight="1" x14ac:dyDescent="0.25">
      <c r="A37" s="179"/>
      <c r="C37" s="254"/>
      <c r="U37" s="254"/>
      <c r="AD37" s="254"/>
      <c r="AM37" s="254"/>
      <c r="BI37" s="256"/>
    </row>
    <row r="38" spans="1:61" ht="15" customHeight="1" x14ac:dyDescent="0.25">
      <c r="A38" s="179"/>
      <c r="C38" s="254"/>
      <c r="U38" s="254"/>
      <c r="AD38" s="254"/>
      <c r="AM38" s="254"/>
      <c r="BI38" s="256"/>
    </row>
    <row r="39" spans="1:61" ht="15" customHeight="1" x14ac:dyDescent="0.25">
      <c r="A39" s="179"/>
      <c r="C39" s="254"/>
      <c r="U39" s="254"/>
      <c r="AD39" s="254"/>
      <c r="AM39" s="254"/>
      <c r="BI39" s="256"/>
    </row>
    <row r="40" spans="1:61" ht="15" customHeight="1" x14ac:dyDescent="0.25">
      <c r="A40" s="179"/>
      <c r="C40" s="254"/>
      <c r="U40" s="254"/>
      <c r="AD40" s="254"/>
      <c r="AM40" s="254"/>
      <c r="BI40" s="256"/>
    </row>
    <row r="41" spans="1:61" ht="15" customHeight="1" x14ac:dyDescent="0.25">
      <c r="A41" s="179"/>
      <c r="C41" s="254"/>
      <c r="U41" s="254"/>
      <c r="AD41" s="254"/>
      <c r="AM41" s="254"/>
      <c r="BI41" s="256"/>
    </row>
    <row r="42" spans="1:61" ht="15" customHeight="1" x14ac:dyDescent="0.25">
      <c r="A42" s="179"/>
      <c r="C42" s="254"/>
      <c r="U42" s="254"/>
      <c r="AD42" s="254"/>
      <c r="AM42" s="254"/>
      <c r="BI42" s="256"/>
    </row>
    <row r="43" spans="1:61" ht="15" customHeight="1" x14ac:dyDescent="0.25">
      <c r="A43" s="179"/>
      <c r="C43" s="254"/>
      <c r="U43" s="254"/>
      <c r="AD43" s="254"/>
      <c r="AM43" s="254"/>
      <c r="BI43" s="256"/>
    </row>
    <row r="44" spans="1:61" ht="15" customHeight="1" x14ac:dyDescent="0.25">
      <c r="A44" s="179"/>
      <c r="C44" s="254"/>
      <c r="U44" s="254"/>
      <c r="AD44" s="254"/>
      <c r="AM44" s="254"/>
      <c r="BI44" s="256"/>
    </row>
    <row r="45" spans="1:61" ht="15" customHeight="1" x14ac:dyDescent="0.25">
      <c r="A45" s="179"/>
      <c r="C45" s="254"/>
      <c r="U45" s="254"/>
      <c r="AD45" s="254"/>
      <c r="AM45" s="254"/>
      <c r="BI45" s="256"/>
    </row>
    <row r="46" spans="1:61" ht="15" customHeight="1" x14ac:dyDescent="0.25">
      <c r="A46" s="179"/>
      <c r="C46" s="254"/>
      <c r="U46" s="254"/>
      <c r="AD46" s="254"/>
      <c r="AM46" s="254"/>
      <c r="BI46" s="256"/>
    </row>
    <row r="47" spans="1:61" ht="15" customHeight="1" x14ac:dyDescent="0.25">
      <c r="A47" s="179"/>
      <c r="C47" s="254"/>
      <c r="U47" s="254"/>
      <c r="AD47" s="254"/>
      <c r="AM47" s="254"/>
      <c r="BI47" s="256"/>
    </row>
    <row r="48" spans="1:61" ht="15" customHeight="1" x14ac:dyDescent="0.25">
      <c r="A48" s="179"/>
      <c r="C48" s="254"/>
      <c r="U48" s="254"/>
      <c r="AD48" s="254"/>
      <c r="AM48" s="254"/>
      <c r="BI48" s="256"/>
    </row>
    <row r="49" spans="1:63" ht="15" customHeight="1" x14ac:dyDescent="0.25">
      <c r="A49" s="179"/>
      <c r="C49" s="254"/>
      <c r="U49" s="254"/>
      <c r="AD49" s="254"/>
      <c r="AM49" s="254"/>
      <c r="BI49" s="256"/>
    </row>
    <row r="50" spans="1:63" ht="15" customHeight="1" x14ac:dyDescent="0.25">
      <c r="A50" s="179"/>
      <c r="C50" s="254"/>
      <c r="U50" s="254"/>
      <c r="AD50" s="254"/>
      <c r="AM50" s="254"/>
      <c r="BI50" s="256"/>
    </row>
    <row r="51" spans="1:63" ht="15" customHeight="1" x14ac:dyDescent="0.25">
      <c r="A51" s="179"/>
      <c r="C51" s="254"/>
      <c r="U51" s="254"/>
      <c r="AD51" s="254"/>
      <c r="AM51" s="254"/>
      <c r="BI51" s="256"/>
    </row>
    <row r="52" spans="1:63" ht="15" customHeight="1" x14ac:dyDescent="0.25">
      <c r="A52" s="179"/>
      <c r="C52" s="254"/>
      <c r="U52" s="254"/>
      <c r="AD52" s="254"/>
      <c r="AM52" s="254"/>
      <c r="BI52" s="256"/>
    </row>
    <row r="53" spans="1:63" ht="15" customHeight="1" x14ac:dyDescent="0.25">
      <c r="A53" s="179"/>
      <c r="C53" s="254"/>
      <c r="U53" s="254"/>
      <c r="AD53" s="254"/>
      <c r="AM53" s="254"/>
      <c r="BI53" s="256"/>
    </row>
    <row r="54" spans="1:63" ht="15" customHeight="1" x14ac:dyDescent="0.25">
      <c r="A54" s="179"/>
      <c r="C54" s="254"/>
      <c r="U54" s="254"/>
      <c r="AD54" s="254"/>
      <c r="AM54" s="254"/>
      <c r="BI54" s="256"/>
    </row>
    <row r="55" spans="1:63" ht="15" customHeight="1" x14ac:dyDescent="0.25">
      <c r="A55" s="176"/>
      <c r="B55" s="288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288"/>
      <c r="V55" s="177"/>
      <c r="W55" s="177"/>
      <c r="X55" s="177"/>
      <c r="Y55" s="177"/>
      <c r="Z55" s="177"/>
      <c r="AA55" s="177"/>
      <c r="AB55" s="177"/>
      <c r="AC55" s="177"/>
      <c r="AD55" s="288"/>
      <c r="AE55" s="177"/>
      <c r="AF55" s="177"/>
      <c r="AG55" s="177"/>
      <c r="AH55" s="177"/>
      <c r="AI55" s="177"/>
      <c r="AJ55" s="177"/>
      <c r="AK55" s="177"/>
      <c r="AL55" s="177"/>
      <c r="AM55" s="288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289"/>
      <c r="BJ55" s="177"/>
      <c r="BK55" s="178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CDE599-C8CC-4178-817A-C13A86CAC71C}"/>
</file>

<file path=customXml/itemProps2.xml><?xml version="1.0" encoding="utf-8"?>
<ds:datastoreItem xmlns:ds="http://schemas.openxmlformats.org/officeDocument/2006/customXml" ds:itemID="{D05A768E-8617-4BD0-8A05-17B1D85D16E1}"/>
</file>

<file path=customXml/itemProps3.xml><?xml version="1.0" encoding="utf-8"?>
<ds:datastoreItem xmlns:ds="http://schemas.openxmlformats.org/officeDocument/2006/customXml" ds:itemID="{AB4DEFE3-0A6C-4C25-AB6D-56248F925C0B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2024-12-03T06:25:58Z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