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E801318-4EBC-40CD-9FD3-05915D4EC9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機能概要!$A$1:$BK$64</definedName>
    <definedName name="_xlnm.Print_Area" localSheetId="3">機能概要説明!$A$1:$BK$55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/>
  <c r="BM10" i="8"/>
  <c r="H4" i="3"/>
  <c r="AP4" i="2"/>
  <c r="Z4" i="2"/>
  <c r="H4" i="2"/>
  <c r="AT2" i="2"/>
  <c r="AP2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AP4" i="5" a="1"/>
  <c r="AP4" i="5" s="1"/>
  <c r="Z4" i="5"/>
  <c r="H4" i="5"/>
  <c r="AT2" i="5"/>
  <c r="AP2" i="5"/>
  <c r="K2" i="5"/>
  <c r="A2" i="5"/>
  <c r="W1" i="5"/>
  <c r="BM11" i="8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AT2" i="3"/>
  <c r="AP2" i="3"/>
  <c r="K2" i="3"/>
  <c r="A2" i="3"/>
  <c r="W1" i="3"/>
  <c r="L24" i="4"/>
  <c r="AP4" i="4" a="1"/>
  <c r="AP4" i="4" s="1"/>
  <c r="BH2" i="4"/>
  <c r="BH2" i="8" s="1"/>
  <c r="BC2" i="4"/>
  <c r="BC2" i="2" s="1"/>
  <c r="AY2" i="4"/>
  <c r="AY2" i="7" s="1"/>
  <c r="AT2" i="4"/>
  <c r="AT2" i="7" s="1"/>
  <c r="AP2" i="4"/>
  <c r="AP2" i="8" s="1"/>
  <c r="BH2" i="3" l="1"/>
  <c r="BH2" i="5"/>
  <c r="BC2" i="7"/>
  <c r="BH2" i="2"/>
  <c r="AY2" i="6"/>
  <c r="AY2" i="8"/>
  <c r="AP2" i="7"/>
  <c r="BH2" i="7"/>
  <c r="AY2" i="3"/>
  <c r="BC2" i="6"/>
  <c r="BC2" i="8"/>
  <c r="AY2" i="5"/>
  <c r="AY2" i="2"/>
  <c r="BC2" i="3"/>
  <c r="BH2" i="6"/>
  <c r="BC2" i="5"/>
</calcChain>
</file>

<file path=xl/sharedStrings.xml><?xml version="1.0" encoding="utf-8"?>
<sst xmlns="http://schemas.openxmlformats.org/spreadsheetml/2006/main" count="189" uniqueCount="82">
  <si>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</si>
  <si>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</si>
  <si>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</si>
  <si>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</si>
  <si>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</si>
  <si>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</si>
  <si>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</si>
  <si>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</si>
  <si>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</si>
  <si>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</si>
  <si>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</si>
  <si>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</si>
  <si>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</si>
  <si>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</si>
  <si>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</si>
  <si>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</si>
  <si>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</si>
  <si>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</si>
  <si>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</si>
  <si>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</si>
  <si>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</si>
  <si>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</si>
  <si>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</si>
  <si>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</si>
  <si>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</si>
  <si>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</si>
  <si>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</si>
  <si>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</si>
  <si>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</si>
  <si>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</si>
  <si>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</si>
  <si>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</si>
  <si>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</si>
  <si>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</si>
  <si>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</si>
  <si>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</si>
  <si>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</si>
  <si>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</si>
  <si>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</si>
  <si>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</si>
  <si>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</si>
  <si>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</si>
  <si>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</si>
  <si>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</si>
  <si>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</si>
  <si>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</si>
  <si>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</si>
  <si>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</si>
  <si>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</si>
  <si>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</si>
  <si>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</si>
  <si>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</si>
  <si>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</si>
  <si>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</si>
  <si>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</si>
  <si>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・20_レジ精算入力：レジ精算入力画面の項目名を表示する。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</si>
  <si>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</si>
  <si>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</si>
  <si>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</si>
  <si>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</si>
  <si>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</si>
  <si>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</si>
  <si>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</si>
  <si>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</si>
  <si>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</si>
  <si>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</si>
  <si>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</si>
  <si>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</si>
  <si>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</si>
  <si>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</si>
  <si>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</si>
  <si>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</si>
  <si>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</si>
  <si>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</si>
  <si>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</si>
  <si>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</si>
  <si>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新規作成（未完成）</t>
  </si>
  <si>
    <r>
      <t>‣</t>
    </r>
    <r>
      <rPr>
        <sz val="11"/>
        <color rgb="FF000000"/>
        <rFont val="Meiryo UI"/>
        <family val="2"/>
      </rPr>
      <t>選択された対象店舗に汎用マスタを設定する。</t>
    </r>
  </si>
  <si>
    <t>43_精算機の最終決済に入力された商品名</t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</si>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</sst>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9" fillId="0" borderId="1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9" fillId="0" borderId="4" xfId="7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0" fillId="0" borderId="43" xfId="6" applyFont="1" applyBorder="1" applyAlignment="1">
      <alignment vertical="center"/>
    </xf>
    <xf numFmtId="0" fontId="0" fillId="0" borderId="44" xfId="6" applyFont="1" applyBorder="1" applyAlignment="1">
      <alignment vertical="center"/>
    </xf>
    <xf numFmtId="0" fontId="0" fillId="0" borderId="45" xfId="6" applyFont="1" applyBorder="1" applyAlignment="1">
      <alignment vertical="center"/>
    </xf>
    <xf numFmtId="0" fontId="0" fillId="0" borderId="46" xfId="6" applyFont="1" applyBorder="1" applyAlignment="1">
      <alignment vertical="center"/>
    </xf>
    <xf numFmtId="0" fontId="0" fillId="0" borderId="47" xfId="6" applyFont="1" applyBorder="1" applyAlignment="1">
      <alignment vertical="center"/>
    </xf>
    <xf numFmtId="0" fontId="0" fillId="0" borderId="48" xfId="6" applyFont="1" applyBorder="1" applyAlignment="1">
      <alignment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0" fillId="0" borderId="46" xfId="6" quotePrefix="1" applyFont="1" applyBorder="1" applyAlignment="1">
      <alignment vertical="center"/>
    </xf>
    <xf numFmtId="0" fontId="0" fillId="0" borderId="47" xfId="6" quotePrefix="1" applyFont="1" applyBorder="1" applyAlignment="1">
      <alignment vertical="center"/>
    </xf>
    <xf numFmtId="0" fontId="0" fillId="0" borderId="48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2" fillId="2" borderId="30" xfId="6" applyFont="1" applyFill="1" applyBorder="1" applyAlignment="1">
      <alignment horizontal="center" vertical="center"/>
    </xf>
    <xf numFmtId="0" fontId="2" fillId="2" borderId="31" xfId="6" applyFont="1" applyFill="1" applyBorder="1" applyAlignment="1">
      <alignment horizontal="center" vertical="center"/>
    </xf>
    <xf numFmtId="0" fontId="2" fillId="2" borderId="32" xfId="6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7" fillId="0" borderId="30" xfId="0" applyFont="1" applyBorder="1" applyAlignment="1">
      <alignment horizontal="left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43_</a:t>
          </a:r>
          <a:r>
            <a:rPr lang="ja-JP" alt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精算機の最終決済に入力された商品名</a:t>
          </a:r>
          <a:endParaRPr lang="en-US" altLang="ja-JP" sz="10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 editAs="oneCell">
    <xdr:from>
      <xdr:col>66</xdr:col>
      <xdr:colOff>0</xdr:colOff>
      <xdr:row>15</xdr:row>
      <xdr:rowOff>0</xdr:rowOff>
    </xdr:from>
    <xdr:to>
      <xdr:col>90</xdr:col>
      <xdr:colOff>2293</xdr:colOff>
      <xdr:row>30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2971800"/>
          <a:ext cx="6400800" cy="2857500"/>
        </a:xfrm>
        <a:prstGeom prst="rect">
          <a:avLst/>
        </a:prstGeom>
      </xdr:spPr>
    </xdr:pic>
    <xdr:clientData/>
  </xdr:twoCellAnchor>
  <xdr:twoCellAnchor editAs="oneCell">
    <xdr:from>
      <xdr:col>65</xdr:col>
      <xdr:colOff>235323</xdr:colOff>
      <xdr:row>15</xdr:row>
      <xdr:rowOff>0</xdr:rowOff>
    </xdr:from>
    <xdr:to>
      <xdr:col>95</xdr:col>
      <xdr:colOff>0</xdr:colOff>
      <xdr:row>35</xdr:row>
      <xdr:rowOff>60820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73625" y="2971800"/>
          <a:ext cx="7762875" cy="3867150"/>
        </a:xfrm>
        <a:prstGeom prst="rect">
          <a:avLst/>
        </a:prstGeom>
      </xdr:spPr>
    </xdr:pic>
    <xdr:clientData/>
  </xdr:twoCellAnchor>
  <xdr:twoCellAnchor editAs="oneCell">
    <xdr:from>
      <xdr:col>65</xdr:col>
      <xdr:colOff>224118</xdr:colOff>
      <xdr:row>15</xdr:row>
      <xdr:rowOff>0</xdr:rowOff>
    </xdr:from>
    <xdr:to>
      <xdr:col>90</xdr:col>
      <xdr:colOff>194610</xdr:colOff>
      <xdr:row>31</xdr:row>
      <xdr:rowOff>161070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64100" y="2971800"/>
          <a:ext cx="6638925" cy="32099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15</xdr:row>
      <xdr:rowOff>0</xdr:rowOff>
    </xdr:from>
    <xdr:to>
      <xdr:col>94</xdr:col>
      <xdr:colOff>180073</xdr:colOff>
      <xdr:row>35</xdr:row>
      <xdr:rowOff>14862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2971800"/>
          <a:ext cx="7648575" cy="3829050"/>
        </a:xfrm>
        <a:prstGeom prst="rect">
          <a:avLst/>
        </a:prstGeom>
      </xdr:spPr>
    </xdr:pic>
    <xdr:clientData/>
  </xdr:twoCellAnchor>
  <xdr:oneCellAnchor>
    <xdr:from>
      <xdr:col>65</xdr:col>
      <xdr:colOff>219075</xdr:colOff>
      <xdr:row>15</xdr:row>
      <xdr:rowOff>0</xdr:rowOff>
    </xdr:from>
    <xdr:ext cx="5857875" cy="320992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4575" y="2971800"/>
          <a:ext cx="5857875" cy="3209925"/>
        </a:xfrm>
        <a:prstGeom prst="rect">
          <a:avLst/>
        </a:prstGeom>
      </xdr:spPr>
    </xdr:pic>
    <xdr:clientData/>
  </xdr:oneCellAnchor>
  <xdr:twoCellAnchor editAs="oneCell">
    <xdr:from>
      <xdr:col>66</xdr:col>
      <xdr:colOff>156881</xdr:colOff>
      <xdr:row>15</xdr:row>
      <xdr:rowOff>0</xdr:rowOff>
    </xdr:from>
    <xdr:to>
      <xdr:col>92</xdr:col>
      <xdr:colOff>179293</xdr:colOff>
      <xdr:row>33</xdr:row>
      <xdr:rowOff>33962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54600" y="2971800"/>
          <a:ext cx="6953250" cy="34671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15</xdr:row>
      <xdr:rowOff>0</xdr:rowOff>
    </xdr:from>
    <xdr:to>
      <xdr:col>97</xdr:col>
      <xdr:colOff>113388</xdr:colOff>
      <xdr:row>37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02200" y="2971800"/>
          <a:ext cx="8382000" cy="41910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151730</xdr:rowOff>
    </xdr:from>
    <xdr:to>
      <xdr:col>101</xdr:col>
      <xdr:colOff>213531</xdr:colOff>
      <xdr:row>36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02200" y="2171700"/>
          <a:ext cx="9544050" cy="480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">
        <v>62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3" ht="15" customHeight="1" x14ac:dyDescent="0.25">
      <c r="A2" s="5" t="s">
        <v>68</v>
      </c>
      <c r="B2" s="209"/>
      <c r="C2" s="209"/>
      <c r="D2" s="209"/>
      <c r="E2" s="209"/>
      <c r="F2" s="209"/>
      <c r="G2" s="209"/>
      <c r="H2" s="209"/>
      <c r="I2" s="209"/>
      <c r="J2" s="210"/>
      <c r="K2" s="211" t="s">
        <v>10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改訂履歴!$H$11</f>
        <v>DuNT</v>
      </c>
      <c r="AQ2" s="209"/>
      <c r="AR2" s="209"/>
      <c r="AS2" s="210"/>
      <c r="AT2" s="215">
        <f>改訂履歴!$B$11</f>
        <v>45625</v>
      </c>
      <c r="AU2" s="216"/>
      <c r="AV2" s="216"/>
      <c r="AW2" s="216"/>
      <c r="AX2" s="217"/>
      <c r="AY2" s="211" t="str">
        <f>LOOKUP(2,1/(改訂履歴!H11:H30000&lt;&gt;""),改訂履歴!H11:H30000)</f>
        <v>DuNT</v>
      </c>
      <c r="AZ2" s="209"/>
      <c r="BA2" s="209"/>
      <c r="BB2" s="210"/>
      <c r="BC2" s="215">
        <f>LOOKUP(2,1/(改訂履歴!B11:B30000&lt;&gt;""),改訂履歴!B11:B30000)</f>
        <v>45625</v>
      </c>
      <c r="BD2" s="216"/>
      <c r="BE2" s="216"/>
      <c r="BF2" s="216"/>
      <c r="BG2" s="217"/>
      <c r="BH2" s="218">
        <f>LOOKUP(2,1/(改訂履歴!O11:O30000&lt;&gt;""),改訂履歴!O11:O30000)</f>
        <v>0.1</v>
      </c>
      <c r="BI2" s="219"/>
      <c r="BJ2" s="219"/>
      <c r="BK2" s="22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30"/>
      <c r="BI3" s="231"/>
      <c r="BJ3" s="231"/>
      <c r="BK3" s="232"/>
    </row>
    <row r="4" spans="1:63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313" t="s">
        <v>78</v>
      </c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4"/>
      <c r="U4" s="202" t="s">
        <v>70</v>
      </c>
      <c r="V4" s="203"/>
      <c r="W4" s="203"/>
      <c r="X4" s="203"/>
      <c r="Y4" s="204"/>
      <c r="Z4" s="235" t="s">
        <v>11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表紙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3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3" ht="15" customHeight="1" x14ac:dyDescent="0.25">
      <c r="A6" s="241"/>
      <c r="BK6" s="242"/>
    </row>
    <row r="7" spans="1:63" ht="15" customHeight="1" x14ac:dyDescent="0.25">
      <c r="A7" s="241"/>
      <c r="BK7" s="242"/>
    </row>
    <row r="8" spans="1:63" ht="15" customHeight="1" x14ac:dyDescent="0.25">
      <c r="A8" s="241"/>
      <c r="BK8" s="242"/>
    </row>
    <row r="9" spans="1:63" ht="15" customHeight="1" x14ac:dyDescent="0.25">
      <c r="A9" s="241"/>
      <c r="BK9" s="242"/>
    </row>
    <row r="10" spans="1:63" ht="15" customHeight="1" x14ac:dyDescent="0.25">
      <c r="A10" s="241"/>
      <c r="BK10" s="242"/>
    </row>
    <row r="11" spans="1:63" ht="15" customHeight="1" x14ac:dyDescent="0.25">
      <c r="A11" s="241"/>
      <c r="BK11" s="242"/>
    </row>
    <row r="12" spans="1:63" ht="15" customHeight="1" x14ac:dyDescent="0.25">
      <c r="A12" s="241"/>
      <c r="BK12" s="242"/>
    </row>
    <row r="13" spans="1:63" ht="15" customHeight="1" x14ac:dyDescent="0.25">
      <c r="A13" s="241"/>
      <c r="BK13" s="242"/>
    </row>
    <row r="14" spans="1:63" ht="15" customHeight="1" thickBot="1" x14ac:dyDescent="0.3">
      <c r="A14" s="241"/>
      <c r="BK14" s="242"/>
    </row>
    <row r="15" spans="1:63" ht="15" customHeight="1" thickTop="1" x14ac:dyDescent="0.25">
      <c r="A15" s="241"/>
      <c r="K15" s="243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5"/>
      <c r="BK15" s="242"/>
    </row>
    <row r="16" spans="1:63" ht="15" customHeight="1" x14ac:dyDescent="0.25">
      <c r="A16" s="241"/>
      <c r="K16" s="246"/>
      <c r="L16" s="247" t="s">
        <v>71</v>
      </c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9"/>
      <c r="BK16" s="242"/>
    </row>
    <row r="17" spans="1:63" ht="15" customHeight="1" x14ac:dyDescent="0.25">
      <c r="A17" s="241"/>
      <c r="K17" s="246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9"/>
      <c r="BK17" s="242"/>
    </row>
    <row r="18" spans="1:63" ht="15" customHeight="1" x14ac:dyDescent="0.25">
      <c r="A18" s="241"/>
      <c r="K18" s="246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9"/>
      <c r="BK18" s="242"/>
    </row>
    <row r="19" spans="1:63" ht="15" customHeight="1" x14ac:dyDescent="0.25">
      <c r="A19" s="241"/>
      <c r="K19" s="246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9"/>
      <c r="BK19" s="242"/>
    </row>
    <row r="20" spans="1:63" ht="15" customHeight="1" x14ac:dyDescent="0.25">
      <c r="A20" s="241"/>
      <c r="K20" s="246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9"/>
      <c r="BK20" s="242"/>
    </row>
    <row r="21" spans="1:63" ht="15" customHeight="1" x14ac:dyDescent="0.25">
      <c r="A21" s="241"/>
      <c r="K21" s="246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9"/>
      <c r="BK21" s="242"/>
    </row>
    <row r="22" spans="1:63" ht="15" customHeight="1" thickBot="1" x14ac:dyDescent="0.3">
      <c r="A22" s="241"/>
      <c r="K22" s="246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49"/>
      <c r="BK22" s="242"/>
    </row>
    <row r="23" spans="1:63" ht="15" customHeight="1" x14ac:dyDescent="0.25">
      <c r="A23" s="241"/>
      <c r="K23" s="246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49"/>
      <c r="BK23" s="242"/>
    </row>
    <row r="24" spans="1:63" ht="15" customHeight="1" x14ac:dyDescent="0.25">
      <c r="A24" s="241"/>
      <c r="K24" s="246"/>
      <c r="L24" s="248" t="str">
        <f>K2&amp;"/"&amp;H4&amp;"/"&amp;Z4</f>
        <v>POSサーバ/43_精算機の最終決済に入力された商品名/概要設計</v>
      </c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9"/>
      <c r="BK24" s="242"/>
    </row>
    <row r="25" spans="1:63" ht="15" customHeight="1" x14ac:dyDescent="0.25">
      <c r="A25" s="241"/>
      <c r="K25" s="246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9"/>
      <c r="BK25" s="242"/>
    </row>
    <row r="26" spans="1:63" ht="15" customHeight="1" x14ac:dyDescent="0.25">
      <c r="A26" s="241"/>
      <c r="K26" s="246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9"/>
      <c r="BK26" s="242"/>
    </row>
    <row r="27" spans="1:63" ht="15" customHeight="1" x14ac:dyDescent="0.25">
      <c r="A27" s="241"/>
      <c r="K27" s="246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9"/>
      <c r="BK27" s="242"/>
    </row>
    <row r="28" spans="1:63" ht="15" customHeight="1" x14ac:dyDescent="0.25">
      <c r="A28" s="241"/>
      <c r="K28" s="246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9"/>
      <c r="BK28" s="242"/>
    </row>
    <row r="29" spans="1:63" ht="15" customHeight="1" x14ac:dyDescent="0.25">
      <c r="A29" s="241"/>
      <c r="K29" s="246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9"/>
      <c r="BK29" s="242"/>
    </row>
    <row r="30" spans="1:63" ht="15" customHeight="1" x14ac:dyDescent="0.25">
      <c r="A30" s="241"/>
      <c r="K30" s="246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9"/>
      <c r="BK30" s="242"/>
    </row>
    <row r="31" spans="1:63" ht="15" customHeight="1" x14ac:dyDescent="0.25">
      <c r="A31" s="241"/>
      <c r="K31" s="246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9"/>
      <c r="BK31" s="242"/>
    </row>
    <row r="32" spans="1:63" ht="15" customHeight="1" x14ac:dyDescent="0.25">
      <c r="A32" s="241"/>
      <c r="K32" s="246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9"/>
      <c r="BK32" s="242"/>
    </row>
    <row r="33" spans="1:63" ht="15" customHeight="1" x14ac:dyDescent="0.25">
      <c r="A33" s="241"/>
      <c r="K33" s="246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9"/>
      <c r="BK33" s="242"/>
    </row>
    <row r="34" spans="1:63" ht="15" customHeight="1" x14ac:dyDescent="0.25">
      <c r="A34" s="241"/>
      <c r="K34" s="246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9"/>
      <c r="BK34" s="242"/>
    </row>
    <row r="35" spans="1:63" ht="15" customHeight="1" x14ac:dyDescent="0.25">
      <c r="A35" s="241"/>
      <c r="K35" s="246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9"/>
      <c r="BK35" s="242"/>
    </row>
    <row r="36" spans="1:63" ht="15" customHeight="1" x14ac:dyDescent="0.25">
      <c r="A36" s="241"/>
      <c r="K36" s="246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9"/>
      <c r="BK36" s="242"/>
    </row>
    <row r="37" spans="1:63" ht="15" customHeight="1" thickBot="1" x14ac:dyDescent="0.3">
      <c r="A37" s="241"/>
      <c r="K37" s="252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4"/>
      <c r="BK37" s="242"/>
    </row>
    <row r="38" spans="1:63" ht="15" customHeight="1" thickTop="1" x14ac:dyDescent="0.25">
      <c r="A38" s="241"/>
      <c r="BK38" s="242"/>
    </row>
    <row r="39" spans="1:63" ht="15" customHeight="1" x14ac:dyDescent="0.25">
      <c r="A39" s="241"/>
      <c r="BK39" s="242"/>
    </row>
    <row r="40" spans="1:63" ht="15" customHeight="1" x14ac:dyDescent="0.25">
      <c r="A40" s="241"/>
      <c r="BK40" s="242"/>
    </row>
    <row r="41" spans="1:63" ht="15" customHeight="1" x14ac:dyDescent="0.25">
      <c r="A41" s="241"/>
      <c r="BK41" s="242"/>
    </row>
    <row r="42" spans="1:63" ht="15" customHeight="1" x14ac:dyDescent="0.25">
      <c r="A42" s="241"/>
      <c r="BK42" s="242"/>
    </row>
    <row r="43" spans="1:63" ht="15" customHeight="1" x14ac:dyDescent="0.25">
      <c r="A43" s="241"/>
      <c r="BK43" s="242"/>
    </row>
    <row r="44" spans="1:63" ht="15" customHeight="1" x14ac:dyDescent="0.25">
      <c r="A44" s="241"/>
      <c r="Q44" s="255" t="s">
        <v>72</v>
      </c>
      <c r="R44" s="256"/>
      <c r="S44" s="256"/>
      <c r="T44" s="256"/>
      <c r="U44" s="256"/>
      <c r="V44" s="256"/>
      <c r="W44" s="256"/>
      <c r="X44" s="256"/>
      <c r="Y44" s="256"/>
      <c r="Z44" s="257"/>
      <c r="AA44" s="255" t="s">
        <v>73</v>
      </c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7"/>
      <c r="AQ44" s="255" t="s">
        <v>67</v>
      </c>
      <c r="AR44" s="256"/>
      <c r="AS44" s="256"/>
      <c r="AT44" s="256"/>
      <c r="AU44" s="257"/>
      <c r="BK44" s="242"/>
    </row>
    <row r="45" spans="1:63" ht="15" customHeight="1" x14ac:dyDescent="0.25">
      <c r="A45" s="241"/>
      <c r="Q45" s="258"/>
      <c r="R45" s="259"/>
      <c r="S45" s="259"/>
      <c r="T45" s="259"/>
      <c r="U45" s="259"/>
      <c r="V45" s="259"/>
      <c r="W45" s="259"/>
      <c r="X45" s="259"/>
      <c r="Y45" s="259"/>
      <c r="Z45" s="260"/>
      <c r="AA45" s="258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60"/>
      <c r="AQ45" s="258"/>
      <c r="AR45" s="259"/>
      <c r="AS45" s="259"/>
      <c r="AT45" s="259"/>
      <c r="AU45" s="260"/>
      <c r="BK45" s="242"/>
    </row>
    <row r="46" spans="1:63" ht="15" customHeight="1" x14ac:dyDescent="0.25">
      <c r="A46" s="241"/>
      <c r="Q46" s="211"/>
      <c r="R46" s="209"/>
      <c r="S46" s="209"/>
      <c r="T46" s="209"/>
      <c r="U46" s="209"/>
      <c r="V46" s="209"/>
      <c r="W46" s="209"/>
      <c r="X46" s="209"/>
      <c r="Y46" s="209"/>
      <c r="Z46" s="210"/>
      <c r="AA46" s="211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10"/>
      <c r="AQ46" s="211"/>
      <c r="AR46" s="209"/>
      <c r="AS46" s="209"/>
      <c r="AT46" s="209"/>
      <c r="AU46" s="210"/>
      <c r="BK46" s="242"/>
    </row>
    <row r="47" spans="1:63" ht="15" customHeight="1" x14ac:dyDescent="0.25">
      <c r="A47" s="241"/>
      <c r="Q47" s="261"/>
      <c r="R47" s="262"/>
      <c r="S47" s="262"/>
      <c r="T47" s="262"/>
      <c r="U47" s="262"/>
      <c r="V47" s="262"/>
      <c r="W47" s="262"/>
      <c r="X47" s="262"/>
      <c r="Y47" s="262"/>
      <c r="Z47" s="263"/>
      <c r="AA47" s="261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3"/>
      <c r="AQ47" s="261"/>
      <c r="AR47" s="262"/>
      <c r="AS47" s="262"/>
      <c r="AT47" s="262"/>
      <c r="AU47" s="263"/>
      <c r="BK47" s="242"/>
    </row>
    <row r="48" spans="1:63" ht="15" customHeight="1" x14ac:dyDescent="0.25">
      <c r="A48" s="241"/>
      <c r="Q48" s="261"/>
      <c r="R48" s="262"/>
      <c r="S48" s="262"/>
      <c r="T48" s="262"/>
      <c r="U48" s="262"/>
      <c r="V48" s="262"/>
      <c r="W48" s="262"/>
      <c r="X48" s="262"/>
      <c r="Y48" s="262"/>
      <c r="Z48" s="263"/>
      <c r="AA48" s="261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3"/>
      <c r="AQ48" s="261"/>
      <c r="AR48" s="262"/>
      <c r="AS48" s="262"/>
      <c r="AT48" s="262"/>
      <c r="AU48" s="263"/>
      <c r="BK48" s="242"/>
    </row>
    <row r="49" spans="1:63" ht="15" customHeight="1" x14ac:dyDescent="0.25">
      <c r="A49" s="241"/>
      <c r="Q49" s="221"/>
      <c r="R49" s="222"/>
      <c r="S49" s="222"/>
      <c r="T49" s="222"/>
      <c r="U49" s="222"/>
      <c r="V49" s="222"/>
      <c r="W49" s="222"/>
      <c r="X49" s="222"/>
      <c r="Y49" s="222"/>
      <c r="Z49" s="223"/>
      <c r="AA49" s="221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3"/>
      <c r="AQ49" s="221"/>
      <c r="AR49" s="222"/>
      <c r="AS49" s="222"/>
      <c r="AT49" s="222"/>
      <c r="AU49" s="223"/>
      <c r="BK49" s="242"/>
    </row>
    <row r="50" spans="1:63" ht="15" customHeight="1" x14ac:dyDescent="0.25">
      <c r="A50" s="241"/>
      <c r="BK50" s="242"/>
    </row>
    <row r="51" spans="1:63" ht="15" customHeight="1" x14ac:dyDescent="0.25">
      <c r="A51" s="241"/>
      <c r="BK51" s="242"/>
    </row>
    <row r="52" spans="1:63" ht="15" customHeight="1" x14ac:dyDescent="0.25">
      <c r="A52" s="241"/>
      <c r="BK52" s="242"/>
    </row>
    <row r="53" spans="1:63" ht="15" customHeight="1" x14ac:dyDescent="0.25">
      <c r="A53" s="241"/>
      <c r="BK53" s="242"/>
    </row>
    <row r="54" spans="1:63" ht="15" customHeight="1" x14ac:dyDescent="0.25">
      <c r="A54" s="241"/>
      <c r="BK54" s="242"/>
    </row>
    <row r="55" spans="1:63" ht="15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4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tr">
        <f>IF(表紙!W1="","",表紙!W1)</f>
        <v>基本設計書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3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DuNT</v>
      </c>
      <c r="AQ2" s="209"/>
      <c r="AR2" s="209"/>
      <c r="AS2" s="210"/>
      <c r="AT2" s="215">
        <f>IF(表紙!AT2="","",表紙!AT2)</f>
        <v>45625</v>
      </c>
      <c r="AU2" s="216"/>
      <c r="AV2" s="216"/>
      <c r="AW2" s="216"/>
      <c r="AX2" s="217"/>
      <c r="AY2" s="211" t="str">
        <f>IF(表紙!AY2="","",表紙!AY2)</f>
        <v>DuNT</v>
      </c>
      <c r="AZ2" s="209"/>
      <c r="BA2" s="209"/>
      <c r="BB2" s="210"/>
      <c r="BC2" s="215">
        <f>IF(表紙!BC2="","",表紙!BC2)</f>
        <v>45625</v>
      </c>
      <c r="BD2" s="216"/>
      <c r="BE2" s="216"/>
      <c r="BF2" s="216"/>
      <c r="BG2" s="217"/>
      <c r="BH2" s="211">
        <f>IF(表紙!BH2="","",表紙!BH2)</f>
        <v>0.1</v>
      </c>
      <c r="BI2" s="209"/>
      <c r="BJ2" s="209"/>
      <c r="BK2" s="21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235" t="str">
        <f>IF(表紙!H4="","",表紙!H4)</f>
        <v>43_精算機の最終決済に入力された商品名</v>
      </c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7"/>
      <c r="U4" s="202" t="s">
        <v>70</v>
      </c>
      <c r="V4" s="203"/>
      <c r="W4" s="203"/>
      <c r="X4" s="203"/>
      <c r="Y4" s="204"/>
      <c r="Z4" s="235" t="str">
        <f>IF(表紙!Z4="","",表紙!Z4)</f>
        <v>概要設計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改訂履歴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3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3" ht="15" customHeight="1" x14ac:dyDescent="0.25">
      <c r="A6" s="241"/>
      <c r="BK6" s="242"/>
    </row>
    <row r="7" spans="1:63" ht="15" customHeight="1" x14ac:dyDescent="0.25">
      <c r="A7" s="241"/>
      <c r="BK7" s="242"/>
    </row>
    <row r="8" spans="1:63" ht="15" customHeight="1" x14ac:dyDescent="0.25">
      <c r="A8" s="241"/>
      <c r="B8" s="208" t="s">
        <v>9</v>
      </c>
      <c r="BK8" s="242"/>
    </row>
    <row r="9" spans="1:63" ht="15" customHeight="1" x14ac:dyDescent="0.25">
      <c r="A9" s="241"/>
      <c r="BK9" s="242"/>
    </row>
    <row r="10" spans="1:63" ht="15" customHeight="1" x14ac:dyDescent="0.25">
      <c r="A10" s="241"/>
      <c r="B10" s="264" t="s">
        <v>66</v>
      </c>
      <c r="C10" s="264"/>
      <c r="D10" s="264"/>
      <c r="E10" s="264"/>
      <c r="F10" s="264"/>
      <c r="G10" s="264"/>
      <c r="H10" s="264" t="s">
        <v>65</v>
      </c>
      <c r="I10" s="264"/>
      <c r="J10" s="264"/>
      <c r="K10" s="264"/>
      <c r="L10" s="264"/>
      <c r="M10" s="264"/>
      <c r="N10" s="264"/>
      <c r="O10" s="264" t="s">
        <v>67</v>
      </c>
      <c r="P10" s="264"/>
      <c r="Q10" s="264"/>
      <c r="R10" s="264"/>
      <c r="S10" s="264" t="s">
        <v>74</v>
      </c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 t="s">
        <v>72</v>
      </c>
      <c r="AY10" s="264"/>
      <c r="AZ10" s="264"/>
      <c r="BA10" s="264"/>
      <c r="BB10" s="264"/>
      <c r="BC10" s="264"/>
      <c r="BD10" s="264" t="s">
        <v>73</v>
      </c>
      <c r="BE10" s="264"/>
      <c r="BF10" s="264"/>
      <c r="BG10" s="264"/>
      <c r="BH10" s="264"/>
      <c r="BI10" s="264"/>
      <c r="BJ10" s="264"/>
      <c r="BK10" s="242"/>
    </row>
    <row r="11" spans="1:63" ht="15" customHeight="1" x14ac:dyDescent="0.25">
      <c r="A11" s="241"/>
      <c r="B11" s="215">
        <v>45625</v>
      </c>
      <c r="C11" s="209"/>
      <c r="D11" s="209"/>
      <c r="E11" s="209"/>
      <c r="F11" s="209"/>
      <c r="G11" s="210"/>
      <c r="H11" s="5" t="s">
        <v>75</v>
      </c>
      <c r="I11" s="209"/>
      <c r="J11" s="209"/>
      <c r="K11" s="209"/>
      <c r="L11" s="209"/>
      <c r="M11" s="209"/>
      <c r="N11" s="210"/>
      <c r="O11" s="211">
        <v>0.1</v>
      </c>
      <c r="P11" s="209"/>
      <c r="Q11" s="209"/>
      <c r="R11" s="209"/>
      <c r="S11" s="64" t="s">
        <v>76</v>
      </c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6"/>
      <c r="AX11" s="267"/>
      <c r="AY11" s="267"/>
      <c r="AZ11" s="267"/>
      <c r="BA11" s="267"/>
      <c r="BB11" s="267"/>
      <c r="BC11" s="268"/>
      <c r="BD11" s="269"/>
      <c r="BE11" s="267"/>
      <c r="BF11" s="267"/>
      <c r="BG11" s="267"/>
      <c r="BH11" s="267"/>
      <c r="BI11" s="267"/>
      <c r="BJ11" s="268"/>
      <c r="BK11" s="242"/>
    </row>
    <row r="12" spans="1:63" ht="15" customHeight="1" x14ac:dyDescent="0.25">
      <c r="A12" s="241"/>
      <c r="B12" s="221"/>
      <c r="C12" s="222"/>
      <c r="D12" s="222"/>
      <c r="E12" s="222"/>
      <c r="F12" s="222"/>
      <c r="G12" s="223"/>
      <c r="H12" s="221"/>
      <c r="I12" s="222"/>
      <c r="J12" s="222"/>
      <c r="K12" s="222"/>
      <c r="L12" s="222"/>
      <c r="M12" s="222"/>
      <c r="N12" s="223"/>
      <c r="O12" s="221"/>
      <c r="P12" s="222"/>
      <c r="Q12" s="222"/>
      <c r="R12" s="222"/>
      <c r="S12" s="270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2"/>
      <c r="AX12" s="273"/>
      <c r="AY12" s="273"/>
      <c r="AZ12" s="273"/>
      <c r="BA12" s="273"/>
      <c r="BB12" s="273"/>
      <c r="BC12" s="274"/>
      <c r="BD12" s="275"/>
      <c r="BE12" s="273"/>
      <c r="BF12" s="273"/>
      <c r="BG12" s="273"/>
      <c r="BH12" s="273"/>
      <c r="BI12" s="273"/>
      <c r="BJ12" s="274"/>
      <c r="BK12" s="242"/>
    </row>
    <row r="13" spans="1:63" ht="15" customHeight="1" x14ac:dyDescent="0.25">
      <c r="A13" s="241"/>
      <c r="B13" s="215"/>
      <c r="C13" s="209"/>
      <c r="D13" s="209"/>
      <c r="E13" s="209"/>
      <c r="F13" s="209"/>
      <c r="G13" s="210"/>
      <c r="H13" s="211"/>
      <c r="I13" s="209"/>
      <c r="J13" s="209"/>
      <c r="K13" s="209"/>
      <c r="L13" s="209"/>
      <c r="M13" s="209"/>
      <c r="N13" s="210"/>
      <c r="O13" s="211"/>
      <c r="P13" s="209"/>
      <c r="Q13" s="209"/>
      <c r="R13" s="209"/>
      <c r="S13" s="276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6"/>
      <c r="AX13" s="267"/>
      <c r="AY13" s="267"/>
      <c r="AZ13" s="267"/>
      <c r="BA13" s="267"/>
      <c r="BB13" s="267"/>
      <c r="BC13" s="268"/>
      <c r="BD13" s="269"/>
      <c r="BE13" s="267"/>
      <c r="BF13" s="267"/>
      <c r="BG13" s="267"/>
      <c r="BH13" s="267"/>
      <c r="BI13" s="267"/>
      <c r="BJ13" s="268"/>
      <c r="BK13" s="242"/>
    </row>
    <row r="14" spans="1:63" ht="15" customHeight="1" x14ac:dyDescent="0.25">
      <c r="A14" s="241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70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2"/>
      <c r="AX14" s="273"/>
      <c r="AY14" s="273"/>
      <c r="AZ14" s="273"/>
      <c r="BA14" s="273"/>
      <c r="BB14" s="273"/>
      <c r="BC14" s="274"/>
      <c r="BD14" s="275"/>
      <c r="BE14" s="273"/>
      <c r="BF14" s="273"/>
      <c r="BG14" s="273"/>
      <c r="BH14" s="273"/>
      <c r="BI14" s="273"/>
      <c r="BJ14" s="274"/>
      <c r="BK14" s="242"/>
    </row>
    <row r="15" spans="1:63" ht="15" customHeight="1" x14ac:dyDescent="0.25">
      <c r="A15" s="241"/>
      <c r="B15" s="211"/>
      <c r="C15" s="209"/>
      <c r="D15" s="209"/>
      <c r="E15" s="209"/>
      <c r="F15" s="209"/>
      <c r="G15" s="210"/>
      <c r="H15" s="211"/>
      <c r="I15" s="209"/>
      <c r="J15" s="209"/>
      <c r="K15" s="209"/>
      <c r="L15" s="209"/>
      <c r="M15" s="209"/>
      <c r="N15" s="210"/>
      <c r="O15" s="211"/>
      <c r="P15" s="209"/>
      <c r="Q15" s="209"/>
      <c r="R15" s="209"/>
      <c r="S15" s="276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6"/>
      <c r="AX15" s="267"/>
      <c r="AY15" s="267"/>
      <c r="AZ15" s="267"/>
      <c r="BA15" s="267"/>
      <c r="BB15" s="267"/>
      <c r="BC15" s="268"/>
      <c r="BD15" s="269"/>
      <c r="BE15" s="267"/>
      <c r="BF15" s="267"/>
      <c r="BG15" s="267"/>
      <c r="BH15" s="267"/>
      <c r="BI15" s="267"/>
      <c r="BJ15" s="268"/>
      <c r="BK15" s="242"/>
    </row>
    <row r="16" spans="1:63" ht="15" customHeight="1" x14ac:dyDescent="0.25">
      <c r="A16" s="241"/>
      <c r="B16" s="221"/>
      <c r="C16" s="222"/>
      <c r="D16" s="222"/>
      <c r="E16" s="222"/>
      <c r="F16" s="222"/>
      <c r="G16" s="223"/>
      <c r="H16" s="221"/>
      <c r="I16" s="222"/>
      <c r="J16" s="222"/>
      <c r="K16" s="222"/>
      <c r="L16" s="222"/>
      <c r="M16" s="222"/>
      <c r="N16" s="223"/>
      <c r="O16" s="221"/>
      <c r="P16" s="222"/>
      <c r="Q16" s="222"/>
      <c r="R16" s="222"/>
      <c r="S16" s="270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2"/>
      <c r="AX16" s="273"/>
      <c r="AY16" s="273"/>
      <c r="AZ16" s="273"/>
      <c r="BA16" s="273"/>
      <c r="BB16" s="273"/>
      <c r="BC16" s="274"/>
      <c r="BD16" s="275"/>
      <c r="BE16" s="273"/>
      <c r="BF16" s="273"/>
      <c r="BG16" s="273"/>
      <c r="BH16" s="273"/>
      <c r="BI16" s="273"/>
      <c r="BJ16" s="274"/>
      <c r="BK16" s="242"/>
    </row>
    <row r="17" spans="1:63" ht="15" customHeight="1" x14ac:dyDescent="0.25">
      <c r="A17" s="241"/>
      <c r="B17" s="211"/>
      <c r="C17" s="209"/>
      <c r="D17" s="209"/>
      <c r="E17" s="209"/>
      <c r="F17" s="209"/>
      <c r="G17" s="210"/>
      <c r="H17" s="211"/>
      <c r="I17" s="209"/>
      <c r="J17" s="209"/>
      <c r="K17" s="209"/>
      <c r="L17" s="209"/>
      <c r="M17" s="209"/>
      <c r="N17" s="210"/>
      <c r="O17" s="211"/>
      <c r="P17" s="209"/>
      <c r="Q17" s="209"/>
      <c r="R17" s="209"/>
      <c r="S17" s="276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6"/>
      <c r="AX17" s="267"/>
      <c r="AY17" s="267"/>
      <c r="AZ17" s="267"/>
      <c r="BA17" s="267"/>
      <c r="BB17" s="267"/>
      <c r="BC17" s="268"/>
      <c r="BD17" s="269"/>
      <c r="BE17" s="267"/>
      <c r="BF17" s="267"/>
      <c r="BG17" s="267"/>
      <c r="BH17" s="267"/>
      <c r="BI17" s="267"/>
      <c r="BJ17" s="268"/>
      <c r="BK17" s="242"/>
    </row>
    <row r="18" spans="1:63" ht="15" customHeight="1" x14ac:dyDescent="0.25">
      <c r="A18" s="241"/>
      <c r="B18" s="221"/>
      <c r="C18" s="222"/>
      <c r="D18" s="222"/>
      <c r="E18" s="222"/>
      <c r="F18" s="222"/>
      <c r="G18" s="223"/>
      <c r="H18" s="221"/>
      <c r="I18" s="222"/>
      <c r="J18" s="222"/>
      <c r="K18" s="222"/>
      <c r="L18" s="222"/>
      <c r="M18" s="222"/>
      <c r="N18" s="223"/>
      <c r="O18" s="221"/>
      <c r="P18" s="222"/>
      <c r="Q18" s="222"/>
      <c r="R18" s="222"/>
      <c r="S18" s="270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2"/>
      <c r="AX18" s="273"/>
      <c r="AY18" s="273"/>
      <c r="AZ18" s="273"/>
      <c r="BA18" s="273"/>
      <c r="BB18" s="273"/>
      <c r="BC18" s="274"/>
      <c r="BD18" s="275"/>
      <c r="BE18" s="273"/>
      <c r="BF18" s="273"/>
      <c r="BG18" s="273"/>
      <c r="BH18" s="273"/>
      <c r="BI18" s="273"/>
      <c r="BJ18" s="274"/>
      <c r="BK18" s="242"/>
    </row>
    <row r="19" spans="1:63" ht="15" customHeight="1" x14ac:dyDescent="0.25">
      <c r="A19" s="241"/>
      <c r="B19" s="211"/>
      <c r="C19" s="209"/>
      <c r="D19" s="209"/>
      <c r="E19" s="209"/>
      <c r="F19" s="209"/>
      <c r="G19" s="210"/>
      <c r="H19" s="211"/>
      <c r="I19" s="209"/>
      <c r="J19" s="209"/>
      <c r="K19" s="209"/>
      <c r="L19" s="209"/>
      <c r="M19" s="209"/>
      <c r="N19" s="210"/>
      <c r="O19" s="211"/>
      <c r="P19" s="209"/>
      <c r="Q19" s="209"/>
      <c r="R19" s="209"/>
      <c r="S19" s="276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6"/>
      <c r="AX19" s="267"/>
      <c r="AY19" s="267"/>
      <c r="AZ19" s="267"/>
      <c r="BA19" s="267"/>
      <c r="BB19" s="267"/>
      <c r="BC19" s="268"/>
      <c r="BD19" s="269"/>
      <c r="BE19" s="267"/>
      <c r="BF19" s="267"/>
      <c r="BG19" s="267"/>
      <c r="BH19" s="267"/>
      <c r="BI19" s="267"/>
      <c r="BJ19" s="268"/>
      <c r="BK19" s="242"/>
    </row>
    <row r="20" spans="1:63" ht="15" customHeight="1" x14ac:dyDescent="0.25">
      <c r="A20" s="241"/>
      <c r="B20" s="221"/>
      <c r="C20" s="222"/>
      <c r="D20" s="222"/>
      <c r="E20" s="222"/>
      <c r="F20" s="222"/>
      <c r="G20" s="223"/>
      <c r="H20" s="221"/>
      <c r="I20" s="222"/>
      <c r="J20" s="222"/>
      <c r="K20" s="222"/>
      <c r="L20" s="222"/>
      <c r="M20" s="222"/>
      <c r="N20" s="223"/>
      <c r="O20" s="221"/>
      <c r="P20" s="222"/>
      <c r="Q20" s="222"/>
      <c r="R20" s="222"/>
      <c r="S20" s="270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2"/>
      <c r="AX20" s="273"/>
      <c r="AY20" s="273"/>
      <c r="AZ20" s="273"/>
      <c r="BA20" s="273"/>
      <c r="BB20" s="273"/>
      <c r="BC20" s="274"/>
      <c r="BD20" s="275"/>
      <c r="BE20" s="273"/>
      <c r="BF20" s="273"/>
      <c r="BG20" s="273"/>
      <c r="BH20" s="273"/>
      <c r="BI20" s="273"/>
      <c r="BJ20" s="274"/>
      <c r="BK20" s="242"/>
    </row>
    <row r="21" spans="1:63" ht="15" customHeight="1" x14ac:dyDescent="0.25">
      <c r="A21" s="241"/>
      <c r="B21" s="211"/>
      <c r="C21" s="209"/>
      <c r="D21" s="209"/>
      <c r="E21" s="209"/>
      <c r="F21" s="209"/>
      <c r="G21" s="210"/>
      <c r="H21" s="211"/>
      <c r="I21" s="209"/>
      <c r="J21" s="209"/>
      <c r="K21" s="209"/>
      <c r="L21" s="209"/>
      <c r="M21" s="209"/>
      <c r="N21" s="210"/>
      <c r="O21" s="211"/>
      <c r="P21" s="209"/>
      <c r="Q21" s="209"/>
      <c r="R21" s="209"/>
      <c r="S21" s="276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6"/>
      <c r="AX21" s="267"/>
      <c r="AY21" s="267"/>
      <c r="AZ21" s="267"/>
      <c r="BA21" s="267"/>
      <c r="BB21" s="267"/>
      <c r="BC21" s="268"/>
      <c r="BD21" s="269"/>
      <c r="BE21" s="267"/>
      <c r="BF21" s="267"/>
      <c r="BG21" s="267"/>
      <c r="BH21" s="267"/>
      <c r="BI21" s="267"/>
      <c r="BJ21" s="268"/>
      <c r="BK21" s="242"/>
    </row>
    <row r="22" spans="1:63" ht="15" customHeight="1" x14ac:dyDescent="0.25">
      <c r="A22" s="241"/>
      <c r="B22" s="221"/>
      <c r="C22" s="222"/>
      <c r="D22" s="222"/>
      <c r="E22" s="222"/>
      <c r="F22" s="222"/>
      <c r="G22" s="223"/>
      <c r="H22" s="221"/>
      <c r="I22" s="222"/>
      <c r="J22" s="222"/>
      <c r="K22" s="222"/>
      <c r="L22" s="222"/>
      <c r="M22" s="222"/>
      <c r="N22" s="223"/>
      <c r="O22" s="221"/>
      <c r="P22" s="222"/>
      <c r="Q22" s="222"/>
      <c r="R22" s="222"/>
      <c r="S22" s="270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2"/>
      <c r="AX22" s="273"/>
      <c r="AY22" s="273"/>
      <c r="AZ22" s="273"/>
      <c r="BA22" s="273"/>
      <c r="BB22" s="273"/>
      <c r="BC22" s="274"/>
      <c r="BD22" s="275"/>
      <c r="BE22" s="273"/>
      <c r="BF22" s="273"/>
      <c r="BG22" s="273"/>
      <c r="BH22" s="273"/>
      <c r="BI22" s="273"/>
      <c r="BJ22" s="274"/>
      <c r="BK22" s="242"/>
    </row>
    <row r="23" spans="1:63" ht="15" customHeight="1" x14ac:dyDescent="0.25">
      <c r="A23" s="241"/>
      <c r="B23" s="211"/>
      <c r="C23" s="209"/>
      <c r="D23" s="209"/>
      <c r="E23" s="209"/>
      <c r="F23" s="209"/>
      <c r="G23" s="210"/>
      <c r="H23" s="211"/>
      <c r="I23" s="209"/>
      <c r="J23" s="209"/>
      <c r="K23" s="209"/>
      <c r="L23" s="209"/>
      <c r="M23" s="209"/>
      <c r="N23" s="210"/>
      <c r="O23" s="211"/>
      <c r="P23" s="209"/>
      <c r="Q23" s="209"/>
      <c r="R23" s="209"/>
      <c r="S23" s="276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6"/>
      <c r="AX23" s="267"/>
      <c r="AY23" s="267"/>
      <c r="AZ23" s="267"/>
      <c r="BA23" s="267"/>
      <c r="BB23" s="267"/>
      <c r="BC23" s="268"/>
      <c r="BD23" s="269"/>
      <c r="BE23" s="267"/>
      <c r="BF23" s="267"/>
      <c r="BG23" s="267"/>
      <c r="BH23" s="267"/>
      <c r="BI23" s="267"/>
      <c r="BJ23" s="268"/>
      <c r="BK23" s="242"/>
    </row>
    <row r="24" spans="1:63" ht="15" customHeight="1" x14ac:dyDescent="0.25">
      <c r="A24" s="241"/>
      <c r="B24" s="221"/>
      <c r="C24" s="222"/>
      <c r="D24" s="222"/>
      <c r="E24" s="222"/>
      <c r="F24" s="222"/>
      <c r="G24" s="223"/>
      <c r="H24" s="221"/>
      <c r="I24" s="222"/>
      <c r="J24" s="222"/>
      <c r="K24" s="222"/>
      <c r="L24" s="222"/>
      <c r="M24" s="222"/>
      <c r="N24" s="223"/>
      <c r="O24" s="221"/>
      <c r="P24" s="222"/>
      <c r="Q24" s="222"/>
      <c r="R24" s="222"/>
      <c r="S24" s="270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2"/>
      <c r="AX24" s="273"/>
      <c r="AY24" s="273"/>
      <c r="AZ24" s="273"/>
      <c r="BA24" s="273"/>
      <c r="BB24" s="273"/>
      <c r="BC24" s="274"/>
      <c r="BD24" s="275"/>
      <c r="BE24" s="273"/>
      <c r="BF24" s="273"/>
      <c r="BG24" s="273"/>
      <c r="BH24" s="273"/>
      <c r="BI24" s="273"/>
      <c r="BJ24" s="274"/>
      <c r="BK24" s="242"/>
    </row>
    <row r="25" spans="1:63" ht="15" customHeight="1" x14ac:dyDescent="0.25">
      <c r="A25" s="241"/>
      <c r="B25" s="211"/>
      <c r="C25" s="209"/>
      <c r="D25" s="209"/>
      <c r="E25" s="209"/>
      <c r="F25" s="209"/>
      <c r="G25" s="210"/>
      <c r="H25" s="211"/>
      <c r="I25" s="209"/>
      <c r="J25" s="209"/>
      <c r="K25" s="209"/>
      <c r="L25" s="209"/>
      <c r="M25" s="209"/>
      <c r="N25" s="210"/>
      <c r="O25" s="211"/>
      <c r="P25" s="209"/>
      <c r="Q25" s="209"/>
      <c r="R25" s="209"/>
      <c r="S25" s="276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6"/>
      <c r="AX25" s="267"/>
      <c r="AY25" s="267"/>
      <c r="AZ25" s="267"/>
      <c r="BA25" s="267"/>
      <c r="BB25" s="267"/>
      <c r="BC25" s="268"/>
      <c r="BD25" s="269"/>
      <c r="BE25" s="267"/>
      <c r="BF25" s="267"/>
      <c r="BG25" s="267"/>
      <c r="BH25" s="267"/>
      <c r="BI25" s="267"/>
      <c r="BJ25" s="268"/>
      <c r="BK25" s="242"/>
    </row>
    <row r="26" spans="1:63" ht="15" customHeight="1" x14ac:dyDescent="0.25">
      <c r="A26" s="241"/>
      <c r="B26" s="221"/>
      <c r="C26" s="222"/>
      <c r="D26" s="222"/>
      <c r="E26" s="222"/>
      <c r="F26" s="222"/>
      <c r="G26" s="223"/>
      <c r="H26" s="221"/>
      <c r="I26" s="222"/>
      <c r="J26" s="222"/>
      <c r="K26" s="222"/>
      <c r="L26" s="222"/>
      <c r="M26" s="222"/>
      <c r="N26" s="223"/>
      <c r="O26" s="221"/>
      <c r="P26" s="222"/>
      <c r="Q26" s="222"/>
      <c r="R26" s="222"/>
      <c r="S26" s="270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2"/>
      <c r="AX26" s="273"/>
      <c r="AY26" s="273"/>
      <c r="AZ26" s="273"/>
      <c r="BA26" s="273"/>
      <c r="BB26" s="273"/>
      <c r="BC26" s="274"/>
      <c r="BD26" s="275"/>
      <c r="BE26" s="273"/>
      <c r="BF26" s="273"/>
      <c r="BG26" s="273"/>
      <c r="BH26" s="273"/>
      <c r="BI26" s="273"/>
      <c r="BJ26" s="274"/>
      <c r="BK26" s="242"/>
    </row>
    <row r="27" spans="1:63" ht="15" customHeight="1" x14ac:dyDescent="0.25">
      <c r="A27" s="241"/>
      <c r="B27" s="211"/>
      <c r="C27" s="209"/>
      <c r="D27" s="209"/>
      <c r="E27" s="209"/>
      <c r="F27" s="209"/>
      <c r="G27" s="210"/>
      <c r="H27" s="211"/>
      <c r="I27" s="209"/>
      <c r="J27" s="209"/>
      <c r="K27" s="209"/>
      <c r="L27" s="209"/>
      <c r="M27" s="209"/>
      <c r="N27" s="210"/>
      <c r="O27" s="211"/>
      <c r="P27" s="209"/>
      <c r="Q27" s="209"/>
      <c r="R27" s="209"/>
      <c r="S27" s="276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6"/>
      <c r="AX27" s="267"/>
      <c r="AY27" s="267"/>
      <c r="AZ27" s="267"/>
      <c r="BA27" s="267"/>
      <c r="BB27" s="267"/>
      <c r="BC27" s="268"/>
      <c r="BD27" s="269"/>
      <c r="BE27" s="267"/>
      <c r="BF27" s="267"/>
      <c r="BG27" s="267"/>
      <c r="BH27" s="267"/>
      <c r="BI27" s="267"/>
      <c r="BJ27" s="268"/>
      <c r="BK27" s="242"/>
    </row>
    <row r="28" spans="1:63" ht="15" customHeight="1" x14ac:dyDescent="0.25">
      <c r="A28" s="241"/>
      <c r="B28" s="221"/>
      <c r="C28" s="222"/>
      <c r="D28" s="222"/>
      <c r="E28" s="222"/>
      <c r="F28" s="222"/>
      <c r="G28" s="223"/>
      <c r="H28" s="221"/>
      <c r="I28" s="222"/>
      <c r="J28" s="222"/>
      <c r="K28" s="222"/>
      <c r="L28" s="222"/>
      <c r="M28" s="222"/>
      <c r="N28" s="223"/>
      <c r="O28" s="221"/>
      <c r="P28" s="222"/>
      <c r="Q28" s="222"/>
      <c r="R28" s="222"/>
      <c r="S28" s="270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2"/>
      <c r="AX28" s="273"/>
      <c r="AY28" s="273"/>
      <c r="AZ28" s="273"/>
      <c r="BA28" s="273"/>
      <c r="BB28" s="273"/>
      <c r="BC28" s="274"/>
      <c r="BD28" s="275"/>
      <c r="BE28" s="273"/>
      <c r="BF28" s="273"/>
      <c r="BG28" s="273"/>
      <c r="BH28" s="273"/>
      <c r="BI28" s="273"/>
      <c r="BJ28" s="274"/>
      <c r="BK28" s="242"/>
    </row>
    <row r="29" spans="1:63" ht="15" customHeight="1" x14ac:dyDescent="0.25">
      <c r="A29" s="241"/>
      <c r="B29" s="211"/>
      <c r="C29" s="209"/>
      <c r="D29" s="209"/>
      <c r="E29" s="209"/>
      <c r="F29" s="209"/>
      <c r="G29" s="210"/>
      <c r="H29" s="211"/>
      <c r="I29" s="209"/>
      <c r="J29" s="209"/>
      <c r="K29" s="209"/>
      <c r="L29" s="209"/>
      <c r="M29" s="209"/>
      <c r="N29" s="210"/>
      <c r="O29" s="211"/>
      <c r="P29" s="209"/>
      <c r="Q29" s="209"/>
      <c r="R29" s="209"/>
      <c r="S29" s="276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6"/>
      <c r="AX29" s="267"/>
      <c r="AY29" s="267"/>
      <c r="AZ29" s="267"/>
      <c r="BA29" s="267"/>
      <c r="BB29" s="267"/>
      <c r="BC29" s="268"/>
      <c r="BD29" s="269"/>
      <c r="BE29" s="267"/>
      <c r="BF29" s="267"/>
      <c r="BG29" s="267"/>
      <c r="BH29" s="267"/>
      <c r="BI29" s="267"/>
      <c r="BJ29" s="268"/>
      <c r="BK29" s="242"/>
    </row>
    <row r="30" spans="1:63" ht="15" customHeight="1" x14ac:dyDescent="0.25">
      <c r="A30" s="241"/>
      <c r="B30" s="221"/>
      <c r="C30" s="222"/>
      <c r="D30" s="222"/>
      <c r="E30" s="222"/>
      <c r="F30" s="222"/>
      <c r="G30" s="223"/>
      <c r="H30" s="221"/>
      <c r="I30" s="222"/>
      <c r="J30" s="222"/>
      <c r="K30" s="222"/>
      <c r="L30" s="222"/>
      <c r="M30" s="222"/>
      <c r="N30" s="223"/>
      <c r="O30" s="221"/>
      <c r="P30" s="222"/>
      <c r="Q30" s="222"/>
      <c r="R30" s="222"/>
      <c r="S30" s="270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2"/>
      <c r="AX30" s="273"/>
      <c r="AY30" s="273"/>
      <c r="AZ30" s="273"/>
      <c r="BA30" s="273"/>
      <c r="BB30" s="273"/>
      <c r="BC30" s="274"/>
      <c r="BD30" s="275"/>
      <c r="BE30" s="273"/>
      <c r="BF30" s="273"/>
      <c r="BG30" s="273"/>
      <c r="BH30" s="273"/>
      <c r="BI30" s="273"/>
      <c r="BJ30" s="274"/>
      <c r="BK30" s="242"/>
    </row>
    <row r="31" spans="1:63" ht="15" customHeight="1" x14ac:dyDescent="0.25">
      <c r="A31" s="241"/>
      <c r="B31" s="211"/>
      <c r="C31" s="209"/>
      <c r="D31" s="209"/>
      <c r="E31" s="209"/>
      <c r="F31" s="209"/>
      <c r="G31" s="210"/>
      <c r="H31" s="211"/>
      <c r="I31" s="209"/>
      <c r="J31" s="209"/>
      <c r="K31" s="209"/>
      <c r="L31" s="209"/>
      <c r="M31" s="209"/>
      <c r="N31" s="210"/>
      <c r="O31" s="211"/>
      <c r="P31" s="209"/>
      <c r="Q31" s="209"/>
      <c r="R31" s="209"/>
      <c r="S31" s="276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6"/>
      <c r="AX31" s="267"/>
      <c r="AY31" s="267"/>
      <c r="AZ31" s="267"/>
      <c r="BA31" s="267"/>
      <c r="BB31" s="267"/>
      <c r="BC31" s="268"/>
      <c r="BD31" s="269"/>
      <c r="BE31" s="267"/>
      <c r="BF31" s="267"/>
      <c r="BG31" s="267"/>
      <c r="BH31" s="267"/>
      <c r="BI31" s="267"/>
      <c r="BJ31" s="268"/>
      <c r="BK31" s="242"/>
    </row>
    <row r="32" spans="1:63" ht="15" customHeight="1" x14ac:dyDescent="0.25">
      <c r="A32" s="241"/>
      <c r="B32" s="221"/>
      <c r="C32" s="222"/>
      <c r="D32" s="222"/>
      <c r="E32" s="222"/>
      <c r="F32" s="222"/>
      <c r="G32" s="223"/>
      <c r="H32" s="221"/>
      <c r="I32" s="222"/>
      <c r="J32" s="222"/>
      <c r="K32" s="222"/>
      <c r="L32" s="222"/>
      <c r="M32" s="222"/>
      <c r="N32" s="223"/>
      <c r="O32" s="221"/>
      <c r="P32" s="222"/>
      <c r="Q32" s="222"/>
      <c r="R32" s="222"/>
      <c r="S32" s="270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2"/>
      <c r="AX32" s="273"/>
      <c r="AY32" s="273"/>
      <c r="AZ32" s="273"/>
      <c r="BA32" s="273"/>
      <c r="BB32" s="273"/>
      <c r="BC32" s="274"/>
      <c r="BD32" s="275"/>
      <c r="BE32" s="273"/>
      <c r="BF32" s="273"/>
      <c r="BG32" s="273"/>
      <c r="BH32" s="273"/>
      <c r="BI32" s="273"/>
      <c r="BJ32" s="274"/>
      <c r="BK32" s="242"/>
    </row>
    <row r="33" spans="1:63" ht="15" customHeight="1" x14ac:dyDescent="0.25">
      <c r="A33" s="241"/>
      <c r="B33" s="211"/>
      <c r="C33" s="209"/>
      <c r="D33" s="209"/>
      <c r="E33" s="209"/>
      <c r="F33" s="209"/>
      <c r="G33" s="210"/>
      <c r="H33" s="211"/>
      <c r="I33" s="209"/>
      <c r="J33" s="209"/>
      <c r="K33" s="209"/>
      <c r="L33" s="209"/>
      <c r="M33" s="209"/>
      <c r="N33" s="210"/>
      <c r="O33" s="211"/>
      <c r="P33" s="209"/>
      <c r="Q33" s="209"/>
      <c r="R33" s="209"/>
      <c r="S33" s="276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6"/>
      <c r="AX33" s="267"/>
      <c r="AY33" s="267"/>
      <c r="AZ33" s="267"/>
      <c r="BA33" s="267"/>
      <c r="BB33" s="267"/>
      <c r="BC33" s="268"/>
      <c r="BD33" s="269"/>
      <c r="BE33" s="267"/>
      <c r="BF33" s="267"/>
      <c r="BG33" s="267"/>
      <c r="BH33" s="267"/>
      <c r="BI33" s="267"/>
      <c r="BJ33" s="268"/>
      <c r="BK33" s="242"/>
    </row>
    <row r="34" spans="1:63" ht="15" customHeight="1" x14ac:dyDescent="0.25">
      <c r="A34" s="241"/>
      <c r="B34" s="221"/>
      <c r="C34" s="222"/>
      <c r="D34" s="222"/>
      <c r="E34" s="222"/>
      <c r="F34" s="222"/>
      <c r="G34" s="223"/>
      <c r="H34" s="221"/>
      <c r="I34" s="222"/>
      <c r="J34" s="222"/>
      <c r="K34" s="222"/>
      <c r="L34" s="222"/>
      <c r="M34" s="222"/>
      <c r="N34" s="223"/>
      <c r="O34" s="221"/>
      <c r="P34" s="222"/>
      <c r="Q34" s="222"/>
      <c r="R34" s="222"/>
      <c r="S34" s="270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2"/>
      <c r="AX34" s="273"/>
      <c r="AY34" s="273"/>
      <c r="AZ34" s="273"/>
      <c r="BA34" s="273"/>
      <c r="BB34" s="273"/>
      <c r="BC34" s="274"/>
      <c r="BD34" s="275"/>
      <c r="BE34" s="273"/>
      <c r="BF34" s="273"/>
      <c r="BG34" s="273"/>
      <c r="BH34" s="273"/>
      <c r="BI34" s="273"/>
      <c r="BJ34" s="274"/>
      <c r="BK34" s="242"/>
    </row>
    <row r="35" spans="1:63" ht="15" customHeight="1" x14ac:dyDescent="0.25">
      <c r="A35" s="241"/>
      <c r="B35" s="211"/>
      <c r="C35" s="209"/>
      <c r="D35" s="209"/>
      <c r="E35" s="209"/>
      <c r="F35" s="209"/>
      <c r="G35" s="210"/>
      <c r="H35" s="211"/>
      <c r="I35" s="209"/>
      <c r="J35" s="209"/>
      <c r="K35" s="209"/>
      <c r="L35" s="209"/>
      <c r="M35" s="209"/>
      <c r="N35" s="210"/>
      <c r="O35" s="211"/>
      <c r="P35" s="209"/>
      <c r="Q35" s="209"/>
      <c r="R35" s="209"/>
      <c r="S35" s="276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6"/>
      <c r="AX35" s="267"/>
      <c r="AY35" s="267"/>
      <c r="AZ35" s="267"/>
      <c r="BA35" s="267"/>
      <c r="BB35" s="267"/>
      <c r="BC35" s="268"/>
      <c r="BD35" s="269"/>
      <c r="BE35" s="267"/>
      <c r="BF35" s="267"/>
      <c r="BG35" s="267"/>
      <c r="BH35" s="267"/>
      <c r="BI35" s="267"/>
      <c r="BJ35" s="268"/>
      <c r="BK35" s="242"/>
    </row>
    <row r="36" spans="1:63" ht="15" customHeight="1" x14ac:dyDescent="0.25">
      <c r="A36" s="241"/>
      <c r="B36" s="221"/>
      <c r="C36" s="222"/>
      <c r="D36" s="222"/>
      <c r="E36" s="222"/>
      <c r="F36" s="222"/>
      <c r="G36" s="223"/>
      <c r="H36" s="221"/>
      <c r="I36" s="222"/>
      <c r="J36" s="222"/>
      <c r="K36" s="222"/>
      <c r="L36" s="222"/>
      <c r="M36" s="222"/>
      <c r="N36" s="223"/>
      <c r="O36" s="221"/>
      <c r="P36" s="222"/>
      <c r="Q36" s="222"/>
      <c r="R36" s="222"/>
      <c r="S36" s="270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2"/>
      <c r="AX36" s="273"/>
      <c r="AY36" s="273"/>
      <c r="AZ36" s="273"/>
      <c r="BA36" s="273"/>
      <c r="BB36" s="273"/>
      <c r="BC36" s="274"/>
      <c r="BD36" s="275"/>
      <c r="BE36" s="273"/>
      <c r="BF36" s="273"/>
      <c r="BG36" s="273"/>
      <c r="BH36" s="273"/>
      <c r="BI36" s="273"/>
      <c r="BJ36" s="274"/>
      <c r="BK36" s="242"/>
    </row>
    <row r="37" spans="1:63" ht="15" customHeight="1" x14ac:dyDescent="0.25">
      <c r="A37" s="241"/>
      <c r="B37" s="211"/>
      <c r="C37" s="209"/>
      <c r="D37" s="209"/>
      <c r="E37" s="209"/>
      <c r="F37" s="209"/>
      <c r="G37" s="210"/>
      <c r="H37" s="211"/>
      <c r="I37" s="209"/>
      <c r="J37" s="209"/>
      <c r="K37" s="209"/>
      <c r="L37" s="209"/>
      <c r="M37" s="209"/>
      <c r="N37" s="210"/>
      <c r="O37" s="211"/>
      <c r="P37" s="209"/>
      <c r="Q37" s="209"/>
      <c r="R37" s="209"/>
      <c r="S37" s="276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6"/>
      <c r="AX37" s="267"/>
      <c r="AY37" s="267"/>
      <c r="AZ37" s="267"/>
      <c r="BA37" s="267"/>
      <c r="BB37" s="267"/>
      <c r="BC37" s="268"/>
      <c r="BD37" s="269"/>
      <c r="BE37" s="267"/>
      <c r="BF37" s="267"/>
      <c r="BG37" s="267"/>
      <c r="BH37" s="267"/>
      <c r="BI37" s="267"/>
      <c r="BJ37" s="268"/>
      <c r="BK37" s="242"/>
    </row>
    <row r="38" spans="1:63" ht="15" customHeight="1" x14ac:dyDescent="0.25">
      <c r="A38" s="241"/>
      <c r="B38" s="221"/>
      <c r="C38" s="222"/>
      <c r="D38" s="222"/>
      <c r="E38" s="222"/>
      <c r="F38" s="222"/>
      <c r="G38" s="223"/>
      <c r="H38" s="221"/>
      <c r="I38" s="222"/>
      <c r="J38" s="222"/>
      <c r="K38" s="222"/>
      <c r="L38" s="222"/>
      <c r="M38" s="222"/>
      <c r="N38" s="223"/>
      <c r="O38" s="221"/>
      <c r="P38" s="222"/>
      <c r="Q38" s="222"/>
      <c r="R38" s="222"/>
      <c r="S38" s="270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2"/>
      <c r="AX38" s="273"/>
      <c r="AY38" s="273"/>
      <c r="AZ38" s="273"/>
      <c r="BA38" s="273"/>
      <c r="BB38" s="273"/>
      <c r="BC38" s="274"/>
      <c r="BD38" s="275"/>
      <c r="BE38" s="273"/>
      <c r="BF38" s="273"/>
      <c r="BG38" s="273"/>
      <c r="BH38" s="273"/>
      <c r="BI38" s="273"/>
      <c r="BJ38" s="274"/>
      <c r="BK38" s="242"/>
    </row>
    <row r="39" spans="1:63" ht="15" customHeight="1" x14ac:dyDescent="0.25">
      <c r="A39" s="241"/>
      <c r="B39" s="211"/>
      <c r="C39" s="209"/>
      <c r="D39" s="209"/>
      <c r="E39" s="209"/>
      <c r="F39" s="209"/>
      <c r="G39" s="210"/>
      <c r="H39" s="211"/>
      <c r="I39" s="209"/>
      <c r="J39" s="209"/>
      <c r="K39" s="209"/>
      <c r="L39" s="209"/>
      <c r="M39" s="209"/>
      <c r="N39" s="210"/>
      <c r="O39" s="211"/>
      <c r="P39" s="209"/>
      <c r="Q39" s="209"/>
      <c r="R39" s="209"/>
      <c r="S39" s="276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5"/>
      <c r="AU39" s="265"/>
      <c r="AV39" s="265"/>
      <c r="AW39" s="266"/>
      <c r="AX39" s="267"/>
      <c r="AY39" s="267"/>
      <c r="AZ39" s="267"/>
      <c r="BA39" s="267"/>
      <c r="BB39" s="267"/>
      <c r="BC39" s="268"/>
      <c r="BD39" s="269"/>
      <c r="BE39" s="267"/>
      <c r="BF39" s="267"/>
      <c r="BG39" s="267"/>
      <c r="BH39" s="267"/>
      <c r="BI39" s="267"/>
      <c r="BJ39" s="268"/>
      <c r="BK39" s="242"/>
    </row>
    <row r="40" spans="1:63" ht="15" customHeight="1" x14ac:dyDescent="0.25">
      <c r="A40" s="241"/>
      <c r="B40" s="221"/>
      <c r="C40" s="222"/>
      <c r="D40" s="222"/>
      <c r="E40" s="222"/>
      <c r="F40" s="222"/>
      <c r="G40" s="223"/>
      <c r="H40" s="221"/>
      <c r="I40" s="222"/>
      <c r="J40" s="222"/>
      <c r="K40" s="222"/>
      <c r="L40" s="222"/>
      <c r="M40" s="222"/>
      <c r="N40" s="223"/>
      <c r="O40" s="221"/>
      <c r="P40" s="222"/>
      <c r="Q40" s="222"/>
      <c r="R40" s="222"/>
      <c r="S40" s="270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2"/>
      <c r="AX40" s="273"/>
      <c r="AY40" s="273"/>
      <c r="AZ40" s="273"/>
      <c r="BA40" s="273"/>
      <c r="BB40" s="273"/>
      <c r="BC40" s="274"/>
      <c r="BD40" s="275"/>
      <c r="BE40" s="273"/>
      <c r="BF40" s="273"/>
      <c r="BG40" s="273"/>
      <c r="BH40" s="273"/>
      <c r="BI40" s="273"/>
      <c r="BJ40" s="274"/>
      <c r="BK40" s="242"/>
    </row>
    <row r="41" spans="1:63" ht="15" customHeight="1" x14ac:dyDescent="0.25">
      <c r="A41" s="241"/>
      <c r="B41" s="211"/>
      <c r="C41" s="209"/>
      <c r="D41" s="209"/>
      <c r="E41" s="209"/>
      <c r="F41" s="209"/>
      <c r="G41" s="210"/>
      <c r="H41" s="211"/>
      <c r="I41" s="209"/>
      <c r="J41" s="209"/>
      <c r="K41" s="209"/>
      <c r="L41" s="209"/>
      <c r="M41" s="209"/>
      <c r="N41" s="210"/>
      <c r="O41" s="211"/>
      <c r="P41" s="209"/>
      <c r="Q41" s="209"/>
      <c r="R41" s="209"/>
      <c r="S41" s="276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  <c r="AN41" s="265"/>
      <c r="AO41" s="265"/>
      <c r="AP41" s="265"/>
      <c r="AQ41" s="265"/>
      <c r="AR41" s="265"/>
      <c r="AS41" s="265"/>
      <c r="AT41" s="265"/>
      <c r="AU41" s="265"/>
      <c r="AV41" s="265"/>
      <c r="AW41" s="266"/>
      <c r="AX41" s="267"/>
      <c r="AY41" s="267"/>
      <c r="AZ41" s="267"/>
      <c r="BA41" s="267"/>
      <c r="BB41" s="267"/>
      <c r="BC41" s="268"/>
      <c r="BD41" s="269"/>
      <c r="BE41" s="267"/>
      <c r="BF41" s="267"/>
      <c r="BG41" s="267"/>
      <c r="BH41" s="267"/>
      <c r="BI41" s="267"/>
      <c r="BJ41" s="268"/>
      <c r="BK41" s="242"/>
    </row>
    <row r="42" spans="1:63" ht="15" customHeight="1" x14ac:dyDescent="0.25">
      <c r="A42" s="241"/>
      <c r="B42" s="221"/>
      <c r="C42" s="222"/>
      <c r="D42" s="222"/>
      <c r="E42" s="222"/>
      <c r="F42" s="222"/>
      <c r="G42" s="223"/>
      <c r="H42" s="221"/>
      <c r="I42" s="222"/>
      <c r="J42" s="222"/>
      <c r="K42" s="222"/>
      <c r="L42" s="222"/>
      <c r="M42" s="222"/>
      <c r="N42" s="223"/>
      <c r="O42" s="221"/>
      <c r="P42" s="222"/>
      <c r="Q42" s="222"/>
      <c r="R42" s="222"/>
      <c r="S42" s="270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2"/>
      <c r="AX42" s="273"/>
      <c r="AY42" s="273"/>
      <c r="AZ42" s="273"/>
      <c r="BA42" s="273"/>
      <c r="BB42" s="273"/>
      <c r="BC42" s="274"/>
      <c r="BD42" s="275"/>
      <c r="BE42" s="273"/>
      <c r="BF42" s="273"/>
      <c r="BG42" s="273"/>
      <c r="BH42" s="273"/>
      <c r="BI42" s="273"/>
      <c r="BJ42" s="274"/>
      <c r="BK42" s="242"/>
    </row>
    <row r="43" spans="1:63" ht="15" customHeight="1" x14ac:dyDescent="0.25">
      <c r="A43" s="241"/>
      <c r="B43" s="211"/>
      <c r="C43" s="209"/>
      <c r="D43" s="209"/>
      <c r="E43" s="209"/>
      <c r="F43" s="209"/>
      <c r="G43" s="210"/>
      <c r="H43" s="211"/>
      <c r="I43" s="209"/>
      <c r="J43" s="209"/>
      <c r="K43" s="209"/>
      <c r="L43" s="209"/>
      <c r="M43" s="209"/>
      <c r="N43" s="210"/>
      <c r="O43" s="211"/>
      <c r="P43" s="209"/>
      <c r="Q43" s="209"/>
      <c r="R43" s="209"/>
      <c r="S43" s="276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  <c r="AN43" s="265"/>
      <c r="AO43" s="265"/>
      <c r="AP43" s="265"/>
      <c r="AQ43" s="265"/>
      <c r="AR43" s="265"/>
      <c r="AS43" s="265"/>
      <c r="AT43" s="265"/>
      <c r="AU43" s="265"/>
      <c r="AV43" s="265"/>
      <c r="AW43" s="266"/>
      <c r="AX43" s="267"/>
      <c r="AY43" s="267"/>
      <c r="AZ43" s="267"/>
      <c r="BA43" s="267"/>
      <c r="BB43" s="267"/>
      <c r="BC43" s="268"/>
      <c r="BD43" s="269"/>
      <c r="BE43" s="267"/>
      <c r="BF43" s="267"/>
      <c r="BG43" s="267"/>
      <c r="BH43" s="267"/>
      <c r="BI43" s="267"/>
      <c r="BJ43" s="268"/>
      <c r="BK43" s="242"/>
    </row>
    <row r="44" spans="1:63" ht="15" customHeight="1" x14ac:dyDescent="0.25">
      <c r="A44" s="241"/>
      <c r="B44" s="221"/>
      <c r="C44" s="222"/>
      <c r="D44" s="222"/>
      <c r="E44" s="222"/>
      <c r="F44" s="222"/>
      <c r="G44" s="223"/>
      <c r="H44" s="221"/>
      <c r="I44" s="222"/>
      <c r="J44" s="222"/>
      <c r="K44" s="222"/>
      <c r="L44" s="222"/>
      <c r="M44" s="222"/>
      <c r="N44" s="223"/>
      <c r="O44" s="221"/>
      <c r="P44" s="222"/>
      <c r="Q44" s="222"/>
      <c r="R44" s="222"/>
      <c r="S44" s="270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2"/>
      <c r="AX44" s="273"/>
      <c r="AY44" s="273"/>
      <c r="AZ44" s="273"/>
      <c r="BA44" s="273"/>
      <c r="BB44" s="273"/>
      <c r="BC44" s="274"/>
      <c r="BD44" s="275"/>
      <c r="BE44" s="273"/>
      <c r="BF44" s="273"/>
      <c r="BG44" s="273"/>
      <c r="BH44" s="273"/>
      <c r="BI44" s="273"/>
      <c r="BJ44" s="274"/>
      <c r="BK44" s="242"/>
    </row>
    <row r="45" spans="1:63" ht="15" customHeight="1" x14ac:dyDescent="0.25">
      <c r="A45" s="241"/>
      <c r="B45" s="211"/>
      <c r="C45" s="209"/>
      <c r="D45" s="209"/>
      <c r="E45" s="209"/>
      <c r="F45" s="209"/>
      <c r="G45" s="210"/>
      <c r="H45" s="211"/>
      <c r="I45" s="209"/>
      <c r="J45" s="209"/>
      <c r="K45" s="209"/>
      <c r="L45" s="209"/>
      <c r="M45" s="209"/>
      <c r="N45" s="210"/>
      <c r="O45" s="211"/>
      <c r="P45" s="209"/>
      <c r="Q45" s="209"/>
      <c r="R45" s="209"/>
      <c r="S45" s="276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265"/>
      <c r="AM45" s="265"/>
      <c r="AN45" s="265"/>
      <c r="AO45" s="265"/>
      <c r="AP45" s="265"/>
      <c r="AQ45" s="265"/>
      <c r="AR45" s="265"/>
      <c r="AS45" s="265"/>
      <c r="AT45" s="265"/>
      <c r="AU45" s="265"/>
      <c r="AV45" s="265"/>
      <c r="AW45" s="266"/>
      <c r="AX45" s="267"/>
      <c r="AY45" s="267"/>
      <c r="AZ45" s="267"/>
      <c r="BA45" s="267"/>
      <c r="BB45" s="267"/>
      <c r="BC45" s="268"/>
      <c r="BD45" s="269"/>
      <c r="BE45" s="267"/>
      <c r="BF45" s="267"/>
      <c r="BG45" s="267"/>
      <c r="BH45" s="267"/>
      <c r="BI45" s="267"/>
      <c r="BJ45" s="268"/>
      <c r="BK45" s="242"/>
    </row>
    <row r="46" spans="1:63" ht="15" customHeight="1" x14ac:dyDescent="0.25">
      <c r="A46" s="241"/>
      <c r="B46" s="221"/>
      <c r="C46" s="222"/>
      <c r="D46" s="222"/>
      <c r="E46" s="222"/>
      <c r="F46" s="222"/>
      <c r="G46" s="223"/>
      <c r="H46" s="221"/>
      <c r="I46" s="222"/>
      <c r="J46" s="222"/>
      <c r="K46" s="222"/>
      <c r="L46" s="222"/>
      <c r="M46" s="222"/>
      <c r="N46" s="223"/>
      <c r="O46" s="221"/>
      <c r="P46" s="222"/>
      <c r="Q46" s="222"/>
      <c r="R46" s="222"/>
      <c r="S46" s="270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2"/>
      <c r="AX46" s="273"/>
      <c r="AY46" s="273"/>
      <c r="AZ46" s="273"/>
      <c r="BA46" s="273"/>
      <c r="BB46" s="273"/>
      <c r="BC46" s="274"/>
      <c r="BD46" s="275"/>
      <c r="BE46" s="273"/>
      <c r="BF46" s="273"/>
      <c r="BG46" s="273"/>
      <c r="BH46" s="273"/>
      <c r="BI46" s="273"/>
      <c r="BJ46" s="274"/>
      <c r="BK46" s="242"/>
    </row>
    <row r="47" spans="1:63" ht="15" customHeight="1" x14ac:dyDescent="0.25">
      <c r="A47" s="241"/>
      <c r="B47" s="211"/>
      <c r="C47" s="209"/>
      <c r="D47" s="209"/>
      <c r="E47" s="209"/>
      <c r="F47" s="209"/>
      <c r="G47" s="210"/>
      <c r="H47" s="211"/>
      <c r="I47" s="209"/>
      <c r="J47" s="209"/>
      <c r="K47" s="209"/>
      <c r="L47" s="209"/>
      <c r="M47" s="209"/>
      <c r="N47" s="210"/>
      <c r="O47" s="211"/>
      <c r="P47" s="209"/>
      <c r="Q47" s="209"/>
      <c r="R47" s="209"/>
      <c r="S47" s="276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  <c r="AL47" s="265"/>
      <c r="AM47" s="265"/>
      <c r="AN47" s="265"/>
      <c r="AO47" s="265"/>
      <c r="AP47" s="265"/>
      <c r="AQ47" s="265"/>
      <c r="AR47" s="265"/>
      <c r="AS47" s="265"/>
      <c r="AT47" s="265"/>
      <c r="AU47" s="265"/>
      <c r="AV47" s="265"/>
      <c r="AW47" s="266"/>
      <c r="AX47" s="267"/>
      <c r="AY47" s="267"/>
      <c r="AZ47" s="267"/>
      <c r="BA47" s="267"/>
      <c r="BB47" s="267"/>
      <c r="BC47" s="268"/>
      <c r="BD47" s="269"/>
      <c r="BE47" s="267"/>
      <c r="BF47" s="267"/>
      <c r="BG47" s="267"/>
      <c r="BH47" s="267"/>
      <c r="BI47" s="267"/>
      <c r="BJ47" s="268"/>
      <c r="BK47" s="242"/>
    </row>
    <row r="48" spans="1:63" ht="15" customHeight="1" x14ac:dyDescent="0.25">
      <c r="A48" s="241"/>
      <c r="B48" s="221"/>
      <c r="C48" s="222"/>
      <c r="D48" s="222"/>
      <c r="E48" s="222"/>
      <c r="F48" s="222"/>
      <c r="G48" s="223"/>
      <c r="H48" s="221"/>
      <c r="I48" s="222"/>
      <c r="J48" s="222"/>
      <c r="K48" s="222"/>
      <c r="L48" s="222"/>
      <c r="M48" s="222"/>
      <c r="N48" s="223"/>
      <c r="O48" s="221"/>
      <c r="P48" s="222"/>
      <c r="Q48" s="222"/>
      <c r="R48" s="222"/>
      <c r="S48" s="270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2"/>
      <c r="AX48" s="273"/>
      <c r="AY48" s="273"/>
      <c r="AZ48" s="273"/>
      <c r="BA48" s="273"/>
      <c r="BB48" s="273"/>
      <c r="BC48" s="274"/>
      <c r="BD48" s="275"/>
      <c r="BE48" s="273"/>
      <c r="BF48" s="273"/>
      <c r="BG48" s="273"/>
      <c r="BH48" s="273"/>
      <c r="BI48" s="273"/>
      <c r="BJ48" s="274"/>
      <c r="BK48" s="242"/>
    </row>
    <row r="49" spans="1:63" ht="15" customHeight="1" x14ac:dyDescent="0.25">
      <c r="A49" s="241"/>
      <c r="B49" s="211"/>
      <c r="C49" s="209"/>
      <c r="D49" s="209"/>
      <c r="E49" s="209"/>
      <c r="F49" s="209"/>
      <c r="G49" s="210"/>
      <c r="H49" s="211"/>
      <c r="I49" s="209"/>
      <c r="J49" s="209"/>
      <c r="K49" s="209"/>
      <c r="L49" s="209"/>
      <c r="M49" s="209"/>
      <c r="N49" s="210"/>
      <c r="O49" s="211"/>
      <c r="P49" s="209"/>
      <c r="Q49" s="209"/>
      <c r="R49" s="209"/>
      <c r="S49" s="276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  <c r="AR49" s="265"/>
      <c r="AS49" s="265"/>
      <c r="AT49" s="265"/>
      <c r="AU49" s="265"/>
      <c r="AV49" s="265"/>
      <c r="AW49" s="266"/>
      <c r="AX49" s="267"/>
      <c r="AY49" s="267"/>
      <c r="AZ49" s="267"/>
      <c r="BA49" s="267"/>
      <c r="BB49" s="267"/>
      <c r="BC49" s="268"/>
      <c r="BD49" s="269"/>
      <c r="BE49" s="267"/>
      <c r="BF49" s="267"/>
      <c r="BG49" s="267"/>
      <c r="BH49" s="267"/>
      <c r="BI49" s="267"/>
      <c r="BJ49" s="268"/>
      <c r="BK49" s="242"/>
    </row>
    <row r="50" spans="1:63" ht="15" customHeight="1" x14ac:dyDescent="0.25">
      <c r="A50" s="241"/>
      <c r="B50" s="221"/>
      <c r="C50" s="222"/>
      <c r="D50" s="222"/>
      <c r="E50" s="222"/>
      <c r="F50" s="222"/>
      <c r="G50" s="223"/>
      <c r="H50" s="221"/>
      <c r="I50" s="222"/>
      <c r="J50" s="222"/>
      <c r="K50" s="222"/>
      <c r="L50" s="222"/>
      <c r="M50" s="222"/>
      <c r="N50" s="223"/>
      <c r="O50" s="221"/>
      <c r="P50" s="222"/>
      <c r="Q50" s="222"/>
      <c r="R50" s="222"/>
      <c r="S50" s="270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2"/>
      <c r="AX50" s="273"/>
      <c r="AY50" s="273"/>
      <c r="AZ50" s="273"/>
      <c r="BA50" s="273"/>
      <c r="BB50" s="273"/>
      <c r="BC50" s="274"/>
      <c r="BD50" s="275"/>
      <c r="BE50" s="273"/>
      <c r="BF50" s="273"/>
      <c r="BG50" s="273"/>
      <c r="BH50" s="273"/>
      <c r="BI50" s="273"/>
      <c r="BJ50" s="274"/>
      <c r="BK50" s="242"/>
    </row>
    <row r="51" spans="1:63" ht="15" customHeight="1" x14ac:dyDescent="0.25">
      <c r="A51" s="241"/>
      <c r="B51" s="211"/>
      <c r="C51" s="209"/>
      <c r="D51" s="209"/>
      <c r="E51" s="209"/>
      <c r="F51" s="209"/>
      <c r="G51" s="210"/>
      <c r="H51" s="211"/>
      <c r="I51" s="209"/>
      <c r="J51" s="209"/>
      <c r="K51" s="209"/>
      <c r="L51" s="209"/>
      <c r="M51" s="209"/>
      <c r="N51" s="210"/>
      <c r="O51" s="211"/>
      <c r="P51" s="209"/>
      <c r="Q51" s="209"/>
      <c r="R51" s="209"/>
      <c r="S51" s="276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5"/>
      <c r="AU51" s="265"/>
      <c r="AV51" s="265"/>
      <c r="AW51" s="266"/>
      <c r="AX51" s="267"/>
      <c r="AY51" s="267"/>
      <c r="AZ51" s="267"/>
      <c r="BA51" s="267"/>
      <c r="BB51" s="267"/>
      <c r="BC51" s="268"/>
      <c r="BD51" s="269"/>
      <c r="BE51" s="267"/>
      <c r="BF51" s="267"/>
      <c r="BG51" s="267"/>
      <c r="BH51" s="267"/>
      <c r="BI51" s="267"/>
      <c r="BJ51" s="268"/>
      <c r="BK51" s="242"/>
    </row>
    <row r="52" spans="1:63" ht="15" customHeight="1" x14ac:dyDescent="0.25">
      <c r="A52" s="241"/>
      <c r="B52" s="221"/>
      <c r="C52" s="222"/>
      <c r="D52" s="222"/>
      <c r="E52" s="222"/>
      <c r="F52" s="222"/>
      <c r="G52" s="223"/>
      <c r="H52" s="221"/>
      <c r="I52" s="222"/>
      <c r="J52" s="222"/>
      <c r="K52" s="222"/>
      <c r="L52" s="222"/>
      <c r="M52" s="222"/>
      <c r="N52" s="223"/>
      <c r="O52" s="221"/>
      <c r="P52" s="222"/>
      <c r="Q52" s="222"/>
      <c r="R52" s="222"/>
      <c r="S52" s="270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2"/>
      <c r="AX52" s="273"/>
      <c r="AY52" s="273"/>
      <c r="AZ52" s="273"/>
      <c r="BA52" s="273"/>
      <c r="BB52" s="273"/>
      <c r="BC52" s="274"/>
      <c r="BD52" s="275"/>
      <c r="BE52" s="273"/>
      <c r="BF52" s="273"/>
      <c r="BG52" s="273"/>
      <c r="BH52" s="273"/>
      <c r="BI52" s="273"/>
      <c r="BJ52" s="274"/>
      <c r="BK52" s="242"/>
    </row>
    <row r="53" spans="1:63" ht="15" customHeight="1" x14ac:dyDescent="0.25">
      <c r="A53" s="241"/>
      <c r="B53" s="211"/>
      <c r="C53" s="209"/>
      <c r="D53" s="209"/>
      <c r="E53" s="209"/>
      <c r="F53" s="209"/>
      <c r="G53" s="210"/>
      <c r="H53" s="211"/>
      <c r="I53" s="209"/>
      <c r="J53" s="209"/>
      <c r="K53" s="209"/>
      <c r="L53" s="209"/>
      <c r="M53" s="209"/>
      <c r="N53" s="210"/>
      <c r="O53" s="211"/>
      <c r="P53" s="209"/>
      <c r="Q53" s="209"/>
      <c r="R53" s="209"/>
      <c r="S53" s="276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  <c r="AR53" s="265"/>
      <c r="AS53" s="265"/>
      <c r="AT53" s="265"/>
      <c r="AU53" s="265"/>
      <c r="AV53" s="265"/>
      <c r="AW53" s="266"/>
      <c r="AX53" s="267"/>
      <c r="AY53" s="267"/>
      <c r="AZ53" s="267"/>
      <c r="BA53" s="267"/>
      <c r="BB53" s="267"/>
      <c r="BC53" s="268"/>
      <c r="BD53" s="269"/>
      <c r="BE53" s="267"/>
      <c r="BF53" s="267"/>
      <c r="BG53" s="267"/>
      <c r="BH53" s="267"/>
      <c r="BI53" s="267"/>
      <c r="BJ53" s="268"/>
      <c r="BK53" s="242"/>
    </row>
    <row r="54" spans="1:63" ht="15" customHeight="1" x14ac:dyDescent="0.25">
      <c r="A54" s="241"/>
      <c r="B54" s="221"/>
      <c r="C54" s="222"/>
      <c r="D54" s="222"/>
      <c r="E54" s="222"/>
      <c r="F54" s="222"/>
      <c r="G54" s="223"/>
      <c r="H54" s="221"/>
      <c r="I54" s="222"/>
      <c r="J54" s="222"/>
      <c r="K54" s="222"/>
      <c r="L54" s="222"/>
      <c r="M54" s="222"/>
      <c r="N54" s="223"/>
      <c r="O54" s="221"/>
      <c r="P54" s="222"/>
      <c r="Q54" s="222"/>
      <c r="R54" s="222"/>
      <c r="S54" s="270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2"/>
      <c r="AX54" s="273"/>
      <c r="AY54" s="273"/>
      <c r="AZ54" s="273"/>
      <c r="BA54" s="273"/>
      <c r="BB54" s="273"/>
      <c r="BC54" s="274"/>
      <c r="BD54" s="275"/>
      <c r="BE54" s="273"/>
      <c r="BF54" s="273"/>
      <c r="BG54" s="273"/>
      <c r="BH54" s="273"/>
      <c r="BI54" s="273"/>
      <c r="BJ54" s="274"/>
      <c r="BK54" s="242"/>
    </row>
    <row r="55" spans="1:63" ht="15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4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77" customWidth="1"/>
    <col min="64" max="16384" width="8.88671875" style="277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278" t="str">
        <f>IF(表紙!A2="","",表紙!A2)</f>
        <v>POSサーバー</v>
      </c>
      <c r="B2" s="279"/>
      <c r="C2" s="279"/>
      <c r="D2" s="279"/>
      <c r="E2" s="279"/>
      <c r="F2" s="279"/>
      <c r="G2" s="279"/>
      <c r="H2" s="279"/>
      <c r="I2" s="279"/>
      <c r="J2" s="280"/>
      <c r="K2" s="278" t="str">
        <f>IF(表紙!K2="","",表紙!K2)</f>
        <v>POSサーバ</v>
      </c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80"/>
      <c r="W2" s="1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/>
      <c r="AP2" s="278" t="str">
        <f>IF(表紙!AP2="","",表紙!AP2)</f>
        <v>DuNT</v>
      </c>
      <c r="AQ2" s="279"/>
      <c r="AR2" s="279"/>
      <c r="AS2" s="280"/>
      <c r="AT2" s="281">
        <v>45084</v>
      </c>
      <c r="AU2" s="282"/>
      <c r="AV2" s="282"/>
      <c r="AW2" s="282"/>
      <c r="AX2" s="283"/>
      <c r="AY2" s="278" t="str">
        <f>IF(表紙!AY2="","",表紙!AY2)</f>
        <v>DuNT</v>
      </c>
      <c r="AZ2" s="279"/>
      <c r="BA2" s="279"/>
      <c r="BB2" s="280"/>
      <c r="BC2" s="281">
        <f>IF(表紙!BC2="","",表紙!BC2)</f>
        <v>45625</v>
      </c>
      <c r="BD2" s="282"/>
      <c r="BE2" s="282"/>
      <c r="BF2" s="282"/>
      <c r="BG2" s="283"/>
      <c r="BH2" s="278">
        <f>IF(表紙!BH2="","",表紙!BH2)</f>
        <v>0.1</v>
      </c>
      <c r="BI2" s="279"/>
      <c r="BJ2" s="279"/>
      <c r="BK2" s="280"/>
    </row>
    <row r="3" spans="1:63" ht="15" customHeight="1" x14ac:dyDescent="0.25">
      <c r="A3" s="284"/>
      <c r="B3" s="285"/>
      <c r="C3" s="285"/>
      <c r="D3" s="285"/>
      <c r="E3" s="285"/>
      <c r="F3" s="285"/>
      <c r="G3" s="285"/>
      <c r="H3" s="285"/>
      <c r="I3" s="285"/>
      <c r="J3" s="286"/>
      <c r="K3" s="284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6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284"/>
      <c r="AQ3" s="285"/>
      <c r="AR3" s="285"/>
      <c r="AS3" s="286"/>
      <c r="AT3" s="287"/>
      <c r="AU3" s="288"/>
      <c r="AV3" s="288"/>
      <c r="AW3" s="288"/>
      <c r="AX3" s="289"/>
      <c r="AY3" s="284"/>
      <c r="AZ3" s="285"/>
      <c r="BA3" s="285"/>
      <c r="BB3" s="286"/>
      <c r="BC3" s="287"/>
      <c r="BD3" s="288"/>
      <c r="BE3" s="288"/>
      <c r="BF3" s="288"/>
      <c r="BG3" s="289"/>
      <c r="BH3" s="284"/>
      <c r="BI3" s="285"/>
      <c r="BJ3" s="285"/>
      <c r="BK3" s="28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290" t="str">
        <f>IF(表紙!H4="","",表紙!H4)</f>
        <v>43_精算機の最終決済に入力された商品名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2"/>
      <c r="U4" s="14" t="s">
        <v>8</v>
      </c>
      <c r="V4" s="13"/>
      <c r="W4" s="13"/>
      <c r="X4" s="13"/>
      <c r="Y4" s="12"/>
      <c r="Z4" s="290" t="str">
        <f>IF(表紙!Z4="","",表紙!Z4)</f>
        <v>概要設計</v>
      </c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2"/>
      <c r="AP4" s="290" t="str">
        <f t="array" aca="1" ref="AP4" ca="1">RIGHT(CELL("filename",$A$1),LEN(CELL("filename",$A$1))-FIND("]",CELL("filename",$A$1)))</f>
        <v>業務フロー</v>
      </c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291"/>
      <c r="BG4" s="291"/>
      <c r="BH4" s="291"/>
      <c r="BI4" s="291"/>
      <c r="BJ4" s="291"/>
      <c r="BK4" s="292"/>
    </row>
    <row r="5" spans="1:63" ht="5.0999999999999996" customHeight="1" x14ac:dyDescent="0.25">
      <c r="A5" s="293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294"/>
      <c r="AR5" s="294"/>
      <c r="AS5" s="294"/>
      <c r="AT5" s="294"/>
      <c r="AU5" s="294"/>
      <c r="AV5" s="294"/>
      <c r="AW5" s="294"/>
      <c r="AX5" s="294"/>
      <c r="AY5" s="294"/>
      <c r="AZ5" s="294"/>
      <c r="BA5" s="294"/>
      <c r="BB5" s="294"/>
      <c r="BC5" s="294"/>
      <c r="BD5" s="294"/>
      <c r="BE5" s="294"/>
      <c r="BF5" s="294"/>
      <c r="BG5" s="294"/>
      <c r="BH5" s="294"/>
      <c r="BI5" s="294"/>
      <c r="BJ5" s="294"/>
      <c r="BK5" s="295"/>
    </row>
    <row r="6" spans="1:63" ht="15" customHeight="1" x14ac:dyDescent="0.25">
      <c r="A6" s="296"/>
      <c r="B6" s="297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9"/>
      <c r="AF6" s="297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9"/>
      <c r="BJ6" s="298"/>
      <c r="BK6" s="300"/>
    </row>
    <row r="7" spans="1:63" ht="15" customHeight="1" x14ac:dyDescent="0.25">
      <c r="A7" s="296"/>
      <c r="B7" s="24" t="s">
        <v>12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5"/>
      <c r="AF7" s="24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5"/>
      <c r="BJ7" s="22"/>
      <c r="BK7" s="300"/>
    </row>
    <row r="8" spans="1:63" ht="15" customHeight="1" x14ac:dyDescent="0.25">
      <c r="A8" s="296"/>
      <c r="B8" s="297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9"/>
      <c r="AF8" s="297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H8" s="298"/>
      <c r="BI8" s="299"/>
      <c r="BJ8" s="298"/>
      <c r="BK8" s="300"/>
    </row>
    <row r="9" spans="1:63" ht="15" customHeight="1" x14ac:dyDescent="0.25">
      <c r="A9" s="296"/>
      <c r="B9" s="297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9"/>
      <c r="AF9" s="297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8"/>
      <c r="BD9" s="298"/>
      <c r="BE9" s="298"/>
      <c r="BF9" s="298"/>
      <c r="BG9" s="298"/>
      <c r="BH9" s="298"/>
      <c r="BI9" s="299"/>
      <c r="BJ9" s="298"/>
      <c r="BK9" s="300"/>
    </row>
    <row r="10" spans="1:63" ht="15" customHeight="1" x14ac:dyDescent="0.25">
      <c r="A10" s="296"/>
      <c r="B10" s="297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9"/>
      <c r="AF10" s="297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9"/>
      <c r="BJ10" s="298"/>
      <c r="BK10" s="300"/>
    </row>
    <row r="11" spans="1:63" ht="15" customHeight="1" x14ac:dyDescent="0.25">
      <c r="A11" s="296"/>
      <c r="B11" s="297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9"/>
      <c r="AF11" s="297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298"/>
      <c r="BD11" s="298"/>
      <c r="BE11" s="298"/>
      <c r="BF11" s="298"/>
      <c r="BG11" s="298"/>
      <c r="BH11" s="298"/>
      <c r="BI11" s="299"/>
      <c r="BJ11" s="298"/>
      <c r="BK11" s="300"/>
    </row>
    <row r="12" spans="1:63" ht="15" customHeight="1" x14ac:dyDescent="0.25">
      <c r="A12" s="296"/>
      <c r="B12" s="297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9"/>
      <c r="AF12" s="297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298"/>
      <c r="BD12" s="298"/>
      <c r="BE12" s="298"/>
      <c r="BF12" s="298"/>
      <c r="BG12" s="298"/>
      <c r="BH12" s="298"/>
      <c r="BI12" s="299"/>
      <c r="BJ12" s="298"/>
      <c r="BK12" s="300"/>
    </row>
    <row r="13" spans="1:63" ht="15" customHeight="1" x14ac:dyDescent="0.25">
      <c r="A13" s="296"/>
      <c r="B13" s="297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9"/>
      <c r="AF13" s="297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8"/>
      <c r="BG13" s="298"/>
      <c r="BH13" s="298"/>
      <c r="BI13" s="299"/>
      <c r="BJ13" s="298"/>
      <c r="BK13" s="300"/>
    </row>
    <row r="14" spans="1:63" ht="15" customHeight="1" x14ac:dyDescent="0.25">
      <c r="A14" s="296"/>
      <c r="B14" s="297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9"/>
      <c r="AF14" s="297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9"/>
      <c r="BJ14" s="298"/>
      <c r="BK14" s="300"/>
    </row>
    <row r="15" spans="1:63" ht="15" customHeight="1" x14ac:dyDescent="0.25">
      <c r="A15" s="296"/>
      <c r="B15" s="297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9"/>
      <c r="AF15" s="297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9"/>
      <c r="BJ15" s="298"/>
      <c r="BK15" s="300"/>
    </row>
    <row r="16" spans="1:63" ht="15" customHeight="1" x14ac:dyDescent="0.25">
      <c r="A16" s="296"/>
      <c r="B16" s="297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9"/>
      <c r="AF16" s="297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  <c r="BG16" s="298"/>
      <c r="BH16" s="298"/>
      <c r="BI16" s="299"/>
      <c r="BJ16" s="298"/>
      <c r="BK16" s="300"/>
    </row>
    <row r="17" spans="1:63" ht="15" customHeight="1" x14ac:dyDescent="0.25">
      <c r="A17" s="296"/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9"/>
      <c r="AF17" s="297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9"/>
      <c r="BJ17" s="298"/>
      <c r="BK17" s="300"/>
    </row>
    <row r="18" spans="1:63" ht="15" customHeight="1" x14ac:dyDescent="0.25">
      <c r="A18" s="296"/>
      <c r="B18" s="297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9"/>
      <c r="AF18" s="297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9"/>
      <c r="BJ18" s="298"/>
      <c r="BK18" s="300"/>
    </row>
    <row r="19" spans="1:63" ht="15" customHeight="1" x14ac:dyDescent="0.25">
      <c r="A19" s="296"/>
      <c r="B19" s="297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9"/>
      <c r="AF19" s="297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  <c r="AZ19" s="298"/>
      <c r="BA19" s="298"/>
      <c r="BB19" s="298"/>
      <c r="BC19" s="298"/>
      <c r="BD19" s="298"/>
      <c r="BE19" s="298"/>
      <c r="BF19" s="298"/>
      <c r="BG19" s="298"/>
      <c r="BH19" s="298"/>
      <c r="BI19" s="299"/>
      <c r="BJ19" s="298"/>
      <c r="BK19" s="300"/>
    </row>
    <row r="20" spans="1:63" ht="15" customHeight="1" x14ac:dyDescent="0.25">
      <c r="A20" s="296"/>
      <c r="B20" s="297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9"/>
      <c r="AF20" s="297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9"/>
      <c r="BJ20" s="298"/>
      <c r="BK20" s="300"/>
    </row>
    <row r="21" spans="1:63" ht="15" customHeight="1" x14ac:dyDescent="0.25">
      <c r="A21" s="296"/>
      <c r="B21" s="297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9"/>
      <c r="AF21" s="297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  <c r="AZ21" s="298"/>
      <c r="BA21" s="298"/>
      <c r="BB21" s="298"/>
      <c r="BC21" s="298"/>
      <c r="BD21" s="298"/>
      <c r="BE21" s="298"/>
      <c r="BF21" s="298"/>
      <c r="BG21" s="298"/>
      <c r="BH21" s="298"/>
      <c r="BI21" s="299"/>
      <c r="BJ21" s="298"/>
      <c r="BK21" s="300"/>
    </row>
    <row r="22" spans="1:63" ht="15" customHeight="1" x14ac:dyDescent="0.25">
      <c r="A22" s="296"/>
      <c r="B22" s="24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5"/>
      <c r="AF22" s="24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5"/>
      <c r="BJ22" s="22"/>
      <c r="BK22" s="300"/>
    </row>
    <row r="23" spans="1:63" ht="15" customHeight="1" x14ac:dyDescent="0.25">
      <c r="A23" s="296"/>
      <c r="B23" s="297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9"/>
      <c r="AF23" s="297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298"/>
      <c r="BD23" s="298"/>
      <c r="BE23" s="298"/>
      <c r="BF23" s="298"/>
      <c r="BG23" s="298"/>
      <c r="BH23" s="298"/>
      <c r="BI23" s="299"/>
      <c r="BJ23" s="298"/>
      <c r="BK23" s="300"/>
    </row>
    <row r="24" spans="1:63" ht="15" customHeight="1" x14ac:dyDescent="0.25">
      <c r="A24" s="296"/>
      <c r="B24" s="297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9"/>
      <c r="AF24" s="297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9"/>
      <c r="BJ24" s="298"/>
      <c r="BK24" s="300"/>
    </row>
    <row r="25" spans="1:63" ht="15" customHeight="1" x14ac:dyDescent="0.25">
      <c r="A25" s="296"/>
      <c r="B25" s="297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9"/>
      <c r="AF25" s="297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9"/>
      <c r="BJ25" s="298"/>
      <c r="BK25" s="300"/>
    </row>
    <row r="26" spans="1:63" ht="15" customHeight="1" x14ac:dyDescent="0.25">
      <c r="A26" s="296"/>
      <c r="B26" s="297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9"/>
      <c r="AF26" s="297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9"/>
      <c r="BJ26" s="298"/>
      <c r="BK26" s="300"/>
    </row>
    <row r="27" spans="1:63" ht="15" customHeight="1" x14ac:dyDescent="0.25">
      <c r="A27" s="296"/>
      <c r="B27" s="297"/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9"/>
      <c r="AF27" s="297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9"/>
      <c r="BJ27" s="298"/>
      <c r="BK27" s="300"/>
    </row>
    <row r="28" spans="1:63" ht="15" customHeight="1" x14ac:dyDescent="0.25">
      <c r="A28" s="296"/>
      <c r="B28" s="297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9"/>
      <c r="AF28" s="297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9"/>
      <c r="BJ28" s="298"/>
      <c r="BK28" s="300"/>
    </row>
    <row r="29" spans="1:63" ht="15" customHeight="1" x14ac:dyDescent="0.25">
      <c r="A29" s="296"/>
      <c r="B29" s="297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9"/>
      <c r="AF29" s="297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9"/>
      <c r="BJ29" s="298"/>
      <c r="BK29" s="300"/>
    </row>
    <row r="30" spans="1:63" ht="15" customHeight="1" x14ac:dyDescent="0.25">
      <c r="A30" s="296"/>
      <c r="B30" s="297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9"/>
      <c r="AF30" s="297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9"/>
      <c r="BJ30" s="298"/>
      <c r="BK30" s="300"/>
    </row>
    <row r="31" spans="1:63" ht="15" customHeight="1" x14ac:dyDescent="0.25">
      <c r="A31" s="296"/>
      <c r="B31" s="297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299"/>
      <c r="AF31" s="297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298"/>
      <c r="BH31" s="298"/>
      <c r="BI31" s="299"/>
      <c r="BJ31" s="298"/>
      <c r="BK31" s="300"/>
    </row>
    <row r="32" spans="1:63" ht="15" customHeight="1" x14ac:dyDescent="0.25">
      <c r="A32" s="296"/>
      <c r="B32" s="297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9"/>
      <c r="AF32" s="297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8"/>
      <c r="AZ32" s="298"/>
      <c r="BA32" s="298"/>
      <c r="BB32" s="298"/>
      <c r="BC32" s="298"/>
      <c r="BD32" s="298"/>
      <c r="BE32" s="298"/>
      <c r="BF32" s="298"/>
      <c r="BG32" s="298"/>
      <c r="BH32" s="298"/>
      <c r="BI32" s="299"/>
      <c r="BJ32" s="298"/>
      <c r="BK32" s="300"/>
    </row>
    <row r="33" spans="1:63" ht="15" customHeight="1" x14ac:dyDescent="0.25">
      <c r="A33" s="296"/>
      <c r="B33" s="297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9"/>
      <c r="AF33" s="297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9"/>
      <c r="BJ33" s="298"/>
      <c r="BK33" s="300"/>
    </row>
    <row r="34" spans="1:63" ht="15" customHeight="1" x14ac:dyDescent="0.25">
      <c r="A34" s="296"/>
      <c r="B34" s="297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9"/>
      <c r="AF34" s="297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9"/>
      <c r="BJ34" s="298"/>
      <c r="BK34" s="300"/>
    </row>
    <row r="35" spans="1:63" ht="15" customHeight="1" x14ac:dyDescent="0.25">
      <c r="A35" s="296"/>
      <c r="B35" s="297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9"/>
      <c r="AF35" s="297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9"/>
      <c r="BJ35" s="298"/>
      <c r="BK35" s="300"/>
    </row>
    <row r="36" spans="1:63" ht="15" customHeight="1" x14ac:dyDescent="0.25">
      <c r="A36" s="296"/>
      <c r="B36" s="297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9"/>
      <c r="AF36" s="297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9"/>
      <c r="BJ36" s="298"/>
      <c r="BK36" s="300"/>
    </row>
    <row r="37" spans="1:63" ht="15" customHeight="1" x14ac:dyDescent="0.25">
      <c r="A37" s="296"/>
      <c r="B37" s="297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7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9"/>
      <c r="BJ37" s="298"/>
      <c r="BK37" s="300"/>
    </row>
    <row r="38" spans="1:63" ht="15" customHeight="1" x14ac:dyDescent="0.25">
      <c r="A38" s="296"/>
      <c r="B38" s="297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7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298"/>
      <c r="BF38" s="298"/>
      <c r="BG38" s="298"/>
      <c r="BH38" s="298"/>
      <c r="BI38" s="299"/>
      <c r="BJ38" s="298"/>
      <c r="BK38" s="300"/>
    </row>
    <row r="39" spans="1:63" ht="15" customHeight="1" x14ac:dyDescent="0.25">
      <c r="A39" s="296"/>
      <c r="B39" s="297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7"/>
      <c r="AG39" s="298"/>
      <c r="AH39" s="298"/>
      <c r="AI39" s="298"/>
      <c r="AJ39" s="298"/>
      <c r="AK39" s="298"/>
      <c r="AL39" s="298"/>
      <c r="AM39" s="298"/>
      <c r="AN39" s="298"/>
      <c r="AO39" s="298"/>
      <c r="AP39" s="298"/>
      <c r="AQ39" s="298"/>
      <c r="AR39" s="298"/>
      <c r="AS39" s="298"/>
      <c r="AT39" s="298"/>
      <c r="AU39" s="298"/>
      <c r="AV39" s="298"/>
      <c r="AW39" s="298"/>
      <c r="AX39" s="298"/>
      <c r="AY39" s="298"/>
      <c r="AZ39" s="298"/>
      <c r="BA39" s="298"/>
      <c r="BB39" s="298"/>
      <c r="BC39" s="298"/>
      <c r="BD39" s="298"/>
      <c r="BE39" s="298"/>
      <c r="BF39" s="298"/>
      <c r="BG39" s="298"/>
      <c r="BH39" s="298"/>
      <c r="BI39" s="299"/>
      <c r="BJ39" s="298"/>
      <c r="BK39" s="300"/>
    </row>
    <row r="40" spans="1:63" ht="15" customHeight="1" x14ac:dyDescent="0.25">
      <c r="A40" s="296"/>
      <c r="B40" s="297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7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9"/>
      <c r="BJ40" s="298"/>
      <c r="BK40" s="300"/>
    </row>
    <row r="41" spans="1:63" ht="15" customHeight="1" x14ac:dyDescent="0.25">
      <c r="A41" s="296"/>
      <c r="B41" s="297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7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9"/>
      <c r="BJ41" s="298"/>
      <c r="BK41" s="300"/>
    </row>
    <row r="42" spans="1:63" ht="15" customHeight="1" x14ac:dyDescent="0.25">
      <c r="A42" s="296"/>
      <c r="B42" s="24" t="s">
        <v>14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5"/>
      <c r="AF42" s="24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5"/>
      <c r="BJ42" s="22"/>
      <c r="BK42" s="300"/>
    </row>
    <row r="43" spans="1:63" ht="15" customHeight="1" x14ac:dyDescent="0.25">
      <c r="A43" s="296"/>
      <c r="B43" s="297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9"/>
      <c r="AF43" s="297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9"/>
      <c r="BJ43" s="298"/>
      <c r="BK43" s="300"/>
    </row>
    <row r="44" spans="1:63" ht="15" customHeight="1" x14ac:dyDescent="0.25">
      <c r="A44" s="296"/>
      <c r="B44" s="297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9"/>
      <c r="AF44" s="297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8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9"/>
      <c r="BJ44" s="298"/>
      <c r="BK44" s="300"/>
    </row>
    <row r="45" spans="1:63" ht="15" customHeight="1" x14ac:dyDescent="0.25">
      <c r="A45" s="296"/>
      <c r="B45" s="297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9"/>
      <c r="AF45" s="297"/>
      <c r="AG45" s="298"/>
      <c r="AH45" s="298"/>
      <c r="AI45" s="298"/>
      <c r="AJ45" s="298"/>
      <c r="AK45" s="298"/>
      <c r="AL45" s="298"/>
      <c r="AM45" s="298"/>
      <c r="AN45" s="298"/>
      <c r="AO45" s="298"/>
      <c r="AP45" s="298"/>
      <c r="AQ45" s="298"/>
      <c r="AR45" s="298"/>
      <c r="AS45" s="298"/>
      <c r="AT45" s="298"/>
      <c r="AU45" s="298"/>
      <c r="AV45" s="298"/>
      <c r="AW45" s="298"/>
      <c r="AX45" s="298"/>
      <c r="AY45" s="298"/>
      <c r="AZ45" s="298"/>
      <c r="BA45" s="298"/>
      <c r="BB45" s="298"/>
      <c r="BC45" s="298"/>
      <c r="BD45" s="298"/>
      <c r="BE45" s="298"/>
      <c r="BF45" s="298"/>
      <c r="BG45" s="298"/>
      <c r="BH45" s="298"/>
      <c r="BI45" s="299"/>
      <c r="BJ45" s="298"/>
      <c r="BK45" s="300"/>
    </row>
    <row r="46" spans="1:63" ht="15" customHeight="1" x14ac:dyDescent="0.25">
      <c r="A46" s="296"/>
      <c r="B46" s="297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9"/>
      <c r="AF46" s="297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298"/>
      <c r="BI46" s="299"/>
      <c r="BJ46" s="298"/>
      <c r="BK46" s="300"/>
    </row>
    <row r="47" spans="1:63" ht="15" customHeight="1" x14ac:dyDescent="0.25">
      <c r="A47" s="296"/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9"/>
      <c r="AF47" s="297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8"/>
      <c r="AR47" s="298"/>
      <c r="AS47" s="298"/>
      <c r="AT47" s="298"/>
      <c r="AU47" s="298"/>
      <c r="AV47" s="298"/>
      <c r="AW47" s="298"/>
      <c r="AX47" s="298"/>
      <c r="AY47" s="298"/>
      <c r="AZ47" s="298"/>
      <c r="BA47" s="298"/>
      <c r="BB47" s="298"/>
      <c r="BC47" s="298"/>
      <c r="BD47" s="298"/>
      <c r="BE47" s="298"/>
      <c r="BF47" s="298"/>
      <c r="BG47" s="298"/>
      <c r="BH47" s="298"/>
      <c r="BI47" s="299"/>
      <c r="BJ47" s="298"/>
      <c r="BK47" s="300"/>
    </row>
    <row r="48" spans="1:63" ht="15" customHeight="1" x14ac:dyDescent="0.25">
      <c r="A48" s="296"/>
      <c r="B48" s="297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8"/>
      <c r="AR48" s="298"/>
      <c r="AS48" s="298"/>
      <c r="AT48" s="298"/>
      <c r="AU48" s="298"/>
      <c r="AV48" s="298"/>
      <c r="AW48" s="298"/>
      <c r="AX48" s="298"/>
      <c r="AY48" s="298"/>
      <c r="AZ48" s="298"/>
      <c r="BA48" s="298"/>
      <c r="BB48" s="298"/>
      <c r="BC48" s="298"/>
      <c r="BD48" s="298"/>
      <c r="BE48" s="298"/>
      <c r="BF48" s="298"/>
      <c r="BG48" s="298"/>
      <c r="BH48" s="298"/>
      <c r="BI48" s="299"/>
      <c r="BJ48" s="298"/>
      <c r="BK48" s="300"/>
    </row>
    <row r="49" spans="1:63" ht="15" customHeight="1" x14ac:dyDescent="0.25">
      <c r="A49" s="296"/>
      <c r="B49" s="297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7"/>
      <c r="AG49" s="298"/>
      <c r="AH49" s="298"/>
      <c r="AI49" s="298"/>
      <c r="AJ49" s="298"/>
      <c r="AK49" s="298"/>
      <c r="AL49" s="298"/>
      <c r="AM49" s="298"/>
      <c r="AN49" s="298"/>
      <c r="AO49" s="298"/>
      <c r="AP49" s="298"/>
      <c r="AQ49" s="298"/>
      <c r="AR49" s="298"/>
      <c r="AS49" s="298"/>
      <c r="AT49" s="298"/>
      <c r="AU49" s="298"/>
      <c r="AV49" s="298"/>
      <c r="AW49" s="298"/>
      <c r="AX49" s="298"/>
      <c r="AY49" s="298"/>
      <c r="AZ49" s="298"/>
      <c r="BA49" s="298"/>
      <c r="BB49" s="298"/>
      <c r="BC49" s="298"/>
      <c r="BD49" s="298"/>
      <c r="BE49" s="298"/>
      <c r="BF49" s="298"/>
      <c r="BG49" s="298"/>
      <c r="BH49" s="298"/>
      <c r="BI49" s="299"/>
      <c r="BJ49" s="298"/>
      <c r="BK49" s="300"/>
    </row>
    <row r="50" spans="1:63" ht="15" customHeight="1" x14ac:dyDescent="0.25">
      <c r="A50" s="296"/>
      <c r="B50" s="297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7"/>
      <c r="AG50" s="298"/>
      <c r="AH50" s="298"/>
      <c r="AI50" s="298"/>
      <c r="AJ50" s="298"/>
      <c r="AK50" s="298"/>
      <c r="AL50" s="298"/>
      <c r="AM50" s="298"/>
      <c r="AN50" s="298"/>
      <c r="AO50" s="298"/>
      <c r="AP50" s="298"/>
      <c r="AQ50" s="298"/>
      <c r="AR50" s="298"/>
      <c r="AS50" s="298"/>
      <c r="AT50" s="298"/>
      <c r="AU50" s="298"/>
      <c r="AV50" s="298"/>
      <c r="AW50" s="298"/>
      <c r="AX50" s="298"/>
      <c r="AY50" s="298"/>
      <c r="AZ50" s="298"/>
      <c r="BA50" s="298"/>
      <c r="BB50" s="298"/>
      <c r="BC50" s="298"/>
      <c r="BD50" s="298"/>
      <c r="BE50" s="298"/>
      <c r="BF50" s="298"/>
      <c r="BG50" s="298"/>
      <c r="BH50" s="298"/>
      <c r="BI50" s="299"/>
      <c r="BJ50" s="298"/>
      <c r="BK50" s="300"/>
    </row>
    <row r="51" spans="1:63" ht="15" customHeight="1" x14ac:dyDescent="0.25">
      <c r="A51" s="296"/>
      <c r="B51" s="297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7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298"/>
      <c r="AR51" s="298"/>
      <c r="AS51" s="298"/>
      <c r="AT51" s="298"/>
      <c r="AU51" s="298"/>
      <c r="AV51" s="298"/>
      <c r="AW51" s="298"/>
      <c r="AX51" s="298"/>
      <c r="AY51" s="298"/>
      <c r="AZ51" s="298"/>
      <c r="BA51" s="298"/>
      <c r="BB51" s="298"/>
      <c r="BC51" s="298"/>
      <c r="BD51" s="298"/>
      <c r="BE51" s="298"/>
      <c r="BF51" s="298"/>
      <c r="BG51" s="298"/>
      <c r="BH51" s="298"/>
      <c r="BI51" s="299"/>
      <c r="BJ51" s="298"/>
      <c r="BK51" s="300"/>
    </row>
    <row r="52" spans="1:63" ht="15" customHeight="1" x14ac:dyDescent="0.25">
      <c r="A52" s="296"/>
      <c r="B52" s="297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7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298"/>
      <c r="AR52" s="298"/>
      <c r="AS52" s="298"/>
      <c r="AT52" s="298"/>
      <c r="AU52" s="298"/>
      <c r="AV52" s="298"/>
      <c r="AW52" s="298"/>
      <c r="AX52" s="298"/>
      <c r="AY52" s="298"/>
      <c r="AZ52" s="298"/>
      <c r="BA52" s="298"/>
      <c r="BB52" s="298"/>
      <c r="BC52" s="298"/>
      <c r="BD52" s="298"/>
      <c r="BE52" s="298"/>
      <c r="BF52" s="298"/>
      <c r="BG52" s="298"/>
      <c r="BH52" s="298"/>
      <c r="BI52" s="299"/>
      <c r="BJ52" s="298"/>
      <c r="BK52" s="300"/>
    </row>
    <row r="53" spans="1:63" ht="15" customHeight="1" x14ac:dyDescent="0.25">
      <c r="A53" s="296"/>
      <c r="B53" s="297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7"/>
      <c r="AG53" s="298"/>
      <c r="AH53" s="298"/>
      <c r="AI53" s="298"/>
      <c r="AJ53" s="298"/>
      <c r="AK53" s="298"/>
      <c r="AL53" s="298"/>
      <c r="AM53" s="298"/>
      <c r="AN53" s="298"/>
      <c r="AO53" s="298"/>
      <c r="AP53" s="298"/>
      <c r="AQ53" s="298"/>
      <c r="AR53" s="298"/>
      <c r="AS53" s="298"/>
      <c r="AT53" s="298"/>
      <c r="AU53" s="298"/>
      <c r="AV53" s="298"/>
      <c r="AW53" s="298"/>
      <c r="AX53" s="298"/>
      <c r="AY53" s="298"/>
      <c r="AZ53" s="298"/>
      <c r="BA53" s="298"/>
      <c r="BB53" s="298"/>
      <c r="BC53" s="298"/>
      <c r="BD53" s="298"/>
      <c r="BE53" s="298"/>
      <c r="BF53" s="298"/>
      <c r="BG53" s="298"/>
      <c r="BH53" s="298"/>
      <c r="BI53" s="299"/>
      <c r="BJ53" s="298"/>
      <c r="BK53" s="300"/>
    </row>
    <row r="54" spans="1:63" ht="15" customHeight="1" x14ac:dyDescent="0.25">
      <c r="A54" s="296"/>
      <c r="B54" s="297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7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298"/>
      <c r="AR54" s="298"/>
      <c r="AS54" s="298"/>
      <c r="AT54" s="298"/>
      <c r="AU54" s="298"/>
      <c r="AV54" s="298"/>
      <c r="AW54" s="298"/>
      <c r="AX54" s="298"/>
      <c r="AY54" s="298"/>
      <c r="AZ54" s="298"/>
      <c r="BA54" s="298"/>
      <c r="BB54" s="298"/>
      <c r="BC54" s="298"/>
      <c r="BD54" s="298"/>
      <c r="BE54" s="298"/>
      <c r="BF54" s="298"/>
      <c r="BG54" s="298"/>
      <c r="BH54" s="298"/>
      <c r="BI54" s="299"/>
      <c r="BJ54" s="298"/>
      <c r="BK54" s="300"/>
    </row>
    <row r="55" spans="1:63" ht="15" customHeight="1" x14ac:dyDescent="0.25">
      <c r="A55" s="296"/>
      <c r="B55" s="297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  <c r="AD55" s="298"/>
      <c r="AE55" s="298"/>
      <c r="AF55" s="297"/>
      <c r="AG55" s="298"/>
      <c r="AH55" s="298"/>
      <c r="AI55" s="298"/>
      <c r="AJ55" s="298"/>
      <c r="AK55" s="298"/>
      <c r="AL55" s="298"/>
      <c r="AM55" s="298"/>
      <c r="AN55" s="298"/>
      <c r="AO55" s="298"/>
      <c r="AP55" s="298"/>
      <c r="AQ55" s="298"/>
      <c r="AR55" s="298"/>
      <c r="AS55" s="298"/>
      <c r="AT55" s="298"/>
      <c r="AU55" s="298"/>
      <c r="AV55" s="298"/>
      <c r="AW55" s="298"/>
      <c r="AX55" s="298"/>
      <c r="AY55" s="298"/>
      <c r="AZ55" s="298"/>
      <c r="BA55" s="298"/>
      <c r="BB55" s="298"/>
      <c r="BC55" s="298"/>
      <c r="BD55" s="298"/>
      <c r="BE55" s="298"/>
      <c r="BF55" s="298"/>
      <c r="BG55" s="298"/>
      <c r="BH55" s="298"/>
      <c r="BI55" s="299"/>
      <c r="BJ55" s="298"/>
      <c r="BK55" s="300"/>
    </row>
    <row r="56" spans="1:63" ht="15" customHeight="1" x14ac:dyDescent="0.25">
      <c r="A56" s="296"/>
      <c r="B56" s="297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  <c r="AD56" s="298"/>
      <c r="AE56" s="298"/>
      <c r="AF56" s="297"/>
      <c r="AG56" s="298"/>
      <c r="AH56" s="298"/>
      <c r="AI56" s="298"/>
      <c r="AJ56" s="298"/>
      <c r="AK56" s="298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298"/>
      <c r="AY56" s="298"/>
      <c r="AZ56" s="298"/>
      <c r="BA56" s="298"/>
      <c r="BB56" s="298"/>
      <c r="BC56" s="298"/>
      <c r="BD56" s="298"/>
      <c r="BE56" s="298"/>
      <c r="BF56" s="298"/>
      <c r="BG56" s="298"/>
      <c r="BH56" s="298"/>
      <c r="BI56" s="299"/>
      <c r="BJ56" s="298"/>
      <c r="BK56" s="300"/>
    </row>
    <row r="57" spans="1:63" ht="15" customHeight="1" x14ac:dyDescent="0.25">
      <c r="A57" s="296"/>
      <c r="B57" s="297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7"/>
      <c r="AG57" s="298"/>
      <c r="AH57" s="298"/>
      <c r="AI57" s="298"/>
      <c r="AJ57" s="298"/>
      <c r="AK57" s="298"/>
      <c r="AL57" s="298"/>
      <c r="AM57" s="298"/>
      <c r="AN57" s="298"/>
      <c r="AO57" s="298"/>
      <c r="AP57" s="298"/>
      <c r="AQ57" s="298"/>
      <c r="AR57" s="298"/>
      <c r="AS57" s="298"/>
      <c r="AT57" s="298"/>
      <c r="AU57" s="298"/>
      <c r="AV57" s="298"/>
      <c r="AW57" s="298"/>
      <c r="AX57" s="298"/>
      <c r="AY57" s="298"/>
      <c r="AZ57" s="298"/>
      <c r="BA57" s="298"/>
      <c r="BB57" s="298"/>
      <c r="BC57" s="298"/>
      <c r="BD57" s="298"/>
      <c r="BE57" s="298"/>
      <c r="BF57" s="298"/>
      <c r="BG57" s="298"/>
      <c r="BH57" s="298"/>
      <c r="BI57" s="299"/>
      <c r="BJ57" s="298"/>
      <c r="BK57" s="300"/>
    </row>
    <row r="58" spans="1:63" ht="15" customHeight="1" x14ac:dyDescent="0.25">
      <c r="A58" s="296"/>
      <c r="B58" s="297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7"/>
      <c r="AG58" s="298"/>
      <c r="AH58" s="298"/>
      <c r="AI58" s="298"/>
      <c r="AJ58" s="298"/>
      <c r="AK58" s="298"/>
      <c r="AL58" s="298"/>
      <c r="AM58" s="298"/>
      <c r="AN58" s="298"/>
      <c r="AO58" s="298"/>
      <c r="AP58" s="298"/>
      <c r="AQ58" s="298"/>
      <c r="AR58" s="298"/>
      <c r="AS58" s="298"/>
      <c r="AT58" s="298"/>
      <c r="AU58" s="298"/>
      <c r="AV58" s="298"/>
      <c r="AW58" s="298"/>
      <c r="AX58" s="298"/>
      <c r="AY58" s="298"/>
      <c r="AZ58" s="298"/>
      <c r="BA58" s="298"/>
      <c r="BB58" s="298"/>
      <c r="BC58" s="298"/>
      <c r="BD58" s="298"/>
      <c r="BE58" s="298"/>
      <c r="BF58" s="298"/>
      <c r="BG58" s="298"/>
      <c r="BH58" s="298"/>
      <c r="BI58" s="299"/>
      <c r="BJ58" s="298"/>
      <c r="BK58" s="300"/>
    </row>
    <row r="59" spans="1:63" ht="15" customHeight="1" x14ac:dyDescent="0.25">
      <c r="A59" s="296"/>
      <c r="B59" s="297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7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298"/>
      <c r="AR59" s="298"/>
      <c r="AS59" s="298"/>
      <c r="AT59" s="298"/>
      <c r="AU59" s="298"/>
      <c r="AV59" s="298"/>
      <c r="AW59" s="298"/>
      <c r="AX59" s="298"/>
      <c r="AY59" s="298"/>
      <c r="AZ59" s="298"/>
      <c r="BA59" s="298"/>
      <c r="BB59" s="298"/>
      <c r="BC59" s="298"/>
      <c r="BD59" s="298"/>
      <c r="BE59" s="298"/>
      <c r="BF59" s="298"/>
      <c r="BG59" s="298"/>
      <c r="BH59" s="298"/>
      <c r="BI59" s="299"/>
      <c r="BJ59" s="298"/>
      <c r="BK59" s="300"/>
    </row>
    <row r="60" spans="1:63" ht="15" customHeight="1" x14ac:dyDescent="0.25">
      <c r="A60" s="296"/>
      <c r="B60" s="297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7"/>
      <c r="AG60" s="298"/>
      <c r="AH60" s="298"/>
      <c r="AI60" s="298"/>
      <c r="AJ60" s="298"/>
      <c r="AK60" s="298"/>
      <c r="AL60" s="298"/>
      <c r="AM60" s="298"/>
      <c r="AN60" s="298"/>
      <c r="AO60" s="298"/>
      <c r="AP60" s="298"/>
      <c r="AQ60" s="298"/>
      <c r="AR60" s="298"/>
      <c r="AS60" s="298"/>
      <c r="AT60" s="298"/>
      <c r="AU60" s="298"/>
      <c r="AV60" s="298"/>
      <c r="AW60" s="298"/>
      <c r="AX60" s="298"/>
      <c r="AY60" s="298"/>
      <c r="AZ60" s="298"/>
      <c r="BA60" s="298"/>
      <c r="BB60" s="298"/>
      <c r="BC60" s="298"/>
      <c r="BD60" s="298"/>
      <c r="BE60" s="298"/>
      <c r="BF60" s="298"/>
      <c r="BG60" s="298"/>
      <c r="BH60" s="298"/>
      <c r="BI60" s="299"/>
      <c r="BJ60" s="298"/>
      <c r="BK60" s="300"/>
    </row>
    <row r="61" spans="1:63" ht="15" customHeight="1" x14ac:dyDescent="0.25">
      <c r="A61" s="296"/>
      <c r="B61" s="297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7"/>
      <c r="AG61" s="298"/>
      <c r="AH61" s="298"/>
      <c r="AI61" s="298"/>
      <c r="AJ61" s="298"/>
      <c r="AK61" s="298"/>
      <c r="AL61" s="298"/>
      <c r="AM61" s="298"/>
      <c r="AN61" s="298"/>
      <c r="AO61" s="298"/>
      <c r="AP61" s="298"/>
      <c r="AQ61" s="298"/>
      <c r="AR61" s="298"/>
      <c r="AS61" s="298"/>
      <c r="AT61" s="298"/>
      <c r="AU61" s="298"/>
      <c r="AV61" s="298"/>
      <c r="AW61" s="298"/>
      <c r="AX61" s="298"/>
      <c r="AY61" s="298"/>
      <c r="AZ61" s="298"/>
      <c r="BA61" s="298"/>
      <c r="BB61" s="298"/>
      <c r="BC61" s="298"/>
      <c r="BD61" s="298"/>
      <c r="BE61" s="298"/>
      <c r="BF61" s="298"/>
      <c r="BG61" s="298"/>
      <c r="BH61" s="298"/>
      <c r="BI61" s="299"/>
      <c r="BJ61" s="298"/>
      <c r="BK61" s="300"/>
    </row>
    <row r="62" spans="1:63" ht="15" customHeight="1" x14ac:dyDescent="0.25">
      <c r="A62" s="301"/>
      <c r="B62" s="302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3"/>
      <c r="AF62" s="302"/>
      <c r="AG62" s="301"/>
      <c r="AH62" s="301"/>
      <c r="AI62" s="301"/>
      <c r="AJ62" s="301"/>
      <c r="AK62" s="301"/>
      <c r="AL62" s="301"/>
      <c r="AM62" s="301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1"/>
      <c r="BG62" s="301"/>
      <c r="BH62" s="301"/>
      <c r="BI62" s="303"/>
      <c r="BJ62" s="301"/>
      <c r="BK62" s="30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8" customWidth="1"/>
    <col min="66" max="16384" width="2.77734375" style="208"/>
  </cols>
  <sheetData>
    <row r="1" spans="1:65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tr">
        <f>IF(表紙!W1="","",表紙!W1)</f>
        <v>基本設計書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5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DuNT</v>
      </c>
      <c r="AQ2" s="209"/>
      <c r="AR2" s="209"/>
      <c r="AS2" s="210"/>
      <c r="AT2" s="215">
        <f>IF(表紙!AT2="","",表紙!AT2)</f>
        <v>45625</v>
      </c>
      <c r="AU2" s="216"/>
      <c r="AV2" s="216"/>
      <c r="AW2" s="216"/>
      <c r="AX2" s="217"/>
      <c r="AY2" s="211" t="str">
        <f>IF(表紙!AY2="","",表紙!AY2)</f>
        <v>DuNT</v>
      </c>
      <c r="AZ2" s="209"/>
      <c r="BA2" s="209"/>
      <c r="BB2" s="210"/>
      <c r="BC2" s="215">
        <f>IF(表紙!BC2="","",表紙!BC2)</f>
        <v>45625</v>
      </c>
      <c r="BD2" s="216"/>
      <c r="BE2" s="216"/>
      <c r="BF2" s="216"/>
      <c r="BG2" s="217"/>
      <c r="BH2" s="211">
        <f>IF(表紙!BH2="","",表紙!BH2)</f>
        <v>0.1</v>
      </c>
      <c r="BI2" s="209"/>
      <c r="BJ2" s="209"/>
      <c r="BK2" s="210"/>
    </row>
    <row r="3" spans="1:65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5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235" t="str">
        <f>IF(表紙!H4="","",表紙!H4)</f>
        <v>43_精算機の最終決済に入力された商品名</v>
      </c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7"/>
      <c r="U4" s="202" t="s">
        <v>70</v>
      </c>
      <c r="V4" s="203"/>
      <c r="W4" s="203"/>
      <c r="X4" s="203"/>
      <c r="Y4" s="204"/>
      <c r="Z4" s="235" t="str">
        <f>IF(表紙!Z4="","",表紙!Z4)</f>
        <v>概要設計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機能概要説明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5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5" ht="15" customHeight="1" x14ac:dyDescent="0.25">
      <c r="A6" s="241"/>
      <c r="BK6" s="242"/>
    </row>
    <row r="7" spans="1:65" ht="15" customHeight="1" x14ac:dyDescent="0.25">
      <c r="A7" s="241"/>
      <c r="C7" s="208" t="s">
        <v>54</v>
      </c>
      <c r="K7" s="305"/>
      <c r="BK7" s="242"/>
      <c r="BM7" s="26">
        <f t="shared" ref="BM7:BM10" si="0">IF(BM6=50,1,BM6+1)</f>
        <v>1</v>
      </c>
    </row>
    <row r="8" spans="1:65" ht="15" customHeight="1" x14ac:dyDescent="0.25">
      <c r="A8" s="241"/>
      <c r="D8" s="306" t="s">
        <v>77</v>
      </c>
      <c r="K8" s="305"/>
      <c r="BK8" s="242"/>
      <c r="BM8" s="26">
        <f t="shared" si="0"/>
        <v>2</v>
      </c>
    </row>
    <row r="9" spans="1:65" s="305" customFormat="1" ht="15" customHeight="1" x14ac:dyDescent="0.25">
      <c r="A9" s="307"/>
      <c r="E9" s="308" t="s">
        <v>55</v>
      </c>
      <c r="BK9" s="309"/>
      <c r="BM9" s="26">
        <f t="shared" si="0"/>
        <v>3</v>
      </c>
    </row>
    <row r="10" spans="1:65" s="305" customFormat="1" ht="15" customHeight="1" x14ac:dyDescent="0.25">
      <c r="A10" s="307"/>
      <c r="BK10" s="309"/>
      <c r="BM10" s="26">
        <f t="shared" si="0"/>
        <v>4</v>
      </c>
    </row>
    <row r="11" spans="1:65" s="305" customFormat="1" ht="15" customHeight="1" x14ac:dyDescent="0.25">
      <c r="A11" s="307"/>
      <c r="BK11" s="309"/>
      <c r="BM11" s="26">
        <f t="shared" ref="BM10:BM42" si="1">IF(BM10=50,1,BM10+1)</f>
        <v>5</v>
      </c>
    </row>
    <row r="12" spans="1:65" s="305" customFormat="1" ht="15" customHeight="1" x14ac:dyDescent="0.25">
      <c r="A12" s="307"/>
      <c r="BK12" s="309"/>
      <c r="BM12" s="26">
        <f t="shared" si="1"/>
        <v>6</v>
      </c>
    </row>
    <row r="13" spans="1:65" s="305" customFormat="1" ht="15" customHeight="1" x14ac:dyDescent="0.25">
      <c r="A13" s="307"/>
      <c r="BK13" s="309"/>
      <c r="BM13" s="26">
        <f t="shared" si="1"/>
        <v>7</v>
      </c>
    </row>
    <row r="14" spans="1:65" s="305" customFormat="1" ht="15" customHeight="1" x14ac:dyDescent="0.25">
      <c r="A14" s="307"/>
      <c r="BK14" s="309"/>
      <c r="BM14" s="26">
        <f t="shared" si="1"/>
        <v>8</v>
      </c>
    </row>
    <row r="15" spans="1:65" s="305" customFormat="1" ht="15" customHeight="1" x14ac:dyDescent="0.25">
      <c r="A15" s="307"/>
      <c r="BK15" s="309"/>
      <c r="BM15" s="26">
        <f t="shared" si="1"/>
        <v>9</v>
      </c>
    </row>
    <row r="16" spans="1:65" s="305" customFormat="1" ht="15" customHeight="1" x14ac:dyDescent="0.25">
      <c r="A16" s="307"/>
      <c r="BK16" s="309"/>
      <c r="BM16" s="26">
        <f t="shared" si="1"/>
        <v>10</v>
      </c>
    </row>
    <row r="17" spans="1:65" s="305" customFormat="1" ht="15" customHeight="1" x14ac:dyDescent="0.25">
      <c r="A17" s="307"/>
      <c r="BK17" s="309"/>
      <c r="BM17" s="26">
        <f t="shared" si="1"/>
        <v>11</v>
      </c>
    </row>
    <row r="18" spans="1:65" s="305" customFormat="1" ht="15" customHeight="1" x14ac:dyDescent="0.25">
      <c r="A18" s="307"/>
      <c r="BK18" s="309"/>
      <c r="BM18" s="26">
        <f t="shared" si="1"/>
        <v>12</v>
      </c>
    </row>
    <row r="19" spans="1:65" s="305" customFormat="1" ht="15" customHeight="1" x14ac:dyDescent="0.25">
      <c r="A19" s="307"/>
      <c r="BK19" s="309"/>
      <c r="BM19" s="26">
        <f t="shared" si="1"/>
        <v>13</v>
      </c>
    </row>
    <row r="20" spans="1:65" s="305" customFormat="1" ht="15" customHeight="1" x14ac:dyDescent="0.25">
      <c r="A20" s="307"/>
      <c r="BK20" s="309"/>
      <c r="BM20" s="26">
        <f t="shared" si="1"/>
        <v>14</v>
      </c>
    </row>
    <row r="21" spans="1:65" s="305" customFormat="1" ht="15" customHeight="1" x14ac:dyDescent="0.25">
      <c r="A21" s="307"/>
      <c r="BK21" s="309"/>
      <c r="BM21" s="26">
        <f t="shared" si="1"/>
        <v>15</v>
      </c>
    </row>
    <row r="22" spans="1:65" s="305" customFormat="1" ht="15" customHeight="1" x14ac:dyDescent="0.25">
      <c r="A22" s="307"/>
      <c r="BK22" s="309"/>
      <c r="BM22" s="26">
        <f t="shared" si="1"/>
        <v>16</v>
      </c>
    </row>
    <row r="23" spans="1:65" s="305" customFormat="1" ht="15" customHeight="1" x14ac:dyDescent="0.25">
      <c r="A23" s="307"/>
      <c r="BK23" s="309"/>
      <c r="BM23" s="26">
        <f t="shared" si="1"/>
        <v>17</v>
      </c>
    </row>
    <row r="24" spans="1:65" s="305" customFormat="1" ht="15" customHeight="1" x14ac:dyDescent="0.25">
      <c r="A24" s="307"/>
      <c r="BK24" s="309"/>
      <c r="BM24" s="26">
        <f t="shared" si="1"/>
        <v>18</v>
      </c>
    </row>
    <row r="25" spans="1:65" s="305" customFormat="1" ht="15" customHeight="1" x14ac:dyDescent="0.25">
      <c r="A25" s="307"/>
      <c r="BK25" s="309"/>
      <c r="BM25" s="26">
        <f t="shared" si="1"/>
        <v>19</v>
      </c>
    </row>
    <row r="26" spans="1:65" s="305" customFormat="1" ht="15" customHeight="1" x14ac:dyDescent="0.25">
      <c r="A26" s="307"/>
      <c r="BK26" s="309"/>
      <c r="BM26" s="26">
        <f t="shared" si="1"/>
        <v>20</v>
      </c>
    </row>
    <row r="27" spans="1:65" s="305" customFormat="1" ht="15" customHeight="1" x14ac:dyDescent="0.25">
      <c r="A27" s="307"/>
      <c r="BK27" s="309"/>
      <c r="BM27" s="26">
        <f t="shared" si="1"/>
        <v>21</v>
      </c>
    </row>
    <row r="28" spans="1:65" s="305" customFormat="1" ht="15" customHeight="1" x14ac:dyDescent="0.25">
      <c r="A28" s="307"/>
      <c r="BK28" s="309"/>
      <c r="BM28" s="26">
        <f t="shared" si="1"/>
        <v>22</v>
      </c>
    </row>
    <row r="29" spans="1:65" s="305" customFormat="1" ht="15" customHeight="1" x14ac:dyDescent="0.25">
      <c r="A29" s="307"/>
      <c r="BK29" s="309"/>
      <c r="BM29" s="26">
        <f t="shared" si="1"/>
        <v>23</v>
      </c>
    </row>
    <row r="30" spans="1:65" s="305" customFormat="1" ht="15" customHeight="1" x14ac:dyDescent="0.25">
      <c r="A30" s="307"/>
      <c r="BK30" s="309"/>
      <c r="BM30" s="26">
        <f t="shared" si="1"/>
        <v>24</v>
      </c>
    </row>
    <row r="31" spans="1:65" s="305" customFormat="1" ht="15" customHeight="1" x14ac:dyDescent="0.25">
      <c r="A31" s="307"/>
      <c r="BK31" s="309"/>
      <c r="BM31" s="26">
        <f t="shared" si="1"/>
        <v>25</v>
      </c>
    </row>
    <row r="32" spans="1:65" s="305" customFormat="1" ht="15" customHeight="1" x14ac:dyDescent="0.25">
      <c r="A32" s="307"/>
      <c r="BK32" s="309"/>
      <c r="BM32" s="26">
        <f t="shared" si="1"/>
        <v>26</v>
      </c>
    </row>
    <row r="33" spans="1:65" s="305" customFormat="1" ht="15" customHeight="1" x14ac:dyDescent="0.25">
      <c r="A33" s="307"/>
      <c r="BK33" s="309"/>
      <c r="BM33" s="26">
        <f t="shared" si="1"/>
        <v>27</v>
      </c>
    </row>
    <row r="34" spans="1:65" s="305" customFormat="1" ht="15" customHeight="1" x14ac:dyDescent="0.25">
      <c r="A34" s="307"/>
      <c r="BK34" s="309"/>
      <c r="BM34" s="26">
        <f t="shared" si="1"/>
        <v>28</v>
      </c>
    </row>
    <row r="35" spans="1:65" s="305" customFormat="1" ht="15" customHeight="1" x14ac:dyDescent="0.25">
      <c r="A35" s="307"/>
      <c r="BK35" s="309"/>
      <c r="BM35" s="26">
        <f t="shared" si="1"/>
        <v>29</v>
      </c>
    </row>
    <row r="36" spans="1:65" s="305" customFormat="1" ht="15" customHeight="1" x14ac:dyDescent="0.25">
      <c r="A36" s="307"/>
      <c r="BK36" s="309"/>
      <c r="BM36" s="26">
        <f t="shared" si="1"/>
        <v>30</v>
      </c>
    </row>
    <row r="37" spans="1:65" s="305" customFormat="1" ht="15" customHeight="1" x14ac:dyDescent="0.25">
      <c r="A37" s="307"/>
      <c r="BK37" s="309"/>
      <c r="BM37" s="26">
        <f t="shared" si="1"/>
        <v>31</v>
      </c>
    </row>
    <row r="38" spans="1:65" s="305" customFormat="1" ht="15" customHeight="1" x14ac:dyDescent="0.25">
      <c r="A38" s="307"/>
      <c r="BK38" s="309"/>
      <c r="BM38" s="26">
        <f t="shared" si="1"/>
        <v>32</v>
      </c>
    </row>
    <row r="39" spans="1:65" s="305" customFormat="1" ht="15" customHeight="1" x14ac:dyDescent="0.25">
      <c r="A39" s="307"/>
      <c r="BK39" s="309"/>
      <c r="BM39" s="26">
        <f t="shared" si="1"/>
        <v>33</v>
      </c>
    </row>
    <row r="40" spans="1:65" s="305" customFormat="1" ht="15" customHeight="1" x14ac:dyDescent="0.25">
      <c r="A40" s="307"/>
      <c r="BK40" s="309"/>
      <c r="BM40" s="26">
        <f t="shared" si="1"/>
        <v>34</v>
      </c>
    </row>
    <row r="41" spans="1:65" s="305" customFormat="1" ht="15" customHeight="1" x14ac:dyDescent="0.25">
      <c r="A41" s="307"/>
      <c r="BK41" s="309"/>
      <c r="BM41" s="26">
        <f t="shared" si="1"/>
        <v>35</v>
      </c>
    </row>
    <row r="42" spans="1:65" s="305" customFormat="1" ht="15" customHeight="1" x14ac:dyDescent="0.25">
      <c r="A42" s="307"/>
      <c r="BK42" s="309"/>
      <c r="BM42" s="26">
        <f t="shared" si="1"/>
        <v>36</v>
      </c>
    </row>
    <row r="43" spans="1:65" s="305" customFormat="1" ht="15" customHeight="1" x14ac:dyDescent="0.25">
      <c r="A43" s="307"/>
      <c r="BK43" s="309"/>
      <c r="BM43" s="26">
        <f t="shared" ref="BM43:BM55" si="2">IF(BM42=50,1,BM42+1)</f>
        <v>37</v>
      </c>
    </row>
    <row r="44" spans="1:65" s="305" customFormat="1" ht="15" customHeight="1" x14ac:dyDescent="0.25">
      <c r="A44" s="307"/>
      <c r="BK44" s="309"/>
      <c r="BM44" s="26">
        <f t="shared" si="2"/>
        <v>38</v>
      </c>
    </row>
    <row r="45" spans="1:65" s="305" customFormat="1" ht="15" customHeight="1" x14ac:dyDescent="0.25">
      <c r="A45" s="307"/>
      <c r="BK45" s="309"/>
      <c r="BM45" s="26">
        <f t="shared" si="2"/>
        <v>39</v>
      </c>
    </row>
    <row r="46" spans="1:65" s="305" customFormat="1" ht="15" customHeight="1" x14ac:dyDescent="0.25">
      <c r="A46" s="307"/>
      <c r="BK46" s="309"/>
      <c r="BM46" s="26">
        <f t="shared" si="2"/>
        <v>40</v>
      </c>
    </row>
    <row r="47" spans="1:65" s="305" customFormat="1" ht="15" customHeight="1" x14ac:dyDescent="0.25">
      <c r="A47" s="307"/>
      <c r="BK47" s="309"/>
      <c r="BM47" s="26">
        <f t="shared" si="2"/>
        <v>41</v>
      </c>
    </row>
    <row r="48" spans="1:65" s="305" customFormat="1" ht="15" customHeight="1" x14ac:dyDescent="0.25">
      <c r="A48" s="307"/>
      <c r="BK48" s="309"/>
      <c r="BM48" s="26">
        <f t="shared" si="2"/>
        <v>42</v>
      </c>
    </row>
    <row r="49" spans="1:65" s="305" customFormat="1" ht="15" customHeight="1" x14ac:dyDescent="0.25">
      <c r="A49" s="307"/>
      <c r="BK49" s="309"/>
      <c r="BM49" s="26">
        <f t="shared" si="2"/>
        <v>43</v>
      </c>
    </row>
    <row r="50" spans="1:65" s="305" customFormat="1" ht="15" customHeight="1" x14ac:dyDescent="0.25">
      <c r="A50" s="307"/>
      <c r="BK50" s="309"/>
      <c r="BM50" s="26">
        <f t="shared" si="2"/>
        <v>44</v>
      </c>
    </row>
    <row r="51" spans="1:65" s="305" customFormat="1" ht="15" customHeight="1" x14ac:dyDescent="0.25">
      <c r="A51" s="307"/>
      <c r="BK51" s="309"/>
      <c r="BM51" s="26">
        <f t="shared" si="2"/>
        <v>45</v>
      </c>
    </row>
    <row r="52" spans="1:65" s="305" customFormat="1" ht="15" customHeight="1" x14ac:dyDescent="0.25">
      <c r="A52" s="307"/>
      <c r="BK52" s="309"/>
      <c r="BM52" s="26">
        <f t="shared" si="2"/>
        <v>46</v>
      </c>
    </row>
    <row r="53" spans="1:65" s="305" customFormat="1" ht="15" customHeight="1" x14ac:dyDescent="0.25">
      <c r="A53" s="307"/>
      <c r="BK53" s="309"/>
      <c r="BM53" s="26">
        <f t="shared" si="2"/>
        <v>47</v>
      </c>
    </row>
    <row r="54" spans="1:65" s="305" customFormat="1" ht="15" customHeight="1" x14ac:dyDescent="0.25">
      <c r="A54" s="307"/>
      <c r="BK54" s="309"/>
      <c r="BM54" s="26">
        <f t="shared" si="2"/>
        <v>48</v>
      </c>
    </row>
    <row r="55" spans="1:65" s="305" customFormat="1" ht="15" customHeight="1" x14ac:dyDescent="0.25">
      <c r="A55" s="310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 s="311"/>
      <c r="BJ55" s="311"/>
      <c r="BK55" s="312"/>
      <c r="BM55" s="26">
        <f t="shared" si="2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6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customWidth="1"/>
  </cols>
  <sheetData>
    <row r="1" spans="1:65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5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5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5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5" t="str">
        <f>IF(表紙!H4="","",表紙!H4)</f>
        <v>43_精算機の最終決済に入力された商品名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14" t="s">
        <v>8</v>
      </c>
      <c r="V4" s="13"/>
      <c r="W4" s="13"/>
      <c r="X4" s="13"/>
      <c r="Y4" s="12"/>
      <c r="Z4" s="55" t="str">
        <f>IF(表紙!Z4="","",表紙!Z4)</f>
        <v>概要設計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機能概要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5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5" ht="15" customHeight="1" x14ac:dyDescent="0.25">
      <c r="A6" s="15"/>
      <c r="BK6" s="18"/>
    </row>
    <row r="7" spans="1:65" ht="15" customHeight="1" x14ac:dyDescent="0.25">
      <c r="A7" s="15"/>
      <c r="B7" s="20" t="s">
        <v>78</v>
      </c>
      <c r="C7" s="21"/>
      <c r="D7" s="22"/>
      <c r="E7" s="22"/>
      <c r="F7" s="22"/>
      <c r="G7" s="22"/>
      <c r="H7" s="22"/>
      <c r="I7" s="22"/>
      <c r="J7" s="22"/>
      <c r="K7" s="23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3"/>
      <c r="AD7" s="21"/>
      <c r="AE7" s="22"/>
      <c r="AF7" s="22"/>
      <c r="AG7" s="22"/>
      <c r="AH7" s="22"/>
      <c r="AI7" s="22"/>
      <c r="AJ7" s="22"/>
      <c r="AK7" s="22"/>
      <c r="AL7" s="23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18"/>
    </row>
    <row r="8" spans="1:65" ht="15" customHeight="1" x14ac:dyDescent="0.25">
      <c r="A8" s="15"/>
      <c r="B8" s="41"/>
      <c r="K8" s="48"/>
      <c r="U8" s="41"/>
      <c r="AD8" s="41"/>
      <c r="AM8" s="41"/>
      <c r="BI8" s="43"/>
      <c r="BK8" s="18"/>
      <c r="BM8" s="26">
        <f t="shared" ref="BM8:BM19" si="0">IF(BM7=50,1,BM7+1)</f>
        <v>1</v>
      </c>
    </row>
    <row r="9" spans="1:65" ht="15" customHeight="1" x14ac:dyDescent="0.25">
      <c r="A9" s="15"/>
      <c r="B9" s="41"/>
      <c r="K9" s="48"/>
      <c r="U9" s="41"/>
      <c r="AD9" s="41"/>
      <c r="AM9" s="41"/>
      <c r="BI9" s="43"/>
      <c r="BK9" s="18"/>
      <c r="BM9" s="26">
        <f t="shared" si="0"/>
        <v>2</v>
      </c>
    </row>
    <row r="10" spans="1:65" ht="15" customHeight="1" x14ac:dyDescent="0.25">
      <c r="A10" s="15"/>
      <c r="B10" s="41"/>
      <c r="K10" s="48"/>
      <c r="U10" s="41"/>
      <c r="AD10" s="41"/>
      <c r="AM10" s="41"/>
      <c r="BI10" s="43"/>
      <c r="BK10" s="18"/>
      <c r="BM10" s="26">
        <f t="shared" si="0"/>
        <v>3</v>
      </c>
    </row>
    <row r="11" spans="1:65" ht="15" customHeight="1" x14ac:dyDescent="0.25">
      <c r="A11" s="15"/>
      <c r="B11" s="41"/>
      <c r="K11" s="48"/>
      <c r="U11" s="41"/>
      <c r="AD11" s="41"/>
      <c r="AM11" s="41"/>
      <c r="BI11" s="43"/>
      <c r="BK11" s="18"/>
      <c r="BM11" s="26">
        <f t="shared" si="0"/>
        <v>4</v>
      </c>
    </row>
    <row r="12" spans="1:65" ht="15" customHeight="1" x14ac:dyDescent="0.25">
      <c r="A12" s="15"/>
      <c r="B12" s="41"/>
      <c r="K12" s="48"/>
      <c r="U12" s="41"/>
      <c r="AD12" s="41"/>
      <c r="AM12" s="41"/>
      <c r="BI12" s="43"/>
      <c r="BK12" s="18"/>
      <c r="BM12" s="26">
        <f t="shared" si="0"/>
        <v>5</v>
      </c>
    </row>
    <row r="13" spans="1:65" ht="15" customHeight="1" x14ac:dyDescent="0.25">
      <c r="A13" s="15"/>
      <c r="B13" s="41"/>
      <c r="K13" s="48"/>
      <c r="U13" s="41"/>
      <c r="AD13" s="41"/>
      <c r="AM13" s="41"/>
      <c r="BI13" s="43"/>
      <c r="BK13" s="18"/>
      <c r="BM13" s="26">
        <f t="shared" si="0"/>
        <v>6</v>
      </c>
    </row>
    <row r="14" spans="1:65" ht="15" customHeight="1" x14ac:dyDescent="0.25">
      <c r="A14" s="15"/>
      <c r="B14" s="41"/>
      <c r="K14" s="48"/>
      <c r="U14" s="41"/>
      <c r="AD14" s="41"/>
      <c r="AM14" s="41"/>
      <c r="BI14" s="43"/>
      <c r="BK14" s="18"/>
      <c r="BM14" s="26">
        <f t="shared" si="0"/>
        <v>7</v>
      </c>
    </row>
    <row r="15" spans="1:65" ht="15" customHeight="1" x14ac:dyDescent="0.25">
      <c r="A15" s="15"/>
      <c r="B15" s="41"/>
      <c r="K15" s="48"/>
      <c r="U15" s="41"/>
      <c r="AD15" s="41"/>
      <c r="AM15" s="41"/>
      <c r="BI15" s="43"/>
      <c r="BK15" s="18"/>
      <c r="BM15" s="26">
        <f t="shared" si="0"/>
        <v>8</v>
      </c>
    </row>
    <row r="16" spans="1:65" s="46" customFormat="1" ht="15" customHeight="1" x14ac:dyDescent="0.25">
      <c r="A16" s="45"/>
      <c r="B16" s="47"/>
      <c r="K16" s="48"/>
      <c r="L16" s="47"/>
      <c r="T16" s="48"/>
      <c r="U16" s="47"/>
      <c r="AC16" s="48"/>
      <c r="AD16" s="47"/>
      <c r="AL16" s="48"/>
      <c r="AM16" s="47"/>
      <c r="BI16" s="48"/>
      <c r="BK16" s="49"/>
      <c r="BM16" s="26">
        <f t="shared" si="0"/>
        <v>9</v>
      </c>
    </row>
    <row r="17" spans="1:65" s="46" customFormat="1" ht="15" customHeight="1" x14ac:dyDescent="0.25">
      <c r="A17" s="45"/>
      <c r="B17" s="47"/>
      <c r="K17" s="48"/>
      <c r="L17" s="47"/>
      <c r="T17" s="48"/>
      <c r="U17" s="47"/>
      <c r="AC17" s="48"/>
      <c r="AD17" s="47"/>
      <c r="AL17" s="48"/>
      <c r="AM17" s="47"/>
      <c r="BI17" s="48"/>
      <c r="BK17" s="49"/>
      <c r="BM17" s="26">
        <f t="shared" si="0"/>
        <v>10</v>
      </c>
    </row>
    <row r="18" spans="1:65" s="46" customFormat="1" ht="15" customHeight="1" x14ac:dyDescent="0.25">
      <c r="A18" s="45"/>
      <c r="B18" s="47"/>
      <c r="K18" s="48"/>
      <c r="L18" s="47"/>
      <c r="T18" s="48"/>
      <c r="U18" s="47"/>
      <c r="AC18" s="48"/>
      <c r="AD18" s="47"/>
      <c r="AL18" s="48"/>
      <c r="AM18" s="47"/>
      <c r="BI18" s="48"/>
      <c r="BK18" s="49"/>
      <c r="BM18" s="26">
        <f t="shared" si="0"/>
        <v>11</v>
      </c>
    </row>
    <row r="19" spans="1:65" s="46" customFormat="1" ht="15" customHeight="1" x14ac:dyDescent="0.25">
      <c r="A19" s="45"/>
      <c r="B19" s="47"/>
      <c r="K19" s="48"/>
      <c r="L19" s="47"/>
      <c r="T19" s="48"/>
      <c r="U19" s="47"/>
      <c r="AC19" s="48"/>
      <c r="AD19" s="47"/>
      <c r="AL19" s="48"/>
      <c r="AM19" s="47"/>
      <c r="BI19" s="48"/>
      <c r="BK19" s="49"/>
      <c r="BM19" s="26">
        <f t="shared" si="0"/>
        <v>12</v>
      </c>
    </row>
    <row r="20" spans="1:65" s="46" customFormat="1" ht="15" customHeight="1" x14ac:dyDescent="0.25">
      <c r="A20" s="45"/>
      <c r="B20" s="47"/>
      <c r="K20" s="48"/>
      <c r="L20" s="47"/>
      <c r="T20" s="48"/>
      <c r="U20" s="47"/>
      <c r="AC20" s="48"/>
      <c r="AD20" s="47"/>
      <c r="AL20" s="48"/>
      <c r="AM20" s="47"/>
      <c r="BI20" s="48"/>
      <c r="BK20" s="49"/>
      <c r="BM20" s="26">
        <f t="shared" ref="BM20:BM45" si="1">IF(BM19=50,1,BM19+1)</f>
        <v>13</v>
      </c>
    </row>
    <row r="21" spans="1:65" s="46" customFormat="1" ht="15" customHeight="1" x14ac:dyDescent="0.25">
      <c r="A21" s="45"/>
      <c r="B21" s="47"/>
      <c r="K21" s="48"/>
      <c r="L21" s="47"/>
      <c r="T21" s="48"/>
      <c r="U21" s="47"/>
      <c r="AC21" s="48"/>
      <c r="AD21" s="47"/>
      <c r="AL21" s="48"/>
      <c r="AM21" s="47"/>
      <c r="BI21" s="48"/>
      <c r="BK21" s="49"/>
      <c r="BM21" s="26">
        <f t="shared" si="1"/>
        <v>14</v>
      </c>
    </row>
    <row r="22" spans="1:65" s="46" customFormat="1" ht="15" customHeight="1" x14ac:dyDescent="0.25">
      <c r="A22" s="45"/>
      <c r="B22" s="47"/>
      <c r="K22" s="48"/>
      <c r="L22" s="47"/>
      <c r="T22" s="48"/>
      <c r="U22" s="47"/>
      <c r="AC22" s="48"/>
      <c r="AD22" s="47"/>
      <c r="AL22" s="48"/>
      <c r="AM22" s="47"/>
      <c r="BI22" s="48"/>
      <c r="BK22" s="49"/>
      <c r="BM22" s="26">
        <f t="shared" si="1"/>
        <v>15</v>
      </c>
    </row>
    <row r="23" spans="1:65" s="46" customFormat="1" ht="15" customHeight="1" x14ac:dyDescent="0.25">
      <c r="A23" s="45"/>
      <c r="B23" s="47"/>
      <c r="K23" s="48"/>
      <c r="L23" s="47"/>
      <c r="T23" s="48"/>
      <c r="U23" s="47"/>
      <c r="AC23" s="48"/>
      <c r="AD23" s="47"/>
      <c r="AL23" s="48"/>
      <c r="AM23" s="47"/>
      <c r="BI23" s="48"/>
      <c r="BK23" s="49"/>
      <c r="BM23" s="26">
        <f t="shared" si="1"/>
        <v>16</v>
      </c>
    </row>
    <row r="24" spans="1:65" s="46" customFormat="1" ht="15" customHeight="1" x14ac:dyDescent="0.25">
      <c r="A24" s="45"/>
      <c r="B24" s="47"/>
      <c r="K24" s="48"/>
      <c r="L24" s="47"/>
      <c r="T24" s="48"/>
      <c r="U24" s="47"/>
      <c r="AC24" s="48"/>
      <c r="AD24" s="47"/>
      <c r="AL24" s="48"/>
      <c r="AM24" s="47"/>
      <c r="BI24" s="48"/>
      <c r="BK24" s="49"/>
      <c r="BM24" s="26">
        <f t="shared" si="1"/>
        <v>17</v>
      </c>
    </row>
    <row r="25" spans="1:65" s="46" customFormat="1" ht="15" customHeight="1" x14ac:dyDescent="0.25">
      <c r="A25" s="45"/>
      <c r="B25" s="47"/>
      <c r="K25" s="48"/>
      <c r="L25" s="47"/>
      <c r="T25" s="48"/>
      <c r="U25" s="47"/>
      <c r="AC25" s="48"/>
      <c r="AD25" s="47"/>
      <c r="AL25" s="48"/>
      <c r="AM25" s="47"/>
      <c r="BI25" s="48"/>
      <c r="BK25" s="49"/>
      <c r="BM25" s="26">
        <f t="shared" si="1"/>
        <v>18</v>
      </c>
    </row>
    <row r="26" spans="1:65" s="46" customFormat="1" ht="15" customHeight="1" x14ac:dyDescent="0.25">
      <c r="A26" s="45"/>
      <c r="B26" s="47"/>
      <c r="K26" s="48"/>
      <c r="L26" s="47"/>
      <c r="T26" s="48"/>
      <c r="U26" s="47"/>
      <c r="AC26" s="48"/>
      <c r="AD26" s="47"/>
      <c r="AL26" s="48"/>
      <c r="AM26" s="47"/>
      <c r="BI26" s="48"/>
      <c r="BK26" s="49"/>
      <c r="BM26" s="26">
        <f t="shared" si="1"/>
        <v>19</v>
      </c>
    </row>
    <row r="27" spans="1:65" s="46" customFormat="1" ht="15" customHeight="1" x14ac:dyDescent="0.25">
      <c r="A27" s="45"/>
      <c r="B27" s="47"/>
      <c r="K27" s="48"/>
      <c r="L27" s="47"/>
      <c r="T27" s="48"/>
      <c r="U27" s="47"/>
      <c r="AC27" s="48"/>
      <c r="AD27" s="47"/>
      <c r="AL27" s="48"/>
      <c r="AM27" s="47"/>
      <c r="BI27" s="48"/>
      <c r="BK27" s="49"/>
      <c r="BM27" s="26">
        <f t="shared" si="1"/>
        <v>20</v>
      </c>
    </row>
    <row r="28" spans="1:65" s="46" customFormat="1" ht="15" customHeight="1" x14ac:dyDescent="0.25">
      <c r="A28" s="45"/>
      <c r="B28" s="47"/>
      <c r="K28" s="48"/>
      <c r="L28" s="47"/>
      <c r="T28" s="48"/>
      <c r="U28" s="47"/>
      <c r="AC28" s="48"/>
      <c r="AD28" s="47"/>
      <c r="AL28" s="48"/>
      <c r="AM28" s="47"/>
      <c r="BI28" s="48"/>
      <c r="BK28" s="49"/>
      <c r="BM28" s="26">
        <f t="shared" si="1"/>
        <v>21</v>
      </c>
    </row>
    <row r="29" spans="1:65" s="46" customFormat="1" ht="15" customHeight="1" x14ac:dyDescent="0.25">
      <c r="A29" s="45"/>
      <c r="B29" s="47"/>
      <c r="K29" s="48"/>
      <c r="L29" s="47"/>
      <c r="T29" s="48"/>
      <c r="U29" s="47"/>
      <c r="AC29" s="48"/>
      <c r="AD29" s="47"/>
      <c r="AL29" s="48"/>
      <c r="AM29" s="47"/>
      <c r="BI29" s="48"/>
      <c r="BK29" s="49"/>
      <c r="BM29" s="26">
        <f t="shared" si="1"/>
        <v>22</v>
      </c>
    </row>
    <row r="30" spans="1:65" s="46" customFormat="1" ht="15" customHeight="1" x14ac:dyDescent="0.25">
      <c r="A30" s="45"/>
      <c r="B30" s="47"/>
      <c r="K30" s="48"/>
      <c r="L30" s="47"/>
      <c r="T30" s="48"/>
      <c r="U30" s="47"/>
      <c r="AC30" s="48"/>
      <c r="AD30" s="47"/>
      <c r="AL30" s="48"/>
      <c r="AM30" s="47"/>
      <c r="BI30" s="48"/>
      <c r="BK30" s="49"/>
      <c r="BM30" s="26">
        <f t="shared" si="1"/>
        <v>23</v>
      </c>
    </row>
    <row r="31" spans="1:65" s="46" customFormat="1" ht="15" customHeight="1" x14ac:dyDescent="0.25">
      <c r="A31" s="45"/>
      <c r="B31" s="47"/>
      <c r="K31" s="48"/>
      <c r="L31" s="47"/>
      <c r="T31" s="48"/>
      <c r="U31" s="47"/>
      <c r="AC31" s="48"/>
      <c r="AD31" s="47"/>
      <c r="AL31" s="48"/>
      <c r="AM31" s="47"/>
      <c r="BI31" s="48"/>
      <c r="BK31" s="49"/>
      <c r="BM31" s="26">
        <f t="shared" si="1"/>
        <v>24</v>
      </c>
    </row>
    <row r="32" spans="1:65" s="46" customFormat="1" ht="15" customHeight="1" x14ac:dyDescent="0.25">
      <c r="A32" s="45"/>
      <c r="B32" s="47"/>
      <c r="K32" s="48"/>
      <c r="L32" s="47"/>
      <c r="T32" s="48"/>
      <c r="U32" s="47"/>
      <c r="AC32" s="48"/>
      <c r="AD32" s="47"/>
      <c r="AL32" s="48"/>
      <c r="AM32" s="47"/>
      <c r="BI32" s="48"/>
      <c r="BK32" s="49"/>
      <c r="BM32" s="26">
        <f t="shared" si="1"/>
        <v>25</v>
      </c>
    </row>
    <row r="33" spans="1:65" s="46" customFormat="1" ht="15" customHeight="1" x14ac:dyDescent="0.25">
      <c r="A33" s="45"/>
      <c r="B33" s="47"/>
      <c r="K33" s="48"/>
      <c r="L33" s="47"/>
      <c r="T33" s="48"/>
      <c r="U33" s="47"/>
      <c r="AC33" s="48"/>
      <c r="AD33" s="47"/>
      <c r="AL33" s="48"/>
      <c r="AM33" s="47"/>
      <c r="BI33" s="48"/>
      <c r="BK33" s="49"/>
      <c r="BM33" s="26">
        <f t="shared" si="1"/>
        <v>26</v>
      </c>
    </row>
    <row r="34" spans="1:65" s="46" customFormat="1" ht="15" customHeight="1" x14ac:dyDescent="0.25">
      <c r="A34" s="45"/>
      <c r="B34" s="47"/>
      <c r="K34" s="48"/>
      <c r="L34" s="47"/>
      <c r="T34" s="48"/>
      <c r="U34" s="47"/>
      <c r="AC34" s="48"/>
      <c r="AD34" s="47"/>
      <c r="AL34" s="48"/>
      <c r="AM34" s="47"/>
      <c r="BI34" s="48"/>
      <c r="BK34" s="49"/>
      <c r="BM34" s="26">
        <f t="shared" si="1"/>
        <v>27</v>
      </c>
    </row>
    <row r="35" spans="1:65" s="46" customFormat="1" ht="15" customHeight="1" x14ac:dyDescent="0.25">
      <c r="A35" s="45"/>
      <c r="B35" s="47"/>
      <c r="K35" s="48"/>
      <c r="L35" s="47"/>
      <c r="T35" s="48"/>
      <c r="U35" s="47"/>
      <c r="AC35" s="48"/>
      <c r="AD35" s="47"/>
      <c r="AL35" s="48"/>
      <c r="AM35" s="47"/>
      <c r="BI35" s="48"/>
      <c r="BK35" s="49"/>
      <c r="BM35" s="26">
        <f t="shared" si="1"/>
        <v>28</v>
      </c>
    </row>
    <row r="36" spans="1:65" s="46" customFormat="1" ht="15" customHeight="1" x14ac:dyDescent="0.25">
      <c r="A36" s="45"/>
      <c r="B36" s="47"/>
      <c r="K36" s="48"/>
      <c r="L36" s="47"/>
      <c r="T36" s="48"/>
      <c r="U36" s="47"/>
      <c r="AC36" s="48"/>
      <c r="AD36" s="47"/>
      <c r="AL36" s="48"/>
      <c r="AM36" s="47"/>
      <c r="BI36" s="48"/>
      <c r="BK36" s="49"/>
      <c r="BM36" s="26">
        <f t="shared" si="1"/>
        <v>29</v>
      </c>
    </row>
    <row r="37" spans="1:65" s="46" customFormat="1" ht="15" customHeight="1" x14ac:dyDescent="0.25">
      <c r="A37" s="45"/>
      <c r="B37" s="47"/>
      <c r="K37" s="48"/>
      <c r="L37" s="47"/>
      <c r="T37" s="48"/>
      <c r="U37" s="47"/>
      <c r="AC37" s="48"/>
      <c r="AD37" s="47"/>
      <c r="AL37" s="48"/>
      <c r="AM37" s="47"/>
      <c r="BI37" s="48"/>
      <c r="BK37" s="49"/>
      <c r="BM37" s="26">
        <f t="shared" si="1"/>
        <v>30</v>
      </c>
    </row>
    <row r="38" spans="1:65" s="46" customFormat="1" ht="15" customHeight="1" x14ac:dyDescent="0.25">
      <c r="A38" s="45"/>
      <c r="B38" s="47"/>
      <c r="K38" s="48"/>
      <c r="L38" s="47"/>
      <c r="T38" s="48"/>
      <c r="U38" s="47"/>
      <c r="AC38" s="48"/>
      <c r="AD38" s="47"/>
      <c r="AL38" s="48"/>
      <c r="AM38" s="47"/>
      <c r="BI38" s="48"/>
      <c r="BK38" s="49"/>
      <c r="BM38" s="26">
        <f t="shared" si="1"/>
        <v>31</v>
      </c>
    </row>
    <row r="39" spans="1:65" s="46" customFormat="1" ht="15" customHeight="1" x14ac:dyDescent="0.25">
      <c r="A39" s="45"/>
      <c r="B39" s="47"/>
      <c r="K39" s="48"/>
      <c r="L39" s="47"/>
      <c r="T39" s="48"/>
      <c r="U39" s="47"/>
      <c r="AC39" s="48"/>
      <c r="AD39" s="47"/>
      <c r="AL39" s="48"/>
      <c r="AM39" s="47"/>
      <c r="BI39" s="48"/>
      <c r="BK39" s="49"/>
      <c r="BM39" s="26">
        <f t="shared" si="1"/>
        <v>32</v>
      </c>
    </row>
    <row r="40" spans="1:65" s="46" customFormat="1" ht="15" customHeight="1" x14ac:dyDescent="0.25">
      <c r="A40" s="45"/>
      <c r="B40" s="47"/>
      <c r="K40" s="48"/>
      <c r="L40" s="47"/>
      <c r="T40" s="48"/>
      <c r="U40" s="47"/>
      <c r="AC40" s="48"/>
      <c r="AD40" s="47"/>
      <c r="AL40" s="48"/>
      <c r="AM40" s="47"/>
      <c r="BI40" s="48"/>
      <c r="BK40" s="49"/>
      <c r="BM40" s="26">
        <f t="shared" si="1"/>
        <v>33</v>
      </c>
    </row>
    <row r="41" spans="1:65" s="46" customFormat="1" ht="15" customHeight="1" x14ac:dyDescent="0.25">
      <c r="A41" s="45"/>
      <c r="B41" s="47"/>
      <c r="K41" s="48"/>
      <c r="L41" s="47"/>
      <c r="T41" s="48"/>
      <c r="U41" s="47"/>
      <c r="AC41" s="48"/>
      <c r="AD41" s="47"/>
      <c r="AL41" s="48"/>
      <c r="AM41" s="47"/>
      <c r="BI41" s="48"/>
      <c r="BK41" s="49"/>
      <c r="BM41" s="26">
        <f t="shared" si="1"/>
        <v>34</v>
      </c>
    </row>
    <row r="42" spans="1:65" s="46" customFormat="1" ht="15" customHeight="1" x14ac:dyDescent="0.25">
      <c r="A42" s="45"/>
      <c r="B42" s="47"/>
      <c r="K42" s="48"/>
      <c r="L42" s="47"/>
      <c r="T42" s="48"/>
      <c r="U42" s="47"/>
      <c r="AC42" s="48"/>
      <c r="AD42" s="47"/>
      <c r="AL42" s="48"/>
      <c r="AM42" s="47"/>
      <c r="BI42" s="48"/>
      <c r="BK42" s="49"/>
      <c r="BM42" s="26">
        <f t="shared" si="1"/>
        <v>35</v>
      </c>
    </row>
    <row r="43" spans="1:65" s="46" customFormat="1" ht="15" customHeight="1" x14ac:dyDescent="0.25">
      <c r="A43" s="45"/>
      <c r="B43" s="47"/>
      <c r="K43" s="48"/>
      <c r="L43" s="47"/>
      <c r="T43" s="48"/>
      <c r="U43" s="47"/>
      <c r="AC43" s="48"/>
      <c r="AD43" s="47"/>
      <c r="AL43" s="48"/>
      <c r="AM43" s="47"/>
      <c r="BI43" s="48"/>
      <c r="BK43" s="49"/>
      <c r="BM43" s="26">
        <f t="shared" si="1"/>
        <v>36</v>
      </c>
    </row>
    <row r="44" spans="1:65" s="46" customFormat="1" ht="15" customHeight="1" x14ac:dyDescent="0.25">
      <c r="A44" s="45"/>
      <c r="B44" s="47"/>
      <c r="K44" s="48"/>
      <c r="L44" s="47"/>
      <c r="T44" s="48"/>
      <c r="U44" s="47"/>
      <c r="AC44" s="48"/>
      <c r="AD44" s="47"/>
      <c r="AL44" s="48"/>
      <c r="AM44" s="47"/>
      <c r="BI44" s="48"/>
      <c r="BK44" s="49"/>
      <c r="BM44" s="26">
        <f t="shared" si="1"/>
        <v>37</v>
      </c>
    </row>
    <row r="45" spans="1:65" s="46" customFormat="1" ht="15" customHeight="1" x14ac:dyDescent="0.25">
      <c r="A45" s="45"/>
      <c r="B45" s="47"/>
      <c r="K45" s="48"/>
      <c r="L45" s="47"/>
      <c r="T45" s="48"/>
      <c r="U45" s="47"/>
      <c r="AC45" s="48"/>
      <c r="AD45" s="47"/>
      <c r="AL45" s="48"/>
      <c r="AM45" s="47"/>
      <c r="BI45" s="48"/>
      <c r="BK45" s="49"/>
      <c r="BM45" s="26">
        <f t="shared" si="1"/>
        <v>38</v>
      </c>
    </row>
    <row r="46" spans="1:65" s="46" customFormat="1" ht="15" customHeight="1" x14ac:dyDescent="0.25">
      <c r="A46" s="45"/>
      <c r="B46" s="47"/>
      <c r="K46" s="48"/>
      <c r="L46" s="47"/>
      <c r="T46" s="48"/>
      <c r="U46" s="47"/>
      <c r="AC46" s="48"/>
      <c r="AD46" s="47"/>
      <c r="AL46" s="48"/>
      <c r="AM46" s="47"/>
      <c r="BI46" s="48"/>
      <c r="BK46" s="49"/>
      <c r="BM46" s="26">
        <f t="shared" ref="BM46:BM64" si="2">IF(BM45=50,1,BM45+1)</f>
        <v>39</v>
      </c>
    </row>
    <row r="47" spans="1:65" s="46" customFormat="1" ht="15" customHeight="1" x14ac:dyDescent="0.25">
      <c r="A47" s="45"/>
      <c r="B47" s="47"/>
      <c r="K47" s="48"/>
      <c r="L47" s="47"/>
      <c r="T47" s="48"/>
      <c r="U47" s="47"/>
      <c r="AC47" s="48"/>
      <c r="AD47" s="47"/>
      <c r="AL47" s="48"/>
      <c r="AM47" s="47"/>
      <c r="BI47" s="48"/>
      <c r="BK47" s="49"/>
      <c r="BM47" s="26">
        <f t="shared" si="2"/>
        <v>40</v>
      </c>
    </row>
    <row r="48" spans="1:65" s="46" customFormat="1" ht="15" customHeight="1" x14ac:dyDescent="0.25">
      <c r="A48" s="45"/>
      <c r="B48" s="47"/>
      <c r="K48" s="48"/>
      <c r="L48" s="47"/>
      <c r="T48" s="48"/>
      <c r="U48" s="47"/>
      <c r="AC48" s="48"/>
      <c r="AD48" s="47"/>
      <c r="AL48" s="48"/>
      <c r="AM48" s="47"/>
      <c r="BI48" s="48"/>
      <c r="BK48" s="49"/>
      <c r="BM48" s="26">
        <f t="shared" si="2"/>
        <v>41</v>
      </c>
    </row>
    <row r="49" spans="1:65" s="46" customFormat="1" ht="15" customHeight="1" x14ac:dyDescent="0.25">
      <c r="A49" s="45"/>
      <c r="B49" s="47"/>
      <c r="K49" s="48"/>
      <c r="L49" s="47"/>
      <c r="T49" s="48"/>
      <c r="U49" s="47"/>
      <c r="AC49" s="48"/>
      <c r="AD49" s="47"/>
      <c r="AL49" s="48"/>
      <c r="AM49" s="47"/>
      <c r="BI49" s="48"/>
      <c r="BK49" s="49"/>
      <c r="BM49" s="26">
        <f t="shared" si="2"/>
        <v>42</v>
      </c>
    </row>
    <row r="50" spans="1:65" s="46" customFormat="1" ht="15" customHeight="1" x14ac:dyDescent="0.25">
      <c r="A50" s="45"/>
      <c r="B50" s="47"/>
      <c r="K50" s="48"/>
      <c r="L50" s="47"/>
      <c r="T50" s="48"/>
      <c r="U50" s="47"/>
      <c r="AC50" s="48"/>
      <c r="AD50" s="47"/>
      <c r="AL50" s="48"/>
      <c r="AM50" s="47"/>
      <c r="BI50" s="48"/>
      <c r="BK50" s="49"/>
      <c r="BM50" s="26">
        <f t="shared" si="2"/>
        <v>43</v>
      </c>
    </row>
    <row r="51" spans="1:65" s="46" customFormat="1" ht="15" customHeight="1" x14ac:dyDescent="0.25">
      <c r="A51" s="45"/>
      <c r="B51" s="47"/>
      <c r="K51" s="48"/>
      <c r="L51" s="47"/>
      <c r="T51" s="48"/>
      <c r="U51" s="47"/>
      <c r="AC51" s="48"/>
      <c r="AD51" s="47"/>
      <c r="AL51" s="48"/>
      <c r="AM51" s="47"/>
      <c r="BI51" s="48"/>
      <c r="BK51" s="49"/>
      <c r="BM51" s="26">
        <f t="shared" si="2"/>
        <v>44</v>
      </c>
    </row>
    <row r="52" spans="1:65" s="46" customFormat="1" ht="15" customHeight="1" x14ac:dyDescent="0.25">
      <c r="A52" s="45"/>
      <c r="B52" s="47"/>
      <c r="K52" s="48"/>
      <c r="L52" s="47"/>
      <c r="T52" s="48"/>
      <c r="U52" s="47"/>
      <c r="AC52" s="48"/>
      <c r="AD52" s="47"/>
      <c r="AL52" s="48"/>
      <c r="AM52" s="47"/>
      <c r="BI52" s="48"/>
      <c r="BK52" s="49"/>
      <c r="BM52" s="26">
        <f t="shared" si="2"/>
        <v>45</v>
      </c>
    </row>
    <row r="53" spans="1:65" s="46" customFormat="1" ht="15" customHeight="1" x14ac:dyDescent="0.25">
      <c r="A53" s="45"/>
      <c r="B53" s="47"/>
      <c r="K53" s="48"/>
      <c r="L53" s="47"/>
      <c r="T53" s="48"/>
      <c r="U53" s="47"/>
      <c r="AC53" s="48"/>
      <c r="AD53" s="47"/>
      <c r="AL53" s="48"/>
      <c r="AM53" s="47"/>
      <c r="BI53" s="48"/>
      <c r="BK53" s="49"/>
      <c r="BM53" s="26">
        <f t="shared" si="2"/>
        <v>46</v>
      </c>
    </row>
    <row r="54" spans="1:65" s="46" customFormat="1" ht="15" customHeight="1" x14ac:dyDescent="0.25">
      <c r="A54" s="45"/>
      <c r="B54" s="47"/>
      <c r="K54" s="48"/>
      <c r="L54" s="47"/>
      <c r="T54" s="48"/>
      <c r="U54" s="47"/>
      <c r="AC54" s="48"/>
      <c r="AD54" s="47"/>
      <c r="AL54" s="48"/>
      <c r="AM54" s="47"/>
      <c r="BI54" s="48"/>
      <c r="BK54" s="49"/>
      <c r="BM54" s="26">
        <f t="shared" si="2"/>
        <v>47</v>
      </c>
    </row>
    <row r="55" spans="1:65" s="46" customFormat="1" ht="15" customHeight="1" x14ac:dyDescent="0.25">
      <c r="A55" s="45"/>
      <c r="B55" s="47"/>
      <c r="K55" s="48"/>
      <c r="L55" s="47"/>
      <c r="T55" s="48"/>
      <c r="U55" s="47"/>
      <c r="AC55" s="48"/>
      <c r="AD55" s="47"/>
      <c r="AL55" s="48"/>
      <c r="AM55" s="47"/>
      <c r="BI55" s="48"/>
      <c r="BK55" s="49"/>
      <c r="BM55" s="26">
        <f t="shared" si="2"/>
        <v>48</v>
      </c>
    </row>
    <row r="56" spans="1:65" s="46" customFormat="1" ht="15" customHeight="1" x14ac:dyDescent="0.25">
      <c r="A56" s="45"/>
      <c r="B56" s="47"/>
      <c r="K56" s="48"/>
      <c r="L56" s="47"/>
      <c r="T56" s="48"/>
      <c r="U56" s="47"/>
      <c r="AC56" s="48"/>
      <c r="AD56" s="47"/>
      <c r="AL56" s="48"/>
      <c r="AM56" s="47"/>
      <c r="BI56" s="48"/>
      <c r="BK56" s="49"/>
      <c r="BM56" s="26">
        <f t="shared" si="2"/>
        <v>49</v>
      </c>
    </row>
    <row r="57" spans="1:65" s="46" customFormat="1" ht="15" customHeight="1" x14ac:dyDescent="0.25">
      <c r="A57" s="45"/>
      <c r="B57" s="47"/>
      <c r="K57" s="48"/>
      <c r="L57" s="47"/>
      <c r="T57" s="48"/>
      <c r="U57" s="47"/>
      <c r="AC57" s="48"/>
      <c r="AD57" s="47"/>
      <c r="AL57" s="48"/>
      <c r="AM57" s="47"/>
      <c r="BI57" s="48"/>
      <c r="BK57" s="49"/>
      <c r="BM57" s="26">
        <f t="shared" si="2"/>
        <v>50</v>
      </c>
    </row>
    <row r="58" spans="1:65" s="46" customFormat="1" ht="15" customHeight="1" x14ac:dyDescent="0.25">
      <c r="A58" s="45"/>
      <c r="B58" s="47"/>
      <c r="K58" s="48"/>
      <c r="L58" s="47"/>
      <c r="T58" s="48"/>
      <c r="U58" s="47"/>
      <c r="AC58" s="48"/>
      <c r="AD58" s="47"/>
      <c r="AL58" s="48"/>
      <c r="AM58" s="47"/>
      <c r="BI58" s="48"/>
      <c r="BK58" s="49"/>
      <c r="BM58" s="26">
        <f t="shared" si="2"/>
        <v>1</v>
      </c>
    </row>
    <row r="59" spans="1:65" s="46" customFormat="1" ht="15" customHeight="1" x14ac:dyDescent="0.25">
      <c r="A59" s="45"/>
      <c r="B59" s="47"/>
      <c r="K59" s="48"/>
      <c r="L59" s="47"/>
      <c r="T59" s="48"/>
      <c r="U59" s="47"/>
      <c r="AC59" s="48"/>
      <c r="AD59" s="47"/>
      <c r="AL59" s="48"/>
      <c r="AM59" s="47"/>
      <c r="BI59" s="48"/>
      <c r="BK59" s="49"/>
      <c r="BM59" s="26">
        <f t="shared" si="2"/>
        <v>2</v>
      </c>
    </row>
    <row r="60" spans="1:65" s="46" customFormat="1" ht="15" customHeight="1" x14ac:dyDescent="0.25">
      <c r="A60" s="45"/>
      <c r="B60" s="47"/>
      <c r="K60" s="48"/>
      <c r="L60" s="47"/>
      <c r="T60" s="48"/>
      <c r="U60" s="47"/>
      <c r="AC60" s="48"/>
      <c r="AD60" s="47"/>
      <c r="AL60" s="48"/>
      <c r="AM60" s="47"/>
      <c r="BI60" s="48"/>
      <c r="BK60" s="49"/>
      <c r="BM60" s="26">
        <f t="shared" si="2"/>
        <v>3</v>
      </c>
    </row>
    <row r="61" spans="1:65" s="46" customFormat="1" ht="15" customHeight="1" x14ac:dyDescent="0.25">
      <c r="A61" s="45"/>
      <c r="B61" s="47"/>
      <c r="K61" s="48"/>
      <c r="L61" s="47"/>
      <c r="T61" s="48"/>
      <c r="U61" s="47"/>
      <c r="AC61" s="48"/>
      <c r="AD61" s="47"/>
      <c r="AL61" s="48"/>
      <c r="AM61" s="47"/>
      <c r="BI61" s="48"/>
      <c r="BK61" s="49"/>
      <c r="BM61" s="26">
        <f t="shared" si="2"/>
        <v>4</v>
      </c>
    </row>
    <row r="62" spans="1:65" s="46" customFormat="1" ht="15" customHeight="1" x14ac:dyDescent="0.25">
      <c r="A62" s="45"/>
      <c r="B62" s="47"/>
      <c r="K62" s="48"/>
      <c r="L62" s="47"/>
      <c r="T62" s="48"/>
      <c r="U62" s="47"/>
      <c r="AC62" s="48"/>
      <c r="AD62" s="47"/>
      <c r="AL62" s="48"/>
      <c r="AM62" s="47"/>
      <c r="BI62" s="48"/>
      <c r="BK62" s="49"/>
      <c r="BM62" s="26">
        <f t="shared" si="2"/>
        <v>5</v>
      </c>
    </row>
    <row r="63" spans="1:65" s="46" customFormat="1" ht="15" customHeight="1" x14ac:dyDescent="0.25">
      <c r="A63" s="45"/>
      <c r="B63" s="47"/>
      <c r="K63" s="48"/>
      <c r="L63" s="47"/>
      <c r="T63" s="48"/>
      <c r="U63" s="47"/>
      <c r="AC63" s="48"/>
      <c r="AD63" s="47"/>
      <c r="AL63" s="48"/>
      <c r="AM63" s="47"/>
      <c r="BI63" s="48"/>
      <c r="BK63" s="49"/>
      <c r="BM63" s="26">
        <f t="shared" si="2"/>
        <v>6</v>
      </c>
    </row>
    <row r="64" spans="1:65" s="46" customFormat="1" ht="15" customHeight="1" x14ac:dyDescent="0.25">
      <c r="A64" s="45"/>
      <c r="B64" s="47"/>
      <c r="K64" s="48"/>
      <c r="L64" s="47"/>
      <c r="T64" s="48"/>
      <c r="U64" s="47"/>
      <c r="AC64" s="48"/>
      <c r="AD64" s="47"/>
      <c r="AL64" s="48"/>
      <c r="AM64" s="47"/>
      <c r="BI64" s="48"/>
      <c r="BK64" s="49"/>
      <c r="BM64" s="26">
        <f t="shared" si="2"/>
        <v>7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6" customWidth="1"/>
    <col min="64" max="16384" width="10.109375" style="26"/>
  </cols>
  <sheetData>
    <row r="1" spans="1:63" ht="24.9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2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93" t="str">
        <f>IF(表紙!W1="","",表紙!W1)</f>
        <v>基本設計書</v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87" t="str">
        <f>IF(表紙!A2="","",表紙!A2)</f>
        <v>POSサーバー</v>
      </c>
      <c r="B2" s="188"/>
      <c r="C2" s="188"/>
      <c r="D2" s="188"/>
      <c r="E2" s="188"/>
      <c r="F2" s="188"/>
      <c r="G2" s="188"/>
      <c r="H2" s="188"/>
      <c r="I2" s="188"/>
      <c r="J2" s="189"/>
      <c r="K2" s="187" t="str">
        <f>IF(表紙!K2="","",表紙!K2)</f>
        <v>POSサーバ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2"/>
      <c r="K3" s="190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3" ht="24.95" customHeight="1" x14ac:dyDescent="0.25">
      <c r="A4" s="162" t="s">
        <v>1</v>
      </c>
      <c r="B4" s="163"/>
      <c r="C4" s="163"/>
      <c r="D4" s="163"/>
      <c r="E4" s="163"/>
      <c r="F4" s="163"/>
      <c r="G4" s="164"/>
      <c r="H4" s="165" t="str">
        <f>IF(表紙!H4="","",表紙!H4)</f>
        <v>43_精算機の最終決済に入力された商品名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62" t="s">
        <v>8</v>
      </c>
      <c r="V4" s="163"/>
      <c r="W4" s="163"/>
      <c r="X4" s="163"/>
      <c r="Y4" s="164"/>
      <c r="Z4" s="165" t="str">
        <f>IF(表紙!Z4="","",表紙!Z4)</f>
        <v>概要設計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画面設計書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/>
    </row>
    <row r="6" spans="1:63" ht="15" customHeight="1" x14ac:dyDescent="0.25">
      <c r="A6" s="30"/>
      <c r="BK6" s="31"/>
    </row>
    <row r="7" spans="1:63" ht="15" customHeight="1" x14ac:dyDescent="0.25">
      <c r="A7" s="30"/>
      <c r="B7" s="32" t="s">
        <v>15</v>
      </c>
      <c r="C7" s="32"/>
      <c r="D7" s="32"/>
      <c r="E7" s="32"/>
      <c r="F7" s="32"/>
      <c r="G7" s="32"/>
      <c r="H7" s="32"/>
      <c r="I7" s="32"/>
      <c r="J7" s="32"/>
      <c r="AE7" s="33"/>
      <c r="BK7" s="31"/>
    </row>
    <row r="8" spans="1:63" ht="15" customHeight="1" x14ac:dyDescent="0.25">
      <c r="A8" s="30"/>
      <c r="BK8" s="31"/>
    </row>
    <row r="9" spans="1:63" ht="15" customHeight="1" x14ac:dyDescent="0.25">
      <c r="A9" s="30"/>
      <c r="BK9" s="31"/>
    </row>
    <row r="10" spans="1:63" ht="15" customHeight="1" x14ac:dyDescent="0.25">
      <c r="A10" s="30"/>
      <c r="BK10" s="31"/>
    </row>
    <row r="11" spans="1:63" ht="15" customHeight="1" x14ac:dyDescent="0.25">
      <c r="A11" s="30"/>
      <c r="BK11" s="31"/>
    </row>
    <row r="12" spans="1:63" ht="15" customHeight="1" x14ac:dyDescent="0.25">
      <c r="A12" s="30"/>
      <c r="BK12" s="31"/>
    </row>
    <row r="13" spans="1:63" ht="15" customHeight="1" x14ac:dyDescent="0.25">
      <c r="A13" s="30"/>
      <c r="BK13" s="31"/>
    </row>
    <row r="14" spans="1:63" ht="15" customHeight="1" x14ac:dyDescent="0.25">
      <c r="A14" s="30"/>
      <c r="BK14" s="31"/>
    </row>
    <row r="15" spans="1:63" ht="15" customHeight="1" x14ac:dyDescent="0.25">
      <c r="A15" s="30"/>
      <c r="BK15" s="31"/>
    </row>
    <row r="16" spans="1:63" ht="15" customHeight="1" x14ac:dyDescent="0.25">
      <c r="A16" s="30"/>
      <c r="BK16" s="31"/>
    </row>
    <row r="17" spans="1:63" ht="15" customHeight="1" x14ac:dyDescent="0.25">
      <c r="A17" s="30"/>
      <c r="BK17" s="31"/>
    </row>
    <row r="18" spans="1:63" ht="15" customHeight="1" x14ac:dyDescent="0.25">
      <c r="A18" s="30"/>
      <c r="BK18" s="31"/>
    </row>
    <row r="19" spans="1:63" ht="15" customHeight="1" x14ac:dyDescent="0.25">
      <c r="A19" s="30"/>
      <c r="BK19" s="31"/>
    </row>
    <row r="20" spans="1:63" ht="15" customHeight="1" x14ac:dyDescent="0.25">
      <c r="A20" s="30"/>
      <c r="BK20" s="31"/>
    </row>
    <row r="21" spans="1:63" ht="15" customHeight="1" x14ac:dyDescent="0.25">
      <c r="A21" s="30"/>
      <c r="BK21" s="31"/>
    </row>
    <row r="22" spans="1:63" ht="15" customHeight="1" x14ac:dyDescent="0.25">
      <c r="A22" s="30"/>
      <c r="BK22" s="31"/>
    </row>
    <row r="23" spans="1:63" ht="15" customHeight="1" x14ac:dyDescent="0.25">
      <c r="A23" s="30"/>
      <c r="BK23" s="31"/>
    </row>
    <row r="24" spans="1:63" ht="15" customHeight="1" x14ac:dyDescent="0.25">
      <c r="A24" s="30"/>
      <c r="BK24" s="31"/>
    </row>
    <row r="25" spans="1:63" ht="14.25" customHeight="1" x14ac:dyDescent="0.25">
      <c r="A25" s="30"/>
      <c r="BK25" s="31"/>
    </row>
    <row r="26" spans="1:63" ht="15" customHeight="1" x14ac:dyDescent="0.25">
      <c r="A26" s="30"/>
      <c r="BK26" s="31"/>
    </row>
    <row r="27" spans="1:63" ht="15" customHeight="1" x14ac:dyDescent="0.25">
      <c r="A27" s="30"/>
      <c r="BK27" s="31"/>
    </row>
    <row r="28" spans="1:63" x14ac:dyDescent="0.25">
      <c r="BK28" s="31"/>
    </row>
    <row r="29" spans="1:63" x14ac:dyDescent="0.25">
      <c r="BK29" s="31"/>
    </row>
    <row r="30" spans="1:63" x14ac:dyDescent="0.25">
      <c r="BK30" s="31"/>
    </row>
    <row r="31" spans="1:63" x14ac:dyDescent="0.25">
      <c r="BK31" s="31"/>
    </row>
    <row r="32" spans="1:63" x14ac:dyDescent="0.25">
      <c r="BK32" s="31"/>
    </row>
    <row r="33" spans="1:63" x14ac:dyDescent="0.25">
      <c r="BK33" s="31"/>
    </row>
    <row r="34" spans="1:63" x14ac:dyDescent="0.25">
      <c r="BK34" s="31"/>
    </row>
    <row r="35" spans="1:63" ht="15" customHeight="1" x14ac:dyDescent="0.25">
      <c r="A35" s="30"/>
      <c r="B35" s="33" t="s">
        <v>16</v>
      </c>
      <c r="BK35" s="31"/>
    </row>
    <row r="36" spans="1:63" x14ac:dyDescent="0.25">
      <c r="BK36" s="31"/>
    </row>
    <row r="37" spans="1:63" ht="15.75" customHeight="1" x14ac:dyDescent="0.25">
      <c r="B37" s="169" t="s">
        <v>17</v>
      </c>
      <c r="C37" s="170"/>
      <c r="D37" s="175" t="s">
        <v>56</v>
      </c>
      <c r="E37" s="176"/>
      <c r="F37" s="176"/>
      <c r="G37" s="176"/>
      <c r="H37" s="176"/>
      <c r="I37" s="176"/>
      <c r="J37" s="170"/>
      <c r="K37" s="175" t="s">
        <v>19</v>
      </c>
      <c r="L37" s="176"/>
      <c r="M37" s="170"/>
      <c r="N37" s="179" t="s">
        <v>20</v>
      </c>
      <c r="O37" s="182" t="s">
        <v>21</v>
      </c>
      <c r="P37" s="123" t="s">
        <v>22</v>
      </c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5"/>
      <c r="AR37" s="126" t="s">
        <v>23</v>
      </c>
      <c r="AS37" s="127"/>
      <c r="AT37" s="127"/>
      <c r="AU37" s="127"/>
      <c r="AV37" s="127"/>
      <c r="AW37" s="127"/>
      <c r="AX37" s="127"/>
      <c r="AY37" s="127"/>
      <c r="AZ37" s="127"/>
      <c r="BA37" s="127"/>
      <c r="BB37" s="128"/>
      <c r="BC37" s="129" t="s">
        <v>24</v>
      </c>
      <c r="BD37" s="130"/>
      <c r="BE37" s="130"/>
      <c r="BF37" s="130"/>
      <c r="BG37" s="130"/>
      <c r="BH37" s="130"/>
      <c r="BI37" s="130"/>
      <c r="BJ37" s="131"/>
      <c r="BK37" s="31"/>
    </row>
    <row r="38" spans="1:63" ht="15.75" customHeight="1" x14ac:dyDescent="0.25">
      <c r="B38" s="171"/>
      <c r="C38" s="172"/>
      <c r="D38" s="171"/>
      <c r="E38" s="177"/>
      <c r="F38" s="177"/>
      <c r="G38" s="177"/>
      <c r="H38" s="177"/>
      <c r="I38" s="177"/>
      <c r="J38" s="172"/>
      <c r="K38" s="171"/>
      <c r="L38" s="177"/>
      <c r="M38" s="172"/>
      <c r="N38" s="180"/>
      <c r="O38" s="183"/>
      <c r="P38" s="138" t="s">
        <v>50</v>
      </c>
      <c r="Q38" s="139"/>
      <c r="R38" s="139"/>
      <c r="S38" s="139"/>
      <c r="T38" s="139"/>
      <c r="U38" s="139"/>
      <c r="V38" s="139"/>
      <c r="W38" s="140"/>
      <c r="X38" s="141" t="s">
        <v>26</v>
      </c>
      <c r="Y38" s="142"/>
      <c r="Z38" s="143"/>
      <c r="AA38" s="141" t="s">
        <v>27</v>
      </c>
      <c r="AB38" s="142"/>
      <c r="AC38" s="142"/>
      <c r="AD38" s="142"/>
      <c r="AE38" s="142"/>
      <c r="AF38" s="142"/>
      <c r="AG38" s="142"/>
      <c r="AH38" s="143"/>
      <c r="AI38" s="141" t="s">
        <v>28</v>
      </c>
      <c r="AJ38" s="142"/>
      <c r="AK38" s="142"/>
      <c r="AL38" s="142"/>
      <c r="AM38" s="142"/>
      <c r="AN38" s="142"/>
      <c r="AO38" s="142"/>
      <c r="AP38" s="142"/>
      <c r="AQ38" s="143"/>
      <c r="AR38" s="147" t="s">
        <v>29</v>
      </c>
      <c r="AS38" s="149" t="s">
        <v>30</v>
      </c>
      <c r="AT38" s="151" t="s">
        <v>31</v>
      </c>
      <c r="AU38" s="126" t="s">
        <v>25</v>
      </c>
      <c r="AV38" s="127"/>
      <c r="AW38" s="127"/>
      <c r="AX38" s="127"/>
      <c r="AY38" s="127"/>
      <c r="AZ38" s="127"/>
      <c r="BA38" s="127"/>
      <c r="BB38" s="128"/>
      <c r="BC38" s="132"/>
      <c r="BD38" s="133"/>
      <c r="BE38" s="133"/>
      <c r="BF38" s="133"/>
      <c r="BG38" s="133"/>
      <c r="BH38" s="133"/>
      <c r="BI38" s="133"/>
      <c r="BJ38" s="134"/>
      <c r="BK38" s="31"/>
    </row>
    <row r="39" spans="1:63" x14ac:dyDescent="0.25">
      <c r="B39" s="173"/>
      <c r="C39" s="174"/>
      <c r="D39" s="173"/>
      <c r="E39" s="178"/>
      <c r="F39" s="178"/>
      <c r="G39" s="178"/>
      <c r="H39" s="178"/>
      <c r="I39" s="178"/>
      <c r="J39" s="174"/>
      <c r="K39" s="173"/>
      <c r="L39" s="178"/>
      <c r="M39" s="174"/>
      <c r="N39" s="181"/>
      <c r="O39" s="184"/>
      <c r="P39" s="123" t="s">
        <v>51</v>
      </c>
      <c r="Q39" s="124"/>
      <c r="R39" s="124"/>
      <c r="S39" s="125"/>
      <c r="T39" s="123" t="s">
        <v>46</v>
      </c>
      <c r="U39" s="124"/>
      <c r="V39" s="124"/>
      <c r="W39" s="125"/>
      <c r="X39" s="144"/>
      <c r="Y39" s="145"/>
      <c r="Z39" s="146"/>
      <c r="AA39" s="144"/>
      <c r="AB39" s="145"/>
      <c r="AC39" s="145"/>
      <c r="AD39" s="145"/>
      <c r="AE39" s="145"/>
      <c r="AF39" s="145"/>
      <c r="AG39" s="145"/>
      <c r="AH39" s="146"/>
      <c r="AI39" s="144"/>
      <c r="AJ39" s="145"/>
      <c r="AK39" s="145"/>
      <c r="AL39" s="145"/>
      <c r="AM39" s="145"/>
      <c r="AN39" s="145"/>
      <c r="AO39" s="145"/>
      <c r="AP39" s="145"/>
      <c r="AQ39" s="146"/>
      <c r="AR39" s="148"/>
      <c r="AS39" s="150"/>
      <c r="AT39" s="152"/>
      <c r="AU39" s="126" t="s">
        <v>32</v>
      </c>
      <c r="AV39" s="127"/>
      <c r="AW39" s="127"/>
      <c r="AX39" s="185"/>
      <c r="AY39" s="186" t="s">
        <v>18</v>
      </c>
      <c r="AZ39" s="127"/>
      <c r="BA39" s="127"/>
      <c r="BB39" s="128"/>
      <c r="BC39" s="135"/>
      <c r="BD39" s="136"/>
      <c r="BE39" s="136"/>
      <c r="BF39" s="136"/>
      <c r="BG39" s="136"/>
      <c r="BH39" s="136"/>
      <c r="BI39" s="136"/>
      <c r="BJ39" s="137"/>
      <c r="BK39" s="31"/>
    </row>
    <row r="40" spans="1:63" ht="15.75" customHeight="1" x14ac:dyDescent="0.25">
      <c r="B40" s="116">
        <v>1</v>
      </c>
      <c r="C40" s="117"/>
      <c r="D40" s="118"/>
      <c r="E40" s="119"/>
      <c r="F40" s="119"/>
      <c r="G40" s="119"/>
      <c r="H40" s="119"/>
      <c r="I40" s="119"/>
      <c r="J40" s="120"/>
      <c r="K40" s="99" t="s">
        <v>57</v>
      </c>
      <c r="L40" s="100"/>
      <c r="M40" s="101"/>
      <c r="N40" s="34" t="s">
        <v>34</v>
      </c>
      <c r="O40" s="35" t="s">
        <v>35</v>
      </c>
      <c r="P40" s="121" t="s">
        <v>34</v>
      </c>
      <c r="Q40" s="122"/>
      <c r="R40" s="122"/>
      <c r="S40" s="117"/>
      <c r="T40" s="121" t="s">
        <v>34</v>
      </c>
      <c r="U40" s="122"/>
      <c r="V40" s="122"/>
      <c r="W40" s="117"/>
      <c r="X40" s="153" t="s">
        <v>79</v>
      </c>
      <c r="Y40" s="154"/>
      <c r="Z40" s="155"/>
      <c r="AA40" s="116" t="s">
        <v>59</v>
      </c>
      <c r="AB40" s="122"/>
      <c r="AC40" s="122"/>
      <c r="AD40" s="122"/>
      <c r="AE40" s="122"/>
      <c r="AF40" s="122"/>
      <c r="AG40" s="122"/>
      <c r="AH40" s="117"/>
      <c r="AI40" s="156" t="s">
        <v>34</v>
      </c>
      <c r="AJ40" s="157"/>
      <c r="AK40" s="157"/>
      <c r="AL40" s="157"/>
      <c r="AM40" s="157"/>
      <c r="AN40" s="157"/>
      <c r="AO40" s="157"/>
      <c r="AP40" s="157"/>
      <c r="AQ40" s="158"/>
      <c r="AR40" s="36" t="s">
        <v>34</v>
      </c>
      <c r="AS40" s="36" t="s">
        <v>59</v>
      </c>
      <c r="AT40" s="36" t="s">
        <v>59</v>
      </c>
      <c r="AU40" s="116" t="s">
        <v>37</v>
      </c>
      <c r="AV40" s="122"/>
      <c r="AW40" s="122"/>
      <c r="AX40" s="117"/>
      <c r="AY40" s="116" t="s">
        <v>59</v>
      </c>
      <c r="AZ40" s="122"/>
      <c r="BA40" s="122"/>
      <c r="BB40" s="117"/>
      <c r="BC40" s="159"/>
      <c r="BD40" s="160"/>
      <c r="BE40" s="160"/>
      <c r="BF40" s="160"/>
      <c r="BG40" s="160"/>
      <c r="BH40" s="160"/>
      <c r="BI40" s="160"/>
      <c r="BJ40" s="161"/>
      <c r="BK40" s="31"/>
    </row>
    <row r="41" spans="1:63" x14ac:dyDescent="0.25">
      <c r="B41" s="86">
        <v>2</v>
      </c>
      <c r="C41" s="85"/>
      <c r="D41" s="113"/>
      <c r="E41" s="114"/>
      <c r="F41" s="114"/>
      <c r="G41" s="114"/>
      <c r="H41" s="114"/>
      <c r="I41" s="114"/>
      <c r="J41" s="115"/>
      <c r="K41" s="99" t="s">
        <v>47</v>
      </c>
      <c r="L41" s="100"/>
      <c r="M41" s="101"/>
      <c r="N41" s="35" t="s">
        <v>48</v>
      </c>
      <c r="O41" s="35" t="s">
        <v>35</v>
      </c>
      <c r="P41" s="86" t="s">
        <v>37</v>
      </c>
      <c r="Q41" s="84"/>
      <c r="R41" s="84"/>
      <c r="S41" s="85"/>
      <c r="T41" s="86" t="s">
        <v>37</v>
      </c>
      <c r="U41" s="84"/>
      <c r="V41" s="84"/>
      <c r="W41" s="85"/>
      <c r="X41" s="109" t="s">
        <v>80</v>
      </c>
      <c r="Y41" s="110"/>
      <c r="Z41" s="111"/>
      <c r="AA41" s="86" t="s">
        <v>59</v>
      </c>
      <c r="AB41" s="84"/>
      <c r="AC41" s="84"/>
      <c r="AD41" s="84"/>
      <c r="AE41" s="84"/>
      <c r="AF41" s="84"/>
      <c r="AG41" s="84"/>
      <c r="AH41" s="85"/>
      <c r="AI41" s="87" t="s">
        <v>59</v>
      </c>
      <c r="AJ41" s="88"/>
      <c r="AK41" s="88"/>
      <c r="AL41" s="88"/>
      <c r="AM41" s="88"/>
      <c r="AN41" s="88"/>
      <c r="AO41" s="88"/>
      <c r="AP41" s="88"/>
      <c r="AQ41" s="89"/>
      <c r="AR41" s="37" t="s">
        <v>34</v>
      </c>
      <c r="AS41" s="37" t="s">
        <v>59</v>
      </c>
      <c r="AT41" s="37" t="s">
        <v>59</v>
      </c>
      <c r="AU41" s="86" t="s">
        <v>37</v>
      </c>
      <c r="AV41" s="84"/>
      <c r="AW41" s="84"/>
      <c r="AX41" s="85"/>
      <c r="AY41" s="86" t="s">
        <v>59</v>
      </c>
      <c r="AZ41" s="84"/>
      <c r="BA41" s="84"/>
      <c r="BB41" s="85"/>
      <c r="BC41" s="108"/>
      <c r="BD41" s="91"/>
      <c r="BE41" s="91"/>
      <c r="BF41" s="91"/>
      <c r="BG41" s="91"/>
      <c r="BH41" s="91"/>
      <c r="BI41" s="91"/>
      <c r="BJ41" s="92"/>
      <c r="BK41" s="31"/>
    </row>
    <row r="42" spans="1:63" x14ac:dyDescent="0.25">
      <c r="B42" s="86">
        <v>3</v>
      </c>
      <c r="C42" s="85"/>
      <c r="D42" s="96"/>
      <c r="E42" s="97"/>
      <c r="F42" s="97"/>
      <c r="G42" s="97"/>
      <c r="H42" s="97"/>
      <c r="I42" s="97"/>
      <c r="J42" s="98"/>
      <c r="K42" s="99" t="s">
        <v>39</v>
      </c>
      <c r="L42" s="100"/>
      <c r="M42" s="101"/>
      <c r="N42" s="35" t="s">
        <v>58</v>
      </c>
      <c r="O42" s="35" t="s">
        <v>34</v>
      </c>
      <c r="P42" s="112" t="s">
        <v>34</v>
      </c>
      <c r="Q42" s="84"/>
      <c r="R42" s="84"/>
      <c r="S42" s="85"/>
      <c r="T42" s="86"/>
      <c r="U42" s="84"/>
      <c r="V42" s="84"/>
      <c r="W42" s="85"/>
      <c r="X42" s="105" t="s">
        <v>34</v>
      </c>
      <c r="Y42" s="106"/>
      <c r="Z42" s="107"/>
      <c r="AA42" s="86" t="s">
        <v>59</v>
      </c>
      <c r="AB42" s="84"/>
      <c r="AC42" s="84"/>
      <c r="AD42" s="84"/>
      <c r="AE42" s="84"/>
      <c r="AF42" s="84"/>
      <c r="AG42" s="84"/>
      <c r="AH42" s="85"/>
      <c r="AI42" s="87" t="s">
        <v>59</v>
      </c>
      <c r="AJ42" s="88"/>
      <c r="AK42" s="88"/>
      <c r="AL42" s="88"/>
      <c r="AM42" s="88"/>
      <c r="AN42" s="88"/>
      <c r="AO42" s="88"/>
      <c r="AP42" s="88"/>
      <c r="AQ42" s="89"/>
      <c r="AR42" s="37" t="s">
        <v>34</v>
      </c>
      <c r="AS42" s="37" t="s">
        <v>59</v>
      </c>
      <c r="AT42" s="37" t="s">
        <v>59</v>
      </c>
      <c r="AU42" s="86" t="s">
        <v>37</v>
      </c>
      <c r="AV42" s="84"/>
      <c r="AW42" s="84"/>
      <c r="AX42" s="85"/>
      <c r="AY42" s="86" t="s">
        <v>59</v>
      </c>
      <c r="AZ42" s="84"/>
      <c r="BA42" s="84"/>
      <c r="BB42" s="85"/>
      <c r="BC42" s="90"/>
      <c r="BD42" s="91"/>
      <c r="BE42" s="91"/>
      <c r="BF42" s="91"/>
      <c r="BG42" s="91"/>
      <c r="BH42" s="91"/>
      <c r="BI42" s="91"/>
      <c r="BJ42" s="92"/>
      <c r="BK42" s="31"/>
    </row>
    <row r="43" spans="1:63" x14ac:dyDescent="0.25">
      <c r="B43" s="86">
        <v>4</v>
      </c>
      <c r="C43" s="85"/>
      <c r="D43" s="102"/>
      <c r="E43" s="103"/>
      <c r="F43" s="103"/>
      <c r="G43" s="103"/>
      <c r="H43" s="103"/>
      <c r="I43" s="103"/>
      <c r="J43" s="104"/>
      <c r="K43" s="99" t="s">
        <v>33</v>
      </c>
      <c r="L43" s="100"/>
      <c r="M43" s="101"/>
      <c r="N43" s="38" t="s">
        <v>38</v>
      </c>
      <c r="O43" s="35" t="s">
        <v>35</v>
      </c>
      <c r="P43" s="86" t="s">
        <v>37</v>
      </c>
      <c r="Q43" s="84"/>
      <c r="R43" s="84"/>
      <c r="S43" s="85"/>
      <c r="T43" s="86" t="s">
        <v>37</v>
      </c>
      <c r="U43" s="84"/>
      <c r="V43" s="84"/>
      <c r="W43" s="85"/>
      <c r="X43" s="83" t="s">
        <v>41</v>
      </c>
      <c r="Y43" s="84"/>
      <c r="Z43" s="85"/>
      <c r="AA43" s="86" t="s">
        <v>59</v>
      </c>
      <c r="AB43" s="84"/>
      <c r="AC43" s="84"/>
      <c r="AD43" s="84"/>
      <c r="AE43" s="84"/>
      <c r="AF43" s="84"/>
      <c r="AG43" s="84"/>
      <c r="AH43" s="85"/>
      <c r="AI43" s="87" t="s">
        <v>59</v>
      </c>
      <c r="AJ43" s="88"/>
      <c r="AK43" s="88"/>
      <c r="AL43" s="88"/>
      <c r="AM43" s="88"/>
      <c r="AN43" s="88"/>
      <c r="AO43" s="88"/>
      <c r="AP43" s="88"/>
      <c r="AQ43" s="89"/>
      <c r="AR43" s="37" t="s">
        <v>34</v>
      </c>
      <c r="AS43" s="37" t="s">
        <v>59</v>
      </c>
      <c r="AT43" s="37" t="s">
        <v>59</v>
      </c>
      <c r="AU43" s="86" t="s">
        <v>37</v>
      </c>
      <c r="AV43" s="84"/>
      <c r="AW43" s="84"/>
      <c r="AX43" s="85"/>
      <c r="AY43" s="86" t="s">
        <v>59</v>
      </c>
      <c r="AZ43" s="84"/>
      <c r="BA43" s="84"/>
      <c r="BB43" s="85"/>
      <c r="BC43" s="93"/>
      <c r="BD43" s="94"/>
      <c r="BE43" s="94"/>
      <c r="BF43" s="94"/>
      <c r="BG43" s="94"/>
      <c r="BH43" s="94"/>
      <c r="BI43" s="94"/>
      <c r="BJ43" s="95"/>
      <c r="BK43" s="31"/>
    </row>
    <row r="44" spans="1:63" x14ac:dyDescent="0.25">
      <c r="B44" s="86">
        <v>5</v>
      </c>
      <c r="C44" s="85"/>
      <c r="D44" s="96"/>
      <c r="E44" s="97"/>
      <c r="F44" s="97"/>
      <c r="G44" s="97"/>
      <c r="H44" s="97"/>
      <c r="I44" s="97"/>
      <c r="J44" s="98"/>
      <c r="K44" s="99" t="s">
        <v>42</v>
      </c>
      <c r="L44" s="100"/>
      <c r="M44" s="101"/>
      <c r="N44" s="38" t="s">
        <v>49</v>
      </c>
      <c r="O44" s="35" t="s">
        <v>34</v>
      </c>
      <c r="P44" s="86" t="s">
        <v>37</v>
      </c>
      <c r="Q44" s="84"/>
      <c r="R44" s="84"/>
      <c r="S44" s="85"/>
      <c r="T44" s="86" t="s">
        <v>37</v>
      </c>
      <c r="U44" s="84"/>
      <c r="V44" s="84"/>
      <c r="W44" s="85"/>
      <c r="X44" s="83" t="s">
        <v>34</v>
      </c>
      <c r="Y44" s="84"/>
      <c r="Z44" s="85"/>
      <c r="AA44" s="86" t="s">
        <v>59</v>
      </c>
      <c r="AB44" s="84"/>
      <c r="AC44" s="84"/>
      <c r="AD44" s="84"/>
      <c r="AE44" s="84"/>
      <c r="AF44" s="84"/>
      <c r="AG44" s="84"/>
      <c r="AH44" s="85"/>
      <c r="AI44" s="87" t="s">
        <v>59</v>
      </c>
      <c r="AJ44" s="88"/>
      <c r="AK44" s="88"/>
      <c r="AL44" s="88"/>
      <c r="AM44" s="88"/>
      <c r="AN44" s="88"/>
      <c r="AO44" s="88"/>
      <c r="AP44" s="88"/>
      <c r="AQ44" s="89"/>
      <c r="AR44" s="37" t="s">
        <v>34</v>
      </c>
      <c r="AS44" s="37" t="s">
        <v>59</v>
      </c>
      <c r="AT44" s="37" t="s">
        <v>59</v>
      </c>
      <c r="AU44" s="86" t="s">
        <v>37</v>
      </c>
      <c r="AV44" s="84"/>
      <c r="AW44" s="84"/>
      <c r="AX44" s="85"/>
      <c r="AY44" s="86" t="s">
        <v>52</v>
      </c>
      <c r="AZ44" s="84"/>
      <c r="BA44" s="84"/>
      <c r="BB44" s="85"/>
      <c r="BC44" s="90"/>
      <c r="BD44" s="91"/>
      <c r="BE44" s="91"/>
      <c r="BF44" s="91"/>
      <c r="BG44" s="91"/>
      <c r="BH44" s="91"/>
      <c r="BI44" s="91"/>
      <c r="BJ44" s="92"/>
      <c r="BK44" s="31"/>
    </row>
    <row r="45" spans="1:63" x14ac:dyDescent="0.25">
      <c r="B45" s="65">
        <v>6</v>
      </c>
      <c r="C45" s="67"/>
      <c r="D45" s="74"/>
      <c r="E45" s="75"/>
      <c r="F45" s="75"/>
      <c r="G45" s="75"/>
      <c r="H45" s="75"/>
      <c r="I45" s="75"/>
      <c r="J45" s="76"/>
      <c r="K45" s="77" t="s">
        <v>43</v>
      </c>
      <c r="L45" s="78"/>
      <c r="M45" s="79"/>
      <c r="N45" s="39" t="s">
        <v>40</v>
      </c>
      <c r="O45" s="39" t="s">
        <v>35</v>
      </c>
      <c r="P45" s="65" t="s">
        <v>37</v>
      </c>
      <c r="Q45" s="66"/>
      <c r="R45" s="66"/>
      <c r="S45" s="67"/>
      <c r="T45" s="65" t="s">
        <v>37</v>
      </c>
      <c r="U45" s="66"/>
      <c r="V45" s="66"/>
      <c r="W45" s="67"/>
      <c r="X45" s="80" t="s">
        <v>81</v>
      </c>
      <c r="Y45" s="81"/>
      <c r="Z45" s="82"/>
      <c r="AA45" s="65" t="s">
        <v>52</v>
      </c>
      <c r="AB45" s="66"/>
      <c r="AC45" s="66"/>
      <c r="AD45" s="66"/>
      <c r="AE45" s="66"/>
      <c r="AF45" s="66"/>
      <c r="AG45" s="66"/>
      <c r="AH45" s="67"/>
      <c r="AI45" s="68" t="s">
        <v>44</v>
      </c>
      <c r="AJ45" s="69"/>
      <c r="AK45" s="69"/>
      <c r="AL45" s="69"/>
      <c r="AM45" s="69"/>
      <c r="AN45" s="69"/>
      <c r="AO45" s="69"/>
      <c r="AP45" s="69"/>
      <c r="AQ45" s="70"/>
      <c r="AR45" s="40" t="s">
        <v>34</v>
      </c>
      <c r="AS45" s="40" t="s">
        <v>52</v>
      </c>
      <c r="AT45" s="40" t="s">
        <v>52</v>
      </c>
      <c r="AU45" s="65" t="s">
        <v>37</v>
      </c>
      <c r="AV45" s="66"/>
      <c r="AW45" s="66"/>
      <c r="AX45" s="67"/>
      <c r="AY45" s="65" t="s">
        <v>36</v>
      </c>
      <c r="AZ45" s="66"/>
      <c r="BA45" s="66"/>
      <c r="BB45" s="67"/>
      <c r="BC45" s="71" t="s">
        <v>45</v>
      </c>
      <c r="BD45" s="72"/>
      <c r="BE45" s="72"/>
      <c r="BF45" s="72"/>
      <c r="BG45" s="72"/>
      <c r="BH45" s="72"/>
      <c r="BI45" s="72"/>
      <c r="BJ45" s="73"/>
      <c r="BK45" s="31"/>
    </row>
    <row r="46" spans="1:63" x14ac:dyDescent="0.25">
      <c r="BK46" s="31"/>
    </row>
    <row r="47" spans="1:63" x14ac:dyDescent="0.25">
      <c r="BK47" s="31"/>
    </row>
    <row r="48" spans="1:63" x14ac:dyDescent="0.25">
      <c r="BK48" s="31"/>
    </row>
    <row r="49" spans="1:63" x14ac:dyDescent="0.25">
      <c r="BK49" s="31"/>
    </row>
    <row r="50" spans="1:63" x14ac:dyDescent="0.25">
      <c r="BK50" s="31"/>
    </row>
    <row r="51" spans="1:63" x14ac:dyDescent="0.25">
      <c r="BK51" s="31"/>
    </row>
    <row r="52" spans="1:63" x14ac:dyDescent="0.25">
      <c r="BK52" s="31"/>
    </row>
    <row r="53" spans="1:63" x14ac:dyDescent="0.25">
      <c r="BK53" s="31"/>
    </row>
    <row r="54" spans="1:63" x14ac:dyDescent="0.25">
      <c r="BK54" s="31"/>
    </row>
    <row r="55" spans="1:63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2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93" t="str">
        <f>IF(表紙!W1="","",表紙!W1)</f>
        <v>基本設計書</v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87" t="str">
        <f>IF(表紙!A2="","",表紙!A2)</f>
        <v>POSサーバー</v>
      </c>
      <c r="B2" s="188"/>
      <c r="C2" s="188"/>
      <c r="D2" s="188"/>
      <c r="E2" s="188"/>
      <c r="F2" s="188"/>
      <c r="G2" s="188"/>
      <c r="H2" s="188"/>
      <c r="I2" s="188"/>
      <c r="J2" s="189"/>
      <c r="K2" s="187" t="str">
        <f>IF(表紙!K2="","",表紙!K2)</f>
        <v>POSサーバ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2"/>
      <c r="K3" s="190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3" ht="24.95" customHeight="1" x14ac:dyDescent="0.25">
      <c r="A4" s="162" t="s">
        <v>1</v>
      </c>
      <c r="B4" s="163"/>
      <c r="C4" s="163"/>
      <c r="D4" s="163"/>
      <c r="E4" s="163"/>
      <c r="F4" s="163"/>
      <c r="G4" s="164"/>
      <c r="H4" s="165" t="str">
        <f>IF(表紙!H4="","",表紙!H4)</f>
        <v>43_精算機の最終決済に入力された商品名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62" t="s">
        <v>8</v>
      </c>
      <c r="V4" s="163"/>
      <c r="W4" s="163"/>
      <c r="X4" s="163"/>
      <c r="Y4" s="164"/>
      <c r="Z4" s="165" t="str">
        <f>IF(表紙!Z4="","",表紙!Z4)</f>
        <v>概要設計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テンプレート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3"/>
      <c r="AD7" s="21"/>
      <c r="AE7" s="22"/>
      <c r="AF7" s="22"/>
      <c r="AG7" s="22"/>
      <c r="AH7" s="22"/>
      <c r="AI7" s="22"/>
      <c r="AJ7" s="22"/>
      <c r="AK7" s="22"/>
      <c r="AL7" s="23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18"/>
    </row>
    <row r="8" spans="1:63" ht="15" customHeight="1" x14ac:dyDescent="0.25">
      <c r="A8" s="15"/>
      <c r="C8" s="41"/>
      <c r="U8" s="41"/>
      <c r="AD8" s="41"/>
      <c r="AM8" s="41"/>
      <c r="BI8" s="43"/>
    </row>
    <row r="9" spans="1:63" ht="15" customHeight="1" x14ac:dyDescent="0.25">
      <c r="A9" s="15"/>
      <c r="C9" s="41"/>
      <c r="U9" s="41"/>
      <c r="AD9" s="41"/>
      <c r="AM9" s="41"/>
      <c r="BI9" s="43"/>
    </row>
    <row r="10" spans="1:63" ht="15" customHeight="1" x14ac:dyDescent="0.25">
      <c r="A10" s="15"/>
      <c r="C10" s="41"/>
      <c r="U10" s="41"/>
      <c r="AD10" s="41"/>
      <c r="AM10" s="41"/>
      <c r="BI10" s="43"/>
    </row>
    <row r="11" spans="1:63" ht="15" customHeight="1" x14ac:dyDescent="0.25">
      <c r="A11" s="15"/>
      <c r="C11" s="41"/>
      <c r="U11" s="41"/>
      <c r="AD11" s="41"/>
      <c r="AM11" s="41"/>
      <c r="BI11" s="43"/>
    </row>
    <row r="12" spans="1:63" ht="15" customHeight="1" x14ac:dyDescent="0.25">
      <c r="A12" s="15"/>
      <c r="C12" s="41"/>
      <c r="U12" s="41"/>
      <c r="AD12" s="41"/>
      <c r="AM12" s="41"/>
      <c r="AX12" t="s">
        <v>53</v>
      </c>
      <c r="BI12" s="43"/>
    </row>
    <row r="13" spans="1:63" ht="15" customHeight="1" x14ac:dyDescent="0.25">
      <c r="A13" s="15"/>
      <c r="C13" s="41"/>
      <c r="U13" s="41"/>
      <c r="AD13" s="41"/>
      <c r="AM13" s="41"/>
      <c r="BI13" s="43"/>
    </row>
    <row r="14" spans="1:63" ht="15" customHeight="1" x14ac:dyDescent="0.25">
      <c r="A14" s="15"/>
      <c r="C14" s="41"/>
      <c r="U14" s="41"/>
      <c r="AD14" s="41"/>
      <c r="AM14" s="41"/>
      <c r="BI14" s="43"/>
    </row>
    <row r="15" spans="1:63" ht="15" customHeight="1" x14ac:dyDescent="0.25">
      <c r="A15" s="15"/>
      <c r="C15" s="41"/>
      <c r="U15" s="41"/>
      <c r="AD15" s="41"/>
      <c r="AM15" s="41"/>
      <c r="BI15" s="43"/>
    </row>
    <row r="16" spans="1:63" ht="15" customHeight="1" x14ac:dyDescent="0.25">
      <c r="A16" s="15"/>
      <c r="C16" s="41"/>
      <c r="U16" s="41"/>
      <c r="AD16" s="41"/>
      <c r="AM16" s="41"/>
      <c r="BI16" s="43"/>
    </row>
    <row r="17" spans="1:61" ht="15" customHeight="1" x14ac:dyDescent="0.25">
      <c r="A17" s="15"/>
      <c r="C17" s="41"/>
      <c r="U17" s="41"/>
      <c r="AD17" s="41"/>
      <c r="AM17" s="41"/>
      <c r="BI17" s="43"/>
    </row>
    <row r="18" spans="1:61" ht="15" customHeight="1" x14ac:dyDescent="0.25">
      <c r="A18" s="15"/>
      <c r="C18" s="41"/>
      <c r="U18" s="41"/>
      <c r="AD18" s="41"/>
      <c r="AM18" s="41"/>
      <c r="BI18" s="43"/>
    </row>
    <row r="19" spans="1:61" ht="15" customHeight="1" x14ac:dyDescent="0.25">
      <c r="A19" s="15"/>
      <c r="C19" s="41"/>
      <c r="U19" s="41"/>
      <c r="AD19" s="41"/>
      <c r="AM19" s="41"/>
      <c r="BI19" s="43"/>
    </row>
    <row r="20" spans="1:61" ht="15" customHeight="1" x14ac:dyDescent="0.25">
      <c r="A20" s="15"/>
      <c r="C20" s="41"/>
      <c r="U20" s="41"/>
      <c r="AD20" s="41"/>
      <c r="AM20" s="41"/>
      <c r="BI20" s="43"/>
    </row>
    <row r="21" spans="1:61" ht="15" customHeight="1" x14ac:dyDescent="0.25">
      <c r="A21" s="15"/>
      <c r="C21" s="41"/>
      <c r="U21" s="41"/>
      <c r="AD21" s="41"/>
      <c r="AM21" s="41"/>
      <c r="BI21" s="43"/>
    </row>
    <row r="22" spans="1:61" ht="15" customHeight="1" x14ac:dyDescent="0.25">
      <c r="A22" s="15"/>
      <c r="C22" s="41"/>
      <c r="U22" s="41"/>
      <c r="AD22" s="41"/>
      <c r="AM22" s="41"/>
      <c r="BI22" s="43"/>
    </row>
    <row r="23" spans="1:61" ht="15" customHeight="1" x14ac:dyDescent="0.25">
      <c r="A23" s="15"/>
      <c r="C23" s="41"/>
      <c r="U23" s="41"/>
      <c r="AD23" s="41"/>
      <c r="AM23" s="41"/>
      <c r="BI23" s="43"/>
    </row>
    <row r="24" spans="1:61" ht="15" customHeight="1" x14ac:dyDescent="0.25">
      <c r="A24" s="15"/>
      <c r="C24" s="41"/>
      <c r="U24" s="41"/>
      <c r="AD24" s="41"/>
      <c r="AM24" s="41"/>
      <c r="BI24" s="43"/>
    </row>
    <row r="25" spans="1:61" ht="15" customHeight="1" x14ac:dyDescent="0.25">
      <c r="A25" s="15"/>
      <c r="C25" s="41"/>
      <c r="U25" s="41"/>
      <c r="AD25" s="41"/>
      <c r="AM25" s="41"/>
      <c r="BI25" s="43"/>
    </row>
    <row r="26" spans="1:61" ht="15" customHeight="1" x14ac:dyDescent="0.25">
      <c r="A26" s="15"/>
      <c r="C26" s="41"/>
      <c r="U26" s="41"/>
      <c r="AD26" s="41"/>
      <c r="AM26" s="41"/>
      <c r="BI26" s="43"/>
    </row>
    <row r="27" spans="1:61" ht="15" customHeight="1" x14ac:dyDescent="0.25">
      <c r="A27" s="15"/>
      <c r="C27" s="41"/>
      <c r="U27" s="41"/>
      <c r="AD27" s="41"/>
      <c r="AM27" s="41"/>
      <c r="BI27" s="43"/>
    </row>
    <row r="28" spans="1:61" ht="15" customHeight="1" x14ac:dyDescent="0.25">
      <c r="A28" s="15"/>
      <c r="C28" s="41"/>
      <c r="U28" s="41"/>
      <c r="AD28" s="41"/>
      <c r="AM28" s="41"/>
      <c r="BI28" s="43"/>
    </row>
    <row r="29" spans="1:61" ht="15" customHeight="1" x14ac:dyDescent="0.25">
      <c r="A29" s="15"/>
      <c r="C29" s="41"/>
      <c r="U29" s="41"/>
      <c r="AD29" s="41"/>
      <c r="AM29" s="41"/>
      <c r="BI29" s="43"/>
    </row>
    <row r="30" spans="1:61" ht="15" customHeight="1" x14ac:dyDescent="0.25">
      <c r="A30" s="15"/>
      <c r="C30" s="41"/>
      <c r="U30" s="41"/>
      <c r="AD30" s="41"/>
      <c r="AM30" s="41"/>
      <c r="BI30" s="43"/>
    </row>
    <row r="31" spans="1:61" ht="15" customHeight="1" x14ac:dyDescent="0.25">
      <c r="A31" s="15"/>
      <c r="C31" s="41"/>
      <c r="U31" s="41"/>
      <c r="AD31" s="41"/>
      <c r="AM31" s="41"/>
      <c r="BI31" s="43"/>
    </row>
    <row r="32" spans="1:61" ht="15" customHeight="1" x14ac:dyDescent="0.25">
      <c r="A32" s="15"/>
      <c r="C32" s="41"/>
      <c r="U32" s="41"/>
      <c r="AD32" s="41"/>
      <c r="AM32" s="41"/>
      <c r="BI32" s="43"/>
    </row>
    <row r="33" spans="1:61" ht="15" customHeight="1" x14ac:dyDescent="0.25">
      <c r="A33" s="15"/>
      <c r="C33" s="41"/>
      <c r="U33" s="41"/>
      <c r="AD33" s="41"/>
      <c r="AM33" s="41"/>
      <c r="BI33" s="43"/>
    </row>
    <row r="34" spans="1:61" ht="15" customHeight="1" x14ac:dyDescent="0.25">
      <c r="A34" s="15"/>
      <c r="C34" s="41"/>
      <c r="U34" s="41"/>
      <c r="AD34" s="41"/>
      <c r="AM34" s="41"/>
      <c r="BI34" s="43"/>
    </row>
    <row r="35" spans="1:61" ht="15" customHeight="1" x14ac:dyDescent="0.25">
      <c r="A35" s="15"/>
      <c r="C35" s="41"/>
      <c r="U35" s="41"/>
      <c r="AD35" s="41"/>
      <c r="AM35" s="41"/>
      <c r="BI35" s="43"/>
    </row>
    <row r="36" spans="1:61" ht="15" customHeight="1" x14ac:dyDescent="0.25">
      <c r="A36" s="15"/>
      <c r="C36" s="41"/>
      <c r="U36" s="41"/>
      <c r="AD36" s="41"/>
      <c r="AM36" s="41"/>
      <c r="BI36" s="43"/>
    </row>
    <row r="37" spans="1:61" ht="15" customHeight="1" x14ac:dyDescent="0.25">
      <c r="A37" s="15"/>
      <c r="C37" s="41"/>
      <c r="U37" s="41"/>
      <c r="AD37" s="41"/>
      <c r="AM37" s="41"/>
      <c r="BI37" s="43"/>
    </row>
    <row r="38" spans="1:61" ht="15" customHeight="1" x14ac:dyDescent="0.25">
      <c r="A38" s="15"/>
      <c r="C38" s="41"/>
      <c r="U38" s="41"/>
      <c r="AD38" s="41"/>
      <c r="AM38" s="41"/>
      <c r="BI38" s="43"/>
    </row>
    <row r="39" spans="1:61" ht="15" customHeight="1" x14ac:dyDescent="0.25">
      <c r="A39" s="15"/>
      <c r="C39" s="41"/>
      <c r="U39" s="41"/>
      <c r="AD39" s="41"/>
      <c r="AM39" s="41"/>
      <c r="BI39" s="43"/>
    </row>
    <row r="40" spans="1:61" ht="15" customHeight="1" x14ac:dyDescent="0.25">
      <c r="A40" s="15"/>
      <c r="C40" s="41"/>
      <c r="U40" s="41"/>
      <c r="AD40" s="41"/>
      <c r="AM40" s="41"/>
      <c r="BI40" s="43"/>
    </row>
    <row r="41" spans="1:61" ht="15" customHeight="1" x14ac:dyDescent="0.25">
      <c r="A41" s="15"/>
      <c r="C41" s="41"/>
      <c r="U41" s="41"/>
      <c r="AD41" s="41"/>
      <c r="AM41" s="41"/>
      <c r="BI41" s="43"/>
    </row>
    <row r="42" spans="1:61" ht="15" customHeight="1" x14ac:dyDescent="0.25">
      <c r="A42" s="15"/>
      <c r="C42" s="41"/>
      <c r="U42" s="41"/>
      <c r="AD42" s="41"/>
      <c r="AM42" s="41"/>
      <c r="BI42" s="43"/>
    </row>
    <row r="43" spans="1:61" ht="15" customHeight="1" x14ac:dyDescent="0.25">
      <c r="A43" s="15"/>
      <c r="C43" s="41"/>
      <c r="U43" s="41"/>
      <c r="AD43" s="41"/>
      <c r="AM43" s="41"/>
      <c r="BI43" s="43"/>
    </row>
    <row r="44" spans="1:61" ht="15" customHeight="1" x14ac:dyDescent="0.25">
      <c r="A44" s="15"/>
      <c r="C44" s="41"/>
      <c r="U44" s="41"/>
      <c r="AD44" s="41"/>
      <c r="AM44" s="41"/>
      <c r="BI44" s="43"/>
    </row>
    <row r="45" spans="1:61" ht="15" customHeight="1" x14ac:dyDescent="0.25">
      <c r="A45" s="15"/>
      <c r="C45" s="41"/>
      <c r="U45" s="41"/>
      <c r="AD45" s="41"/>
      <c r="AM45" s="41"/>
      <c r="BI45" s="43"/>
    </row>
    <row r="46" spans="1:61" ht="15" customHeight="1" x14ac:dyDescent="0.25">
      <c r="A46" s="15"/>
      <c r="C46" s="41"/>
      <c r="U46" s="41"/>
      <c r="AD46" s="41"/>
      <c r="AM46" s="41"/>
      <c r="BI46" s="43"/>
    </row>
    <row r="47" spans="1:61" ht="15" customHeight="1" x14ac:dyDescent="0.25">
      <c r="A47" s="15"/>
      <c r="C47" s="41"/>
      <c r="U47" s="41"/>
      <c r="AD47" s="41"/>
      <c r="AM47" s="41"/>
      <c r="BI47" s="43"/>
    </row>
    <row r="48" spans="1:61" ht="15" customHeight="1" x14ac:dyDescent="0.25">
      <c r="A48" s="15"/>
      <c r="C48" s="41"/>
      <c r="U48" s="41"/>
      <c r="AD48" s="41"/>
      <c r="AM48" s="41"/>
      <c r="BI48" s="43"/>
    </row>
    <row r="49" spans="1:63" ht="15" customHeight="1" x14ac:dyDescent="0.25">
      <c r="A49" s="15"/>
      <c r="C49" s="41"/>
      <c r="U49" s="41"/>
      <c r="AD49" s="41"/>
      <c r="AM49" s="41"/>
      <c r="BI49" s="43"/>
    </row>
    <row r="50" spans="1:63" ht="15" customHeight="1" x14ac:dyDescent="0.25">
      <c r="A50" s="15"/>
      <c r="C50" s="41"/>
      <c r="U50" s="41"/>
      <c r="AD50" s="41"/>
      <c r="AM50" s="41"/>
      <c r="BI50" s="43"/>
    </row>
    <row r="51" spans="1:63" ht="15" customHeight="1" x14ac:dyDescent="0.25">
      <c r="A51" s="15"/>
      <c r="C51" s="41"/>
      <c r="U51" s="41"/>
      <c r="AD51" s="41"/>
      <c r="AM51" s="41"/>
      <c r="BI51" s="43"/>
    </row>
    <row r="52" spans="1:63" ht="15" customHeight="1" x14ac:dyDescent="0.25">
      <c r="A52" s="15"/>
      <c r="C52" s="41"/>
      <c r="U52" s="41"/>
      <c r="AD52" s="41"/>
      <c r="AM52" s="41"/>
      <c r="BI52" s="43"/>
    </row>
    <row r="53" spans="1:63" ht="15" customHeight="1" x14ac:dyDescent="0.25">
      <c r="A53" s="15"/>
      <c r="C53" s="41"/>
      <c r="U53" s="41"/>
      <c r="AD53" s="41"/>
      <c r="AM53" s="41"/>
      <c r="BI53" s="43"/>
    </row>
    <row r="54" spans="1:63" ht="15" customHeight="1" x14ac:dyDescent="0.25">
      <c r="A54" s="15"/>
      <c r="C54" s="41"/>
      <c r="U54" s="41"/>
      <c r="AD54" s="41"/>
      <c r="AM54" s="41"/>
      <c r="BI54" s="43"/>
    </row>
    <row r="55" spans="1:63" ht="15" customHeight="1" x14ac:dyDescent="0.25">
      <c r="A55" s="16"/>
      <c r="B55" s="42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42"/>
      <c r="V55" s="17"/>
      <c r="W55" s="17"/>
      <c r="X55" s="17"/>
      <c r="Y55" s="17"/>
      <c r="Z55" s="17"/>
      <c r="AA55" s="17"/>
      <c r="AB55" s="17"/>
      <c r="AC55" s="17"/>
      <c r="AD55" s="42"/>
      <c r="AE55" s="17"/>
      <c r="AF55" s="17"/>
      <c r="AG55" s="17"/>
      <c r="AH55" s="17"/>
      <c r="AI55" s="17"/>
      <c r="AJ55" s="17"/>
      <c r="AK55" s="17"/>
      <c r="AL55" s="17"/>
      <c r="AM55" s="42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44"/>
      <c r="BJ55" s="17"/>
      <c r="BK55" s="19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2024-12-03T07:13:39Z</dcterms:modified>
  <cp:category/>
  <cp:contentStatus/>
</cp:coreProperties>
</file>