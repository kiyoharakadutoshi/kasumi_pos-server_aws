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F2224D6-6027-427B-A4FF-71197781E554}" xr6:coauthVersionLast="47" xr6:coauthVersionMax="47" xr10:uidLastSave="{00000000-0000-0000-0000-000000000000}"/>
  <bookViews>
    <workbookView xWindow="28680" yWindow="-120" windowWidth="29040" windowHeight="15840" tabRatio="853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参照" sheetId="2" r:id="rId6"/>
  </sheets>
  <definedNames>
    <definedName name="_xlnm.Print_Area" localSheetId="5">参照!$A$1:$BK$55</definedName>
    <definedName name="_xlnm.Print_Area" localSheetId="1">改訂履歴!$A$1:$BK$55</definedName>
    <definedName name="_xlnm.Print_Area" localSheetId="2">業務フロー!$A$1:$BK$68</definedName>
    <definedName name="_xlnm.Print_Area" localSheetId="4">機能概要!$A$1:$BK$82</definedName>
    <definedName name="_xlnm.Print_Area" localSheetId="3">機能概要説明!$A$1:$BK$54</definedName>
    <definedName name="_xlnm.Print_Area" localSheetId="0">表紙!$A$1:$BK$55</definedName>
    <definedName name="_xlnm.Print_Titles" localSheetId="5">参照!$1:$5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BM17" i="5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16" i="5"/>
  <c r="AP4" i="5" a="1"/>
  <c r="AP4" i="5" s="1"/>
  <c r="Z4" i="5"/>
  <c r="H4" i="5"/>
  <c r="K2" i="5"/>
  <c r="A2" i="5"/>
  <c r="W1" i="5"/>
  <c r="AP4" i="8"/>
  <c r="Z4" i="8"/>
  <c r="H4" i="8"/>
  <c r="K2" i="8"/>
  <c r="A2" i="8"/>
  <c r="W1" i="8"/>
  <c r="AP4" i="6" a="1"/>
  <c r="AP4" i="6" s="1"/>
  <c r="Z4" i="6"/>
  <c r="H4" i="6"/>
  <c r="K2" i="6"/>
  <c r="A2" i="6"/>
  <c r="W1" i="6"/>
  <c r="AP4" i="3" a="1"/>
  <c r="AP4" i="3"/>
  <c r="Z4" i="3"/>
  <c r="H4" i="3"/>
  <c r="K2" i="3"/>
  <c r="A2" i="3"/>
  <c r="W1" i="3"/>
  <c r="L24" i="4"/>
  <c r="AP4" i="4" a="1"/>
  <c r="AP4" i="4" s="1"/>
  <c r="BH2" i="4"/>
  <c r="BH2" i="3" s="1"/>
  <c r="BC2" i="4"/>
  <c r="BC2" i="2" s="1"/>
  <c r="AY2" i="4"/>
  <c r="AY2" i="5" s="1"/>
  <c r="AT2" i="4"/>
  <c r="AT2" i="8" s="1"/>
  <c r="AP2" i="4"/>
  <c r="AP2" i="6" s="1"/>
  <c r="AT2" i="3" l="1"/>
  <c r="AY2" i="6"/>
  <c r="AY2" i="8"/>
  <c r="BC2" i="5"/>
  <c r="AP2" i="2"/>
  <c r="BH2" i="2"/>
  <c r="AY2" i="3"/>
  <c r="BC2" i="6"/>
  <c r="BC2" i="8"/>
  <c r="AP2" i="5"/>
  <c r="BH2" i="5"/>
  <c r="AT2" i="2"/>
  <c r="BC2" i="3"/>
  <c r="BH2" i="6"/>
  <c r="AP2" i="8"/>
  <c r="BH2" i="8"/>
  <c r="AT2" i="5"/>
  <c r="AY2" i="2"/>
  <c r="AP2" i="3"/>
</calcChain>
</file>

<file path=xl/sharedStrings.xml><?xml version="1.0" encoding="utf-8"?>
<sst xmlns="http://schemas.openxmlformats.org/spreadsheetml/2006/main" count="87" uniqueCount="46">
  <si>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</si>
  <si>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</si>
  <si>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</si>
  <si>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</si>
  <si>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</si>
  <si>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</si>
  <si>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</si>
  <si>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</si>
  <si>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</si>
  <si>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</si>
  <si>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</si>
  <si>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</si>
  <si>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</si>
  <si>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</si>
  <si>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</si>
  <si>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新規</t>
    </r>
  </si>
  <si>
    <t>`</t>
  </si>
  <si>
    <r>
      <rPr>
        <sz val="11"/>
        <color rgb="FF000000"/>
        <rFont val="Meiryo UI"/>
        <family val="2"/>
      </rPr>
      <t>商品管理機能は、</t>
    </r>
  </si>
  <si>
    <r>
      <rPr>
        <sz val="11"/>
        <color rgb="FF000000"/>
        <rFont val="Meiryo UI"/>
        <family val="2"/>
      </rPr>
      <t>・商品情報詳細をビューする。</t>
    </r>
  </si>
  <si>
    <r>
      <rPr>
        <sz val="11"/>
        <color rgb="FF000000"/>
        <rFont val="Meiryo UI"/>
        <family val="2"/>
      </rPr>
      <t>・1, 7, 8 定番売価変更が可能</t>
    </r>
  </si>
  <si>
    <r>
      <rPr>
        <sz val="11"/>
        <color rgb="FF000000"/>
        <rFont val="Meiryo UI"/>
        <family val="2"/>
      </rPr>
      <t>・当日の緊急売価を変更する。</t>
    </r>
  </si>
  <si>
    <r>
      <rPr>
        <sz val="11"/>
        <color rgb="FF000000"/>
        <rFont val="Meiryo UI"/>
        <family val="2"/>
      </rPr>
      <t>・ミックスマッチ新規・編集機能</t>
    </r>
  </si>
  <si>
    <t xml:space="preserve"> </t>
  </si>
  <si>
    <r>
      <rPr>
        <sz val="11"/>
        <color rgb="FF000000"/>
        <rFont val="Meiryo UI"/>
        <family val="2"/>
      </rPr>
      <t>FC4501_商品管理（新規）設定</t>
    </r>
  </si>
  <si>
    <r>
      <rPr>
        <sz val="11"/>
        <color rgb="FF000000"/>
        <rFont val="Meiryo UI"/>
        <family val="2"/>
      </rPr>
      <t>45_商品管理（新規）設定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</si>
  <si>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</si>
  <si>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</si>
  <si>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</si>
  <si>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</si>
  <si>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</si>
  <si>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</si>
  <si>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</si>
  <si>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</si>
  <si>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</si>
  <si>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</si>
  <si>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</si>
  <si>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</si>
  <si>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</si>
  <si>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</si>
  <si>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</si>
  <si>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</si>
  <si>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>LoiLV</t>
  </si>
  <si>
    <r>
      <rPr>
        <sz val="11"/>
        <color rgb="FF000000"/>
        <rFont val="Meiryo UI"/>
        <family val="2"/>
      </rPr>
      <t>ファイル名変更：09 =&gt; 45</t>
    </r>
  </si>
  <si>
    <r>
      <rPr>
        <sz val="11"/>
        <color rgb="FF000000"/>
        <rFont val="Meiryo UI"/>
        <family val="2"/>
      </rPr>
      <t xml:space="preserve">・特売売価設定を新規作成・編集する </t>
    </r>
  </si>
  <si>
    <t>01_商品管理</t>
  </si>
  <si>
    <t>ドロップダウン項目のデータ取得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</si>
</sst>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7030A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  <font>
      <sz val="11"/>
      <color theme="5"/>
      <name val="Meiryo UI"/>
      <family val="2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89013336588644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0" fillId="0" borderId="0">
      <alignment vertical="center"/>
    </xf>
    <xf numFmtId="0" fontId="2" fillId="0" borderId="0"/>
  </cellStyleXfs>
  <cellXfs count="193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26" xfId="0" applyFont="1" applyBorder="1"/>
    <xf numFmtId="0" fontId="9" fillId="0" borderId="27" xfId="0" applyFont="1" applyBorder="1"/>
    <xf numFmtId="0" fontId="9" fillId="0" borderId="3" xfId="0" applyFont="1" applyBorder="1"/>
    <xf numFmtId="0" fontId="9" fillId="0" borderId="5" xfId="0" applyFont="1" applyBorder="1"/>
    <xf numFmtId="0" fontId="9" fillId="0" borderId="25" xfId="0" applyFont="1" applyBorder="1"/>
    <xf numFmtId="0" fontId="9" fillId="0" borderId="2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3" xfId="0" applyFont="1" applyBorder="1"/>
    <xf numFmtId="0" fontId="8" fillId="0" borderId="5" xfId="0" applyFont="1" applyBorder="1"/>
    <xf numFmtId="0" fontId="8" fillId="0" borderId="25" xfId="0" applyFont="1" applyBorder="1"/>
    <xf numFmtId="0" fontId="8" fillId="0" borderId="2" xfId="0" applyFont="1" applyBorder="1"/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7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5" fillId="0" borderId="0" xfId="0" applyFont="1"/>
    <xf numFmtId="0" fontId="15" fillId="0" borderId="26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5" fillId="0" borderId="25" xfId="0" applyNumberFormat="1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14" fontId="15" fillId="0" borderId="27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27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 vertical="center"/>
    </xf>
    <xf numFmtId="14" fontId="15" fillId="0" borderId="3" xfId="0" applyNumberFormat="1" applyFont="1" applyBorder="1" applyAlignment="1">
      <alignment horizontal="center" vertical="center"/>
    </xf>
    <xf numFmtId="14" fontId="15" fillId="0" borderId="5" xfId="0" applyNumberFormat="1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1" xfId="0" applyFont="1" applyBorder="1"/>
    <xf numFmtId="0" fontId="15" fillId="0" borderId="4" xfId="0" applyFont="1" applyBorder="1"/>
    <xf numFmtId="0" fontId="15" fillId="0" borderId="7" xfId="0" applyFont="1" applyBorder="1"/>
    <xf numFmtId="0" fontId="15" fillId="0" borderId="8" xfId="0" applyFont="1" applyBorder="1"/>
    <xf numFmtId="0" fontId="15" fillId="0" borderId="11" xfId="0" applyFont="1" applyBorder="1"/>
    <xf numFmtId="0" fontId="15" fillId="0" borderId="6" xfId="0" applyFont="1" applyBorder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12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9" xfId="0" applyFont="1" applyBorder="1"/>
    <xf numFmtId="0" fontId="15" fillId="0" borderId="10" xfId="0" applyFont="1" applyBorder="1"/>
    <xf numFmtId="0" fontId="15" fillId="0" borderId="13" xfId="0" applyFont="1" applyBorder="1"/>
    <xf numFmtId="0" fontId="11" fillId="2" borderId="25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2" borderId="2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1" fillId="2" borderId="0" xfId="0" applyFont="1" applyFill="1"/>
    <xf numFmtId="0" fontId="15" fillId="0" borderId="28" xfId="0" applyFont="1" applyBorder="1"/>
    <xf numFmtId="0" fontId="15" fillId="0" borderId="29" xfId="0" applyFont="1" applyBorder="1"/>
    <xf numFmtId="0" fontId="15" fillId="0" borderId="30" xfId="0" applyFont="1" applyBorder="1"/>
    <xf numFmtId="0" fontId="15" fillId="0" borderId="26" xfId="0" applyFont="1" applyBorder="1"/>
    <xf numFmtId="0" fontId="15" fillId="0" borderId="27" xfId="0" applyFont="1" applyBorder="1"/>
    <xf numFmtId="0" fontId="15" fillId="0" borderId="25" xfId="0" applyFont="1" applyBorder="1"/>
    <xf numFmtId="0" fontId="15" fillId="0" borderId="31" xfId="0" applyFont="1" applyBorder="1"/>
    <xf numFmtId="0" fontId="15" fillId="0" borderId="32" xfId="0" applyFont="1" applyBorder="1"/>
    <xf numFmtId="0" fontId="15" fillId="0" borderId="33" xfId="0" applyFont="1" applyBorder="1"/>
    <xf numFmtId="0" fontId="15" fillId="0" borderId="3" xfId="0" applyFont="1" applyBorder="1"/>
    <xf numFmtId="0" fontId="15" fillId="0" borderId="5" xfId="0" applyFont="1" applyBorder="1"/>
    <xf numFmtId="0" fontId="15" fillId="0" borderId="2" xfId="0" applyFont="1" applyBorder="1"/>
    <xf numFmtId="0" fontId="15" fillId="0" borderId="28" xfId="0" applyFont="1" applyBorder="1" applyAlignment="1">
      <alignment vertical="top" wrapText="1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0" fontId="15" fillId="0" borderId="31" xfId="0" applyFont="1" applyBorder="1" applyAlignment="1">
      <alignment wrapText="1"/>
    </xf>
    <xf numFmtId="0" fontId="18" fillId="0" borderId="26" xfId="0" applyFont="1" applyBorder="1"/>
    <xf numFmtId="0" fontId="18" fillId="0" borderId="27" xfId="0" applyFont="1" applyBorder="1"/>
    <xf numFmtId="0" fontId="18" fillId="0" borderId="25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14" fontId="19" fillId="0" borderId="25" xfId="0" applyNumberFormat="1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/>
    </xf>
    <xf numFmtId="0" fontId="19" fillId="0" borderId="28" xfId="0" applyFont="1" applyBorder="1"/>
    <xf numFmtId="0" fontId="19" fillId="0" borderId="29" xfId="0" applyFont="1" applyBorder="1"/>
    <xf numFmtId="0" fontId="19" fillId="0" borderId="30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1" xfId="0" applyFont="1" applyBorder="1"/>
    <xf numFmtId="0" fontId="19" fillId="0" borderId="32" xfId="0" applyFont="1" applyBorder="1"/>
    <xf numFmtId="0" fontId="19" fillId="0" borderId="33" xfId="0" applyFont="1" applyBorder="1"/>
    <xf numFmtId="0" fontId="0" fillId="0" borderId="0" xfId="0" applyFont="1"/>
    <xf numFmtId="0" fontId="0" fillId="0" borderId="25" xfId="0" applyFont="1" applyBorder="1" applyAlignment="1">
      <alignment horizontal="center" vertical="center"/>
    </xf>
    <xf numFmtId="0" fontId="0" fillId="0" borderId="26" xfId="0" applyFont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14" fontId="0" fillId="0" borderId="25" xfId="0" applyNumberFormat="1" applyFont="1" applyBorder="1" applyAlignment="1">
      <alignment horizontal="center" vertical="center"/>
    </xf>
    <xf numFmtId="14" fontId="0" fillId="0" borderId="26" xfId="0" applyNumberFormat="1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1" fillId="2" borderId="22" xfId="6" applyFont="1" applyFill="1" applyBorder="1" applyAlignment="1">
      <alignment horizontal="center" vertical="center"/>
    </xf>
    <xf numFmtId="0" fontId="11" fillId="2" borderId="23" xfId="6" applyFont="1" applyFill="1" applyBorder="1" applyAlignment="1">
      <alignment horizontal="center" vertical="center"/>
    </xf>
    <xf numFmtId="0" fontId="11" fillId="2" borderId="24" xfId="6" applyFont="1" applyFill="1" applyBorder="1" applyAlignment="1">
      <alignment horizontal="center" vertical="center"/>
    </xf>
    <xf numFmtId="0" fontId="13" fillId="0" borderId="25" xfId="6" applyFont="1" applyBorder="1" applyAlignment="1">
      <alignment horizontal="center" vertical="center"/>
    </xf>
    <xf numFmtId="0" fontId="13" fillId="0" borderId="26" xfId="6" applyFont="1" applyBorder="1" applyAlignment="1">
      <alignment horizontal="center" vertical="center"/>
    </xf>
    <xf numFmtId="0" fontId="13" fillId="0" borderId="27" xfId="6" applyFont="1" applyBorder="1" applyAlignment="1">
      <alignment horizontal="center" vertical="center"/>
    </xf>
    <xf numFmtId="0" fontId="13" fillId="0" borderId="1" xfId="6" applyFont="1" applyBorder="1" applyAlignment="1">
      <alignment horizontal="center" vertical="center"/>
    </xf>
    <xf numFmtId="0" fontId="13" fillId="0" borderId="0" xfId="6" applyFont="1" applyAlignment="1">
      <alignment horizontal="center" vertical="center"/>
    </xf>
    <xf numFmtId="0" fontId="13" fillId="0" borderId="4" xfId="6" applyFont="1" applyBorder="1" applyAlignment="1">
      <alignment horizontal="center" vertical="center"/>
    </xf>
    <xf numFmtId="0" fontId="13" fillId="0" borderId="2" xfId="6" applyFont="1" applyBorder="1" applyAlignment="1">
      <alignment horizontal="center" vertical="center"/>
    </xf>
    <xf numFmtId="0" fontId="13" fillId="0" borderId="3" xfId="6" applyFont="1" applyBorder="1" applyAlignment="1">
      <alignment horizontal="center" vertical="center"/>
    </xf>
    <xf numFmtId="0" fontId="13" fillId="0" borderId="5" xfId="6" applyFont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5" fillId="0" borderId="18" xfId="0" applyFont="1" applyBorder="1"/>
    <xf numFmtId="0" fontId="15" fillId="0" borderId="19" xfId="7" applyFont="1" applyBorder="1">
      <alignment vertical="center"/>
    </xf>
    <xf numFmtId="0" fontId="15" fillId="0" borderId="19" xfId="0" applyFont="1" applyBorder="1"/>
    <xf numFmtId="0" fontId="15" fillId="0" borderId="1" xfId="7" applyFont="1" applyBorder="1">
      <alignment vertical="center"/>
    </xf>
    <xf numFmtId="0" fontId="15" fillId="3" borderId="18" xfId="7" applyFont="1" applyFill="1" applyBorder="1">
      <alignment vertical="center"/>
    </xf>
    <xf numFmtId="0" fontId="15" fillId="3" borderId="0" xfId="7" applyFont="1" applyFill="1">
      <alignment vertical="center"/>
    </xf>
    <xf numFmtId="0" fontId="15" fillId="3" borderId="19" xfId="7" applyFont="1" applyFill="1" applyBorder="1">
      <alignment vertical="center"/>
    </xf>
    <xf numFmtId="0" fontId="15" fillId="0" borderId="4" xfId="7" applyFont="1" applyBorder="1">
      <alignment vertical="center"/>
    </xf>
    <xf numFmtId="0" fontId="15" fillId="0" borderId="0" xfId="7" applyFont="1">
      <alignment vertical="center"/>
    </xf>
    <xf numFmtId="0" fontId="15" fillId="0" borderId="18" xfId="7" applyFont="1" applyBorder="1">
      <alignment vertical="center"/>
    </xf>
    <xf numFmtId="0" fontId="15" fillId="0" borderId="20" xfId="0" applyFont="1" applyBorder="1"/>
    <xf numFmtId="0" fontId="15" fillId="0" borderId="21" xfId="0" applyFont="1" applyBorder="1"/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  <cellStyle name="標準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B05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他のフローへの連携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57</xdr:row>
      <xdr:rowOff>0</xdr:rowOff>
    </xdr:from>
    <xdr:to>
      <xdr:col>61</xdr:col>
      <xdr:colOff>0</xdr:colOff>
      <xdr:row>61</xdr:row>
      <xdr:rowOff>0</xdr:rowOff>
    </xdr:to>
    <xdr:sp macro="" textlink="" fLocksText="0">
      <xdr:nvSpPr>
        <xdr:cNvPr id="33" name="吹き出し: 線 2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10934700" y="10972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32</xdr:col>
      <xdr:colOff>0</xdr:colOff>
      <xdr:row>57</xdr:row>
      <xdr:rowOff>0</xdr:rowOff>
    </xdr:from>
    <xdr:to>
      <xdr:col>38</xdr:col>
      <xdr:colOff>450</xdr:colOff>
      <xdr:row>61</xdr:row>
      <xdr:rowOff>1200</xdr:rowOff>
    </xdr:to>
    <xdr:sp macro="" textlink="" fLocksText="0">
      <xdr:nvSpPr>
        <xdr:cNvPr id="35" name="四角形: 角を丸くする 21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8534400" y="109728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11204</xdr:colOff>
      <xdr:row>25</xdr:row>
      <xdr:rowOff>0</xdr:rowOff>
    </xdr:from>
    <xdr:to>
      <xdr:col>61</xdr:col>
      <xdr:colOff>11585</xdr:colOff>
      <xdr:row>29</xdr:row>
      <xdr:rowOff>0</xdr:rowOff>
    </xdr:to>
    <xdr:sp macro="" textlink="" fLocksText="0">
      <xdr:nvSpPr>
        <xdr:cNvPr id="368" name="吹き出し: 線 2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>
          <a:off x="10144125" y="4876800"/>
          <a:ext cx="6134100" cy="762000"/>
        </a:xfrm>
        <a:prstGeom prst="borderCallout1">
          <a:avLst>
            <a:gd name="adj1" fmla="val 53027"/>
            <a:gd name="adj2" fmla="val 56"/>
            <a:gd name="adj3" fmla="val 127538"/>
            <a:gd name="adj4" fmla="val -7771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[単品値引き除外]、[小計マニュアル値引き除外]、[会員価格方式]の情報一覧を取得し、項目にデータを埋め込む。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11204</xdr:colOff>
      <xdr:row>30</xdr:row>
      <xdr:rowOff>1</xdr:rowOff>
    </xdr:from>
    <xdr:to>
      <xdr:col>61</xdr:col>
      <xdr:colOff>11585</xdr:colOff>
      <xdr:row>67</xdr:row>
      <xdr:rowOff>0</xdr:rowOff>
    </xdr:to>
    <xdr:sp macro="" textlink="" fLocksText="0">
      <xdr:nvSpPr>
        <xdr:cNvPr id="450" name="吹き出し: 線 2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/>
      </xdr:nvSpPr>
      <xdr:spPr>
        <a:xfrm>
          <a:off x="10144125" y="5829300"/>
          <a:ext cx="6134100" cy="7048500"/>
        </a:xfrm>
        <a:prstGeom prst="borderCallout1">
          <a:avLst>
            <a:gd name="adj1" fmla="val 50227"/>
            <a:gd name="adj2" fmla="val 56"/>
            <a:gd name="adj3" fmla="val 50602"/>
            <a:gd name="adj4" fmla="val -1317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初期表示：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[商品情報]エリア: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1" i="0" u="none" baseline="0">
              <a:solidFill>
                <a:srgbClr val="000000"/>
              </a:solidFill>
              <a:latin typeface="Meiryo UI"/>
              <a:ea typeface="Meiryo UI"/>
            </a:rPr>
            <a:t>・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[商品コード]：8桁のコードを入力可能とする。 {00000}{部門コードの2桁}{6 商品コードの6桁} (カスミ様)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・[PLUコード(親)]：商品のPLUコードを入力可能とする。最大13桁。「0」を追加して13桁になる。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・[税種別コード]：税種別コードの一覧を含むドロップダウンリスト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・[税率]: 税率を表示するテキストビュー [税種別コード]で選択した税種別によって異なる。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・[部門]: 部門コードを入力するテキストボックス。入力必須で数字のみ入力可能。2桁まで頭に0を自動的に追加する。フォーカスアウトすると、入力されたコードに従って部門名称を隣のテキストビューに表示する。存在していない場合、「データが見つかりませんでした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・[品群]: 品群コードを入力するテキストボックス。入力必須で数字のみ入力可能。4桁まで頭に0を自動的に追加する。フォーカスアウトすると、入力されたコードに従って品群名称を隣のテキストビューに表示する。存在していない場合、「データが見つかりませんでした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品種]：品種コードを入力するテキストボックス。入力必須で数字のみ入力可能。4桁まで頭に0を自動的に追加する。フォーカスアウトすると、入力されたコードに従って品種名称を隣に表示する。存在していない場合、「データが見つかりませんでした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分類]:分類コードを入力するテキストボックス。入力必須で数字のみ入力可能。4桁まで頭に0を自動的に追加する。フォーカスアウトすると、入力されたコードに従って分類名称を隣に表示する。存在していない場合、「データが見つかりませんでした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・[定番売価]: 定番売価を入力するテキストボックス。入力必須、数字のみ入力可能、最大6桁。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SC0102画面の項目をご参照ください。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イベント：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・クリアボタンをタッチした場合：画面を初期状態に戻す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・確定ボタンをタッチする時、商品新規作成APIを実行する。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・13桁のPLUコードを入力したか、PLUコード入力項目からフォーカスアウトした時に、商品が存在しているかを確認する。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　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+商品が存在している場合、「マスタに同一レコードが存在します。」を表示する。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+ 商品が存在していない場合、他の情報を入力可能とする。</a:t>
          </a:r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  <a:p>
          <a:pPr>
            <a:defRPr lang="en-US" altLang="ja-JP" sz="1000" b="1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3" name="四角形: 角を丸くする 2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X1_メニュー機能</a:t>
          </a:r>
        </a:p>
      </xdr:txBody>
    </xdr:sp>
    <xdr:clientData/>
  </xdr:twoCellAnchor>
  <xdr:twoCellAnchor>
    <xdr:from>
      <xdr:col>1</xdr:col>
      <xdr:colOff>235322</xdr:colOff>
      <xdr:row>12</xdr:row>
      <xdr:rowOff>0</xdr:rowOff>
    </xdr:from>
    <xdr:to>
      <xdr:col>7</xdr:col>
      <xdr:colOff>235322</xdr:colOff>
      <xdr:row>14</xdr:row>
      <xdr:rowOff>0</xdr:rowOff>
    </xdr:to>
    <xdr:sp macro="" textlink="" fLocksText="0">
      <xdr:nvSpPr>
        <xdr:cNvPr id="22" name="四角形: 角を丸くする 110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504825" y="2400300"/>
          <a:ext cx="16002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45_商品管理（新規）設定</a:t>
          </a:r>
        </a:p>
      </xdr:txBody>
    </xdr:sp>
    <xdr:clientData/>
  </xdr:twoCellAnchor>
  <xdr:twoCellAnchor>
    <xdr:from>
      <xdr:col>4</xdr:col>
      <xdr:colOff>235323</xdr:colOff>
      <xdr:row>14</xdr:row>
      <xdr:rowOff>0</xdr:rowOff>
    </xdr:from>
    <xdr:to>
      <xdr:col>5</xdr:col>
      <xdr:colOff>0</xdr:colOff>
      <xdr:row>18</xdr:row>
      <xdr:rowOff>0</xdr:rowOff>
    </xdr:to>
    <xdr:cxnSp macro="">
      <xdr:nvCxnSpPr>
        <xdr:cNvPr id="82" name="直線矢印コネクタ 1010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CxnSpPr>
          <a:stCxn id="22" idx="2"/>
          <a:endCxn id="43" idx="0"/>
        </xdr:cNvCxnSpPr>
      </xdr:nvCxnSpPr>
      <xdr:spPr>
        <a:xfrm>
          <a:off x="1304925" y="27813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2490</xdr:colOff>
      <xdr:row>9</xdr:row>
      <xdr:rowOff>0</xdr:rowOff>
    </xdr:from>
    <xdr:to>
      <xdr:col>61</xdr:col>
      <xdr:colOff>0</xdr:colOff>
      <xdr:row>11</xdr:row>
      <xdr:rowOff>0</xdr:rowOff>
    </xdr:to>
    <xdr:sp macro="" textlink="" fLocksText="0">
      <xdr:nvSpPr>
        <xdr:cNvPr id="86" name="吹き出し: 線 2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SpPr/>
      </xdr:nvSpPr>
      <xdr:spPr>
        <a:xfrm>
          <a:off x="10134600" y="1828800"/>
          <a:ext cx="6134100" cy="381000"/>
        </a:xfrm>
        <a:prstGeom prst="borderCallout1">
          <a:avLst>
            <a:gd name="adj1" fmla="val 54828"/>
            <a:gd name="adj2" fmla="val -151"/>
            <a:gd name="adj3" fmla="val 206683"/>
            <a:gd name="adj4" fmla="val -1326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ID Menu item MF045-この機能は、管理者および本部のアクセス権を持つログインユーザーのメニューにのみ表示する。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235323</xdr:colOff>
      <xdr:row>41</xdr:row>
      <xdr:rowOff>0</xdr:rowOff>
    </xdr:from>
    <xdr:to>
      <xdr:col>5</xdr:col>
      <xdr:colOff>1</xdr:colOff>
      <xdr:row>46</xdr:row>
      <xdr:rowOff>0</xdr:rowOff>
    </xdr:to>
    <xdr:cxnSp macro="">
      <xdr:nvCxnSpPr>
        <xdr:cNvPr id="448" name="直線矢印コネクタ 1010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CxnSpPr>
          <a:stCxn id="271" idx="2"/>
          <a:endCxn id="449" idx="0"/>
        </xdr:cNvCxnSpPr>
      </xdr:nvCxnSpPr>
      <xdr:spPr>
        <a:xfrm flipH="1">
          <a:off x="1304925" y="7924800"/>
          <a:ext cx="28575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235322</xdr:colOff>
      <xdr:row>46</xdr:row>
      <xdr:rowOff>0</xdr:rowOff>
    </xdr:from>
    <xdr:to>
      <xdr:col>7</xdr:col>
      <xdr:colOff>235322</xdr:colOff>
      <xdr:row>50</xdr:row>
      <xdr:rowOff>0</xdr:rowOff>
    </xdr:to>
    <xdr:sp macro="" textlink="" fLocksText="0">
      <xdr:nvSpPr>
        <xdr:cNvPr id="449" name="正方形/長方形 1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/>
      </xdr:nvSpPr>
      <xdr:spPr>
        <a:xfrm>
          <a:off x="504825" y="8877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SC0102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商品管理（新規）設定画面</a:t>
          </a: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7</xdr:col>
      <xdr:colOff>0</xdr:colOff>
      <xdr:row>57</xdr:row>
      <xdr:rowOff>0</xdr:rowOff>
    </xdr:to>
    <xdr:sp macro="" textlink="" fLocksText="0">
      <xdr:nvSpPr>
        <xdr:cNvPr id="508" name="四角形: 角を丸くする 1101">
          <a:extLst>
            <a:ext uri="{FF2B5EF4-FFF2-40B4-BE49-F238E27FC236}">
              <a16:creationId xmlns:a16="http://schemas.microsoft.com/office/drawing/2014/main" id="{00000000-0008-0000-0400-0000FC010000}"/>
            </a:ext>
          </a:extLst>
        </xdr:cNvPr>
        <xdr:cNvSpPr/>
      </xdr:nvSpPr>
      <xdr:spPr>
        <a:xfrm>
          <a:off x="800100" y="1078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F09：確定</a:t>
          </a:r>
          <a:endParaRPr lang="en-US" sz="1000" b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55</xdr:row>
      <xdr:rowOff>190496</xdr:rowOff>
    </xdr:from>
    <xdr:to>
      <xdr:col>15</xdr:col>
      <xdr:colOff>1</xdr:colOff>
      <xdr:row>57</xdr:row>
      <xdr:rowOff>0</xdr:rowOff>
    </xdr:to>
    <xdr:sp macro="" textlink="" fLocksText="0">
      <xdr:nvSpPr>
        <xdr:cNvPr id="509" name="四角形: 角を丸くする 1101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/>
      </xdr:nvSpPr>
      <xdr:spPr>
        <a:xfrm>
          <a:off x="2933700" y="10782300"/>
          <a:ext cx="1066800" cy="190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クリア</a:t>
          </a:r>
          <a:endParaRPr lang="ja-JP" altLang="en-US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235323</xdr:colOff>
      <xdr:row>50</xdr:row>
      <xdr:rowOff>0</xdr:rowOff>
    </xdr:from>
    <xdr:to>
      <xdr:col>5</xdr:col>
      <xdr:colOff>0</xdr:colOff>
      <xdr:row>56</xdr:row>
      <xdr:rowOff>0</xdr:rowOff>
    </xdr:to>
    <xdr:cxnSp macro="">
      <xdr:nvCxnSpPr>
        <xdr:cNvPr id="511" name="直線矢印コネクタ 1010">
          <a:extLst>
            <a:ext uri="{FF2B5EF4-FFF2-40B4-BE49-F238E27FC236}">
              <a16:creationId xmlns:a16="http://schemas.microsoft.com/office/drawing/2014/main" id="{00000000-0008-0000-0400-0000FF010000}"/>
            </a:ext>
          </a:extLst>
        </xdr:cNvPr>
        <xdr:cNvCxnSpPr>
          <a:stCxn id="449" idx="2"/>
          <a:endCxn id="508" idx="0"/>
        </xdr:cNvCxnSpPr>
      </xdr:nvCxnSpPr>
      <xdr:spPr>
        <a:xfrm>
          <a:off x="1304925" y="9639300"/>
          <a:ext cx="28575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50</xdr:row>
      <xdr:rowOff>0</xdr:rowOff>
    </xdr:from>
    <xdr:to>
      <xdr:col>13</xdr:col>
      <xdr:colOff>1</xdr:colOff>
      <xdr:row>55</xdr:row>
      <xdr:rowOff>190496</xdr:rowOff>
    </xdr:to>
    <xdr:cxnSp macro="">
      <xdr:nvCxnSpPr>
        <xdr:cNvPr id="91" name="Connector: Elbow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CxnSpPr>
          <a:stCxn id="449" idx="2"/>
          <a:endCxn id="509" idx="0"/>
        </xdr:cNvCxnSpPr>
      </xdr:nvCxnSpPr>
      <xdr:spPr>
        <a:xfrm rot="16200000" flipH="1">
          <a:off x="1304925" y="9639300"/>
          <a:ext cx="2162175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</xdr:colOff>
      <xdr:row>62</xdr:row>
      <xdr:rowOff>0</xdr:rowOff>
    </xdr:from>
    <xdr:to>
      <xdr:col>6</xdr:col>
      <xdr:colOff>1</xdr:colOff>
      <xdr:row>63</xdr:row>
      <xdr:rowOff>0</xdr:rowOff>
    </xdr:to>
    <xdr:sp macro="" textlink="" fLocksText="0">
      <xdr:nvSpPr>
        <xdr:cNvPr id="191" name="Rectangle: Rounded Corners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>
          <a:off x="1066800" y="11925300"/>
          <a:ext cx="533400" cy="1905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01</a:t>
          </a:r>
        </a:p>
      </xdr:txBody>
    </xdr:sp>
    <xdr:clientData/>
  </xdr:twoCellAnchor>
  <xdr:twoCellAnchor>
    <xdr:from>
      <xdr:col>5</xdr:col>
      <xdr:colOff>0</xdr:colOff>
      <xdr:row>57</xdr:row>
      <xdr:rowOff>0</xdr:rowOff>
    </xdr:from>
    <xdr:to>
      <xdr:col>5</xdr:col>
      <xdr:colOff>1</xdr:colOff>
      <xdr:row>62</xdr:row>
      <xdr:rowOff>0</xdr:rowOff>
    </xdr:to>
    <xdr:cxnSp macro="">
      <xdr:nvCxnSpPr>
        <xdr:cNvPr id="210" name="直線矢印コネクタ 1010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CxnSpPr>
          <a:stCxn id="508" idx="2"/>
          <a:endCxn id="191" idx="0"/>
        </xdr:cNvCxnSpPr>
      </xdr:nvCxnSpPr>
      <xdr:spPr>
        <a:xfrm>
          <a:off x="1333500" y="10972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37</xdr:row>
      <xdr:rowOff>11200</xdr:rowOff>
    </xdr:from>
    <xdr:to>
      <xdr:col>8</xdr:col>
      <xdr:colOff>2</xdr:colOff>
      <xdr:row>41</xdr:row>
      <xdr:rowOff>0</xdr:rowOff>
    </xdr:to>
    <xdr:sp macro="" textlink="" fLocksText="0">
      <xdr:nvSpPr>
        <xdr:cNvPr id="271" name="四角形: 角を丸くする 3">
          <a:extLst>
            <a:ext uri="{FF2B5EF4-FFF2-40B4-BE49-F238E27FC236}">
              <a16:creationId xmlns:a16="http://schemas.microsoft.com/office/drawing/2014/main" id="{00000000-0008-0000-0400-00000F010000}"/>
            </a:ext>
          </a:extLst>
        </xdr:cNvPr>
        <xdr:cNvSpPr/>
      </xdr:nvSpPr>
      <xdr:spPr>
        <a:xfrm>
          <a:off x="533400" y="7172325"/>
          <a:ext cx="1600200" cy="75247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KN0117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税種別一覧取得機能</a:t>
          </a:r>
        </a:p>
      </xdr:txBody>
    </xdr:sp>
    <xdr:clientData/>
  </xdr:twoCellAnchor>
  <xdr:twoCellAnchor>
    <xdr:from>
      <xdr:col>14</xdr:col>
      <xdr:colOff>235323</xdr:colOff>
      <xdr:row>28</xdr:row>
      <xdr:rowOff>190499</xdr:rowOff>
    </xdr:from>
    <xdr:to>
      <xdr:col>20</xdr:col>
      <xdr:colOff>235322</xdr:colOff>
      <xdr:row>33</xdr:row>
      <xdr:rowOff>0</xdr:rowOff>
    </xdr:to>
    <xdr:sp macro="" textlink="" fLocksText="0">
      <xdr:nvSpPr>
        <xdr:cNvPr id="272" name="四角形: 角を丸くする 3">
          <a:extLst>
            <a:ext uri="{FF2B5EF4-FFF2-40B4-BE49-F238E27FC236}">
              <a16:creationId xmlns:a16="http://schemas.microsoft.com/office/drawing/2014/main" id="{00000000-0008-0000-0400-000010010000}"/>
            </a:ext>
          </a:extLst>
        </xdr:cNvPr>
        <xdr:cNvSpPr/>
      </xdr:nvSpPr>
      <xdr:spPr>
        <a:xfrm>
          <a:off x="3971925" y="5638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KN0118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ドロップダウンリスト情報取得機能</a:t>
          </a:r>
        </a:p>
      </xdr:txBody>
    </xdr:sp>
    <xdr:clientData/>
  </xdr:twoCellAnchor>
  <xdr:twoCellAnchor>
    <xdr:from>
      <xdr:col>29</xdr:col>
      <xdr:colOff>0</xdr:colOff>
      <xdr:row>37</xdr:row>
      <xdr:rowOff>0</xdr:rowOff>
    </xdr:from>
    <xdr:to>
      <xdr:col>35</xdr:col>
      <xdr:colOff>0</xdr:colOff>
      <xdr:row>41</xdr:row>
      <xdr:rowOff>0</xdr:rowOff>
    </xdr:to>
    <xdr:sp macro="" textlink="" fLocksText="0">
      <xdr:nvSpPr>
        <xdr:cNvPr id="273" name="フローチャート: 磁気ディスク 194">
          <a:extLst>
            <a:ext uri="{FF2B5EF4-FFF2-40B4-BE49-F238E27FC236}">
              <a16:creationId xmlns:a16="http://schemas.microsoft.com/office/drawing/2014/main" id="{00000000-0008-0000-0400-000011010000}"/>
            </a:ext>
          </a:extLst>
        </xdr:cNvPr>
        <xdr:cNvSpPr/>
      </xdr:nvSpPr>
      <xdr:spPr>
        <a:xfrm>
          <a:off x="7734300" y="7162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AP0113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get list type of tax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29</xdr:col>
      <xdr:colOff>0</xdr:colOff>
      <xdr:row>29</xdr:row>
      <xdr:rowOff>0</xdr:rowOff>
    </xdr:from>
    <xdr:to>
      <xdr:col>35</xdr:col>
      <xdr:colOff>0</xdr:colOff>
      <xdr:row>33</xdr:row>
      <xdr:rowOff>0</xdr:rowOff>
    </xdr:to>
    <xdr:sp macro="" textlink="" fLocksText="0">
      <xdr:nvSpPr>
        <xdr:cNvPr id="277" name="フローチャート: 磁気ディスク 194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/>
      </xdr:nvSpPr>
      <xdr:spPr>
        <a:xfrm>
          <a:off x="7734300" y="5638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AP1503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get code master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</xdr:colOff>
      <xdr:row>39</xdr:row>
      <xdr:rowOff>0</xdr:rowOff>
    </xdr:from>
    <xdr:to>
      <xdr:col>29</xdr:col>
      <xdr:colOff>0</xdr:colOff>
      <xdr:row>39</xdr:row>
      <xdr:rowOff>5600</xdr:rowOff>
    </xdr:to>
    <xdr:cxnSp macro="">
      <xdr:nvCxnSpPr>
        <xdr:cNvPr id="280" name="直線矢印コネクタ 196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CxnSpPr>
          <a:stCxn id="271" idx="3"/>
          <a:endCxn id="273" idx="2"/>
        </xdr:cNvCxnSpPr>
      </xdr:nvCxnSpPr>
      <xdr:spPr>
        <a:xfrm flipV="1">
          <a:off x="2133600" y="7543800"/>
          <a:ext cx="5600700" cy="952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235322</xdr:colOff>
      <xdr:row>31</xdr:row>
      <xdr:rowOff>0</xdr:rowOff>
    </xdr:from>
    <xdr:to>
      <xdr:col>29</xdr:col>
      <xdr:colOff>0</xdr:colOff>
      <xdr:row>31</xdr:row>
      <xdr:rowOff>0</xdr:rowOff>
    </xdr:to>
    <xdr:cxnSp macro="">
      <xdr:nvCxnSpPr>
        <xdr:cNvPr id="282" name="直線矢印コネクタ 196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CxnSpPr>
          <a:stCxn id="272" idx="3"/>
          <a:endCxn id="277" idx="2"/>
        </xdr:cNvCxnSpPr>
      </xdr:nvCxnSpPr>
      <xdr:spPr>
        <a:xfrm>
          <a:off x="5572125" y="6019800"/>
          <a:ext cx="2162175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190499</xdr:rowOff>
    </xdr:from>
    <xdr:to>
      <xdr:col>18</xdr:col>
      <xdr:colOff>0</xdr:colOff>
      <xdr:row>28</xdr:row>
      <xdr:rowOff>190498</xdr:rowOff>
    </xdr:to>
    <xdr:cxnSp macro="">
      <xdr:nvCxnSpPr>
        <xdr:cNvPr id="313" name="Connector: Elbow 312">
          <a:extLst>
            <a:ext uri="{FF2B5EF4-FFF2-40B4-BE49-F238E27FC236}">
              <a16:creationId xmlns:a16="http://schemas.microsoft.com/office/drawing/2014/main" id="{00000000-0008-0000-0400-000039010000}"/>
            </a:ext>
          </a:extLst>
        </xdr:cNvPr>
        <xdr:cNvCxnSpPr>
          <a:stCxn id="43" idx="2"/>
          <a:endCxn id="272" idx="0"/>
        </xdr:cNvCxnSpPr>
      </xdr:nvCxnSpPr>
      <xdr:spPr>
        <a:xfrm rot="16200000" flipH="1">
          <a:off x="1333500" y="3733800"/>
          <a:ext cx="3467100" cy="1905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235323</xdr:colOff>
      <xdr:row>33</xdr:row>
      <xdr:rowOff>0</xdr:rowOff>
    </xdr:from>
    <xdr:to>
      <xdr:col>18</xdr:col>
      <xdr:colOff>0</xdr:colOff>
      <xdr:row>46</xdr:row>
      <xdr:rowOff>0</xdr:rowOff>
    </xdr:to>
    <xdr:cxnSp macro="">
      <xdr:nvCxnSpPr>
        <xdr:cNvPr id="326" name="Connector: Elbow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CxnSpPr>
          <a:stCxn id="272" idx="2"/>
          <a:endCxn id="449" idx="0"/>
        </xdr:cNvCxnSpPr>
      </xdr:nvCxnSpPr>
      <xdr:spPr>
        <a:xfrm rot="5400000">
          <a:off x="1304925" y="6400800"/>
          <a:ext cx="3495675" cy="2476500"/>
        </a:xfrm>
        <a:prstGeom prst="bentConnector3">
          <a:avLst>
            <a:gd name="adj1" fmla="val 7669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130</xdr:col>
      <xdr:colOff>0</xdr:colOff>
      <xdr:row>29</xdr:row>
      <xdr:rowOff>1</xdr:rowOff>
    </xdr:from>
    <xdr:to>
      <xdr:col>192</xdr:col>
      <xdr:colOff>19933</xdr:colOff>
      <xdr:row>70</xdr:row>
      <xdr:rowOff>123825</xdr:rowOff>
    </xdr:to>
    <xdr:pic>
      <xdr:nvPicPr>
        <xdr:cNvPr id="494" name="Picture 493">
          <a:extLst>
            <a:ext uri="{FF2B5EF4-FFF2-40B4-BE49-F238E27FC236}">
              <a16:creationId xmlns:a16="http://schemas.microsoft.com/office/drawing/2014/main" id="{00000000-0008-0000-04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71000" y="5638800"/>
          <a:ext cx="16554450" cy="7934325"/>
        </a:xfrm>
        <a:prstGeom prst="rect">
          <a:avLst/>
        </a:prstGeom>
      </xdr:spPr>
    </xdr:pic>
    <xdr:clientData/>
  </xdr:twoCellAnchor>
  <xdr:twoCellAnchor editAs="oneCell">
    <xdr:from>
      <xdr:col>95</xdr:col>
      <xdr:colOff>1</xdr:colOff>
      <xdr:row>155</xdr:row>
      <xdr:rowOff>0</xdr:rowOff>
    </xdr:from>
    <xdr:to>
      <xdr:col>122</xdr:col>
      <xdr:colOff>163933</xdr:colOff>
      <xdr:row>170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336500" y="29641800"/>
          <a:ext cx="7362825" cy="2857500"/>
        </a:xfrm>
        <a:prstGeom prst="rect">
          <a:avLst/>
        </a:prstGeom>
      </xdr:spPr>
    </xdr:pic>
    <xdr:clientData/>
  </xdr:twoCellAnchor>
  <xdr:twoCellAnchor>
    <xdr:from>
      <xdr:col>38</xdr:col>
      <xdr:colOff>0</xdr:colOff>
      <xdr:row>16</xdr:row>
      <xdr:rowOff>89647</xdr:rowOff>
    </xdr:from>
    <xdr:to>
      <xdr:col>61</xdr:col>
      <xdr:colOff>0</xdr:colOff>
      <xdr:row>23</xdr:row>
      <xdr:rowOff>0</xdr:rowOff>
    </xdr:to>
    <xdr:sp macro="" textlink="" fLocksText="0">
      <xdr:nvSpPr>
        <xdr:cNvPr id="28" name="吹き出し: 線 2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942294" y="3249706"/>
          <a:ext cx="5412441" cy="1243853"/>
        </a:xfrm>
        <a:prstGeom prst="borderCallout1">
          <a:avLst>
            <a:gd name="adj1" fmla="val 49927"/>
            <a:gd name="adj2" fmla="val -182"/>
            <a:gd name="adj3" fmla="val 24212"/>
            <a:gd name="adj4" fmla="val -1355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店舗共通機能を実行する。複数の店舗を選択可能とする。</a:t>
          </a:r>
        </a:p>
        <a:p>
          <a:pPr>
            <a:defRPr lang="en-US" sz="1000" b="0" i="0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画面には以下の2つのエリアを表示する。</a:t>
          </a:r>
        </a:p>
        <a:p>
          <a:pPr>
            <a:defRPr lang="en-US" sz="1000" b="0" i="0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店舗選択エリア、商品情報表示エリア</a:t>
          </a:r>
        </a:p>
        <a:p>
          <a:pPr>
            <a:defRPr lang="en-US" sz="1000" b="0" i="0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defRPr>
          </a:pPr>
          <a:r>
            <a:rPr lang="en-US" sz="1000" b="0" i="0" u="none" baseline="0">
              <a:solidFill>
                <a:srgbClr val="000000"/>
              </a:solidFill>
              <a:latin typeface="Meiryo UI"/>
              <a:ea typeface="Meiryo UI"/>
            </a:rPr>
            <a:t>初期表示では、店舗選択エリアのみ操作可能とし、他のエリアは無効化（操作不可）とする。対象店舗を選択後、他のエリアの操作が可能になる。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7</xdr:col>
      <xdr:colOff>0</xdr:colOff>
      <xdr:row>19</xdr:row>
      <xdr:rowOff>0</xdr:rowOff>
    </xdr:to>
    <xdr:sp macro="" textlink="" fLocksText="0">
      <xdr:nvSpPr>
        <xdr:cNvPr id="43" name="四角形: 角を丸くする 1101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00100" y="3543300"/>
          <a:ext cx="1066800" cy="190500"/>
        </a:xfrm>
        <a:prstGeom prst="round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900" b="0" i="0" u="none" baseline="0">
              <a:solidFill>
                <a:srgbClr val="000000"/>
              </a:solidFill>
              <a:latin typeface="Meiryo UI"/>
              <a:ea typeface="Meiryo UI"/>
            </a:rPr>
            <a:t>画面初期化</a:t>
          </a:r>
          <a:endParaRPr lang="ja-JP" alt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</xdr:colOff>
      <xdr:row>37</xdr:row>
      <xdr:rowOff>11200</xdr:rowOff>
    </xdr:to>
    <xdr:cxnSp macro="">
      <xdr:nvCxnSpPr>
        <xdr:cNvPr id="470" name="直線矢印コネクタ 1010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CxnSpPr>
          <a:stCxn id="43" idx="2"/>
          <a:endCxn id="271" idx="0"/>
        </xdr:cNvCxnSpPr>
      </xdr:nvCxnSpPr>
      <xdr:spPr>
        <a:xfrm>
          <a:off x="1333500" y="3733800"/>
          <a:ext cx="0" cy="3438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61</xdr:row>
      <xdr:rowOff>179288</xdr:rowOff>
    </xdr:from>
    <xdr:to>
      <xdr:col>8</xdr:col>
      <xdr:colOff>2</xdr:colOff>
      <xdr:row>66</xdr:row>
      <xdr:rowOff>0</xdr:rowOff>
    </xdr:to>
    <xdr:sp macro="" textlink="" fLocksText="0">
      <xdr:nvSpPr>
        <xdr:cNvPr id="360" name="四角形: 角を丸くする 3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>
          <a:off x="533400" y="11915775"/>
          <a:ext cx="1600200" cy="771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KN4501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商品追加機能</a:t>
          </a:r>
        </a:p>
      </xdr:txBody>
    </xdr:sp>
    <xdr:clientData/>
  </xdr:twoCellAnchor>
  <xdr:twoCellAnchor>
    <xdr:from>
      <xdr:col>29</xdr:col>
      <xdr:colOff>0</xdr:colOff>
      <xdr:row>61</xdr:row>
      <xdr:rowOff>168088</xdr:rowOff>
    </xdr:from>
    <xdr:to>
      <xdr:col>35</xdr:col>
      <xdr:colOff>0</xdr:colOff>
      <xdr:row>66</xdr:row>
      <xdr:rowOff>0</xdr:rowOff>
    </xdr:to>
    <xdr:sp macro="" textlink="" fLocksText="0">
      <xdr:nvSpPr>
        <xdr:cNvPr id="361" name="フローチャート: 磁気ディスク 194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>
          <a:off x="7734300" y="11906250"/>
          <a:ext cx="1600200" cy="78105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AP4501</a:t>
          </a:r>
        </a:p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add product</a:t>
          </a:r>
          <a:endParaRPr lang="ja-JP" altLang="en-US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</xdr:colOff>
      <xdr:row>63</xdr:row>
      <xdr:rowOff>179294</xdr:rowOff>
    </xdr:from>
    <xdr:to>
      <xdr:col>29</xdr:col>
      <xdr:colOff>0</xdr:colOff>
      <xdr:row>63</xdr:row>
      <xdr:rowOff>184894</xdr:rowOff>
    </xdr:to>
    <xdr:cxnSp macro="">
      <xdr:nvCxnSpPr>
        <xdr:cNvPr id="363" name="直線矢印コネクタ 196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CxnSpPr>
          <a:stCxn id="360" idx="3"/>
          <a:endCxn id="361" idx="2"/>
        </xdr:cNvCxnSpPr>
      </xdr:nvCxnSpPr>
      <xdr:spPr>
        <a:xfrm flipV="1">
          <a:off x="2133600" y="12296775"/>
          <a:ext cx="5600700" cy="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56</xdr:row>
      <xdr:rowOff>0</xdr:rowOff>
    </xdr:from>
    <xdr:to>
      <xdr:col>24</xdr:col>
      <xdr:colOff>235322</xdr:colOff>
      <xdr:row>59</xdr:row>
      <xdr:rowOff>0</xdr:rowOff>
    </xdr:to>
    <xdr:sp macro="" textlink="" fLocksText="0">
      <xdr:nvSpPr>
        <xdr:cNvPr id="378" name="四角形: 角を丸くする 1101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>
          <a:off x="4533900" y="10782300"/>
          <a:ext cx="210502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/>
              <a:ea typeface="Meiryo UI"/>
            </a:rPr>
            <a:t>PLUコードの13桁を入力したか、PLUコード入力項目からフォーカスを外した場合</a:t>
          </a:r>
          <a:endParaRPr lang="ja-JP" altLang="en-US" sz="10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235322</xdr:colOff>
      <xdr:row>50</xdr:row>
      <xdr:rowOff>0</xdr:rowOff>
    </xdr:from>
    <xdr:to>
      <xdr:col>20</xdr:col>
      <xdr:colOff>235322</xdr:colOff>
      <xdr:row>56</xdr:row>
      <xdr:rowOff>0</xdr:rowOff>
    </xdr:to>
    <xdr:cxnSp macro="">
      <xdr:nvCxnSpPr>
        <xdr:cNvPr id="379" name="Connector: Elbow 37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CxnSpPr>
          <a:stCxn id="449" idx="2"/>
          <a:endCxn id="378" idx="0"/>
        </xdr:cNvCxnSpPr>
      </xdr:nvCxnSpPr>
      <xdr:spPr>
        <a:xfrm rot="16200000" flipH="1">
          <a:off x="1304925" y="9639300"/>
          <a:ext cx="42672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68</xdr:row>
      <xdr:rowOff>179288</xdr:rowOff>
    </xdr:from>
    <xdr:to>
      <xdr:col>24</xdr:col>
      <xdr:colOff>2</xdr:colOff>
      <xdr:row>73</xdr:row>
      <xdr:rowOff>0</xdr:rowOff>
    </xdr:to>
    <xdr:sp macro="" textlink="" fLocksText="0">
      <xdr:nvSpPr>
        <xdr:cNvPr id="396" name="四角形: 角を丸くする 3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/>
      </xdr:nvSpPr>
      <xdr:spPr>
        <a:xfrm>
          <a:off x="4800600" y="13249275"/>
          <a:ext cx="1600200" cy="771525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 KN4502</a:t>
          </a:r>
          <a:endParaRPr lang="en-US" altLang="ja-JP" sz="10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商品存在バリデーションチェック</a:t>
          </a:r>
        </a:p>
      </xdr:txBody>
    </xdr:sp>
    <xdr:clientData/>
  </xdr:twoCellAnchor>
  <xdr:twoCellAnchor>
    <xdr:from>
      <xdr:col>29</xdr:col>
      <xdr:colOff>0</xdr:colOff>
      <xdr:row>68</xdr:row>
      <xdr:rowOff>168088</xdr:rowOff>
    </xdr:from>
    <xdr:to>
      <xdr:col>35</xdr:col>
      <xdr:colOff>0</xdr:colOff>
      <xdr:row>73</xdr:row>
      <xdr:rowOff>0</xdr:rowOff>
    </xdr:to>
    <xdr:sp macro="" textlink="" fLocksText="0">
      <xdr:nvSpPr>
        <xdr:cNvPr id="397" name="フローチャート: 磁気ディスク 194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/>
      </xdr:nvSpPr>
      <xdr:spPr>
        <a:xfrm>
          <a:off x="7734300" y="13239750"/>
          <a:ext cx="1600200" cy="78105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AP4502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商品存在</a:t>
          </a:r>
        </a:p>
      </xdr:txBody>
    </xdr:sp>
    <xdr:clientData/>
  </xdr:twoCellAnchor>
  <xdr:twoCellAnchor>
    <xdr:from>
      <xdr:col>24</xdr:col>
      <xdr:colOff>2</xdr:colOff>
      <xdr:row>70</xdr:row>
      <xdr:rowOff>179294</xdr:rowOff>
    </xdr:from>
    <xdr:to>
      <xdr:col>29</xdr:col>
      <xdr:colOff>0</xdr:colOff>
      <xdr:row>70</xdr:row>
      <xdr:rowOff>184894</xdr:rowOff>
    </xdr:to>
    <xdr:cxnSp macro="">
      <xdr:nvCxnSpPr>
        <xdr:cNvPr id="398" name="直線矢印コネクタ 196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CxnSpPr>
          <a:stCxn id="396" idx="3"/>
          <a:endCxn id="397" idx="2"/>
        </xdr:cNvCxnSpPr>
      </xdr:nvCxnSpPr>
      <xdr:spPr>
        <a:xfrm flipV="1">
          <a:off x="6400800" y="13630275"/>
          <a:ext cx="13335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0</xdr:colOff>
      <xdr:row>59</xdr:row>
      <xdr:rowOff>0</xdr:rowOff>
    </xdr:from>
    <xdr:to>
      <xdr:col>21</xdr:col>
      <xdr:colOff>2</xdr:colOff>
      <xdr:row>68</xdr:row>
      <xdr:rowOff>179288</xdr:rowOff>
    </xdr:to>
    <xdr:cxnSp macro="">
      <xdr:nvCxnSpPr>
        <xdr:cNvPr id="402" name="直線矢印コネクタ 1010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CxnSpPr>
          <a:stCxn id="378" idx="2"/>
          <a:endCxn id="396" idx="0"/>
        </xdr:cNvCxnSpPr>
      </xdr:nvCxnSpPr>
      <xdr:spPr>
        <a:xfrm>
          <a:off x="5600700" y="11353800"/>
          <a:ext cx="0" cy="18954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68</xdr:col>
      <xdr:colOff>0</xdr:colOff>
      <xdr:row>28</xdr:row>
      <xdr:rowOff>0</xdr:rowOff>
    </xdr:from>
    <xdr:to>
      <xdr:col>101</xdr:col>
      <xdr:colOff>6724</xdr:colOff>
      <xdr:row>50</xdr:row>
      <xdr:rowOff>28574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35600" y="5448300"/>
          <a:ext cx="8810625" cy="4219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>
          <a:solidFill>
            <a:schemeClr val="tx1"/>
          </a:solidFill>
        </a:ln>
      </a:spPr>
      <a:bodyPr vertOverflow="overflow" horzOverflow="overflow" wrap="square" lIns="36000" tIns="0" rIns="36000" bIns="0" anchor="ctr">
        <a:noAutofit/>
      </a:bodyPr>
      <a:lstStyle>
        <a:defPPr algn="ctr">
          <a:defRPr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40" t="s">
        <v>25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26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">
        <v>27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3" ht="15" customHeight="1" x14ac:dyDescent="0.25">
      <c r="A2" s="8" t="s">
        <v>33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改訂履歴!$H$11</f>
        <v>DuNT</v>
      </c>
      <c r="AQ2" s="47"/>
      <c r="AR2" s="47"/>
      <c r="AS2" s="48"/>
      <c r="AT2" s="53">
        <f>改訂履歴!$B$11</f>
        <v>45643</v>
      </c>
      <c r="AU2" s="54"/>
      <c r="AV2" s="54"/>
      <c r="AW2" s="54"/>
      <c r="AX2" s="55"/>
      <c r="AY2" s="49" t="str">
        <f>LOOKUP(2,1/(改訂履歴!H11:H30000&lt;&gt;""),改訂履歴!H11:H30000)</f>
        <v>LoiLV</v>
      </c>
      <c r="AZ2" s="47"/>
      <c r="BA2" s="47"/>
      <c r="BB2" s="48"/>
      <c r="BC2" s="53">
        <f>LOOKUP(2,1/(改訂履歴!B11:B30000&lt;&gt;""),改訂履歴!B11:B30000)</f>
        <v>45657</v>
      </c>
      <c r="BD2" s="54"/>
      <c r="BE2" s="54"/>
      <c r="BF2" s="54"/>
      <c r="BG2" s="55"/>
      <c r="BH2" s="56">
        <f>LOOKUP(2,1/(改訂履歴!O11:O30000&lt;&gt;""),改訂履歴!O11:O30000)</f>
        <v>0.11</v>
      </c>
      <c r="BI2" s="57"/>
      <c r="BJ2" s="57"/>
      <c r="BK2" s="58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68"/>
      <c r="BI3" s="69"/>
      <c r="BJ3" s="69"/>
      <c r="BK3" s="70"/>
    </row>
    <row r="4" spans="1:63" ht="24.95" customHeight="1" x14ac:dyDescent="0.25">
      <c r="A4" s="40" t="s">
        <v>34</v>
      </c>
      <c r="B4" s="41"/>
      <c r="C4" s="41"/>
      <c r="D4" s="41"/>
      <c r="E4" s="41"/>
      <c r="F4" s="41"/>
      <c r="G4" s="42"/>
      <c r="H4" s="71" t="s">
        <v>24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35</v>
      </c>
      <c r="V4" s="41"/>
      <c r="W4" s="41"/>
      <c r="X4" s="41"/>
      <c r="Y4" s="42"/>
      <c r="Z4" s="71" t="s">
        <v>11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表紙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K7" s="78"/>
    </row>
    <row r="8" spans="1:63" ht="15" customHeight="1" x14ac:dyDescent="0.25">
      <c r="A8" s="77"/>
      <c r="BK8" s="78"/>
    </row>
    <row r="9" spans="1:63" ht="15" customHeight="1" x14ac:dyDescent="0.25">
      <c r="A9" s="77"/>
      <c r="BK9" s="78"/>
    </row>
    <row r="10" spans="1:63" ht="15" customHeight="1" x14ac:dyDescent="0.25">
      <c r="A10" s="77"/>
      <c r="BK10" s="78"/>
    </row>
    <row r="11" spans="1:63" ht="15" customHeight="1" x14ac:dyDescent="0.25">
      <c r="A11" s="77"/>
      <c r="BK11" s="78"/>
    </row>
    <row r="12" spans="1:63" ht="15" customHeight="1" x14ac:dyDescent="0.25">
      <c r="A12" s="77"/>
      <c r="BK12" s="78"/>
    </row>
    <row r="13" spans="1:63" ht="15" customHeight="1" x14ac:dyDescent="0.25">
      <c r="A13" s="77"/>
      <c r="BK13" s="78"/>
    </row>
    <row r="14" spans="1:63" ht="15" customHeight="1" thickBot="1" x14ac:dyDescent="0.3">
      <c r="A14" s="77"/>
      <c r="BK14" s="78"/>
    </row>
    <row r="15" spans="1:63" ht="15" customHeight="1" thickTop="1" x14ac:dyDescent="0.25">
      <c r="A15" s="77"/>
      <c r="K15" s="79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  <c r="BA15" s="81"/>
      <c r="BK15" s="78"/>
    </row>
    <row r="16" spans="1:63" ht="15" customHeight="1" x14ac:dyDescent="0.25">
      <c r="A16" s="77"/>
      <c r="K16" s="82"/>
      <c r="L16" s="83" t="s">
        <v>36</v>
      </c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5"/>
      <c r="BK16" s="78"/>
    </row>
    <row r="17" spans="1:63" ht="15" customHeight="1" x14ac:dyDescent="0.25">
      <c r="A17" s="77"/>
      <c r="K17" s="82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5"/>
      <c r="BK17" s="78"/>
    </row>
    <row r="18" spans="1:63" ht="15" customHeight="1" x14ac:dyDescent="0.25">
      <c r="A18" s="77"/>
      <c r="K18" s="82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5"/>
      <c r="BK18" s="78"/>
    </row>
    <row r="19" spans="1:63" ht="15" customHeight="1" x14ac:dyDescent="0.25">
      <c r="A19" s="77"/>
      <c r="K19" s="82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5"/>
      <c r="BK19" s="78"/>
    </row>
    <row r="20" spans="1:63" ht="15" customHeight="1" x14ac:dyDescent="0.25">
      <c r="A20" s="77"/>
      <c r="K20" s="82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5"/>
      <c r="BK20" s="78"/>
    </row>
    <row r="21" spans="1:63" ht="15" customHeight="1" x14ac:dyDescent="0.25">
      <c r="A21" s="77"/>
      <c r="K21" s="82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5"/>
      <c r="BK21" s="78"/>
    </row>
    <row r="22" spans="1:63" ht="15" customHeight="1" thickBot="1" x14ac:dyDescent="0.3">
      <c r="A22" s="77"/>
      <c r="K22" s="82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5"/>
      <c r="BK22" s="78"/>
    </row>
    <row r="23" spans="1:63" ht="15" customHeight="1" x14ac:dyDescent="0.25">
      <c r="A23" s="77"/>
      <c r="K23" s="82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5"/>
      <c r="BK23" s="78"/>
    </row>
    <row r="24" spans="1:63" ht="15" customHeight="1" x14ac:dyDescent="0.25">
      <c r="A24" s="77"/>
      <c r="K24" s="82"/>
      <c r="L24" s="84" t="str">
        <f>K2&amp;"/"&amp;H4&amp;"/"&amp;Z4</f>
        <v>POSサーバ/45_商品管理（新規）設定/概要設計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5"/>
      <c r="BK24" s="78"/>
    </row>
    <row r="25" spans="1:63" ht="15" customHeight="1" x14ac:dyDescent="0.25">
      <c r="A25" s="77"/>
      <c r="K25" s="82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5"/>
      <c r="BK25" s="78"/>
    </row>
    <row r="26" spans="1:63" ht="15" customHeight="1" x14ac:dyDescent="0.25">
      <c r="A26" s="77"/>
      <c r="K26" s="82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5"/>
      <c r="BK26" s="78"/>
    </row>
    <row r="27" spans="1:63" ht="15" customHeight="1" x14ac:dyDescent="0.25">
      <c r="A27" s="77"/>
      <c r="K27" s="82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5"/>
      <c r="BK27" s="78"/>
    </row>
    <row r="28" spans="1:63" ht="15" customHeight="1" x14ac:dyDescent="0.25">
      <c r="A28" s="77"/>
      <c r="K28" s="82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5"/>
      <c r="BK28" s="78"/>
    </row>
    <row r="29" spans="1:63" ht="15" customHeight="1" x14ac:dyDescent="0.25">
      <c r="A29" s="77"/>
      <c r="K29" s="82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5"/>
      <c r="BK29" s="78"/>
    </row>
    <row r="30" spans="1:63" ht="15" customHeight="1" x14ac:dyDescent="0.25">
      <c r="A30" s="77"/>
      <c r="K30" s="82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5"/>
      <c r="BK30" s="78"/>
    </row>
    <row r="31" spans="1:63" ht="15" customHeight="1" x14ac:dyDescent="0.25">
      <c r="A31" s="77"/>
      <c r="K31" s="82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5"/>
      <c r="BK31" s="78"/>
    </row>
    <row r="32" spans="1:63" ht="15" customHeight="1" x14ac:dyDescent="0.25">
      <c r="A32" s="77"/>
      <c r="K32" s="82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5"/>
      <c r="BK32" s="78"/>
    </row>
    <row r="33" spans="1:63" ht="15" customHeight="1" x14ac:dyDescent="0.25">
      <c r="A33" s="77"/>
      <c r="K33" s="82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5"/>
      <c r="BK33" s="78"/>
    </row>
    <row r="34" spans="1:63" ht="15" customHeight="1" x14ac:dyDescent="0.25">
      <c r="A34" s="77"/>
      <c r="K34" s="82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5"/>
      <c r="BK34" s="78"/>
    </row>
    <row r="35" spans="1:63" ht="15" customHeight="1" x14ac:dyDescent="0.25">
      <c r="A35" s="77"/>
      <c r="K35" s="82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5"/>
      <c r="BK35" s="78"/>
    </row>
    <row r="36" spans="1:63" ht="15" customHeight="1" x14ac:dyDescent="0.25">
      <c r="A36" s="77"/>
      <c r="K36" s="82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5"/>
      <c r="BK36" s="78"/>
    </row>
    <row r="37" spans="1:63" ht="15" customHeight="1" thickBot="1" x14ac:dyDescent="0.3">
      <c r="A37" s="77"/>
      <c r="K37" s="88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89"/>
      <c r="AX37" s="89"/>
      <c r="AY37" s="89"/>
      <c r="AZ37" s="89"/>
      <c r="BA37" s="90"/>
      <c r="BK37" s="78"/>
    </row>
    <row r="38" spans="1:63" ht="15" customHeight="1" thickTop="1" x14ac:dyDescent="0.25">
      <c r="A38" s="77"/>
      <c r="BK38" s="78"/>
    </row>
    <row r="39" spans="1:63" ht="15" customHeight="1" x14ac:dyDescent="0.25">
      <c r="A39" s="77"/>
      <c r="BK39" s="78"/>
    </row>
    <row r="40" spans="1:63" ht="15" customHeight="1" x14ac:dyDescent="0.25">
      <c r="A40" s="77"/>
      <c r="BK40" s="78"/>
    </row>
    <row r="41" spans="1:63" ht="15" customHeight="1" x14ac:dyDescent="0.25">
      <c r="A41" s="77"/>
      <c r="BK41" s="78"/>
    </row>
    <row r="42" spans="1:63" ht="15" customHeight="1" x14ac:dyDescent="0.25">
      <c r="A42" s="77"/>
      <c r="BK42" s="78"/>
    </row>
    <row r="43" spans="1:63" ht="15" customHeight="1" x14ac:dyDescent="0.25">
      <c r="A43" s="77"/>
      <c r="BK43" s="78"/>
    </row>
    <row r="44" spans="1:63" ht="15" customHeight="1" x14ac:dyDescent="0.25">
      <c r="A44" s="77"/>
      <c r="Q44" s="91" t="s">
        <v>37</v>
      </c>
      <c r="R44" s="92"/>
      <c r="S44" s="92"/>
      <c r="T44" s="92"/>
      <c r="U44" s="92"/>
      <c r="V44" s="92"/>
      <c r="W44" s="92"/>
      <c r="X44" s="92"/>
      <c r="Y44" s="92"/>
      <c r="Z44" s="93"/>
      <c r="AA44" s="91" t="s">
        <v>38</v>
      </c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3"/>
      <c r="AQ44" s="91" t="s">
        <v>32</v>
      </c>
      <c r="AR44" s="92"/>
      <c r="AS44" s="92"/>
      <c r="AT44" s="92"/>
      <c r="AU44" s="93"/>
      <c r="BK44" s="78"/>
    </row>
    <row r="45" spans="1:63" ht="15" customHeight="1" x14ac:dyDescent="0.25">
      <c r="A45" s="77"/>
      <c r="Q45" s="94"/>
      <c r="R45" s="95"/>
      <c r="S45" s="95"/>
      <c r="T45" s="95"/>
      <c r="U45" s="95"/>
      <c r="V45" s="95"/>
      <c r="W45" s="95"/>
      <c r="X45" s="95"/>
      <c r="Y45" s="95"/>
      <c r="Z45" s="96"/>
      <c r="AA45" s="94"/>
      <c r="AB45" s="95"/>
      <c r="AC45" s="95"/>
      <c r="AD45" s="95"/>
      <c r="AE45" s="95"/>
      <c r="AF45" s="95"/>
      <c r="AG45" s="95"/>
      <c r="AH45" s="95"/>
      <c r="AI45" s="95"/>
      <c r="AJ45" s="95"/>
      <c r="AK45" s="95"/>
      <c r="AL45" s="95"/>
      <c r="AM45" s="95"/>
      <c r="AN45" s="95"/>
      <c r="AO45" s="95"/>
      <c r="AP45" s="96"/>
      <c r="AQ45" s="94"/>
      <c r="AR45" s="95"/>
      <c r="AS45" s="95"/>
      <c r="AT45" s="95"/>
      <c r="AU45" s="96"/>
      <c r="BK45" s="78"/>
    </row>
    <row r="46" spans="1:63" ht="15" customHeight="1" x14ac:dyDescent="0.25">
      <c r="A46" s="77"/>
      <c r="Q46" s="49"/>
      <c r="R46" s="47"/>
      <c r="S46" s="47"/>
      <c r="T46" s="47"/>
      <c r="U46" s="47"/>
      <c r="V46" s="47"/>
      <c r="W46" s="47"/>
      <c r="X46" s="47"/>
      <c r="Y46" s="47"/>
      <c r="Z46" s="48"/>
      <c r="AA46" s="49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8"/>
      <c r="AQ46" s="49"/>
      <c r="AR46" s="47"/>
      <c r="AS46" s="47"/>
      <c r="AT46" s="47"/>
      <c r="AU46" s="48"/>
      <c r="BK46" s="78"/>
    </row>
    <row r="47" spans="1:63" ht="15" customHeight="1" x14ac:dyDescent="0.25">
      <c r="A47" s="77"/>
      <c r="Q47" s="97"/>
      <c r="R47" s="98"/>
      <c r="S47" s="98"/>
      <c r="T47" s="98"/>
      <c r="U47" s="98"/>
      <c r="V47" s="98"/>
      <c r="W47" s="98"/>
      <c r="X47" s="98"/>
      <c r="Y47" s="98"/>
      <c r="Z47" s="99"/>
      <c r="AA47" s="97"/>
      <c r="AB47" s="98"/>
      <c r="AC47" s="98"/>
      <c r="AD47" s="98"/>
      <c r="AE47" s="98"/>
      <c r="AF47" s="98"/>
      <c r="AG47" s="98"/>
      <c r="AH47" s="98"/>
      <c r="AI47" s="98"/>
      <c r="AJ47" s="98"/>
      <c r="AK47" s="98"/>
      <c r="AL47" s="98"/>
      <c r="AM47" s="98"/>
      <c r="AN47" s="98"/>
      <c r="AO47" s="98"/>
      <c r="AP47" s="99"/>
      <c r="AQ47" s="97"/>
      <c r="AR47" s="98"/>
      <c r="AS47" s="98"/>
      <c r="AT47" s="98"/>
      <c r="AU47" s="99"/>
      <c r="BK47" s="78"/>
    </row>
    <row r="48" spans="1:63" ht="15" customHeight="1" x14ac:dyDescent="0.25">
      <c r="A48" s="77"/>
      <c r="Q48" s="97"/>
      <c r="R48" s="98"/>
      <c r="S48" s="98"/>
      <c r="T48" s="98"/>
      <c r="U48" s="98"/>
      <c r="V48" s="98"/>
      <c r="W48" s="98"/>
      <c r="X48" s="98"/>
      <c r="Y48" s="98"/>
      <c r="Z48" s="99"/>
      <c r="AA48" s="97"/>
      <c r="AB48" s="98"/>
      <c r="AC48" s="98"/>
      <c r="AD48" s="98"/>
      <c r="AE48" s="98"/>
      <c r="AF48" s="98"/>
      <c r="AG48" s="98"/>
      <c r="AH48" s="98"/>
      <c r="AI48" s="98"/>
      <c r="AJ48" s="98"/>
      <c r="AK48" s="98"/>
      <c r="AL48" s="98"/>
      <c r="AM48" s="98"/>
      <c r="AN48" s="98"/>
      <c r="AO48" s="98"/>
      <c r="AP48" s="99"/>
      <c r="AQ48" s="97"/>
      <c r="AR48" s="98"/>
      <c r="AS48" s="98"/>
      <c r="AT48" s="98"/>
      <c r="AU48" s="99"/>
      <c r="BK48" s="78"/>
    </row>
    <row r="49" spans="1:63" ht="15" customHeight="1" x14ac:dyDescent="0.25">
      <c r="A49" s="77"/>
      <c r="Q49" s="59"/>
      <c r="R49" s="60"/>
      <c r="S49" s="60"/>
      <c r="T49" s="60"/>
      <c r="U49" s="60"/>
      <c r="V49" s="60"/>
      <c r="W49" s="60"/>
      <c r="X49" s="60"/>
      <c r="Y49" s="60"/>
      <c r="Z49" s="61"/>
      <c r="AA49" s="59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1"/>
      <c r="AQ49" s="59"/>
      <c r="AR49" s="60"/>
      <c r="AS49" s="60"/>
      <c r="AT49" s="60"/>
      <c r="AU49" s="61"/>
      <c r="BK49" s="78"/>
    </row>
    <row r="50" spans="1:63" ht="15" customHeight="1" x14ac:dyDescent="0.25">
      <c r="A50" s="77"/>
      <c r="BK50" s="78"/>
    </row>
    <row r="51" spans="1:63" ht="15" customHeight="1" x14ac:dyDescent="0.25">
      <c r="A51" s="77"/>
      <c r="BK51" s="78"/>
    </row>
    <row r="52" spans="1:63" ht="15" customHeight="1" x14ac:dyDescent="0.25">
      <c r="A52" s="77"/>
      <c r="BK52" s="78"/>
    </row>
    <row r="53" spans="1:63" ht="15" customHeight="1" x14ac:dyDescent="0.25">
      <c r="A53" s="77"/>
      <c r="BK53" s="78"/>
    </row>
    <row r="54" spans="1:63" ht="15" customHeight="1" x14ac:dyDescent="0.25">
      <c r="A54" s="77"/>
      <c r="BK54" s="78"/>
    </row>
    <row r="55" spans="1:63" ht="15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6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40" t="s">
        <v>25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26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tr">
        <f>IF(表紙!W1="","",表紙!W1)</f>
        <v>基本設計書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3" ht="15" customHeight="1" x14ac:dyDescent="0.25">
      <c r="A2" s="49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9" t="str">
        <f>IF(表紙!K2="","",表紙!K2)</f>
        <v>POSサーバ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45643</v>
      </c>
      <c r="AU2" s="54"/>
      <c r="AV2" s="54"/>
      <c r="AW2" s="54"/>
      <c r="AX2" s="55"/>
      <c r="AY2" s="49" t="str">
        <f>IF(表紙!AY2="","",表紙!AY2)</f>
        <v>LoiLV</v>
      </c>
      <c r="AZ2" s="47"/>
      <c r="BA2" s="47"/>
      <c r="BB2" s="48"/>
      <c r="BC2" s="53">
        <f>IF(表紙!BC2="","",表紙!BC2)</f>
        <v>45657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40" t="s">
        <v>34</v>
      </c>
      <c r="B4" s="41"/>
      <c r="C4" s="41"/>
      <c r="D4" s="41"/>
      <c r="E4" s="41"/>
      <c r="F4" s="41"/>
      <c r="G4" s="42"/>
      <c r="H4" s="71" t="str">
        <f>IF(表紙!H4="","",表紙!H4)</f>
        <v>45_商品管理（新規）設定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35</v>
      </c>
      <c r="V4" s="41"/>
      <c r="W4" s="41"/>
      <c r="X4" s="41"/>
      <c r="Y4" s="42"/>
      <c r="Z4" s="71" t="str">
        <f>IF(表紙!Z4="","",表紙!Z4)</f>
        <v>概要設計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改訂履歴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K7" s="78"/>
    </row>
    <row r="8" spans="1:63" ht="15" customHeight="1" x14ac:dyDescent="0.25">
      <c r="A8" s="77"/>
      <c r="B8" s="46" t="s">
        <v>9</v>
      </c>
      <c r="BK8" s="78"/>
    </row>
    <row r="9" spans="1:63" ht="15" customHeight="1" x14ac:dyDescent="0.25">
      <c r="A9" s="77"/>
      <c r="BK9" s="78"/>
    </row>
    <row r="10" spans="1:63" ht="15" customHeight="1" x14ac:dyDescent="0.25">
      <c r="A10" s="77"/>
      <c r="B10" s="100" t="s">
        <v>31</v>
      </c>
      <c r="C10" s="100"/>
      <c r="D10" s="100"/>
      <c r="E10" s="100"/>
      <c r="F10" s="100"/>
      <c r="G10" s="100"/>
      <c r="H10" s="100" t="s">
        <v>30</v>
      </c>
      <c r="I10" s="100"/>
      <c r="J10" s="100"/>
      <c r="K10" s="100"/>
      <c r="L10" s="100"/>
      <c r="M10" s="100"/>
      <c r="N10" s="100"/>
      <c r="O10" s="100" t="s">
        <v>32</v>
      </c>
      <c r="P10" s="100"/>
      <c r="Q10" s="100"/>
      <c r="R10" s="100"/>
      <c r="S10" s="100" t="s">
        <v>39</v>
      </c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 t="s">
        <v>37</v>
      </c>
      <c r="AY10" s="100"/>
      <c r="AZ10" s="100"/>
      <c r="BA10" s="100"/>
      <c r="BB10" s="100"/>
      <c r="BC10" s="100"/>
      <c r="BD10" s="100" t="s">
        <v>38</v>
      </c>
      <c r="BE10" s="100"/>
      <c r="BF10" s="100"/>
      <c r="BG10" s="100"/>
      <c r="BH10" s="100"/>
      <c r="BI10" s="100"/>
      <c r="BJ10" s="100"/>
      <c r="BK10" s="78"/>
    </row>
    <row r="11" spans="1:63" ht="15" customHeight="1" x14ac:dyDescent="0.25">
      <c r="A11" s="77"/>
      <c r="B11" s="53">
        <v>45643</v>
      </c>
      <c r="C11" s="47"/>
      <c r="D11" s="47"/>
      <c r="E11" s="47"/>
      <c r="F11" s="47"/>
      <c r="G11" s="48"/>
      <c r="H11" s="8" t="s">
        <v>40</v>
      </c>
      <c r="I11" s="47"/>
      <c r="J11" s="47"/>
      <c r="K11" s="47"/>
      <c r="L11" s="47"/>
      <c r="M11" s="47"/>
      <c r="N11" s="48"/>
      <c r="O11" s="49">
        <v>0.1</v>
      </c>
      <c r="P11" s="47"/>
      <c r="Q11" s="47"/>
      <c r="R11" s="47"/>
      <c r="S11" s="101" t="s">
        <v>15</v>
      </c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2"/>
      <c r="AP11" s="102"/>
      <c r="AQ11" s="102"/>
      <c r="AR11" s="102"/>
      <c r="AS11" s="102"/>
      <c r="AT11" s="102"/>
      <c r="AU11" s="102"/>
      <c r="AV11" s="102"/>
      <c r="AW11" s="103"/>
      <c r="AX11" s="104"/>
      <c r="AY11" s="104"/>
      <c r="AZ11" s="104"/>
      <c r="BA11" s="104"/>
      <c r="BB11" s="104"/>
      <c r="BC11" s="105"/>
      <c r="BD11" s="106"/>
      <c r="BE11" s="104"/>
      <c r="BF11" s="104"/>
      <c r="BG11" s="104"/>
      <c r="BH11" s="104"/>
      <c r="BI11" s="104"/>
      <c r="BJ11" s="105"/>
      <c r="BK11" s="78"/>
    </row>
    <row r="12" spans="1:63" ht="15" customHeight="1" x14ac:dyDescent="0.25">
      <c r="A12" s="77"/>
      <c r="B12" s="59"/>
      <c r="C12" s="60"/>
      <c r="D12" s="60"/>
      <c r="E12" s="60"/>
      <c r="F12" s="60"/>
      <c r="G12" s="61"/>
      <c r="H12" s="59"/>
      <c r="I12" s="60"/>
      <c r="J12" s="60"/>
      <c r="K12" s="60"/>
      <c r="L12" s="60"/>
      <c r="M12" s="60"/>
      <c r="N12" s="61"/>
      <c r="O12" s="59"/>
      <c r="P12" s="60"/>
      <c r="Q12" s="60"/>
      <c r="R12" s="60"/>
      <c r="S12" s="107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9"/>
      <c r="AX12" s="110"/>
      <c r="AY12" s="110"/>
      <c r="AZ12" s="110"/>
      <c r="BA12" s="110"/>
      <c r="BB12" s="110"/>
      <c r="BC12" s="111"/>
      <c r="BD12" s="112"/>
      <c r="BE12" s="110"/>
      <c r="BF12" s="110"/>
      <c r="BG12" s="110"/>
      <c r="BH12" s="110"/>
      <c r="BI12" s="110"/>
      <c r="BJ12" s="111"/>
      <c r="BK12" s="78"/>
    </row>
    <row r="13" spans="1:63" ht="15" customHeight="1" x14ac:dyDescent="0.25">
      <c r="A13" s="77"/>
      <c r="B13" s="53">
        <v>45657</v>
      </c>
      <c r="C13" s="47"/>
      <c r="D13" s="47"/>
      <c r="E13" s="47"/>
      <c r="F13" s="47"/>
      <c r="G13" s="48"/>
      <c r="H13" s="8" t="s">
        <v>41</v>
      </c>
      <c r="I13" s="47"/>
      <c r="J13" s="47"/>
      <c r="K13" s="47"/>
      <c r="L13" s="47"/>
      <c r="M13" s="47"/>
      <c r="N13" s="48"/>
      <c r="O13" s="49">
        <v>0.11</v>
      </c>
      <c r="P13" s="47"/>
      <c r="Q13" s="47"/>
      <c r="R13" s="47"/>
      <c r="S13" s="101" t="s">
        <v>42</v>
      </c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102"/>
      <c r="AT13" s="102"/>
      <c r="AU13" s="102"/>
      <c r="AV13" s="102"/>
      <c r="AW13" s="103"/>
      <c r="AX13" s="104"/>
      <c r="AY13" s="104"/>
      <c r="AZ13" s="104"/>
      <c r="BA13" s="104"/>
      <c r="BB13" s="104"/>
      <c r="BC13" s="105"/>
      <c r="BD13" s="106"/>
      <c r="BE13" s="104"/>
      <c r="BF13" s="104"/>
      <c r="BG13" s="104"/>
      <c r="BH13" s="104"/>
      <c r="BI13" s="104"/>
      <c r="BJ13" s="105"/>
      <c r="BK13" s="78"/>
    </row>
    <row r="14" spans="1:63" ht="15" customHeight="1" x14ac:dyDescent="0.25">
      <c r="A14" s="77"/>
      <c r="B14" s="59"/>
      <c r="C14" s="60"/>
      <c r="D14" s="60"/>
      <c r="E14" s="60"/>
      <c r="F14" s="60"/>
      <c r="G14" s="61"/>
      <c r="H14" s="59"/>
      <c r="I14" s="60"/>
      <c r="J14" s="60"/>
      <c r="K14" s="60"/>
      <c r="L14" s="60"/>
      <c r="M14" s="60"/>
      <c r="N14" s="61"/>
      <c r="O14" s="59"/>
      <c r="P14" s="60"/>
      <c r="Q14" s="60"/>
      <c r="R14" s="60"/>
      <c r="S14" s="107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9"/>
      <c r="AX14" s="110"/>
      <c r="AY14" s="110"/>
      <c r="AZ14" s="110"/>
      <c r="BA14" s="110"/>
      <c r="BB14" s="110"/>
      <c r="BC14" s="111"/>
      <c r="BD14" s="112"/>
      <c r="BE14" s="110"/>
      <c r="BF14" s="110"/>
      <c r="BG14" s="110"/>
      <c r="BH14" s="110"/>
      <c r="BI14" s="110"/>
      <c r="BJ14" s="111"/>
      <c r="BK14" s="78"/>
    </row>
    <row r="15" spans="1:63" ht="15" customHeight="1" x14ac:dyDescent="0.25">
      <c r="A15" s="77"/>
      <c r="B15" s="53"/>
      <c r="C15" s="47"/>
      <c r="D15" s="47"/>
      <c r="E15" s="47"/>
      <c r="F15" s="47"/>
      <c r="G15" s="48"/>
      <c r="H15" s="49"/>
      <c r="I15" s="47"/>
      <c r="J15" s="47"/>
      <c r="K15" s="47"/>
      <c r="L15" s="47"/>
      <c r="M15" s="47"/>
      <c r="N15" s="48"/>
      <c r="O15" s="49"/>
      <c r="P15" s="47"/>
      <c r="Q15" s="47"/>
      <c r="R15" s="47"/>
      <c r="S15" s="101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  <c r="AF15" s="102"/>
      <c r="AG15" s="102"/>
      <c r="AH15" s="102"/>
      <c r="AI15" s="102"/>
      <c r="AJ15" s="102"/>
      <c r="AK15" s="102"/>
      <c r="AL15" s="102"/>
      <c r="AM15" s="102"/>
      <c r="AN15" s="102"/>
      <c r="AO15" s="102"/>
      <c r="AP15" s="102"/>
      <c r="AQ15" s="102"/>
      <c r="AR15" s="102"/>
      <c r="AS15" s="102"/>
      <c r="AT15" s="102"/>
      <c r="AU15" s="102"/>
      <c r="AV15" s="102"/>
      <c r="AW15" s="103"/>
      <c r="AX15" s="104"/>
      <c r="AY15" s="104"/>
      <c r="AZ15" s="104"/>
      <c r="BA15" s="104"/>
      <c r="BB15" s="104"/>
      <c r="BC15" s="105"/>
      <c r="BD15" s="106"/>
      <c r="BE15" s="104"/>
      <c r="BF15" s="104"/>
      <c r="BG15" s="104"/>
      <c r="BH15" s="104"/>
      <c r="BI15" s="104"/>
      <c r="BJ15" s="105"/>
      <c r="BK15" s="78"/>
    </row>
    <row r="16" spans="1:63" ht="15" customHeight="1" x14ac:dyDescent="0.25">
      <c r="A16" s="77"/>
      <c r="B16" s="59"/>
      <c r="C16" s="60"/>
      <c r="D16" s="60"/>
      <c r="E16" s="60"/>
      <c r="F16" s="60"/>
      <c r="G16" s="61"/>
      <c r="H16" s="59"/>
      <c r="I16" s="60"/>
      <c r="J16" s="60"/>
      <c r="K16" s="60"/>
      <c r="L16" s="60"/>
      <c r="M16" s="60"/>
      <c r="N16" s="61"/>
      <c r="O16" s="59"/>
      <c r="P16" s="60"/>
      <c r="Q16" s="60"/>
      <c r="R16" s="60"/>
      <c r="S16" s="107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9"/>
      <c r="AX16" s="110"/>
      <c r="AY16" s="110"/>
      <c r="AZ16" s="110"/>
      <c r="BA16" s="110"/>
      <c r="BB16" s="110"/>
      <c r="BC16" s="111"/>
      <c r="BD16" s="112"/>
      <c r="BE16" s="110"/>
      <c r="BF16" s="110"/>
      <c r="BG16" s="110"/>
      <c r="BH16" s="110"/>
      <c r="BI16" s="110"/>
      <c r="BJ16" s="111"/>
      <c r="BK16" s="78"/>
    </row>
    <row r="17" spans="1:63" ht="15" customHeight="1" x14ac:dyDescent="0.25">
      <c r="A17" s="77"/>
      <c r="B17" s="53"/>
      <c r="C17" s="47"/>
      <c r="D17" s="47"/>
      <c r="E17" s="47"/>
      <c r="F17" s="47"/>
      <c r="G17" s="48"/>
      <c r="H17" s="49"/>
      <c r="I17" s="47"/>
      <c r="J17" s="47"/>
      <c r="K17" s="47"/>
      <c r="L17" s="47"/>
      <c r="M17" s="47"/>
      <c r="N17" s="48"/>
      <c r="O17" s="49"/>
      <c r="P17" s="47"/>
      <c r="Q17" s="47"/>
      <c r="R17" s="47"/>
      <c r="S17" s="101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3"/>
      <c r="AX17" s="104"/>
      <c r="AY17" s="104"/>
      <c r="AZ17" s="104"/>
      <c r="BA17" s="104"/>
      <c r="BB17" s="104"/>
      <c r="BC17" s="105"/>
      <c r="BD17" s="106"/>
      <c r="BE17" s="104"/>
      <c r="BF17" s="104"/>
      <c r="BG17" s="104"/>
      <c r="BH17" s="104"/>
      <c r="BI17" s="104"/>
      <c r="BJ17" s="105"/>
      <c r="BK17" s="78"/>
    </row>
    <row r="18" spans="1:63" ht="15" customHeight="1" x14ac:dyDescent="0.25">
      <c r="A18" s="77"/>
      <c r="B18" s="59"/>
      <c r="C18" s="60"/>
      <c r="D18" s="60"/>
      <c r="E18" s="60"/>
      <c r="F18" s="60"/>
      <c r="G18" s="61"/>
      <c r="H18" s="59"/>
      <c r="I18" s="60"/>
      <c r="J18" s="60"/>
      <c r="K18" s="60"/>
      <c r="L18" s="60"/>
      <c r="M18" s="60"/>
      <c r="N18" s="61"/>
      <c r="O18" s="59"/>
      <c r="P18" s="60"/>
      <c r="Q18" s="60"/>
      <c r="R18" s="60"/>
      <c r="S18" s="107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9"/>
      <c r="AX18" s="110"/>
      <c r="AY18" s="110"/>
      <c r="AZ18" s="110"/>
      <c r="BA18" s="110"/>
      <c r="BB18" s="110"/>
      <c r="BC18" s="111"/>
      <c r="BD18" s="112"/>
      <c r="BE18" s="110"/>
      <c r="BF18" s="110"/>
      <c r="BG18" s="110"/>
      <c r="BH18" s="110"/>
      <c r="BI18" s="110"/>
      <c r="BJ18" s="111"/>
      <c r="BK18" s="78"/>
    </row>
    <row r="19" spans="1:63" ht="15" customHeight="1" x14ac:dyDescent="0.25">
      <c r="A19" s="77"/>
      <c r="B19" s="53"/>
      <c r="C19" s="47"/>
      <c r="D19" s="47"/>
      <c r="E19" s="47"/>
      <c r="F19" s="47"/>
      <c r="G19" s="48"/>
      <c r="H19" s="49"/>
      <c r="I19" s="47"/>
      <c r="J19" s="47"/>
      <c r="K19" s="47"/>
      <c r="L19" s="47"/>
      <c r="M19" s="47"/>
      <c r="N19" s="48"/>
      <c r="O19" s="49"/>
      <c r="P19" s="47"/>
      <c r="Q19" s="47"/>
      <c r="R19" s="47"/>
      <c r="S19" s="101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2"/>
      <c r="AJ19" s="102"/>
      <c r="AK19" s="102"/>
      <c r="AL19" s="102"/>
      <c r="AM19" s="102"/>
      <c r="AN19" s="102"/>
      <c r="AO19" s="102"/>
      <c r="AP19" s="102"/>
      <c r="AQ19" s="102"/>
      <c r="AR19" s="102"/>
      <c r="AS19" s="102"/>
      <c r="AT19" s="102"/>
      <c r="AU19" s="102"/>
      <c r="AV19" s="102"/>
      <c r="AW19" s="103"/>
      <c r="AX19" s="104"/>
      <c r="AY19" s="104"/>
      <c r="AZ19" s="104"/>
      <c r="BA19" s="104"/>
      <c r="BB19" s="104"/>
      <c r="BC19" s="105"/>
      <c r="BD19" s="106"/>
      <c r="BE19" s="104"/>
      <c r="BF19" s="104"/>
      <c r="BG19" s="104"/>
      <c r="BH19" s="104"/>
      <c r="BI19" s="104"/>
      <c r="BJ19" s="105"/>
      <c r="BK19" s="78"/>
    </row>
    <row r="20" spans="1:63" ht="15" customHeight="1" x14ac:dyDescent="0.25">
      <c r="A20" s="77"/>
      <c r="B20" s="59"/>
      <c r="C20" s="60"/>
      <c r="D20" s="60"/>
      <c r="E20" s="60"/>
      <c r="F20" s="60"/>
      <c r="G20" s="61"/>
      <c r="H20" s="59"/>
      <c r="I20" s="60"/>
      <c r="J20" s="60"/>
      <c r="K20" s="60"/>
      <c r="L20" s="60"/>
      <c r="M20" s="60"/>
      <c r="N20" s="61"/>
      <c r="O20" s="59"/>
      <c r="P20" s="60"/>
      <c r="Q20" s="60"/>
      <c r="R20" s="60"/>
      <c r="S20" s="107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08"/>
      <c r="AQ20" s="108"/>
      <c r="AR20" s="108"/>
      <c r="AS20" s="108"/>
      <c r="AT20" s="108"/>
      <c r="AU20" s="108"/>
      <c r="AV20" s="108"/>
      <c r="AW20" s="109"/>
      <c r="AX20" s="110"/>
      <c r="AY20" s="110"/>
      <c r="AZ20" s="110"/>
      <c r="BA20" s="110"/>
      <c r="BB20" s="110"/>
      <c r="BC20" s="111"/>
      <c r="BD20" s="112"/>
      <c r="BE20" s="110"/>
      <c r="BF20" s="110"/>
      <c r="BG20" s="110"/>
      <c r="BH20" s="110"/>
      <c r="BI20" s="110"/>
      <c r="BJ20" s="111"/>
      <c r="BK20" s="78"/>
    </row>
    <row r="21" spans="1:63" ht="15" customHeight="1" x14ac:dyDescent="0.25">
      <c r="A21" s="77"/>
      <c r="B21" s="53"/>
      <c r="C21" s="47"/>
      <c r="D21" s="47"/>
      <c r="E21" s="47"/>
      <c r="F21" s="47"/>
      <c r="G21" s="48"/>
      <c r="H21" s="49"/>
      <c r="I21" s="47"/>
      <c r="J21" s="47"/>
      <c r="K21" s="47"/>
      <c r="L21" s="47"/>
      <c r="M21" s="47"/>
      <c r="N21" s="48"/>
      <c r="O21" s="49"/>
      <c r="P21" s="47"/>
      <c r="Q21" s="47"/>
      <c r="R21" s="47"/>
      <c r="S21" s="101"/>
      <c r="T21" s="102"/>
      <c r="U21" s="102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/>
      <c r="AN21" s="102"/>
      <c r="AO21" s="102"/>
      <c r="AP21" s="102"/>
      <c r="AQ21" s="102"/>
      <c r="AR21" s="102"/>
      <c r="AS21" s="102"/>
      <c r="AT21" s="102"/>
      <c r="AU21" s="102"/>
      <c r="AV21" s="102"/>
      <c r="AW21" s="103"/>
      <c r="AX21" s="24"/>
      <c r="AY21" s="24"/>
      <c r="AZ21" s="24"/>
      <c r="BA21" s="24"/>
      <c r="BB21" s="24"/>
      <c r="BC21" s="25"/>
      <c r="BD21" s="28"/>
      <c r="BE21" s="24"/>
      <c r="BF21" s="24"/>
      <c r="BG21" s="24"/>
      <c r="BH21" s="24"/>
      <c r="BI21" s="24"/>
      <c r="BJ21" s="25"/>
      <c r="BK21" s="78"/>
    </row>
    <row r="22" spans="1:63" ht="15" customHeight="1" x14ac:dyDescent="0.25">
      <c r="A22" s="77"/>
      <c r="B22" s="59"/>
      <c r="C22" s="60"/>
      <c r="D22" s="60"/>
      <c r="E22" s="60"/>
      <c r="F22" s="60"/>
      <c r="G22" s="61"/>
      <c r="H22" s="59"/>
      <c r="I22" s="60"/>
      <c r="J22" s="60"/>
      <c r="K22" s="60"/>
      <c r="L22" s="60"/>
      <c r="M22" s="60"/>
      <c r="N22" s="61"/>
      <c r="O22" s="59"/>
      <c r="P22" s="60"/>
      <c r="Q22" s="60"/>
      <c r="R22" s="60"/>
      <c r="S22" s="107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08"/>
      <c r="AQ22" s="108"/>
      <c r="AR22" s="108"/>
      <c r="AS22" s="108"/>
      <c r="AT22" s="108"/>
      <c r="AU22" s="108"/>
      <c r="AV22" s="108"/>
      <c r="AW22" s="109"/>
      <c r="AX22" s="26"/>
      <c r="AY22" s="26"/>
      <c r="AZ22" s="26"/>
      <c r="BA22" s="26"/>
      <c r="BB22" s="26"/>
      <c r="BC22" s="27"/>
      <c r="BD22" s="29"/>
      <c r="BE22" s="26"/>
      <c r="BF22" s="26"/>
      <c r="BG22" s="26"/>
      <c r="BH22" s="26"/>
      <c r="BI22" s="26"/>
      <c r="BJ22" s="27"/>
      <c r="BK22" s="78"/>
    </row>
    <row r="23" spans="1:63" ht="15" customHeight="1" x14ac:dyDescent="0.25">
      <c r="A23" s="77"/>
      <c r="B23" s="53"/>
      <c r="C23" s="47"/>
      <c r="D23" s="47"/>
      <c r="E23" s="47"/>
      <c r="F23" s="47"/>
      <c r="G23" s="48"/>
      <c r="H23" s="49"/>
      <c r="I23" s="47"/>
      <c r="J23" s="47"/>
      <c r="K23" s="47"/>
      <c r="L23" s="47"/>
      <c r="M23" s="47"/>
      <c r="N23" s="48"/>
      <c r="O23" s="49"/>
      <c r="P23" s="47"/>
      <c r="Q23" s="47"/>
      <c r="R23" s="47"/>
      <c r="S23" s="101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/>
      <c r="AN23" s="102"/>
      <c r="AO23" s="102"/>
      <c r="AP23" s="102"/>
      <c r="AQ23" s="102"/>
      <c r="AR23" s="102"/>
      <c r="AS23" s="102"/>
      <c r="AT23" s="102"/>
      <c r="AU23" s="102"/>
      <c r="AV23" s="102"/>
      <c r="AW23" s="103"/>
      <c r="AX23" s="104"/>
      <c r="AY23" s="104"/>
      <c r="AZ23" s="104"/>
      <c r="BA23" s="104"/>
      <c r="BB23" s="104"/>
      <c r="BC23" s="105"/>
      <c r="BD23" s="106"/>
      <c r="BE23" s="104"/>
      <c r="BF23" s="104"/>
      <c r="BG23" s="104"/>
      <c r="BH23" s="104"/>
      <c r="BI23" s="104"/>
      <c r="BJ23" s="105"/>
      <c r="BK23" s="78"/>
    </row>
    <row r="24" spans="1:63" ht="15" customHeight="1" x14ac:dyDescent="0.25">
      <c r="A24" s="77"/>
      <c r="B24" s="59"/>
      <c r="C24" s="60"/>
      <c r="D24" s="60"/>
      <c r="E24" s="60"/>
      <c r="F24" s="60"/>
      <c r="G24" s="61"/>
      <c r="H24" s="59"/>
      <c r="I24" s="60"/>
      <c r="J24" s="60"/>
      <c r="K24" s="60"/>
      <c r="L24" s="60"/>
      <c r="M24" s="60"/>
      <c r="N24" s="61"/>
      <c r="O24" s="59"/>
      <c r="P24" s="60"/>
      <c r="Q24" s="60"/>
      <c r="R24" s="60"/>
      <c r="S24" s="107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9"/>
      <c r="AX24" s="110"/>
      <c r="AY24" s="110"/>
      <c r="AZ24" s="110"/>
      <c r="BA24" s="110"/>
      <c r="BB24" s="110"/>
      <c r="BC24" s="111"/>
      <c r="BD24" s="112"/>
      <c r="BE24" s="110"/>
      <c r="BF24" s="110"/>
      <c r="BG24" s="110"/>
      <c r="BH24" s="110"/>
      <c r="BI24" s="110"/>
      <c r="BJ24" s="111"/>
      <c r="BK24" s="78"/>
    </row>
    <row r="25" spans="1:63" ht="15" customHeight="1" x14ac:dyDescent="0.25">
      <c r="A25" s="77"/>
      <c r="B25" s="53"/>
      <c r="C25" s="47"/>
      <c r="D25" s="47"/>
      <c r="E25" s="47"/>
      <c r="F25" s="47"/>
      <c r="G25" s="48"/>
      <c r="H25" s="49"/>
      <c r="I25" s="47"/>
      <c r="J25" s="47"/>
      <c r="K25" s="47"/>
      <c r="L25" s="47"/>
      <c r="M25" s="47"/>
      <c r="N25" s="48"/>
      <c r="O25" s="49"/>
      <c r="P25" s="47"/>
      <c r="Q25" s="47"/>
      <c r="R25" s="47"/>
      <c r="S25" s="101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  <c r="AF25" s="102"/>
      <c r="AG25" s="102"/>
      <c r="AH25" s="102"/>
      <c r="AI25" s="102"/>
      <c r="AJ25" s="102"/>
      <c r="AK25" s="102"/>
      <c r="AL25" s="102"/>
      <c r="AM25" s="102"/>
      <c r="AN25" s="102"/>
      <c r="AO25" s="102"/>
      <c r="AP25" s="102"/>
      <c r="AQ25" s="102"/>
      <c r="AR25" s="102"/>
      <c r="AS25" s="102"/>
      <c r="AT25" s="102"/>
      <c r="AU25" s="102"/>
      <c r="AV25" s="102"/>
      <c r="AW25" s="103"/>
      <c r="AX25" s="104"/>
      <c r="AY25" s="104"/>
      <c r="AZ25" s="104"/>
      <c r="BA25" s="104"/>
      <c r="BB25" s="104"/>
      <c r="BC25" s="105"/>
      <c r="BD25" s="106"/>
      <c r="BE25" s="104"/>
      <c r="BF25" s="104"/>
      <c r="BG25" s="104"/>
      <c r="BH25" s="104"/>
      <c r="BI25" s="104"/>
      <c r="BJ25" s="105"/>
      <c r="BK25" s="78"/>
    </row>
    <row r="26" spans="1:63" ht="15" customHeight="1" x14ac:dyDescent="0.25">
      <c r="A26" s="77"/>
      <c r="B26" s="59"/>
      <c r="C26" s="60"/>
      <c r="D26" s="60"/>
      <c r="E26" s="60"/>
      <c r="F26" s="60"/>
      <c r="G26" s="61"/>
      <c r="H26" s="59"/>
      <c r="I26" s="60"/>
      <c r="J26" s="60"/>
      <c r="K26" s="60"/>
      <c r="L26" s="60"/>
      <c r="M26" s="60"/>
      <c r="N26" s="61"/>
      <c r="O26" s="59"/>
      <c r="P26" s="60"/>
      <c r="Q26" s="60"/>
      <c r="R26" s="60"/>
      <c r="S26" s="107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08"/>
      <c r="AQ26" s="108"/>
      <c r="AR26" s="108"/>
      <c r="AS26" s="108"/>
      <c r="AT26" s="108"/>
      <c r="AU26" s="108"/>
      <c r="AV26" s="108"/>
      <c r="AW26" s="109"/>
      <c r="AX26" s="110"/>
      <c r="AY26" s="110"/>
      <c r="AZ26" s="110"/>
      <c r="BA26" s="110"/>
      <c r="BB26" s="110"/>
      <c r="BC26" s="111"/>
      <c r="BD26" s="112"/>
      <c r="BE26" s="110"/>
      <c r="BF26" s="110"/>
      <c r="BG26" s="110"/>
      <c r="BH26" s="110"/>
      <c r="BI26" s="110"/>
      <c r="BJ26" s="111"/>
      <c r="BK26" s="78"/>
    </row>
    <row r="27" spans="1:63" ht="15" customHeight="1" x14ac:dyDescent="0.25">
      <c r="A27" s="77"/>
      <c r="B27" s="53"/>
      <c r="C27" s="47"/>
      <c r="D27" s="47"/>
      <c r="E27" s="47"/>
      <c r="F27" s="47"/>
      <c r="G27" s="48"/>
      <c r="H27" s="49"/>
      <c r="I27" s="47"/>
      <c r="J27" s="47"/>
      <c r="K27" s="47"/>
      <c r="L27" s="47"/>
      <c r="M27" s="47"/>
      <c r="N27" s="48"/>
      <c r="O27" s="49"/>
      <c r="P27" s="47"/>
      <c r="Q27" s="47"/>
      <c r="R27" s="47"/>
      <c r="S27" s="101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102"/>
      <c r="AH27" s="102"/>
      <c r="AI27" s="102"/>
      <c r="AJ27" s="102"/>
      <c r="AK27" s="102"/>
      <c r="AL27" s="102"/>
      <c r="AM27" s="102"/>
      <c r="AN27" s="102"/>
      <c r="AO27" s="102"/>
      <c r="AP27" s="102"/>
      <c r="AQ27" s="102"/>
      <c r="AR27" s="102"/>
      <c r="AS27" s="102"/>
      <c r="AT27" s="102"/>
      <c r="AU27" s="102"/>
      <c r="AV27" s="102"/>
      <c r="AW27" s="103"/>
      <c r="AX27" s="104"/>
      <c r="AY27" s="104"/>
      <c r="AZ27" s="104"/>
      <c r="BA27" s="104"/>
      <c r="BB27" s="104"/>
      <c r="BC27" s="105"/>
      <c r="BD27" s="106"/>
      <c r="BE27" s="104"/>
      <c r="BF27" s="104"/>
      <c r="BG27" s="104"/>
      <c r="BH27" s="104"/>
      <c r="BI27" s="104"/>
      <c r="BJ27" s="105"/>
      <c r="BK27" s="78"/>
    </row>
    <row r="28" spans="1:63" ht="15" customHeight="1" x14ac:dyDescent="0.25">
      <c r="A28" s="77"/>
      <c r="B28" s="59"/>
      <c r="C28" s="60"/>
      <c r="D28" s="60"/>
      <c r="E28" s="60"/>
      <c r="F28" s="60"/>
      <c r="G28" s="61"/>
      <c r="H28" s="59"/>
      <c r="I28" s="60"/>
      <c r="J28" s="60"/>
      <c r="K28" s="60"/>
      <c r="L28" s="60"/>
      <c r="M28" s="60"/>
      <c r="N28" s="61"/>
      <c r="O28" s="59"/>
      <c r="P28" s="60"/>
      <c r="Q28" s="60"/>
      <c r="R28" s="60"/>
      <c r="S28" s="107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08"/>
      <c r="AQ28" s="108"/>
      <c r="AR28" s="108"/>
      <c r="AS28" s="108"/>
      <c r="AT28" s="108"/>
      <c r="AU28" s="108"/>
      <c r="AV28" s="108"/>
      <c r="AW28" s="109"/>
      <c r="AX28" s="110"/>
      <c r="AY28" s="110"/>
      <c r="AZ28" s="110"/>
      <c r="BA28" s="110"/>
      <c r="BB28" s="110"/>
      <c r="BC28" s="111"/>
      <c r="BD28" s="112"/>
      <c r="BE28" s="110"/>
      <c r="BF28" s="110"/>
      <c r="BG28" s="110"/>
      <c r="BH28" s="110"/>
      <c r="BI28" s="110"/>
      <c r="BJ28" s="111"/>
      <c r="BK28" s="78"/>
    </row>
    <row r="29" spans="1:63" ht="15" customHeight="1" x14ac:dyDescent="0.25">
      <c r="A29" s="77"/>
      <c r="B29" s="53"/>
      <c r="C29" s="47"/>
      <c r="D29" s="47"/>
      <c r="E29" s="47"/>
      <c r="F29" s="47"/>
      <c r="G29" s="48"/>
      <c r="H29" s="49"/>
      <c r="I29" s="47"/>
      <c r="J29" s="47"/>
      <c r="K29" s="47"/>
      <c r="L29" s="47"/>
      <c r="M29" s="47"/>
      <c r="N29" s="48"/>
      <c r="O29" s="49"/>
      <c r="P29" s="47"/>
      <c r="Q29" s="47"/>
      <c r="R29" s="47"/>
      <c r="S29" s="113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5"/>
      <c r="AX29" s="18"/>
      <c r="AY29" s="18"/>
      <c r="AZ29" s="18"/>
      <c r="BA29" s="18"/>
      <c r="BB29" s="18"/>
      <c r="BC29" s="19"/>
      <c r="BD29" s="22"/>
      <c r="BE29" s="18"/>
      <c r="BF29" s="18"/>
      <c r="BG29" s="18"/>
      <c r="BH29" s="18"/>
      <c r="BI29" s="18"/>
      <c r="BJ29" s="19"/>
      <c r="BK29" s="78"/>
    </row>
    <row r="30" spans="1:63" ht="15" customHeight="1" x14ac:dyDescent="0.25">
      <c r="A30" s="77"/>
      <c r="B30" s="59"/>
      <c r="C30" s="60"/>
      <c r="D30" s="60"/>
      <c r="E30" s="60"/>
      <c r="F30" s="60"/>
      <c r="G30" s="61"/>
      <c r="H30" s="59"/>
      <c r="I30" s="60"/>
      <c r="J30" s="60"/>
      <c r="K30" s="60"/>
      <c r="L30" s="60"/>
      <c r="M30" s="60"/>
      <c r="N30" s="61"/>
      <c r="O30" s="59"/>
      <c r="P30" s="60"/>
      <c r="Q30" s="60"/>
      <c r="R30" s="60"/>
      <c r="S30" s="116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9"/>
      <c r="AX30" s="20"/>
      <c r="AY30" s="20"/>
      <c r="AZ30" s="20"/>
      <c r="BA30" s="20"/>
      <c r="BB30" s="20"/>
      <c r="BC30" s="21"/>
      <c r="BD30" s="23"/>
      <c r="BE30" s="20"/>
      <c r="BF30" s="20"/>
      <c r="BG30" s="20"/>
      <c r="BH30" s="20"/>
      <c r="BI30" s="20"/>
      <c r="BJ30" s="21"/>
      <c r="BK30" s="78"/>
    </row>
    <row r="31" spans="1:63" ht="15" customHeight="1" x14ac:dyDescent="0.25">
      <c r="A31" s="77"/>
      <c r="B31" s="53"/>
      <c r="C31" s="47"/>
      <c r="D31" s="47"/>
      <c r="E31" s="47"/>
      <c r="F31" s="47"/>
      <c r="G31" s="48"/>
      <c r="H31" s="49"/>
      <c r="I31" s="47"/>
      <c r="J31" s="47"/>
      <c r="K31" s="47"/>
      <c r="L31" s="47"/>
      <c r="M31" s="47"/>
      <c r="N31" s="48"/>
      <c r="O31" s="49"/>
      <c r="P31" s="47"/>
      <c r="Q31" s="47"/>
      <c r="R31" s="47"/>
      <c r="S31" s="101"/>
      <c r="T31" s="102"/>
      <c r="U31" s="102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2"/>
      <c r="AJ31" s="102"/>
      <c r="AK31" s="102"/>
      <c r="AL31" s="102"/>
      <c r="AM31" s="102"/>
      <c r="AN31" s="102"/>
      <c r="AO31" s="102"/>
      <c r="AP31" s="102"/>
      <c r="AQ31" s="102"/>
      <c r="AR31" s="102"/>
      <c r="AS31" s="102"/>
      <c r="AT31" s="102"/>
      <c r="AU31" s="102"/>
      <c r="AV31" s="102"/>
      <c r="AW31" s="103"/>
      <c r="AX31" s="104"/>
      <c r="AY31" s="104"/>
      <c r="AZ31" s="104"/>
      <c r="BA31" s="104"/>
      <c r="BB31" s="104"/>
      <c r="BC31" s="105"/>
      <c r="BD31" s="106"/>
      <c r="BE31" s="104"/>
      <c r="BF31" s="104"/>
      <c r="BG31" s="104"/>
      <c r="BH31" s="104"/>
      <c r="BI31" s="104"/>
      <c r="BJ31" s="105"/>
      <c r="BK31" s="78"/>
    </row>
    <row r="32" spans="1:63" ht="15" customHeight="1" x14ac:dyDescent="0.25">
      <c r="A32" s="77"/>
      <c r="B32" s="59"/>
      <c r="C32" s="60"/>
      <c r="D32" s="60"/>
      <c r="E32" s="60"/>
      <c r="F32" s="60"/>
      <c r="G32" s="61"/>
      <c r="H32" s="59"/>
      <c r="I32" s="60"/>
      <c r="J32" s="60"/>
      <c r="K32" s="60"/>
      <c r="L32" s="60"/>
      <c r="M32" s="60"/>
      <c r="N32" s="61"/>
      <c r="O32" s="59"/>
      <c r="P32" s="60"/>
      <c r="Q32" s="60"/>
      <c r="R32" s="60"/>
      <c r="S32" s="107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08"/>
      <c r="AQ32" s="108"/>
      <c r="AR32" s="108"/>
      <c r="AS32" s="108"/>
      <c r="AT32" s="108"/>
      <c r="AU32" s="108"/>
      <c r="AV32" s="108"/>
      <c r="AW32" s="109"/>
      <c r="AX32" s="110"/>
      <c r="AY32" s="110"/>
      <c r="AZ32" s="110"/>
      <c r="BA32" s="110"/>
      <c r="BB32" s="110"/>
      <c r="BC32" s="111"/>
      <c r="BD32" s="112"/>
      <c r="BE32" s="110"/>
      <c r="BF32" s="110"/>
      <c r="BG32" s="110"/>
      <c r="BH32" s="110"/>
      <c r="BI32" s="110"/>
      <c r="BJ32" s="111"/>
      <c r="BK32" s="78"/>
    </row>
    <row r="33" spans="1:63" ht="15" customHeight="1" x14ac:dyDescent="0.25">
      <c r="A33" s="77"/>
      <c r="B33" s="53"/>
      <c r="C33" s="47"/>
      <c r="D33" s="47"/>
      <c r="E33" s="47"/>
      <c r="F33" s="47"/>
      <c r="G33" s="48"/>
      <c r="H33" s="49"/>
      <c r="I33" s="47"/>
      <c r="J33" s="47"/>
      <c r="K33" s="47"/>
      <c r="L33" s="47"/>
      <c r="M33" s="47"/>
      <c r="N33" s="48"/>
      <c r="O33" s="49"/>
      <c r="P33" s="47"/>
      <c r="Q33" s="47"/>
      <c r="R33" s="47"/>
      <c r="S33" s="101"/>
      <c r="T33" s="102"/>
      <c r="U33" s="102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2"/>
      <c r="AJ33" s="102"/>
      <c r="AK33" s="102"/>
      <c r="AL33" s="102"/>
      <c r="AM33" s="102"/>
      <c r="AN33" s="102"/>
      <c r="AO33" s="102"/>
      <c r="AP33" s="102"/>
      <c r="AQ33" s="102"/>
      <c r="AR33" s="102"/>
      <c r="AS33" s="102"/>
      <c r="AT33" s="102"/>
      <c r="AU33" s="102"/>
      <c r="AV33" s="102"/>
      <c r="AW33" s="103"/>
      <c r="AX33" s="117"/>
      <c r="AY33" s="117"/>
      <c r="AZ33" s="117"/>
      <c r="BA33" s="117"/>
      <c r="BB33" s="117"/>
      <c r="BC33" s="118"/>
      <c r="BD33" s="119"/>
      <c r="BE33" s="117"/>
      <c r="BF33" s="117"/>
      <c r="BG33" s="117"/>
      <c r="BH33" s="117"/>
      <c r="BI33" s="117"/>
      <c r="BJ33" s="118"/>
      <c r="BK33" s="78"/>
    </row>
    <row r="34" spans="1:63" ht="15" customHeight="1" x14ac:dyDescent="0.25">
      <c r="A34" s="77"/>
      <c r="B34" s="59"/>
      <c r="C34" s="60"/>
      <c r="D34" s="60"/>
      <c r="E34" s="60"/>
      <c r="F34" s="60"/>
      <c r="G34" s="61"/>
      <c r="H34" s="59"/>
      <c r="I34" s="60"/>
      <c r="J34" s="60"/>
      <c r="K34" s="60"/>
      <c r="L34" s="60"/>
      <c r="M34" s="60"/>
      <c r="N34" s="61"/>
      <c r="O34" s="59"/>
      <c r="P34" s="60"/>
      <c r="Q34" s="60"/>
      <c r="R34" s="60"/>
      <c r="S34" s="107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/>
      <c r="AQ34" s="108"/>
      <c r="AR34" s="108"/>
      <c r="AS34" s="108"/>
      <c r="AT34" s="108"/>
      <c r="AU34" s="108"/>
      <c r="AV34" s="108"/>
      <c r="AW34" s="109"/>
      <c r="AX34" s="120"/>
      <c r="AY34" s="120"/>
      <c r="AZ34" s="120"/>
      <c r="BA34" s="120"/>
      <c r="BB34" s="120"/>
      <c r="BC34" s="121"/>
      <c r="BD34" s="122"/>
      <c r="BE34" s="120"/>
      <c r="BF34" s="120"/>
      <c r="BG34" s="120"/>
      <c r="BH34" s="120"/>
      <c r="BI34" s="120"/>
      <c r="BJ34" s="121"/>
      <c r="BK34" s="78"/>
    </row>
    <row r="35" spans="1:63" ht="15" customHeight="1" x14ac:dyDescent="0.25">
      <c r="A35" s="77"/>
      <c r="B35" s="53"/>
      <c r="C35" s="47"/>
      <c r="D35" s="47"/>
      <c r="E35" s="47"/>
      <c r="F35" s="47"/>
      <c r="G35" s="48"/>
      <c r="H35" s="49"/>
      <c r="I35" s="47"/>
      <c r="J35" s="47"/>
      <c r="K35" s="47"/>
      <c r="L35" s="47"/>
      <c r="M35" s="47"/>
      <c r="N35" s="48"/>
      <c r="O35" s="49"/>
      <c r="P35" s="47"/>
      <c r="Q35" s="47"/>
      <c r="R35" s="47"/>
      <c r="S35" s="101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2"/>
      <c r="AQ35" s="102"/>
      <c r="AR35" s="102"/>
      <c r="AS35" s="102"/>
      <c r="AT35" s="102"/>
      <c r="AU35" s="102"/>
      <c r="AV35" s="102"/>
      <c r="AW35" s="103"/>
      <c r="AX35" s="104"/>
      <c r="AY35" s="104"/>
      <c r="AZ35" s="104"/>
      <c r="BA35" s="104"/>
      <c r="BB35" s="104"/>
      <c r="BC35" s="105"/>
      <c r="BD35" s="106"/>
      <c r="BE35" s="104"/>
      <c r="BF35" s="104"/>
      <c r="BG35" s="104"/>
      <c r="BH35" s="104"/>
      <c r="BI35" s="104"/>
      <c r="BJ35" s="105"/>
      <c r="BK35" s="78"/>
    </row>
    <row r="36" spans="1:63" ht="15" customHeight="1" x14ac:dyDescent="0.25">
      <c r="A36" s="77"/>
      <c r="B36" s="59"/>
      <c r="C36" s="60"/>
      <c r="D36" s="60"/>
      <c r="E36" s="60"/>
      <c r="F36" s="60"/>
      <c r="G36" s="61"/>
      <c r="H36" s="59"/>
      <c r="I36" s="60"/>
      <c r="J36" s="60"/>
      <c r="K36" s="60"/>
      <c r="L36" s="60"/>
      <c r="M36" s="60"/>
      <c r="N36" s="61"/>
      <c r="O36" s="59"/>
      <c r="P36" s="60"/>
      <c r="Q36" s="60"/>
      <c r="R36" s="60"/>
      <c r="S36" s="107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108"/>
      <c r="AH36" s="108"/>
      <c r="AI36" s="108"/>
      <c r="AJ36" s="108"/>
      <c r="AK36" s="108"/>
      <c r="AL36" s="108"/>
      <c r="AM36" s="108"/>
      <c r="AN36" s="108"/>
      <c r="AO36" s="108"/>
      <c r="AP36" s="108"/>
      <c r="AQ36" s="108"/>
      <c r="AR36" s="108"/>
      <c r="AS36" s="108"/>
      <c r="AT36" s="108"/>
      <c r="AU36" s="108"/>
      <c r="AV36" s="108"/>
      <c r="AW36" s="109"/>
      <c r="AX36" s="110"/>
      <c r="AY36" s="110"/>
      <c r="AZ36" s="110"/>
      <c r="BA36" s="110"/>
      <c r="BB36" s="110"/>
      <c r="BC36" s="111"/>
      <c r="BD36" s="112"/>
      <c r="BE36" s="110"/>
      <c r="BF36" s="110"/>
      <c r="BG36" s="110"/>
      <c r="BH36" s="110"/>
      <c r="BI36" s="110"/>
      <c r="BJ36" s="111"/>
      <c r="BK36" s="78"/>
    </row>
    <row r="37" spans="1:63" ht="15" customHeight="1" x14ac:dyDescent="0.25">
      <c r="A37" s="77"/>
      <c r="B37" s="123"/>
      <c r="C37" s="124"/>
      <c r="D37" s="124"/>
      <c r="E37" s="124"/>
      <c r="F37" s="124"/>
      <c r="G37" s="125"/>
      <c r="H37" s="126"/>
      <c r="I37" s="124"/>
      <c r="J37" s="124"/>
      <c r="K37" s="124"/>
      <c r="L37" s="124"/>
      <c r="M37" s="124"/>
      <c r="N37" s="125"/>
      <c r="O37" s="126"/>
      <c r="P37" s="124"/>
      <c r="Q37" s="124"/>
      <c r="R37" s="124"/>
      <c r="S37" s="127"/>
      <c r="T37" s="128"/>
      <c r="U37" s="128"/>
      <c r="V37" s="128"/>
      <c r="W37" s="128"/>
      <c r="X37" s="128"/>
      <c r="Y37" s="128"/>
      <c r="Z37" s="128"/>
      <c r="AA37" s="128"/>
      <c r="AB37" s="128"/>
      <c r="AC37" s="128"/>
      <c r="AD37" s="128"/>
      <c r="AE37" s="128"/>
      <c r="AF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S37" s="128"/>
      <c r="AT37" s="128"/>
      <c r="AU37" s="128"/>
      <c r="AV37" s="128"/>
      <c r="AW37" s="129"/>
      <c r="AX37" s="104"/>
      <c r="AY37" s="104"/>
      <c r="AZ37" s="104"/>
      <c r="BA37" s="104"/>
      <c r="BB37" s="104"/>
      <c r="BC37" s="105"/>
      <c r="BD37" s="106"/>
      <c r="BE37" s="104"/>
      <c r="BF37" s="104"/>
      <c r="BG37" s="104"/>
      <c r="BH37" s="104"/>
      <c r="BI37" s="104"/>
      <c r="BJ37" s="105"/>
      <c r="BK37" s="78"/>
    </row>
    <row r="38" spans="1:63" ht="15" customHeight="1" x14ac:dyDescent="0.25">
      <c r="A38" s="77"/>
      <c r="B38" s="130"/>
      <c r="C38" s="131"/>
      <c r="D38" s="131"/>
      <c r="E38" s="131"/>
      <c r="F38" s="131"/>
      <c r="G38" s="132"/>
      <c r="H38" s="130"/>
      <c r="I38" s="131"/>
      <c r="J38" s="131"/>
      <c r="K38" s="131"/>
      <c r="L38" s="131"/>
      <c r="M38" s="131"/>
      <c r="N38" s="132"/>
      <c r="O38" s="130"/>
      <c r="P38" s="131"/>
      <c r="Q38" s="131"/>
      <c r="R38" s="131"/>
      <c r="S38" s="133"/>
      <c r="T38" s="134"/>
      <c r="U38" s="134"/>
      <c r="V38" s="134"/>
      <c r="W38" s="134"/>
      <c r="X38" s="134"/>
      <c r="Y38" s="134"/>
      <c r="Z38" s="134"/>
      <c r="AA38" s="134"/>
      <c r="AB38" s="134"/>
      <c r="AC38" s="134"/>
      <c r="AD38" s="134"/>
      <c r="AE38" s="134"/>
      <c r="AF38" s="134"/>
      <c r="AG38" s="134"/>
      <c r="AH38" s="134"/>
      <c r="AI38" s="134"/>
      <c r="AJ38" s="134"/>
      <c r="AK38" s="134"/>
      <c r="AL38" s="134"/>
      <c r="AM38" s="134"/>
      <c r="AN38" s="134"/>
      <c r="AO38" s="134"/>
      <c r="AP38" s="134"/>
      <c r="AQ38" s="134"/>
      <c r="AR38" s="134"/>
      <c r="AS38" s="134"/>
      <c r="AT38" s="134"/>
      <c r="AU38" s="134"/>
      <c r="AV38" s="134"/>
      <c r="AW38" s="135"/>
      <c r="AX38" s="110"/>
      <c r="AY38" s="110"/>
      <c r="AZ38" s="110"/>
      <c r="BA38" s="110"/>
      <c r="BB38" s="110"/>
      <c r="BC38" s="111"/>
      <c r="BD38" s="112"/>
      <c r="BE38" s="110"/>
      <c r="BF38" s="110"/>
      <c r="BG38" s="110"/>
      <c r="BH38" s="110"/>
      <c r="BI38" s="110"/>
      <c r="BJ38" s="111"/>
      <c r="BK38" s="78"/>
    </row>
    <row r="39" spans="1:63" ht="15" customHeight="1" x14ac:dyDescent="0.25">
      <c r="A39" s="77"/>
      <c r="B39" s="49"/>
      <c r="C39" s="47"/>
      <c r="D39" s="47"/>
      <c r="E39" s="47"/>
      <c r="F39" s="47"/>
      <c r="G39" s="48"/>
      <c r="H39" s="49"/>
      <c r="I39" s="47"/>
      <c r="J39" s="47"/>
      <c r="K39" s="47"/>
      <c r="L39" s="47"/>
      <c r="M39" s="47"/>
      <c r="N39" s="48"/>
      <c r="O39" s="49"/>
      <c r="P39" s="47"/>
      <c r="Q39" s="47"/>
      <c r="R39" s="47"/>
      <c r="S39" s="101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102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2"/>
      <c r="AP39" s="102"/>
      <c r="AQ39" s="102"/>
      <c r="AR39" s="102"/>
      <c r="AS39" s="102"/>
      <c r="AT39" s="102"/>
      <c r="AU39" s="102"/>
      <c r="AV39" s="102"/>
      <c r="AW39" s="103"/>
      <c r="AX39" s="104"/>
      <c r="AY39" s="104"/>
      <c r="AZ39" s="104"/>
      <c r="BA39" s="104"/>
      <c r="BB39" s="104"/>
      <c r="BC39" s="105"/>
      <c r="BD39" s="106"/>
      <c r="BE39" s="104"/>
      <c r="BF39" s="104"/>
      <c r="BG39" s="104"/>
      <c r="BH39" s="104"/>
      <c r="BI39" s="104"/>
      <c r="BJ39" s="105"/>
      <c r="BK39" s="78"/>
    </row>
    <row r="40" spans="1:63" ht="15" customHeight="1" x14ac:dyDescent="0.25">
      <c r="A40" s="77"/>
      <c r="B40" s="59"/>
      <c r="C40" s="60"/>
      <c r="D40" s="60"/>
      <c r="E40" s="60"/>
      <c r="F40" s="60"/>
      <c r="G40" s="61"/>
      <c r="H40" s="59"/>
      <c r="I40" s="60"/>
      <c r="J40" s="60"/>
      <c r="K40" s="60"/>
      <c r="L40" s="60"/>
      <c r="M40" s="60"/>
      <c r="N40" s="61"/>
      <c r="O40" s="59"/>
      <c r="P40" s="60"/>
      <c r="Q40" s="60"/>
      <c r="R40" s="60"/>
      <c r="S40" s="107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8"/>
      <c r="AI40" s="108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  <c r="AT40" s="108"/>
      <c r="AU40" s="108"/>
      <c r="AV40" s="108"/>
      <c r="AW40" s="109"/>
      <c r="AX40" s="110"/>
      <c r="AY40" s="110"/>
      <c r="AZ40" s="110"/>
      <c r="BA40" s="110"/>
      <c r="BB40" s="110"/>
      <c r="BC40" s="111"/>
      <c r="BD40" s="112"/>
      <c r="BE40" s="110"/>
      <c r="BF40" s="110"/>
      <c r="BG40" s="110"/>
      <c r="BH40" s="110"/>
      <c r="BI40" s="110"/>
      <c r="BJ40" s="111"/>
      <c r="BK40" s="78"/>
    </row>
    <row r="41" spans="1:63" ht="15" customHeight="1" x14ac:dyDescent="0.25">
      <c r="A41" s="77"/>
      <c r="B41" s="49"/>
      <c r="C41" s="47"/>
      <c r="D41" s="47"/>
      <c r="E41" s="47"/>
      <c r="F41" s="47"/>
      <c r="G41" s="48"/>
      <c r="H41" s="49"/>
      <c r="I41" s="47"/>
      <c r="J41" s="47"/>
      <c r="K41" s="47"/>
      <c r="L41" s="47"/>
      <c r="M41" s="47"/>
      <c r="N41" s="48"/>
      <c r="O41" s="49"/>
      <c r="P41" s="47"/>
      <c r="Q41" s="47"/>
      <c r="R41" s="47"/>
      <c r="S41" s="101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102"/>
      <c r="AE41" s="102"/>
      <c r="AF41" s="102"/>
      <c r="AG41" s="102"/>
      <c r="AH41" s="102"/>
      <c r="AI41" s="102"/>
      <c r="AJ41" s="102"/>
      <c r="AK41" s="102"/>
      <c r="AL41" s="102"/>
      <c r="AM41" s="102"/>
      <c r="AN41" s="102"/>
      <c r="AO41" s="102"/>
      <c r="AP41" s="102"/>
      <c r="AQ41" s="102"/>
      <c r="AR41" s="102"/>
      <c r="AS41" s="102"/>
      <c r="AT41" s="102"/>
      <c r="AU41" s="102"/>
      <c r="AV41" s="102"/>
      <c r="AW41" s="103"/>
      <c r="AX41" s="104"/>
      <c r="AY41" s="104"/>
      <c r="AZ41" s="104"/>
      <c r="BA41" s="104"/>
      <c r="BB41" s="104"/>
      <c r="BC41" s="105"/>
      <c r="BD41" s="106"/>
      <c r="BE41" s="104"/>
      <c r="BF41" s="104"/>
      <c r="BG41" s="104"/>
      <c r="BH41" s="104"/>
      <c r="BI41" s="104"/>
      <c r="BJ41" s="105"/>
      <c r="BK41" s="78"/>
    </row>
    <row r="42" spans="1:63" ht="15" customHeight="1" x14ac:dyDescent="0.25">
      <c r="A42" s="77"/>
      <c r="B42" s="59"/>
      <c r="C42" s="60"/>
      <c r="D42" s="60"/>
      <c r="E42" s="60"/>
      <c r="F42" s="60"/>
      <c r="G42" s="61"/>
      <c r="H42" s="59"/>
      <c r="I42" s="60"/>
      <c r="J42" s="60"/>
      <c r="K42" s="60"/>
      <c r="L42" s="60"/>
      <c r="M42" s="60"/>
      <c r="N42" s="61"/>
      <c r="O42" s="59"/>
      <c r="P42" s="60"/>
      <c r="Q42" s="60"/>
      <c r="R42" s="60"/>
      <c r="S42" s="107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108"/>
      <c r="AH42" s="108"/>
      <c r="AI42" s="108"/>
      <c r="AJ42" s="108"/>
      <c r="AK42" s="108"/>
      <c r="AL42" s="108"/>
      <c r="AM42" s="108"/>
      <c r="AN42" s="108"/>
      <c r="AO42" s="108"/>
      <c r="AP42" s="108"/>
      <c r="AQ42" s="108"/>
      <c r="AR42" s="108"/>
      <c r="AS42" s="108"/>
      <c r="AT42" s="108"/>
      <c r="AU42" s="108"/>
      <c r="AV42" s="108"/>
      <c r="AW42" s="109"/>
      <c r="AX42" s="110"/>
      <c r="AY42" s="110"/>
      <c r="AZ42" s="110"/>
      <c r="BA42" s="110"/>
      <c r="BB42" s="110"/>
      <c r="BC42" s="111"/>
      <c r="BD42" s="112"/>
      <c r="BE42" s="110"/>
      <c r="BF42" s="110"/>
      <c r="BG42" s="110"/>
      <c r="BH42" s="110"/>
      <c r="BI42" s="110"/>
      <c r="BJ42" s="111"/>
      <c r="BK42" s="78"/>
    </row>
    <row r="43" spans="1:63" ht="15" customHeight="1" x14ac:dyDescent="0.25">
      <c r="A43" s="77"/>
      <c r="B43" s="49"/>
      <c r="C43" s="47"/>
      <c r="D43" s="47"/>
      <c r="E43" s="47"/>
      <c r="F43" s="47"/>
      <c r="G43" s="48"/>
      <c r="H43" s="49"/>
      <c r="I43" s="47"/>
      <c r="J43" s="47"/>
      <c r="K43" s="47"/>
      <c r="L43" s="47"/>
      <c r="M43" s="47"/>
      <c r="N43" s="48"/>
      <c r="O43" s="49"/>
      <c r="P43" s="47"/>
      <c r="Q43" s="47"/>
      <c r="R43" s="47"/>
      <c r="S43" s="101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2"/>
      <c r="AV43" s="102"/>
      <c r="AW43" s="103"/>
      <c r="AX43" s="104"/>
      <c r="AY43" s="104"/>
      <c r="AZ43" s="104"/>
      <c r="BA43" s="104"/>
      <c r="BB43" s="104"/>
      <c r="BC43" s="105"/>
      <c r="BD43" s="106"/>
      <c r="BE43" s="104"/>
      <c r="BF43" s="104"/>
      <c r="BG43" s="104"/>
      <c r="BH43" s="104"/>
      <c r="BI43" s="104"/>
      <c r="BJ43" s="105"/>
      <c r="BK43" s="78"/>
    </row>
    <row r="44" spans="1:63" ht="15" customHeight="1" x14ac:dyDescent="0.25">
      <c r="A44" s="77"/>
      <c r="B44" s="59"/>
      <c r="C44" s="60"/>
      <c r="D44" s="60"/>
      <c r="E44" s="60"/>
      <c r="F44" s="60"/>
      <c r="G44" s="61"/>
      <c r="H44" s="59"/>
      <c r="I44" s="60"/>
      <c r="J44" s="60"/>
      <c r="K44" s="60"/>
      <c r="L44" s="60"/>
      <c r="M44" s="60"/>
      <c r="N44" s="61"/>
      <c r="O44" s="59"/>
      <c r="P44" s="60"/>
      <c r="Q44" s="60"/>
      <c r="R44" s="60"/>
      <c r="S44" s="107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108"/>
      <c r="AH44" s="108"/>
      <c r="AI44" s="108"/>
      <c r="AJ44" s="108"/>
      <c r="AK44" s="108"/>
      <c r="AL44" s="108"/>
      <c r="AM44" s="108"/>
      <c r="AN44" s="108"/>
      <c r="AO44" s="108"/>
      <c r="AP44" s="108"/>
      <c r="AQ44" s="108"/>
      <c r="AR44" s="108"/>
      <c r="AS44" s="108"/>
      <c r="AT44" s="108"/>
      <c r="AU44" s="108"/>
      <c r="AV44" s="108"/>
      <c r="AW44" s="109"/>
      <c r="AX44" s="110"/>
      <c r="AY44" s="110"/>
      <c r="AZ44" s="110"/>
      <c r="BA44" s="110"/>
      <c r="BB44" s="110"/>
      <c r="BC44" s="111"/>
      <c r="BD44" s="112"/>
      <c r="BE44" s="110"/>
      <c r="BF44" s="110"/>
      <c r="BG44" s="110"/>
      <c r="BH44" s="110"/>
      <c r="BI44" s="110"/>
      <c r="BJ44" s="111"/>
      <c r="BK44" s="78"/>
    </row>
    <row r="45" spans="1:63" ht="15" customHeight="1" x14ac:dyDescent="0.25">
      <c r="A45" s="77"/>
      <c r="B45" s="49"/>
      <c r="C45" s="47"/>
      <c r="D45" s="47"/>
      <c r="E45" s="47"/>
      <c r="F45" s="47"/>
      <c r="G45" s="48"/>
      <c r="H45" s="49"/>
      <c r="I45" s="47"/>
      <c r="J45" s="47"/>
      <c r="K45" s="47"/>
      <c r="L45" s="47"/>
      <c r="M45" s="47"/>
      <c r="N45" s="48"/>
      <c r="O45" s="49"/>
      <c r="P45" s="47"/>
      <c r="Q45" s="47"/>
      <c r="R45" s="47"/>
      <c r="S45" s="101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102"/>
      <c r="AE45" s="102"/>
      <c r="AF45" s="102"/>
      <c r="AG45" s="102"/>
      <c r="AH45" s="102"/>
      <c r="AI45" s="102"/>
      <c r="AJ45" s="102"/>
      <c r="AK45" s="102"/>
      <c r="AL45" s="102"/>
      <c r="AM45" s="102"/>
      <c r="AN45" s="102"/>
      <c r="AO45" s="102"/>
      <c r="AP45" s="102"/>
      <c r="AQ45" s="102"/>
      <c r="AR45" s="102"/>
      <c r="AS45" s="102"/>
      <c r="AT45" s="102"/>
      <c r="AU45" s="102"/>
      <c r="AV45" s="102"/>
      <c r="AW45" s="103"/>
      <c r="AX45" s="104"/>
      <c r="AY45" s="104"/>
      <c r="AZ45" s="104"/>
      <c r="BA45" s="104"/>
      <c r="BB45" s="104"/>
      <c r="BC45" s="105"/>
      <c r="BD45" s="106"/>
      <c r="BE45" s="104"/>
      <c r="BF45" s="104"/>
      <c r="BG45" s="104"/>
      <c r="BH45" s="104"/>
      <c r="BI45" s="104"/>
      <c r="BJ45" s="105"/>
      <c r="BK45" s="78"/>
    </row>
    <row r="46" spans="1:63" ht="15" customHeight="1" x14ac:dyDescent="0.25">
      <c r="A46" s="77"/>
      <c r="B46" s="59"/>
      <c r="C46" s="60"/>
      <c r="D46" s="60"/>
      <c r="E46" s="60"/>
      <c r="F46" s="60"/>
      <c r="G46" s="61"/>
      <c r="H46" s="59"/>
      <c r="I46" s="60"/>
      <c r="J46" s="60"/>
      <c r="K46" s="60"/>
      <c r="L46" s="60"/>
      <c r="M46" s="60"/>
      <c r="N46" s="61"/>
      <c r="O46" s="59"/>
      <c r="P46" s="60"/>
      <c r="Q46" s="60"/>
      <c r="R46" s="60"/>
      <c r="S46" s="107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108"/>
      <c r="AH46" s="108"/>
      <c r="AI46" s="108"/>
      <c r="AJ46" s="108"/>
      <c r="AK46" s="108"/>
      <c r="AL46" s="108"/>
      <c r="AM46" s="108"/>
      <c r="AN46" s="108"/>
      <c r="AO46" s="108"/>
      <c r="AP46" s="108"/>
      <c r="AQ46" s="108"/>
      <c r="AR46" s="108"/>
      <c r="AS46" s="108"/>
      <c r="AT46" s="108"/>
      <c r="AU46" s="108"/>
      <c r="AV46" s="108"/>
      <c r="AW46" s="109"/>
      <c r="AX46" s="110"/>
      <c r="AY46" s="110"/>
      <c r="AZ46" s="110"/>
      <c r="BA46" s="110"/>
      <c r="BB46" s="110"/>
      <c r="BC46" s="111"/>
      <c r="BD46" s="112"/>
      <c r="BE46" s="110"/>
      <c r="BF46" s="110"/>
      <c r="BG46" s="110"/>
      <c r="BH46" s="110"/>
      <c r="BI46" s="110"/>
      <c r="BJ46" s="111"/>
      <c r="BK46" s="78"/>
    </row>
    <row r="47" spans="1:63" ht="15" customHeight="1" x14ac:dyDescent="0.25">
      <c r="A47" s="77"/>
      <c r="B47" s="49"/>
      <c r="C47" s="47"/>
      <c r="D47" s="47"/>
      <c r="E47" s="47"/>
      <c r="F47" s="47"/>
      <c r="G47" s="48"/>
      <c r="H47" s="49"/>
      <c r="I47" s="47"/>
      <c r="J47" s="47"/>
      <c r="K47" s="47"/>
      <c r="L47" s="47"/>
      <c r="M47" s="47"/>
      <c r="N47" s="48"/>
      <c r="O47" s="49"/>
      <c r="P47" s="47"/>
      <c r="Q47" s="47"/>
      <c r="R47" s="47"/>
      <c r="S47" s="101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2"/>
      <c r="AP47" s="102"/>
      <c r="AQ47" s="102"/>
      <c r="AR47" s="102"/>
      <c r="AS47" s="102"/>
      <c r="AT47" s="102"/>
      <c r="AU47" s="102"/>
      <c r="AV47" s="102"/>
      <c r="AW47" s="103"/>
      <c r="AX47" s="104"/>
      <c r="AY47" s="104"/>
      <c r="AZ47" s="104"/>
      <c r="BA47" s="104"/>
      <c r="BB47" s="104"/>
      <c r="BC47" s="105"/>
      <c r="BD47" s="106"/>
      <c r="BE47" s="104"/>
      <c r="BF47" s="104"/>
      <c r="BG47" s="104"/>
      <c r="BH47" s="104"/>
      <c r="BI47" s="104"/>
      <c r="BJ47" s="105"/>
      <c r="BK47" s="78"/>
    </row>
    <row r="48" spans="1:63" ht="15" customHeight="1" x14ac:dyDescent="0.25">
      <c r="A48" s="77"/>
      <c r="B48" s="59"/>
      <c r="C48" s="60"/>
      <c r="D48" s="60"/>
      <c r="E48" s="60"/>
      <c r="F48" s="60"/>
      <c r="G48" s="61"/>
      <c r="H48" s="59"/>
      <c r="I48" s="60"/>
      <c r="J48" s="60"/>
      <c r="K48" s="60"/>
      <c r="L48" s="60"/>
      <c r="M48" s="60"/>
      <c r="N48" s="61"/>
      <c r="O48" s="59"/>
      <c r="P48" s="60"/>
      <c r="Q48" s="60"/>
      <c r="R48" s="60"/>
      <c r="S48" s="107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8"/>
      <c r="AE48" s="108"/>
      <c r="AF48" s="108"/>
      <c r="AG48" s="108"/>
      <c r="AH48" s="108"/>
      <c r="AI48" s="108"/>
      <c r="AJ48" s="108"/>
      <c r="AK48" s="108"/>
      <c r="AL48" s="108"/>
      <c r="AM48" s="108"/>
      <c r="AN48" s="108"/>
      <c r="AO48" s="108"/>
      <c r="AP48" s="108"/>
      <c r="AQ48" s="108"/>
      <c r="AR48" s="108"/>
      <c r="AS48" s="108"/>
      <c r="AT48" s="108"/>
      <c r="AU48" s="108"/>
      <c r="AV48" s="108"/>
      <c r="AW48" s="109"/>
      <c r="AX48" s="110"/>
      <c r="AY48" s="110"/>
      <c r="AZ48" s="110"/>
      <c r="BA48" s="110"/>
      <c r="BB48" s="110"/>
      <c r="BC48" s="111"/>
      <c r="BD48" s="112"/>
      <c r="BE48" s="110"/>
      <c r="BF48" s="110"/>
      <c r="BG48" s="110"/>
      <c r="BH48" s="110"/>
      <c r="BI48" s="110"/>
      <c r="BJ48" s="111"/>
      <c r="BK48" s="78"/>
    </row>
    <row r="49" spans="1:63" ht="15" customHeight="1" x14ac:dyDescent="0.25">
      <c r="A49" s="77"/>
      <c r="B49" s="49"/>
      <c r="C49" s="47"/>
      <c r="D49" s="47"/>
      <c r="E49" s="47"/>
      <c r="F49" s="47"/>
      <c r="G49" s="48"/>
      <c r="H49" s="49"/>
      <c r="I49" s="47"/>
      <c r="J49" s="47"/>
      <c r="K49" s="47"/>
      <c r="L49" s="47"/>
      <c r="M49" s="47"/>
      <c r="N49" s="48"/>
      <c r="O49" s="49"/>
      <c r="P49" s="47"/>
      <c r="Q49" s="47"/>
      <c r="R49" s="47"/>
      <c r="S49" s="101"/>
      <c r="T49" s="102"/>
      <c r="U49" s="102"/>
      <c r="V49" s="102"/>
      <c r="W49" s="102"/>
      <c r="X49" s="102"/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3"/>
      <c r="AX49" s="104"/>
      <c r="AY49" s="104"/>
      <c r="AZ49" s="104"/>
      <c r="BA49" s="104"/>
      <c r="BB49" s="104"/>
      <c r="BC49" s="105"/>
      <c r="BD49" s="106"/>
      <c r="BE49" s="104"/>
      <c r="BF49" s="104"/>
      <c r="BG49" s="104"/>
      <c r="BH49" s="104"/>
      <c r="BI49" s="104"/>
      <c r="BJ49" s="105"/>
      <c r="BK49" s="78"/>
    </row>
    <row r="50" spans="1:63" ht="15" customHeight="1" x14ac:dyDescent="0.25">
      <c r="A50" s="77"/>
      <c r="B50" s="59"/>
      <c r="C50" s="60"/>
      <c r="D50" s="60"/>
      <c r="E50" s="60"/>
      <c r="F50" s="60"/>
      <c r="G50" s="61"/>
      <c r="H50" s="59"/>
      <c r="I50" s="60"/>
      <c r="J50" s="60"/>
      <c r="K50" s="60"/>
      <c r="L50" s="60"/>
      <c r="M50" s="60"/>
      <c r="N50" s="61"/>
      <c r="O50" s="59"/>
      <c r="P50" s="60"/>
      <c r="Q50" s="60"/>
      <c r="R50" s="60"/>
      <c r="S50" s="107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8"/>
      <c r="AQ50" s="108"/>
      <c r="AR50" s="108"/>
      <c r="AS50" s="108"/>
      <c r="AT50" s="108"/>
      <c r="AU50" s="108"/>
      <c r="AV50" s="108"/>
      <c r="AW50" s="109"/>
      <c r="AX50" s="110"/>
      <c r="AY50" s="110"/>
      <c r="AZ50" s="110"/>
      <c r="BA50" s="110"/>
      <c r="BB50" s="110"/>
      <c r="BC50" s="111"/>
      <c r="BD50" s="112"/>
      <c r="BE50" s="110"/>
      <c r="BF50" s="110"/>
      <c r="BG50" s="110"/>
      <c r="BH50" s="110"/>
      <c r="BI50" s="110"/>
      <c r="BJ50" s="111"/>
      <c r="BK50" s="78"/>
    </row>
    <row r="51" spans="1:63" ht="15" customHeight="1" x14ac:dyDescent="0.25">
      <c r="A51" s="77"/>
      <c r="B51" s="49"/>
      <c r="C51" s="47"/>
      <c r="D51" s="47"/>
      <c r="E51" s="47"/>
      <c r="F51" s="47"/>
      <c r="G51" s="48"/>
      <c r="H51" s="49"/>
      <c r="I51" s="47"/>
      <c r="J51" s="47"/>
      <c r="K51" s="47"/>
      <c r="L51" s="47"/>
      <c r="M51" s="47"/>
      <c r="N51" s="48"/>
      <c r="O51" s="49"/>
      <c r="P51" s="47"/>
      <c r="Q51" s="47"/>
      <c r="R51" s="47"/>
      <c r="S51" s="101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3"/>
      <c r="AX51" s="104"/>
      <c r="AY51" s="104"/>
      <c r="AZ51" s="104"/>
      <c r="BA51" s="104"/>
      <c r="BB51" s="104"/>
      <c r="BC51" s="105"/>
      <c r="BD51" s="106"/>
      <c r="BE51" s="104"/>
      <c r="BF51" s="104"/>
      <c r="BG51" s="104"/>
      <c r="BH51" s="104"/>
      <c r="BI51" s="104"/>
      <c r="BJ51" s="105"/>
      <c r="BK51" s="78"/>
    </row>
    <row r="52" spans="1:63" ht="15" customHeight="1" x14ac:dyDescent="0.25">
      <c r="A52" s="77"/>
      <c r="B52" s="59"/>
      <c r="C52" s="60"/>
      <c r="D52" s="60"/>
      <c r="E52" s="60"/>
      <c r="F52" s="60"/>
      <c r="G52" s="61"/>
      <c r="H52" s="59"/>
      <c r="I52" s="60"/>
      <c r="J52" s="60"/>
      <c r="K52" s="60"/>
      <c r="L52" s="60"/>
      <c r="M52" s="60"/>
      <c r="N52" s="61"/>
      <c r="O52" s="59"/>
      <c r="P52" s="60"/>
      <c r="Q52" s="60"/>
      <c r="R52" s="60"/>
      <c r="S52" s="107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  <c r="AU52" s="108"/>
      <c r="AV52" s="108"/>
      <c r="AW52" s="109"/>
      <c r="AX52" s="110"/>
      <c r="AY52" s="110"/>
      <c r="AZ52" s="110"/>
      <c r="BA52" s="110"/>
      <c r="BB52" s="110"/>
      <c r="BC52" s="111"/>
      <c r="BD52" s="112"/>
      <c r="BE52" s="110"/>
      <c r="BF52" s="110"/>
      <c r="BG52" s="110"/>
      <c r="BH52" s="110"/>
      <c r="BI52" s="110"/>
      <c r="BJ52" s="111"/>
      <c r="BK52" s="78"/>
    </row>
    <row r="53" spans="1:63" ht="15" customHeight="1" x14ac:dyDescent="0.25">
      <c r="A53" s="77"/>
      <c r="B53" s="49"/>
      <c r="C53" s="47"/>
      <c r="D53" s="47"/>
      <c r="E53" s="47"/>
      <c r="F53" s="47"/>
      <c r="G53" s="48"/>
      <c r="H53" s="49"/>
      <c r="I53" s="47"/>
      <c r="J53" s="47"/>
      <c r="K53" s="47"/>
      <c r="L53" s="47"/>
      <c r="M53" s="47"/>
      <c r="N53" s="48"/>
      <c r="O53" s="49"/>
      <c r="P53" s="47"/>
      <c r="Q53" s="47"/>
      <c r="R53" s="47"/>
      <c r="S53" s="101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2"/>
      <c r="AE53" s="102"/>
      <c r="AF53" s="102"/>
      <c r="AG53" s="102"/>
      <c r="AH53" s="102"/>
      <c r="AI53" s="102"/>
      <c r="AJ53" s="102"/>
      <c r="AK53" s="102"/>
      <c r="AL53" s="102"/>
      <c r="AM53" s="102"/>
      <c r="AN53" s="102"/>
      <c r="AO53" s="102"/>
      <c r="AP53" s="102"/>
      <c r="AQ53" s="102"/>
      <c r="AR53" s="102"/>
      <c r="AS53" s="102"/>
      <c r="AT53" s="102"/>
      <c r="AU53" s="102"/>
      <c r="AV53" s="102"/>
      <c r="AW53" s="103"/>
      <c r="AX53" s="104"/>
      <c r="AY53" s="104"/>
      <c r="AZ53" s="104"/>
      <c r="BA53" s="104"/>
      <c r="BB53" s="104"/>
      <c r="BC53" s="105"/>
      <c r="BD53" s="106"/>
      <c r="BE53" s="104"/>
      <c r="BF53" s="104"/>
      <c r="BG53" s="104"/>
      <c r="BH53" s="104"/>
      <c r="BI53" s="104"/>
      <c r="BJ53" s="105"/>
      <c r="BK53" s="78"/>
    </row>
    <row r="54" spans="1:63" ht="15" customHeight="1" x14ac:dyDescent="0.25">
      <c r="A54" s="77"/>
      <c r="B54" s="59"/>
      <c r="C54" s="60"/>
      <c r="D54" s="60"/>
      <c r="E54" s="60"/>
      <c r="F54" s="60"/>
      <c r="G54" s="61"/>
      <c r="H54" s="59"/>
      <c r="I54" s="60"/>
      <c r="J54" s="60"/>
      <c r="K54" s="60"/>
      <c r="L54" s="60"/>
      <c r="M54" s="60"/>
      <c r="N54" s="61"/>
      <c r="O54" s="59"/>
      <c r="P54" s="60"/>
      <c r="Q54" s="60"/>
      <c r="R54" s="60"/>
      <c r="S54" s="107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8"/>
      <c r="AK54" s="108"/>
      <c r="AL54" s="108"/>
      <c r="AM54" s="108"/>
      <c r="AN54" s="108"/>
      <c r="AO54" s="108"/>
      <c r="AP54" s="108"/>
      <c r="AQ54" s="108"/>
      <c r="AR54" s="108"/>
      <c r="AS54" s="108"/>
      <c r="AT54" s="108"/>
      <c r="AU54" s="108"/>
      <c r="AV54" s="108"/>
      <c r="AW54" s="109"/>
      <c r="AX54" s="110"/>
      <c r="AY54" s="110"/>
      <c r="AZ54" s="110"/>
      <c r="BA54" s="110"/>
      <c r="BB54" s="110"/>
      <c r="BC54" s="111"/>
      <c r="BD54" s="112"/>
      <c r="BE54" s="110"/>
      <c r="BF54" s="110"/>
      <c r="BG54" s="110"/>
      <c r="BH54" s="110"/>
      <c r="BI54" s="110"/>
      <c r="BJ54" s="111"/>
      <c r="BK54" s="78"/>
    </row>
    <row r="55" spans="1:63" ht="15" customHeight="1" x14ac:dyDescent="0.25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6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8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136" customWidth="1"/>
    <col min="64" max="16384" width="8.88671875" style="136"/>
  </cols>
  <sheetData>
    <row r="1" spans="1:63" ht="24.9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7"/>
      <c r="K1" s="5" t="s">
        <v>2</v>
      </c>
      <c r="L1" s="6"/>
      <c r="M1" s="6"/>
      <c r="N1" s="6"/>
      <c r="O1" s="6"/>
      <c r="P1" s="6"/>
      <c r="Q1" s="6"/>
      <c r="R1" s="6"/>
      <c r="S1" s="6"/>
      <c r="T1" s="6"/>
      <c r="U1" s="6"/>
      <c r="V1" s="7"/>
      <c r="W1" s="9" t="str">
        <f>IF(表紙!W1="","",表紙!W1)</f>
        <v>基本設計書</v>
      </c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1"/>
      <c r="AP1" s="5" t="s">
        <v>3</v>
      </c>
      <c r="AQ1" s="6"/>
      <c r="AR1" s="6"/>
      <c r="AS1" s="7"/>
      <c r="AT1" s="5" t="s">
        <v>4</v>
      </c>
      <c r="AU1" s="6"/>
      <c r="AV1" s="6"/>
      <c r="AW1" s="6"/>
      <c r="AX1" s="7"/>
      <c r="AY1" s="5" t="s">
        <v>5</v>
      </c>
      <c r="AZ1" s="6"/>
      <c r="BA1" s="6"/>
      <c r="BB1" s="7"/>
      <c r="BC1" s="5" t="s">
        <v>6</v>
      </c>
      <c r="BD1" s="6"/>
      <c r="BE1" s="6"/>
      <c r="BF1" s="6"/>
      <c r="BG1" s="7"/>
      <c r="BH1" s="5" t="s">
        <v>7</v>
      </c>
      <c r="BI1" s="6"/>
      <c r="BJ1" s="6"/>
      <c r="BK1" s="7"/>
    </row>
    <row r="2" spans="1:63" ht="15" customHeight="1" x14ac:dyDescent="0.25">
      <c r="A2" s="137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37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2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4"/>
      <c r="AP2" s="137" t="str">
        <f>IF(表紙!AP2="","",表紙!AP2)</f>
        <v>DuNT</v>
      </c>
      <c r="AQ2" s="138"/>
      <c r="AR2" s="138"/>
      <c r="AS2" s="139"/>
      <c r="AT2" s="140">
        <v>45084</v>
      </c>
      <c r="AU2" s="141"/>
      <c r="AV2" s="141"/>
      <c r="AW2" s="141"/>
      <c r="AX2" s="142"/>
      <c r="AY2" s="137" t="str">
        <f>IF(表紙!AY2="","",表紙!AY2)</f>
        <v>LoiLV</v>
      </c>
      <c r="AZ2" s="138"/>
      <c r="BA2" s="138"/>
      <c r="BB2" s="139"/>
      <c r="BC2" s="140">
        <f>IF(表紙!BC2="","",表紙!BC2)</f>
        <v>45657</v>
      </c>
      <c r="BD2" s="141"/>
      <c r="BE2" s="141"/>
      <c r="BF2" s="141"/>
      <c r="BG2" s="142"/>
      <c r="BH2" s="137">
        <f>IF(表紙!BH2="","",表紙!BH2)</f>
        <v>0.11</v>
      </c>
      <c r="BI2" s="138"/>
      <c r="BJ2" s="138"/>
      <c r="BK2" s="139"/>
    </row>
    <row r="3" spans="1:63" ht="15" customHeight="1" x14ac:dyDescent="0.25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7"/>
      <c r="AP3" s="143"/>
      <c r="AQ3" s="144"/>
      <c r="AR3" s="144"/>
      <c r="AS3" s="145"/>
      <c r="AT3" s="146"/>
      <c r="AU3" s="147"/>
      <c r="AV3" s="147"/>
      <c r="AW3" s="147"/>
      <c r="AX3" s="148"/>
      <c r="AY3" s="143"/>
      <c r="AZ3" s="144"/>
      <c r="BA3" s="144"/>
      <c r="BB3" s="145"/>
      <c r="BC3" s="146"/>
      <c r="BD3" s="147"/>
      <c r="BE3" s="147"/>
      <c r="BF3" s="147"/>
      <c r="BG3" s="148"/>
      <c r="BH3" s="143"/>
      <c r="BI3" s="144"/>
      <c r="BJ3" s="144"/>
      <c r="BK3" s="145"/>
    </row>
    <row r="4" spans="1:63" ht="24.95" customHeight="1" x14ac:dyDescent="0.25">
      <c r="A4" s="5" t="s">
        <v>1</v>
      </c>
      <c r="B4" s="6"/>
      <c r="C4" s="6"/>
      <c r="D4" s="6"/>
      <c r="E4" s="6"/>
      <c r="F4" s="6"/>
      <c r="G4" s="7"/>
      <c r="H4" s="149" t="str">
        <f>IF(表紙!H4="","",表紙!H4)</f>
        <v>45_商品管理（新規）設定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  <c r="U4" s="5" t="s">
        <v>8</v>
      </c>
      <c r="V4" s="6"/>
      <c r="W4" s="6"/>
      <c r="X4" s="6"/>
      <c r="Y4" s="7"/>
      <c r="Z4" s="149" t="str">
        <f>IF(表紙!Z4="","",表紙!Z4)</f>
        <v>概要設計</v>
      </c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1"/>
      <c r="AP4" s="149" t="str">
        <f t="array" aca="1" ref="AP4" ca="1">RIGHT(CELL("filename",$A$1),LEN(CELL("filename",$A$1))-FIND("]",CELL("filename",$A$1)))</f>
        <v>業務フロー</v>
      </c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1"/>
    </row>
    <row r="5" spans="1:63" ht="5.0999999999999996" customHeight="1" x14ac:dyDescent="0.25">
      <c r="A5" s="152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4"/>
    </row>
    <row r="6" spans="1:63" ht="15" customHeight="1" x14ac:dyDescent="0.25">
      <c r="A6" s="155"/>
      <c r="B6" s="156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  <c r="AA6" s="157"/>
      <c r="AB6" s="157"/>
      <c r="AC6" s="157"/>
      <c r="AD6" s="157"/>
      <c r="AE6" s="158"/>
      <c r="AF6" s="156"/>
      <c r="AG6" s="157"/>
      <c r="AH6" s="157"/>
      <c r="AI6" s="157"/>
      <c r="AJ6" s="157"/>
      <c r="AK6" s="157"/>
      <c r="AL6" s="157"/>
      <c r="AM6" s="157"/>
      <c r="AN6" s="157"/>
      <c r="AO6" s="157"/>
      <c r="AP6" s="157"/>
      <c r="AQ6" s="157"/>
      <c r="AR6" s="157"/>
      <c r="AS6" s="157"/>
      <c r="AT6" s="157"/>
      <c r="AU6" s="157"/>
      <c r="AV6" s="157"/>
      <c r="AW6" s="157"/>
      <c r="AX6" s="157"/>
      <c r="AY6" s="157"/>
      <c r="AZ6" s="157"/>
      <c r="BA6" s="157"/>
      <c r="BB6" s="157"/>
      <c r="BC6" s="157"/>
      <c r="BD6" s="157"/>
      <c r="BE6" s="157"/>
      <c r="BF6" s="157"/>
      <c r="BG6" s="157"/>
      <c r="BH6" s="157"/>
      <c r="BI6" s="158"/>
      <c r="BJ6" s="157"/>
      <c r="BK6" s="159"/>
    </row>
    <row r="7" spans="1:63" ht="15" customHeight="1" x14ac:dyDescent="0.25">
      <c r="A7" s="155"/>
      <c r="B7" s="2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3"/>
      <c r="AF7" s="2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3"/>
      <c r="BJ7" s="1"/>
      <c r="BK7" s="159"/>
    </row>
    <row r="8" spans="1:63" ht="15" customHeight="1" x14ac:dyDescent="0.25">
      <c r="A8" s="155"/>
      <c r="B8" s="156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  <c r="AA8" s="157"/>
      <c r="AB8" s="157"/>
      <c r="AC8" s="157"/>
      <c r="AD8" s="157"/>
      <c r="AE8" s="158"/>
      <c r="AF8" s="156"/>
      <c r="AG8" s="157"/>
      <c r="AH8" s="157"/>
      <c r="AI8" s="157"/>
      <c r="AJ8" s="157"/>
      <c r="AK8" s="157"/>
      <c r="AL8" s="157"/>
      <c r="AM8" s="157"/>
      <c r="AN8" s="157"/>
      <c r="AO8" s="157"/>
      <c r="AP8" s="157"/>
      <c r="AQ8" s="157"/>
      <c r="AR8" s="157"/>
      <c r="AS8" s="157"/>
      <c r="AT8" s="157"/>
      <c r="AU8" s="157"/>
      <c r="AV8" s="157"/>
      <c r="AW8" s="157"/>
      <c r="AX8" s="157"/>
      <c r="AY8" s="157"/>
      <c r="AZ8" s="157"/>
      <c r="BA8" s="157"/>
      <c r="BB8" s="157"/>
      <c r="BC8" s="157"/>
      <c r="BD8" s="157"/>
      <c r="BE8" s="157"/>
      <c r="BF8" s="157"/>
      <c r="BG8" s="157"/>
      <c r="BH8" s="157"/>
      <c r="BI8" s="158"/>
      <c r="BJ8" s="157"/>
      <c r="BK8" s="159"/>
    </row>
    <row r="9" spans="1:63" ht="15" customHeight="1" x14ac:dyDescent="0.25">
      <c r="A9" s="155"/>
      <c r="B9" s="156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  <c r="AA9" s="157"/>
      <c r="AB9" s="157"/>
      <c r="AC9" s="157"/>
      <c r="AD9" s="157"/>
      <c r="AE9" s="158"/>
      <c r="AF9" s="156"/>
      <c r="AG9" s="157"/>
      <c r="AH9" s="157"/>
      <c r="AI9" s="157"/>
      <c r="AJ9" s="157"/>
      <c r="AK9" s="157"/>
      <c r="AL9" s="157"/>
      <c r="AM9" s="157"/>
      <c r="AN9" s="157"/>
      <c r="AO9" s="157"/>
      <c r="AP9" s="157"/>
      <c r="AQ9" s="157"/>
      <c r="AR9" s="157"/>
      <c r="AS9" s="157"/>
      <c r="AT9" s="157"/>
      <c r="AU9" s="157"/>
      <c r="AV9" s="157"/>
      <c r="AW9" s="157"/>
      <c r="AX9" s="157"/>
      <c r="AY9" s="157"/>
      <c r="AZ9" s="157"/>
      <c r="BA9" s="157"/>
      <c r="BB9" s="157"/>
      <c r="BC9" s="157"/>
      <c r="BD9" s="157"/>
      <c r="BE9" s="157"/>
      <c r="BF9" s="157"/>
      <c r="BG9" s="157"/>
      <c r="BH9" s="157"/>
      <c r="BI9" s="158"/>
      <c r="BJ9" s="157"/>
      <c r="BK9" s="159"/>
    </row>
    <row r="10" spans="1:63" ht="15" customHeight="1" x14ac:dyDescent="0.25">
      <c r="A10" s="155"/>
      <c r="B10" s="156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8"/>
      <c r="AF10" s="156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8"/>
      <c r="BJ10" s="157"/>
      <c r="BK10" s="159"/>
    </row>
    <row r="11" spans="1:63" ht="15" customHeight="1" x14ac:dyDescent="0.25">
      <c r="A11" s="155"/>
      <c r="B11" s="156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8"/>
      <c r="AF11" s="156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8"/>
      <c r="BJ11" s="157"/>
      <c r="BK11" s="159"/>
    </row>
    <row r="12" spans="1:63" ht="15" customHeight="1" x14ac:dyDescent="0.25">
      <c r="A12" s="155"/>
      <c r="B12" s="156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8"/>
      <c r="AF12" s="156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8"/>
      <c r="BJ12" s="157"/>
      <c r="BK12" s="159"/>
    </row>
    <row r="13" spans="1:63" ht="15" customHeight="1" x14ac:dyDescent="0.25">
      <c r="A13" s="155"/>
      <c r="B13" s="156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8"/>
      <c r="AF13" s="156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8"/>
      <c r="BJ13" s="157"/>
      <c r="BK13" s="159"/>
    </row>
    <row r="14" spans="1:63" ht="15" customHeight="1" x14ac:dyDescent="0.25">
      <c r="A14" s="155"/>
      <c r="B14" s="156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8"/>
      <c r="AF14" s="156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8"/>
      <c r="BJ14" s="157"/>
      <c r="BK14" s="159"/>
    </row>
    <row r="15" spans="1:63" ht="15" customHeight="1" x14ac:dyDescent="0.25">
      <c r="A15" s="155"/>
      <c r="B15" s="156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8"/>
      <c r="AF15" s="156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8"/>
      <c r="BJ15" s="157"/>
      <c r="BK15" s="159"/>
    </row>
    <row r="16" spans="1:63" ht="15" customHeight="1" x14ac:dyDescent="0.25">
      <c r="A16" s="155"/>
      <c r="B16" s="156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8"/>
      <c r="AF16" s="156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8"/>
      <c r="BJ16" s="157"/>
      <c r="BK16" s="159"/>
    </row>
    <row r="17" spans="1:63" ht="15" customHeight="1" x14ac:dyDescent="0.25">
      <c r="A17" s="155"/>
      <c r="B17" s="156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8"/>
      <c r="AF17" s="156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8"/>
      <c r="BJ17" s="157"/>
      <c r="BK17" s="159"/>
    </row>
    <row r="18" spans="1:63" ht="15" customHeight="1" x14ac:dyDescent="0.25">
      <c r="A18" s="155"/>
      <c r="B18" s="156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8"/>
      <c r="AF18" s="156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8"/>
      <c r="BJ18" s="157"/>
      <c r="BK18" s="159"/>
    </row>
    <row r="19" spans="1:63" ht="15" customHeight="1" x14ac:dyDescent="0.25">
      <c r="A19" s="155"/>
      <c r="B19" s="156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8"/>
      <c r="AF19" s="156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7"/>
      <c r="BD19" s="157"/>
      <c r="BE19" s="157"/>
      <c r="BF19" s="157"/>
      <c r="BG19" s="157"/>
      <c r="BH19" s="157"/>
      <c r="BI19" s="158"/>
      <c r="BJ19" s="157"/>
      <c r="BK19" s="159"/>
    </row>
    <row r="20" spans="1:63" ht="15" customHeight="1" x14ac:dyDescent="0.25">
      <c r="A20" s="155"/>
      <c r="B20" s="156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8"/>
      <c r="AF20" s="156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7"/>
      <c r="BD20" s="157"/>
      <c r="BE20" s="157"/>
      <c r="BF20" s="157"/>
      <c r="BG20" s="157"/>
      <c r="BH20" s="157"/>
      <c r="BI20" s="158"/>
      <c r="BJ20" s="157"/>
      <c r="BK20" s="159"/>
    </row>
    <row r="21" spans="1:63" ht="15" customHeight="1" x14ac:dyDescent="0.25">
      <c r="A21" s="155"/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8"/>
      <c r="AF21" s="156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7"/>
      <c r="BD21" s="157"/>
      <c r="BE21" s="157"/>
      <c r="BF21" s="157"/>
      <c r="BG21" s="157"/>
      <c r="BH21" s="157"/>
      <c r="BI21" s="158"/>
      <c r="BJ21" s="157"/>
      <c r="BK21" s="159"/>
    </row>
    <row r="22" spans="1:63" ht="15" customHeight="1" x14ac:dyDescent="0.25">
      <c r="A22" s="155"/>
      <c r="B22" s="2" t="s">
        <v>13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/>
      <c r="AF22" s="2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3"/>
      <c r="BJ22" s="1"/>
      <c r="BK22" s="159"/>
    </row>
    <row r="23" spans="1:63" ht="15" customHeight="1" x14ac:dyDescent="0.25">
      <c r="A23" s="155"/>
      <c r="B23" s="156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8"/>
      <c r="AF23" s="156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8"/>
      <c r="BJ23" s="157"/>
      <c r="BK23" s="159"/>
    </row>
    <row r="24" spans="1:63" ht="15" customHeight="1" x14ac:dyDescent="0.25">
      <c r="A24" s="155"/>
      <c r="B24" s="156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8"/>
      <c r="AF24" s="156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7"/>
      <c r="BD24" s="157"/>
      <c r="BE24" s="157"/>
      <c r="BF24" s="157"/>
      <c r="BG24" s="157"/>
      <c r="BH24" s="157"/>
      <c r="BI24" s="158"/>
      <c r="BJ24" s="157"/>
      <c r="BK24" s="159"/>
    </row>
    <row r="25" spans="1:63" ht="15" customHeight="1" x14ac:dyDescent="0.25">
      <c r="A25" s="155"/>
      <c r="B25" s="156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8"/>
      <c r="AF25" s="156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7"/>
      <c r="BD25" s="157"/>
      <c r="BE25" s="157"/>
      <c r="BF25" s="157"/>
      <c r="BG25" s="157"/>
      <c r="BH25" s="157"/>
      <c r="BI25" s="158"/>
      <c r="BJ25" s="157"/>
      <c r="BK25" s="159"/>
    </row>
    <row r="26" spans="1:63" ht="15" customHeight="1" x14ac:dyDescent="0.25">
      <c r="A26" s="155"/>
      <c r="B26" s="156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8"/>
      <c r="AF26" s="156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7"/>
      <c r="BI26" s="158"/>
      <c r="BJ26" s="157"/>
      <c r="BK26" s="159"/>
    </row>
    <row r="27" spans="1:63" ht="15" customHeight="1" x14ac:dyDescent="0.25">
      <c r="A27" s="155"/>
      <c r="B27" s="156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8"/>
      <c r="AF27" s="156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8"/>
      <c r="BJ27" s="157"/>
      <c r="BK27" s="159"/>
    </row>
    <row r="28" spans="1:63" ht="15" customHeight="1" x14ac:dyDescent="0.25">
      <c r="A28" s="155"/>
      <c r="B28" s="156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8"/>
      <c r="AF28" s="156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8"/>
      <c r="BJ28" s="157"/>
      <c r="BK28" s="159"/>
    </row>
    <row r="29" spans="1:63" ht="15" customHeight="1" x14ac:dyDescent="0.25">
      <c r="A29" s="155"/>
      <c r="B29" s="156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8"/>
      <c r="AF29" s="156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8"/>
      <c r="BJ29" s="157"/>
      <c r="BK29" s="159"/>
    </row>
    <row r="30" spans="1:63" ht="15" customHeight="1" x14ac:dyDescent="0.25">
      <c r="A30" s="155"/>
      <c r="B30" s="156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8"/>
      <c r="AF30" s="156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8"/>
      <c r="BJ30" s="157"/>
      <c r="BK30" s="159"/>
    </row>
    <row r="31" spans="1:63" ht="15" customHeight="1" x14ac:dyDescent="0.25">
      <c r="A31" s="155"/>
      <c r="B31" s="156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8"/>
      <c r="AF31" s="156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8"/>
      <c r="BJ31" s="157"/>
      <c r="BK31" s="159"/>
    </row>
    <row r="32" spans="1:63" ht="15" customHeight="1" x14ac:dyDescent="0.25">
      <c r="A32" s="155"/>
      <c r="B32" s="156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8"/>
      <c r="AF32" s="156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8"/>
      <c r="BJ32" s="157"/>
      <c r="BK32" s="159"/>
    </row>
    <row r="33" spans="1:63" ht="15" customHeight="1" x14ac:dyDescent="0.25">
      <c r="A33" s="155"/>
      <c r="B33" s="156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8"/>
      <c r="AF33" s="156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8"/>
      <c r="BJ33" s="157"/>
      <c r="BK33" s="159"/>
    </row>
    <row r="34" spans="1:63" ht="15" customHeight="1" x14ac:dyDescent="0.25">
      <c r="A34" s="155"/>
      <c r="B34" s="156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8"/>
      <c r="AF34" s="156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8"/>
      <c r="BJ34" s="157"/>
      <c r="BK34" s="159"/>
    </row>
    <row r="35" spans="1:63" ht="15" customHeight="1" x14ac:dyDescent="0.25">
      <c r="A35" s="155"/>
      <c r="B35" s="156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8"/>
      <c r="AF35" s="156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8"/>
      <c r="BJ35" s="157"/>
      <c r="BK35" s="159"/>
    </row>
    <row r="36" spans="1:63" ht="15" customHeight="1" x14ac:dyDescent="0.25">
      <c r="A36" s="155"/>
      <c r="B36" s="156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8"/>
      <c r="AF36" s="156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8"/>
      <c r="BJ36" s="157"/>
      <c r="BK36" s="159"/>
    </row>
    <row r="37" spans="1:63" ht="15" customHeight="1" x14ac:dyDescent="0.25">
      <c r="A37" s="155"/>
      <c r="B37" s="156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6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8"/>
      <c r="BJ37" s="157"/>
      <c r="BK37" s="159"/>
    </row>
    <row r="38" spans="1:63" ht="15" customHeight="1" x14ac:dyDescent="0.25">
      <c r="A38" s="155"/>
      <c r="B38" s="156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6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8"/>
      <c r="BJ38" s="157"/>
      <c r="BK38" s="159"/>
    </row>
    <row r="39" spans="1:63" ht="15" customHeight="1" x14ac:dyDescent="0.25">
      <c r="A39" s="155"/>
      <c r="B39" s="156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6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8"/>
      <c r="BJ39" s="157"/>
      <c r="BK39" s="159"/>
    </row>
    <row r="40" spans="1:63" ht="15" customHeight="1" x14ac:dyDescent="0.25">
      <c r="A40" s="155"/>
      <c r="B40" s="156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6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8"/>
      <c r="BJ40" s="157"/>
      <c r="BK40" s="159"/>
    </row>
    <row r="41" spans="1:63" ht="15" customHeight="1" x14ac:dyDescent="0.25">
      <c r="A41" s="155"/>
      <c r="B41" s="156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6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8"/>
      <c r="BJ41" s="157"/>
      <c r="BK41" s="159"/>
    </row>
    <row r="42" spans="1:63" ht="15" customHeight="1" x14ac:dyDescent="0.25">
      <c r="A42" s="155"/>
      <c r="B42" s="2" t="s">
        <v>14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3"/>
      <c r="AF42" s="2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3"/>
      <c r="BJ42" s="1"/>
      <c r="BK42" s="159"/>
    </row>
    <row r="43" spans="1:63" ht="15" customHeight="1" x14ac:dyDescent="0.25">
      <c r="A43" s="155"/>
      <c r="B43" s="156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8"/>
      <c r="AF43" s="156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8"/>
      <c r="BJ43" s="157"/>
      <c r="BK43" s="159"/>
    </row>
    <row r="44" spans="1:63" ht="15" customHeight="1" x14ac:dyDescent="0.25">
      <c r="A44" s="155"/>
      <c r="B44" s="156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8"/>
      <c r="AF44" s="156"/>
      <c r="AG44" s="157"/>
      <c r="AH44" s="157"/>
      <c r="AI44" s="157"/>
      <c r="AJ44" s="157"/>
      <c r="AK44" s="157"/>
      <c r="AL44" s="157"/>
      <c r="AM44" s="157"/>
      <c r="AN44" s="157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  <c r="BI44" s="158"/>
      <c r="BJ44" s="157"/>
      <c r="BK44" s="159"/>
    </row>
    <row r="45" spans="1:63" ht="15" customHeight="1" x14ac:dyDescent="0.25">
      <c r="A45" s="155"/>
      <c r="B45" s="156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8"/>
      <c r="AF45" s="156"/>
      <c r="AG45" s="157"/>
      <c r="AH45" s="157"/>
      <c r="AI45" s="157"/>
      <c r="AJ45" s="157"/>
      <c r="AK45" s="157"/>
      <c r="AL45" s="157"/>
      <c r="AM45" s="157"/>
      <c r="AN45" s="157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  <c r="BI45" s="158"/>
      <c r="BJ45" s="157"/>
      <c r="BK45" s="159"/>
    </row>
    <row r="46" spans="1:63" ht="15" customHeight="1" x14ac:dyDescent="0.25">
      <c r="A46" s="155"/>
      <c r="B46" s="156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8"/>
      <c r="AF46" s="156"/>
      <c r="AG46" s="157"/>
      <c r="AH46" s="157"/>
      <c r="AI46" s="157"/>
      <c r="AJ46" s="157"/>
      <c r="AK46" s="157"/>
      <c r="AL46" s="157"/>
      <c r="AM46" s="157"/>
      <c r="AN46" s="157"/>
      <c r="AO46" s="157"/>
      <c r="AP46" s="157"/>
      <c r="AQ46" s="157"/>
      <c r="AR46" s="157"/>
      <c r="AS46" s="157"/>
      <c r="AT46" s="157"/>
      <c r="AU46" s="157"/>
      <c r="AV46" s="157"/>
      <c r="AW46" s="157"/>
      <c r="AX46" s="157"/>
      <c r="AY46" s="157"/>
      <c r="AZ46" s="157"/>
      <c r="BA46" s="157"/>
      <c r="BB46" s="157"/>
      <c r="BC46" s="157"/>
      <c r="BD46" s="157"/>
      <c r="BE46" s="157"/>
      <c r="BF46" s="157"/>
      <c r="BG46" s="157"/>
      <c r="BH46" s="157"/>
      <c r="BI46" s="158"/>
      <c r="BJ46" s="157"/>
      <c r="BK46" s="159"/>
    </row>
    <row r="47" spans="1:63" ht="15" customHeight="1" x14ac:dyDescent="0.25">
      <c r="A47" s="155"/>
      <c r="B47" s="156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8"/>
      <c r="AF47" s="156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8"/>
      <c r="BJ47" s="157"/>
      <c r="BK47" s="159"/>
    </row>
    <row r="48" spans="1:63" ht="15" customHeight="1" x14ac:dyDescent="0.25">
      <c r="A48" s="155"/>
      <c r="B48" s="156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8"/>
      <c r="AF48" s="156"/>
      <c r="AG48" s="157"/>
      <c r="AH48" s="157"/>
      <c r="AI48" s="157"/>
      <c r="AJ48" s="157"/>
      <c r="AK48" s="157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8"/>
      <c r="BJ48" s="157"/>
      <c r="BK48" s="159"/>
    </row>
    <row r="49" spans="1:63" ht="15" customHeight="1" x14ac:dyDescent="0.25">
      <c r="A49" s="155"/>
      <c r="B49" s="156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6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8"/>
      <c r="BJ49" s="157"/>
      <c r="BK49" s="159"/>
    </row>
    <row r="50" spans="1:63" ht="15" customHeight="1" x14ac:dyDescent="0.25">
      <c r="A50" s="155"/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6"/>
      <c r="AG50" s="157"/>
      <c r="AH50" s="157"/>
      <c r="AI50" s="157"/>
      <c r="AJ50" s="157"/>
      <c r="AK50" s="157"/>
      <c r="AL50" s="157"/>
      <c r="AM50" s="157"/>
      <c r="AN50" s="157"/>
      <c r="AO50" s="157"/>
      <c r="AP50" s="157"/>
      <c r="AQ50" s="157"/>
      <c r="AR50" s="157"/>
      <c r="AS50" s="157"/>
      <c r="AT50" s="157"/>
      <c r="AU50" s="157"/>
      <c r="AV50" s="157"/>
      <c r="AW50" s="157"/>
      <c r="AX50" s="157"/>
      <c r="AY50" s="157"/>
      <c r="AZ50" s="157"/>
      <c r="BA50" s="157"/>
      <c r="BB50" s="157"/>
      <c r="BC50" s="157"/>
      <c r="BD50" s="157"/>
      <c r="BE50" s="157"/>
      <c r="BF50" s="157"/>
      <c r="BG50" s="157"/>
      <c r="BH50" s="157"/>
      <c r="BI50" s="158"/>
      <c r="BJ50" s="157"/>
      <c r="BK50" s="159"/>
    </row>
    <row r="51" spans="1:63" ht="15" customHeight="1" x14ac:dyDescent="0.25">
      <c r="A51" s="155"/>
      <c r="B51" s="156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6"/>
      <c r="AG51" s="157"/>
      <c r="AH51" s="157"/>
      <c r="AI51" s="157"/>
      <c r="AJ51" s="157"/>
      <c r="AK51" s="157"/>
      <c r="AL51" s="157"/>
      <c r="AM51" s="157"/>
      <c r="AN51" s="157"/>
      <c r="AO51" s="157"/>
      <c r="AP51" s="157"/>
      <c r="AQ51" s="157"/>
      <c r="AR51" s="157"/>
      <c r="AS51" s="157"/>
      <c r="AT51" s="157"/>
      <c r="AU51" s="157"/>
      <c r="AV51" s="157"/>
      <c r="AW51" s="157"/>
      <c r="AX51" s="157"/>
      <c r="AY51" s="157"/>
      <c r="AZ51" s="157"/>
      <c r="BA51" s="157"/>
      <c r="BB51" s="157"/>
      <c r="BC51" s="157"/>
      <c r="BD51" s="157"/>
      <c r="BE51" s="157"/>
      <c r="BF51" s="157"/>
      <c r="BG51" s="157"/>
      <c r="BH51" s="157"/>
      <c r="BI51" s="158"/>
      <c r="BJ51" s="157"/>
      <c r="BK51" s="159"/>
    </row>
    <row r="52" spans="1:63" ht="15" customHeight="1" x14ac:dyDescent="0.25">
      <c r="A52" s="155"/>
      <c r="B52" s="156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6"/>
      <c r="AG52" s="157"/>
      <c r="AH52" s="157"/>
      <c r="AI52" s="157"/>
      <c r="AJ52" s="157"/>
      <c r="AK52" s="157"/>
      <c r="AL52" s="157"/>
      <c r="AM52" s="157"/>
      <c r="AN52" s="157"/>
      <c r="AO52" s="157"/>
      <c r="AP52" s="157"/>
      <c r="AQ52" s="157"/>
      <c r="AR52" s="157"/>
      <c r="AS52" s="157"/>
      <c r="AT52" s="157"/>
      <c r="AU52" s="157"/>
      <c r="AV52" s="157"/>
      <c r="AW52" s="157"/>
      <c r="AX52" s="157"/>
      <c r="AY52" s="157"/>
      <c r="AZ52" s="157"/>
      <c r="BA52" s="157"/>
      <c r="BB52" s="157"/>
      <c r="BC52" s="157"/>
      <c r="BD52" s="157"/>
      <c r="BE52" s="157"/>
      <c r="BF52" s="157"/>
      <c r="BG52" s="157"/>
      <c r="BH52" s="157"/>
      <c r="BI52" s="158"/>
      <c r="BJ52" s="157"/>
      <c r="BK52" s="159"/>
    </row>
    <row r="53" spans="1:63" ht="15" customHeight="1" x14ac:dyDescent="0.25">
      <c r="A53" s="155"/>
      <c r="B53" s="156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6"/>
      <c r="AG53" s="157"/>
      <c r="AH53" s="157"/>
      <c r="AI53" s="157"/>
      <c r="AJ53" s="157"/>
      <c r="AK53" s="157"/>
      <c r="AL53" s="157"/>
      <c r="AM53" s="157"/>
      <c r="AN53" s="157"/>
      <c r="AO53" s="157"/>
      <c r="AP53" s="157"/>
      <c r="AQ53" s="157"/>
      <c r="AR53" s="157"/>
      <c r="AS53" s="157"/>
      <c r="AT53" s="157"/>
      <c r="AU53" s="157"/>
      <c r="AV53" s="157"/>
      <c r="AW53" s="157"/>
      <c r="AX53" s="157"/>
      <c r="AY53" s="157"/>
      <c r="AZ53" s="157"/>
      <c r="BA53" s="157"/>
      <c r="BB53" s="157"/>
      <c r="BC53" s="157"/>
      <c r="BD53" s="157"/>
      <c r="BE53" s="157"/>
      <c r="BF53" s="157"/>
      <c r="BG53" s="157"/>
      <c r="BH53" s="157"/>
      <c r="BI53" s="158"/>
      <c r="BJ53" s="157"/>
      <c r="BK53" s="159"/>
    </row>
    <row r="54" spans="1:63" ht="15" customHeight="1" x14ac:dyDescent="0.25">
      <c r="A54" s="155"/>
      <c r="B54" s="156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6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8"/>
      <c r="BJ54" s="157"/>
      <c r="BK54" s="159"/>
    </row>
    <row r="55" spans="1:63" ht="15" customHeight="1" x14ac:dyDescent="0.25">
      <c r="A55" s="155"/>
      <c r="B55" s="156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6"/>
      <c r="AG55" s="157"/>
      <c r="AH55" s="157"/>
      <c r="AI55" s="157"/>
      <c r="AJ55" s="157"/>
      <c r="AK55" s="157"/>
      <c r="AL55" s="157"/>
      <c r="AM55" s="157"/>
      <c r="AN55" s="157"/>
      <c r="AO55" s="157"/>
      <c r="AP55" s="157"/>
      <c r="AQ55" s="157"/>
      <c r="AR55" s="157"/>
      <c r="AS55" s="157"/>
      <c r="AT55" s="157"/>
      <c r="AU55" s="157"/>
      <c r="AV55" s="157"/>
      <c r="AW55" s="157"/>
      <c r="AX55" s="157"/>
      <c r="AY55" s="157"/>
      <c r="AZ55" s="157"/>
      <c r="BA55" s="157"/>
      <c r="BB55" s="157"/>
      <c r="BC55" s="157"/>
      <c r="BD55" s="157"/>
      <c r="BE55" s="157"/>
      <c r="BF55" s="157"/>
      <c r="BG55" s="157"/>
      <c r="BH55" s="157"/>
      <c r="BI55" s="158"/>
      <c r="BJ55" s="157"/>
      <c r="BK55" s="159"/>
    </row>
    <row r="56" spans="1:63" ht="15" customHeight="1" x14ac:dyDescent="0.25">
      <c r="A56" s="155"/>
      <c r="B56" s="156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6"/>
      <c r="AG56" s="157"/>
      <c r="AH56" s="157"/>
      <c r="AI56" s="157"/>
      <c r="AJ56" s="157"/>
      <c r="AK56" s="157"/>
      <c r="AL56" s="157"/>
      <c r="AM56" s="157"/>
      <c r="AN56" s="157"/>
      <c r="AO56" s="157"/>
      <c r="AP56" s="157"/>
      <c r="AQ56" s="157"/>
      <c r="AR56" s="157"/>
      <c r="AS56" s="157"/>
      <c r="AT56" s="157"/>
      <c r="AU56" s="157"/>
      <c r="AV56" s="157"/>
      <c r="AW56" s="157"/>
      <c r="AX56" s="157"/>
      <c r="AY56" s="157"/>
      <c r="AZ56" s="157"/>
      <c r="BA56" s="157"/>
      <c r="BB56" s="157"/>
      <c r="BC56" s="157"/>
      <c r="BD56" s="157"/>
      <c r="BE56" s="157"/>
      <c r="BF56" s="157"/>
      <c r="BG56" s="157"/>
      <c r="BH56" s="157"/>
      <c r="BI56" s="158"/>
      <c r="BJ56" s="157"/>
      <c r="BK56" s="159"/>
    </row>
    <row r="57" spans="1:63" ht="15" customHeight="1" x14ac:dyDescent="0.25">
      <c r="A57" s="155"/>
      <c r="B57" s="156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6"/>
      <c r="AG57" s="157"/>
      <c r="AH57" s="157"/>
      <c r="AI57" s="157"/>
      <c r="AJ57" s="157"/>
      <c r="AK57" s="157"/>
      <c r="AL57" s="157"/>
      <c r="AM57" s="157"/>
      <c r="AN57" s="157"/>
      <c r="AO57" s="157"/>
      <c r="AP57" s="157"/>
      <c r="AQ57" s="157"/>
      <c r="AR57" s="157"/>
      <c r="AS57" s="157"/>
      <c r="AT57" s="157"/>
      <c r="AU57" s="157"/>
      <c r="AV57" s="157"/>
      <c r="AW57" s="157"/>
      <c r="AX57" s="157"/>
      <c r="AY57" s="157"/>
      <c r="AZ57" s="157"/>
      <c r="BA57" s="157"/>
      <c r="BB57" s="157"/>
      <c r="BC57" s="157"/>
      <c r="BD57" s="157"/>
      <c r="BE57" s="157"/>
      <c r="BF57" s="157"/>
      <c r="BG57" s="157"/>
      <c r="BH57" s="157"/>
      <c r="BI57" s="158"/>
      <c r="BJ57" s="157"/>
      <c r="BK57" s="159"/>
    </row>
    <row r="58" spans="1:63" ht="15" customHeight="1" x14ac:dyDescent="0.25">
      <c r="A58" s="155"/>
      <c r="B58" s="156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6"/>
      <c r="AG58" s="157"/>
      <c r="AH58" s="157"/>
      <c r="AI58" s="157"/>
      <c r="AJ58" s="157"/>
      <c r="AK58" s="157"/>
      <c r="AL58" s="157"/>
      <c r="AM58" s="157"/>
      <c r="AN58" s="157"/>
      <c r="AO58" s="157"/>
      <c r="AP58" s="157"/>
      <c r="AQ58" s="157"/>
      <c r="AR58" s="157"/>
      <c r="AS58" s="157"/>
      <c r="AT58" s="157"/>
      <c r="AU58" s="157"/>
      <c r="AV58" s="157"/>
      <c r="AW58" s="157"/>
      <c r="AX58" s="157"/>
      <c r="AY58" s="157"/>
      <c r="AZ58" s="157"/>
      <c r="BA58" s="157"/>
      <c r="BB58" s="157"/>
      <c r="BC58" s="157"/>
      <c r="BD58" s="157"/>
      <c r="BE58" s="157"/>
      <c r="BF58" s="157"/>
      <c r="BG58" s="157"/>
      <c r="BH58" s="157"/>
      <c r="BI58" s="158"/>
      <c r="BJ58" s="157"/>
      <c r="BK58" s="159"/>
    </row>
    <row r="59" spans="1:63" ht="15" customHeight="1" x14ac:dyDescent="0.25">
      <c r="A59" s="155"/>
      <c r="B59" s="156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6"/>
      <c r="AG59" s="157"/>
      <c r="AH59" s="157"/>
      <c r="AI59" s="157"/>
      <c r="AJ59" s="157"/>
      <c r="AK59" s="157"/>
      <c r="AL59" s="157"/>
      <c r="AM59" s="157"/>
      <c r="AN59" s="157"/>
      <c r="AO59" s="157"/>
      <c r="AP59" s="157"/>
      <c r="AQ59" s="157"/>
      <c r="AR59" s="157"/>
      <c r="AS59" s="157"/>
      <c r="AT59" s="157"/>
      <c r="AU59" s="157"/>
      <c r="AV59" s="157"/>
      <c r="AW59" s="157"/>
      <c r="AX59" s="157"/>
      <c r="AY59" s="157"/>
      <c r="AZ59" s="157"/>
      <c r="BA59" s="157"/>
      <c r="BB59" s="157"/>
      <c r="BC59" s="157"/>
      <c r="BD59" s="157"/>
      <c r="BE59" s="157"/>
      <c r="BF59" s="157"/>
      <c r="BG59" s="157"/>
      <c r="BH59" s="157"/>
      <c r="BI59" s="158"/>
      <c r="BJ59" s="157"/>
      <c r="BK59" s="159"/>
    </row>
    <row r="60" spans="1:63" ht="15" customHeight="1" x14ac:dyDescent="0.25">
      <c r="A60" s="155"/>
      <c r="B60" s="156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6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8"/>
      <c r="BJ60" s="157"/>
      <c r="BK60" s="159"/>
    </row>
    <row r="61" spans="1:63" ht="15" customHeight="1" x14ac:dyDescent="0.25">
      <c r="A61" s="155"/>
      <c r="B61" s="156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6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8"/>
      <c r="BJ61" s="157"/>
      <c r="BK61" s="159"/>
    </row>
    <row r="62" spans="1:63" ht="15" customHeight="1" x14ac:dyDescent="0.25">
      <c r="A62" s="155"/>
      <c r="B62" s="156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6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8"/>
      <c r="BJ62" s="157"/>
      <c r="BK62" s="159"/>
    </row>
    <row r="63" spans="1:63" ht="15" customHeight="1" x14ac:dyDescent="0.25">
      <c r="A63" s="155"/>
      <c r="B63" s="156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6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8"/>
      <c r="BJ63" s="157"/>
      <c r="BK63" s="159"/>
    </row>
    <row r="64" spans="1:63" ht="15" customHeight="1" x14ac:dyDescent="0.25">
      <c r="A64" s="155"/>
      <c r="B64" s="156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6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8"/>
      <c r="BJ64" s="157"/>
      <c r="BK64" s="159"/>
    </row>
    <row r="65" spans="1:63" ht="15" customHeight="1" x14ac:dyDescent="0.25">
      <c r="A65" s="155"/>
      <c r="B65" s="156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6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8"/>
      <c r="BJ65" s="157"/>
      <c r="BK65" s="159"/>
    </row>
    <row r="66" spans="1:63" ht="15" customHeight="1" x14ac:dyDescent="0.25">
      <c r="A66" s="155"/>
      <c r="B66" s="156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6"/>
      <c r="AG66" s="157"/>
      <c r="AH66" s="157"/>
      <c r="AI66" s="157"/>
      <c r="AJ66" s="157"/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57"/>
      <c r="BC66" s="157"/>
      <c r="BD66" s="157"/>
      <c r="BE66" s="157"/>
      <c r="BF66" s="157"/>
      <c r="BG66" s="157"/>
      <c r="BH66" s="157"/>
      <c r="BI66" s="158"/>
      <c r="BJ66" s="157"/>
      <c r="BK66" s="159"/>
    </row>
    <row r="67" spans="1:63" ht="15" customHeight="1" x14ac:dyDescent="0.25">
      <c r="A67" s="155"/>
      <c r="B67" s="156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6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8"/>
      <c r="BJ67" s="157"/>
      <c r="BK67" s="159"/>
    </row>
    <row r="68" spans="1:63" ht="15" customHeight="1" x14ac:dyDescent="0.25">
      <c r="A68" s="160"/>
      <c r="B68" s="161"/>
      <c r="C68" s="160"/>
      <c r="D68" s="160"/>
      <c r="E68" s="160"/>
      <c r="F68" s="160"/>
      <c r="G68" s="160"/>
      <c r="H68" s="160"/>
      <c r="I68" s="160"/>
      <c r="J68" s="160"/>
      <c r="K68" s="160"/>
      <c r="L68" s="160"/>
      <c r="M68" s="160"/>
      <c r="N68" s="160"/>
      <c r="O68" s="160"/>
      <c r="P68" s="160"/>
      <c r="Q68" s="160"/>
      <c r="R68" s="160"/>
      <c r="S68" s="160"/>
      <c r="T68" s="160"/>
      <c r="U68" s="160"/>
      <c r="V68" s="160"/>
      <c r="W68" s="160"/>
      <c r="X68" s="160"/>
      <c r="Y68" s="160"/>
      <c r="Z68" s="160"/>
      <c r="AA68" s="160"/>
      <c r="AB68" s="160"/>
      <c r="AC68" s="160"/>
      <c r="AD68" s="160"/>
      <c r="AE68" s="162"/>
      <c r="AF68" s="161"/>
      <c r="AG68" s="160"/>
      <c r="AH68" s="160"/>
      <c r="AI68" s="160"/>
      <c r="AJ68" s="160"/>
      <c r="AK68" s="160"/>
      <c r="AL68" s="160"/>
      <c r="AM68" s="160"/>
      <c r="AN68" s="160"/>
      <c r="AO68" s="160"/>
      <c r="AP68" s="160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0"/>
      <c r="BD68" s="160"/>
      <c r="BE68" s="160"/>
      <c r="BF68" s="160"/>
      <c r="BG68" s="160"/>
      <c r="BH68" s="160"/>
      <c r="BI68" s="162"/>
      <c r="BJ68" s="160"/>
      <c r="BK68" s="163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8" fitToWidth="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23373-8798-4F07-9F6C-7BB05F1A3D69}">
  <sheetPr>
    <pageSetUpPr fitToPage="1"/>
  </sheetPr>
  <dimension ref="A1:BK54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164" t="s">
        <v>25</v>
      </c>
      <c r="B1" s="165"/>
      <c r="C1" s="165"/>
      <c r="D1" s="165"/>
      <c r="E1" s="165"/>
      <c r="F1" s="165"/>
      <c r="G1" s="165"/>
      <c r="H1" s="165"/>
      <c r="I1" s="165"/>
      <c r="J1" s="166"/>
      <c r="K1" s="164" t="s">
        <v>26</v>
      </c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  <c r="W1" s="167" t="str">
        <f>IF(表紙!W1="","",表紙!W1)</f>
        <v>基本設計書</v>
      </c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9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3" ht="15" customHeight="1" x14ac:dyDescent="0.25">
      <c r="A2" s="34" t="str">
        <f>IF(表紙!A2="","",表紙!A2)</f>
        <v>POSサーバー</v>
      </c>
      <c r="B2" s="35"/>
      <c r="C2" s="35"/>
      <c r="D2" s="35"/>
      <c r="E2" s="35"/>
      <c r="F2" s="35"/>
      <c r="G2" s="35"/>
      <c r="H2" s="35"/>
      <c r="I2" s="35"/>
      <c r="J2" s="36"/>
      <c r="K2" s="34" t="str">
        <f>IF(表紙!K2="","",表紙!K2)</f>
        <v>POSサーバ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170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45643</v>
      </c>
      <c r="AU2" s="54"/>
      <c r="AV2" s="54"/>
      <c r="AW2" s="54"/>
      <c r="AX2" s="55"/>
      <c r="AY2" s="49" t="str">
        <f>IF(表紙!AY2="","",表紙!AY2)</f>
        <v>LoiLV</v>
      </c>
      <c r="AZ2" s="47"/>
      <c r="BA2" s="47"/>
      <c r="BB2" s="48"/>
      <c r="BC2" s="53">
        <f>IF(表紙!BC2="","",表紙!BC2)</f>
        <v>45657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9"/>
      <c r="K3" s="37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64" t="s">
        <v>34</v>
      </c>
      <c r="B4" s="165"/>
      <c r="C4" s="165"/>
      <c r="D4" s="165"/>
      <c r="E4" s="165"/>
      <c r="F4" s="165"/>
      <c r="G4" s="166"/>
      <c r="H4" s="30" t="str">
        <f>IF(表紙!H4="","",表紙!H4)</f>
        <v>45_商品管理（新規）設定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64" t="s">
        <v>35</v>
      </c>
      <c r="V4" s="165"/>
      <c r="W4" s="165"/>
      <c r="X4" s="165"/>
      <c r="Y4" s="166"/>
      <c r="Z4" s="30" t="str">
        <f>IF(表紙!Z4="","",表紙!Z4)</f>
        <v>概要設計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機能概要説明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C7" s="46" t="s">
        <v>17</v>
      </c>
      <c r="BK7" s="78"/>
    </row>
    <row r="8" spans="1:63" ht="15" customHeight="1" x14ac:dyDescent="0.25">
      <c r="A8" s="77"/>
      <c r="D8" s="46" t="s">
        <v>18</v>
      </c>
      <c r="BK8" s="78"/>
    </row>
    <row r="9" spans="1:63" ht="15" customHeight="1" x14ac:dyDescent="0.25">
      <c r="A9" s="77"/>
      <c r="D9" s="46" t="s">
        <v>19</v>
      </c>
      <c r="BK9" s="78"/>
    </row>
    <row r="10" spans="1:63" ht="15" customHeight="1" x14ac:dyDescent="0.25">
      <c r="A10" s="77"/>
      <c r="D10" s="46" t="s">
        <v>20</v>
      </c>
      <c r="BK10" s="78"/>
    </row>
    <row r="11" spans="1:63" ht="15" customHeight="1" x14ac:dyDescent="0.25">
      <c r="A11" s="77"/>
      <c r="D11" s="46" t="s">
        <v>43</v>
      </c>
      <c r="BK11" s="78"/>
    </row>
    <row r="12" spans="1:63" ht="15" customHeight="1" x14ac:dyDescent="0.25">
      <c r="A12" s="77"/>
      <c r="D12" s="46" t="s">
        <v>21</v>
      </c>
      <c r="BK12" s="78"/>
    </row>
    <row r="13" spans="1:63" ht="15" customHeight="1" x14ac:dyDescent="0.25">
      <c r="A13" s="77"/>
      <c r="BK13" s="78"/>
    </row>
    <row r="14" spans="1:63" ht="15" customHeight="1" x14ac:dyDescent="0.25">
      <c r="A14" s="77"/>
      <c r="BK14" s="78"/>
    </row>
    <row r="15" spans="1:63" ht="15" customHeight="1" x14ac:dyDescent="0.25">
      <c r="A15" s="77"/>
      <c r="BK15" s="78"/>
    </row>
    <row r="16" spans="1:63" ht="15" customHeight="1" x14ac:dyDescent="0.25">
      <c r="A16" s="77"/>
      <c r="BK16" s="78"/>
    </row>
    <row r="17" spans="1:63" ht="15" customHeight="1" x14ac:dyDescent="0.25">
      <c r="A17" s="77"/>
      <c r="BK17" s="78"/>
    </row>
    <row r="18" spans="1:63" ht="15" customHeight="1" x14ac:dyDescent="0.25">
      <c r="A18" s="77"/>
      <c r="BK18" s="78"/>
    </row>
    <row r="19" spans="1:63" ht="15" customHeight="1" x14ac:dyDescent="0.25">
      <c r="A19" s="77"/>
      <c r="BK19" s="78"/>
    </row>
    <row r="20" spans="1:63" ht="15" customHeight="1" x14ac:dyDescent="0.25">
      <c r="A20" s="77"/>
      <c r="BK20" s="78"/>
    </row>
    <row r="21" spans="1:63" ht="15" customHeight="1" x14ac:dyDescent="0.25">
      <c r="A21" s="77"/>
      <c r="BK21" s="78"/>
    </row>
    <row r="22" spans="1:63" ht="15" customHeight="1" x14ac:dyDescent="0.25">
      <c r="A22" s="77"/>
      <c r="BK22" s="78"/>
    </row>
    <row r="23" spans="1:63" ht="15" customHeight="1" x14ac:dyDescent="0.25">
      <c r="A23" s="77"/>
      <c r="BK23" s="78"/>
    </row>
    <row r="24" spans="1:63" ht="15" customHeight="1" x14ac:dyDescent="0.25">
      <c r="A24" s="77"/>
      <c r="BK24" s="78"/>
    </row>
    <row r="25" spans="1:63" ht="15" customHeight="1" x14ac:dyDescent="0.25">
      <c r="A25" s="77"/>
      <c r="BK25" s="78"/>
    </row>
    <row r="26" spans="1:63" ht="15" customHeight="1" x14ac:dyDescent="0.25">
      <c r="A26" s="77"/>
      <c r="BK26" s="78"/>
    </row>
    <row r="27" spans="1:63" ht="15" customHeight="1" x14ac:dyDescent="0.25">
      <c r="A27" s="77"/>
      <c r="BK27" s="78"/>
    </row>
    <row r="28" spans="1:63" ht="15" customHeight="1" x14ac:dyDescent="0.25">
      <c r="A28" s="77"/>
      <c r="BK28" s="78"/>
    </row>
    <row r="29" spans="1:63" ht="15" customHeight="1" x14ac:dyDescent="0.25">
      <c r="A29" s="77"/>
      <c r="BK29" s="78"/>
    </row>
    <row r="30" spans="1:63" ht="15" customHeight="1" x14ac:dyDescent="0.25">
      <c r="A30" s="77"/>
      <c r="BK30" s="78"/>
    </row>
    <row r="31" spans="1:63" ht="15" customHeight="1" x14ac:dyDescent="0.25">
      <c r="A31" s="77"/>
      <c r="BK31" s="78"/>
    </row>
    <row r="32" spans="1:63" ht="15" customHeight="1" x14ac:dyDescent="0.25">
      <c r="A32" s="77"/>
      <c r="BK32" s="78"/>
    </row>
    <row r="33" spans="1:63" ht="15" customHeight="1" x14ac:dyDescent="0.25">
      <c r="A33" s="77"/>
      <c r="BK33" s="78"/>
    </row>
    <row r="34" spans="1:63" ht="15" customHeight="1" x14ac:dyDescent="0.25">
      <c r="A34" s="77"/>
      <c r="BK34" s="78"/>
    </row>
    <row r="35" spans="1:63" ht="15" customHeight="1" x14ac:dyDescent="0.25">
      <c r="A35" s="77"/>
      <c r="BK35" s="78"/>
    </row>
    <row r="36" spans="1:63" ht="15" customHeight="1" x14ac:dyDescent="0.25">
      <c r="A36" s="77"/>
      <c r="BK36" s="78"/>
    </row>
    <row r="37" spans="1:63" ht="15" customHeight="1" x14ac:dyDescent="0.25">
      <c r="A37" s="77"/>
      <c r="BK37" s="78"/>
    </row>
    <row r="38" spans="1:63" ht="15" customHeight="1" x14ac:dyDescent="0.25">
      <c r="A38" s="77"/>
      <c r="BK38" s="78"/>
    </row>
    <row r="39" spans="1:63" ht="15" customHeight="1" x14ac:dyDescent="0.25">
      <c r="A39" s="77"/>
      <c r="BK39" s="78"/>
    </row>
    <row r="40" spans="1:63" ht="15" customHeight="1" x14ac:dyDescent="0.25">
      <c r="A40" s="77"/>
      <c r="BK40" s="78"/>
    </row>
    <row r="41" spans="1:63" ht="15" customHeight="1" x14ac:dyDescent="0.25">
      <c r="A41" s="77"/>
      <c r="BK41" s="78"/>
    </row>
    <row r="42" spans="1:63" ht="15" customHeight="1" x14ac:dyDescent="0.25">
      <c r="A42" s="77"/>
      <c r="BK42" s="78"/>
    </row>
    <row r="43" spans="1:63" ht="15" customHeight="1" x14ac:dyDescent="0.25">
      <c r="A43" s="77"/>
      <c r="BK43" s="78"/>
    </row>
    <row r="44" spans="1:63" ht="15" customHeight="1" x14ac:dyDescent="0.25">
      <c r="A44" s="77"/>
      <c r="BK44" s="78"/>
    </row>
    <row r="45" spans="1:63" ht="15" customHeight="1" x14ac:dyDescent="0.25">
      <c r="A45" s="77"/>
      <c r="BK45" s="78"/>
    </row>
    <row r="46" spans="1:63" ht="15" customHeight="1" x14ac:dyDescent="0.25">
      <c r="A46" s="77"/>
      <c r="BK46" s="78"/>
    </row>
    <row r="47" spans="1:63" ht="15" customHeight="1" x14ac:dyDescent="0.25">
      <c r="A47" s="77"/>
      <c r="BK47" s="78"/>
    </row>
    <row r="48" spans="1:63" ht="15" customHeight="1" x14ac:dyDescent="0.25">
      <c r="A48" s="77"/>
      <c r="BK48" s="78"/>
    </row>
    <row r="49" spans="1:63" ht="15" customHeight="1" x14ac:dyDescent="0.25">
      <c r="A49" s="77"/>
      <c r="BK49" s="78"/>
    </row>
    <row r="50" spans="1:63" ht="15" customHeight="1" x14ac:dyDescent="0.25">
      <c r="A50" s="77"/>
      <c r="BK50" s="78"/>
    </row>
    <row r="51" spans="1:63" ht="15" customHeight="1" x14ac:dyDescent="0.25">
      <c r="A51" s="77"/>
      <c r="BK51" s="78"/>
    </row>
    <row r="52" spans="1:63" ht="15" customHeight="1" x14ac:dyDescent="0.25">
      <c r="A52" s="77"/>
      <c r="BK52" s="78"/>
    </row>
    <row r="53" spans="1:63" ht="15" customHeight="1" x14ac:dyDescent="0.25">
      <c r="A53" s="77"/>
      <c r="BK53" s="78"/>
    </row>
    <row r="54" spans="1:63" ht="15" customHeight="1" x14ac:dyDescent="0.25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6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EH82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46" customWidth="1"/>
    <col min="66" max="16384" width="2.77734375" style="46"/>
  </cols>
  <sheetData>
    <row r="1" spans="1:65" ht="24.95" customHeight="1" x14ac:dyDescent="0.25">
      <c r="A1" s="176" t="s">
        <v>22</v>
      </c>
      <c r="B1" s="41"/>
      <c r="C1" s="41"/>
      <c r="D1" s="41"/>
      <c r="E1" s="41"/>
      <c r="F1" s="41"/>
      <c r="G1" s="41"/>
      <c r="H1" s="41"/>
      <c r="I1" s="41"/>
      <c r="J1" s="42"/>
      <c r="K1" s="40" t="s">
        <v>26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2"/>
      <c r="W1" s="43" t="str">
        <f>IF(表紙!W1="","",表紙!W1)</f>
        <v>基本設計書</v>
      </c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5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5" ht="15" customHeight="1" x14ac:dyDescent="0.25">
      <c r="A2" s="49" t="str">
        <f>IF(表紙!A2="","",表紙!A2)</f>
        <v>POSサーバー</v>
      </c>
      <c r="B2" s="47"/>
      <c r="C2" s="47"/>
      <c r="D2" s="47"/>
      <c r="E2" s="47"/>
      <c r="F2" s="47"/>
      <c r="G2" s="47"/>
      <c r="H2" s="47"/>
      <c r="I2" s="47"/>
      <c r="J2" s="48"/>
      <c r="K2" s="49" t="str">
        <f>IF(表紙!K2="","",表紙!K2)</f>
        <v>POSサーバ</v>
      </c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  <c r="W2" s="50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45643</v>
      </c>
      <c r="AU2" s="54"/>
      <c r="AV2" s="54"/>
      <c r="AW2" s="54"/>
      <c r="AX2" s="55"/>
      <c r="AY2" s="49" t="str">
        <f>IF(表紙!AY2="","",表紙!AY2)</f>
        <v>LoiLV</v>
      </c>
      <c r="AZ2" s="47"/>
      <c r="BA2" s="47"/>
      <c r="BB2" s="48"/>
      <c r="BC2" s="53">
        <f>IF(表紙!BC2="","",表紙!BC2)</f>
        <v>45657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5" ht="15" customHeight="1" x14ac:dyDescent="0.25">
      <c r="A3" s="59"/>
      <c r="B3" s="60"/>
      <c r="C3" s="60"/>
      <c r="D3" s="60"/>
      <c r="E3" s="60"/>
      <c r="F3" s="60"/>
      <c r="G3" s="60"/>
      <c r="H3" s="60"/>
      <c r="I3" s="60"/>
      <c r="J3" s="61"/>
      <c r="K3" s="59"/>
      <c r="L3" s="60"/>
      <c r="M3" s="60"/>
      <c r="N3" s="60"/>
      <c r="O3" s="60"/>
      <c r="P3" s="60"/>
      <c r="Q3" s="60"/>
      <c r="R3" s="60"/>
      <c r="S3" s="60"/>
      <c r="T3" s="60"/>
      <c r="U3" s="60"/>
      <c r="V3" s="61"/>
      <c r="W3" s="62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4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5" ht="24.95" customHeight="1" x14ac:dyDescent="0.25">
      <c r="A4" s="40" t="s">
        <v>34</v>
      </c>
      <c r="B4" s="41"/>
      <c r="C4" s="41"/>
      <c r="D4" s="41"/>
      <c r="E4" s="41"/>
      <c r="F4" s="41"/>
      <c r="G4" s="42"/>
      <c r="H4" s="71" t="str">
        <f>IF(表紙!H4="","",表紙!H4)</f>
        <v>45_商品管理（新規）設定</v>
      </c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3"/>
      <c r="U4" s="40" t="s">
        <v>35</v>
      </c>
      <c r="V4" s="41"/>
      <c r="W4" s="41"/>
      <c r="X4" s="41"/>
      <c r="Y4" s="42"/>
      <c r="Z4" s="71" t="str">
        <f>IF(表紙!Z4="","",表紙!Z4)</f>
        <v>概要設計</v>
      </c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3"/>
      <c r="AP4" s="71" t="str">
        <f t="array" aca="1" ref="AP4" ca="1">RIGHT(CELL("filename",$A$1),LEN(CELL("filename",$A$1))-FIND("]",CELL("filename",$A$1)))</f>
        <v>機能概要</v>
      </c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3"/>
    </row>
    <row r="5" spans="1:65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5" ht="15" customHeight="1" x14ac:dyDescent="0.25">
      <c r="A6" s="77"/>
      <c r="BK6" s="78"/>
    </row>
    <row r="7" spans="1:65" ht="15" customHeight="1" x14ac:dyDescent="0.25">
      <c r="A7" s="77"/>
      <c r="B7" s="177" t="s">
        <v>44</v>
      </c>
      <c r="C7" s="178"/>
      <c r="D7" s="179"/>
      <c r="E7" s="179"/>
      <c r="F7" s="179"/>
      <c r="G7" s="179"/>
      <c r="H7" s="179"/>
      <c r="I7" s="179"/>
      <c r="J7" s="179"/>
      <c r="K7" s="180"/>
      <c r="L7" s="179"/>
      <c r="M7" s="179"/>
      <c r="N7" s="179"/>
      <c r="O7" s="179"/>
      <c r="P7" s="179"/>
      <c r="Q7" s="179"/>
      <c r="R7" s="179"/>
      <c r="S7" s="179"/>
      <c r="T7" s="180"/>
      <c r="U7" s="178"/>
      <c r="V7" s="179"/>
      <c r="W7" s="179"/>
      <c r="X7" s="179"/>
      <c r="Y7" s="179"/>
      <c r="Z7" s="179"/>
      <c r="AA7" s="179"/>
      <c r="AB7" s="179"/>
      <c r="AC7" s="180"/>
      <c r="AD7" s="178"/>
      <c r="AE7" s="179"/>
      <c r="AF7" s="179"/>
      <c r="AG7" s="179"/>
      <c r="AH7" s="179"/>
      <c r="AI7" s="179"/>
      <c r="AJ7" s="179"/>
      <c r="AK7" s="179"/>
      <c r="AL7" s="180"/>
      <c r="AM7" s="178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79"/>
      <c r="BG7" s="179"/>
      <c r="BH7" s="179"/>
      <c r="BI7" s="180"/>
      <c r="BJ7" s="179"/>
      <c r="BK7" s="78"/>
    </row>
    <row r="8" spans="1:65" ht="15" customHeight="1" x14ac:dyDescent="0.25">
      <c r="A8" s="77"/>
      <c r="B8" s="181"/>
      <c r="K8" s="182"/>
      <c r="U8" s="181"/>
      <c r="AD8" s="181"/>
      <c r="AM8" s="181"/>
      <c r="BI8" s="183"/>
      <c r="BK8" s="78"/>
    </row>
    <row r="9" spans="1:65" ht="15" customHeight="1" x14ac:dyDescent="0.25">
      <c r="A9" s="77"/>
      <c r="B9" s="181"/>
      <c r="K9" s="182"/>
      <c r="U9" s="181"/>
      <c r="AD9" s="181"/>
      <c r="AM9" s="181"/>
      <c r="BI9" s="183"/>
      <c r="BK9" s="78"/>
    </row>
    <row r="10" spans="1:65" ht="15" customHeight="1" x14ac:dyDescent="0.25">
      <c r="A10" s="77"/>
      <c r="B10" s="181"/>
      <c r="K10" s="182"/>
      <c r="U10" s="181"/>
      <c r="AD10" s="181"/>
      <c r="AM10" s="181"/>
      <c r="BI10" s="183"/>
      <c r="BK10" s="78"/>
    </row>
    <row r="11" spans="1:65" ht="15" customHeight="1" x14ac:dyDescent="0.25">
      <c r="A11" s="77"/>
      <c r="B11" s="181"/>
      <c r="K11" s="182"/>
      <c r="U11" s="181"/>
      <c r="AD11" s="181"/>
      <c r="AM11" s="181"/>
      <c r="BI11" s="183"/>
      <c r="BK11" s="78"/>
    </row>
    <row r="12" spans="1:65" ht="15" customHeight="1" x14ac:dyDescent="0.25">
      <c r="A12" s="77"/>
      <c r="B12" s="181"/>
      <c r="K12" s="182"/>
      <c r="U12" s="181"/>
      <c r="AD12" s="181"/>
      <c r="AM12" s="181"/>
      <c r="BI12" s="183"/>
      <c r="BK12" s="78"/>
    </row>
    <row r="13" spans="1:65" ht="15" customHeight="1" x14ac:dyDescent="0.25">
      <c r="A13" s="77"/>
      <c r="B13" s="181"/>
      <c r="K13" s="182"/>
      <c r="U13" s="181"/>
      <c r="AD13" s="181"/>
      <c r="AM13" s="181"/>
      <c r="BI13" s="183"/>
      <c r="BK13" s="78"/>
    </row>
    <row r="14" spans="1:65" ht="15" customHeight="1" x14ac:dyDescent="0.25">
      <c r="A14" s="77"/>
      <c r="B14" s="181"/>
      <c r="K14" s="182"/>
      <c r="U14" s="181"/>
      <c r="AD14" s="181"/>
      <c r="AM14" s="181"/>
      <c r="BI14" s="183"/>
      <c r="BK14" s="78"/>
    </row>
    <row r="15" spans="1:65" ht="15" customHeight="1" x14ac:dyDescent="0.25">
      <c r="A15" s="77"/>
      <c r="B15" s="181"/>
      <c r="K15" s="182"/>
      <c r="U15" s="181"/>
      <c r="AD15" s="181"/>
      <c r="AM15" s="181"/>
      <c r="BI15" s="183"/>
      <c r="BK15" s="78"/>
    </row>
    <row r="16" spans="1:65" s="189" customFormat="1" ht="15" customHeight="1" x14ac:dyDescent="0.25">
      <c r="A16" s="184"/>
      <c r="B16" s="185" t="s">
        <v>23</v>
      </c>
      <c r="C16" s="186"/>
      <c r="D16" s="186"/>
      <c r="E16" s="186"/>
      <c r="F16" s="186"/>
      <c r="G16" s="186"/>
      <c r="H16" s="186"/>
      <c r="I16" s="186"/>
      <c r="J16" s="186"/>
      <c r="K16" s="187"/>
      <c r="L16" s="185"/>
      <c r="M16" s="186"/>
      <c r="N16" s="186"/>
      <c r="O16" s="186"/>
      <c r="P16" s="186"/>
      <c r="Q16" s="186"/>
      <c r="R16" s="186"/>
      <c r="S16" s="186"/>
      <c r="T16" s="187"/>
      <c r="U16" s="185"/>
      <c r="V16" s="186"/>
      <c r="W16" s="186"/>
      <c r="X16" s="186"/>
      <c r="Y16" s="186"/>
      <c r="Z16" s="186"/>
      <c r="AA16" s="186"/>
      <c r="AB16" s="186"/>
      <c r="AC16" s="187"/>
      <c r="AD16" s="185"/>
      <c r="AE16" s="186"/>
      <c r="AF16" s="186"/>
      <c r="AG16" s="186"/>
      <c r="AH16" s="186"/>
      <c r="AI16" s="186"/>
      <c r="AJ16" s="186"/>
      <c r="AK16" s="186"/>
      <c r="AL16" s="187"/>
      <c r="AM16" s="185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6"/>
      <c r="BB16" s="186"/>
      <c r="BC16" s="186"/>
      <c r="BD16" s="186"/>
      <c r="BE16" s="186"/>
      <c r="BF16" s="186"/>
      <c r="BG16" s="186"/>
      <c r="BH16" s="186"/>
      <c r="BI16" s="187"/>
      <c r="BJ16" s="186"/>
      <c r="BK16" s="188"/>
      <c r="BM16" s="4">
        <f>IF(BM15=50,1,BM15+1)</f>
        <v>1</v>
      </c>
    </row>
    <row r="17" spans="1:65" ht="15" customHeight="1" x14ac:dyDescent="0.25">
      <c r="A17" s="77"/>
      <c r="B17" s="181"/>
      <c r="K17" s="182"/>
      <c r="U17" s="181"/>
      <c r="AD17" s="181"/>
      <c r="AM17" s="181"/>
      <c r="BI17" s="183"/>
      <c r="BK17" s="78"/>
      <c r="BM17" s="4">
        <f>IF(BM16=50,1,BM16+1)</f>
        <v>2</v>
      </c>
    </row>
    <row r="18" spans="1:65" s="189" customFormat="1" ht="15" customHeight="1" x14ac:dyDescent="0.25">
      <c r="A18" s="184"/>
      <c r="B18" s="181"/>
      <c r="K18" s="182"/>
      <c r="L18" s="190"/>
      <c r="T18" s="182"/>
      <c r="U18" s="190"/>
      <c r="AC18" s="182"/>
      <c r="AD18" s="190"/>
      <c r="AL18" s="182"/>
      <c r="AM18" s="190"/>
      <c r="BI18" s="182"/>
      <c r="BK18" s="188"/>
      <c r="BM18" s="4">
        <f t="shared" ref="BM18:BM47" si="0">IF(BM17=50,1,BM17+1)</f>
        <v>3</v>
      </c>
    </row>
    <row r="19" spans="1:65" s="189" customFormat="1" ht="15" customHeight="1" x14ac:dyDescent="0.25">
      <c r="A19" s="184"/>
      <c r="B19" s="181"/>
      <c r="K19" s="182"/>
      <c r="L19" s="190"/>
      <c r="T19" s="182"/>
      <c r="U19" s="190"/>
      <c r="AC19" s="182"/>
      <c r="AD19" s="190"/>
      <c r="AL19" s="182"/>
      <c r="AM19" s="190"/>
      <c r="BI19" s="182"/>
      <c r="BK19" s="188"/>
      <c r="BM19" s="4">
        <f t="shared" si="0"/>
        <v>4</v>
      </c>
    </row>
    <row r="20" spans="1:65" s="189" customFormat="1" ht="15" customHeight="1" x14ac:dyDescent="0.25">
      <c r="A20" s="184"/>
      <c r="B20" s="181"/>
      <c r="K20" s="182"/>
      <c r="L20" s="190"/>
      <c r="T20" s="182"/>
      <c r="U20" s="190"/>
      <c r="AC20" s="182"/>
      <c r="AD20" s="190"/>
      <c r="AL20" s="182"/>
      <c r="AM20" s="190"/>
      <c r="BI20" s="182"/>
      <c r="BK20" s="188"/>
      <c r="BM20" s="4">
        <f t="shared" si="0"/>
        <v>5</v>
      </c>
    </row>
    <row r="21" spans="1:65" s="189" customFormat="1" ht="15" customHeight="1" x14ac:dyDescent="0.25">
      <c r="A21" s="184"/>
      <c r="B21" s="181"/>
      <c r="K21" s="182"/>
      <c r="L21" s="190"/>
      <c r="T21" s="182"/>
      <c r="U21" s="190"/>
      <c r="AC21" s="182"/>
      <c r="AD21" s="190"/>
      <c r="AL21" s="182"/>
      <c r="AM21" s="190"/>
      <c r="BI21" s="182"/>
      <c r="BK21" s="188"/>
      <c r="BM21" s="4">
        <f t="shared" si="0"/>
        <v>6</v>
      </c>
    </row>
    <row r="22" spans="1:65" s="189" customFormat="1" ht="15" customHeight="1" x14ac:dyDescent="0.25">
      <c r="A22" s="184"/>
      <c r="B22" s="181"/>
      <c r="K22" s="182"/>
      <c r="L22" s="190"/>
      <c r="T22" s="182"/>
      <c r="U22" s="190"/>
      <c r="AC22" s="182"/>
      <c r="AD22" s="190"/>
      <c r="AL22" s="182"/>
      <c r="AM22" s="190"/>
      <c r="BI22" s="182"/>
      <c r="BK22" s="188"/>
      <c r="BM22" s="4">
        <f t="shared" si="0"/>
        <v>7</v>
      </c>
    </row>
    <row r="23" spans="1:65" s="189" customFormat="1" ht="15" customHeight="1" x14ac:dyDescent="0.25">
      <c r="A23" s="184"/>
      <c r="B23" s="181"/>
      <c r="K23" s="182"/>
      <c r="L23" s="190"/>
      <c r="T23" s="182"/>
      <c r="U23" s="190"/>
      <c r="AC23" s="182"/>
      <c r="AD23" s="190"/>
      <c r="AL23" s="182"/>
      <c r="AM23" s="190"/>
      <c r="BI23" s="182"/>
      <c r="BK23" s="188"/>
      <c r="BM23" s="4">
        <f t="shared" si="0"/>
        <v>8</v>
      </c>
    </row>
    <row r="24" spans="1:65" s="189" customFormat="1" ht="15" customHeight="1" x14ac:dyDescent="0.25">
      <c r="A24" s="184"/>
      <c r="B24" s="181"/>
      <c r="K24" s="182"/>
      <c r="L24" s="190"/>
      <c r="T24" s="182"/>
      <c r="U24" s="190"/>
      <c r="AC24" s="182"/>
      <c r="AD24" s="190"/>
      <c r="AL24" s="182"/>
      <c r="AM24" s="190"/>
      <c r="BI24" s="182"/>
      <c r="BK24" s="188"/>
      <c r="BM24" s="4">
        <f t="shared" si="0"/>
        <v>9</v>
      </c>
    </row>
    <row r="25" spans="1:65" s="189" customFormat="1" ht="15" customHeight="1" x14ac:dyDescent="0.25">
      <c r="A25" s="184"/>
      <c r="B25" s="181"/>
      <c r="K25" s="182"/>
      <c r="L25" s="190"/>
      <c r="T25" s="182"/>
      <c r="U25" s="190"/>
      <c r="AC25" s="182"/>
      <c r="AD25" s="190"/>
      <c r="AL25" s="182"/>
      <c r="AM25" s="190"/>
      <c r="BI25" s="182"/>
      <c r="BK25" s="188"/>
      <c r="BM25" s="4">
        <f t="shared" si="0"/>
        <v>10</v>
      </c>
    </row>
    <row r="26" spans="1:65" s="189" customFormat="1" ht="15" customHeight="1" x14ac:dyDescent="0.25">
      <c r="A26" s="184"/>
      <c r="B26" s="181"/>
      <c r="K26" s="182"/>
      <c r="L26" s="190"/>
      <c r="T26" s="182"/>
      <c r="U26" s="190"/>
      <c r="AC26" s="182"/>
      <c r="AD26" s="190"/>
      <c r="AL26" s="182"/>
      <c r="AM26" s="190"/>
      <c r="BI26" s="182"/>
      <c r="BK26" s="188"/>
      <c r="BM26" s="4">
        <f t="shared" si="0"/>
        <v>11</v>
      </c>
    </row>
    <row r="27" spans="1:65" s="189" customFormat="1" ht="15" customHeight="1" x14ac:dyDescent="0.25">
      <c r="A27" s="184"/>
      <c r="B27" s="190"/>
      <c r="K27" s="182"/>
      <c r="L27" s="190"/>
      <c r="T27" s="182"/>
      <c r="U27" s="190"/>
      <c r="AC27" s="182"/>
      <c r="AD27" s="190"/>
      <c r="AL27" s="182"/>
      <c r="AM27" s="190"/>
      <c r="BI27" s="182"/>
      <c r="BK27" s="188"/>
      <c r="BM27" s="4">
        <f t="shared" si="0"/>
        <v>12</v>
      </c>
    </row>
    <row r="28" spans="1:65" s="189" customFormat="1" ht="15" customHeight="1" x14ac:dyDescent="0.25">
      <c r="A28" s="184"/>
      <c r="B28" s="190"/>
      <c r="K28" s="182"/>
      <c r="L28" s="190"/>
      <c r="T28" s="182"/>
      <c r="U28" s="190"/>
      <c r="AC28" s="182"/>
      <c r="AD28" s="190"/>
      <c r="AL28" s="182"/>
      <c r="AM28" s="190"/>
      <c r="BI28" s="182"/>
      <c r="BK28" s="188"/>
      <c r="BM28" s="4">
        <f t="shared" si="0"/>
        <v>13</v>
      </c>
    </row>
    <row r="29" spans="1:65" s="189" customFormat="1" ht="15" customHeight="1" x14ac:dyDescent="0.25">
      <c r="A29" s="184"/>
      <c r="B29" s="190"/>
      <c r="K29" s="182"/>
      <c r="L29" s="190"/>
      <c r="T29" s="182"/>
      <c r="U29" s="190"/>
      <c r="AC29" s="182"/>
      <c r="AD29" s="190"/>
      <c r="AL29" s="182"/>
      <c r="AM29" s="190"/>
      <c r="BI29" s="182"/>
      <c r="BK29" s="188"/>
      <c r="BM29" s="4">
        <f t="shared" si="0"/>
        <v>14</v>
      </c>
    </row>
    <row r="30" spans="1:65" s="189" customFormat="1" ht="15" customHeight="1" x14ac:dyDescent="0.25">
      <c r="A30" s="184"/>
      <c r="B30" s="190"/>
      <c r="K30" s="182"/>
      <c r="L30" s="190"/>
      <c r="T30" s="182"/>
      <c r="U30" s="190"/>
      <c r="AC30" s="182"/>
      <c r="AD30" s="190"/>
      <c r="AL30" s="182"/>
      <c r="AM30" s="190"/>
      <c r="BI30" s="182"/>
      <c r="BK30" s="188"/>
      <c r="BM30" s="4">
        <f t="shared" si="0"/>
        <v>15</v>
      </c>
    </row>
    <row r="31" spans="1:65" s="189" customFormat="1" ht="15" customHeight="1" x14ac:dyDescent="0.25">
      <c r="A31" s="184"/>
      <c r="B31" s="190"/>
      <c r="K31" s="182"/>
      <c r="L31" s="190"/>
      <c r="T31" s="182"/>
      <c r="U31" s="190"/>
      <c r="AC31" s="182"/>
      <c r="AD31" s="190"/>
      <c r="AL31" s="182"/>
      <c r="AM31" s="190"/>
      <c r="BI31" s="182"/>
      <c r="BK31" s="188"/>
      <c r="BM31" s="4">
        <f t="shared" si="0"/>
        <v>16</v>
      </c>
    </row>
    <row r="32" spans="1:65" s="189" customFormat="1" ht="15" customHeight="1" x14ac:dyDescent="0.25">
      <c r="A32" s="184"/>
      <c r="B32" s="190"/>
      <c r="K32" s="182"/>
      <c r="L32" s="190"/>
      <c r="T32" s="182"/>
      <c r="U32" s="190"/>
      <c r="AC32" s="182"/>
      <c r="AD32" s="190"/>
      <c r="AL32" s="182"/>
      <c r="AM32" s="190"/>
      <c r="BI32" s="182"/>
      <c r="BK32" s="188"/>
      <c r="BM32" s="4">
        <f t="shared" si="0"/>
        <v>17</v>
      </c>
    </row>
    <row r="33" spans="1:138" s="189" customFormat="1" ht="15" customHeight="1" x14ac:dyDescent="0.25">
      <c r="A33" s="184"/>
      <c r="B33" s="190"/>
      <c r="K33" s="182"/>
      <c r="L33" s="190"/>
      <c r="T33" s="182"/>
      <c r="U33" s="190"/>
      <c r="AC33" s="182"/>
      <c r="AD33" s="190"/>
      <c r="AL33" s="182"/>
      <c r="AM33" s="190"/>
      <c r="BI33" s="182"/>
      <c r="BK33" s="188"/>
      <c r="BM33" s="4">
        <f t="shared" si="0"/>
        <v>18</v>
      </c>
    </row>
    <row r="34" spans="1:138" s="189" customFormat="1" ht="15" customHeight="1" x14ac:dyDescent="0.25">
      <c r="A34" s="184"/>
      <c r="B34" s="190"/>
      <c r="K34" s="182"/>
      <c r="L34" s="190"/>
      <c r="T34" s="182"/>
      <c r="U34" s="190"/>
      <c r="AC34" s="182"/>
      <c r="AD34" s="190"/>
      <c r="AL34" s="182"/>
      <c r="AM34" s="190"/>
      <c r="BI34" s="182"/>
      <c r="BK34" s="188"/>
      <c r="BM34" s="4">
        <f t="shared" si="0"/>
        <v>19</v>
      </c>
    </row>
    <row r="35" spans="1:138" s="189" customFormat="1" ht="15" customHeight="1" x14ac:dyDescent="0.25">
      <c r="A35" s="184"/>
      <c r="B35" s="190"/>
      <c r="K35" s="182"/>
      <c r="L35" s="190"/>
      <c r="T35" s="182"/>
      <c r="U35" s="190"/>
      <c r="AC35" s="182"/>
      <c r="AD35" s="190"/>
      <c r="AL35" s="182"/>
      <c r="AM35" s="190"/>
      <c r="BI35" s="182"/>
      <c r="BK35" s="188"/>
      <c r="BM35" s="4">
        <f t="shared" si="0"/>
        <v>20</v>
      </c>
      <c r="BP35" s="46"/>
      <c r="EH35" s="46"/>
    </row>
    <row r="36" spans="1:138" s="189" customFormat="1" ht="15" customHeight="1" x14ac:dyDescent="0.25">
      <c r="A36" s="184"/>
      <c r="B36" s="190"/>
      <c r="K36" s="182"/>
      <c r="L36" s="190"/>
      <c r="T36" s="182"/>
      <c r="U36" s="190"/>
      <c r="AC36" s="182"/>
      <c r="AD36" s="190"/>
      <c r="AL36" s="182"/>
      <c r="AM36" s="190"/>
      <c r="BI36" s="182"/>
      <c r="BK36" s="188"/>
      <c r="BM36" s="4">
        <f t="shared" si="0"/>
        <v>21</v>
      </c>
      <c r="BQ36" s="46"/>
    </row>
    <row r="37" spans="1:138" s="189" customFormat="1" ht="15" customHeight="1" x14ac:dyDescent="0.25">
      <c r="A37" s="184"/>
      <c r="B37" s="190"/>
      <c r="K37" s="182"/>
      <c r="L37" s="190"/>
      <c r="T37" s="182"/>
      <c r="U37" s="190"/>
      <c r="AC37" s="182"/>
      <c r="AD37" s="190"/>
      <c r="AL37" s="182"/>
      <c r="AM37" s="190"/>
      <c r="BI37" s="182"/>
      <c r="BK37" s="188"/>
      <c r="BM37" s="4">
        <f t="shared" si="0"/>
        <v>22</v>
      </c>
    </row>
    <row r="38" spans="1:138" s="189" customFormat="1" ht="15" customHeight="1" x14ac:dyDescent="0.25">
      <c r="A38" s="184"/>
      <c r="B38" s="190"/>
      <c r="K38" s="182"/>
      <c r="L38" s="190"/>
      <c r="T38" s="182"/>
      <c r="U38" s="190"/>
      <c r="AC38" s="182"/>
      <c r="AD38" s="190"/>
      <c r="AL38" s="182"/>
      <c r="AM38" s="190"/>
      <c r="BI38" s="182"/>
      <c r="BK38" s="188"/>
      <c r="BM38" s="4">
        <f t="shared" si="0"/>
        <v>23</v>
      </c>
    </row>
    <row r="39" spans="1:138" s="189" customFormat="1" ht="15" customHeight="1" x14ac:dyDescent="0.25">
      <c r="A39" s="184"/>
      <c r="B39" s="190"/>
      <c r="K39" s="182"/>
      <c r="L39" s="190"/>
      <c r="T39" s="182"/>
      <c r="U39" s="190"/>
      <c r="AC39" s="182"/>
      <c r="AD39" s="190"/>
      <c r="AL39" s="182"/>
      <c r="AM39" s="190"/>
      <c r="BI39" s="182"/>
      <c r="BK39" s="188"/>
      <c r="BM39" s="4">
        <f t="shared" si="0"/>
        <v>24</v>
      </c>
    </row>
    <row r="40" spans="1:138" s="189" customFormat="1" ht="15" customHeight="1" x14ac:dyDescent="0.25">
      <c r="A40" s="184"/>
      <c r="B40" s="190"/>
      <c r="K40" s="182"/>
      <c r="L40" s="190"/>
      <c r="T40" s="182"/>
      <c r="U40" s="190"/>
      <c r="AC40" s="182"/>
      <c r="AD40" s="190"/>
      <c r="AL40" s="182"/>
      <c r="AM40" s="190"/>
      <c r="BI40" s="182"/>
      <c r="BK40" s="188"/>
      <c r="BM40" s="4">
        <f t="shared" si="0"/>
        <v>25</v>
      </c>
    </row>
    <row r="41" spans="1:138" s="189" customFormat="1" ht="15" customHeight="1" x14ac:dyDescent="0.25">
      <c r="A41" s="184"/>
      <c r="B41" s="190"/>
      <c r="K41" s="182"/>
      <c r="L41" s="190"/>
      <c r="T41" s="182"/>
      <c r="U41" s="190"/>
      <c r="AC41" s="182"/>
      <c r="AD41" s="190"/>
      <c r="AL41" s="182"/>
      <c r="AM41" s="190"/>
      <c r="BI41" s="182"/>
      <c r="BK41" s="188"/>
      <c r="BM41" s="4">
        <f t="shared" si="0"/>
        <v>26</v>
      </c>
    </row>
    <row r="42" spans="1:138" s="189" customFormat="1" ht="15" customHeight="1" x14ac:dyDescent="0.25">
      <c r="A42" s="184"/>
      <c r="B42" s="190"/>
      <c r="K42" s="182"/>
      <c r="L42" s="190"/>
      <c r="T42" s="182"/>
      <c r="U42" s="190"/>
      <c r="AC42" s="182"/>
      <c r="AD42" s="190"/>
      <c r="AL42" s="182"/>
      <c r="AM42" s="190"/>
      <c r="BI42" s="182"/>
      <c r="BK42" s="188"/>
      <c r="BM42" s="4">
        <f t="shared" si="0"/>
        <v>27</v>
      </c>
    </row>
    <row r="43" spans="1:138" s="189" customFormat="1" ht="15" customHeight="1" x14ac:dyDescent="0.25">
      <c r="A43" s="184"/>
      <c r="B43" s="190"/>
      <c r="K43" s="182"/>
      <c r="L43" s="190"/>
      <c r="T43" s="182"/>
      <c r="U43" s="190"/>
      <c r="AC43" s="182"/>
      <c r="AD43" s="190"/>
      <c r="AL43" s="182"/>
      <c r="AM43" s="190"/>
      <c r="BI43" s="182"/>
      <c r="BK43" s="188"/>
      <c r="BM43" s="4">
        <f t="shared" si="0"/>
        <v>28</v>
      </c>
    </row>
    <row r="44" spans="1:138" s="189" customFormat="1" ht="15" customHeight="1" x14ac:dyDescent="0.25">
      <c r="A44" s="184"/>
      <c r="B44" s="190"/>
      <c r="K44" s="182"/>
      <c r="L44" s="190"/>
      <c r="T44" s="182"/>
      <c r="U44" s="190"/>
      <c r="AC44" s="182"/>
      <c r="AD44" s="190"/>
      <c r="AL44" s="182"/>
      <c r="AM44" s="190"/>
      <c r="BI44" s="182"/>
      <c r="BK44" s="188"/>
      <c r="BM44" s="4">
        <f t="shared" si="0"/>
        <v>29</v>
      </c>
    </row>
    <row r="45" spans="1:138" s="189" customFormat="1" ht="15" customHeight="1" x14ac:dyDescent="0.25">
      <c r="A45" s="184"/>
      <c r="B45" s="190"/>
      <c r="K45" s="182"/>
      <c r="L45" s="190"/>
      <c r="T45" s="182"/>
      <c r="U45" s="190"/>
      <c r="AC45" s="182"/>
      <c r="AD45" s="190"/>
      <c r="AL45" s="182"/>
      <c r="AM45" s="190"/>
      <c r="BI45" s="182"/>
      <c r="BK45" s="188"/>
      <c r="BM45" s="4">
        <f t="shared" si="0"/>
        <v>30</v>
      </c>
    </row>
    <row r="46" spans="1:138" s="189" customFormat="1" ht="15" customHeight="1" x14ac:dyDescent="0.25">
      <c r="A46" s="184"/>
      <c r="B46" s="190"/>
      <c r="K46" s="182"/>
      <c r="L46" s="190"/>
      <c r="T46" s="182"/>
      <c r="U46" s="190"/>
      <c r="AC46" s="182"/>
      <c r="AD46" s="190"/>
      <c r="AL46" s="182"/>
      <c r="AM46" s="190"/>
      <c r="BI46" s="182"/>
      <c r="BK46" s="188"/>
      <c r="BM46" s="4">
        <f t="shared" si="0"/>
        <v>31</v>
      </c>
    </row>
    <row r="47" spans="1:138" s="189" customFormat="1" ht="15" customHeight="1" x14ac:dyDescent="0.25">
      <c r="A47" s="184"/>
      <c r="B47" s="190"/>
      <c r="K47" s="182"/>
      <c r="L47" s="190"/>
      <c r="T47" s="182"/>
      <c r="U47" s="190"/>
      <c r="AC47" s="182"/>
      <c r="AD47" s="190"/>
      <c r="AL47" s="182"/>
      <c r="AM47" s="190"/>
      <c r="BI47" s="182"/>
      <c r="BK47" s="188"/>
      <c r="BM47" s="4">
        <f t="shared" si="0"/>
        <v>32</v>
      </c>
    </row>
    <row r="48" spans="1:138" s="189" customFormat="1" ht="15" customHeight="1" x14ac:dyDescent="0.25">
      <c r="A48" s="184"/>
      <c r="B48" s="190"/>
      <c r="K48" s="182"/>
      <c r="L48" s="190"/>
      <c r="T48" s="182"/>
      <c r="U48" s="190"/>
      <c r="AC48" s="182"/>
      <c r="AD48" s="190"/>
      <c r="AL48" s="182"/>
      <c r="AM48" s="190"/>
      <c r="BI48" s="182"/>
      <c r="BK48" s="188"/>
      <c r="BM48" s="4">
        <f t="shared" ref="BM48:BM63" si="1">IF(BM47=50,1,BM47+1)</f>
        <v>33</v>
      </c>
    </row>
    <row r="49" spans="1:65" s="189" customFormat="1" ht="15" customHeight="1" x14ac:dyDescent="0.25">
      <c r="A49" s="184"/>
      <c r="B49" s="190"/>
      <c r="K49" s="182"/>
      <c r="L49" s="190"/>
      <c r="T49" s="182"/>
      <c r="U49" s="190"/>
      <c r="AC49" s="182"/>
      <c r="AD49" s="190"/>
      <c r="AL49" s="182"/>
      <c r="AM49" s="190"/>
      <c r="BI49" s="182"/>
      <c r="BK49" s="188"/>
      <c r="BM49" s="4">
        <f t="shared" si="1"/>
        <v>34</v>
      </c>
    </row>
    <row r="50" spans="1:65" s="189" customFormat="1" ht="15" customHeight="1" x14ac:dyDescent="0.25">
      <c r="A50" s="184"/>
      <c r="B50" s="190"/>
      <c r="K50" s="182"/>
      <c r="L50" s="190"/>
      <c r="T50" s="182"/>
      <c r="U50" s="190"/>
      <c r="AC50" s="182"/>
      <c r="AD50" s="190"/>
      <c r="AL50" s="182"/>
      <c r="AM50" s="190"/>
      <c r="BI50" s="182"/>
      <c r="BK50" s="188"/>
      <c r="BM50" s="4">
        <f t="shared" si="1"/>
        <v>35</v>
      </c>
    </row>
    <row r="51" spans="1:65" s="189" customFormat="1" ht="15" customHeight="1" x14ac:dyDescent="0.25">
      <c r="A51" s="184"/>
      <c r="B51" s="190"/>
      <c r="K51" s="182"/>
      <c r="L51" s="190"/>
      <c r="T51" s="182"/>
      <c r="U51" s="190"/>
      <c r="AC51" s="182"/>
      <c r="AD51" s="190"/>
      <c r="AL51" s="182"/>
      <c r="AM51" s="190"/>
      <c r="BI51" s="182"/>
      <c r="BK51" s="188"/>
      <c r="BM51" s="4">
        <f t="shared" si="1"/>
        <v>36</v>
      </c>
    </row>
    <row r="52" spans="1:65" s="189" customFormat="1" ht="15" customHeight="1" x14ac:dyDescent="0.25">
      <c r="A52" s="184"/>
      <c r="B52" s="190"/>
      <c r="K52" s="182"/>
      <c r="L52" s="190"/>
      <c r="T52" s="182"/>
      <c r="U52" s="190"/>
      <c r="AC52" s="182"/>
      <c r="AD52" s="190"/>
      <c r="AL52" s="182"/>
      <c r="AM52" s="190"/>
      <c r="BI52" s="182"/>
      <c r="BK52" s="188"/>
      <c r="BM52" s="4">
        <f t="shared" si="1"/>
        <v>37</v>
      </c>
    </row>
    <row r="53" spans="1:65" s="189" customFormat="1" ht="15" customHeight="1" x14ac:dyDescent="0.25">
      <c r="A53" s="184"/>
      <c r="B53" s="190"/>
      <c r="K53" s="182"/>
      <c r="L53" s="190"/>
      <c r="T53" s="182"/>
      <c r="U53" s="190"/>
      <c r="AC53" s="182"/>
      <c r="AD53" s="190"/>
      <c r="AL53" s="182"/>
      <c r="AM53" s="190"/>
      <c r="BI53" s="182"/>
      <c r="BK53" s="188"/>
      <c r="BM53" s="4">
        <f t="shared" si="1"/>
        <v>38</v>
      </c>
    </row>
    <row r="54" spans="1:65" s="189" customFormat="1" ht="15" customHeight="1" x14ac:dyDescent="0.25">
      <c r="A54" s="184"/>
      <c r="B54" s="190"/>
      <c r="K54" s="182"/>
      <c r="L54" s="190"/>
      <c r="T54" s="182"/>
      <c r="U54" s="190"/>
      <c r="AC54" s="182"/>
      <c r="AD54" s="190"/>
      <c r="AL54" s="182"/>
      <c r="AM54" s="190"/>
      <c r="BI54" s="182"/>
      <c r="BK54" s="188"/>
      <c r="BM54" s="4">
        <f t="shared" si="1"/>
        <v>39</v>
      </c>
    </row>
    <row r="55" spans="1:65" s="189" customFormat="1" ht="15" customHeight="1" x14ac:dyDescent="0.25">
      <c r="A55" s="184"/>
      <c r="B55" s="190"/>
      <c r="K55" s="182"/>
      <c r="L55" s="190"/>
      <c r="T55" s="182"/>
      <c r="U55" s="190"/>
      <c r="AC55" s="182"/>
      <c r="AD55" s="190"/>
      <c r="AL55" s="182"/>
      <c r="AM55" s="190"/>
      <c r="BI55" s="182"/>
      <c r="BK55" s="188"/>
      <c r="BM55" s="4">
        <f t="shared" si="1"/>
        <v>40</v>
      </c>
    </row>
    <row r="56" spans="1:65" s="189" customFormat="1" ht="15" customHeight="1" x14ac:dyDescent="0.25">
      <c r="A56" s="184"/>
      <c r="B56" s="190"/>
      <c r="K56" s="182"/>
      <c r="L56" s="190"/>
      <c r="T56" s="182"/>
      <c r="U56" s="190"/>
      <c r="AC56" s="182"/>
      <c r="AD56" s="190"/>
      <c r="AL56" s="182"/>
      <c r="AM56" s="190"/>
      <c r="BI56" s="182"/>
      <c r="BK56" s="188"/>
      <c r="BM56" s="4">
        <f t="shared" si="1"/>
        <v>41</v>
      </c>
    </row>
    <row r="57" spans="1:65" s="189" customFormat="1" ht="15" customHeight="1" x14ac:dyDescent="0.25">
      <c r="A57" s="184"/>
      <c r="B57" s="190"/>
      <c r="K57" s="182"/>
      <c r="L57" s="190"/>
      <c r="T57" s="182"/>
      <c r="U57" s="190"/>
      <c r="AC57" s="182"/>
      <c r="AD57" s="190"/>
      <c r="AL57" s="182"/>
      <c r="AM57" s="190"/>
      <c r="BI57" s="182"/>
      <c r="BK57" s="188"/>
      <c r="BM57" s="4">
        <f t="shared" si="1"/>
        <v>42</v>
      </c>
    </row>
    <row r="58" spans="1:65" s="189" customFormat="1" ht="15" customHeight="1" x14ac:dyDescent="0.25">
      <c r="A58" s="184"/>
      <c r="B58" s="190"/>
      <c r="K58" s="182"/>
      <c r="L58" s="190"/>
      <c r="T58" s="182"/>
      <c r="U58" s="190"/>
      <c r="AC58" s="182"/>
      <c r="AD58" s="190"/>
      <c r="AL58" s="182"/>
      <c r="AM58" s="190"/>
      <c r="BI58" s="182"/>
      <c r="BK58" s="188"/>
      <c r="BM58" s="4">
        <f t="shared" si="1"/>
        <v>43</v>
      </c>
    </row>
    <row r="59" spans="1:65" s="189" customFormat="1" ht="15" customHeight="1" x14ac:dyDescent="0.25">
      <c r="A59" s="184"/>
      <c r="B59" s="190"/>
      <c r="K59" s="182"/>
      <c r="L59" s="190"/>
      <c r="T59" s="182"/>
      <c r="U59" s="190"/>
      <c r="AC59" s="182"/>
      <c r="AD59" s="190"/>
      <c r="AL59" s="182"/>
      <c r="AM59" s="190"/>
      <c r="BI59" s="182"/>
      <c r="BK59" s="188"/>
      <c r="BM59" s="4">
        <f t="shared" si="1"/>
        <v>44</v>
      </c>
    </row>
    <row r="60" spans="1:65" s="189" customFormat="1" ht="15" customHeight="1" x14ac:dyDescent="0.25">
      <c r="A60" s="184"/>
      <c r="B60" s="190"/>
      <c r="K60" s="182"/>
      <c r="L60" s="190"/>
      <c r="T60" s="182"/>
      <c r="U60" s="190"/>
      <c r="AC60" s="182"/>
      <c r="AD60" s="190"/>
      <c r="AL60" s="182"/>
      <c r="AM60" s="190"/>
      <c r="BI60" s="182"/>
      <c r="BK60" s="188"/>
      <c r="BM60" s="4">
        <f t="shared" si="1"/>
        <v>45</v>
      </c>
    </row>
    <row r="61" spans="1:65" s="189" customFormat="1" ht="15" customHeight="1" x14ac:dyDescent="0.25">
      <c r="A61" s="184"/>
      <c r="B61" s="190"/>
      <c r="K61" s="182"/>
      <c r="L61" s="190"/>
      <c r="T61" s="182"/>
      <c r="U61" s="190"/>
      <c r="AC61" s="182"/>
      <c r="AD61" s="190"/>
      <c r="AL61" s="182"/>
      <c r="AM61" s="190"/>
      <c r="BI61" s="182"/>
      <c r="BK61" s="188"/>
      <c r="BM61" s="4">
        <f t="shared" si="1"/>
        <v>46</v>
      </c>
    </row>
    <row r="62" spans="1:65" s="189" customFormat="1" ht="15" customHeight="1" x14ac:dyDescent="0.25">
      <c r="A62" s="184"/>
      <c r="B62" s="190"/>
      <c r="K62" s="182"/>
      <c r="L62" s="190"/>
      <c r="T62" s="182"/>
      <c r="U62" s="190"/>
      <c r="AC62" s="182"/>
      <c r="AD62" s="190"/>
      <c r="AL62" s="182"/>
      <c r="AM62" s="190"/>
      <c r="BI62" s="182"/>
      <c r="BK62" s="188"/>
      <c r="BM62" s="4">
        <f t="shared" si="1"/>
        <v>47</v>
      </c>
    </row>
    <row r="63" spans="1:65" s="189" customFormat="1" ht="15" customHeight="1" x14ac:dyDescent="0.25">
      <c r="A63" s="184"/>
      <c r="B63" s="190"/>
      <c r="K63" s="182"/>
      <c r="L63" s="190"/>
      <c r="T63" s="182"/>
      <c r="U63" s="190"/>
      <c r="AC63" s="182"/>
      <c r="AD63" s="190"/>
      <c r="AL63" s="182"/>
      <c r="AM63" s="190"/>
      <c r="BI63" s="182"/>
      <c r="BK63" s="188"/>
      <c r="BM63" s="4">
        <f t="shared" si="1"/>
        <v>48</v>
      </c>
    </row>
    <row r="64" spans="1:65" s="189" customFormat="1" ht="15" customHeight="1" x14ac:dyDescent="0.25">
      <c r="A64" s="184"/>
      <c r="B64" s="190"/>
      <c r="K64" s="182"/>
      <c r="L64" s="190"/>
      <c r="T64" s="182"/>
      <c r="U64" s="190"/>
      <c r="AC64" s="182"/>
      <c r="AD64" s="190"/>
      <c r="AL64" s="182"/>
      <c r="AM64" s="190"/>
      <c r="BI64" s="182"/>
      <c r="BK64" s="188"/>
      <c r="BM64" s="4">
        <f t="shared" ref="BM64:BM82" si="2">IF(BM63=50,1,BM63+1)</f>
        <v>49</v>
      </c>
    </row>
    <row r="65" spans="1:65" s="189" customFormat="1" ht="15" customHeight="1" x14ac:dyDescent="0.25">
      <c r="A65" s="184"/>
      <c r="B65" s="190"/>
      <c r="K65" s="182"/>
      <c r="L65" s="190"/>
      <c r="T65" s="182"/>
      <c r="U65" s="190"/>
      <c r="AC65" s="182"/>
      <c r="AD65" s="190"/>
      <c r="AL65" s="182"/>
      <c r="AM65" s="190"/>
      <c r="BI65" s="182"/>
      <c r="BK65" s="188"/>
      <c r="BM65" s="4">
        <f t="shared" si="2"/>
        <v>50</v>
      </c>
    </row>
    <row r="66" spans="1:65" s="189" customFormat="1" ht="15" customHeight="1" x14ac:dyDescent="0.25">
      <c r="A66" s="184"/>
      <c r="B66" s="190"/>
      <c r="K66" s="182"/>
      <c r="L66" s="190"/>
      <c r="T66" s="182"/>
      <c r="U66" s="190"/>
      <c r="AC66" s="182"/>
      <c r="AD66" s="190"/>
      <c r="AL66" s="182"/>
      <c r="AM66" s="190"/>
      <c r="BI66" s="182"/>
      <c r="BK66" s="188"/>
      <c r="BM66" s="4">
        <f t="shared" si="2"/>
        <v>1</v>
      </c>
    </row>
    <row r="67" spans="1:65" s="189" customFormat="1" ht="15" customHeight="1" x14ac:dyDescent="0.25">
      <c r="A67" s="184"/>
      <c r="B67" s="190"/>
      <c r="K67" s="182"/>
      <c r="L67" s="190"/>
      <c r="T67" s="182"/>
      <c r="U67" s="190"/>
      <c r="AC67" s="182"/>
      <c r="AD67" s="190"/>
      <c r="AL67" s="182"/>
      <c r="AM67" s="190"/>
      <c r="BI67" s="182"/>
      <c r="BK67" s="188"/>
      <c r="BM67" s="4">
        <f t="shared" si="2"/>
        <v>2</v>
      </c>
    </row>
    <row r="68" spans="1:65" s="189" customFormat="1" ht="15" customHeight="1" x14ac:dyDescent="0.25">
      <c r="A68" s="184"/>
      <c r="B68" s="190"/>
      <c r="K68" s="182"/>
      <c r="L68" s="190"/>
      <c r="T68" s="182"/>
      <c r="U68" s="190"/>
      <c r="AC68" s="182"/>
      <c r="AD68" s="190"/>
      <c r="AL68" s="182"/>
      <c r="AM68" s="190"/>
      <c r="BI68" s="182"/>
      <c r="BK68" s="188"/>
      <c r="BM68" s="4">
        <f t="shared" si="2"/>
        <v>3</v>
      </c>
    </row>
    <row r="69" spans="1:65" s="189" customFormat="1" ht="15" customHeight="1" x14ac:dyDescent="0.25">
      <c r="A69" s="184"/>
      <c r="B69" s="190"/>
      <c r="K69" s="182"/>
      <c r="L69" s="190"/>
      <c r="T69" s="182"/>
      <c r="U69" s="190"/>
      <c r="AC69" s="182"/>
      <c r="AD69" s="190"/>
      <c r="AL69" s="182"/>
      <c r="AM69" s="190"/>
      <c r="BI69" s="182"/>
      <c r="BK69" s="188"/>
      <c r="BM69" s="4">
        <f t="shared" si="2"/>
        <v>4</v>
      </c>
    </row>
    <row r="70" spans="1:65" s="189" customFormat="1" ht="15" customHeight="1" x14ac:dyDescent="0.25">
      <c r="A70" s="184"/>
      <c r="B70" s="190"/>
      <c r="K70" s="182"/>
      <c r="L70" s="190"/>
      <c r="T70" s="182"/>
      <c r="U70" s="190"/>
      <c r="AC70" s="182"/>
      <c r="AD70" s="190"/>
      <c r="AL70" s="182"/>
      <c r="AM70" s="190"/>
      <c r="BI70" s="182"/>
      <c r="BK70" s="188"/>
      <c r="BM70" s="4">
        <f t="shared" si="2"/>
        <v>5</v>
      </c>
    </row>
    <row r="71" spans="1:65" s="189" customFormat="1" ht="15" customHeight="1" x14ac:dyDescent="0.25">
      <c r="A71" s="184"/>
      <c r="B71" s="190"/>
      <c r="K71" s="182"/>
      <c r="L71" s="190"/>
      <c r="T71" s="182"/>
      <c r="U71" s="190"/>
      <c r="AC71" s="182"/>
      <c r="AD71" s="190"/>
      <c r="AL71" s="182"/>
      <c r="AM71" s="190"/>
      <c r="BI71" s="182"/>
      <c r="BK71" s="188"/>
      <c r="BM71" s="4">
        <f t="shared" si="2"/>
        <v>6</v>
      </c>
    </row>
    <row r="72" spans="1:65" s="189" customFormat="1" ht="15" customHeight="1" x14ac:dyDescent="0.25">
      <c r="A72" s="184"/>
      <c r="B72" s="190"/>
      <c r="K72" s="182"/>
      <c r="L72" s="190"/>
      <c r="T72" s="182"/>
      <c r="U72" s="190"/>
      <c r="AC72" s="182"/>
      <c r="AD72" s="190"/>
      <c r="AL72" s="182"/>
      <c r="AM72" s="190"/>
      <c r="BI72" s="182"/>
      <c r="BK72" s="188"/>
      <c r="BM72" s="4">
        <f t="shared" si="2"/>
        <v>7</v>
      </c>
    </row>
    <row r="73" spans="1:65" s="189" customFormat="1" ht="15" customHeight="1" x14ac:dyDescent="0.25">
      <c r="A73" s="184"/>
      <c r="B73" s="190"/>
      <c r="K73" s="182"/>
      <c r="L73" s="190"/>
      <c r="T73" s="182"/>
      <c r="U73" s="190"/>
      <c r="AC73" s="182"/>
      <c r="AD73" s="190"/>
      <c r="AL73" s="182"/>
      <c r="AM73" s="190"/>
      <c r="BI73" s="182"/>
      <c r="BK73" s="188"/>
      <c r="BM73" s="4">
        <f t="shared" si="2"/>
        <v>8</v>
      </c>
    </row>
    <row r="74" spans="1:65" s="189" customFormat="1" ht="15" customHeight="1" x14ac:dyDescent="0.25">
      <c r="A74" s="184"/>
      <c r="B74" s="190"/>
      <c r="K74" s="182"/>
      <c r="L74" s="190"/>
      <c r="T74" s="182"/>
      <c r="U74" s="190"/>
      <c r="AC74" s="182"/>
      <c r="AD74" s="190"/>
      <c r="AL74" s="182"/>
      <c r="AM74" s="190"/>
      <c r="BI74" s="182"/>
      <c r="BK74" s="188"/>
      <c r="BM74" s="4">
        <f t="shared" si="2"/>
        <v>9</v>
      </c>
    </row>
    <row r="75" spans="1:65" s="189" customFormat="1" ht="15" customHeight="1" x14ac:dyDescent="0.25">
      <c r="A75" s="184"/>
      <c r="B75" s="190"/>
      <c r="K75" s="182"/>
      <c r="L75" s="190"/>
      <c r="T75" s="182"/>
      <c r="U75" s="190"/>
      <c r="AC75" s="182"/>
      <c r="AD75" s="190"/>
      <c r="AL75" s="182"/>
      <c r="AM75" s="190"/>
      <c r="BI75" s="182"/>
      <c r="BK75" s="188"/>
      <c r="BM75" s="4">
        <f t="shared" si="2"/>
        <v>10</v>
      </c>
    </row>
    <row r="76" spans="1:65" s="189" customFormat="1" ht="15" customHeight="1" x14ac:dyDescent="0.25">
      <c r="A76" s="184"/>
      <c r="B76" s="190"/>
      <c r="K76" s="182"/>
      <c r="L76" s="190"/>
      <c r="T76" s="182"/>
      <c r="U76" s="190"/>
      <c r="AC76" s="182"/>
      <c r="AD76" s="190"/>
      <c r="AL76" s="182"/>
      <c r="AM76" s="190"/>
      <c r="BI76" s="182"/>
      <c r="BK76" s="188"/>
      <c r="BM76" s="4">
        <f t="shared" si="2"/>
        <v>11</v>
      </c>
    </row>
    <row r="77" spans="1:65" s="189" customFormat="1" ht="15" customHeight="1" x14ac:dyDescent="0.25">
      <c r="A77" s="184"/>
      <c r="B77" s="190"/>
      <c r="K77" s="182"/>
      <c r="L77" s="190"/>
      <c r="T77" s="182"/>
      <c r="U77" s="190"/>
      <c r="AC77" s="182"/>
      <c r="AD77" s="190"/>
      <c r="AL77" s="182"/>
      <c r="AM77" s="190"/>
      <c r="BI77" s="182"/>
      <c r="BK77" s="188"/>
      <c r="BM77" s="4">
        <f t="shared" si="2"/>
        <v>12</v>
      </c>
    </row>
    <row r="78" spans="1:65" s="189" customFormat="1" ht="15" customHeight="1" x14ac:dyDescent="0.25">
      <c r="A78" s="184"/>
      <c r="B78" s="190"/>
      <c r="K78" s="182"/>
      <c r="L78" s="190"/>
      <c r="T78" s="182"/>
      <c r="U78" s="190"/>
      <c r="AC78" s="182"/>
      <c r="AD78" s="190"/>
      <c r="AL78" s="182"/>
      <c r="AM78" s="190"/>
      <c r="BI78" s="182"/>
      <c r="BK78" s="188"/>
      <c r="BM78" s="4">
        <f t="shared" si="2"/>
        <v>13</v>
      </c>
    </row>
    <row r="79" spans="1:65" s="189" customFormat="1" ht="15" customHeight="1" x14ac:dyDescent="0.25">
      <c r="A79" s="184"/>
      <c r="B79" s="190"/>
      <c r="K79" s="182"/>
      <c r="L79" s="190"/>
      <c r="T79" s="182"/>
      <c r="U79" s="190"/>
      <c r="AC79" s="182"/>
      <c r="AD79" s="190"/>
      <c r="AL79" s="182"/>
      <c r="AM79" s="190"/>
      <c r="BI79" s="182"/>
      <c r="BK79" s="188"/>
      <c r="BM79" s="4">
        <f t="shared" si="2"/>
        <v>14</v>
      </c>
    </row>
    <row r="80" spans="1:65" s="189" customFormat="1" ht="15" customHeight="1" x14ac:dyDescent="0.25">
      <c r="A80" s="184"/>
      <c r="B80" s="190"/>
      <c r="K80" s="182"/>
      <c r="L80" s="190"/>
      <c r="T80" s="182"/>
      <c r="U80" s="190"/>
      <c r="AC80" s="182"/>
      <c r="AD80" s="190"/>
      <c r="AL80" s="182"/>
      <c r="AM80" s="190"/>
      <c r="BI80" s="182"/>
      <c r="BK80" s="188"/>
      <c r="BM80" s="4">
        <f t="shared" si="2"/>
        <v>15</v>
      </c>
    </row>
    <row r="81" spans="1:65" s="189" customFormat="1" ht="15" customHeight="1" x14ac:dyDescent="0.25">
      <c r="A81" s="184"/>
      <c r="B81" s="190"/>
      <c r="K81" s="182"/>
      <c r="L81" s="190"/>
      <c r="T81" s="182"/>
      <c r="U81" s="190"/>
      <c r="AC81" s="182"/>
      <c r="AD81" s="190"/>
      <c r="AL81" s="182"/>
      <c r="AM81" s="190"/>
      <c r="BI81" s="182"/>
      <c r="BK81" s="188"/>
      <c r="BM81" s="4">
        <f t="shared" si="2"/>
        <v>16</v>
      </c>
    </row>
    <row r="82" spans="1:65" s="189" customFormat="1" ht="15" customHeight="1" x14ac:dyDescent="0.25">
      <c r="A82" s="184"/>
      <c r="B82" s="190"/>
      <c r="K82" s="182"/>
      <c r="L82" s="190"/>
      <c r="T82" s="182"/>
      <c r="U82" s="190"/>
      <c r="AC82" s="182"/>
      <c r="AD82" s="190"/>
      <c r="AL82" s="182"/>
      <c r="AM82" s="190"/>
      <c r="BI82" s="182"/>
      <c r="BK82" s="188"/>
      <c r="BM82" s="4">
        <f t="shared" si="2"/>
        <v>17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0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46" customWidth="1"/>
    <col min="61" max="16384" width="2.77734375" style="46"/>
  </cols>
  <sheetData>
    <row r="1" spans="1:63" ht="24.95" customHeight="1" x14ac:dyDescent="0.25">
      <c r="A1" s="164" t="s">
        <v>25</v>
      </c>
      <c r="B1" s="165"/>
      <c r="C1" s="165"/>
      <c r="D1" s="165"/>
      <c r="E1" s="165"/>
      <c r="F1" s="165"/>
      <c r="G1" s="165"/>
      <c r="H1" s="165"/>
      <c r="I1" s="165"/>
      <c r="J1" s="166"/>
      <c r="K1" s="164" t="s">
        <v>26</v>
      </c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6"/>
      <c r="W1" s="167" t="str">
        <f>IF(表紙!W1="","",表紙!W1)</f>
        <v>基本設計書</v>
      </c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9"/>
      <c r="AP1" s="40" t="s">
        <v>28</v>
      </c>
      <c r="AQ1" s="41"/>
      <c r="AR1" s="41"/>
      <c r="AS1" s="42"/>
      <c r="AT1" s="40" t="s">
        <v>29</v>
      </c>
      <c r="AU1" s="41"/>
      <c r="AV1" s="41"/>
      <c r="AW1" s="41"/>
      <c r="AX1" s="42"/>
      <c r="AY1" s="40" t="s">
        <v>30</v>
      </c>
      <c r="AZ1" s="41"/>
      <c r="BA1" s="41"/>
      <c r="BB1" s="42"/>
      <c r="BC1" s="40" t="s">
        <v>31</v>
      </c>
      <c r="BD1" s="41"/>
      <c r="BE1" s="41"/>
      <c r="BF1" s="41"/>
      <c r="BG1" s="42"/>
      <c r="BH1" s="40" t="s">
        <v>32</v>
      </c>
      <c r="BI1" s="41"/>
      <c r="BJ1" s="41"/>
      <c r="BK1" s="42"/>
    </row>
    <row r="2" spans="1:63" ht="15" customHeight="1" x14ac:dyDescent="0.25">
      <c r="A2" s="34" t="str">
        <f>IF(表紙!A2="","",表紙!A2)</f>
        <v>POSサーバー</v>
      </c>
      <c r="B2" s="35"/>
      <c r="C2" s="35"/>
      <c r="D2" s="35"/>
      <c r="E2" s="35"/>
      <c r="F2" s="35"/>
      <c r="G2" s="35"/>
      <c r="H2" s="35"/>
      <c r="I2" s="35"/>
      <c r="J2" s="36"/>
      <c r="K2" s="34" t="str">
        <f>IF(表紙!K2="","",表紙!K2)</f>
        <v>POSサーバ</v>
      </c>
      <c r="L2" s="35"/>
      <c r="M2" s="35"/>
      <c r="N2" s="35"/>
      <c r="O2" s="35"/>
      <c r="P2" s="35"/>
      <c r="Q2" s="35"/>
      <c r="R2" s="35"/>
      <c r="S2" s="35"/>
      <c r="T2" s="35"/>
      <c r="U2" s="35"/>
      <c r="V2" s="36"/>
      <c r="W2" s="170"/>
      <c r="X2" s="171"/>
      <c r="Y2" s="171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  <c r="AN2" s="171"/>
      <c r="AO2" s="172"/>
      <c r="AP2" s="49" t="str">
        <f>IF(表紙!AP2="","",表紙!AP2)</f>
        <v>DuNT</v>
      </c>
      <c r="AQ2" s="47"/>
      <c r="AR2" s="47"/>
      <c r="AS2" s="48"/>
      <c r="AT2" s="53">
        <f>IF(表紙!AT2="","",表紙!AT2)</f>
        <v>45643</v>
      </c>
      <c r="AU2" s="54"/>
      <c r="AV2" s="54"/>
      <c r="AW2" s="54"/>
      <c r="AX2" s="55"/>
      <c r="AY2" s="49" t="str">
        <f>IF(表紙!AY2="","",表紙!AY2)</f>
        <v>LoiLV</v>
      </c>
      <c r="AZ2" s="47"/>
      <c r="BA2" s="47"/>
      <c r="BB2" s="48"/>
      <c r="BC2" s="53">
        <f>IF(表紙!BC2="","",表紙!BC2)</f>
        <v>45657</v>
      </c>
      <c r="BD2" s="54"/>
      <c r="BE2" s="54"/>
      <c r="BF2" s="54"/>
      <c r="BG2" s="55"/>
      <c r="BH2" s="49">
        <f>IF(表紙!BH2="","",表紙!BH2)</f>
        <v>0.11</v>
      </c>
      <c r="BI2" s="47"/>
      <c r="BJ2" s="47"/>
      <c r="BK2" s="48"/>
    </row>
    <row r="3" spans="1:63" ht="15" customHeight="1" x14ac:dyDescent="0.25">
      <c r="A3" s="37"/>
      <c r="B3" s="38"/>
      <c r="C3" s="38"/>
      <c r="D3" s="38"/>
      <c r="E3" s="38"/>
      <c r="F3" s="38"/>
      <c r="G3" s="38"/>
      <c r="H3" s="38"/>
      <c r="I3" s="38"/>
      <c r="J3" s="39"/>
      <c r="K3" s="37"/>
      <c r="L3" s="38"/>
      <c r="M3" s="38"/>
      <c r="N3" s="38"/>
      <c r="O3" s="38"/>
      <c r="P3" s="38"/>
      <c r="Q3" s="38"/>
      <c r="R3" s="38"/>
      <c r="S3" s="38"/>
      <c r="T3" s="38"/>
      <c r="U3" s="38"/>
      <c r="V3" s="39"/>
      <c r="W3" s="173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  <c r="AN3" s="174"/>
      <c r="AO3" s="175"/>
      <c r="AP3" s="59"/>
      <c r="AQ3" s="60"/>
      <c r="AR3" s="60"/>
      <c r="AS3" s="61"/>
      <c r="AT3" s="65"/>
      <c r="AU3" s="66"/>
      <c r="AV3" s="66"/>
      <c r="AW3" s="66"/>
      <c r="AX3" s="67"/>
      <c r="AY3" s="59"/>
      <c r="AZ3" s="60"/>
      <c r="BA3" s="60"/>
      <c r="BB3" s="61"/>
      <c r="BC3" s="65"/>
      <c r="BD3" s="66"/>
      <c r="BE3" s="66"/>
      <c r="BF3" s="66"/>
      <c r="BG3" s="67"/>
      <c r="BH3" s="59"/>
      <c r="BI3" s="60"/>
      <c r="BJ3" s="60"/>
      <c r="BK3" s="61"/>
    </row>
    <row r="4" spans="1:63" ht="24.95" customHeight="1" x14ac:dyDescent="0.25">
      <c r="A4" s="164" t="s">
        <v>34</v>
      </c>
      <c r="B4" s="165"/>
      <c r="C4" s="165"/>
      <c r="D4" s="165"/>
      <c r="E4" s="165"/>
      <c r="F4" s="165"/>
      <c r="G4" s="166"/>
      <c r="H4" s="30" t="str">
        <f>IF(表紙!H4="","",表紙!H4)</f>
        <v>45_商品管理（新規）設定</v>
      </c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2"/>
      <c r="U4" s="164" t="s">
        <v>35</v>
      </c>
      <c r="V4" s="165"/>
      <c r="W4" s="165"/>
      <c r="X4" s="165"/>
      <c r="Y4" s="166"/>
      <c r="Z4" s="30" t="str">
        <f>IF(表紙!Z4="","",表紙!Z4)</f>
        <v>概要設計</v>
      </c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2"/>
      <c r="AP4" s="33" t="str">
        <f ca="1">MID(CELL("filename",A1),FIND("]",CELL("filename",A1))+1,255)</f>
        <v>参照</v>
      </c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2"/>
    </row>
    <row r="5" spans="1:63" ht="5.0999999999999996" customHeight="1" x14ac:dyDescent="0.25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6"/>
    </row>
    <row r="6" spans="1:63" ht="15" customHeight="1" x14ac:dyDescent="0.25">
      <c r="A6" s="77"/>
      <c r="BK6" s="78"/>
    </row>
    <row r="7" spans="1:63" ht="15" customHeight="1" x14ac:dyDescent="0.25">
      <c r="A7" s="77"/>
      <c r="B7" s="177" t="s">
        <v>45</v>
      </c>
      <c r="C7" s="178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80"/>
      <c r="U7" s="178"/>
      <c r="V7" s="179"/>
      <c r="W7" s="179"/>
      <c r="X7" s="179"/>
      <c r="Y7" s="179"/>
      <c r="Z7" s="179"/>
      <c r="AA7" s="179"/>
      <c r="AB7" s="179"/>
      <c r="AC7" s="180"/>
      <c r="AD7" s="178"/>
      <c r="AE7" s="179"/>
      <c r="AF7" s="179"/>
      <c r="AG7" s="179"/>
      <c r="AH7" s="179"/>
      <c r="AI7" s="179"/>
      <c r="AJ7" s="179"/>
      <c r="AK7" s="179"/>
      <c r="AL7" s="180"/>
      <c r="AM7" s="178"/>
      <c r="AN7" s="179"/>
      <c r="AO7" s="179"/>
      <c r="AP7" s="179"/>
      <c r="AQ7" s="179"/>
      <c r="AR7" s="179"/>
      <c r="AS7" s="179"/>
      <c r="AT7" s="179"/>
      <c r="AU7" s="179"/>
      <c r="AV7" s="179"/>
      <c r="AW7" s="179"/>
      <c r="AX7" s="179"/>
      <c r="AY7" s="179"/>
      <c r="AZ7" s="179"/>
      <c r="BA7" s="179"/>
      <c r="BB7" s="179"/>
      <c r="BC7" s="179"/>
      <c r="BD7" s="179"/>
      <c r="BE7" s="179"/>
      <c r="BF7" s="179"/>
      <c r="BG7" s="179"/>
      <c r="BH7" s="179"/>
      <c r="BI7" s="180"/>
      <c r="BJ7" s="179"/>
      <c r="BK7" s="78"/>
    </row>
    <row r="8" spans="1:63" ht="15" customHeight="1" x14ac:dyDescent="0.25">
      <c r="A8" s="77"/>
      <c r="C8" s="181"/>
      <c r="U8" s="181"/>
      <c r="AD8" s="181"/>
      <c r="AM8" s="181"/>
      <c r="BI8" s="183"/>
    </row>
    <row r="9" spans="1:63" ht="15" customHeight="1" x14ac:dyDescent="0.25">
      <c r="A9" s="77"/>
      <c r="C9" s="181"/>
      <c r="U9" s="181"/>
      <c r="AD9" s="181"/>
      <c r="AM9" s="181"/>
      <c r="BI9" s="183"/>
    </row>
    <row r="10" spans="1:63" ht="15" customHeight="1" x14ac:dyDescent="0.25">
      <c r="A10" s="77"/>
      <c r="C10" s="181"/>
      <c r="U10" s="181"/>
      <c r="AD10" s="181"/>
      <c r="AM10" s="181"/>
      <c r="BI10" s="183"/>
    </row>
    <row r="11" spans="1:63" ht="15" customHeight="1" x14ac:dyDescent="0.25">
      <c r="A11" s="77"/>
      <c r="C11" s="181"/>
      <c r="U11" s="181"/>
      <c r="AD11" s="181"/>
      <c r="AM11" s="181"/>
      <c r="BI11" s="183"/>
    </row>
    <row r="12" spans="1:63" ht="15" customHeight="1" x14ac:dyDescent="0.25">
      <c r="A12" s="77"/>
      <c r="C12" s="181"/>
      <c r="U12" s="181"/>
      <c r="AD12" s="181"/>
      <c r="AM12" s="181"/>
      <c r="AX12" s="46" t="s">
        <v>16</v>
      </c>
      <c r="BI12" s="183"/>
    </row>
    <row r="13" spans="1:63" ht="15" customHeight="1" x14ac:dyDescent="0.25">
      <c r="A13" s="77"/>
      <c r="C13" s="181"/>
      <c r="U13" s="181"/>
      <c r="AD13" s="181"/>
      <c r="AM13" s="181"/>
      <c r="BI13" s="183"/>
    </row>
    <row r="14" spans="1:63" ht="15" customHeight="1" x14ac:dyDescent="0.25">
      <c r="A14" s="77"/>
      <c r="C14" s="181"/>
      <c r="U14" s="181"/>
      <c r="AD14" s="181"/>
      <c r="AM14" s="181"/>
      <c r="BI14" s="183"/>
    </row>
    <row r="15" spans="1:63" ht="15" customHeight="1" x14ac:dyDescent="0.25">
      <c r="A15" s="77"/>
      <c r="C15" s="181"/>
      <c r="U15" s="181"/>
      <c r="AD15" s="181"/>
      <c r="AM15" s="181"/>
      <c r="BI15" s="183"/>
    </row>
    <row r="16" spans="1:63" ht="15" customHeight="1" x14ac:dyDescent="0.25">
      <c r="A16" s="77"/>
      <c r="C16" s="181"/>
      <c r="U16" s="181"/>
      <c r="AD16" s="181"/>
      <c r="AM16" s="181"/>
      <c r="BI16" s="183"/>
    </row>
    <row r="17" spans="1:61" ht="15" customHeight="1" x14ac:dyDescent="0.25">
      <c r="A17" s="77"/>
      <c r="C17" s="181"/>
      <c r="U17" s="181"/>
      <c r="AD17" s="181"/>
      <c r="AM17" s="181"/>
      <c r="BI17" s="183"/>
    </row>
    <row r="18" spans="1:61" ht="15" customHeight="1" x14ac:dyDescent="0.25">
      <c r="A18" s="77"/>
      <c r="C18" s="181"/>
      <c r="U18" s="181"/>
      <c r="AD18" s="181"/>
      <c r="AM18" s="181"/>
      <c r="BI18" s="183"/>
    </row>
    <row r="19" spans="1:61" ht="15" customHeight="1" x14ac:dyDescent="0.25">
      <c r="A19" s="77"/>
      <c r="C19" s="181"/>
      <c r="U19" s="181"/>
      <c r="AD19" s="181"/>
      <c r="AM19" s="181"/>
      <c r="BI19" s="183"/>
    </row>
    <row r="20" spans="1:61" ht="15" customHeight="1" x14ac:dyDescent="0.25">
      <c r="A20" s="77"/>
      <c r="C20" s="181"/>
      <c r="U20" s="181"/>
      <c r="AD20" s="181"/>
      <c r="AM20" s="181"/>
      <c r="BI20" s="183"/>
    </row>
    <row r="21" spans="1:61" ht="15" customHeight="1" x14ac:dyDescent="0.25">
      <c r="A21" s="77"/>
      <c r="C21" s="181"/>
      <c r="U21" s="181"/>
      <c r="AD21" s="181"/>
      <c r="AM21" s="181"/>
      <c r="BI21" s="183"/>
    </row>
    <row r="22" spans="1:61" ht="15" customHeight="1" x14ac:dyDescent="0.25">
      <c r="A22" s="77"/>
      <c r="C22" s="181"/>
      <c r="U22" s="181"/>
      <c r="AD22" s="181"/>
      <c r="AM22" s="181"/>
      <c r="BI22" s="183"/>
    </row>
    <row r="23" spans="1:61" ht="15" customHeight="1" x14ac:dyDescent="0.25">
      <c r="A23" s="77"/>
      <c r="C23" s="181"/>
      <c r="U23" s="181"/>
      <c r="AD23" s="181"/>
      <c r="AM23" s="181"/>
      <c r="BI23" s="183"/>
    </row>
    <row r="24" spans="1:61" ht="15" customHeight="1" x14ac:dyDescent="0.25">
      <c r="A24" s="77"/>
      <c r="C24" s="181"/>
      <c r="U24" s="181"/>
      <c r="AD24" s="181"/>
      <c r="AM24" s="181"/>
      <c r="BI24" s="183"/>
    </row>
    <row r="25" spans="1:61" ht="15" customHeight="1" x14ac:dyDescent="0.25">
      <c r="A25" s="77"/>
      <c r="C25" s="181"/>
      <c r="U25" s="181"/>
      <c r="AD25" s="181"/>
      <c r="AM25" s="181"/>
      <c r="BI25" s="183"/>
    </row>
    <row r="26" spans="1:61" ht="15" customHeight="1" x14ac:dyDescent="0.25">
      <c r="A26" s="77"/>
      <c r="C26" s="181"/>
      <c r="U26" s="181"/>
      <c r="AD26" s="181"/>
      <c r="AM26" s="181"/>
      <c r="BI26" s="183"/>
    </row>
    <row r="27" spans="1:61" ht="15" customHeight="1" x14ac:dyDescent="0.25">
      <c r="A27" s="77"/>
      <c r="C27" s="181"/>
      <c r="U27" s="181"/>
      <c r="AD27" s="181"/>
      <c r="AM27" s="181"/>
      <c r="BI27" s="183"/>
    </row>
    <row r="28" spans="1:61" ht="15" customHeight="1" x14ac:dyDescent="0.25">
      <c r="A28" s="77"/>
      <c r="C28" s="181"/>
      <c r="U28" s="181"/>
      <c r="AD28" s="181"/>
      <c r="AM28" s="181"/>
      <c r="BI28" s="183"/>
    </row>
    <row r="29" spans="1:61" ht="15" customHeight="1" x14ac:dyDescent="0.25">
      <c r="A29" s="77"/>
      <c r="C29" s="181"/>
      <c r="U29" s="181"/>
      <c r="AD29" s="181"/>
      <c r="AM29" s="181"/>
      <c r="BI29" s="183"/>
    </row>
    <row r="30" spans="1:61" ht="15" customHeight="1" x14ac:dyDescent="0.25">
      <c r="A30" s="77"/>
      <c r="C30" s="181"/>
      <c r="U30" s="181"/>
      <c r="AD30" s="181"/>
      <c r="AM30" s="181"/>
      <c r="BI30" s="183"/>
    </row>
    <row r="31" spans="1:61" ht="15" customHeight="1" x14ac:dyDescent="0.25">
      <c r="A31" s="77"/>
      <c r="C31" s="181"/>
      <c r="U31" s="181"/>
      <c r="AD31" s="181"/>
      <c r="AM31" s="181"/>
      <c r="BI31" s="183"/>
    </row>
    <row r="32" spans="1:61" ht="15" customHeight="1" x14ac:dyDescent="0.25">
      <c r="A32" s="77"/>
      <c r="C32" s="181"/>
      <c r="U32" s="181"/>
      <c r="AD32" s="181"/>
      <c r="AM32" s="181"/>
      <c r="BI32" s="183"/>
    </row>
    <row r="33" spans="1:61" ht="15" customHeight="1" x14ac:dyDescent="0.25">
      <c r="A33" s="77"/>
      <c r="C33" s="181"/>
      <c r="U33" s="181"/>
      <c r="AD33" s="181"/>
      <c r="AM33" s="181"/>
      <c r="BI33" s="183"/>
    </row>
    <row r="34" spans="1:61" ht="15" customHeight="1" x14ac:dyDescent="0.25">
      <c r="A34" s="77"/>
      <c r="C34" s="181"/>
      <c r="U34" s="181"/>
      <c r="AD34" s="181"/>
      <c r="AM34" s="181"/>
      <c r="BI34" s="183"/>
    </row>
    <row r="35" spans="1:61" ht="15" customHeight="1" x14ac:dyDescent="0.25">
      <c r="A35" s="77"/>
      <c r="C35" s="181"/>
      <c r="U35" s="181"/>
      <c r="AD35" s="181"/>
      <c r="AM35" s="181"/>
      <c r="BI35" s="183"/>
    </row>
    <row r="36" spans="1:61" ht="15" customHeight="1" x14ac:dyDescent="0.25">
      <c r="A36" s="77"/>
      <c r="C36" s="181"/>
      <c r="U36" s="181"/>
      <c r="AD36" s="181"/>
      <c r="AM36" s="181"/>
      <c r="BI36" s="183"/>
    </row>
    <row r="37" spans="1:61" ht="15" customHeight="1" x14ac:dyDescent="0.25">
      <c r="A37" s="77"/>
      <c r="C37" s="181"/>
      <c r="U37" s="181"/>
      <c r="AD37" s="181"/>
      <c r="AM37" s="181"/>
      <c r="BI37" s="183"/>
    </row>
    <row r="38" spans="1:61" ht="15" customHeight="1" x14ac:dyDescent="0.25">
      <c r="A38" s="77"/>
      <c r="C38" s="181"/>
      <c r="U38" s="181"/>
      <c r="AD38" s="181"/>
      <c r="AM38" s="181"/>
      <c r="BI38" s="183"/>
    </row>
    <row r="39" spans="1:61" ht="15" customHeight="1" x14ac:dyDescent="0.25">
      <c r="A39" s="77"/>
      <c r="C39" s="181"/>
      <c r="U39" s="181"/>
      <c r="AD39" s="181"/>
      <c r="AM39" s="181"/>
      <c r="BI39" s="183"/>
    </row>
    <row r="40" spans="1:61" ht="15" customHeight="1" x14ac:dyDescent="0.25">
      <c r="A40" s="77"/>
      <c r="C40" s="181"/>
      <c r="U40" s="181"/>
      <c r="AD40" s="181"/>
      <c r="AM40" s="181"/>
      <c r="BI40" s="183"/>
    </row>
    <row r="41" spans="1:61" ht="15" customHeight="1" x14ac:dyDescent="0.25">
      <c r="A41" s="77"/>
      <c r="C41" s="181"/>
      <c r="U41" s="181"/>
      <c r="AD41" s="181"/>
      <c r="AM41" s="181"/>
      <c r="BI41" s="183"/>
    </row>
    <row r="42" spans="1:61" ht="15" customHeight="1" x14ac:dyDescent="0.25">
      <c r="A42" s="77"/>
      <c r="C42" s="181"/>
      <c r="U42" s="181"/>
      <c r="AD42" s="181"/>
      <c r="AM42" s="181"/>
      <c r="BI42" s="183"/>
    </row>
    <row r="43" spans="1:61" ht="15" customHeight="1" x14ac:dyDescent="0.25">
      <c r="A43" s="77"/>
      <c r="C43" s="181"/>
      <c r="U43" s="181"/>
      <c r="AD43" s="181"/>
      <c r="AM43" s="181"/>
      <c r="BI43" s="183"/>
    </row>
    <row r="44" spans="1:61" ht="15" customHeight="1" x14ac:dyDescent="0.25">
      <c r="A44" s="77"/>
      <c r="C44" s="181"/>
      <c r="U44" s="181"/>
      <c r="AD44" s="181"/>
      <c r="AM44" s="181"/>
      <c r="BI44" s="183"/>
    </row>
    <row r="45" spans="1:61" ht="15" customHeight="1" x14ac:dyDescent="0.25">
      <c r="A45" s="77"/>
      <c r="C45" s="181"/>
      <c r="U45" s="181"/>
      <c r="AD45" s="181"/>
      <c r="AM45" s="181"/>
      <c r="BI45" s="183"/>
    </row>
    <row r="46" spans="1:61" ht="15" customHeight="1" x14ac:dyDescent="0.25">
      <c r="A46" s="77"/>
      <c r="C46" s="181"/>
      <c r="U46" s="181"/>
      <c r="AD46" s="181"/>
      <c r="AM46" s="181"/>
      <c r="BI46" s="183"/>
    </row>
    <row r="47" spans="1:61" ht="15" customHeight="1" x14ac:dyDescent="0.25">
      <c r="A47" s="77"/>
      <c r="C47" s="181"/>
      <c r="U47" s="181"/>
      <c r="AD47" s="181"/>
      <c r="AM47" s="181"/>
      <c r="BI47" s="183"/>
    </row>
    <row r="48" spans="1:61" ht="15" customHeight="1" x14ac:dyDescent="0.25">
      <c r="A48" s="77"/>
      <c r="C48" s="181"/>
      <c r="U48" s="181"/>
      <c r="AD48" s="181"/>
      <c r="AM48" s="181"/>
      <c r="BI48" s="183"/>
    </row>
    <row r="49" spans="1:63" ht="15" customHeight="1" x14ac:dyDescent="0.25">
      <c r="A49" s="77"/>
      <c r="C49" s="181"/>
      <c r="U49" s="181"/>
      <c r="AD49" s="181"/>
      <c r="AM49" s="181"/>
      <c r="BI49" s="183"/>
    </row>
    <row r="50" spans="1:63" ht="15" customHeight="1" x14ac:dyDescent="0.25">
      <c r="A50" s="77"/>
      <c r="C50" s="181"/>
      <c r="U50" s="181"/>
      <c r="AD50" s="181"/>
      <c r="AM50" s="181"/>
      <c r="BI50" s="183"/>
    </row>
    <row r="51" spans="1:63" ht="15" customHeight="1" x14ac:dyDescent="0.25">
      <c r="A51" s="77"/>
      <c r="C51" s="181"/>
      <c r="U51" s="181"/>
      <c r="AD51" s="181"/>
      <c r="AM51" s="181"/>
      <c r="BI51" s="183"/>
    </row>
    <row r="52" spans="1:63" ht="15" customHeight="1" x14ac:dyDescent="0.25">
      <c r="A52" s="77"/>
      <c r="C52" s="181"/>
      <c r="U52" s="181"/>
      <c r="AD52" s="181"/>
      <c r="AM52" s="181"/>
      <c r="BI52" s="183"/>
    </row>
    <row r="53" spans="1:63" ht="15" customHeight="1" x14ac:dyDescent="0.25">
      <c r="A53" s="77"/>
      <c r="C53" s="181"/>
      <c r="U53" s="181"/>
      <c r="AD53" s="181"/>
      <c r="AM53" s="181"/>
      <c r="BI53" s="183"/>
    </row>
    <row r="54" spans="1:63" ht="15" customHeight="1" x14ac:dyDescent="0.25">
      <c r="A54" s="77"/>
      <c r="C54" s="181"/>
      <c r="U54" s="181"/>
      <c r="AD54" s="181"/>
      <c r="AM54" s="181"/>
      <c r="BI54" s="183"/>
    </row>
    <row r="55" spans="1:63" ht="15" customHeight="1" x14ac:dyDescent="0.25">
      <c r="A55" s="74"/>
      <c r="B55" s="191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191"/>
      <c r="V55" s="75"/>
      <c r="W55" s="75"/>
      <c r="X55" s="75"/>
      <c r="Y55" s="75"/>
      <c r="Z55" s="75"/>
      <c r="AA55" s="75"/>
      <c r="AB55" s="75"/>
      <c r="AC55" s="75"/>
      <c r="AD55" s="191"/>
      <c r="AE55" s="75"/>
      <c r="AF55" s="75"/>
      <c r="AG55" s="75"/>
      <c r="AH55" s="75"/>
      <c r="AI55" s="75"/>
      <c r="AJ55" s="75"/>
      <c r="AK55" s="75"/>
      <c r="AL55" s="75"/>
      <c r="AM55" s="191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192"/>
      <c r="BJ55" s="75"/>
      <c r="BK55" s="76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参照</vt:lpstr>
      <vt:lpstr>参照!Print_Area</vt:lpstr>
      <vt:lpstr>改訂履歴!Print_Area</vt:lpstr>
      <vt:lpstr>業務フロー!Print_Area</vt:lpstr>
      <vt:lpstr>機能概要!Print_Area</vt:lpstr>
      <vt:lpstr>機能概要説明!Print_Area</vt:lpstr>
      <vt:lpstr>表紙!Print_Area</vt:lpstr>
      <vt:lpstr>参照!Print_Titles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2025-03-06T08:40:42Z</dcterms:modified>
  <cp:category/>
  <cp:contentStatus/>
</cp:coreProperties>
</file>