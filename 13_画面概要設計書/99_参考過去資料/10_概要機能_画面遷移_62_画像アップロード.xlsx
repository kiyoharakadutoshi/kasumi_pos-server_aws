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184F4ABF-541A-4EA6-8DC5-38B8038E5261}"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指摘履歴" sheetId="10" r:id="rId3"/>
    <sheet name="業務フロー" sheetId="6" r:id="rId4"/>
    <sheet name="機能概要説明" sheetId="8" r:id="rId5"/>
    <sheet name="機能概要" sheetId="5" r:id="rId6"/>
    <sheet name="画面設計書" sheetId="9" r:id="rId7"/>
    <sheet name="テンプレート" sheetId="2" r:id="rId8"/>
  </sheets>
  <definedNames>
    <definedName name="_xlnm.Print_Area" localSheetId="7">テンプレート!$A$1:$BK$55</definedName>
    <definedName name="_xlnm.Print_Area" localSheetId="2">指摘履歴!$A$1:$BK$55</definedName>
    <definedName name="_xlnm.Print_Area" localSheetId="1">改訂履歴!$A$1:$BK$60</definedName>
    <definedName name="_xlnm.Print_Area" localSheetId="5">機能概要!$A$1:$BK$111</definedName>
    <definedName name="_xlnm.Print_Area" localSheetId="4">機能概要説明!$A$1:$BK$57</definedName>
    <definedName name="_xlnm.Print_Area" localSheetId="0">表紙!$A$1:$BK$55</definedName>
    <definedName name="_xlnm.Print_Titles" localSheetId="7">テンプレート!$1:$5</definedName>
    <definedName name="_xlnm.Print_Titles" localSheetId="2">指摘履歴!$1:$5</definedName>
    <definedName name="_xlnm.Print_Titles" localSheetId="1">改訂履歴!$1:$5</definedName>
    <definedName name="_xlnm.Print_Titles" localSheetId="3">業務フロー!$1:$5</definedName>
    <definedName name="_xlnm.Print_Titles" localSheetId="5">機能概要!$1:$5</definedName>
    <definedName name="_xlnm.Print_Titles" localSheetId="4">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2" l="1"/>
  <c r="Z4" i="2"/>
  <c r="H4" i="2"/>
  <c r="K2" i="2"/>
  <c r="A2" i="2"/>
  <c r="W1" i="2"/>
  <c r="AP4" i="9"/>
  <c r="Z4" i="9"/>
  <c r="H4" i="9"/>
  <c r="K2" i="9"/>
  <c r="A2" i="9"/>
  <c r="W1" i="9"/>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AP4" i="5" a="1"/>
  <c r="AP4" i="5" s="1"/>
  <c r="Z4" i="5"/>
  <c r="H4" i="5"/>
  <c r="K2" i="5"/>
  <c r="A2" i="5"/>
  <c r="W1" i="5"/>
  <c r="BM9" i="8"/>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8" i="8"/>
  <c r="BM7" i="8"/>
  <c r="AP4" i="8" a="1"/>
  <c r="AP4" i="8" s="1"/>
  <c r="Z4" i="8"/>
  <c r="H4" i="8"/>
  <c r="K2" i="8"/>
  <c r="A2" i="8"/>
  <c r="W1" i="8"/>
  <c r="AP4" i="6" a="1"/>
  <c r="AP4" i="6" s="1"/>
  <c r="Z4" i="6"/>
  <c r="H4" i="6"/>
  <c r="K2" i="6"/>
  <c r="A2" i="6"/>
  <c r="W1" i="6"/>
  <c r="AP4" i="10" a="1"/>
  <c r="AP4" i="10" s="1"/>
  <c r="Z4" i="10"/>
  <c r="H4" i="10"/>
  <c r="K2" i="10"/>
  <c r="A2" i="10"/>
  <c r="W1" i="10"/>
  <c r="AP4" i="3" a="1"/>
  <c r="AP4" i="3" s="1"/>
  <c r="Z4" i="3"/>
  <c r="H4" i="3"/>
  <c r="K2" i="3"/>
  <c r="A2" i="3"/>
  <c r="W1" i="3"/>
  <c r="L24" i="4"/>
  <c r="AP4" i="4" a="1"/>
  <c r="AP4" i="4" s="1"/>
  <c r="BH2" i="4"/>
  <c r="BH2" i="10" s="1"/>
  <c r="BC2" i="4"/>
  <c r="BC2" i="2" s="1"/>
  <c r="AY2" i="4"/>
  <c r="AY2" i="9" s="1"/>
  <c r="AT2" i="4"/>
  <c r="AT2" i="8" s="1"/>
  <c r="AP2" i="4"/>
  <c r="AP2" i="6" s="1"/>
  <c r="AT2" i="3" l="1"/>
  <c r="AT2" i="10"/>
  <c r="AY2" i="6"/>
  <c r="AY2" i="8"/>
  <c r="BC2" i="5"/>
  <c r="BC2" i="9"/>
  <c r="AP2" i="2"/>
  <c r="BH2" i="2"/>
  <c r="AY2" i="3"/>
  <c r="AY2" i="10"/>
  <c r="BC2" i="6"/>
  <c r="BC2" i="8"/>
  <c r="AP2" i="5"/>
  <c r="BH2" i="5"/>
  <c r="AP2" i="9"/>
  <c r="BH2" i="9"/>
  <c r="AT2" i="2"/>
  <c r="BC2" i="3"/>
  <c r="BC2" i="10"/>
  <c r="BH2" i="6"/>
  <c r="AP2" i="8"/>
  <c r="BH2" i="8"/>
  <c r="AT2" i="5"/>
  <c r="AT2" i="9"/>
  <c r="AY2" i="2"/>
  <c r="AP2" i="3"/>
  <c r="BH2" i="3"/>
  <c r="AP2" i="10"/>
  <c r="AY2" i="5"/>
</calcChain>
</file>

<file path=xl/sharedStrings.xml><?xml version="1.0" encoding="utf-8"?>
<sst xmlns="http://schemas.openxmlformats.org/spreadsheetml/2006/main" count="281" uniqueCount="106">
  <si>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</si>
  <si>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</si>
  <si>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</si>
  <si>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</si>
  <si>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</si>
  <si>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</si>
  <si>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</si>
  <si>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</si>
  <si>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</si>
  <si>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</si>
  <si>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</si>
  <si>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</si>
  <si>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</si>
  <si>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t>
    </r>
  </si>
  <si>
    <r>
      <rPr>
        <sz val="18"/>
        <color rgb="FF000000"/>
        <rFont val="Meiryo UI"/>
        <family val="3"/>
      </rPr>
      <t>基本設計書</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</si>
  <si>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</si>
  <si>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</si>
  <si>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</si>
  <si>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</si>
  <si>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</si>
  <si>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</si>
  <si>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</si>
  <si>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</si>
  <si>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</si>
  <si>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</si>
  <si>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</si>
  <si>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</si>
  <si>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</si>
  <si>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</si>
  <si>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POSサーバー</t>
    </r>
  </si>
  <si>
    <t>`</t>
  </si>
  <si>
    <r>
      <rPr>
        <sz val="24"/>
        <color rgb="FF000000"/>
        <rFont val="Meiryo UI"/>
        <family val="3"/>
      </rPr>
      <t>POSサーバーの詳細設計書</t>
    </r>
  </si>
  <si>
    <r>
      <rPr>
        <sz val="11"/>
        <color rgb="FF000000"/>
        <rFont val="Meiryo UI"/>
        <family val="2"/>
      </rPr>
      <t>TinNH</t>
    </r>
  </si>
  <si>
    <r>
      <rPr>
        <sz val="11"/>
        <color rgb="FF000000"/>
        <rFont val="Meiryo UI"/>
        <family val="2"/>
      </rPr>
      <t>画像アップロード機能では次のことが可能になる。</t>
    </r>
  </si>
  <si>
    <r>
      <rPr>
        <sz val="11"/>
        <color rgb="FF000000"/>
        <rFont val="Meiryo UI"/>
        <family val="2"/>
      </rPr>
      <t>・現存説明画像の一覧を閲覧する。</t>
    </r>
  </si>
  <si>
    <r>
      <rPr>
        <sz val="11"/>
        <color rgb="FF000000"/>
        <rFont val="Meiryo UI"/>
        <family val="2"/>
      </rPr>
      <t>・説明画像を追加する。</t>
    </r>
  </si>
  <si>
    <r>
      <rPr>
        <sz val="11"/>
        <color rgb="FF000000"/>
        <rFont val="Meiryo UI"/>
        <family val="2"/>
      </rPr>
      <t>・現存説明画像を削除する。</t>
    </r>
  </si>
  <si>
    <r>
      <rPr>
        <sz val="11"/>
        <color rgb="FF000000"/>
        <rFont val="Meiryo UI"/>
        <family val="2"/>
      </rPr>
      <t>店舗のプリセット画像、レシートロゴを説明する画像を管理する。</t>
    </r>
  </si>
  <si>
    <r>
      <rPr>
        <sz val="11"/>
        <color rgb="FF000000"/>
        <rFont val="Meiryo UI"/>
        <family val="2"/>
      </rPr>
      <t>更新機能</t>
    </r>
  </si>
  <si>
    <r>
      <rPr>
        <sz val="11"/>
        <color rgb="FF000000"/>
        <rFont val="Meiryo UI"/>
        <family val="2"/>
      </rPr>
      <t>FC6201_プリセット画像とレシートロゴの画像アップロード機能</t>
    </r>
  </si>
  <si>
    <r>
      <rPr>
        <sz val="11"/>
        <color rgb="FF000000"/>
        <rFont val="Meiryo UI"/>
        <family val="2"/>
      </rPr>
      <t>ラジオボタン</t>
    </r>
  </si>
  <si>
    <r>
      <rPr>
        <sz val="11"/>
        <color rgb="FF000000"/>
        <rFont val="Meiryo UI"/>
        <family val="2"/>
      </rPr>
      <t>画像種別</t>
    </r>
  </si>
  <si>
    <r>
      <rPr>
        <sz val="11"/>
        <color rgb="FF000000"/>
        <rFont val="Meiryo UI"/>
        <family val="2"/>
      </rPr>
      <t>ファイル選択</t>
    </r>
  </si>
  <si>
    <r>
      <rPr>
        <sz val="11"/>
        <color rgb="FF000000"/>
        <rFont val="Meiryo UI"/>
        <family val="2"/>
      </rPr>
      <t>削除チェックボックス</t>
    </r>
  </si>
  <si>
    <r>
      <rPr>
        <sz val="11"/>
        <color rgb="FF000000"/>
        <rFont val="Meiryo UI"/>
        <family val="2"/>
      </rPr>
      <t>ビュー</t>
    </r>
  </si>
  <si>
    <r>
      <rPr>
        <sz val="11"/>
        <color rgb="FF000000"/>
        <rFont val="Meiryo UI"/>
        <family val="2"/>
      </rPr>
      <t>一覧</t>
    </r>
  </si>
  <si>
    <r>
      <rPr>
        <sz val="11"/>
        <color rgb="FF000000"/>
        <rFont val="Meiryo UI"/>
        <family val="2"/>
      </rPr>
      <t>チェックボックス</t>
    </r>
  </si>
  <si>
    <r>
      <rPr>
        <sz val="11"/>
        <color rgb="FF000000"/>
        <rFont val="Meiryo UI"/>
        <family val="2"/>
      </rPr>
      <t>新規アップロード</t>
    </r>
  </si>
  <si>
    <r>
      <rPr>
        <sz val="11"/>
        <color rgb="FF000000"/>
        <rFont val="Meiryo UI"/>
        <family val="2"/>
      </rPr>
      <t>アップロード済</t>
    </r>
  </si>
  <si>
    <r>
      <rPr>
        <sz val="11"/>
        <color rgb="FF000000"/>
        <rFont val="Meiryo UI"/>
        <family val="2"/>
      </rPr>
      <t>選択解除</t>
    </r>
  </si>
  <si>
    <r>
      <rPr>
        <sz val="11"/>
        <color rgb="FF000000"/>
        <rFont val="Meiryo UI"/>
        <family val="2"/>
      </rPr>
      <t>プリビューエリア</t>
    </r>
  </si>
  <si>
    <r>
      <rPr>
        <sz val="11"/>
        <color rgb="FF000000"/>
        <rFont val="Meiryo UI"/>
        <family val="2"/>
      </rPr>
      <t>2024年06月04日の議事録による更新</t>
    </r>
  </si>
  <si>
    <r>
      <rPr>
        <sz val="11"/>
        <color rgb="FF000000"/>
        <rFont val="Meiryo UI"/>
        <family val="2"/>
      </rPr>
      <t>コメントによる更新</t>
    </r>
  </si>
  <si>
    <r>
      <rPr>
        <sz val="11"/>
        <color rgb="FF000000"/>
        <rFont val="Meiryo UI"/>
        <family val="2"/>
      </rPr>
      <t>・ いくつかの冗長な項目を削除する（空き一覧など）</t>
    </r>
  </si>
  <si>
    <r>
      <rPr>
        <sz val="11"/>
        <color rgb="FF000000"/>
        <rFont val="Meiryo UI"/>
        <family val="2"/>
      </rPr>
      <t>・店舗選択エリア更新</t>
    </r>
  </si>
  <si>
    <r>
      <rPr>
        <sz val="11"/>
        <color rgb="FF000000"/>
        <rFont val="Meiryo UI"/>
        <family val="2"/>
      </rPr>
      <t>62_画像アップロード</t>
    </r>
  </si>
  <si>
    <r>
      <rPr>
        <sz val="11"/>
        <color rgb="FFFFFFFF"/>
        <rFont val="Meiryo UI"/>
        <family val="3"/>
        <charset val="128"/>
      </rPr>
      <t>機能カテゴリー</t>
    </r>
  </si>
  <si>
    <r>
      <rPr>
        <sz val="11"/>
        <color rgb="FF000000"/>
        <rFont val="Meiryo UI"/>
        <family val="2"/>
      </rPr>
      <t>TinNH</t>
    </r>
  </si>
  <si>
    <r>
      <rPr>
        <sz val="11"/>
        <color rgb="FF000000"/>
        <rFont val="Meiryo UI"/>
        <family val="2"/>
      </rPr>
      <t>コメントによる更新</t>
    </r>
  </si>
  <si>
    <t>小川</t>
    <rPh sb="0" eb="2">
      <t>オガワ</t>
    </rPh>
    <phoneticPr fontId="13"/>
  </si>
  <si>
    <t>【MD1501：店舗一覧モダール】</t>
    <phoneticPr fontId="13"/>
  </si>
  <si>
    <t>店舗一覧モーダルは、画面アップロード画面の左側に表示されるのではないのでしょうか？</t>
    <rPh sb="0" eb="4">
      <t>テンポイチラン</t>
    </rPh>
    <rPh sb="10" eb="12">
      <t>ガメン</t>
    </rPh>
    <rPh sb="18" eb="20">
      <t>ガメン</t>
    </rPh>
    <rPh sb="21" eb="23">
      <t>ヒダリガワ</t>
    </rPh>
    <rPh sb="24" eb="26">
      <t>ヒョウジ</t>
    </rPh>
    <phoneticPr fontId="13"/>
  </si>
  <si>
    <t>【SC6201：画像アップロード画面】</t>
    <phoneticPr fontId="13"/>
  </si>
  <si>
    <t>「選択されたファイルの形式が画像以外の場合、エラーを表示する。(提案形式: jpeg,jpg,png)」とのことですが、提案形式以外のファイル形式以外はエラーメッセージが表示される認識であっていますか？
また、提案形式ファイルは複数ありますが、混在して設定してもタッチメニュー画面への画像表示やPOSのプリセット画面に表示された時に見た目が統一されない等の問題は発生しないのでしょうか？</t>
  </si>
  <si>
    <t>「画像名称：日本語の全角文字」とありますが、ファイル名は全角半角カナ英数字が使用可能という認識であっていますか？
また、使用不可文字の指定はありますか？</t>
  </si>
  <si>
    <t>ファイルサイズについて、POSに表示される見た目統一のため縦横のサイズを統一したいと考えています。
POSのプリセット画面にキレイに収まる最大の縦横サイズの提示をお願いいたします。</t>
  </si>
  <si>
    <t>「更新された名称が同じの画像を含むプリセットレイアウトを使用しているPOS機の場合、画像がDBに保存されても、更新された画像がPOS機に表示される。」につきまして、同名の画像ファイルが存在していた場合DBへ保存されてもPOS側は更新前の画像が表示されたままということでしょうか？
その場合、どのタイミングでPOS側の表示が変わるのでしょうか？</t>
  </si>
  <si>
    <t>確定タッチ時のバリデーションチェック業務を追加、正しいファイル名を規定
店舗選択モーダルを削除する。</t>
  </si>
  <si>
    <t>機能概要</t>
  </si>
  <si>
    <t>DuNT</t>
  </si>
  <si>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</si>
  <si>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</si>
  <si>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</si>
  <si>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</si>
  <si>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</si>
  <si>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</si>
  <si>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</si>
  <si>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</si>
  <si>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</si>
  <si>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t>■指摘履歴</t>
  </si>
  <si>
    <r>
      <rPr>
        <sz val="11"/>
        <color rgb="FFFFFFFF"/>
        <rFont val="Meiryo UI"/>
        <family val="2"/>
      </rPr>
      <t>更新内容</t>
    </r>
  </si>
  <si>
    <t>対応日</t>
  </si>
  <si>
    <t>対応者</t>
  </si>
  <si>
    <t>62_画像アップロード</t>
  </si>
  <si>
    <t>■画面項目定義</t>
  </si>
  <si>
    <t>画面項目ID</t>
  </si>
  <si>
    <t>項目</t>
  </si>
  <si>
    <t>Type</t>
  </si>
  <si>
    <t>多言語対象</t>
  </si>
  <si>
    <t>出力</t>
  </si>
  <si>
    <t>インプット</t>
  </si>
  <si>
    <t>備考</t>
  </si>
  <si>
    <t>マッピングデータ</t>
  </si>
  <si>
    <t>初期値</t>
  </si>
  <si>
    <t>表示コントロール</t>
  </si>
  <si>
    <t>Control enable</t>
  </si>
  <si>
    <t>数字</t>
  </si>
  <si>
    <t>桁</t>
  </si>
  <si>
    <t>API名</t>
  </si>
  <si>
    <t>プリセット画像</t>
  </si>
  <si>
    <t>ボタン</t>
  </si>
  <si>
    <t>I</t>
  </si>
  <si>
    <t>一覧</t>
  </si>
  <si>
    <t>O</t>
  </si>
  <si>
    <r>
      <rPr>
        <sz val="11"/>
        <color rgb="FF000000"/>
        <rFont val="Meiryo UI"/>
        <family val="2"/>
      </rPr>
      <t>F04: クリア</t>
    </r>
  </si>
  <si>
    <r>
      <rPr>
        <sz val="11"/>
        <color rgb="FF000000"/>
        <rFont val="Meiryo UI"/>
        <family val="2"/>
      </rPr>
      <t>F09: 確定</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</si>
</sst>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19"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b/>
      <sz val="24"/>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8"/>
      <color rgb="FF000000"/>
      <name val="Meiryo UI"/>
      <family val="3"/>
    </font>
    <font>
      <sz val="24"/>
      <color rgb="FF000000"/>
      <name val="Meiryo UI"/>
      <family val="3"/>
    </font>
    <font>
      <sz val="11"/>
      <name val="Meiryo UI"/>
      <family val="3"/>
      <charset val="128"/>
    </font>
    <font>
      <sz val="11"/>
      <color rgb="FF006100"/>
      <name val="Calibri"/>
      <family val="2"/>
      <scheme val="minor"/>
    </font>
    <font>
      <sz val="11"/>
      <color rgb="FF0000FF"/>
      <name val="Meiryo UI"/>
      <family val="3"/>
      <charset val="128"/>
    </font>
    <font>
      <sz val="11"/>
      <color theme="0"/>
      <name val="Meiryo UI"/>
      <family val="2"/>
    </font>
    <font>
      <sz val="11"/>
      <color rgb="FFFFFFFF"/>
      <name val="Meiryo UI"/>
      <family val="2"/>
    </font>
    <font>
      <sz val="18"/>
      <name val="Meiryo UI"/>
      <family val="2"/>
    </font>
    <font>
      <sz val="11"/>
      <name val="Meiryo UI"/>
      <family val="2"/>
    </font>
  </fonts>
  <fills count="9">
    <fill>
      <patternFill patternType="none"/>
    </fill>
    <fill>
      <patternFill patternType="gray125"/>
    </fill>
    <fill>
      <patternFill patternType="solid">
        <fgColor rgb="FF333399"/>
        <bgColor indexed="64"/>
      </patternFill>
    </fill>
    <fill>
      <patternFill patternType="solid">
        <fgColor theme="4" tint="0.79995117038483843"/>
        <bgColor indexed="64"/>
      </patternFill>
    </fill>
    <fill>
      <patternFill patternType="solid">
        <fgColor theme="7" tint="0.79995117038483843"/>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46">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theme="0" tint="-0.24994659260841701"/>
      </top>
      <bottom/>
      <diagonal/>
    </border>
    <border>
      <left/>
      <right/>
      <top style="hair">
        <color theme="0" tint="-0.24994659260841701"/>
      </top>
      <bottom/>
      <diagonal/>
    </border>
    <border>
      <left/>
      <right style="thin">
        <color auto="1"/>
      </right>
      <top style="hair">
        <color theme="0" tint="-0.24994659260841701"/>
      </top>
      <bottom/>
      <diagonal/>
    </border>
    <border>
      <left style="thin">
        <color auto="1"/>
      </left>
      <right/>
      <top style="hair">
        <color theme="0" tint="-0.24994659260841701"/>
      </top>
      <bottom style="hair">
        <color auto="1"/>
      </bottom>
      <diagonal/>
    </border>
    <border>
      <left/>
      <right/>
      <top style="hair">
        <color theme="0" tint="-0.24994659260841701"/>
      </top>
      <bottom style="hair">
        <color auto="1"/>
      </bottom>
      <diagonal/>
    </border>
    <border>
      <left/>
      <right style="thin">
        <color auto="1"/>
      </right>
      <top style="hair">
        <color theme="0" tint="-0.24994659260841701"/>
      </top>
      <bottom style="hair">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6" fillId="0" borderId="0"/>
    <xf numFmtId="0" fontId="12" fillId="0" borderId="0">
      <alignment vertical="center"/>
    </xf>
  </cellStyleXfs>
  <cellXfs count="350">
    <xf numFmtId="0" fontId="0" fillId="0" borderId="0" xfId="0"/>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29"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7" xfId="0" applyFont="1" applyFill="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29" xfId="0" applyBorder="1" applyAlignment="1">
      <alignment horizontal="center" vertical="center"/>
    </xf>
    <xf numFmtId="0" fontId="0" fillId="0" borderId="28" xfId="0" applyBorder="1" applyAlignment="1">
      <alignment horizontal="center" vertical="center"/>
    </xf>
    <xf numFmtId="0" fontId="0" fillId="0" borderId="27" xfId="0"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7" fillId="0" borderId="0" xfId="6" applyFont="1" applyAlignment="1">
      <alignment vertical="center"/>
    </xf>
    <xf numFmtId="0" fontId="7" fillId="0" borderId="2" xfId="6" applyFont="1" applyBorder="1" applyAlignment="1">
      <alignment vertical="center"/>
    </xf>
    <xf numFmtId="0" fontId="7" fillId="0" borderId="3" xfId="6" applyFont="1" applyBorder="1" applyAlignment="1">
      <alignment vertical="center"/>
    </xf>
    <xf numFmtId="0" fontId="7" fillId="0" borderId="5" xfId="6" applyFont="1" applyBorder="1" applyAlignment="1">
      <alignment vertical="center"/>
    </xf>
    <xf numFmtId="0" fontId="7" fillId="0" borderId="1" xfId="6" applyFont="1" applyBorder="1" applyAlignment="1">
      <alignment vertical="center"/>
    </xf>
    <xf numFmtId="0" fontId="7" fillId="0" borderId="4" xfId="6" applyFont="1" applyBorder="1" applyAlignment="1">
      <alignment vertical="center"/>
    </xf>
    <xf numFmtId="0" fontId="8" fillId="0" borderId="0" xfId="6" applyFont="1" applyAlignment="1">
      <alignment vertical="center"/>
    </xf>
    <xf numFmtId="0" fontId="7" fillId="0" borderId="22" xfId="6" applyFont="1" applyBorder="1" applyAlignment="1">
      <alignment horizontal="center" vertical="center"/>
    </xf>
    <xf numFmtId="0" fontId="7" fillId="0" borderId="22" xfId="6" applyFont="1" applyBorder="1" applyAlignment="1">
      <alignment vertical="center"/>
    </xf>
    <xf numFmtId="0" fontId="7" fillId="0" borderId="23" xfId="6" applyFont="1" applyBorder="1" applyAlignment="1">
      <alignment horizontal="center" vertical="center"/>
    </xf>
    <xf numFmtId="0" fontId="7" fillId="0" borderId="23" xfId="6" applyFont="1" applyBorder="1" applyAlignment="1">
      <alignment vertical="center"/>
    </xf>
    <xf numFmtId="0" fontId="8" fillId="0" borderId="23" xfId="6" applyFont="1" applyBorder="1" applyAlignment="1">
      <alignment horizontal="center" vertical="center"/>
    </xf>
    <xf numFmtId="0" fontId="8" fillId="0" borderId="0" xfId="0" applyFont="1"/>
    <xf numFmtId="0" fontId="2" fillId="2" borderId="5" xfId="0" applyFont="1" applyFill="1" applyBorder="1" applyAlignment="1">
      <alignment horizontal="center" vertical="center"/>
    </xf>
    <xf numFmtId="0" fontId="2" fillId="2" borderId="24"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center" vertical="center"/>
    </xf>
    <xf numFmtId="0" fontId="11" fillId="0" borderId="0" xfId="0" applyFont="1" applyAlignment="1">
      <alignment horizontal="center" vertical="center"/>
    </xf>
    <xf numFmtId="0" fontId="4" fillId="0" borderId="0" xfId="0" applyFont="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2" fontId="0" fillId="0" borderId="27" xfId="0" applyNumberFormat="1" applyBorder="1" applyAlignment="1">
      <alignment horizontal="center" vertical="center"/>
    </xf>
    <xf numFmtId="2" fontId="0" fillId="0" borderId="28" xfId="0" applyNumberFormat="1" applyBorder="1" applyAlignment="1">
      <alignment horizontal="center" vertical="center"/>
    </xf>
    <xf numFmtId="2" fontId="0" fillId="0" borderId="29"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14" fontId="0" fillId="0" borderId="27" xfId="0" applyNumberFormat="1" applyBorder="1" applyAlignment="1">
      <alignment horizontal="center" vertical="center"/>
    </xf>
    <xf numFmtId="14" fontId="0" fillId="0" borderId="28" xfId="0" applyNumberFormat="1" applyBorder="1" applyAlignment="1">
      <alignment horizontal="center" vertical="center"/>
    </xf>
    <xf numFmtId="14" fontId="0" fillId="0" borderId="2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8" fillId="0" borderId="27"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7" fillId="0" borderId="36" xfId="0" quotePrefix="1" applyFont="1" applyBorder="1"/>
    <xf numFmtId="0" fontId="7" fillId="0" borderId="37" xfId="0" applyFont="1" applyBorder="1"/>
    <xf numFmtId="0" fontId="7" fillId="0" borderId="38" xfId="0" applyFont="1" applyBorder="1"/>
    <xf numFmtId="0" fontId="7" fillId="0" borderId="36" xfId="0" applyFont="1" applyBorder="1"/>
    <xf numFmtId="0" fontId="7" fillId="0" borderId="39" xfId="0" applyFont="1" applyBorder="1"/>
    <xf numFmtId="0" fontId="7" fillId="0" borderId="40" xfId="0" applyFont="1" applyBorder="1"/>
    <xf numFmtId="0" fontId="7" fillId="0" borderId="41" xfId="0" applyFont="1" applyBorder="1"/>
    <xf numFmtId="0" fontId="0" fillId="0" borderId="30" xfId="0" applyBorder="1"/>
    <xf numFmtId="0" fontId="0" fillId="0" borderId="31" xfId="0" applyBorder="1"/>
    <xf numFmtId="0" fontId="0" fillId="0" borderId="32" xfId="0" applyBorder="1"/>
    <xf numFmtId="0" fontId="0" fillId="0" borderId="28" xfId="0" applyBorder="1"/>
    <xf numFmtId="0" fontId="0" fillId="0" borderId="29" xfId="0" applyBorder="1"/>
    <xf numFmtId="0" fontId="0" fillId="0" borderId="3" xfId="0" applyBorder="1"/>
    <xf numFmtId="0" fontId="0" fillId="0" borderId="5" xfId="0" applyBorder="1"/>
    <xf numFmtId="0" fontId="0" fillId="0" borderId="27" xfId="0" applyBorder="1"/>
    <xf numFmtId="0" fontId="0" fillId="0" borderId="2" xfId="0" applyBorder="1"/>
    <xf numFmtId="0" fontId="0" fillId="0" borderId="33" xfId="0" applyBorder="1"/>
    <xf numFmtId="0" fontId="0" fillId="0" borderId="34" xfId="0" applyBorder="1"/>
    <xf numFmtId="0" fontId="0" fillId="0" borderId="35" xfId="0" applyBorder="1"/>
    <xf numFmtId="0" fontId="2" fillId="2" borderId="0" xfId="0" applyFont="1" applyFill="1"/>
    <xf numFmtId="0" fontId="7" fillId="0" borderId="33" xfId="0" applyFont="1" applyBorder="1"/>
    <xf numFmtId="0" fontId="7" fillId="0" borderId="34" xfId="0" applyFont="1" applyBorder="1"/>
    <xf numFmtId="0" fontId="7" fillId="0" borderId="35" xfId="0" applyFont="1" applyBorder="1"/>
    <xf numFmtId="14" fontId="7" fillId="0" borderId="27" xfId="0" applyNumberFormat="1"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14" fontId="7" fillId="0" borderId="1" xfId="0" applyNumberFormat="1" applyFont="1" applyBorder="1" applyAlignment="1">
      <alignment horizontal="center" vertical="center"/>
    </xf>
    <xf numFmtId="0" fontId="7" fillId="0" borderId="0" xfId="0" applyFont="1" applyAlignment="1">
      <alignment horizontal="center" vertical="center"/>
    </xf>
    <xf numFmtId="0" fontId="7" fillId="0" borderId="4"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5" xfId="0" applyFont="1" applyBorder="1" applyAlignment="1">
      <alignment horizontal="center" vertical="center"/>
    </xf>
    <xf numFmtId="0" fontId="7" fillId="0" borderId="27" xfId="0" applyFont="1" applyBorder="1" applyAlignment="1">
      <alignment horizontal="center" vertical="center"/>
    </xf>
    <xf numFmtId="0" fontId="7" fillId="0" borderId="1" xfId="0" applyFont="1" applyBorder="1" applyAlignment="1">
      <alignment horizontal="center" vertical="center"/>
    </xf>
    <xf numFmtId="0" fontId="7" fillId="0" borderId="27" xfId="0" applyFont="1" applyBorder="1"/>
    <xf numFmtId="0" fontId="7" fillId="0" borderId="28" xfId="0" applyFont="1" applyBorder="1"/>
    <xf numFmtId="0" fontId="7" fillId="0" borderId="29" xfId="0" applyFont="1" applyBorder="1"/>
    <xf numFmtId="0" fontId="0" fillId="0" borderId="0" xfId="0"/>
    <xf numFmtId="0" fontId="0" fillId="0" borderId="4" xfId="0" applyBorder="1"/>
    <xf numFmtId="0" fontId="0" fillId="0" borderId="1" xfId="0" applyBorder="1"/>
    <xf numFmtId="0" fontId="7" fillId="0" borderId="30" xfId="0" applyFont="1" applyBorder="1"/>
    <xf numFmtId="0" fontId="7" fillId="0" borderId="31" xfId="0" applyFont="1" applyBorder="1"/>
    <xf numFmtId="0" fontId="7" fillId="0" borderId="32" xfId="0" applyFont="1" applyBorder="1"/>
    <xf numFmtId="0" fontId="7" fillId="0" borderId="27" xfId="6" applyFont="1" applyBorder="1" applyAlignment="1">
      <alignment horizontal="center" vertical="center"/>
    </xf>
    <xf numFmtId="0" fontId="7" fillId="0" borderId="28" xfId="6" applyFont="1" applyBorder="1" applyAlignment="1">
      <alignment horizontal="center" vertical="center"/>
    </xf>
    <xf numFmtId="0" fontId="7" fillId="0" borderId="29" xfId="6" applyFont="1" applyBorder="1" applyAlignment="1">
      <alignment horizontal="center" vertical="center"/>
    </xf>
    <xf numFmtId="0" fontId="7" fillId="0" borderId="2" xfId="6" applyFont="1" applyBorder="1" applyAlignment="1">
      <alignment horizontal="center" vertical="center"/>
    </xf>
    <xf numFmtId="0" fontId="7" fillId="0" borderId="3" xfId="6" applyFont="1" applyBorder="1" applyAlignment="1">
      <alignment horizontal="center" vertical="center"/>
    </xf>
    <xf numFmtId="0" fontId="7" fillId="0" borderId="5" xfId="6" applyFont="1" applyBorder="1" applyAlignment="1">
      <alignment horizontal="center" vertical="center"/>
    </xf>
    <xf numFmtId="0" fontId="7" fillId="0" borderId="24" xfId="6" applyFont="1" applyBorder="1" applyAlignment="1">
      <alignment horizontal="center" vertical="center"/>
    </xf>
    <xf numFmtId="0" fontId="7" fillId="0" borderId="25" xfId="6" applyFont="1" applyBorder="1" applyAlignment="1">
      <alignment horizontal="center" vertical="center"/>
    </xf>
    <xf numFmtId="0" fontId="7" fillId="0" borderId="26" xfId="6" applyFont="1" applyBorder="1" applyAlignment="1">
      <alignment horizontal="center" vertical="center"/>
    </xf>
    <xf numFmtId="0" fontId="8" fillId="0" borderId="24" xfId="6" applyFont="1" applyBorder="1" applyAlignment="1">
      <alignment horizontal="center" vertical="center"/>
    </xf>
    <xf numFmtId="0" fontId="8" fillId="8" borderId="27" xfId="6" applyFont="1" applyFill="1" applyBorder="1" applyAlignment="1">
      <alignment vertical="center" wrapText="1"/>
    </xf>
    <xf numFmtId="0" fontId="7" fillId="8" borderId="29" xfId="6" applyFont="1" applyFill="1" applyBorder="1" applyAlignment="1">
      <alignment vertical="center"/>
    </xf>
    <xf numFmtId="0" fontId="7" fillId="8" borderId="1" xfId="6" applyFont="1" applyFill="1" applyBorder="1" applyAlignment="1">
      <alignment vertical="center"/>
    </xf>
    <xf numFmtId="0" fontId="7" fillId="8" borderId="4" xfId="6" applyFont="1" applyFill="1" applyBorder="1" applyAlignment="1">
      <alignment vertical="center"/>
    </xf>
    <xf numFmtId="0" fontId="7" fillId="8" borderId="2" xfId="6" applyFont="1" applyFill="1" applyBorder="1" applyAlignment="1">
      <alignment vertical="center"/>
    </xf>
    <xf numFmtId="0" fontId="7" fillId="8" borderId="5" xfId="6" applyFont="1" applyFill="1" applyBorder="1" applyAlignment="1">
      <alignment vertical="center"/>
    </xf>
    <xf numFmtId="0" fontId="8" fillId="8" borderId="27" xfId="6" applyFont="1" applyFill="1" applyBorder="1" applyAlignment="1">
      <alignment vertical="center"/>
    </xf>
    <xf numFmtId="0" fontId="7" fillId="8" borderId="28" xfId="6" applyFont="1" applyFill="1" applyBorder="1" applyAlignment="1">
      <alignment vertical="center"/>
    </xf>
    <xf numFmtId="0" fontId="7" fillId="8" borderId="0" xfId="6" applyFont="1" applyFill="1" applyAlignment="1">
      <alignment vertical="center"/>
    </xf>
    <xf numFmtId="0" fontId="7" fillId="8" borderId="3" xfId="6" applyFont="1" applyFill="1" applyBorder="1" applyAlignment="1">
      <alignment vertical="center"/>
    </xf>
    <xf numFmtId="0" fontId="7" fillId="8" borderId="42" xfId="6" applyFont="1" applyFill="1" applyBorder="1" applyAlignment="1">
      <alignment vertical="center" shrinkToFit="1"/>
    </xf>
    <xf numFmtId="0" fontId="7" fillId="8" borderId="43" xfId="6" applyFont="1" applyFill="1" applyBorder="1" applyAlignment="1">
      <alignment vertical="center" shrinkToFit="1"/>
    </xf>
    <xf numFmtId="0" fontId="7" fillId="8" borderId="22" xfId="6" applyFont="1" applyFill="1" applyBorder="1" applyAlignment="1">
      <alignment vertical="center" shrinkToFit="1"/>
    </xf>
    <xf numFmtId="0" fontId="8" fillId="8" borderId="42" xfId="6" applyFont="1" applyFill="1" applyBorder="1" applyAlignment="1">
      <alignment vertical="center" wrapText="1"/>
    </xf>
    <xf numFmtId="0" fontId="8" fillId="8" borderId="43" xfId="6" applyFont="1" applyFill="1" applyBorder="1" applyAlignment="1">
      <alignment vertical="center" wrapText="1"/>
    </xf>
    <xf numFmtId="0" fontId="8" fillId="8" borderId="22" xfId="6" applyFont="1" applyFill="1" applyBorder="1" applyAlignment="1">
      <alignment vertical="center" wrapText="1"/>
    </xf>
    <xf numFmtId="0" fontId="8" fillId="6" borderId="24" xfId="6" applyFont="1" applyFill="1" applyBorder="1" applyAlignment="1">
      <alignment vertical="center"/>
    </xf>
    <xf numFmtId="0" fontId="7" fillId="6" borderId="25" xfId="6" applyFont="1" applyFill="1" applyBorder="1" applyAlignment="1">
      <alignment vertical="center"/>
    </xf>
    <xf numFmtId="0" fontId="7" fillId="6" borderId="44" xfId="6" applyFont="1" applyFill="1" applyBorder="1" applyAlignment="1">
      <alignment vertical="center"/>
    </xf>
    <xf numFmtId="0" fontId="8" fillId="6" borderId="45" xfId="6" applyFont="1" applyFill="1" applyBorder="1" applyAlignment="1">
      <alignment vertical="center"/>
    </xf>
    <xf numFmtId="0" fontId="7" fillId="6" borderId="26" xfId="6" applyFont="1" applyFill="1" applyBorder="1" applyAlignment="1">
      <alignment vertical="center"/>
    </xf>
    <xf numFmtId="0" fontId="7" fillId="0" borderId="23" xfId="6" applyFont="1" applyBorder="1" applyAlignment="1">
      <alignment horizontal="center" vertical="center"/>
    </xf>
    <xf numFmtId="0" fontId="7" fillId="0" borderId="24" xfId="6" applyFont="1" applyBorder="1" applyAlignment="1">
      <alignment horizontal="left" vertical="center"/>
    </xf>
    <xf numFmtId="0" fontId="7" fillId="0" borderId="25" xfId="6" applyFont="1" applyBorder="1" applyAlignment="1">
      <alignment horizontal="left" vertical="center"/>
    </xf>
    <xf numFmtId="0" fontId="7" fillId="0" borderId="26" xfId="6" applyFont="1" applyBorder="1" applyAlignment="1">
      <alignment horizontal="left" vertical="center"/>
    </xf>
    <xf numFmtId="0" fontId="7" fillId="0" borderId="23" xfId="6" applyFont="1" applyBorder="1" applyAlignment="1">
      <alignment vertical="center"/>
    </xf>
    <xf numFmtId="0" fontId="8" fillId="0" borderId="23" xfId="6" applyFont="1" applyBorder="1" applyAlignment="1">
      <alignment horizontal="center" vertical="center"/>
    </xf>
    <xf numFmtId="0" fontId="8" fillId="5" borderId="24" xfId="6" applyFont="1" applyFill="1" applyBorder="1" applyAlignment="1">
      <alignment vertical="center"/>
    </xf>
    <xf numFmtId="0" fontId="7" fillId="5" borderId="25" xfId="6" applyFont="1" applyFill="1" applyBorder="1" applyAlignment="1">
      <alignment vertical="center"/>
    </xf>
    <xf numFmtId="0" fontId="7" fillId="5" borderId="26" xfId="6" applyFont="1" applyFill="1" applyBorder="1" applyAlignment="1">
      <alignment vertical="center"/>
    </xf>
    <xf numFmtId="0" fontId="8" fillId="7" borderId="27" xfId="6" applyFont="1" applyFill="1" applyBorder="1" applyAlignment="1">
      <alignment vertical="center"/>
    </xf>
    <xf numFmtId="0" fontId="7" fillId="7" borderId="28" xfId="6" applyFont="1" applyFill="1" applyBorder="1" applyAlignment="1">
      <alignment vertical="center"/>
    </xf>
    <xf numFmtId="0" fontId="7" fillId="7" borderId="29" xfId="6" applyFont="1" applyFill="1" applyBorder="1" applyAlignment="1">
      <alignment vertical="center"/>
    </xf>
    <xf numFmtId="0" fontId="7" fillId="7" borderId="1" xfId="6" applyFont="1" applyFill="1" applyBorder="1" applyAlignment="1">
      <alignment vertical="center"/>
    </xf>
    <xf numFmtId="0" fontId="7" fillId="7" borderId="0" xfId="6" applyFont="1" applyFill="1" applyAlignment="1">
      <alignment vertical="center"/>
    </xf>
    <xf numFmtId="0" fontId="7" fillId="7" borderId="4" xfId="6" applyFont="1" applyFill="1" applyBorder="1" applyAlignment="1">
      <alignment vertical="center"/>
    </xf>
    <xf numFmtId="0" fontId="7" fillId="7" borderId="2" xfId="6" applyFont="1" applyFill="1" applyBorder="1" applyAlignment="1">
      <alignment vertical="center"/>
    </xf>
    <xf numFmtId="0" fontId="7" fillId="7" borderId="3" xfId="6" applyFont="1" applyFill="1" applyBorder="1" applyAlignment="1">
      <alignment vertical="center"/>
    </xf>
    <xf numFmtId="0" fontId="7" fillId="7" borderId="5" xfId="6" applyFont="1" applyFill="1" applyBorder="1" applyAlignment="1">
      <alignment vertical="center"/>
    </xf>
    <xf numFmtId="0" fontId="8" fillId="5" borderId="24" xfId="6" applyFont="1" applyFill="1" applyBorder="1"/>
    <xf numFmtId="0" fontId="8" fillId="5" borderId="25" xfId="6" applyFont="1" applyFill="1" applyBorder="1"/>
    <xf numFmtId="0" fontId="8" fillId="5" borderId="26" xfId="6" applyFont="1" applyFill="1" applyBorder="1"/>
    <xf numFmtId="0" fontId="8" fillId="5" borderId="27" xfId="6" applyFont="1" applyFill="1" applyBorder="1" applyAlignment="1">
      <alignment vertical="center"/>
    </xf>
    <xf numFmtId="0" fontId="7" fillId="5" borderId="28" xfId="6" applyFont="1" applyFill="1" applyBorder="1" applyAlignment="1">
      <alignment vertical="center"/>
    </xf>
    <xf numFmtId="0" fontId="7" fillId="5" borderId="29" xfId="6" applyFont="1" applyFill="1" applyBorder="1" applyAlignment="1">
      <alignment vertical="center"/>
    </xf>
    <xf numFmtId="0" fontId="7" fillId="5" borderId="2" xfId="6" applyFont="1" applyFill="1" applyBorder="1" applyAlignment="1">
      <alignment vertical="center"/>
    </xf>
    <xf numFmtId="0" fontId="7" fillId="5" borderId="3" xfId="6" applyFont="1" applyFill="1" applyBorder="1" applyAlignment="1">
      <alignment vertical="center"/>
    </xf>
    <xf numFmtId="0" fontId="7" fillId="5" borderId="5" xfId="6" applyFont="1" applyFill="1" applyBorder="1" applyAlignment="1">
      <alignment vertical="center"/>
    </xf>
    <xf numFmtId="0" fontId="7" fillId="6" borderId="27" xfId="6" applyFont="1" applyFill="1" applyBorder="1" applyAlignment="1">
      <alignment vertical="center" wrapText="1"/>
    </xf>
    <xf numFmtId="0" fontId="7" fillId="6" borderId="2" xfId="6" applyFont="1" applyFill="1" applyBorder="1" applyAlignment="1">
      <alignment vertical="center" wrapText="1"/>
    </xf>
    <xf numFmtId="0" fontId="8" fillId="6" borderId="42" xfId="6" applyFont="1" applyFill="1" applyBorder="1" applyAlignment="1">
      <alignment vertical="center" wrapText="1"/>
    </xf>
    <xf numFmtId="0" fontId="8" fillId="6" borderId="22" xfId="6" applyFont="1" applyFill="1" applyBorder="1" applyAlignment="1">
      <alignment vertical="center" wrapText="1"/>
    </xf>
    <xf numFmtId="0" fontId="8" fillId="6" borderId="29" xfId="6" applyFont="1" applyFill="1" applyBorder="1" applyAlignment="1">
      <alignment vertical="center" wrapText="1"/>
    </xf>
    <xf numFmtId="0" fontId="8" fillId="6" borderId="5" xfId="6" applyFont="1" applyFill="1" applyBorder="1" applyAlignment="1">
      <alignment vertical="center" wrapText="1"/>
    </xf>
    <xf numFmtId="0" fontId="8" fillId="0" borderId="23" xfId="6" applyFont="1" applyBorder="1" applyAlignment="1">
      <alignment horizontal="center" vertical="center" wrapText="1"/>
    </xf>
    <xf numFmtId="0" fontId="7" fillId="0" borderId="23" xfId="6" applyFont="1" applyBorder="1" applyAlignment="1">
      <alignment horizontal="left" vertical="center"/>
    </xf>
    <xf numFmtId="0" fontId="7" fillId="0" borderId="23" xfId="6" quotePrefix="1" applyFont="1" applyBorder="1" applyAlignment="1">
      <alignment vertical="center" wrapText="1"/>
    </xf>
    <xf numFmtId="0" fontId="8" fillId="0" borderId="23" xfId="6" applyFont="1" applyBorder="1" applyAlignment="1">
      <alignment vertical="center"/>
    </xf>
    <xf numFmtId="0" fontId="7" fillId="0" borderId="23" xfId="6" quotePrefix="1" applyFont="1" applyBorder="1" applyAlignment="1">
      <alignment vertical="center"/>
    </xf>
    <xf numFmtId="0" fontId="8" fillId="0" borderId="23" xfId="6" quotePrefix="1" applyFont="1" applyBorder="1" applyAlignment="1">
      <alignment horizontal="center" vertical="center" wrapText="1"/>
    </xf>
    <xf numFmtId="0" fontId="9" fillId="0" borderId="23" xfId="6" applyFont="1" applyBorder="1" applyAlignment="1">
      <alignment vertical="center" wrapText="1"/>
    </xf>
    <xf numFmtId="0" fontId="7" fillId="0" borderId="2" xfId="6" quotePrefix="1" applyFont="1" applyBorder="1" applyAlignment="1">
      <alignment vertical="center"/>
    </xf>
    <xf numFmtId="0" fontId="7" fillId="0" borderId="3" xfId="6" quotePrefix="1" applyFont="1" applyBorder="1" applyAlignment="1">
      <alignment vertical="center"/>
    </xf>
    <xf numFmtId="0" fontId="7" fillId="0" borderId="5" xfId="6" quotePrefix="1" applyFont="1" applyBorder="1" applyAlignment="1">
      <alignment vertical="center"/>
    </xf>
    <xf numFmtId="0" fontId="8" fillId="0" borderId="2" xfId="6" applyFont="1" applyBorder="1" applyAlignment="1">
      <alignment vertical="center"/>
    </xf>
    <xf numFmtId="0" fontId="7" fillId="0" borderId="3" xfId="6" applyFont="1" applyBorder="1" applyAlignment="1">
      <alignment vertical="center"/>
    </xf>
    <xf numFmtId="0" fontId="7" fillId="0" borderId="5" xfId="6" applyFont="1" applyBorder="1" applyAlignment="1">
      <alignment vertical="center"/>
    </xf>
    <xf numFmtId="0" fontId="8" fillId="0" borderId="2" xfId="6" quotePrefix="1" applyFont="1" applyBorder="1" applyAlignment="1">
      <alignment horizontal="center" vertical="center"/>
    </xf>
    <xf numFmtId="0" fontId="8" fillId="0" borderId="3" xfId="6" quotePrefix="1" applyFont="1" applyBorder="1" applyAlignment="1">
      <alignment horizontal="center" vertical="center"/>
    </xf>
    <xf numFmtId="0" fontId="8" fillId="0" borderId="5" xfId="6" quotePrefix="1" applyFont="1" applyBorder="1" applyAlignment="1">
      <alignment horizontal="center" vertical="center"/>
    </xf>
    <xf numFmtId="0" fontId="7" fillId="0" borderId="23" xfId="6" quotePrefix="1" applyFont="1" applyBorder="1" applyAlignment="1">
      <alignment horizontal="center" vertical="center"/>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5" xfId="0" applyFont="1" applyBorder="1" applyAlignment="1">
      <alignment horizontal="center" vertical="center"/>
    </xf>
    <xf numFmtId="14" fontId="14" fillId="0" borderId="27" xfId="0" applyNumberFormat="1"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27" xfId="0" applyFont="1" applyBorder="1" applyAlignment="1">
      <alignment horizontal="center" vertical="center"/>
    </xf>
    <xf numFmtId="0" fontId="14" fillId="0" borderId="30" xfId="0" applyFont="1" applyBorder="1"/>
    <xf numFmtId="0" fontId="14" fillId="0" borderId="31" xfId="0" applyFont="1" applyBorder="1"/>
    <xf numFmtId="0" fontId="14" fillId="0" borderId="32" xfId="0" applyFont="1" applyBorder="1"/>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33" xfId="0" applyFont="1" applyBorder="1" applyAlignment="1">
      <alignment vertical="top" wrapText="1"/>
    </xf>
    <xf numFmtId="0" fontId="14" fillId="0" borderId="34" xfId="0" applyFont="1" applyBorder="1" applyAlignment="1">
      <alignment vertical="top"/>
    </xf>
    <xf numFmtId="0" fontId="14" fillId="0" borderId="35" xfId="0" applyFont="1" applyBorder="1" applyAlignment="1">
      <alignment vertical="top"/>
    </xf>
    <xf numFmtId="0" fontId="15" fillId="2" borderId="24" xfId="0" applyFont="1" applyFill="1" applyBorder="1" applyAlignment="1">
      <alignment horizontal="center" vertical="center"/>
    </xf>
    <xf numFmtId="0" fontId="15" fillId="2" borderId="25" xfId="0" applyFont="1" applyFill="1" applyBorder="1" applyAlignment="1">
      <alignment horizontal="center" vertical="center"/>
    </xf>
    <xf numFmtId="0" fontId="15" fillId="2" borderId="26" xfId="0" applyFont="1" applyFill="1" applyBorder="1" applyAlignment="1">
      <alignment horizontal="center" vertical="center"/>
    </xf>
    <xf numFmtId="0" fontId="17" fillId="0" borderId="27" xfId="0" applyFont="1" applyBorder="1" applyAlignment="1">
      <alignment horizontal="center" vertical="center"/>
    </xf>
    <xf numFmtId="0" fontId="17" fillId="0" borderId="28" xfId="0" applyFont="1" applyBorder="1" applyAlignment="1">
      <alignment horizontal="center" vertical="center"/>
    </xf>
    <xf numFmtId="0" fontId="17" fillId="0" borderId="29" xfId="0" applyFont="1" applyBorder="1" applyAlignment="1">
      <alignment horizontal="center" vertical="center"/>
    </xf>
    <xf numFmtId="0" fontId="18" fillId="0" borderId="0" xfId="0" applyFont="1"/>
    <xf numFmtId="0" fontId="18" fillId="0" borderId="27" xfId="0" applyFont="1" applyBorder="1" applyAlignment="1">
      <alignment horizontal="center" vertical="center"/>
    </xf>
    <xf numFmtId="0" fontId="18" fillId="0" borderId="28" xfId="0" applyFont="1" applyBorder="1" applyAlignment="1">
      <alignment horizontal="center" vertical="center"/>
    </xf>
    <xf numFmtId="0" fontId="18" fillId="0" borderId="29" xfId="0" applyFont="1" applyBorder="1" applyAlignment="1">
      <alignment horizontal="center" vertical="center"/>
    </xf>
    <xf numFmtId="0" fontId="17" fillId="0" borderId="1" xfId="0" applyFont="1" applyBorder="1" applyAlignment="1">
      <alignment horizontal="center" vertical="center"/>
    </xf>
    <xf numFmtId="0" fontId="17" fillId="0" borderId="0" xfId="0" applyFont="1" applyAlignment="1">
      <alignment horizontal="center" vertical="center"/>
    </xf>
    <xf numFmtId="0" fontId="17" fillId="0" borderId="4" xfId="0" applyFont="1" applyBorder="1" applyAlignment="1">
      <alignment horizontal="center" vertical="center"/>
    </xf>
    <xf numFmtId="14" fontId="18" fillId="0" borderId="27" xfId="0" applyNumberFormat="1" applyFont="1" applyBorder="1" applyAlignment="1">
      <alignment horizontal="center" vertical="center"/>
    </xf>
    <xf numFmtId="14" fontId="18" fillId="0" borderId="28" xfId="0" applyNumberFormat="1" applyFont="1" applyBorder="1" applyAlignment="1">
      <alignment horizontal="center" vertical="center"/>
    </xf>
    <xf numFmtId="14" fontId="18" fillId="0" borderId="29" xfId="0" applyNumberFormat="1"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5"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14" fontId="18" fillId="0" borderId="2" xfId="0" applyNumberFormat="1" applyFont="1" applyBorder="1" applyAlignment="1">
      <alignment horizontal="center" vertical="center"/>
    </xf>
    <xf numFmtId="14" fontId="18" fillId="0" borderId="3" xfId="0" applyNumberFormat="1" applyFont="1" applyBorder="1" applyAlignment="1">
      <alignment horizontal="center" vertical="center"/>
    </xf>
    <xf numFmtId="14" fontId="18" fillId="0" borderId="5" xfId="0" applyNumberFormat="1"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18" fillId="0" borderId="26" xfId="0" applyFont="1" applyBorder="1" applyAlignment="1">
      <alignment horizontal="center" vertical="center"/>
    </xf>
    <xf numFmtId="0" fontId="18" fillId="0" borderId="2" xfId="0" applyFont="1" applyBorder="1"/>
    <xf numFmtId="0" fontId="18" fillId="0" borderId="3" xfId="0" applyFont="1" applyBorder="1"/>
    <xf numFmtId="0" fontId="18" fillId="0" borderId="5" xfId="0" applyFont="1" applyBorder="1"/>
    <xf numFmtId="0" fontId="18" fillId="0" borderId="1" xfId="0" applyFont="1" applyBorder="1"/>
    <xf numFmtId="0" fontId="18" fillId="0" borderId="4" xfId="0" applyFont="1" applyBorder="1"/>
    <xf numFmtId="0" fontId="15" fillId="2" borderId="0" xfId="0" applyFont="1" applyFill="1"/>
    <xf numFmtId="0" fontId="16" fillId="2" borderId="0" xfId="0" applyFont="1" applyFill="1"/>
    <xf numFmtId="0" fontId="18" fillId="0" borderId="30" xfId="0" applyFont="1" applyBorder="1"/>
    <xf numFmtId="0" fontId="18" fillId="0" borderId="31" xfId="0" applyFont="1" applyBorder="1"/>
    <xf numFmtId="0" fontId="18" fillId="0" borderId="32" xfId="0" applyFont="1" applyBorder="1"/>
    <xf numFmtId="0" fontId="18" fillId="0" borderId="28" xfId="0" applyFont="1" applyBorder="1"/>
    <xf numFmtId="0" fontId="18" fillId="0" borderId="29" xfId="0" applyFont="1" applyBorder="1"/>
    <xf numFmtId="0" fontId="18" fillId="0" borderId="27" xfId="0" applyFont="1" applyBorder="1"/>
    <xf numFmtId="0" fontId="18" fillId="0" borderId="33" xfId="0" applyFont="1" applyBorder="1" applyAlignment="1">
      <alignment wrapText="1"/>
    </xf>
    <xf numFmtId="0" fontId="18" fillId="0" borderId="34" xfId="0" applyFont="1" applyBorder="1"/>
    <xf numFmtId="0" fontId="18" fillId="0" borderId="35" xfId="0" applyFont="1" applyBorder="1"/>
    <xf numFmtId="0" fontId="18" fillId="0" borderId="3" xfId="0" applyFont="1" applyBorder="1"/>
    <xf numFmtId="0" fontId="18" fillId="0" borderId="5" xfId="0" applyFont="1" applyBorder="1"/>
    <xf numFmtId="0" fontId="18" fillId="0" borderId="2" xfId="0" applyFont="1" applyBorder="1"/>
    <xf numFmtId="0" fontId="18" fillId="0" borderId="33" xfId="0" applyFont="1" applyBorder="1" applyAlignment="1">
      <alignment vertical="top" wrapText="1"/>
    </xf>
    <xf numFmtId="0" fontId="18" fillId="0" borderId="34" xfId="0" applyFont="1" applyBorder="1" applyAlignment="1">
      <alignment vertical="top" wrapText="1"/>
    </xf>
    <xf numFmtId="0" fontId="18" fillId="0" borderId="35" xfId="0" applyFont="1" applyBorder="1" applyAlignment="1">
      <alignment vertical="top" wrapText="1"/>
    </xf>
    <xf numFmtId="0" fontId="18" fillId="0" borderId="34" xfId="0" applyFont="1" applyBorder="1" applyAlignment="1">
      <alignment vertical="top"/>
    </xf>
    <xf numFmtId="0" fontId="18" fillId="0" borderId="35" xfId="0" applyFont="1" applyBorder="1" applyAlignment="1">
      <alignment vertical="top"/>
    </xf>
    <xf numFmtId="0" fontId="18" fillId="0" borderId="33" xfId="0" applyFont="1" applyBorder="1"/>
    <xf numFmtId="0" fontId="0" fillId="0" borderId="0" xfId="0" applyFont="1"/>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14" fontId="0" fillId="0" borderId="27" xfId="0" applyNumberFormat="1" applyFont="1" applyBorder="1" applyAlignment="1">
      <alignment horizontal="center" vertical="center"/>
    </xf>
    <xf numFmtId="14" fontId="0" fillId="0" borderId="28" xfId="0" applyNumberFormat="1" applyFont="1" applyBorder="1" applyAlignment="1">
      <alignment horizontal="center" vertical="center"/>
    </xf>
    <xf numFmtId="14" fontId="0" fillId="0" borderId="29" xfId="0" applyNumberFormat="1" applyFont="1"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5" xfId="0" applyFont="1" applyBorder="1" applyAlignment="1">
      <alignment horizontal="center" vertical="center"/>
    </xf>
    <xf numFmtId="14" fontId="0" fillId="0" borderId="2" xfId="0" applyNumberFormat="1" applyFont="1" applyBorder="1" applyAlignment="1">
      <alignment horizontal="center" vertical="center"/>
    </xf>
    <xf numFmtId="14" fontId="0" fillId="0" borderId="3" xfId="0" applyNumberFormat="1" applyFont="1" applyBorder="1" applyAlignment="1">
      <alignment horizontal="center" vertical="center"/>
    </xf>
    <xf numFmtId="14" fontId="0" fillId="0" borderId="5" xfId="0" applyNumberFormat="1" applyFont="1" applyBorder="1" applyAlignment="1">
      <alignment horizontal="center" vertical="center"/>
    </xf>
    <xf numFmtId="0" fontId="0" fillId="0" borderId="24" xfId="0" applyFont="1" applyBorder="1" applyAlignment="1">
      <alignment horizontal="center" vertical="center"/>
    </xf>
    <xf numFmtId="0" fontId="0" fillId="0" borderId="25" xfId="0" applyFont="1" applyBorder="1" applyAlignment="1">
      <alignment horizontal="center" vertical="center"/>
    </xf>
    <xf numFmtId="0" fontId="0" fillId="0" borderId="26" xfId="0" applyFont="1" applyBorder="1" applyAlignment="1">
      <alignment horizontal="center" vertical="center"/>
    </xf>
    <xf numFmtId="0" fontId="0" fillId="0" borderId="2" xfId="0" applyFont="1" applyBorder="1"/>
    <xf numFmtId="0" fontId="0" fillId="0" borderId="3" xfId="0" applyFont="1" applyBorder="1"/>
    <xf numFmtId="0" fontId="0" fillId="0" borderId="5" xfId="0" applyFont="1" applyBorder="1"/>
    <xf numFmtId="0" fontId="0" fillId="0" borderId="1" xfId="0" applyFont="1" applyBorder="1" applyAlignment="1">
      <alignment vertical="center"/>
    </xf>
    <xf numFmtId="0" fontId="0" fillId="0" borderId="18" xfId="0" applyFont="1" applyBorder="1" applyAlignment="1">
      <alignment vertical="center"/>
    </xf>
    <xf numFmtId="0" fontId="0" fillId="0" borderId="0" xfId="0" applyFont="1" applyAlignment="1">
      <alignment vertical="center"/>
    </xf>
    <xf numFmtId="0" fontId="0" fillId="0" borderId="19" xfId="0" applyFont="1" applyBorder="1" applyAlignment="1">
      <alignment vertical="center"/>
    </xf>
    <xf numFmtId="0" fontId="0" fillId="0" borderId="4" xfId="0" applyFont="1" applyBorder="1" applyAlignment="1">
      <alignment vertical="center"/>
    </xf>
    <xf numFmtId="0" fontId="0" fillId="0" borderId="3" xfId="0" applyFont="1" applyBorder="1" applyAlignment="1">
      <alignment vertical="center"/>
    </xf>
    <xf numFmtId="0" fontId="0" fillId="0" borderId="20" xfId="0" applyFont="1" applyBorder="1" applyAlignment="1">
      <alignment vertical="center"/>
    </xf>
    <xf numFmtId="0" fontId="0" fillId="0" borderId="21" xfId="0" applyFont="1" applyBorder="1" applyAlignment="1">
      <alignment vertical="center"/>
    </xf>
    <xf numFmtId="0" fontId="0" fillId="0" borderId="5" xfId="0" applyFont="1" applyBorder="1" applyAlignment="1">
      <alignment vertical="center"/>
    </xf>
    <xf numFmtId="0" fontId="18" fillId="0" borderId="0" xfId="7" applyFont="1">
      <alignment vertical="center"/>
    </xf>
    <xf numFmtId="0" fontId="18" fillId="0" borderId="0" xfId="0" quotePrefix="1" applyFont="1"/>
    <xf numFmtId="0" fontId="18" fillId="0" borderId="1" xfId="7" applyFont="1" applyBorder="1">
      <alignment vertical="center"/>
    </xf>
    <xf numFmtId="0" fontId="18" fillId="0" borderId="4" xfId="7" applyFont="1" applyBorder="1">
      <alignment vertical="center"/>
    </xf>
    <xf numFmtId="0" fontId="18" fillId="0" borderId="2" xfId="7" applyFont="1" applyBorder="1">
      <alignment vertical="center"/>
    </xf>
    <xf numFmtId="0" fontId="18" fillId="0" borderId="3" xfId="7" applyFont="1" applyBorder="1">
      <alignment vertical="center"/>
    </xf>
    <xf numFmtId="0" fontId="18" fillId="0" borderId="5" xfId="7" applyFont="1" applyBorder="1">
      <alignment vertical="center"/>
    </xf>
    <xf numFmtId="0" fontId="16" fillId="2" borderId="0" xfId="0" applyFont="1" applyFill="1" applyAlignment="1">
      <alignment vertical="center"/>
    </xf>
    <xf numFmtId="0" fontId="15" fillId="2" borderId="16" xfId="0" applyFont="1" applyFill="1" applyBorder="1" applyAlignment="1">
      <alignment vertical="center"/>
    </xf>
    <xf numFmtId="0" fontId="15" fillId="2" borderId="0" xfId="0" applyFont="1" applyFill="1" applyAlignment="1">
      <alignment vertical="center"/>
    </xf>
    <xf numFmtId="0" fontId="15" fillId="2" borderId="17" xfId="0" applyFont="1" applyFill="1" applyBorder="1" applyAlignment="1">
      <alignment vertical="center"/>
    </xf>
    <xf numFmtId="0" fontId="18" fillId="0" borderId="18" xfId="0" applyFont="1" applyBorder="1"/>
    <xf numFmtId="0" fontId="18" fillId="0" borderId="19" xfId="7" applyFont="1" applyBorder="1">
      <alignment vertical="center"/>
    </xf>
    <xf numFmtId="0" fontId="18" fillId="0" borderId="19" xfId="0" applyFont="1" applyBorder="1"/>
    <xf numFmtId="0" fontId="18" fillId="3" borderId="18" xfId="7" applyFont="1" applyFill="1" applyBorder="1">
      <alignment vertical="center"/>
    </xf>
    <xf numFmtId="0" fontId="18" fillId="3" borderId="0" xfId="0" applyFont="1" applyFill="1"/>
    <xf numFmtId="0" fontId="18" fillId="3" borderId="19" xfId="7" applyFont="1" applyFill="1" applyBorder="1">
      <alignment vertical="center"/>
    </xf>
    <xf numFmtId="0" fontId="18" fillId="3" borderId="18" xfId="0" applyFont="1" applyFill="1" applyBorder="1"/>
    <xf numFmtId="0" fontId="18" fillId="3" borderId="19" xfId="0" applyFont="1" applyFill="1" applyBorder="1"/>
    <xf numFmtId="0" fontId="18" fillId="0" borderId="18" xfId="7" applyFont="1" applyBorder="1">
      <alignment vertical="center"/>
    </xf>
    <xf numFmtId="0" fontId="18" fillId="4" borderId="0" xfId="7" applyFont="1" applyFill="1">
      <alignment vertical="center"/>
    </xf>
    <xf numFmtId="0" fontId="18" fillId="4" borderId="18" xfId="7" applyFont="1" applyFill="1" applyBorder="1">
      <alignment vertical="center"/>
    </xf>
    <xf numFmtId="0" fontId="18" fillId="4" borderId="18" xfId="0" applyFont="1" applyFill="1" applyBorder="1"/>
    <xf numFmtId="0" fontId="18" fillId="4" borderId="19" xfId="7" applyFont="1" applyFill="1" applyBorder="1">
      <alignment vertical="center"/>
    </xf>
    <xf numFmtId="0" fontId="18" fillId="0" borderId="20" xfId="7" applyFont="1" applyBorder="1">
      <alignment vertical="center"/>
    </xf>
    <xf numFmtId="0" fontId="18" fillId="0" borderId="20" xfId="0" applyFont="1" applyBorder="1"/>
    <xf numFmtId="0" fontId="18" fillId="0" borderId="21" xfId="7" applyFont="1" applyBorder="1">
      <alignment vertical="center"/>
    </xf>
    <xf numFmtId="0" fontId="15" fillId="2" borderId="24" xfId="6" applyFont="1" applyFill="1" applyBorder="1" applyAlignment="1">
      <alignment horizontal="center" vertical="center"/>
    </xf>
    <xf numFmtId="0" fontId="15" fillId="2" borderId="25" xfId="6" applyFont="1" applyFill="1" applyBorder="1" applyAlignment="1">
      <alignment horizontal="center" vertical="center"/>
    </xf>
    <xf numFmtId="0" fontId="15" fillId="2" borderId="26" xfId="6" applyFont="1" applyFill="1" applyBorder="1" applyAlignment="1">
      <alignment horizontal="center" vertical="center"/>
    </xf>
    <xf numFmtId="0" fontId="17" fillId="0" borderId="27" xfId="6" applyFont="1" applyBorder="1" applyAlignment="1">
      <alignment horizontal="center" vertical="center"/>
    </xf>
    <xf numFmtId="0" fontId="17" fillId="0" borderId="28" xfId="6" applyFont="1" applyBorder="1" applyAlignment="1">
      <alignment horizontal="center" vertical="center"/>
    </xf>
    <xf numFmtId="0" fontId="17" fillId="0" borderId="29" xfId="6" applyFont="1" applyBorder="1" applyAlignment="1">
      <alignment horizontal="center" vertical="center"/>
    </xf>
    <xf numFmtId="0" fontId="17" fillId="0" borderId="1" xfId="6" applyFont="1" applyBorder="1" applyAlignment="1">
      <alignment horizontal="center" vertical="center"/>
    </xf>
    <xf numFmtId="0" fontId="17" fillId="0" borderId="0" xfId="6" applyFont="1" applyAlignment="1">
      <alignment horizontal="center" vertical="center"/>
    </xf>
    <xf numFmtId="0" fontId="17" fillId="0" borderId="4" xfId="6" applyFont="1" applyBorder="1" applyAlignment="1">
      <alignment horizontal="center" vertical="center"/>
    </xf>
    <xf numFmtId="0" fontId="17" fillId="0" borderId="2" xfId="6" applyFont="1" applyBorder="1" applyAlignment="1">
      <alignment horizontal="center" vertical="center"/>
    </xf>
    <xf numFmtId="0" fontId="17" fillId="0" borderId="3" xfId="6" applyFont="1" applyBorder="1" applyAlignment="1">
      <alignment horizontal="center" vertical="center"/>
    </xf>
    <xf numFmtId="0" fontId="17" fillId="0" borderId="5" xfId="6" applyFont="1" applyBorder="1" applyAlignment="1">
      <alignment horizontal="center" vertical="center"/>
    </xf>
    <xf numFmtId="0" fontId="18" fillId="0" borderId="0" xfId="6" applyFont="1" applyAlignment="1">
      <alignment vertical="center"/>
    </xf>
    <xf numFmtId="0" fontId="18" fillId="0" borderId="23" xfId="6" applyFont="1" applyBorder="1" applyAlignment="1">
      <alignment vertical="center" wrapText="1"/>
    </xf>
    <xf numFmtId="0" fontId="18" fillId="0" borderId="23" xfId="6" applyFont="1" applyBorder="1" applyAlignment="1">
      <alignment vertical="center"/>
    </xf>
    <xf numFmtId="0" fontId="18" fillId="0" borderId="23" xfId="6" quotePrefix="1" applyFont="1" applyBorder="1" applyAlignment="1">
      <alignment vertical="center"/>
    </xf>
    <xf numFmtId="0" fontId="18" fillId="0" borderId="24" xfId="6" quotePrefix="1" applyFont="1" applyBorder="1" applyAlignment="1">
      <alignment horizontal="left" vertical="center"/>
    </xf>
    <xf numFmtId="0" fontId="18" fillId="0" borderId="25" xfId="6" quotePrefix="1" applyFont="1" applyBorder="1" applyAlignment="1">
      <alignment horizontal="left" vertical="center"/>
    </xf>
    <xf numFmtId="0" fontId="18" fillId="0" borderId="26" xfId="6" quotePrefix="1" applyFont="1" applyBorder="1" applyAlignment="1">
      <alignment horizontal="left" vertical="center"/>
    </xf>
    <xf numFmtId="0" fontId="18" fillId="0" borderId="2" xfId="6" applyFont="1" applyBorder="1" applyAlignment="1">
      <alignment vertical="center"/>
    </xf>
    <xf numFmtId="0" fontId="18" fillId="0" borderId="3" xfId="6" applyFont="1" applyBorder="1" applyAlignment="1">
      <alignment vertical="center"/>
    </xf>
    <xf numFmtId="0" fontId="18" fillId="0" borderId="5" xfId="6" applyFont="1" applyBorder="1" applyAlignment="1">
      <alignment vertical="center"/>
    </xf>
    <xf numFmtId="0" fontId="18" fillId="0" borderId="21" xfId="0" applyFont="1" applyBorder="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3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
              <a:ea typeface="Meiryo UI" panose="020B0604030504040204" pitchFamily="50" charset="-128"/>
            </a:rPr>
            <a:t>●●</a:t>
          </a:r>
          <a:endParaRPr lang="en-US" altLang="ja-JP" sz="1100">
            <a:solidFill>
              <a:srgbClr val="000000"/>
            </a:solidFill>
            <a:latin typeface=""/>
            <a:ea typeface="Meiryo UI" panose="020B0604030504040204" pitchFamily="50"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3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3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
              <a:ea typeface="Meiryo UI" panose="020B0604030504040204" pitchFamily="50" charset="-128"/>
            </a:rPr>
            <a:t>●●</a:t>
          </a:r>
          <a:endParaRPr lang="en-US" altLang="ja-JP" sz="1100">
            <a:solidFill>
              <a:srgbClr val="000000"/>
            </a:solidFill>
            <a:latin typeface=""/>
            <a:ea typeface="Meiryo UI" panose="020B0604030504040204" pitchFamily="50"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3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処理機能</a:t>
          </a:r>
          <a:endParaRPr lang="en-US" altLang="ja-JP" sz="1100">
            <a:solidFill>
              <a:srgbClr val="000000"/>
            </a:solidFill>
            <a:latin typeface=""/>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
              <a:ea typeface="Meiryo UI"/>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3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
              <a:ea typeface="Meiryo UI"/>
            </a:rPr>
            <a:t>セカンドディスプレイ</a:t>
          </a:r>
          <a:endParaRPr lang="en-US" altLang="ja-JP" sz="1100">
            <a:solidFill>
              <a:srgbClr val="000000"/>
            </a:solidFill>
            <a:latin typeface=""/>
            <a:ea typeface="Meiryo UI" panose="020B0604030504040204" pitchFamily="50"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
              <a:ea typeface="Meiryo UI"/>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3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3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
              <a:ea typeface="Meiryo UI"/>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
              <a:ea typeface="Meiryo UI"/>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3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3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
              <a:ea typeface="Meiryo UI"/>
            </a:rPr>
            <a:t>スキャナー</a:t>
          </a:r>
          <a:endParaRPr lang="en-US" altLang="ja-JP" sz="1100">
            <a:solidFill>
              <a:srgbClr val="000000"/>
            </a:solidFill>
            <a:latin typeface=""/>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
              <a:ea typeface="Meiryo UI"/>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3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3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
              <a:ea typeface="Meiryo UI"/>
            </a:rPr>
            <a:t>プリンター</a:t>
          </a:r>
          <a:endParaRPr lang="en-US" altLang="ja-JP" sz="1100">
            <a:solidFill>
              <a:srgbClr val="000000"/>
            </a:solidFill>
            <a:latin typeface=""/>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
              <a:ea typeface="Meiryo UI"/>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3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3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
              <a:ea typeface="Meiryo UI" panose="020B0604030504040204" pitchFamily="50"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3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
              <a:ea typeface="Meiryo UI"/>
            </a:rPr>
            <a:t>API連携</a:t>
          </a:r>
          <a:endParaRPr lang="en-US" altLang="ja-JP" sz="1100">
            <a:solidFill>
              <a:srgbClr val="000000"/>
            </a:solidFill>
            <a:latin typeface=""/>
            <a:ea typeface="Meiryo UI" panose="020B0604030504040204" pitchFamily="50"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
              <a:ea typeface="Meiryo UI"/>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3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
              <a:ea typeface="Meiryo UI" panose="020B0604030504040204" pitchFamily="50"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3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
              <a:ea typeface="Meiryo UI"/>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3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
              <a:ea typeface="Meiryo UI"/>
            </a:rPr>
            <a:t>磁気カードリーダー</a:t>
          </a:r>
        </a:p>
        <a:p>
          <a:pPr>
            <a:defRPr lang="ja-JP" altLang="ja-JP" sz="1100" b="0" i="0" u="none" baseline="0">
              <a:solidFill>
                <a:srgbClr val="000000"/>
              </a:solidFill>
              <a:latin typeface="Meiryo UI"/>
              <a:ea typeface="Meiryo UI"/>
            </a:defRPr>
          </a:pPr>
          <a:endParaRPr>
            <a:latin typeface=""/>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3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
              <a:ea typeface="Meiryo UI"/>
            </a:rPr>
            <a:t> エフケイシステム　両面双方向読み取り MJR-100</a:t>
          </a:r>
        </a:p>
        <a:p>
          <a:pPr>
            <a:defRPr lang="ja-JP" altLang="en-US" sz="1100" b="0" i="0" u="none" baseline="0">
              <a:solidFill>
                <a:srgbClr val="000000"/>
              </a:solidFill>
              <a:latin typeface="Meiryo UI"/>
              <a:ea typeface="Meiryo UI"/>
            </a:defRPr>
          </a:pPr>
          <a:endParaRPr>
            <a:latin typeface=""/>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3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
              <a:ea typeface="Meiryo UI" panose="020B0604030504040204" pitchFamily="50" charset="-128"/>
              <a:cs typeface="+mn-cs"/>
            </a:rPr>
            <a:t>●●</a:t>
          </a:r>
          <a:endParaRPr lang="en-US" altLang="ja-JP" sz="1100" b="0" i="0" u="none">
            <a:solidFill>
              <a:srgbClr val="000000"/>
            </a:solidFill>
            <a:latin typeface=""/>
            <a:ea typeface="Meiryo UI" panose="020B0604030504040204" pitchFamily="50"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3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3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
              <a:ea typeface="Meiryo UI" panose="020B0604030504040204" pitchFamily="50" charset="-128"/>
              <a:cs typeface="+mn-cs"/>
            </a:rPr>
            <a:t>●●</a:t>
          </a:r>
          <a:endParaRPr lang="en-US" altLang="ja-JP" sz="1100">
            <a:solidFill>
              <a:srgbClr val="000000"/>
            </a:solidFill>
            <a:latin typeface=""/>
            <a:ea typeface="Meiryo UI" panose="020B0604030504040204" pitchFamily="50"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3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3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
              <a:ea typeface="Meiryo UI" panose="020B0604030504040204" pitchFamily="50"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3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端末内DB</a:t>
          </a:r>
          <a:endParaRPr lang="ja-JP" altLang="en-US" sz="1100">
            <a:solidFill>
              <a:srgbClr val="000000"/>
            </a:solidFill>
            <a:latin typeface=""/>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
              <a:ea typeface="Meiryo UI"/>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3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
              <a:ea typeface="Meiryo UI"/>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3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3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3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
              <a:ea typeface="Meiryo UI"/>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3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3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
              <a:ea typeface="Meiryo UI" panose="020B0604030504040204" pitchFamily="50" charset="-128"/>
              <a:cs typeface="+mn-cs"/>
            </a:rPr>
            <a:t>●●</a:t>
          </a:r>
          <a:endParaRPr lang="en-US" altLang="ja-JP" sz="1100">
            <a:solidFill>
              <a:srgbClr val="000000"/>
            </a:solidFill>
            <a:latin typeface=""/>
            <a:ea typeface="Meiryo UI" panose="020B0604030504040204" pitchFamily="50"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0</xdr:colOff>
      <xdr:row>80</xdr:row>
      <xdr:rowOff>0</xdr:rowOff>
    </xdr:from>
    <xdr:to>
      <xdr:col>61</xdr:col>
      <xdr:colOff>0</xdr:colOff>
      <xdr:row>82</xdr:row>
      <xdr:rowOff>0</xdr:rowOff>
    </xdr:to>
    <xdr:sp macro="" textlink="" fLocksText="0">
      <xdr:nvSpPr>
        <xdr:cNvPr id="208" name="吹き出し: 線 3">
          <a:extLst>
            <a:ext uri="{FF2B5EF4-FFF2-40B4-BE49-F238E27FC236}">
              <a16:creationId xmlns:a16="http://schemas.microsoft.com/office/drawing/2014/main" id="{00000000-0008-0000-0500-0000D0000000}"/>
            </a:ext>
          </a:extLst>
        </xdr:cNvPr>
        <xdr:cNvSpPr/>
      </xdr:nvSpPr>
      <xdr:spPr>
        <a:xfrm>
          <a:off x="10134600" y="15354300"/>
          <a:ext cx="6134100" cy="381000"/>
        </a:xfrm>
        <a:prstGeom prst="borderCallout1">
          <a:avLst>
            <a:gd name="adj1" fmla="val 75416"/>
            <a:gd name="adj2" fmla="val -565"/>
            <a:gd name="adj3" fmla="val 37144"/>
            <a:gd name="adj4" fmla="val -14435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新しい画像ファイルを追加するか、削除対象画像にチェックを入れる。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99</xdr:row>
      <xdr:rowOff>0</xdr:rowOff>
    </xdr:from>
    <xdr:to>
      <xdr:col>61</xdr:col>
      <xdr:colOff>0</xdr:colOff>
      <xdr:row>106</xdr:row>
      <xdr:rowOff>179294</xdr:rowOff>
    </xdr:to>
    <xdr:sp macro="" textlink="" fLocksText="0">
      <xdr:nvSpPr>
        <xdr:cNvPr id="89" name="吹き出し: 線 3">
          <a:extLst>
            <a:ext uri="{FF2B5EF4-FFF2-40B4-BE49-F238E27FC236}">
              <a16:creationId xmlns:a16="http://schemas.microsoft.com/office/drawing/2014/main" id="{00000000-0008-0000-0500-000059000000}"/>
            </a:ext>
          </a:extLst>
        </xdr:cNvPr>
        <xdr:cNvSpPr/>
      </xdr:nvSpPr>
      <xdr:spPr>
        <a:xfrm>
          <a:off x="10134600" y="18973800"/>
          <a:ext cx="6134100" cy="1514475"/>
        </a:xfrm>
        <a:prstGeom prst="borderCallout1">
          <a:avLst>
            <a:gd name="adj1" fmla="val 75416"/>
            <a:gd name="adj2" fmla="val -565"/>
            <a:gd name="adj3" fmla="val 55412"/>
            <a:gd name="adj4" fmla="val -14021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プリセット画像ファイルとレシートロゴをDBに更新する。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アップロード]の画像ファイルが[アップロード済]と同じ名称の場合、古い画像を新しい画像に置き換える。変更されたイメージはKN1503_画像一覧取得機能を実行する時に正常に使用される。更新された名称が同じの画像を含むプリセットレイアウトを使用しているPOS機の場合、画像がDBに保存されても、更新された画像がPOS機に表示される。</a:t>
          </a:r>
        </a:p>
      </xdr:txBody>
    </xdr:sp>
    <xdr:clientData/>
  </xdr:twoCellAnchor>
  <xdr:twoCellAnchor>
    <xdr:from>
      <xdr:col>38</xdr:col>
      <xdr:colOff>0</xdr:colOff>
      <xdr:row>37</xdr:row>
      <xdr:rowOff>0</xdr:rowOff>
    </xdr:from>
    <xdr:to>
      <xdr:col>61</xdr:col>
      <xdr:colOff>0</xdr:colOff>
      <xdr:row>39</xdr:row>
      <xdr:rowOff>0</xdr:rowOff>
    </xdr:to>
    <xdr:sp macro="" textlink="" fLocksText="0">
      <xdr:nvSpPr>
        <xdr:cNvPr id="70" name="吹き出し: 線 2">
          <a:extLst>
            <a:ext uri="{FF2B5EF4-FFF2-40B4-BE49-F238E27FC236}">
              <a16:creationId xmlns:a16="http://schemas.microsoft.com/office/drawing/2014/main" id="{00000000-0008-0000-0500-000046000000}"/>
            </a:ext>
          </a:extLst>
        </xdr:cNvPr>
        <xdr:cNvSpPr/>
      </xdr:nvSpPr>
      <xdr:spPr>
        <a:xfrm>
          <a:off x="10134600" y="7162800"/>
          <a:ext cx="6134100" cy="381000"/>
        </a:xfrm>
        <a:prstGeom prst="borderCallout1">
          <a:avLst>
            <a:gd name="adj1" fmla="val 45269"/>
            <a:gd name="adj2" fmla="val 263"/>
            <a:gd name="adj3" fmla="val 119920"/>
            <a:gd name="adj4" fmla="val -13356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プリセット商品画像一覧を取得する。</a:t>
          </a:r>
        </a:p>
      </xdr:txBody>
    </xdr:sp>
    <xdr:clientData/>
  </xdr:twoCellAnchor>
  <xdr:twoCellAnchor>
    <xdr:from>
      <xdr:col>38</xdr:col>
      <xdr:colOff>0</xdr:colOff>
      <xdr:row>29</xdr:row>
      <xdr:rowOff>1</xdr:rowOff>
    </xdr:from>
    <xdr:to>
      <xdr:col>61</xdr:col>
      <xdr:colOff>0</xdr:colOff>
      <xdr:row>32</xdr:row>
      <xdr:rowOff>1</xdr:rowOff>
    </xdr:to>
    <xdr:sp macro="" textlink="" fLocksText="0">
      <xdr:nvSpPr>
        <xdr:cNvPr id="62" name="吹き出し: 線 2">
          <a:extLst>
            <a:ext uri="{FF2B5EF4-FFF2-40B4-BE49-F238E27FC236}">
              <a16:creationId xmlns:a16="http://schemas.microsoft.com/office/drawing/2014/main" id="{00000000-0008-0000-0500-00003E000000}"/>
            </a:ext>
          </a:extLst>
        </xdr:cNvPr>
        <xdr:cNvSpPr/>
      </xdr:nvSpPr>
      <xdr:spPr>
        <a:xfrm>
          <a:off x="10134600" y="5638800"/>
          <a:ext cx="6134100" cy="571500"/>
        </a:xfrm>
        <a:prstGeom prst="borderCallout1">
          <a:avLst>
            <a:gd name="adj1" fmla="val 40367"/>
            <a:gd name="adj2" fmla="val 56"/>
            <a:gd name="adj3" fmla="val 58131"/>
            <a:gd name="adj4" fmla="val -13610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FF"/>
              </a:solidFill>
              <a:latin typeface="Meiryo UI" panose="020B0604030504040204" pitchFamily="34" charset="-128"/>
              <a:ea typeface="Meiryo UI" panose="020B0604030504040204" pitchFamily="34" charset="-128"/>
            </a:rPr>
            <a:t>・店舗選択エリアの検索ボタン：MD6201でユーザーが選択したstoreIdを使用してKN6201_プリセット画像種別一覧取得機能を実行する。</a:t>
          </a:r>
          <a:endParaRPr lang="vi-VN" altLang="ja-JP" sz="1000" b="0" i="0" u="none" baseline="0">
            <a:solidFill>
              <a:srgbClr val="0000FF"/>
            </a:solidFill>
            <a:latin typeface="Meiryo UI"/>
            <a:ea typeface="Meiryo UI" panose="020B0604030504040204" pitchFamily="34" charset="-128"/>
          </a:endParaRPr>
        </a:p>
        <a:p>
          <a:pPr>
            <a:defRPr lang="en-US" altLang="ja-JP" sz="1000" b="0" i="0" u="none" baseline="0">
              <a:solidFill>
                <a:srgbClr val="00B05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11205</xdr:colOff>
      <xdr:row>42</xdr:row>
      <xdr:rowOff>0</xdr:rowOff>
    </xdr:from>
    <xdr:to>
      <xdr:col>60</xdr:col>
      <xdr:colOff>235322</xdr:colOff>
      <xdr:row>75</xdr:row>
      <xdr:rowOff>0</xdr:rowOff>
    </xdr:to>
    <xdr:sp macro="" textlink="" fLocksText="0">
      <xdr:nvSpPr>
        <xdr:cNvPr id="74" name="吹き出し: 線 2">
          <a:extLst>
            <a:ext uri="{FF2B5EF4-FFF2-40B4-BE49-F238E27FC236}">
              <a16:creationId xmlns:a16="http://schemas.microsoft.com/office/drawing/2014/main" id="{00000000-0008-0000-0500-00004A000000}"/>
            </a:ext>
          </a:extLst>
        </xdr:cNvPr>
        <xdr:cNvSpPr/>
      </xdr:nvSpPr>
      <xdr:spPr>
        <a:xfrm>
          <a:off x="10144125" y="8115300"/>
          <a:ext cx="6096000" cy="6286500"/>
        </a:xfrm>
        <a:prstGeom prst="borderCallout1">
          <a:avLst>
            <a:gd name="adj1" fmla="val 45269"/>
            <a:gd name="adj2" fmla="val 263"/>
            <a:gd name="adj3" fmla="val 11175"/>
            <a:gd name="adj4" fmla="val -14316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アップロードされた画像一覧を表示する。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AP1504は全てのプリセット画像とレシートロゴを取得する。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選択されている[画像種別]のデフォルト値は [プリセット画像]で、[レシートロゴ]にスイッチ可能</a:t>
          </a:r>
          <a:r>
            <a:rPr lang="ja-JP" altLang="en-US" sz="1000" b="0" i="0" u="none" baseline="0">
              <a:solidFill>
                <a:srgbClr val="000000"/>
              </a:solidFill>
              <a:latin typeface="Meiryo UI" panose="020B0604030504040204" pitchFamily="34" charset="-128"/>
              <a:ea typeface="Meiryo UI" panose="020B0604030504040204" pitchFamily="34" charset="-128"/>
            </a:rPr>
            <a:t>。</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選択された値によって、 [アップロード済]は現在データベースにある該当プリセット画像またはレシートロゴの一覧が取得される</a:t>
          </a:r>
          <a:r>
            <a:rPr lang="ja-JP" altLang="en-US" sz="1000" b="0" i="0" u="none" baseline="0">
              <a:solidFill>
                <a:srgbClr val="000000"/>
              </a:solidFill>
              <a:latin typeface="Meiryo UI" panose="020B0604030504040204" pitchFamily="34" charset="-128"/>
              <a:ea typeface="Meiryo UI" panose="020B0604030504040204" pitchFamily="34" charset="-128"/>
            </a:rPr>
            <a:t>。</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[アップロード済]には[削除]チェックボックスと[ファイル名]が含まれている。[ファイル名]はアップロードした画像名称を表示し, [削除]にチェックを入れると、変更保存時にDB内の画像を削除する。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[新規アップロード]の初期表示：ブランク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[ファイル選択]をタッチすると、</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ブラウザのファイル選択モーダルを表示する。アップロードするファイルを選択して、複数のファイルを選択可能。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選択されたファイルの形式が画像以外の場合、エラーを表示する。(提案形式: jpeg,jpg,png)</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画像名: [a-z], [A-Z]の文字</a:t>
          </a:r>
          <a:r>
            <a:rPr lang="en-US" altLang="ja-JP" sz="1000" b="0" i="0" u="none" baseline="0">
              <a:solidFill>
                <a:schemeClr val="tx1"/>
              </a:solidFill>
              <a:latin typeface="Meiryo UI" panose="020B0604030504040204" pitchFamily="34" charset="-128"/>
              <a:ea typeface="Meiryo UI" panose="020B0604030504040204" pitchFamily="34" charset="-128"/>
            </a:rPr>
            <a:t>、</a:t>
          </a:r>
          <a:r>
            <a:rPr lang="en-US" altLang="ja-JP" sz="1000" b="0" i="0" u="none" baseline="0">
              <a:solidFill>
                <a:schemeClr val="tx1"/>
              </a:solidFill>
              <a:effectLst/>
              <a:latin typeface="+mn-lt"/>
              <a:ea typeface="+mn-ea"/>
              <a:cs typeface="+mn-cs"/>
            </a:rPr>
            <a:t>\ /:*?"&lt;&gt;|</a:t>
          </a:r>
          <a:r>
            <a:rPr lang="en-US" altLang="ja-JP" sz="1000" b="0" i="0" u="none" baseline="0">
              <a:solidFill>
                <a:schemeClr val="tx1"/>
              </a:solidFill>
              <a:latin typeface="Meiryo UI" panose="020B0604030504040204" pitchFamily="34" charset="-128"/>
              <a:ea typeface="Meiryo UI" panose="020B0604030504040204" pitchFamily="34" charset="-128"/>
            </a:rPr>
            <a:t>を除く特殊文字のみ許可</a:t>
          </a:r>
          <a:r>
            <a:rPr lang="en-US" altLang="ja-JP" sz="1000" b="0" i="0" u="none" baseline="0">
              <a:solidFill>
                <a:srgbClr val="000000"/>
              </a:solidFill>
              <a:latin typeface="Meiryo UI" panose="020B0604030504040204" pitchFamily="34" charset="-128"/>
              <a:ea typeface="Meiryo UI" panose="020B0604030504040204" pitchFamily="34" charset="-128"/>
            </a:rPr>
            <a:t>。最大50桁まで</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提案：ファイルの最大サイズ：5MB。5MBを超えた場合、「5MBを超えるファイルはアップロードできません」を表示する。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画像選択が成功の場合、[新規アップロード]にファイル名を表示する。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[新規アップロード]と[アップロード済]の1つ画像ファイルのみにフォーカスできる。フォーカスされた画像を該当プレビューエリアに表示する。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[選択解除]ボタンをタッチすると、[新規アップロード]で選択されている画像を削除する。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[F04: クリア]ボタンをタッチすると、[新規アップロード]の全て画像を選択解除し、[アップロード済]の全て[削除]チェックボックスにチェックを外す。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[F09: 確定]ボタンをタッチすると、 </a:t>
          </a:r>
          <a:r>
            <a:rPr lang="en-US" altLang="ja-JP" sz="1000" b="0" i="0" u="none" baseline="0">
              <a:solidFill>
                <a:srgbClr val="0000FF"/>
              </a:solidFill>
              <a:latin typeface="Meiryo UI" panose="020B0604030504040204" pitchFamily="34" charset="-128"/>
              <a:ea typeface="Meiryo UI" panose="020B0604030504040204" pitchFamily="34" charset="-128"/>
            </a:rPr>
            <a:t>バリデーションチェックを行ってから変更を保存する。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xdr:col>
      <xdr:colOff>0</xdr:colOff>
      <xdr:row>8</xdr:row>
      <xdr:rowOff>0</xdr:rowOff>
    </xdr:from>
    <xdr:to>
      <xdr:col>8</xdr:col>
      <xdr:colOff>451</xdr:colOff>
      <xdr:row>12</xdr:row>
      <xdr:rowOff>1200</xdr:rowOff>
    </xdr:to>
    <xdr:sp macro="" textlink="" fLocksText="0">
      <xdr:nvSpPr>
        <xdr:cNvPr id="2" name="四角形: 角を丸くする 21">
          <a:extLst>
            <a:ext uri="{FF2B5EF4-FFF2-40B4-BE49-F238E27FC236}">
              <a16:creationId xmlns:a16="http://schemas.microsoft.com/office/drawing/2014/main" id="{00000000-0008-0000-0500-000002000000}"/>
            </a:ext>
          </a:extLst>
        </xdr:cNvPr>
        <xdr:cNvSpPr/>
      </xdr:nvSpPr>
      <xdr:spPr>
        <a:xfrm>
          <a:off x="533400" y="16383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0</xdr:colOff>
      <xdr:row>12</xdr:row>
      <xdr:rowOff>0</xdr:rowOff>
    </xdr:from>
    <xdr:to>
      <xdr:col>8</xdr:col>
      <xdr:colOff>0</xdr:colOff>
      <xdr:row>14</xdr:row>
      <xdr:rowOff>0</xdr:rowOff>
    </xdr:to>
    <xdr:sp macro="" textlink="" fLocksText="0">
      <xdr:nvSpPr>
        <xdr:cNvPr id="3" name="四角形: 角を丸くする 1101">
          <a:extLst>
            <a:ext uri="{FF2B5EF4-FFF2-40B4-BE49-F238E27FC236}">
              <a16:creationId xmlns:a16="http://schemas.microsoft.com/office/drawing/2014/main" id="{00000000-0008-0000-0500-000003000000}"/>
            </a:ext>
          </a:extLst>
        </xdr:cNvPr>
        <xdr:cNvSpPr/>
      </xdr:nvSpPr>
      <xdr:spPr>
        <a:xfrm>
          <a:off x="533400" y="2400300"/>
          <a:ext cx="16002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62: 画像アップロード</a:t>
          </a:r>
        </a:p>
      </xdr:txBody>
    </xdr:sp>
    <xdr:clientData/>
  </xdr:twoCellAnchor>
  <xdr:twoCellAnchor>
    <xdr:from>
      <xdr:col>38</xdr:col>
      <xdr:colOff>0</xdr:colOff>
      <xdr:row>11</xdr:row>
      <xdr:rowOff>100853</xdr:rowOff>
    </xdr:from>
    <xdr:to>
      <xdr:col>61</xdr:col>
      <xdr:colOff>0</xdr:colOff>
      <xdr:row>13</xdr:row>
      <xdr:rowOff>100853</xdr:rowOff>
    </xdr:to>
    <xdr:sp macro="" textlink="" fLocksText="0">
      <xdr:nvSpPr>
        <xdr:cNvPr id="4" name="吹き出し: 線 2">
          <a:extLst>
            <a:ext uri="{FF2B5EF4-FFF2-40B4-BE49-F238E27FC236}">
              <a16:creationId xmlns:a16="http://schemas.microsoft.com/office/drawing/2014/main" id="{00000000-0008-0000-0500-000004000000}"/>
            </a:ext>
          </a:extLst>
        </xdr:cNvPr>
        <xdr:cNvSpPr/>
      </xdr:nvSpPr>
      <xdr:spPr>
        <a:xfrm>
          <a:off x="10134600" y="2314575"/>
          <a:ext cx="6134100" cy="381000"/>
        </a:xfrm>
        <a:prstGeom prst="borderCallout1">
          <a:avLst>
            <a:gd name="adj1" fmla="val 75416"/>
            <a:gd name="adj2" fmla="val -565"/>
            <a:gd name="adj3" fmla="val 77271"/>
            <a:gd name="adj4" fmla="val -13990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ID Menu item MF062</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5</xdr:col>
      <xdr:colOff>0</xdr:colOff>
      <xdr:row>14</xdr:row>
      <xdr:rowOff>0</xdr:rowOff>
    </xdr:from>
    <xdr:to>
      <xdr:col>5</xdr:col>
      <xdr:colOff>0</xdr:colOff>
      <xdr:row>18</xdr:row>
      <xdr:rowOff>0</xdr:rowOff>
    </xdr:to>
    <xdr:cxnSp macro="">
      <xdr:nvCxnSpPr>
        <xdr:cNvPr id="5" name="直線矢印コネクタ 1010">
          <a:extLst>
            <a:ext uri="{FF2B5EF4-FFF2-40B4-BE49-F238E27FC236}">
              <a16:creationId xmlns:a16="http://schemas.microsoft.com/office/drawing/2014/main" id="{00000000-0008-0000-0500-000005000000}"/>
            </a:ext>
          </a:extLst>
        </xdr:cNvPr>
        <xdr:cNvCxnSpPr>
          <a:stCxn id="3" idx="2"/>
          <a:endCxn id="18" idx="0"/>
        </xdr:cNvCxnSpPr>
      </xdr:nvCxnSpPr>
      <xdr:spPr>
        <a:xfrm>
          <a:off x="1333500" y="2781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18</xdr:row>
      <xdr:rowOff>0</xdr:rowOff>
    </xdr:from>
    <xdr:to>
      <xdr:col>8</xdr:col>
      <xdr:colOff>0</xdr:colOff>
      <xdr:row>22</xdr:row>
      <xdr:rowOff>0</xdr:rowOff>
    </xdr:to>
    <xdr:sp macro="" textlink="" fLocksText="0">
      <xdr:nvSpPr>
        <xdr:cNvPr id="18" name="正方形/長方形 1">
          <a:extLst>
            <a:ext uri="{FF2B5EF4-FFF2-40B4-BE49-F238E27FC236}">
              <a16:creationId xmlns:a16="http://schemas.microsoft.com/office/drawing/2014/main" id="{00000000-0008-0000-0500-000012000000}"/>
            </a:ext>
          </a:extLst>
        </xdr:cNvPr>
        <xdr:cNvSpPr/>
      </xdr:nvSpPr>
      <xdr:spPr>
        <a:xfrm>
          <a:off x="533400" y="3543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SC6201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画像アップロード画面</a:t>
          </a:r>
        </a:p>
      </xdr:txBody>
    </xdr:sp>
    <xdr:clientData/>
  </xdr:twoCellAnchor>
  <xdr:twoCellAnchor>
    <xdr:from>
      <xdr:col>3</xdr:col>
      <xdr:colOff>0</xdr:colOff>
      <xdr:row>24</xdr:row>
      <xdr:rowOff>13607</xdr:rowOff>
    </xdr:from>
    <xdr:to>
      <xdr:col>7</xdr:col>
      <xdr:colOff>0</xdr:colOff>
      <xdr:row>25</xdr:row>
      <xdr:rowOff>0</xdr:rowOff>
    </xdr:to>
    <xdr:sp macro="" textlink="" fLocksText="0">
      <xdr:nvSpPr>
        <xdr:cNvPr id="21" name="四角形: 角を丸くする 1101">
          <a:extLst>
            <a:ext uri="{FF2B5EF4-FFF2-40B4-BE49-F238E27FC236}">
              <a16:creationId xmlns:a16="http://schemas.microsoft.com/office/drawing/2014/main" id="{00000000-0008-0000-0500-000015000000}"/>
            </a:ext>
          </a:extLst>
        </xdr:cNvPr>
        <xdr:cNvSpPr/>
      </xdr:nvSpPr>
      <xdr:spPr>
        <a:xfrm>
          <a:off x="800100" y="4695825"/>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25</xdr:row>
      <xdr:rowOff>0</xdr:rowOff>
    </xdr:from>
    <xdr:to>
      <xdr:col>5</xdr:col>
      <xdr:colOff>0</xdr:colOff>
      <xdr:row>30</xdr:row>
      <xdr:rowOff>12700</xdr:rowOff>
    </xdr:to>
    <xdr:cxnSp macro="">
      <xdr:nvCxnSpPr>
        <xdr:cNvPr id="24" name="直線矢印コネクタ 1010">
          <a:extLst>
            <a:ext uri="{FF2B5EF4-FFF2-40B4-BE49-F238E27FC236}">
              <a16:creationId xmlns:a16="http://schemas.microsoft.com/office/drawing/2014/main" id="{00000000-0008-0000-0500-000018000000}"/>
            </a:ext>
          </a:extLst>
        </xdr:cNvPr>
        <xdr:cNvCxnSpPr>
          <a:stCxn id="21" idx="2"/>
        </xdr:cNvCxnSpPr>
      </xdr:nvCxnSpPr>
      <xdr:spPr>
        <a:xfrm>
          <a:off x="1333500" y="4876800"/>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22</xdr:row>
      <xdr:rowOff>0</xdr:rowOff>
    </xdr:from>
    <xdr:to>
      <xdr:col>5</xdr:col>
      <xdr:colOff>0</xdr:colOff>
      <xdr:row>24</xdr:row>
      <xdr:rowOff>13607</xdr:rowOff>
    </xdr:to>
    <xdr:cxnSp macro="">
      <xdr:nvCxnSpPr>
        <xdr:cNvPr id="25" name="直線矢印コネクタ 1010">
          <a:extLst>
            <a:ext uri="{FF2B5EF4-FFF2-40B4-BE49-F238E27FC236}">
              <a16:creationId xmlns:a16="http://schemas.microsoft.com/office/drawing/2014/main" id="{00000000-0008-0000-0500-000019000000}"/>
            </a:ext>
          </a:extLst>
        </xdr:cNvPr>
        <xdr:cNvCxnSpPr>
          <a:stCxn id="18" idx="2"/>
          <a:endCxn id="21" idx="0"/>
        </xdr:cNvCxnSpPr>
      </xdr:nvCxnSpPr>
      <xdr:spPr>
        <a:xfrm>
          <a:off x="1333500" y="4305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37</xdr:row>
      <xdr:rowOff>0</xdr:rowOff>
    </xdr:from>
    <xdr:to>
      <xdr:col>8</xdr:col>
      <xdr:colOff>0</xdr:colOff>
      <xdr:row>41</xdr:row>
      <xdr:rowOff>0</xdr:rowOff>
    </xdr:to>
    <xdr:sp macro="" textlink="" fLocksText="0">
      <xdr:nvSpPr>
        <xdr:cNvPr id="63" name="四角形: 角を丸くする 3">
          <a:extLst>
            <a:ext uri="{FF2B5EF4-FFF2-40B4-BE49-F238E27FC236}">
              <a16:creationId xmlns:a16="http://schemas.microsoft.com/office/drawing/2014/main" id="{00000000-0008-0000-0500-00003F000000}"/>
            </a:ext>
          </a:extLst>
        </xdr:cNvPr>
        <xdr:cNvSpPr/>
      </xdr:nvSpPr>
      <xdr:spPr>
        <a:xfrm>
          <a:off x="533400" y="7162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sz="1000" b="0" i="0" u="none" baseline="0">
              <a:solidFill>
                <a:srgbClr val="0D0D0D"/>
              </a:solidFill>
              <a:latin typeface="Meiryo UI" panose="020B0604030504040204" pitchFamily="34" charset="-128"/>
              <a:ea typeface="Meiryo UI" panose="020B0604030504040204" pitchFamily="34" charset="-128"/>
            </a:rPr>
            <a:t>KN1503</a:t>
          </a:r>
          <a:endParaRPr lang="en-US" sz="1000">
            <a:solidFill>
              <a:schemeClr val="tx1">
                <a:lumMod val="95000"/>
                <a:lumOff val="5000"/>
              </a:schemeClr>
            </a:solidFill>
            <a:latin typeface="Meiryo UI" panose="020B0604030504040204" pitchFamily="34" charset="-128"/>
            <a:ea typeface="Meiryo UI" panose="020B0604030504040204" pitchFamily="34" charset="-128"/>
          </a:endParaRPr>
        </a:p>
        <a:p>
          <a:pPr algn="ctr">
            <a:defRPr lang="en-US" sz="1000" b="0" i="0" baseline="0">
              <a:solidFill>
                <a:schemeClr val="tx1">
                  <a:lumMod val="95000"/>
                  <a:lumOff val="5000"/>
                </a:schemeClr>
              </a:solidFill>
              <a:latin typeface="Meiryo UI" panose="020B0604030504040204" pitchFamily="34" charset="-128"/>
              <a:ea typeface="Meiryo UI" panose="020B0604030504040204" pitchFamily="34" charset="-128"/>
              <a:cs typeface="+mn-cs"/>
            </a:defRPr>
          </a:pPr>
          <a:r>
            <a:rPr lang="en-US" sz="1000" b="0" i="0" u="none" baseline="0">
              <a:solidFill>
                <a:srgbClr val="0D0D0D"/>
              </a:solidFill>
              <a:latin typeface="Meiryo UI" panose="020B0604030504040204" pitchFamily="34" charset="-128"/>
              <a:ea typeface="Meiryo UI" panose="020B0604030504040204" pitchFamily="34" charset="-128"/>
            </a:rPr>
            <a:t>イメージ一覧取得機能</a:t>
          </a:r>
        </a:p>
      </xdr:txBody>
    </xdr:sp>
    <xdr:clientData/>
  </xdr:twoCellAnchor>
  <xdr:twoCellAnchor>
    <xdr:from>
      <xdr:col>29</xdr:col>
      <xdr:colOff>0</xdr:colOff>
      <xdr:row>37</xdr:row>
      <xdr:rowOff>0</xdr:rowOff>
    </xdr:from>
    <xdr:to>
      <xdr:col>34</xdr:col>
      <xdr:colOff>231558</xdr:colOff>
      <xdr:row>41</xdr:row>
      <xdr:rowOff>0</xdr:rowOff>
    </xdr:to>
    <xdr:sp macro="" textlink="" fLocksText="0">
      <xdr:nvSpPr>
        <xdr:cNvPr id="66" name="フローチャート: 磁気ディスク 194">
          <a:extLst>
            <a:ext uri="{FF2B5EF4-FFF2-40B4-BE49-F238E27FC236}">
              <a16:creationId xmlns:a16="http://schemas.microsoft.com/office/drawing/2014/main" id="{00000000-0008-0000-0500-000042000000}"/>
            </a:ext>
          </a:extLst>
        </xdr:cNvPr>
        <xdr:cNvSpPr/>
      </xdr:nvSpPr>
      <xdr:spPr>
        <a:xfrm>
          <a:off x="7734300" y="7162800"/>
          <a:ext cx="15621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AP1504</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プリセットイメージ取得</a:t>
          </a:r>
        </a:p>
      </xdr:txBody>
    </xdr:sp>
    <xdr:clientData/>
  </xdr:twoCellAnchor>
  <xdr:twoCellAnchor>
    <xdr:from>
      <xdr:col>8</xdr:col>
      <xdr:colOff>0</xdr:colOff>
      <xdr:row>39</xdr:row>
      <xdr:rowOff>0</xdr:rowOff>
    </xdr:from>
    <xdr:to>
      <xdr:col>29</xdr:col>
      <xdr:colOff>0</xdr:colOff>
      <xdr:row>39</xdr:row>
      <xdr:rowOff>0</xdr:rowOff>
    </xdr:to>
    <xdr:cxnSp macro="">
      <xdr:nvCxnSpPr>
        <xdr:cNvPr id="67" name="直線矢印コネクタ 196">
          <a:extLst>
            <a:ext uri="{FF2B5EF4-FFF2-40B4-BE49-F238E27FC236}">
              <a16:creationId xmlns:a16="http://schemas.microsoft.com/office/drawing/2014/main" id="{00000000-0008-0000-0500-000043000000}"/>
            </a:ext>
          </a:extLst>
        </xdr:cNvPr>
        <xdr:cNvCxnSpPr>
          <a:stCxn id="63" idx="3"/>
          <a:endCxn id="66" idx="2"/>
        </xdr:cNvCxnSpPr>
      </xdr:nvCxnSpPr>
      <xdr:spPr>
        <a:xfrm>
          <a:off x="2133600" y="7543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41</xdr:row>
      <xdr:rowOff>0</xdr:rowOff>
    </xdr:from>
    <xdr:to>
      <xdr:col>5</xdr:col>
      <xdr:colOff>0</xdr:colOff>
      <xdr:row>43</xdr:row>
      <xdr:rowOff>1</xdr:rowOff>
    </xdr:to>
    <xdr:cxnSp macro="">
      <xdr:nvCxnSpPr>
        <xdr:cNvPr id="75" name="直線矢印コネクタ 1010">
          <a:extLst>
            <a:ext uri="{FF2B5EF4-FFF2-40B4-BE49-F238E27FC236}">
              <a16:creationId xmlns:a16="http://schemas.microsoft.com/office/drawing/2014/main" id="{00000000-0008-0000-0500-00004B000000}"/>
            </a:ext>
          </a:extLst>
        </xdr:cNvPr>
        <xdr:cNvCxnSpPr>
          <a:stCxn id="63" idx="2"/>
          <a:endCxn id="78" idx="0"/>
        </xdr:cNvCxnSpPr>
      </xdr:nvCxnSpPr>
      <xdr:spPr>
        <a:xfrm>
          <a:off x="1333500" y="792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43</xdr:row>
      <xdr:rowOff>1</xdr:rowOff>
    </xdr:from>
    <xdr:to>
      <xdr:col>8</xdr:col>
      <xdr:colOff>0</xdr:colOff>
      <xdr:row>47</xdr:row>
      <xdr:rowOff>1</xdr:rowOff>
    </xdr:to>
    <xdr:sp macro="" textlink="" fLocksText="0">
      <xdr:nvSpPr>
        <xdr:cNvPr id="78" name="正方形/長方形 1">
          <a:extLst>
            <a:ext uri="{FF2B5EF4-FFF2-40B4-BE49-F238E27FC236}">
              <a16:creationId xmlns:a16="http://schemas.microsoft.com/office/drawing/2014/main" id="{00000000-0008-0000-0500-00004E000000}"/>
            </a:ext>
          </a:extLst>
        </xdr:cNvPr>
        <xdr:cNvSpPr/>
      </xdr:nvSpPr>
      <xdr:spPr>
        <a:xfrm>
          <a:off x="533400" y="8305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SC6201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画像アップロード画面</a:t>
          </a:r>
        </a:p>
      </xdr:txBody>
    </xdr:sp>
    <xdr:clientData/>
  </xdr:twoCellAnchor>
  <xdr:twoCellAnchor>
    <xdr:from>
      <xdr:col>5</xdr:col>
      <xdr:colOff>1</xdr:colOff>
      <xdr:row>47</xdr:row>
      <xdr:rowOff>0</xdr:rowOff>
    </xdr:from>
    <xdr:to>
      <xdr:col>9</xdr:col>
      <xdr:colOff>117663</xdr:colOff>
      <xdr:row>49</xdr:row>
      <xdr:rowOff>190499</xdr:rowOff>
    </xdr:to>
    <xdr:cxnSp macro="">
      <xdr:nvCxnSpPr>
        <xdr:cNvPr id="79" name="Connector: Elbow 78">
          <a:extLst>
            <a:ext uri="{FF2B5EF4-FFF2-40B4-BE49-F238E27FC236}">
              <a16:creationId xmlns:a16="http://schemas.microsoft.com/office/drawing/2014/main" id="{00000000-0008-0000-0500-00004F000000}"/>
            </a:ext>
          </a:extLst>
        </xdr:cNvPr>
        <xdr:cNvCxnSpPr>
          <a:stCxn id="78" idx="2"/>
          <a:endCxn id="94" idx="0"/>
        </xdr:cNvCxnSpPr>
      </xdr:nvCxnSpPr>
      <xdr:spPr>
        <a:xfrm rot="16200000" flipH="1">
          <a:off x="1333500" y="9067800"/>
          <a:ext cx="11811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xdr:colOff>
      <xdr:row>47</xdr:row>
      <xdr:rowOff>0</xdr:rowOff>
    </xdr:from>
    <xdr:to>
      <xdr:col>13</xdr:col>
      <xdr:colOff>229721</xdr:colOff>
      <xdr:row>49</xdr:row>
      <xdr:rowOff>190499</xdr:rowOff>
    </xdr:to>
    <xdr:cxnSp macro="">
      <xdr:nvCxnSpPr>
        <xdr:cNvPr id="80" name="Connector: Elbow 79">
          <a:extLst>
            <a:ext uri="{FF2B5EF4-FFF2-40B4-BE49-F238E27FC236}">
              <a16:creationId xmlns:a16="http://schemas.microsoft.com/office/drawing/2014/main" id="{00000000-0008-0000-0500-000050000000}"/>
            </a:ext>
          </a:extLst>
        </xdr:cNvPr>
        <xdr:cNvCxnSpPr>
          <a:stCxn id="78" idx="2"/>
          <a:endCxn id="95" idx="0"/>
        </xdr:cNvCxnSpPr>
      </xdr:nvCxnSpPr>
      <xdr:spPr>
        <a:xfrm rot="16200000" flipH="1">
          <a:off x="1333500" y="9067800"/>
          <a:ext cx="2362200" cy="571500"/>
        </a:xfrm>
        <a:prstGeom prst="bentConnector3">
          <a:avLst>
            <a:gd name="adj1" fmla="val 5000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47</xdr:row>
      <xdr:rowOff>1</xdr:rowOff>
    </xdr:from>
    <xdr:to>
      <xdr:col>26</xdr:col>
      <xdr:colOff>212912</xdr:colOff>
      <xdr:row>49</xdr:row>
      <xdr:rowOff>145677</xdr:rowOff>
    </xdr:to>
    <xdr:cxnSp macro="">
      <xdr:nvCxnSpPr>
        <xdr:cNvPr id="81" name="Connector: Elbow 80">
          <a:extLst>
            <a:ext uri="{FF2B5EF4-FFF2-40B4-BE49-F238E27FC236}">
              <a16:creationId xmlns:a16="http://schemas.microsoft.com/office/drawing/2014/main" id="{00000000-0008-0000-0500-000051000000}"/>
            </a:ext>
          </a:extLst>
        </xdr:cNvPr>
        <xdr:cNvCxnSpPr>
          <a:stCxn id="78" idx="2"/>
          <a:endCxn id="96" idx="0"/>
        </xdr:cNvCxnSpPr>
      </xdr:nvCxnSpPr>
      <xdr:spPr>
        <a:xfrm rot="16200000" flipH="1">
          <a:off x="1333500" y="9067800"/>
          <a:ext cx="5810250" cy="5238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xdr:colOff>
      <xdr:row>47</xdr:row>
      <xdr:rowOff>0</xdr:rowOff>
    </xdr:from>
    <xdr:to>
      <xdr:col>22</xdr:col>
      <xdr:colOff>106457</xdr:colOff>
      <xdr:row>49</xdr:row>
      <xdr:rowOff>190499</xdr:rowOff>
    </xdr:to>
    <xdr:cxnSp macro="">
      <xdr:nvCxnSpPr>
        <xdr:cNvPr id="82" name="Connector: Elbow 81">
          <a:extLst>
            <a:ext uri="{FF2B5EF4-FFF2-40B4-BE49-F238E27FC236}">
              <a16:creationId xmlns:a16="http://schemas.microsoft.com/office/drawing/2014/main" id="{00000000-0008-0000-0500-000052000000}"/>
            </a:ext>
          </a:extLst>
        </xdr:cNvPr>
        <xdr:cNvCxnSpPr>
          <a:stCxn id="78" idx="2"/>
          <a:endCxn id="97" idx="0"/>
        </xdr:cNvCxnSpPr>
      </xdr:nvCxnSpPr>
      <xdr:spPr>
        <a:xfrm rot="16200000" flipH="1">
          <a:off x="1333500" y="9067800"/>
          <a:ext cx="4638675"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25</xdr:col>
      <xdr:colOff>224116</xdr:colOff>
      <xdr:row>54</xdr:row>
      <xdr:rowOff>11205</xdr:rowOff>
    </xdr:from>
    <xdr:to>
      <xdr:col>27</xdr:col>
      <xdr:colOff>224117</xdr:colOff>
      <xdr:row>55</xdr:row>
      <xdr:rowOff>11205</xdr:rowOff>
    </xdr:to>
    <xdr:sp macro="" textlink="" fLocksText="0">
      <xdr:nvSpPr>
        <xdr:cNvPr id="86" name="Rectangle: Rounded Corners 85">
          <a:extLst>
            <a:ext uri="{FF2B5EF4-FFF2-40B4-BE49-F238E27FC236}">
              <a16:creationId xmlns:a16="http://schemas.microsoft.com/office/drawing/2014/main" id="{00000000-0008-0000-0500-000056000000}"/>
            </a:ext>
          </a:extLst>
        </xdr:cNvPr>
        <xdr:cNvSpPr/>
      </xdr:nvSpPr>
      <xdr:spPr>
        <a:xfrm>
          <a:off x="6896100" y="104108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62.2</a:t>
          </a:r>
        </a:p>
      </xdr:txBody>
    </xdr:sp>
    <xdr:clientData/>
  </xdr:twoCellAnchor>
  <xdr:twoCellAnchor>
    <xdr:from>
      <xdr:col>26</xdr:col>
      <xdr:colOff>212912</xdr:colOff>
      <xdr:row>52</xdr:row>
      <xdr:rowOff>134471</xdr:rowOff>
    </xdr:from>
    <xdr:to>
      <xdr:col>26</xdr:col>
      <xdr:colOff>224116</xdr:colOff>
      <xdr:row>54</xdr:row>
      <xdr:rowOff>11205</xdr:rowOff>
    </xdr:to>
    <xdr:cxnSp macro="">
      <xdr:nvCxnSpPr>
        <xdr:cNvPr id="90" name="直線矢印コネクタ 1010">
          <a:extLst>
            <a:ext uri="{FF2B5EF4-FFF2-40B4-BE49-F238E27FC236}">
              <a16:creationId xmlns:a16="http://schemas.microsoft.com/office/drawing/2014/main" id="{00000000-0008-0000-0500-00005A000000}"/>
            </a:ext>
          </a:extLst>
        </xdr:cNvPr>
        <xdr:cNvCxnSpPr>
          <a:stCxn id="96" idx="2"/>
          <a:endCxn id="86" idx="0"/>
        </xdr:cNvCxnSpPr>
      </xdr:nvCxnSpPr>
      <xdr:spPr>
        <a:xfrm>
          <a:off x="7143750" y="10153650"/>
          <a:ext cx="19050" cy="2571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50</xdr:row>
      <xdr:rowOff>0</xdr:rowOff>
    </xdr:from>
    <xdr:to>
      <xdr:col>7</xdr:col>
      <xdr:colOff>0</xdr:colOff>
      <xdr:row>53</xdr:row>
      <xdr:rowOff>0</xdr:rowOff>
    </xdr:to>
    <xdr:sp macro="" textlink="" fLocksText="0">
      <xdr:nvSpPr>
        <xdr:cNvPr id="91" name="四角形: 角を丸くする 1101">
          <a:extLst>
            <a:ext uri="{FF2B5EF4-FFF2-40B4-BE49-F238E27FC236}">
              <a16:creationId xmlns:a16="http://schemas.microsoft.com/office/drawing/2014/main" id="{00000000-0008-0000-0500-00005B000000}"/>
            </a:ext>
          </a:extLst>
        </xdr:cNvPr>
        <xdr:cNvSpPr/>
      </xdr:nvSpPr>
      <xdr:spPr>
        <a:xfrm>
          <a:off x="800100" y="9639300"/>
          <a:ext cx="10668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画像種別</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1</xdr:colOff>
      <xdr:row>47</xdr:row>
      <xdr:rowOff>0</xdr:rowOff>
    </xdr:from>
    <xdr:to>
      <xdr:col>18</xdr:col>
      <xdr:colOff>117663</xdr:colOff>
      <xdr:row>50</xdr:row>
      <xdr:rowOff>11205</xdr:rowOff>
    </xdr:to>
    <xdr:cxnSp macro="">
      <xdr:nvCxnSpPr>
        <xdr:cNvPr id="92" name="Connector: Elbow 91">
          <a:extLst>
            <a:ext uri="{FF2B5EF4-FFF2-40B4-BE49-F238E27FC236}">
              <a16:creationId xmlns:a16="http://schemas.microsoft.com/office/drawing/2014/main" id="{00000000-0008-0000-0500-00005C000000}"/>
            </a:ext>
          </a:extLst>
        </xdr:cNvPr>
        <xdr:cNvCxnSpPr>
          <a:stCxn id="78" idx="2"/>
          <a:endCxn id="93" idx="0"/>
        </xdr:cNvCxnSpPr>
      </xdr:nvCxnSpPr>
      <xdr:spPr>
        <a:xfrm rot="16200000" flipH="1">
          <a:off x="1333500" y="9067800"/>
          <a:ext cx="3581400" cy="5810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0</xdr:colOff>
      <xdr:row>50</xdr:row>
      <xdr:rowOff>11206</xdr:rowOff>
    </xdr:from>
    <xdr:to>
      <xdr:col>20</xdr:col>
      <xdr:colOff>0</xdr:colOff>
      <xdr:row>52</xdr:row>
      <xdr:rowOff>190499</xdr:rowOff>
    </xdr:to>
    <xdr:sp macro="" textlink="" fLocksText="0">
      <xdr:nvSpPr>
        <xdr:cNvPr id="93" name="四角形: 角を丸くする 1101">
          <a:extLst>
            <a:ext uri="{FF2B5EF4-FFF2-40B4-BE49-F238E27FC236}">
              <a16:creationId xmlns:a16="http://schemas.microsoft.com/office/drawing/2014/main" id="{00000000-0008-0000-0500-00005D000000}"/>
            </a:ext>
          </a:extLst>
        </xdr:cNvPr>
        <xdr:cNvSpPr/>
      </xdr:nvSpPr>
      <xdr:spPr>
        <a:xfrm>
          <a:off x="4533900" y="9648825"/>
          <a:ext cx="800100" cy="5619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選択解除 </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0</xdr:colOff>
      <xdr:row>50</xdr:row>
      <xdr:rowOff>0</xdr:rowOff>
    </xdr:from>
    <xdr:to>
      <xdr:col>11</xdr:col>
      <xdr:colOff>0</xdr:colOff>
      <xdr:row>53</xdr:row>
      <xdr:rowOff>11206</xdr:rowOff>
    </xdr:to>
    <xdr:sp macro="" textlink="" fLocksText="0">
      <xdr:nvSpPr>
        <xdr:cNvPr id="94" name="四角形: 角を丸くする 1101">
          <a:extLst>
            <a:ext uri="{FF2B5EF4-FFF2-40B4-BE49-F238E27FC236}">
              <a16:creationId xmlns:a16="http://schemas.microsoft.com/office/drawing/2014/main" id="{00000000-0008-0000-0500-00005E000000}"/>
            </a:ext>
          </a:extLst>
        </xdr:cNvPr>
        <xdr:cNvSpPr/>
      </xdr:nvSpPr>
      <xdr:spPr>
        <a:xfrm>
          <a:off x="2133600" y="9639300"/>
          <a:ext cx="800100" cy="581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新規アップロード画像一覧</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235322</xdr:colOff>
      <xdr:row>50</xdr:row>
      <xdr:rowOff>0</xdr:rowOff>
    </xdr:from>
    <xdr:to>
      <xdr:col>15</xdr:col>
      <xdr:colOff>224117</xdr:colOff>
      <xdr:row>53</xdr:row>
      <xdr:rowOff>11206</xdr:rowOff>
    </xdr:to>
    <xdr:sp macro="" textlink="" fLocksText="0">
      <xdr:nvSpPr>
        <xdr:cNvPr id="95" name="四角形: 角を丸くする 1101">
          <a:extLst>
            <a:ext uri="{FF2B5EF4-FFF2-40B4-BE49-F238E27FC236}">
              <a16:creationId xmlns:a16="http://schemas.microsoft.com/office/drawing/2014/main" id="{00000000-0008-0000-0500-00005F000000}"/>
            </a:ext>
          </a:extLst>
        </xdr:cNvPr>
        <xdr:cNvSpPr/>
      </xdr:nvSpPr>
      <xdr:spPr>
        <a:xfrm>
          <a:off x="3171825" y="9639300"/>
          <a:ext cx="1057275" cy="581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ファイル選択</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24</xdr:col>
      <xdr:colOff>212912</xdr:colOff>
      <xdr:row>49</xdr:row>
      <xdr:rowOff>145677</xdr:rowOff>
    </xdr:from>
    <xdr:to>
      <xdr:col>28</xdr:col>
      <xdr:colOff>212912</xdr:colOff>
      <xdr:row>52</xdr:row>
      <xdr:rowOff>134471</xdr:rowOff>
    </xdr:to>
    <xdr:sp macro="" textlink="" fLocksText="0">
      <xdr:nvSpPr>
        <xdr:cNvPr id="96" name="四角形: 角を丸くする 1101">
          <a:extLst>
            <a:ext uri="{FF2B5EF4-FFF2-40B4-BE49-F238E27FC236}">
              <a16:creationId xmlns:a16="http://schemas.microsoft.com/office/drawing/2014/main" id="{00000000-0008-0000-0500-000060000000}"/>
            </a:ext>
          </a:extLst>
        </xdr:cNvPr>
        <xdr:cNvSpPr/>
      </xdr:nvSpPr>
      <xdr:spPr>
        <a:xfrm>
          <a:off x="6610350" y="9591675"/>
          <a:ext cx="1066800" cy="5619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F09：確定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20</xdr:col>
      <xdr:colOff>224118</xdr:colOff>
      <xdr:row>50</xdr:row>
      <xdr:rowOff>0</xdr:rowOff>
    </xdr:from>
    <xdr:to>
      <xdr:col>23</xdr:col>
      <xdr:colOff>224118</xdr:colOff>
      <xdr:row>53</xdr:row>
      <xdr:rowOff>0</xdr:rowOff>
    </xdr:to>
    <xdr:sp macro="" textlink="" fLocksText="0">
      <xdr:nvSpPr>
        <xdr:cNvPr id="97" name="四角形: 角を丸くする 1101">
          <a:extLst>
            <a:ext uri="{FF2B5EF4-FFF2-40B4-BE49-F238E27FC236}">
              <a16:creationId xmlns:a16="http://schemas.microsoft.com/office/drawing/2014/main" id="{00000000-0008-0000-0500-000061000000}"/>
            </a:ext>
          </a:extLst>
        </xdr:cNvPr>
        <xdr:cNvSpPr/>
      </xdr:nvSpPr>
      <xdr:spPr>
        <a:xfrm>
          <a:off x="5562600" y="9639300"/>
          <a:ext cx="8001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100" b="0" i="0" u="none" baseline="0">
              <a:solidFill>
                <a:srgbClr val="FFFFFF"/>
              </a:solidFill>
              <a:latin typeface="Meiryo UI" panose="020B0604030504040204" pitchFamily="34" charset="-128"/>
              <a:ea typeface="Meiryo UI" panose="020B0604030504040204" pitchFamily="34" charset="-128"/>
            </a:rPr>
            <a:t>F04: クリア</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53</xdr:row>
      <xdr:rowOff>0</xdr:rowOff>
    </xdr:from>
    <xdr:to>
      <xdr:col>5</xdr:col>
      <xdr:colOff>1</xdr:colOff>
      <xdr:row>54</xdr:row>
      <xdr:rowOff>0</xdr:rowOff>
    </xdr:to>
    <xdr:cxnSp macro="">
      <xdr:nvCxnSpPr>
        <xdr:cNvPr id="101" name="直線矢印コネクタ 1010">
          <a:extLst>
            <a:ext uri="{FF2B5EF4-FFF2-40B4-BE49-F238E27FC236}">
              <a16:creationId xmlns:a16="http://schemas.microsoft.com/office/drawing/2014/main" id="{00000000-0008-0000-0500-000065000000}"/>
            </a:ext>
          </a:extLst>
        </xdr:cNvPr>
        <xdr:cNvCxnSpPr>
          <a:stCxn id="91" idx="2"/>
          <a:endCxn id="130" idx="0"/>
        </xdr:cNvCxnSpPr>
      </xdr:nvCxnSpPr>
      <xdr:spPr>
        <a:xfrm>
          <a:off x="1333500" y="102108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31</xdr:row>
      <xdr:rowOff>1</xdr:rowOff>
    </xdr:from>
    <xdr:to>
      <xdr:col>5</xdr:col>
      <xdr:colOff>0</xdr:colOff>
      <xdr:row>37</xdr:row>
      <xdr:rowOff>0</xdr:rowOff>
    </xdr:to>
    <xdr:cxnSp macro="">
      <xdr:nvCxnSpPr>
        <xdr:cNvPr id="123" name="直線矢印コネクタ 1010">
          <a:extLst>
            <a:ext uri="{FF2B5EF4-FFF2-40B4-BE49-F238E27FC236}">
              <a16:creationId xmlns:a16="http://schemas.microsoft.com/office/drawing/2014/main" id="{00000000-0008-0000-0500-00007B000000}"/>
            </a:ext>
          </a:extLst>
        </xdr:cNvPr>
        <xdr:cNvCxnSpPr>
          <a:stCxn id="27" idx="2"/>
          <a:endCxn id="63" idx="0"/>
        </xdr:cNvCxnSpPr>
      </xdr:nvCxnSpPr>
      <xdr:spPr>
        <a:xfrm>
          <a:off x="1333500" y="60198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34</xdr:row>
      <xdr:rowOff>84044</xdr:rowOff>
    </xdr:from>
    <xdr:to>
      <xdr:col>5</xdr:col>
      <xdr:colOff>0</xdr:colOff>
      <xdr:row>37</xdr:row>
      <xdr:rowOff>0</xdr:rowOff>
    </xdr:to>
    <xdr:cxnSp macro="">
      <xdr:nvCxnSpPr>
        <xdr:cNvPr id="124" name="Connector: Elbow 123">
          <a:extLst>
            <a:ext uri="{FF2B5EF4-FFF2-40B4-BE49-F238E27FC236}">
              <a16:creationId xmlns:a16="http://schemas.microsoft.com/office/drawing/2014/main" id="{00000000-0008-0000-0500-00007C000000}"/>
            </a:ext>
          </a:extLst>
        </xdr:cNvPr>
        <xdr:cNvCxnSpPr>
          <a:stCxn id="125" idx="3"/>
          <a:endCxn id="63" idx="0"/>
        </xdr:cNvCxnSpPr>
      </xdr:nvCxnSpPr>
      <xdr:spPr>
        <a:xfrm>
          <a:off x="800100" y="6677025"/>
          <a:ext cx="533400" cy="485775"/>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33</xdr:row>
      <xdr:rowOff>179294</xdr:rowOff>
    </xdr:from>
    <xdr:to>
      <xdr:col>3</xdr:col>
      <xdr:colOff>0</xdr:colOff>
      <xdr:row>34</xdr:row>
      <xdr:rowOff>179294</xdr:rowOff>
    </xdr:to>
    <xdr:sp macro="" textlink="" fLocksText="0">
      <xdr:nvSpPr>
        <xdr:cNvPr id="125" name="Rectangle: Rounded Corners 124">
          <a:extLst>
            <a:ext uri="{FF2B5EF4-FFF2-40B4-BE49-F238E27FC236}">
              <a16:creationId xmlns:a16="http://schemas.microsoft.com/office/drawing/2014/main" id="{00000000-0008-0000-0500-00007D000000}"/>
            </a:ext>
          </a:extLst>
        </xdr:cNvPr>
        <xdr:cNvSpPr/>
      </xdr:nvSpPr>
      <xdr:spPr>
        <a:xfrm>
          <a:off x="266700" y="65817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FF0000"/>
              </a:solidFill>
              <a:latin typeface="Meiryo UI" panose="020B0604030504040204" pitchFamily="34" charset="-128"/>
              <a:ea typeface="Meiryo UI" panose="020B0604030504040204" pitchFamily="34" charset="-128"/>
            </a:rPr>
            <a:t>62</a:t>
          </a:r>
        </a:p>
      </xdr:txBody>
    </xdr:sp>
    <xdr:clientData/>
  </xdr:twoCellAnchor>
  <xdr:twoCellAnchor>
    <xdr:from>
      <xdr:col>4</xdr:col>
      <xdr:colOff>1</xdr:colOff>
      <xdr:row>54</xdr:row>
      <xdr:rowOff>0</xdr:rowOff>
    </xdr:from>
    <xdr:to>
      <xdr:col>6</xdr:col>
      <xdr:colOff>1</xdr:colOff>
      <xdr:row>55</xdr:row>
      <xdr:rowOff>0</xdr:rowOff>
    </xdr:to>
    <xdr:sp macro="" textlink="" fLocksText="0">
      <xdr:nvSpPr>
        <xdr:cNvPr id="130" name="Rectangle: Rounded Corners 129">
          <a:extLst>
            <a:ext uri="{FF2B5EF4-FFF2-40B4-BE49-F238E27FC236}">
              <a16:creationId xmlns:a16="http://schemas.microsoft.com/office/drawing/2014/main" id="{00000000-0008-0000-0500-000082000000}"/>
            </a:ext>
          </a:extLst>
        </xdr:cNvPr>
        <xdr:cNvSpPr/>
      </xdr:nvSpPr>
      <xdr:spPr>
        <a:xfrm>
          <a:off x="1066800" y="10401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62</a:t>
          </a:r>
        </a:p>
      </xdr:txBody>
    </xdr:sp>
    <xdr:clientData/>
  </xdr:twoCellAnchor>
  <xdr:twoCellAnchor>
    <xdr:from>
      <xdr:col>3</xdr:col>
      <xdr:colOff>0</xdr:colOff>
      <xdr:row>80</xdr:row>
      <xdr:rowOff>0</xdr:rowOff>
    </xdr:from>
    <xdr:to>
      <xdr:col>5</xdr:col>
      <xdr:colOff>0</xdr:colOff>
      <xdr:row>81</xdr:row>
      <xdr:rowOff>0</xdr:rowOff>
    </xdr:to>
    <xdr:sp macro="" textlink="" fLocksText="0">
      <xdr:nvSpPr>
        <xdr:cNvPr id="135" name="Rectangle: Rounded Corners 134">
          <a:extLst>
            <a:ext uri="{FF2B5EF4-FFF2-40B4-BE49-F238E27FC236}">
              <a16:creationId xmlns:a16="http://schemas.microsoft.com/office/drawing/2014/main" id="{00000000-0008-0000-0500-000087000000}"/>
            </a:ext>
          </a:extLst>
        </xdr:cNvPr>
        <xdr:cNvSpPr/>
      </xdr:nvSpPr>
      <xdr:spPr>
        <a:xfrm>
          <a:off x="800100" y="15354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62.2</a:t>
          </a:r>
        </a:p>
      </xdr:txBody>
    </xdr:sp>
    <xdr:clientData/>
  </xdr:twoCellAnchor>
  <xdr:twoCellAnchor>
    <xdr:from>
      <xdr:col>4</xdr:col>
      <xdr:colOff>1</xdr:colOff>
      <xdr:row>87</xdr:row>
      <xdr:rowOff>0</xdr:rowOff>
    </xdr:from>
    <xdr:to>
      <xdr:col>4</xdr:col>
      <xdr:colOff>1</xdr:colOff>
      <xdr:row>100</xdr:row>
      <xdr:rowOff>0</xdr:rowOff>
    </xdr:to>
    <xdr:cxnSp macro="">
      <xdr:nvCxnSpPr>
        <xdr:cNvPr id="159" name="直線矢印コネクタ 1010">
          <a:extLst>
            <a:ext uri="{FF2B5EF4-FFF2-40B4-BE49-F238E27FC236}">
              <a16:creationId xmlns:a16="http://schemas.microsoft.com/office/drawing/2014/main" id="{00000000-0008-0000-0500-00009F000000}"/>
            </a:ext>
          </a:extLst>
        </xdr:cNvPr>
        <xdr:cNvCxnSpPr>
          <a:stCxn id="69" idx="2"/>
          <a:endCxn id="181" idx="0"/>
        </xdr:cNvCxnSpPr>
      </xdr:nvCxnSpPr>
      <xdr:spPr>
        <a:xfrm>
          <a:off x="1066800" y="16687800"/>
          <a:ext cx="0" cy="2476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100</xdr:row>
      <xdr:rowOff>0</xdr:rowOff>
    </xdr:from>
    <xdr:to>
      <xdr:col>7</xdr:col>
      <xdr:colOff>0</xdr:colOff>
      <xdr:row>104</xdr:row>
      <xdr:rowOff>0</xdr:rowOff>
    </xdr:to>
    <xdr:sp macro="" textlink="" fLocksText="0">
      <xdr:nvSpPr>
        <xdr:cNvPr id="181" name="四角形: 角を丸くする 3">
          <a:extLst>
            <a:ext uri="{FF2B5EF4-FFF2-40B4-BE49-F238E27FC236}">
              <a16:creationId xmlns:a16="http://schemas.microsoft.com/office/drawing/2014/main" id="{00000000-0008-0000-0500-0000B5000000}"/>
            </a:ext>
          </a:extLst>
        </xdr:cNvPr>
        <xdr:cNvSpPr/>
      </xdr:nvSpPr>
      <xdr:spPr>
        <a:xfrm>
          <a:off x="266700" y="19164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KN6202</a:t>
          </a:r>
          <a:endParaRPr lang="en-US" altLang="ja-JP" sz="1000" b="0" i="0" u="none" baseline="0">
            <a:solidFill>
              <a:schemeClr val="tx1"/>
            </a:solidFill>
            <a:latin typeface="Meiryo UI" panose="020B0604030504040204" pitchFamily="34" charset="-128"/>
            <a:ea typeface="Meiryo UI" panose="020B0604030504040204" pitchFamily="34" charset="-128"/>
          </a:endParaRP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DB画像・ロゴプリセット更新機能</a:t>
          </a:r>
        </a:p>
      </xdr:txBody>
    </xdr:sp>
    <xdr:clientData/>
  </xdr:twoCellAnchor>
  <xdr:twoCellAnchor>
    <xdr:from>
      <xdr:col>29</xdr:col>
      <xdr:colOff>3766</xdr:colOff>
      <xdr:row>100</xdr:row>
      <xdr:rowOff>0</xdr:rowOff>
    </xdr:from>
    <xdr:to>
      <xdr:col>35</xdr:col>
      <xdr:colOff>0</xdr:colOff>
      <xdr:row>104</xdr:row>
      <xdr:rowOff>0</xdr:rowOff>
    </xdr:to>
    <xdr:sp macro="" textlink="" fLocksText="0">
      <xdr:nvSpPr>
        <xdr:cNvPr id="184" name="フローチャート: 磁気ディスク 194">
          <a:extLst>
            <a:ext uri="{FF2B5EF4-FFF2-40B4-BE49-F238E27FC236}">
              <a16:creationId xmlns:a16="http://schemas.microsoft.com/office/drawing/2014/main" id="{00000000-0008-0000-0500-0000B8000000}"/>
            </a:ext>
          </a:extLst>
        </xdr:cNvPr>
        <xdr:cNvSpPr/>
      </xdr:nvSpPr>
      <xdr:spPr>
        <a:xfrm>
          <a:off x="7734300" y="19164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AP6201</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画像アップロードAPI</a:t>
          </a:r>
        </a:p>
      </xdr:txBody>
    </xdr:sp>
    <xdr:clientData/>
  </xdr:twoCellAnchor>
  <xdr:twoCellAnchor>
    <xdr:from>
      <xdr:col>7</xdr:col>
      <xdr:colOff>0</xdr:colOff>
      <xdr:row>102</xdr:row>
      <xdr:rowOff>0</xdr:rowOff>
    </xdr:from>
    <xdr:to>
      <xdr:col>29</xdr:col>
      <xdr:colOff>3766</xdr:colOff>
      <xdr:row>102</xdr:row>
      <xdr:rowOff>0</xdr:rowOff>
    </xdr:to>
    <xdr:cxnSp macro="">
      <xdr:nvCxnSpPr>
        <xdr:cNvPr id="185" name="直線矢印コネクタ 196">
          <a:extLst>
            <a:ext uri="{FF2B5EF4-FFF2-40B4-BE49-F238E27FC236}">
              <a16:creationId xmlns:a16="http://schemas.microsoft.com/office/drawing/2014/main" id="{00000000-0008-0000-0500-0000B9000000}"/>
            </a:ext>
          </a:extLst>
        </xdr:cNvPr>
        <xdr:cNvCxnSpPr>
          <a:stCxn id="181" idx="3"/>
          <a:endCxn id="184" idx="2"/>
        </xdr:cNvCxnSpPr>
      </xdr:nvCxnSpPr>
      <xdr:spPr>
        <a:xfrm>
          <a:off x="1866900" y="19545300"/>
          <a:ext cx="5867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105</xdr:row>
      <xdr:rowOff>168088</xdr:rowOff>
    </xdr:from>
    <xdr:to>
      <xdr:col>5</xdr:col>
      <xdr:colOff>1</xdr:colOff>
      <xdr:row>106</xdr:row>
      <xdr:rowOff>168088</xdr:rowOff>
    </xdr:to>
    <xdr:sp macro="" textlink="" fLocksText="0">
      <xdr:nvSpPr>
        <xdr:cNvPr id="199" name="Rectangle: Rounded Corners 198">
          <a:extLst>
            <a:ext uri="{FF2B5EF4-FFF2-40B4-BE49-F238E27FC236}">
              <a16:creationId xmlns:a16="http://schemas.microsoft.com/office/drawing/2014/main" id="{00000000-0008-0000-0500-0000C7000000}"/>
            </a:ext>
          </a:extLst>
        </xdr:cNvPr>
        <xdr:cNvSpPr/>
      </xdr:nvSpPr>
      <xdr:spPr>
        <a:xfrm>
          <a:off x="800100" y="2028825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62</a:t>
          </a:r>
        </a:p>
      </xdr:txBody>
    </xdr:sp>
    <xdr:clientData/>
  </xdr:twoCellAnchor>
  <xdr:twoCellAnchor>
    <xdr:from>
      <xdr:col>4</xdr:col>
      <xdr:colOff>1</xdr:colOff>
      <xdr:row>104</xdr:row>
      <xdr:rowOff>0</xdr:rowOff>
    </xdr:from>
    <xdr:to>
      <xdr:col>4</xdr:col>
      <xdr:colOff>1</xdr:colOff>
      <xdr:row>105</xdr:row>
      <xdr:rowOff>168088</xdr:rowOff>
    </xdr:to>
    <xdr:cxnSp macro="">
      <xdr:nvCxnSpPr>
        <xdr:cNvPr id="200" name="直線矢印コネクタ 1010">
          <a:extLst>
            <a:ext uri="{FF2B5EF4-FFF2-40B4-BE49-F238E27FC236}">
              <a16:creationId xmlns:a16="http://schemas.microsoft.com/office/drawing/2014/main" id="{00000000-0008-0000-0500-0000C8000000}"/>
            </a:ext>
          </a:extLst>
        </xdr:cNvPr>
        <xdr:cNvCxnSpPr>
          <a:stCxn id="181" idx="2"/>
          <a:endCxn id="199" idx="0"/>
        </xdr:cNvCxnSpPr>
      </xdr:nvCxnSpPr>
      <xdr:spPr>
        <a:xfrm>
          <a:off x="1066800" y="19926300"/>
          <a:ext cx="0" cy="3619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81</xdr:row>
      <xdr:rowOff>0</xdr:rowOff>
    </xdr:from>
    <xdr:to>
      <xdr:col>4</xdr:col>
      <xdr:colOff>0</xdr:colOff>
      <xdr:row>83</xdr:row>
      <xdr:rowOff>0</xdr:rowOff>
    </xdr:to>
    <xdr:cxnSp macro="">
      <xdr:nvCxnSpPr>
        <xdr:cNvPr id="212" name="直線矢印コネクタ 1010">
          <a:extLst>
            <a:ext uri="{FF2B5EF4-FFF2-40B4-BE49-F238E27FC236}">
              <a16:creationId xmlns:a16="http://schemas.microsoft.com/office/drawing/2014/main" id="{00000000-0008-0000-0500-0000D4000000}"/>
            </a:ext>
          </a:extLst>
        </xdr:cNvPr>
        <xdr:cNvCxnSpPr>
          <a:stCxn id="135" idx="2"/>
          <a:endCxn id="214" idx="0"/>
        </xdr:cNvCxnSpPr>
      </xdr:nvCxnSpPr>
      <xdr:spPr>
        <a:xfrm>
          <a:off x="1066800" y="1554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83</xdr:row>
      <xdr:rowOff>0</xdr:rowOff>
    </xdr:from>
    <xdr:to>
      <xdr:col>6</xdr:col>
      <xdr:colOff>0</xdr:colOff>
      <xdr:row>84</xdr:row>
      <xdr:rowOff>0</xdr:rowOff>
    </xdr:to>
    <xdr:sp macro="" textlink="" fLocksText="0">
      <xdr:nvSpPr>
        <xdr:cNvPr id="214" name="四角形: 角を丸くする 1101">
          <a:extLst>
            <a:ext uri="{FF2B5EF4-FFF2-40B4-BE49-F238E27FC236}">
              <a16:creationId xmlns:a16="http://schemas.microsoft.com/office/drawing/2014/main" id="{00000000-0008-0000-0500-0000D6000000}"/>
            </a:ext>
          </a:extLst>
        </xdr:cNvPr>
        <xdr:cNvSpPr/>
      </xdr:nvSpPr>
      <xdr:spPr>
        <a:xfrm>
          <a:off x="533400" y="15925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editAs="oneCell">
    <xdr:from>
      <xdr:col>65</xdr:col>
      <xdr:colOff>201706</xdr:colOff>
      <xdr:row>38</xdr:row>
      <xdr:rowOff>0</xdr:rowOff>
    </xdr:from>
    <xdr:to>
      <xdr:col>89</xdr:col>
      <xdr:colOff>139861</xdr:colOff>
      <xdr:row>51</xdr:row>
      <xdr:rowOff>48185</xdr:rowOff>
    </xdr:to>
    <xdr:pic>
      <xdr:nvPicPr>
        <xdr:cNvPr id="229" name="Picture 228">
          <a:extLst>
            <a:ext uri="{FF2B5EF4-FFF2-40B4-BE49-F238E27FC236}">
              <a16:creationId xmlns:a16="http://schemas.microsoft.com/office/drawing/2014/main" id="{00000000-0008-0000-0500-0000E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7564100" y="7353300"/>
          <a:ext cx="6343650" cy="2524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47</xdr:row>
      <xdr:rowOff>1</xdr:rowOff>
    </xdr:from>
    <xdr:to>
      <xdr:col>5</xdr:col>
      <xdr:colOff>0</xdr:colOff>
      <xdr:row>50</xdr:row>
      <xdr:rowOff>0</xdr:rowOff>
    </xdr:to>
    <xdr:cxnSp macro="">
      <xdr:nvCxnSpPr>
        <xdr:cNvPr id="57" name="直線矢印コネクタ 1010">
          <a:extLst>
            <a:ext uri="{FF2B5EF4-FFF2-40B4-BE49-F238E27FC236}">
              <a16:creationId xmlns:a16="http://schemas.microsoft.com/office/drawing/2014/main" id="{00000000-0008-0000-0500-000039000000}"/>
            </a:ext>
          </a:extLst>
        </xdr:cNvPr>
        <xdr:cNvCxnSpPr>
          <a:stCxn id="78" idx="2"/>
          <a:endCxn id="91" idx="0"/>
        </xdr:cNvCxnSpPr>
      </xdr:nvCxnSpPr>
      <xdr:spPr>
        <a:xfrm>
          <a:off x="1333500" y="9067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0</xdr:colOff>
      <xdr:row>54</xdr:row>
      <xdr:rowOff>1</xdr:rowOff>
    </xdr:from>
    <xdr:to>
      <xdr:col>89</xdr:col>
      <xdr:colOff>112059</xdr:colOff>
      <xdr:row>67</xdr:row>
      <xdr:rowOff>80917</xdr:rowOff>
    </xdr:to>
    <xdr:pic>
      <xdr:nvPicPr>
        <xdr:cNvPr id="103" name="Picture 102">
          <a:extLst>
            <a:ext uri="{FF2B5EF4-FFF2-40B4-BE49-F238E27FC236}">
              <a16:creationId xmlns:a16="http://schemas.microsoft.com/office/drawing/2014/main" id="{00000000-0008-0000-0500-00006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17630775" y="10401300"/>
          <a:ext cx="6248400" cy="255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30</xdr:row>
      <xdr:rowOff>1</xdr:rowOff>
    </xdr:from>
    <xdr:to>
      <xdr:col>7</xdr:col>
      <xdr:colOff>0</xdr:colOff>
      <xdr:row>31</xdr:row>
      <xdr:rowOff>1</xdr:rowOff>
    </xdr:to>
    <xdr:sp macro="" textlink="" fLocksText="0">
      <xdr:nvSpPr>
        <xdr:cNvPr id="27" name="四角形: 角を丸くする 1101">
          <a:extLst>
            <a:ext uri="{FF2B5EF4-FFF2-40B4-BE49-F238E27FC236}">
              <a16:creationId xmlns:a16="http://schemas.microsoft.com/office/drawing/2014/main" id="{00000000-0008-0000-0500-00001B000000}"/>
            </a:ext>
          </a:extLst>
        </xdr:cNvPr>
        <xdr:cNvSpPr/>
      </xdr:nvSpPr>
      <xdr:spPr>
        <a:xfrm>
          <a:off x="800100" y="5829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検索</a:t>
          </a:r>
          <a:endParaRPr lang="ja-JP" altLang="en-US" sz="11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38</xdr:col>
      <xdr:colOff>0</xdr:colOff>
      <xdr:row>22</xdr:row>
      <xdr:rowOff>0</xdr:rowOff>
    </xdr:from>
    <xdr:to>
      <xdr:col>61</xdr:col>
      <xdr:colOff>0</xdr:colOff>
      <xdr:row>28</xdr:row>
      <xdr:rowOff>0</xdr:rowOff>
    </xdr:to>
    <xdr:sp macro="" textlink="" fLocksText="0">
      <xdr:nvSpPr>
        <xdr:cNvPr id="34" name="吹き出し: 線 2">
          <a:extLst>
            <a:ext uri="{FF2B5EF4-FFF2-40B4-BE49-F238E27FC236}">
              <a16:creationId xmlns:a16="http://schemas.microsoft.com/office/drawing/2014/main" id="{00000000-0008-0000-0500-000022000000}"/>
            </a:ext>
          </a:extLst>
        </xdr:cNvPr>
        <xdr:cNvSpPr/>
      </xdr:nvSpPr>
      <xdr:spPr>
        <a:xfrm>
          <a:off x="10134600" y="4305300"/>
          <a:ext cx="6134100" cy="1143000"/>
        </a:xfrm>
        <a:prstGeom prst="borderCallout1">
          <a:avLst>
            <a:gd name="adj1" fmla="val 49927"/>
            <a:gd name="adj2" fmla="val -182"/>
            <a:gd name="adj3" fmla="val 50815"/>
            <a:gd name="adj4" fmla="val -13635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sz="1000" b="0" i="0" u="none" baseline="0">
              <a:solidFill>
                <a:srgbClr val="0000FF"/>
              </a:solidFill>
              <a:latin typeface="Meiryo UI" panose="020B0604030504040204" pitchFamily="34" charset="-128"/>
              <a:ea typeface="Meiryo UI" panose="020B0604030504040204" pitchFamily="34" charset="-128"/>
            </a:rPr>
            <a:t>画面には以下の3つのエリアを表示する。店舗選択エリア、検索条件エリア、一覧表示エリア。初期表示：店舗選択エリアのみ操作可能で、その他のエリアが無効になって操作不可。</a:t>
          </a:r>
        </a:p>
        <a:p>
          <a:pPr>
            <a:defRPr lang="en-US" sz="1000" b="0" i="0" baseline="0">
              <a:solidFill>
                <a:srgbClr val="00B050"/>
              </a:solidFill>
              <a:latin typeface="Meiryo UI" panose="020B0604030504040204" pitchFamily="34" charset="-128"/>
              <a:ea typeface="Meiryo UI" panose="020B0604030504040204" pitchFamily="34" charset="-128"/>
              <a:cs typeface="+mn-cs"/>
            </a:defRPr>
          </a:pPr>
          <a:r>
            <a:rPr lang="en-US" sz="1000" b="0" i="0" u="none" baseline="0">
              <a:solidFill>
                <a:srgbClr val="0000FF"/>
              </a:solidFill>
              <a:latin typeface="Meiryo UI" panose="020B0604030504040204" pitchFamily="34" charset="-128"/>
              <a:ea typeface="Meiryo UI" panose="020B0604030504040204" pitchFamily="34" charset="-128"/>
            </a:rPr>
            <a:t>検索条件エリア：店舗が選択されている場合にのみ操作可能。</a:t>
          </a:r>
        </a:p>
        <a:p>
          <a:pPr>
            <a:defRPr lang="en-US" sz="1000" b="0" i="0" baseline="0">
              <a:solidFill>
                <a:srgbClr val="00B050"/>
              </a:solidFill>
              <a:latin typeface="Meiryo UI" panose="020B0604030504040204" pitchFamily="34" charset="-128"/>
              <a:ea typeface="Meiryo UI" panose="020B0604030504040204" pitchFamily="34" charset="-128"/>
              <a:cs typeface="+mn-cs"/>
            </a:defRPr>
          </a:pPr>
          <a:r>
            <a:rPr lang="en-US" sz="1000" b="0" i="0" u="none" baseline="0">
              <a:solidFill>
                <a:srgbClr val="0000FF"/>
              </a:solidFill>
              <a:latin typeface="Meiryo UI" panose="020B0604030504040204" pitchFamily="34" charset="-128"/>
              <a:ea typeface="Meiryo UI" panose="020B0604030504040204" pitchFamily="34" charset="-128"/>
            </a:rPr>
            <a:t>共通店舗機能を実行する。複数の店舗選択可能。</a:t>
          </a:r>
        </a:p>
        <a:p>
          <a:pPr>
            <a:defRPr lang="en-US" sz="1000" b="0" i="0" baseline="0">
              <a:solidFill>
                <a:srgbClr val="00B050"/>
              </a:solidFill>
              <a:latin typeface="Meiryo UI" panose="020B0604030504040204" pitchFamily="34" charset="-128"/>
              <a:ea typeface="Meiryo UI" panose="020B0604030504040204" pitchFamily="34" charset="-128"/>
              <a:cs typeface="+mn-cs"/>
            </a:defRPr>
          </a:pPr>
          <a:endParaRPr>
            <a:latin typeface="Meiryo UI" panose="020B0604030504040204" pitchFamily="34" charset="-128"/>
            <a:ea typeface="Meiryo UI" panose="020B0604030504040204" pitchFamily="34" charset="-128"/>
          </a:endParaRPr>
        </a:p>
        <a:p>
          <a:pPr>
            <a:defRPr lang="en-US" sz="1000" b="0" i="0" baseline="0">
              <a:solidFill>
                <a:srgbClr val="00B050"/>
              </a:solidFill>
              <a:latin typeface="Meiryo UI" panose="020B0604030504040204" pitchFamily="34" charset="-128"/>
              <a:ea typeface="Meiryo UI" panose="020B0604030504040204" pitchFamily="34" charset="-128"/>
              <a:cs typeface="+mn-cs"/>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89</xdr:row>
      <xdr:rowOff>0</xdr:rowOff>
    </xdr:from>
    <xdr:to>
      <xdr:col>17</xdr:col>
      <xdr:colOff>0</xdr:colOff>
      <xdr:row>93</xdr:row>
      <xdr:rowOff>0</xdr:rowOff>
    </xdr:to>
    <xdr:sp macro="" textlink="" fLocksText="0">
      <xdr:nvSpPr>
        <xdr:cNvPr id="35" name="四角形: 角を丸くする 3">
          <a:extLst>
            <a:ext uri="{FF2B5EF4-FFF2-40B4-BE49-F238E27FC236}">
              <a16:creationId xmlns:a16="http://schemas.microsoft.com/office/drawing/2014/main" id="{00000000-0008-0000-0500-000023000000}"/>
            </a:ext>
          </a:extLst>
        </xdr:cNvPr>
        <xdr:cNvSpPr/>
      </xdr:nvSpPr>
      <xdr:spPr>
        <a:xfrm>
          <a:off x="2933700" y="17068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FF"/>
              </a:solidFill>
              <a:latin typeface="Meiryo UI" panose="020B0604030504040204" pitchFamily="34" charset="-128"/>
              <a:ea typeface="Meiryo UI" panose="020B0604030504040204" pitchFamily="34" charset="-128"/>
            </a:rPr>
            <a:t>KN6201</a:t>
          </a:r>
        </a:p>
        <a:p>
          <a:pPr algn="ctr">
            <a:defRPr lang="en-US" altLang="ja-JP" sz="1000" b="0" i="0" u="none" baseline="0">
              <a:solidFill>
                <a:srgbClr val="00B05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アップロードファイルバリデーションチェック機能</a:t>
          </a:r>
        </a:p>
      </xdr:txBody>
    </xdr:sp>
    <xdr:clientData/>
  </xdr:twoCellAnchor>
  <xdr:twoCellAnchor>
    <xdr:from>
      <xdr:col>4</xdr:col>
      <xdr:colOff>0</xdr:colOff>
      <xdr:row>84</xdr:row>
      <xdr:rowOff>0</xdr:rowOff>
    </xdr:from>
    <xdr:to>
      <xdr:col>4</xdr:col>
      <xdr:colOff>1</xdr:colOff>
      <xdr:row>86</xdr:row>
      <xdr:rowOff>0</xdr:rowOff>
    </xdr:to>
    <xdr:cxnSp macro="">
      <xdr:nvCxnSpPr>
        <xdr:cNvPr id="36" name="直線矢印コネクタ 1010">
          <a:extLst>
            <a:ext uri="{FF2B5EF4-FFF2-40B4-BE49-F238E27FC236}">
              <a16:creationId xmlns:a16="http://schemas.microsoft.com/office/drawing/2014/main" id="{00000000-0008-0000-0500-000024000000}"/>
            </a:ext>
          </a:extLst>
        </xdr:cNvPr>
        <xdr:cNvCxnSpPr>
          <a:stCxn id="214" idx="2"/>
          <a:endCxn id="69" idx="0"/>
        </xdr:cNvCxnSpPr>
      </xdr:nvCxnSpPr>
      <xdr:spPr>
        <a:xfrm>
          <a:off x="1066800" y="1611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86</xdr:row>
      <xdr:rowOff>0</xdr:rowOff>
    </xdr:from>
    <xdr:to>
      <xdr:col>7</xdr:col>
      <xdr:colOff>0</xdr:colOff>
      <xdr:row>87</xdr:row>
      <xdr:rowOff>0</xdr:rowOff>
    </xdr:to>
    <xdr:sp macro="" textlink="" fLocksText="0">
      <xdr:nvSpPr>
        <xdr:cNvPr id="69" name="Rectangle: Rounded Corners 68">
          <a:extLst>
            <a:ext uri="{FF2B5EF4-FFF2-40B4-BE49-F238E27FC236}">
              <a16:creationId xmlns:a16="http://schemas.microsoft.com/office/drawing/2014/main" id="{00000000-0008-0000-0500-000045000000}"/>
            </a:ext>
          </a:extLst>
        </xdr:cNvPr>
        <xdr:cNvSpPr/>
      </xdr:nvSpPr>
      <xdr:spPr>
        <a:xfrm>
          <a:off x="266700" y="16497300"/>
          <a:ext cx="16002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0" i="0" u="none" baseline="0">
              <a:solidFill>
                <a:srgbClr val="0000FF"/>
              </a:solidFill>
              <a:latin typeface="Meiryo UI" panose="020B0604030504040204" pitchFamily="34" charset="-128"/>
              <a:ea typeface="Meiryo UI" panose="020B0604030504040204" pitchFamily="34" charset="-128"/>
            </a:rPr>
            <a:t>アップロードファイルがない</a:t>
          </a:r>
          <a:endParaRPr lang="en-US" sz="1000">
            <a:solidFill>
              <a:srgbClr val="0000FF"/>
            </a:solidFill>
            <a:latin typeface="Meiryo UI" panose="020B0604030504040204" pitchFamily="34" charset="-128"/>
            <a:ea typeface="Meiryo UI" panose="020B0604030504040204" pitchFamily="34" charset="-128"/>
          </a:endParaRPr>
        </a:p>
      </xdr:txBody>
    </xdr:sp>
    <xdr:clientData/>
  </xdr:twoCellAnchor>
  <xdr:twoCellAnchor>
    <xdr:from>
      <xdr:col>4</xdr:col>
      <xdr:colOff>0</xdr:colOff>
      <xdr:row>84</xdr:row>
      <xdr:rowOff>0</xdr:rowOff>
    </xdr:from>
    <xdr:to>
      <xdr:col>14</xdr:col>
      <xdr:colOff>1</xdr:colOff>
      <xdr:row>86</xdr:row>
      <xdr:rowOff>0</xdr:rowOff>
    </xdr:to>
    <xdr:cxnSp macro="">
      <xdr:nvCxnSpPr>
        <xdr:cNvPr id="77" name="Connector: Elbow 76">
          <a:extLst>
            <a:ext uri="{FF2B5EF4-FFF2-40B4-BE49-F238E27FC236}">
              <a16:creationId xmlns:a16="http://schemas.microsoft.com/office/drawing/2014/main" id="{00000000-0008-0000-0500-00004D000000}"/>
            </a:ext>
          </a:extLst>
        </xdr:cNvPr>
        <xdr:cNvCxnSpPr>
          <a:stCxn id="214" idx="2"/>
          <a:endCxn id="87" idx="0"/>
        </xdr:cNvCxnSpPr>
      </xdr:nvCxnSpPr>
      <xdr:spPr>
        <a:xfrm rot="16200000" flipH="1">
          <a:off x="1066800" y="16116300"/>
          <a:ext cx="26670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86</xdr:row>
      <xdr:rowOff>0</xdr:rowOff>
    </xdr:from>
    <xdr:to>
      <xdr:col>17</xdr:col>
      <xdr:colOff>0</xdr:colOff>
      <xdr:row>87</xdr:row>
      <xdr:rowOff>0</xdr:rowOff>
    </xdr:to>
    <xdr:sp macro="" textlink="" fLocksText="0">
      <xdr:nvSpPr>
        <xdr:cNvPr id="87" name="Rectangle: Rounded Corners 86">
          <a:extLst>
            <a:ext uri="{FF2B5EF4-FFF2-40B4-BE49-F238E27FC236}">
              <a16:creationId xmlns:a16="http://schemas.microsoft.com/office/drawing/2014/main" id="{00000000-0008-0000-0500-000057000000}"/>
            </a:ext>
          </a:extLst>
        </xdr:cNvPr>
        <xdr:cNvSpPr/>
      </xdr:nvSpPr>
      <xdr:spPr>
        <a:xfrm>
          <a:off x="2933700" y="16497300"/>
          <a:ext cx="16002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0" i="0" u="none" baseline="0">
              <a:solidFill>
                <a:srgbClr val="0000FF"/>
              </a:solidFill>
              <a:latin typeface="Meiryo UI" panose="020B0604030504040204" pitchFamily="34" charset="-128"/>
              <a:ea typeface="Meiryo UI" panose="020B0604030504040204" pitchFamily="34" charset="-128"/>
            </a:rPr>
            <a:t>アップロードファイルがある</a:t>
          </a:r>
          <a:endParaRPr lang="en-US" sz="1000">
            <a:solidFill>
              <a:srgbClr val="0000FF"/>
            </a:solidFill>
            <a:latin typeface="Meiryo UI" panose="020B0604030504040204" pitchFamily="34" charset="-128"/>
            <a:ea typeface="Meiryo UI" panose="020B0604030504040204" pitchFamily="34" charset="-128"/>
          </a:endParaRPr>
        </a:p>
      </xdr:txBody>
    </xdr:sp>
    <xdr:clientData/>
  </xdr:twoCellAnchor>
  <xdr:twoCellAnchor>
    <xdr:from>
      <xdr:col>14</xdr:col>
      <xdr:colOff>1</xdr:colOff>
      <xdr:row>87</xdr:row>
      <xdr:rowOff>0</xdr:rowOff>
    </xdr:from>
    <xdr:to>
      <xdr:col>14</xdr:col>
      <xdr:colOff>1</xdr:colOff>
      <xdr:row>89</xdr:row>
      <xdr:rowOff>0</xdr:rowOff>
    </xdr:to>
    <xdr:cxnSp macro="">
      <xdr:nvCxnSpPr>
        <xdr:cNvPr id="98" name="直線矢印コネクタ 1010">
          <a:extLst>
            <a:ext uri="{FF2B5EF4-FFF2-40B4-BE49-F238E27FC236}">
              <a16:creationId xmlns:a16="http://schemas.microsoft.com/office/drawing/2014/main" id="{00000000-0008-0000-0500-000062000000}"/>
            </a:ext>
          </a:extLst>
        </xdr:cNvPr>
        <xdr:cNvCxnSpPr>
          <a:stCxn id="87" idx="2"/>
          <a:endCxn id="35" idx="0"/>
        </xdr:cNvCxnSpPr>
      </xdr:nvCxnSpPr>
      <xdr:spPr>
        <a:xfrm>
          <a:off x="3733800" y="1668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96</xdr:row>
      <xdr:rowOff>0</xdr:rowOff>
    </xdr:from>
    <xdr:to>
      <xdr:col>14</xdr:col>
      <xdr:colOff>0</xdr:colOff>
      <xdr:row>100</xdr:row>
      <xdr:rowOff>0</xdr:rowOff>
    </xdr:to>
    <xdr:cxnSp macro="">
      <xdr:nvCxnSpPr>
        <xdr:cNvPr id="102" name="Connector: Elbow 101">
          <a:extLst>
            <a:ext uri="{FF2B5EF4-FFF2-40B4-BE49-F238E27FC236}">
              <a16:creationId xmlns:a16="http://schemas.microsoft.com/office/drawing/2014/main" id="{00000000-0008-0000-0500-000066000000}"/>
            </a:ext>
          </a:extLst>
        </xdr:cNvPr>
        <xdr:cNvCxnSpPr>
          <a:stCxn id="107" idx="2"/>
          <a:endCxn id="181" idx="0"/>
        </xdr:cNvCxnSpPr>
      </xdr:nvCxnSpPr>
      <xdr:spPr>
        <a:xfrm rot="5400000">
          <a:off x="1066800" y="18402300"/>
          <a:ext cx="26670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95</xdr:row>
      <xdr:rowOff>0</xdr:rowOff>
    </xdr:from>
    <xdr:to>
      <xdr:col>16</xdr:col>
      <xdr:colOff>0</xdr:colOff>
      <xdr:row>96</xdr:row>
      <xdr:rowOff>0</xdr:rowOff>
    </xdr:to>
    <xdr:sp macro="" textlink="" fLocksText="0">
      <xdr:nvSpPr>
        <xdr:cNvPr id="107" name="Rectangle: Rounded Corners 106">
          <a:extLst>
            <a:ext uri="{FF2B5EF4-FFF2-40B4-BE49-F238E27FC236}">
              <a16:creationId xmlns:a16="http://schemas.microsoft.com/office/drawing/2014/main" id="{00000000-0008-0000-0500-00006B000000}"/>
            </a:ext>
          </a:extLst>
        </xdr:cNvPr>
        <xdr:cNvSpPr/>
      </xdr:nvSpPr>
      <xdr:spPr>
        <a:xfrm>
          <a:off x="3200400" y="18211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0" i="0" u="none" baseline="0">
              <a:solidFill>
                <a:srgbClr val="0000FF"/>
              </a:solidFill>
              <a:latin typeface="Meiryo UI" panose="020B0604030504040204" pitchFamily="34" charset="-128"/>
              <a:ea typeface="Meiryo UI" panose="020B0604030504040204" pitchFamily="34" charset="-128"/>
            </a:rPr>
            <a:t>成功</a:t>
          </a:r>
          <a:endParaRPr lang="en-US" sz="1000">
            <a:solidFill>
              <a:srgbClr val="0000FF"/>
            </a:solidFill>
            <a:latin typeface="Meiryo UI" panose="020B0604030504040204" pitchFamily="34" charset="-128"/>
            <a:ea typeface="Meiryo UI" panose="020B0604030504040204" pitchFamily="34" charset="-128"/>
          </a:endParaRPr>
        </a:p>
      </xdr:txBody>
    </xdr:sp>
    <xdr:clientData/>
  </xdr:twoCellAnchor>
  <xdr:twoCellAnchor>
    <xdr:from>
      <xdr:col>14</xdr:col>
      <xdr:colOff>0</xdr:colOff>
      <xdr:row>93</xdr:row>
      <xdr:rowOff>0</xdr:rowOff>
    </xdr:from>
    <xdr:to>
      <xdr:col>14</xdr:col>
      <xdr:colOff>1</xdr:colOff>
      <xdr:row>95</xdr:row>
      <xdr:rowOff>0</xdr:rowOff>
    </xdr:to>
    <xdr:cxnSp macro="">
      <xdr:nvCxnSpPr>
        <xdr:cNvPr id="108" name="直線矢印コネクタ 1010">
          <a:extLst>
            <a:ext uri="{FF2B5EF4-FFF2-40B4-BE49-F238E27FC236}">
              <a16:creationId xmlns:a16="http://schemas.microsoft.com/office/drawing/2014/main" id="{00000000-0008-0000-0500-00006C000000}"/>
            </a:ext>
          </a:extLst>
        </xdr:cNvPr>
        <xdr:cNvCxnSpPr>
          <a:stCxn id="35" idx="2"/>
          <a:endCxn id="107" idx="0"/>
        </xdr:cNvCxnSpPr>
      </xdr:nvCxnSpPr>
      <xdr:spPr>
        <a:xfrm flipH="1">
          <a:off x="3733800" y="17830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88</xdr:row>
      <xdr:rowOff>0</xdr:rowOff>
    </xdr:from>
    <xdr:to>
      <xdr:col>61</xdr:col>
      <xdr:colOff>0</xdr:colOff>
      <xdr:row>98</xdr:row>
      <xdr:rowOff>0</xdr:rowOff>
    </xdr:to>
    <xdr:sp macro="" textlink="" fLocksText="0">
      <xdr:nvSpPr>
        <xdr:cNvPr id="115" name="吹き出し: 線 3">
          <a:extLst>
            <a:ext uri="{FF2B5EF4-FFF2-40B4-BE49-F238E27FC236}">
              <a16:creationId xmlns:a16="http://schemas.microsoft.com/office/drawing/2014/main" id="{00000000-0008-0000-0500-000073000000}"/>
            </a:ext>
          </a:extLst>
        </xdr:cNvPr>
        <xdr:cNvSpPr/>
      </xdr:nvSpPr>
      <xdr:spPr>
        <a:xfrm>
          <a:off x="10134600" y="16878300"/>
          <a:ext cx="6134100" cy="1905000"/>
        </a:xfrm>
        <a:prstGeom prst="borderCallout1">
          <a:avLst>
            <a:gd name="adj1" fmla="val 75416"/>
            <a:gd name="adj2" fmla="val -565"/>
            <a:gd name="adj3" fmla="val 45968"/>
            <a:gd name="adj4" fmla="val -9424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FF"/>
              </a:solidFill>
              <a:latin typeface="Meiryo UI" panose="020B0604030504040204" pitchFamily="34" charset="-128"/>
              <a:ea typeface="Meiryo UI" panose="020B0604030504040204" pitchFamily="34" charset="-128"/>
            </a:rPr>
            <a:t>ファイル形式のバリデーションチェック：jpeg, jpg, png. 形式が不正な場合、以下のエラーメッセージを表示する。</a:t>
          </a:r>
        </a:p>
        <a:p>
          <a:pPr algn="l"/>
          <a:r>
            <a:rPr lang="ja-JP" altLang="en-US" sz="1100" b="0" i="0" u="none" baseline="0">
              <a:solidFill>
                <a:srgbClr val="0000FF"/>
              </a:solidFill>
              <a:latin typeface="Meiryo UI" panose="020B0604030504040204" pitchFamily="34" charset="-128"/>
              <a:ea typeface="Meiryo UI" panose="020B0604030504040204" pitchFamily="34" charset="-128"/>
            </a:rPr>
            <a:t>　</a:t>
          </a:r>
          <a:r>
            <a:rPr lang="en-US" altLang="ja-JP" sz="1100" b="0" i="0" u="none" baseline="0">
              <a:solidFill>
                <a:srgbClr val="0000FF"/>
              </a:solidFill>
              <a:latin typeface="Meiryo UI" panose="020B0604030504040204" pitchFamily="34" charset="-128"/>
              <a:ea typeface="Meiryo UI" panose="020B0604030504040204" pitchFamily="34" charset="-128"/>
            </a:rPr>
            <a:t>画像ファイル(jpeg, jpg, png)をアップロードしてください。</a:t>
          </a:r>
        </a:p>
        <a:p>
          <a:pPr>
            <a:defRPr lang="en-US" altLang="ja-JP" sz="1100" b="0" i="0" u="none" baseline="0">
              <a:solidFill>
                <a:srgbClr val="00B050"/>
              </a:solidFill>
              <a:latin typeface="Meiryo UI" panose="020B0604030504040204" pitchFamily="34" charset="-128"/>
              <a:ea typeface="Meiryo UI" panose="020B0604030504040204" pitchFamily="34" charset="-128"/>
            </a:defRPr>
          </a:pPr>
          <a:r>
            <a:rPr lang="en-US" altLang="ja-JP" sz="1100" b="0" i="0" u="none" baseline="0">
              <a:solidFill>
                <a:srgbClr val="0000FF"/>
              </a:solidFill>
              <a:latin typeface="Meiryo UI" panose="020B0604030504040204" pitchFamily="34" charset="-128"/>
              <a:ea typeface="Meiryo UI" panose="020B0604030504040204" pitchFamily="34" charset="-128"/>
            </a:rPr>
            <a:t>ファイル名のバリデーションチェック：最大50桁まで</a:t>
          </a:r>
        </a:p>
        <a:p>
          <a:pPr>
            <a:defRPr lang="en-US" altLang="ja-JP" sz="1100" b="0" i="0" u="none" baseline="0">
              <a:solidFill>
                <a:srgbClr val="00B050"/>
              </a:solidFill>
              <a:latin typeface="Meiryo UI" panose="020B0604030504040204" pitchFamily="34" charset="-128"/>
              <a:ea typeface="Meiryo UI" panose="020B0604030504040204" pitchFamily="34" charset="-128"/>
            </a:defRPr>
          </a:pPr>
          <a:r>
            <a:rPr lang="en-US" altLang="ja-JP" sz="1100" b="0" i="0" u="none" baseline="0">
              <a:solidFill>
                <a:srgbClr val="0000FF"/>
              </a:solidFill>
              <a:latin typeface="Meiryo UI" panose="020B0604030504040204" pitchFamily="34" charset="-128"/>
              <a:ea typeface="Meiryo UI" panose="020B0604030504040204" pitchFamily="34" charset="-128"/>
            </a:rPr>
            <a:t>画像名のバリデーションチェック: [a-z], [A-Z]の文字</a:t>
          </a:r>
          <a:r>
            <a:rPr lang="ja-JP" altLang="en-US" sz="1100" b="0" i="0" u="none" baseline="0">
              <a:solidFill>
                <a:srgbClr val="0000FF"/>
              </a:solidFill>
              <a:latin typeface="Meiryo UI" panose="020B0604030504040204" pitchFamily="34" charset="-128"/>
              <a:ea typeface="Meiryo UI" panose="020B0604030504040204" pitchFamily="34" charset="-128"/>
            </a:rPr>
            <a:t>、</a:t>
          </a:r>
          <a:r>
            <a:rPr lang="en-US" altLang="ja-JP" sz="1100" b="0" i="0" u="none" baseline="0">
              <a:solidFill>
                <a:srgbClr val="0000FF"/>
              </a:solidFill>
              <a:effectLst/>
              <a:latin typeface="+mn-lt"/>
              <a:ea typeface="+mn-ea"/>
              <a:cs typeface="+mn-cs"/>
            </a:rPr>
            <a:t>\ /:*?"&lt;&gt;|</a:t>
          </a:r>
          <a:r>
            <a:rPr lang="en-US" altLang="ja-JP" sz="1100" b="0" i="0" u="none" baseline="0">
              <a:solidFill>
                <a:srgbClr val="0000FF"/>
              </a:solidFill>
              <a:latin typeface="Meiryo UI" panose="020B0604030504040204" pitchFamily="34" charset="-128"/>
              <a:ea typeface="Meiryo UI" panose="020B0604030504040204" pitchFamily="34" charset="-128"/>
            </a:rPr>
            <a:t>を除く特殊文字のみ許可。</a:t>
          </a:r>
        </a:p>
        <a:p>
          <a:pPr>
            <a:defRPr lang="en-US" altLang="ja-JP" sz="1100" b="0" i="0" u="none" baseline="0">
              <a:solidFill>
                <a:srgbClr val="00B050"/>
              </a:solidFill>
              <a:latin typeface="Meiryo UI" panose="020B0604030504040204" pitchFamily="34" charset="-128"/>
              <a:ea typeface="Meiryo UI" panose="020B0604030504040204" pitchFamily="34" charset="-128"/>
            </a:defRPr>
          </a:pPr>
          <a:r>
            <a:rPr lang="en-US" altLang="ja-JP" sz="1100" b="0" i="0" u="none" baseline="0">
              <a:solidFill>
                <a:srgbClr val="0000FF"/>
              </a:solidFill>
              <a:latin typeface="Meiryo UI" panose="020B0604030504040204" pitchFamily="34" charset="-128"/>
              <a:ea typeface="Meiryo UI" panose="020B0604030504040204" pitchFamily="34" charset="-128"/>
            </a:rPr>
            <a:t>ファイルサイズのバリデーションチェック：5MB未満</a:t>
          </a:r>
        </a:p>
        <a:p>
          <a:pPr>
            <a:defRPr lang="en-US" altLang="ja-JP" sz="1100" b="0" i="0" u="none" baseline="0">
              <a:solidFill>
                <a:srgbClr val="00B050"/>
              </a:solidFill>
              <a:latin typeface="Meiryo UI" panose="020B0604030504040204" pitchFamily="34" charset="-128"/>
              <a:ea typeface="Meiryo UI" panose="020B0604030504040204" pitchFamily="34" charset="-128"/>
            </a:defRPr>
          </a:pPr>
          <a:r>
            <a:rPr lang="en-US" altLang="ja-JP" sz="1100" b="0" i="0" u="none" baseline="0">
              <a:solidFill>
                <a:srgbClr val="0000FF"/>
              </a:solidFill>
              <a:latin typeface="Meiryo UI" panose="020B0604030504040204" pitchFamily="34" charset="-128"/>
              <a:ea typeface="Meiryo UI" panose="020B0604030504040204" pitchFamily="34" charset="-128"/>
            </a:rPr>
            <a:t>ファイルサイズを5MB超える場合、以下のエラーメッセージを表示する。</a:t>
          </a:r>
        </a:p>
        <a:p>
          <a:pPr>
            <a:defRPr lang="en-US" altLang="ja-JP" sz="1100" b="0" i="0" u="none" baseline="0">
              <a:solidFill>
                <a:srgbClr val="00B050"/>
              </a:solidFill>
              <a:latin typeface="Meiryo UI" panose="020B0604030504040204" pitchFamily="34" charset="-128"/>
              <a:ea typeface="Meiryo UI" panose="020B0604030504040204" pitchFamily="34" charset="-128"/>
            </a:defRPr>
          </a:pPr>
          <a:r>
            <a:rPr lang="ja-JP" altLang="en-US" sz="1100" b="0" i="0" u="none" baseline="0">
              <a:solidFill>
                <a:srgbClr val="0000FF"/>
              </a:solidFill>
              <a:latin typeface="Meiryo UI" panose="020B0604030504040204" pitchFamily="34" charset="-128"/>
              <a:ea typeface="Meiryo UI" panose="020B0604030504040204" pitchFamily="34" charset="-128"/>
            </a:rPr>
            <a:t>　</a:t>
          </a:r>
          <a:r>
            <a:rPr lang="en-US" altLang="ja-JP" sz="1100" b="0" i="0" u="none" baseline="0">
              <a:solidFill>
                <a:srgbClr val="0000FF"/>
              </a:solidFill>
              <a:latin typeface="Meiryo UI" panose="020B0604030504040204" pitchFamily="34" charset="-128"/>
              <a:ea typeface="Meiryo UI" panose="020B0604030504040204" pitchFamily="34" charset="-128"/>
            </a:rPr>
            <a:t>5MB未満のファイルをアップロードしてください。</a:t>
          </a:r>
        </a:p>
        <a:p>
          <a:pPr>
            <a:defRPr lang="en-US" altLang="ja-JP" sz="1100" b="0" i="0" u="none" baseline="0">
              <a:solidFill>
                <a:srgbClr val="00B05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8</xdr:row>
      <xdr:rowOff>0</xdr:rowOff>
    </xdr:from>
    <xdr:to>
      <xdr:col>43</xdr:col>
      <xdr:colOff>134470</xdr:colOff>
      <xdr:row>33</xdr:row>
      <xdr:rowOff>126664</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219200" y="1638300"/>
          <a:ext cx="12020550" cy="493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11207</xdr:colOff>
      <xdr:row>10</xdr:row>
      <xdr:rowOff>134471</xdr:rowOff>
    </xdr:from>
    <xdr:to>
      <xdr:col>9</xdr:col>
      <xdr:colOff>55146</xdr:colOff>
      <xdr:row>12</xdr:row>
      <xdr:rowOff>16434</xdr:rowOff>
    </xdr:to>
    <xdr:sp macro="" textlink="" fLocksText="0">
      <xdr:nvSpPr>
        <xdr:cNvPr id="3" name="Rectangle 2">
          <a:extLst>
            <a:ext uri="{FF2B5EF4-FFF2-40B4-BE49-F238E27FC236}">
              <a16:creationId xmlns:a16="http://schemas.microsoft.com/office/drawing/2014/main" id="{00000000-0008-0000-0600-000003000000}"/>
            </a:ext>
          </a:extLst>
        </xdr:cNvPr>
        <xdr:cNvSpPr/>
      </xdr:nvSpPr>
      <xdr:spPr>
        <a:xfrm>
          <a:off x="2447925" y="2152650"/>
          <a:ext cx="352425"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a:t>
          </a:r>
        </a:p>
      </xdr:txBody>
    </xdr:sp>
    <xdr:clientData/>
  </xdr:twoCellAnchor>
  <xdr:twoCellAnchor>
    <xdr:from>
      <xdr:col>12</xdr:col>
      <xdr:colOff>190499</xdr:colOff>
      <xdr:row>12</xdr:row>
      <xdr:rowOff>78441</xdr:rowOff>
    </xdr:from>
    <xdr:to>
      <xdr:col>13</xdr:col>
      <xdr:colOff>234439</xdr:colOff>
      <xdr:row>13</xdr:row>
      <xdr:rowOff>150904</xdr:rowOff>
    </xdr:to>
    <xdr:sp macro="" textlink="" fLocksText="0">
      <xdr:nvSpPr>
        <xdr:cNvPr id="4" name="Rectangle 3">
          <a:extLst>
            <a:ext uri="{FF2B5EF4-FFF2-40B4-BE49-F238E27FC236}">
              <a16:creationId xmlns:a16="http://schemas.microsoft.com/office/drawing/2014/main" id="{00000000-0008-0000-0600-000004000000}"/>
            </a:ext>
          </a:extLst>
        </xdr:cNvPr>
        <xdr:cNvSpPr/>
      </xdr:nvSpPr>
      <xdr:spPr>
        <a:xfrm>
          <a:off x="3848100" y="2476500"/>
          <a:ext cx="352425"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2</a:t>
          </a:r>
        </a:p>
      </xdr:txBody>
    </xdr:sp>
    <xdr:clientData/>
  </xdr:twoCellAnchor>
  <xdr:twoCellAnchor>
    <xdr:from>
      <xdr:col>17</xdr:col>
      <xdr:colOff>112059</xdr:colOff>
      <xdr:row>12</xdr:row>
      <xdr:rowOff>56029</xdr:rowOff>
    </xdr:from>
    <xdr:to>
      <xdr:col>18</xdr:col>
      <xdr:colOff>155999</xdr:colOff>
      <xdr:row>13</xdr:row>
      <xdr:rowOff>128492</xdr:rowOff>
    </xdr:to>
    <xdr:sp macro="" textlink="" fLocksText="0">
      <xdr:nvSpPr>
        <xdr:cNvPr id="5" name="Rectangle 4">
          <a:extLst>
            <a:ext uri="{FF2B5EF4-FFF2-40B4-BE49-F238E27FC236}">
              <a16:creationId xmlns:a16="http://schemas.microsoft.com/office/drawing/2014/main" id="{00000000-0008-0000-0600-000005000000}"/>
            </a:ext>
          </a:extLst>
        </xdr:cNvPr>
        <xdr:cNvSpPr/>
      </xdr:nvSpPr>
      <xdr:spPr>
        <a:xfrm>
          <a:off x="5295900" y="2457450"/>
          <a:ext cx="342900" cy="2571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a:t>
          </a:r>
        </a:p>
      </xdr:txBody>
    </xdr:sp>
    <xdr:clientData/>
  </xdr:twoCellAnchor>
  <xdr:twoCellAnchor>
    <xdr:from>
      <xdr:col>14</xdr:col>
      <xdr:colOff>246530</xdr:colOff>
      <xdr:row>14</xdr:row>
      <xdr:rowOff>22412</xdr:rowOff>
    </xdr:from>
    <xdr:to>
      <xdr:col>16</xdr:col>
      <xdr:colOff>10323</xdr:colOff>
      <xdr:row>15</xdr:row>
      <xdr:rowOff>94875</xdr:rowOff>
    </xdr:to>
    <xdr:sp macro="" textlink="" fLocksText="0">
      <xdr:nvSpPr>
        <xdr:cNvPr id="6" name="Rectangle 5">
          <a:extLst>
            <a:ext uri="{FF2B5EF4-FFF2-40B4-BE49-F238E27FC236}">
              <a16:creationId xmlns:a16="http://schemas.microsoft.com/office/drawing/2014/main" id="{00000000-0008-0000-0600-000006000000}"/>
            </a:ext>
          </a:extLst>
        </xdr:cNvPr>
        <xdr:cNvSpPr/>
      </xdr:nvSpPr>
      <xdr:spPr>
        <a:xfrm>
          <a:off x="4514850" y="2800350"/>
          <a:ext cx="371475"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4</a:t>
          </a:r>
        </a:p>
      </xdr:txBody>
    </xdr:sp>
    <xdr:clientData/>
  </xdr:twoCellAnchor>
  <xdr:twoCellAnchor>
    <xdr:from>
      <xdr:col>26</xdr:col>
      <xdr:colOff>168088</xdr:colOff>
      <xdr:row>13</xdr:row>
      <xdr:rowOff>156883</xdr:rowOff>
    </xdr:from>
    <xdr:to>
      <xdr:col>27</xdr:col>
      <xdr:colOff>212028</xdr:colOff>
      <xdr:row>15</xdr:row>
      <xdr:rowOff>38846</xdr:rowOff>
    </xdr:to>
    <xdr:sp macro="" textlink="" fLocksText="0">
      <xdr:nvSpPr>
        <xdr:cNvPr id="7" name="Rectangle 6">
          <a:extLst>
            <a:ext uri="{FF2B5EF4-FFF2-40B4-BE49-F238E27FC236}">
              <a16:creationId xmlns:a16="http://schemas.microsoft.com/office/drawing/2014/main" id="{00000000-0008-0000-0600-000007000000}"/>
            </a:ext>
          </a:extLst>
        </xdr:cNvPr>
        <xdr:cNvSpPr/>
      </xdr:nvSpPr>
      <xdr:spPr>
        <a:xfrm>
          <a:off x="8096250" y="2743200"/>
          <a:ext cx="342900"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5</a:t>
          </a:r>
        </a:p>
      </xdr:txBody>
    </xdr:sp>
    <xdr:clientData/>
  </xdr:twoCellAnchor>
  <xdr:twoCellAnchor>
    <xdr:from>
      <xdr:col>13</xdr:col>
      <xdr:colOff>134470</xdr:colOff>
      <xdr:row>23</xdr:row>
      <xdr:rowOff>179294</xdr:rowOff>
    </xdr:from>
    <xdr:to>
      <xdr:col>14</xdr:col>
      <xdr:colOff>178410</xdr:colOff>
      <xdr:row>25</xdr:row>
      <xdr:rowOff>72463</xdr:rowOff>
    </xdr:to>
    <xdr:sp macro="" textlink="" fLocksText="0">
      <xdr:nvSpPr>
        <xdr:cNvPr id="8" name="Rectangle 7">
          <a:extLst>
            <a:ext uri="{FF2B5EF4-FFF2-40B4-BE49-F238E27FC236}">
              <a16:creationId xmlns:a16="http://schemas.microsoft.com/office/drawing/2014/main" id="{00000000-0008-0000-0600-000008000000}"/>
            </a:ext>
          </a:extLst>
        </xdr:cNvPr>
        <xdr:cNvSpPr/>
      </xdr:nvSpPr>
      <xdr:spPr>
        <a:xfrm>
          <a:off x="4095750" y="4676775"/>
          <a:ext cx="352425"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6</a:t>
          </a:r>
        </a:p>
      </xdr:txBody>
    </xdr:sp>
    <xdr:clientData/>
  </xdr:twoCellAnchor>
  <xdr:twoCellAnchor>
    <xdr:from>
      <xdr:col>38</xdr:col>
      <xdr:colOff>29135</xdr:colOff>
      <xdr:row>29</xdr:row>
      <xdr:rowOff>107576</xdr:rowOff>
    </xdr:from>
    <xdr:to>
      <xdr:col>39</xdr:col>
      <xdr:colOff>73075</xdr:colOff>
      <xdr:row>30</xdr:row>
      <xdr:rowOff>168833</xdr:rowOff>
    </xdr:to>
    <xdr:sp macro="" textlink="" fLocksText="0">
      <xdr:nvSpPr>
        <xdr:cNvPr id="9" name="Rectangle 8">
          <a:extLst>
            <a:ext uri="{FF2B5EF4-FFF2-40B4-BE49-F238E27FC236}">
              <a16:creationId xmlns:a16="http://schemas.microsoft.com/office/drawing/2014/main" id="{00000000-0008-0000-0600-000009000000}"/>
            </a:ext>
          </a:extLst>
        </xdr:cNvPr>
        <xdr:cNvSpPr/>
      </xdr:nvSpPr>
      <xdr:spPr>
        <a:xfrm>
          <a:off x="11610975" y="5753100"/>
          <a:ext cx="352425"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7</a:t>
          </a:r>
        </a:p>
      </xdr:txBody>
    </xdr:sp>
    <xdr:clientData/>
  </xdr:twoCellAnchor>
  <xdr:twoCellAnchor>
    <xdr:from>
      <xdr:col>41</xdr:col>
      <xdr:colOff>33618</xdr:colOff>
      <xdr:row>29</xdr:row>
      <xdr:rowOff>134470</xdr:rowOff>
    </xdr:from>
    <xdr:to>
      <xdr:col>42</xdr:col>
      <xdr:colOff>77558</xdr:colOff>
      <xdr:row>30</xdr:row>
      <xdr:rowOff>195727</xdr:rowOff>
    </xdr:to>
    <xdr:sp macro="" textlink="" fLocksText="0">
      <xdr:nvSpPr>
        <xdr:cNvPr id="10" name="Rectangle 9">
          <a:extLst>
            <a:ext uri="{FF2B5EF4-FFF2-40B4-BE49-F238E27FC236}">
              <a16:creationId xmlns:a16="http://schemas.microsoft.com/office/drawing/2014/main" id="{00000000-0008-0000-0600-00000A000000}"/>
            </a:ext>
          </a:extLst>
        </xdr:cNvPr>
        <xdr:cNvSpPr/>
      </xdr:nvSpPr>
      <xdr:spPr>
        <a:xfrm>
          <a:off x="12534900" y="5781675"/>
          <a:ext cx="342900"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47" t="s">
        <v>0</v>
      </c>
      <c r="B1" s="48"/>
      <c r="C1" s="48"/>
      <c r="D1" s="48"/>
      <c r="E1" s="48"/>
      <c r="F1" s="48"/>
      <c r="G1" s="48"/>
      <c r="H1" s="48"/>
      <c r="I1" s="48"/>
      <c r="J1" s="49"/>
      <c r="K1" s="47" t="s">
        <v>2</v>
      </c>
      <c r="L1" s="48"/>
      <c r="M1" s="48"/>
      <c r="N1" s="48"/>
      <c r="O1" s="48"/>
      <c r="P1" s="48"/>
      <c r="Q1" s="48"/>
      <c r="R1" s="48"/>
      <c r="S1" s="48"/>
      <c r="T1" s="48"/>
      <c r="U1" s="48"/>
      <c r="V1" s="49"/>
      <c r="W1" s="68" t="s">
        <v>14</v>
      </c>
      <c r="X1" s="69"/>
      <c r="Y1" s="69"/>
      <c r="Z1" s="69"/>
      <c r="AA1" s="69"/>
      <c r="AB1" s="69"/>
      <c r="AC1" s="69"/>
      <c r="AD1" s="69"/>
      <c r="AE1" s="69"/>
      <c r="AF1" s="69"/>
      <c r="AG1" s="69"/>
      <c r="AH1" s="69"/>
      <c r="AI1" s="69"/>
      <c r="AJ1" s="69"/>
      <c r="AK1" s="69"/>
      <c r="AL1" s="69"/>
      <c r="AM1" s="69"/>
      <c r="AN1" s="69"/>
      <c r="AO1" s="70"/>
      <c r="AP1" s="47" t="s">
        <v>3</v>
      </c>
      <c r="AQ1" s="48"/>
      <c r="AR1" s="48"/>
      <c r="AS1" s="49"/>
      <c r="AT1" s="47" t="s">
        <v>4</v>
      </c>
      <c r="AU1" s="48"/>
      <c r="AV1" s="48"/>
      <c r="AW1" s="48"/>
      <c r="AX1" s="49"/>
      <c r="AY1" s="47" t="s">
        <v>5</v>
      </c>
      <c r="AZ1" s="48"/>
      <c r="BA1" s="48"/>
      <c r="BB1" s="49"/>
      <c r="BC1" s="47" t="s">
        <v>6</v>
      </c>
      <c r="BD1" s="48"/>
      <c r="BE1" s="48"/>
      <c r="BF1" s="48"/>
      <c r="BG1" s="49"/>
      <c r="BH1" s="47" t="s">
        <v>7</v>
      </c>
      <c r="BI1" s="48"/>
      <c r="BJ1" s="48"/>
      <c r="BK1" s="49"/>
    </row>
    <row r="2" spans="1:63" ht="15" customHeight="1" x14ac:dyDescent="0.25">
      <c r="A2" s="67" t="s">
        <v>29</v>
      </c>
      <c r="B2" s="13"/>
      <c r="C2" s="13"/>
      <c r="D2" s="13"/>
      <c r="E2" s="13"/>
      <c r="F2" s="13"/>
      <c r="G2" s="13"/>
      <c r="H2" s="13"/>
      <c r="I2" s="13"/>
      <c r="J2" s="12"/>
      <c r="K2" s="14" t="s">
        <v>13</v>
      </c>
      <c r="L2" s="13"/>
      <c r="M2" s="13"/>
      <c r="N2" s="13"/>
      <c r="O2" s="13"/>
      <c r="P2" s="13"/>
      <c r="Q2" s="13"/>
      <c r="R2" s="13"/>
      <c r="S2" s="13"/>
      <c r="T2" s="13"/>
      <c r="U2" s="13"/>
      <c r="V2" s="12"/>
      <c r="W2" s="71"/>
      <c r="X2" s="72"/>
      <c r="Y2" s="72"/>
      <c r="Z2" s="72"/>
      <c r="AA2" s="72"/>
      <c r="AB2" s="72"/>
      <c r="AC2" s="72"/>
      <c r="AD2" s="72"/>
      <c r="AE2" s="72"/>
      <c r="AF2" s="72"/>
      <c r="AG2" s="72"/>
      <c r="AH2" s="72"/>
      <c r="AI2" s="72"/>
      <c r="AJ2" s="72"/>
      <c r="AK2" s="72"/>
      <c r="AL2" s="72"/>
      <c r="AM2" s="72"/>
      <c r="AN2" s="72"/>
      <c r="AO2" s="73"/>
      <c r="AP2" s="14" t="str">
        <f>改訂履歴!$H$11</f>
        <v>TinNH</v>
      </c>
      <c r="AQ2" s="13"/>
      <c r="AR2" s="13"/>
      <c r="AS2" s="12"/>
      <c r="AT2" s="61">
        <f>改訂履歴!$B$11</f>
        <v>45439</v>
      </c>
      <c r="AU2" s="62"/>
      <c r="AV2" s="62"/>
      <c r="AW2" s="62"/>
      <c r="AX2" s="63"/>
      <c r="AY2" s="14" t="str">
        <f>LOOKUP(2,1/(改訂履歴!H11:H30005&lt;&gt;""),改訂履歴!H11:H30005)</f>
        <v>DuNT</v>
      </c>
      <c r="AZ2" s="13"/>
      <c r="BA2" s="13"/>
      <c r="BB2" s="12"/>
      <c r="BC2" s="61">
        <f>LOOKUP(2,1/(改訂履歴!B11:B30005&lt;&gt;""),改訂履歴!B11:B30005)</f>
        <v>45545</v>
      </c>
      <c r="BD2" s="62"/>
      <c r="BE2" s="62"/>
      <c r="BF2" s="62"/>
      <c r="BG2" s="63"/>
      <c r="BH2" s="55">
        <f>LOOKUP(2,1/(改訂履歴!O11:O30005&lt;&gt;""),改訂履歴!O11:O30005)</f>
        <v>0.4</v>
      </c>
      <c r="BI2" s="56"/>
      <c r="BJ2" s="56"/>
      <c r="BK2" s="57"/>
    </row>
    <row r="3" spans="1:63" ht="15" customHeight="1" x14ac:dyDescent="0.25">
      <c r="A3" s="8"/>
      <c r="B3" s="7"/>
      <c r="C3" s="7"/>
      <c r="D3" s="7"/>
      <c r="E3" s="7"/>
      <c r="F3" s="7"/>
      <c r="G3" s="7"/>
      <c r="H3" s="7"/>
      <c r="I3" s="7"/>
      <c r="J3" s="6"/>
      <c r="K3" s="8"/>
      <c r="L3" s="7"/>
      <c r="M3" s="7"/>
      <c r="N3" s="7"/>
      <c r="O3" s="7"/>
      <c r="P3" s="7"/>
      <c r="Q3" s="7"/>
      <c r="R3" s="7"/>
      <c r="S3" s="7"/>
      <c r="T3" s="7"/>
      <c r="U3" s="7"/>
      <c r="V3" s="6"/>
      <c r="W3" s="74"/>
      <c r="X3" s="75"/>
      <c r="Y3" s="75"/>
      <c r="Z3" s="75"/>
      <c r="AA3" s="75"/>
      <c r="AB3" s="75"/>
      <c r="AC3" s="75"/>
      <c r="AD3" s="75"/>
      <c r="AE3" s="75"/>
      <c r="AF3" s="75"/>
      <c r="AG3" s="75"/>
      <c r="AH3" s="75"/>
      <c r="AI3" s="75"/>
      <c r="AJ3" s="75"/>
      <c r="AK3" s="75"/>
      <c r="AL3" s="75"/>
      <c r="AM3" s="75"/>
      <c r="AN3" s="75"/>
      <c r="AO3" s="76"/>
      <c r="AP3" s="8"/>
      <c r="AQ3" s="7"/>
      <c r="AR3" s="7"/>
      <c r="AS3" s="6"/>
      <c r="AT3" s="64"/>
      <c r="AU3" s="65"/>
      <c r="AV3" s="65"/>
      <c r="AW3" s="65"/>
      <c r="AX3" s="66"/>
      <c r="AY3" s="8"/>
      <c r="AZ3" s="7"/>
      <c r="BA3" s="7"/>
      <c r="BB3" s="6"/>
      <c r="BC3" s="64"/>
      <c r="BD3" s="65"/>
      <c r="BE3" s="65"/>
      <c r="BF3" s="65"/>
      <c r="BG3" s="66"/>
      <c r="BH3" s="58"/>
      <c r="BI3" s="59"/>
      <c r="BJ3" s="59"/>
      <c r="BK3" s="60"/>
    </row>
    <row r="4" spans="1:63" ht="24.95" customHeight="1" x14ac:dyDescent="0.25">
      <c r="A4" s="47" t="s">
        <v>1</v>
      </c>
      <c r="B4" s="48"/>
      <c r="C4" s="48"/>
      <c r="D4" s="48"/>
      <c r="E4" s="48"/>
      <c r="F4" s="48"/>
      <c r="G4" s="49"/>
      <c r="H4" s="52" t="s">
        <v>55</v>
      </c>
      <c r="I4" s="53"/>
      <c r="J4" s="53"/>
      <c r="K4" s="53"/>
      <c r="L4" s="53"/>
      <c r="M4" s="53"/>
      <c r="N4" s="53"/>
      <c r="O4" s="53"/>
      <c r="P4" s="53"/>
      <c r="Q4" s="53"/>
      <c r="R4" s="53"/>
      <c r="S4" s="53"/>
      <c r="T4" s="54"/>
      <c r="U4" s="47" t="s">
        <v>8</v>
      </c>
      <c r="V4" s="48"/>
      <c r="W4" s="48"/>
      <c r="X4" s="48"/>
      <c r="Y4" s="49"/>
      <c r="Z4" s="52" t="s">
        <v>15</v>
      </c>
      <c r="AA4" s="53"/>
      <c r="AB4" s="53"/>
      <c r="AC4" s="53"/>
      <c r="AD4" s="53"/>
      <c r="AE4" s="53"/>
      <c r="AF4" s="53"/>
      <c r="AG4" s="53"/>
      <c r="AH4" s="53"/>
      <c r="AI4" s="53"/>
      <c r="AJ4" s="53"/>
      <c r="AK4" s="53"/>
      <c r="AL4" s="53"/>
      <c r="AM4" s="53"/>
      <c r="AN4" s="53"/>
      <c r="AO4" s="54"/>
      <c r="AP4" s="52" t="str">
        <f t="array" aca="1" ref="AP4" ca="1">RIGHT(CELL("filename",$A$1),LEN(CELL("filename",$A$1))-FIND("]",CELL("filename",$A$1)))</f>
        <v>表紙</v>
      </c>
      <c r="AQ4" s="53"/>
      <c r="AR4" s="53"/>
      <c r="AS4" s="53"/>
      <c r="AT4" s="53"/>
      <c r="AU4" s="53"/>
      <c r="AV4" s="53"/>
      <c r="AW4" s="53"/>
      <c r="AX4" s="53"/>
      <c r="AY4" s="53"/>
      <c r="AZ4" s="53"/>
      <c r="BA4" s="53"/>
      <c r="BB4" s="53"/>
      <c r="BC4" s="53"/>
      <c r="BD4" s="53"/>
      <c r="BE4" s="53"/>
      <c r="BF4" s="53"/>
      <c r="BG4" s="53"/>
      <c r="BH4" s="53"/>
      <c r="BI4" s="53"/>
      <c r="BJ4" s="53"/>
      <c r="BK4" s="54"/>
    </row>
    <row r="5" spans="1:63" ht="5.0999999999999996" customHeight="1" x14ac:dyDescent="0.25">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9"/>
    </row>
    <row r="6" spans="1:63" ht="15" customHeight="1" x14ac:dyDescent="0.25">
      <c r="A6" s="15"/>
      <c r="BK6" s="18"/>
    </row>
    <row r="7" spans="1:63" ht="15" customHeight="1" x14ac:dyDescent="0.25">
      <c r="A7" s="15"/>
      <c r="BK7" s="18"/>
    </row>
    <row r="8" spans="1:63" ht="15" customHeight="1" x14ac:dyDescent="0.25">
      <c r="A8" s="15"/>
      <c r="BK8" s="18"/>
    </row>
    <row r="9" spans="1:63" ht="15" customHeight="1" x14ac:dyDescent="0.25">
      <c r="A9" s="15"/>
      <c r="BK9" s="18"/>
    </row>
    <row r="10" spans="1:63" ht="15" customHeight="1" x14ac:dyDescent="0.25">
      <c r="A10" s="15"/>
      <c r="BK10" s="18"/>
    </row>
    <row r="11" spans="1:63" ht="15" customHeight="1" x14ac:dyDescent="0.25">
      <c r="A11" s="15"/>
      <c r="BK11" s="18"/>
    </row>
    <row r="12" spans="1:63" ht="15" customHeight="1" x14ac:dyDescent="0.25">
      <c r="A12" s="15"/>
      <c r="BK12" s="18"/>
    </row>
    <row r="13" spans="1:63" ht="15" customHeight="1" x14ac:dyDescent="0.25">
      <c r="A13" s="15"/>
      <c r="BK13" s="18"/>
    </row>
    <row r="14" spans="1:63" ht="15" customHeight="1" thickBot="1" x14ac:dyDescent="0.3">
      <c r="A14" s="15"/>
      <c r="BK14" s="18"/>
    </row>
    <row r="15" spans="1:63" ht="15" customHeight="1" thickTop="1" x14ac:dyDescent="0.25">
      <c r="A15" s="15"/>
      <c r="K15" s="21"/>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5"/>
      <c r="BK15" s="18"/>
    </row>
    <row r="16" spans="1:63" ht="15" customHeight="1" x14ac:dyDescent="0.25">
      <c r="A16" s="15"/>
      <c r="K16" s="20"/>
      <c r="L16" s="50" t="s">
        <v>31</v>
      </c>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26"/>
      <c r="BK16" s="18"/>
    </row>
    <row r="17" spans="1:63" ht="15" customHeight="1" x14ac:dyDescent="0.25">
      <c r="A17" s="15"/>
      <c r="K17" s="20"/>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26"/>
      <c r="BK17" s="18"/>
    </row>
    <row r="18" spans="1:63" ht="15" customHeight="1" x14ac:dyDescent="0.25">
      <c r="A18" s="15"/>
      <c r="K18" s="20"/>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26"/>
      <c r="BK18" s="18"/>
    </row>
    <row r="19" spans="1:63" ht="15" customHeight="1" x14ac:dyDescent="0.25">
      <c r="A19" s="15"/>
      <c r="K19" s="20"/>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26"/>
      <c r="BK19" s="18"/>
    </row>
    <row r="20" spans="1:63" ht="15" customHeight="1" x14ac:dyDescent="0.25">
      <c r="A20" s="15"/>
      <c r="K20" s="20"/>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26"/>
      <c r="BK20" s="18"/>
    </row>
    <row r="21" spans="1:63" ht="15" customHeight="1" x14ac:dyDescent="0.25">
      <c r="A21" s="15"/>
      <c r="K21" s="20"/>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26"/>
      <c r="BK21" s="18"/>
    </row>
    <row r="22" spans="1:63" ht="15" customHeight="1" thickBot="1" x14ac:dyDescent="0.3">
      <c r="A22" s="15"/>
      <c r="K22" s="20"/>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6"/>
      <c r="BK22" s="18"/>
    </row>
    <row r="23" spans="1:63" ht="15" customHeight="1" x14ac:dyDescent="0.25">
      <c r="A23" s="15"/>
      <c r="K23" s="20"/>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6"/>
      <c r="BK23" s="18"/>
    </row>
    <row r="24" spans="1:63" ht="15" customHeight="1" x14ac:dyDescent="0.25">
      <c r="A24" s="15"/>
      <c r="K24" s="20"/>
      <c r="L24" s="51" t="str">
        <f>K2&amp;"/"&amp;H4&amp;"/"&amp;Z4</f>
        <v>POSサーバ/62_画像アップロード/概要設計</v>
      </c>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26"/>
      <c r="BK24" s="18"/>
    </row>
    <row r="25" spans="1:63" ht="15" customHeight="1" x14ac:dyDescent="0.25">
      <c r="A25" s="15"/>
      <c r="K25" s="20"/>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26"/>
      <c r="BK25" s="18"/>
    </row>
    <row r="26" spans="1:63" ht="15" customHeight="1" x14ac:dyDescent="0.25">
      <c r="A26" s="15"/>
      <c r="K26" s="20"/>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26"/>
      <c r="BK26" s="18"/>
    </row>
    <row r="27" spans="1:63" ht="15" customHeight="1" x14ac:dyDescent="0.25">
      <c r="A27" s="15"/>
      <c r="K27" s="20"/>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26"/>
      <c r="BK27" s="18"/>
    </row>
    <row r="28" spans="1:63" ht="15" customHeight="1" x14ac:dyDescent="0.25">
      <c r="A28" s="15"/>
      <c r="K28" s="20"/>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26"/>
      <c r="BK28" s="18"/>
    </row>
    <row r="29" spans="1:63" ht="15" customHeight="1" x14ac:dyDescent="0.25">
      <c r="A29" s="15"/>
      <c r="K29" s="20"/>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26"/>
      <c r="BK29" s="18"/>
    </row>
    <row r="30" spans="1:63" ht="15" customHeight="1" x14ac:dyDescent="0.25">
      <c r="A30" s="15"/>
      <c r="K30" s="20"/>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26"/>
      <c r="BK30" s="18"/>
    </row>
    <row r="31" spans="1:63" ht="15" customHeight="1" x14ac:dyDescent="0.25">
      <c r="A31" s="15"/>
      <c r="K31" s="20"/>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26"/>
      <c r="BK31" s="18"/>
    </row>
    <row r="32" spans="1:63" ht="15" customHeight="1" x14ac:dyDescent="0.25">
      <c r="A32" s="15"/>
      <c r="K32" s="20"/>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26"/>
      <c r="BK32" s="18"/>
    </row>
    <row r="33" spans="1:63" ht="15" customHeight="1" x14ac:dyDescent="0.25">
      <c r="A33" s="15"/>
      <c r="K33" s="20"/>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26"/>
      <c r="BK33" s="18"/>
    </row>
    <row r="34" spans="1:63" ht="15" customHeight="1" x14ac:dyDescent="0.25">
      <c r="A34" s="15"/>
      <c r="K34" s="20"/>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26"/>
      <c r="BK34" s="18"/>
    </row>
    <row r="35" spans="1:63" ht="15" customHeight="1" x14ac:dyDescent="0.25">
      <c r="A35" s="15"/>
      <c r="K35" s="20"/>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26"/>
      <c r="BK35" s="18"/>
    </row>
    <row r="36" spans="1:63" ht="15" customHeight="1" x14ac:dyDescent="0.25">
      <c r="A36" s="15"/>
      <c r="K36" s="20"/>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26"/>
      <c r="BK36" s="18"/>
    </row>
    <row r="37" spans="1:63" ht="15" customHeight="1" thickBot="1" x14ac:dyDescent="0.3">
      <c r="A37" s="15"/>
      <c r="K37" s="23"/>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7"/>
      <c r="BK37" s="18"/>
    </row>
    <row r="38" spans="1:63" ht="15" customHeight="1" thickTop="1" x14ac:dyDescent="0.25">
      <c r="A38" s="15"/>
      <c r="BK38" s="18"/>
    </row>
    <row r="39" spans="1:63" ht="15" customHeight="1" x14ac:dyDescent="0.25">
      <c r="A39" s="15"/>
      <c r="BK39" s="18"/>
    </row>
    <row r="40" spans="1:63" ht="15" customHeight="1" x14ac:dyDescent="0.25">
      <c r="A40" s="15"/>
      <c r="BK40" s="18"/>
    </row>
    <row r="41" spans="1:63" ht="15" customHeight="1" x14ac:dyDescent="0.25">
      <c r="A41" s="15"/>
      <c r="BK41" s="18"/>
    </row>
    <row r="42" spans="1:63" ht="15" customHeight="1" x14ac:dyDescent="0.25">
      <c r="A42" s="15"/>
      <c r="BK42" s="18"/>
    </row>
    <row r="43" spans="1:63" ht="15" customHeight="1" x14ac:dyDescent="0.25">
      <c r="A43" s="15"/>
      <c r="BK43" s="18"/>
    </row>
    <row r="44" spans="1:63" ht="15" customHeight="1" x14ac:dyDescent="0.25">
      <c r="A44" s="15"/>
      <c r="Q44" s="5" t="s">
        <v>11</v>
      </c>
      <c r="R44" s="4"/>
      <c r="S44" s="4"/>
      <c r="T44" s="4"/>
      <c r="U44" s="4"/>
      <c r="V44" s="4"/>
      <c r="W44" s="4"/>
      <c r="X44" s="4"/>
      <c r="Y44" s="4"/>
      <c r="Z44" s="3"/>
      <c r="AA44" s="5" t="s">
        <v>12</v>
      </c>
      <c r="AB44" s="4"/>
      <c r="AC44" s="4"/>
      <c r="AD44" s="4"/>
      <c r="AE44" s="4"/>
      <c r="AF44" s="4"/>
      <c r="AG44" s="4"/>
      <c r="AH44" s="4"/>
      <c r="AI44" s="4"/>
      <c r="AJ44" s="4"/>
      <c r="AK44" s="4"/>
      <c r="AL44" s="4"/>
      <c r="AM44" s="4"/>
      <c r="AN44" s="4"/>
      <c r="AO44" s="4"/>
      <c r="AP44" s="3"/>
      <c r="AQ44" s="5" t="s">
        <v>7</v>
      </c>
      <c r="AR44" s="4"/>
      <c r="AS44" s="4"/>
      <c r="AT44" s="4"/>
      <c r="AU44" s="3"/>
      <c r="BK44" s="18"/>
    </row>
    <row r="45" spans="1:63" ht="15" customHeight="1" x14ac:dyDescent="0.25">
      <c r="A45" s="15"/>
      <c r="Q45" s="2"/>
      <c r="R45" s="1"/>
      <c r="S45" s="1"/>
      <c r="T45" s="1"/>
      <c r="U45" s="1"/>
      <c r="V45" s="1"/>
      <c r="W45" s="1"/>
      <c r="X45" s="1"/>
      <c r="Y45" s="1"/>
      <c r="Z45" s="46"/>
      <c r="AA45" s="2"/>
      <c r="AB45" s="1"/>
      <c r="AC45" s="1"/>
      <c r="AD45" s="1"/>
      <c r="AE45" s="1"/>
      <c r="AF45" s="1"/>
      <c r="AG45" s="1"/>
      <c r="AH45" s="1"/>
      <c r="AI45" s="1"/>
      <c r="AJ45" s="1"/>
      <c r="AK45" s="1"/>
      <c r="AL45" s="1"/>
      <c r="AM45" s="1"/>
      <c r="AN45" s="1"/>
      <c r="AO45" s="1"/>
      <c r="AP45" s="46"/>
      <c r="AQ45" s="2"/>
      <c r="AR45" s="1"/>
      <c r="AS45" s="1"/>
      <c r="AT45" s="1"/>
      <c r="AU45" s="46"/>
      <c r="BK45" s="18"/>
    </row>
    <row r="46" spans="1:63" ht="15" customHeight="1" x14ac:dyDescent="0.25">
      <c r="A46" s="15"/>
      <c r="Q46" s="14"/>
      <c r="R46" s="13"/>
      <c r="S46" s="13"/>
      <c r="T46" s="13"/>
      <c r="U46" s="13"/>
      <c r="V46" s="13"/>
      <c r="W46" s="13"/>
      <c r="X46" s="13"/>
      <c r="Y46" s="13"/>
      <c r="Z46" s="12"/>
      <c r="AA46" s="14"/>
      <c r="AB46" s="13"/>
      <c r="AC46" s="13"/>
      <c r="AD46" s="13"/>
      <c r="AE46" s="13"/>
      <c r="AF46" s="13"/>
      <c r="AG46" s="13"/>
      <c r="AH46" s="13"/>
      <c r="AI46" s="13"/>
      <c r="AJ46" s="13"/>
      <c r="AK46" s="13"/>
      <c r="AL46" s="13"/>
      <c r="AM46" s="13"/>
      <c r="AN46" s="13"/>
      <c r="AO46" s="13"/>
      <c r="AP46" s="12"/>
      <c r="AQ46" s="14"/>
      <c r="AR46" s="13"/>
      <c r="AS46" s="13"/>
      <c r="AT46" s="13"/>
      <c r="AU46" s="12"/>
      <c r="BK46" s="18"/>
    </row>
    <row r="47" spans="1:63" ht="15" customHeight="1" x14ac:dyDescent="0.25">
      <c r="A47" s="15"/>
      <c r="Q47" s="11"/>
      <c r="R47" s="10"/>
      <c r="S47" s="10"/>
      <c r="T47" s="10"/>
      <c r="U47" s="10"/>
      <c r="V47" s="10"/>
      <c r="W47" s="10"/>
      <c r="X47" s="10"/>
      <c r="Y47" s="10"/>
      <c r="Z47" s="9"/>
      <c r="AA47" s="11"/>
      <c r="AB47" s="10"/>
      <c r="AC47" s="10"/>
      <c r="AD47" s="10"/>
      <c r="AE47" s="10"/>
      <c r="AF47" s="10"/>
      <c r="AG47" s="10"/>
      <c r="AH47" s="10"/>
      <c r="AI47" s="10"/>
      <c r="AJ47" s="10"/>
      <c r="AK47" s="10"/>
      <c r="AL47" s="10"/>
      <c r="AM47" s="10"/>
      <c r="AN47" s="10"/>
      <c r="AO47" s="10"/>
      <c r="AP47" s="9"/>
      <c r="AQ47" s="11"/>
      <c r="AR47" s="10"/>
      <c r="AS47" s="10"/>
      <c r="AT47" s="10"/>
      <c r="AU47" s="9"/>
      <c r="BK47" s="18"/>
    </row>
    <row r="48" spans="1:63" ht="15" customHeight="1" x14ac:dyDescent="0.25">
      <c r="A48" s="15"/>
      <c r="Q48" s="11"/>
      <c r="R48" s="10"/>
      <c r="S48" s="10"/>
      <c r="T48" s="10"/>
      <c r="U48" s="10"/>
      <c r="V48" s="10"/>
      <c r="W48" s="10"/>
      <c r="X48" s="10"/>
      <c r="Y48" s="10"/>
      <c r="Z48" s="9"/>
      <c r="AA48" s="11"/>
      <c r="AB48" s="10"/>
      <c r="AC48" s="10"/>
      <c r="AD48" s="10"/>
      <c r="AE48" s="10"/>
      <c r="AF48" s="10"/>
      <c r="AG48" s="10"/>
      <c r="AH48" s="10"/>
      <c r="AI48" s="10"/>
      <c r="AJ48" s="10"/>
      <c r="AK48" s="10"/>
      <c r="AL48" s="10"/>
      <c r="AM48" s="10"/>
      <c r="AN48" s="10"/>
      <c r="AO48" s="10"/>
      <c r="AP48" s="9"/>
      <c r="AQ48" s="11"/>
      <c r="AR48" s="10"/>
      <c r="AS48" s="10"/>
      <c r="AT48" s="10"/>
      <c r="AU48" s="9"/>
      <c r="BK48" s="18"/>
    </row>
    <row r="49" spans="1:63" ht="15" customHeight="1" x14ac:dyDescent="0.25">
      <c r="A49" s="15"/>
      <c r="Q49" s="8"/>
      <c r="R49" s="7"/>
      <c r="S49" s="7"/>
      <c r="T49" s="7"/>
      <c r="U49" s="7"/>
      <c r="V49" s="7"/>
      <c r="W49" s="7"/>
      <c r="X49" s="7"/>
      <c r="Y49" s="7"/>
      <c r="Z49" s="6"/>
      <c r="AA49" s="8"/>
      <c r="AB49" s="7"/>
      <c r="AC49" s="7"/>
      <c r="AD49" s="7"/>
      <c r="AE49" s="7"/>
      <c r="AF49" s="7"/>
      <c r="AG49" s="7"/>
      <c r="AH49" s="7"/>
      <c r="AI49" s="7"/>
      <c r="AJ49" s="7"/>
      <c r="AK49" s="7"/>
      <c r="AL49" s="7"/>
      <c r="AM49" s="7"/>
      <c r="AN49" s="7"/>
      <c r="AO49" s="7"/>
      <c r="AP49" s="6"/>
      <c r="AQ49" s="8"/>
      <c r="AR49" s="7"/>
      <c r="AS49" s="7"/>
      <c r="AT49" s="7"/>
      <c r="AU49" s="6"/>
      <c r="BK49" s="18"/>
    </row>
    <row r="50" spans="1:63" ht="15" customHeight="1" x14ac:dyDescent="0.25">
      <c r="A50" s="15"/>
      <c r="BK50" s="18"/>
    </row>
    <row r="51" spans="1:63" ht="15" customHeight="1" x14ac:dyDescent="0.25">
      <c r="A51" s="15"/>
      <c r="BK51" s="18"/>
    </row>
    <row r="52" spans="1:63" ht="15" customHeight="1" x14ac:dyDescent="0.25">
      <c r="A52" s="15"/>
      <c r="BK52" s="18"/>
    </row>
    <row r="53" spans="1:63" ht="15" customHeight="1" x14ac:dyDescent="0.25">
      <c r="A53" s="15"/>
      <c r="BK53" s="18"/>
    </row>
    <row r="54" spans="1:63" ht="15" customHeight="1" x14ac:dyDescent="0.25">
      <c r="A54" s="15"/>
      <c r="BK54" s="18"/>
    </row>
    <row r="55" spans="1:63" ht="15" customHeight="1" x14ac:dyDescent="0.25">
      <c r="A55" s="16"/>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9"/>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60"/>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customWidth="1"/>
  </cols>
  <sheetData>
    <row r="1" spans="1:63" ht="24.95" customHeight="1" x14ac:dyDescent="0.25">
      <c r="A1" s="47" t="s">
        <v>0</v>
      </c>
      <c r="B1" s="48"/>
      <c r="C1" s="48"/>
      <c r="D1" s="48"/>
      <c r="E1" s="48"/>
      <c r="F1" s="48"/>
      <c r="G1" s="48"/>
      <c r="H1" s="48"/>
      <c r="I1" s="48"/>
      <c r="J1" s="49"/>
      <c r="K1" s="47" t="s">
        <v>2</v>
      </c>
      <c r="L1" s="48"/>
      <c r="M1" s="48"/>
      <c r="N1" s="48"/>
      <c r="O1" s="48"/>
      <c r="P1" s="48"/>
      <c r="Q1" s="48"/>
      <c r="R1" s="48"/>
      <c r="S1" s="48"/>
      <c r="T1" s="48"/>
      <c r="U1" s="48"/>
      <c r="V1" s="49"/>
      <c r="W1" s="68" t="str">
        <f>IF(表紙!W1="","",表紙!W1)</f>
        <v>基本設計書</v>
      </c>
      <c r="X1" s="69"/>
      <c r="Y1" s="69"/>
      <c r="Z1" s="69"/>
      <c r="AA1" s="69"/>
      <c r="AB1" s="69"/>
      <c r="AC1" s="69"/>
      <c r="AD1" s="69"/>
      <c r="AE1" s="69"/>
      <c r="AF1" s="69"/>
      <c r="AG1" s="69"/>
      <c r="AH1" s="69"/>
      <c r="AI1" s="69"/>
      <c r="AJ1" s="69"/>
      <c r="AK1" s="69"/>
      <c r="AL1" s="69"/>
      <c r="AM1" s="69"/>
      <c r="AN1" s="69"/>
      <c r="AO1" s="70"/>
      <c r="AP1" s="47" t="s">
        <v>3</v>
      </c>
      <c r="AQ1" s="48"/>
      <c r="AR1" s="48"/>
      <c r="AS1" s="49"/>
      <c r="AT1" s="47" t="s">
        <v>4</v>
      </c>
      <c r="AU1" s="48"/>
      <c r="AV1" s="48"/>
      <c r="AW1" s="48"/>
      <c r="AX1" s="49"/>
      <c r="AY1" s="47" t="s">
        <v>5</v>
      </c>
      <c r="AZ1" s="48"/>
      <c r="BA1" s="48"/>
      <c r="BB1" s="49"/>
      <c r="BC1" s="47" t="s">
        <v>6</v>
      </c>
      <c r="BD1" s="48"/>
      <c r="BE1" s="48"/>
      <c r="BF1" s="48"/>
      <c r="BG1" s="49"/>
      <c r="BH1" s="47" t="s">
        <v>7</v>
      </c>
      <c r="BI1" s="48"/>
      <c r="BJ1" s="48"/>
      <c r="BK1" s="49"/>
    </row>
    <row r="2" spans="1:63" ht="15" customHeight="1" x14ac:dyDescent="0.25">
      <c r="A2" s="14" t="str">
        <f>IF(表紙!A2="","",表紙!A2)</f>
        <v>POSサーバー</v>
      </c>
      <c r="B2" s="13"/>
      <c r="C2" s="13"/>
      <c r="D2" s="13"/>
      <c r="E2" s="13"/>
      <c r="F2" s="13"/>
      <c r="G2" s="13"/>
      <c r="H2" s="13"/>
      <c r="I2" s="13"/>
      <c r="J2" s="12"/>
      <c r="K2" s="14" t="str">
        <f>IF(表紙!K2="","",表紙!K2)</f>
        <v>POSサーバ</v>
      </c>
      <c r="L2" s="13"/>
      <c r="M2" s="13"/>
      <c r="N2" s="13"/>
      <c r="O2" s="13"/>
      <c r="P2" s="13"/>
      <c r="Q2" s="13"/>
      <c r="R2" s="13"/>
      <c r="S2" s="13"/>
      <c r="T2" s="13"/>
      <c r="U2" s="13"/>
      <c r="V2" s="12"/>
      <c r="W2" s="71"/>
      <c r="X2" s="72"/>
      <c r="Y2" s="72"/>
      <c r="Z2" s="72"/>
      <c r="AA2" s="72"/>
      <c r="AB2" s="72"/>
      <c r="AC2" s="72"/>
      <c r="AD2" s="72"/>
      <c r="AE2" s="72"/>
      <c r="AF2" s="72"/>
      <c r="AG2" s="72"/>
      <c r="AH2" s="72"/>
      <c r="AI2" s="72"/>
      <c r="AJ2" s="72"/>
      <c r="AK2" s="72"/>
      <c r="AL2" s="72"/>
      <c r="AM2" s="72"/>
      <c r="AN2" s="72"/>
      <c r="AO2" s="73"/>
      <c r="AP2" s="14" t="str">
        <f>IF(表紙!AP2="","",表紙!AP2)</f>
        <v>TinNH</v>
      </c>
      <c r="AQ2" s="13"/>
      <c r="AR2" s="13"/>
      <c r="AS2" s="12"/>
      <c r="AT2" s="61">
        <f>IF(表紙!AT2="","",表紙!AT2)</f>
        <v>45439</v>
      </c>
      <c r="AU2" s="62"/>
      <c r="AV2" s="62"/>
      <c r="AW2" s="62"/>
      <c r="AX2" s="63"/>
      <c r="AY2" s="14" t="str">
        <f>IF(表紙!AY2="","",表紙!AY2)</f>
        <v>DuNT</v>
      </c>
      <c r="AZ2" s="13"/>
      <c r="BA2" s="13"/>
      <c r="BB2" s="12"/>
      <c r="BC2" s="61">
        <f>IF(表紙!BC2="","",表紙!BC2)</f>
        <v>45545</v>
      </c>
      <c r="BD2" s="62"/>
      <c r="BE2" s="62"/>
      <c r="BF2" s="62"/>
      <c r="BG2" s="63"/>
      <c r="BH2" s="14">
        <f>IF(表紙!BH2="","",表紙!BH2)</f>
        <v>0.4</v>
      </c>
      <c r="BI2" s="13"/>
      <c r="BJ2" s="13"/>
      <c r="BK2" s="12"/>
    </row>
    <row r="3" spans="1:63" ht="15" customHeight="1" x14ac:dyDescent="0.25">
      <c r="A3" s="8"/>
      <c r="B3" s="7"/>
      <c r="C3" s="7"/>
      <c r="D3" s="7"/>
      <c r="E3" s="7"/>
      <c r="F3" s="7"/>
      <c r="G3" s="7"/>
      <c r="H3" s="7"/>
      <c r="I3" s="7"/>
      <c r="J3" s="6"/>
      <c r="K3" s="8"/>
      <c r="L3" s="7"/>
      <c r="M3" s="7"/>
      <c r="N3" s="7"/>
      <c r="O3" s="7"/>
      <c r="P3" s="7"/>
      <c r="Q3" s="7"/>
      <c r="R3" s="7"/>
      <c r="S3" s="7"/>
      <c r="T3" s="7"/>
      <c r="U3" s="7"/>
      <c r="V3" s="6"/>
      <c r="W3" s="74"/>
      <c r="X3" s="75"/>
      <c r="Y3" s="75"/>
      <c r="Z3" s="75"/>
      <c r="AA3" s="75"/>
      <c r="AB3" s="75"/>
      <c r="AC3" s="75"/>
      <c r="AD3" s="75"/>
      <c r="AE3" s="75"/>
      <c r="AF3" s="75"/>
      <c r="AG3" s="75"/>
      <c r="AH3" s="75"/>
      <c r="AI3" s="75"/>
      <c r="AJ3" s="75"/>
      <c r="AK3" s="75"/>
      <c r="AL3" s="75"/>
      <c r="AM3" s="75"/>
      <c r="AN3" s="75"/>
      <c r="AO3" s="76"/>
      <c r="AP3" s="8"/>
      <c r="AQ3" s="7"/>
      <c r="AR3" s="7"/>
      <c r="AS3" s="6"/>
      <c r="AT3" s="64"/>
      <c r="AU3" s="65"/>
      <c r="AV3" s="65"/>
      <c r="AW3" s="65"/>
      <c r="AX3" s="66"/>
      <c r="AY3" s="8"/>
      <c r="AZ3" s="7"/>
      <c r="BA3" s="7"/>
      <c r="BB3" s="6"/>
      <c r="BC3" s="64"/>
      <c r="BD3" s="65"/>
      <c r="BE3" s="65"/>
      <c r="BF3" s="65"/>
      <c r="BG3" s="66"/>
      <c r="BH3" s="8"/>
      <c r="BI3" s="7"/>
      <c r="BJ3" s="7"/>
      <c r="BK3" s="6"/>
    </row>
    <row r="4" spans="1:63" ht="24.95" customHeight="1" x14ac:dyDescent="0.25">
      <c r="A4" s="47" t="s">
        <v>56</v>
      </c>
      <c r="B4" s="48"/>
      <c r="C4" s="48"/>
      <c r="D4" s="48"/>
      <c r="E4" s="48"/>
      <c r="F4" s="48"/>
      <c r="G4" s="49"/>
      <c r="H4" s="52" t="str">
        <f>IF(表紙!H4="","",表紙!H4)</f>
        <v>62_画像アップロード</v>
      </c>
      <c r="I4" s="53"/>
      <c r="J4" s="53"/>
      <c r="K4" s="53"/>
      <c r="L4" s="53"/>
      <c r="M4" s="53"/>
      <c r="N4" s="53"/>
      <c r="O4" s="53"/>
      <c r="P4" s="53"/>
      <c r="Q4" s="53"/>
      <c r="R4" s="53"/>
      <c r="S4" s="53"/>
      <c r="T4" s="54"/>
      <c r="U4" s="47" t="s">
        <v>8</v>
      </c>
      <c r="V4" s="48"/>
      <c r="W4" s="48"/>
      <c r="X4" s="48"/>
      <c r="Y4" s="49"/>
      <c r="Z4" s="52" t="str">
        <f>IF(表紙!Z4="","",表紙!Z4)</f>
        <v>概要設計</v>
      </c>
      <c r="AA4" s="53"/>
      <c r="AB4" s="53"/>
      <c r="AC4" s="53"/>
      <c r="AD4" s="53"/>
      <c r="AE4" s="53"/>
      <c r="AF4" s="53"/>
      <c r="AG4" s="53"/>
      <c r="AH4" s="53"/>
      <c r="AI4" s="53"/>
      <c r="AJ4" s="53"/>
      <c r="AK4" s="53"/>
      <c r="AL4" s="53"/>
      <c r="AM4" s="53"/>
      <c r="AN4" s="53"/>
      <c r="AO4" s="54"/>
      <c r="AP4" s="52" t="str">
        <f t="array" aca="1" ref="AP4" ca="1">RIGHT(CELL("filename",$A$1),LEN(CELL("filename",$A$1))-FIND("]",CELL("filename",$A$1)))</f>
        <v>改訂履歴</v>
      </c>
      <c r="AQ4" s="53"/>
      <c r="AR4" s="53"/>
      <c r="AS4" s="53"/>
      <c r="AT4" s="53"/>
      <c r="AU4" s="53"/>
      <c r="AV4" s="53"/>
      <c r="AW4" s="53"/>
      <c r="AX4" s="53"/>
      <c r="AY4" s="53"/>
      <c r="AZ4" s="53"/>
      <c r="BA4" s="53"/>
      <c r="BB4" s="53"/>
      <c r="BC4" s="53"/>
      <c r="BD4" s="53"/>
      <c r="BE4" s="53"/>
      <c r="BF4" s="53"/>
      <c r="BG4" s="53"/>
      <c r="BH4" s="53"/>
      <c r="BI4" s="53"/>
      <c r="BJ4" s="53"/>
      <c r="BK4" s="54"/>
    </row>
    <row r="5" spans="1:63" ht="5.0999999999999996" customHeight="1" x14ac:dyDescent="0.25">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9"/>
    </row>
    <row r="6" spans="1:63" ht="15" customHeight="1" x14ac:dyDescent="0.25">
      <c r="A6" s="15"/>
      <c r="BK6" s="18"/>
    </row>
    <row r="7" spans="1:63" ht="15" customHeight="1" x14ac:dyDescent="0.25">
      <c r="A7" s="15"/>
      <c r="BK7" s="18"/>
    </row>
    <row r="8" spans="1:63" ht="15" customHeight="1" x14ac:dyDescent="0.25">
      <c r="A8" s="15"/>
      <c r="B8" t="s">
        <v>9</v>
      </c>
      <c r="BK8" s="18"/>
    </row>
    <row r="9" spans="1:63" ht="15" customHeight="1" x14ac:dyDescent="0.25">
      <c r="A9" s="15"/>
      <c r="BK9" s="18"/>
    </row>
    <row r="10" spans="1:63" ht="15" customHeight="1" x14ac:dyDescent="0.25">
      <c r="A10" s="15"/>
      <c r="B10" s="96" t="s">
        <v>6</v>
      </c>
      <c r="C10" s="96"/>
      <c r="D10" s="96"/>
      <c r="E10" s="96"/>
      <c r="F10" s="96"/>
      <c r="G10" s="96"/>
      <c r="H10" s="96" t="s">
        <v>5</v>
      </c>
      <c r="I10" s="96"/>
      <c r="J10" s="96"/>
      <c r="K10" s="96"/>
      <c r="L10" s="96"/>
      <c r="M10" s="96"/>
      <c r="N10" s="96"/>
      <c r="O10" s="96" t="s">
        <v>7</v>
      </c>
      <c r="P10" s="96"/>
      <c r="Q10" s="96"/>
      <c r="R10" s="96"/>
      <c r="S10" s="96" t="s">
        <v>10</v>
      </c>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t="s">
        <v>11</v>
      </c>
      <c r="AY10" s="96"/>
      <c r="AZ10" s="96"/>
      <c r="BA10" s="96"/>
      <c r="BB10" s="96"/>
      <c r="BC10" s="96"/>
      <c r="BD10" s="96" t="s">
        <v>12</v>
      </c>
      <c r="BE10" s="96"/>
      <c r="BF10" s="96"/>
      <c r="BG10" s="96"/>
      <c r="BH10" s="96"/>
      <c r="BI10" s="96"/>
      <c r="BJ10" s="96"/>
      <c r="BK10" s="18"/>
    </row>
    <row r="11" spans="1:63" ht="15" customHeight="1" x14ac:dyDescent="0.25">
      <c r="A11" s="15"/>
      <c r="B11" s="61">
        <v>45439</v>
      </c>
      <c r="C11" s="13"/>
      <c r="D11" s="13"/>
      <c r="E11" s="13"/>
      <c r="F11" s="13"/>
      <c r="G11" s="12"/>
      <c r="H11" s="67" t="s">
        <v>57</v>
      </c>
      <c r="I11" s="13"/>
      <c r="J11" s="13"/>
      <c r="K11" s="13"/>
      <c r="L11" s="13"/>
      <c r="M11" s="13"/>
      <c r="N11" s="12"/>
      <c r="O11" s="14">
        <v>0.1</v>
      </c>
      <c r="P11" s="13"/>
      <c r="Q11" s="13"/>
      <c r="R11" s="13"/>
      <c r="S11" s="84" t="s">
        <v>19</v>
      </c>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6"/>
      <c r="AX11" s="87"/>
      <c r="AY11" s="87"/>
      <c r="AZ11" s="87"/>
      <c r="BA11" s="87"/>
      <c r="BB11" s="87"/>
      <c r="BC11" s="88"/>
      <c r="BD11" s="91"/>
      <c r="BE11" s="87"/>
      <c r="BF11" s="87"/>
      <c r="BG11" s="87"/>
      <c r="BH11" s="87"/>
      <c r="BI11" s="87"/>
      <c r="BJ11" s="88"/>
      <c r="BK11" s="18"/>
    </row>
    <row r="12" spans="1:63" ht="15" customHeight="1" x14ac:dyDescent="0.25">
      <c r="A12" s="15"/>
      <c r="B12" s="8"/>
      <c r="C12" s="7"/>
      <c r="D12" s="7"/>
      <c r="E12" s="7"/>
      <c r="F12" s="7"/>
      <c r="G12" s="6"/>
      <c r="H12" s="8"/>
      <c r="I12" s="7"/>
      <c r="J12" s="7"/>
      <c r="K12" s="7"/>
      <c r="L12" s="7"/>
      <c r="M12" s="7"/>
      <c r="N12" s="6"/>
      <c r="O12" s="8"/>
      <c r="P12" s="7"/>
      <c r="Q12" s="7"/>
      <c r="R12" s="7"/>
      <c r="S12" s="93"/>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5"/>
      <c r="AX12" s="89"/>
      <c r="AY12" s="89"/>
      <c r="AZ12" s="89"/>
      <c r="BA12" s="89"/>
      <c r="BB12" s="89"/>
      <c r="BC12" s="90"/>
      <c r="BD12" s="92"/>
      <c r="BE12" s="89"/>
      <c r="BF12" s="89"/>
      <c r="BG12" s="89"/>
      <c r="BH12" s="89"/>
      <c r="BI12" s="89"/>
      <c r="BJ12" s="90"/>
      <c r="BK12" s="18"/>
    </row>
    <row r="13" spans="1:63" ht="15" customHeight="1" x14ac:dyDescent="0.25">
      <c r="A13" s="15"/>
      <c r="B13" s="100">
        <v>45448</v>
      </c>
      <c r="C13" s="101"/>
      <c r="D13" s="101"/>
      <c r="E13" s="101"/>
      <c r="F13" s="101"/>
      <c r="G13" s="102"/>
      <c r="H13" s="109" t="s">
        <v>57</v>
      </c>
      <c r="I13" s="101"/>
      <c r="J13" s="101"/>
      <c r="K13" s="101"/>
      <c r="L13" s="101"/>
      <c r="M13" s="101"/>
      <c r="N13" s="102"/>
      <c r="O13" s="109">
        <v>0.2</v>
      </c>
      <c r="P13" s="101"/>
      <c r="Q13" s="101"/>
      <c r="R13" s="101"/>
      <c r="S13" s="117" t="s">
        <v>51</v>
      </c>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9"/>
      <c r="AX13" s="87"/>
      <c r="AY13" s="87"/>
      <c r="AZ13" s="87"/>
      <c r="BA13" s="87"/>
      <c r="BB13" s="87"/>
      <c r="BC13" s="88"/>
      <c r="BD13" s="91"/>
      <c r="BE13" s="87"/>
      <c r="BF13" s="87"/>
      <c r="BG13" s="87"/>
      <c r="BH13" s="87"/>
      <c r="BI13" s="87"/>
      <c r="BJ13" s="88"/>
      <c r="BK13" s="18"/>
    </row>
    <row r="14" spans="1:63" ht="15" customHeight="1" x14ac:dyDescent="0.25">
      <c r="A14" s="15"/>
      <c r="B14" s="106"/>
      <c r="C14" s="107"/>
      <c r="D14" s="107"/>
      <c r="E14" s="107"/>
      <c r="F14" s="107"/>
      <c r="G14" s="108"/>
      <c r="H14" s="106"/>
      <c r="I14" s="107"/>
      <c r="J14" s="107"/>
      <c r="K14" s="107"/>
      <c r="L14" s="107"/>
      <c r="M14" s="107"/>
      <c r="N14" s="108"/>
      <c r="O14" s="106"/>
      <c r="P14" s="107"/>
      <c r="Q14" s="107"/>
      <c r="R14" s="107"/>
      <c r="S14" s="97"/>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9"/>
      <c r="AX14" s="89"/>
      <c r="AY14" s="89"/>
      <c r="AZ14" s="89"/>
      <c r="BA14" s="89"/>
      <c r="BB14" s="89"/>
      <c r="BC14" s="90"/>
      <c r="BD14" s="92"/>
      <c r="BE14" s="89"/>
      <c r="BF14" s="89"/>
      <c r="BG14" s="89"/>
      <c r="BH14" s="89"/>
      <c r="BI14" s="89"/>
      <c r="BJ14" s="90"/>
      <c r="BK14" s="18"/>
    </row>
    <row r="15" spans="1:63" ht="15" customHeight="1" x14ac:dyDescent="0.25">
      <c r="A15" s="15"/>
      <c r="B15" s="100">
        <v>45491</v>
      </c>
      <c r="C15" s="101"/>
      <c r="D15" s="101"/>
      <c r="E15" s="101"/>
      <c r="F15" s="101"/>
      <c r="G15" s="102"/>
      <c r="H15" s="109" t="s">
        <v>32</v>
      </c>
      <c r="I15" s="101"/>
      <c r="J15" s="101"/>
      <c r="K15" s="101"/>
      <c r="L15" s="101"/>
      <c r="M15" s="101"/>
      <c r="N15" s="102"/>
      <c r="O15" s="109">
        <v>0.3</v>
      </c>
      <c r="P15" s="101"/>
      <c r="Q15" s="101"/>
      <c r="R15" s="101"/>
      <c r="S15" s="111" t="s">
        <v>58</v>
      </c>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3"/>
      <c r="AX15" s="87"/>
      <c r="AY15" s="87"/>
      <c r="AZ15" s="87"/>
      <c r="BA15" s="87"/>
      <c r="BB15" s="87"/>
      <c r="BC15" s="88"/>
      <c r="BD15" s="91"/>
      <c r="BE15" s="87"/>
      <c r="BF15" s="87"/>
      <c r="BG15" s="87"/>
      <c r="BH15" s="87"/>
      <c r="BI15" s="87"/>
      <c r="BJ15" s="88"/>
      <c r="BK15" s="18"/>
    </row>
    <row r="16" spans="1:63" ht="15" customHeight="1" x14ac:dyDescent="0.25">
      <c r="A16" s="15"/>
      <c r="B16" s="103"/>
      <c r="C16" s="104"/>
      <c r="D16" s="104"/>
      <c r="E16" s="104"/>
      <c r="F16" s="104"/>
      <c r="G16" s="105"/>
      <c r="H16" s="110"/>
      <c r="I16" s="104"/>
      <c r="J16" s="104"/>
      <c r="K16" s="104"/>
      <c r="L16" s="104"/>
      <c r="M16" s="104"/>
      <c r="N16" s="105"/>
      <c r="O16" s="110"/>
      <c r="P16" s="104"/>
      <c r="Q16" s="104"/>
      <c r="R16" s="104"/>
      <c r="S16" s="77" t="s">
        <v>53</v>
      </c>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9"/>
      <c r="AX16" s="114"/>
      <c r="AY16" s="114"/>
      <c r="AZ16" s="114"/>
      <c r="BA16" s="114"/>
      <c r="BB16" s="114"/>
      <c r="BC16" s="115"/>
      <c r="BD16" s="116"/>
      <c r="BE16" s="114"/>
      <c r="BF16" s="114"/>
      <c r="BG16" s="114"/>
      <c r="BH16" s="114"/>
      <c r="BI16" s="114"/>
      <c r="BJ16" s="115"/>
      <c r="BK16" s="18"/>
    </row>
    <row r="17" spans="1:63" ht="15" customHeight="1" x14ac:dyDescent="0.25">
      <c r="A17" s="15"/>
      <c r="B17" s="103"/>
      <c r="C17" s="104"/>
      <c r="D17" s="104"/>
      <c r="E17" s="104"/>
      <c r="F17" s="104"/>
      <c r="G17" s="105"/>
      <c r="H17" s="110"/>
      <c r="I17" s="104"/>
      <c r="J17" s="104"/>
      <c r="K17" s="104"/>
      <c r="L17" s="104"/>
      <c r="M17" s="104"/>
      <c r="N17" s="105"/>
      <c r="O17" s="110"/>
      <c r="P17" s="104"/>
      <c r="Q17" s="104"/>
      <c r="R17" s="104"/>
      <c r="S17" s="77" t="s">
        <v>54</v>
      </c>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9"/>
      <c r="AX17" s="114"/>
      <c r="AY17" s="114"/>
      <c r="AZ17" s="114"/>
      <c r="BA17" s="114"/>
      <c r="BB17" s="114"/>
      <c r="BC17" s="115"/>
      <c r="BD17" s="116"/>
      <c r="BE17" s="114"/>
      <c r="BF17" s="114"/>
      <c r="BG17" s="114"/>
      <c r="BH17" s="114"/>
      <c r="BI17" s="114"/>
      <c r="BJ17" s="115"/>
      <c r="BK17" s="18"/>
    </row>
    <row r="18" spans="1:63" ht="15" customHeight="1" x14ac:dyDescent="0.25">
      <c r="A18" s="15"/>
      <c r="B18" s="103"/>
      <c r="C18" s="104"/>
      <c r="D18" s="104"/>
      <c r="E18" s="104"/>
      <c r="F18" s="104"/>
      <c r="G18" s="105"/>
      <c r="H18" s="110"/>
      <c r="I18" s="104"/>
      <c r="J18" s="104"/>
      <c r="K18" s="104"/>
      <c r="L18" s="104"/>
      <c r="M18" s="104"/>
      <c r="N18" s="105"/>
      <c r="O18" s="110"/>
      <c r="P18" s="104"/>
      <c r="Q18" s="104"/>
      <c r="R18" s="104"/>
      <c r="S18" s="80" t="s">
        <v>58</v>
      </c>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9"/>
      <c r="AX18" s="114"/>
      <c r="AY18" s="114"/>
      <c r="AZ18" s="114"/>
      <c r="BA18" s="114"/>
      <c r="BB18" s="114"/>
      <c r="BC18" s="115"/>
      <c r="BD18" s="116"/>
      <c r="BE18" s="114"/>
      <c r="BF18" s="114"/>
      <c r="BG18" s="114"/>
      <c r="BH18" s="114"/>
      <c r="BI18" s="114"/>
      <c r="BJ18" s="115"/>
      <c r="BK18" s="18"/>
    </row>
    <row r="19" spans="1:63" ht="15" customHeight="1" x14ac:dyDescent="0.25">
      <c r="A19" s="15"/>
      <c r="B19" s="103"/>
      <c r="C19" s="104"/>
      <c r="D19" s="104"/>
      <c r="E19" s="104"/>
      <c r="F19" s="104"/>
      <c r="G19" s="105"/>
      <c r="H19" s="110"/>
      <c r="I19" s="104"/>
      <c r="J19" s="104"/>
      <c r="K19" s="104"/>
      <c r="L19" s="104"/>
      <c r="M19" s="104"/>
      <c r="N19" s="105"/>
      <c r="O19" s="110"/>
      <c r="P19" s="104"/>
      <c r="Q19" s="104"/>
      <c r="R19" s="104"/>
      <c r="S19" s="80" t="s">
        <v>58</v>
      </c>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9"/>
      <c r="AX19" s="114"/>
      <c r="AY19" s="114"/>
      <c r="AZ19" s="114"/>
      <c r="BA19" s="114"/>
      <c r="BB19" s="114"/>
      <c r="BC19" s="115"/>
      <c r="BD19" s="116"/>
      <c r="BE19" s="114"/>
      <c r="BF19" s="114"/>
      <c r="BG19" s="114"/>
      <c r="BH19" s="114"/>
      <c r="BI19" s="114"/>
      <c r="BJ19" s="115"/>
      <c r="BK19" s="18"/>
    </row>
    <row r="20" spans="1:63" ht="15" customHeight="1" x14ac:dyDescent="0.25">
      <c r="A20" s="15"/>
      <c r="B20" s="103"/>
      <c r="C20" s="104"/>
      <c r="D20" s="104"/>
      <c r="E20" s="104"/>
      <c r="F20" s="104"/>
      <c r="G20" s="105"/>
      <c r="H20" s="110"/>
      <c r="I20" s="104"/>
      <c r="J20" s="104"/>
      <c r="K20" s="104"/>
      <c r="L20" s="104"/>
      <c r="M20" s="104"/>
      <c r="N20" s="105"/>
      <c r="O20" s="110"/>
      <c r="P20" s="104"/>
      <c r="Q20" s="104"/>
      <c r="R20" s="104"/>
      <c r="S20" s="81" t="s">
        <v>52</v>
      </c>
      <c r="T20" s="82"/>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3"/>
      <c r="AX20" s="114"/>
      <c r="AY20" s="114"/>
      <c r="AZ20" s="114"/>
      <c r="BA20" s="114"/>
      <c r="BB20" s="114"/>
      <c r="BC20" s="115"/>
      <c r="BD20" s="116"/>
      <c r="BE20" s="114"/>
      <c r="BF20" s="114"/>
      <c r="BG20" s="114"/>
      <c r="BH20" s="114"/>
      <c r="BI20" s="114"/>
      <c r="BJ20" s="115"/>
      <c r="BK20" s="18"/>
    </row>
    <row r="21" spans="1:63" ht="15" customHeight="1" x14ac:dyDescent="0.25">
      <c r="A21" s="15"/>
      <c r="B21" s="106"/>
      <c r="C21" s="107"/>
      <c r="D21" s="107"/>
      <c r="E21" s="107"/>
      <c r="F21" s="107"/>
      <c r="G21" s="108"/>
      <c r="H21" s="106"/>
      <c r="I21" s="107"/>
      <c r="J21" s="107"/>
      <c r="K21" s="107"/>
      <c r="L21" s="107"/>
      <c r="M21" s="107"/>
      <c r="N21" s="108"/>
      <c r="O21" s="106"/>
      <c r="P21" s="107"/>
      <c r="Q21" s="107"/>
      <c r="R21" s="107"/>
      <c r="S21" s="97"/>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9"/>
      <c r="AX21" s="89"/>
      <c r="AY21" s="89"/>
      <c r="AZ21" s="89"/>
      <c r="BA21" s="89"/>
      <c r="BB21" s="89"/>
      <c r="BC21" s="90"/>
      <c r="BD21" s="92"/>
      <c r="BE21" s="89"/>
      <c r="BF21" s="89"/>
      <c r="BG21" s="89"/>
      <c r="BH21" s="89"/>
      <c r="BI21" s="89"/>
      <c r="BJ21" s="90"/>
      <c r="BK21" s="18"/>
    </row>
    <row r="22" spans="1:63" ht="15" customHeight="1" x14ac:dyDescent="0.25">
      <c r="A22" s="15"/>
      <c r="B22" s="206">
        <v>45545</v>
      </c>
      <c r="C22" s="207"/>
      <c r="D22" s="207"/>
      <c r="E22" s="207"/>
      <c r="F22" s="207"/>
      <c r="G22" s="208"/>
      <c r="H22" s="209" t="s">
        <v>69</v>
      </c>
      <c r="I22" s="207"/>
      <c r="J22" s="207"/>
      <c r="K22" s="207"/>
      <c r="L22" s="207"/>
      <c r="M22" s="207"/>
      <c r="N22" s="208"/>
      <c r="O22" s="209">
        <v>0.4</v>
      </c>
      <c r="P22" s="207"/>
      <c r="Q22" s="207"/>
      <c r="R22" s="207"/>
      <c r="S22" s="210" t="s">
        <v>68</v>
      </c>
      <c r="T22" s="211"/>
      <c r="U22" s="211"/>
      <c r="V22" s="211"/>
      <c r="W22" s="211"/>
      <c r="X22" s="211"/>
      <c r="Y22" s="211"/>
      <c r="Z22" s="211"/>
      <c r="AA22" s="211"/>
      <c r="AB22" s="211"/>
      <c r="AC22" s="211"/>
      <c r="AD22" s="211"/>
      <c r="AE22" s="211"/>
      <c r="AF22" s="211"/>
      <c r="AG22" s="211"/>
      <c r="AH22" s="211"/>
      <c r="AI22" s="211"/>
      <c r="AJ22" s="211"/>
      <c r="AK22" s="211"/>
      <c r="AL22" s="211"/>
      <c r="AM22" s="211"/>
      <c r="AN22" s="211"/>
      <c r="AO22" s="211"/>
      <c r="AP22" s="211"/>
      <c r="AQ22" s="211"/>
      <c r="AR22" s="211"/>
      <c r="AS22" s="211"/>
      <c r="AT22" s="211"/>
      <c r="AU22" s="211"/>
      <c r="AV22" s="211"/>
      <c r="AW22" s="212"/>
      <c r="AX22" s="87"/>
      <c r="AY22" s="87"/>
      <c r="AZ22" s="87"/>
      <c r="BA22" s="87"/>
      <c r="BB22" s="87"/>
      <c r="BC22" s="88"/>
      <c r="BD22" s="91"/>
      <c r="BE22" s="87"/>
      <c r="BF22" s="87"/>
      <c r="BG22" s="87"/>
      <c r="BH22" s="87"/>
      <c r="BI22" s="87"/>
      <c r="BJ22" s="88"/>
      <c r="BK22" s="18"/>
    </row>
    <row r="23" spans="1:63" ht="34.5" customHeight="1" x14ac:dyDescent="0.25">
      <c r="A23" s="15"/>
      <c r="B23" s="213"/>
      <c r="C23" s="214"/>
      <c r="D23" s="214"/>
      <c r="E23" s="214"/>
      <c r="F23" s="214"/>
      <c r="G23" s="215"/>
      <c r="H23" s="213"/>
      <c r="I23" s="214"/>
      <c r="J23" s="214"/>
      <c r="K23" s="214"/>
      <c r="L23" s="214"/>
      <c r="M23" s="214"/>
      <c r="N23" s="215"/>
      <c r="O23" s="213"/>
      <c r="P23" s="214"/>
      <c r="Q23" s="214"/>
      <c r="R23" s="214"/>
      <c r="S23" s="216" t="s">
        <v>67</v>
      </c>
      <c r="T23" s="217"/>
      <c r="U23" s="217"/>
      <c r="V23" s="217"/>
      <c r="W23" s="217"/>
      <c r="X23" s="217"/>
      <c r="Y23" s="217"/>
      <c r="Z23" s="217"/>
      <c r="AA23" s="217"/>
      <c r="AB23" s="217"/>
      <c r="AC23" s="217"/>
      <c r="AD23" s="217"/>
      <c r="AE23" s="217"/>
      <c r="AF23" s="217"/>
      <c r="AG23" s="217"/>
      <c r="AH23" s="217"/>
      <c r="AI23" s="217"/>
      <c r="AJ23" s="217"/>
      <c r="AK23" s="217"/>
      <c r="AL23" s="217"/>
      <c r="AM23" s="217"/>
      <c r="AN23" s="217"/>
      <c r="AO23" s="217"/>
      <c r="AP23" s="217"/>
      <c r="AQ23" s="217"/>
      <c r="AR23" s="217"/>
      <c r="AS23" s="217"/>
      <c r="AT23" s="217"/>
      <c r="AU23" s="217"/>
      <c r="AV23" s="217"/>
      <c r="AW23" s="218"/>
      <c r="AX23" s="89"/>
      <c r="AY23" s="89"/>
      <c r="AZ23" s="89"/>
      <c r="BA23" s="89"/>
      <c r="BB23" s="89"/>
      <c r="BC23" s="90"/>
      <c r="BD23" s="92"/>
      <c r="BE23" s="89"/>
      <c r="BF23" s="89"/>
      <c r="BG23" s="89"/>
      <c r="BH23" s="89"/>
      <c r="BI23" s="89"/>
      <c r="BJ23" s="90"/>
      <c r="BK23" s="18"/>
    </row>
    <row r="24" spans="1:63" ht="15" customHeight="1" x14ac:dyDescent="0.25">
      <c r="A24" s="15"/>
      <c r="B24" s="14"/>
      <c r="C24" s="13"/>
      <c r="D24" s="13"/>
      <c r="E24" s="13"/>
      <c r="F24" s="13"/>
      <c r="G24" s="12"/>
      <c r="H24" s="14"/>
      <c r="I24" s="13"/>
      <c r="J24" s="13"/>
      <c r="K24" s="13"/>
      <c r="L24" s="13"/>
      <c r="M24" s="13"/>
      <c r="N24" s="12"/>
      <c r="O24" s="14"/>
      <c r="P24" s="13"/>
      <c r="Q24" s="13"/>
      <c r="R24" s="13"/>
      <c r="S24" s="84"/>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6"/>
      <c r="AX24" s="87"/>
      <c r="AY24" s="87"/>
      <c r="AZ24" s="87"/>
      <c r="BA24" s="87"/>
      <c r="BB24" s="87"/>
      <c r="BC24" s="88"/>
      <c r="BD24" s="91"/>
      <c r="BE24" s="87"/>
      <c r="BF24" s="87"/>
      <c r="BG24" s="87"/>
      <c r="BH24" s="87"/>
      <c r="BI24" s="87"/>
      <c r="BJ24" s="88"/>
      <c r="BK24" s="18"/>
    </row>
    <row r="25" spans="1:63" ht="15" customHeight="1" x14ac:dyDescent="0.25">
      <c r="A25" s="15"/>
      <c r="B25" s="8"/>
      <c r="C25" s="7"/>
      <c r="D25" s="7"/>
      <c r="E25" s="7"/>
      <c r="F25" s="7"/>
      <c r="G25" s="6"/>
      <c r="H25" s="8"/>
      <c r="I25" s="7"/>
      <c r="J25" s="7"/>
      <c r="K25" s="7"/>
      <c r="L25" s="7"/>
      <c r="M25" s="7"/>
      <c r="N25" s="6"/>
      <c r="O25" s="8"/>
      <c r="P25" s="7"/>
      <c r="Q25" s="7"/>
      <c r="R25" s="7"/>
      <c r="S25" s="93"/>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4"/>
      <c r="AR25" s="94"/>
      <c r="AS25" s="94"/>
      <c r="AT25" s="94"/>
      <c r="AU25" s="94"/>
      <c r="AV25" s="94"/>
      <c r="AW25" s="95"/>
      <c r="AX25" s="89"/>
      <c r="AY25" s="89"/>
      <c r="AZ25" s="89"/>
      <c r="BA25" s="89"/>
      <c r="BB25" s="89"/>
      <c r="BC25" s="90"/>
      <c r="BD25" s="92"/>
      <c r="BE25" s="89"/>
      <c r="BF25" s="89"/>
      <c r="BG25" s="89"/>
      <c r="BH25" s="89"/>
      <c r="BI25" s="89"/>
      <c r="BJ25" s="90"/>
      <c r="BK25" s="18"/>
    </row>
    <row r="26" spans="1:63" ht="15" customHeight="1" x14ac:dyDescent="0.25">
      <c r="A26" s="15"/>
      <c r="B26" s="14"/>
      <c r="C26" s="13"/>
      <c r="D26" s="13"/>
      <c r="E26" s="13"/>
      <c r="F26" s="13"/>
      <c r="G26" s="12"/>
      <c r="H26" s="14"/>
      <c r="I26" s="13"/>
      <c r="J26" s="13"/>
      <c r="K26" s="13"/>
      <c r="L26" s="13"/>
      <c r="M26" s="13"/>
      <c r="N26" s="12"/>
      <c r="O26" s="14"/>
      <c r="P26" s="13"/>
      <c r="Q26" s="13"/>
      <c r="R26" s="13"/>
      <c r="S26" s="84"/>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6"/>
      <c r="AX26" s="87"/>
      <c r="AY26" s="87"/>
      <c r="AZ26" s="87"/>
      <c r="BA26" s="87"/>
      <c r="BB26" s="87"/>
      <c r="BC26" s="88"/>
      <c r="BD26" s="91"/>
      <c r="BE26" s="87"/>
      <c r="BF26" s="87"/>
      <c r="BG26" s="87"/>
      <c r="BH26" s="87"/>
      <c r="BI26" s="87"/>
      <c r="BJ26" s="88"/>
      <c r="BK26" s="18"/>
    </row>
    <row r="27" spans="1:63" ht="15" customHeight="1" x14ac:dyDescent="0.25">
      <c r="A27" s="15"/>
      <c r="B27" s="8"/>
      <c r="C27" s="7"/>
      <c r="D27" s="7"/>
      <c r="E27" s="7"/>
      <c r="F27" s="7"/>
      <c r="G27" s="6"/>
      <c r="H27" s="8"/>
      <c r="I27" s="7"/>
      <c r="J27" s="7"/>
      <c r="K27" s="7"/>
      <c r="L27" s="7"/>
      <c r="M27" s="7"/>
      <c r="N27" s="6"/>
      <c r="O27" s="8"/>
      <c r="P27" s="7"/>
      <c r="Q27" s="7"/>
      <c r="R27" s="7"/>
      <c r="S27" s="93"/>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95"/>
      <c r="AX27" s="89"/>
      <c r="AY27" s="89"/>
      <c r="AZ27" s="89"/>
      <c r="BA27" s="89"/>
      <c r="BB27" s="89"/>
      <c r="BC27" s="90"/>
      <c r="BD27" s="92"/>
      <c r="BE27" s="89"/>
      <c r="BF27" s="89"/>
      <c r="BG27" s="89"/>
      <c r="BH27" s="89"/>
      <c r="BI27" s="89"/>
      <c r="BJ27" s="90"/>
      <c r="BK27" s="18"/>
    </row>
    <row r="28" spans="1:63" ht="15" customHeight="1" x14ac:dyDescent="0.25">
      <c r="A28" s="15"/>
      <c r="B28" s="14"/>
      <c r="C28" s="13"/>
      <c r="D28" s="13"/>
      <c r="E28" s="13"/>
      <c r="F28" s="13"/>
      <c r="G28" s="12"/>
      <c r="H28" s="14"/>
      <c r="I28" s="13"/>
      <c r="J28" s="13"/>
      <c r="K28" s="13"/>
      <c r="L28" s="13"/>
      <c r="M28" s="13"/>
      <c r="N28" s="12"/>
      <c r="O28" s="14"/>
      <c r="P28" s="13"/>
      <c r="Q28" s="13"/>
      <c r="R28" s="13"/>
      <c r="S28" s="84"/>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6"/>
      <c r="AX28" s="87"/>
      <c r="AY28" s="87"/>
      <c r="AZ28" s="87"/>
      <c r="BA28" s="87"/>
      <c r="BB28" s="87"/>
      <c r="BC28" s="88"/>
      <c r="BD28" s="91"/>
      <c r="BE28" s="87"/>
      <c r="BF28" s="87"/>
      <c r="BG28" s="87"/>
      <c r="BH28" s="87"/>
      <c r="BI28" s="87"/>
      <c r="BJ28" s="88"/>
      <c r="BK28" s="18"/>
    </row>
    <row r="29" spans="1:63" ht="15" customHeight="1" x14ac:dyDescent="0.25">
      <c r="A29" s="15"/>
      <c r="B29" s="8"/>
      <c r="C29" s="7"/>
      <c r="D29" s="7"/>
      <c r="E29" s="7"/>
      <c r="F29" s="7"/>
      <c r="G29" s="6"/>
      <c r="H29" s="8"/>
      <c r="I29" s="7"/>
      <c r="J29" s="7"/>
      <c r="K29" s="7"/>
      <c r="L29" s="7"/>
      <c r="M29" s="7"/>
      <c r="N29" s="6"/>
      <c r="O29" s="8"/>
      <c r="P29" s="7"/>
      <c r="Q29" s="7"/>
      <c r="R29" s="7"/>
      <c r="S29" s="93"/>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5"/>
      <c r="AX29" s="89"/>
      <c r="AY29" s="89"/>
      <c r="AZ29" s="89"/>
      <c r="BA29" s="89"/>
      <c r="BB29" s="89"/>
      <c r="BC29" s="90"/>
      <c r="BD29" s="92"/>
      <c r="BE29" s="89"/>
      <c r="BF29" s="89"/>
      <c r="BG29" s="89"/>
      <c r="BH29" s="89"/>
      <c r="BI29" s="89"/>
      <c r="BJ29" s="90"/>
      <c r="BK29" s="18"/>
    </row>
    <row r="30" spans="1:63" ht="15" customHeight="1" x14ac:dyDescent="0.25">
      <c r="A30" s="15"/>
      <c r="B30" s="14"/>
      <c r="C30" s="13"/>
      <c r="D30" s="13"/>
      <c r="E30" s="13"/>
      <c r="F30" s="13"/>
      <c r="G30" s="12"/>
      <c r="H30" s="14"/>
      <c r="I30" s="13"/>
      <c r="J30" s="13"/>
      <c r="K30" s="13"/>
      <c r="L30" s="13"/>
      <c r="M30" s="13"/>
      <c r="N30" s="12"/>
      <c r="O30" s="14"/>
      <c r="P30" s="13"/>
      <c r="Q30" s="13"/>
      <c r="R30" s="13"/>
      <c r="S30" s="84"/>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6"/>
      <c r="AX30" s="87"/>
      <c r="AY30" s="87"/>
      <c r="AZ30" s="87"/>
      <c r="BA30" s="87"/>
      <c r="BB30" s="87"/>
      <c r="BC30" s="88"/>
      <c r="BD30" s="91"/>
      <c r="BE30" s="87"/>
      <c r="BF30" s="87"/>
      <c r="BG30" s="87"/>
      <c r="BH30" s="87"/>
      <c r="BI30" s="87"/>
      <c r="BJ30" s="88"/>
      <c r="BK30" s="18"/>
    </row>
    <row r="31" spans="1:63" ht="15" customHeight="1" x14ac:dyDescent="0.25">
      <c r="A31" s="15"/>
      <c r="B31" s="8"/>
      <c r="C31" s="7"/>
      <c r="D31" s="7"/>
      <c r="E31" s="7"/>
      <c r="F31" s="7"/>
      <c r="G31" s="6"/>
      <c r="H31" s="8"/>
      <c r="I31" s="7"/>
      <c r="J31" s="7"/>
      <c r="K31" s="7"/>
      <c r="L31" s="7"/>
      <c r="M31" s="7"/>
      <c r="N31" s="6"/>
      <c r="O31" s="8"/>
      <c r="P31" s="7"/>
      <c r="Q31" s="7"/>
      <c r="R31" s="7"/>
      <c r="S31" s="93"/>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5"/>
      <c r="AX31" s="89"/>
      <c r="AY31" s="89"/>
      <c r="AZ31" s="89"/>
      <c r="BA31" s="89"/>
      <c r="BB31" s="89"/>
      <c r="BC31" s="90"/>
      <c r="BD31" s="92"/>
      <c r="BE31" s="89"/>
      <c r="BF31" s="89"/>
      <c r="BG31" s="89"/>
      <c r="BH31" s="89"/>
      <c r="BI31" s="89"/>
      <c r="BJ31" s="90"/>
      <c r="BK31" s="18"/>
    </row>
    <row r="32" spans="1:63" ht="15" customHeight="1" x14ac:dyDescent="0.25">
      <c r="A32" s="15"/>
      <c r="B32" s="14"/>
      <c r="C32" s="13"/>
      <c r="D32" s="13"/>
      <c r="E32" s="13"/>
      <c r="F32" s="13"/>
      <c r="G32" s="12"/>
      <c r="H32" s="14"/>
      <c r="I32" s="13"/>
      <c r="J32" s="13"/>
      <c r="K32" s="13"/>
      <c r="L32" s="13"/>
      <c r="M32" s="13"/>
      <c r="N32" s="12"/>
      <c r="O32" s="14"/>
      <c r="P32" s="13"/>
      <c r="Q32" s="13"/>
      <c r="R32" s="13"/>
      <c r="S32" s="84"/>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6"/>
      <c r="AX32" s="87"/>
      <c r="AY32" s="87"/>
      <c r="AZ32" s="87"/>
      <c r="BA32" s="87"/>
      <c r="BB32" s="87"/>
      <c r="BC32" s="88"/>
      <c r="BD32" s="91"/>
      <c r="BE32" s="87"/>
      <c r="BF32" s="87"/>
      <c r="BG32" s="87"/>
      <c r="BH32" s="87"/>
      <c r="BI32" s="87"/>
      <c r="BJ32" s="88"/>
      <c r="BK32" s="18"/>
    </row>
    <row r="33" spans="1:63" ht="15" customHeight="1" x14ac:dyDescent="0.25">
      <c r="A33" s="15"/>
      <c r="B33" s="8"/>
      <c r="C33" s="7"/>
      <c r="D33" s="7"/>
      <c r="E33" s="7"/>
      <c r="F33" s="7"/>
      <c r="G33" s="6"/>
      <c r="H33" s="8"/>
      <c r="I33" s="7"/>
      <c r="J33" s="7"/>
      <c r="K33" s="7"/>
      <c r="L33" s="7"/>
      <c r="M33" s="7"/>
      <c r="N33" s="6"/>
      <c r="O33" s="8"/>
      <c r="P33" s="7"/>
      <c r="Q33" s="7"/>
      <c r="R33" s="7"/>
      <c r="S33" s="93"/>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5"/>
      <c r="AX33" s="89"/>
      <c r="AY33" s="89"/>
      <c r="AZ33" s="89"/>
      <c r="BA33" s="89"/>
      <c r="BB33" s="89"/>
      <c r="BC33" s="90"/>
      <c r="BD33" s="92"/>
      <c r="BE33" s="89"/>
      <c r="BF33" s="89"/>
      <c r="BG33" s="89"/>
      <c r="BH33" s="89"/>
      <c r="BI33" s="89"/>
      <c r="BJ33" s="90"/>
      <c r="BK33" s="18"/>
    </row>
    <row r="34" spans="1:63" ht="15" customHeight="1" x14ac:dyDescent="0.25">
      <c r="A34" s="15"/>
      <c r="B34" s="14"/>
      <c r="C34" s="13"/>
      <c r="D34" s="13"/>
      <c r="E34" s="13"/>
      <c r="F34" s="13"/>
      <c r="G34" s="12"/>
      <c r="H34" s="14"/>
      <c r="I34" s="13"/>
      <c r="J34" s="13"/>
      <c r="K34" s="13"/>
      <c r="L34" s="13"/>
      <c r="M34" s="13"/>
      <c r="N34" s="12"/>
      <c r="O34" s="14"/>
      <c r="P34" s="13"/>
      <c r="Q34" s="13"/>
      <c r="R34" s="13"/>
      <c r="S34" s="84"/>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6"/>
      <c r="AX34" s="87"/>
      <c r="AY34" s="87"/>
      <c r="AZ34" s="87"/>
      <c r="BA34" s="87"/>
      <c r="BB34" s="87"/>
      <c r="BC34" s="88"/>
      <c r="BD34" s="91"/>
      <c r="BE34" s="87"/>
      <c r="BF34" s="87"/>
      <c r="BG34" s="87"/>
      <c r="BH34" s="87"/>
      <c r="BI34" s="87"/>
      <c r="BJ34" s="88"/>
      <c r="BK34" s="18"/>
    </row>
    <row r="35" spans="1:63" ht="15" customHeight="1" x14ac:dyDescent="0.25">
      <c r="A35" s="15"/>
      <c r="B35" s="8"/>
      <c r="C35" s="7"/>
      <c r="D35" s="7"/>
      <c r="E35" s="7"/>
      <c r="F35" s="7"/>
      <c r="G35" s="6"/>
      <c r="H35" s="8"/>
      <c r="I35" s="7"/>
      <c r="J35" s="7"/>
      <c r="K35" s="7"/>
      <c r="L35" s="7"/>
      <c r="M35" s="7"/>
      <c r="N35" s="6"/>
      <c r="O35" s="8"/>
      <c r="P35" s="7"/>
      <c r="Q35" s="7"/>
      <c r="R35" s="7"/>
      <c r="S35" s="93"/>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5"/>
      <c r="AX35" s="89"/>
      <c r="AY35" s="89"/>
      <c r="AZ35" s="89"/>
      <c r="BA35" s="89"/>
      <c r="BB35" s="89"/>
      <c r="BC35" s="90"/>
      <c r="BD35" s="92"/>
      <c r="BE35" s="89"/>
      <c r="BF35" s="89"/>
      <c r="BG35" s="89"/>
      <c r="BH35" s="89"/>
      <c r="BI35" s="89"/>
      <c r="BJ35" s="90"/>
      <c r="BK35" s="18"/>
    </row>
    <row r="36" spans="1:63" ht="15" customHeight="1" x14ac:dyDescent="0.25">
      <c r="A36" s="15"/>
      <c r="B36" s="14"/>
      <c r="C36" s="13"/>
      <c r="D36" s="13"/>
      <c r="E36" s="13"/>
      <c r="F36" s="13"/>
      <c r="G36" s="12"/>
      <c r="H36" s="14"/>
      <c r="I36" s="13"/>
      <c r="J36" s="13"/>
      <c r="K36" s="13"/>
      <c r="L36" s="13"/>
      <c r="M36" s="13"/>
      <c r="N36" s="12"/>
      <c r="O36" s="14"/>
      <c r="P36" s="13"/>
      <c r="Q36" s="13"/>
      <c r="R36" s="13"/>
      <c r="S36" s="84"/>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6"/>
      <c r="AX36" s="87"/>
      <c r="AY36" s="87"/>
      <c r="AZ36" s="87"/>
      <c r="BA36" s="87"/>
      <c r="BB36" s="87"/>
      <c r="BC36" s="88"/>
      <c r="BD36" s="91"/>
      <c r="BE36" s="87"/>
      <c r="BF36" s="87"/>
      <c r="BG36" s="87"/>
      <c r="BH36" s="87"/>
      <c r="BI36" s="87"/>
      <c r="BJ36" s="88"/>
      <c r="BK36" s="18"/>
    </row>
    <row r="37" spans="1:63" ht="15" customHeight="1" x14ac:dyDescent="0.25">
      <c r="A37" s="15"/>
      <c r="B37" s="8"/>
      <c r="C37" s="7"/>
      <c r="D37" s="7"/>
      <c r="E37" s="7"/>
      <c r="F37" s="7"/>
      <c r="G37" s="6"/>
      <c r="H37" s="8"/>
      <c r="I37" s="7"/>
      <c r="J37" s="7"/>
      <c r="K37" s="7"/>
      <c r="L37" s="7"/>
      <c r="M37" s="7"/>
      <c r="N37" s="6"/>
      <c r="O37" s="8"/>
      <c r="P37" s="7"/>
      <c r="Q37" s="7"/>
      <c r="R37" s="7"/>
      <c r="S37" s="93"/>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5"/>
      <c r="AX37" s="89"/>
      <c r="AY37" s="89"/>
      <c r="AZ37" s="89"/>
      <c r="BA37" s="89"/>
      <c r="BB37" s="89"/>
      <c r="BC37" s="90"/>
      <c r="BD37" s="92"/>
      <c r="BE37" s="89"/>
      <c r="BF37" s="89"/>
      <c r="BG37" s="89"/>
      <c r="BH37" s="89"/>
      <c r="BI37" s="89"/>
      <c r="BJ37" s="90"/>
      <c r="BK37" s="18"/>
    </row>
    <row r="38" spans="1:63" ht="15" customHeight="1" x14ac:dyDescent="0.25">
      <c r="A38" s="15"/>
      <c r="B38" s="14"/>
      <c r="C38" s="13"/>
      <c r="D38" s="13"/>
      <c r="E38" s="13"/>
      <c r="F38" s="13"/>
      <c r="G38" s="12"/>
      <c r="H38" s="14"/>
      <c r="I38" s="13"/>
      <c r="J38" s="13"/>
      <c r="K38" s="13"/>
      <c r="L38" s="13"/>
      <c r="M38" s="13"/>
      <c r="N38" s="12"/>
      <c r="O38" s="14"/>
      <c r="P38" s="13"/>
      <c r="Q38" s="13"/>
      <c r="R38" s="13"/>
      <c r="S38" s="84"/>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6"/>
      <c r="AX38" s="87"/>
      <c r="AY38" s="87"/>
      <c r="AZ38" s="87"/>
      <c r="BA38" s="87"/>
      <c r="BB38" s="87"/>
      <c r="BC38" s="88"/>
      <c r="BD38" s="91"/>
      <c r="BE38" s="87"/>
      <c r="BF38" s="87"/>
      <c r="BG38" s="87"/>
      <c r="BH38" s="87"/>
      <c r="BI38" s="87"/>
      <c r="BJ38" s="88"/>
      <c r="BK38" s="18"/>
    </row>
    <row r="39" spans="1:63" ht="15" customHeight="1" x14ac:dyDescent="0.25">
      <c r="A39" s="15"/>
      <c r="B39" s="8"/>
      <c r="C39" s="7"/>
      <c r="D39" s="7"/>
      <c r="E39" s="7"/>
      <c r="F39" s="7"/>
      <c r="G39" s="6"/>
      <c r="H39" s="8"/>
      <c r="I39" s="7"/>
      <c r="J39" s="7"/>
      <c r="K39" s="7"/>
      <c r="L39" s="7"/>
      <c r="M39" s="7"/>
      <c r="N39" s="6"/>
      <c r="O39" s="8"/>
      <c r="P39" s="7"/>
      <c r="Q39" s="7"/>
      <c r="R39" s="7"/>
      <c r="S39" s="93"/>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95"/>
      <c r="AX39" s="89"/>
      <c r="AY39" s="89"/>
      <c r="AZ39" s="89"/>
      <c r="BA39" s="89"/>
      <c r="BB39" s="89"/>
      <c r="BC39" s="90"/>
      <c r="BD39" s="92"/>
      <c r="BE39" s="89"/>
      <c r="BF39" s="89"/>
      <c r="BG39" s="89"/>
      <c r="BH39" s="89"/>
      <c r="BI39" s="89"/>
      <c r="BJ39" s="90"/>
      <c r="BK39" s="18"/>
    </row>
    <row r="40" spans="1:63" ht="15" customHeight="1" x14ac:dyDescent="0.25">
      <c r="A40" s="15"/>
      <c r="B40" s="14"/>
      <c r="C40" s="13"/>
      <c r="D40" s="13"/>
      <c r="E40" s="13"/>
      <c r="F40" s="13"/>
      <c r="G40" s="12"/>
      <c r="H40" s="14"/>
      <c r="I40" s="13"/>
      <c r="J40" s="13"/>
      <c r="K40" s="13"/>
      <c r="L40" s="13"/>
      <c r="M40" s="13"/>
      <c r="N40" s="12"/>
      <c r="O40" s="14"/>
      <c r="P40" s="13"/>
      <c r="Q40" s="13"/>
      <c r="R40" s="13"/>
      <c r="S40" s="84"/>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6"/>
      <c r="AX40" s="87"/>
      <c r="AY40" s="87"/>
      <c r="AZ40" s="87"/>
      <c r="BA40" s="87"/>
      <c r="BB40" s="87"/>
      <c r="BC40" s="88"/>
      <c r="BD40" s="91"/>
      <c r="BE40" s="87"/>
      <c r="BF40" s="87"/>
      <c r="BG40" s="87"/>
      <c r="BH40" s="87"/>
      <c r="BI40" s="87"/>
      <c r="BJ40" s="88"/>
      <c r="BK40" s="18"/>
    </row>
    <row r="41" spans="1:63" ht="15" customHeight="1" x14ac:dyDescent="0.25">
      <c r="A41" s="15"/>
      <c r="B41" s="8"/>
      <c r="C41" s="7"/>
      <c r="D41" s="7"/>
      <c r="E41" s="7"/>
      <c r="F41" s="7"/>
      <c r="G41" s="6"/>
      <c r="H41" s="8"/>
      <c r="I41" s="7"/>
      <c r="J41" s="7"/>
      <c r="K41" s="7"/>
      <c r="L41" s="7"/>
      <c r="M41" s="7"/>
      <c r="N41" s="6"/>
      <c r="O41" s="8"/>
      <c r="P41" s="7"/>
      <c r="Q41" s="7"/>
      <c r="R41" s="7"/>
      <c r="S41" s="93"/>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94"/>
      <c r="AV41" s="94"/>
      <c r="AW41" s="95"/>
      <c r="AX41" s="89"/>
      <c r="AY41" s="89"/>
      <c r="AZ41" s="89"/>
      <c r="BA41" s="89"/>
      <c r="BB41" s="89"/>
      <c r="BC41" s="90"/>
      <c r="BD41" s="92"/>
      <c r="BE41" s="89"/>
      <c r="BF41" s="89"/>
      <c r="BG41" s="89"/>
      <c r="BH41" s="89"/>
      <c r="BI41" s="89"/>
      <c r="BJ41" s="90"/>
      <c r="BK41" s="18"/>
    </row>
    <row r="42" spans="1:63" ht="15" customHeight="1" x14ac:dyDescent="0.25">
      <c r="A42" s="15"/>
      <c r="B42" s="14"/>
      <c r="C42" s="13"/>
      <c r="D42" s="13"/>
      <c r="E42" s="13"/>
      <c r="F42" s="13"/>
      <c r="G42" s="12"/>
      <c r="H42" s="14"/>
      <c r="I42" s="13"/>
      <c r="J42" s="13"/>
      <c r="K42" s="13"/>
      <c r="L42" s="13"/>
      <c r="M42" s="13"/>
      <c r="N42" s="12"/>
      <c r="O42" s="14"/>
      <c r="P42" s="13"/>
      <c r="Q42" s="13"/>
      <c r="R42" s="13"/>
      <c r="S42" s="84"/>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6"/>
      <c r="AX42" s="87"/>
      <c r="AY42" s="87"/>
      <c r="AZ42" s="87"/>
      <c r="BA42" s="87"/>
      <c r="BB42" s="87"/>
      <c r="BC42" s="88"/>
      <c r="BD42" s="91"/>
      <c r="BE42" s="87"/>
      <c r="BF42" s="87"/>
      <c r="BG42" s="87"/>
      <c r="BH42" s="87"/>
      <c r="BI42" s="87"/>
      <c r="BJ42" s="88"/>
      <c r="BK42" s="18"/>
    </row>
    <row r="43" spans="1:63" ht="15" customHeight="1" x14ac:dyDescent="0.25">
      <c r="A43" s="15"/>
      <c r="B43" s="8"/>
      <c r="C43" s="7"/>
      <c r="D43" s="7"/>
      <c r="E43" s="7"/>
      <c r="F43" s="7"/>
      <c r="G43" s="6"/>
      <c r="H43" s="8"/>
      <c r="I43" s="7"/>
      <c r="J43" s="7"/>
      <c r="K43" s="7"/>
      <c r="L43" s="7"/>
      <c r="M43" s="7"/>
      <c r="N43" s="6"/>
      <c r="O43" s="8"/>
      <c r="P43" s="7"/>
      <c r="Q43" s="7"/>
      <c r="R43" s="7"/>
      <c r="S43" s="93"/>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95"/>
      <c r="AX43" s="89"/>
      <c r="AY43" s="89"/>
      <c r="AZ43" s="89"/>
      <c r="BA43" s="89"/>
      <c r="BB43" s="89"/>
      <c r="BC43" s="90"/>
      <c r="BD43" s="92"/>
      <c r="BE43" s="89"/>
      <c r="BF43" s="89"/>
      <c r="BG43" s="89"/>
      <c r="BH43" s="89"/>
      <c r="BI43" s="89"/>
      <c r="BJ43" s="90"/>
      <c r="BK43" s="18"/>
    </row>
    <row r="44" spans="1:63" ht="15" customHeight="1" x14ac:dyDescent="0.25">
      <c r="A44" s="15"/>
      <c r="B44" s="14"/>
      <c r="C44" s="13"/>
      <c r="D44" s="13"/>
      <c r="E44" s="13"/>
      <c r="F44" s="13"/>
      <c r="G44" s="12"/>
      <c r="H44" s="14"/>
      <c r="I44" s="13"/>
      <c r="J44" s="13"/>
      <c r="K44" s="13"/>
      <c r="L44" s="13"/>
      <c r="M44" s="13"/>
      <c r="N44" s="12"/>
      <c r="O44" s="14"/>
      <c r="P44" s="13"/>
      <c r="Q44" s="13"/>
      <c r="R44" s="13"/>
      <c r="S44" s="84"/>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6"/>
      <c r="AX44" s="87"/>
      <c r="AY44" s="87"/>
      <c r="AZ44" s="87"/>
      <c r="BA44" s="87"/>
      <c r="BB44" s="87"/>
      <c r="BC44" s="88"/>
      <c r="BD44" s="91"/>
      <c r="BE44" s="87"/>
      <c r="BF44" s="87"/>
      <c r="BG44" s="87"/>
      <c r="BH44" s="87"/>
      <c r="BI44" s="87"/>
      <c r="BJ44" s="88"/>
      <c r="BK44" s="18"/>
    </row>
    <row r="45" spans="1:63" ht="15" customHeight="1" x14ac:dyDescent="0.25">
      <c r="A45" s="15"/>
      <c r="B45" s="8"/>
      <c r="C45" s="7"/>
      <c r="D45" s="7"/>
      <c r="E45" s="7"/>
      <c r="F45" s="7"/>
      <c r="G45" s="6"/>
      <c r="H45" s="8"/>
      <c r="I45" s="7"/>
      <c r="J45" s="7"/>
      <c r="K45" s="7"/>
      <c r="L45" s="7"/>
      <c r="M45" s="7"/>
      <c r="N45" s="6"/>
      <c r="O45" s="8"/>
      <c r="P45" s="7"/>
      <c r="Q45" s="7"/>
      <c r="R45" s="7"/>
      <c r="S45" s="93"/>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95"/>
      <c r="AX45" s="89"/>
      <c r="AY45" s="89"/>
      <c r="AZ45" s="89"/>
      <c r="BA45" s="89"/>
      <c r="BB45" s="89"/>
      <c r="BC45" s="90"/>
      <c r="BD45" s="92"/>
      <c r="BE45" s="89"/>
      <c r="BF45" s="89"/>
      <c r="BG45" s="89"/>
      <c r="BH45" s="89"/>
      <c r="BI45" s="89"/>
      <c r="BJ45" s="90"/>
      <c r="BK45" s="18"/>
    </row>
    <row r="46" spans="1:63" ht="15" customHeight="1" x14ac:dyDescent="0.25">
      <c r="A46" s="15"/>
      <c r="B46" s="14"/>
      <c r="C46" s="13"/>
      <c r="D46" s="13"/>
      <c r="E46" s="13"/>
      <c r="F46" s="13"/>
      <c r="G46" s="12"/>
      <c r="H46" s="14"/>
      <c r="I46" s="13"/>
      <c r="J46" s="13"/>
      <c r="K46" s="13"/>
      <c r="L46" s="13"/>
      <c r="M46" s="13"/>
      <c r="N46" s="12"/>
      <c r="O46" s="14"/>
      <c r="P46" s="13"/>
      <c r="Q46" s="13"/>
      <c r="R46" s="13"/>
      <c r="S46" s="84"/>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6"/>
      <c r="AX46" s="87"/>
      <c r="AY46" s="87"/>
      <c r="AZ46" s="87"/>
      <c r="BA46" s="87"/>
      <c r="BB46" s="87"/>
      <c r="BC46" s="88"/>
      <c r="BD46" s="91"/>
      <c r="BE46" s="87"/>
      <c r="BF46" s="87"/>
      <c r="BG46" s="87"/>
      <c r="BH46" s="87"/>
      <c r="BI46" s="87"/>
      <c r="BJ46" s="88"/>
      <c r="BK46" s="18"/>
    </row>
    <row r="47" spans="1:63" ht="15" customHeight="1" x14ac:dyDescent="0.25">
      <c r="A47" s="15"/>
      <c r="B47" s="8"/>
      <c r="C47" s="7"/>
      <c r="D47" s="7"/>
      <c r="E47" s="7"/>
      <c r="F47" s="7"/>
      <c r="G47" s="6"/>
      <c r="H47" s="8"/>
      <c r="I47" s="7"/>
      <c r="J47" s="7"/>
      <c r="K47" s="7"/>
      <c r="L47" s="7"/>
      <c r="M47" s="7"/>
      <c r="N47" s="6"/>
      <c r="O47" s="8"/>
      <c r="P47" s="7"/>
      <c r="Q47" s="7"/>
      <c r="R47" s="7"/>
      <c r="S47" s="93"/>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95"/>
      <c r="AX47" s="89"/>
      <c r="AY47" s="89"/>
      <c r="AZ47" s="89"/>
      <c r="BA47" s="89"/>
      <c r="BB47" s="89"/>
      <c r="BC47" s="90"/>
      <c r="BD47" s="92"/>
      <c r="BE47" s="89"/>
      <c r="BF47" s="89"/>
      <c r="BG47" s="89"/>
      <c r="BH47" s="89"/>
      <c r="BI47" s="89"/>
      <c r="BJ47" s="90"/>
      <c r="BK47" s="18"/>
    </row>
    <row r="48" spans="1:63" ht="15" customHeight="1" x14ac:dyDescent="0.25">
      <c r="A48" s="15"/>
      <c r="B48" s="14"/>
      <c r="C48" s="13"/>
      <c r="D48" s="13"/>
      <c r="E48" s="13"/>
      <c r="F48" s="13"/>
      <c r="G48" s="12"/>
      <c r="H48" s="14"/>
      <c r="I48" s="13"/>
      <c r="J48" s="13"/>
      <c r="K48" s="13"/>
      <c r="L48" s="13"/>
      <c r="M48" s="13"/>
      <c r="N48" s="12"/>
      <c r="O48" s="14"/>
      <c r="P48" s="13"/>
      <c r="Q48" s="13"/>
      <c r="R48" s="13"/>
      <c r="S48" s="84"/>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6"/>
      <c r="AX48" s="87"/>
      <c r="AY48" s="87"/>
      <c r="AZ48" s="87"/>
      <c r="BA48" s="87"/>
      <c r="BB48" s="87"/>
      <c r="BC48" s="88"/>
      <c r="BD48" s="91"/>
      <c r="BE48" s="87"/>
      <c r="BF48" s="87"/>
      <c r="BG48" s="87"/>
      <c r="BH48" s="87"/>
      <c r="BI48" s="87"/>
      <c r="BJ48" s="88"/>
      <c r="BK48" s="18"/>
    </row>
    <row r="49" spans="1:63" ht="15" customHeight="1" x14ac:dyDescent="0.25">
      <c r="A49" s="15"/>
      <c r="B49" s="8"/>
      <c r="C49" s="7"/>
      <c r="D49" s="7"/>
      <c r="E49" s="7"/>
      <c r="F49" s="7"/>
      <c r="G49" s="6"/>
      <c r="H49" s="8"/>
      <c r="I49" s="7"/>
      <c r="J49" s="7"/>
      <c r="K49" s="7"/>
      <c r="L49" s="7"/>
      <c r="M49" s="7"/>
      <c r="N49" s="6"/>
      <c r="O49" s="8"/>
      <c r="P49" s="7"/>
      <c r="Q49" s="7"/>
      <c r="R49" s="7"/>
      <c r="S49" s="93"/>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5"/>
      <c r="AX49" s="89"/>
      <c r="AY49" s="89"/>
      <c r="AZ49" s="89"/>
      <c r="BA49" s="89"/>
      <c r="BB49" s="89"/>
      <c r="BC49" s="90"/>
      <c r="BD49" s="92"/>
      <c r="BE49" s="89"/>
      <c r="BF49" s="89"/>
      <c r="BG49" s="89"/>
      <c r="BH49" s="89"/>
      <c r="BI49" s="89"/>
      <c r="BJ49" s="90"/>
      <c r="BK49" s="18"/>
    </row>
    <row r="50" spans="1:63" ht="15" customHeight="1" x14ac:dyDescent="0.25">
      <c r="A50" s="15"/>
      <c r="B50" s="14"/>
      <c r="C50" s="13"/>
      <c r="D50" s="13"/>
      <c r="E50" s="13"/>
      <c r="F50" s="13"/>
      <c r="G50" s="12"/>
      <c r="H50" s="14"/>
      <c r="I50" s="13"/>
      <c r="J50" s="13"/>
      <c r="K50" s="13"/>
      <c r="L50" s="13"/>
      <c r="M50" s="13"/>
      <c r="N50" s="12"/>
      <c r="O50" s="14"/>
      <c r="P50" s="13"/>
      <c r="Q50" s="13"/>
      <c r="R50" s="13"/>
      <c r="S50" s="84"/>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6"/>
      <c r="AX50" s="87"/>
      <c r="AY50" s="87"/>
      <c r="AZ50" s="87"/>
      <c r="BA50" s="87"/>
      <c r="BB50" s="87"/>
      <c r="BC50" s="88"/>
      <c r="BD50" s="91"/>
      <c r="BE50" s="87"/>
      <c r="BF50" s="87"/>
      <c r="BG50" s="87"/>
      <c r="BH50" s="87"/>
      <c r="BI50" s="87"/>
      <c r="BJ50" s="88"/>
      <c r="BK50" s="18"/>
    </row>
    <row r="51" spans="1:63" ht="15" customHeight="1" x14ac:dyDescent="0.25">
      <c r="A51" s="15"/>
      <c r="B51" s="8"/>
      <c r="C51" s="7"/>
      <c r="D51" s="7"/>
      <c r="E51" s="7"/>
      <c r="F51" s="7"/>
      <c r="G51" s="6"/>
      <c r="H51" s="8"/>
      <c r="I51" s="7"/>
      <c r="J51" s="7"/>
      <c r="K51" s="7"/>
      <c r="L51" s="7"/>
      <c r="M51" s="7"/>
      <c r="N51" s="6"/>
      <c r="O51" s="8"/>
      <c r="P51" s="7"/>
      <c r="Q51" s="7"/>
      <c r="R51" s="7"/>
      <c r="S51" s="93"/>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95"/>
      <c r="AX51" s="89"/>
      <c r="AY51" s="89"/>
      <c r="AZ51" s="89"/>
      <c r="BA51" s="89"/>
      <c r="BB51" s="89"/>
      <c r="BC51" s="90"/>
      <c r="BD51" s="92"/>
      <c r="BE51" s="89"/>
      <c r="BF51" s="89"/>
      <c r="BG51" s="89"/>
      <c r="BH51" s="89"/>
      <c r="BI51" s="89"/>
      <c r="BJ51" s="90"/>
      <c r="BK51" s="18"/>
    </row>
    <row r="52" spans="1:63" ht="15" customHeight="1" x14ac:dyDescent="0.25">
      <c r="A52" s="15"/>
      <c r="B52" s="14"/>
      <c r="C52" s="13"/>
      <c r="D52" s="13"/>
      <c r="E52" s="13"/>
      <c r="F52" s="13"/>
      <c r="G52" s="12"/>
      <c r="H52" s="14"/>
      <c r="I52" s="13"/>
      <c r="J52" s="13"/>
      <c r="K52" s="13"/>
      <c r="L52" s="13"/>
      <c r="M52" s="13"/>
      <c r="N52" s="12"/>
      <c r="O52" s="14"/>
      <c r="P52" s="13"/>
      <c r="Q52" s="13"/>
      <c r="R52" s="13"/>
      <c r="S52" s="84"/>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6"/>
      <c r="AX52" s="87"/>
      <c r="AY52" s="87"/>
      <c r="AZ52" s="87"/>
      <c r="BA52" s="87"/>
      <c r="BB52" s="87"/>
      <c r="BC52" s="88"/>
      <c r="BD52" s="91"/>
      <c r="BE52" s="87"/>
      <c r="BF52" s="87"/>
      <c r="BG52" s="87"/>
      <c r="BH52" s="87"/>
      <c r="BI52" s="87"/>
      <c r="BJ52" s="88"/>
      <c r="BK52" s="18"/>
    </row>
    <row r="53" spans="1:63" ht="15" customHeight="1" x14ac:dyDescent="0.25">
      <c r="A53" s="15"/>
      <c r="B53" s="8"/>
      <c r="C53" s="7"/>
      <c r="D53" s="7"/>
      <c r="E53" s="7"/>
      <c r="F53" s="7"/>
      <c r="G53" s="6"/>
      <c r="H53" s="8"/>
      <c r="I53" s="7"/>
      <c r="J53" s="7"/>
      <c r="K53" s="7"/>
      <c r="L53" s="7"/>
      <c r="M53" s="7"/>
      <c r="N53" s="6"/>
      <c r="O53" s="8"/>
      <c r="P53" s="7"/>
      <c r="Q53" s="7"/>
      <c r="R53" s="7"/>
      <c r="S53" s="93"/>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95"/>
      <c r="AX53" s="89"/>
      <c r="AY53" s="89"/>
      <c r="AZ53" s="89"/>
      <c r="BA53" s="89"/>
      <c r="BB53" s="89"/>
      <c r="BC53" s="90"/>
      <c r="BD53" s="92"/>
      <c r="BE53" s="89"/>
      <c r="BF53" s="89"/>
      <c r="BG53" s="89"/>
      <c r="BH53" s="89"/>
      <c r="BI53" s="89"/>
      <c r="BJ53" s="90"/>
      <c r="BK53" s="18"/>
    </row>
    <row r="54" spans="1:63" ht="15" customHeight="1" x14ac:dyDescent="0.25">
      <c r="A54" s="15"/>
      <c r="B54" s="14"/>
      <c r="C54" s="13"/>
      <c r="D54" s="13"/>
      <c r="E54" s="13"/>
      <c r="F54" s="13"/>
      <c r="G54" s="12"/>
      <c r="H54" s="14"/>
      <c r="I54" s="13"/>
      <c r="J54" s="13"/>
      <c r="K54" s="13"/>
      <c r="L54" s="13"/>
      <c r="M54" s="13"/>
      <c r="N54" s="12"/>
      <c r="O54" s="14"/>
      <c r="P54" s="13"/>
      <c r="Q54" s="13"/>
      <c r="R54" s="13"/>
      <c r="S54" s="84"/>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6"/>
      <c r="AX54" s="87"/>
      <c r="AY54" s="87"/>
      <c r="AZ54" s="87"/>
      <c r="BA54" s="87"/>
      <c r="BB54" s="87"/>
      <c r="BC54" s="88"/>
      <c r="BD54" s="91"/>
      <c r="BE54" s="87"/>
      <c r="BF54" s="87"/>
      <c r="BG54" s="87"/>
      <c r="BH54" s="87"/>
      <c r="BI54" s="87"/>
      <c r="BJ54" s="88"/>
      <c r="BK54" s="18"/>
    </row>
    <row r="55" spans="1:63" ht="15" customHeight="1" x14ac:dyDescent="0.25">
      <c r="A55" s="15"/>
      <c r="B55" s="8"/>
      <c r="C55" s="7"/>
      <c r="D55" s="7"/>
      <c r="E55" s="7"/>
      <c r="F55" s="7"/>
      <c r="G55" s="6"/>
      <c r="H55" s="8"/>
      <c r="I55" s="7"/>
      <c r="J55" s="7"/>
      <c r="K55" s="7"/>
      <c r="L55" s="7"/>
      <c r="M55" s="7"/>
      <c r="N55" s="6"/>
      <c r="O55" s="8"/>
      <c r="P55" s="7"/>
      <c r="Q55" s="7"/>
      <c r="R55" s="7"/>
      <c r="S55" s="93"/>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95"/>
      <c r="AX55" s="89"/>
      <c r="AY55" s="89"/>
      <c r="AZ55" s="89"/>
      <c r="BA55" s="89"/>
      <c r="BB55" s="89"/>
      <c r="BC55" s="90"/>
      <c r="BD55" s="92"/>
      <c r="BE55" s="89"/>
      <c r="BF55" s="89"/>
      <c r="BG55" s="89"/>
      <c r="BH55" s="89"/>
      <c r="BI55" s="89"/>
      <c r="BJ55" s="90"/>
      <c r="BK55" s="18"/>
    </row>
    <row r="56" spans="1:63" ht="15" customHeight="1" x14ac:dyDescent="0.25">
      <c r="A56" s="15"/>
      <c r="B56" s="14"/>
      <c r="C56" s="13"/>
      <c r="D56" s="13"/>
      <c r="E56" s="13"/>
      <c r="F56" s="13"/>
      <c r="G56" s="12"/>
      <c r="H56" s="14"/>
      <c r="I56" s="13"/>
      <c r="J56" s="13"/>
      <c r="K56" s="13"/>
      <c r="L56" s="13"/>
      <c r="M56" s="13"/>
      <c r="N56" s="12"/>
      <c r="O56" s="14"/>
      <c r="P56" s="13"/>
      <c r="Q56" s="13"/>
      <c r="R56" s="13"/>
      <c r="S56" s="84"/>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6"/>
      <c r="AX56" s="87"/>
      <c r="AY56" s="87"/>
      <c r="AZ56" s="87"/>
      <c r="BA56" s="87"/>
      <c r="BB56" s="87"/>
      <c r="BC56" s="88"/>
      <c r="BD56" s="91"/>
      <c r="BE56" s="87"/>
      <c r="BF56" s="87"/>
      <c r="BG56" s="87"/>
      <c r="BH56" s="87"/>
      <c r="BI56" s="87"/>
      <c r="BJ56" s="88"/>
      <c r="BK56" s="18"/>
    </row>
    <row r="57" spans="1:63" ht="15" customHeight="1" x14ac:dyDescent="0.25">
      <c r="A57" s="15"/>
      <c r="B57" s="8"/>
      <c r="C57" s="7"/>
      <c r="D57" s="7"/>
      <c r="E57" s="7"/>
      <c r="F57" s="7"/>
      <c r="G57" s="6"/>
      <c r="H57" s="8"/>
      <c r="I57" s="7"/>
      <c r="J57" s="7"/>
      <c r="K57" s="7"/>
      <c r="L57" s="7"/>
      <c r="M57" s="7"/>
      <c r="N57" s="6"/>
      <c r="O57" s="8"/>
      <c r="P57" s="7"/>
      <c r="Q57" s="7"/>
      <c r="R57" s="7"/>
      <c r="S57" s="93"/>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95"/>
      <c r="AX57" s="89"/>
      <c r="AY57" s="89"/>
      <c r="AZ57" s="89"/>
      <c r="BA57" s="89"/>
      <c r="BB57" s="89"/>
      <c r="BC57" s="90"/>
      <c r="BD57" s="92"/>
      <c r="BE57" s="89"/>
      <c r="BF57" s="89"/>
      <c r="BG57" s="89"/>
      <c r="BH57" s="89"/>
      <c r="BI57" s="89"/>
      <c r="BJ57" s="90"/>
      <c r="BK57" s="18"/>
    </row>
    <row r="58" spans="1:63" ht="15" customHeight="1" x14ac:dyDescent="0.25">
      <c r="A58" s="15"/>
      <c r="B58" s="14"/>
      <c r="C58" s="13"/>
      <c r="D58" s="13"/>
      <c r="E58" s="13"/>
      <c r="F58" s="13"/>
      <c r="G58" s="12"/>
      <c r="H58" s="14"/>
      <c r="I58" s="13"/>
      <c r="J58" s="13"/>
      <c r="K58" s="13"/>
      <c r="L58" s="13"/>
      <c r="M58" s="13"/>
      <c r="N58" s="12"/>
      <c r="O58" s="14"/>
      <c r="P58" s="13"/>
      <c r="Q58" s="13"/>
      <c r="R58" s="13"/>
      <c r="S58" s="84"/>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6"/>
      <c r="AX58" s="87"/>
      <c r="AY58" s="87"/>
      <c r="AZ58" s="87"/>
      <c r="BA58" s="87"/>
      <c r="BB58" s="87"/>
      <c r="BC58" s="88"/>
      <c r="BD58" s="91"/>
      <c r="BE58" s="87"/>
      <c r="BF58" s="87"/>
      <c r="BG58" s="87"/>
      <c r="BH58" s="87"/>
      <c r="BI58" s="87"/>
      <c r="BJ58" s="88"/>
      <c r="BK58" s="18"/>
    </row>
    <row r="59" spans="1:63" ht="15" customHeight="1" x14ac:dyDescent="0.25">
      <c r="A59" s="15"/>
      <c r="B59" s="8"/>
      <c r="C59" s="7"/>
      <c r="D59" s="7"/>
      <c r="E59" s="7"/>
      <c r="F59" s="7"/>
      <c r="G59" s="6"/>
      <c r="H59" s="8"/>
      <c r="I59" s="7"/>
      <c r="J59" s="7"/>
      <c r="K59" s="7"/>
      <c r="L59" s="7"/>
      <c r="M59" s="7"/>
      <c r="N59" s="6"/>
      <c r="O59" s="8"/>
      <c r="P59" s="7"/>
      <c r="Q59" s="7"/>
      <c r="R59" s="7"/>
      <c r="S59" s="93"/>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95"/>
      <c r="AX59" s="89"/>
      <c r="AY59" s="89"/>
      <c r="AZ59" s="89"/>
      <c r="BA59" s="89"/>
      <c r="BB59" s="89"/>
      <c r="BC59" s="90"/>
      <c r="BD59" s="92"/>
      <c r="BE59" s="89"/>
      <c r="BF59" s="89"/>
      <c r="BG59" s="89"/>
      <c r="BH59" s="89"/>
      <c r="BI59" s="89"/>
      <c r="BJ59" s="90"/>
      <c r="BK59" s="18"/>
    </row>
    <row r="60" spans="1:63" ht="15" customHeight="1" x14ac:dyDescent="0.25">
      <c r="A60" s="16"/>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9"/>
    </row>
  </sheetData>
  <mergeCells count="185">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22:G23"/>
    <mergeCell ref="H22:N23"/>
    <mergeCell ref="O22:R23"/>
    <mergeCell ref="S22:AW22"/>
    <mergeCell ref="AX22:BC23"/>
    <mergeCell ref="BD22:BJ23"/>
    <mergeCell ref="S23:AW23"/>
    <mergeCell ref="BD13:BJ14"/>
    <mergeCell ref="S14:AW14"/>
    <mergeCell ref="B15:G21"/>
    <mergeCell ref="H15:N21"/>
    <mergeCell ref="O15:R21"/>
    <mergeCell ref="S15:AW15"/>
    <mergeCell ref="AX15:BC21"/>
    <mergeCell ref="BD15:BJ21"/>
    <mergeCell ref="S21:AW21"/>
    <mergeCell ref="B26:G27"/>
    <mergeCell ref="H26:N27"/>
    <mergeCell ref="O26:R27"/>
    <mergeCell ref="S26:AW26"/>
    <mergeCell ref="AX26:BC27"/>
    <mergeCell ref="BD26:BJ27"/>
    <mergeCell ref="S27:AW27"/>
    <mergeCell ref="B24:G25"/>
    <mergeCell ref="H24:N25"/>
    <mergeCell ref="O24:R25"/>
    <mergeCell ref="S24:AW24"/>
    <mergeCell ref="AX24:BC25"/>
    <mergeCell ref="BD24:BJ25"/>
    <mergeCell ref="S25:AW25"/>
    <mergeCell ref="B30:G31"/>
    <mergeCell ref="H30:N31"/>
    <mergeCell ref="O30:R31"/>
    <mergeCell ref="S30:AW30"/>
    <mergeCell ref="AX30:BC31"/>
    <mergeCell ref="BD30:BJ31"/>
    <mergeCell ref="S31:AW31"/>
    <mergeCell ref="B28:G29"/>
    <mergeCell ref="H28:N29"/>
    <mergeCell ref="O28:R29"/>
    <mergeCell ref="S28:AW28"/>
    <mergeCell ref="AX28:BC29"/>
    <mergeCell ref="BD28:BJ29"/>
    <mergeCell ref="S29:AW29"/>
    <mergeCell ref="B34:G35"/>
    <mergeCell ref="H34:N35"/>
    <mergeCell ref="O34:R35"/>
    <mergeCell ref="S34:AW34"/>
    <mergeCell ref="AX34:BC35"/>
    <mergeCell ref="BD34:BJ35"/>
    <mergeCell ref="S35:AW35"/>
    <mergeCell ref="B32:G33"/>
    <mergeCell ref="H32:N33"/>
    <mergeCell ref="O32:R33"/>
    <mergeCell ref="S32:AW32"/>
    <mergeCell ref="AX32:BC33"/>
    <mergeCell ref="BD32:BJ33"/>
    <mergeCell ref="S33:AW33"/>
    <mergeCell ref="B38:G39"/>
    <mergeCell ref="H38:N39"/>
    <mergeCell ref="O38:R39"/>
    <mergeCell ref="S38:AW38"/>
    <mergeCell ref="AX38:BC39"/>
    <mergeCell ref="BD38:BJ39"/>
    <mergeCell ref="S39:AW39"/>
    <mergeCell ref="B36:G37"/>
    <mergeCell ref="H36:N37"/>
    <mergeCell ref="O36:R37"/>
    <mergeCell ref="S36:AW36"/>
    <mergeCell ref="AX36:BC37"/>
    <mergeCell ref="BD36:BJ37"/>
    <mergeCell ref="S37:AW37"/>
    <mergeCell ref="S42:AW42"/>
    <mergeCell ref="AX42:BC43"/>
    <mergeCell ref="BD42:BJ43"/>
    <mergeCell ref="S43:AW43"/>
    <mergeCell ref="B40:G41"/>
    <mergeCell ref="H40:N41"/>
    <mergeCell ref="O40:R41"/>
    <mergeCell ref="S40:AW40"/>
    <mergeCell ref="AX40:BC41"/>
    <mergeCell ref="BD40:BJ41"/>
    <mergeCell ref="S41:AW41"/>
    <mergeCell ref="AX46:BC47"/>
    <mergeCell ref="BD46:BJ47"/>
    <mergeCell ref="S47:AW47"/>
    <mergeCell ref="B44:G45"/>
    <mergeCell ref="H44:N45"/>
    <mergeCell ref="O44:R45"/>
    <mergeCell ref="S44:AW44"/>
    <mergeCell ref="AX44:BC45"/>
    <mergeCell ref="BD44:BJ45"/>
    <mergeCell ref="S45:AW45"/>
    <mergeCell ref="AX50:BC51"/>
    <mergeCell ref="BD50:BJ51"/>
    <mergeCell ref="S51:AW51"/>
    <mergeCell ref="B48:G49"/>
    <mergeCell ref="H48:N49"/>
    <mergeCell ref="O48:R49"/>
    <mergeCell ref="S48:AW48"/>
    <mergeCell ref="AX48:BC49"/>
    <mergeCell ref="BD48:BJ49"/>
    <mergeCell ref="S49:AW49"/>
    <mergeCell ref="AX54:BC55"/>
    <mergeCell ref="BD54:BJ55"/>
    <mergeCell ref="S55:AW55"/>
    <mergeCell ref="B52:G53"/>
    <mergeCell ref="H52:N53"/>
    <mergeCell ref="O52:R53"/>
    <mergeCell ref="S52:AW52"/>
    <mergeCell ref="AX52:BC53"/>
    <mergeCell ref="BD52:BJ53"/>
    <mergeCell ref="S53:AW53"/>
    <mergeCell ref="AX58:BC59"/>
    <mergeCell ref="BD58:BJ59"/>
    <mergeCell ref="S59:AW59"/>
    <mergeCell ref="B56:G57"/>
    <mergeCell ref="H56:N57"/>
    <mergeCell ref="O56:R57"/>
    <mergeCell ref="S56:AW56"/>
    <mergeCell ref="AX56:BC57"/>
    <mergeCell ref="BD56:BJ57"/>
    <mergeCell ref="S57:AW57"/>
    <mergeCell ref="S16:AW16"/>
    <mergeCell ref="S17:AW17"/>
    <mergeCell ref="S18:AW18"/>
    <mergeCell ref="S19:AW19"/>
    <mergeCell ref="S20:AW20"/>
    <mergeCell ref="B58:G59"/>
    <mergeCell ref="H58:N59"/>
    <mergeCell ref="O58:R59"/>
    <mergeCell ref="S58:AW58"/>
    <mergeCell ref="B54:G55"/>
    <mergeCell ref="H54:N55"/>
    <mergeCell ref="O54:R55"/>
    <mergeCell ref="S54:AW54"/>
    <mergeCell ref="B50:G51"/>
    <mergeCell ref="H50:N51"/>
    <mergeCell ref="O50:R51"/>
    <mergeCell ref="S50:AW50"/>
    <mergeCell ref="B46:G47"/>
    <mergeCell ref="H46:N47"/>
    <mergeCell ref="O46:R47"/>
    <mergeCell ref="S46:AW46"/>
    <mergeCell ref="B42:G43"/>
    <mergeCell ref="H42:N43"/>
    <mergeCell ref="O42:R43"/>
  </mergeCells>
  <printOptions horizontalCentered="1" verticalCentered="1"/>
  <pageMargins left="0.59055118110236204" right="0.59055118110236204" top="0.39370078740157499" bottom="0.39370078740157499" header="0.31496062992126" footer="0.31496062992126"/>
  <pageSetup paperSize="9" scale="53"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781DE-614C-43E3-BF4E-80C835CC1CEB}">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225" customWidth="1"/>
    <col min="61" max="16384" width="2.77734375" style="225"/>
  </cols>
  <sheetData>
    <row r="1" spans="1:63" ht="24.95" customHeight="1" x14ac:dyDescent="0.25">
      <c r="A1" s="219" t="s">
        <v>70</v>
      </c>
      <c r="B1" s="220"/>
      <c r="C1" s="220"/>
      <c r="D1" s="220"/>
      <c r="E1" s="220"/>
      <c r="F1" s="220"/>
      <c r="G1" s="220"/>
      <c r="H1" s="220"/>
      <c r="I1" s="220"/>
      <c r="J1" s="221"/>
      <c r="K1" s="219" t="s">
        <v>71</v>
      </c>
      <c r="L1" s="220"/>
      <c r="M1" s="220"/>
      <c r="N1" s="220"/>
      <c r="O1" s="220"/>
      <c r="P1" s="220"/>
      <c r="Q1" s="220"/>
      <c r="R1" s="220"/>
      <c r="S1" s="220"/>
      <c r="T1" s="220"/>
      <c r="U1" s="220"/>
      <c r="V1" s="221"/>
      <c r="W1" s="222" t="str">
        <f>IF(表紙!W1="","",表紙!W1)</f>
        <v>基本設計書</v>
      </c>
      <c r="X1" s="223"/>
      <c r="Y1" s="223"/>
      <c r="Z1" s="223"/>
      <c r="AA1" s="223"/>
      <c r="AB1" s="223"/>
      <c r="AC1" s="223"/>
      <c r="AD1" s="223"/>
      <c r="AE1" s="223"/>
      <c r="AF1" s="223"/>
      <c r="AG1" s="223"/>
      <c r="AH1" s="223"/>
      <c r="AI1" s="223"/>
      <c r="AJ1" s="223"/>
      <c r="AK1" s="223"/>
      <c r="AL1" s="223"/>
      <c r="AM1" s="223"/>
      <c r="AN1" s="223"/>
      <c r="AO1" s="224"/>
      <c r="AP1" s="219" t="s">
        <v>72</v>
      </c>
      <c r="AQ1" s="220"/>
      <c r="AR1" s="220"/>
      <c r="AS1" s="221"/>
      <c r="AT1" s="219" t="s">
        <v>73</v>
      </c>
      <c r="AU1" s="220"/>
      <c r="AV1" s="220"/>
      <c r="AW1" s="220"/>
      <c r="AX1" s="221"/>
      <c r="AY1" s="219" t="s">
        <v>74</v>
      </c>
      <c r="AZ1" s="220"/>
      <c r="BA1" s="220"/>
      <c r="BB1" s="221"/>
      <c r="BC1" s="219" t="s">
        <v>75</v>
      </c>
      <c r="BD1" s="220"/>
      <c r="BE1" s="220"/>
      <c r="BF1" s="220"/>
      <c r="BG1" s="221"/>
      <c r="BH1" s="219" t="s">
        <v>76</v>
      </c>
      <c r="BI1" s="220"/>
      <c r="BJ1" s="220"/>
      <c r="BK1" s="221"/>
    </row>
    <row r="2" spans="1:63" ht="15" customHeight="1" x14ac:dyDescent="0.25">
      <c r="A2" s="226" t="str">
        <f>IF(表紙!A2="","",表紙!A2)</f>
        <v>POSサーバー</v>
      </c>
      <c r="B2" s="227"/>
      <c r="C2" s="227"/>
      <c r="D2" s="227"/>
      <c r="E2" s="227"/>
      <c r="F2" s="227"/>
      <c r="G2" s="227"/>
      <c r="H2" s="227"/>
      <c r="I2" s="227"/>
      <c r="J2" s="228"/>
      <c r="K2" s="226" t="str">
        <f>IF(表紙!K2="","",表紙!K2)</f>
        <v>POSサーバ</v>
      </c>
      <c r="L2" s="227"/>
      <c r="M2" s="227"/>
      <c r="N2" s="227"/>
      <c r="O2" s="227"/>
      <c r="P2" s="227"/>
      <c r="Q2" s="227"/>
      <c r="R2" s="227"/>
      <c r="S2" s="227"/>
      <c r="T2" s="227"/>
      <c r="U2" s="227"/>
      <c r="V2" s="228"/>
      <c r="W2" s="229"/>
      <c r="X2" s="230"/>
      <c r="Y2" s="230"/>
      <c r="Z2" s="230"/>
      <c r="AA2" s="230"/>
      <c r="AB2" s="230"/>
      <c r="AC2" s="230"/>
      <c r="AD2" s="230"/>
      <c r="AE2" s="230"/>
      <c r="AF2" s="230"/>
      <c r="AG2" s="230"/>
      <c r="AH2" s="230"/>
      <c r="AI2" s="230"/>
      <c r="AJ2" s="230"/>
      <c r="AK2" s="230"/>
      <c r="AL2" s="230"/>
      <c r="AM2" s="230"/>
      <c r="AN2" s="230"/>
      <c r="AO2" s="231"/>
      <c r="AP2" s="226" t="str">
        <f>IF(表紙!AP2="","",表紙!AP2)</f>
        <v>TinNH</v>
      </c>
      <c r="AQ2" s="227"/>
      <c r="AR2" s="227"/>
      <c r="AS2" s="228"/>
      <c r="AT2" s="232">
        <f>IF(表紙!AT2="","",表紙!AT2)</f>
        <v>45439</v>
      </c>
      <c r="AU2" s="233"/>
      <c r="AV2" s="233"/>
      <c r="AW2" s="233"/>
      <c r="AX2" s="234"/>
      <c r="AY2" s="226" t="str">
        <f>IF(表紙!AY2="","",表紙!AY2)</f>
        <v>DuNT</v>
      </c>
      <c r="AZ2" s="227"/>
      <c r="BA2" s="227"/>
      <c r="BB2" s="228"/>
      <c r="BC2" s="232">
        <f>IF(表紙!BC2="","",表紙!BC2)</f>
        <v>45545</v>
      </c>
      <c r="BD2" s="233"/>
      <c r="BE2" s="233"/>
      <c r="BF2" s="233"/>
      <c r="BG2" s="234"/>
      <c r="BH2" s="226">
        <f>IF(表紙!BH2="","",表紙!BH2)</f>
        <v>0.4</v>
      </c>
      <c r="BI2" s="227"/>
      <c r="BJ2" s="227"/>
      <c r="BK2" s="228"/>
    </row>
    <row r="3" spans="1:63" ht="15" customHeight="1" x14ac:dyDescent="0.25">
      <c r="A3" s="235"/>
      <c r="B3" s="236"/>
      <c r="C3" s="236"/>
      <c r="D3" s="236"/>
      <c r="E3" s="236"/>
      <c r="F3" s="236"/>
      <c r="G3" s="236"/>
      <c r="H3" s="236"/>
      <c r="I3" s="236"/>
      <c r="J3" s="237"/>
      <c r="K3" s="235"/>
      <c r="L3" s="236"/>
      <c r="M3" s="236"/>
      <c r="N3" s="236"/>
      <c r="O3" s="236"/>
      <c r="P3" s="236"/>
      <c r="Q3" s="236"/>
      <c r="R3" s="236"/>
      <c r="S3" s="236"/>
      <c r="T3" s="236"/>
      <c r="U3" s="236"/>
      <c r="V3" s="237"/>
      <c r="W3" s="238"/>
      <c r="X3" s="239"/>
      <c r="Y3" s="239"/>
      <c r="Z3" s="239"/>
      <c r="AA3" s="239"/>
      <c r="AB3" s="239"/>
      <c r="AC3" s="239"/>
      <c r="AD3" s="239"/>
      <c r="AE3" s="239"/>
      <c r="AF3" s="239"/>
      <c r="AG3" s="239"/>
      <c r="AH3" s="239"/>
      <c r="AI3" s="239"/>
      <c r="AJ3" s="239"/>
      <c r="AK3" s="239"/>
      <c r="AL3" s="239"/>
      <c r="AM3" s="239"/>
      <c r="AN3" s="239"/>
      <c r="AO3" s="240"/>
      <c r="AP3" s="235"/>
      <c r="AQ3" s="236"/>
      <c r="AR3" s="236"/>
      <c r="AS3" s="237"/>
      <c r="AT3" s="241"/>
      <c r="AU3" s="242"/>
      <c r="AV3" s="242"/>
      <c r="AW3" s="242"/>
      <c r="AX3" s="243"/>
      <c r="AY3" s="235"/>
      <c r="AZ3" s="236"/>
      <c r="BA3" s="236"/>
      <c r="BB3" s="237"/>
      <c r="BC3" s="241"/>
      <c r="BD3" s="242"/>
      <c r="BE3" s="242"/>
      <c r="BF3" s="242"/>
      <c r="BG3" s="243"/>
      <c r="BH3" s="235"/>
      <c r="BI3" s="236"/>
      <c r="BJ3" s="236"/>
      <c r="BK3" s="237"/>
    </row>
    <row r="4" spans="1:63" ht="24.95" customHeight="1" x14ac:dyDescent="0.25">
      <c r="A4" s="219" t="s">
        <v>77</v>
      </c>
      <c r="B4" s="220"/>
      <c r="C4" s="220"/>
      <c r="D4" s="220"/>
      <c r="E4" s="220"/>
      <c r="F4" s="220"/>
      <c r="G4" s="221"/>
      <c r="H4" s="244" t="str">
        <f>IF(表紙!H4="","",表紙!H4)</f>
        <v>62_画像アップロード</v>
      </c>
      <c r="I4" s="245"/>
      <c r="J4" s="245"/>
      <c r="K4" s="245"/>
      <c r="L4" s="245"/>
      <c r="M4" s="245"/>
      <c r="N4" s="245"/>
      <c r="O4" s="245"/>
      <c r="P4" s="245"/>
      <c r="Q4" s="245"/>
      <c r="R4" s="245"/>
      <c r="S4" s="245"/>
      <c r="T4" s="246"/>
      <c r="U4" s="219" t="s">
        <v>78</v>
      </c>
      <c r="V4" s="220"/>
      <c r="W4" s="220"/>
      <c r="X4" s="220"/>
      <c r="Y4" s="221"/>
      <c r="Z4" s="244" t="str">
        <f>IF(表紙!Z4="","",表紙!Z4)</f>
        <v>概要設計</v>
      </c>
      <c r="AA4" s="245"/>
      <c r="AB4" s="245"/>
      <c r="AC4" s="245"/>
      <c r="AD4" s="245"/>
      <c r="AE4" s="245"/>
      <c r="AF4" s="245"/>
      <c r="AG4" s="245"/>
      <c r="AH4" s="245"/>
      <c r="AI4" s="245"/>
      <c r="AJ4" s="245"/>
      <c r="AK4" s="245"/>
      <c r="AL4" s="245"/>
      <c r="AM4" s="245"/>
      <c r="AN4" s="245"/>
      <c r="AO4" s="246"/>
      <c r="AP4" s="244" t="str">
        <f t="array" aca="1" ref="AP4" ca="1">RIGHT(CELL("filename",$A$1),LEN(CELL("filename",$A$1))-FIND("]",CELL("filename",$A$1)))</f>
        <v>指摘履歴</v>
      </c>
      <c r="AQ4" s="245"/>
      <c r="AR4" s="245"/>
      <c r="AS4" s="245"/>
      <c r="AT4" s="245"/>
      <c r="AU4" s="245"/>
      <c r="AV4" s="245"/>
      <c r="AW4" s="245"/>
      <c r="AX4" s="245"/>
      <c r="AY4" s="245"/>
      <c r="AZ4" s="245"/>
      <c r="BA4" s="245"/>
      <c r="BB4" s="245"/>
      <c r="BC4" s="245"/>
      <c r="BD4" s="245"/>
      <c r="BE4" s="245"/>
      <c r="BF4" s="245"/>
      <c r="BG4" s="245"/>
      <c r="BH4" s="245"/>
      <c r="BI4" s="245"/>
      <c r="BJ4" s="245"/>
      <c r="BK4" s="246"/>
    </row>
    <row r="5" spans="1:63" ht="5.0999999999999996" customHeight="1" x14ac:dyDescent="0.25">
      <c r="A5" s="247"/>
      <c r="B5" s="248"/>
      <c r="C5" s="248"/>
      <c r="D5" s="248"/>
      <c r="E5" s="248"/>
      <c r="F5" s="248"/>
      <c r="G5" s="248"/>
      <c r="H5" s="248"/>
      <c r="I5" s="248"/>
      <c r="J5" s="248"/>
      <c r="K5" s="248"/>
      <c r="L5" s="248"/>
      <c r="M5" s="248"/>
      <c r="N5" s="248"/>
      <c r="O5" s="248"/>
      <c r="P5" s="248"/>
      <c r="Q5" s="248"/>
      <c r="R5" s="248"/>
      <c r="S5" s="248"/>
      <c r="T5" s="248"/>
      <c r="U5" s="248"/>
      <c r="V5" s="248"/>
      <c r="W5" s="248"/>
      <c r="X5" s="248"/>
      <c r="Y5" s="248"/>
      <c r="Z5" s="248"/>
      <c r="AA5" s="248"/>
      <c r="AB5" s="248"/>
      <c r="AC5" s="248"/>
      <c r="AD5" s="248"/>
      <c r="AE5" s="248"/>
      <c r="AF5" s="248"/>
      <c r="AG5" s="248"/>
      <c r="AH5" s="248"/>
      <c r="AI5" s="248"/>
      <c r="AJ5" s="248"/>
      <c r="AK5" s="248"/>
      <c r="AL5" s="248"/>
      <c r="AM5" s="248"/>
      <c r="AN5" s="248"/>
      <c r="AO5" s="248"/>
      <c r="AP5" s="248"/>
      <c r="AQ5" s="248"/>
      <c r="AR5" s="248"/>
      <c r="AS5" s="248"/>
      <c r="AT5" s="248"/>
      <c r="AU5" s="248"/>
      <c r="AV5" s="248"/>
      <c r="AW5" s="248"/>
      <c r="AX5" s="248"/>
      <c r="AY5" s="248"/>
      <c r="AZ5" s="248"/>
      <c r="BA5" s="248"/>
      <c r="BB5" s="248"/>
      <c r="BC5" s="248"/>
      <c r="BD5" s="248"/>
      <c r="BE5" s="248"/>
      <c r="BF5" s="248"/>
      <c r="BG5" s="248"/>
      <c r="BH5" s="248"/>
      <c r="BI5" s="248"/>
      <c r="BJ5" s="248"/>
      <c r="BK5" s="249"/>
    </row>
    <row r="6" spans="1:63" ht="15" customHeight="1" x14ac:dyDescent="0.25">
      <c r="A6" s="250"/>
      <c r="BK6" s="251"/>
    </row>
    <row r="7" spans="1:63" ht="15" customHeight="1" x14ac:dyDescent="0.25">
      <c r="A7" s="250"/>
      <c r="BK7" s="251"/>
    </row>
    <row r="8" spans="1:63" ht="15" customHeight="1" x14ac:dyDescent="0.25">
      <c r="A8" s="250"/>
      <c r="B8" s="45" t="s">
        <v>79</v>
      </c>
      <c r="BK8" s="251"/>
    </row>
    <row r="9" spans="1:63" ht="15" customHeight="1" x14ac:dyDescent="0.25">
      <c r="A9" s="250"/>
      <c r="BK9" s="251"/>
    </row>
    <row r="10" spans="1:63" ht="15" customHeight="1" x14ac:dyDescent="0.25">
      <c r="A10" s="250"/>
      <c r="B10" s="252" t="s">
        <v>75</v>
      </c>
      <c r="C10" s="252"/>
      <c r="D10" s="252"/>
      <c r="E10" s="252"/>
      <c r="F10" s="252"/>
      <c r="G10" s="252"/>
      <c r="H10" s="252" t="s">
        <v>74</v>
      </c>
      <c r="I10" s="252"/>
      <c r="J10" s="252"/>
      <c r="K10" s="252"/>
      <c r="L10" s="252"/>
      <c r="M10" s="252"/>
      <c r="N10" s="252"/>
      <c r="O10" s="252" t="s">
        <v>76</v>
      </c>
      <c r="P10" s="252"/>
      <c r="Q10" s="252"/>
      <c r="R10" s="252"/>
      <c r="S10" s="252" t="s">
        <v>80</v>
      </c>
      <c r="T10" s="252"/>
      <c r="U10" s="252"/>
      <c r="V10" s="252"/>
      <c r="W10" s="252"/>
      <c r="X10" s="252"/>
      <c r="Y10" s="252"/>
      <c r="Z10" s="252"/>
      <c r="AA10" s="252"/>
      <c r="AB10" s="252"/>
      <c r="AC10" s="252"/>
      <c r="AD10" s="252"/>
      <c r="AE10" s="252"/>
      <c r="AF10" s="252"/>
      <c r="AG10" s="252"/>
      <c r="AH10" s="252"/>
      <c r="AI10" s="252"/>
      <c r="AJ10" s="252"/>
      <c r="AK10" s="252"/>
      <c r="AL10" s="252"/>
      <c r="AM10" s="252"/>
      <c r="AN10" s="252"/>
      <c r="AO10" s="252"/>
      <c r="AP10" s="252"/>
      <c r="AQ10" s="252"/>
      <c r="AR10" s="252"/>
      <c r="AS10" s="252"/>
      <c r="AT10" s="252"/>
      <c r="AU10" s="252"/>
      <c r="AV10" s="252"/>
      <c r="AW10" s="252"/>
      <c r="AX10" s="253" t="s">
        <v>81</v>
      </c>
      <c r="AY10" s="252"/>
      <c r="AZ10" s="252"/>
      <c r="BA10" s="252"/>
      <c r="BB10" s="252"/>
      <c r="BC10" s="252"/>
      <c r="BD10" s="253" t="s">
        <v>82</v>
      </c>
      <c r="BE10" s="252"/>
      <c r="BF10" s="252"/>
      <c r="BG10" s="252"/>
      <c r="BH10" s="252"/>
      <c r="BI10" s="252"/>
      <c r="BJ10" s="252"/>
      <c r="BK10" s="251"/>
    </row>
    <row r="11" spans="1:63" ht="15" customHeight="1" x14ac:dyDescent="0.25">
      <c r="A11" s="250"/>
      <c r="B11" s="232">
        <v>45523</v>
      </c>
      <c r="C11" s="227"/>
      <c r="D11" s="227"/>
      <c r="E11" s="227"/>
      <c r="F11" s="227"/>
      <c r="G11" s="228"/>
      <c r="H11" s="67" t="s">
        <v>59</v>
      </c>
      <c r="I11" s="227"/>
      <c r="J11" s="227"/>
      <c r="K11" s="227"/>
      <c r="L11" s="227"/>
      <c r="M11" s="227"/>
      <c r="N11" s="228"/>
      <c r="O11" s="226">
        <v>0.3</v>
      </c>
      <c r="P11" s="227"/>
      <c r="Q11" s="227"/>
      <c r="R11" s="227"/>
      <c r="S11" s="254" t="s">
        <v>60</v>
      </c>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6"/>
      <c r="AX11" s="257"/>
      <c r="AY11" s="257"/>
      <c r="AZ11" s="257"/>
      <c r="BA11" s="257"/>
      <c r="BB11" s="257"/>
      <c r="BC11" s="258"/>
      <c r="BD11" s="259"/>
      <c r="BE11" s="257"/>
      <c r="BF11" s="257"/>
      <c r="BG11" s="257"/>
      <c r="BH11" s="257"/>
      <c r="BI11" s="257"/>
      <c r="BJ11" s="258"/>
      <c r="BK11" s="251"/>
    </row>
    <row r="12" spans="1:63" ht="30" customHeight="1" x14ac:dyDescent="0.25">
      <c r="A12" s="250"/>
      <c r="B12" s="235"/>
      <c r="C12" s="236"/>
      <c r="D12" s="236"/>
      <c r="E12" s="236"/>
      <c r="F12" s="236"/>
      <c r="G12" s="237"/>
      <c r="H12" s="235"/>
      <c r="I12" s="236"/>
      <c r="J12" s="236"/>
      <c r="K12" s="236"/>
      <c r="L12" s="236"/>
      <c r="M12" s="236"/>
      <c r="N12" s="237"/>
      <c r="O12" s="235"/>
      <c r="P12" s="236"/>
      <c r="Q12" s="236"/>
      <c r="R12" s="236"/>
      <c r="S12" s="260" t="s">
        <v>61</v>
      </c>
      <c r="T12" s="261"/>
      <c r="U12" s="261"/>
      <c r="V12" s="261"/>
      <c r="W12" s="261"/>
      <c r="X12" s="261"/>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2"/>
      <c r="AX12" s="263"/>
      <c r="AY12" s="263"/>
      <c r="AZ12" s="263"/>
      <c r="BA12" s="263"/>
      <c r="BB12" s="263"/>
      <c r="BC12" s="264"/>
      <c r="BD12" s="265"/>
      <c r="BE12" s="263"/>
      <c r="BF12" s="263"/>
      <c r="BG12" s="263"/>
      <c r="BH12" s="263"/>
      <c r="BI12" s="263"/>
      <c r="BJ12" s="264"/>
      <c r="BK12" s="251"/>
    </row>
    <row r="13" spans="1:63" ht="15" customHeight="1" x14ac:dyDescent="0.25">
      <c r="A13" s="250"/>
      <c r="B13" s="232">
        <v>45523</v>
      </c>
      <c r="C13" s="227"/>
      <c r="D13" s="227"/>
      <c r="E13" s="227"/>
      <c r="F13" s="227"/>
      <c r="G13" s="228"/>
      <c r="H13" s="67" t="s">
        <v>59</v>
      </c>
      <c r="I13" s="227"/>
      <c r="J13" s="227"/>
      <c r="K13" s="227"/>
      <c r="L13" s="227"/>
      <c r="M13" s="227"/>
      <c r="N13" s="228"/>
      <c r="O13" s="226">
        <v>0.3</v>
      </c>
      <c r="P13" s="227"/>
      <c r="Q13" s="227"/>
      <c r="R13" s="227"/>
      <c r="S13" s="254" t="s">
        <v>62</v>
      </c>
      <c r="T13" s="255"/>
      <c r="U13" s="255"/>
      <c r="V13" s="255"/>
      <c r="W13" s="255"/>
      <c r="X13" s="255"/>
      <c r="Y13" s="255"/>
      <c r="Z13" s="255"/>
      <c r="AA13" s="255"/>
      <c r="AB13" s="255"/>
      <c r="AC13" s="255"/>
      <c r="AD13" s="255"/>
      <c r="AE13" s="255"/>
      <c r="AF13" s="255"/>
      <c r="AG13" s="255"/>
      <c r="AH13" s="255"/>
      <c r="AI13" s="255"/>
      <c r="AJ13" s="255"/>
      <c r="AK13" s="255"/>
      <c r="AL13" s="255"/>
      <c r="AM13" s="255"/>
      <c r="AN13" s="255"/>
      <c r="AO13" s="255"/>
      <c r="AP13" s="255"/>
      <c r="AQ13" s="255"/>
      <c r="AR13" s="255"/>
      <c r="AS13" s="255"/>
      <c r="AT13" s="255"/>
      <c r="AU13" s="255"/>
      <c r="AV13" s="255"/>
      <c r="AW13" s="256"/>
      <c r="AX13" s="257"/>
      <c r="AY13" s="257"/>
      <c r="AZ13" s="257"/>
      <c r="BA13" s="257"/>
      <c r="BB13" s="257"/>
      <c r="BC13" s="258"/>
      <c r="BD13" s="259"/>
      <c r="BE13" s="257"/>
      <c r="BF13" s="257"/>
      <c r="BG13" s="257"/>
      <c r="BH13" s="257"/>
      <c r="BI13" s="257"/>
      <c r="BJ13" s="258"/>
      <c r="BK13" s="251"/>
    </row>
    <row r="14" spans="1:63" ht="78" customHeight="1" x14ac:dyDescent="0.25">
      <c r="A14" s="250"/>
      <c r="B14" s="235"/>
      <c r="C14" s="236"/>
      <c r="D14" s="236"/>
      <c r="E14" s="236"/>
      <c r="F14" s="236"/>
      <c r="G14" s="237"/>
      <c r="H14" s="235"/>
      <c r="I14" s="236"/>
      <c r="J14" s="236"/>
      <c r="K14" s="236"/>
      <c r="L14" s="236"/>
      <c r="M14" s="236"/>
      <c r="N14" s="237"/>
      <c r="O14" s="235"/>
      <c r="P14" s="236"/>
      <c r="Q14" s="236"/>
      <c r="R14" s="236"/>
      <c r="S14" s="266" t="s">
        <v>63</v>
      </c>
      <c r="T14" s="267"/>
      <c r="U14" s="267"/>
      <c r="V14" s="267"/>
      <c r="W14" s="267"/>
      <c r="X14" s="267"/>
      <c r="Y14" s="267"/>
      <c r="Z14" s="267"/>
      <c r="AA14" s="267"/>
      <c r="AB14" s="267"/>
      <c r="AC14" s="267"/>
      <c r="AD14" s="267"/>
      <c r="AE14" s="267"/>
      <c r="AF14" s="267"/>
      <c r="AG14" s="267"/>
      <c r="AH14" s="267"/>
      <c r="AI14" s="267"/>
      <c r="AJ14" s="267"/>
      <c r="AK14" s="267"/>
      <c r="AL14" s="267"/>
      <c r="AM14" s="267"/>
      <c r="AN14" s="267"/>
      <c r="AO14" s="267"/>
      <c r="AP14" s="267"/>
      <c r="AQ14" s="267"/>
      <c r="AR14" s="267"/>
      <c r="AS14" s="267"/>
      <c r="AT14" s="267"/>
      <c r="AU14" s="267"/>
      <c r="AV14" s="267"/>
      <c r="AW14" s="268"/>
      <c r="AX14" s="263"/>
      <c r="AY14" s="263"/>
      <c r="AZ14" s="263"/>
      <c r="BA14" s="263"/>
      <c r="BB14" s="263"/>
      <c r="BC14" s="264"/>
      <c r="BD14" s="265"/>
      <c r="BE14" s="263"/>
      <c r="BF14" s="263"/>
      <c r="BG14" s="263"/>
      <c r="BH14" s="263"/>
      <c r="BI14" s="263"/>
      <c r="BJ14" s="264"/>
      <c r="BK14" s="251"/>
    </row>
    <row r="15" spans="1:63" ht="15" customHeight="1" x14ac:dyDescent="0.25">
      <c r="A15" s="250"/>
      <c r="B15" s="232">
        <v>45523</v>
      </c>
      <c r="C15" s="227"/>
      <c r="D15" s="227"/>
      <c r="E15" s="227"/>
      <c r="F15" s="227"/>
      <c r="G15" s="228"/>
      <c r="H15" s="67" t="s">
        <v>59</v>
      </c>
      <c r="I15" s="227"/>
      <c r="J15" s="227"/>
      <c r="K15" s="227"/>
      <c r="L15" s="227"/>
      <c r="M15" s="227"/>
      <c r="N15" s="228"/>
      <c r="O15" s="226">
        <v>0.3</v>
      </c>
      <c r="P15" s="227"/>
      <c r="Q15" s="227"/>
      <c r="R15" s="227"/>
      <c r="S15" s="254" t="s">
        <v>62</v>
      </c>
      <c r="T15" s="255"/>
      <c r="U15" s="255"/>
      <c r="V15" s="255"/>
      <c r="W15" s="255"/>
      <c r="X15" s="255"/>
      <c r="Y15" s="255"/>
      <c r="Z15" s="255"/>
      <c r="AA15" s="255"/>
      <c r="AB15" s="255"/>
      <c r="AC15" s="255"/>
      <c r="AD15" s="255"/>
      <c r="AE15" s="255"/>
      <c r="AF15" s="255"/>
      <c r="AG15" s="255"/>
      <c r="AH15" s="255"/>
      <c r="AI15" s="255"/>
      <c r="AJ15" s="255"/>
      <c r="AK15" s="255"/>
      <c r="AL15" s="255"/>
      <c r="AM15" s="255"/>
      <c r="AN15" s="255"/>
      <c r="AO15" s="255"/>
      <c r="AP15" s="255"/>
      <c r="AQ15" s="255"/>
      <c r="AR15" s="255"/>
      <c r="AS15" s="255"/>
      <c r="AT15" s="255"/>
      <c r="AU15" s="255"/>
      <c r="AV15" s="255"/>
      <c r="AW15" s="256"/>
      <c r="AX15" s="257"/>
      <c r="AY15" s="257"/>
      <c r="AZ15" s="257"/>
      <c r="BA15" s="257"/>
      <c r="BB15" s="257"/>
      <c r="BC15" s="258"/>
      <c r="BD15" s="259"/>
      <c r="BE15" s="257"/>
      <c r="BF15" s="257"/>
      <c r="BG15" s="257"/>
      <c r="BH15" s="257"/>
      <c r="BI15" s="257"/>
      <c r="BJ15" s="258"/>
      <c r="BK15" s="251"/>
    </row>
    <row r="16" spans="1:63" ht="30" customHeight="1" x14ac:dyDescent="0.25">
      <c r="A16" s="250"/>
      <c r="B16" s="235"/>
      <c r="C16" s="236"/>
      <c r="D16" s="236"/>
      <c r="E16" s="236"/>
      <c r="F16" s="236"/>
      <c r="G16" s="237"/>
      <c r="H16" s="235"/>
      <c r="I16" s="236"/>
      <c r="J16" s="236"/>
      <c r="K16" s="236"/>
      <c r="L16" s="236"/>
      <c r="M16" s="236"/>
      <c r="N16" s="237"/>
      <c r="O16" s="235"/>
      <c r="P16" s="236"/>
      <c r="Q16" s="236"/>
      <c r="R16" s="236"/>
      <c r="S16" s="260" t="s">
        <v>64</v>
      </c>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63"/>
      <c r="AY16" s="263"/>
      <c r="AZ16" s="263"/>
      <c r="BA16" s="263"/>
      <c r="BB16" s="263"/>
      <c r="BC16" s="264"/>
      <c r="BD16" s="265"/>
      <c r="BE16" s="263"/>
      <c r="BF16" s="263"/>
      <c r="BG16" s="263"/>
      <c r="BH16" s="263"/>
      <c r="BI16" s="263"/>
      <c r="BJ16" s="264"/>
      <c r="BK16" s="251"/>
    </row>
    <row r="17" spans="1:63" ht="15" customHeight="1" x14ac:dyDescent="0.25">
      <c r="A17" s="250"/>
      <c r="B17" s="232">
        <v>45523</v>
      </c>
      <c r="C17" s="227"/>
      <c r="D17" s="227"/>
      <c r="E17" s="227"/>
      <c r="F17" s="227"/>
      <c r="G17" s="228"/>
      <c r="H17" s="67" t="s">
        <v>59</v>
      </c>
      <c r="I17" s="227"/>
      <c r="J17" s="227"/>
      <c r="K17" s="227"/>
      <c r="L17" s="227"/>
      <c r="M17" s="227"/>
      <c r="N17" s="228"/>
      <c r="O17" s="226">
        <v>0.3</v>
      </c>
      <c r="P17" s="227"/>
      <c r="Q17" s="227"/>
      <c r="R17" s="227"/>
      <c r="S17" s="254" t="s">
        <v>62</v>
      </c>
      <c r="T17" s="255"/>
      <c r="U17" s="255"/>
      <c r="V17" s="255"/>
      <c r="W17" s="255"/>
      <c r="X17" s="255"/>
      <c r="Y17" s="255"/>
      <c r="Z17" s="255"/>
      <c r="AA17" s="255"/>
      <c r="AB17" s="255"/>
      <c r="AC17" s="255"/>
      <c r="AD17" s="255"/>
      <c r="AE17" s="255"/>
      <c r="AF17" s="255"/>
      <c r="AG17" s="255"/>
      <c r="AH17" s="255"/>
      <c r="AI17" s="255"/>
      <c r="AJ17" s="255"/>
      <c r="AK17" s="255"/>
      <c r="AL17" s="255"/>
      <c r="AM17" s="255"/>
      <c r="AN17" s="255"/>
      <c r="AO17" s="255"/>
      <c r="AP17" s="255"/>
      <c r="AQ17" s="255"/>
      <c r="AR17" s="255"/>
      <c r="AS17" s="255"/>
      <c r="AT17" s="255"/>
      <c r="AU17" s="255"/>
      <c r="AV17" s="255"/>
      <c r="AW17" s="256"/>
      <c r="AX17" s="257"/>
      <c r="AY17" s="257"/>
      <c r="AZ17" s="257"/>
      <c r="BA17" s="257"/>
      <c r="BB17" s="257"/>
      <c r="BC17" s="258"/>
      <c r="BD17" s="259"/>
      <c r="BE17" s="257"/>
      <c r="BF17" s="257"/>
      <c r="BG17" s="257"/>
      <c r="BH17" s="257"/>
      <c r="BI17" s="257"/>
      <c r="BJ17" s="258"/>
      <c r="BK17" s="251"/>
    </row>
    <row r="18" spans="1:63" ht="47.25" customHeight="1" x14ac:dyDescent="0.25">
      <c r="A18" s="250"/>
      <c r="B18" s="235"/>
      <c r="C18" s="236"/>
      <c r="D18" s="236"/>
      <c r="E18" s="236"/>
      <c r="F18" s="236"/>
      <c r="G18" s="237"/>
      <c r="H18" s="235"/>
      <c r="I18" s="236"/>
      <c r="J18" s="236"/>
      <c r="K18" s="236"/>
      <c r="L18" s="236"/>
      <c r="M18" s="236"/>
      <c r="N18" s="237"/>
      <c r="O18" s="235"/>
      <c r="P18" s="236"/>
      <c r="Q18" s="236"/>
      <c r="R18" s="236"/>
      <c r="S18" s="266" t="s">
        <v>65</v>
      </c>
      <c r="T18" s="269"/>
      <c r="U18" s="269"/>
      <c r="V18" s="269"/>
      <c r="W18" s="269"/>
      <c r="X18" s="269"/>
      <c r="Y18" s="269"/>
      <c r="Z18" s="269"/>
      <c r="AA18" s="269"/>
      <c r="AB18" s="269"/>
      <c r="AC18" s="269"/>
      <c r="AD18" s="269"/>
      <c r="AE18" s="269"/>
      <c r="AF18" s="269"/>
      <c r="AG18" s="269"/>
      <c r="AH18" s="269"/>
      <c r="AI18" s="269"/>
      <c r="AJ18" s="269"/>
      <c r="AK18" s="269"/>
      <c r="AL18" s="269"/>
      <c r="AM18" s="269"/>
      <c r="AN18" s="269"/>
      <c r="AO18" s="269"/>
      <c r="AP18" s="269"/>
      <c r="AQ18" s="269"/>
      <c r="AR18" s="269"/>
      <c r="AS18" s="269"/>
      <c r="AT18" s="269"/>
      <c r="AU18" s="269"/>
      <c r="AV18" s="269"/>
      <c r="AW18" s="270"/>
      <c r="AX18" s="263"/>
      <c r="AY18" s="263"/>
      <c r="AZ18" s="263"/>
      <c r="BA18" s="263"/>
      <c r="BB18" s="263"/>
      <c r="BC18" s="264"/>
      <c r="BD18" s="265"/>
      <c r="BE18" s="263"/>
      <c r="BF18" s="263"/>
      <c r="BG18" s="263"/>
      <c r="BH18" s="263"/>
      <c r="BI18" s="263"/>
      <c r="BJ18" s="264"/>
      <c r="BK18" s="251"/>
    </row>
    <row r="19" spans="1:63" ht="15" customHeight="1" x14ac:dyDescent="0.25">
      <c r="A19" s="250"/>
      <c r="B19" s="232">
        <v>45523</v>
      </c>
      <c r="C19" s="233"/>
      <c r="D19" s="233"/>
      <c r="E19" s="233"/>
      <c r="F19" s="233"/>
      <c r="G19" s="234"/>
      <c r="H19" s="67" t="s">
        <v>59</v>
      </c>
      <c r="I19" s="201"/>
      <c r="J19" s="201"/>
      <c r="K19" s="201"/>
      <c r="L19" s="201"/>
      <c r="M19" s="201"/>
      <c r="N19" s="202"/>
      <c r="O19" s="226">
        <v>0.3</v>
      </c>
      <c r="P19" s="227"/>
      <c r="Q19" s="227"/>
      <c r="R19" s="228"/>
      <c r="S19" s="254" t="s">
        <v>62</v>
      </c>
      <c r="T19" s="255"/>
      <c r="U19" s="255"/>
      <c r="V19" s="255"/>
      <c r="W19" s="255"/>
      <c r="X19" s="255"/>
      <c r="Y19" s="255"/>
      <c r="Z19" s="255"/>
      <c r="AA19" s="255"/>
      <c r="AB19" s="255"/>
      <c r="AC19" s="255"/>
      <c r="AD19" s="255"/>
      <c r="AE19" s="255"/>
      <c r="AF19" s="255"/>
      <c r="AG19" s="255"/>
      <c r="AH19" s="255"/>
      <c r="AI19" s="255"/>
      <c r="AJ19" s="255"/>
      <c r="AK19" s="255"/>
      <c r="AL19" s="255"/>
      <c r="AM19" s="255"/>
      <c r="AN19" s="255"/>
      <c r="AO19" s="255"/>
      <c r="AP19" s="255"/>
      <c r="AQ19" s="255"/>
      <c r="AR19" s="255"/>
      <c r="AS19" s="255"/>
      <c r="AT19" s="255"/>
      <c r="AU19" s="255"/>
      <c r="AV19" s="255"/>
      <c r="AW19" s="256"/>
      <c r="AX19" s="257"/>
      <c r="AY19" s="257"/>
      <c r="AZ19" s="257"/>
      <c r="BA19" s="257"/>
      <c r="BB19" s="257"/>
      <c r="BC19" s="258"/>
      <c r="BD19" s="259"/>
      <c r="BE19" s="257"/>
      <c r="BF19" s="257"/>
      <c r="BG19" s="257"/>
      <c r="BH19" s="257"/>
      <c r="BI19" s="257"/>
      <c r="BJ19" s="258"/>
      <c r="BK19" s="251"/>
    </row>
    <row r="20" spans="1:63" ht="81" customHeight="1" x14ac:dyDescent="0.25">
      <c r="A20" s="250"/>
      <c r="B20" s="241"/>
      <c r="C20" s="242"/>
      <c r="D20" s="242"/>
      <c r="E20" s="242"/>
      <c r="F20" s="242"/>
      <c r="G20" s="243"/>
      <c r="H20" s="203"/>
      <c r="I20" s="204"/>
      <c r="J20" s="204"/>
      <c r="K20" s="204"/>
      <c r="L20" s="204"/>
      <c r="M20" s="204"/>
      <c r="N20" s="205"/>
      <c r="O20" s="235"/>
      <c r="P20" s="236"/>
      <c r="Q20" s="236"/>
      <c r="R20" s="237"/>
      <c r="S20" s="266" t="s">
        <v>66</v>
      </c>
      <c r="T20" s="267"/>
      <c r="U20" s="267"/>
      <c r="V20" s="267"/>
      <c r="W20" s="267"/>
      <c r="X20" s="267"/>
      <c r="Y20" s="267"/>
      <c r="Z20" s="267"/>
      <c r="AA20" s="267"/>
      <c r="AB20" s="267"/>
      <c r="AC20" s="267"/>
      <c r="AD20" s="267"/>
      <c r="AE20" s="267"/>
      <c r="AF20" s="267"/>
      <c r="AG20" s="267"/>
      <c r="AH20" s="267"/>
      <c r="AI20" s="267"/>
      <c r="AJ20" s="267"/>
      <c r="AK20" s="267"/>
      <c r="AL20" s="267"/>
      <c r="AM20" s="267"/>
      <c r="AN20" s="267"/>
      <c r="AO20" s="267"/>
      <c r="AP20" s="267"/>
      <c r="AQ20" s="267"/>
      <c r="AR20" s="267"/>
      <c r="AS20" s="267"/>
      <c r="AT20" s="267"/>
      <c r="AU20" s="267"/>
      <c r="AV20" s="267"/>
      <c r="AW20" s="268"/>
      <c r="AX20" s="263"/>
      <c r="AY20" s="263"/>
      <c r="AZ20" s="263"/>
      <c r="BA20" s="263"/>
      <c r="BB20" s="263"/>
      <c r="BC20" s="264"/>
      <c r="BD20" s="265"/>
      <c r="BE20" s="263"/>
      <c r="BF20" s="263"/>
      <c r="BG20" s="263"/>
      <c r="BH20" s="263"/>
      <c r="BI20" s="263"/>
      <c r="BJ20" s="264"/>
      <c r="BK20" s="251"/>
    </row>
    <row r="21" spans="1:63" ht="15" customHeight="1" x14ac:dyDescent="0.25">
      <c r="A21" s="250"/>
      <c r="B21" s="226"/>
      <c r="C21" s="227"/>
      <c r="D21" s="227"/>
      <c r="E21" s="227"/>
      <c r="F21" s="227"/>
      <c r="G21" s="228"/>
      <c r="H21" s="226"/>
      <c r="I21" s="227"/>
      <c r="J21" s="227"/>
      <c r="K21" s="227"/>
      <c r="L21" s="227"/>
      <c r="M21" s="227"/>
      <c r="N21" s="228"/>
      <c r="O21" s="226"/>
      <c r="P21" s="227"/>
      <c r="Q21" s="227"/>
      <c r="R21" s="227"/>
      <c r="S21" s="254"/>
      <c r="T21" s="255"/>
      <c r="U21" s="255"/>
      <c r="V21" s="255"/>
      <c r="W21" s="255"/>
      <c r="X21" s="255"/>
      <c r="Y21" s="255"/>
      <c r="Z21" s="255"/>
      <c r="AA21" s="255"/>
      <c r="AB21" s="255"/>
      <c r="AC21" s="255"/>
      <c r="AD21" s="255"/>
      <c r="AE21" s="255"/>
      <c r="AF21" s="255"/>
      <c r="AG21" s="255"/>
      <c r="AH21" s="255"/>
      <c r="AI21" s="255"/>
      <c r="AJ21" s="255"/>
      <c r="AK21" s="255"/>
      <c r="AL21" s="255"/>
      <c r="AM21" s="255"/>
      <c r="AN21" s="255"/>
      <c r="AO21" s="255"/>
      <c r="AP21" s="255"/>
      <c r="AQ21" s="255"/>
      <c r="AR21" s="255"/>
      <c r="AS21" s="255"/>
      <c r="AT21" s="255"/>
      <c r="AU21" s="255"/>
      <c r="AV21" s="255"/>
      <c r="AW21" s="256"/>
      <c r="AX21" s="257"/>
      <c r="AY21" s="257"/>
      <c r="AZ21" s="257"/>
      <c r="BA21" s="257"/>
      <c r="BB21" s="257"/>
      <c r="BC21" s="258"/>
      <c r="BD21" s="259"/>
      <c r="BE21" s="257"/>
      <c r="BF21" s="257"/>
      <c r="BG21" s="257"/>
      <c r="BH21" s="257"/>
      <c r="BI21" s="257"/>
      <c r="BJ21" s="258"/>
      <c r="BK21" s="251"/>
    </row>
    <row r="22" spans="1:63" ht="15" customHeight="1" x14ac:dyDescent="0.25">
      <c r="A22" s="250"/>
      <c r="B22" s="235"/>
      <c r="C22" s="236"/>
      <c r="D22" s="236"/>
      <c r="E22" s="236"/>
      <c r="F22" s="236"/>
      <c r="G22" s="237"/>
      <c r="H22" s="235"/>
      <c r="I22" s="236"/>
      <c r="J22" s="236"/>
      <c r="K22" s="236"/>
      <c r="L22" s="236"/>
      <c r="M22" s="236"/>
      <c r="N22" s="237"/>
      <c r="O22" s="235"/>
      <c r="P22" s="236"/>
      <c r="Q22" s="236"/>
      <c r="R22" s="236"/>
      <c r="S22" s="271"/>
      <c r="T22" s="261"/>
      <c r="U22" s="261"/>
      <c r="V22" s="261"/>
      <c r="W22" s="261"/>
      <c r="X22" s="261"/>
      <c r="Y22" s="261"/>
      <c r="Z22" s="261"/>
      <c r="AA22" s="261"/>
      <c r="AB22" s="261"/>
      <c r="AC22" s="261"/>
      <c r="AD22" s="261"/>
      <c r="AE22" s="261"/>
      <c r="AF22" s="261"/>
      <c r="AG22" s="261"/>
      <c r="AH22" s="261"/>
      <c r="AI22" s="261"/>
      <c r="AJ22" s="261"/>
      <c r="AK22" s="261"/>
      <c r="AL22" s="261"/>
      <c r="AM22" s="261"/>
      <c r="AN22" s="261"/>
      <c r="AO22" s="261"/>
      <c r="AP22" s="261"/>
      <c r="AQ22" s="261"/>
      <c r="AR22" s="261"/>
      <c r="AS22" s="261"/>
      <c r="AT22" s="261"/>
      <c r="AU22" s="261"/>
      <c r="AV22" s="261"/>
      <c r="AW22" s="262"/>
      <c r="AX22" s="263"/>
      <c r="AY22" s="263"/>
      <c r="AZ22" s="263"/>
      <c r="BA22" s="263"/>
      <c r="BB22" s="263"/>
      <c r="BC22" s="264"/>
      <c r="BD22" s="265"/>
      <c r="BE22" s="263"/>
      <c r="BF22" s="263"/>
      <c r="BG22" s="263"/>
      <c r="BH22" s="263"/>
      <c r="BI22" s="263"/>
      <c r="BJ22" s="264"/>
      <c r="BK22" s="251"/>
    </row>
    <row r="23" spans="1:63" ht="15" customHeight="1" x14ac:dyDescent="0.25">
      <c r="A23" s="250"/>
      <c r="B23" s="226"/>
      <c r="C23" s="227"/>
      <c r="D23" s="227"/>
      <c r="E23" s="227"/>
      <c r="F23" s="227"/>
      <c r="G23" s="228"/>
      <c r="H23" s="226"/>
      <c r="I23" s="227"/>
      <c r="J23" s="227"/>
      <c r="K23" s="227"/>
      <c r="L23" s="227"/>
      <c r="M23" s="227"/>
      <c r="N23" s="228"/>
      <c r="O23" s="226"/>
      <c r="P23" s="227"/>
      <c r="Q23" s="227"/>
      <c r="R23" s="227"/>
      <c r="S23" s="254"/>
      <c r="T23" s="255"/>
      <c r="U23" s="255"/>
      <c r="V23" s="255"/>
      <c r="W23" s="255"/>
      <c r="X23" s="255"/>
      <c r="Y23" s="255"/>
      <c r="Z23" s="255"/>
      <c r="AA23" s="255"/>
      <c r="AB23" s="255"/>
      <c r="AC23" s="255"/>
      <c r="AD23" s="255"/>
      <c r="AE23" s="255"/>
      <c r="AF23" s="255"/>
      <c r="AG23" s="255"/>
      <c r="AH23" s="255"/>
      <c r="AI23" s="255"/>
      <c r="AJ23" s="255"/>
      <c r="AK23" s="255"/>
      <c r="AL23" s="255"/>
      <c r="AM23" s="255"/>
      <c r="AN23" s="255"/>
      <c r="AO23" s="255"/>
      <c r="AP23" s="255"/>
      <c r="AQ23" s="255"/>
      <c r="AR23" s="255"/>
      <c r="AS23" s="255"/>
      <c r="AT23" s="255"/>
      <c r="AU23" s="255"/>
      <c r="AV23" s="255"/>
      <c r="AW23" s="256"/>
      <c r="AX23" s="257"/>
      <c r="AY23" s="257"/>
      <c r="AZ23" s="257"/>
      <c r="BA23" s="257"/>
      <c r="BB23" s="257"/>
      <c r="BC23" s="258"/>
      <c r="BD23" s="259"/>
      <c r="BE23" s="257"/>
      <c r="BF23" s="257"/>
      <c r="BG23" s="257"/>
      <c r="BH23" s="257"/>
      <c r="BI23" s="257"/>
      <c r="BJ23" s="258"/>
      <c r="BK23" s="251"/>
    </row>
    <row r="24" spans="1:63" ht="15" customHeight="1" x14ac:dyDescent="0.25">
      <c r="A24" s="250"/>
      <c r="B24" s="235"/>
      <c r="C24" s="236"/>
      <c r="D24" s="236"/>
      <c r="E24" s="236"/>
      <c r="F24" s="236"/>
      <c r="G24" s="237"/>
      <c r="H24" s="235"/>
      <c r="I24" s="236"/>
      <c r="J24" s="236"/>
      <c r="K24" s="236"/>
      <c r="L24" s="236"/>
      <c r="M24" s="236"/>
      <c r="N24" s="237"/>
      <c r="O24" s="235"/>
      <c r="P24" s="236"/>
      <c r="Q24" s="236"/>
      <c r="R24" s="236"/>
      <c r="S24" s="271"/>
      <c r="T24" s="261"/>
      <c r="U24" s="261"/>
      <c r="V24" s="261"/>
      <c r="W24" s="261"/>
      <c r="X24" s="261"/>
      <c r="Y24" s="261"/>
      <c r="Z24" s="261"/>
      <c r="AA24" s="261"/>
      <c r="AB24" s="261"/>
      <c r="AC24" s="261"/>
      <c r="AD24" s="261"/>
      <c r="AE24" s="261"/>
      <c r="AF24" s="261"/>
      <c r="AG24" s="261"/>
      <c r="AH24" s="261"/>
      <c r="AI24" s="261"/>
      <c r="AJ24" s="261"/>
      <c r="AK24" s="261"/>
      <c r="AL24" s="261"/>
      <c r="AM24" s="261"/>
      <c r="AN24" s="261"/>
      <c r="AO24" s="261"/>
      <c r="AP24" s="261"/>
      <c r="AQ24" s="261"/>
      <c r="AR24" s="261"/>
      <c r="AS24" s="261"/>
      <c r="AT24" s="261"/>
      <c r="AU24" s="261"/>
      <c r="AV24" s="261"/>
      <c r="AW24" s="262"/>
      <c r="AX24" s="263"/>
      <c r="AY24" s="263"/>
      <c r="AZ24" s="263"/>
      <c r="BA24" s="263"/>
      <c r="BB24" s="263"/>
      <c r="BC24" s="264"/>
      <c r="BD24" s="265"/>
      <c r="BE24" s="263"/>
      <c r="BF24" s="263"/>
      <c r="BG24" s="263"/>
      <c r="BH24" s="263"/>
      <c r="BI24" s="263"/>
      <c r="BJ24" s="264"/>
      <c r="BK24" s="251"/>
    </row>
    <row r="25" spans="1:63" ht="15" customHeight="1" x14ac:dyDescent="0.25">
      <c r="A25" s="250"/>
      <c r="B25" s="226"/>
      <c r="C25" s="227"/>
      <c r="D25" s="227"/>
      <c r="E25" s="227"/>
      <c r="F25" s="227"/>
      <c r="G25" s="228"/>
      <c r="H25" s="226"/>
      <c r="I25" s="227"/>
      <c r="J25" s="227"/>
      <c r="K25" s="227"/>
      <c r="L25" s="227"/>
      <c r="M25" s="227"/>
      <c r="N25" s="228"/>
      <c r="O25" s="226"/>
      <c r="P25" s="227"/>
      <c r="Q25" s="227"/>
      <c r="R25" s="227"/>
      <c r="S25" s="254"/>
      <c r="T25" s="255"/>
      <c r="U25" s="255"/>
      <c r="V25" s="255"/>
      <c r="W25" s="255"/>
      <c r="X25" s="255"/>
      <c r="Y25" s="255"/>
      <c r="Z25" s="255"/>
      <c r="AA25" s="255"/>
      <c r="AB25" s="255"/>
      <c r="AC25" s="255"/>
      <c r="AD25" s="255"/>
      <c r="AE25" s="255"/>
      <c r="AF25" s="255"/>
      <c r="AG25" s="255"/>
      <c r="AH25" s="255"/>
      <c r="AI25" s="255"/>
      <c r="AJ25" s="255"/>
      <c r="AK25" s="255"/>
      <c r="AL25" s="255"/>
      <c r="AM25" s="255"/>
      <c r="AN25" s="255"/>
      <c r="AO25" s="255"/>
      <c r="AP25" s="255"/>
      <c r="AQ25" s="255"/>
      <c r="AR25" s="255"/>
      <c r="AS25" s="255"/>
      <c r="AT25" s="255"/>
      <c r="AU25" s="255"/>
      <c r="AV25" s="255"/>
      <c r="AW25" s="256"/>
      <c r="AX25" s="257"/>
      <c r="AY25" s="257"/>
      <c r="AZ25" s="257"/>
      <c r="BA25" s="257"/>
      <c r="BB25" s="257"/>
      <c r="BC25" s="258"/>
      <c r="BD25" s="259"/>
      <c r="BE25" s="257"/>
      <c r="BF25" s="257"/>
      <c r="BG25" s="257"/>
      <c r="BH25" s="257"/>
      <c r="BI25" s="257"/>
      <c r="BJ25" s="258"/>
      <c r="BK25" s="251"/>
    </row>
    <row r="26" spans="1:63" ht="15" customHeight="1" x14ac:dyDescent="0.25">
      <c r="A26" s="250"/>
      <c r="B26" s="235"/>
      <c r="C26" s="236"/>
      <c r="D26" s="236"/>
      <c r="E26" s="236"/>
      <c r="F26" s="236"/>
      <c r="G26" s="237"/>
      <c r="H26" s="235"/>
      <c r="I26" s="236"/>
      <c r="J26" s="236"/>
      <c r="K26" s="236"/>
      <c r="L26" s="236"/>
      <c r="M26" s="236"/>
      <c r="N26" s="237"/>
      <c r="O26" s="235"/>
      <c r="P26" s="236"/>
      <c r="Q26" s="236"/>
      <c r="R26" s="236"/>
      <c r="S26" s="27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1"/>
      <c r="AU26" s="261"/>
      <c r="AV26" s="261"/>
      <c r="AW26" s="262"/>
      <c r="AX26" s="263"/>
      <c r="AY26" s="263"/>
      <c r="AZ26" s="263"/>
      <c r="BA26" s="263"/>
      <c r="BB26" s="263"/>
      <c r="BC26" s="264"/>
      <c r="BD26" s="265"/>
      <c r="BE26" s="263"/>
      <c r="BF26" s="263"/>
      <c r="BG26" s="263"/>
      <c r="BH26" s="263"/>
      <c r="BI26" s="263"/>
      <c r="BJ26" s="264"/>
      <c r="BK26" s="251"/>
    </row>
    <row r="27" spans="1:63" ht="15" customHeight="1" x14ac:dyDescent="0.25">
      <c r="A27" s="250"/>
      <c r="B27" s="226"/>
      <c r="C27" s="227"/>
      <c r="D27" s="227"/>
      <c r="E27" s="227"/>
      <c r="F27" s="227"/>
      <c r="G27" s="228"/>
      <c r="H27" s="226"/>
      <c r="I27" s="227"/>
      <c r="J27" s="227"/>
      <c r="K27" s="227"/>
      <c r="L27" s="227"/>
      <c r="M27" s="227"/>
      <c r="N27" s="228"/>
      <c r="O27" s="226"/>
      <c r="P27" s="227"/>
      <c r="Q27" s="227"/>
      <c r="R27" s="227"/>
      <c r="S27" s="254"/>
      <c r="T27" s="255"/>
      <c r="U27" s="255"/>
      <c r="V27" s="255"/>
      <c r="W27" s="255"/>
      <c r="X27" s="255"/>
      <c r="Y27" s="255"/>
      <c r="Z27" s="255"/>
      <c r="AA27" s="255"/>
      <c r="AB27" s="255"/>
      <c r="AC27" s="255"/>
      <c r="AD27" s="255"/>
      <c r="AE27" s="255"/>
      <c r="AF27" s="255"/>
      <c r="AG27" s="255"/>
      <c r="AH27" s="255"/>
      <c r="AI27" s="255"/>
      <c r="AJ27" s="255"/>
      <c r="AK27" s="255"/>
      <c r="AL27" s="255"/>
      <c r="AM27" s="255"/>
      <c r="AN27" s="255"/>
      <c r="AO27" s="255"/>
      <c r="AP27" s="255"/>
      <c r="AQ27" s="255"/>
      <c r="AR27" s="255"/>
      <c r="AS27" s="255"/>
      <c r="AT27" s="255"/>
      <c r="AU27" s="255"/>
      <c r="AV27" s="255"/>
      <c r="AW27" s="256"/>
      <c r="AX27" s="257"/>
      <c r="AY27" s="257"/>
      <c r="AZ27" s="257"/>
      <c r="BA27" s="257"/>
      <c r="BB27" s="257"/>
      <c r="BC27" s="258"/>
      <c r="BD27" s="259"/>
      <c r="BE27" s="257"/>
      <c r="BF27" s="257"/>
      <c r="BG27" s="257"/>
      <c r="BH27" s="257"/>
      <c r="BI27" s="257"/>
      <c r="BJ27" s="258"/>
      <c r="BK27" s="251"/>
    </row>
    <row r="28" spans="1:63" ht="15" customHeight="1" x14ac:dyDescent="0.25">
      <c r="A28" s="250"/>
      <c r="B28" s="235"/>
      <c r="C28" s="236"/>
      <c r="D28" s="236"/>
      <c r="E28" s="236"/>
      <c r="F28" s="236"/>
      <c r="G28" s="237"/>
      <c r="H28" s="235"/>
      <c r="I28" s="236"/>
      <c r="J28" s="236"/>
      <c r="K28" s="236"/>
      <c r="L28" s="236"/>
      <c r="M28" s="236"/>
      <c r="N28" s="237"/>
      <c r="O28" s="235"/>
      <c r="P28" s="236"/>
      <c r="Q28" s="236"/>
      <c r="R28" s="236"/>
      <c r="S28" s="271"/>
      <c r="T28" s="261"/>
      <c r="U28" s="261"/>
      <c r="V28" s="261"/>
      <c r="W28" s="261"/>
      <c r="X28" s="261"/>
      <c r="Y28" s="261"/>
      <c r="Z28" s="261"/>
      <c r="AA28" s="261"/>
      <c r="AB28" s="261"/>
      <c r="AC28" s="261"/>
      <c r="AD28" s="261"/>
      <c r="AE28" s="261"/>
      <c r="AF28" s="261"/>
      <c r="AG28" s="261"/>
      <c r="AH28" s="261"/>
      <c r="AI28" s="261"/>
      <c r="AJ28" s="261"/>
      <c r="AK28" s="261"/>
      <c r="AL28" s="261"/>
      <c r="AM28" s="261"/>
      <c r="AN28" s="261"/>
      <c r="AO28" s="261"/>
      <c r="AP28" s="261"/>
      <c r="AQ28" s="261"/>
      <c r="AR28" s="261"/>
      <c r="AS28" s="261"/>
      <c r="AT28" s="261"/>
      <c r="AU28" s="261"/>
      <c r="AV28" s="261"/>
      <c r="AW28" s="262"/>
      <c r="AX28" s="263"/>
      <c r="AY28" s="263"/>
      <c r="AZ28" s="263"/>
      <c r="BA28" s="263"/>
      <c r="BB28" s="263"/>
      <c r="BC28" s="264"/>
      <c r="BD28" s="265"/>
      <c r="BE28" s="263"/>
      <c r="BF28" s="263"/>
      <c r="BG28" s="263"/>
      <c r="BH28" s="263"/>
      <c r="BI28" s="263"/>
      <c r="BJ28" s="264"/>
      <c r="BK28" s="251"/>
    </row>
    <row r="29" spans="1:63" ht="15" customHeight="1" x14ac:dyDescent="0.25">
      <c r="A29" s="250"/>
      <c r="B29" s="226"/>
      <c r="C29" s="227"/>
      <c r="D29" s="227"/>
      <c r="E29" s="227"/>
      <c r="F29" s="227"/>
      <c r="G29" s="228"/>
      <c r="H29" s="226"/>
      <c r="I29" s="227"/>
      <c r="J29" s="227"/>
      <c r="K29" s="227"/>
      <c r="L29" s="227"/>
      <c r="M29" s="227"/>
      <c r="N29" s="228"/>
      <c r="O29" s="226"/>
      <c r="P29" s="227"/>
      <c r="Q29" s="227"/>
      <c r="R29" s="227"/>
      <c r="S29" s="254"/>
      <c r="T29" s="255"/>
      <c r="U29" s="255"/>
      <c r="V29" s="255"/>
      <c r="W29" s="255"/>
      <c r="X29" s="255"/>
      <c r="Y29" s="255"/>
      <c r="Z29" s="255"/>
      <c r="AA29" s="255"/>
      <c r="AB29" s="255"/>
      <c r="AC29" s="255"/>
      <c r="AD29" s="255"/>
      <c r="AE29" s="255"/>
      <c r="AF29" s="255"/>
      <c r="AG29" s="255"/>
      <c r="AH29" s="255"/>
      <c r="AI29" s="255"/>
      <c r="AJ29" s="255"/>
      <c r="AK29" s="255"/>
      <c r="AL29" s="255"/>
      <c r="AM29" s="255"/>
      <c r="AN29" s="255"/>
      <c r="AO29" s="255"/>
      <c r="AP29" s="255"/>
      <c r="AQ29" s="255"/>
      <c r="AR29" s="255"/>
      <c r="AS29" s="255"/>
      <c r="AT29" s="255"/>
      <c r="AU29" s="255"/>
      <c r="AV29" s="255"/>
      <c r="AW29" s="256"/>
      <c r="AX29" s="257"/>
      <c r="AY29" s="257"/>
      <c r="AZ29" s="257"/>
      <c r="BA29" s="257"/>
      <c r="BB29" s="257"/>
      <c r="BC29" s="258"/>
      <c r="BD29" s="259"/>
      <c r="BE29" s="257"/>
      <c r="BF29" s="257"/>
      <c r="BG29" s="257"/>
      <c r="BH29" s="257"/>
      <c r="BI29" s="257"/>
      <c r="BJ29" s="258"/>
      <c r="BK29" s="251"/>
    </row>
    <row r="30" spans="1:63" ht="15" customHeight="1" x14ac:dyDescent="0.25">
      <c r="A30" s="250"/>
      <c r="B30" s="235"/>
      <c r="C30" s="236"/>
      <c r="D30" s="236"/>
      <c r="E30" s="236"/>
      <c r="F30" s="236"/>
      <c r="G30" s="237"/>
      <c r="H30" s="235"/>
      <c r="I30" s="236"/>
      <c r="J30" s="236"/>
      <c r="K30" s="236"/>
      <c r="L30" s="236"/>
      <c r="M30" s="236"/>
      <c r="N30" s="237"/>
      <c r="O30" s="235"/>
      <c r="P30" s="236"/>
      <c r="Q30" s="236"/>
      <c r="R30" s="236"/>
      <c r="S30" s="271"/>
      <c r="T30" s="261"/>
      <c r="U30" s="261"/>
      <c r="V30" s="261"/>
      <c r="W30" s="261"/>
      <c r="X30" s="261"/>
      <c r="Y30" s="261"/>
      <c r="Z30" s="261"/>
      <c r="AA30" s="261"/>
      <c r="AB30" s="261"/>
      <c r="AC30" s="261"/>
      <c r="AD30" s="261"/>
      <c r="AE30" s="261"/>
      <c r="AF30" s="261"/>
      <c r="AG30" s="261"/>
      <c r="AH30" s="261"/>
      <c r="AI30" s="261"/>
      <c r="AJ30" s="261"/>
      <c r="AK30" s="261"/>
      <c r="AL30" s="261"/>
      <c r="AM30" s="261"/>
      <c r="AN30" s="261"/>
      <c r="AO30" s="261"/>
      <c r="AP30" s="261"/>
      <c r="AQ30" s="261"/>
      <c r="AR30" s="261"/>
      <c r="AS30" s="261"/>
      <c r="AT30" s="261"/>
      <c r="AU30" s="261"/>
      <c r="AV30" s="261"/>
      <c r="AW30" s="262"/>
      <c r="AX30" s="263"/>
      <c r="AY30" s="263"/>
      <c r="AZ30" s="263"/>
      <c r="BA30" s="263"/>
      <c r="BB30" s="263"/>
      <c r="BC30" s="264"/>
      <c r="BD30" s="265"/>
      <c r="BE30" s="263"/>
      <c r="BF30" s="263"/>
      <c r="BG30" s="263"/>
      <c r="BH30" s="263"/>
      <c r="BI30" s="263"/>
      <c r="BJ30" s="264"/>
      <c r="BK30" s="251"/>
    </row>
    <row r="31" spans="1:63" ht="15" customHeight="1" x14ac:dyDescent="0.25">
      <c r="A31" s="250"/>
      <c r="B31" s="226"/>
      <c r="C31" s="227"/>
      <c r="D31" s="227"/>
      <c r="E31" s="227"/>
      <c r="F31" s="227"/>
      <c r="G31" s="228"/>
      <c r="H31" s="226"/>
      <c r="I31" s="227"/>
      <c r="J31" s="227"/>
      <c r="K31" s="227"/>
      <c r="L31" s="227"/>
      <c r="M31" s="227"/>
      <c r="N31" s="228"/>
      <c r="O31" s="226"/>
      <c r="P31" s="227"/>
      <c r="Q31" s="227"/>
      <c r="R31" s="227"/>
      <c r="S31" s="254"/>
      <c r="T31" s="255"/>
      <c r="U31" s="255"/>
      <c r="V31" s="255"/>
      <c r="W31" s="255"/>
      <c r="X31" s="255"/>
      <c r="Y31" s="255"/>
      <c r="Z31" s="255"/>
      <c r="AA31" s="255"/>
      <c r="AB31" s="255"/>
      <c r="AC31" s="255"/>
      <c r="AD31" s="255"/>
      <c r="AE31" s="255"/>
      <c r="AF31" s="255"/>
      <c r="AG31" s="255"/>
      <c r="AH31" s="255"/>
      <c r="AI31" s="255"/>
      <c r="AJ31" s="255"/>
      <c r="AK31" s="255"/>
      <c r="AL31" s="255"/>
      <c r="AM31" s="255"/>
      <c r="AN31" s="255"/>
      <c r="AO31" s="255"/>
      <c r="AP31" s="255"/>
      <c r="AQ31" s="255"/>
      <c r="AR31" s="255"/>
      <c r="AS31" s="255"/>
      <c r="AT31" s="255"/>
      <c r="AU31" s="255"/>
      <c r="AV31" s="255"/>
      <c r="AW31" s="256"/>
      <c r="AX31" s="257"/>
      <c r="AY31" s="257"/>
      <c r="AZ31" s="257"/>
      <c r="BA31" s="257"/>
      <c r="BB31" s="257"/>
      <c r="BC31" s="258"/>
      <c r="BD31" s="259"/>
      <c r="BE31" s="257"/>
      <c r="BF31" s="257"/>
      <c r="BG31" s="257"/>
      <c r="BH31" s="257"/>
      <c r="BI31" s="257"/>
      <c r="BJ31" s="258"/>
      <c r="BK31" s="251"/>
    </row>
    <row r="32" spans="1:63" ht="15" customHeight="1" x14ac:dyDescent="0.25">
      <c r="A32" s="250"/>
      <c r="B32" s="235"/>
      <c r="C32" s="236"/>
      <c r="D32" s="236"/>
      <c r="E32" s="236"/>
      <c r="F32" s="236"/>
      <c r="G32" s="237"/>
      <c r="H32" s="235"/>
      <c r="I32" s="236"/>
      <c r="J32" s="236"/>
      <c r="K32" s="236"/>
      <c r="L32" s="236"/>
      <c r="M32" s="236"/>
      <c r="N32" s="237"/>
      <c r="O32" s="235"/>
      <c r="P32" s="236"/>
      <c r="Q32" s="236"/>
      <c r="R32" s="236"/>
      <c r="S32" s="271"/>
      <c r="T32" s="261"/>
      <c r="U32" s="261"/>
      <c r="V32" s="261"/>
      <c r="W32" s="261"/>
      <c r="X32" s="261"/>
      <c r="Y32" s="261"/>
      <c r="Z32" s="261"/>
      <c r="AA32" s="261"/>
      <c r="AB32" s="261"/>
      <c r="AC32" s="261"/>
      <c r="AD32" s="261"/>
      <c r="AE32" s="261"/>
      <c r="AF32" s="261"/>
      <c r="AG32" s="261"/>
      <c r="AH32" s="261"/>
      <c r="AI32" s="261"/>
      <c r="AJ32" s="261"/>
      <c r="AK32" s="261"/>
      <c r="AL32" s="261"/>
      <c r="AM32" s="261"/>
      <c r="AN32" s="261"/>
      <c r="AO32" s="261"/>
      <c r="AP32" s="261"/>
      <c r="AQ32" s="261"/>
      <c r="AR32" s="261"/>
      <c r="AS32" s="261"/>
      <c r="AT32" s="261"/>
      <c r="AU32" s="261"/>
      <c r="AV32" s="261"/>
      <c r="AW32" s="262"/>
      <c r="AX32" s="263"/>
      <c r="AY32" s="263"/>
      <c r="AZ32" s="263"/>
      <c r="BA32" s="263"/>
      <c r="BB32" s="263"/>
      <c r="BC32" s="264"/>
      <c r="BD32" s="265"/>
      <c r="BE32" s="263"/>
      <c r="BF32" s="263"/>
      <c r="BG32" s="263"/>
      <c r="BH32" s="263"/>
      <c r="BI32" s="263"/>
      <c r="BJ32" s="264"/>
      <c r="BK32" s="251"/>
    </row>
    <row r="33" spans="1:63" ht="15" customHeight="1" x14ac:dyDescent="0.25">
      <c r="A33" s="250"/>
      <c r="B33" s="226"/>
      <c r="C33" s="227"/>
      <c r="D33" s="227"/>
      <c r="E33" s="227"/>
      <c r="F33" s="227"/>
      <c r="G33" s="228"/>
      <c r="H33" s="226"/>
      <c r="I33" s="227"/>
      <c r="J33" s="227"/>
      <c r="K33" s="227"/>
      <c r="L33" s="227"/>
      <c r="M33" s="227"/>
      <c r="N33" s="228"/>
      <c r="O33" s="226"/>
      <c r="P33" s="227"/>
      <c r="Q33" s="227"/>
      <c r="R33" s="227"/>
      <c r="S33" s="254"/>
      <c r="T33" s="255"/>
      <c r="U33" s="255"/>
      <c r="V33" s="255"/>
      <c r="W33" s="255"/>
      <c r="X33" s="255"/>
      <c r="Y33" s="255"/>
      <c r="Z33" s="255"/>
      <c r="AA33" s="255"/>
      <c r="AB33" s="255"/>
      <c r="AC33" s="255"/>
      <c r="AD33" s="255"/>
      <c r="AE33" s="255"/>
      <c r="AF33" s="255"/>
      <c r="AG33" s="255"/>
      <c r="AH33" s="255"/>
      <c r="AI33" s="255"/>
      <c r="AJ33" s="255"/>
      <c r="AK33" s="255"/>
      <c r="AL33" s="255"/>
      <c r="AM33" s="255"/>
      <c r="AN33" s="255"/>
      <c r="AO33" s="255"/>
      <c r="AP33" s="255"/>
      <c r="AQ33" s="255"/>
      <c r="AR33" s="255"/>
      <c r="AS33" s="255"/>
      <c r="AT33" s="255"/>
      <c r="AU33" s="255"/>
      <c r="AV33" s="255"/>
      <c r="AW33" s="256"/>
      <c r="AX33" s="257"/>
      <c r="AY33" s="257"/>
      <c r="AZ33" s="257"/>
      <c r="BA33" s="257"/>
      <c r="BB33" s="257"/>
      <c r="BC33" s="258"/>
      <c r="BD33" s="259"/>
      <c r="BE33" s="257"/>
      <c r="BF33" s="257"/>
      <c r="BG33" s="257"/>
      <c r="BH33" s="257"/>
      <c r="BI33" s="257"/>
      <c r="BJ33" s="258"/>
      <c r="BK33" s="251"/>
    </row>
    <row r="34" spans="1:63" ht="15" customHeight="1" x14ac:dyDescent="0.25">
      <c r="A34" s="250"/>
      <c r="B34" s="235"/>
      <c r="C34" s="236"/>
      <c r="D34" s="236"/>
      <c r="E34" s="236"/>
      <c r="F34" s="236"/>
      <c r="G34" s="237"/>
      <c r="H34" s="235"/>
      <c r="I34" s="236"/>
      <c r="J34" s="236"/>
      <c r="K34" s="236"/>
      <c r="L34" s="236"/>
      <c r="M34" s="236"/>
      <c r="N34" s="237"/>
      <c r="O34" s="235"/>
      <c r="P34" s="236"/>
      <c r="Q34" s="236"/>
      <c r="R34" s="236"/>
      <c r="S34" s="271"/>
      <c r="T34" s="261"/>
      <c r="U34" s="261"/>
      <c r="V34" s="261"/>
      <c r="W34" s="261"/>
      <c r="X34" s="261"/>
      <c r="Y34" s="261"/>
      <c r="Z34" s="261"/>
      <c r="AA34" s="261"/>
      <c r="AB34" s="261"/>
      <c r="AC34" s="261"/>
      <c r="AD34" s="261"/>
      <c r="AE34" s="261"/>
      <c r="AF34" s="261"/>
      <c r="AG34" s="261"/>
      <c r="AH34" s="261"/>
      <c r="AI34" s="261"/>
      <c r="AJ34" s="261"/>
      <c r="AK34" s="261"/>
      <c r="AL34" s="261"/>
      <c r="AM34" s="261"/>
      <c r="AN34" s="261"/>
      <c r="AO34" s="261"/>
      <c r="AP34" s="261"/>
      <c r="AQ34" s="261"/>
      <c r="AR34" s="261"/>
      <c r="AS34" s="261"/>
      <c r="AT34" s="261"/>
      <c r="AU34" s="261"/>
      <c r="AV34" s="261"/>
      <c r="AW34" s="262"/>
      <c r="AX34" s="263"/>
      <c r="AY34" s="263"/>
      <c r="AZ34" s="263"/>
      <c r="BA34" s="263"/>
      <c r="BB34" s="263"/>
      <c r="BC34" s="264"/>
      <c r="BD34" s="265"/>
      <c r="BE34" s="263"/>
      <c r="BF34" s="263"/>
      <c r="BG34" s="263"/>
      <c r="BH34" s="263"/>
      <c r="BI34" s="263"/>
      <c r="BJ34" s="264"/>
      <c r="BK34" s="251"/>
    </row>
    <row r="35" spans="1:63" ht="15" customHeight="1" x14ac:dyDescent="0.25">
      <c r="A35" s="250"/>
      <c r="B35" s="226"/>
      <c r="C35" s="227"/>
      <c r="D35" s="227"/>
      <c r="E35" s="227"/>
      <c r="F35" s="227"/>
      <c r="G35" s="228"/>
      <c r="H35" s="226"/>
      <c r="I35" s="227"/>
      <c r="J35" s="227"/>
      <c r="K35" s="227"/>
      <c r="L35" s="227"/>
      <c r="M35" s="227"/>
      <c r="N35" s="228"/>
      <c r="O35" s="226"/>
      <c r="P35" s="227"/>
      <c r="Q35" s="227"/>
      <c r="R35" s="227"/>
      <c r="S35" s="254"/>
      <c r="T35" s="255"/>
      <c r="U35" s="255"/>
      <c r="V35" s="255"/>
      <c r="W35" s="255"/>
      <c r="X35" s="255"/>
      <c r="Y35" s="255"/>
      <c r="Z35" s="255"/>
      <c r="AA35" s="255"/>
      <c r="AB35" s="255"/>
      <c r="AC35" s="255"/>
      <c r="AD35" s="255"/>
      <c r="AE35" s="255"/>
      <c r="AF35" s="255"/>
      <c r="AG35" s="255"/>
      <c r="AH35" s="255"/>
      <c r="AI35" s="255"/>
      <c r="AJ35" s="255"/>
      <c r="AK35" s="255"/>
      <c r="AL35" s="255"/>
      <c r="AM35" s="255"/>
      <c r="AN35" s="255"/>
      <c r="AO35" s="255"/>
      <c r="AP35" s="255"/>
      <c r="AQ35" s="255"/>
      <c r="AR35" s="255"/>
      <c r="AS35" s="255"/>
      <c r="AT35" s="255"/>
      <c r="AU35" s="255"/>
      <c r="AV35" s="255"/>
      <c r="AW35" s="256"/>
      <c r="AX35" s="257"/>
      <c r="AY35" s="257"/>
      <c r="AZ35" s="257"/>
      <c r="BA35" s="257"/>
      <c r="BB35" s="257"/>
      <c r="BC35" s="258"/>
      <c r="BD35" s="259"/>
      <c r="BE35" s="257"/>
      <c r="BF35" s="257"/>
      <c r="BG35" s="257"/>
      <c r="BH35" s="257"/>
      <c r="BI35" s="257"/>
      <c r="BJ35" s="258"/>
      <c r="BK35" s="251"/>
    </row>
    <row r="36" spans="1:63" ht="15" customHeight="1" x14ac:dyDescent="0.25">
      <c r="A36" s="250"/>
      <c r="B36" s="235"/>
      <c r="C36" s="236"/>
      <c r="D36" s="236"/>
      <c r="E36" s="236"/>
      <c r="F36" s="236"/>
      <c r="G36" s="237"/>
      <c r="H36" s="235"/>
      <c r="I36" s="236"/>
      <c r="J36" s="236"/>
      <c r="K36" s="236"/>
      <c r="L36" s="236"/>
      <c r="M36" s="236"/>
      <c r="N36" s="237"/>
      <c r="O36" s="235"/>
      <c r="P36" s="236"/>
      <c r="Q36" s="236"/>
      <c r="R36" s="236"/>
      <c r="S36" s="271"/>
      <c r="T36" s="261"/>
      <c r="U36" s="261"/>
      <c r="V36" s="261"/>
      <c r="W36" s="261"/>
      <c r="X36" s="261"/>
      <c r="Y36" s="261"/>
      <c r="Z36" s="261"/>
      <c r="AA36" s="261"/>
      <c r="AB36" s="261"/>
      <c r="AC36" s="261"/>
      <c r="AD36" s="261"/>
      <c r="AE36" s="261"/>
      <c r="AF36" s="261"/>
      <c r="AG36" s="261"/>
      <c r="AH36" s="261"/>
      <c r="AI36" s="261"/>
      <c r="AJ36" s="261"/>
      <c r="AK36" s="261"/>
      <c r="AL36" s="261"/>
      <c r="AM36" s="261"/>
      <c r="AN36" s="261"/>
      <c r="AO36" s="261"/>
      <c r="AP36" s="261"/>
      <c r="AQ36" s="261"/>
      <c r="AR36" s="261"/>
      <c r="AS36" s="261"/>
      <c r="AT36" s="261"/>
      <c r="AU36" s="261"/>
      <c r="AV36" s="261"/>
      <c r="AW36" s="262"/>
      <c r="AX36" s="263"/>
      <c r="AY36" s="263"/>
      <c r="AZ36" s="263"/>
      <c r="BA36" s="263"/>
      <c r="BB36" s="263"/>
      <c r="BC36" s="264"/>
      <c r="BD36" s="265"/>
      <c r="BE36" s="263"/>
      <c r="BF36" s="263"/>
      <c r="BG36" s="263"/>
      <c r="BH36" s="263"/>
      <c r="BI36" s="263"/>
      <c r="BJ36" s="264"/>
      <c r="BK36" s="251"/>
    </row>
    <row r="37" spans="1:63" ht="15" customHeight="1" x14ac:dyDescent="0.25">
      <c r="A37" s="250"/>
      <c r="B37" s="226"/>
      <c r="C37" s="227"/>
      <c r="D37" s="227"/>
      <c r="E37" s="227"/>
      <c r="F37" s="227"/>
      <c r="G37" s="228"/>
      <c r="H37" s="226"/>
      <c r="I37" s="227"/>
      <c r="J37" s="227"/>
      <c r="K37" s="227"/>
      <c r="L37" s="227"/>
      <c r="M37" s="227"/>
      <c r="N37" s="228"/>
      <c r="O37" s="226"/>
      <c r="P37" s="227"/>
      <c r="Q37" s="227"/>
      <c r="R37" s="227"/>
      <c r="S37" s="254"/>
      <c r="T37" s="255"/>
      <c r="U37" s="255"/>
      <c r="V37" s="255"/>
      <c r="W37" s="255"/>
      <c r="X37" s="255"/>
      <c r="Y37" s="255"/>
      <c r="Z37" s="255"/>
      <c r="AA37" s="255"/>
      <c r="AB37" s="255"/>
      <c r="AC37" s="255"/>
      <c r="AD37" s="255"/>
      <c r="AE37" s="255"/>
      <c r="AF37" s="255"/>
      <c r="AG37" s="255"/>
      <c r="AH37" s="255"/>
      <c r="AI37" s="255"/>
      <c r="AJ37" s="255"/>
      <c r="AK37" s="255"/>
      <c r="AL37" s="255"/>
      <c r="AM37" s="255"/>
      <c r="AN37" s="255"/>
      <c r="AO37" s="255"/>
      <c r="AP37" s="255"/>
      <c r="AQ37" s="255"/>
      <c r="AR37" s="255"/>
      <c r="AS37" s="255"/>
      <c r="AT37" s="255"/>
      <c r="AU37" s="255"/>
      <c r="AV37" s="255"/>
      <c r="AW37" s="256"/>
      <c r="AX37" s="257"/>
      <c r="AY37" s="257"/>
      <c r="AZ37" s="257"/>
      <c r="BA37" s="257"/>
      <c r="BB37" s="257"/>
      <c r="BC37" s="258"/>
      <c r="BD37" s="259"/>
      <c r="BE37" s="257"/>
      <c r="BF37" s="257"/>
      <c r="BG37" s="257"/>
      <c r="BH37" s="257"/>
      <c r="BI37" s="257"/>
      <c r="BJ37" s="258"/>
      <c r="BK37" s="251"/>
    </row>
    <row r="38" spans="1:63" ht="15" customHeight="1" x14ac:dyDescent="0.25">
      <c r="A38" s="250"/>
      <c r="B38" s="235"/>
      <c r="C38" s="236"/>
      <c r="D38" s="236"/>
      <c r="E38" s="236"/>
      <c r="F38" s="236"/>
      <c r="G38" s="237"/>
      <c r="H38" s="235"/>
      <c r="I38" s="236"/>
      <c r="J38" s="236"/>
      <c r="K38" s="236"/>
      <c r="L38" s="236"/>
      <c r="M38" s="236"/>
      <c r="N38" s="237"/>
      <c r="O38" s="235"/>
      <c r="P38" s="236"/>
      <c r="Q38" s="236"/>
      <c r="R38" s="236"/>
      <c r="S38" s="271"/>
      <c r="T38" s="261"/>
      <c r="U38" s="261"/>
      <c r="V38" s="261"/>
      <c r="W38" s="261"/>
      <c r="X38" s="261"/>
      <c r="Y38" s="261"/>
      <c r="Z38" s="261"/>
      <c r="AA38" s="261"/>
      <c r="AB38" s="261"/>
      <c r="AC38" s="261"/>
      <c r="AD38" s="261"/>
      <c r="AE38" s="261"/>
      <c r="AF38" s="261"/>
      <c r="AG38" s="261"/>
      <c r="AH38" s="261"/>
      <c r="AI38" s="261"/>
      <c r="AJ38" s="261"/>
      <c r="AK38" s="261"/>
      <c r="AL38" s="261"/>
      <c r="AM38" s="261"/>
      <c r="AN38" s="261"/>
      <c r="AO38" s="261"/>
      <c r="AP38" s="261"/>
      <c r="AQ38" s="261"/>
      <c r="AR38" s="261"/>
      <c r="AS38" s="261"/>
      <c r="AT38" s="261"/>
      <c r="AU38" s="261"/>
      <c r="AV38" s="261"/>
      <c r="AW38" s="262"/>
      <c r="AX38" s="263"/>
      <c r="AY38" s="263"/>
      <c r="AZ38" s="263"/>
      <c r="BA38" s="263"/>
      <c r="BB38" s="263"/>
      <c r="BC38" s="264"/>
      <c r="BD38" s="265"/>
      <c r="BE38" s="263"/>
      <c r="BF38" s="263"/>
      <c r="BG38" s="263"/>
      <c r="BH38" s="263"/>
      <c r="BI38" s="263"/>
      <c r="BJ38" s="264"/>
      <c r="BK38" s="251"/>
    </row>
    <row r="39" spans="1:63" ht="15" customHeight="1" x14ac:dyDescent="0.25">
      <c r="A39" s="250"/>
      <c r="B39" s="226"/>
      <c r="C39" s="227"/>
      <c r="D39" s="227"/>
      <c r="E39" s="227"/>
      <c r="F39" s="227"/>
      <c r="G39" s="228"/>
      <c r="H39" s="226"/>
      <c r="I39" s="227"/>
      <c r="J39" s="227"/>
      <c r="K39" s="227"/>
      <c r="L39" s="227"/>
      <c r="M39" s="227"/>
      <c r="N39" s="228"/>
      <c r="O39" s="226"/>
      <c r="P39" s="227"/>
      <c r="Q39" s="227"/>
      <c r="R39" s="227"/>
      <c r="S39" s="254"/>
      <c r="T39" s="255"/>
      <c r="U39" s="255"/>
      <c r="V39" s="255"/>
      <c r="W39" s="255"/>
      <c r="X39" s="255"/>
      <c r="Y39" s="255"/>
      <c r="Z39" s="255"/>
      <c r="AA39" s="255"/>
      <c r="AB39" s="255"/>
      <c r="AC39" s="255"/>
      <c r="AD39" s="255"/>
      <c r="AE39" s="255"/>
      <c r="AF39" s="255"/>
      <c r="AG39" s="255"/>
      <c r="AH39" s="255"/>
      <c r="AI39" s="255"/>
      <c r="AJ39" s="255"/>
      <c r="AK39" s="255"/>
      <c r="AL39" s="255"/>
      <c r="AM39" s="255"/>
      <c r="AN39" s="255"/>
      <c r="AO39" s="255"/>
      <c r="AP39" s="255"/>
      <c r="AQ39" s="255"/>
      <c r="AR39" s="255"/>
      <c r="AS39" s="255"/>
      <c r="AT39" s="255"/>
      <c r="AU39" s="255"/>
      <c r="AV39" s="255"/>
      <c r="AW39" s="256"/>
      <c r="AX39" s="257"/>
      <c r="AY39" s="257"/>
      <c r="AZ39" s="257"/>
      <c r="BA39" s="257"/>
      <c r="BB39" s="257"/>
      <c r="BC39" s="258"/>
      <c r="BD39" s="259"/>
      <c r="BE39" s="257"/>
      <c r="BF39" s="257"/>
      <c r="BG39" s="257"/>
      <c r="BH39" s="257"/>
      <c r="BI39" s="257"/>
      <c r="BJ39" s="258"/>
      <c r="BK39" s="251"/>
    </row>
    <row r="40" spans="1:63" ht="15" customHeight="1" x14ac:dyDescent="0.25">
      <c r="A40" s="250"/>
      <c r="B40" s="235"/>
      <c r="C40" s="236"/>
      <c r="D40" s="236"/>
      <c r="E40" s="236"/>
      <c r="F40" s="236"/>
      <c r="G40" s="237"/>
      <c r="H40" s="235"/>
      <c r="I40" s="236"/>
      <c r="J40" s="236"/>
      <c r="K40" s="236"/>
      <c r="L40" s="236"/>
      <c r="M40" s="236"/>
      <c r="N40" s="237"/>
      <c r="O40" s="235"/>
      <c r="P40" s="236"/>
      <c r="Q40" s="236"/>
      <c r="R40" s="236"/>
      <c r="S40" s="271"/>
      <c r="T40" s="261"/>
      <c r="U40" s="261"/>
      <c r="V40" s="261"/>
      <c r="W40" s="261"/>
      <c r="X40" s="261"/>
      <c r="Y40" s="261"/>
      <c r="Z40" s="261"/>
      <c r="AA40" s="261"/>
      <c r="AB40" s="261"/>
      <c r="AC40" s="261"/>
      <c r="AD40" s="261"/>
      <c r="AE40" s="261"/>
      <c r="AF40" s="261"/>
      <c r="AG40" s="261"/>
      <c r="AH40" s="261"/>
      <c r="AI40" s="261"/>
      <c r="AJ40" s="261"/>
      <c r="AK40" s="261"/>
      <c r="AL40" s="261"/>
      <c r="AM40" s="261"/>
      <c r="AN40" s="261"/>
      <c r="AO40" s="261"/>
      <c r="AP40" s="261"/>
      <c r="AQ40" s="261"/>
      <c r="AR40" s="261"/>
      <c r="AS40" s="261"/>
      <c r="AT40" s="261"/>
      <c r="AU40" s="261"/>
      <c r="AV40" s="261"/>
      <c r="AW40" s="262"/>
      <c r="AX40" s="263"/>
      <c r="AY40" s="263"/>
      <c r="AZ40" s="263"/>
      <c r="BA40" s="263"/>
      <c r="BB40" s="263"/>
      <c r="BC40" s="264"/>
      <c r="BD40" s="265"/>
      <c r="BE40" s="263"/>
      <c r="BF40" s="263"/>
      <c r="BG40" s="263"/>
      <c r="BH40" s="263"/>
      <c r="BI40" s="263"/>
      <c r="BJ40" s="264"/>
      <c r="BK40" s="251"/>
    </row>
    <row r="41" spans="1:63" ht="15" customHeight="1" x14ac:dyDescent="0.25">
      <c r="A41" s="250"/>
      <c r="B41" s="226"/>
      <c r="C41" s="227"/>
      <c r="D41" s="227"/>
      <c r="E41" s="227"/>
      <c r="F41" s="227"/>
      <c r="G41" s="228"/>
      <c r="H41" s="226"/>
      <c r="I41" s="227"/>
      <c r="J41" s="227"/>
      <c r="K41" s="227"/>
      <c r="L41" s="227"/>
      <c r="M41" s="227"/>
      <c r="N41" s="228"/>
      <c r="O41" s="226"/>
      <c r="P41" s="227"/>
      <c r="Q41" s="227"/>
      <c r="R41" s="227"/>
      <c r="S41" s="254"/>
      <c r="T41" s="255"/>
      <c r="U41" s="255"/>
      <c r="V41" s="255"/>
      <c r="W41" s="255"/>
      <c r="X41" s="255"/>
      <c r="Y41" s="255"/>
      <c r="Z41" s="255"/>
      <c r="AA41" s="255"/>
      <c r="AB41" s="255"/>
      <c r="AC41" s="255"/>
      <c r="AD41" s="255"/>
      <c r="AE41" s="255"/>
      <c r="AF41" s="255"/>
      <c r="AG41" s="255"/>
      <c r="AH41" s="255"/>
      <c r="AI41" s="255"/>
      <c r="AJ41" s="255"/>
      <c r="AK41" s="255"/>
      <c r="AL41" s="255"/>
      <c r="AM41" s="255"/>
      <c r="AN41" s="255"/>
      <c r="AO41" s="255"/>
      <c r="AP41" s="255"/>
      <c r="AQ41" s="255"/>
      <c r="AR41" s="255"/>
      <c r="AS41" s="255"/>
      <c r="AT41" s="255"/>
      <c r="AU41" s="255"/>
      <c r="AV41" s="255"/>
      <c r="AW41" s="256"/>
      <c r="AX41" s="257"/>
      <c r="AY41" s="257"/>
      <c r="AZ41" s="257"/>
      <c r="BA41" s="257"/>
      <c r="BB41" s="257"/>
      <c r="BC41" s="258"/>
      <c r="BD41" s="259"/>
      <c r="BE41" s="257"/>
      <c r="BF41" s="257"/>
      <c r="BG41" s="257"/>
      <c r="BH41" s="257"/>
      <c r="BI41" s="257"/>
      <c r="BJ41" s="258"/>
      <c r="BK41" s="251"/>
    </row>
    <row r="42" spans="1:63" ht="15" customHeight="1" x14ac:dyDescent="0.25">
      <c r="A42" s="250"/>
      <c r="B42" s="235"/>
      <c r="C42" s="236"/>
      <c r="D42" s="236"/>
      <c r="E42" s="236"/>
      <c r="F42" s="236"/>
      <c r="G42" s="237"/>
      <c r="H42" s="235"/>
      <c r="I42" s="236"/>
      <c r="J42" s="236"/>
      <c r="K42" s="236"/>
      <c r="L42" s="236"/>
      <c r="M42" s="236"/>
      <c r="N42" s="237"/>
      <c r="O42" s="235"/>
      <c r="P42" s="236"/>
      <c r="Q42" s="236"/>
      <c r="R42" s="236"/>
      <c r="S42" s="271"/>
      <c r="T42" s="261"/>
      <c r="U42" s="261"/>
      <c r="V42" s="261"/>
      <c r="W42" s="261"/>
      <c r="X42" s="261"/>
      <c r="Y42" s="261"/>
      <c r="Z42" s="261"/>
      <c r="AA42" s="261"/>
      <c r="AB42" s="261"/>
      <c r="AC42" s="261"/>
      <c r="AD42" s="261"/>
      <c r="AE42" s="261"/>
      <c r="AF42" s="261"/>
      <c r="AG42" s="261"/>
      <c r="AH42" s="261"/>
      <c r="AI42" s="261"/>
      <c r="AJ42" s="261"/>
      <c r="AK42" s="261"/>
      <c r="AL42" s="261"/>
      <c r="AM42" s="261"/>
      <c r="AN42" s="261"/>
      <c r="AO42" s="261"/>
      <c r="AP42" s="261"/>
      <c r="AQ42" s="261"/>
      <c r="AR42" s="261"/>
      <c r="AS42" s="261"/>
      <c r="AT42" s="261"/>
      <c r="AU42" s="261"/>
      <c r="AV42" s="261"/>
      <c r="AW42" s="262"/>
      <c r="AX42" s="263"/>
      <c r="AY42" s="263"/>
      <c r="AZ42" s="263"/>
      <c r="BA42" s="263"/>
      <c r="BB42" s="263"/>
      <c r="BC42" s="264"/>
      <c r="BD42" s="265"/>
      <c r="BE42" s="263"/>
      <c r="BF42" s="263"/>
      <c r="BG42" s="263"/>
      <c r="BH42" s="263"/>
      <c r="BI42" s="263"/>
      <c r="BJ42" s="264"/>
      <c r="BK42" s="251"/>
    </row>
    <row r="43" spans="1:63" ht="15" customHeight="1" x14ac:dyDescent="0.25">
      <c r="A43" s="250"/>
      <c r="B43" s="226"/>
      <c r="C43" s="227"/>
      <c r="D43" s="227"/>
      <c r="E43" s="227"/>
      <c r="F43" s="227"/>
      <c r="G43" s="228"/>
      <c r="H43" s="226"/>
      <c r="I43" s="227"/>
      <c r="J43" s="227"/>
      <c r="K43" s="227"/>
      <c r="L43" s="227"/>
      <c r="M43" s="227"/>
      <c r="N43" s="228"/>
      <c r="O43" s="226"/>
      <c r="P43" s="227"/>
      <c r="Q43" s="227"/>
      <c r="R43" s="227"/>
      <c r="S43" s="254"/>
      <c r="T43" s="255"/>
      <c r="U43" s="255"/>
      <c r="V43" s="255"/>
      <c r="W43" s="255"/>
      <c r="X43" s="255"/>
      <c r="Y43" s="255"/>
      <c r="Z43" s="255"/>
      <c r="AA43" s="255"/>
      <c r="AB43" s="255"/>
      <c r="AC43" s="255"/>
      <c r="AD43" s="255"/>
      <c r="AE43" s="255"/>
      <c r="AF43" s="255"/>
      <c r="AG43" s="255"/>
      <c r="AH43" s="255"/>
      <c r="AI43" s="255"/>
      <c r="AJ43" s="255"/>
      <c r="AK43" s="255"/>
      <c r="AL43" s="255"/>
      <c r="AM43" s="255"/>
      <c r="AN43" s="255"/>
      <c r="AO43" s="255"/>
      <c r="AP43" s="255"/>
      <c r="AQ43" s="255"/>
      <c r="AR43" s="255"/>
      <c r="AS43" s="255"/>
      <c r="AT43" s="255"/>
      <c r="AU43" s="255"/>
      <c r="AV43" s="255"/>
      <c r="AW43" s="256"/>
      <c r="AX43" s="257"/>
      <c r="AY43" s="257"/>
      <c r="AZ43" s="257"/>
      <c r="BA43" s="257"/>
      <c r="BB43" s="257"/>
      <c r="BC43" s="258"/>
      <c r="BD43" s="259"/>
      <c r="BE43" s="257"/>
      <c r="BF43" s="257"/>
      <c r="BG43" s="257"/>
      <c r="BH43" s="257"/>
      <c r="BI43" s="257"/>
      <c r="BJ43" s="258"/>
      <c r="BK43" s="251"/>
    </row>
    <row r="44" spans="1:63" ht="15" customHeight="1" x14ac:dyDescent="0.25">
      <c r="A44" s="250"/>
      <c r="B44" s="235"/>
      <c r="C44" s="236"/>
      <c r="D44" s="236"/>
      <c r="E44" s="236"/>
      <c r="F44" s="236"/>
      <c r="G44" s="237"/>
      <c r="H44" s="235"/>
      <c r="I44" s="236"/>
      <c r="J44" s="236"/>
      <c r="K44" s="236"/>
      <c r="L44" s="236"/>
      <c r="M44" s="236"/>
      <c r="N44" s="237"/>
      <c r="O44" s="235"/>
      <c r="P44" s="236"/>
      <c r="Q44" s="236"/>
      <c r="R44" s="236"/>
      <c r="S44" s="271"/>
      <c r="T44" s="261"/>
      <c r="U44" s="261"/>
      <c r="V44" s="261"/>
      <c r="W44" s="261"/>
      <c r="X44" s="261"/>
      <c r="Y44" s="261"/>
      <c r="Z44" s="261"/>
      <c r="AA44" s="261"/>
      <c r="AB44" s="261"/>
      <c r="AC44" s="261"/>
      <c r="AD44" s="261"/>
      <c r="AE44" s="261"/>
      <c r="AF44" s="261"/>
      <c r="AG44" s="261"/>
      <c r="AH44" s="261"/>
      <c r="AI44" s="261"/>
      <c r="AJ44" s="261"/>
      <c r="AK44" s="261"/>
      <c r="AL44" s="261"/>
      <c r="AM44" s="261"/>
      <c r="AN44" s="261"/>
      <c r="AO44" s="261"/>
      <c r="AP44" s="261"/>
      <c r="AQ44" s="261"/>
      <c r="AR44" s="261"/>
      <c r="AS44" s="261"/>
      <c r="AT44" s="261"/>
      <c r="AU44" s="261"/>
      <c r="AV44" s="261"/>
      <c r="AW44" s="262"/>
      <c r="AX44" s="263"/>
      <c r="AY44" s="263"/>
      <c r="AZ44" s="263"/>
      <c r="BA44" s="263"/>
      <c r="BB44" s="263"/>
      <c r="BC44" s="264"/>
      <c r="BD44" s="265"/>
      <c r="BE44" s="263"/>
      <c r="BF44" s="263"/>
      <c r="BG44" s="263"/>
      <c r="BH44" s="263"/>
      <c r="BI44" s="263"/>
      <c r="BJ44" s="264"/>
      <c r="BK44" s="251"/>
    </row>
    <row r="45" spans="1:63" ht="15" customHeight="1" x14ac:dyDescent="0.25">
      <c r="A45" s="250"/>
      <c r="B45" s="226"/>
      <c r="C45" s="227"/>
      <c r="D45" s="227"/>
      <c r="E45" s="227"/>
      <c r="F45" s="227"/>
      <c r="G45" s="228"/>
      <c r="H45" s="226"/>
      <c r="I45" s="227"/>
      <c r="J45" s="227"/>
      <c r="K45" s="227"/>
      <c r="L45" s="227"/>
      <c r="M45" s="227"/>
      <c r="N45" s="228"/>
      <c r="O45" s="226"/>
      <c r="P45" s="227"/>
      <c r="Q45" s="227"/>
      <c r="R45" s="227"/>
      <c r="S45" s="254"/>
      <c r="T45" s="255"/>
      <c r="U45" s="255"/>
      <c r="V45" s="255"/>
      <c r="W45" s="255"/>
      <c r="X45" s="255"/>
      <c r="Y45" s="255"/>
      <c r="Z45" s="255"/>
      <c r="AA45" s="255"/>
      <c r="AB45" s="255"/>
      <c r="AC45" s="255"/>
      <c r="AD45" s="255"/>
      <c r="AE45" s="255"/>
      <c r="AF45" s="255"/>
      <c r="AG45" s="255"/>
      <c r="AH45" s="255"/>
      <c r="AI45" s="255"/>
      <c r="AJ45" s="255"/>
      <c r="AK45" s="255"/>
      <c r="AL45" s="255"/>
      <c r="AM45" s="255"/>
      <c r="AN45" s="255"/>
      <c r="AO45" s="255"/>
      <c r="AP45" s="255"/>
      <c r="AQ45" s="255"/>
      <c r="AR45" s="255"/>
      <c r="AS45" s="255"/>
      <c r="AT45" s="255"/>
      <c r="AU45" s="255"/>
      <c r="AV45" s="255"/>
      <c r="AW45" s="256"/>
      <c r="AX45" s="257"/>
      <c r="AY45" s="257"/>
      <c r="AZ45" s="257"/>
      <c r="BA45" s="257"/>
      <c r="BB45" s="257"/>
      <c r="BC45" s="258"/>
      <c r="BD45" s="259"/>
      <c r="BE45" s="257"/>
      <c r="BF45" s="257"/>
      <c r="BG45" s="257"/>
      <c r="BH45" s="257"/>
      <c r="BI45" s="257"/>
      <c r="BJ45" s="258"/>
      <c r="BK45" s="251"/>
    </row>
    <row r="46" spans="1:63" ht="15" customHeight="1" x14ac:dyDescent="0.25">
      <c r="A46" s="250"/>
      <c r="B46" s="235"/>
      <c r="C46" s="236"/>
      <c r="D46" s="236"/>
      <c r="E46" s="236"/>
      <c r="F46" s="236"/>
      <c r="G46" s="237"/>
      <c r="H46" s="235"/>
      <c r="I46" s="236"/>
      <c r="J46" s="236"/>
      <c r="K46" s="236"/>
      <c r="L46" s="236"/>
      <c r="M46" s="236"/>
      <c r="N46" s="237"/>
      <c r="O46" s="235"/>
      <c r="P46" s="236"/>
      <c r="Q46" s="236"/>
      <c r="R46" s="236"/>
      <c r="S46" s="271"/>
      <c r="T46" s="261"/>
      <c r="U46" s="261"/>
      <c r="V46" s="261"/>
      <c r="W46" s="261"/>
      <c r="X46" s="261"/>
      <c r="Y46" s="261"/>
      <c r="Z46" s="261"/>
      <c r="AA46" s="261"/>
      <c r="AB46" s="261"/>
      <c r="AC46" s="261"/>
      <c r="AD46" s="261"/>
      <c r="AE46" s="261"/>
      <c r="AF46" s="261"/>
      <c r="AG46" s="261"/>
      <c r="AH46" s="261"/>
      <c r="AI46" s="261"/>
      <c r="AJ46" s="261"/>
      <c r="AK46" s="261"/>
      <c r="AL46" s="261"/>
      <c r="AM46" s="261"/>
      <c r="AN46" s="261"/>
      <c r="AO46" s="261"/>
      <c r="AP46" s="261"/>
      <c r="AQ46" s="261"/>
      <c r="AR46" s="261"/>
      <c r="AS46" s="261"/>
      <c r="AT46" s="261"/>
      <c r="AU46" s="261"/>
      <c r="AV46" s="261"/>
      <c r="AW46" s="262"/>
      <c r="AX46" s="263"/>
      <c r="AY46" s="263"/>
      <c r="AZ46" s="263"/>
      <c r="BA46" s="263"/>
      <c r="BB46" s="263"/>
      <c r="BC46" s="264"/>
      <c r="BD46" s="265"/>
      <c r="BE46" s="263"/>
      <c r="BF46" s="263"/>
      <c r="BG46" s="263"/>
      <c r="BH46" s="263"/>
      <c r="BI46" s="263"/>
      <c r="BJ46" s="264"/>
      <c r="BK46" s="251"/>
    </row>
    <row r="47" spans="1:63" ht="15" customHeight="1" x14ac:dyDescent="0.25">
      <c r="A47" s="250"/>
      <c r="B47" s="226"/>
      <c r="C47" s="227"/>
      <c r="D47" s="227"/>
      <c r="E47" s="227"/>
      <c r="F47" s="227"/>
      <c r="G47" s="228"/>
      <c r="H47" s="226"/>
      <c r="I47" s="227"/>
      <c r="J47" s="227"/>
      <c r="K47" s="227"/>
      <c r="L47" s="227"/>
      <c r="M47" s="227"/>
      <c r="N47" s="228"/>
      <c r="O47" s="226"/>
      <c r="P47" s="227"/>
      <c r="Q47" s="227"/>
      <c r="R47" s="227"/>
      <c r="S47" s="254"/>
      <c r="T47" s="255"/>
      <c r="U47" s="255"/>
      <c r="V47" s="255"/>
      <c r="W47" s="255"/>
      <c r="X47" s="255"/>
      <c r="Y47" s="255"/>
      <c r="Z47" s="255"/>
      <c r="AA47" s="255"/>
      <c r="AB47" s="255"/>
      <c r="AC47" s="255"/>
      <c r="AD47" s="255"/>
      <c r="AE47" s="255"/>
      <c r="AF47" s="255"/>
      <c r="AG47" s="255"/>
      <c r="AH47" s="255"/>
      <c r="AI47" s="255"/>
      <c r="AJ47" s="255"/>
      <c r="AK47" s="255"/>
      <c r="AL47" s="255"/>
      <c r="AM47" s="255"/>
      <c r="AN47" s="255"/>
      <c r="AO47" s="255"/>
      <c r="AP47" s="255"/>
      <c r="AQ47" s="255"/>
      <c r="AR47" s="255"/>
      <c r="AS47" s="255"/>
      <c r="AT47" s="255"/>
      <c r="AU47" s="255"/>
      <c r="AV47" s="255"/>
      <c r="AW47" s="256"/>
      <c r="AX47" s="257"/>
      <c r="AY47" s="257"/>
      <c r="AZ47" s="257"/>
      <c r="BA47" s="257"/>
      <c r="BB47" s="257"/>
      <c r="BC47" s="258"/>
      <c r="BD47" s="259"/>
      <c r="BE47" s="257"/>
      <c r="BF47" s="257"/>
      <c r="BG47" s="257"/>
      <c r="BH47" s="257"/>
      <c r="BI47" s="257"/>
      <c r="BJ47" s="258"/>
      <c r="BK47" s="251"/>
    </row>
    <row r="48" spans="1:63" ht="15" customHeight="1" x14ac:dyDescent="0.25">
      <c r="A48" s="250"/>
      <c r="B48" s="235"/>
      <c r="C48" s="236"/>
      <c r="D48" s="236"/>
      <c r="E48" s="236"/>
      <c r="F48" s="236"/>
      <c r="G48" s="237"/>
      <c r="H48" s="235"/>
      <c r="I48" s="236"/>
      <c r="J48" s="236"/>
      <c r="K48" s="236"/>
      <c r="L48" s="236"/>
      <c r="M48" s="236"/>
      <c r="N48" s="237"/>
      <c r="O48" s="235"/>
      <c r="P48" s="236"/>
      <c r="Q48" s="236"/>
      <c r="R48" s="236"/>
      <c r="S48" s="271"/>
      <c r="T48" s="261"/>
      <c r="U48" s="261"/>
      <c r="V48" s="261"/>
      <c r="W48" s="261"/>
      <c r="X48" s="261"/>
      <c r="Y48" s="261"/>
      <c r="Z48" s="261"/>
      <c r="AA48" s="261"/>
      <c r="AB48" s="261"/>
      <c r="AC48" s="261"/>
      <c r="AD48" s="261"/>
      <c r="AE48" s="261"/>
      <c r="AF48" s="261"/>
      <c r="AG48" s="261"/>
      <c r="AH48" s="261"/>
      <c r="AI48" s="261"/>
      <c r="AJ48" s="261"/>
      <c r="AK48" s="261"/>
      <c r="AL48" s="261"/>
      <c r="AM48" s="261"/>
      <c r="AN48" s="261"/>
      <c r="AO48" s="261"/>
      <c r="AP48" s="261"/>
      <c r="AQ48" s="261"/>
      <c r="AR48" s="261"/>
      <c r="AS48" s="261"/>
      <c r="AT48" s="261"/>
      <c r="AU48" s="261"/>
      <c r="AV48" s="261"/>
      <c r="AW48" s="262"/>
      <c r="AX48" s="263"/>
      <c r="AY48" s="263"/>
      <c r="AZ48" s="263"/>
      <c r="BA48" s="263"/>
      <c r="BB48" s="263"/>
      <c r="BC48" s="264"/>
      <c r="BD48" s="265"/>
      <c r="BE48" s="263"/>
      <c r="BF48" s="263"/>
      <c r="BG48" s="263"/>
      <c r="BH48" s="263"/>
      <c r="BI48" s="263"/>
      <c r="BJ48" s="264"/>
      <c r="BK48" s="251"/>
    </row>
    <row r="49" spans="1:63" ht="15" customHeight="1" x14ac:dyDescent="0.25">
      <c r="A49" s="250"/>
      <c r="B49" s="226"/>
      <c r="C49" s="227"/>
      <c r="D49" s="227"/>
      <c r="E49" s="227"/>
      <c r="F49" s="227"/>
      <c r="G49" s="228"/>
      <c r="H49" s="226"/>
      <c r="I49" s="227"/>
      <c r="J49" s="227"/>
      <c r="K49" s="227"/>
      <c r="L49" s="227"/>
      <c r="M49" s="227"/>
      <c r="N49" s="228"/>
      <c r="O49" s="226"/>
      <c r="P49" s="227"/>
      <c r="Q49" s="227"/>
      <c r="R49" s="227"/>
      <c r="S49" s="254"/>
      <c r="T49" s="255"/>
      <c r="U49" s="255"/>
      <c r="V49" s="255"/>
      <c r="W49" s="255"/>
      <c r="X49" s="255"/>
      <c r="Y49" s="255"/>
      <c r="Z49" s="255"/>
      <c r="AA49" s="255"/>
      <c r="AB49" s="255"/>
      <c r="AC49" s="255"/>
      <c r="AD49" s="255"/>
      <c r="AE49" s="255"/>
      <c r="AF49" s="255"/>
      <c r="AG49" s="255"/>
      <c r="AH49" s="255"/>
      <c r="AI49" s="255"/>
      <c r="AJ49" s="255"/>
      <c r="AK49" s="255"/>
      <c r="AL49" s="255"/>
      <c r="AM49" s="255"/>
      <c r="AN49" s="255"/>
      <c r="AO49" s="255"/>
      <c r="AP49" s="255"/>
      <c r="AQ49" s="255"/>
      <c r="AR49" s="255"/>
      <c r="AS49" s="255"/>
      <c r="AT49" s="255"/>
      <c r="AU49" s="255"/>
      <c r="AV49" s="255"/>
      <c r="AW49" s="256"/>
      <c r="AX49" s="257"/>
      <c r="AY49" s="257"/>
      <c r="AZ49" s="257"/>
      <c r="BA49" s="257"/>
      <c r="BB49" s="257"/>
      <c r="BC49" s="258"/>
      <c r="BD49" s="259"/>
      <c r="BE49" s="257"/>
      <c r="BF49" s="257"/>
      <c r="BG49" s="257"/>
      <c r="BH49" s="257"/>
      <c r="BI49" s="257"/>
      <c r="BJ49" s="258"/>
      <c r="BK49" s="251"/>
    </row>
    <row r="50" spans="1:63" ht="15" customHeight="1" x14ac:dyDescent="0.25">
      <c r="A50" s="250"/>
      <c r="B50" s="235"/>
      <c r="C50" s="236"/>
      <c r="D50" s="236"/>
      <c r="E50" s="236"/>
      <c r="F50" s="236"/>
      <c r="G50" s="237"/>
      <c r="H50" s="235"/>
      <c r="I50" s="236"/>
      <c r="J50" s="236"/>
      <c r="K50" s="236"/>
      <c r="L50" s="236"/>
      <c r="M50" s="236"/>
      <c r="N50" s="237"/>
      <c r="O50" s="235"/>
      <c r="P50" s="236"/>
      <c r="Q50" s="236"/>
      <c r="R50" s="236"/>
      <c r="S50" s="271"/>
      <c r="T50" s="261"/>
      <c r="U50" s="261"/>
      <c r="V50" s="261"/>
      <c r="W50" s="261"/>
      <c r="X50" s="261"/>
      <c r="Y50" s="261"/>
      <c r="Z50" s="261"/>
      <c r="AA50" s="261"/>
      <c r="AB50" s="261"/>
      <c r="AC50" s="261"/>
      <c r="AD50" s="261"/>
      <c r="AE50" s="261"/>
      <c r="AF50" s="261"/>
      <c r="AG50" s="261"/>
      <c r="AH50" s="261"/>
      <c r="AI50" s="261"/>
      <c r="AJ50" s="261"/>
      <c r="AK50" s="261"/>
      <c r="AL50" s="261"/>
      <c r="AM50" s="261"/>
      <c r="AN50" s="261"/>
      <c r="AO50" s="261"/>
      <c r="AP50" s="261"/>
      <c r="AQ50" s="261"/>
      <c r="AR50" s="261"/>
      <c r="AS50" s="261"/>
      <c r="AT50" s="261"/>
      <c r="AU50" s="261"/>
      <c r="AV50" s="261"/>
      <c r="AW50" s="262"/>
      <c r="AX50" s="263"/>
      <c r="AY50" s="263"/>
      <c r="AZ50" s="263"/>
      <c r="BA50" s="263"/>
      <c r="BB50" s="263"/>
      <c r="BC50" s="264"/>
      <c r="BD50" s="265"/>
      <c r="BE50" s="263"/>
      <c r="BF50" s="263"/>
      <c r="BG50" s="263"/>
      <c r="BH50" s="263"/>
      <c r="BI50" s="263"/>
      <c r="BJ50" s="264"/>
      <c r="BK50" s="251"/>
    </row>
    <row r="51" spans="1:63" ht="15" customHeight="1" x14ac:dyDescent="0.25">
      <c r="A51" s="250"/>
      <c r="B51" s="226"/>
      <c r="C51" s="227"/>
      <c r="D51" s="227"/>
      <c r="E51" s="227"/>
      <c r="F51" s="227"/>
      <c r="G51" s="228"/>
      <c r="H51" s="226"/>
      <c r="I51" s="227"/>
      <c r="J51" s="227"/>
      <c r="K51" s="227"/>
      <c r="L51" s="227"/>
      <c r="M51" s="227"/>
      <c r="N51" s="228"/>
      <c r="O51" s="226"/>
      <c r="P51" s="227"/>
      <c r="Q51" s="227"/>
      <c r="R51" s="227"/>
      <c r="S51" s="254"/>
      <c r="T51" s="255"/>
      <c r="U51" s="255"/>
      <c r="V51" s="255"/>
      <c r="W51" s="255"/>
      <c r="X51" s="255"/>
      <c r="Y51" s="255"/>
      <c r="Z51" s="255"/>
      <c r="AA51" s="255"/>
      <c r="AB51" s="255"/>
      <c r="AC51" s="255"/>
      <c r="AD51" s="255"/>
      <c r="AE51" s="255"/>
      <c r="AF51" s="255"/>
      <c r="AG51" s="255"/>
      <c r="AH51" s="255"/>
      <c r="AI51" s="255"/>
      <c r="AJ51" s="255"/>
      <c r="AK51" s="255"/>
      <c r="AL51" s="255"/>
      <c r="AM51" s="255"/>
      <c r="AN51" s="255"/>
      <c r="AO51" s="255"/>
      <c r="AP51" s="255"/>
      <c r="AQ51" s="255"/>
      <c r="AR51" s="255"/>
      <c r="AS51" s="255"/>
      <c r="AT51" s="255"/>
      <c r="AU51" s="255"/>
      <c r="AV51" s="255"/>
      <c r="AW51" s="256"/>
      <c r="AX51" s="257"/>
      <c r="AY51" s="257"/>
      <c r="AZ51" s="257"/>
      <c r="BA51" s="257"/>
      <c r="BB51" s="257"/>
      <c r="BC51" s="258"/>
      <c r="BD51" s="259"/>
      <c r="BE51" s="257"/>
      <c r="BF51" s="257"/>
      <c r="BG51" s="257"/>
      <c r="BH51" s="257"/>
      <c r="BI51" s="257"/>
      <c r="BJ51" s="258"/>
      <c r="BK51" s="251"/>
    </row>
    <row r="52" spans="1:63" ht="15" customHeight="1" x14ac:dyDescent="0.25">
      <c r="A52" s="250"/>
      <c r="B52" s="235"/>
      <c r="C52" s="236"/>
      <c r="D52" s="236"/>
      <c r="E52" s="236"/>
      <c r="F52" s="236"/>
      <c r="G52" s="237"/>
      <c r="H52" s="235"/>
      <c r="I52" s="236"/>
      <c r="J52" s="236"/>
      <c r="K52" s="236"/>
      <c r="L52" s="236"/>
      <c r="M52" s="236"/>
      <c r="N52" s="237"/>
      <c r="O52" s="235"/>
      <c r="P52" s="236"/>
      <c r="Q52" s="236"/>
      <c r="R52" s="236"/>
      <c r="S52" s="271"/>
      <c r="T52" s="261"/>
      <c r="U52" s="261"/>
      <c r="V52" s="261"/>
      <c r="W52" s="261"/>
      <c r="X52" s="261"/>
      <c r="Y52" s="261"/>
      <c r="Z52" s="261"/>
      <c r="AA52" s="261"/>
      <c r="AB52" s="261"/>
      <c r="AC52" s="261"/>
      <c r="AD52" s="261"/>
      <c r="AE52" s="261"/>
      <c r="AF52" s="261"/>
      <c r="AG52" s="261"/>
      <c r="AH52" s="261"/>
      <c r="AI52" s="261"/>
      <c r="AJ52" s="261"/>
      <c r="AK52" s="261"/>
      <c r="AL52" s="261"/>
      <c r="AM52" s="261"/>
      <c r="AN52" s="261"/>
      <c r="AO52" s="261"/>
      <c r="AP52" s="261"/>
      <c r="AQ52" s="261"/>
      <c r="AR52" s="261"/>
      <c r="AS52" s="261"/>
      <c r="AT52" s="261"/>
      <c r="AU52" s="261"/>
      <c r="AV52" s="261"/>
      <c r="AW52" s="262"/>
      <c r="AX52" s="263"/>
      <c r="AY52" s="263"/>
      <c r="AZ52" s="263"/>
      <c r="BA52" s="263"/>
      <c r="BB52" s="263"/>
      <c r="BC52" s="264"/>
      <c r="BD52" s="265"/>
      <c r="BE52" s="263"/>
      <c r="BF52" s="263"/>
      <c r="BG52" s="263"/>
      <c r="BH52" s="263"/>
      <c r="BI52" s="263"/>
      <c r="BJ52" s="264"/>
      <c r="BK52" s="251"/>
    </row>
    <row r="53" spans="1:63" ht="15" customHeight="1" x14ac:dyDescent="0.25">
      <c r="A53" s="250"/>
      <c r="B53" s="226"/>
      <c r="C53" s="227"/>
      <c r="D53" s="227"/>
      <c r="E53" s="227"/>
      <c r="F53" s="227"/>
      <c r="G53" s="228"/>
      <c r="H53" s="226"/>
      <c r="I53" s="227"/>
      <c r="J53" s="227"/>
      <c r="K53" s="227"/>
      <c r="L53" s="227"/>
      <c r="M53" s="227"/>
      <c r="N53" s="228"/>
      <c r="O53" s="226"/>
      <c r="P53" s="227"/>
      <c r="Q53" s="227"/>
      <c r="R53" s="227"/>
      <c r="S53" s="254"/>
      <c r="T53" s="255"/>
      <c r="U53" s="255"/>
      <c r="V53" s="255"/>
      <c r="W53" s="255"/>
      <c r="X53" s="255"/>
      <c r="Y53" s="255"/>
      <c r="Z53" s="255"/>
      <c r="AA53" s="255"/>
      <c r="AB53" s="255"/>
      <c r="AC53" s="255"/>
      <c r="AD53" s="255"/>
      <c r="AE53" s="255"/>
      <c r="AF53" s="255"/>
      <c r="AG53" s="255"/>
      <c r="AH53" s="255"/>
      <c r="AI53" s="255"/>
      <c r="AJ53" s="255"/>
      <c r="AK53" s="255"/>
      <c r="AL53" s="255"/>
      <c r="AM53" s="255"/>
      <c r="AN53" s="255"/>
      <c r="AO53" s="255"/>
      <c r="AP53" s="255"/>
      <c r="AQ53" s="255"/>
      <c r="AR53" s="255"/>
      <c r="AS53" s="255"/>
      <c r="AT53" s="255"/>
      <c r="AU53" s="255"/>
      <c r="AV53" s="255"/>
      <c r="AW53" s="256"/>
      <c r="AX53" s="257"/>
      <c r="AY53" s="257"/>
      <c r="AZ53" s="257"/>
      <c r="BA53" s="257"/>
      <c r="BB53" s="257"/>
      <c r="BC53" s="258"/>
      <c r="BD53" s="259"/>
      <c r="BE53" s="257"/>
      <c r="BF53" s="257"/>
      <c r="BG53" s="257"/>
      <c r="BH53" s="257"/>
      <c r="BI53" s="257"/>
      <c r="BJ53" s="258"/>
      <c r="BK53" s="251"/>
    </row>
    <row r="54" spans="1:63" ht="15" customHeight="1" x14ac:dyDescent="0.25">
      <c r="A54" s="250"/>
      <c r="B54" s="235"/>
      <c r="C54" s="236"/>
      <c r="D54" s="236"/>
      <c r="E54" s="236"/>
      <c r="F54" s="236"/>
      <c r="G54" s="237"/>
      <c r="H54" s="235"/>
      <c r="I54" s="236"/>
      <c r="J54" s="236"/>
      <c r="K54" s="236"/>
      <c r="L54" s="236"/>
      <c r="M54" s="236"/>
      <c r="N54" s="237"/>
      <c r="O54" s="235"/>
      <c r="P54" s="236"/>
      <c r="Q54" s="236"/>
      <c r="R54" s="236"/>
      <c r="S54" s="271"/>
      <c r="T54" s="261"/>
      <c r="U54" s="261"/>
      <c r="V54" s="261"/>
      <c r="W54" s="261"/>
      <c r="X54" s="261"/>
      <c r="Y54" s="261"/>
      <c r="Z54" s="261"/>
      <c r="AA54" s="261"/>
      <c r="AB54" s="261"/>
      <c r="AC54" s="261"/>
      <c r="AD54" s="261"/>
      <c r="AE54" s="261"/>
      <c r="AF54" s="261"/>
      <c r="AG54" s="261"/>
      <c r="AH54" s="261"/>
      <c r="AI54" s="261"/>
      <c r="AJ54" s="261"/>
      <c r="AK54" s="261"/>
      <c r="AL54" s="261"/>
      <c r="AM54" s="261"/>
      <c r="AN54" s="261"/>
      <c r="AO54" s="261"/>
      <c r="AP54" s="261"/>
      <c r="AQ54" s="261"/>
      <c r="AR54" s="261"/>
      <c r="AS54" s="261"/>
      <c r="AT54" s="261"/>
      <c r="AU54" s="261"/>
      <c r="AV54" s="261"/>
      <c r="AW54" s="262"/>
      <c r="AX54" s="263"/>
      <c r="AY54" s="263"/>
      <c r="AZ54" s="263"/>
      <c r="BA54" s="263"/>
      <c r="BB54" s="263"/>
      <c r="BC54" s="264"/>
      <c r="BD54" s="265"/>
      <c r="BE54" s="263"/>
      <c r="BF54" s="263"/>
      <c r="BG54" s="263"/>
      <c r="BH54" s="263"/>
      <c r="BI54" s="263"/>
      <c r="BJ54" s="264"/>
      <c r="BK54" s="251"/>
    </row>
    <row r="55" spans="1:63" ht="15" customHeight="1" x14ac:dyDescent="0.25">
      <c r="A55" s="247"/>
      <c r="B55" s="248"/>
      <c r="C55" s="248"/>
      <c r="D55" s="248"/>
      <c r="E55" s="248"/>
      <c r="F55" s="248"/>
      <c r="G55" s="248"/>
      <c r="H55" s="248"/>
      <c r="I55" s="248"/>
      <c r="J55" s="248"/>
      <c r="K55" s="248"/>
      <c r="L55" s="248"/>
      <c r="M55" s="248"/>
      <c r="N55" s="248"/>
      <c r="O55" s="248"/>
      <c r="P55" s="248"/>
      <c r="Q55" s="248"/>
      <c r="R55" s="248"/>
      <c r="S55" s="248"/>
      <c r="T55" s="248"/>
      <c r="U55" s="248"/>
      <c r="V55" s="248"/>
      <c r="W55" s="248"/>
      <c r="X55" s="248"/>
      <c r="Y55" s="248"/>
      <c r="Z55" s="248"/>
      <c r="AA55" s="248"/>
      <c r="AB55" s="248"/>
      <c r="AC55" s="248"/>
      <c r="AD55" s="248"/>
      <c r="AE55" s="248"/>
      <c r="AF55" s="248"/>
      <c r="AG55" s="248"/>
      <c r="AH55" s="248"/>
      <c r="AI55" s="248"/>
      <c r="AJ55" s="248"/>
      <c r="AK55" s="248"/>
      <c r="AL55" s="248"/>
      <c r="AM55" s="248"/>
      <c r="AN55" s="248"/>
      <c r="AO55" s="248"/>
      <c r="AP55" s="248"/>
      <c r="AQ55" s="248"/>
      <c r="AR55" s="248"/>
      <c r="AS55" s="248"/>
      <c r="AT55" s="248"/>
      <c r="AU55" s="248"/>
      <c r="AV55" s="248"/>
      <c r="AW55" s="248"/>
      <c r="AX55" s="248"/>
      <c r="AY55" s="248"/>
      <c r="AZ55" s="248"/>
      <c r="BA55" s="248"/>
      <c r="BB55" s="248"/>
      <c r="BC55" s="248"/>
      <c r="BD55" s="248"/>
      <c r="BE55" s="248"/>
      <c r="BF55" s="248"/>
      <c r="BG55" s="248"/>
      <c r="BH55" s="248"/>
      <c r="BI55" s="248"/>
      <c r="BJ55" s="248"/>
      <c r="BK55" s="249"/>
    </row>
  </sheetData>
  <mergeCells count="180">
    <mergeCell ref="K1:V1"/>
    <mergeCell ref="W1:AO3"/>
    <mergeCell ref="AP1:AS1"/>
    <mergeCell ref="AT1:AX1"/>
    <mergeCell ref="AY1:BB1"/>
    <mergeCell ref="BC1:BG1"/>
    <mergeCell ref="BH1:BK1"/>
    <mergeCell ref="A2:J3"/>
    <mergeCell ref="K2:V3"/>
    <mergeCell ref="AP2:AS3"/>
    <mergeCell ref="AT2:AX3"/>
    <mergeCell ref="AY2:BB3"/>
    <mergeCell ref="BC2:BG3"/>
    <mergeCell ref="BH2:BK3"/>
    <mergeCell ref="A1:J1"/>
    <mergeCell ref="A4:G4"/>
    <mergeCell ref="H4:T4"/>
    <mergeCell ref="U4:Y4"/>
    <mergeCell ref="Z4:AO4"/>
    <mergeCell ref="AP4:BK4"/>
    <mergeCell ref="B10:G10"/>
    <mergeCell ref="H10:N10"/>
    <mergeCell ref="O10:R10"/>
    <mergeCell ref="S10:AW10"/>
    <mergeCell ref="AX10:BC10"/>
    <mergeCell ref="BD10:BJ10"/>
    <mergeCell ref="B11:G12"/>
    <mergeCell ref="H11:N12"/>
    <mergeCell ref="O11:R12"/>
    <mergeCell ref="S11:AW11"/>
    <mergeCell ref="AX11:BC12"/>
    <mergeCell ref="BD11:BJ12"/>
    <mergeCell ref="S12:AW12"/>
    <mergeCell ref="B13:G14"/>
    <mergeCell ref="H13:N14"/>
    <mergeCell ref="O13:R14"/>
    <mergeCell ref="S13:AW13"/>
    <mergeCell ref="AX13:BC14"/>
    <mergeCell ref="BD13:BJ14"/>
    <mergeCell ref="S14:AW14"/>
    <mergeCell ref="AX15:BC16"/>
    <mergeCell ref="BD15:BJ16"/>
    <mergeCell ref="S16:AW16"/>
    <mergeCell ref="B17:G18"/>
    <mergeCell ref="H17:N18"/>
    <mergeCell ref="O17:R18"/>
    <mergeCell ref="S17:AW17"/>
    <mergeCell ref="B15:G16"/>
    <mergeCell ref="H15:N16"/>
    <mergeCell ref="O15:R16"/>
    <mergeCell ref="S15:AW15"/>
    <mergeCell ref="S22:AW22"/>
    <mergeCell ref="AX17:BC18"/>
    <mergeCell ref="BD17:BJ18"/>
    <mergeCell ref="S18:AW18"/>
    <mergeCell ref="B23:G24"/>
    <mergeCell ref="H23:N24"/>
    <mergeCell ref="O23:R24"/>
    <mergeCell ref="S23:AW23"/>
    <mergeCell ref="AX23:BC24"/>
    <mergeCell ref="BD23:BJ24"/>
    <mergeCell ref="S24:AW24"/>
    <mergeCell ref="B21:G22"/>
    <mergeCell ref="H21:N22"/>
    <mergeCell ref="O21:R22"/>
    <mergeCell ref="S21:AW21"/>
    <mergeCell ref="B19:G20"/>
    <mergeCell ref="H19:N20"/>
    <mergeCell ref="O19:R20"/>
    <mergeCell ref="S19:AW19"/>
    <mergeCell ref="AX19:BC20"/>
    <mergeCell ref="BD19:BJ20"/>
    <mergeCell ref="S20:AW20"/>
    <mergeCell ref="AX21:BC22"/>
    <mergeCell ref="BD21:BJ22"/>
    <mergeCell ref="B25:G26"/>
    <mergeCell ref="H25:N26"/>
    <mergeCell ref="O25:R26"/>
    <mergeCell ref="S25:AW25"/>
    <mergeCell ref="AX25:BC26"/>
    <mergeCell ref="BD25:BJ26"/>
    <mergeCell ref="S26:AW26"/>
    <mergeCell ref="B27:G28"/>
    <mergeCell ref="H27:N28"/>
    <mergeCell ref="O27:R28"/>
    <mergeCell ref="S27:AW27"/>
    <mergeCell ref="AX27:BC28"/>
    <mergeCell ref="BD27:BJ28"/>
    <mergeCell ref="S28:AW28"/>
    <mergeCell ref="B29:G30"/>
    <mergeCell ref="H29:N30"/>
    <mergeCell ref="O29:R30"/>
    <mergeCell ref="S29:AW29"/>
    <mergeCell ref="AX29:BC30"/>
    <mergeCell ref="BD29:BJ30"/>
    <mergeCell ref="S30:AW30"/>
    <mergeCell ref="B31:G32"/>
    <mergeCell ref="H31:N32"/>
    <mergeCell ref="O31:R32"/>
    <mergeCell ref="S31:AW31"/>
    <mergeCell ref="AX31:BC32"/>
    <mergeCell ref="BD31:BJ32"/>
    <mergeCell ref="S32:AW32"/>
    <mergeCell ref="B33:G34"/>
    <mergeCell ref="H33:N34"/>
    <mergeCell ref="O33:R34"/>
    <mergeCell ref="S33:AW33"/>
    <mergeCell ref="AX33:BC34"/>
    <mergeCell ref="BD33:BJ34"/>
    <mergeCell ref="S34:AW34"/>
    <mergeCell ref="B35:G36"/>
    <mergeCell ref="H35:N36"/>
    <mergeCell ref="O35:R36"/>
    <mergeCell ref="S35:AW35"/>
    <mergeCell ref="AX35:BC36"/>
    <mergeCell ref="BD35:BJ36"/>
    <mergeCell ref="S36:AW36"/>
    <mergeCell ref="B37:G38"/>
    <mergeCell ref="H37:N38"/>
    <mergeCell ref="O37:R38"/>
    <mergeCell ref="S37:AW37"/>
    <mergeCell ref="AX37:BC38"/>
    <mergeCell ref="BD37:BJ38"/>
    <mergeCell ref="S38:AW38"/>
    <mergeCell ref="B39:G40"/>
    <mergeCell ref="H39:N40"/>
    <mergeCell ref="O39:R40"/>
    <mergeCell ref="S39:AW39"/>
    <mergeCell ref="AX39:BC40"/>
    <mergeCell ref="BD39:BJ40"/>
    <mergeCell ref="S40:AW40"/>
    <mergeCell ref="B41:G42"/>
    <mergeCell ref="H41:N42"/>
    <mergeCell ref="O41:R42"/>
    <mergeCell ref="S41:AW41"/>
    <mergeCell ref="AX41:BC42"/>
    <mergeCell ref="BD41:BJ42"/>
    <mergeCell ref="S42:AW42"/>
    <mergeCell ref="B43:G44"/>
    <mergeCell ref="H43:N44"/>
    <mergeCell ref="O43:R44"/>
    <mergeCell ref="S43:AW43"/>
    <mergeCell ref="AX43:BC44"/>
    <mergeCell ref="BD43:BJ44"/>
    <mergeCell ref="S44:AW44"/>
    <mergeCell ref="B45:G46"/>
    <mergeCell ref="H45:N46"/>
    <mergeCell ref="O45:R46"/>
    <mergeCell ref="S45:AW45"/>
    <mergeCell ref="AX45:BC46"/>
    <mergeCell ref="BD45:BJ46"/>
    <mergeCell ref="S46:AW46"/>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49:G50"/>
    <mergeCell ref="H49:N50"/>
    <mergeCell ref="O49:R50"/>
    <mergeCell ref="S49:AW49"/>
    <mergeCell ref="AX49:BC50"/>
    <mergeCell ref="BD49:BJ50"/>
    <mergeCell ref="S50:AW50"/>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48" orientation="landscape"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style="272" customWidth="1"/>
    <col min="64" max="16384" width="8.88671875" style="272"/>
  </cols>
  <sheetData>
    <row r="1" spans="1:63" ht="24.95" customHeight="1" x14ac:dyDescent="0.25">
      <c r="A1" s="47" t="s">
        <v>0</v>
      </c>
      <c r="B1" s="48"/>
      <c r="C1" s="48"/>
      <c r="D1" s="48"/>
      <c r="E1" s="48"/>
      <c r="F1" s="48"/>
      <c r="G1" s="48"/>
      <c r="H1" s="48"/>
      <c r="I1" s="48"/>
      <c r="J1" s="49"/>
      <c r="K1" s="47" t="s">
        <v>2</v>
      </c>
      <c r="L1" s="48"/>
      <c r="M1" s="48"/>
      <c r="N1" s="48"/>
      <c r="O1" s="48"/>
      <c r="P1" s="48"/>
      <c r="Q1" s="48"/>
      <c r="R1" s="48"/>
      <c r="S1" s="48"/>
      <c r="T1" s="48"/>
      <c r="U1" s="48"/>
      <c r="V1" s="49"/>
      <c r="W1" s="68" t="str">
        <f>IF(表紙!W1="","",表紙!W1)</f>
        <v>基本設計書</v>
      </c>
      <c r="X1" s="69"/>
      <c r="Y1" s="69"/>
      <c r="Z1" s="69"/>
      <c r="AA1" s="69"/>
      <c r="AB1" s="69"/>
      <c r="AC1" s="69"/>
      <c r="AD1" s="69"/>
      <c r="AE1" s="69"/>
      <c r="AF1" s="69"/>
      <c r="AG1" s="69"/>
      <c r="AH1" s="69"/>
      <c r="AI1" s="69"/>
      <c r="AJ1" s="69"/>
      <c r="AK1" s="69"/>
      <c r="AL1" s="69"/>
      <c r="AM1" s="69"/>
      <c r="AN1" s="69"/>
      <c r="AO1" s="70"/>
      <c r="AP1" s="47" t="s">
        <v>3</v>
      </c>
      <c r="AQ1" s="48"/>
      <c r="AR1" s="48"/>
      <c r="AS1" s="49"/>
      <c r="AT1" s="47" t="s">
        <v>4</v>
      </c>
      <c r="AU1" s="48"/>
      <c r="AV1" s="48"/>
      <c r="AW1" s="48"/>
      <c r="AX1" s="49"/>
      <c r="AY1" s="47" t="s">
        <v>5</v>
      </c>
      <c r="AZ1" s="48"/>
      <c r="BA1" s="48"/>
      <c r="BB1" s="49"/>
      <c r="BC1" s="47" t="s">
        <v>6</v>
      </c>
      <c r="BD1" s="48"/>
      <c r="BE1" s="48"/>
      <c r="BF1" s="48"/>
      <c r="BG1" s="49"/>
      <c r="BH1" s="47" t="s">
        <v>7</v>
      </c>
      <c r="BI1" s="48"/>
      <c r="BJ1" s="48"/>
      <c r="BK1" s="49"/>
    </row>
    <row r="2" spans="1:63" ht="15" customHeight="1" x14ac:dyDescent="0.25">
      <c r="A2" s="273" t="str">
        <f>IF(表紙!A2="","",表紙!A2)</f>
        <v>POSサーバー</v>
      </c>
      <c r="B2" s="274"/>
      <c r="C2" s="274"/>
      <c r="D2" s="274"/>
      <c r="E2" s="274"/>
      <c r="F2" s="274"/>
      <c r="G2" s="274"/>
      <c r="H2" s="274"/>
      <c r="I2" s="274"/>
      <c r="J2" s="275"/>
      <c r="K2" s="273" t="str">
        <f>IF(表紙!K2="","",表紙!K2)</f>
        <v>POSサーバ</v>
      </c>
      <c r="L2" s="274"/>
      <c r="M2" s="274"/>
      <c r="N2" s="274"/>
      <c r="O2" s="274"/>
      <c r="P2" s="274"/>
      <c r="Q2" s="274"/>
      <c r="R2" s="274"/>
      <c r="S2" s="274"/>
      <c r="T2" s="274"/>
      <c r="U2" s="274"/>
      <c r="V2" s="275"/>
      <c r="W2" s="71"/>
      <c r="X2" s="72"/>
      <c r="Y2" s="72"/>
      <c r="Z2" s="72"/>
      <c r="AA2" s="72"/>
      <c r="AB2" s="72"/>
      <c r="AC2" s="72"/>
      <c r="AD2" s="72"/>
      <c r="AE2" s="72"/>
      <c r="AF2" s="72"/>
      <c r="AG2" s="72"/>
      <c r="AH2" s="72"/>
      <c r="AI2" s="72"/>
      <c r="AJ2" s="72"/>
      <c r="AK2" s="72"/>
      <c r="AL2" s="72"/>
      <c r="AM2" s="72"/>
      <c r="AN2" s="72"/>
      <c r="AO2" s="73"/>
      <c r="AP2" s="273" t="str">
        <f>IF(表紙!AP2="","",表紙!AP2)</f>
        <v>TinNH</v>
      </c>
      <c r="AQ2" s="274"/>
      <c r="AR2" s="274"/>
      <c r="AS2" s="275"/>
      <c r="AT2" s="276">
        <v>45084</v>
      </c>
      <c r="AU2" s="277"/>
      <c r="AV2" s="277"/>
      <c r="AW2" s="277"/>
      <c r="AX2" s="278"/>
      <c r="AY2" s="273" t="str">
        <f>IF(表紙!AY2="","",表紙!AY2)</f>
        <v>DuNT</v>
      </c>
      <c r="AZ2" s="274"/>
      <c r="BA2" s="274"/>
      <c r="BB2" s="275"/>
      <c r="BC2" s="276">
        <f>IF(表紙!BC2="","",表紙!BC2)</f>
        <v>45545</v>
      </c>
      <c r="BD2" s="277"/>
      <c r="BE2" s="277"/>
      <c r="BF2" s="277"/>
      <c r="BG2" s="278"/>
      <c r="BH2" s="273">
        <f>IF(表紙!BH2="","",表紙!BH2)</f>
        <v>0.4</v>
      </c>
      <c r="BI2" s="274"/>
      <c r="BJ2" s="274"/>
      <c r="BK2" s="275"/>
    </row>
    <row r="3" spans="1:63" ht="15" customHeight="1" x14ac:dyDescent="0.25">
      <c r="A3" s="279"/>
      <c r="B3" s="280"/>
      <c r="C3" s="280"/>
      <c r="D3" s="280"/>
      <c r="E3" s="280"/>
      <c r="F3" s="280"/>
      <c r="G3" s="280"/>
      <c r="H3" s="280"/>
      <c r="I3" s="280"/>
      <c r="J3" s="281"/>
      <c r="K3" s="279"/>
      <c r="L3" s="280"/>
      <c r="M3" s="280"/>
      <c r="N3" s="280"/>
      <c r="O3" s="280"/>
      <c r="P3" s="280"/>
      <c r="Q3" s="280"/>
      <c r="R3" s="280"/>
      <c r="S3" s="280"/>
      <c r="T3" s="280"/>
      <c r="U3" s="280"/>
      <c r="V3" s="281"/>
      <c r="W3" s="74"/>
      <c r="X3" s="75"/>
      <c r="Y3" s="75"/>
      <c r="Z3" s="75"/>
      <c r="AA3" s="75"/>
      <c r="AB3" s="75"/>
      <c r="AC3" s="75"/>
      <c r="AD3" s="75"/>
      <c r="AE3" s="75"/>
      <c r="AF3" s="75"/>
      <c r="AG3" s="75"/>
      <c r="AH3" s="75"/>
      <c r="AI3" s="75"/>
      <c r="AJ3" s="75"/>
      <c r="AK3" s="75"/>
      <c r="AL3" s="75"/>
      <c r="AM3" s="75"/>
      <c r="AN3" s="75"/>
      <c r="AO3" s="76"/>
      <c r="AP3" s="279"/>
      <c r="AQ3" s="280"/>
      <c r="AR3" s="280"/>
      <c r="AS3" s="281"/>
      <c r="AT3" s="282"/>
      <c r="AU3" s="283"/>
      <c r="AV3" s="283"/>
      <c r="AW3" s="283"/>
      <c r="AX3" s="284"/>
      <c r="AY3" s="279"/>
      <c r="AZ3" s="280"/>
      <c r="BA3" s="280"/>
      <c r="BB3" s="281"/>
      <c r="BC3" s="282"/>
      <c r="BD3" s="283"/>
      <c r="BE3" s="283"/>
      <c r="BF3" s="283"/>
      <c r="BG3" s="284"/>
      <c r="BH3" s="279"/>
      <c r="BI3" s="280"/>
      <c r="BJ3" s="280"/>
      <c r="BK3" s="281"/>
    </row>
    <row r="4" spans="1:63" ht="24.95" customHeight="1" x14ac:dyDescent="0.25">
      <c r="A4" s="47" t="s">
        <v>56</v>
      </c>
      <c r="B4" s="48"/>
      <c r="C4" s="48"/>
      <c r="D4" s="48"/>
      <c r="E4" s="48"/>
      <c r="F4" s="48"/>
      <c r="G4" s="49"/>
      <c r="H4" s="285" t="str">
        <f>IF(表紙!H4="","",表紙!H4)</f>
        <v>62_画像アップロード</v>
      </c>
      <c r="I4" s="286"/>
      <c r="J4" s="286"/>
      <c r="K4" s="286"/>
      <c r="L4" s="286"/>
      <c r="M4" s="286"/>
      <c r="N4" s="286"/>
      <c r="O4" s="286"/>
      <c r="P4" s="286"/>
      <c r="Q4" s="286"/>
      <c r="R4" s="286"/>
      <c r="S4" s="286"/>
      <c r="T4" s="287"/>
      <c r="U4" s="47" t="s">
        <v>8</v>
      </c>
      <c r="V4" s="48"/>
      <c r="W4" s="48"/>
      <c r="X4" s="48"/>
      <c r="Y4" s="49"/>
      <c r="Z4" s="285" t="str">
        <f>IF(表紙!Z4="","",表紙!Z4)</f>
        <v>概要設計</v>
      </c>
      <c r="AA4" s="286"/>
      <c r="AB4" s="286"/>
      <c r="AC4" s="286"/>
      <c r="AD4" s="286"/>
      <c r="AE4" s="286"/>
      <c r="AF4" s="286"/>
      <c r="AG4" s="286"/>
      <c r="AH4" s="286"/>
      <c r="AI4" s="286"/>
      <c r="AJ4" s="286"/>
      <c r="AK4" s="286"/>
      <c r="AL4" s="286"/>
      <c r="AM4" s="286"/>
      <c r="AN4" s="286"/>
      <c r="AO4" s="287"/>
      <c r="AP4" s="285" t="str">
        <f t="array" aca="1" ref="AP4" ca="1">RIGHT(CELL("filename",$A$1),LEN(CELL("filename",$A$1))-FIND("]",CELL("filename",$A$1)))</f>
        <v>業務フロー</v>
      </c>
      <c r="AQ4" s="286"/>
      <c r="AR4" s="286"/>
      <c r="AS4" s="286"/>
      <c r="AT4" s="286"/>
      <c r="AU4" s="286"/>
      <c r="AV4" s="286"/>
      <c r="AW4" s="286"/>
      <c r="AX4" s="286"/>
      <c r="AY4" s="286"/>
      <c r="AZ4" s="286"/>
      <c r="BA4" s="286"/>
      <c r="BB4" s="286"/>
      <c r="BC4" s="286"/>
      <c r="BD4" s="286"/>
      <c r="BE4" s="286"/>
      <c r="BF4" s="286"/>
      <c r="BG4" s="286"/>
      <c r="BH4" s="286"/>
      <c r="BI4" s="286"/>
      <c r="BJ4" s="286"/>
      <c r="BK4" s="287"/>
    </row>
    <row r="5" spans="1:63" ht="5.0999999999999996" customHeight="1" x14ac:dyDescent="0.25">
      <c r="A5" s="288"/>
      <c r="B5" s="289"/>
      <c r="C5" s="289"/>
      <c r="D5" s="289"/>
      <c r="E5" s="289"/>
      <c r="F5" s="289"/>
      <c r="G5" s="289"/>
      <c r="H5" s="289"/>
      <c r="I5" s="289"/>
      <c r="J5" s="289"/>
      <c r="K5" s="289"/>
      <c r="L5" s="289"/>
      <c r="M5" s="289"/>
      <c r="N5" s="289"/>
      <c r="O5" s="289"/>
      <c r="P5" s="289"/>
      <c r="Q5" s="289"/>
      <c r="R5" s="289"/>
      <c r="S5" s="289"/>
      <c r="T5" s="289"/>
      <c r="U5" s="289"/>
      <c r="V5" s="289"/>
      <c r="W5" s="289"/>
      <c r="X5" s="289"/>
      <c r="Y5" s="289"/>
      <c r="Z5" s="289"/>
      <c r="AA5" s="289"/>
      <c r="AB5" s="289"/>
      <c r="AC5" s="289"/>
      <c r="AD5" s="289"/>
      <c r="AE5" s="289"/>
      <c r="AF5" s="289"/>
      <c r="AG5" s="289"/>
      <c r="AH5" s="289"/>
      <c r="AI5" s="289"/>
      <c r="AJ5" s="289"/>
      <c r="AK5" s="289"/>
      <c r="AL5" s="289"/>
      <c r="AM5" s="289"/>
      <c r="AN5" s="289"/>
      <c r="AO5" s="289"/>
      <c r="AP5" s="289"/>
      <c r="AQ5" s="289"/>
      <c r="AR5" s="289"/>
      <c r="AS5" s="289"/>
      <c r="AT5" s="289"/>
      <c r="AU5" s="289"/>
      <c r="AV5" s="289"/>
      <c r="AW5" s="289"/>
      <c r="AX5" s="289"/>
      <c r="AY5" s="289"/>
      <c r="AZ5" s="289"/>
      <c r="BA5" s="289"/>
      <c r="BB5" s="289"/>
      <c r="BC5" s="289"/>
      <c r="BD5" s="289"/>
      <c r="BE5" s="289"/>
      <c r="BF5" s="289"/>
      <c r="BG5" s="289"/>
      <c r="BH5" s="289"/>
      <c r="BI5" s="289"/>
      <c r="BJ5" s="289"/>
      <c r="BK5" s="290"/>
    </row>
    <row r="6" spans="1:63" ht="15" customHeight="1" x14ac:dyDescent="0.25">
      <c r="A6" s="291"/>
      <c r="B6" s="292"/>
      <c r="C6" s="293"/>
      <c r="D6" s="293"/>
      <c r="E6" s="293"/>
      <c r="F6" s="293"/>
      <c r="G6" s="293"/>
      <c r="H6" s="293"/>
      <c r="I6" s="293"/>
      <c r="J6" s="293"/>
      <c r="K6" s="293"/>
      <c r="L6" s="293"/>
      <c r="M6" s="293"/>
      <c r="N6" s="293"/>
      <c r="O6" s="293"/>
      <c r="P6" s="293"/>
      <c r="Q6" s="293"/>
      <c r="R6" s="293"/>
      <c r="S6" s="293"/>
      <c r="T6" s="293"/>
      <c r="U6" s="293"/>
      <c r="V6" s="293"/>
      <c r="W6" s="293"/>
      <c r="X6" s="293"/>
      <c r="Y6" s="293"/>
      <c r="Z6" s="293"/>
      <c r="AA6" s="293"/>
      <c r="AB6" s="293"/>
      <c r="AC6" s="293"/>
      <c r="AD6" s="293"/>
      <c r="AE6" s="294"/>
      <c r="AF6" s="292"/>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4"/>
      <c r="BJ6" s="293"/>
      <c r="BK6" s="295"/>
    </row>
    <row r="7" spans="1:63" ht="15" customHeight="1" x14ac:dyDescent="0.25">
      <c r="A7" s="291"/>
      <c r="B7" s="31" t="s">
        <v>16</v>
      </c>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2"/>
      <c r="AF7" s="31"/>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2"/>
      <c r="BJ7" s="30"/>
      <c r="BK7" s="295"/>
    </row>
    <row r="8" spans="1:63" ht="15" customHeight="1" x14ac:dyDescent="0.25">
      <c r="A8" s="291"/>
      <c r="B8" s="292"/>
      <c r="C8" s="293"/>
      <c r="D8" s="293"/>
      <c r="E8" s="293"/>
      <c r="F8" s="293"/>
      <c r="G8" s="293"/>
      <c r="H8" s="293"/>
      <c r="I8" s="293"/>
      <c r="J8" s="293"/>
      <c r="K8" s="293"/>
      <c r="L8" s="293"/>
      <c r="M8" s="293"/>
      <c r="N8" s="293"/>
      <c r="O8" s="293"/>
      <c r="P8" s="293"/>
      <c r="Q8" s="293"/>
      <c r="R8" s="293"/>
      <c r="S8" s="293"/>
      <c r="T8" s="293"/>
      <c r="U8" s="293"/>
      <c r="V8" s="293"/>
      <c r="W8" s="293"/>
      <c r="X8" s="293"/>
      <c r="Y8" s="293"/>
      <c r="Z8" s="293"/>
      <c r="AA8" s="293"/>
      <c r="AB8" s="293"/>
      <c r="AC8" s="293"/>
      <c r="AD8" s="293"/>
      <c r="AE8" s="294"/>
      <c r="AF8" s="292"/>
      <c r="AG8" s="293"/>
      <c r="AH8" s="293"/>
      <c r="AI8" s="293"/>
      <c r="AJ8" s="293"/>
      <c r="AK8" s="293"/>
      <c r="AL8" s="293"/>
      <c r="AM8" s="293"/>
      <c r="AN8" s="293"/>
      <c r="AO8" s="293"/>
      <c r="AP8" s="293"/>
      <c r="AQ8" s="293"/>
      <c r="AR8" s="293"/>
      <c r="AS8" s="293"/>
      <c r="AT8" s="293"/>
      <c r="AU8" s="293"/>
      <c r="AV8" s="293"/>
      <c r="AW8" s="293"/>
      <c r="AX8" s="293"/>
      <c r="AY8" s="293"/>
      <c r="AZ8" s="293"/>
      <c r="BA8" s="293"/>
      <c r="BB8" s="293"/>
      <c r="BC8" s="293"/>
      <c r="BD8" s="293"/>
      <c r="BE8" s="293"/>
      <c r="BF8" s="293"/>
      <c r="BG8" s="293"/>
      <c r="BH8" s="293"/>
      <c r="BI8" s="294"/>
      <c r="BJ8" s="293"/>
      <c r="BK8" s="295"/>
    </row>
    <row r="9" spans="1:63" ht="15" customHeight="1" x14ac:dyDescent="0.25">
      <c r="A9" s="291"/>
      <c r="B9" s="292"/>
      <c r="C9" s="293"/>
      <c r="D9" s="293"/>
      <c r="E9" s="293"/>
      <c r="F9" s="293"/>
      <c r="G9" s="293"/>
      <c r="H9" s="293"/>
      <c r="I9" s="293"/>
      <c r="J9" s="293"/>
      <c r="K9" s="293"/>
      <c r="L9" s="293"/>
      <c r="M9" s="293"/>
      <c r="N9" s="293"/>
      <c r="O9" s="293"/>
      <c r="P9" s="293"/>
      <c r="Q9" s="293"/>
      <c r="R9" s="293"/>
      <c r="S9" s="293"/>
      <c r="T9" s="293"/>
      <c r="U9" s="293"/>
      <c r="V9" s="293"/>
      <c r="W9" s="293"/>
      <c r="X9" s="293"/>
      <c r="Y9" s="293"/>
      <c r="Z9" s="293"/>
      <c r="AA9" s="293"/>
      <c r="AB9" s="293"/>
      <c r="AC9" s="293"/>
      <c r="AD9" s="293"/>
      <c r="AE9" s="294"/>
      <c r="AF9" s="292"/>
      <c r="AG9" s="293"/>
      <c r="AH9" s="293"/>
      <c r="AI9" s="293"/>
      <c r="AJ9" s="293"/>
      <c r="AK9" s="293"/>
      <c r="AL9" s="293"/>
      <c r="AM9" s="293"/>
      <c r="AN9" s="293"/>
      <c r="AO9" s="293"/>
      <c r="AP9" s="293"/>
      <c r="AQ9" s="293"/>
      <c r="AR9" s="293"/>
      <c r="AS9" s="293"/>
      <c r="AT9" s="293"/>
      <c r="AU9" s="293"/>
      <c r="AV9" s="293"/>
      <c r="AW9" s="293"/>
      <c r="AX9" s="293"/>
      <c r="AY9" s="293"/>
      <c r="AZ9" s="293"/>
      <c r="BA9" s="293"/>
      <c r="BB9" s="293"/>
      <c r="BC9" s="293"/>
      <c r="BD9" s="293"/>
      <c r="BE9" s="293"/>
      <c r="BF9" s="293"/>
      <c r="BG9" s="293"/>
      <c r="BH9" s="293"/>
      <c r="BI9" s="294"/>
      <c r="BJ9" s="293"/>
      <c r="BK9" s="295"/>
    </row>
    <row r="10" spans="1:63" ht="15" customHeight="1" x14ac:dyDescent="0.25">
      <c r="A10" s="291"/>
      <c r="B10" s="292"/>
      <c r="C10" s="293"/>
      <c r="D10" s="293"/>
      <c r="E10" s="293"/>
      <c r="F10" s="293"/>
      <c r="G10" s="293"/>
      <c r="H10" s="293"/>
      <c r="I10" s="293"/>
      <c r="J10" s="293"/>
      <c r="K10" s="293"/>
      <c r="L10" s="293"/>
      <c r="M10" s="293"/>
      <c r="N10" s="293"/>
      <c r="O10" s="293"/>
      <c r="P10" s="293"/>
      <c r="Q10" s="293"/>
      <c r="R10" s="293"/>
      <c r="S10" s="293"/>
      <c r="T10" s="293"/>
      <c r="U10" s="293"/>
      <c r="V10" s="293"/>
      <c r="W10" s="293"/>
      <c r="X10" s="293"/>
      <c r="Y10" s="293"/>
      <c r="Z10" s="293"/>
      <c r="AA10" s="293"/>
      <c r="AB10" s="293"/>
      <c r="AC10" s="293"/>
      <c r="AD10" s="293"/>
      <c r="AE10" s="294"/>
      <c r="AF10" s="292"/>
      <c r="AG10" s="293"/>
      <c r="AH10" s="293"/>
      <c r="AI10" s="293"/>
      <c r="AJ10" s="293"/>
      <c r="AK10" s="293"/>
      <c r="AL10" s="293"/>
      <c r="AM10" s="293"/>
      <c r="AN10" s="293"/>
      <c r="AO10" s="293"/>
      <c r="AP10" s="293"/>
      <c r="AQ10" s="293"/>
      <c r="AR10" s="293"/>
      <c r="AS10" s="293"/>
      <c r="AT10" s="293"/>
      <c r="AU10" s="293"/>
      <c r="AV10" s="293"/>
      <c r="AW10" s="293"/>
      <c r="AX10" s="293"/>
      <c r="AY10" s="293"/>
      <c r="AZ10" s="293"/>
      <c r="BA10" s="293"/>
      <c r="BB10" s="293"/>
      <c r="BC10" s="293"/>
      <c r="BD10" s="293"/>
      <c r="BE10" s="293"/>
      <c r="BF10" s="293"/>
      <c r="BG10" s="293"/>
      <c r="BH10" s="293"/>
      <c r="BI10" s="294"/>
      <c r="BJ10" s="293"/>
      <c r="BK10" s="295"/>
    </row>
    <row r="11" spans="1:63" ht="15" customHeight="1" x14ac:dyDescent="0.25">
      <c r="A11" s="291"/>
      <c r="B11" s="292"/>
      <c r="C11" s="293"/>
      <c r="D11" s="293"/>
      <c r="E11" s="293"/>
      <c r="F11" s="293"/>
      <c r="G11" s="293"/>
      <c r="H11" s="293"/>
      <c r="I11" s="293"/>
      <c r="J11" s="293"/>
      <c r="K11" s="293"/>
      <c r="L11" s="293"/>
      <c r="M11" s="293"/>
      <c r="N11" s="293"/>
      <c r="O11" s="293"/>
      <c r="P11" s="293"/>
      <c r="Q11" s="293"/>
      <c r="R11" s="293"/>
      <c r="S11" s="293"/>
      <c r="T11" s="293"/>
      <c r="U11" s="293"/>
      <c r="V11" s="293"/>
      <c r="W11" s="293"/>
      <c r="X11" s="293"/>
      <c r="Y11" s="293"/>
      <c r="Z11" s="293"/>
      <c r="AA11" s="293"/>
      <c r="AB11" s="293"/>
      <c r="AC11" s="293"/>
      <c r="AD11" s="293"/>
      <c r="AE11" s="294"/>
      <c r="AF11" s="292"/>
      <c r="AG11" s="293"/>
      <c r="AH11" s="293"/>
      <c r="AI11" s="293"/>
      <c r="AJ11" s="293"/>
      <c r="AK11" s="293"/>
      <c r="AL11" s="293"/>
      <c r="AM11" s="293"/>
      <c r="AN11" s="293"/>
      <c r="AO11" s="293"/>
      <c r="AP11" s="293"/>
      <c r="AQ11" s="293"/>
      <c r="AR11" s="293"/>
      <c r="AS11" s="293"/>
      <c r="AT11" s="293"/>
      <c r="AU11" s="293"/>
      <c r="AV11" s="293"/>
      <c r="AW11" s="293"/>
      <c r="AX11" s="293"/>
      <c r="AY11" s="293"/>
      <c r="AZ11" s="293"/>
      <c r="BA11" s="293"/>
      <c r="BB11" s="293"/>
      <c r="BC11" s="293"/>
      <c r="BD11" s="293"/>
      <c r="BE11" s="293"/>
      <c r="BF11" s="293"/>
      <c r="BG11" s="293"/>
      <c r="BH11" s="293"/>
      <c r="BI11" s="294"/>
      <c r="BJ11" s="293"/>
      <c r="BK11" s="295"/>
    </row>
    <row r="12" spans="1:63" ht="15" customHeight="1" x14ac:dyDescent="0.25">
      <c r="A12" s="291"/>
      <c r="B12" s="292"/>
      <c r="C12" s="293"/>
      <c r="D12" s="293"/>
      <c r="E12" s="293"/>
      <c r="F12" s="293"/>
      <c r="G12" s="293"/>
      <c r="H12" s="293"/>
      <c r="I12" s="293"/>
      <c r="J12" s="293"/>
      <c r="K12" s="293"/>
      <c r="L12" s="293"/>
      <c r="M12" s="293"/>
      <c r="N12" s="293"/>
      <c r="O12" s="293"/>
      <c r="P12" s="293"/>
      <c r="Q12" s="293"/>
      <c r="R12" s="293"/>
      <c r="S12" s="293"/>
      <c r="T12" s="293"/>
      <c r="U12" s="293"/>
      <c r="V12" s="293"/>
      <c r="W12" s="293"/>
      <c r="X12" s="293"/>
      <c r="Y12" s="293"/>
      <c r="Z12" s="293"/>
      <c r="AA12" s="293"/>
      <c r="AB12" s="293"/>
      <c r="AC12" s="293"/>
      <c r="AD12" s="293"/>
      <c r="AE12" s="294"/>
      <c r="AF12" s="292"/>
      <c r="AG12" s="293"/>
      <c r="AH12" s="293"/>
      <c r="AI12" s="293"/>
      <c r="AJ12" s="293"/>
      <c r="AK12" s="293"/>
      <c r="AL12" s="293"/>
      <c r="AM12" s="293"/>
      <c r="AN12" s="293"/>
      <c r="AO12" s="293"/>
      <c r="AP12" s="293"/>
      <c r="AQ12" s="293"/>
      <c r="AR12" s="293"/>
      <c r="AS12" s="293"/>
      <c r="AT12" s="293"/>
      <c r="AU12" s="293"/>
      <c r="AV12" s="293"/>
      <c r="AW12" s="293"/>
      <c r="AX12" s="293"/>
      <c r="AY12" s="293"/>
      <c r="AZ12" s="293"/>
      <c r="BA12" s="293"/>
      <c r="BB12" s="293"/>
      <c r="BC12" s="293"/>
      <c r="BD12" s="293"/>
      <c r="BE12" s="293"/>
      <c r="BF12" s="293"/>
      <c r="BG12" s="293"/>
      <c r="BH12" s="293"/>
      <c r="BI12" s="294"/>
      <c r="BJ12" s="293"/>
      <c r="BK12" s="295"/>
    </row>
    <row r="13" spans="1:63" ht="15" customHeight="1" x14ac:dyDescent="0.25">
      <c r="A13" s="291"/>
      <c r="B13" s="292"/>
      <c r="C13" s="293"/>
      <c r="D13" s="293"/>
      <c r="E13" s="293"/>
      <c r="F13" s="293"/>
      <c r="G13" s="293"/>
      <c r="H13" s="293"/>
      <c r="I13" s="293"/>
      <c r="J13" s="293"/>
      <c r="K13" s="293"/>
      <c r="L13" s="293"/>
      <c r="M13" s="293"/>
      <c r="N13" s="293"/>
      <c r="O13" s="293"/>
      <c r="P13" s="293"/>
      <c r="Q13" s="293"/>
      <c r="R13" s="293"/>
      <c r="S13" s="293"/>
      <c r="T13" s="293"/>
      <c r="U13" s="293"/>
      <c r="V13" s="293"/>
      <c r="W13" s="293"/>
      <c r="X13" s="293"/>
      <c r="Y13" s="293"/>
      <c r="Z13" s="293"/>
      <c r="AA13" s="293"/>
      <c r="AB13" s="293"/>
      <c r="AC13" s="293"/>
      <c r="AD13" s="293"/>
      <c r="AE13" s="294"/>
      <c r="AF13" s="292"/>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3"/>
      <c r="BD13" s="293"/>
      <c r="BE13" s="293"/>
      <c r="BF13" s="293"/>
      <c r="BG13" s="293"/>
      <c r="BH13" s="293"/>
      <c r="BI13" s="294"/>
      <c r="BJ13" s="293"/>
      <c r="BK13" s="295"/>
    </row>
    <row r="14" spans="1:63" ht="15" customHeight="1" x14ac:dyDescent="0.25">
      <c r="A14" s="291"/>
      <c r="B14" s="292"/>
      <c r="C14" s="293"/>
      <c r="D14" s="293"/>
      <c r="E14" s="293"/>
      <c r="F14" s="293"/>
      <c r="G14" s="293"/>
      <c r="H14" s="293"/>
      <c r="I14" s="293"/>
      <c r="J14" s="293"/>
      <c r="K14" s="293"/>
      <c r="L14" s="293"/>
      <c r="M14" s="293"/>
      <c r="N14" s="293"/>
      <c r="O14" s="293"/>
      <c r="P14" s="293"/>
      <c r="Q14" s="293"/>
      <c r="R14" s="293"/>
      <c r="S14" s="293"/>
      <c r="T14" s="293"/>
      <c r="U14" s="293"/>
      <c r="V14" s="293"/>
      <c r="W14" s="293"/>
      <c r="X14" s="293"/>
      <c r="Y14" s="293"/>
      <c r="Z14" s="293"/>
      <c r="AA14" s="293"/>
      <c r="AB14" s="293"/>
      <c r="AC14" s="293"/>
      <c r="AD14" s="293"/>
      <c r="AE14" s="294"/>
      <c r="AF14" s="292"/>
      <c r="AG14" s="293"/>
      <c r="AH14" s="293"/>
      <c r="AI14" s="293"/>
      <c r="AJ14" s="293"/>
      <c r="AK14" s="293"/>
      <c r="AL14" s="293"/>
      <c r="AM14" s="293"/>
      <c r="AN14" s="293"/>
      <c r="AO14" s="293"/>
      <c r="AP14" s="293"/>
      <c r="AQ14" s="293"/>
      <c r="AR14" s="293"/>
      <c r="AS14" s="293"/>
      <c r="AT14" s="293"/>
      <c r="AU14" s="293"/>
      <c r="AV14" s="293"/>
      <c r="AW14" s="293"/>
      <c r="AX14" s="293"/>
      <c r="AY14" s="293"/>
      <c r="AZ14" s="293"/>
      <c r="BA14" s="293"/>
      <c r="BB14" s="293"/>
      <c r="BC14" s="293"/>
      <c r="BD14" s="293"/>
      <c r="BE14" s="293"/>
      <c r="BF14" s="293"/>
      <c r="BG14" s="293"/>
      <c r="BH14" s="293"/>
      <c r="BI14" s="294"/>
      <c r="BJ14" s="293"/>
      <c r="BK14" s="295"/>
    </row>
    <row r="15" spans="1:63" ht="15" customHeight="1" x14ac:dyDescent="0.25">
      <c r="A15" s="291"/>
      <c r="B15" s="292"/>
      <c r="C15" s="293"/>
      <c r="D15" s="293"/>
      <c r="E15" s="293"/>
      <c r="F15" s="293"/>
      <c r="G15" s="293"/>
      <c r="H15" s="293"/>
      <c r="I15" s="293"/>
      <c r="J15" s="293"/>
      <c r="K15" s="293"/>
      <c r="L15" s="293"/>
      <c r="M15" s="293"/>
      <c r="N15" s="293"/>
      <c r="O15" s="293"/>
      <c r="P15" s="293"/>
      <c r="Q15" s="293"/>
      <c r="R15" s="293"/>
      <c r="S15" s="293"/>
      <c r="T15" s="293"/>
      <c r="U15" s="293"/>
      <c r="V15" s="293"/>
      <c r="W15" s="293"/>
      <c r="X15" s="293"/>
      <c r="Y15" s="293"/>
      <c r="Z15" s="293"/>
      <c r="AA15" s="293"/>
      <c r="AB15" s="293"/>
      <c r="AC15" s="293"/>
      <c r="AD15" s="293"/>
      <c r="AE15" s="294"/>
      <c r="AF15" s="292"/>
      <c r="AG15" s="293"/>
      <c r="AH15" s="293"/>
      <c r="AI15" s="293"/>
      <c r="AJ15" s="293"/>
      <c r="AK15" s="293"/>
      <c r="AL15" s="293"/>
      <c r="AM15" s="293"/>
      <c r="AN15" s="293"/>
      <c r="AO15" s="293"/>
      <c r="AP15" s="293"/>
      <c r="AQ15" s="293"/>
      <c r="AR15" s="293"/>
      <c r="AS15" s="293"/>
      <c r="AT15" s="293"/>
      <c r="AU15" s="293"/>
      <c r="AV15" s="293"/>
      <c r="AW15" s="293"/>
      <c r="AX15" s="293"/>
      <c r="AY15" s="293"/>
      <c r="AZ15" s="293"/>
      <c r="BA15" s="293"/>
      <c r="BB15" s="293"/>
      <c r="BC15" s="293"/>
      <c r="BD15" s="293"/>
      <c r="BE15" s="293"/>
      <c r="BF15" s="293"/>
      <c r="BG15" s="293"/>
      <c r="BH15" s="293"/>
      <c r="BI15" s="294"/>
      <c r="BJ15" s="293"/>
      <c r="BK15" s="295"/>
    </row>
    <row r="16" spans="1:63" ht="15" customHeight="1" x14ac:dyDescent="0.25">
      <c r="A16" s="29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4"/>
      <c r="AF16" s="292"/>
      <c r="AG16" s="293"/>
      <c r="AH16" s="293"/>
      <c r="AI16" s="293"/>
      <c r="AJ16" s="293"/>
      <c r="AK16" s="293"/>
      <c r="AL16" s="293"/>
      <c r="AM16" s="293"/>
      <c r="AN16" s="293"/>
      <c r="AO16" s="293"/>
      <c r="AP16" s="293"/>
      <c r="AQ16" s="293"/>
      <c r="AR16" s="293"/>
      <c r="AS16" s="293"/>
      <c r="AT16" s="293"/>
      <c r="AU16" s="293"/>
      <c r="AV16" s="293"/>
      <c r="AW16" s="293"/>
      <c r="AX16" s="293"/>
      <c r="AY16" s="293"/>
      <c r="AZ16" s="293"/>
      <c r="BA16" s="293"/>
      <c r="BB16" s="293"/>
      <c r="BC16" s="293"/>
      <c r="BD16" s="293"/>
      <c r="BE16" s="293"/>
      <c r="BF16" s="293"/>
      <c r="BG16" s="293"/>
      <c r="BH16" s="293"/>
      <c r="BI16" s="294"/>
      <c r="BJ16" s="293"/>
      <c r="BK16" s="295"/>
    </row>
    <row r="17" spans="1:63" ht="15" customHeight="1" x14ac:dyDescent="0.25">
      <c r="A17" s="291"/>
      <c r="B17" s="292"/>
      <c r="C17" s="293"/>
      <c r="D17" s="293"/>
      <c r="E17" s="293"/>
      <c r="F17" s="293"/>
      <c r="G17" s="293"/>
      <c r="H17" s="293"/>
      <c r="I17" s="293"/>
      <c r="J17" s="293"/>
      <c r="K17" s="293"/>
      <c r="L17" s="293"/>
      <c r="M17" s="293"/>
      <c r="N17" s="293"/>
      <c r="O17" s="293"/>
      <c r="P17" s="293"/>
      <c r="Q17" s="293"/>
      <c r="R17" s="293"/>
      <c r="S17" s="293"/>
      <c r="T17" s="293"/>
      <c r="U17" s="293"/>
      <c r="V17" s="293"/>
      <c r="W17" s="293"/>
      <c r="X17" s="293"/>
      <c r="Y17" s="293"/>
      <c r="Z17" s="293"/>
      <c r="AA17" s="293"/>
      <c r="AB17" s="293"/>
      <c r="AC17" s="293"/>
      <c r="AD17" s="293"/>
      <c r="AE17" s="294"/>
      <c r="AF17" s="292"/>
      <c r="AG17" s="293"/>
      <c r="AH17" s="293"/>
      <c r="AI17" s="293"/>
      <c r="AJ17" s="293"/>
      <c r="AK17" s="293"/>
      <c r="AL17" s="293"/>
      <c r="AM17" s="293"/>
      <c r="AN17" s="293"/>
      <c r="AO17" s="293"/>
      <c r="AP17" s="293"/>
      <c r="AQ17" s="293"/>
      <c r="AR17" s="293"/>
      <c r="AS17" s="293"/>
      <c r="AT17" s="293"/>
      <c r="AU17" s="293"/>
      <c r="AV17" s="293"/>
      <c r="AW17" s="293"/>
      <c r="AX17" s="293"/>
      <c r="AY17" s="293"/>
      <c r="AZ17" s="293"/>
      <c r="BA17" s="293"/>
      <c r="BB17" s="293"/>
      <c r="BC17" s="293"/>
      <c r="BD17" s="293"/>
      <c r="BE17" s="293"/>
      <c r="BF17" s="293"/>
      <c r="BG17" s="293"/>
      <c r="BH17" s="293"/>
      <c r="BI17" s="294"/>
      <c r="BJ17" s="293"/>
      <c r="BK17" s="295"/>
    </row>
    <row r="18" spans="1:63" ht="15" customHeight="1" x14ac:dyDescent="0.25">
      <c r="A18" s="291"/>
      <c r="B18" s="292"/>
      <c r="C18" s="293"/>
      <c r="D18" s="293"/>
      <c r="E18" s="293"/>
      <c r="F18" s="293"/>
      <c r="G18" s="293"/>
      <c r="H18" s="293"/>
      <c r="I18" s="293"/>
      <c r="J18" s="293"/>
      <c r="K18" s="293"/>
      <c r="L18" s="293"/>
      <c r="M18" s="293"/>
      <c r="N18" s="293"/>
      <c r="O18" s="293"/>
      <c r="P18" s="293"/>
      <c r="Q18" s="293"/>
      <c r="R18" s="293"/>
      <c r="S18" s="293"/>
      <c r="T18" s="293"/>
      <c r="U18" s="293"/>
      <c r="V18" s="293"/>
      <c r="W18" s="293"/>
      <c r="X18" s="293"/>
      <c r="Y18" s="293"/>
      <c r="Z18" s="293"/>
      <c r="AA18" s="293"/>
      <c r="AB18" s="293"/>
      <c r="AC18" s="293"/>
      <c r="AD18" s="293"/>
      <c r="AE18" s="294"/>
      <c r="AF18" s="292"/>
      <c r="AG18" s="293"/>
      <c r="AH18" s="293"/>
      <c r="AI18" s="293"/>
      <c r="AJ18" s="293"/>
      <c r="AK18" s="293"/>
      <c r="AL18" s="293"/>
      <c r="AM18" s="293"/>
      <c r="AN18" s="293"/>
      <c r="AO18" s="293"/>
      <c r="AP18" s="293"/>
      <c r="AQ18" s="293"/>
      <c r="AR18" s="293"/>
      <c r="AS18" s="293"/>
      <c r="AT18" s="293"/>
      <c r="AU18" s="293"/>
      <c r="AV18" s="293"/>
      <c r="AW18" s="293"/>
      <c r="AX18" s="293"/>
      <c r="AY18" s="293"/>
      <c r="AZ18" s="293"/>
      <c r="BA18" s="293"/>
      <c r="BB18" s="293"/>
      <c r="BC18" s="293"/>
      <c r="BD18" s="293"/>
      <c r="BE18" s="293"/>
      <c r="BF18" s="293"/>
      <c r="BG18" s="293"/>
      <c r="BH18" s="293"/>
      <c r="BI18" s="294"/>
      <c r="BJ18" s="293"/>
      <c r="BK18" s="295"/>
    </row>
    <row r="19" spans="1:63" ht="15" customHeight="1" x14ac:dyDescent="0.25">
      <c r="A19" s="291"/>
      <c r="B19" s="292"/>
      <c r="C19" s="293"/>
      <c r="D19" s="293"/>
      <c r="E19" s="293"/>
      <c r="F19" s="293"/>
      <c r="G19" s="293"/>
      <c r="H19" s="293"/>
      <c r="I19" s="293"/>
      <c r="J19" s="293"/>
      <c r="K19" s="293"/>
      <c r="L19" s="293"/>
      <c r="M19" s="293"/>
      <c r="N19" s="293"/>
      <c r="O19" s="293"/>
      <c r="P19" s="293"/>
      <c r="Q19" s="293"/>
      <c r="R19" s="293"/>
      <c r="S19" s="293"/>
      <c r="T19" s="293"/>
      <c r="U19" s="293"/>
      <c r="V19" s="293"/>
      <c r="W19" s="293"/>
      <c r="X19" s="293"/>
      <c r="Y19" s="293"/>
      <c r="Z19" s="293"/>
      <c r="AA19" s="293"/>
      <c r="AB19" s="293"/>
      <c r="AC19" s="293"/>
      <c r="AD19" s="293"/>
      <c r="AE19" s="294"/>
      <c r="AF19" s="292"/>
      <c r="AG19" s="293"/>
      <c r="AH19" s="293"/>
      <c r="AI19" s="293"/>
      <c r="AJ19" s="293"/>
      <c r="AK19" s="293"/>
      <c r="AL19" s="293"/>
      <c r="AM19" s="293"/>
      <c r="AN19" s="293"/>
      <c r="AO19" s="293"/>
      <c r="AP19" s="293"/>
      <c r="AQ19" s="293"/>
      <c r="AR19" s="293"/>
      <c r="AS19" s="293"/>
      <c r="AT19" s="293"/>
      <c r="AU19" s="293"/>
      <c r="AV19" s="293"/>
      <c r="AW19" s="293"/>
      <c r="AX19" s="293"/>
      <c r="AY19" s="293"/>
      <c r="AZ19" s="293"/>
      <c r="BA19" s="293"/>
      <c r="BB19" s="293"/>
      <c r="BC19" s="293"/>
      <c r="BD19" s="293"/>
      <c r="BE19" s="293"/>
      <c r="BF19" s="293"/>
      <c r="BG19" s="293"/>
      <c r="BH19" s="293"/>
      <c r="BI19" s="294"/>
      <c r="BJ19" s="293"/>
      <c r="BK19" s="295"/>
    </row>
    <row r="20" spans="1:63" ht="15" customHeight="1" x14ac:dyDescent="0.25">
      <c r="A20" s="291"/>
      <c r="B20" s="292"/>
      <c r="C20" s="293"/>
      <c r="D20" s="293"/>
      <c r="E20" s="293"/>
      <c r="F20" s="293"/>
      <c r="G20" s="293"/>
      <c r="H20" s="293"/>
      <c r="I20" s="293"/>
      <c r="J20" s="293"/>
      <c r="K20" s="293"/>
      <c r="L20" s="293"/>
      <c r="M20" s="293"/>
      <c r="N20" s="293"/>
      <c r="O20" s="293"/>
      <c r="P20" s="293"/>
      <c r="Q20" s="293"/>
      <c r="R20" s="293"/>
      <c r="S20" s="293"/>
      <c r="T20" s="293"/>
      <c r="U20" s="293"/>
      <c r="V20" s="293"/>
      <c r="W20" s="293"/>
      <c r="X20" s="293"/>
      <c r="Y20" s="293"/>
      <c r="Z20" s="293"/>
      <c r="AA20" s="293"/>
      <c r="AB20" s="293"/>
      <c r="AC20" s="293"/>
      <c r="AD20" s="293"/>
      <c r="AE20" s="294"/>
      <c r="AF20" s="292"/>
      <c r="AG20" s="293"/>
      <c r="AH20" s="293"/>
      <c r="AI20" s="293"/>
      <c r="AJ20" s="293"/>
      <c r="AK20" s="293"/>
      <c r="AL20" s="293"/>
      <c r="AM20" s="293"/>
      <c r="AN20" s="293"/>
      <c r="AO20" s="293"/>
      <c r="AP20" s="293"/>
      <c r="AQ20" s="293"/>
      <c r="AR20" s="293"/>
      <c r="AS20" s="293"/>
      <c r="AT20" s="293"/>
      <c r="AU20" s="293"/>
      <c r="AV20" s="293"/>
      <c r="AW20" s="293"/>
      <c r="AX20" s="293"/>
      <c r="AY20" s="293"/>
      <c r="AZ20" s="293"/>
      <c r="BA20" s="293"/>
      <c r="BB20" s="293"/>
      <c r="BC20" s="293"/>
      <c r="BD20" s="293"/>
      <c r="BE20" s="293"/>
      <c r="BF20" s="293"/>
      <c r="BG20" s="293"/>
      <c r="BH20" s="293"/>
      <c r="BI20" s="294"/>
      <c r="BJ20" s="293"/>
      <c r="BK20" s="295"/>
    </row>
    <row r="21" spans="1:63" ht="15" customHeight="1" x14ac:dyDescent="0.25">
      <c r="A21" s="291"/>
      <c r="B21" s="292"/>
      <c r="C21" s="293"/>
      <c r="D21" s="293"/>
      <c r="E21" s="293"/>
      <c r="F21" s="293"/>
      <c r="G21" s="293"/>
      <c r="H21" s="293"/>
      <c r="I21" s="293"/>
      <c r="J21" s="293"/>
      <c r="K21" s="293"/>
      <c r="L21" s="293"/>
      <c r="M21" s="293"/>
      <c r="N21" s="293"/>
      <c r="O21" s="293"/>
      <c r="P21" s="293"/>
      <c r="Q21" s="293"/>
      <c r="R21" s="293"/>
      <c r="S21" s="293"/>
      <c r="T21" s="293"/>
      <c r="U21" s="293"/>
      <c r="V21" s="293"/>
      <c r="W21" s="293"/>
      <c r="X21" s="293"/>
      <c r="Y21" s="293"/>
      <c r="Z21" s="293"/>
      <c r="AA21" s="293"/>
      <c r="AB21" s="293"/>
      <c r="AC21" s="293"/>
      <c r="AD21" s="293"/>
      <c r="AE21" s="294"/>
      <c r="AF21" s="292"/>
      <c r="AG21" s="293"/>
      <c r="AH21" s="293"/>
      <c r="AI21" s="293"/>
      <c r="AJ21" s="293"/>
      <c r="AK21" s="293"/>
      <c r="AL21" s="293"/>
      <c r="AM21" s="293"/>
      <c r="AN21" s="293"/>
      <c r="AO21" s="293"/>
      <c r="AP21" s="293"/>
      <c r="AQ21" s="293"/>
      <c r="AR21" s="293"/>
      <c r="AS21" s="293"/>
      <c r="AT21" s="293"/>
      <c r="AU21" s="293"/>
      <c r="AV21" s="293"/>
      <c r="AW21" s="293"/>
      <c r="AX21" s="293"/>
      <c r="AY21" s="293"/>
      <c r="AZ21" s="293"/>
      <c r="BA21" s="293"/>
      <c r="BB21" s="293"/>
      <c r="BC21" s="293"/>
      <c r="BD21" s="293"/>
      <c r="BE21" s="293"/>
      <c r="BF21" s="293"/>
      <c r="BG21" s="293"/>
      <c r="BH21" s="293"/>
      <c r="BI21" s="294"/>
      <c r="BJ21" s="293"/>
      <c r="BK21" s="295"/>
    </row>
    <row r="22" spans="1:63" ht="15" customHeight="1" x14ac:dyDescent="0.25">
      <c r="A22" s="291"/>
      <c r="B22" s="31" t="s">
        <v>17</v>
      </c>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2"/>
      <c r="AF22" s="31"/>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2"/>
      <c r="BJ22" s="30"/>
      <c r="BK22" s="295"/>
    </row>
    <row r="23" spans="1:63" ht="15" customHeight="1" x14ac:dyDescent="0.25">
      <c r="A23" s="291"/>
      <c r="B23" s="292"/>
      <c r="C23" s="293"/>
      <c r="D23" s="293"/>
      <c r="E23" s="293"/>
      <c r="F23" s="293"/>
      <c r="G23" s="293"/>
      <c r="H23" s="293"/>
      <c r="I23" s="293"/>
      <c r="J23" s="293"/>
      <c r="K23" s="293"/>
      <c r="L23" s="293"/>
      <c r="M23" s="293"/>
      <c r="N23" s="293"/>
      <c r="O23" s="293"/>
      <c r="P23" s="293"/>
      <c r="Q23" s="293"/>
      <c r="R23" s="293"/>
      <c r="S23" s="293"/>
      <c r="T23" s="293"/>
      <c r="U23" s="293"/>
      <c r="V23" s="293"/>
      <c r="W23" s="293"/>
      <c r="X23" s="293"/>
      <c r="Y23" s="293"/>
      <c r="Z23" s="293"/>
      <c r="AA23" s="293"/>
      <c r="AB23" s="293"/>
      <c r="AC23" s="293"/>
      <c r="AD23" s="293"/>
      <c r="AE23" s="294"/>
      <c r="AF23" s="292"/>
      <c r="AG23" s="293"/>
      <c r="AH23" s="293"/>
      <c r="AI23" s="293"/>
      <c r="AJ23" s="293"/>
      <c r="AK23" s="293"/>
      <c r="AL23" s="293"/>
      <c r="AM23" s="293"/>
      <c r="AN23" s="293"/>
      <c r="AO23" s="293"/>
      <c r="AP23" s="293"/>
      <c r="AQ23" s="293"/>
      <c r="AR23" s="293"/>
      <c r="AS23" s="293"/>
      <c r="AT23" s="293"/>
      <c r="AU23" s="293"/>
      <c r="AV23" s="293"/>
      <c r="AW23" s="293"/>
      <c r="AX23" s="293"/>
      <c r="AY23" s="293"/>
      <c r="AZ23" s="293"/>
      <c r="BA23" s="293"/>
      <c r="BB23" s="293"/>
      <c r="BC23" s="293"/>
      <c r="BD23" s="293"/>
      <c r="BE23" s="293"/>
      <c r="BF23" s="293"/>
      <c r="BG23" s="293"/>
      <c r="BH23" s="293"/>
      <c r="BI23" s="294"/>
      <c r="BJ23" s="293"/>
      <c r="BK23" s="295"/>
    </row>
    <row r="24" spans="1:63" ht="15" customHeight="1" x14ac:dyDescent="0.25">
      <c r="A24" s="291"/>
      <c r="B24" s="292"/>
      <c r="C24" s="293"/>
      <c r="D24" s="293"/>
      <c r="E24" s="293"/>
      <c r="F24" s="293"/>
      <c r="G24" s="293"/>
      <c r="H24" s="293"/>
      <c r="I24" s="293"/>
      <c r="J24" s="293"/>
      <c r="K24" s="293"/>
      <c r="L24" s="293"/>
      <c r="M24" s="293"/>
      <c r="N24" s="293"/>
      <c r="O24" s="293"/>
      <c r="P24" s="293"/>
      <c r="Q24" s="293"/>
      <c r="R24" s="293"/>
      <c r="S24" s="293"/>
      <c r="T24" s="293"/>
      <c r="U24" s="293"/>
      <c r="V24" s="293"/>
      <c r="W24" s="293"/>
      <c r="X24" s="293"/>
      <c r="Y24" s="293"/>
      <c r="Z24" s="293"/>
      <c r="AA24" s="293"/>
      <c r="AB24" s="293"/>
      <c r="AC24" s="293"/>
      <c r="AD24" s="293"/>
      <c r="AE24" s="294"/>
      <c r="AF24" s="292"/>
      <c r="AG24" s="293"/>
      <c r="AH24" s="293"/>
      <c r="AI24" s="293"/>
      <c r="AJ24" s="293"/>
      <c r="AK24" s="293"/>
      <c r="AL24" s="293"/>
      <c r="AM24" s="293"/>
      <c r="AN24" s="293"/>
      <c r="AO24" s="293"/>
      <c r="AP24" s="293"/>
      <c r="AQ24" s="293"/>
      <c r="AR24" s="293"/>
      <c r="AS24" s="293"/>
      <c r="AT24" s="293"/>
      <c r="AU24" s="293"/>
      <c r="AV24" s="293"/>
      <c r="AW24" s="293"/>
      <c r="AX24" s="293"/>
      <c r="AY24" s="293"/>
      <c r="AZ24" s="293"/>
      <c r="BA24" s="293"/>
      <c r="BB24" s="293"/>
      <c r="BC24" s="293"/>
      <c r="BD24" s="293"/>
      <c r="BE24" s="293"/>
      <c r="BF24" s="293"/>
      <c r="BG24" s="293"/>
      <c r="BH24" s="293"/>
      <c r="BI24" s="294"/>
      <c r="BJ24" s="293"/>
      <c r="BK24" s="295"/>
    </row>
    <row r="25" spans="1:63" ht="15" customHeight="1" x14ac:dyDescent="0.25">
      <c r="A25" s="291"/>
      <c r="B25" s="292"/>
      <c r="C25" s="293"/>
      <c r="D25" s="293"/>
      <c r="E25" s="293"/>
      <c r="F25" s="293"/>
      <c r="G25" s="293"/>
      <c r="H25" s="293"/>
      <c r="I25" s="293"/>
      <c r="J25" s="293"/>
      <c r="K25" s="293"/>
      <c r="L25" s="293"/>
      <c r="M25" s="293"/>
      <c r="N25" s="293"/>
      <c r="O25" s="293"/>
      <c r="P25" s="293"/>
      <c r="Q25" s="293"/>
      <c r="R25" s="293"/>
      <c r="S25" s="293"/>
      <c r="T25" s="293"/>
      <c r="U25" s="293"/>
      <c r="V25" s="293"/>
      <c r="W25" s="293"/>
      <c r="X25" s="293"/>
      <c r="Y25" s="293"/>
      <c r="Z25" s="293"/>
      <c r="AA25" s="293"/>
      <c r="AB25" s="293"/>
      <c r="AC25" s="293"/>
      <c r="AD25" s="293"/>
      <c r="AE25" s="294"/>
      <c r="AF25" s="292"/>
      <c r="AG25" s="293"/>
      <c r="AH25" s="293"/>
      <c r="AI25" s="293"/>
      <c r="AJ25" s="293"/>
      <c r="AK25" s="293"/>
      <c r="AL25" s="293"/>
      <c r="AM25" s="293"/>
      <c r="AN25" s="293"/>
      <c r="AO25" s="293"/>
      <c r="AP25" s="293"/>
      <c r="AQ25" s="293"/>
      <c r="AR25" s="293"/>
      <c r="AS25" s="293"/>
      <c r="AT25" s="293"/>
      <c r="AU25" s="293"/>
      <c r="AV25" s="293"/>
      <c r="AW25" s="293"/>
      <c r="AX25" s="293"/>
      <c r="AY25" s="293"/>
      <c r="AZ25" s="293"/>
      <c r="BA25" s="293"/>
      <c r="BB25" s="293"/>
      <c r="BC25" s="293"/>
      <c r="BD25" s="293"/>
      <c r="BE25" s="293"/>
      <c r="BF25" s="293"/>
      <c r="BG25" s="293"/>
      <c r="BH25" s="293"/>
      <c r="BI25" s="294"/>
      <c r="BJ25" s="293"/>
      <c r="BK25" s="295"/>
    </row>
    <row r="26" spans="1:63" ht="15" customHeight="1" x14ac:dyDescent="0.25">
      <c r="A26" s="291"/>
      <c r="B26" s="292"/>
      <c r="C26" s="293"/>
      <c r="D26" s="293"/>
      <c r="E26" s="293"/>
      <c r="F26" s="293"/>
      <c r="G26" s="293"/>
      <c r="H26" s="293"/>
      <c r="I26" s="293"/>
      <c r="J26" s="293"/>
      <c r="K26" s="293"/>
      <c r="L26" s="293"/>
      <c r="M26" s="293"/>
      <c r="N26" s="293"/>
      <c r="O26" s="293"/>
      <c r="P26" s="293"/>
      <c r="Q26" s="293"/>
      <c r="R26" s="293"/>
      <c r="S26" s="293"/>
      <c r="T26" s="293"/>
      <c r="U26" s="293"/>
      <c r="V26" s="293"/>
      <c r="W26" s="293"/>
      <c r="X26" s="293"/>
      <c r="Y26" s="293"/>
      <c r="Z26" s="293"/>
      <c r="AA26" s="293"/>
      <c r="AB26" s="293"/>
      <c r="AC26" s="293"/>
      <c r="AD26" s="293"/>
      <c r="AE26" s="294"/>
      <c r="AF26" s="292"/>
      <c r="AG26" s="293"/>
      <c r="AH26" s="293"/>
      <c r="AI26" s="293"/>
      <c r="AJ26" s="293"/>
      <c r="AK26" s="293"/>
      <c r="AL26" s="293"/>
      <c r="AM26" s="293"/>
      <c r="AN26" s="293"/>
      <c r="AO26" s="293"/>
      <c r="AP26" s="293"/>
      <c r="AQ26" s="293"/>
      <c r="AR26" s="293"/>
      <c r="AS26" s="293"/>
      <c r="AT26" s="293"/>
      <c r="AU26" s="293"/>
      <c r="AV26" s="293"/>
      <c r="AW26" s="293"/>
      <c r="AX26" s="293"/>
      <c r="AY26" s="293"/>
      <c r="AZ26" s="293"/>
      <c r="BA26" s="293"/>
      <c r="BB26" s="293"/>
      <c r="BC26" s="293"/>
      <c r="BD26" s="293"/>
      <c r="BE26" s="293"/>
      <c r="BF26" s="293"/>
      <c r="BG26" s="293"/>
      <c r="BH26" s="293"/>
      <c r="BI26" s="294"/>
      <c r="BJ26" s="293"/>
      <c r="BK26" s="295"/>
    </row>
    <row r="27" spans="1:63" ht="15" customHeight="1" x14ac:dyDescent="0.25">
      <c r="A27" s="291"/>
      <c r="B27" s="292"/>
      <c r="C27" s="293"/>
      <c r="D27" s="293"/>
      <c r="E27" s="293"/>
      <c r="F27" s="293"/>
      <c r="G27" s="293"/>
      <c r="H27" s="293"/>
      <c r="I27" s="293"/>
      <c r="J27" s="293"/>
      <c r="K27" s="293"/>
      <c r="L27" s="293"/>
      <c r="M27" s="293"/>
      <c r="N27" s="293"/>
      <c r="O27" s="293"/>
      <c r="P27" s="293"/>
      <c r="Q27" s="293"/>
      <c r="R27" s="293"/>
      <c r="S27" s="293"/>
      <c r="T27" s="293"/>
      <c r="U27" s="293"/>
      <c r="V27" s="293"/>
      <c r="W27" s="293"/>
      <c r="X27" s="293"/>
      <c r="Y27" s="293"/>
      <c r="Z27" s="293"/>
      <c r="AA27" s="293"/>
      <c r="AB27" s="293"/>
      <c r="AC27" s="293"/>
      <c r="AD27" s="293"/>
      <c r="AE27" s="294"/>
      <c r="AF27" s="292"/>
      <c r="AG27" s="293"/>
      <c r="AH27" s="293"/>
      <c r="AI27" s="293"/>
      <c r="AJ27" s="293"/>
      <c r="AK27" s="293"/>
      <c r="AL27" s="293"/>
      <c r="AM27" s="293"/>
      <c r="AN27" s="293"/>
      <c r="AO27" s="293"/>
      <c r="AP27" s="293"/>
      <c r="AQ27" s="293"/>
      <c r="AR27" s="293"/>
      <c r="AS27" s="293"/>
      <c r="AT27" s="293"/>
      <c r="AU27" s="293"/>
      <c r="AV27" s="293"/>
      <c r="AW27" s="293"/>
      <c r="AX27" s="293"/>
      <c r="AY27" s="293"/>
      <c r="AZ27" s="293"/>
      <c r="BA27" s="293"/>
      <c r="BB27" s="293"/>
      <c r="BC27" s="293"/>
      <c r="BD27" s="293"/>
      <c r="BE27" s="293"/>
      <c r="BF27" s="293"/>
      <c r="BG27" s="293"/>
      <c r="BH27" s="293"/>
      <c r="BI27" s="294"/>
      <c r="BJ27" s="293"/>
      <c r="BK27" s="295"/>
    </row>
    <row r="28" spans="1:63" ht="15" customHeight="1" x14ac:dyDescent="0.25">
      <c r="A28" s="291"/>
      <c r="B28" s="292"/>
      <c r="C28" s="293"/>
      <c r="D28" s="293"/>
      <c r="E28" s="293"/>
      <c r="F28" s="293"/>
      <c r="G28" s="293"/>
      <c r="H28" s="293"/>
      <c r="I28" s="293"/>
      <c r="J28" s="293"/>
      <c r="K28" s="293"/>
      <c r="L28" s="293"/>
      <c r="M28" s="293"/>
      <c r="N28" s="293"/>
      <c r="O28" s="293"/>
      <c r="P28" s="293"/>
      <c r="Q28" s="293"/>
      <c r="R28" s="293"/>
      <c r="S28" s="293"/>
      <c r="T28" s="293"/>
      <c r="U28" s="293"/>
      <c r="V28" s="293"/>
      <c r="W28" s="293"/>
      <c r="X28" s="293"/>
      <c r="Y28" s="293"/>
      <c r="Z28" s="293"/>
      <c r="AA28" s="293"/>
      <c r="AB28" s="293"/>
      <c r="AC28" s="293"/>
      <c r="AD28" s="293"/>
      <c r="AE28" s="294"/>
      <c r="AF28" s="292"/>
      <c r="AG28" s="293"/>
      <c r="AH28" s="293"/>
      <c r="AI28" s="293"/>
      <c r="AJ28" s="293"/>
      <c r="AK28" s="293"/>
      <c r="AL28" s="293"/>
      <c r="AM28" s="293"/>
      <c r="AN28" s="293"/>
      <c r="AO28" s="293"/>
      <c r="AP28" s="293"/>
      <c r="AQ28" s="293"/>
      <c r="AR28" s="293"/>
      <c r="AS28" s="293"/>
      <c r="AT28" s="293"/>
      <c r="AU28" s="293"/>
      <c r="AV28" s="293"/>
      <c r="AW28" s="293"/>
      <c r="AX28" s="293"/>
      <c r="AY28" s="293"/>
      <c r="AZ28" s="293"/>
      <c r="BA28" s="293"/>
      <c r="BB28" s="293"/>
      <c r="BC28" s="293"/>
      <c r="BD28" s="293"/>
      <c r="BE28" s="293"/>
      <c r="BF28" s="293"/>
      <c r="BG28" s="293"/>
      <c r="BH28" s="293"/>
      <c r="BI28" s="294"/>
      <c r="BJ28" s="293"/>
      <c r="BK28" s="295"/>
    </row>
    <row r="29" spans="1:63" ht="15" customHeight="1" x14ac:dyDescent="0.25">
      <c r="A29" s="291"/>
      <c r="B29" s="292"/>
      <c r="C29" s="293"/>
      <c r="D29" s="293"/>
      <c r="E29" s="293"/>
      <c r="F29" s="293"/>
      <c r="G29" s="293"/>
      <c r="H29" s="293"/>
      <c r="I29" s="293"/>
      <c r="J29" s="293"/>
      <c r="K29" s="293"/>
      <c r="L29" s="293"/>
      <c r="M29" s="293"/>
      <c r="N29" s="293"/>
      <c r="O29" s="293"/>
      <c r="P29" s="293"/>
      <c r="Q29" s="293"/>
      <c r="R29" s="293"/>
      <c r="S29" s="293"/>
      <c r="T29" s="293"/>
      <c r="U29" s="293"/>
      <c r="V29" s="293"/>
      <c r="W29" s="293"/>
      <c r="X29" s="293"/>
      <c r="Y29" s="293"/>
      <c r="Z29" s="293"/>
      <c r="AA29" s="293"/>
      <c r="AB29" s="293"/>
      <c r="AC29" s="293"/>
      <c r="AD29" s="293"/>
      <c r="AE29" s="294"/>
      <c r="AF29" s="292"/>
      <c r="AG29" s="293"/>
      <c r="AH29" s="293"/>
      <c r="AI29" s="293"/>
      <c r="AJ29" s="293"/>
      <c r="AK29" s="293"/>
      <c r="AL29" s="293"/>
      <c r="AM29" s="293"/>
      <c r="AN29" s="293"/>
      <c r="AO29" s="293"/>
      <c r="AP29" s="293"/>
      <c r="AQ29" s="293"/>
      <c r="AR29" s="293"/>
      <c r="AS29" s="293"/>
      <c r="AT29" s="293"/>
      <c r="AU29" s="293"/>
      <c r="AV29" s="293"/>
      <c r="AW29" s="293"/>
      <c r="AX29" s="293"/>
      <c r="AY29" s="293"/>
      <c r="AZ29" s="293"/>
      <c r="BA29" s="293"/>
      <c r="BB29" s="293"/>
      <c r="BC29" s="293"/>
      <c r="BD29" s="293"/>
      <c r="BE29" s="293"/>
      <c r="BF29" s="293"/>
      <c r="BG29" s="293"/>
      <c r="BH29" s="293"/>
      <c r="BI29" s="294"/>
      <c r="BJ29" s="293"/>
      <c r="BK29" s="295"/>
    </row>
    <row r="30" spans="1:63" ht="15" customHeight="1" x14ac:dyDescent="0.25">
      <c r="A30" s="291"/>
      <c r="B30" s="292"/>
      <c r="C30" s="293"/>
      <c r="D30" s="293"/>
      <c r="E30" s="293"/>
      <c r="F30" s="293"/>
      <c r="G30" s="293"/>
      <c r="H30" s="293"/>
      <c r="I30" s="293"/>
      <c r="J30" s="293"/>
      <c r="K30" s="293"/>
      <c r="L30" s="293"/>
      <c r="M30" s="293"/>
      <c r="N30" s="293"/>
      <c r="O30" s="293"/>
      <c r="P30" s="293"/>
      <c r="Q30" s="293"/>
      <c r="R30" s="293"/>
      <c r="S30" s="293"/>
      <c r="T30" s="293"/>
      <c r="U30" s="293"/>
      <c r="V30" s="293"/>
      <c r="W30" s="293"/>
      <c r="X30" s="293"/>
      <c r="Y30" s="293"/>
      <c r="Z30" s="293"/>
      <c r="AA30" s="293"/>
      <c r="AB30" s="293"/>
      <c r="AC30" s="293"/>
      <c r="AD30" s="293"/>
      <c r="AE30" s="294"/>
      <c r="AF30" s="292"/>
      <c r="AG30" s="293"/>
      <c r="AH30" s="293"/>
      <c r="AI30" s="293"/>
      <c r="AJ30" s="293"/>
      <c r="AK30" s="293"/>
      <c r="AL30" s="293"/>
      <c r="AM30" s="293"/>
      <c r="AN30" s="293"/>
      <c r="AO30" s="293"/>
      <c r="AP30" s="293"/>
      <c r="AQ30" s="293"/>
      <c r="AR30" s="293"/>
      <c r="AS30" s="293"/>
      <c r="AT30" s="293"/>
      <c r="AU30" s="293"/>
      <c r="AV30" s="293"/>
      <c r="AW30" s="293"/>
      <c r="AX30" s="293"/>
      <c r="AY30" s="293"/>
      <c r="AZ30" s="293"/>
      <c r="BA30" s="293"/>
      <c r="BB30" s="293"/>
      <c r="BC30" s="293"/>
      <c r="BD30" s="293"/>
      <c r="BE30" s="293"/>
      <c r="BF30" s="293"/>
      <c r="BG30" s="293"/>
      <c r="BH30" s="293"/>
      <c r="BI30" s="294"/>
      <c r="BJ30" s="293"/>
      <c r="BK30" s="295"/>
    </row>
    <row r="31" spans="1:63" ht="15" customHeight="1" x14ac:dyDescent="0.25">
      <c r="A31" s="291"/>
      <c r="B31" s="292"/>
      <c r="C31" s="293"/>
      <c r="D31" s="293"/>
      <c r="E31" s="293"/>
      <c r="F31" s="293"/>
      <c r="G31" s="293"/>
      <c r="H31" s="293"/>
      <c r="I31" s="293"/>
      <c r="J31" s="293"/>
      <c r="K31" s="293"/>
      <c r="L31" s="293"/>
      <c r="M31" s="293"/>
      <c r="N31" s="293"/>
      <c r="O31" s="293"/>
      <c r="P31" s="293"/>
      <c r="Q31" s="293"/>
      <c r="R31" s="293"/>
      <c r="S31" s="293"/>
      <c r="T31" s="293"/>
      <c r="U31" s="293"/>
      <c r="V31" s="293"/>
      <c r="W31" s="293"/>
      <c r="X31" s="293"/>
      <c r="Y31" s="293"/>
      <c r="Z31" s="293"/>
      <c r="AA31" s="293"/>
      <c r="AB31" s="293"/>
      <c r="AC31" s="293"/>
      <c r="AD31" s="293"/>
      <c r="AE31" s="294"/>
      <c r="AF31" s="292"/>
      <c r="AG31" s="293"/>
      <c r="AH31" s="293"/>
      <c r="AI31" s="293"/>
      <c r="AJ31" s="293"/>
      <c r="AK31" s="293"/>
      <c r="AL31" s="293"/>
      <c r="AM31" s="293"/>
      <c r="AN31" s="293"/>
      <c r="AO31" s="293"/>
      <c r="AP31" s="293"/>
      <c r="AQ31" s="293"/>
      <c r="AR31" s="293"/>
      <c r="AS31" s="293"/>
      <c r="AT31" s="293"/>
      <c r="AU31" s="293"/>
      <c r="AV31" s="293"/>
      <c r="AW31" s="293"/>
      <c r="AX31" s="293"/>
      <c r="AY31" s="293"/>
      <c r="AZ31" s="293"/>
      <c r="BA31" s="293"/>
      <c r="BB31" s="293"/>
      <c r="BC31" s="293"/>
      <c r="BD31" s="293"/>
      <c r="BE31" s="293"/>
      <c r="BF31" s="293"/>
      <c r="BG31" s="293"/>
      <c r="BH31" s="293"/>
      <c r="BI31" s="294"/>
      <c r="BJ31" s="293"/>
      <c r="BK31" s="295"/>
    </row>
    <row r="32" spans="1:63" ht="15" customHeight="1" x14ac:dyDescent="0.25">
      <c r="A32" s="291"/>
      <c r="B32" s="292"/>
      <c r="C32" s="293"/>
      <c r="D32" s="293"/>
      <c r="E32" s="293"/>
      <c r="F32" s="293"/>
      <c r="G32" s="293"/>
      <c r="H32" s="293"/>
      <c r="I32" s="293"/>
      <c r="J32" s="293"/>
      <c r="K32" s="293"/>
      <c r="L32" s="293"/>
      <c r="M32" s="293"/>
      <c r="N32" s="293"/>
      <c r="O32" s="293"/>
      <c r="P32" s="293"/>
      <c r="Q32" s="293"/>
      <c r="R32" s="293"/>
      <c r="S32" s="293"/>
      <c r="T32" s="293"/>
      <c r="U32" s="293"/>
      <c r="V32" s="293"/>
      <c r="W32" s="293"/>
      <c r="X32" s="293"/>
      <c r="Y32" s="293"/>
      <c r="Z32" s="293"/>
      <c r="AA32" s="293"/>
      <c r="AB32" s="293"/>
      <c r="AC32" s="293"/>
      <c r="AD32" s="293"/>
      <c r="AE32" s="294"/>
      <c r="AF32" s="292"/>
      <c r="AG32" s="293"/>
      <c r="AH32" s="293"/>
      <c r="AI32" s="293"/>
      <c r="AJ32" s="293"/>
      <c r="AK32" s="293"/>
      <c r="AL32" s="293"/>
      <c r="AM32" s="293"/>
      <c r="AN32" s="293"/>
      <c r="AO32" s="293"/>
      <c r="AP32" s="293"/>
      <c r="AQ32" s="293"/>
      <c r="AR32" s="293"/>
      <c r="AS32" s="293"/>
      <c r="AT32" s="293"/>
      <c r="AU32" s="293"/>
      <c r="AV32" s="293"/>
      <c r="AW32" s="293"/>
      <c r="AX32" s="293"/>
      <c r="AY32" s="293"/>
      <c r="AZ32" s="293"/>
      <c r="BA32" s="293"/>
      <c r="BB32" s="293"/>
      <c r="BC32" s="293"/>
      <c r="BD32" s="293"/>
      <c r="BE32" s="293"/>
      <c r="BF32" s="293"/>
      <c r="BG32" s="293"/>
      <c r="BH32" s="293"/>
      <c r="BI32" s="294"/>
      <c r="BJ32" s="293"/>
      <c r="BK32" s="295"/>
    </row>
    <row r="33" spans="1:63" ht="15" customHeight="1" x14ac:dyDescent="0.25">
      <c r="A33" s="291"/>
      <c r="B33" s="292"/>
      <c r="C33" s="293"/>
      <c r="D33" s="293"/>
      <c r="E33" s="293"/>
      <c r="F33" s="293"/>
      <c r="G33" s="293"/>
      <c r="H33" s="293"/>
      <c r="I33" s="293"/>
      <c r="J33" s="293"/>
      <c r="K33" s="293"/>
      <c r="L33" s="293"/>
      <c r="M33" s="293"/>
      <c r="N33" s="293"/>
      <c r="O33" s="293"/>
      <c r="P33" s="293"/>
      <c r="Q33" s="293"/>
      <c r="R33" s="293"/>
      <c r="S33" s="293"/>
      <c r="T33" s="293"/>
      <c r="U33" s="293"/>
      <c r="V33" s="293"/>
      <c r="W33" s="293"/>
      <c r="X33" s="293"/>
      <c r="Y33" s="293"/>
      <c r="Z33" s="293"/>
      <c r="AA33" s="293"/>
      <c r="AB33" s="293"/>
      <c r="AC33" s="293"/>
      <c r="AD33" s="293"/>
      <c r="AE33" s="294"/>
      <c r="AF33" s="292"/>
      <c r="AG33" s="293"/>
      <c r="AH33" s="293"/>
      <c r="AI33" s="293"/>
      <c r="AJ33" s="293"/>
      <c r="AK33" s="293"/>
      <c r="AL33" s="293"/>
      <c r="AM33" s="293"/>
      <c r="AN33" s="293"/>
      <c r="AO33" s="293"/>
      <c r="AP33" s="293"/>
      <c r="AQ33" s="293"/>
      <c r="AR33" s="293"/>
      <c r="AS33" s="293"/>
      <c r="AT33" s="293"/>
      <c r="AU33" s="293"/>
      <c r="AV33" s="293"/>
      <c r="AW33" s="293"/>
      <c r="AX33" s="293"/>
      <c r="AY33" s="293"/>
      <c r="AZ33" s="293"/>
      <c r="BA33" s="293"/>
      <c r="BB33" s="293"/>
      <c r="BC33" s="293"/>
      <c r="BD33" s="293"/>
      <c r="BE33" s="293"/>
      <c r="BF33" s="293"/>
      <c r="BG33" s="293"/>
      <c r="BH33" s="293"/>
      <c r="BI33" s="294"/>
      <c r="BJ33" s="293"/>
      <c r="BK33" s="295"/>
    </row>
    <row r="34" spans="1:63" ht="15" customHeight="1" x14ac:dyDescent="0.25">
      <c r="A34" s="291"/>
      <c r="B34" s="292"/>
      <c r="C34" s="293"/>
      <c r="D34" s="293"/>
      <c r="E34" s="293"/>
      <c r="F34" s="293"/>
      <c r="G34" s="293"/>
      <c r="H34" s="293"/>
      <c r="I34" s="293"/>
      <c r="J34" s="293"/>
      <c r="K34" s="293"/>
      <c r="L34" s="293"/>
      <c r="M34" s="293"/>
      <c r="N34" s="293"/>
      <c r="O34" s="293"/>
      <c r="P34" s="293"/>
      <c r="Q34" s="293"/>
      <c r="R34" s="293"/>
      <c r="S34" s="293"/>
      <c r="T34" s="293"/>
      <c r="U34" s="293"/>
      <c r="V34" s="293"/>
      <c r="W34" s="293"/>
      <c r="X34" s="293"/>
      <c r="Y34" s="293"/>
      <c r="Z34" s="293"/>
      <c r="AA34" s="293"/>
      <c r="AB34" s="293"/>
      <c r="AC34" s="293"/>
      <c r="AD34" s="293"/>
      <c r="AE34" s="294"/>
      <c r="AF34" s="292"/>
      <c r="AG34" s="293"/>
      <c r="AH34" s="293"/>
      <c r="AI34" s="293"/>
      <c r="AJ34" s="293"/>
      <c r="AK34" s="293"/>
      <c r="AL34" s="293"/>
      <c r="AM34" s="293"/>
      <c r="AN34" s="293"/>
      <c r="AO34" s="293"/>
      <c r="AP34" s="293"/>
      <c r="AQ34" s="293"/>
      <c r="AR34" s="293"/>
      <c r="AS34" s="293"/>
      <c r="AT34" s="293"/>
      <c r="AU34" s="293"/>
      <c r="AV34" s="293"/>
      <c r="AW34" s="293"/>
      <c r="AX34" s="293"/>
      <c r="AY34" s="293"/>
      <c r="AZ34" s="293"/>
      <c r="BA34" s="293"/>
      <c r="BB34" s="293"/>
      <c r="BC34" s="293"/>
      <c r="BD34" s="293"/>
      <c r="BE34" s="293"/>
      <c r="BF34" s="293"/>
      <c r="BG34" s="293"/>
      <c r="BH34" s="293"/>
      <c r="BI34" s="294"/>
      <c r="BJ34" s="293"/>
      <c r="BK34" s="295"/>
    </row>
    <row r="35" spans="1:63" ht="15" customHeight="1" x14ac:dyDescent="0.25">
      <c r="A35" s="291"/>
      <c r="B35" s="292"/>
      <c r="C35" s="293"/>
      <c r="D35" s="293"/>
      <c r="E35" s="293"/>
      <c r="F35" s="293"/>
      <c r="G35" s="293"/>
      <c r="H35" s="293"/>
      <c r="I35" s="293"/>
      <c r="J35" s="293"/>
      <c r="K35" s="293"/>
      <c r="L35" s="293"/>
      <c r="M35" s="293"/>
      <c r="N35" s="293"/>
      <c r="O35" s="293"/>
      <c r="P35" s="293"/>
      <c r="Q35" s="293"/>
      <c r="R35" s="293"/>
      <c r="S35" s="293"/>
      <c r="T35" s="293"/>
      <c r="U35" s="293"/>
      <c r="V35" s="293"/>
      <c r="W35" s="293"/>
      <c r="X35" s="293"/>
      <c r="Y35" s="293"/>
      <c r="Z35" s="293"/>
      <c r="AA35" s="293"/>
      <c r="AB35" s="293"/>
      <c r="AC35" s="293"/>
      <c r="AD35" s="293"/>
      <c r="AE35" s="294"/>
      <c r="AF35" s="292"/>
      <c r="AG35" s="293"/>
      <c r="AH35" s="293"/>
      <c r="AI35" s="293"/>
      <c r="AJ35" s="293"/>
      <c r="AK35" s="293"/>
      <c r="AL35" s="293"/>
      <c r="AM35" s="293"/>
      <c r="AN35" s="293"/>
      <c r="AO35" s="293"/>
      <c r="AP35" s="293"/>
      <c r="AQ35" s="293"/>
      <c r="AR35" s="293"/>
      <c r="AS35" s="293"/>
      <c r="AT35" s="293"/>
      <c r="AU35" s="293"/>
      <c r="AV35" s="293"/>
      <c r="AW35" s="293"/>
      <c r="AX35" s="293"/>
      <c r="AY35" s="293"/>
      <c r="AZ35" s="293"/>
      <c r="BA35" s="293"/>
      <c r="BB35" s="293"/>
      <c r="BC35" s="293"/>
      <c r="BD35" s="293"/>
      <c r="BE35" s="293"/>
      <c r="BF35" s="293"/>
      <c r="BG35" s="293"/>
      <c r="BH35" s="293"/>
      <c r="BI35" s="294"/>
      <c r="BJ35" s="293"/>
      <c r="BK35" s="295"/>
    </row>
    <row r="36" spans="1:63" ht="15" customHeight="1" x14ac:dyDescent="0.25">
      <c r="A36" s="291"/>
      <c r="B36" s="292"/>
      <c r="C36" s="293"/>
      <c r="D36" s="293"/>
      <c r="E36" s="293"/>
      <c r="F36" s="293"/>
      <c r="G36" s="293"/>
      <c r="H36" s="293"/>
      <c r="I36" s="293"/>
      <c r="J36" s="293"/>
      <c r="K36" s="293"/>
      <c r="L36" s="293"/>
      <c r="M36" s="293"/>
      <c r="N36" s="293"/>
      <c r="O36" s="293"/>
      <c r="P36" s="293"/>
      <c r="Q36" s="293"/>
      <c r="R36" s="293"/>
      <c r="S36" s="293"/>
      <c r="T36" s="293"/>
      <c r="U36" s="293"/>
      <c r="V36" s="293"/>
      <c r="W36" s="293"/>
      <c r="X36" s="293"/>
      <c r="Y36" s="293"/>
      <c r="Z36" s="293"/>
      <c r="AA36" s="293"/>
      <c r="AB36" s="293"/>
      <c r="AC36" s="293"/>
      <c r="AD36" s="293"/>
      <c r="AE36" s="294"/>
      <c r="AF36" s="292"/>
      <c r="AG36" s="293"/>
      <c r="AH36" s="293"/>
      <c r="AI36" s="293"/>
      <c r="AJ36" s="293"/>
      <c r="AK36" s="293"/>
      <c r="AL36" s="293"/>
      <c r="AM36" s="293"/>
      <c r="AN36" s="293"/>
      <c r="AO36" s="293"/>
      <c r="AP36" s="293"/>
      <c r="AQ36" s="293"/>
      <c r="AR36" s="293"/>
      <c r="AS36" s="293"/>
      <c r="AT36" s="293"/>
      <c r="AU36" s="293"/>
      <c r="AV36" s="293"/>
      <c r="AW36" s="293"/>
      <c r="AX36" s="293"/>
      <c r="AY36" s="293"/>
      <c r="AZ36" s="293"/>
      <c r="BA36" s="293"/>
      <c r="BB36" s="293"/>
      <c r="BC36" s="293"/>
      <c r="BD36" s="293"/>
      <c r="BE36" s="293"/>
      <c r="BF36" s="293"/>
      <c r="BG36" s="293"/>
      <c r="BH36" s="293"/>
      <c r="BI36" s="294"/>
      <c r="BJ36" s="293"/>
      <c r="BK36" s="295"/>
    </row>
    <row r="37" spans="1:63" ht="15" customHeight="1" x14ac:dyDescent="0.25">
      <c r="A37" s="291"/>
      <c r="B37" s="292"/>
      <c r="C37" s="293"/>
      <c r="D37" s="293"/>
      <c r="E37" s="293"/>
      <c r="F37" s="293"/>
      <c r="G37" s="293"/>
      <c r="H37" s="293"/>
      <c r="I37" s="293"/>
      <c r="J37" s="293"/>
      <c r="K37" s="293"/>
      <c r="L37" s="293"/>
      <c r="M37" s="293"/>
      <c r="N37" s="293"/>
      <c r="O37" s="293"/>
      <c r="P37" s="293"/>
      <c r="Q37" s="293"/>
      <c r="R37" s="293"/>
      <c r="S37" s="293"/>
      <c r="T37" s="293"/>
      <c r="U37" s="293"/>
      <c r="V37" s="293"/>
      <c r="W37" s="293"/>
      <c r="X37" s="293"/>
      <c r="Y37" s="293"/>
      <c r="Z37" s="293"/>
      <c r="AA37" s="293"/>
      <c r="AB37" s="293"/>
      <c r="AC37" s="293"/>
      <c r="AD37" s="293"/>
      <c r="AE37" s="293"/>
      <c r="AF37" s="292"/>
      <c r="AG37" s="293"/>
      <c r="AH37" s="293"/>
      <c r="AI37" s="293"/>
      <c r="AJ37" s="293"/>
      <c r="AK37" s="293"/>
      <c r="AL37" s="293"/>
      <c r="AM37" s="293"/>
      <c r="AN37" s="293"/>
      <c r="AO37" s="293"/>
      <c r="AP37" s="293"/>
      <c r="AQ37" s="293"/>
      <c r="AR37" s="293"/>
      <c r="AS37" s="293"/>
      <c r="AT37" s="293"/>
      <c r="AU37" s="293"/>
      <c r="AV37" s="293"/>
      <c r="AW37" s="293"/>
      <c r="AX37" s="293"/>
      <c r="AY37" s="293"/>
      <c r="AZ37" s="293"/>
      <c r="BA37" s="293"/>
      <c r="BB37" s="293"/>
      <c r="BC37" s="293"/>
      <c r="BD37" s="293"/>
      <c r="BE37" s="293"/>
      <c r="BF37" s="293"/>
      <c r="BG37" s="293"/>
      <c r="BH37" s="293"/>
      <c r="BI37" s="294"/>
      <c r="BJ37" s="293"/>
      <c r="BK37" s="295"/>
    </row>
    <row r="38" spans="1:63" ht="15" customHeight="1" x14ac:dyDescent="0.25">
      <c r="A38" s="291"/>
      <c r="B38" s="292"/>
      <c r="C38" s="293"/>
      <c r="D38" s="293"/>
      <c r="E38" s="293"/>
      <c r="F38" s="293"/>
      <c r="G38" s="293"/>
      <c r="H38" s="293"/>
      <c r="I38" s="293"/>
      <c r="J38" s="293"/>
      <c r="K38" s="293"/>
      <c r="L38" s="293"/>
      <c r="M38" s="293"/>
      <c r="N38" s="293"/>
      <c r="O38" s="293"/>
      <c r="P38" s="293"/>
      <c r="Q38" s="293"/>
      <c r="R38" s="293"/>
      <c r="S38" s="293"/>
      <c r="T38" s="293"/>
      <c r="U38" s="293"/>
      <c r="V38" s="293"/>
      <c r="W38" s="293"/>
      <c r="X38" s="293"/>
      <c r="Y38" s="293"/>
      <c r="Z38" s="293"/>
      <c r="AA38" s="293"/>
      <c r="AB38" s="293"/>
      <c r="AC38" s="293"/>
      <c r="AD38" s="293"/>
      <c r="AE38" s="293"/>
      <c r="AF38" s="292"/>
      <c r="AG38" s="293"/>
      <c r="AH38" s="293"/>
      <c r="AI38" s="293"/>
      <c r="AJ38" s="293"/>
      <c r="AK38" s="293"/>
      <c r="AL38" s="293"/>
      <c r="AM38" s="293"/>
      <c r="AN38" s="293"/>
      <c r="AO38" s="293"/>
      <c r="AP38" s="293"/>
      <c r="AQ38" s="293"/>
      <c r="AR38" s="293"/>
      <c r="AS38" s="293"/>
      <c r="AT38" s="293"/>
      <c r="AU38" s="293"/>
      <c r="AV38" s="293"/>
      <c r="AW38" s="293"/>
      <c r="AX38" s="293"/>
      <c r="AY38" s="293"/>
      <c r="AZ38" s="293"/>
      <c r="BA38" s="293"/>
      <c r="BB38" s="293"/>
      <c r="BC38" s="293"/>
      <c r="BD38" s="293"/>
      <c r="BE38" s="293"/>
      <c r="BF38" s="293"/>
      <c r="BG38" s="293"/>
      <c r="BH38" s="293"/>
      <c r="BI38" s="294"/>
      <c r="BJ38" s="293"/>
      <c r="BK38" s="295"/>
    </row>
    <row r="39" spans="1:63" ht="15" customHeight="1" x14ac:dyDescent="0.25">
      <c r="A39" s="291"/>
      <c r="B39" s="292"/>
      <c r="C39" s="293"/>
      <c r="D39" s="293"/>
      <c r="E39" s="293"/>
      <c r="F39" s="293"/>
      <c r="G39" s="293"/>
      <c r="H39" s="293"/>
      <c r="I39" s="293"/>
      <c r="J39" s="293"/>
      <c r="K39" s="293"/>
      <c r="L39" s="293"/>
      <c r="M39" s="293"/>
      <c r="N39" s="293"/>
      <c r="O39" s="293"/>
      <c r="P39" s="293"/>
      <c r="Q39" s="293"/>
      <c r="R39" s="293"/>
      <c r="S39" s="293"/>
      <c r="T39" s="293"/>
      <c r="U39" s="293"/>
      <c r="V39" s="293"/>
      <c r="W39" s="293"/>
      <c r="X39" s="293"/>
      <c r="Y39" s="293"/>
      <c r="Z39" s="293"/>
      <c r="AA39" s="293"/>
      <c r="AB39" s="293"/>
      <c r="AC39" s="293"/>
      <c r="AD39" s="293"/>
      <c r="AE39" s="293"/>
      <c r="AF39" s="292"/>
      <c r="AG39" s="293"/>
      <c r="AH39" s="293"/>
      <c r="AI39" s="293"/>
      <c r="AJ39" s="293"/>
      <c r="AK39" s="293"/>
      <c r="AL39" s="293"/>
      <c r="AM39" s="293"/>
      <c r="AN39" s="293"/>
      <c r="AO39" s="293"/>
      <c r="AP39" s="293"/>
      <c r="AQ39" s="293"/>
      <c r="AR39" s="293"/>
      <c r="AS39" s="293"/>
      <c r="AT39" s="293"/>
      <c r="AU39" s="293"/>
      <c r="AV39" s="293"/>
      <c r="AW39" s="293"/>
      <c r="AX39" s="293"/>
      <c r="AY39" s="293"/>
      <c r="AZ39" s="293"/>
      <c r="BA39" s="293"/>
      <c r="BB39" s="293"/>
      <c r="BC39" s="293"/>
      <c r="BD39" s="293"/>
      <c r="BE39" s="293"/>
      <c r="BF39" s="293"/>
      <c r="BG39" s="293"/>
      <c r="BH39" s="293"/>
      <c r="BI39" s="294"/>
      <c r="BJ39" s="293"/>
      <c r="BK39" s="295"/>
    </row>
    <row r="40" spans="1:63" ht="15" customHeight="1" x14ac:dyDescent="0.25">
      <c r="A40" s="291"/>
      <c r="B40" s="292"/>
      <c r="C40" s="293"/>
      <c r="D40" s="293"/>
      <c r="E40" s="293"/>
      <c r="F40" s="293"/>
      <c r="G40" s="293"/>
      <c r="H40" s="293"/>
      <c r="I40" s="293"/>
      <c r="J40" s="293"/>
      <c r="K40" s="293"/>
      <c r="L40" s="293"/>
      <c r="M40" s="293"/>
      <c r="N40" s="293"/>
      <c r="O40" s="293"/>
      <c r="P40" s="293"/>
      <c r="Q40" s="293"/>
      <c r="R40" s="293"/>
      <c r="S40" s="293"/>
      <c r="T40" s="293"/>
      <c r="U40" s="293"/>
      <c r="V40" s="293"/>
      <c r="W40" s="293"/>
      <c r="X40" s="293"/>
      <c r="Y40" s="293"/>
      <c r="Z40" s="293"/>
      <c r="AA40" s="293"/>
      <c r="AB40" s="293"/>
      <c r="AC40" s="293"/>
      <c r="AD40" s="293"/>
      <c r="AE40" s="293"/>
      <c r="AF40" s="292"/>
      <c r="AG40" s="293"/>
      <c r="AH40" s="293"/>
      <c r="AI40" s="293"/>
      <c r="AJ40" s="293"/>
      <c r="AK40" s="293"/>
      <c r="AL40" s="293"/>
      <c r="AM40" s="293"/>
      <c r="AN40" s="293"/>
      <c r="AO40" s="293"/>
      <c r="AP40" s="293"/>
      <c r="AQ40" s="293"/>
      <c r="AR40" s="293"/>
      <c r="AS40" s="293"/>
      <c r="AT40" s="293"/>
      <c r="AU40" s="293"/>
      <c r="AV40" s="293"/>
      <c r="AW40" s="293"/>
      <c r="AX40" s="293"/>
      <c r="AY40" s="293"/>
      <c r="AZ40" s="293"/>
      <c r="BA40" s="293"/>
      <c r="BB40" s="293"/>
      <c r="BC40" s="293"/>
      <c r="BD40" s="293"/>
      <c r="BE40" s="293"/>
      <c r="BF40" s="293"/>
      <c r="BG40" s="293"/>
      <c r="BH40" s="293"/>
      <c r="BI40" s="294"/>
      <c r="BJ40" s="293"/>
      <c r="BK40" s="295"/>
    </row>
    <row r="41" spans="1:63" ht="15" customHeight="1" x14ac:dyDescent="0.25">
      <c r="A41" s="291"/>
      <c r="B41" s="292"/>
      <c r="C41" s="293"/>
      <c r="D41" s="293"/>
      <c r="E41" s="293"/>
      <c r="F41" s="293"/>
      <c r="G41" s="293"/>
      <c r="H41" s="293"/>
      <c r="I41" s="293"/>
      <c r="J41" s="293"/>
      <c r="K41" s="293"/>
      <c r="L41" s="293"/>
      <c r="M41" s="293"/>
      <c r="N41" s="293"/>
      <c r="O41" s="293"/>
      <c r="P41" s="293"/>
      <c r="Q41" s="293"/>
      <c r="R41" s="293"/>
      <c r="S41" s="293"/>
      <c r="T41" s="293"/>
      <c r="U41" s="293"/>
      <c r="V41" s="293"/>
      <c r="W41" s="293"/>
      <c r="X41" s="293"/>
      <c r="Y41" s="293"/>
      <c r="Z41" s="293"/>
      <c r="AA41" s="293"/>
      <c r="AB41" s="293"/>
      <c r="AC41" s="293"/>
      <c r="AD41" s="293"/>
      <c r="AE41" s="293"/>
      <c r="AF41" s="292"/>
      <c r="AG41" s="293"/>
      <c r="AH41" s="293"/>
      <c r="AI41" s="293"/>
      <c r="AJ41" s="293"/>
      <c r="AK41" s="293"/>
      <c r="AL41" s="293"/>
      <c r="AM41" s="293"/>
      <c r="AN41" s="293"/>
      <c r="AO41" s="293"/>
      <c r="AP41" s="293"/>
      <c r="AQ41" s="293"/>
      <c r="AR41" s="293"/>
      <c r="AS41" s="293"/>
      <c r="AT41" s="293"/>
      <c r="AU41" s="293"/>
      <c r="AV41" s="293"/>
      <c r="AW41" s="293"/>
      <c r="AX41" s="293"/>
      <c r="AY41" s="293"/>
      <c r="AZ41" s="293"/>
      <c r="BA41" s="293"/>
      <c r="BB41" s="293"/>
      <c r="BC41" s="293"/>
      <c r="BD41" s="293"/>
      <c r="BE41" s="293"/>
      <c r="BF41" s="293"/>
      <c r="BG41" s="293"/>
      <c r="BH41" s="293"/>
      <c r="BI41" s="294"/>
      <c r="BJ41" s="293"/>
      <c r="BK41" s="295"/>
    </row>
    <row r="42" spans="1:63" ht="15" customHeight="1" x14ac:dyDescent="0.25">
      <c r="A42" s="291"/>
      <c r="B42" s="31" t="s">
        <v>18</v>
      </c>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2"/>
      <c r="AF42" s="31"/>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2"/>
      <c r="BJ42" s="30"/>
      <c r="BK42" s="295"/>
    </row>
    <row r="43" spans="1:63" ht="15" customHeight="1" x14ac:dyDescent="0.25">
      <c r="A43" s="291"/>
      <c r="B43" s="292"/>
      <c r="C43" s="293"/>
      <c r="D43" s="293"/>
      <c r="E43" s="293"/>
      <c r="F43" s="293"/>
      <c r="G43" s="293"/>
      <c r="H43" s="293"/>
      <c r="I43" s="293"/>
      <c r="J43" s="293"/>
      <c r="K43" s="293"/>
      <c r="L43" s="293"/>
      <c r="M43" s="293"/>
      <c r="N43" s="293"/>
      <c r="O43" s="293"/>
      <c r="P43" s="293"/>
      <c r="Q43" s="293"/>
      <c r="R43" s="293"/>
      <c r="S43" s="293"/>
      <c r="T43" s="293"/>
      <c r="U43" s="293"/>
      <c r="V43" s="293"/>
      <c r="W43" s="293"/>
      <c r="X43" s="293"/>
      <c r="Y43" s="293"/>
      <c r="Z43" s="293"/>
      <c r="AA43" s="293"/>
      <c r="AB43" s="293"/>
      <c r="AC43" s="293"/>
      <c r="AD43" s="293"/>
      <c r="AE43" s="294"/>
      <c r="AF43" s="292"/>
      <c r="AG43" s="293"/>
      <c r="AH43" s="293"/>
      <c r="AI43" s="293"/>
      <c r="AJ43" s="293"/>
      <c r="AK43" s="293"/>
      <c r="AL43" s="293"/>
      <c r="AM43" s="293"/>
      <c r="AN43" s="293"/>
      <c r="AO43" s="293"/>
      <c r="AP43" s="293"/>
      <c r="AQ43" s="293"/>
      <c r="AR43" s="293"/>
      <c r="AS43" s="293"/>
      <c r="AT43" s="293"/>
      <c r="AU43" s="293"/>
      <c r="AV43" s="293"/>
      <c r="AW43" s="293"/>
      <c r="AX43" s="293"/>
      <c r="AY43" s="293"/>
      <c r="AZ43" s="293"/>
      <c r="BA43" s="293"/>
      <c r="BB43" s="293"/>
      <c r="BC43" s="293"/>
      <c r="BD43" s="293"/>
      <c r="BE43" s="293"/>
      <c r="BF43" s="293"/>
      <c r="BG43" s="293"/>
      <c r="BH43" s="293"/>
      <c r="BI43" s="294"/>
      <c r="BJ43" s="293"/>
      <c r="BK43" s="295"/>
    </row>
    <row r="44" spans="1:63" ht="15" customHeight="1" x14ac:dyDescent="0.25">
      <c r="A44" s="291"/>
      <c r="B44" s="292"/>
      <c r="C44" s="293"/>
      <c r="D44" s="293"/>
      <c r="E44" s="293"/>
      <c r="F44" s="293"/>
      <c r="G44" s="293"/>
      <c r="H44" s="293"/>
      <c r="I44" s="293"/>
      <c r="J44" s="293"/>
      <c r="K44" s="293"/>
      <c r="L44" s="293"/>
      <c r="M44" s="293"/>
      <c r="N44" s="293"/>
      <c r="O44" s="293"/>
      <c r="P44" s="293"/>
      <c r="Q44" s="293"/>
      <c r="R44" s="293"/>
      <c r="S44" s="293"/>
      <c r="T44" s="293"/>
      <c r="U44" s="293"/>
      <c r="V44" s="293"/>
      <c r="W44" s="293"/>
      <c r="X44" s="293"/>
      <c r="Y44" s="293"/>
      <c r="Z44" s="293"/>
      <c r="AA44" s="293"/>
      <c r="AB44" s="293"/>
      <c r="AC44" s="293"/>
      <c r="AD44" s="293"/>
      <c r="AE44" s="294"/>
      <c r="AF44" s="292"/>
      <c r="AG44" s="293"/>
      <c r="AH44" s="293"/>
      <c r="AI44" s="293"/>
      <c r="AJ44" s="293"/>
      <c r="AK44" s="293"/>
      <c r="AL44" s="293"/>
      <c r="AM44" s="293"/>
      <c r="AN44" s="293"/>
      <c r="AO44" s="293"/>
      <c r="AP44" s="293"/>
      <c r="AQ44" s="293"/>
      <c r="AR44" s="293"/>
      <c r="AS44" s="293"/>
      <c r="AT44" s="293"/>
      <c r="AU44" s="293"/>
      <c r="AV44" s="293"/>
      <c r="AW44" s="293"/>
      <c r="AX44" s="293"/>
      <c r="AY44" s="293"/>
      <c r="AZ44" s="293"/>
      <c r="BA44" s="293"/>
      <c r="BB44" s="293"/>
      <c r="BC44" s="293"/>
      <c r="BD44" s="293"/>
      <c r="BE44" s="293"/>
      <c r="BF44" s="293"/>
      <c r="BG44" s="293"/>
      <c r="BH44" s="293"/>
      <c r="BI44" s="294"/>
      <c r="BJ44" s="293"/>
      <c r="BK44" s="295"/>
    </row>
    <row r="45" spans="1:63" ht="15" customHeight="1" x14ac:dyDescent="0.25">
      <c r="A45" s="291"/>
      <c r="B45" s="292"/>
      <c r="C45" s="293"/>
      <c r="D45" s="293"/>
      <c r="E45" s="293"/>
      <c r="F45" s="293"/>
      <c r="G45" s="293"/>
      <c r="H45" s="293"/>
      <c r="I45" s="293"/>
      <c r="J45" s="293"/>
      <c r="K45" s="293"/>
      <c r="L45" s="293"/>
      <c r="M45" s="293"/>
      <c r="N45" s="293"/>
      <c r="O45" s="293"/>
      <c r="P45" s="293"/>
      <c r="Q45" s="293"/>
      <c r="R45" s="293"/>
      <c r="S45" s="293"/>
      <c r="T45" s="293"/>
      <c r="U45" s="293"/>
      <c r="V45" s="293"/>
      <c r="W45" s="293"/>
      <c r="X45" s="293"/>
      <c r="Y45" s="293"/>
      <c r="Z45" s="293"/>
      <c r="AA45" s="293"/>
      <c r="AB45" s="293"/>
      <c r="AC45" s="293"/>
      <c r="AD45" s="293"/>
      <c r="AE45" s="294"/>
      <c r="AF45" s="292"/>
      <c r="AG45" s="293"/>
      <c r="AH45" s="293"/>
      <c r="AI45" s="293"/>
      <c r="AJ45" s="293"/>
      <c r="AK45" s="293"/>
      <c r="AL45" s="293"/>
      <c r="AM45" s="293"/>
      <c r="AN45" s="293"/>
      <c r="AO45" s="293"/>
      <c r="AP45" s="293"/>
      <c r="AQ45" s="293"/>
      <c r="AR45" s="293"/>
      <c r="AS45" s="293"/>
      <c r="AT45" s="293"/>
      <c r="AU45" s="293"/>
      <c r="AV45" s="293"/>
      <c r="AW45" s="293"/>
      <c r="AX45" s="293"/>
      <c r="AY45" s="293"/>
      <c r="AZ45" s="293"/>
      <c r="BA45" s="293"/>
      <c r="BB45" s="293"/>
      <c r="BC45" s="293"/>
      <c r="BD45" s="293"/>
      <c r="BE45" s="293"/>
      <c r="BF45" s="293"/>
      <c r="BG45" s="293"/>
      <c r="BH45" s="293"/>
      <c r="BI45" s="294"/>
      <c r="BJ45" s="293"/>
      <c r="BK45" s="295"/>
    </row>
    <row r="46" spans="1:63" ht="15" customHeight="1" x14ac:dyDescent="0.25">
      <c r="A46" s="291"/>
      <c r="B46" s="292"/>
      <c r="C46" s="293"/>
      <c r="D46" s="293"/>
      <c r="E46" s="293"/>
      <c r="F46" s="293"/>
      <c r="G46" s="293"/>
      <c r="H46" s="293"/>
      <c r="I46" s="293"/>
      <c r="J46" s="293"/>
      <c r="K46" s="293"/>
      <c r="L46" s="293"/>
      <c r="M46" s="293"/>
      <c r="N46" s="293"/>
      <c r="O46" s="293"/>
      <c r="P46" s="293"/>
      <c r="Q46" s="293"/>
      <c r="R46" s="293"/>
      <c r="S46" s="293"/>
      <c r="T46" s="293"/>
      <c r="U46" s="293"/>
      <c r="V46" s="293"/>
      <c r="W46" s="293"/>
      <c r="X46" s="293"/>
      <c r="Y46" s="293"/>
      <c r="Z46" s="293"/>
      <c r="AA46" s="293"/>
      <c r="AB46" s="293"/>
      <c r="AC46" s="293"/>
      <c r="AD46" s="293"/>
      <c r="AE46" s="294"/>
      <c r="AF46" s="292"/>
      <c r="AG46" s="293"/>
      <c r="AH46" s="293"/>
      <c r="AI46" s="293"/>
      <c r="AJ46" s="293"/>
      <c r="AK46" s="293"/>
      <c r="AL46" s="293"/>
      <c r="AM46" s="293"/>
      <c r="AN46" s="293"/>
      <c r="AO46" s="293"/>
      <c r="AP46" s="293"/>
      <c r="AQ46" s="293"/>
      <c r="AR46" s="293"/>
      <c r="AS46" s="293"/>
      <c r="AT46" s="293"/>
      <c r="AU46" s="293"/>
      <c r="AV46" s="293"/>
      <c r="AW46" s="293"/>
      <c r="AX46" s="293"/>
      <c r="AY46" s="293"/>
      <c r="AZ46" s="293"/>
      <c r="BA46" s="293"/>
      <c r="BB46" s="293"/>
      <c r="BC46" s="293"/>
      <c r="BD46" s="293"/>
      <c r="BE46" s="293"/>
      <c r="BF46" s="293"/>
      <c r="BG46" s="293"/>
      <c r="BH46" s="293"/>
      <c r="BI46" s="294"/>
      <c r="BJ46" s="293"/>
      <c r="BK46" s="295"/>
    </row>
    <row r="47" spans="1:63" ht="15" customHeight="1" x14ac:dyDescent="0.25">
      <c r="A47" s="291"/>
      <c r="B47" s="292"/>
      <c r="C47" s="293"/>
      <c r="D47" s="293"/>
      <c r="E47" s="293"/>
      <c r="F47" s="293"/>
      <c r="G47" s="293"/>
      <c r="H47" s="293"/>
      <c r="I47" s="293"/>
      <c r="J47" s="293"/>
      <c r="K47" s="293"/>
      <c r="L47" s="293"/>
      <c r="M47" s="293"/>
      <c r="N47" s="293"/>
      <c r="O47" s="293"/>
      <c r="P47" s="293"/>
      <c r="Q47" s="293"/>
      <c r="R47" s="293"/>
      <c r="S47" s="293"/>
      <c r="T47" s="293"/>
      <c r="U47" s="293"/>
      <c r="V47" s="293"/>
      <c r="W47" s="293"/>
      <c r="X47" s="293"/>
      <c r="Y47" s="293"/>
      <c r="Z47" s="293"/>
      <c r="AA47" s="293"/>
      <c r="AB47" s="293"/>
      <c r="AC47" s="293"/>
      <c r="AD47" s="293"/>
      <c r="AE47" s="294"/>
      <c r="AF47" s="292"/>
      <c r="AG47" s="293"/>
      <c r="AH47" s="293"/>
      <c r="AI47" s="293"/>
      <c r="AJ47" s="293"/>
      <c r="AK47" s="293"/>
      <c r="AL47" s="293"/>
      <c r="AM47" s="293"/>
      <c r="AN47" s="293"/>
      <c r="AO47" s="293"/>
      <c r="AP47" s="293"/>
      <c r="AQ47" s="293"/>
      <c r="AR47" s="293"/>
      <c r="AS47" s="293"/>
      <c r="AT47" s="293"/>
      <c r="AU47" s="293"/>
      <c r="AV47" s="293"/>
      <c r="AW47" s="293"/>
      <c r="AX47" s="293"/>
      <c r="AY47" s="293"/>
      <c r="AZ47" s="293"/>
      <c r="BA47" s="293"/>
      <c r="BB47" s="293"/>
      <c r="BC47" s="293"/>
      <c r="BD47" s="293"/>
      <c r="BE47" s="293"/>
      <c r="BF47" s="293"/>
      <c r="BG47" s="293"/>
      <c r="BH47" s="293"/>
      <c r="BI47" s="294"/>
      <c r="BJ47" s="293"/>
      <c r="BK47" s="295"/>
    </row>
    <row r="48" spans="1:63" ht="15" customHeight="1" x14ac:dyDescent="0.25">
      <c r="A48" s="291"/>
      <c r="B48" s="292"/>
      <c r="C48" s="293"/>
      <c r="D48" s="293"/>
      <c r="E48" s="293"/>
      <c r="F48" s="293"/>
      <c r="G48" s="293"/>
      <c r="H48" s="293"/>
      <c r="I48" s="293"/>
      <c r="J48" s="293"/>
      <c r="K48" s="293"/>
      <c r="L48" s="293"/>
      <c r="M48" s="293"/>
      <c r="N48" s="293"/>
      <c r="O48" s="293"/>
      <c r="P48" s="293"/>
      <c r="Q48" s="293"/>
      <c r="R48" s="293"/>
      <c r="S48" s="293"/>
      <c r="T48" s="293"/>
      <c r="U48" s="293"/>
      <c r="V48" s="293"/>
      <c r="W48" s="293"/>
      <c r="X48" s="293"/>
      <c r="Y48" s="293"/>
      <c r="Z48" s="293"/>
      <c r="AA48" s="293"/>
      <c r="AB48" s="293"/>
      <c r="AC48" s="293"/>
      <c r="AD48" s="293"/>
      <c r="AE48" s="294"/>
      <c r="AF48" s="292"/>
      <c r="AG48" s="293"/>
      <c r="AH48" s="293"/>
      <c r="AI48" s="293"/>
      <c r="AJ48" s="293"/>
      <c r="AK48" s="293"/>
      <c r="AL48" s="293"/>
      <c r="AM48" s="293"/>
      <c r="AN48" s="293"/>
      <c r="AO48" s="293"/>
      <c r="AP48" s="293"/>
      <c r="AQ48" s="293"/>
      <c r="AR48" s="293"/>
      <c r="AS48" s="293"/>
      <c r="AT48" s="293"/>
      <c r="AU48" s="293"/>
      <c r="AV48" s="293"/>
      <c r="AW48" s="293"/>
      <c r="AX48" s="293"/>
      <c r="AY48" s="293"/>
      <c r="AZ48" s="293"/>
      <c r="BA48" s="293"/>
      <c r="BB48" s="293"/>
      <c r="BC48" s="293"/>
      <c r="BD48" s="293"/>
      <c r="BE48" s="293"/>
      <c r="BF48" s="293"/>
      <c r="BG48" s="293"/>
      <c r="BH48" s="293"/>
      <c r="BI48" s="294"/>
      <c r="BJ48" s="293"/>
      <c r="BK48" s="295"/>
    </row>
    <row r="49" spans="1:63" ht="15" customHeight="1" x14ac:dyDescent="0.25">
      <c r="A49" s="291"/>
      <c r="B49" s="292"/>
      <c r="C49" s="293"/>
      <c r="D49" s="293"/>
      <c r="E49" s="293"/>
      <c r="F49" s="293"/>
      <c r="G49" s="293"/>
      <c r="H49" s="293"/>
      <c r="I49" s="293"/>
      <c r="J49" s="293"/>
      <c r="K49" s="293"/>
      <c r="L49" s="293"/>
      <c r="M49" s="293"/>
      <c r="N49" s="293"/>
      <c r="O49" s="293"/>
      <c r="P49" s="293"/>
      <c r="Q49" s="293"/>
      <c r="R49" s="293"/>
      <c r="S49" s="293"/>
      <c r="T49" s="293"/>
      <c r="U49" s="293"/>
      <c r="V49" s="293"/>
      <c r="W49" s="293"/>
      <c r="X49" s="293"/>
      <c r="Y49" s="293"/>
      <c r="Z49" s="293"/>
      <c r="AA49" s="293"/>
      <c r="AB49" s="293"/>
      <c r="AC49" s="293"/>
      <c r="AD49" s="293"/>
      <c r="AE49" s="293"/>
      <c r="AF49" s="292"/>
      <c r="AG49" s="293"/>
      <c r="AH49" s="293"/>
      <c r="AI49" s="293"/>
      <c r="AJ49" s="293"/>
      <c r="AK49" s="293"/>
      <c r="AL49" s="293"/>
      <c r="AM49" s="293"/>
      <c r="AN49" s="293"/>
      <c r="AO49" s="293"/>
      <c r="AP49" s="293"/>
      <c r="AQ49" s="293"/>
      <c r="AR49" s="293"/>
      <c r="AS49" s="293"/>
      <c r="AT49" s="293"/>
      <c r="AU49" s="293"/>
      <c r="AV49" s="293"/>
      <c r="AW49" s="293"/>
      <c r="AX49" s="293"/>
      <c r="AY49" s="293"/>
      <c r="AZ49" s="293"/>
      <c r="BA49" s="293"/>
      <c r="BB49" s="293"/>
      <c r="BC49" s="293"/>
      <c r="BD49" s="293"/>
      <c r="BE49" s="293"/>
      <c r="BF49" s="293"/>
      <c r="BG49" s="293"/>
      <c r="BH49" s="293"/>
      <c r="BI49" s="294"/>
      <c r="BJ49" s="293"/>
      <c r="BK49" s="295"/>
    </row>
    <row r="50" spans="1:63" ht="15" customHeight="1" x14ac:dyDescent="0.25">
      <c r="A50" s="291"/>
      <c r="B50" s="292"/>
      <c r="C50" s="293"/>
      <c r="D50" s="293"/>
      <c r="E50" s="293"/>
      <c r="F50" s="293"/>
      <c r="G50" s="293"/>
      <c r="H50" s="293"/>
      <c r="I50" s="293"/>
      <c r="J50" s="293"/>
      <c r="K50" s="293"/>
      <c r="L50" s="293"/>
      <c r="M50" s="293"/>
      <c r="N50" s="293"/>
      <c r="O50" s="293"/>
      <c r="P50" s="293"/>
      <c r="Q50" s="293"/>
      <c r="R50" s="293"/>
      <c r="S50" s="293"/>
      <c r="T50" s="293"/>
      <c r="U50" s="293"/>
      <c r="V50" s="293"/>
      <c r="W50" s="293"/>
      <c r="X50" s="293"/>
      <c r="Y50" s="293"/>
      <c r="Z50" s="293"/>
      <c r="AA50" s="293"/>
      <c r="AB50" s="293"/>
      <c r="AC50" s="293"/>
      <c r="AD50" s="293"/>
      <c r="AE50" s="293"/>
      <c r="AF50" s="292"/>
      <c r="AG50" s="293"/>
      <c r="AH50" s="293"/>
      <c r="AI50" s="293"/>
      <c r="AJ50" s="293"/>
      <c r="AK50" s="293"/>
      <c r="AL50" s="293"/>
      <c r="AM50" s="293"/>
      <c r="AN50" s="293"/>
      <c r="AO50" s="293"/>
      <c r="AP50" s="293"/>
      <c r="AQ50" s="293"/>
      <c r="AR50" s="293"/>
      <c r="AS50" s="293"/>
      <c r="AT50" s="293"/>
      <c r="AU50" s="293"/>
      <c r="AV50" s="293"/>
      <c r="AW50" s="293"/>
      <c r="AX50" s="293"/>
      <c r="AY50" s="293"/>
      <c r="AZ50" s="293"/>
      <c r="BA50" s="293"/>
      <c r="BB50" s="293"/>
      <c r="BC50" s="293"/>
      <c r="BD50" s="293"/>
      <c r="BE50" s="293"/>
      <c r="BF50" s="293"/>
      <c r="BG50" s="293"/>
      <c r="BH50" s="293"/>
      <c r="BI50" s="294"/>
      <c r="BJ50" s="293"/>
      <c r="BK50" s="295"/>
    </row>
    <row r="51" spans="1:63" ht="15" customHeight="1" x14ac:dyDescent="0.25">
      <c r="A51" s="291"/>
      <c r="B51" s="292"/>
      <c r="C51" s="293"/>
      <c r="D51" s="293"/>
      <c r="E51" s="293"/>
      <c r="F51" s="293"/>
      <c r="G51" s="293"/>
      <c r="H51" s="293"/>
      <c r="I51" s="293"/>
      <c r="J51" s="293"/>
      <c r="K51" s="293"/>
      <c r="L51" s="293"/>
      <c r="M51" s="293"/>
      <c r="N51" s="293"/>
      <c r="O51" s="293"/>
      <c r="P51" s="293"/>
      <c r="Q51" s="293"/>
      <c r="R51" s="293"/>
      <c r="S51" s="293"/>
      <c r="T51" s="293"/>
      <c r="U51" s="293"/>
      <c r="V51" s="293"/>
      <c r="W51" s="293"/>
      <c r="X51" s="293"/>
      <c r="Y51" s="293"/>
      <c r="Z51" s="293"/>
      <c r="AA51" s="293"/>
      <c r="AB51" s="293"/>
      <c r="AC51" s="293"/>
      <c r="AD51" s="293"/>
      <c r="AE51" s="293"/>
      <c r="AF51" s="292"/>
      <c r="AG51" s="293"/>
      <c r="AH51" s="293"/>
      <c r="AI51" s="293"/>
      <c r="AJ51" s="293"/>
      <c r="AK51" s="293"/>
      <c r="AL51" s="293"/>
      <c r="AM51" s="293"/>
      <c r="AN51" s="293"/>
      <c r="AO51" s="293"/>
      <c r="AP51" s="293"/>
      <c r="AQ51" s="293"/>
      <c r="AR51" s="293"/>
      <c r="AS51" s="293"/>
      <c r="AT51" s="293"/>
      <c r="AU51" s="293"/>
      <c r="AV51" s="293"/>
      <c r="AW51" s="293"/>
      <c r="AX51" s="293"/>
      <c r="AY51" s="293"/>
      <c r="AZ51" s="293"/>
      <c r="BA51" s="293"/>
      <c r="BB51" s="293"/>
      <c r="BC51" s="293"/>
      <c r="BD51" s="293"/>
      <c r="BE51" s="293"/>
      <c r="BF51" s="293"/>
      <c r="BG51" s="293"/>
      <c r="BH51" s="293"/>
      <c r="BI51" s="294"/>
      <c r="BJ51" s="293"/>
      <c r="BK51" s="295"/>
    </row>
    <row r="52" spans="1:63" ht="15" customHeight="1" x14ac:dyDescent="0.25">
      <c r="A52" s="291"/>
      <c r="B52" s="292"/>
      <c r="C52" s="293"/>
      <c r="D52" s="293"/>
      <c r="E52" s="293"/>
      <c r="F52" s="293"/>
      <c r="G52" s="293"/>
      <c r="H52" s="293"/>
      <c r="I52" s="293"/>
      <c r="J52" s="293"/>
      <c r="K52" s="293"/>
      <c r="L52" s="293"/>
      <c r="M52" s="293"/>
      <c r="N52" s="293"/>
      <c r="O52" s="293"/>
      <c r="P52" s="293"/>
      <c r="Q52" s="293"/>
      <c r="R52" s="293"/>
      <c r="S52" s="293"/>
      <c r="T52" s="293"/>
      <c r="U52" s="293"/>
      <c r="V52" s="293"/>
      <c r="W52" s="293"/>
      <c r="X52" s="293"/>
      <c r="Y52" s="293"/>
      <c r="Z52" s="293"/>
      <c r="AA52" s="293"/>
      <c r="AB52" s="293"/>
      <c r="AC52" s="293"/>
      <c r="AD52" s="293"/>
      <c r="AE52" s="293"/>
      <c r="AF52" s="292"/>
      <c r="AG52" s="293"/>
      <c r="AH52" s="293"/>
      <c r="AI52" s="293"/>
      <c r="AJ52" s="293"/>
      <c r="AK52" s="293"/>
      <c r="AL52" s="293"/>
      <c r="AM52" s="293"/>
      <c r="AN52" s="293"/>
      <c r="AO52" s="293"/>
      <c r="AP52" s="293"/>
      <c r="AQ52" s="293"/>
      <c r="AR52" s="293"/>
      <c r="AS52" s="293"/>
      <c r="AT52" s="293"/>
      <c r="AU52" s="293"/>
      <c r="AV52" s="293"/>
      <c r="AW52" s="293"/>
      <c r="AX52" s="293"/>
      <c r="AY52" s="293"/>
      <c r="AZ52" s="293"/>
      <c r="BA52" s="293"/>
      <c r="BB52" s="293"/>
      <c r="BC52" s="293"/>
      <c r="BD52" s="293"/>
      <c r="BE52" s="293"/>
      <c r="BF52" s="293"/>
      <c r="BG52" s="293"/>
      <c r="BH52" s="293"/>
      <c r="BI52" s="294"/>
      <c r="BJ52" s="293"/>
      <c r="BK52" s="295"/>
    </row>
    <row r="53" spans="1:63" ht="15" customHeight="1" x14ac:dyDescent="0.25">
      <c r="A53" s="291"/>
      <c r="B53" s="292"/>
      <c r="C53" s="293"/>
      <c r="D53" s="293"/>
      <c r="E53" s="293"/>
      <c r="F53" s="293"/>
      <c r="G53" s="293"/>
      <c r="H53" s="293"/>
      <c r="I53" s="293"/>
      <c r="J53" s="293"/>
      <c r="K53" s="293"/>
      <c r="L53" s="293"/>
      <c r="M53" s="293"/>
      <c r="N53" s="293"/>
      <c r="O53" s="293"/>
      <c r="P53" s="293"/>
      <c r="Q53" s="293"/>
      <c r="R53" s="293"/>
      <c r="S53" s="293"/>
      <c r="T53" s="293"/>
      <c r="U53" s="293"/>
      <c r="V53" s="293"/>
      <c r="W53" s="293"/>
      <c r="X53" s="293"/>
      <c r="Y53" s="293"/>
      <c r="Z53" s="293"/>
      <c r="AA53" s="293"/>
      <c r="AB53" s="293"/>
      <c r="AC53" s="293"/>
      <c r="AD53" s="293"/>
      <c r="AE53" s="293"/>
      <c r="AF53" s="292"/>
      <c r="AG53" s="293"/>
      <c r="AH53" s="293"/>
      <c r="AI53" s="293"/>
      <c r="AJ53" s="293"/>
      <c r="AK53" s="293"/>
      <c r="AL53" s="293"/>
      <c r="AM53" s="293"/>
      <c r="AN53" s="293"/>
      <c r="AO53" s="293"/>
      <c r="AP53" s="293"/>
      <c r="AQ53" s="293"/>
      <c r="AR53" s="293"/>
      <c r="AS53" s="293"/>
      <c r="AT53" s="293"/>
      <c r="AU53" s="293"/>
      <c r="AV53" s="293"/>
      <c r="AW53" s="293"/>
      <c r="AX53" s="293"/>
      <c r="AY53" s="293"/>
      <c r="AZ53" s="293"/>
      <c r="BA53" s="293"/>
      <c r="BB53" s="293"/>
      <c r="BC53" s="293"/>
      <c r="BD53" s="293"/>
      <c r="BE53" s="293"/>
      <c r="BF53" s="293"/>
      <c r="BG53" s="293"/>
      <c r="BH53" s="293"/>
      <c r="BI53" s="294"/>
      <c r="BJ53" s="293"/>
      <c r="BK53" s="295"/>
    </row>
    <row r="54" spans="1:63" ht="15" customHeight="1" x14ac:dyDescent="0.25">
      <c r="A54" s="291"/>
      <c r="B54" s="292"/>
      <c r="C54" s="293"/>
      <c r="D54" s="293"/>
      <c r="E54" s="293"/>
      <c r="F54" s="293"/>
      <c r="G54" s="293"/>
      <c r="H54" s="293"/>
      <c r="I54" s="293"/>
      <c r="J54" s="293"/>
      <c r="K54" s="293"/>
      <c r="L54" s="293"/>
      <c r="M54" s="293"/>
      <c r="N54" s="293"/>
      <c r="O54" s="293"/>
      <c r="P54" s="293"/>
      <c r="Q54" s="293"/>
      <c r="R54" s="293"/>
      <c r="S54" s="293"/>
      <c r="T54" s="293"/>
      <c r="U54" s="293"/>
      <c r="V54" s="293"/>
      <c r="W54" s="293"/>
      <c r="X54" s="293"/>
      <c r="Y54" s="293"/>
      <c r="Z54" s="293"/>
      <c r="AA54" s="293"/>
      <c r="AB54" s="293"/>
      <c r="AC54" s="293"/>
      <c r="AD54" s="293"/>
      <c r="AE54" s="293"/>
      <c r="AF54" s="292"/>
      <c r="AG54" s="293"/>
      <c r="AH54" s="293"/>
      <c r="AI54" s="293"/>
      <c r="AJ54" s="293"/>
      <c r="AK54" s="293"/>
      <c r="AL54" s="293"/>
      <c r="AM54" s="293"/>
      <c r="AN54" s="293"/>
      <c r="AO54" s="293"/>
      <c r="AP54" s="293"/>
      <c r="AQ54" s="293"/>
      <c r="AR54" s="293"/>
      <c r="AS54" s="293"/>
      <c r="AT54" s="293"/>
      <c r="AU54" s="293"/>
      <c r="AV54" s="293"/>
      <c r="AW54" s="293"/>
      <c r="AX54" s="293"/>
      <c r="AY54" s="293"/>
      <c r="AZ54" s="293"/>
      <c r="BA54" s="293"/>
      <c r="BB54" s="293"/>
      <c r="BC54" s="293"/>
      <c r="BD54" s="293"/>
      <c r="BE54" s="293"/>
      <c r="BF54" s="293"/>
      <c r="BG54" s="293"/>
      <c r="BH54" s="293"/>
      <c r="BI54" s="294"/>
      <c r="BJ54" s="293"/>
      <c r="BK54" s="295"/>
    </row>
    <row r="55" spans="1:63" ht="15" customHeight="1" x14ac:dyDescent="0.25">
      <c r="A55" s="291"/>
      <c r="B55" s="292"/>
      <c r="C55" s="293"/>
      <c r="D55" s="293"/>
      <c r="E55" s="293"/>
      <c r="F55" s="293"/>
      <c r="G55" s="293"/>
      <c r="H55" s="293"/>
      <c r="I55" s="293"/>
      <c r="J55" s="293"/>
      <c r="K55" s="293"/>
      <c r="L55" s="293"/>
      <c r="M55" s="293"/>
      <c r="N55" s="293"/>
      <c r="O55" s="293"/>
      <c r="P55" s="293"/>
      <c r="Q55" s="293"/>
      <c r="R55" s="293"/>
      <c r="S55" s="293"/>
      <c r="T55" s="293"/>
      <c r="U55" s="293"/>
      <c r="V55" s="293"/>
      <c r="W55" s="293"/>
      <c r="X55" s="293"/>
      <c r="Y55" s="293"/>
      <c r="Z55" s="293"/>
      <c r="AA55" s="293"/>
      <c r="AB55" s="293"/>
      <c r="AC55" s="293"/>
      <c r="AD55" s="293"/>
      <c r="AE55" s="293"/>
      <c r="AF55" s="292"/>
      <c r="AG55" s="293"/>
      <c r="AH55" s="293"/>
      <c r="AI55" s="293"/>
      <c r="AJ55" s="293"/>
      <c r="AK55" s="293"/>
      <c r="AL55" s="293"/>
      <c r="AM55" s="293"/>
      <c r="AN55" s="293"/>
      <c r="AO55" s="293"/>
      <c r="AP55" s="293"/>
      <c r="AQ55" s="293"/>
      <c r="AR55" s="293"/>
      <c r="AS55" s="293"/>
      <c r="AT55" s="293"/>
      <c r="AU55" s="293"/>
      <c r="AV55" s="293"/>
      <c r="AW55" s="293"/>
      <c r="AX55" s="293"/>
      <c r="AY55" s="293"/>
      <c r="AZ55" s="293"/>
      <c r="BA55" s="293"/>
      <c r="BB55" s="293"/>
      <c r="BC55" s="293"/>
      <c r="BD55" s="293"/>
      <c r="BE55" s="293"/>
      <c r="BF55" s="293"/>
      <c r="BG55" s="293"/>
      <c r="BH55" s="293"/>
      <c r="BI55" s="294"/>
      <c r="BJ55" s="293"/>
      <c r="BK55" s="295"/>
    </row>
    <row r="56" spans="1:63" ht="15" customHeight="1" x14ac:dyDescent="0.25">
      <c r="A56" s="291"/>
      <c r="B56" s="292"/>
      <c r="C56" s="293"/>
      <c r="D56" s="293"/>
      <c r="E56" s="293"/>
      <c r="F56" s="293"/>
      <c r="G56" s="293"/>
      <c r="H56" s="293"/>
      <c r="I56" s="293"/>
      <c r="J56" s="293"/>
      <c r="K56" s="293"/>
      <c r="L56" s="293"/>
      <c r="M56" s="293"/>
      <c r="N56" s="293"/>
      <c r="O56" s="293"/>
      <c r="P56" s="293"/>
      <c r="Q56" s="293"/>
      <c r="R56" s="293"/>
      <c r="S56" s="293"/>
      <c r="T56" s="293"/>
      <c r="U56" s="293"/>
      <c r="V56" s="293"/>
      <c r="W56" s="293"/>
      <c r="X56" s="293"/>
      <c r="Y56" s="293"/>
      <c r="Z56" s="293"/>
      <c r="AA56" s="293"/>
      <c r="AB56" s="293"/>
      <c r="AC56" s="293"/>
      <c r="AD56" s="293"/>
      <c r="AE56" s="293"/>
      <c r="AF56" s="292"/>
      <c r="AG56" s="293"/>
      <c r="AH56" s="293"/>
      <c r="AI56" s="293"/>
      <c r="AJ56" s="293"/>
      <c r="AK56" s="293"/>
      <c r="AL56" s="293"/>
      <c r="AM56" s="293"/>
      <c r="AN56" s="293"/>
      <c r="AO56" s="293"/>
      <c r="AP56" s="293"/>
      <c r="AQ56" s="293"/>
      <c r="AR56" s="293"/>
      <c r="AS56" s="293"/>
      <c r="AT56" s="293"/>
      <c r="AU56" s="293"/>
      <c r="AV56" s="293"/>
      <c r="AW56" s="293"/>
      <c r="AX56" s="293"/>
      <c r="AY56" s="293"/>
      <c r="AZ56" s="293"/>
      <c r="BA56" s="293"/>
      <c r="BB56" s="293"/>
      <c r="BC56" s="293"/>
      <c r="BD56" s="293"/>
      <c r="BE56" s="293"/>
      <c r="BF56" s="293"/>
      <c r="BG56" s="293"/>
      <c r="BH56" s="293"/>
      <c r="BI56" s="294"/>
      <c r="BJ56" s="293"/>
      <c r="BK56" s="295"/>
    </row>
    <row r="57" spans="1:63" ht="15" customHeight="1" x14ac:dyDescent="0.25">
      <c r="A57" s="291"/>
      <c r="B57" s="292"/>
      <c r="C57" s="293"/>
      <c r="D57" s="293"/>
      <c r="E57" s="293"/>
      <c r="F57" s="293"/>
      <c r="G57" s="293"/>
      <c r="H57" s="293"/>
      <c r="I57" s="293"/>
      <c r="J57" s="293"/>
      <c r="K57" s="293"/>
      <c r="L57" s="293"/>
      <c r="M57" s="293"/>
      <c r="N57" s="293"/>
      <c r="O57" s="293"/>
      <c r="P57" s="293"/>
      <c r="Q57" s="293"/>
      <c r="R57" s="293"/>
      <c r="S57" s="293"/>
      <c r="T57" s="293"/>
      <c r="U57" s="293"/>
      <c r="V57" s="293"/>
      <c r="W57" s="293"/>
      <c r="X57" s="293"/>
      <c r="Y57" s="293"/>
      <c r="Z57" s="293"/>
      <c r="AA57" s="293"/>
      <c r="AB57" s="293"/>
      <c r="AC57" s="293"/>
      <c r="AD57" s="293"/>
      <c r="AE57" s="293"/>
      <c r="AF57" s="292"/>
      <c r="AG57" s="293"/>
      <c r="AH57" s="293"/>
      <c r="AI57" s="293"/>
      <c r="AJ57" s="293"/>
      <c r="AK57" s="293"/>
      <c r="AL57" s="293"/>
      <c r="AM57" s="293"/>
      <c r="AN57" s="293"/>
      <c r="AO57" s="293"/>
      <c r="AP57" s="293"/>
      <c r="AQ57" s="293"/>
      <c r="AR57" s="293"/>
      <c r="AS57" s="293"/>
      <c r="AT57" s="293"/>
      <c r="AU57" s="293"/>
      <c r="AV57" s="293"/>
      <c r="AW57" s="293"/>
      <c r="AX57" s="293"/>
      <c r="AY57" s="293"/>
      <c r="AZ57" s="293"/>
      <c r="BA57" s="293"/>
      <c r="BB57" s="293"/>
      <c r="BC57" s="293"/>
      <c r="BD57" s="293"/>
      <c r="BE57" s="293"/>
      <c r="BF57" s="293"/>
      <c r="BG57" s="293"/>
      <c r="BH57" s="293"/>
      <c r="BI57" s="294"/>
      <c r="BJ57" s="293"/>
      <c r="BK57" s="295"/>
    </row>
    <row r="58" spans="1:63" ht="15" customHeight="1" x14ac:dyDescent="0.25">
      <c r="A58" s="291"/>
      <c r="B58" s="292"/>
      <c r="C58" s="293"/>
      <c r="D58" s="293"/>
      <c r="E58" s="293"/>
      <c r="F58" s="293"/>
      <c r="G58" s="293"/>
      <c r="H58" s="293"/>
      <c r="I58" s="293"/>
      <c r="J58" s="293"/>
      <c r="K58" s="293"/>
      <c r="L58" s="293"/>
      <c r="M58" s="293"/>
      <c r="N58" s="293"/>
      <c r="O58" s="293"/>
      <c r="P58" s="293"/>
      <c r="Q58" s="293"/>
      <c r="R58" s="293"/>
      <c r="S58" s="293"/>
      <c r="T58" s="293"/>
      <c r="U58" s="293"/>
      <c r="V58" s="293"/>
      <c r="W58" s="293"/>
      <c r="X58" s="293"/>
      <c r="Y58" s="293"/>
      <c r="Z58" s="293"/>
      <c r="AA58" s="293"/>
      <c r="AB58" s="293"/>
      <c r="AC58" s="293"/>
      <c r="AD58" s="293"/>
      <c r="AE58" s="293"/>
      <c r="AF58" s="292"/>
      <c r="AG58" s="293"/>
      <c r="AH58" s="293"/>
      <c r="AI58" s="293"/>
      <c r="AJ58" s="293"/>
      <c r="AK58" s="293"/>
      <c r="AL58" s="293"/>
      <c r="AM58" s="293"/>
      <c r="AN58" s="293"/>
      <c r="AO58" s="293"/>
      <c r="AP58" s="293"/>
      <c r="AQ58" s="293"/>
      <c r="AR58" s="293"/>
      <c r="AS58" s="293"/>
      <c r="AT58" s="293"/>
      <c r="AU58" s="293"/>
      <c r="AV58" s="293"/>
      <c r="AW58" s="293"/>
      <c r="AX58" s="293"/>
      <c r="AY58" s="293"/>
      <c r="AZ58" s="293"/>
      <c r="BA58" s="293"/>
      <c r="BB58" s="293"/>
      <c r="BC58" s="293"/>
      <c r="BD58" s="293"/>
      <c r="BE58" s="293"/>
      <c r="BF58" s="293"/>
      <c r="BG58" s="293"/>
      <c r="BH58" s="293"/>
      <c r="BI58" s="294"/>
      <c r="BJ58" s="293"/>
      <c r="BK58" s="295"/>
    </row>
    <row r="59" spans="1:63" ht="15" customHeight="1" x14ac:dyDescent="0.25">
      <c r="A59" s="291"/>
      <c r="B59" s="292"/>
      <c r="C59" s="293"/>
      <c r="D59" s="293"/>
      <c r="E59" s="293"/>
      <c r="F59" s="293"/>
      <c r="G59" s="293"/>
      <c r="H59" s="293"/>
      <c r="I59" s="293"/>
      <c r="J59" s="293"/>
      <c r="K59" s="293"/>
      <c r="L59" s="293"/>
      <c r="M59" s="293"/>
      <c r="N59" s="293"/>
      <c r="O59" s="293"/>
      <c r="P59" s="293"/>
      <c r="Q59" s="293"/>
      <c r="R59" s="293"/>
      <c r="S59" s="293"/>
      <c r="T59" s="293"/>
      <c r="U59" s="293"/>
      <c r="V59" s="293"/>
      <c r="W59" s="293"/>
      <c r="X59" s="293"/>
      <c r="Y59" s="293"/>
      <c r="Z59" s="293"/>
      <c r="AA59" s="293"/>
      <c r="AB59" s="293"/>
      <c r="AC59" s="293"/>
      <c r="AD59" s="293"/>
      <c r="AE59" s="293"/>
      <c r="AF59" s="292"/>
      <c r="AG59" s="293"/>
      <c r="AH59" s="293"/>
      <c r="AI59" s="293"/>
      <c r="AJ59" s="293"/>
      <c r="AK59" s="293"/>
      <c r="AL59" s="293"/>
      <c r="AM59" s="293"/>
      <c r="AN59" s="293"/>
      <c r="AO59" s="293"/>
      <c r="AP59" s="293"/>
      <c r="AQ59" s="293"/>
      <c r="AR59" s="293"/>
      <c r="AS59" s="293"/>
      <c r="AT59" s="293"/>
      <c r="AU59" s="293"/>
      <c r="AV59" s="293"/>
      <c r="AW59" s="293"/>
      <c r="AX59" s="293"/>
      <c r="AY59" s="293"/>
      <c r="AZ59" s="293"/>
      <c r="BA59" s="293"/>
      <c r="BB59" s="293"/>
      <c r="BC59" s="293"/>
      <c r="BD59" s="293"/>
      <c r="BE59" s="293"/>
      <c r="BF59" s="293"/>
      <c r="BG59" s="293"/>
      <c r="BH59" s="293"/>
      <c r="BI59" s="294"/>
      <c r="BJ59" s="293"/>
      <c r="BK59" s="295"/>
    </row>
    <row r="60" spans="1:63" ht="15" customHeight="1" x14ac:dyDescent="0.25">
      <c r="A60" s="291"/>
      <c r="B60" s="292"/>
      <c r="C60" s="293"/>
      <c r="D60" s="293"/>
      <c r="E60" s="293"/>
      <c r="F60" s="293"/>
      <c r="G60" s="293"/>
      <c r="H60" s="293"/>
      <c r="I60" s="293"/>
      <c r="J60" s="293"/>
      <c r="K60" s="293"/>
      <c r="L60" s="293"/>
      <c r="M60" s="293"/>
      <c r="N60" s="293"/>
      <c r="O60" s="293"/>
      <c r="P60" s="293"/>
      <c r="Q60" s="293"/>
      <c r="R60" s="293"/>
      <c r="S60" s="293"/>
      <c r="T60" s="293"/>
      <c r="U60" s="293"/>
      <c r="V60" s="293"/>
      <c r="W60" s="293"/>
      <c r="X60" s="293"/>
      <c r="Y60" s="293"/>
      <c r="Z60" s="293"/>
      <c r="AA60" s="293"/>
      <c r="AB60" s="293"/>
      <c r="AC60" s="293"/>
      <c r="AD60" s="293"/>
      <c r="AE60" s="293"/>
      <c r="AF60" s="292"/>
      <c r="AG60" s="293"/>
      <c r="AH60" s="293"/>
      <c r="AI60" s="293"/>
      <c r="AJ60" s="293"/>
      <c r="AK60" s="293"/>
      <c r="AL60" s="293"/>
      <c r="AM60" s="293"/>
      <c r="AN60" s="293"/>
      <c r="AO60" s="293"/>
      <c r="AP60" s="293"/>
      <c r="AQ60" s="293"/>
      <c r="AR60" s="293"/>
      <c r="AS60" s="293"/>
      <c r="AT60" s="293"/>
      <c r="AU60" s="293"/>
      <c r="AV60" s="293"/>
      <c r="AW60" s="293"/>
      <c r="AX60" s="293"/>
      <c r="AY60" s="293"/>
      <c r="AZ60" s="293"/>
      <c r="BA60" s="293"/>
      <c r="BB60" s="293"/>
      <c r="BC60" s="293"/>
      <c r="BD60" s="293"/>
      <c r="BE60" s="293"/>
      <c r="BF60" s="293"/>
      <c r="BG60" s="293"/>
      <c r="BH60" s="293"/>
      <c r="BI60" s="294"/>
      <c r="BJ60" s="293"/>
      <c r="BK60" s="295"/>
    </row>
    <row r="61" spans="1:63" ht="15" customHeight="1" x14ac:dyDescent="0.25">
      <c r="A61" s="291"/>
      <c r="B61" s="292"/>
      <c r="C61" s="293"/>
      <c r="D61" s="293"/>
      <c r="E61" s="293"/>
      <c r="F61" s="293"/>
      <c r="G61" s="293"/>
      <c r="H61" s="293"/>
      <c r="I61" s="293"/>
      <c r="J61" s="293"/>
      <c r="K61" s="293"/>
      <c r="L61" s="293"/>
      <c r="M61" s="293"/>
      <c r="N61" s="293"/>
      <c r="O61" s="293"/>
      <c r="P61" s="293"/>
      <c r="Q61" s="293"/>
      <c r="R61" s="293"/>
      <c r="S61" s="293"/>
      <c r="T61" s="293"/>
      <c r="U61" s="293"/>
      <c r="V61" s="293"/>
      <c r="W61" s="293"/>
      <c r="X61" s="293"/>
      <c r="Y61" s="293"/>
      <c r="Z61" s="293"/>
      <c r="AA61" s="293"/>
      <c r="AB61" s="293"/>
      <c r="AC61" s="293"/>
      <c r="AD61" s="293"/>
      <c r="AE61" s="293"/>
      <c r="AF61" s="292"/>
      <c r="AG61" s="293"/>
      <c r="AH61" s="293"/>
      <c r="AI61" s="293"/>
      <c r="AJ61" s="293"/>
      <c r="AK61" s="293"/>
      <c r="AL61" s="293"/>
      <c r="AM61" s="293"/>
      <c r="AN61" s="293"/>
      <c r="AO61" s="293"/>
      <c r="AP61" s="293"/>
      <c r="AQ61" s="293"/>
      <c r="AR61" s="293"/>
      <c r="AS61" s="293"/>
      <c r="AT61" s="293"/>
      <c r="AU61" s="293"/>
      <c r="AV61" s="293"/>
      <c r="AW61" s="293"/>
      <c r="AX61" s="293"/>
      <c r="AY61" s="293"/>
      <c r="AZ61" s="293"/>
      <c r="BA61" s="293"/>
      <c r="BB61" s="293"/>
      <c r="BC61" s="293"/>
      <c r="BD61" s="293"/>
      <c r="BE61" s="293"/>
      <c r="BF61" s="293"/>
      <c r="BG61" s="293"/>
      <c r="BH61" s="293"/>
      <c r="BI61" s="294"/>
      <c r="BJ61" s="293"/>
      <c r="BK61" s="295"/>
    </row>
    <row r="62" spans="1:63" ht="15" customHeight="1" x14ac:dyDescent="0.25">
      <c r="A62" s="296"/>
      <c r="B62" s="297"/>
      <c r="C62" s="296"/>
      <c r="D62" s="296"/>
      <c r="E62" s="296"/>
      <c r="F62" s="296"/>
      <c r="G62" s="296"/>
      <c r="H62" s="296"/>
      <c r="I62" s="296"/>
      <c r="J62" s="296"/>
      <c r="K62" s="296"/>
      <c r="L62" s="296"/>
      <c r="M62" s="296"/>
      <c r="N62" s="296"/>
      <c r="O62" s="296"/>
      <c r="P62" s="296"/>
      <c r="Q62" s="296"/>
      <c r="R62" s="296"/>
      <c r="S62" s="296"/>
      <c r="T62" s="296"/>
      <c r="U62" s="296"/>
      <c r="V62" s="296"/>
      <c r="W62" s="296"/>
      <c r="X62" s="296"/>
      <c r="Y62" s="296"/>
      <c r="Z62" s="296"/>
      <c r="AA62" s="296"/>
      <c r="AB62" s="296"/>
      <c r="AC62" s="296"/>
      <c r="AD62" s="296"/>
      <c r="AE62" s="298"/>
      <c r="AF62" s="297"/>
      <c r="AG62" s="296"/>
      <c r="AH62" s="296"/>
      <c r="AI62" s="296"/>
      <c r="AJ62" s="296"/>
      <c r="AK62" s="296"/>
      <c r="AL62" s="296"/>
      <c r="AM62" s="296"/>
      <c r="AN62" s="296"/>
      <c r="AO62" s="296"/>
      <c r="AP62" s="296"/>
      <c r="AQ62" s="296"/>
      <c r="AR62" s="296"/>
      <c r="AS62" s="296"/>
      <c r="AT62" s="296"/>
      <c r="AU62" s="296"/>
      <c r="AV62" s="296"/>
      <c r="AW62" s="296"/>
      <c r="AX62" s="296"/>
      <c r="AY62" s="296"/>
      <c r="AZ62" s="296"/>
      <c r="BA62" s="296"/>
      <c r="BB62" s="296"/>
      <c r="BC62" s="296"/>
      <c r="BD62" s="296"/>
      <c r="BE62" s="296"/>
      <c r="BF62" s="296"/>
      <c r="BG62" s="296"/>
      <c r="BH62" s="296"/>
      <c r="BI62" s="298"/>
      <c r="BJ62" s="296"/>
      <c r="BK62" s="299"/>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225" customWidth="1"/>
    <col min="66" max="16384" width="2.77734375" style="225"/>
  </cols>
  <sheetData>
    <row r="1" spans="1:65" ht="24.95" customHeight="1" x14ac:dyDescent="0.25">
      <c r="A1" s="219" t="s">
        <v>70</v>
      </c>
      <c r="B1" s="220"/>
      <c r="C1" s="220"/>
      <c r="D1" s="220"/>
      <c r="E1" s="220"/>
      <c r="F1" s="220"/>
      <c r="G1" s="220"/>
      <c r="H1" s="220"/>
      <c r="I1" s="220"/>
      <c r="J1" s="221"/>
      <c r="K1" s="219" t="s">
        <v>71</v>
      </c>
      <c r="L1" s="220"/>
      <c r="M1" s="220"/>
      <c r="N1" s="220"/>
      <c r="O1" s="220"/>
      <c r="P1" s="220"/>
      <c r="Q1" s="220"/>
      <c r="R1" s="220"/>
      <c r="S1" s="220"/>
      <c r="T1" s="220"/>
      <c r="U1" s="220"/>
      <c r="V1" s="221"/>
      <c r="W1" s="222" t="str">
        <f>IF(表紙!W1="","",表紙!W1)</f>
        <v>基本設計書</v>
      </c>
      <c r="X1" s="223"/>
      <c r="Y1" s="223"/>
      <c r="Z1" s="223"/>
      <c r="AA1" s="223"/>
      <c r="AB1" s="223"/>
      <c r="AC1" s="223"/>
      <c r="AD1" s="223"/>
      <c r="AE1" s="223"/>
      <c r="AF1" s="223"/>
      <c r="AG1" s="223"/>
      <c r="AH1" s="223"/>
      <c r="AI1" s="223"/>
      <c r="AJ1" s="223"/>
      <c r="AK1" s="223"/>
      <c r="AL1" s="223"/>
      <c r="AM1" s="223"/>
      <c r="AN1" s="223"/>
      <c r="AO1" s="224"/>
      <c r="AP1" s="219" t="s">
        <v>72</v>
      </c>
      <c r="AQ1" s="220"/>
      <c r="AR1" s="220"/>
      <c r="AS1" s="221"/>
      <c r="AT1" s="219" t="s">
        <v>73</v>
      </c>
      <c r="AU1" s="220"/>
      <c r="AV1" s="220"/>
      <c r="AW1" s="220"/>
      <c r="AX1" s="221"/>
      <c r="AY1" s="219" t="s">
        <v>74</v>
      </c>
      <c r="AZ1" s="220"/>
      <c r="BA1" s="220"/>
      <c r="BB1" s="221"/>
      <c r="BC1" s="219" t="s">
        <v>75</v>
      </c>
      <c r="BD1" s="220"/>
      <c r="BE1" s="220"/>
      <c r="BF1" s="220"/>
      <c r="BG1" s="221"/>
      <c r="BH1" s="219" t="s">
        <v>76</v>
      </c>
      <c r="BI1" s="220"/>
      <c r="BJ1" s="220"/>
      <c r="BK1" s="221"/>
    </row>
    <row r="2" spans="1:65" ht="15" customHeight="1" x14ac:dyDescent="0.25">
      <c r="A2" s="226" t="str">
        <f>IF(表紙!A2="","",表紙!A2)</f>
        <v>POSサーバー</v>
      </c>
      <c r="B2" s="227"/>
      <c r="C2" s="227"/>
      <c r="D2" s="227"/>
      <c r="E2" s="227"/>
      <c r="F2" s="227"/>
      <c r="G2" s="227"/>
      <c r="H2" s="227"/>
      <c r="I2" s="227"/>
      <c r="J2" s="228"/>
      <c r="K2" s="226" t="str">
        <f>IF(表紙!K2="","",表紙!K2)</f>
        <v>POSサーバ</v>
      </c>
      <c r="L2" s="227"/>
      <c r="M2" s="227"/>
      <c r="N2" s="227"/>
      <c r="O2" s="227"/>
      <c r="P2" s="227"/>
      <c r="Q2" s="227"/>
      <c r="R2" s="227"/>
      <c r="S2" s="227"/>
      <c r="T2" s="227"/>
      <c r="U2" s="227"/>
      <c r="V2" s="228"/>
      <c r="W2" s="229"/>
      <c r="X2" s="230"/>
      <c r="Y2" s="230"/>
      <c r="Z2" s="230"/>
      <c r="AA2" s="230"/>
      <c r="AB2" s="230"/>
      <c r="AC2" s="230"/>
      <c r="AD2" s="230"/>
      <c r="AE2" s="230"/>
      <c r="AF2" s="230"/>
      <c r="AG2" s="230"/>
      <c r="AH2" s="230"/>
      <c r="AI2" s="230"/>
      <c r="AJ2" s="230"/>
      <c r="AK2" s="230"/>
      <c r="AL2" s="230"/>
      <c r="AM2" s="230"/>
      <c r="AN2" s="230"/>
      <c r="AO2" s="231"/>
      <c r="AP2" s="226" t="str">
        <f>IF(表紙!AP2="","",表紙!AP2)</f>
        <v>TinNH</v>
      </c>
      <c r="AQ2" s="227"/>
      <c r="AR2" s="227"/>
      <c r="AS2" s="228"/>
      <c r="AT2" s="232">
        <f>IF(表紙!AT2="","",表紙!AT2)</f>
        <v>45439</v>
      </c>
      <c r="AU2" s="233"/>
      <c r="AV2" s="233"/>
      <c r="AW2" s="233"/>
      <c r="AX2" s="234"/>
      <c r="AY2" s="226" t="str">
        <f>IF(表紙!AY2="","",表紙!AY2)</f>
        <v>DuNT</v>
      </c>
      <c r="AZ2" s="227"/>
      <c r="BA2" s="227"/>
      <c r="BB2" s="228"/>
      <c r="BC2" s="232">
        <f>IF(表紙!BC2="","",表紙!BC2)</f>
        <v>45545</v>
      </c>
      <c r="BD2" s="233"/>
      <c r="BE2" s="233"/>
      <c r="BF2" s="233"/>
      <c r="BG2" s="234"/>
      <c r="BH2" s="226">
        <f>IF(表紙!BH2="","",表紙!BH2)</f>
        <v>0.4</v>
      </c>
      <c r="BI2" s="227"/>
      <c r="BJ2" s="227"/>
      <c r="BK2" s="228"/>
    </row>
    <row r="3" spans="1:65" ht="15" customHeight="1" x14ac:dyDescent="0.25">
      <c r="A3" s="235"/>
      <c r="B3" s="236"/>
      <c r="C3" s="236"/>
      <c r="D3" s="236"/>
      <c r="E3" s="236"/>
      <c r="F3" s="236"/>
      <c r="G3" s="236"/>
      <c r="H3" s="236"/>
      <c r="I3" s="236"/>
      <c r="J3" s="237"/>
      <c r="K3" s="235"/>
      <c r="L3" s="236"/>
      <c r="M3" s="236"/>
      <c r="N3" s="236"/>
      <c r="O3" s="236"/>
      <c r="P3" s="236"/>
      <c r="Q3" s="236"/>
      <c r="R3" s="236"/>
      <c r="S3" s="236"/>
      <c r="T3" s="236"/>
      <c r="U3" s="236"/>
      <c r="V3" s="237"/>
      <c r="W3" s="238"/>
      <c r="X3" s="239"/>
      <c r="Y3" s="239"/>
      <c r="Z3" s="239"/>
      <c r="AA3" s="239"/>
      <c r="AB3" s="239"/>
      <c r="AC3" s="239"/>
      <c r="AD3" s="239"/>
      <c r="AE3" s="239"/>
      <c r="AF3" s="239"/>
      <c r="AG3" s="239"/>
      <c r="AH3" s="239"/>
      <c r="AI3" s="239"/>
      <c r="AJ3" s="239"/>
      <c r="AK3" s="239"/>
      <c r="AL3" s="239"/>
      <c r="AM3" s="239"/>
      <c r="AN3" s="239"/>
      <c r="AO3" s="240"/>
      <c r="AP3" s="235"/>
      <c r="AQ3" s="236"/>
      <c r="AR3" s="236"/>
      <c r="AS3" s="237"/>
      <c r="AT3" s="241"/>
      <c r="AU3" s="242"/>
      <c r="AV3" s="242"/>
      <c r="AW3" s="242"/>
      <c r="AX3" s="243"/>
      <c r="AY3" s="235"/>
      <c r="AZ3" s="236"/>
      <c r="BA3" s="236"/>
      <c r="BB3" s="237"/>
      <c r="BC3" s="241"/>
      <c r="BD3" s="242"/>
      <c r="BE3" s="242"/>
      <c r="BF3" s="242"/>
      <c r="BG3" s="243"/>
      <c r="BH3" s="235"/>
      <c r="BI3" s="236"/>
      <c r="BJ3" s="236"/>
      <c r="BK3" s="237"/>
    </row>
    <row r="4" spans="1:65" ht="24.95" customHeight="1" x14ac:dyDescent="0.25">
      <c r="A4" s="219" t="s">
        <v>77</v>
      </c>
      <c r="B4" s="220"/>
      <c r="C4" s="220"/>
      <c r="D4" s="220"/>
      <c r="E4" s="220"/>
      <c r="F4" s="220"/>
      <c r="G4" s="221"/>
      <c r="H4" s="244" t="str">
        <f>IF(表紙!H4="","",表紙!H4)</f>
        <v>62_画像アップロード</v>
      </c>
      <c r="I4" s="245"/>
      <c r="J4" s="245"/>
      <c r="K4" s="245"/>
      <c r="L4" s="245"/>
      <c r="M4" s="245"/>
      <c r="N4" s="245"/>
      <c r="O4" s="245"/>
      <c r="P4" s="245"/>
      <c r="Q4" s="245"/>
      <c r="R4" s="245"/>
      <c r="S4" s="245"/>
      <c r="T4" s="246"/>
      <c r="U4" s="219" t="s">
        <v>78</v>
      </c>
      <c r="V4" s="220"/>
      <c r="W4" s="220"/>
      <c r="X4" s="220"/>
      <c r="Y4" s="221"/>
      <c r="Z4" s="244" t="str">
        <f>IF(表紙!Z4="","",表紙!Z4)</f>
        <v>概要設計</v>
      </c>
      <c r="AA4" s="245"/>
      <c r="AB4" s="245"/>
      <c r="AC4" s="245"/>
      <c r="AD4" s="245"/>
      <c r="AE4" s="245"/>
      <c r="AF4" s="245"/>
      <c r="AG4" s="245"/>
      <c r="AH4" s="245"/>
      <c r="AI4" s="245"/>
      <c r="AJ4" s="245"/>
      <c r="AK4" s="245"/>
      <c r="AL4" s="245"/>
      <c r="AM4" s="245"/>
      <c r="AN4" s="245"/>
      <c r="AO4" s="246"/>
      <c r="AP4" s="244" t="str">
        <f t="array" aca="1" ref="AP4" ca="1">RIGHT(CELL("filename",$A$1),LEN(CELL("filename",$A$1))-FIND("]",CELL("filename",$A$1)))</f>
        <v>機能概要説明</v>
      </c>
      <c r="AQ4" s="245"/>
      <c r="AR4" s="245"/>
      <c r="AS4" s="245"/>
      <c r="AT4" s="245"/>
      <c r="AU4" s="245"/>
      <c r="AV4" s="245"/>
      <c r="AW4" s="245"/>
      <c r="AX4" s="245"/>
      <c r="AY4" s="245"/>
      <c r="AZ4" s="245"/>
      <c r="BA4" s="245"/>
      <c r="BB4" s="245"/>
      <c r="BC4" s="245"/>
      <c r="BD4" s="245"/>
      <c r="BE4" s="245"/>
      <c r="BF4" s="245"/>
      <c r="BG4" s="245"/>
      <c r="BH4" s="245"/>
      <c r="BI4" s="245"/>
      <c r="BJ4" s="245"/>
      <c r="BK4" s="246"/>
    </row>
    <row r="5" spans="1:65" ht="5.0999999999999996" customHeight="1" x14ac:dyDescent="0.25">
      <c r="A5" s="247"/>
      <c r="B5" s="248"/>
      <c r="C5" s="248"/>
      <c r="D5" s="248"/>
      <c r="E5" s="248"/>
      <c r="F5" s="248"/>
      <c r="G5" s="248"/>
      <c r="H5" s="248"/>
      <c r="I5" s="248"/>
      <c r="J5" s="248"/>
      <c r="K5" s="248"/>
      <c r="L5" s="248"/>
      <c r="M5" s="248"/>
      <c r="N5" s="248"/>
      <c r="O5" s="248"/>
      <c r="P5" s="248"/>
      <c r="Q5" s="248"/>
      <c r="R5" s="248"/>
      <c r="S5" s="248"/>
      <c r="T5" s="248"/>
      <c r="U5" s="248"/>
      <c r="V5" s="248"/>
      <c r="W5" s="248"/>
      <c r="X5" s="248"/>
      <c r="Y5" s="248"/>
      <c r="Z5" s="248"/>
      <c r="AA5" s="248"/>
      <c r="AB5" s="248"/>
      <c r="AC5" s="248"/>
      <c r="AD5" s="248"/>
      <c r="AE5" s="248"/>
      <c r="AF5" s="248"/>
      <c r="AG5" s="248"/>
      <c r="AH5" s="248"/>
      <c r="AI5" s="248"/>
      <c r="AJ5" s="248"/>
      <c r="AK5" s="248"/>
      <c r="AL5" s="248"/>
      <c r="AM5" s="248"/>
      <c r="AN5" s="248"/>
      <c r="AO5" s="248"/>
      <c r="AP5" s="248"/>
      <c r="AQ5" s="248"/>
      <c r="AR5" s="248"/>
      <c r="AS5" s="248"/>
      <c r="AT5" s="248"/>
      <c r="AU5" s="248"/>
      <c r="AV5" s="248"/>
      <c r="AW5" s="248"/>
      <c r="AX5" s="248"/>
      <c r="AY5" s="248"/>
      <c r="AZ5" s="248"/>
      <c r="BA5" s="248"/>
      <c r="BB5" s="248"/>
      <c r="BC5" s="248"/>
      <c r="BD5" s="248"/>
      <c r="BE5" s="248"/>
      <c r="BF5" s="248"/>
      <c r="BG5" s="248"/>
      <c r="BH5" s="248"/>
      <c r="BI5" s="248"/>
      <c r="BJ5" s="248"/>
      <c r="BK5" s="249"/>
    </row>
    <row r="6" spans="1:65" ht="15" customHeight="1" x14ac:dyDescent="0.25">
      <c r="A6" s="250"/>
      <c r="BK6" s="251"/>
    </row>
    <row r="7" spans="1:65" ht="15" customHeight="1" x14ac:dyDescent="0.25">
      <c r="A7" s="250"/>
      <c r="B7" s="225" t="s">
        <v>33</v>
      </c>
      <c r="K7" s="300"/>
      <c r="BK7" s="251"/>
      <c r="BM7" s="33">
        <f t="shared" ref="BM7:BM11" si="0">IF(BM6=50,1,BM6+1)</f>
        <v>1</v>
      </c>
    </row>
    <row r="8" spans="1:65" ht="15" customHeight="1" x14ac:dyDescent="0.25">
      <c r="A8" s="250"/>
      <c r="C8" s="225" t="s">
        <v>37</v>
      </c>
      <c r="K8" s="300"/>
      <c r="BK8" s="251"/>
      <c r="BM8" s="33">
        <f t="shared" si="0"/>
        <v>2</v>
      </c>
    </row>
    <row r="9" spans="1:65" ht="15" customHeight="1" x14ac:dyDescent="0.25">
      <c r="A9" s="250"/>
      <c r="D9" s="301" t="s">
        <v>34</v>
      </c>
      <c r="K9" s="300"/>
      <c r="BK9" s="251"/>
      <c r="BM9" s="33">
        <f t="shared" si="0"/>
        <v>3</v>
      </c>
    </row>
    <row r="10" spans="1:65" ht="15" customHeight="1" x14ac:dyDescent="0.25">
      <c r="A10" s="250"/>
      <c r="D10" s="301" t="s">
        <v>35</v>
      </c>
      <c r="K10" s="300"/>
      <c r="BK10" s="251"/>
      <c r="BM10" s="33">
        <f t="shared" si="0"/>
        <v>4</v>
      </c>
    </row>
    <row r="11" spans="1:65" s="300" customFormat="1" ht="15" customHeight="1" x14ac:dyDescent="0.25">
      <c r="A11" s="302"/>
      <c r="D11" s="301" t="s">
        <v>36</v>
      </c>
      <c r="BK11" s="303"/>
      <c r="BM11" s="33">
        <f t="shared" si="0"/>
        <v>5</v>
      </c>
    </row>
    <row r="12" spans="1:65" s="300" customFormat="1" ht="15" customHeight="1" x14ac:dyDescent="0.25">
      <c r="A12" s="302"/>
      <c r="C12" s="225"/>
      <c r="D12" s="225"/>
      <c r="BK12" s="303"/>
      <c r="BM12" s="33">
        <f t="shared" ref="BM12:BM44" si="1">IF(BM11=50,1,BM11+1)</f>
        <v>6</v>
      </c>
    </row>
    <row r="13" spans="1:65" s="300" customFormat="1" ht="15" customHeight="1" x14ac:dyDescent="0.25">
      <c r="A13" s="302"/>
      <c r="C13" s="225"/>
      <c r="D13" s="301"/>
      <c r="BK13" s="303"/>
      <c r="BM13" s="33">
        <f t="shared" si="1"/>
        <v>7</v>
      </c>
    </row>
    <row r="14" spans="1:65" s="300" customFormat="1" ht="15" customHeight="1" x14ac:dyDescent="0.25">
      <c r="A14" s="302"/>
      <c r="C14" s="225"/>
      <c r="D14" s="301"/>
      <c r="BK14" s="303"/>
      <c r="BM14" s="33">
        <f t="shared" si="1"/>
        <v>8</v>
      </c>
    </row>
    <row r="15" spans="1:65" s="300" customFormat="1" ht="15" customHeight="1" x14ac:dyDescent="0.25">
      <c r="A15" s="302"/>
      <c r="D15" s="301"/>
      <c r="BK15" s="303"/>
      <c r="BM15" s="33">
        <f t="shared" si="1"/>
        <v>9</v>
      </c>
    </row>
    <row r="16" spans="1:65" s="300" customFormat="1" ht="15" customHeight="1" x14ac:dyDescent="0.25">
      <c r="A16" s="302"/>
      <c r="BK16" s="303"/>
      <c r="BM16" s="33">
        <f t="shared" si="1"/>
        <v>10</v>
      </c>
    </row>
    <row r="17" spans="1:65" s="300" customFormat="1" ht="15" customHeight="1" x14ac:dyDescent="0.25">
      <c r="A17" s="302"/>
      <c r="BK17" s="303"/>
      <c r="BM17" s="33">
        <f t="shared" si="1"/>
        <v>11</v>
      </c>
    </row>
    <row r="18" spans="1:65" s="300" customFormat="1" ht="15" customHeight="1" x14ac:dyDescent="0.25">
      <c r="A18" s="302"/>
      <c r="BK18" s="303"/>
      <c r="BM18" s="33">
        <f t="shared" si="1"/>
        <v>12</v>
      </c>
    </row>
    <row r="19" spans="1:65" s="300" customFormat="1" ht="15" customHeight="1" x14ac:dyDescent="0.25">
      <c r="A19" s="302"/>
      <c r="BK19" s="303"/>
      <c r="BM19" s="33">
        <f t="shared" si="1"/>
        <v>13</v>
      </c>
    </row>
    <row r="20" spans="1:65" s="300" customFormat="1" ht="15" customHeight="1" x14ac:dyDescent="0.25">
      <c r="A20" s="302"/>
      <c r="BK20" s="303"/>
      <c r="BM20" s="33">
        <f t="shared" si="1"/>
        <v>14</v>
      </c>
    </row>
    <row r="21" spans="1:65" s="300" customFormat="1" ht="15" customHeight="1" x14ac:dyDescent="0.25">
      <c r="A21" s="302"/>
      <c r="BK21" s="303"/>
      <c r="BM21" s="33">
        <f t="shared" si="1"/>
        <v>15</v>
      </c>
    </row>
    <row r="22" spans="1:65" s="300" customFormat="1" ht="15" customHeight="1" x14ac:dyDescent="0.25">
      <c r="A22" s="302"/>
      <c r="BK22" s="303"/>
      <c r="BM22" s="33">
        <f t="shared" si="1"/>
        <v>16</v>
      </c>
    </row>
    <row r="23" spans="1:65" s="300" customFormat="1" ht="15" customHeight="1" x14ac:dyDescent="0.25">
      <c r="A23" s="302"/>
      <c r="BK23" s="303"/>
      <c r="BM23" s="33">
        <f t="shared" si="1"/>
        <v>17</v>
      </c>
    </row>
    <row r="24" spans="1:65" s="300" customFormat="1" ht="15" customHeight="1" x14ac:dyDescent="0.25">
      <c r="A24" s="302"/>
      <c r="BK24" s="303"/>
      <c r="BM24" s="33">
        <f t="shared" si="1"/>
        <v>18</v>
      </c>
    </row>
    <row r="25" spans="1:65" s="300" customFormat="1" ht="15" customHeight="1" x14ac:dyDescent="0.25">
      <c r="A25" s="302"/>
      <c r="BK25" s="303"/>
      <c r="BM25" s="33">
        <f t="shared" si="1"/>
        <v>19</v>
      </c>
    </row>
    <row r="26" spans="1:65" s="300" customFormat="1" ht="15" customHeight="1" x14ac:dyDescent="0.25">
      <c r="A26" s="302"/>
      <c r="BK26" s="303"/>
      <c r="BM26" s="33">
        <f t="shared" si="1"/>
        <v>20</v>
      </c>
    </row>
    <row r="27" spans="1:65" s="300" customFormat="1" ht="15" customHeight="1" x14ac:dyDescent="0.25">
      <c r="A27" s="302"/>
      <c r="BK27" s="303"/>
      <c r="BM27" s="33">
        <f t="shared" si="1"/>
        <v>21</v>
      </c>
    </row>
    <row r="28" spans="1:65" s="300" customFormat="1" ht="15" customHeight="1" x14ac:dyDescent="0.25">
      <c r="A28" s="302"/>
      <c r="BK28" s="303"/>
      <c r="BM28" s="33">
        <f t="shared" si="1"/>
        <v>22</v>
      </c>
    </row>
    <row r="29" spans="1:65" s="300" customFormat="1" ht="15" customHeight="1" x14ac:dyDescent="0.25">
      <c r="A29" s="302"/>
      <c r="BK29" s="303"/>
      <c r="BM29" s="33">
        <f t="shared" si="1"/>
        <v>23</v>
      </c>
    </row>
    <row r="30" spans="1:65" s="300" customFormat="1" ht="15" customHeight="1" x14ac:dyDescent="0.25">
      <c r="A30" s="302"/>
      <c r="BK30" s="303"/>
      <c r="BM30" s="33">
        <f t="shared" si="1"/>
        <v>24</v>
      </c>
    </row>
    <row r="31" spans="1:65" s="300" customFormat="1" ht="15" customHeight="1" x14ac:dyDescent="0.25">
      <c r="A31" s="302"/>
      <c r="BK31" s="303"/>
      <c r="BM31" s="33">
        <f t="shared" si="1"/>
        <v>25</v>
      </c>
    </row>
    <row r="32" spans="1:65" s="300" customFormat="1" ht="15" customHeight="1" x14ac:dyDescent="0.25">
      <c r="A32" s="302"/>
      <c r="BK32" s="303"/>
      <c r="BM32" s="33">
        <f t="shared" si="1"/>
        <v>26</v>
      </c>
    </row>
    <row r="33" spans="1:65" s="300" customFormat="1" ht="15" customHeight="1" x14ac:dyDescent="0.25">
      <c r="A33" s="302"/>
      <c r="BK33" s="303"/>
      <c r="BM33" s="33">
        <f t="shared" si="1"/>
        <v>27</v>
      </c>
    </row>
    <row r="34" spans="1:65" s="300" customFormat="1" ht="15" customHeight="1" x14ac:dyDescent="0.25">
      <c r="A34" s="302"/>
      <c r="BK34" s="303"/>
      <c r="BM34" s="33">
        <f t="shared" si="1"/>
        <v>28</v>
      </c>
    </row>
    <row r="35" spans="1:65" s="300" customFormat="1" ht="15" customHeight="1" x14ac:dyDescent="0.25">
      <c r="A35" s="302"/>
      <c r="BK35" s="303"/>
      <c r="BM35" s="33">
        <f t="shared" si="1"/>
        <v>29</v>
      </c>
    </row>
    <row r="36" spans="1:65" s="300" customFormat="1" ht="15" customHeight="1" x14ac:dyDescent="0.25">
      <c r="A36" s="302"/>
      <c r="BK36" s="303"/>
      <c r="BM36" s="33">
        <f t="shared" si="1"/>
        <v>30</v>
      </c>
    </row>
    <row r="37" spans="1:65" s="300" customFormat="1" ht="15" customHeight="1" x14ac:dyDescent="0.25">
      <c r="A37" s="302"/>
      <c r="BK37" s="303"/>
      <c r="BM37" s="33">
        <f t="shared" si="1"/>
        <v>31</v>
      </c>
    </row>
    <row r="38" spans="1:65" s="300" customFormat="1" ht="15" customHeight="1" x14ac:dyDescent="0.25">
      <c r="A38" s="302"/>
      <c r="BK38" s="303"/>
      <c r="BM38" s="33">
        <f t="shared" si="1"/>
        <v>32</v>
      </c>
    </row>
    <row r="39" spans="1:65" s="300" customFormat="1" ht="15" customHeight="1" x14ac:dyDescent="0.25">
      <c r="A39" s="302"/>
      <c r="BK39" s="303"/>
      <c r="BM39" s="33">
        <f t="shared" si="1"/>
        <v>33</v>
      </c>
    </row>
    <row r="40" spans="1:65" s="300" customFormat="1" ht="15" customHeight="1" x14ac:dyDescent="0.25">
      <c r="A40" s="302"/>
      <c r="BK40" s="303"/>
      <c r="BM40" s="33">
        <f t="shared" si="1"/>
        <v>34</v>
      </c>
    </row>
    <row r="41" spans="1:65" s="300" customFormat="1" ht="15" customHeight="1" x14ac:dyDescent="0.25">
      <c r="A41" s="302"/>
      <c r="BK41" s="303"/>
      <c r="BM41" s="33">
        <f t="shared" si="1"/>
        <v>35</v>
      </c>
    </row>
    <row r="42" spans="1:65" s="300" customFormat="1" ht="15" customHeight="1" x14ac:dyDescent="0.25">
      <c r="A42" s="302"/>
      <c r="BK42" s="303"/>
      <c r="BM42" s="33">
        <f t="shared" si="1"/>
        <v>36</v>
      </c>
    </row>
    <row r="43" spans="1:65" s="300" customFormat="1" ht="15" customHeight="1" x14ac:dyDescent="0.25">
      <c r="A43" s="302"/>
      <c r="BK43" s="303"/>
      <c r="BM43" s="33">
        <f t="shared" si="1"/>
        <v>37</v>
      </c>
    </row>
    <row r="44" spans="1:65" s="300" customFormat="1" ht="15" customHeight="1" x14ac:dyDescent="0.25">
      <c r="A44" s="302"/>
      <c r="BK44" s="303"/>
      <c r="BM44" s="33">
        <f t="shared" si="1"/>
        <v>38</v>
      </c>
    </row>
    <row r="45" spans="1:65" s="300" customFormat="1" ht="15" customHeight="1" x14ac:dyDescent="0.25">
      <c r="A45" s="302"/>
      <c r="BK45" s="303"/>
      <c r="BM45" s="33">
        <f t="shared" ref="BM45:BM57" si="2">IF(BM44=50,1,BM44+1)</f>
        <v>39</v>
      </c>
    </row>
    <row r="46" spans="1:65" s="300" customFormat="1" ht="15" customHeight="1" x14ac:dyDescent="0.25">
      <c r="A46" s="302"/>
      <c r="BK46" s="303"/>
      <c r="BM46" s="33">
        <f t="shared" si="2"/>
        <v>40</v>
      </c>
    </row>
    <row r="47" spans="1:65" s="300" customFormat="1" ht="15" customHeight="1" x14ac:dyDescent="0.25">
      <c r="A47" s="302"/>
      <c r="BK47" s="303"/>
      <c r="BM47" s="33">
        <f t="shared" si="2"/>
        <v>41</v>
      </c>
    </row>
    <row r="48" spans="1:65" s="300" customFormat="1" ht="15" customHeight="1" x14ac:dyDescent="0.25">
      <c r="A48" s="302"/>
      <c r="BK48" s="303"/>
      <c r="BM48" s="33">
        <f t="shared" si="2"/>
        <v>42</v>
      </c>
    </row>
    <row r="49" spans="1:65" s="300" customFormat="1" ht="15" customHeight="1" x14ac:dyDescent="0.25">
      <c r="A49" s="302"/>
      <c r="BK49" s="303"/>
      <c r="BM49" s="33">
        <f t="shared" si="2"/>
        <v>43</v>
      </c>
    </row>
    <row r="50" spans="1:65" s="300" customFormat="1" ht="15" customHeight="1" x14ac:dyDescent="0.25">
      <c r="A50" s="302"/>
      <c r="BK50" s="303"/>
      <c r="BM50" s="33">
        <f t="shared" si="2"/>
        <v>44</v>
      </c>
    </row>
    <row r="51" spans="1:65" s="300" customFormat="1" ht="15" customHeight="1" x14ac:dyDescent="0.25">
      <c r="A51" s="302"/>
      <c r="BK51" s="303"/>
      <c r="BM51" s="33">
        <f t="shared" si="2"/>
        <v>45</v>
      </c>
    </row>
    <row r="52" spans="1:65" s="300" customFormat="1" ht="15" customHeight="1" x14ac:dyDescent="0.25">
      <c r="A52" s="302"/>
      <c r="BK52" s="303"/>
      <c r="BM52" s="33">
        <f t="shared" si="2"/>
        <v>46</v>
      </c>
    </row>
    <row r="53" spans="1:65" s="300" customFormat="1" ht="15" customHeight="1" x14ac:dyDescent="0.25">
      <c r="A53" s="302"/>
      <c r="BK53" s="303"/>
      <c r="BM53" s="33">
        <f t="shared" si="2"/>
        <v>47</v>
      </c>
    </row>
    <row r="54" spans="1:65" s="300" customFormat="1" ht="15" customHeight="1" x14ac:dyDescent="0.25">
      <c r="A54" s="302"/>
      <c r="BK54" s="303"/>
      <c r="BM54" s="33">
        <f t="shared" si="2"/>
        <v>48</v>
      </c>
    </row>
    <row r="55" spans="1:65" s="300" customFormat="1" ht="15" customHeight="1" x14ac:dyDescent="0.25">
      <c r="A55" s="302"/>
      <c r="BK55" s="303"/>
      <c r="BM55" s="33">
        <f t="shared" si="2"/>
        <v>49</v>
      </c>
    </row>
    <row r="56" spans="1:65" s="300" customFormat="1" ht="15" customHeight="1" x14ac:dyDescent="0.25">
      <c r="A56" s="302"/>
      <c r="BK56" s="303"/>
      <c r="BM56" s="33">
        <f t="shared" si="2"/>
        <v>50</v>
      </c>
    </row>
    <row r="57" spans="1:65" s="300" customFormat="1" ht="15" customHeight="1" x14ac:dyDescent="0.25">
      <c r="A57" s="304"/>
      <c r="B57" s="305"/>
      <c r="C57" s="305"/>
      <c r="D57" s="305"/>
      <c r="E57" s="305"/>
      <c r="F57" s="305"/>
      <c r="G57" s="305"/>
      <c r="H57" s="305"/>
      <c r="I57" s="305"/>
      <c r="J57" s="305"/>
      <c r="K57" s="305"/>
      <c r="L57" s="305"/>
      <c r="M57" s="305"/>
      <c r="N57" s="305"/>
      <c r="O57" s="305"/>
      <c r="P57" s="305"/>
      <c r="Q57" s="305"/>
      <c r="R57" s="305"/>
      <c r="S57" s="305"/>
      <c r="T57" s="305"/>
      <c r="U57" s="305"/>
      <c r="V57" s="305"/>
      <c r="W57" s="305"/>
      <c r="X57" s="305"/>
      <c r="Y57" s="305"/>
      <c r="Z57" s="305"/>
      <c r="AA57" s="305"/>
      <c r="AB57" s="305"/>
      <c r="AC57" s="305"/>
      <c r="AD57" s="305"/>
      <c r="AE57" s="305"/>
      <c r="AF57" s="305"/>
      <c r="AG57" s="305"/>
      <c r="AH57" s="305"/>
      <c r="AI57" s="305"/>
      <c r="AJ57" s="305"/>
      <c r="AK57" s="305"/>
      <c r="AL57" s="305"/>
      <c r="AM57" s="305"/>
      <c r="AN57" s="305"/>
      <c r="AO57" s="305"/>
      <c r="AP57" s="305"/>
      <c r="AQ57" s="305"/>
      <c r="AR57" s="305"/>
      <c r="AS57" s="305"/>
      <c r="AT57" s="305"/>
      <c r="AU57" s="305"/>
      <c r="AV57" s="305"/>
      <c r="AW57" s="305"/>
      <c r="AX57" s="305"/>
      <c r="AY57" s="305"/>
      <c r="AZ57" s="305"/>
      <c r="BA57" s="305"/>
      <c r="BB57" s="305"/>
      <c r="BC57" s="305"/>
      <c r="BD57" s="305"/>
      <c r="BE57" s="305"/>
      <c r="BF57" s="305"/>
      <c r="BG57" s="305"/>
      <c r="BH57" s="305"/>
      <c r="BI57" s="305"/>
      <c r="BJ57" s="305"/>
      <c r="BK57" s="306"/>
      <c r="BM57" s="33">
        <f t="shared" si="2"/>
        <v>1</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BM111"/>
  <sheetViews>
    <sheetView view="pageBreakPreview" zoomScale="85" zoomScaleNormal="75" zoomScaleSheetLayoutView="85" zoomScalePageLayoutView="70" workbookViewId="0">
      <selection sqref="A1:J1"/>
    </sheetView>
  </sheetViews>
  <sheetFormatPr defaultColWidth="2.77734375" defaultRowHeight="15" customHeight="1" x14ac:dyDescent="0.25"/>
  <cols>
    <col min="1" max="64" width="2.77734375" style="225" customWidth="1"/>
    <col min="65" max="65" width="3.109375" style="225" bestFit="1" customWidth="1"/>
    <col min="66" max="16384" width="2.77734375" style="225"/>
  </cols>
  <sheetData>
    <row r="1" spans="1:65" ht="24.95" customHeight="1" x14ac:dyDescent="0.25">
      <c r="A1" s="219" t="s">
        <v>70</v>
      </c>
      <c r="B1" s="220"/>
      <c r="C1" s="220"/>
      <c r="D1" s="220"/>
      <c r="E1" s="220"/>
      <c r="F1" s="220"/>
      <c r="G1" s="220"/>
      <c r="H1" s="220"/>
      <c r="I1" s="220"/>
      <c r="J1" s="221"/>
      <c r="K1" s="219" t="s">
        <v>71</v>
      </c>
      <c r="L1" s="220"/>
      <c r="M1" s="220"/>
      <c r="N1" s="220"/>
      <c r="O1" s="220"/>
      <c r="P1" s="220"/>
      <c r="Q1" s="220"/>
      <c r="R1" s="220"/>
      <c r="S1" s="220"/>
      <c r="T1" s="220"/>
      <c r="U1" s="220"/>
      <c r="V1" s="221"/>
      <c r="W1" s="222" t="str">
        <f>IF(表紙!W1="","",表紙!W1)</f>
        <v>基本設計書</v>
      </c>
      <c r="X1" s="223"/>
      <c r="Y1" s="223"/>
      <c r="Z1" s="223"/>
      <c r="AA1" s="223"/>
      <c r="AB1" s="223"/>
      <c r="AC1" s="223"/>
      <c r="AD1" s="223"/>
      <c r="AE1" s="223"/>
      <c r="AF1" s="223"/>
      <c r="AG1" s="223"/>
      <c r="AH1" s="223"/>
      <c r="AI1" s="223"/>
      <c r="AJ1" s="223"/>
      <c r="AK1" s="223"/>
      <c r="AL1" s="223"/>
      <c r="AM1" s="223"/>
      <c r="AN1" s="223"/>
      <c r="AO1" s="224"/>
      <c r="AP1" s="219" t="s">
        <v>72</v>
      </c>
      <c r="AQ1" s="220"/>
      <c r="AR1" s="220"/>
      <c r="AS1" s="221"/>
      <c r="AT1" s="219" t="s">
        <v>73</v>
      </c>
      <c r="AU1" s="220"/>
      <c r="AV1" s="220"/>
      <c r="AW1" s="220"/>
      <c r="AX1" s="221"/>
      <c r="AY1" s="219" t="s">
        <v>74</v>
      </c>
      <c r="AZ1" s="220"/>
      <c r="BA1" s="220"/>
      <c r="BB1" s="221"/>
      <c r="BC1" s="219" t="s">
        <v>75</v>
      </c>
      <c r="BD1" s="220"/>
      <c r="BE1" s="220"/>
      <c r="BF1" s="220"/>
      <c r="BG1" s="221"/>
      <c r="BH1" s="219" t="s">
        <v>76</v>
      </c>
      <c r="BI1" s="220"/>
      <c r="BJ1" s="220"/>
      <c r="BK1" s="221"/>
    </row>
    <row r="2" spans="1:65" ht="15" customHeight="1" x14ac:dyDescent="0.25">
      <c r="A2" s="226" t="str">
        <f>IF(表紙!A2="","",表紙!A2)</f>
        <v>POSサーバー</v>
      </c>
      <c r="B2" s="227"/>
      <c r="C2" s="227"/>
      <c r="D2" s="227"/>
      <c r="E2" s="227"/>
      <c r="F2" s="227"/>
      <c r="G2" s="227"/>
      <c r="H2" s="227"/>
      <c r="I2" s="227"/>
      <c r="J2" s="228"/>
      <c r="K2" s="226" t="str">
        <f>IF(表紙!K2="","",表紙!K2)</f>
        <v>POSサーバ</v>
      </c>
      <c r="L2" s="227"/>
      <c r="M2" s="227"/>
      <c r="N2" s="227"/>
      <c r="O2" s="227"/>
      <c r="P2" s="227"/>
      <c r="Q2" s="227"/>
      <c r="R2" s="227"/>
      <c r="S2" s="227"/>
      <c r="T2" s="227"/>
      <c r="U2" s="227"/>
      <c r="V2" s="228"/>
      <c r="W2" s="229"/>
      <c r="X2" s="230"/>
      <c r="Y2" s="230"/>
      <c r="Z2" s="230"/>
      <c r="AA2" s="230"/>
      <c r="AB2" s="230"/>
      <c r="AC2" s="230"/>
      <c r="AD2" s="230"/>
      <c r="AE2" s="230"/>
      <c r="AF2" s="230"/>
      <c r="AG2" s="230"/>
      <c r="AH2" s="230"/>
      <c r="AI2" s="230"/>
      <c r="AJ2" s="230"/>
      <c r="AK2" s="230"/>
      <c r="AL2" s="230"/>
      <c r="AM2" s="230"/>
      <c r="AN2" s="230"/>
      <c r="AO2" s="231"/>
      <c r="AP2" s="226" t="str">
        <f>IF(表紙!AP2="","",表紙!AP2)</f>
        <v>TinNH</v>
      </c>
      <c r="AQ2" s="227"/>
      <c r="AR2" s="227"/>
      <c r="AS2" s="228"/>
      <c r="AT2" s="232">
        <f>IF(表紙!AT2="","",表紙!AT2)</f>
        <v>45439</v>
      </c>
      <c r="AU2" s="233"/>
      <c r="AV2" s="233"/>
      <c r="AW2" s="233"/>
      <c r="AX2" s="234"/>
      <c r="AY2" s="226" t="str">
        <f>IF(表紙!AY2="","",表紙!AY2)</f>
        <v>DuNT</v>
      </c>
      <c r="AZ2" s="227"/>
      <c r="BA2" s="227"/>
      <c r="BB2" s="228"/>
      <c r="BC2" s="232">
        <f>IF(表紙!BC2="","",表紙!BC2)</f>
        <v>45545</v>
      </c>
      <c r="BD2" s="233"/>
      <c r="BE2" s="233"/>
      <c r="BF2" s="233"/>
      <c r="BG2" s="234"/>
      <c r="BH2" s="226">
        <f>IF(表紙!BH2="","",表紙!BH2)</f>
        <v>0.4</v>
      </c>
      <c r="BI2" s="227"/>
      <c r="BJ2" s="227"/>
      <c r="BK2" s="228"/>
    </row>
    <row r="3" spans="1:65" ht="15" customHeight="1" x14ac:dyDescent="0.25">
      <c r="A3" s="235"/>
      <c r="B3" s="236"/>
      <c r="C3" s="236"/>
      <c r="D3" s="236"/>
      <c r="E3" s="236"/>
      <c r="F3" s="236"/>
      <c r="G3" s="236"/>
      <c r="H3" s="236"/>
      <c r="I3" s="236"/>
      <c r="J3" s="237"/>
      <c r="K3" s="235"/>
      <c r="L3" s="236"/>
      <c r="M3" s="236"/>
      <c r="N3" s="236"/>
      <c r="O3" s="236"/>
      <c r="P3" s="236"/>
      <c r="Q3" s="236"/>
      <c r="R3" s="236"/>
      <c r="S3" s="236"/>
      <c r="T3" s="236"/>
      <c r="U3" s="236"/>
      <c r="V3" s="237"/>
      <c r="W3" s="238"/>
      <c r="X3" s="239"/>
      <c r="Y3" s="239"/>
      <c r="Z3" s="239"/>
      <c r="AA3" s="239"/>
      <c r="AB3" s="239"/>
      <c r="AC3" s="239"/>
      <c r="AD3" s="239"/>
      <c r="AE3" s="239"/>
      <c r="AF3" s="239"/>
      <c r="AG3" s="239"/>
      <c r="AH3" s="239"/>
      <c r="AI3" s="239"/>
      <c r="AJ3" s="239"/>
      <c r="AK3" s="239"/>
      <c r="AL3" s="239"/>
      <c r="AM3" s="239"/>
      <c r="AN3" s="239"/>
      <c r="AO3" s="240"/>
      <c r="AP3" s="235"/>
      <c r="AQ3" s="236"/>
      <c r="AR3" s="236"/>
      <c r="AS3" s="237"/>
      <c r="AT3" s="241"/>
      <c r="AU3" s="242"/>
      <c r="AV3" s="242"/>
      <c r="AW3" s="242"/>
      <c r="AX3" s="243"/>
      <c r="AY3" s="235"/>
      <c r="AZ3" s="236"/>
      <c r="BA3" s="236"/>
      <c r="BB3" s="237"/>
      <c r="BC3" s="241"/>
      <c r="BD3" s="242"/>
      <c r="BE3" s="242"/>
      <c r="BF3" s="242"/>
      <c r="BG3" s="243"/>
      <c r="BH3" s="235"/>
      <c r="BI3" s="236"/>
      <c r="BJ3" s="236"/>
      <c r="BK3" s="237"/>
    </row>
    <row r="4" spans="1:65" ht="24.95" customHeight="1" x14ac:dyDescent="0.25">
      <c r="A4" s="219" t="s">
        <v>77</v>
      </c>
      <c r="B4" s="220"/>
      <c r="C4" s="220"/>
      <c r="D4" s="220"/>
      <c r="E4" s="220"/>
      <c r="F4" s="220"/>
      <c r="G4" s="221"/>
      <c r="H4" s="244" t="str">
        <f>IF(表紙!H4="","",表紙!H4)</f>
        <v>62_画像アップロード</v>
      </c>
      <c r="I4" s="245"/>
      <c r="J4" s="245"/>
      <c r="K4" s="245"/>
      <c r="L4" s="245"/>
      <c r="M4" s="245"/>
      <c r="N4" s="245"/>
      <c r="O4" s="245"/>
      <c r="P4" s="245"/>
      <c r="Q4" s="245"/>
      <c r="R4" s="245"/>
      <c r="S4" s="245"/>
      <c r="T4" s="246"/>
      <c r="U4" s="219" t="s">
        <v>78</v>
      </c>
      <c r="V4" s="220"/>
      <c r="W4" s="220"/>
      <c r="X4" s="220"/>
      <c r="Y4" s="221"/>
      <c r="Z4" s="244" t="str">
        <f>IF(表紙!Z4="","",表紙!Z4)</f>
        <v>概要設計</v>
      </c>
      <c r="AA4" s="245"/>
      <c r="AB4" s="245"/>
      <c r="AC4" s="245"/>
      <c r="AD4" s="245"/>
      <c r="AE4" s="245"/>
      <c r="AF4" s="245"/>
      <c r="AG4" s="245"/>
      <c r="AH4" s="245"/>
      <c r="AI4" s="245"/>
      <c r="AJ4" s="245"/>
      <c r="AK4" s="245"/>
      <c r="AL4" s="245"/>
      <c r="AM4" s="245"/>
      <c r="AN4" s="245"/>
      <c r="AO4" s="246"/>
      <c r="AP4" s="244" t="str">
        <f t="array" aca="1" ref="AP4" ca="1">RIGHT(CELL("filename",$A$1),LEN(CELL("filename",$A$1))-FIND("]",CELL("filename",$A$1)))</f>
        <v>機能概要</v>
      </c>
      <c r="AQ4" s="245"/>
      <c r="AR4" s="245"/>
      <c r="AS4" s="245"/>
      <c r="AT4" s="245"/>
      <c r="AU4" s="245"/>
      <c r="AV4" s="245"/>
      <c r="AW4" s="245"/>
      <c r="AX4" s="245"/>
      <c r="AY4" s="245"/>
      <c r="AZ4" s="245"/>
      <c r="BA4" s="245"/>
      <c r="BB4" s="245"/>
      <c r="BC4" s="245"/>
      <c r="BD4" s="245"/>
      <c r="BE4" s="245"/>
      <c r="BF4" s="245"/>
      <c r="BG4" s="245"/>
      <c r="BH4" s="245"/>
      <c r="BI4" s="245"/>
      <c r="BJ4" s="245"/>
      <c r="BK4" s="246"/>
    </row>
    <row r="5" spans="1:65" ht="5.0999999999999996" customHeight="1" x14ac:dyDescent="0.25">
      <c r="A5" s="247"/>
      <c r="B5" s="248"/>
      <c r="C5" s="248"/>
      <c r="D5" s="248"/>
      <c r="E5" s="248"/>
      <c r="F5" s="248"/>
      <c r="G5" s="248"/>
      <c r="H5" s="248"/>
      <c r="I5" s="248"/>
      <c r="J5" s="248"/>
      <c r="K5" s="248"/>
      <c r="L5" s="248"/>
      <c r="M5" s="248"/>
      <c r="N5" s="248"/>
      <c r="O5" s="248"/>
      <c r="P5" s="248"/>
      <c r="Q5" s="248"/>
      <c r="R5" s="248"/>
      <c r="S5" s="248"/>
      <c r="T5" s="248"/>
      <c r="U5" s="248"/>
      <c r="V5" s="248"/>
      <c r="W5" s="248"/>
      <c r="X5" s="248"/>
      <c r="Y5" s="248"/>
      <c r="Z5" s="248"/>
      <c r="AA5" s="248"/>
      <c r="AB5" s="248"/>
      <c r="AC5" s="248"/>
      <c r="AD5" s="248"/>
      <c r="AE5" s="248"/>
      <c r="AF5" s="248"/>
      <c r="AG5" s="248"/>
      <c r="AH5" s="248"/>
      <c r="AI5" s="248"/>
      <c r="AJ5" s="248"/>
      <c r="AK5" s="248"/>
      <c r="AL5" s="248"/>
      <c r="AM5" s="248"/>
      <c r="AN5" s="248"/>
      <c r="AO5" s="248"/>
      <c r="AP5" s="248"/>
      <c r="AQ5" s="248"/>
      <c r="AR5" s="248"/>
      <c r="AS5" s="248"/>
      <c r="AT5" s="248"/>
      <c r="AU5" s="248"/>
      <c r="AV5" s="248"/>
      <c r="AW5" s="248"/>
      <c r="AX5" s="248"/>
      <c r="AY5" s="248"/>
      <c r="AZ5" s="248"/>
      <c r="BA5" s="248"/>
      <c r="BB5" s="248"/>
      <c r="BC5" s="248"/>
      <c r="BD5" s="248"/>
      <c r="BE5" s="248"/>
      <c r="BF5" s="248"/>
      <c r="BG5" s="248"/>
      <c r="BH5" s="248"/>
      <c r="BI5" s="248"/>
      <c r="BJ5" s="248"/>
      <c r="BK5" s="249"/>
    </row>
    <row r="6" spans="1:65" ht="15" customHeight="1" x14ac:dyDescent="0.25">
      <c r="A6" s="250"/>
      <c r="BK6" s="251"/>
    </row>
    <row r="7" spans="1:65" ht="15" customHeight="1" x14ac:dyDescent="0.25">
      <c r="A7" s="250"/>
      <c r="B7" s="307" t="s">
        <v>83</v>
      </c>
      <c r="C7" s="308"/>
      <c r="D7" s="309"/>
      <c r="E7" s="309"/>
      <c r="F7" s="309"/>
      <c r="G7" s="309"/>
      <c r="H7" s="309"/>
      <c r="I7" s="309"/>
      <c r="J7" s="309"/>
      <c r="K7" s="310"/>
      <c r="L7" s="309"/>
      <c r="M7" s="309"/>
      <c r="N7" s="309"/>
      <c r="O7" s="309"/>
      <c r="P7" s="309"/>
      <c r="Q7" s="309"/>
      <c r="R7" s="309"/>
      <c r="S7" s="309"/>
      <c r="T7" s="310"/>
      <c r="U7" s="308"/>
      <c r="V7" s="309"/>
      <c r="W7" s="309"/>
      <c r="X7" s="309"/>
      <c r="Y7" s="309"/>
      <c r="Z7" s="309"/>
      <c r="AA7" s="309"/>
      <c r="AB7" s="309"/>
      <c r="AC7" s="310"/>
      <c r="AD7" s="308"/>
      <c r="AE7" s="309"/>
      <c r="AF7" s="309"/>
      <c r="AG7" s="309"/>
      <c r="AH7" s="309"/>
      <c r="AI7" s="309"/>
      <c r="AJ7" s="309"/>
      <c r="AK7" s="309"/>
      <c r="AL7" s="310"/>
      <c r="AM7" s="308"/>
      <c r="AN7" s="309"/>
      <c r="AO7" s="309"/>
      <c r="AP7" s="309"/>
      <c r="AQ7" s="309"/>
      <c r="AR7" s="309"/>
      <c r="AS7" s="309"/>
      <c r="AT7" s="309"/>
      <c r="AU7" s="309"/>
      <c r="AV7" s="309"/>
      <c r="AW7" s="309"/>
      <c r="AX7" s="309"/>
      <c r="AY7" s="309"/>
      <c r="AZ7" s="309"/>
      <c r="BA7" s="309"/>
      <c r="BB7" s="309"/>
      <c r="BC7" s="309"/>
      <c r="BD7" s="309"/>
      <c r="BE7" s="309"/>
      <c r="BF7" s="309"/>
      <c r="BG7" s="309"/>
      <c r="BH7" s="309"/>
      <c r="BI7" s="310"/>
      <c r="BJ7" s="309"/>
      <c r="BK7" s="251"/>
    </row>
    <row r="8" spans="1:65" ht="15" customHeight="1" x14ac:dyDescent="0.25">
      <c r="A8" s="250"/>
      <c r="B8" s="311"/>
      <c r="K8" s="312"/>
      <c r="U8" s="311"/>
      <c r="AD8" s="311"/>
      <c r="AM8" s="311"/>
      <c r="BI8" s="313"/>
      <c r="BK8" s="251"/>
      <c r="BM8" s="33">
        <f t="shared" ref="BM8:BM21" si="0">IF(BM7=50,1,BM7+1)</f>
        <v>1</v>
      </c>
    </row>
    <row r="9" spans="1:65" ht="15" customHeight="1" x14ac:dyDescent="0.25">
      <c r="A9" s="250"/>
      <c r="B9" s="311"/>
      <c r="K9" s="312"/>
      <c r="U9" s="311"/>
      <c r="AD9" s="311"/>
      <c r="AM9" s="311"/>
      <c r="BI9" s="313"/>
      <c r="BK9" s="251"/>
      <c r="BM9" s="33">
        <f t="shared" si="0"/>
        <v>2</v>
      </c>
    </row>
    <row r="10" spans="1:65" ht="15" customHeight="1" x14ac:dyDescent="0.25">
      <c r="A10" s="250"/>
      <c r="B10" s="311"/>
      <c r="K10" s="312"/>
      <c r="U10" s="311"/>
      <c r="AD10" s="311"/>
      <c r="AM10" s="311"/>
      <c r="BI10" s="313"/>
      <c r="BK10" s="251"/>
      <c r="BM10" s="33">
        <f t="shared" si="0"/>
        <v>3</v>
      </c>
    </row>
    <row r="11" spans="1:65" ht="15" customHeight="1" x14ac:dyDescent="0.25">
      <c r="A11" s="250"/>
      <c r="B11" s="311"/>
      <c r="K11" s="312"/>
      <c r="U11" s="311"/>
      <c r="AD11" s="311"/>
      <c r="AM11" s="311"/>
      <c r="BI11" s="313"/>
      <c r="BK11" s="251"/>
      <c r="BM11" s="33">
        <f t="shared" si="0"/>
        <v>4</v>
      </c>
    </row>
    <row r="12" spans="1:65" ht="15" customHeight="1" x14ac:dyDescent="0.25">
      <c r="A12" s="250"/>
      <c r="B12" s="311"/>
      <c r="K12" s="312"/>
      <c r="U12" s="311"/>
      <c r="AD12" s="311"/>
      <c r="AM12" s="311"/>
      <c r="BI12" s="313"/>
      <c r="BK12" s="251"/>
      <c r="BM12" s="33">
        <f t="shared" si="0"/>
        <v>5</v>
      </c>
    </row>
    <row r="13" spans="1:65" ht="15" customHeight="1" x14ac:dyDescent="0.25">
      <c r="A13" s="250"/>
      <c r="B13" s="311"/>
      <c r="K13" s="312"/>
      <c r="U13" s="311"/>
      <c r="AD13" s="311"/>
      <c r="AM13" s="311"/>
      <c r="BI13" s="313"/>
      <c r="BK13" s="251"/>
      <c r="BM13" s="33">
        <f t="shared" si="0"/>
        <v>6</v>
      </c>
    </row>
    <row r="14" spans="1:65" ht="15" customHeight="1" x14ac:dyDescent="0.25">
      <c r="A14" s="250"/>
      <c r="B14" s="311"/>
      <c r="K14" s="312"/>
      <c r="U14" s="311"/>
      <c r="AD14" s="311"/>
      <c r="AM14" s="311"/>
      <c r="BI14" s="313"/>
      <c r="BK14" s="251"/>
      <c r="BM14" s="33">
        <f t="shared" si="0"/>
        <v>7</v>
      </c>
    </row>
    <row r="15" spans="1:65" ht="15" customHeight="1" x14ac:dyDescent="0.25">
      <c r="A15" s="250"/>
      <c r="B15" s="311"/>
      <c r="K15" s="312"/>
      <c r="U15" s="311"/>
      <c r="AD15" s="311"/>
      <c r="AM15" s="311"/>
      <c r="BI15" s="313"/>
      <c r="BK15" s="251"/>
      <c r="BM15" s="33">
        <f t="shared" si="0"/>
        <v>8</v>
      </c>
    </row>
    <row r="16" spans="1:65" ht="15" customHeight="1" x14ac:dyDescent="0.25">
      <c r="A16" s="250"/>
      <c r="B16" s="314" t="s">
        <v>39</v>
      </c>
      <c r="C16" s="315"/>
      <c r="D16" s="315"/>
      <c r="E16" s="315"/>
      <c r="F16" s="315"/>
      <c r="G16" s="315"/>
      <c r="H16" s="315"/>
      <c r="I16" s="315"/>
      <c r="J16" s="315"/>
      <c r="K16" s="316"/>
      <c r="L16" s="315"/>
      <c r="M16" s="315"/>
      <c r="N16" s="315"/>
      <c r="O16" s="315"/>
      <c r="P16" s="315"/>
      <c r="Q16" s="315"/>
      <c r="R16" s="315"/>
      <c r="S16" s="315"/>
      <c r="T16" s="315"/>
      <c r="U16" s="317"/>
      <c r="V16" s="315"/>
      <c r="W16" s="315"/>
      <c r="X16" s="315"/>
      <c r="Y16" s="315"/>
      <c r="Z16" s="315"/>
      <c r="AA16" s="315"/>
      <c r="AB16" s="315"/>
      <c r="AC16" s="315"/>
      <c r="AD16" s="317"/>
      <c r="AE16" s="315"/>
      <c r="AF16" s="315"/>
      <c r="AG16" s="315"/>
      <c r="AH16" s="315"/>
      <c r="AI16" s="315"/>
      <c r="AJ16" s="315"/>
      <c r="AK16" s="315"/>
      <c r="AL16" s="315"/>
      <c r="AM16" s="317"/>
      <c r="AN16" s="315"/>
      <c r="AO16" s="315"/>
      <c r="AP16" s="315"/>
      <c r="AQ16" s="315"/>
      <c r="AR16" s="315"/>
      <c r="AS16" s="315"/>
      <c r="AT16" s="315"/>
      <c r="AU16" s="315"/>
      <c r="AV16" s="315"/>
      <c r="AW16" s="315"/>
      <c r="AX16" s="315"/>
      <c r="AY16" s="315"/>
      <c r="AZ16" s="315"/>
      <c r="BA16" s="315"/>
      <c r="BB16" s="315"/>
      <c r="BC16" s="315"/>
      <c r="BD16" s="315"/>
      <c r="BE16" s="315"/>
      <c r="BF16" s="315"/>
      <c r="BG16" s="315"/>
      <c r="BH16" s="315"/>
      <c r="BI16" s="318"/>
      <c r="BJ16" s="315"/>
      <c r="BK16" s="251"/>
      <c r="BM16" s="33">
        <f t="shared" si="0"/>
        <v>9</v>
      </c>
    </row>
    <row r="17" spans="1:65" ht="15" customHeight="1" x14ac:dyDescent="0.25">
      <c r="A17" s="250"/>
      <c r="B17" s="311"/>
      <c r="K17" s="312"/>
      <c r="U17" s="311"/>
      <c r="AD17" s="311"/>
      <c r="AM17" s="311"/>
      <c r="BI17" s="313"/>
      <c r="BK17" s="251"/>
      <c r="BM17" s="33">
        <f t="shared" si="0"/>
        <v>10</v>
      </c>
    </row>
    <row r="18" spans="1:65" ht="15" customHeight="1" x14ac:dyDescent="0.25">
      <c r="A18" s="250"/>
      <c r="B18" s="311"/>
      <c r="K18" s="312"/>
      <c r="U18" s="311"/>
      <c r="AD18" s="311"/>
      <c r="AM18" s="311"/>
      <c r="BI18" s="313"/>
      <c r="BK18" s="251"/>
      <c r="BM18" s="33">
        <f t="shared" si="0"/>
        <v>11</v>
      </c>
    </row>
    <row r="19" spans="1:65" ht="15" customHeight="1" x14ac:dyDescent="0.25">
      <c r="A19" s="250"/>
      <c r="B19" s="311"/>
      <c r="K19" s="312"/>
      <c r="U19" s="311"/>
      <c r="AD19" s="311"/>
      <c r="AM19" s="311"/>
      <c r="BI19" s="313"/>
      <c r="BK19" s="251"/>
      <c r="BM19" s="33">
        <f t="shared" si="0"/>
        <v>12</v>
      </c>
    </row>
    <row r="20" spans="1:65" ht="15" customHeight="1" x14ac:dyDescent="0.25">
      <c r="A20" s="250"/>
      <c r="B20" s="311"/>
      <c r="K20" s="312"/>
      <c r="U20" s="311"/>
      <c r="AD20" s="311"/>
      <c r="AM20" s="311"/>
      <c r="BI20" s="313"/>
      <c r="BK20" s="251"/>
      <c r="BM20" s="33">
        <f t="shared" si="0"/>
        <v>13</v>
      </c>
    </row>
    <row r="21" spans="1:65" ht="15" customHeight="1" x14ac:dyDescent="0.25">
      <c r="A21" s="250"/>
      <c r="B21" s="311"/>
      <c r="K21" s="312"/>
      <c r="U21" s="311"/>
      <c r="AD21" s="311"/>
      <c r="AM21" s="311"/>
      <c r="BI21" s="313"/>
      <c r="BK21" s="251"/>
      <c r="BM21" s="33">
        <f t="shared" si="0"/>
        <v>14</v>
      </c>
    </row>
    <row r="22" spans="1:65" s="300" customFormat="1" ht="15" customHeight="1" x14ac:dyDescent="0.25">
      <c r="A22" s="302"/>
      <c r="B22" s="311"/>
      <c r="K22" s="312"/>
      <c r="L22" s="319"/>
      <c r="T22" s="312"/>
      <c r="U22" s="319"/>
      <c r="AC22" s="312"/>
      <c r="AD22" s="319"/>
      <c r="AL22" s="312"/>
      <c r="AM22" s="311"/>
      <c r="BI22" s="312"/>
      <c r="BK22" s="303"/>
      <c r="BM22" s="33">
        <f t="shared" ref="BM22:BM106" si="1">IF(BM21=50,1,BM21+1)</f>
        <v>15</v>
      </c>
    </row>
    <row r="23" spans="1:65" s="300" customFormat="1" ht="15" customHeight="1" x14ac:dyDescent="0.25">
      <c r="A23" s="302"/>
      <c r="B23" s="311"/>
      <c r="K23" s="312"/>
      <c r="L23" s="319"/>
      <c r="T23" s="312"/>
      <c r="U23" s="319"/>
      <c r="AC23" s="312"/>
      <c r="AD23" s="319"/>
      <c r="AL23" s="312"/>
      <c r="AM23" s="311"/>
      <c r="BI23" s="312"/>
      <c r="BK23" s="303"/>
      <c r="BM23" s="33">
        <f t="shared" si="1"/>
        <v>16</v>
      </c>
    </row>
    <row r="24" spans="1:65" s="300" customFormat="1" ht="15" customHeight="1" x14ac:dyDescent="0.25">
      <c r="A24" s="302"/>
      <c r="B24" s="311"/>
      <c r="K24" s="312"/>
      <c r="L24" s="319"/>
      <c r="T24" s="312"/>
      <c r="U24" s="319"/>
      <c r="AC24" s="312"/>
      <c r="AD24" s="319"/>
      <c r="AL24" s="312"/>
      <c r="AM24" s="311"/>
      <c r="BI24" s="312"/>
      <c r="BK24" s="303"/>
      <c r="BM24" s="33">
        <f t="shared" si="1"/>
        <v>17</v>
      </c>
    </row>
    <row r="25" spans="1:65" s="300" customFormat="1" ht="15" customHeight="1" x14ac:dyDescent="0.25">
      <c r="A25" s="302"/>
      <c r="B25" s="311"/>
      <c r="K25" s="312"/>
      <c r="L25" s="319"/>
      <c r="T25" s="312"/>
      <c r="U25" s="319"/>
      <c r="AC25" s="312"/>
      <c r="AD25" s="319"/>
      <c r="AL25" s="312"/>
      <c r="AM25" s="311"/>
      <c r="BI25" s="312"/>
      <c r="BK25" s="303"/>
      <c r="BM25" s="33">
        <f t="shared" si="1"/>
        <v>18</v>
      </c>
    </row>
    <row r="26" spans="1:65" s="300" customFormat="1" ht="15" customHeight="1" x14ac:dyDescent="0.25">
      <c r="A26" s="302"/>
      <c r="B26" s="311"/>
      <c r="K26" s="312"/>
      <c r="L26" s="319"/>
      <c r="T26" s="312"/>
      <c r="U26" s="319"/>
      <c r="AC26" s="312"/>
      <c r="AD26" s="319"/>
      <c r="AL26" s="312"/>
      <c r="AM26" s="311"/>
      <c r="BI26" s="312"/>
      <c r="BK26" s="303"/>
      <c r="BM26" s="33">
        <f t="shared" si="1"/>
        <v>19</v>
      </c>
    </row>
    <row r="27" spans="1:65" s="300" customFormat="1" ht="15" customHeight="1" x14ac:dyDescent="0.25">
      <c r="A27" s="302"/>
      <c r="B27" s="311"/>
      <c r="K27" s="312"/>
      <c r="L27" s="319"/>
      <c r="T27" s="312"/>
      <c r="U27" s="319"/>
      <c r="AC27" s="312"/>
      <c r="AD27" s="319"/>
      <c r="AL27" s="312"/>
      <c r="AM27" s="311"/>
      <c r="BI27" s="312"/>
      <c r="BK27" s="303"/>
      <c r="BM27" s="33">
        <f t="shared" si="1"/>
        <v>20</v>
      </c>
    </row>
    <row r="28" spans="1:65" s="300" customFormat="1" ht="15" customHeight="1" x14ac:dyDescent="0.25">
      <c r="A28" s="302"/>
      <c r="B28" s="311"/>
      <c r="K28" s="312"/>
      <c r="L28" s="319"/>
      <c r="T28" s="312"/>
      <c r="U28" s="319"/>
      <c r="AC28" s="312"/>
      <c r="AD28" s="319"/>
      <c r="AL28" s="312"/>
      <c r="AM28" s="311"/>
      <c r="BI28" s="312"/>
      <c r="BK28" s="303"/>
      <c r="BM28" s="33">
        <f t="shared" si="1"/>
        <v>21</v>
      </c>
    </row>
    <row r="29" spans="1:65" s="300" customFormat="1" ht="15" customHeight="1" x14ac:dyDescent="0.25">
      <c r="A29" s="302"/>
      <c r="B29" s="311"/>
      <c r="K29" s="312"/>
      <c r="L29" s="319"/>
      <c r="T29" s="312"/>
      <c r="U29" s="319"/>
      <c r="AC29" s="312"/>
      <c r="AD29" s="319"/>
      <c r="AL29" s="312"/>
      <c r="AM29" s="311"/>
      <c r="BI29" s="312"/>
      <c r="BK29" s="303"/>
      <c r="BM29" s="33">
        <f t="shared" si="1"/>
        <v>22</v>
      </c>
    </row>
    <row r="30" spans="1:65" s="300" customFormat="1" ht="15" customHeight="1" x14ac:dyDescent="0.25">
      <c r="A30" s="302"/>
      <c r="B30" s="311"/>
      <c r="K30" s="312"/>
      <c r="L30" s="319"/>
      <c r="T30" s="312"/>
      <c r="U30" s="319"/>
      <c r="AC30" s="312"/>
      <c r="AD30" s="319"/>
      <c r="AL30" s="312"/>
      <c r="AM30" s="311"/>
      <c r="BI30" s="312"/>
      <c r="BK30" s="303"/>
      <c r="BM30" s="33">
        <f t="shared" si="1"/>
        <v>23</v>
      </c>
    </row>
    <row r="31" spans="1:65" s="300" customFormat="1" ht="15" customHeight="1" x14ac:dyDescent="0.25">
      <c r="A31" s="302"/>
      <c r="B31" s="311"/>
      <c r="K31" s="312"/>
      <c r="L31" s="319"/>
      <c r="T31" s="312"/>
      <c r="U31" s="319"/>
      <c r="AC31" s="312"/>
      <c r="AD31" s="319"/>
      <c r="AL31" s="312"/>
      <c r="AM31" s="311"/>
      <c r="BI31" s="312"/>
      <c r="BK31" s="303"/>
      <c r="BM31" s="33">
        <f t="shared" si="1"/>
        <v>24</v>
      </c>
    </row>
    <row r="32" spans="1:65" s="300" customFormat="1" ht="15" customHeight="1" x14ac:dyDescent="0.25">
      <c r="A32" s="302"/>
      <c r="B32" s="311"/>
      <c r="K32" s="312"/>
      <c r="L32" s="319"/>
      <c r="T32" s="312"/>
      <c r="U32" s="319"/>
      <c r="AC32" s="312"/>
      <c r="AD32" s="319"/>
      <c r="AL32" s="312"/>
      <c r="AM32" s="311"/>
      <c r="BI32" s="312"/>
      <c r="BK32" s="303"/>
      <c r="BM32" s="33">
        <f t="shared" si="1"/>
        <v>25</v>
      </c>
    </row>
    <row r="33" spans="1:65" s="300" customFormat="1" ht="15" customHeight="1" x14ac:dyDescent="0.25">
      <c r="A33" s="302"/>
      <c r="B33" s="311"/>
      <c r="K33" s="312"/>
      <c r="L33" s="319"/>
      <c r="T33" s="312"/>
      <c r="U33" s="319"/>
      <c r="AC33" s="312"/>
      <c r="AD33" s="319"/>
      <c r="AL33" s="312"/>
      <c r="AM33" s="311"/>
      <c r="BI33" s="312"/>
      <c r="BK33" s="303"/>
      <c r="BM33" s="33">
        <f t="shared" si="1"/>
        <v>26</v>
      </c>
    </row>
    <row r="34" spans="1:65" s="300" customFormat="1" ht="15" customHeight="1" x14ac:dyDescent="0.25">
      <c r="A34" s="302"/>
      <c r="B34" s="311"/>
      <c r="K34" s="312"/>
      <c r="L34" s="319"/>
      <c r="T34" s="312"/>
      <c r="U34" s="319"/>
      <c r="AC34" s="312"/>
      <c r="AD34" s="319"/>
      <c r="AL34" s="312"/>
      <c r="AM34" s="311"/>
      <c r="BI34" s="312"/>
      <c r="BK34" s="303"/>
      <c r="BM34" s="33">
        <f t="shared" si="1"/>
        <v>27</v>
      </c>
    </row>
    <row r="35" spans="1:65" s="300" customFormat="1" ht="15" customHeight="1" x14ac:dyDescent="0.25">
      <c r="A35" s="302"/>
      <c r="B35" s="311"/>
      <c r="K35" s="312"/>
      <c r="L35" s="319"/>
      <c r="T35" s="312"/>
      <c r="U35" s="319"/>
      <c r="AC35" s="312"/>
      <c r="AD35" s="319"/>
      <c r="AL35" s="312"/>
      <c r="AM35" s="311"/>
      <c r="BI35" s="312"/>
      <c r="BK35" s="303"/>
      <c r="BM35" s="33">
        <f t="shared" si="1"/>
        <v>28</v>
      </c>
    </row>
    <row r="36" spans="1:65" s="300" customFormat="1" ht="15" customHeight="1" x14ac:dyDescent="0.25">
      <c r="A36" s="302"/>
      <c r="B36" s="311"/>
      <c r="K36" s="312"/>
      <c r="L36" s="319"/>
      <c r="T36" s="312"/>
      <c r="U36" s="319"/>
      <c r="AC36" s="312"/>
      <c r="AD36" s="319"/>
      <c r="AL36" s="312"/>
      <c r="AM36" s="311"/>
      <c r="BI36" s="312"/>
      <c r="BK36" s="303"/>
      <c r="BM36" s="33">
        <f t="shared" si="1"/>
        <v>29</v>
      </c>
    </row>
    <row r="37" spans="1:65" s="300" customFormat="1" ht="15" customHeight="1" x14ac:dyDescent="0.25">
      <c r="A37" s="302"/>
      <c r="B37" s="311"/>
      <c r="K37" s="312"/>
      <c r="L37" s="319"/>
      <c r="T37" s="312"/>
      <c r="U37" s="319"/>
      <c r="AC37" s="312"/>
      <c r="AD37" s="319"/>
      <c r="AL37" s="312"/>
      <c r="AM37" s="311"/>
      <c r="BI37" s="312"/>
      <c r="BK37" s="303"/>
      <c r="BM37" s="33">
        <f t="shared" si="1"/>
        <v>30</v>
      </c>
    </row>
    <row r="38" spans="1:65" s="300" customFormat="1" ht="15" customHeight="1" x14ac:dyDescent="0.25">
      <c r="A38" s="302"/>
      <c r="B38" s="311"/>
      <c r="K38" s="312"/>
      <c r="L38" s="319"/>
      <c r="T38" s="312"/>
      <c r="U38" s="319"/>
      <c r="AC38" s="312"/>
      <c r="AD38" s="319"/>
      <c r="AL38" s="312"/>
      <c r="AM38" s="311"/>
      <c r="BI38" s="312"/>
      <c r="BK38" s="303"/>
      <c r="BM38" s="33">
        <f t="shared" si="1"/>
        <v>31</v>
      </c>
    </row>
    <row r="39" spans="1:65" s="300" customFormat="1" ht="15" customHeight="1" x14ac:dyDescent="0.25">
      <c r="A39" s="302"/>
      <c r="B39" s="319"/>
      <c r="K39" s="312"/>
      <c r="L39" s="319"/>
      <c r="T39" s="312"/>
      <c r="U39" s="319"/>
      <c r="AC39" s="312"/>
      <c r="AD39" s="319"/>
      <c r="AL39" s="312"/>
      <c r="AM39" s="311"/>
      <c r="BI39" s="312"/>
      <c r="BK39" s="303"/>
      <c r="BM39" s="33">
        <f t="shared" si="1"/>
        <v>32</v>
      </c>
    </row>
    <row r="40" spans="1:65" s="300" customFormat="1" ht="15" customHeight="1" x14ac:dyDescent="0.25">
      <c r="A40" s="302"/>
      <c r="B40" s="319"/>
      <c r="K40" s="312"/>
      <c r="L40" s="319"/>
      <c r="T40" s="312"/>
      <c r="U40" s="319"/>
      <c r="AC40" s="312"/>
      <c r="AD40" s="319"/>
      <c r="AL40" s="312"/>
      <c r="AM40" s="311"/>
      <c r="BI40" s="312"/>
      <c r="BK40" s="303"/>
      <c r="BM40" s="33">
        <f t="shared" si="1"/>
        <v>33</v>
      </c>
    </row>
    <row r="41" spans="1:65" s="300" customFormat="1" ht="15" customHeight="1" x14ac:dyDescent="0.25">
      <c r="A41" s="302"/>
      <c r="B41" s="319"/>
      <c r="K41" s="312"/>
      <c r="L41" s="319"/>
      <c r="T41" s="312"/>
      <c r="U41" s="319"/>
      <c r="AC41" s="312"/>
      <c r="AL41" s="312"/>
      <c r="AM41" s="311"/>
      <c r="BI41" s="312"/>
      <c r="BK41" s="303"/>
      <c r="BM41" s="33">
        <f t="shared" si="1"/>
        <v>34</v>
      </c>
    </row>
    <row r="42" spans="1:65" s="300" customFormat="1" ht="15" customHeight="1" x14ac:dyDescent="0.25">
      <c r="A42" s="302"/>
      <c r="B42" s="319"/>
      <c r="K42" s="312"/>
      <c r="L42" s="319"/>
      <c r="T42" s="312"/>
      <c r="U42" s="319"/>
      <c r="AC42" s="312"/>
      <c r="AD42" s="319"/>
      <c r="AL42" s="312"/>
      <c r="AM42" s="311"/>
      <c r="BI42" s="312"/>
      <c r="BK42" s="303"/>
      <c r="BM42" s="33">
        <f t="shared" si="1"/>
        <v>35</v>
      </c>
    </row>
    <row r="43" spans="1:65" s="300" customFormat="1" ht="15" customHeight="1" x14ac:dyDescent="0.25">
      <c r="A43" s="302"/>
      <c r="B43" s="319"/>
      <c r="K43" s="312"/>
      <c r="L43" s="319"/>
      <c r="T43" s="312"/>
      <c r="U43" s="319"/>
      <c r="AC43" s="312"/>
      <c r="AD43" s="319"/>
      <c r="AL43" s="312"/>
      <c r="AM43" s="311"/>
      <c r="BI43" s="312"/>
      <c r="BK43" s="303"/>
      <c r="BM43" s="33">
        <f t="shared" si="1"/>
        <v>36</v>
      </c>
    </row>
    <row r="44" spans="1:65" s="300" customFormat="1" ht="15" customHeight="1" x14ac:dyDescent="0.25">
      <c r="A44" s="302"/>
      <c r="B44" s="319"/>
      <c r="K44" s="312"/>
      <c r="L44" s="319"/>
      <c r="T44" s="312"/>
      <c r="U44" s="319"/>
      <c r="AC44" s="312"/>
      <c r="AD44" s="319"/>
      <c r="AL44" s="312"/>
      <c r="AM44" s="311"/>
      <c r="BI44" s="312"/>
      <c r="BK44" s="303"/>
      <c r="BM44" s="33">
        <f t="shared" si="1"/>
        <v>37</v>
      </c>
    </row>
    <row r="45" spans="1:65" s="300" customFormat="1" ht="15" customHeight="1" x14ac:dyDescent="0.25">
      <c r="A45" s="302"/>
      <c r="B45" s="319"/>
      <c r="K45" s="312"/>
      <c r="L45" s="319"/>
      <c r="T45" s="312"/>
      <c r="U45" s="319"/>
      <c r="AC45" s="312"/>
      <c r="AD45" s="319"/>
      <c r="AL45" s="312"/>
      <c r="AM45" s="311"/>
      <c r="BI45" s="312"/>
      <c r="BK45" s="303"/>
      <c r="BM45" s="33">
        <f t="shared" si="1"/>
        <v>38</v>
      </c>
    </row>
    <row r="46" spans="1:65" s="300" customFormat="1" ht="15" customHeight="1" x14ac:dyDescent="0.25">
      <c r="A46" s="302"/>
      <c r="B46" s="319"/>
      <c r="K46" s="312"/>
      <c r="L46" s="319"/>
      <c r="T46" s="312"/>
      <c r="U46" s="319"/>
      <c r="AC46" s="312"/>
      <c r="AD46" s="319"/>
      <c r="AL46" s="312"/>
      <c r="AM46" s="311"/>
      <c r="BI46" s="312"/>
      <c r="BK46" s="303"/>
      <c r="BM46" s="33">
        <f t="shared" si="1"/>
        <v>39</v>
      </c>
    </row>
    <row r="47" spans="1:65" s="300" customFormat="1" ht="15" customHeight="1" x14ac:dyDescent="0.25">
      <c r="A47" s="302"/>
      <c r="B47" s="319"/>
      <c r="K47" s="312"/>
      <c r="L47" s="319"/>
      <c r="T47" s="312"/>
      <c r="U47" s="319"/>
      <c r="AC47" s="312"/>
      <c r="AD47" s="319"/>
      <c r="AL47" s="312"/>
      <c r="AM47" s="311"/>
      <c r="BI47" s="312"/>
      <c r="BK47" s="303"/>
      <c r="BM47" s="33">
        <f t="shared" si="1"/>
        <v>40</v>
      </c>
    </row>
    <row r="48" spans="1:65" s="300" customFormat="1" ht="15" customHeight="1" x14ac:dyDescent="0.25">
      <c r="A48" s="302"/>
      <c r="B48" s="319"/>
      <c r="K48" s="312"/>
      <c r="L48" s="319"/>
      <c r="T48" s="312"/>
      <c r="U48" s="319"/>
      <c r="AC48" s="312"/>
      <c r="AD48" s="319"/>
      <c r="AL48" s="312"/>
      <c r="AM48" s="311"/>
      <c r="BI48" s="312"/>
      <c r="BK48" s="303"/>
      <c r="BM48" s="33">
        <f t="shared" si="1"/>
        <v>41</v>
      </c>
    </row>
    <row r="49" spans="1:65" s="300" customFormat="1" ht="15" customHeight="1" x14ac:dyDescent="0.25">
      <c r="A49" s="302"/>
      <c r="B49" s="319"/>
      <c r="K49" s="312"/>
      <c r="L49" s="319"/>
      <c r="T49" s="312"/>
      <c r="U49" s="319"/>
      <c r="AC49" s="312"/>
      <c r="AD49" s="319"/>
      <c r="AL49" s="312"/>
      <c r="AM49" s="311"/>
      <c r="BI49" s="312"/>
      <c r="BK49" s="303"/>
      <c r="BM49" s="33">
        <f t="shared" si="1"/>
        <v>42</v>
      </c>
    </row>
    <row r="50" spans="1:65" s="300" customFormat="1" ht="15" customHeight="1" x14ac:dyDescent="0.25">
      <c r="A50" s="302"/>
      <c r="B50" s="319"/>
      <c r="K50" s="312"/>
      <c r="L50" s="319"/>
      <c r="T50" s="312"/>
      <c r="U50" s="319"/>
      <c r="AC50" s="312"/>
      <c r="AD50" s="319"/>
      <c r="AL50" s="312"/>
      <c r="AM50" s="311"/>
      <c r="BI50" s="312"/>
      <c r="BK50" s="303"/>
      <c r="BM50" s="33">
        <f t="shared" si="1"/>
        <v>43</v>
      </c>
    </row>
    <row r="51" spans="1:65" s="300" customFormat="1" ht="15" customHeight="1" x14ac:dyDescent="0.25">
      <c r="A51" s="302"/>
      <c r="B51" s="319"/>
      <c r="K51" s="312"/>
      <c r="L51" s="319"/>
      <c r="T51" s="312"/>
      <c r="U51" s="319"/>
      <c r="AC51" s="312"/>
      <c r="AD51" s="319"/>
      <c r="AL51" s="312"/>
      <c r="AM51" s="311"/>
      <c r="BI51" s="312"/>
      <c r="BK51" s="303"/>
      <c r="BM51" s="33">
        <f t="shared" si="1"/>
        <v>44</v>
      </c>
    </row>
    <row r="52" spans="1:65" s="300" customFormat="1" ht="15" customHeight="1" x14ac:dyDescent="0.25">
      <c r="A52" s="302"/>
      <c r="B52" s="319"/>
      <c r="K52" s="312"/>
      <c r="L52" s="319"/>
      <c r="T52" s="312"/>
      <c r="U52" s="319"/>
      <c r="AC52" s="312"/>
      <c r="AD52" s="319"/>
      <c r="AL52" s="312"/>
      <c r="AM52" s="311"/>
      <c r="BI52" s="312"/>
      <c r="BK52" s="303"/>
      <c r="BM52" s="33">
        <f t="shared" si="1"/>
        <v>45</v>
      </c>
    </row>
    <row r="53" spans="1:65" s="300" customFormat="1" ht="15" customHeight="1" x14ac:dyDescent="0.25">
      <c r="A53" s="302"/>
      <c r="B53" s="319"/>
      <c r="K53" s="312"/>
      <c r="L53" s="319"/>
      <c r="T53" s="312"/>
      <c r="U53" s="319"/>
      <c r="AC53" s="312"/>
      <c r="AD53" s="319"/>
      <c r="AL53" s="312"/>
      <c r="AM53" s="311"/>
      <c r="BI53" s="312"/>
      <c r="BK53" s="303"/>
      <c r="BM53" s="33">
        <f t="shared" si="1"/>
        <v>46</v>
      </c>
    </row>
    <row r="54" spans="1:65" s="300" customFormat="1" ht="15" customHeight="1" x14ac:dyDescent="0.25">
      <c r="B54" s="319"/>
      <c r="L54" s="319"/>
      <c r="U54" s="319"/>
      <c r="AD54" s="319"/>
      <c r="AM54" s="311"/>
      <c r="BI54" s="312"/>
      <c r="BK54" s="303"/>
      <c r="BM54" s="33">
        <f t="shared" si="1"/>
        <v>47</v>
      </c>
    </row>
    <row r="55" spans="1:65" ht="15" customHeight="1" x14ac:dyDescent="0.25">
      <c r="B55" s="319"/>
      <c r="L55" s="319"/>
      <c r="U55" s="319"/>
      <c r="AD55" s="319"/>
      <c r="AM55" s="311"/>
      <c r="BI55" s="312"/>
      <c r="BJ55" s="300"/>
      <c r="BK55" s="303"/>
      <c r="BM55" s="33">
        <f t="shared" si="1"/>
        <v>48</v>
      </c>
    </row>
    <row r="56" spans="1:65" ht="15" customHeight="1" x14ac:dyDescent="0.25">
      <c r="B56" s="319"/>
      <c r="L56" s="319"/>
      <c r="U56" s="319"/>
      <c r="AD56" s="319"/>
      <c r="AM56" s="311"/>
      <c r="BI56" s="312"/>
      <c r="BJ56" s="300"/>
      <c r="BK56" s="303"/>
      <c r="BM56" s="33">
        <f t="shared" si="1"/>
        <v>49</v>
      </c>
    </row>
    <row r="57" spans="1:65" ht="15" customHeight="1" x14ac:dyDescent="0.25">
      <c r="B57" s="319"/>
      <c r="L57" s="319"/>
      <c r="U57" s="319"/>
      <c r="AD57" s="319"/>
      <c r="AM57" s="311"/>
      <c r="BI57" s="312"/>
      <c r="BJ57" s="300"/>
      <c r="BK57" s="303"/>
      <c r="BM57" s="33">
        <f t="shared" si="1"/>
        <v>50</v>
      </c>
    </row>
    <row r="58" spans="1:65" ht="15" customHeight="1" x14ac:dyDescent="0.25">
      <c r="B58" s="319"/>
      <c r="L58" s="319"/>
      <c r="U58" s="319"/>
      <c r="AD58" s="319"/>
      <c r="AM58" s="311"/>
      <c r="BI58" s="312"/>
      <c r="BJ58" s="300"/>
      <c r="BK58" s="303"/>
      <c r="BM58" s="33">
        <f t="shared" si="1"/>
        <v>1</v>
      </c>
    </row>
    <row r="59" spans="1:65" ht="15" customHeight="1" x14ac:dyDescent="0.25">
      <c r="B59" s="319"/>
      <c r="L59" s="319"/>
      <c r="U59" s="319"/>
      <c r="AD59" s="319"/>
      <c r="AM59" s="311"/>
      <c r="BI59" s="312"/>
      <c r="BJ59" s="300"/>
      <c r="BK59" s="303"/>
      <c r="BM59" s="33">
        <f t="shared" si="1"/>
        <v>2</v>
      </c>
    </row>
    <row r="60" spans="1:65" ht="15" customHeight="1" x14ac:dyDescent="0.25">
      <c r="B60" s="319"/>
      <c r="L60" s="319"/>
      <c r="U60" s="319"/>
      <c r="AD60" s="319"/>
      <c r="AM60" s="311"/>
      <c r="BI60" s="312"/>
      <c r="BJ60" s="300"/>
      <c r="BK60" s="303"/>
      <c r="BM60" s="33">
        <f t="shared" si="1"/>
        <v>3</v>
      </c>
    </row>
    <row r="61" spans="1:65" ht="15" customHeight="1" x14ac:dyDescent="0.25">
      <c r="B61" s="319"/>
      <c r="L61" s="319"/>
      <c r="U61" s="319"/>
      <c r="AD61" s="319"/>
      <c r="AM61" s="311"/>
      <c r="BI61" s="312"/>
      <c r="BJ61" s="300"/>
      <c r="BK61" s="303"/>
      <c r="BM61" s="33">
        <f t="shared" si="1"/>
        <v>4</v>
      </c>
    </row>
    <row r="62" spans="1:65" ht="15" customHeight="1" x14ac:dyDescent="0.25">
      <c r="B62" s="319"/>
      <c r="L62" s="319"/>
      <c r="U62" s="319"/>
      <c r="AD62" s="319"/>
      <c r="AM62" s="311"/>
      <c r="BI62" s="312"/>
      <c r="BJ62" s="300"/>
      <c r="BK62" s="303"/>
      <c r="BM62" s="33">
        <f t="shared" si="1"/>
        <v>5</v>
      </c>
    </row>
    <row r="63" spans="1:65" ht="15" customHeight="1" x14ac:dyDescent="0.25">
      <c r="B63" s="319"/>
      <c r="L63" s="319"/>
      <c r="U63" s="319"/>
      <c r="AD63" s="319"/>
      <c r="AM63" s="311"/>
      <c r="BI63" s="312"/>
      <c r="BJ63" s="300"/>
      <c r="BK63" s="303"/>
      <c r="BM63" s="33">
        <f t="shared" si="1"/>
        <v>6</v>
      </c>
    </row>
    <row r="64" spans="1:65" ht="15" customHeight="1" x14ac:dyDescent="0.25">
      <c r="B64" s="319"/>
      <c r="L64" s="319"/>
      <c r="U64" s="319"/>
      <c r="AD64" s="319"/>
      <c r="AM64" s="311"/>
      <c r="BI64" s="312"/>
      <c r="BJ64" s="300"/>
      <c r="BK64" s="303"/>
      <c r="BM64" s="33">
        <f t="shared" si="1"/>
        <v>7</v>
      </c>
    </row>
    <row r="65" spans="2:65" ht="15" customHeight="1" x14ac:dyDescent="0.25">
      <c r="B65" s="319"/>
      <c r="L65" s="319"/>
      <c r="U65" s="319"/>
      <c r="AD65" s="319"/>
      <c r="AM65" s="311"/>
      <c r="BI65" s="312"/>
      <c r="BJ65" s="300"/>
      <c r="BK65" s="303"/>
      <c r="BM65" s="33">
        <f t="shared" si="1"/>
        <v>8</v>
      </c>
    </row>
    <row r="66" spans="2:65" ht="15" customHeight="1" x14ac:dyDescent="0.25">
      <c r="B66" s="319"/>
      <c r="L66" s="319"/>
      <c r="U66" s="319"/>
      <c r="AD66" s="319"/>
      <c r="AM66" s="311"/>
      <c r="BI66" s="312"/>
      <c r="BJ66" s="300"/>
      <c r="BK66" s="303"/>
      <c r="BM66" s="33">
        <f t="shared" si="1"/>
        <v>9</v>
      </c>
    </row>
    <row r="67" spans="2:65" ht="15" customHeight="1" x14ac:dyDescent="0.25">
      <c r="B67" s="319"/>
      <c r="L67" s="319"/>
      <c r="U67" s="319"/>
      <c r="AD67" s="319"/>
      <c r="AM67" s="311"/>
      <c r="BI67" s="312"/>
      <c r="BJ67" s="300"/>
      <c r="BK67" s="303"/>
      <c r="BM67" s="33">
        <f t="shared" si="1"/>
        <v>10</v>
      </c>
    </row>
    <row r="68" spans="2:65" ht="15" customHeight="1" x14ac:dyDescent="0.25">
      <c r="B68" s="319"/>
      <c r="L68" s="319"/>
      <c r="U68" s="319"/>
      <c r="AD68" s="319"/>
      <c r="AM68" s="311"/>
      <c r="BI68" s="312"/>
      <c r="BJ68" s="300"/>
      <c r="BK68" s="303"/>
      <c r="BM68" s="33">
        <f t="shared" si="1"/>
        <v>11</v>
      </c>
    </row>
    <row r="69" spans="2:65" ht="15" customHeight="1" x14ac:dyDescent="0.25">
      <c r="B69" s="319"/>
      <c r="L69" s="319"/>
      <c r="U69" s="319"/>
      <c r="AD69" s="319"/>
      <c r="AM69" s="311"/>
      <c r="BI69" s="312"/>
      <c r="BJ69" s="300"/>
      <c r="BK69" s="303"/>
      <c r="BM69" s="33">
        <f t="shared" si="1"/>
        <v>12</v>
      </c>
    </row>
    <row r="70" spans="2:65" ht="15" customHeight="1" x14ac:dyDescent="0.25">
      <c r="B70" s="319"/>
      <c r="L70" s="319"/>
      <c r="U70" s="319"/>
      <c r="AD70" s="319"/>
      <c r="AM70" s="311"/>
      <c r="BI70" s="312"/>
      <c r="BJ70" s="300"/>
      <c r="BK70" s="303"/>
      <c r="BM70" s="33">
        <f t="shared" si="1"/>
        <v>13</v>
      </c>
    </row>
    <row r="71" spans="2:65" ht="15" customHeight="1" x14ac:dyDescent="0.25">
      <c r="B71" s="319"/>
      <c r="L71" s="319"/>
      <c r="U71" s="319"/>
      <c r="AD71" s="319"/>
      <c r="AM71" s="311"/>
      <c r="BI71" s="312"/>
      <c r="BJ71" s="300"/>
      <c r="BK71" s="303"/>
      <c r="BM71" s="33">
        <f t="shared" si="1"/>
        <v>14</v>
      </c>
    </row>
    <row r="72" spans="2:65" ht="15" customHeight="1" x14ac:dyDescent="0.25">
      <c r="B72" s="319"/>
      <c r="L72" s="319"/>
      <c r="U72" s="319"/>
      <c r="AD72" s="319"/>
      <c r="AM72" s="311"/>
      <c r="BI72" s="312"/>
      <c r="BJ72" s="300"/>
      <c r="BK72" s="303"/>
      <c r="BM72" s="33">
        <f t="shared" si="1"/>
        <v>15</v>
      </c>
    </row>
    <row r="73" spans="2:65" ht="15" customHeight="1" x14ac:dyDescent="0.25">
      <c r="B73" s="319"/>
      <c r="L73" s="319"/>
      <c r="U73" s="319"/>
      <c r="AD73" s="319"/>
      <c r="AM73" s="311"/>
      <c r="BI73" s="312"/>
      <c r="BJ73" s="300"/>
      <c r="BK73" s="303"/>
      <c r="BM73" s="33">
        <f t="shared" si="1"/>
        <v>16</v>
      </c>
    </row>
    <row r="74" spans="2:65" ht="15" customHeight="1" x14ac:dyDescent="0.25">
      <c r="B74" s="319"/>
      <c r="L74" s="319"/>
      <c r="U74" s="319"/>
      <c r="AD74" s="319"/>
      <c r="AM74" s="311"/>
      <c r="BI74" s="312"/>
      <c r="BJ74" s="300"/>
      <c r="BK74" s="303"/>
      <c r="BM74" s="33">
        <f t="shared" si="1"/>
        <v>17</v>
      </c>
    </row>
    <row r="75" spans="2:65" ht="15" customHeight="1" x14ac:dyDescent="0.25">
      <c r="B75" s="319"/>
      <c r="L75" s="319"/>
      <c r="U75" s="319"/>
      <c r="AD75" s="319"/>
      <c r="AM75" s="311"/>
      <c r="BI75" s="312"/>
      <c r="BJ75" s="300"/>
      <c r="BK75" s="303"/>
      <c r="BM75" s="33">
        <f t="shared" si="1"/>
        <v>18</v>
      </c>
    </row>
    <row r="76" spans="2:65" ht="15" customHeight="1" x14ac:dyDescent="0.25">
      <c r="B76" s="319"/>
      <c r="L76" s="319"/>
      <c r="U76" s="319"/>
      <c r="AD76" s="319"/>
      <c r="AM76" s="311"/>
      <c r="BI76" s="312"/>
      <c r="BJ76" s="300"/>
      <c r="BK76" s="303"/>
      <c r="BM76" s="33">
        <f t="shared" si="1"/>
        <v>19</v>
      </c>
    </row>
    <row r="77" spans="2:65" ht="15" customHeight="1" x14ac:dyDescent="0.25">
      <c r="B77" s="319"/>
      <c r="L77" s="319"/>
      <c r="U77" s="319"/>
      <c r="AD77" s="319"/>
      <c r="AM77" s="311"/>
      <c r="BI77" s="312"/>
      <c r="BJ77" s="300"/>
      <c r="BK77" s="303"/>
      <c r="BM77" s="33">
        <f t="shared" si="1"/>
        <v>20</v>
      </c>
    </row>
    <row r="78" spans="2:65" ht="15" customHeight="1" x14ac:dyDescent="0.25">
      <c r="B78" s="319"/>
      <c r="L78" s="319"/>
      <c r="U78" s="319"/>
      <c r="AD78" s="319"/>
      <c r="AM78" s="311"/>
      <c r="BI78" s="312"/>
      <c r="BJ78" s="300"/>
      <c r="BK78" s="303"/>
      <c r="BM78" s="33">
        <f t="shared" si="1"/>
        <v>21</v>
      </c>
    </row>
    <row r="79" spans="2:65" ht="15" customHeight="1" x14ac:dyDescent="0.25">
      <c r="B79" s="320" t="s">
        <v>38</v>
      </c>
      <c r="C79" s="320"/>
      <c r="D79" s="320"/>
      <c r="E79" s="320"/>
      <c r="F79" s="320"/>
      <c r="G79" s="320"/>
      <c r="H79" s="320"/>
      <c r="I79" s="320"/>
      <c r="J79" s="320"/>
      <c r="K79" s="320"/>
      <c r="L79" s="321"/>
      <c r="M79" s="320"/>
      <c r="N79" s="320"/>
      <c r="O79" s="320"/>
      <c r="P79" s="320"/>
      <c r="Q79" s="320"/>
      <c r="R79" s="320"/>
      <c r="S79" s="320"/>
      <c r="T79" s="320"/>
      <c r="U79" s="321"/>
      <c r="V79" s="320"/>
      <c r="W79" s="320"/>
      <c r="X79" s="320"/>
      <c r="Y79" s="320"/>
      <c r="Z79" s="320"/>
      <c r="AA79" s="320"/>
      <c r="AB79" s="320"/>
      <c r="AC79" s="320"/>
      <c r="AD79" s="321"/>
      <c r="AE79" s="320"/>
      <c r="AF79" s="320"/>
      <c r="AG79" s="320"/>
      <c r="AH79" s="320"/>
      <c r="AI79" s="320"/>
      <c r="AJ79" s="320"/>
      <c r="AK79" s="320"/>
      <c r="AL79" s="320"/>
      <c r="AM79" s="322"/>
      <c r="AN79" s="320"/>
      <c r="AO79" s="320"/>
      <c r="AP79" s="320"/>
      <c r="AQ79" s="320"/>
      <c r="AR79" s="320"/>
      <c r="AS79" s="320"/>
      <c r="AT79" s="320"/>
      <c r="AU79" s="320"/>
      <c r="AV79" s="320"/>
      <c r="AW79" s="320"/>
      <c r="AX79" s="320"/>
      <c r="AY79" s="320"/>
      <c r="AZ79" s="320"/>
      <c r="BA79" s="320"/>
      <c r="BB79" s="320"/>
      <c r="BC79" s="320"/>
      <c r="BD79" s="320"/>
      <c r="BE79" s="320"/>
      <c r="BF79" s="320"/>
      <c r="BG79" s="320"/>
      <c r="BH79" s="320"/>
      <c r="BI79" s="323"/>
      <c r="BJ79" s="320"/>
      <c r="BK79" s="303"/>
      <c r="BM79" s="33">
        <f t="shared" si="1"/>
        <v>22</v>
      </c>
    </row>
    <row r="80" spans="2:65" ht="15" customHeight="1" x14ac:dyDescent="0.25">
      <c r="B80" s="319"/>
      <c r="L80" s="319"/>
      <c r="U80" s="319"/>
      <c r="AD80" s="319"/>
      <c r="AM80" s="311"/>
      <c r="BI80" s="312"/>
      <c r="BJ80" s="300"/>
      <c r="BK80" s="303"/>
      <c r="BM80" s="33">
        <f t="shared" si="1"/>
        <v>23</v>
      </c>
    </row>
    <row r="81" spans="2:65" ht="15" customHeight="1" x14ac:dyDescent="0.25">
      <c r="B81" s="319"/>
      <c r="L81" s="319"/>
      <c r="U81" s="319"/>
      <c r="AD81" s="319"/>
      <c r="AM81" s="311"/>
      <c r="BI81" s="312"/>
      <c r="BJ81" s="300"/>
      <c r="BK81" s="303"/>
      <c r="BM81" s="33">
        <f t="shared" si="1"/>
        <v>24</v>
      </c>
    </row>
    <row r="82" spans="2:65" ht="15" customHeight="1" x14ac:dyDescent="0.25">
      <c r="B82" s="319"/>
      <c r="L82" s="319"/>
      <c r="U82" s="319"/>
      <c r="AD82" s="319"/>
      <c r="AM82" s="311"/>
      <c r="BI82" s="312"/>
      <c r="BJ82" s="300"/>
      <c r="BK82" s="303"/>
      <c r="BM82" s="33">
        <f t="shared" si="1"/>
        <v>25</v>
      </c>
    </row>
    <row r="83" spans="2:65" ht="15" customHeight="1" x14ac:dyDescent="0.25">
      <c r="B83" s="319"/>
      <c r="L83" s="319"/>
      <c r="U83" s="319"/>
      <c r="AD83" s="319"/>
      <c r="AM83" s="311"/>
      <c r="BI83" s="312"/>
      <c r="BJ83" s="300"/>
      <c r="BK83" s="303"/>
      <c r="BM83" s="33">
        <f t="shared" si="1"/>
        <v>26</v>
      </c>
    </row>
    <row r="84" spans="2:65" ht="15" customHeight="1" x14ac:dyDescent="0.25">
      <c r="B84" s="319"/>
      <c r="L84" s="319"/>
      <c r="U84" s="319"/>
      <c r="AD84" s="319"/>
      <c r="AM84" s="311"/>
      <c r="BI84" s="312"/>
      <c r="BJ84" s="300"/>
      <c r="BK84" s="303"/>
      <c r="BM84" s="33">
        <f t="shared" si="1"/>
        <v>27</v>
      </c>
    </row>
    <row r="85" spans="2:65" ht="15" customHeight="1" x14ac:dyDescent="0.25">
      <c r="B85" s="319"/>
      <c r="L85" s="319"/>
      <c r="U85" s="319"/>
      <c r="AD85" s="319"/>
      <c r="AM85" s="311"/>
      <c r="BI85" s="312"/>
      <c r="BJ85" s="300"/>
      <c r="BK85" s="303"/>
      <c r="BM85" s="33">
        <f t="shared" si="1"/>
        <v>28</v>
      </c>
    </row>
    <row r="86" spans="2:65" ht="15" customHeight="1" x14ac:dyDescent="0.25">
      <c r="B86" s="319"/>
      <c r="L86" s="319"/>
      <c r="U86" s="319"/>
      <c r="AD86" s="319"/>
      <c r="AM86" s="311"/>
      <c r="BI86" s="312"/>
      <c r="BJ86" s="300"/>
      <c r="BK86" s="303"/>
      <c r="BM86" s="33">
        <f t="shared" si="1"/>
        <v>29</v>
      </c>
    </row>
    <row r="87" spans="2:65" ht="15" customHeight="1" x14ac:dyDescent="0.25">
      <c r="B87" s="319"/>
      <c r="L87" s="319"/>
      <c r="U87" s="319"/>
      <c r="AD87" s="319"/>
      <c r="AM87" s="311"/>
      <c r="BI87" s="312"/>
      <c r="BJ87" s="300"/>
      <c r="BK87" s="303"/>
      <c r="BM87" s="33">
        <f t="shared" si="1"/>
        <v>30</v>
      </c>
    </row>
    <row r="88" spans="2:65" ht="15" customHeight="1" x14ac:dyDescent="0.25">
      <c r="B88" s="319"/>
      <c r="L88" s="319"/>
      <c r="U88" s="319"/>
      <c r="AD88" s="319"/>
      <c r="AM88" s="311"/>
      <c r="BI88" s="312"/>
      <c r="BJ88" s="300"/>
      <c r="BK88" s="303"/>
      <c r="BM88" s="33">
        <f t="shared" si="1"/>
        <v>31</v>
      </c>
    </row>
    <row r="89" spans="2:65" ht="15" customHeight="1" x14ac:dyDescent="0.25">
      <c r="B89" s="319"/>
      <c r="L89" s="319"/>
      <c r="U89" s="319"/>
      <c r="AD89" s="319"/>
      <c r="AM89" s="311"/>
      <c r="BI89" s="312"/>
      <c r="BJ89" s="300"/>
      <c r="BK89" s="303"/>
      <c r="BM89" s="33">
        <f t="shared" si="1"/>
        <v>32</v>
      </c>
    </row>
    <row r="90" spans="2:65" ht="15" customHeight="1" x14ac:dyDescent="0.25">
      <c r="B90" s="319"/>
      <c r="L90" s="319"/>
      <c r="U90" s="319"/>
      <c r="AD90" s="319"/>
      <c r="AM90" s="311"/>
      <c r="BI90" s="312"/>
      <c r="BJ90" s="300"/>
      <c r="BK90" s="303"/>
      <c r="BM90" s="33">
        <f t="shared" si="1"/>
        <v>33</v>
      </c>
    </row>
    <row r="91" spans="2:65" ht="15" customHeight="1" x14ac:dyDescent="0.25">
      <c r="B91" s="319"/>
      <c r="L91" s="319"/>
      <c r="U91" s="319"/>
      <c r="AD91" s="319"/>
      <c r="AM91" s="311"/>
      <c r="BI91" s="312"/>
      <c r="BJ91" s="300"/>
      <c r="BK91" s="303"/>
      <c r="BM91" s="33">
        <f t="shared" si="1"/>
        <v>34</v>
      </c>
    </row>
    <row r="92" spans="2:65" ht="15" customHeight="1" x14ac:dyDescent="0.25">
      <c r="B92" s="319"/>
      <c r="L92" s="319"/>
      <c r="U92" s="319"/>
      <c r="AD92" s="319"/>
      <c r="AM92" s="311"/>
      <c r="BI92" s="312"/>
      <c r="BJ92" s="300"/>
      <c r="BK92" s="303"/>
      <c r="BM92" s="33">
        <f t="shared" si="1"/>
        <v>35</v>
      </c>
    </row>
    <row r="93" spans="2:65" ht="15" customHeight="1" x14ac:dyDescent="0.25">
      <c r="B93" s="319"/>
      <c r="L93" s="319"/>
      <c r="U93" s="319"/>
      <c r="AD93" s="319"/>
      <c r="AM93" s="311"/>
      <c r="BI93" s="312"/>
      <c r="BJ93" s="300"/>
      <c r="BK93" s="303"/>
      <c r="BM93" s="33">
        <f t="shared" si="1"/>
        <v>36</v>
      </c>
    </row>
    <row r="94" spans="2:65" ht="15" customHeight="1" x14ac:dyDescent="0.25">
      <c r="B94" s="319"/>
      <c r="L94" s="319"/>
      <c r="U94" s="319"/>
      <c r="AD94" s="319"/>
      <c r="AM94" s="311"/>
      <c r="BI94" s="312"/>
      <c r="BJ94" s="300"/>
      <c r="BK94" s="303"/>
      <c r="BM94" s="33">
        <f t="shared" si="1"/>
        <v>37</v>
      </c>
    </row>
    <row r="95" spans="2:65" ht="15" customHeight="1" x14ac:dyDescent="0.25">
      <c r="B95" s="319"/>
      <c r="L95" s="319"/>
      <c r="U95" s="319"/>
      <c r="AD95" s="319"/>
      <c r="AM95" s="311"/>
      <c r="BI95" s="312"/>
      <c r="BJ95" s="300"/>
      <c r="BK95" s="303"/>
      <c r="BM95" s="33">
        <f t="shared" si="1"/>
        <v>38</v>
      </c>
    </row>
    <row r="96" spans="2:65" ht="15" customHeight="1" x14ac:dyDescent="0.25">
      <c r="B96" s="319"/>
      <c r="L96" s="319"/>
      <c r="U96" s="319"/>
      <c r="AD96" s="319"/>
      <c r="AM96" s="311"/>
      <c r="BI96" s="312"/>
      <c r="BJ96" s="300"/>
      <c r="BK96" s="303"/>
      <c r="BM96" s="33">
        <f t="shared" si="1"/>
        <v>39</v>
      </c>
    </row>
    <row r="97" spans="1:65" ht="15" customHeight="1" x14ac:dyDescent="0.25">
      <c r="B97" s="319"/>
      <c r="L97" s="319"/>
      <c r="U97" s="319"/>
      <c r="AD97" s="319"/>
      <c r="AM97" s="311"/>
      <c r="BI97" s="312"/>
      <c r="BJ97" s="300"/>
      <c r="BK97" s="303"/>
      <c r="BM97" s="33">
        <f t="shared" si="1"/>
        <v>40</v>
      </c>
    </row>
    <row r="98" spans="1:65" ht="15" customHeight="1" x14ac:dyDescent="0.25">
      <c r="B98" s="319"/>
      <c r="L98" s="319"/>
      <c r="U98" s="319"/>
      <c r="AD98" s="319"/>
      <c r="AM98" s="311"/>
      <c r="BI98" s="312"/>
      <c r="BJ98" s="300"/>
      <c r="BK98" s="303"/>
      <c r="BM98" s="33">
        <f t="shared" si="1"/>
        <v>41</v>
      </c>
    </row>
    <row r="99" spans="1:65" ht="15" customHeight="1" x14ac:dyDescent="0.25">
      <c r="B99" s="319"/>
      <c r="L99" s="319"/>
      <c r="U99" s="319"/>
      <c r="AD99" s="319"/>
      <c r="AM99" s="311"/>
      <c r="BI99" s="312"/>
      <c r="BJ99" s="300"/>
      <c r="BK99" s="303"/>
      <c r="BM99" s="33">
        <f t="shared" si="1"/>
        <v>42</v>
      </c>
    </row>
    <row r="100" spans="1:65" ht="15" customHeight="1" x14ac:dyDescent="0.25">
      <c r="B100" s="319"/>
      <c r="L100" s="319"/>
      <c r="U100" s="319"/>
      <c r="AD100" s="319"/>
      <c r="AM100" s="311"/>
      <c r="BI100" s="312"/>
      <c r="BJ100" s="300"/>
      <c r="BK100" s="303"/>
      <c r="BM100" s="33">
        <f t="shared" si="1"/>
        <v>43</v>
      </c>
    </row>
    <row r="101" spans="1:65" ht="15" customHeight="1" x14ac:dyDescent="0.25">
      <c r="B101" s="319"/>
      <c r="L101" s="319"/>
      <c r="U101" s="319"/>
      <c r="AD101" s="319"/>
      <c r="AM101" s="311"/>
      <c r="BI101" s="312"/>
      <c r="BJ101" s="300"/>
      <c r="BK101" s="303"/>
      <c r="BM101" s="33">
        <f t="shared" si="1"/>
        <v>44</v>
      </c>
    </row>
    <row r="102" spans="1:65" ht="15" customHeight="1" x14ac:dyDescent="0.25">
      <c r="B102" s="319"/>
      <c r="L102" s="319"/>
      <c r="U102" s="319"/>
      <c r="AD102" s="319"/>
      <c r="AM102" s="311"/>
      <c r="BI102" s="312"/>
      <c r="BJ102" s="300"/>
      <c r="BK102" s="303"/>
      <c r="BM102" s="33">
        <f t="shared" si="1"/>
        <v>45</v>
      </c>
    </row>
    <row r="103" spans="1:65" ht="15" customHeight="1" x14ac:dyDescent="0.25">
      <c r="B103" s="319"/>
      <c r="L103" s="319"/>
      <c r="U103" s="319"/>
      <c r="AD103" s="319"/>
      <c r="AM103" s="311"/>
      <c r="BI103" s="312"/>
      <c r="BJ103" s="300"/>
      <c r="BK103" s="303"/>
      <c r="BM103" s="33">
        <f t="shared" si="1"/>
        <v>46</v>
      </c>
    </row>
    <row r="104" spans="1:65" ht="15" customHeight="1" x14ac:dyDescent="0.25">
      <c r="B104" s="319"/>
      <c r="L104" s="319"/>
      <c r="U104" s="319"/>
      <c r="AD104" s="319"/>
      <c r="AM104" s="311"/>
      <c r="BI104" s="312"/>
      <c r="BJ104" s="300"/>
      <c r="BK104" s="303"/>
      <c r="BM104" s="33">
        <f t="shared" si="1"/>
        <v>47</v>
      </c>
    </row>
    <row r="105" spans="1:65" ht="15" customHeight="1" x14ac:dyDescent="0.25">
      <c r="B105" s="319"/>
      <c r="L105" s="319"/>
      <c r="U105" s="319"/>
      <c r="AD105" s="319"/>
      <c r="AM105" s="311"/>
      <c r="BI105" s="312"/>
      <c r="BJ105" s="300"/>
      <c r="BK105" s="303"/>
      <c r="BM105" s="33">
        <f t="shared" si="1"/>
        <v>48</v>
      </c>
    </row>
    <row r="106" spans="1:65" ht="15" customHeight="1" x14ac:dyDescent="0.25">
      <c r="B106" s="319"/>
      <c r="L106" s="319"/>
      <c r="U106" s="319"/>
      <c r="AD106" s="319"/>
      <c r="AM106" s="311"/>
      <c r="BI106" s="312"/>
      <c r="BJ106" s="300"/>
      <c r="BK106" s="303"/>
      <c r="BM106" s="33">
        <f t="shared" si="1"/>
        <v>49</v>
      </c>
    </row>
    <row r="107" spans="1:65" ht="15" customHeight="1" x14ac:dyDescent="0.25">
      <c r="B107" s="319"/>
      <c r="L107" s="319"/>
      <c r="U107" s="319"/>
      <c r="AD107" s="319"/>
      <c r="AM107" s="311"/>
      <c r="BI107" s="312"/>
      <c r="BJ107" s="300"/>
      <c r="BK107" s="303"/>
      <c r="BM107" s="33">
        <f t="shared" ref="BM107:BM111" si="2">IF(BM106=50,1,BM106+1)</f>
        <v>50</v>
      </c>
    </row>
    <row r="108" spans="1:65" ht="15" customHeight="1" x14ac:dyDescent="0.25">
      <c r="B108" s="319"/>
      <c r="L108" s="319"/>
      <c r="U108" s="319"/>
      <c r="AD108" s="319"/>
      <c r="AM108" s="311"/>
      <c r="BI108" s="312"/>
      <c r="BJ108" s="300"/>
      <c r="BK108" s="303"/>
      <c r="BM108" s="33">
        <f t="shared" si="2"/>
        <v>1</v>
      </c>
    </row>
    <row r="109" spans="1:65" ht="15" customHeight="1" x14ac:dyDescent="0.25">
      <c r="B109" s="319"/>
      <c r="L109" s="319"/>
      <c r="U109" s="319"/>
      <c r="AD109" s="319"/>
      <c r="AM109" s="311"/>
      <c r="BI109" s="312"/>
      <c r="BJ109" s="300"/>
      <c r="BK109" s="303"/>
      <c r="BM109" s="33">
        <f t="shared" si="2"/>
        <v>2</v>
      </c>
    </row>
    <row r="110" spans="1:65" ht="15" customHeight="1" x14ac:dyDescent="0.25">
      <c r="B110" s="319"/>
      <c r="L110" s="319"/>
      <c r="U110" s="319"/>
      <c r="AD110" s="319"/>
      <c r="AM110" s="311"/>
      <c r="BI110" s="312"/>
      <c r="BJ110" s="300"/>
      <c r="BK110" s="303"/>
      <c r="BM110" s="33">
        <f t="shared" si="2"/>
        <v>3</v>
      </c>
    </row>
    <row r="111" spans="1:65" ht="15" customHeight="1" x14ac:dyDescent="0.25">
      <c r="A111" s="248"/>
      <c r="B111" s="319"/>
      <c r="C111" s="248"/>
      <c r="D111" s="248"/>
      <c r="E111" s="248"/>
      <c r="F111" s="248"/>
      <c r="G111" s="248"/>
      <c r="H111" s="248"/>
      <c r="I111" s="248"/>
      <c r="J111" s="248"/>
      <c r="K111" s="248"/>
      <c r="L111" s="324"/>
      <c r="M111" s="248"/>
      <c r="N111" s="248"/>
      <c r="O111" s="248"/>
      <c r="P111" s="248"/>
      <c r="Q111" s="248"/>
      <c r="R111" s="248"/>
      <c r="S111" s="248"/>
      <c r="T111" s="248"/>
      <c r="U111" s="324"/>
      <c r="V111" s="248"/>
      <c r="W111" s="248"/>
      <c r="X111" s="248"/>
      <c r="Y111" s="248"/>
      <c r="Z111" s="248"/>
      <c r="AA111" s="248"/>
      <c r="AB111" s="248"/>
      <c r="AC111" s="248"/>
      <c r="AD111" s="324"/>
      <c r="AE111" s="248"/>
      <c r="AF111" s="248"/>
      <c r="AG111" s="248"/>
      <c r="AH111" s="248"/>
      <c r="AI111" s="248"/>
      <c r="AJ111" s="248"/>
      <c r="AK111" s="248"/>
      <c r="AL111" s="248"/>
      <c r="AM111" s="325"/>
      <c r="AN111" s="248"/>
      <c r="AO111" s="248"/>
      <c r="AP111" s="248"/>
      <c r="AQ111" s="248"/>
      <c r="AR111" s="248"/>
      <c r="AS111" s="248"/>
      <c r="AT111" s="248"/>
      <c r="AU111" s="248"/>
      <c r="AV111" s="248"/>
      <c r="AW111" s="248"/>
      <c r="AX111" s="248"/>
      <c r="AY111" s="248"/>
      <c r="AZ111" s="248"/>
      <c r="BA111" s="248"/>
      <c r="BB111" s="248"/>
      <c r="BC111" s="248"/>
      <c r="BD111" s="248"/>
      <c r="BE111" s="248"/>
      <c r="BF111" s="248"/>
      <c r="BG111" s="248"/>
      <c r="BH111" s="248"/>
      <c r="BI111" s="326"/>
      <c r="BJ111" s="305"/>
      <c r="BK111" s="306"/>
      <c r="BM111" s="33">
        <f t="shared" si="2"/>
        <v>4</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31"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16AF6-6EDF-4BEB-B3C4-871826F52516}">
  <sheetPr>
    <pageSetUpPr fitToPage="1"/>
  </sheetPr>
  <dimension ref="A1:BK58"/>
  <sheetViews>
    <sheetView view="pageBreakPreview" zoomScale="85" zoomScaleNormal="100" zoomScaleSheetLayoutView="85" workbookViewId="0">
      <selection sqref="A1:J1"/>
    </sheetView>
  </sheetViews>
  <sheetFormatPr defaultColWidth="10.109375" defaultRowHeight="15.75" x14ac:dyDescent="0.25"/>
  <cols>
    <col min="1" max="63" width="3.21875" style="33" customWidth="1"/>
    <col min="64" max="16384" width="10.109375" style="33"/>
  </cols>
  <sheetData>
    <row r="1" spans="1:63" ht="24.95" customHeight="1" x14ac:dyDescent="0.25">
      <c r="A1" s="327" t="s">
        <v>70</v>
      </c>
      <c r="B1" s="328"/>
      <c r="C1" s="328"/>
      <c r="D1" s="328"/>
      <c r="E1" s="328"/>
      <c r="F1" s="328"/>
      <c r="G1" s="328"/>
      <c r="H1" s="328"/>
      <c r="I1" s="328"/>
      <c r="J1" s="329"/>
      <c r="K1" s="327" t="s">
        <v>71</v>
      </c>
      <c r="L1" s="328"/>
      <c r="M1" s="328"/>
      <c r="N1" s="328"/>
      <c r="O1" s="328"/>
      <c r="P1" s="328"/>
      <c r="Q1" s="328"/>
      <c r="R1" s="328"/>
      <c r="S1" s="328"/>
      <c r="T1" s="328"/>
      <c r="U1" s="328"/>
      <c r="V1" s="329"/>
      <c r="W1" s="330" t="str">
        <f>IF(表紙!W1="","",表紙!W1)</f>
        <v>基本設計書</v>
      </c>
      <c r="X1" s="331"/>
      <c r="Y1" s="331"/>
      <c r="Z1" s="331"/>
      <c r="AA1" s="331"/>
      <c r="AB1" s="331"/>
      <c r="AC1" s="331"/>
      <c r="AD1" s="331"/>
      <c r="AE1" s="331"/>
      <c r="AF1" s="331"/>
      <c r="AG1" s="331"/>
      <c r="AH1" s="331"/>
      <c r="AI1" s="331"/>
      <c r="AJ1" s="331"/>
      <c r="AK1" s="331"/>
      <c r="AL1" s="331"/>
      <c r="AM1" s="331"/>
      <c r="AN1" s="331"/>
      <c r="AO1" s="332"/>
      <c r="AP1" s="219" t="s">
        <v>72</v>
      </c>
      <c r="AQ1" s="220"/>
      <c r="AR1" s="220"/>
      <c r="AS1" s="221"/>
      <c r="AT1" s="219" t="s">
        <v>73</v>
      </c>
      <c r="AU1" s="220"/>
      <c r="AV1" s="220"/>
      <c r="AW1" s="220"/>
      <c r="AX1" s="221"/>
      <c r="AY1" s="219" t="s">
        <v>74</v>
      </c>
      <c r="AZ1" s="220"/>
      <c r="BA1" s="220"/>
      <c r="BB1" s="221"/>
      <c r="BC1" s="219" t="s">
        <v>75</v>
      </c>
      <c r="BD1" s="220"/>
      <c r="BE1" s="220"/>
      <c r="BF1" s="220"/>
      <c r="BG1" s="221"/>
      <c r="BH1" s="219" t="s">
        <v>76</v>
      </c>
      <c r="BI1" s="220"/>
      <c r="BJ1" s="220"/>
      <c r="BK1" s="221"/>
    </row>
    <row r="2" spans="1:63" ht="15" customHeight="1" x14ac:dyDescent="0.25">
      <c r="A2" s="120" t="str">
        <f>IF(表紙!A2="","",表紙!A2)</f>
        <v>POSサーバー</v>
      </c>
      <c r="B2" s="121"/>
      <c r="C2" s="121"/>
      <c r="D2" s="121"/>
      <c r="E2" s="121"/>
      <c r="F2" s="121"/>
      <c r="G2" s="121"/>
      <c r="H2" s="121"/>
      <c r="I2" s="121"/>
      <c r="J2" s="122"/>
      <c r="K2" s="120" t="str">
        <f>IF(表紙!K2="","",表紙!K2)</f>
        <v>POSサーバ</v>
      </c>
      <c r="L2" s="121"/>
      <c r="M2" s="121"/>
      <c r="N2" s="121"/>
      <c r="O2" s="121"/>
      <c r="P2" s="121"/>
      <c r="Q2" s="121"/>
      <c r="R2" s="121"/>
      <c r="S2" s="121"/>
      <c r="T2" s="121"/>
      <c r="U2" s="121"/>
      <c r="V2" s="122"/>
      <c r="W2" s="333"/>
      <c r="X2" s="334"/>
      <c r="Y2" s="334"/>
      <c r="Z2" s="334"/>
      <c r="AA2" s="334"/>
      <c r="AB2" s="334"/>
      <c r="AC2" s="334"/>
      <c r="AD2" s="334"/>
      <c r="AE2" s="334"/>
      <c r="AF2" s="334"/>
      <c r="AG2" s="334"/>
      <c r="AH2" s="334"/>
      <c r="AI2" s="334"/>
      <c r="AJ2" s="334"/>
      <c r="AK2" s="334"/>
      <c r="AL2" s="334"/>
      <c r="AM2" s="334"/>
      <c r="AN2" s="334"/>
      <c r="AO2" s="335"/>
      <c r="AP2" s="226" t="str">
        <f>IF(表紙!AP2="","",表紙!AP2)</f>
        <v>TinNH</v>
      </c>
      <c r="AQ2" s="227"/>
      <c r="AR2" s="227"/>
      <c r="AS2" s="228"/>
      <c r="AT2" s="232">
        <f>IF(表紙!AT2="","",表紙!AT2)</f>
        <v>45439</v>
      </c>
      <c r="AU2" s="233"/>
      <c r="AV2" s="233"/>
      <c r="AW2" s="233"/>
      <c r="AX2" s="234"/>
      <c r="AY2" s="226" t="str">
        <f>IF(表紙!AY2="","",表紙!AY2)</f>
        <v>DuNT</v>
      </c>
      <c r="AZ2" s="227"/>
      <c r="BA2" s="227"/>
      <c r="BB2" s="228"/>
      <c r="BC2" s="232">
        <f>IF(表紙!BC2="","",表紙!BC2)</f>
        <v>45545</v>
      </c>
      <c r="BD2" s="233"/>
      <c r="BE2" s="233"/>
      <c r="BF2" s="233"/>
      <c r="BG2" s="234"/>
      <c r="BH2" s="226">
        <f>IF(表紙!BH2="","",表紙!BH2)</f>
        <v>0.4</v>
      </c>
      <c r="BI2" s="227"/>
      <c r="BJ2" s="227"/>
      <c r="BK2" s="228"/>
    </row>
    <row r="3" spans="1:63" ht="15" customHeight="1" x14ac:dyDescent="0.25">
      <c r="A3" s="123"/>
      <c r="B3" s="124"/>
      <c r="C3" s="124"/>
      <c r="D3" s="124"/>
      <c r="E3" s="124"/>
      <c r="F3" s="124"/>
      <c r="G3" s="124"/>
      <c r="H3" s="124"/>
      <c r="I3" s="124"/>
      <c r="J3" s="125"/>
      <c r="K3" s="123"/>
      <c r="L3" s="124"/>
      <c r="M3" s="124"/>
      <c r="N3" s="124"/>
      <c r="O3" s="124"/>
      <c r="P3" s="124"/>
      <c r="Q3" s="124"/>
      <c r="R3" s="124"/>
      <c r="S3" s="124"/>
      <c r="T3" s="124"/>
      <c r="U3" s="124"/>
      <c r="V3" s="125"/>
      <c r="W3" s="336"/>
      <c r="X3" s="337"/>
      <c r="Y3" s="337"/>
      <c r="Z3" s="337"/>
      <c r="AA3" s="337"/>
      <c r="AB3" s="337"/>
      <c r="AC3" s="337"/>
      <c r="AD3" s="337"/>
      <c r="AE3" s="337"/>
      <c r="AF3" s="337"/>
      <c r="AG3" s="337"/>
      <c r="AH3" s="337"/>
      <c r="AI3" s="337"/>
      <c r="AJ3" s="337"/>
      <c r="AK3" s="337"/>
      <c r="AL3" s="337"/>
      <c r="AM3" s="337"/>
      <c r="AN3" s="337"/>
      <c r="AO3" s="338"/>
      <c r="AP3" s="235"/>
      <c r="AQ3" s="236"/>
      <c r="AR3" s="236"/>
      <c r="AS3" s="237"/>
      <c r="AT3" s="241"/>
      <c r="AU3" s="242"/>
      <c r="AV3" s="242"/>
      <c r="AW3" s="242"/>
      <c r="AX3" s="243"/>
      <c r="AY3" s="235"/>
      <c r="AZ3" s="236"/>
      <c r="BA3" s="236"/>
      <c r="BB3" s="237"/>
      <c r="BC3" s="241"/>
      <c r="BD3" s="242"/>
      <c r="BE3" s="242"/>
      <c r="BF3" s="242"/>
      <c r="BG3" s="243"/>
      <c r="BH3" s="235"/>
      <c r="BI3" s="236"/>
      <c r="BJ3" s="236"/>
      <c r="BK3" s="237"/>
    </row>
    <row r="4" spans="1:63" ht="24.95" customHeight="1" x14ac:dyDescent="0.25">
      <c r="A4" s="327" t="s">
        <v>77</v>
      </c>
      <c r="B4" s="328"/>
      <c r="C4" s="328"/>
      <c r="D4" s="328"/>
      <c r="E4" s="328"/>
      <c r="F4" s="328"/>
      <c r="G4" s="329"/>
      <c r="H4" s="126" t="str">
        <f>IF(表紙!H4="","",表紙!H4)</f>
        <v>62_画像アップロード</v>
      </c>
      <c r="I4" s="127"/>
      <c r="J4" s="127"/>
      <c r="K4" s="127"/>
      <c r="L4" s="127"/>
      <c r="M4" s="127"/>
      <c r="N4" s="127"/>
      <c r="O4" s="127"/>
      <c r="P4" s="127"/>
      <c r="Q4" s="127"/>
      <c r="R4" s="127"/>
      <c r="S4" s="127"/>
      <c r="T4" s="128"/>
      <c r="U4" s="327" t="s">
        <v>78</v>
      </c>
      <c r="V4" s="328"/>
      <c r="W4" s="328"/>
      <c r="X4" s="328"/>
      <c r="Y4" s="329"/>
      <c r="Z4" s="126" t="str">
        <f>IF(表紙!Z4="","",表紙!Z4)</f>
        <v>概要設計</v>
      </c>
      <c r="AA4" s="127"/>
      <c r="AB4" s="127"/>
      <c r="AC4" s="127"/>
      <c r="AD4" s="127"/>
      <c r="AE4" s="127"/>
      <c r="AF4" s="127"/>
      <c r="AG4" s="127"/>
      <c r="AH4" s="127"/>
      <c r="AI4" s="127"/>
      <c r="AJ4" s="127"/>
      <c r="AK4" s="127"/>
      <c r="AL4" s="127"/>
      <c r="AM4" s="127"/>
      <c r="AN4" s="127"/>
      <c r="AO4" s="128"/>
      <c r="AP4" s="129" t="str">
        <f ca="1">MID(CELL("filename",A1),FIND("]",CELL("filename",A1))+1,255)</f>
        <v>画面設計書</v>
      </c>
      <c r="AQ4" s="127"/>
      <c r="AR4" s="127"/>
      <c r="AS4" s="127"/>
      <c r="AT4" s="127"/>
      <c r="AU4" s="127"/>
      <c r="AV4" s="127"/>
      <c r="AW4" s="127"/>
      <c r="AX4" s="127"/>
      <c r="AY4" s="127"/>
      <c r="AZ4" s="127"/>
      <c r="BA4" s="127"/>
      <c r="BB4" s="127"/>
      <c r="BC4" s="127"/>
      <c r="BD4" s="127"/>
      <c r="BE4" s="127"/>
      <c r="BF4" s="127"/>
      <c r="BG4" s="127"/>
      <c r="BH4" s="127"/>
      <c r="BI4" s="127"/>
      <c r="BJ4" s="127"/>
      <c r="BK4" s="128"/>
    </row>
    <row r="5" spans="1:63" ht="5.0999999999999996" customHeight="1" x14ac:dyDescent="0.25">
      <c r="A5" s="34"/>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6"/>
    </row>
    <row r="6" spans="1:63" ht="15" customHeight="1" x14ac:dyDescent="0.25">
      <c r="A6" s="37"/>
      <c r="BK6" s="38"/>
    </row>
    <row r="7" spans="1:63" ht="15" customHeight="1" x14ac:dyDescent="0.25">
      <c r="A7" s="37"/>
      <c r="B7" s="339" t="s">
        <v>20</v>
      </c>
      <c r="C7" s="339"/>
      <c r="D7" s="339"/>
      <c r="E7" s="339"/>
      <c r="F7" s="339"/>
      <c r="G7" s="339"/>
      <c r="H7" s="339"/>
      <c r="I7" s="339"/>
      <c r="J7" s="339"/>
      <c r="AE7" s="39"/>
      <c r="BK7" s="38"/>
    </row>
    <row r="8" spans="1:63" ht="15" customHeight="1" x14ac:dyDescent="0.25">
      <c r="A8" s="37"/>
      <c r="BK8" s="38"/>
    </row>
    <row r="9" spans="1:63" ht="15" customHeight="1" x14ac:dyDescent="0.25">
      <c r="A9" s="37"/>
      <c r="BK9" s="38"/>
    </row>
    <row r="10" spans="1:63" ht="15" customHeight="1" x14ac:dyDescent="0.25">
      <c r="A10" s="37"/>
      <c r="BK10" s="38"/>
    </row>
    <row r="11" spans="1:63" ht="15" customHeight="1" x14ac:dyDescent="0.25">
      <c r="A11" s="37"/>
      <c r="BK11" s="38"/>
    </row>
    <row r="12" spans="1:63" ht="15" customHeight="1" x14ac:dyDescent="0.25">
      <c r="A12" s="37"/>
      <c r="BK12" s="38"/>
    </row>
    <row r="13" spans="1:63" ht="15" customHeight="1" x14ac:dyDescent="0.25">
      <c r="A13" s="37"/>
      <c r="BK13" s="38"/>
    </row>
    <row r="14" spans="1:63" ht="15" customHeight="1" x14ac:dyDescent="0.25">
      <c r="A14" s="37"/>
      <c r="BK14" s="38"/>
    </row>
    <row r="15" spans="1:63" ht="15" customHeight="1" x14ac:dyDescent="0.25">
      <c r="A15" s="37"/>
      <c r="BK15" s="38"/>
    </row>
    <row r="16" spans="1:63" ht="15" customHeight="1" x14ac:dyDescent="0.25">
      <c r="A16" s="37"/>
      <c r="BK16" s="38"/>
    </row>
    <row r="17" spans="1:63" ht="15" customHeight="1" x14ac:dyDescent="0.25">
      <c r="A17" s="37"/>
      <c r="BK17" s="38"/>
    </row>
    <row r="18" spans="1:63" ht="15" customHeight="1" x14ac:dyDescent="0.25">
      <c r="A18" s="37"/>
      <c r="BK18" s="38"/>
    </row>
    <row r="19" spans="1:63" ht="15" customHeight="1" x14ac:dyDescent="0.25">
      <c r="A19" s="37"/>
      <c r="BK19" s="38"/>
    </row>
    <row r="20" spans="1:63" ht="15" customHeight="1" x14ac:dyDescent="0.25">
      <c r="A20" s="37"/>
      <c r="BK20" s="38"/>
    </row>
    <row r="21" spans="1:63" ht="15" customHeight="1" x14ac:dyDescent="0.25">
      <c r="A21" s="37"/>
      <c r="BK21" s="38"/>
    </row>
    <row r="22" spans="1:63" ht="15" customHeight="1" x14ac:dyDescent="0.25">
      <c r="A22" s="37"/>
      <c r="BK22" s="38"/>
    </row>
    <row r="23" spans="1:63" ht="15" customHeight="1" x14ac:dyDescent="0.25">
      <c r="A23" s="37"/>
      <c r="BK23" s="38"/>
    </row>
    <row r="24" spans="1:63" ht="15" customHeight="1" x14ac:dyDescent="0.25">
      <c r="A24" s="37"/>
      <c r="BK24" s="38"/>
    </row>
    <row r="25" spans="1:63" ht="14.25" customHeight="1" x14ac:dyDescent="0.25">
      <c r="A25" s="37"/>
      <c r="BK25" s="38"/>
    </row>
    <row r="26" spans="1:63" ht="15" customHeight="1" x14ac:dyDescent="0.25">
      <c r="A26" s="37"/>
      <c r="BK26" s="38"/>
    </row>
    <row r="27" spans="1:63" ht="15" customHeight="1" x14ac:dyDescent="0.25">
      <c r="A27" s="37"/>
      <c r="BK27" s="38"/>
    </row>
    <row r="28" spans="1:63" x14ac:dyDescent="0.25">
      <c r="BK28" s="38"/>
    </row>
    <row r="29" spans="1:63" x14ac:dyDescent="0.25">
      <c r="BK29" s="38"/>
    </row>
    <row r="30" spans="1:63" x14ac:dyDescent="0.25">
      <c r="BK30" s="38"/>
    </row>
    <row r="31" spans="1:63" x14ac:dyDescent="0.25">
      <c r="BK31" s="38"/>
    </row>
    <row r="32" spans="1:63" x14ac:dyDescent="0.25">
      <c r="BK32" s="38"/>
    </row>
    <row r="33" spans="1:63" x14ac:dyDescent="0.25">
      <c r="BK33" s="38"/>
    </row>
    <row r="34" spans="1:63" x14ac:dyDescent="0.25">
      <c r="BK34" s="38"/>
    </row>
    <row r="35" spans="1:63" ht="15" customHeight="1" x14ac:dyDescent="0.25">
      <c r="A35" s="37"/>
      <c r="B35" s="39" t="s">
        <v>84</v>
      </c>
      <c r="BK35" s="38"/>
    </row>
    <row r="36" spans="1:63" x14ac:dyDescent="0.25">
      <c r="BK36" s="38"/>
    </row>
    <row r="37" spans="1:63" ht="15.75" customHeight="1" x14ac:dyDescent="0.25">
      <c r="B37" s="130" t="s">
        <v>85</v>
      </c>
      <c r="C37" s="131"/>
      <c r="D37" s="136" t="s">
        <v>86</v>
      </c>
      <c r="E37" s="137"/>
      <c r="F37" s="137"/>
      <c r="G37" s="137"/>
      <c r="H37" s="137"/>
      <c r="I37" s="137"/>
      <c r="J37" s="131"/>
      <c r="K37" s="136" t="s">
        <v>87</v>
      </c>
      <c r="L37" s="137"/>
      <c r="M37" s="131"/>
      <c r="N37" s="140" t="s">
        <v>21</v>
      </c>
      <c r="O37" s="143" t="s">
        <v>88</v>
      </c>
      <c r="P37" s="157" t="s">
        <v>89</v>
      </c>
      <c r="Q37" s="158"/>
      <c r="R37" s="158"/>
      <c r="S37" s="158"/>
      <c r="T37" s="158"/>
      <c r="U37" s="158"/>
      <c r="V37" s="158"/>
      <c r="W37" s="158"/>
      <c r="X37" s="158"/>
      <c r="Y37" s="158"/>
      <c r="Z37" s="158"/>
      <c r="AA37" s="158"/>
      <c r="AB37" s="158"/>
      <c r="AC37" s="158"/>
      <c r="AD37" s="158"/>
      <c r="AE37" s="158"/>
      <c r="AF37" s="158"/>
      <c r="AG37" s="158"/>
      <c r="AH37" s="158"/>
      <c r="AI37" s="158"/>
      <c r="AJ37" s="158"/>
      <c r="AK37" s="158"/>
      <c r="AL37" s="158"/>
      <c r="AM37" s="158"/>
      <c r="AN37" s="158"/>
      <c r="AO37" s="158"/>
      <c r="AP37" s="158"/>
      <c r="AQ37" s="159"/>
      <c r="AR37" s="146" t="s">
        <v>90</v>
      </c>
      <c r="AS37" s="147"/>
      <c r="AT37" s="147"/>
      <c r="AU37" s="147"/>
      <c r="AV37" s="147"/>
      <c r="AW37" s="147"/>
      <c r="AX37" s="147"/>
      <c r="AY37" s="147"/>
      <c r="AZ37" s="147"/>
      <c r="BA37" s="147"/>
      <c r="BB37" s="150"/>
      <c r="BC37" s="160" t="s">
        <v>91</v>
      </c>
      <c r="BD37" s="161"/>
      <c r="BE37" s="161"/>
      <c r="BF37" s="161"/>
      <c r="BG37" s="161"/>
      <c r="BH37" s="161"/>
      <c r="BI37" s="161"/>
      <c r="BJ37" s="162"/>
      <c r="BK37" s="38"/>
    </row>
    <row r="38" spans="1:63" ht="15.75" customHeight="1" x14ac:dyDescent="0.25">
      <c r="B38" s="132"/>
      <c r="C38" s="133"/>
      <c r="D38" s="132"/>
      <c r="E38" s="138"/>
      <c r="F38" s="138"/>
      <c r="G38" s="138"/>
      <c r="H38" s="138"/>
      <c r="I38" s="138"/>
      <c r="J38" s="133"/>
      <c r="K38" s="132"/>
      <c r="L38" s="138"/>
      <c r="M38" s="133"/>
      <c r="N38" s="141"/>
      <c r="O38" s="144"/>
      <c r="P38" s="169" t="s">
        <v>92</v>
      </c>
      <c r="Q38" s="170"/>
      <c r="R38" s="170"/>
      <c r="S38" s="170"/>
      <c r="T38" s="170"/>
      <c r="U38" s="170"/>
      <c r="V38" s="170"/>
      <c r="W38" s="171"/>
      <c r="X38" s="172" t="s">
        <v>93</v>
      </c>
      <c r="Y38" s="173"/>
      <c r="Z38" s="174"/>
      <c r="AA38" s="172" t="s">
        <v>94</v>
      </c>
      <c r="AB38" s="173"/>
      <c r="AC38" s="173"/>
      <c r="AD38" s="173"/>
      <c r="AE38" s="173"/>
      <c r="AF38" s="173"/>
      <c r="AG38" s="173"/>
      <c r="AH38" s="174"/>
      <c r="AI38" s="172" t="s">
        <v>95</v>
      </c>
      <c r="AJ38" s="173"/>
      <c r="AK38" s="173"/>
      <c r="AL38" s="173"/>
      <c r="AM38" s="173"/>
      <c r="AN38" s="173"/>
      <c r="AO38" s="173"/>
      <c r="AP38" s="173"/>
      <c r="AQ38" s="174"/>
      <c r="AR38" s="178" t="s">
        <v>22</v>
      </c>
      <c r="AS38" s="180" t="s">
        <v>96</v>
      </c>
      <c r="AT38" s="182" t="s">
        <v>97</v>
      </c>
      <c r="AU38" s="146" t="s">
        <v>92</v>
      </c>
      <c r="AV38" s="147"/>
      <c r="AW38" s="147"/>
      <c r="AX38" s="147"/>
      <c r="AY38" s="147"/>
      <c r="AZ38" s="147"/>
      <c r="BA38" s="147"/>
      <c r="BB38" s="150"/>
      <c r="BC38" s="163"/>
      <c r="BD38" s="164"/>
      <c r="BE38" s="164"/>
      <c r="BF38" s="164"/>
      <c r="BG38" s="164"/>
      <c r="BH38" s="164"/>
      <c r="BI38" s="164"/>
      <c r="BJ38" s="165"/>
      <c r="BK38" s="38"/>
    </row>
    <row r="39" spans="1:63" x14ac:dyDescent="0.25">
      <c r="B39" s="134"/>
      <c r="C39" s="135"/>
      <c r="D39" s="134"/>
      <c r="E39" s="139"/>
      <c r="F39" s="139"/>
      <c r="G39" s="139"/>
      <c r="H39" s="139"/>
      <c r="I39" s="139"/>
      <c r="J39" s="135"/>
      <c r="K39" s="134"/>
      <c r="L39" s="139"/>
      <c r="M39" s="135"/>
      <c r="N39" s="142"/>
      <c r="O39" s="145"/>
      <c r="P39" s="157" t="s">
        <v>98</v>
      </c>
      <c r="Q39" s="158"/>
      <c r="R39" s="158"/>
      <c r="S39" s="159"/>
      <c r="T39" s="157" t="s">
        <v>86</v>
      </c>
      <c r="U39" s="158"/>
      <c r="V39" s="158"/>
      <c r="W39" s="159"/>
      <c r="X39" s="175"/>
      <c r="Y39" s="176"/>
      <c r="Z39" s="177"/>
      <c r="AA39" s="175"/>
      <c r="AB39" s="176"/>
      <c r="AC39" s="176"/>
      <c r="AD39" s="176"/>
      <c r="AE39" s="176"/>
      <c r="AF39" s="176"/>
      <c r="AG39" s="176"/>
      <c r="AH39" s="177"/>
      <c r="AI39" s="175"/>
      <c r="AJ39" s="176"/>
      <c r="AK39" s="176"/>
      <c r="AL39" s="176"/>
      <c r="AM39" s="176"/>
      <c r="AN39" s="176"/>
      <c r="AO39" s="176"/>
      <c r="AP39" s="176"/>
      <c r="AQ39" s="177"/>
      <c r="AR39" s="179"/>
      <c r="AS39" s="181"/>
      <c r="AT39" s="183"/>
      <c r="AU39" s="146" t="s">
        <v>98</v>
      </c>
      <c r="AV39" s="147"/>
      <c r="AW39" s="147"/>
      <c r="AX39" s="148"/>
      <c r="AY39" s="149" t="s">
        <v>86</v>
      </c>
      <c r="AZ39" s="147"/>
      <c r="BA39" s="147"/>
      <c r="BB39" s="150"/>
      <c r="BC39" s="166"/>
      <c r="BD39" s="167"/>
      <c r="BE39" s="167"/>
      <c r="BF39" s="167"/>
      <c r="BG39" s="167"/>
      <c r="BH39" s="167"/>
      <c r="BI39" s="167"/>
      <c r="BJ39" s="168"/>
      <c r="BK39" s="38"/>
    </row>
    <row r="40" spans="1:63" x14ac:dyDescent="0.25">
      <c r="B40" s="151">
        <v>1</v>
      </c>
      <c r="C40" s="151"/>
      <c r="D40" s="152" t="s">
        <v>41</v>
      </c>
      <c r="E40" s="153"/>
      <c r="F40" s="153"/>
      <c r="G40" s="153"/>
      <c r="H40" s="153"/>
      <c r="I40" s="153"/>
      <c r="J40" s="154"/>
      <c r="K40" s="155" t="s">
        <v>40</v>
      </c>
      <c r="L40" s="155"/>
      <c r="M40" s="155"/>
      <c r="N40" s="42" t="s">
        <v>28</v>
      </c>
      <c r="O40" s="42" t="s">
        <v>24</v>
      </c>
      <c r="P40" s="156" t="s">
        <v>23</v>
      </c>
      <c r="Q40" s="151"/>
      <c r="R40" s="151"/>
      <c r="S40" s="151"/>
      <c r="T40" s="156" t="s">
        <v>23</v>
      </c>
      <c r="U40" s="151"/>
      <c r="V40" s="151"/>
      <c r="W40" s="151"/>
      <c r="X40" s="184" t="s">
        <v>99</v>
      </c>
      <c r="Y40" s="184"/>
      <c r="Z40" s="184"/>
      <c r="AA40" s="151" t="s">
        <v>25</v>
      </c>
      <c r="AB40" s="151"/>
      <c r="AC40" s="151"/>
      <c r="AD40" s="151"/>
      <c r="AE40" s="151"/>
      <c r="AF40" s="151"/>
      <c r="AG40" s="151"/>
      <c r="AH40" s="151"/>
      <c r="AI40" s="185" t="s">
        <v>23</v>
      </c>
      <c r="AJ40" s="185"/>
      <c r="AK40" s="185"/>
      <c r="AL40" s="185"/>
      <c r="AM40" s="185"/>
      <c r="AN40" s="185"/>
      <c r="AO40" s="185"/>
      <c r="AP40" s="185"/>
      <c r="AQ40" s="185"/>
      <c r="AR40" s="43" t="s">
        <v>23</v>
      </c>
      <c r="AS40" s="43" t="s">
        <v>25</v>
      </c>
      <c r="AT40" s="43" t="s">
        <v>25</v>
      </c>
      <c r="AU40" s="151" t="s">
        <v>26</v>
      </c>
      <c r="AV40" s="151"/>
      <c r="AW40" s="151"/>
      <c r="AX40" s="151"/>
      <c r="AY40" s="151" t="s">
        <v>25</v>
      </c>
      <c r="AZ40" s="151"/>
      <c r="BA40" s="151"/>
      <c r="BB40" s="151"/>
      <c r="BC40" s="340"/>
      <c r="BD40" s="340"/>
      <c r="BE40" s="340"/>
      <c r="BF40" s="340"/>
      <c r="BG40" s="340"/>
      <c r="BH40" s="340"/>
      <c r="BI40" s="340"/>
      <c r="BJ40" s="340"/>
      <c r="BK40" s="38"/>
    </row>
    <row r="41" spans="1:63" x14ac:dyDescent="0.25">
      <c r="B41" s="151">
        <v>2</v>
      </c>
      <c r="C41" s="151"/>
      <c r="D41" s="188" t="s">
        <v>42</v>
      </c>
      <c r="E41" s="188"/>
      <c r="F41" s="188"/>
      <c r="G41" s="188"/>
      <c r="H41" s="188"/>
      <c r="I41" s="188"/>
      <c r="J41" s="188"/>
      <c r="K41" s="187" t="s">
        <v>100</v>
      </c>
      <c r="L41" s="155"/>
      <c r="M41" s="155"/>
      <c r="N41" s="44" t="s">
        <v>101</v>
      </c>
      <c r="O41" s="42" t="s">
        <v>24</v>
      </c>
      <c r="P41" s="151" t="s">
        <v>26</v>
      </c>
      <c r="Q41" s="151"/>
      <c r="R41" s="151"/>
      <c r="S41" s="151"/>
      <c r="T41" s="151" t="s">
        <v>26</v>
      </c>
      <c r="U41" s="151"/>
      <c r="V41" s="151"/>
      <c r="W41" s="151"/>
      <c r="X41" s="189" t="s">
        <v>23</v>
      </c>
      <c r="Y41" s="184"/>
      <c r="Z41" s="184"/>
      <c r="AA41" s="151" t="s">
        <v>25</v>
      </c>
      <c r="AB41" s="151"/>
      <c r="AC41" s="151"/>
      <c r="AD41" s="151"/>
      <c r="AE41" s="151"/>
      <c r="AF41" s="151"/>
      <c r="AG41" s="151"/>
      <c r="AH41" s="151"/>
      <c r="AI41" s="185" t="s">
        <v>25</v>
      </c>
      <c r="AJ41" s="185"/>
      <c r="AK41" s="185"/>
      <c r="AL41" s="185"/>
      <c r="AM41" s="185"/>
      <c r="AN41" s="185"/>
      <c r="AO41" s="185"/>
      <c r="AP41" s="185"/>
      <c r="AQ41" s="185"/>
      <c r="AR41" s="43" t="s">
        <v>23</v>
      </c>
      <c r="AS41" s="43" t="s">
        <v>25</v>
      </c>
      <c r="AT41" s="43" t="s">
        <v>25</v>
      </c>
      <c r="AU41" s="151" t="s">
        <v>26</v>
      </c>
      <c r="AV41" s="151"/>
      <c r="AW41" s="151"/>
      <c r="AX41" s="151"/>
      <c r="AY41" s="151" t="s">
        <v>25</v>
      </c>
      <c r="AZ41" s="151"/>
      <c r="BA41" s="151"/>
      <c r="BB41" s="151"/>
      <c r="BC41" s="190"/>
      <c r="BD41" s="341"/>
      <c r="BE41" s="341"/>
      <c r="BF41" s="341"/>
      <c r="BG41" s="341"/>
      <c r="BH41" s="341"/>
      <c r="BI41" s="341"/>
      <c r="BJ41" s="341"/>
      <c r="BK41" s="38"/>
    </row>
    <row r="42" spans="1:63" x14ac:dyDescent="0.25">
      <c r="B42" s="151">
        <v>3</v>
      </c>
      <c r="C42" s="151"/>
      <c r="D42" s="186" t="s">
        <v>49</v>
      </c>
      <c r="E42" s="186"/>
      <c r="F42" s="186"/>
      <c r="G42" s="186"/>
      <c r="H42" s="186"/>
      <c r="I42" s="186"/>
      <c r="J42" s="186"/>
      <c r="K42" s="187" t="s">
        <v>100</v>
      </c>
      <c r="L42" s="155"/>
      <c r="M42" s="155"/>
      <c r="N42" s="44" t="s">
        <v>101</v>
      </c>
      <c r="O42" s="42" t="s">
        <v>24</v>
      </c>
      <c r="P42" s="156" t="s">
        <v>23</v>
      </c>
      <c r="Q42" s="151"/>
      <c r="R42" s="151"/>
      <c r="S42" s="151"/>
      <c r="T42" s="151"/>
      <c r="U42" s="151"/>
      <c r="V42" s="151"/>
      <c r="W42" s="151"/>
      <c r="X42" s="189" t="s">
        <v>23</v>
      </c>
      <c r="Y42" s="184"/>
      <c r="Z42" s="184"/>
      <c r="AA42" s="151" t="s">
        <v>25</v>
      </c>
      <c r="AB42" s="151"/>
      <c r="AC42" s="151"/>
      <c r="AD42" s="151"/>
      <c r="AE42" s="151"/>
      <c r="AF42" s="151"/>
      <c r="AG42" s="151"/>
      <c r="AH42" s="151"/>
      <c r="AI42" s="185" t="s">
        <v>25</v>
      </c>
      <c r="AJ42" s="185"/>
      <c r="AK42" s="185"/>
      <c r="AL42" s="185"/>
      <c r="AM42" s="185"/>
      <c r="AN42" s="185"/>
      <c r="AO42" s="185"/>
      <c r="AP42" s="185"/>
      <c r="AQ42" s="185"/>
      <c r="AR42" s="43" t="s">
        <v>23</v>
      </c>
      <c r="AS42" s="43" t="s">
        <v>25</v>
      </c>
      <c r="AT42" s="43" t="s">
        <v>25</v>
      </c>
      <c r="AU42" s="151" t="s">
        <v>26</v>
      </c>
      <c r="AV42" s="151"/>
      <c r="AW42" s="151"/>
      <c r="AX42" s="151"/>
      <c r="AY42" s="151" t="s">
        <v>25</v>
      </c>
      <c r="AZ42" s="151"/>
      <c r="BA42" s="151"/>
      <c r="BB42" s="151"/>
      <c r="BC42" s="341"/>
      <c r="BD42" s="341"/>
      <c r="BE42" s="341"/>
      <c r="BF42" s="341"/>
      <c r="BG42" s="341"/>
      <c r="BH42" s="341"/>
      <c r="BI42" s="341"/>
      <c r="BJ42" s="341"/>
      <c r="BK42" s="38"/>
    </row>
    <row r="43" spans="1:63" x14ac:dyDescent="0.25">
      <c r="B43" s="151">
        <v>4</v>
      </c>
      <c r="C43" s="151"/>
      <c r="D43" s="342" t="s">
        <v>47</v>
      </c>
      <c r="E43" s="342"/>
      <c r="F43" s="342"/>
      <c r="G43" s="342"/>
      <c r="H43" s="342"/>
      <c r="I43" s="342"/>
      <c r="J43" s="342"/>
      <c r="K43" s="187" t="s">
        <v>102</v>
      </c>
      <c r="L43" s="155"/>
      <c r="M43" s="155"/>
      <c r="N43" s="42" t="s">
        <v>27</v>
      </c>
      <c r="O43" s="42" t="s">
        <v>24</v>
      </c>
      <c r="P43" s="151" t="s">
        <v>26</v>
      </c>
      <c r="Q43" s="151"/>
      <c r="R43" s="151"/>
      <c r="S43" s="151"/>
      <c r="T43" s="151" t="s">
        <v>26</v>
      </c>
      <c r="U43" s="151"/>
      <c r="V43" s="151"/>
      <c r="W43" s="151"/>
      <c r="X43" s="189" t="s">
        <v>102</v>
      </c>
      <c r="Y43" s="184"/>
      <c r="Z43" s="184"/>
      <c r="AA43" s="151" t="s">
        <v>25</v>
      </c>
      <c r="AB43" s="151"/>
      <c r="AC43" s="151"/>
      <c r="AD43" s="151"/>
      <c r="AE43" s="151"/>
      <c r="AF43" s="151"/>
      <c r="AG43" s="151"/>
      <c r="AH43" s="151"/>
      <c r="AI43" s="185" t="s">
        <v>25</v>
      </c>
      <c r="AJ43" s="185"/>
      <c r="AK43" s="185"/>
      <c r="AL43" s="185"/>
      <c r="AM43" s="185"/>
      <c r="AN43" s="185"/>
      <c r="AO43" s="185"/>
      <c r="AP43" s="185"/>
      <c r="AQ43" s="185"/>
      <c r="AR43" s="43" t="s">
        <v>23</v>
      </c>
      <c r="AS43" s="43" t="s">
        <v>25</v>
      </c>
      <c r="AT43" s="43" t="s">
        <v>25</v>
      </c>
      <c r="AU43" s="151" t="s">
        <v>26</v>
      </c>
      <c r="AV43" s="151"/>
      <c r="AW43" s="151"/>
      <c r="AX43" s="151"/>
      <c r="AY43" s="151" t="s">
        <v>25</v>
      </c>
      <c r="AZ43" s="151"/>
      <c r="BA43" s="151"/>
      <c r="BB43" s="151"/>
      <c r="BC43" s="341"/>
      <c r="BD43" s="341"/>
      <c r="BE43" s="341"/>
      <c r="BF43" s="341"/>
      <c r="BG43" s="341"/>
      <c r="BH43" s="341"/>
      <c r="BI43" s="341"/>
      <c r="BJ43" s="341"/>
      <c r="BK43" s="38"/>
    </row>
    <row r="44" spans="1:63" x14ac:dyDescent="0.25">
      <c r="B44" s="151">
        <v>5</v>
      </c>
      <c r="C44" s="151"/>
      <c r="D44" s="342" t="s">
        <v>48</v>
      </c>
      <c r="E44" s="342"/>
      <c r="F44" s="342"/>
      <c r="G44" s="342"/>
      <c r="H44" s="342"/>
      <c r="I44" s="342"/>
      <c r="J44" s="342"/>
      <c r="K44" s="152" t="s">
        <v>45</v>
      </c>
      <c r="L44" s="153"/>
      <c r="M44" s="154"/>
      <c r="N44" s="44" t="s">
        <v>103</v>
      </c>
      <c r="O44" s="42" t="s">
        <v>24</v>
      </c>
      <c r="P44" s="156" t="s">
        <v>23</v>
      </c>
      <c r="Q44" s="151"/>
      <c r="R44" s="151"/>
      <c r="S44" s="151"/>
      <c r="T44" s="151"/>
      <c r="U44" s="151"/>
      <c r="V44" s="151"/>
      <c r="W44" s="151"/>
      <c r="X44" s="189" t="s">
        <v>102</v>
      </c>
      <c r="Y44" s="184"/>
      <c r="Z44" s="184"/>
      <c r="AA44" s="151" t="s">
        <v>25</v>
      </c>
      <c r="AB44" s="151"/>
      <c r="AC44" s="151"/>
      <c r="AD44" s="151"/>
      <c r="AE44" s="151"/>
      <c r="AF44" s="151"/>
      <c r="AG44" s="151"/>
      <c r="AH44" s="151"/>
      <c r="AI44" s="185" t="s">
        <v>25</v>
      </c>
      <c r="AJ44" s="185"/>
      <c r="AK44" s="185"/>
      <c r="AL44" s="185"/>
      <c r="AM44" s="185"/>
      <c r="AN44" s="185"/>
      <c r="AO44" s="185"/>
      <c r="AP44" s="185"/>
      <c r="AQ44" s="185"/>
      <c r="AR44" s="43" t="s">
        <v>23</v>
      </c>
      <c r="AS44" s="43" t="s">
        <v>25</v>
      </c>
      <c r="AT44" s="43" t="s">
        <v>25</v>
      </c>
      <c r="AU44" s="151" t="s">
        <v>26</v>
      </c>
      <c r="AV44" s="151"/>
      <c r="AW44" s="151"/>
      <c r="AX44" s="151"/>
      <c r="AY44" s="151" t="s">
        <v>25</v>
      </c>
      <c r="AZ44" s="151"/>
      <c r="BA44" s="151"/>
      <c r="BB44" s="151"/>
      <c r="BC44" s="341"/>
      <c r="BD44" s="341"/>
      <c r="BE44" s="341"/>
      <c r="BF44" s="341"/>
      <c r="BG44" s="341"/>
      <c r="BH44" s="341"/>
      <c r="BI44" s="341"/>
      <c r="BJ44" s="341"/>
      <c r="BK44" s="38"/>
    </row>
    <row r="45" spans="1:63" x14ac:dyDescent="0.25">
      <c r="B45" s="151"/>
      <c r="C45" s="151"/>
      <c r="D45" s="342" t="s">
        <v>43</v>
      </c>
      <c r="E45" s="342"/>
      <c r="F45" s="342"/>
      <c r="G45" s="342"/>
      <c r="H45" s="342"/>
      <c r="I45" s="342"/>
      <c r="J45" s="342"/>
      <c r="K45" s="152" t="s">
        <v>46</v>
      </c>
      <c r="L45" s="153"/>
      <c r="M45" s="154"/>
      <c r="N45" s="42" t="s">
        <v>28</v>
      </c>
      <c r="O45" s="42" t="s">
        <v>23</v>
      </c>
      <c r="P45" s="151" t="s">
        <v>26</v>
      </c>
      <c r="Q45" s="151"/>
      <c r="R45" s="151"/>
      <c r="S45" s="151"/>
      <c r="T45" s="151" t="s">
        <v>26</v>
      </c>
      <c r="U45" s="151"/>
      <c r="V45" s="151"/>
      <c r="W45" s="151"/>
      <c r="X45" s="200" t="s">
        <v>26</v>
      </c>
      <c r="Y45" s="151"/>
      <c r="Z45" s="151"/>
      <c r="AA45" s="151" t="s">
        <v>25</v>
      </c>
      <c r="AB45" s="151"/>
      <c r="AC45" s="151"/>
      <c r="AD45" s="151"/>
      <c r="AE45" s="151"/>
      <c r="AF45" s="151"/>
      <c r="AG45" s="151"/>
      <c r="AH45" s="151"/>
      <c r="AI45" s="185" t="s">
        <v>25</v>
      </c>
      <c r="AJ45" s="185"/>
      <c r="AK45" s="185"/>
      <c r="AL45" s="185"/>
      <c r="AM45" s="185"/>
      <c r="AN45" s="185"/>
      <c r="AO45" s="185"/>
      <c r="AP45" s="185"/>
      <c r="AQ45" s="185"/>
      <c r="AR45" s="43" t="s">
        <v>23</v>
      </c>
      <c r="AS45" s="43" t="s">
        <v>25</v>
      </c>
      <c r="AT45" s="43" t="s">
        <v>25</v>
      </c>
      <c r="AU45" s="151" t="s">
        <v>26</v>
      </c>
      <c r="AV45" s="151"/>
      <c r="AW45" s="151"/>
      <c r="AX45" s="151"/>
      <c r="AY45" s="151" t="s">
        <v>25</v>
      </c>
      <c r="AZ45" s="151"/>
      <c r="BA45" s="151"/>
      <c r="BB45" s="151"/>
      <c r="BC45" s="341"/>
      <c r="BD45" s="341"/>
      <c r="BE45" s="341"/>
      <c r="BF45" s="341"/>
      <c r="BG45" s="341"/>
      <c r="BH45" s="341"/>
      <c r="BI45" s="341"/>
      <c r="BJ45" s="341"/>
      <c r="BK45" s="38"/>
    </row>
    <row r="46" spans="1:63" x14ac:dyDescent="0.25">
      <c r="B46" s="151">
        <v>6</v>
      </c>
      <c r="C46" s="151"/>
      <c r="D46" s="343" t="s">
        <v>50</v>
      </c>
      <c r="E46" s="344"/>
      <c r="F46" s="344"/>
      <c r="G46" s="344"/>
      <c r="H46" s="344"/>
      <c r="I46" s="344"/>
      <c r="J46" s="345"/>
      <c r="K46" s="152" t="s">
        <v>44</v>
      </c>
      <c r="L46" s="153"/>
      <c r="M46" s="154"/>
      <c r="N46" s="42" t="s">
        <v>27</v>
      </c>
      <c r="O46" s="40" t="s">
        <v>23</v>
      </c>
      <c r="P46" s="156" t="s">
        <v>23</v>
      </c>
      <c r="Q46" s="151"/>
      <c r="R46" s="151"/>
      <c r="S46" s="151"/>
      <c r="T46" s="151"/>
      <c r="U46" s="151"/>
      <c r="V46" s="151"/>
      <c r="W46" s="151"/>
      <c r="X46" s="189" t="s">
        <v>23</v>
      </c>
      <c r="Y46" s="184"/>
      <c r="Z46" s="184"/>
      <c r="AA46" s="151" t="s">
        <v>25</v>
      </c>
      <c r="AB46" s="151"/>
      <c r="AC46" s="151"/>
      <c r="AD46" s="151"/>
      <c r="AE46" s="151"/>
      <c r="AF46" s="151"/>
      <c r="AG46" s="151"/>
      <c r="AH46" s="151"/>
      <c r="AI46" s="185" t="s">
        <v>25</v>
      </c>
      <c r="AJ46" s="185"/>
      <c r="AK46" s="185"/>
      <c r="AL46" s="185"/>
      <c r="AM46" s="185"/>
      <c r="AN46" s="185"/>
      <c r="AO46" s="185"/>
      <c r="AP46" s="185"/>
      <c r="AQ46" s="185"/>
      <c r="AR46" s="43" t="s">
        <v>23</v>
      </c>
      <c r="AS46" s="43" t="s">
        <v>25</v>
      </c>
      <c r="AT46" s="43" t="s">
        <v>25</v>
      </c>
      <c r="AU46" s="151" t="s">
        <v>26</v>
      </c>
      <c r="AV46" s="151"/>
      <c r="AW46" s="151"/>
      <c r="AX46" s="151"/>
      <c r="AY46" s="151" t="s">
        <v>25</v>
      </c>
      <c r="AZ46" s="151"/>
      <c r="BA46" s="151"/>
      <c r="BB46" s="151"/>
      <c r="BC46" s="341"/>
      <c r="BD46" s="341"/>
      <c r="BE46" s="341"/>
      <c r="BF46" s="341"/>
      <c r="BG46" s="341"/>
      <c r="BH46" s="341"/>
      <c r="BI46" s="341"/>
      <c r="BJ46" s="341"/>
      <c r="BK46" s="38"/>
    </row>
    <row r="47" spans="1:63" x14ac:dyDescent="0.25">
      <c r="B47" s="151">
        <v>7</v>
      </c>
      <c r="C47" s="151"/>
      <c r="D47" s="188" t="s">
        <v>104</v>
      </c>
      <c r="E47" s="188"/>
      <c r="F47" s="188"/>
      <c r="G47" s="188"/>
      <c r="H47" s="188"/>
      <c r="I47" s="188"/>
      <c r="J47" s="188"/>
      <c r="K47" s="187" t="s">
        <v>100</v>
      </c>
      <c r="L47" s="155"/>
      <c r="M47" s="155"/>
      <c r="N47" s="42" t="s">
        <v>28</v>
      </c>
      <c r="O47" s="40" t="s">
        <v>24</v>
      </c>
      <c r="P47" s="151" t="s">
        <v>26</v>
      </c>
      <c r="Q47" s="151"/>
      <c r="R47" s="151"/>
      <c r="S47" s="151"/>
      <c r="T47" s="151" t="s">
        <v>26</v>
      </c>
      <c r="U47" s="151"/>
      <c r="V47" s="151"/>
      <c r="W47" s="151"/>
      <c r="X47" s="189" t="s">
        <v>23</v>
      </c>
      <c r="Y47" s="184"/>
      <c r="Z47" s="184"/>
      <c r="AA47" s="151" t="s">
        <v>25</v>
      </c>
      <c r="AB47" s="151"/>
      <c r="AC47" s="151"/>
      <c r="AD47" s="151"/>
      <c r="AE47" s="151"/>
      <c r="AF47" s="151"/>
      <c r="AG47" s="151"/>
      <c r="AH47" s="151"/>
      <c r="AI47" s="185" t="s">
        <v>25</v>
      </c>
      <c r="AJ47" s="185"/>
      <c r="AK47" s="185"/>
      <c r="AL47" s="185"/>
      <c r="AM47" s="185"/>
      <c r="AN47" s="185"/>
      <c r="AO47" s="185"/>
      <c r="AP47" s="185"/>
      <c r="AQ47" s="185"/>
      <c r="AR47" s="43" t="s">
        <v>23</v>
      </c>
      <c r="AS47" s="43" t="s">
        <v>25</v>
      </c>
      <c r="AT47" s="43" t="s">
        <v>25</v>
      </c>
      <c r="AU47" s="151" t="s">
        <v>26</v>
      </c>
      <c r="AV47" s="151"/>
      <c r="AW47" s="151"/>
      <c r="AX47" s="151"/>
      <c r="AY47" s="151" t="s">
        <v>25</v>
      </c>
      <c r="AZ47" s="151"/>
      <c r="BA47" s="151"/>
      <c r="BB47" s="151"/>
      <c r="BC47" s="341"/>
      <c r="BD47" s="341"/>
      <c r="BE47" s="341"/>
      <c r="BF47" s="341"/>
      <c r="BG47" s="341"/>
      <c r="BH47" s="341"/>
      <c r="BI47" s="341"/>
      <c r="BJ47" s="341"/>
      <c r="BK47" s="38"/>
    </row>
    <row r="48" spans="1:63" ht="15.75" customHeight="1" x14ac:dyDescent="0.25">
      <c r="B48" s="123">
        <v>8</v>
      </c>
      <c r="C48" s="125"/>
      <c r="D48" s="191" t="s">
        <v>105</v>
      </c>
      <c r="E48" s="192"/>
      <c r="F48" s="192"/>
      <c r="G48" s="192"/>
      <c r="H48" s="192"/>
      <c r="I48" s="192"/>
      <c r="J48" s="193"/>
      <c r="K48" s="194" t="s">
        <v>100</v>
      </c>
      <c r="L48" s="195"/>
      <c r="M48" s="196"/>
      <c r="N48" s="40" t="s">
        <v>28</v>
      </c>
      <c r="O48" s="40" t="s">
        <v>24</v>
      </c>
      <c r="P48" s="123" t="s">
        <v>26</v>
      </c>
      <c r="Q48" s="124"/>
      <c r="R48" s="124"/>
      <c r="S48" s="125"/>
      <c r="T48" s="123" t="s">
        <v>26</v>
      </c>
      <c r="U48" s="124"/>
      <c r="V48" s="124"/>
      <c r="W48" s="125"/>
      <c r="X48" s="197" t="s">
        <v>23</v>
      </c>
      <c r="Y48" s="198"/>
      <c r="Z48" s="199"/>
      <c r="AA48" s="123" t="s">
        <v>25</v>
      </c>
      <c r="AB48" s="124"/>
      <c r="AC48" s="124"/>
      <c r="AD48" s="124"/>
      <c r="AE48" s="124"/>
      <c r="AF48" s="124"/>
      <c r="AG48" s="124"/>
      <c r="AH48" s="125"/>
      <c r="AI48" s="185" t="s">
        <v>25</v>
      </c>
      <c r="AJ48" s="185"/>
      <c r="AK48" s="185"/>
      <c r="AL48" s="185"/>
      <c r="AM48" s="185"/>
      <c r="AN48" s="185"/>
      <c r="AO48" s="185"/>
      <c r="AP48" s="185"/>
      <c r="AQ48" s="185"/>
      <c r="AR48" s="41" t="s">
        <v>23</v>
      </c>
      <c r="AS48" s="41" t="s">
        <v>25</v>
      </c>
      <c r="AT48" s="41" t="s">
        <v>25</v>
      </c>
      <c r="AU48" s="123" t="s">
        <v>26</v>
      </c>
      <c r="AV48" s="124"/>
      <c r="AW48" s="124"/>
      <c r="AX48" s="125"/>
      <c r="AY48" s="123" t="s">
        <v>25</v>
      </c>
      <c r="AZ48" s="124"/>
      <c r="BA48" s="124"/>
      <c r="BB48" s="125"/>
      <c r="BC48" s="346"/>
      <c r="BD48" s="347"/>
      <c r="BE48" s="347"/>
      <c r="BF48" s="347"/>
      <c r="BG48" s="347"/>
      <c r="BH48" s="347"/>
      <c r="BI48" s="347"/>
      <c r="BJ48" s="348"/>
      <c r="BK48" s="38"/>
    </row>
    <row r="49" spans="1:63" x14ac:dyDescent="0.25">
      <c r="BK49" s="38"/>
    </row>
    <row r="50" spans="1:63" x14ac:dyDescent="0.25">
      <c r="BK50" s="38"/>
    </row>
    <row r="51" spans="1:63" x14ac:dyDescent="0.25">
      <c r="BK51" s="38"/>
    </row>
    <row r="52" spans="1:63" x14ac:dyDescent="0.25">
      <c r="BK52" s="38"/>
    </row>
    <row r="53" spans="1:63" x14ac:dyDescent="0.25">
      <c r="BK53" s="38"/>
    </row>
    <row r="54" spans="1:63" x14ac:dyDescent="0.25">
      <c r="BK54" s="38"/>
    </row>
    <row r="55" spans="1:63" x14ac:dyDescent="0.25">
      <c r="BK55" s="38"/>
    </row>
    <row r="56" spans="1:63" x14ac:dyDescent="0.25">
      <c r="BK56" s="38"/>
    </row>
    <row r="57" spans="1:63" x14ac:dyDescent="0.25">
      <c r="BK57" s="38"/>
    </row>
    <row r="58" spans="1:63" x14ac:dyDescent="0.25">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6"/>
    </row>
  </sheetData>
  <mergeCells count="138">
    <mergeCell ref="AY46:BB46"/>
    <mergeCell ref="BC46:BJ46"/>
    <mergeCell ref="P47:S47"/>
    <mergeCell ref="T47:W47"/>
    <mergeCell ref="X47:Z47"/>
    <mergeCell ref="AA47:AH47"/>
    <mergeCell ref="AI47:AQ47"/>
    <mergeCell ref="AU47:AX47"/>
    <mergeCell ref="AY47:BB47"/>
    <mergeCell ref="BC47:BJ47"/>
    <mergeCell ref="P46:S46"/>
    <mergeCell ref="T46:W46"/>
    <mergeCell ref="X46:Z46"/>
    <mergeCell ref="AA46:AH46"/>
    <mergeCell ref="AI46:AQ46"/>
    <mergeCell ref="AU46:AX46"/>
    <mergeCell ref="P45:S45"/>
    <mergeCell ref="T45:W45"/>
    <mergeCell ref="X45:Z45"/>
    <mergeCell ref="AA45:AH45"/>
    <mergeCell ref="AI45:AQ45"/>
    <mergeCell ref="AU45:AX45"/>
    <mergeCell ref="AY45:BB45"/>
    <mergeCell ref="BC45:BJ45"/>
    <mergeCell ref="P44:S44"/>
    <mergeCell ref="T44:W44"/>
    <mergeCell ref="X44:Z44"/>
    <mergeCell ref="AA44:AH44"/>
    <mergeCell ref="AI44:AQ44"/>
    <mergeCell ref="AU44:AX44"/>
    <mergeCell ref="AA48:AH48"/>
    <mergeCell ref="AI48:AQ48"/>
    <mergeCell ref="AU48:AX48"/>
    <mergeCell ref="AY48:BB48"/>
    <mergeCell ref="BC48:BJ48"/>
    <mergeCell ref="D44:J44"/>
    <mergeCell ref="D45:J45"/>
    <mergeCell ref="D48:J48"/>
    <mergeCell ref="B48:C48"/>
    <mergeCell ref="K48:M48"/>
    <mergeCell ref="P48:S48"/>
    <mergeCell ref="T48:W48"/>
    <mergeCell ref="X48:Z48"/>
    <mergeCell ref="K47:M47"/>
    <mergeCell ref="B44:C45"/>
    <mergeCell ref="K44:M44"/>
    <mergeCell ref="K45:M45"/>
    <mergeCell ref="K46:M46"/>
    <mergeCell ref="D47:J47"/>
    <mergeCell ref="D46:J46"/>
    <mergeCell ref="B46:C46"/>
    <mergeCell ref="B47:C47"/>
    <mergeCell ref="AY44:BB44"/>
    <mergeCell ref="BC44:BJ44"/>
    <mergeCell ref="AA43:AH43"/>
    <mergeCell ref="AI43:AQ43"/>
    <mergeCell ref="AU43:AX43"/>
    <mergeCell ref="AY43:BB43"/>
    <mergeCell ref="BC43:BJ43"/>
    <mergeCell ref="B43:C43"/>
    <mergeCell ref="D43:J43"/>
    <mergeCell ref="K43:M43"/>
    <mergeCell ref="P43:S43"/>
    <mergeCell ref="T43:W43"/>
    <mergeCell ref="X43:Z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0:O48" xr:uid="{00000000-0002-0000-0600-000000000000}">
      <formula1>"－,●"</formula1>
    </dataValidation>
  </dataValidations>
  <pageMargins left="0.7" right="0.7" top="0.75" bottom="0.75" header="0.3" footer="0.3"/>
  <pageSetup scale="3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225" customWidth="1"/>
    <col min="61" max="16384" width="2.77734375" style="225"/>
  </cols>
  <sheetData>
    <row r="1" spans="1:63" ht="24.95" customHeight="1" x14ac:dyDescent="0.25">
      <c r="A1" s="327" t="s">
        <v>70</v>
      </c>
      <c r="B1" s="328"/>
      <c r="C1" s="328"/>
      <c r="D1" s="328"/>
      <c r="E1" s="328"/>
      <c r="F1" s="328"/>
      <c r="G1" s="328"/>
      <c r="H1" s="328"/>
      <c r="I1" s="328"/>
      <c r="J1" s="329"/>
      <c r="K1" s="327" t="s">
        <v>71</v>
      </c>
      <c r="L1" s="328"/>
      <c r="M1" s="328"/>
      <c r="N1" s="328"/>
      <c r="O1" s="328"/>
      <c r="P1" s="328"/>
      <c r="Q1" s="328"/>
      <c r="R1" s="328"/>
      <c r="S1" s="328"/>
      <c r="T1" s="328"/>
      <c r="U1" s="328"/>
      <c r="V1" s="329"/>
      <c r="W1" s="330" t="str">
        <f>IF(表紙!W1="","",表紙!W1)</f>
        <v>基本設計書</v>
      </c>
      <c r="X1" s="331"/>
      <c r="Y1" s="331"/>
      <c r="Z1" s="331"/>
      <c r="AA1" s="331"/>
      <c r="AB1" s="331"/>
      <c r="AC1" s="331"/>
      <c r="AD1" s="331"/>
      <c r="AE1" s="331"/>
      <c r="AF1" s="331"/>
      <c r="AG1" s="331"/>
      <c r="AH1" s="331"/>
      <c r="AI1" s="331"/>
      <c r="AJ1" s="331"/>
      <c r="AK1" s="331"/>
      <c r="AL1" s="331"/>
      <c r="AM1" s="331"/>
      <c r="AN1" s="331"/>
      <c r="AO1" s="332"/>
      <c r="AP1" s="219" t="s">
        <v>72</v>
      </c>
      <c r="AQ1" s="220"/>
      <c r="AR1" s="220"/>
      <c r="AS1" s="221"/>
      <c r="AT1" s="219" t="s">
        <v>73</v>
      </c>
      <c r="AU1" s="220"/>
      <c r="AV1" s="220"/>
      <c r="AW1" s="220"/>
      <c r="AX1" s="221"/>
      <c r="AY1" s="219" t="s">
        <v>74</v>
      </c>
      <c r="AZ1" s="220"/>
      <c r="BA1" s="220"/>
      <c r="BB1" s="221"/>
      <c r="BC1" s="219" t="s">
        <v>75</v>
      </c>
      <c r="BD1" s="220"/>
      <c r="BE1" s="220"/>
      <c r="BF1" s="220"/>
      <c r="BG1" s="221"/>
      <c r="BH1" s="219" t="s">
        <v>76</v>
      </c>
      <c r="BI1" s="220"/>
      <c r="BJ1" s="220"/>
      <c r="BK1" s="221"/>
    </row>
    <row r="2" spans="1:63" ht="15" customHeight="1" x14ac:dyDescent="0.25">
      <c r="A2" s="120" t="str">
        <f>IF(表紙!A2="","",表紙!A2)</f>
        <v>POSサーバー</v>
      </c>
      <c r="B2" s="121"/>
      <c r="C2" s="121"/>
      <c r="D2" s="121"/>
      <c r="E2" s="121"/>
      <c r="F2" s="121"/>
      <c r="G2" s="121"/>
      <c r="H2" s="121"/>
      <c r="I2" s="121"/>
      <c r="J2" s="122"/>
      <c r="K2" s="120" t="str">
        <f>IF(表紙!K2="","",表紙!K2)</f>
        <v>POSサーバ</v>
      </c>
      <c r="L2" s="121"/>
      <c r="M2" s="121"/>
      <c r="N2" s="121"/>
      <c r="O2" s="121"/>
      <c r="P2" s="121"/>
      <c r="Q2" s="121"/>
      <c r="R2" s="121"/>
      <c r="S2" s="121"/>
      <c r="T2" s="121"/>
      <c r="U2" s="121"/>
      <c r="V2" s="122"/>
      <c r="W2" s="333"/>
      <c r="X2" s="334"/>
      <c r="Y2" s="334"/>
      <c r="Z2" s="334"/>
      <c r="AA2" s="334"/>
      <c r="AB2" s="334"/>
      <c r="AC2" s="334"/>
      <c r="AD2" s="334"/>
      <c r="AE2" s="334"/>
      <c r="AF2" s="334"/>
      <c r="AG2" s="334"/>
      <c r="AH2" s="334"/>
      <c r="AI2" s="334"/>
      <c r="AJ2" s="334"/>
      <c r="AK2" s="334"/>
      <c r="AL2" s="334"/>
      <c r="AM2" s="334"/>
      <c r="AN2" s="334"/>
      <c r="AO2" s="335"/>
      <c r="AP2" s="226" t="str">
        <f>IF(表紙!AP2="","",表紙!AP2)</f>
        <v>TinNH</v>
      </c>
      <c r="AQ2" s="227"/>
      <c r="AR2" s="227"/>
      <c r="AS2" s="228"/>
      <c r="AT2" s="232">
        <f>IF(表紙!AT2="","",表紙!AT2)</f>
        <v>45439</v>
      </c>
      <c r="AU2" s="233"/>
      <c r="AV2" s="233"/>
      <c r="AW2" s="233"/>
      <c r="AX2" s="234"/>
      <c r="AY2" s="226" t="str">
        <f>IF(表紙!AY2="","",表紙!AY2)</f>
        <v>DuNT</v>
      </c>
      <c r="AZ2" s="227"/>
      <c r="BA2" s="227"/>
      <c r="BB2" s="228"/>
      <c r="BC2" s="232">
        <f>IF(表紙!BC2="","",表紙!BC2)</f>
        <v>45545</v>
      </c>
      <c r="BD2" s="233"/>
      <c r="BE2" s="233"/>
      <c r="BF2" s="233"/>
      <c r="BG2" s="234"/>
      <c r="BH2" s="226">
        <f>IF(表紙!BH2="","",表紙!BH2)</f>
        <v>0.4</v>
      </c>
      <c r="BI2" s="227"/>
      <c r="BJ2" s="227"/>
      <c r="BK2" s="228"/>
    </row>
    <row r="3" spans="1:63" ht="15" customHeight="1" x14ac:dyDescent="0.25">
      <c r="A3" s="123"/>
      <c r="B3" s="124"/>
      <c r="C3" s="124"/>
      <c r="D3" s="124"/>
      <c r="E3" s="124"/>
      <c r="F3" s="124"/>
      <c r="G3" s="124"/>
      <c r="H3" s="124"/>
      <c r="I3" s="124"/>
      <c r="J3" s="125"/>
      <c r="K3" s="123"/>
      <c r="L3" s="124"/>
      <c r="M3" s="124"/>
      <c r="N3" s="124"/>
      <c r="O3" s="124"/>
      <c r="P3" s="124"/>
      <c r="Q3" s="124"/>
      <c r="R3" s="124"/>
      <c r="S3" s="124"/>
      <c r="T3" s="124"/>
      <c r="U3" s="124"/>
      <c r="V3" s="125"/>
      <c r="W3" s="336"/>
      <c r="X3" s="337"/>
      <c r="Y3" s="337"/>
      <c r="Z3" s="337"/>
      <c r="AA3" s="337"/>
      <c r="AB3" s="337"/>
      <c r="AC3" s="337"/>
      <c r="AD3" s="337"/>
      <c r="AE3" s="337"/>
      <c r="AF3" s="337"/>
      <c r="AG3" s="337"/>
      <c r="AH3" s="337"/>
      <c r="AI3" s="337"/>
      <c r="AJ3" s="337"/>
      <c r="AK3" s="337"/>
      <c r="AL3" s="337"/>
      <c r="AM3" s="337"/>
      <c r="AN3" s="337"/>
      <c r="AO3" s="338"/>
      <c r="AP3" s="235"/>
      <c r="AQ3" s="236"/>
      <c r="AR3" s="236"/>
      <c r="AS3" s="237"/>
      <c r="AT3" s="241"/>
      <c r="AU3" s="242"/>
      <c r="AV3" s="242"/>
      <c r="AW3" s="242"/>
      <c r="AX3" s="243"/>
      <c r="AY3" s="235"/>
      <c r="AZ3" s="236"/>
      <c r="BA3" s="236"/>
      <c r="BB3" s="237"/>
      <c r="BC3" s="241"/>
      <c r="BD3" s="242"/>
      <c r="BE3" s="242"/>
      <c r="BF3" s="242"/>
      <c r="BG3" s="243"/>
      <c r="BH3" s="235"/>
      <c r="BI3" s="236"/>
      <c r="BJ3" s="236"/>
      <c r="BK3" s="237"/>
    </row>
    <row r="4" spans="1:63" ht="24.95" customHeight="1" x14ac:dyDescent="0.25">
      <c r="A4" s="327" t="s">
        <v>77</v>
      </c>
      <c r="B4" s="328"/>
      <c r="C4" s="328"/>
      <c r="D4" s="328"/>
      <c r="E4" s="328"/>
      <c r="F4" s="328"/>
      <c r="G4" s="329"/>
      <c r="H4" s="126" t="str">
        <f>IF(表紙!H4="","",表紙!H4)</f>
        <v>62_画像アップロード</v>
      </c>
      <c r="I4" s="127"/>
      <c r="J4" s="127"/>
      <c r="K4" s="127"/>
      <c r="L4" s="127"/>
      <c r="M4" s="127"/>
      <c r="N4" s="127"/>
      <c r="O4" s="127"/>
      <c r="P4" s="127"/>
      <c r="Q4" s="127"/>
      <c r="R4" s="127"/>
      <c r="S4" s="127"/>
      <c r="T4" s="128"/>
      <c r="U4" s="327" t="s">
        <v>78</v>
      </c>
      <c r="V4" s="328"/>
      <c r="W4" s="328"/>
      <c r="X4" s="328"/>
      <c r="Y4" s="329"/>
      <c r="Z4" s="126" t="str">
        <f>IF(表紙!Z4="","",表紙!Z4)</f>
        <v>概要設計</v>
      </c>
      <c r="AA4" s="127"/>
      <c r="AB4" s="127"/>
      <c r="AC4" s="127"/>
      <c r="AD4" s="127"/>
      <c r="AE4" s="127"/>
      <c r="AF4" s="127"/>
      <c r="AG4" s="127"/>
      <c r="AH4" s="127"/>
      <c r="AI4" s="127"/>
      <c r="AJ4" s="127"/>
      <c r="AK4" s="127"/>
      <c r="AL4" s="127"/>
      <c r="AM4" s="127"/>
      <c r="AN4" s="127"/>
      <c r="AO4" s="128"/>
      <c r="AP4" s="129" t="str">
        <f ca="1">MID(CELL("filename",A1),FIND("]",CELL("filename",A1))+1,255)</f>
        <v>テンプレート</v>
      </c>
      <c r="AQ4" s="127"/>
      <c r="AR4" s="127"/>
      <c r="AS4" s="127"/>
      <c r="AT4" s="127"/>
      <c r="AU4" s="127"/>
      <c r="AV4" s="127"/>
      <c r="AW4" s="127"/>
      <c r="AX4" s="127"/>
      <c r="AY4" s="127"/>
      <c r="AZ4" s="127"/>
      <c r="BA4" s="127"/>
      <c r="BB4" s="127"/>
      <c r="BC4" s="127"/>
      <c r="BD4" s="127"/>
      <c r="BE4" s="127"/>
      <c r="BF4" s="127"/>
      <c r="BG4" s="127"/>
      <c r="BH4" s="127"/>
      <c r="BI4" s="127"/>
      <c r="BJ4" s="127"/>
      <c r="BK4" s="128"/>
    </row>
    <row r="5" spans="1:63" ht="5.0999999999999996" customHeight="1" x14ac:dyDescent="0.25">
      <c r="A5" s="247"/>
      <c r="B5" s="248"/>
      <c r="C5" s="248"/>
      <c r="D5" s="248"/>
      <c r="E5" s="248"/>
      <c r="F5" s="248"/>
      <c r="G5" s="248"/>
      <c r="H5" s="248"/>
      <c r="I5" s="248"/>
      <c r="J5" s="248"/>
      <c r="K5" s="248"/>
      <c r="L5" s="248"/>
      <c r="M5" s="248"/>
      <c r="N5" s="248"/>
      <c r="O5" s="248"/>
      <c r="P5" s="248"/>
      <c r="Q5" s="248"/>
      <c r="R5" s="248"/>
      <c r="S5" s="248"/>
      <c r="T5" s="248"/>
      <c r="U5" s="248"/>
      <c r="V5" s="248"/>
      <c r="W5" s="248"/>
      <c r="X5" s="248"/>
      <c r="Y5" s="248"/>
      <c r="Z5" s="248"/>
      <c r="AA5" s="248"/>
      <c r="AB5" s="248"/>
      <c r="AC5" s="248"/>
      <c r="AD5" s="248"/>
      <c r="AE5" s="248"/>
      <c r="AF5" s="248"/>
      <c r="AG5" s="248"/>
      <c r="AH5" s="248"/>
      <c r="AI5" s="248"/>
      <c r="AJ5" s="248"/>
      <c r="AK5" s="248"/>
      <c r="AL5" s="248"/>
      <c r="AM5" s="248"/>
      <c r="AN5" s="248"/>
      <c r="AO5" s="248"/>
      <c r="AP5" s="248"/>
      <c r="AQ5" s="248"/>
      <c r="AR5" s="248"/>
      <c r="AS5" s="248"/>
      <c r="AT5" s="248"/>
      <c r="AU5" s="248"/>
      <c r="AV5" s="248"/>
      <c r="AW5" s="248"/>
      <c r="AX5" s="248"/>
      <c r="AY5" s="248"/>
      <c r="AZ5" s="248"/>
      <c r="BA5" s="248"/>
      <c r="BB5" s="248"/>
      <c r="BC5" s="248"/>
      <c r="BD5" s="248"/>
      <c r="BE5" s="248"/>
      <c r="BF5" s="248"/>
      <c r="BG5" s="248"/>
      <c r="BH5" s="248"/>
      <c r="BI5" s="248"/>
      <c r="BJ5" s="248"/>
      <c r="BK5" s="249"/>
    </row>
    <row r="6" spans="1:63" ht="15" customHeight="1" x14ac:dyDescent="0.25">
      <c r="A6" s="250"/>
      <c r="BK6" s="251"/>
    </row>
    <row r="7" spans="1:63" ht="15" customHeight="1" x14ac:dyDescent="0.25">
      <c r="A7" s="250"/>
      <c r="B7" s="307"/>
      <c r="C7" s="308"/>
      <c r="D7" s="309"/>
      <c r="E7" s="309"/>
      <c r="F7" s="309"/>
      <c r="G7" s="309"/>
      <c r="H7" s="309"/>
      <c r="I7" s="309"/>
      <c r="J7" s="309"/>
      <c r="K7" s="309"/>
      <c r="L7" s="309"/>
      <c r="M7" s="309"/>
      <c r="N7" s="309"/>
      <c r="O7" s="309"/>
      <c r="P7" s="309"/>
      <c r="Q7" s="309"/>
      <c r="R7" s="309"/>
      <c r="S7" s="309"/>
      <c r="T7" s="310"/>
      <c r="U7" s="308"/>
      <c r="V7" s="309"/>
      <c r="W7" s="309"/>
      <c r="X7" s="309"/>
      <c r="Y7" s="309"/>
      <c r="Z7" s="309"/>
      <c r="AA7" s="309"/>
      <c r="AB7" s="309"/>
      <c r="AC7" s="310"/>
      <c r="AD7" s="308"/>
      <c r="AE7" s="309"/>
      <c r="AF7" s="309"/>
      <c r="AG7" s="309"/>
      <c r="AH7" s="309"/>
      <c r="AI7" s="309"/>
      <c r="AJ7" s="309"/>
      <c r="AK7" s="309"/>
      <c r="AL7" s="310"/>
      <c r="AM7" s="308"/>
      <c r="AN7" s="309"/>
      <c r="AO7" s="309"/>
      <c r="AP7" s="309"/>
      <c r="AQ7" s="309"/>
      <c r="AR7" s="309"/>
      <c r="AS7" s="309"/>
      <c r="AT7" s="309"/>
      <c r="AU7" s="309"/>
      <c r="AV7" s="309"/>
      <c r="AW7" s="309"/>
      <c r="AX7" s="309"/>
      <c r="AY7" s="309"/>
      <c r="AZ7" s="309"/>
      <c r="BA7" s="309"/>
      <c r="BB7" s="309"/>
      <c r="BC7" s="309"/>
      <c r="BD7" s="309"/>
      <c r="BE7" s="309"/>
      <c r="BF7" s="309"/>
      <c r="BG7" s="309"/>
      <c r="BH7" s="309"/>
      <c r="BI7" s="310"/>
      <c r="BJ7" s="309"/>
      <c r="BK7" s="251"/>
    </row>
    <row r="8" spans="1:63" ht="15" customHeight="1" x14ac:dyDescent="0.25">
      <c r="A8" s="250"/>
      <c r="C8" s="311"/>
      <c r="U8" s="311"/>
      <c r="AD8" s="311"/>
      <c r="AM8" s="311"/>
      <c r="BI8" s="313"/>
    </row>
    <row r="9" spans="1:63" ht="15" customHeight="1" x14ac:dyDescent="0.25">
      <c r="A9" s="250"/>
      <c r="C9" s="311"/>
      <c r="U9" s="311"/>
      <c r="AD9" s="311"/>
      <c r="AM9" s="311"/>
      <c r="BI9" s="313"/>
    </row>
    <row r="10" spans="1:63" ht="15" customHeight="1" x14ac:dyDescent="0.25">
      <c r="A10" s="250"/>
      <c r="C10" s="311"/>
      <c r="U10" s="311"/>
      <c r="AD10" s="311"/>
      <c r="AM10" s="311"/>
      <c r="BI10" s="313"/>
    </row>
    <row r="11" spans="1:63" ht="15" customHeight="1" x14ac:dyDescent="0.25">
      <c r="A11" s="250"/>
      <c r="C11" s="311"/>
      <c r="U11" s="311"/>
      <c r="AD11" s="311"/>
      <c r="AM11" s="311"/>
      <c r="BI11" s="313"/>
    </row>
    <row r="12" spans="1:63" ht="15" customHeight="1" x14ac:dyDescent="0.25">
      <c r="A12" s="250"/>
      <c r="C12" s="311"/>
      <c r="U12" s="311"/>
      <c r="AD12" s="311"/>
      <c r="AM12" s="311"/>
      <c r="AX12" s="225" t="s">
        <v>30</v>
      </c>
      <c r="BI12" s="313"/>
    </row>
    <row r="13" spans="1:63" ht="15" customHeight="1" x14ac:dyDescent="0.25">
      <c r="A13" s="250"/>
      <c r="C13" s="311"/>
      <c r="U13" s="311"/>
      <c r="AD13" s="311"/>
      <c r="AM13" s="311"/>
      <c r="BI13" s="313"/>
    </row>
    <row r="14" spans="1:63" ht="15" customHeight="1" x14ac:dyDescent="0.25">
      <c r="A14" s="250"/>
      <c r="C14" s="311"/>
      <c r="U14" s="311"/>
      <c r="AD14" s="311"/>
      <c r="AM14" s="311"/>
      <c r="BI14" s="313"/>
    </row>
    <row r="15" spans="1:63" ht="15" customHeight="1" x14ac:dyDescent="0.25">
      <c r="A15" s="250"/>
      <c r="C15" s="311"/>
      <c r="U15" s="311"/>
      <c r="AD15" s="311"/>
      <c r="AM15" s="311"/>
      <c r="BI15" s="313"/>
    </row>
    <row r="16" spans="1:63" ht="15" customHeight="1" x14ac:dyDescent="0.25">
      <c r="A16" s="250"/>
      <c r="C16" s="311"/>
      <c r="U16" s="311"/>
      <c r="AD16" s="311"/>
      <c r="AM16" s="311"/>
      <c r="BI16" s="313"/>
    </row>
    <row r="17" spans="1:61" ht="15" customHeight="1" x14ac:dyDescent="0.25">
      <c r="A17" s="250"/>
      <c r="C17" s="311"/>
      <c r="U17" s="311"/>
      <c r="AD17" s="311"/>
      <c r="AM17" s="311"/>
      <c r="BI17" s="313"/>
    </row>
    <row r="18" spans="1:61" ht="15" customHeight="1" x14ac:dyDescent="0.25">
      <c r="A18" s="250"/>
      <c r="C18" s="311"/>
      <c r="U18" s="311"/>
      <c r="AD18" s="311"/>
      <c r="AM18" s="311"/>
      <c r="BI18" s="313"/>
    </row>
    <row r="19" spans="1:61" ht="15" customHeight="1" x14ac:dyDescent="0.25">
      <c r="A19" s="250"/>
      <c r="C19" s="311"/>
      <c r="U19" s="311"/>
      <c r="AD19" s="311"/>
      <c r="AM19" s="311"/>
      <c r="BI19" s="313"/>
    </row>
    <row r="20" spans="1:61" ht="15" customHeight="1" x14ac:dyDescent="0.25">
      <c r="A20" s="250"/>
      <c r="C20" s="311"/>
      <c r="U20" s="311"/>
      <c r="AD20" s="311"/>
      <c r="AM20" s="311"/>
      <c r="BI20" s="313"/>
    </row>
    <row r="21" spans="1:61" ht="15" customHeight="1" x14ac:dyDescent="0.25">
      <c r="A21" s="250"/>
      <c r="C21" s="311"/>
      <c r="U21" s="311"/>
      <c r="AD21" s="311"/>
      <c r="AM21" s="311"/>
      <c r="BI21" s="313"/>
    </row>
    <row r="22" spans="1:61" ht="15" customHeight="1" x14ac:dyDescent="0.25">
      <c r="A22" s="250"/>
      <c r="C22" s="311"/>
      <c r="U22" s="311"/>
      <c r="AD22" s="311"/>
      <c r="AM22" s="311"/>
      <c r="BI22" s="313"/>
    </row>
    <row r="23" spans="1:61" ht="15" customHeight="1" x14ac:dyDescent="0.25">
      <c r="A23" s="250"/>
      <c r="C23" s="311"/>
      <c r="U23" s="311"/>
      <c r="AD23" s="311"/>
      <c r="AM23" s="311"/>
      <c r="BI23" s="313"/>
    </row>
    <row r="24" spans="1:61" ht="15" customHeight="1" x14ac:dyDescent="0.25">
      <c r="A24" s="250"/>
      <c r="C24" s="311"/>
      <c r="U24" s="311"/>
      <c r="AD24" s="311"/>
      <c r="AM24" s="311"/>
      <c r="BI24" s="313"/>
    </row>
    <row r="25" spans="1:61" ht="15" customHeight="1" x14ac:dyDescent="0.25">
      <c r="A25" s="250"/>
      <c r="C25" s="311"/>
      <c r="U25" s="311"/>
      <c r="AD25" s="311"/>
      <c r="AM25" s="311"/>
      <c r="BI25" s="313"/>
    </row>
    <row r="26" spans="1:61" ht="15" customHeight="1" x14ac:dyDescent="0.25">
      <c r="A26" s="250"/>
      <c r="C26" s="311"/>
      <c r="U26" s="311"/>
      <c r="AD26" s="311"/>
      <c r="AM26" s="311"/>
      <c r="BI26" s="313"/>
    </row>
    <row r="27" spans="1:61" ht="15" customHeight="1" x14ac:dyDescent="0.25">
      <c r="A27" s="250"/>
      <c r="C27" s="311"/>
      <c r="U27" s="311"/>
      <c r="AD27" s="311"/>
      <c r="AM27" s="311"/>
      <c r="BI27" s="313"/>
    </row>
    <row r="28" spans="1:61" ht="15" customHeight="1" x14ac:dyDescent="0.25">
      <c r="A28" s="250"/>
      <c r="C28" s="311"/>
      <c r="U28" s="311"/>
      <c r="AD28" s="311"/>
      <c r="AM28" s="311"/>
      <c r="BI28" s="313"/>
    </row>
    <row r="29" spans="1:61" ht="15" customHeight="1" x14ac:dyDescent="0.25">
      <c r="A29" s="250"/>
      <c r="C29" s="311"/>
      <c r="U29" s="311"/>
      <c r="AD29" s="311"/>
      <c r="AM29" s="311"/>
      <c r="BI29" s="313"/>
    </row>
    <row r="30" spans="1:61" ht="15" customHeight="1" x14ac:dyDescent="0.25">
      <c r="A30" s="250"/>
      <c r="C30" s="311"/>
      <c r="U30" s="311"/>
      <c r="AD30" s="311"/>
      <c r="AM30" s="311"/>
      <c r="BI30" s="313"/>
    </row>
    <row r="31" spans="1:61" ht="15" customHeight="1" x14ac:dyDescent="0.25">
      <c r="A31" s="250"/>
      <c r="C31" s="311"/>
      <c r="U31" s="311"/>
      <c r="AD31" s="311"/>
      <c r="AM31" s="311"/>
      <c r="BI31" s="313"/>
    </row>
    <row r="32" spans="1:61" ht="15" customHeight="1" x14ac:dyDescent="0.25">
      <c r="A32" s="250"/>
      <c r="C32" s="311"/>
      <c r="U32" s="311"/>
      <c r="AD32" s="311"/>
      <c r="AM32" s="311"/>
      <c r="BI32" s="313"/>
    </row>
    <row r="33" spans="1:61" ht="15" customHeight="1" x14ac:dyDescent="0.25">
      <c r="A33" s="250"/>
      <c r="C33" s="311"/>
      <c r="U33" s="311"/>
      <c r="AD33" s="311"/>
      <c r="AM33" s="311"/>
      <c r="BI33" s="313"/>
    </row>
    <row r="34" spans="1:61" ht="15" customHeight="1" x14ac:dyDescent="0.25">
      <c r="A34" s="250"/>
      <c r="C34" s="311"/>
      <c r="U34" s="311"/>
      <c r="AD34" s="311"/>
      <c r="AM34" s="311"/>
      <c r="BI34" s="313"/>
    </row>
    <row r="35" spans="1:61" ht="15" customHeight="1" x14ac:dyDescent="0.25">
      <c r="A35" s="250"/>
      <c r="C35" s="311"/>
      <c r="U35" s="311"/>
      <c r="AD35" s="311"/>
      <c r="AM35" s="311"/>
      <c r="BI35" s="313"/>
    </row>
    <row r="36" spans="1:61" ht="15" customHeight="1" x14ac:dyDescent="0.25">
      <c r="A36" s="250"/>
      <c r="C36" s="311"/>
      <c r="U36" s="311"/>
      <c r="AD36" s="311"/>
      <c r="AM36" s="311"/>
      <c r="BI36" s="313"/>
    </row>
    <row r="37" spans="1:61" ht="15" customHeight="1" x14ac:dyDescent="0.25">
      <c r="A37" s="250"/>
      <c r="C37" s="311"/>
      <c r="U37" s="311"/>
      <c r="AD37" s="311"/>
      <c r="AM37" s="311"/>
      <c r="BI37" s="313"/>
    </row>
    <row r="38" spans="1:61" ht="15" customHeight="1" x14ac:dyDescent="0.25">
      <c r="A38" s="250"/>
      <c r="C38" s="311"/>
      <c r="U38" s="311"/>
      <c r="AD38" s="311"/>
      <c r="AM38" s="311"/>
      <c r="BI38" s="313"/>
    </row>
    <row r="39" spans="1:61" ht="15" customHeight="1" x14ac:dyDescent="0.25">
      <c r="A39" s="250"/>
      <c r="C39" s="311"/>
      <c r="U39" s="311"/>
      <c r="AD39" s="311"/>
      <c r="AM39" s="311"/>
      <c r="BI39" s="313"/>
    </row>
    <row r="40" spans="1:61" ht="15" customHeight="1" x14ac:dyDescent="0.25">
      <c r="A40" s="250"/>
      <c r="C40" s="311"/>
      <c r="U40" s="311"/>
      <c r="AD40" s="311"/>
      <c r="AM40" s="311"/>
      <c r="BI40" s="313"/>
    </row>
    <row r="41" spans="1:61" ht="15" customHeight="1" x14ac:dyDescent="0.25">
      <c r="A41" s="250"/>
      <c r="C41" s="311"/>
      <c r="U41" s="311"/>
      <c r="AD41" s="311"/>
      <c r="AM41" s="311"/>
      <c r="BI41" s="313"/>
    </row>
    <row r="42" spans="1:61" ht="15" customHeight="1" x14ac:dyDescent="0.25">
      <c r="A42" s="250"/>
      <c r="C42" s="311"/>
      <c r="U42" s="311"/>
      <c r="AD42" s="311"/>
      <c r="AM42" s="311"/>
      <c r="BI42" s="313"/>
    </row>
    <row r="43" spans="1:61" ht="15" customHeight="1" x14ac:dyDescent="0.25">
      <c r="A43" s="250"/>
      <c r="C43" s="311"/>
      <c r="U43" s="311"/>
      <c r="AD43" s="311"/>
      <c r="AM43" s="311"/>
      <c r="BI43" s="313"/>
    </row>
    <row r="44" spans="1:61" ht="15" customHeight="1" x14ac:dyDescent="0.25">
      <c r="A44" s="250"/>
      <c r="C44" s="311"/>
      <c r="U44" s="311"/>
      <c r="AD44" s="311"/>
      <c r="AM44" s="311"/>
      <c r="BI44" s="313"/>
    </row>
    <row r="45" spans="1:61" ht="15" customHeight="1" x14ac:dyDescent="0.25">
      <c r="A45" s="250"/>
      <c r="C45" s="311"/>
      <c r="U45" s="311"/>
      <c r="AD45" s="311"/>
      <c r="AM45" s="311"/>
      <c r="BI45" s="313"/>
    </row>
    <row r="46" spans="1:61" ht="15" customHeight="1" x14ac:dyDescent="0.25">
      <c r="A46" s="250"/>
      <c r="C46" s="311"/>
      <c r="U46" s="311"/>
      <c r="AD46" s="311"/>
      <c r="AM46" s="311"/>
      <c r="BI46" s="313"/>
    </row>
    <row r="47" spans="1:61" ht="15" customHeight="1" x14ac:dyDescent="0.25">
      <c r="A47" s="250"/>
      <c r="C47" s="311"/>
      <c r="U47" s="311"/>
      <c r="AD47" s="311"/>
      <c r="AM47" s="311"/>
      <c r="BI47" s="313"/>
    </row>
    <row r="48" spans="1:61" ht="15" customHeight="1" x14ac:dyDescent="0.25">
      <c r="A48" s="250"/>
      <c r="C48" s="311"/>
      <c r="U48" s="311"/>
      <c r="AD48" s="311"/>
      <c r="AM48" s="311"/>
      <c r="BI48" s="313"/>
    </row>
    <row r="49" spans="1:63" ht="15" customHeight="1" x14ac:dyDescent="0.25">
      <c r="A49" s="250"/>
      <c r="C49" s="311"/>
      <c r="U49" s="311"/>
      <c r="AD49" s="311"/>
      <c r="AM49" s="311"/>
      <c r="BI49" s="313"/>
    </row>
    <row r="50" spans="1:63" ht="15" customHeight="1" x14ac:dyDescent="0.25">
      <c r="A50" s="250"/>
      <c r="C50" s="311"/>
      <c r="U50" s="311"/>
      <c r="AD50" s="311"/>
      <c r="AM50" s="311"/>
      <c r="BI50" s="313"/>
    </row>
    <row r="51" spans="1:63" ht="15" customHeight="1" x14ac:dyDescent="0.25">
      <c r="A51" s="250"/>
      <c r="C51" s="311"/>
      <c r="U51" s="311"/>
      <c r="AD51" s="311"/>
      <c r="AM51" s="311"/>
      <c r="BI51" s="313"/>
    </row>
    <row r="52" spans="1:63" ht="15" customHeight="1" x14ac:dyDescent="0.25">
      <c r="A52" s="250"/>
      <c r="C52" s="311"/>
      <c r="U52" s="311"/>
      <c r="AD52" s="311"/>
      <c r="AM52" s="311"/>
      <c r="BI52" s="313"/>
    </row>
    <row r="53" spans="1:63" ht="15" customHeight="1" x14ac:dyDescent="0.25">
      <c r="A53" s="250"/>
      <c r="C53" s="311"/>
      <c r="U53" s="311"/>
      <c r="AD53" s="311"/>
      <c r="AM53" s="311"/>
      <c r="BI53" s="313"/>
    </row>
    <row r="54" spans="1:63" ht="15" customHeight="1" x14ac:dyDescent="0.25">
      <c r="A54" s="250"/>
      <c r="C54" s="311"/>
      <c r="U54" s="311"/>
      <c r="AD54" s="311"/>
      <c r="AM54" s="311"/>
      <c r="BI54" s="313"/>
    </row>
    <row r="55" spans="1:63" ht="15" customHeight="1" x14ac:dyDescent="0.25">
      <c r="A55" s="247"/>
      <c r="B55" s="325"/>
      <c r="C55" s="248"/>
      <c r="D55" s="248"/>
      <c r="E55" s="248"/>
      <c r="F55" s="248"/>
      <c r="G55" s="248"/>
      <c r="H55" s="248"/>
      <c r="I55" s="248"/>
      <c r="J55" s="248"/>
      <c r="K55" s="248"/>
      <c r="L55" s="248"/>
      <c r="M55" s="248"/>
      <c r="N55" s="248"/>
      <c r="O55" s="248"/>
      <c r="P55" s="248"/>
      <c r="Q55" s="248"/>
      <c r="R55" s="248"/>
      <c r="S55" s="248"/>
      <c r="T55" s="248"/>
      <c r="U55" s="325"/>
      <c r="V55" s="248"/>
      <c r="W55" s="248"/>
      <c r="X55" s="248"/>
      <c r="Y55" s="248"/>
      <c r="Z55" s="248"/>
      <c r="AA55" s="248"/>
      <c r="AB55" s="248"/>
      <c r="AC55" s="248"/>
      <c r="AD55" s="325"/>
      <c r="AE55" s="248"/>
      <c r="AF55" s="248"/>
      <c r="AG55" s="248"/>
      <c r="AH55" s="248"/>
      <c r="AI55" s="248"/>
      <c r="AJ55" s="248"/>
      <c r="AK55" s="248"/>
      <c r="AL55" s="248"/>
      <c r="AM55" s="325"/>
      <c r="AN55" s="248"/>
      <c r="AO55" s="248"/>
      <c r="AP55" s="248"/>
      <c r="AQ55" s="248"/>
      <c r="AR55" s="248"/>
      <c r="AS55" s="248"/>
      <c r="AT55" s="248"/>
      <c r="AU55" s="248"/>
      <c r="AV55" s="248"/>
      <c r="AW55" s="248"/>
      <c r="AX55" s="248"/>
      <c r="AY55" s="248"/>
      <c r="AZ55" s="248"/>
      <c r="BA55" s="248"/>
      <c r="BB55" s="248"/>
      <c r="BC55" s="248"/>
      <c r="BD55" s="248"/>
      <c r="BE55" s="248"/>
      <c r="BF55" s="248"/>
      <c r="BG55" s="248"/>
      <c r="BH55" s="248"/>
      <c r="BI55" s="349"/>
      <c r="BJ55" s="248"/>
      <c r="BK55" s="249"/>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表紙</vt:lpstr>
      <vt:lpstr>改訂履歴</vt:lpstr>
      <vt:lpstr>指摘履歴</vt:lpstr>
      <vt:lpstr>業務フロー</vt:lpstr>
      <vt:lpstr>機能概要説明</vt:lpstr>
      <vt:lpstr>機能概要</vt:lpstr>
      <vt:lpstr>画面設計書</vt:lpstr>
      <vt:lpstr>テンプレート</vt:lpstr>
      <vt:lpstr>テンプレート!Print_Area</vt:lpstr>
      <vt:lpstr>指摘履歴!Print_Area</vt:lpstr>
      <vt:lpstr>改訂履歴!Print_Area</vt:lpstr>
      <vt:lpstr>機能概要!Print_Area</vt:lpstr>
      <vt:lpstr>機能概要説明!Print_Area</vt:lpstr>
      <vt:lpstr>表紙!Print_Area</vt:lpstr>
      <vt:lpstr>テンプレート!Print_Titles</vt:lpstr>
      <vt:lpstr>指摘履歴!Print_Titles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2024-09-11T08:19:51Z</dcterms:modified>
  <cp:category/>
  <cp:contentStatus/>
</cp:coreProperties>
</file>