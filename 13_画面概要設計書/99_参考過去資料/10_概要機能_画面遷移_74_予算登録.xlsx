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5CC689C0-E08C-491C-9E4D-5FEE7CDE73E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指摘履歴" sheetId="9" r:id="rId3"/>
    <sheet name="業務フロー" sheetId="6" r:id="rId4"/>
    <sheet name="機能概要説明" sheetId="8" r:id="rId5"/>
    <sheet name="機能概要" sheetId="5" r:id="rId6"/>
    <sheet name="画面設計書" sheetId="7" r:id="rId7"/>
    <sheet name="テンプレート" sheetId="2" r:id="rId8"/>
  </sheets>
  <definedNames>
    <definedName name="_xlnm.Print_Area" localSheetId="7">テンプレート!$A$1:$BK$55</definedName>
    <definedName name="_xlnm.Print_Area" localSheetId="2">指摘履歴!$A$1:$BK$55</definedName>
    <definedName name="_xlnm.Print_Area" localSheetId="1">改訂履歴!$A$1:$BK$55</definedName>
    <definedName name="_xlnm.Print_Area" localSheetId="5">機能概要!$A$1:$BK$123</definedName>
    <definedName name="_xlnm.Print_Area" localSheetId="4">機能概要説明!$A$1:$BK$57</definedName>
    <definedName name="_xlnm.Print_Area" localSheetId="0">表紙!$A$1:$BK$55</definedName>
    <definedName name="_xlnm.Print_Titles" localSheetId="7">テンプレート!$1:$5</definedName>
    <definedName name="_xlnm.Print_Titles" localSheetId="2">指摘履歴!$1:$5</definedName>
    <definedName name="_xlnm.Print_Titles" localSheetId="1">改訂履歴!$1:$5</definedName>
    <definedName name="_xlnm.Print_Titles" localSheetId="3">業務フロー!$1:$5</definedName>
    <definedName name="_xlnm.Print_Titles" localSheetId="5">機能概要!$1:$5</definedName>
    <definedName name="_xlnm.Print_Titles" localSheetId="4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2" l="1"/>
  <c r="Z4" i="2"/>
  <c r="H4" i="2"/>
  <c r="K2" i="2"/>
  <c r="A2" i="2"/>
  <c r="W1" i="2"/>
  <c r="AP4" i="7"/>
  <c r="Z4" i="7"/>
  <c r="H4" i="7"/>
  <c r="AT2" i="7"/>
  <c r="K2" i="7"/>
  <c r="A2" i="7"/>
  <c r="W1" i="7"/>
  <c r="BM8" i="5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BM84" i="5" s="1"/>
  <c r="BM85" i="5" s="1"/>
  <c r="BM86" i="5" s="1"/>
  <c r="BM87" i="5" s="1"/>
  <c r="BM88" i="5" s="1"/>
  <c r="BM89" i="5" s="1"/>
  <c r="BM90" i="5" s="1"/>
  <c r="BM91" i="5" s="1"/>
  <c r="BM92" i="5" s="1"/>
  <c r="BM93" i="5" s="1"/>
  <c r="BM94" i="5" s="1"/>
  <c r="BM95" i="5" s="1"/>
  <c r="BM96" i="5" s="1"/>
  <c r="BM97" i="5" s="1"/>
  <c r="BM98" i="5" s="1"/>
  <c r="BM99" i="5" s="1"/>
  <c r="BM100" i="5" s="1"/>
  <c r="BM101" i="5" s="1"/>
  <c r="BM102" i="5" s="1"/>
  <c r="BM103" i="5" s="1"/>
  <c r="BM104" i="5" s="1"/>
  <c r="BM105" i="5" s="1"/>
  <c r="BM106" i="5" s="1"/>
  <c r="BM107" i="5" s="1"/>
  <c r="BM108" i="5" s="1"/>
  <c r="BM109" i="5" s="1"/>
  <c r="BM110" i="5" s="1"/>
  <c r="BM111" i="5" s="1"/>
  <c r="BM112" i="5" s="1"/>
  <c r="BM113" i="5" s="1"/>
  <c r="BM114" i="5" s="1"/>
  <c r="BM115" i="5" s="1"/>
  <c r="BM116" i="5" s="1"/>
  <c r="BM117" i="5" s="1"/>
  <c r="BM118" i="5" s="1"/>
  <c r="BM119" i="5" s="1"/>
  <c r="BM120" i="5" s="1"/>
  <c r="BM121" i="5" s="1"/>
  <c r="BM122" i="5" s="1"/>
  <c r="BM123" i="5" s="1"/>
  <c r="AP4" i="5" a="1"/>
  <c r="AP4" i="5" s="1"/>
  <c r="Z4" i="5"/>
  <c r="H4" i="5"/>
  <c r="AT2" i="5"/>
  <c r="K2" i="5"/>
  <c r="A2" i="5"/>
  <c r="W1" i="5"/>
  <c r="BM10" i="8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BM8" i="8"/>
  <c r="BM9" i="8" s="1"/>
  <c r="BM7" i="8"/>
  <c r="AP4" i="8" a="1"/>
  <c r="AP4" i="8" s="1"/>
  <c r="Z4" i="8"/>
  <c r="H4" i="8"/>
  <c r="AP2" i="8"/>
  <c r="K2" i="8"/>
  <c r="A2" i="8"/>
  <c r="W1" i="8"/>
  <c r="AP4" i="6" a="1"/>
  <c r="AP4" i="6" s="1"/>
  <c r="Z4" i="6"/>
  <c r="H4" i="6"/>
  <c r="K2" i="6"/>
  <c r="A2" i="6"/>
  <c r="W1" i="6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8" s="1"/>
  <c r="BC2" i="4"/>
  <c r="AY2" i="4"/>
  <c r="AY2" i="6" s="1"/>
  <c r="AT2" i="4"/>
  <c r="AT2" i="8" s="1"/>
  <c r="AP2" i="4"/>
  <c r="BC2" i="2" l="1"/>
  <c r="BC2" i="8"/>
  <c r="BC2" i="6"/>
  <c r="BC2" i="7"/>
  <c r="BC2" i="5"/>
  <c r="BC2" i="3"/>
  <c r="AP2" i="6"/>
  <c r="AP2" i="3"/>
  <c r="AP2" i="7"/>
  <c r="AP2" i="5"/>
  <c r="AP2" i="2"/>
  <c r="AY2" i="7"/>
  <c r="AY2" i="5"/>
  <c r="AY2" i="2"/>
  <c r="AY2" i="3"/>
  <c r="BH2" i="3"/>
  <c r="BH2" i="7"/>
  <c r="BH2" i="5"/>
  <c r="BH2" i="2"/>
  <c r="BH2" i="6"/>
  <c r="AY2" i="8"/>
  <c r="AT2" i="2"/>
</calcChain>
</file>

<file path=xl/sharedStrings.xml><?xml version="1.0" encoding="utf-8"?>
<sst xmlns="http://schemas.openxmlformats.org/spreadsheetml/2006/main" count="231" uniqueCount="93">
  <si>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</si>
  <si>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</si>
  <si>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</si>
  <si>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</si>
  <si>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</si>
  <si>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</si>
  <si>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</si>
  <si>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</si>
  <si>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</si>
  <si>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</si>
  <si>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</si>
  <si>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</si>
  <si>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</si>
  <si>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概要設計</t>
    </r>
  </si>
  <si>
    <r>
      <rPr>
        <sz val="11"/>
        <color rgb="FFFFFFFF"/>
        <rFont val="Meiryo UI"/>
        <family val="3"/>
        <charset val="128"/>
      </rPr>
      <t>●1_自動釣銭機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</si>
  <si>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</si>
  <si>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</si>
  <si>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</si>
  <si>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</si>
  <si>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</si>
  <si>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</si>
  <si>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</si>
  <si>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</si>
  <si>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</si>
  <si>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</si>
  <si>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</si>
  <si>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</si>
  <si>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</si>
  <si>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Password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</si>
  <si>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</si>
  <si>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</si>
  <si>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有効</t>
    </r>
  </si>
  <si>
    <r>
      <rPr>
        <sz val="11"/>
        <color rgb="FF000000"/>
        <rFont val="Meiryo UI"/>
        <family val="2"/>
      </rPr>
      <t>Login-01/EmployeeMaster</t>
    </r>
  </si>
  <si>
    <t>`</t>
  </si>
  <si>
    <r>
      <rPr>
        <sz val="11"/>
        <color rgb="FF000000"/>
        <rFont val="Meiryo UI"/>
        <family val="2"/>
      </rPr>
      <t>TinNH</t>
    </r>
  </si>
  <si>
    <r>
      <rPr>
        <sz val="11"/>
        <color rgb="FF000000"/>
        <rFont val="Meiryo UI"/>
        <family val="2"/>
      </rPr>
      <t>部門別の月の予算リスト更新機能</t>
    </r>
  </si>
  <si>
    <r>
      <rPr>
        <sz val="11"/>
        <color rgb="FF000000"/>
        <rFont val="Meiryo UI"/>
        <family val="2"/>
      </rPr>
      <t>予算登録機能では次のことが可能になる。</t>
    </r>
  </si>
  <si>
    <r>
      <rPr>
        <sz val="11"/>
        <color rgb="FF000000"/>
        <rFont val="Meiryo UI"/>
        <family val="2"/>
      </rPr>
      <t>当月と来月の部門ごとの予算額を登録・編集する。</t>
    </r>
  </si>
  <si>
    <r>
      <rPr>
        <sz val="11"/>
        <color rgb="FF000000"/>
        <rFont val="Meiryo UI"/>
        <family val="2"/>
      </rPr>
      <t>月別または部門別の合計予算を日付ごとに表示する。</t>
    </r>
  </si>
  <si>
    <r>
      <rPr>
        <sz val="11"/>
        <color rgb="FF000000"/>
        <rFont val="Meiryo UI"/>
        <family val="2"/>
      </rPr>
      <t>#17775（2024年05月30日の議事録）による更新</t>
    </r>
  </si>
  <si>
    <r>
      <rPr>
        <sz val="11"/>
        <color rgb="FF000000"/>
        <rFont val="Meiryo UI"/>
        <family val="2"/>
      </rPr>
      <t>FC7401_予算登録機能</t>
    </r>
  </si>
  <si>
    <r>
      <rPr>
        <sz val="11"/>
        <color rgb="FF000000"/>
        <rFont val="Meiryo UI"/>
        <family val="2"/>
      </rPr>
      <t>2024年06月18日の議事録による更新</t>
    </r>
  </si>
  <si>
    <t>カスミ　佐々木</t>
    <rPh sb="4" eb="7">
      <t>ササキ</t>
    </rPh>
    <phoneticPr fontId="1"/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</si>
  <si>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</si>
  <si>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</si>
  <si>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</si>
  <si>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000000"/>
        <rFont val="Meiryo UI"/>
        <family val="2"/>
      </rPr>
      <t>■改訂履歴</t>
    </r>
  </si>
  <si>
    <t>指摘履歴</t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</si>
  <si>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</si>
  <si>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機能カテゴリ</t>
    </r>
  </si>
  <si>
    <t>佐々木</t>
  </si>
  <si>
    <t>カスミ</t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</si>
  <si>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</si>
  <si>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</si>
  <si>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</si>
  <si>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システム名</t>
    </r>
  </si>
  <si>
    <t>基本設計書</t>
  </si>
  <si>
    <t>POSサーバー</t>
  </si>
  <si>
    <t>74_予算登録</t>
  </si>
  <si>
    <t>概要設計書</t>
  </si>
  <si>
    <r>
      <rPr>
        <sz val="11"/>
        <color rgb="FF000000"/>
        <rFont val="Meiryo UI"/>
        <family val="2"/>
      </rPr>
      <t>74_予算登録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</si>
  <si>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</si>
  <si>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000000"/>
        <rFont val="Meiryo UI"/>
        <family val="2"/>
      </rPr>
      <t>TinNH</t>
    </r>
  </si>
  <si>
    <r>
      <rPr>
        <sz val="18"/>
        <color rgb="FF000000"/>
        <rFont val="Meiryo UI"/>
        <family val="2"/>
      </rPr>
      <t>基本設計書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</si>
  <si>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</si>
  <si>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</si>
  <si>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</si>
  <si>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DuNT</t>
  </si>
  <si>
    <t>店舗選択モーダルを削除する。
2024年07月24日のご指摘により更新</t>
  </si>
  <si>
    <t>機能概要</t>
  </si>
  <si>
    <t>Android POS Control</t>
  </si>
  <si>
    <t>■画面項目定義</t>
  </si>
  <si>
    <t>画面項目ID</t>
  </si>
  <si>
    <t>項目</t>
  </si>
  <si>
    <t>タイプ</t>
  </si>
  <si>
    <t>多言語対象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</si>
  <si>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</si>
  <si>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</si>
  <si>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</si>
  <si>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</si>
  <si>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</si>
  <si>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</si>
  <si>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</si>
  <si>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</si>
  <si>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</si>
  <si>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</si>
  <si>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t>User ID</t>
  </si>
  <si>
    <t>Login</t>
  </si>
  <si>
    <r>
      <rPr>
        <sz val="11"/>
        <color rgb="FFFFFFFF"/>
        <rFont val="Meiryo UI"/>
        <family val="2"/>
      </rPr>
      <t>更新内容</t>
    </r>
  </si>
  <si>
    <t>機能概要</t>
    <phoneticPr fontId="1"/>
  </si>
  <si>
    <t>設定期間は日付FROM,TOではなく当月、翌月とする。</t>
  </si>
  <si>
    <t>合計表示は【店舗月合計】、【部門別月合計】</t>
  </si>
  <si>
    <t>・【確定】押下時に更新する情報がない場合【更新データがありません。】を表示する。</t>
    <rPh sb="2" eb="4">
      <t>カクテイ</t>
    </rPh>
    <rPh sb="5" eb="8">
      <t>オウカジ</t>
    </rPh>
    <rPh sb="9" eb="11">
      <t>コウシン</t>
    </rPh>
    <rPh sb="13" eb="15">
      <t>ジョウホウ</t>
    </rPh>
    <rPh sb="18" eb="20">
      <t>バアイ</t>
    </rPh>
    <rPh sb="35" eb="37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</si>
</sst>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color rgb="FFFF0000"/>
      <name val="Meiryo UI"/>
      <family val="2"/>
      <charset val="128"/>
    </font>
    <font>
      <sz val="11"/>
      <name val="Meiryo UI"/>
      <family val="3"/>
      <charset val="128"/>
    </font>
    <font>
      <sz val="11"/>
      <color rgb="FFFFFFFF"/>
      <name val="Meiryo UI"/>
      <family val="2"/>
    </font>
    <font>
      <sz val="11"/>
      <color theme="0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3"/>
      <charset val="128"/>
    </font>
    <font>
      <sz val="11"/>
      <color rgb="FF000000"/>
      <name val="Meiryo UI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hair">
        <color auto="1"/>
      </top>
      <bottom style="thin">
        <color rgb="FF000000"/>
      </bottom>
      <diagonal/>
    </border>
    <border>
      <left/>
      <right/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auto="1"/>
      </bottom>
      <diagonal/>
    </border>
    <border>
      <left/>
      <right/>
      <top style="thin">
        <color rgb="FF000000"/>
      </top>
      <bottom style="hair">
        <color auto="1"/>
      </bottom>
      <diagonal/>
    </border>
    <border>
      <left/>
      <right style="thin">
        <color rgb="FF000000"/>
      </right>
      <top style="thin">
        <color rgb="FF000000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0" fillId="0" borderId="0">
      <alignment vertical="center"/>
    </xf>
  </cellStyleXfs>
  <cellXfs count="35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2" borderId="0" xfId="0" applyFont="1" applyFill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4" fontId="0" fillId="0" borderId="32" xfId="0" applyNumberFormat="1" applyBorder="1" applyAlignment="1">
      <alignment horizontal="center" vertical="center"/>
    </xf>
    <xf numFmtId="14" fontId="0" fillId="0" borderId="33" xfId="0" applyNumberFormat="1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37" xfId="0" applyBorder="1"/>
    <xf numFmtId="0" fontId="0" fillId="0" borderId="38" xfId="0" applyBorder="1"/>
    <xf numFmtId="0" fontId="0" fillId="0" borderId="22" xfId="0" applyBorder="1"/>
    <xf numFmtId="0" fontId="0" fillId="0" borderId="33" xfId="0" applyBorder="1"/>
    <xf numFmtId="0" fontId="0" fillId="0" borderId="27" xfId="0" applyBorder="1"/>
    <xf numFmtId="0" fontId="0" fillId="0" borderId="3" xfId="0" applyBorder="1"/>
    <xf numFmtId="0" fontId="0" fillId="0" borderId="5" xfId="0" applyBorder="1"/>
    <xf numFmtId="0" fontId="0" fillId="0" borderId="32" xfId="0" applyBorder="1"/>
    <xf numFmtId="0" fontId="0" fillId="0" borderId="2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2" fillId="2" borderId="0" xfId="0" applyFont="1" applyFill="1"/>
    <xf numFmtId="0" fontId="0" fillId="0" borderId="28" xfId="0" applyBorder="1"/>
    <xf numFmtId="0" fontId="0" fillId="0" borderId="29" xfId="0" applyBorder="1"/>
    <xf numFmtId="0" fontId="0" fillId="0" borderId="55" xfId="0" applyBorder="1"/>
    <xf numFmtId="0" fontId="0" fillId="0" borderId="46" xfId="0" applyBorder="1" applyAlignment="1">
      <alignment wrapText="1"/>
    </xf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 applyAlignment="1">
      <alignment wrapText="1"/>
    </xf>
    <xf numFmtId="0" fontId="0" fillId="0" borderId="53" xfId="0" applyBorder="1"/>
    <xf numFmtId="0" fontId="0" fillId="0" borderId="54" xfId="0" applyBorder="1"/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14" fontId="0" fillId="0" borderId="32" xfId="0" applyNumberFormat="1" applyBorder="1"/>
    <xf numFmtId="0" fontId="6" fillId="0" borderId="39" xfId="6" applyFont="1" applyBorder="1" applyAlignment="1">
      <alignment horizontal="center" vertical="center"/>
    </xf>
    <xf numFmtId="0" fontId="6" fillId="0" borderId="40" xfId="6" applyFont="1" applyBorder="1" applyAlignment="1">
      <alignment horizontal="center" vertical="center"/>
    </xf>
    <xf numFmtId="0" fontId="6" fillId="0" borderId="41" xfId="6" applyFont="1" applyBorder="1" applyAlignment="1">
      <alignment horizontal="center" vertical="center"/>
    </xf>
    <xf numFmtId="0" fontId="6" fillId="0" borderId="39" xfId="6" applyFont="1" applyBorder="1" applyAlignment="1">
      <alignment horizontal="left" vertical="center"/>
    </xf>
    <xf numFmtId="0" fontId="6" fillId="0" borderId="40" xfId="6" applyFont="1" applyBorder="1" applyAlignment="1">
      <alignment horizontal="left" vertical="center"/>
    </xf>
    <xf numFmtId="0" fontId="6" fillId="0" borderId="41" xfId="6" applyFont="1" applyBorder="1" applyAlignment="1">
      <alignment horizontal="left" vertical="center"/>
    </xf>
    <xf numFmtId="0" fontId="6" fillId="0" borderId="39" xfId="6" quotePrefix="1" applyFont="1" applyBorder="1" applyAlignment="1">
      <alignment vertical="center"/>
    </xf>
    <xf numFmtId="0" fontId="6" fillId="0" borderId="40" xfId="6" quotePrefix="1" applyFont="1" applyBorder="1" applyAlignment="1">
      <alignment vertical="center"/>
    </xf>
    <xf numFmtId="0" fontId="6" fillId="0" borderId="41" xfId="6" quotePrefix="1" applyFont="1" applyBorder="1" applyAlignment="1">
      <alignment vertical="center"/>
    </xf>
    <xf numFmtId="0" fontId="6" fillId="0" borderId="39" xfId="6" applyFont="1" applyBorder="1" applyAlignment="1">
      <alignment vertical="center"/>
    </xf>
    <xf numFmtId="0" fontId="6" fillId="0" borderId="40" xfId="6" applyFont="1" applyBorder="1" applyAlignment="1">
      <alignment vertical="center"/>
    </xf>
    <xf numFmtId="0" fontId="6" fillId="0" borderId="41" xfId="6" applyFont="1" applyBorder="1" applyAlignment="1">
      <alignment vertical="center"/>
    </xf>
    <xf numFmtId="0" fontId="7" fillId="0" borderId="39" xfId="6" quotePrefix="1" applyFont="1" applyBorder="1" applyAlignment="1">
      <alignment horizontal="center" vertical="center"/>
    </xf>
    <xf numFmtId="0" fontId="7" fillId="0" borderId="40" xfId="6" applyFont="1" applyBorder="1" applyAlignment="1">
      <alignment horizontal="center" vertical="center"/>
    </xf>
    <xf numFmtId="0" fontId="7" fillId="0" borderId="41" xfId="6" applyFont="1" applyBorder="1" applyAlignment="1">
      <alignment horizontal="center" vertical="center"/>
    </xf>
    <xf numFmtId="0" fontId="6" fillId="0" borderId="61" xfId="6" quotePrefix="1" applyFont="1" applyBorder="1" applyAlignment="1">
      <alignment horizontal="center" vertical="center"/>
    </xf>
    <xf numFmtId="0" fontId="6" fillId="0" borderId="62" xfId="6" applyFont="1" applyBorder="1" applyAlignment="1">
      <alignment horizontal="center" vertical="center"/>
    </xf>
    <xf numFmtId="0" fontId="6" fillId="0" borderId="63" xfId="6" applyFont="1" applyBorder="1" applyAlignment="1">
      <alignment horizontal="center" vertical="center"/>
    </xf>
    <xf numFmtId="0" fontId="6" fillId="0" borderId="61" xfId="6" applyFont="1" applyBorder="1" applyAlignment="1">
      <alignment horizontal="center" vertical="center"/>
    </xf>
    <xf numFmtId="0" fontId="6" fillId="0" borderId="61" xfId="6" applyFont="1" applyBorder="1" applyAlignment="1">
      <alignment horizontal="left" vertical="center"/>
    </xf>
    <xf numFmtId="0" fontId="6" fillId="0" borderId="62" xfId="6" applyFont="1" applyBorder="1" applyAlignment="1">
      <alignment horizontal="left" vertical="center"/>
    </xf>
    <xf numFmtId="0" fontId="6" fillId="0" borderId="63" xfId="6" applyFont="1" applyBorder="1" applyAlignment="1">
      <alignment horizontal="left" vertical="center"/>
    </xf>
    <xf numFmtId="0" fontId="6" fillId="0" borderId="61" xfId="6" quotePrefix="1" applyFont="1" applyBorder="1" applyAlignment="1">
      <alignment vertical="center" wrapText="1"/>
    </xf>
    <xf numFmtId="0" fontId="6" fillId="0" borderId="62" xfId="6" quotePrefix="1" applyFont="1" applyBorder="1" applyAlignment="1">
      <alignment vertical="center" wrapText="1"/>
    </xf>
    <xf numFmtId="0" fontId="6" fillId="0" borderId="63" xfId="6" quotePrefix="1" applyFont="1" applyBorder="1" applyAlignment="1">
      <alignment vertical="center" wrapText="1"/>
    </xf>
    <xf numFmtId="0" fontId="6" fillId="0" borderId="61" xfId="6" applyFont="1" applyBorder="1" applyAlignment="1">
      <alignment vertical="center"/>
    </xf>
    <xf numFmtId="0" fontId="6" fillId="0" borderId="62" xfId="6" applyFont="1" applyBorder="1" applyAlignment="1">
      <alignment vertical="center"/>
    </xf>
    <xf numFmtId="0" fontId="6" fillId="0" borderId="63" xfId="6" applyFont="1" applyBorder="1" applyAlignment="1">
      <alignment vertical="center"/>
    </xf>
    <xf numFmtId="0" fontId="7" fillId="0" borderId="61" xfId="6" quotePrefix="1" applyFont="1" applyBorder="1" applyAlignment="1">
      <alignment horizontal="center" vertical="center" wrapText="1"/>
    </xf>
    <xf numFmtId="0" fontId="7" fillId="0" borderId="62" xfId="6" applyFont="1" applyBorder="1" applyAlignment="1">
      <alignment horizontal="center" vertical="center" wrapText="1"/>
    </xf>
    <xf numFmtId="0" fontId="7" fillId="0" borderId="63" xfId="6" applyFont="1" applyBorder="1" applyAlignment="1">
      <alignment horizontal="center" vertical="center" wrapText="1"/>
    </xf>
    <xf numFmtId="0" fontId="8" fillId="0" borderId="61" xfId="6" applyFont="1" applyBorder="1" applyAlignment="1">
      <alignment vertical="center" wrapText="1"/>
    </xf>
    <xf numFmtId="0" fontId="7" fillId="0" borderId="61" xfId="6" quotePrefix="1" applyFont="1" applyBorder="1" applyAlignment="1">
      <alignment horizontal="center" vertical="center"/>
    </xf>
    <xf numFmtId="0" fontId="7" fillId="0" borderId="62" xfId="6" applyFont="1" applyBorder="1" applyAlignment="1">
      <alignment horizontal="center" vertical="center"/>
    </xf>
    <xf numFmtId="0" fontId="7" fillId="0" borderId="63" xfId="6" applyFont="1" applyBorder="1" applyAlignment="1">
      <alignment horizontal="center" vertical="center"/>
    </xf>
    <xf numFmtId="0" fontId="7" fillId="0" borderId="61" xfId="6" applyFont="1" applyBorder="1" applyAlignment="1">
      <alignment horizontal="center" vertical="center"/>
    </xf>
    <xf numFmtId="0" fontId="6" fillId="0" borderId="61" xfId="6" quotePrefix="1" applyFont="1" applyBorder="1" applyAlignment="1">
      <alignment vertical="center"/>
    </xf>
    <xf numFmtId="0" fontId="6" fillId="0" borderId="62" xfId="6" quotePrefix="1" applyFont="1" applyBorder="1" applyAlignment="1">
      <alignment vertical="center"/>
    </xf>
    <xf numFmtId="0" fontId="6" fillId="0" borderId="63" xfId="6" quotePrefix="1" applyFont="1" applyBorder="1" applyAlignment="1">
      <alignment vertical="center"/>
    </xf>
    <xf numFmtId="0" fontId="6" fillId="0" borderId="37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7" xfId="6" applyFont="1" applyBorder="1" applyAlignment="1">
      <alignment vertical="center"/>
    </xf>
    <xf numFmtId="0" fontId="6" fillId="0" borderId="38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7" fillId="0" borderId="37" xfId="6" applyFont="1" applyBorder="1" applyAlignment="1">
      <alignment horizontal="center" vertical="center"/>
    </xf>
    <xf numFmtId="0" fontId="6" fillId="0" borderId="38" xfId="6" applyFont="1" applyBorder="1" applyAlignment="1">
      <alignment horizontal="center" vertical="center"/>
    </xf>
    <xf numFmtId="0" fontId="7" fillId="6" borderId="34" xfId="6" applyFont="1" applyFill="1" applyBorder="1" applyAlignment="1">
      <alignment vertical="center"/>
    </xf>
    <xf numFmtId="0" fontId="6" fillId="6" borderId="35" xfId="6" applyFont="1" applyFill="1" applyBorder="1" applyAlignment="1">
      <alignment vertical="center"/>
    </xf>
    <xf numFmtId="0" fontId="6" fillId="6" borderId="36" xfId="6" applyFont="1" applyFill="1" applyBorder="1" applyAlignment="1">
      <alignment vertical="center"/>
    </xf>
    <xf numFmtId="0" fontId="7" fillId="5" borderId="34" xfId="6" applyFont="1" applyFill="1" applyBorder="1" applyAlignment="1">
      <alignment vertical="center"/>
    </xf>
    <xf numFmtId="0" fontId="6" fillId="5" borderId="35" xfId="6" applyFont="1" applyFill="1" applyBorder="1" applyAlignment="1">
      <alignment vertical="center"/>
    </xf>
    <xf numFmtId="0" fontId="6" fillId="5" borderId="36" xfId="6" applyFont="1" applyFill="1" applyBorder="1" applyAlignment="1">
      <alignment vertical="center"/>
    </xf>
    <xf numFmtId="0" fontId="7" fillId="7" borderId="32" xfId="6" applyFont="1" applyFill="1" applyBorder="1" applyAlignment="1">
      <alignment vertical="center"/>
    </xf>
    <xf numFmtId="0" fontId="6" fillId="7" borderId="33" xfId="6" applyFont="1" applyFill="1" applyBorder="1" applyAlignment="1">
      <alignment vertical="center"/>
    </xf>
    <xf numFmtId="0" fontId="6" fillId="7" borderId="27" xfId="6" applyFont="1" applyFill="1" applyBorder="1" applyAlignment="1">
      <alignment vertical="center"/>
    </xf>
    <xf numFmtId="0" fontId="6" fillId="7" borderId="1" xfId="6" applyFont="1" applyFill="1" applyBorder="1" applyAlignment="1">
      <alignment vertical="center"/>
    </xf>
    <xf numFmtId="0" fontId="6" fillId="7" borderId="0" xfId="6" applyFont="1" applyFill="1" applyAlignment="1">
      <alignment vertical="center"/>
    </xf>
    <xf numFmtId="0" fontId="6" fillId="7" borderId="4" xfId="6" applyFont="1" applyFill="1" applyBorder="1" applyAlignment="1">
      <alignment vertical="center"/>
    </xf>
    <xf numFmtId="0" fontId="6" fillId="7" borderId="2" xfId="6" applyFont="1" applyFill="1" applyBorder="1" applyAlignment="1">
      <alignment vertical="center"/>
    </xf>
    <xf numFmtId="0" fontId="6" fillId="7" borderId="3" xfId="6" applyFont="1" applyFill="1" applyBorder="1" applyAlignment="1">
      <alignment vertical="center"/>
    </xf>
    <xf numFmtId="0" fontId="6" fillId="7" borderId="5" xfId="6" applyFont="1" applyFill="1" applyBorder="1" applyAlignment="1">
      <alignment vertical="center"/>
    </xf>
    <xf numFmtId="0" fontId="7" fillId="6" borderId="34" xfId="6" applyFont="1" applyFill="1" applyBorder="1"/>
    <xf numFmtId="0" fontId="7" fillId="6" borderId="35" xfId="6" applyFont="1" applyFill="1" applyBorder="1"/>
    <xf numFmtId="0" fontId="7" fillId="6" borderId="36" xfId="6" applyFont="1" applyFill="1" applyBorder="1"/>
    <xf numFmtId="0" fontId="7" fillId="6" borderId="32" xfId="6" applyFont="1" applyFill="1" applyBorder="1" applyAlignment="1">
      <alignment vertical="center"/>
    </xf>
    <xf numFmtId="0" fontId="6" fillId="6" borderId="33" xfId="6" applyFont="1" applyFill="1" applyBorder="1" applyAlignment="1">
      <alignment vertical="center"/>
    </xf>
    <xf numFmtId="0" fontId="6" fillId="6" borderId="27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6" fillId="5" borderId="32" xfId="6" applyFont="1" applyFill="1" applyBorder="1" applyAlignment="1">
      <alignment vertical="center" wrapText="1"/>
    </xf>
    <xf numFmtId="0" fontId="6" fillId="5" borderId="2" xfId="6" applyFont="1" applyFill="1" applyBorder="1" applyAlignment="1">
      <alignment vertical="center" wrapText="1"/>
    </xf>
    <xf numFmtId="0" fontId="7" fillId="5" borderId="56" xfId="6" applyFont="1" applyFill="1" applyBorder="1" applyAlignment="1">
      <alignment vertical="center" wrapText="1"/>
    </xf>
    <xf numFmtId="0" fontId="7" fillId="5" borderId="58" xfId="6" applyFont="1" applyFill="1" applyBorder="1" applyAlignment="1">
      <alignment vertical="center" wrapText="1"/>
    </xf>
    <xf numFmtId="0" fontId="7" fillId="5" borderId="27" xfId="6" applyFont="1" applyFill="1" applyBorder="1" applyAlignment="1">
      <alignment vertical="center" wrapText="1"/>
    </xf>
    <xf numFmtId="0" fontId="7" fillId="5" borderId="5" xfId="6" applyFont="1" applyFill="1" applyBorder="1" applyAlignment="1">
      <alignment vertical="center" wrapText="1"/>
    </xf>
    <xf numFmtId="0" fontId="7" fillId="0" borderId="37" xfId="6" applyFont="1" applyBorder="1" applyAlignment="1">
      <alignment horizontal="center" vertical="center" wrapText="1"/>
    </xf>
    <xf numFmtId="0" fontId="7" fillId="0" borderId="38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7" xfId="6" applyFont="1" applyBorder="1" applyAlignment="1">
      <alignment horizontal="left" vertical="center"/>
    </xf>
    <xf numFmtId="0" fontId="6" fillId="0" borderId="38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6" fillId="0" borderId="34" xfId="6" applyFont="1" applyBorder="1" applyAlignment="1">
      <alignment horizontal="center" vertical="center"/>
    </xf>
    <xf numFmtId="0" fontId="6" fillId="0" borderId="35" xfId="6" applyFont="1" applyBorder="1" applyAlignment="1">
      <alignment horizontal="center" vertical="center"/>
    </xf>
    <xf numFmtId="0" fontId="6" fillId="0" borderId="36" xfId="6" applyFont="1" applyBorder="1" applyAlignment="1">
      <alignment horizontal="center" vertical="center"/>
    </xf>
    <xf numFmtId="0" fontId="7" fillId="0" borderId="34" xfId="6" applyFont="1" applyBorder="1" applyAlignment="1">
      <alignment horizontal="center" vertical="center"/>
    </xf>
    <xf numFmtId="0" fontId="7" fillId="4" borderId="32" xfId="6" applyFont="1" applyFill="1" applyBorder="1" applyAlignment="1">
      <alignment vertical="center" wrapText="1"/>
    </xf>
    <xf numFmtId="0" fontId="6" fillId="4" borderId="27" xfId="6" applyFont="1" applyFill="1" applyBorder="1" applyAlignment="1">
      <alignment vertical="center"/>
    </xf>
    <xf numFmtId="0" fontId="6" fillId="4" borderId="1" xfId="6" applyFont="1" applyFill="1" applyBorder="1" applyAlignment="1">
      <alignment vertical="center"/>
    </xf>
    <xf numFmtId="0" fontId="6" fillId="4" borderId="4" xfId="6" applyFont="1" applyFill="1" applyBorder="1" applyAlignment="1">
      <alignment vertical="center"/>
    </xf>
    <xf numFmtId="0" fontId="6" fillId="4" borderId="2" xfId="6" applyFont="1" applyFill="1" applyBorder="1" applyAlignment="1">
      <alignment vertical="center"/>
    </xf>
    <xf numFmtId="0" fontId="6" fillId="4" borderId="5" xfId="6" applyFont="1" applyFill="1" applyBorder="1" applyAlignment="1">
      <alignment vertical="center"/>
    </xf>
    <xf numFmtId="0" fontId="7" fillId="4" borderId="32" xfId="6" applyFont="1" applyFill="1" applyBorder="1" applyAlignment="1">
      <alignment vertical="center"/>
    </xf>
    <xf numFmtId="0" fontId="6" fillId="4" borderId="33" xfId="6" applyFont="1" applyFill="1" applyBorder="1" applyAlignment="1">
      <alignment vertical="center"/>
    </xf>
    <xf numFmtId="0" fontId="6" fillId="4" borderId="0" xfId="6" applyFont="1" applyFill="1" applyAlignment="1">
      <alignment vertical="center"/>
    </xf>
    <xf numFmtId="0" fontId="6" fillId="4" borderId="3" xfId="6" applyFont="1" applyFill="1" applyBorder="1" applyAlignment="1">
      <alignment vertical="center"/>
    </xf>
    <xf numFmtId="0" fontId="6" fillId="4" borderId="56" xfId="6" applyFont="1" applyFill="1" applyBorder="1" applyAlignment="1">
      <alignment vertical="center" shrinkToFit="1"/>
    </xf>
    <xf numFmtId="0" fontId="6" fillId="4" borderId="57" xfId="6" applyFont="1" applyFill="1" applyBorder="1" applyAlignment="1">
      <alignment vertical="center" shrinkToFit="1"/>
    </xf>
    <xf numFmtId="0" fontId="6" fillId="4" borderId="58" xfId="6" applyFont="1" applyFill="1" applyBorder="1" applyAlignment="1">
      <alignment vertical="center" shrinkToFit="1"/>
    </xf>
    <xf numFmtId="0" fontId="7" fillId="4" borderId="56" xfId="6" applyFont="1" applyFill="1" applyBorder="1" applyAlignment="1">
      <alignment vertical="center" wrapText="1"/>
    </xf>
    <xf numFmtId="0" fontId="7" fillId="4" borderId="57" xfId="6" applyFont="1" applyFill="1" applyBorder="1" applyAlignment="1">
      <alignment vertical="center" wrapText="1"/>
    </xf>
    <xf numFmtId="0" fontId="7" fillId="4" borderId="58" xfId="6" applyFont="1" applyFill="1" applyBorder="1" applyAlignment="1">
      <alignment vertical="center" wrapText="1"/>
    </xf>
    <xf numFmtId="0" fontId="6" fillId="5" borderId="59" xfId="6" applyFont="1" applyFill="1" applyBorder="1" applyAlignment="1">
      <alignment vertical="center"/>
    </xf>
    <xf numFmtId="0" fontId="7" fillId="5" borderId="60" xfId="6" applyFont="1" applyFill="1" applyBorder="1" applyAlignment="1">
      <alignment vertical="center"/>
    </xf>
    <xf numFmtId="0" fontId="6" fillId="0" borderId="32" xfId="6" applyFont="1" applyBorder="1" applyAlignment="1">
      <alignment horizontal="center" vertical="center"/>
    </xf>
    <xf numFmtId="0" fontId="6" fillId="0" borderId="33" xfId="6" applyFont="1" applyBorder="1" applyAlignment="1">
      <alignment horizontal="center" vertical="center"/>
    </xf>
    <xf numFmtId="0" fontId="6" fillId="0" borderId="27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2" fillId="2" borderId="34" xfId="0" applyFont="1" applyFill="1" applyBorder="1" applyAlignment="1">
      <alignment horizontal="center" vertical="center"/>
    </xf>
    <xf numFmtId="0" fontId="12" fillId="2" borderId="35" xfId="0" applyFont="1" applyFill="1" applyBorder="1" applyAlignment="1">
      <alignment horizontal="center" vertical="center"/>
    </xf>
    <xf numFmtId="0" fontId="12" fillId="2" borderId="36" xfId="0" applyFont="1" applyFill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5" fillId="0" borderId="0" xfId="0" applyFont="1"/>
    <xf numFmtId="0" fontId="15" fillId="0" borderId="33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5" fillId="0" borderId="32" xfId="0" applyNumberFormat="1" applyFont="1" applyBorder="1" applyAlignment="1">
      <alignment horizontal="center" vertical="center"/>
    </xf>
    <xf numFmtId="14" fontId="15" fillId="0" borderId="33" xfId="0" applyNumberFormat="1" applyFont="1" applyBorder="1" applyAlignment="1">
      <alignment horizontal="center" vertical="center"/>
    </xf>
    <xf numFmtId="14" fontId="15" fillId="0" borderId="27" xfId="0" applyNumberFormat="1" applyFont="1" applyBorder="1" applyAlignment="1">
      <alignment horizontal="center" vertical="center"/>
    </xf>
    <xf numFmtId="2" fontId="15" fillId="0" borderId="32" xfId="0" applyNumberFormat="1" applyFont="1" applyBorder="1" applyAlignment="1">
      <alignment horizontal="center" vertical="center"/>
    </xf>
    <xf numFmtId="2" fontId="15" fillId="0" borderId="33" xfId="0" applyNumberFormat="1" applyFont="1" applyBorder="1" applyAlignment="1">
      <alignment horizontal="center" vertical="center"/>
    </xf>
    <xf numFmtId="2" fontId="15" fillId="0" borderId="27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/>
    </xf>
    <xf numFmtId="14" fontId="15" fillId="0" borderId="3" xfId="0" applyNumberFormat="1" applyFont="1" applyBorder="1" applyAlignment="1">
      <alignment horizontal="center" vertical="center"/>
    </xf>
    <xf numFmtId="14" fontId="15" fillId="0" borderId="5" xfId="0" applyNumberFormat="1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2" fontId="15" fillId="0" borderId="5" xfId="0" applyNumberFormat="1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2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1" xfId="0" applyFont="1" applyBorder="1"/>
    <xf numFmtId="0" fontId="15" fillId="0" borderId="4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11" xfId="0" applyFont="1" applyBorder="1"/>
    <xf numFmtId="0" fontId="15" fillId="0" borderId="6" xfId="0" applyFont="1" applyBorder="1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12" xfId="0" applyFont="1" applyBorder="1"/>
    <xf numFmtId="0" fontId="15" fillId="0" borderId="14" xfId="0" applyFont="1" applyBorder="1"/>
    <xf numFmtId="0" fontId="15" fillId="0" borderId="15" xfId="0" applyFont="1" applyBorder="1"/>
    <xf numFmtId="0" fontId="15" fillId="0" borderId="9" xfId="0" applyFont="1" applyBorder="1"/>
    <xf numFmtId="0" fontId="15" fillId="0" borderId="10" xfId="0" applyFont="1" applyBorder="1"/>
    <xf numFmtId="0" fontId="15" fillId="0" borderId="13" xfId="0" applyFont="1" applyBorder="1"/>
    <xf numFmtId="0" fontId="12" fillId="2" borderId="32" xfId="0" applyFont="1" applyFill="1" applyBorder="1" applyAlignment="1">
      <alignment horizontal="center" vertical="center"/>
    </xf>
    <xf numFmtId="0" fontId="12" fillId="2" borderId="33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14" fontId="18" fillId="0" borderId="32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37" xfId="0" applyFont="1" applyBorder="1"/>
    <xf numFmtId="0" fontId="18" fillId="0" borderId="38" xfId="0" applyFont="1" applyBorder="1"/>
    <xf numFmtId="0" fontId="18" fillId="0" borderId="22" xfId="0" applyFont="1" applyBorder="1"/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40" xfId="0" applyFont="1" applyBorder="1" applyAlignment="1">
      <alignment vertical="top"/>
    </xf>
    <xf numFmtId="0" fontId="18" fillId="0" borderId="41" xfId="0" applyFont="1" applyBorder="1" applyAlignment="1">
      <alignment vertical="top"/>
    </xf>
    <xf numFmtId="0" fontId="18" fillId="0" borderId="39" xfId="0" applyFont="1" applyBorder="1" applyAlignment="1">
      <alignment vertical="top" wrapText="1"/>
    </xf>
    <xf numFmtId="0" fontId="0" fillId="0" borderId="0" xfId="0" applyFont="1"/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14" fontId="0" fillId="0" borderId="32" xfId="0" applyNumberFormat="1" applyFont="1" applyBorder="1" applyAlignment="1">
      <alignment horizontal="center" vertical="center"/>
    </xf>
    <xf numFmtId="14" fontId="0" fillId="0" borderId="33" xfId="0" applyNumberFormat="1" applyFont="1" applyBorder="1" applyAlignment="1">
      <alignment horizontal="center" vertical="center"/>
    </xf>
    <xf numFmtId="14" fontId="0" fillId="0" borderId="27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1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5" fillId="0" borderId="0" xfId="7" applyFont="1">
      <alignment vertical="center"/>
    </xf>
    <xf numFmtId="0" fontId="15" fillId="0" borderId="1" xfId="7" applyFont="1" applyBorder="1">
      <alignment vertical="center"/>
    </xf>
    <xf numFmtId="0" fontId="15" fillId="0" borderId="4" xfId="7" applyFont="1" applyBorder="1">
      <alignment vertical="center"/>
    </xf>
    <xf numFmtId="0" fontId="15" fillId="0" borderId="2" xfId="7" applyFont="1" applyBorder="1">
      <alignment vertical="center"/>
    </xf>
    <xf numFmtId="0" fontId="15" fillId="0" borderId="3" xfId="7" applyFont="1" applyBorder="1">
      <alignment vertical="center"/>
    </xf>
    <xf numFmtId="0" fontId="15" fillId="0" borderId="5" xfId="7" applyFont="1" applyBorder="1">
      <alignment vertical="center"/>
    </xf>
    <xf numFmtId="0" fontId="15" fillId="0" borderId="27" xfId="0" applyFont="1" applyBorder="1"/>
    <xf numFmtId="0" fontId="11" fillId="2" borderId="0" xfId="0" applyFont="1" applyFill="1" applyAlignment="1">
      <alignment vertical="center"/>
    </xf>
    <xf numFmtId="0" fontId="12" fillId="2" borderId="16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2" fillId="2" borderId="17" xfId="0" applyFont="1" applyFill="1" applyBorder="1" applyAlignment="1">
      <alignment vertical="center"/>
    </xf>
    <xf numFmtId="0" fontId="15" fillId="0" borderId="18" xfId="0" applyFont="1" applyBorder="1"/>
    <xf numFmtId="0" fontId="15" fillId="0" borderId="19" xfId="7" applyFont="1" applyBorder="1">
      <alignment vertical="center"/>
    </xf>
    <xf numFmtId="0" fontId="15" fillId="0" borderId="19" xfId="0" applyFont="1" applyBorder="1"/>
    <xf numFmtId="0" fontId="15" fillId="3" borderId="18" xfId="7" applyFont="1" applyFill="1" applyBorder="1">
      <alignment vertical="center"/>
    </xf>
    <xf numFmtId="0" fontId="15" fillId="3" borderId="0" xfId="7" applyFont="1" applyFill="1">
      <alignment vertical="center"/>
    </xf>
    <xf numFmtId="0" fontId="15" fillId="3" borderId="19" xfId="7" applyFont="1" applyFill="1" applyBorder="1">
      <alignment vertical="center"/>
    </xf>
    <xf numFmtId="0" fontId="15" fillId="0" borderId="18" xfId="7" applyFont="1" applyBorder="1">
      <alignment vertical="center"/>
    </xf>
    <xf numFmtId="0" fontId="15" fillId="0" borderId="28" xfId="7" applyFont="1" applyBorder="1">
      <alignment vertical="center"/>
    </xf>
    <xf numFmtId="0" fontId="15" fillId="0" borderId="31" xfId="7" applyFont="1" applyBorder="1">
      <alignment vertical="center"/>
    </xf>
    <xf numFmtId="0" fontId="15" fillId="0" borderId="29" xfId="7" applyFont="1" applyBorder="1">
      <alignment vertical="center"/>
    </xf>
    <xf numFmtId="0" fontId="15" fillId="0" borderId="30" xfId="7" applyFont="1" applyBorder="1">
      <alignment vertical="center"/>
    </xf>
    <xf numFmtId="0" fontId="15" fillId="0" borderId="20" xfId="7" applyFont="1" applyBorder="1">
      <alignment vertical="center"/>
    </xf>
    <xf numFmtId="0" fontId="15" fillId="0" borderId="21" xfId="7" applyFont="1" applyBorder="1">
      <alignment vertical="center"/>
    </xf>
    <xf numFmtId="0" fontId="12" fillId="2" borderId="34" xfId="6" applyFont="1" applyFill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2" fillId="2" borderId="36" xfId="6" applyFont="1" applyFill="1" applyBorder="1" applyAlignment="1">
      <alignment horizontal="center" vertical="center"/>
    </xf>
    <xf numFmtId="0" fontId="13" fillId="0" borderId="32" xfId="6" applyFont="1" applyBorder="1" applyAlignment="1">
      <alignment horizontal="center" vertical="center"/>
    </xf>
    <xf numFmtId="0" fontId="13" fillId="0" borderId="33" xfId="6" applyFont="1" applyBorder="1" applyAlignment="1">
      <alignment horizontal="center" vertical="center"/>
    </xf>
    <xf numFmtId="0" fontId="13" fillId="0" borderId="27" xfId="6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/>
    </xf>
    <xf numFmtId="0" fontId="13" fillId="0" borderId="0" xfId="6" applyFont="1" applyAlignment="1">
      <alignment horizontal="center" vertical="center"/>
    </xf>
    <xf numFmtId="0" fontId="13" fillId="0" borderId="4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3" xfId="6" applyFont="1" applyBorder="1" applyAlignment="1">
      <alignment horizontal="center" vertical="center"/>
    </xf>
    <xf numFmtId="0" fontId="13" fillId="0" borderId="5" xfId="6" applyFont="1" applyBorder="1" applyAlignment="1">
      <alignment horizontal="center" vertical="center"/>
    </xf>
    <xf numFmtId="0" fontId="15" fillId="0" borderId="0" xfId="6" applyFont="1" applyAlignment="1">
      <alignment vertical="center"/>
    </xf>
    <xf numFmtId="0" fontId="15" fillId="0" borderId="37" xfId="6" applyFont="1" applyBorder="1" applyAlignment="1">
      <alignment vertical="center" wrapText="1"/>
    </xf>
    <xf numFmtId="0" fontId="15" fillId="0" borderId="38" xfId="6" applyFont="1" applyBorder="1" applyAlignment="1">
      <alignment vertical="center" wrapText="1"/>
    </xf>
    <xf numFmtId="0" fontId="15" fillId="0" borderId="22" xfId="6" applyFont="1" applyBorder="1" applyAlignment="1">
      <alignment vertical="center" wrapText="1"/>
    </xf>
    <xf numFmtId="0" fontId="15" fillId="0" borderId="62" xfId="6" applyFont="1" applyBorder="1" applyAlignment="1">
      <alignment vertical="center"/>
    </xf>
    <xf numFmtId="0" fontId="15" fillId="0" borderId="63" xfId="6" applyFont="1" applyBorder="1" applyAlignment="1">
      <alignment vertical="center"/>
    </xf>
    <xf numFmtId="0" fontId="15" fillId="0" borderId="61" xfId="6" applyFont="1" applyBorder="1" applyAlignment="1">
      <alignment vertical="center"/>
    </xf>
    <xf numFmtId="0" fontId="15" fillId="0" borderId="28" xfId="6" quotePrefix="1" applyFont="1" applyBorder="1" applyAlignment="1">
      <alignment vertical="center"/>
    </xf>
    <xf numFmtId="0" fontId="15" fillId="0" borderId="29" xfId="6" quotePrefix="1" applyFont="1" applyBorder="1" applyAlignment="1">
      <alignment vertical="center"/>
    </xf>
    <xf numFmtId="0" fontId="15" fillId="0" borderId="55" xfId="6" quotePrefix="1" applyFont="1" applyBorder="1" applyAlignment="1">
      <alignment vertical="center"/>
    </xf>
    <xf numFmtId="0" fontId="15" fillId="0" borderId="28" xfId="6" applyFont="1" applyBorder="1" applyAlignment="1">
      <alignment vertical="center"/>
    </xf>
    <xf numFmtId="0" fontId="15" fillId="0" borderId="29" xfId="6" applyFont="1" applyBorder="1" applyAlignment="1">
      <alignment vertical="center"/>
    </xf>
    <xf numFmtId="0" fontId="15" fillId="0" borderId="55" xfId="6" applyFont="1" applyBorder="1" applyAlignment="1">
      <alignment vertical="center"/>
    </xf>
    <xf numFmtId="0" fontId="15" fillId="0" borderId="39" xfId="6" applyFont="1" applyBorder="1" applyAlignment="1">
      <alignment vertical="center"/>
    </xf>
    <xf numFmtId="0" fontId="15" fillId="0" borderId="40" xfId="6" applyFont="1" applyBorder="1" applyAlignment="1">
      <alignment vertical="center"/>
    </xf>
    <xf numFmtId="0" fontId="15" fillId="0" borderId="41" xfId="6" applyFont="1" applyBorder="1" applyAlignment="1">
      <alignment vertical="center"/>
    </xf>
    <xf numFmtId="0" fontId="15" fillId="0" borderId="20" xfId="0" applyFont="1" applyBorder="1"/>
    <xf numFmtId="0" fontId="15" fillId="0" borderId="21" xfId="0" applyFont="1" applyBorder="1"/>
    <xf numFmtId="0" fontId="12" fillId="2" borderId="0" xfId="0" applyFont="1" applyFill="1"/>
    <xf numFmtId="0" fontId="19" fillId="0" borderId="32" xfId="0" applyFont="1" applyBorder="1" applyAlignment="1">
      <alignment horizontal="center" vertical="center"/>
    </xf>
    <xf numFmtId="0" fontId="15" fillId="0" borderId="33" xfId="0" applyFont="1" applyBorder="1"/>
    <xf numFmtId="0" fontId="15" fillId="0" borderId="27" xfId="0" applyFont="1" applyBorder="1"/>
    <xf numFmtId="0" fontId="15" fillId="0" borderId="32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2" xfId="0" applyFont="1" applyBorder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/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/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最新</a:t>
          </a:r>
        </a:p>
      </xdr:txBody>
    </xdr:sp>
    <xdr:clientData/>
  </xdr:twoCellAnchor>
  <xdr:twoCellAnchor>
    <xdr:from>
      <xdr:col>41</xdr:col>
      <xdr:colOff>0</xdr:colOff>
      <xdr:row>56</xdr:row>
      <xdr:rowOff>0</xdr:rowOff>
    </xdr:from>
    <xdr:to>
      <xdr:col>61</xdr:col>
      <xdr:colOff>0</xdr:colOff>
      <xdr:row>60</xdr:row>
      <xdr:rowOff>0</xdr:rowOff>
    </xdr:to>
    <xdr:sp macro="" textlink="" fLocksText="0">
      <xdr:nvSpPr>
        <xdr:cNvPr id="30" name="吹き出し: 線 22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10934700" y="10782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他の機能部門への連携</a:t>
          </a:r>
        </a:p>
      </xdr:txBody>
    </xdr:sp>
    <xdr:clientData/>
  </xdr:twoCellAnchor>
  <xdr:twoCellAnchor>
    <xdr:from>
      <xdr:col>32</xdr:col>
      <xdr:colOff>0</xdr:colOff>
      <xdr:row>56</xdr:row>
      <xdr:rowOff>0</xdr:rowOff>
    </xdr:from>
    <xdr:to>
      <xdr:col>38</xdr:col>
      <xdr:colOff>450</xdr:colOff>
      <xdr:row>60</xdr:row>
      <xdr:rowOff>1200</xdr:rowOff>
    </xdr:to>
    <xdr:sp macro="" textlink="" fLocksText="0">
      <xdr:nvSpPr>
        <xdr:cNvPr id="31" name="四角形: 角を丸くする 21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8534400" y="10782300"/>
          <a:ext cx="1600200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112</xdr:row>
      <xdr:rowOff>1</xdr:rowOff>
    </xdr:from>
    <xdr:to>
      <xdr:col>60</xdr:col>
      <xdr:colOff>224117</xdr:colOff>
      <xdr:row>114</xdr:row>
      <xdr:rowOff>11206</xdr:rowOff>
    </xdr:to>
    <xdr:sp macro="" textlink="" fLocksText="0">
      <xdr:nvSpPr>
        <xdr:cNvPr id="189" name="吹き出し: 線 2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10134600" y="21450300"/>
          <a:ext cx="6096000" cy="390525"/>
        </a:xfrm>
        <a:prstGeom prst="borderCallout1">
          <a:avLst>
            <a:gd name="adj1" fmla="val 77072"/>
            <a:gd name="adj2" fmla="val -358"/>
            <a:gd name="adj3" fmla="val 96232"/>
            <a:gd name="adj4" fmla="val -13775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月別、部門別の予算リストをDBに更新する。</a:t>
          </a:r>
          <a:endParaRPr lang="vi-VN" altLang="ja-JP" sz="1000" b="0" i="0" u="none" baseline="0">
            <a:solidFill>
              <a:schemeClr val="tx1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11206</xdr:colOff>
      <xdr:row>36</xdr:row>
      <xdr:rowOff>0</xdr:rowOff>
    </xdr:from>
    <xdr:to>
      <xdr:col>61</xdr:col>
      <xdr:colOff>0</xdr:colOff>
      <xdr:row>39</xdr:row>
      <xdr:rowOff>0</xdr:rowOff>
    </xdr:to>
    <xdr:sp macro="" textlink="" fLocksText="0">
      <xdr:nvSpPr>
        <xdr:cNvPr id="148" name="吹き出し: 線 2">
          <a:extLst>
            <a:ext uri="{FF2B5EF4-FFF2-40B4-BE49-F238E27FC236}">
              <a16:creationId xmlns:a16="http://schemas.microsoft.com/office/drawing/2014/main" id="{00000000-0008-0000-0500-000094000000}"/>
            </a:ext>
          </a:extLst>
        </xdr:cNvPr>
        <xdr:cNvSpPr/>
      </xdr:nvSpPr>
      <xdr:spPr>
        <a:xfrm>
          <a:off x="10144125" y="6972300"/>
          <a:ext cx="6124575" cy="571500"/>
        </a:xfrm>
        <a:prstGeom prst="borderCallout1">
          <a:avLst>
            <a:gd name="adj1" fmla="val 77072"/>
            <a:gd name="adj2" fmla="val -358"/>
            <a:gd name="adj3" fmla="val 93580"/>
            <a:gd name="adj4" fmla="val -13505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部門リストを取得する。取得されたデータを使用して部門別の検索項目の存在チェックを行う。</a:t>
          </a:r>
          <a:endParaRPr lang="vi-VN" altLang="ja-JP" sz="1000" b="0" i="0" u="none" baseline="0">
            <a:solidFill>
              <a:schemeClr val="tx1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234305</xdr:colOff>
      <xdr:row>15</xdr:row>
      <xdr:rowOff>0</xdr:rowOff>
    </xdr:from>
    <xdr:to>
      <xdr:col>5</xdr:col>
      <xdr:colOff>1882</xdr:colOff>
      <xdr:row>18</xdr:row>
      <xdr:rowOff>179294</xdr:rowOff>
    </xdr:to>
    <xdr:cxnSp macro="">
      <xdr:nvCxnSpPr>
        <xdr:cNvPr id="74" name="直線矢印コネクタ 1010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CxnSpPr>
          <a:stCxn id="80" idx="2"/>
          <a:endCxn id="81" idx="0"/>
        </xdr:cNvCxnSpPr>
      </xdr:nvCxnSpPr>
      <xdr:spPr>
        <a:xfrm>
          <a:off x="1304925" y="2971800"/>
          <a:ext cx="28575" cy="7524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11206</xdr:colOff>
      <xdr:row>24</xdr:row>
      <xdr:rowOff>0</xdr:rowOff>
    </xdr:from>
    <xdr:to>
      <xdr:col>61</xdr:col>
      <xdr:colOff>0</xdr:colOff>
      <xdr:row>29</xdr:row>
      <xdr:rowOff>11206</xdr:rowOff>
    </xdr:to>
    <xdr:sp macro="" textlink="" fLocksText="0">
      <xdr:nvSpPr>
        <xdr:cNvPr id="77" name="吹き出し: 線 2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SpPr/>
      </xdr:nvSpPr>
      <xdr:spPr>
        <a:xfrm>
          <a:off x="10144125" y="4686300"/>
          <a:ext cx="6124575" cy="962025"/>
        </a:xfrm>
        <a:prstGeom prst="borderCallout1">
          <a:avLst>
            <a:gd name="adj1" fmla="val 49927"/>
            <a:gd name="adj2" fmla="val -182"/>
            <a:gd name="adj3" fmla="val 28746"/>
            <a:gd name="adj4" fmla="val -13550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00_共通のフローをご参照ください。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1つの店舗のみ選択可能。店舗が選択された場合にのみ、画面の項目を操作可能とする。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任意の店舗を選択すると、部門一覧を取得する。</a:t>
          </a:r>
        </a:p>
      </xdr:txBody>
    </xdr:sp>
    <xdr:clientData/>
  </xdr:twoCellAnchor>
  <xdr:twoCellAnchor>
    <xdr:from>
      <xdr:col>38</xdr:col>
      <xdr:colOff>11206</xdr:colOff>
      <xdr:row>45</xdr:row>
      <xdr:rowOff>0</xdr:rowOff>
    </xdr:from>
    <xdr:to>
      <xdr:col>61</xdr:col>
      <xdr:colOff>0</xdr:colOff>
      <xdr:row>103</xdr:row>
      <xdr:rowOff>0</xdr:rowOff>
    </xdr:to>
    <xdr:sp macro="" textlink="" fLocksText="0">
      <xdr:nvSpPr>
        <xdr:cNvPr id="78" name="吹き出し: 線 2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SpPr/>
      </xdr:nvSpPr>
      <xdr:spPr>
        <a:xfrm>
          <a:off x="10144125" y="8686800"/>
          <a:ext cx="6124575" cy="11049000"/>
        </a:xfrm>
        <a:prstGeom prst="borderCallout1">
          <a:avLst>
            <a:gd name="adj1" fmla="val 26279"/>
            <a:gd name="adj2" fmla="val 474"/>
            <a:gd name="adj3" fmla="val 18900"/>
            <a:gd name="adj4" fmla="val -13318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初期表示：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 [設定月]：売上設定予定月を選択するドロップダウンリスト。デフォルト値：現在月。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ドロップダウンリストの選択肢：当月、翌月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・[部門]：売上を設定する部門の条件入力テキストボックス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デフォルト値：ブランク  ・ [部門名称]: 入力テキストボックスに従う部門名称表示。デフォルト値：ブランク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結果エリア：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・[月の予算リスト] :表示しない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・[店舗月合計]、【部門別月合計】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：該当する金額を千円（千円）単位で表示する。デフォルト値：ブランク(末登録の場合、「0」を表示する)。</a:t>
          </a: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画面のロジック：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・[設定月]: タッチすると、ドロップダウンリストを表示する。「月間予算リスト」が表示されている場合は無効になる。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リストの値は当月、翌月である。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・[部門]：部門コードを入力する（数字のみ入力可能）。2桁に構成するように「0」を自動的に追加する。[月の予算リスト]が表示されている場合、無効になる。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品種名称]：KN1507_部門一覧取得機能からリスト内の商品コードが取得された場合、該当部門名称を表示する。商品コードが存在していない場合、「データが見つかりませんでした。」メッセージ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 [月の予算リスト]: 日付別[部門]の予算を表示する。リスト内の各レコードには以下が含まれている。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‣[日付]: ラベルを日付として表示する。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‣[曜日]: 日付に該当する選択した時間帯に従って曜日を表示する。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‣[予算額（千円]：予算額を表示するテキストボックス。編集可能(過去の日付の場合にも編集可能)。初期表示には以前に保存された予算を表示し、以前に登録されていない場合はブランクを表示する。数字のみ入力可能、最大6桁入力可能。フォーカスアウト時、xxx,xxxの形式で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結果リストのレコードは、選択された月の日数を十分に表示する。月の日数に該当するレコード数を表示する（31日の月、通常の2月、閏年の2月も含む）。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結果リストの下には以下の2つの項目も表示する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・[店舗月合計]: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選択された期間内に全ての部門で使用された予算の総額。データのみを表示するテキストボックスである。表示単位：千円。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・[部門別月合計]：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選択された月の選択されている部門に対する予算の総額。データのみを表示するテキストボックスである。表示単位：千円。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・[F12:検索]ボタン：KN7401_月と部門別予算リスト取得機能を実行する。データが取得できない場合、「データが見つかりませんでした。」を表示する。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・[F4: クリア]ボタン：SC7401_月と部門別予算リスト画面に戻る。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・[F9:確定]ボタンをタッチすると、KN7402_月と部門別予算更新機能を実行する。更新後、「月の予算リスト」を非表示にし、同時に[部門]と[設定月] を有効にする。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このボタンはデータに変更がない場合、無効になる。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</a:t>
          </a:r>
        </a:p>
      </xdr:txBody>
    </xdr:sp>
    <xdr:clientData/>
  </xdr:twoCellAnchor>
  <xdr:twoCellAnchor>
    <xdr:from>
      <xdr:col>1</xdr:col>
      <xdr:colOff>217714</xdr:colOff>
      <xdr:row>8</xdr:row>
      <xdr:rowOff>0</xdr:rowOff>
    </xdr:from>
    <xdr:to>
      <xdr:col>7</xdr:col>
      <xdr:colOff>213949</xdr:colOff>
      <xdr:row>12</xdr:row>
      <xdr:rowOff>1200</xdr:rowOff>
    </xdr:to>
    <xdr:sp macro="" textlink="" fLocksText="0">
      <xdr:nvSpPr>
        <xdr:cNvPr id="79" name="四角形: 角を丸くする 21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SpPr/>
      </xdr:nvSpPr>
      <xdr:spPr>
        <a:xfrm>
          <a:off x="485775" y="1638300"/>
          <a:ext cx="1590675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1</xdr:col>
      <xdr:colOff>217714</xdr:colOff>
      <xdr:row>12</xdr:row>
      <xdr:rowOff>0</xdr:rowOff>
    </xdr:from>
    <xdr:to>
      <xdr:col>8</xdr:col>
      <xdr:colOff>15572</xdr:colOff>
      <xdr:row>15</xdr:row>
      <xdr:rowOff>0</xdr:rowOff>
    </xdr:to>
    <xdr:sp macro="" textlink="" fLocksText="0">
      <xdr:nvSpPr>
        <xdr:cNvPr id="80" name="四角形: 角を丸くする 1101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SpPr/>
      </xdr:nvSpPr>
      <xdr:spPr>
        <a:xfrm>
          <a:off x="485775" y="2400300"/>
          <a:ext cx="1666875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74_予算登録</a:t>
          </a:r>
        </a:p>
      </xdr:txBody>
    </xdr:sp>
    <xdr:clientData/>
  </xdr:twoCellAnchor>
  <xdr:twoCellAnchor>
    <xdr:from>
      <xdr:col>2</xdr:col>
      <xdr:colOff>3765</xdr:colOff>
      <xdr:row>18</xdr:row>
      <xdr:rowOff>179294</xdr:rowOff>
    </xdr:from>
    <xdr:to>
      <xdr:col>8</xdr:col>
      <xdr:colOff>0</xdr:colOff>
      <xdr:row>23</xdr:row>
      <xdr:rowOff>0</xdr:rowOff>
    </xdr:to>
    <xdr:sp macro="" textlink="" fLocksText="0">
      <xdr:nvSpPr>
        <xdr:cNvPr id="81" name="正方形/長方形 1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SpPr/>
      </xdr:nvSpPr>
      <xdr:spPr>
        <a:xfrm>
          <a:off x="533400" y="3724275"/>
          <a:ext cx="1600200" cy="7715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SC7401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予算登録画面</a:t>
          </a:r>
        </a:p>
      </xdr:txBody>
    </xdr:sp>
    <xdr:clientData/>
  </xdr:twoCellAnchor>
  <xdr:twoCellAnchor>
    <xdr:from>
      <xdr:col>4</xdr:col>
      <xdr:colOff>234306</xdr:colOff>
      <xdr:row>23</xdr:row>
      <xdr:rowOff>0</xdr:rowOff>
    </xdr:from>
    <xdr:to>
      <xdr:col>5</xdr:col>
      <xdr:colOff>1882</xdr:colOff>
      <xdr:row>25</xdr:row>
      <xdr:rowOff>13607</xdr:rowOff>
    </xdr:to>
    <xdr:cxnSp macro="">
      <xdr:nvCxnSpPr>
        <xdr:cNvPr id="83" name="直線矢印コネクタ 1010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CxnSpPr>
          <a:stCxn id="81" idx="2"/>
          <a:endCxn id="88" idx="0"/>
        </xdr:cNvCxnSpPr>
      </xdr:nvCxnSpPr>
      <xdr:spPr>
        <a:xfrm flipH="1">
          <a:off x="1304925" y="4495800"/>
          <a:ext cx="28575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224846</xdr:colOff>
      <xdr:row>25</xdr:row>
      <xdr:rowOff>13607</xdr:rowOff>
    </xdr:from>
    <xdr:to>
      <xdr:col>7</xdr:col>
      <xdr:colOff>8441</xdr:colOff>
      <xdr:row>25</xdr:row>
      <xdr:rowOff>179294</xdr:rowOff>
    </xdr:to>
    <xdr:sp macro="" textlink="" fLocksText="0">
      <xdr:nvSpPr>
        <xdr:cNvPr id="88" name="四角形: 角を丸くする 1101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SpPr/>
      </xdr:nvSpPr>
      <xdr:spPr>
        <a:xfrm>
          <a:off x="762000" y="4886325"/>
          <a:ext cx="1114425" cy="17145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</xdr:col>
      <xdr:colOff>224117</xdr:colOff>
      <xdr:row>53</xdr:row>
      <xdr:rowOff>179294</xdr:rowOff>
    </xdr:from>
    <xdr:to>
      <xdr:col>7</xdr:col>
      <xdr:colOff>220352</xdr:colOff>
      <xdr:row>57</xdr:row>
      <xdr:rowOff>179294</xdr:rowOff>
    </xdr:to>
    <xdr:sp macro="" textlink="" fLocksText="0">
      <xdr:nvSpPr>
        <xdr:cNvPr id="92" name="正方形/長方形 1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SpPr/>
      </xdr:nvSpPr>
      <xdr:spPr>
        <a:xfrm>
          <a:off x="495300" y="10391775"/>
          <a:ext cx="1590675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SC7401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sz="1000" b="0" i="0" baseline="0">
              <a:solidFill>
                <a:schemeClr val="tx1">
                  <a:lumMod val="95000"/>
                  <a:lumOff val="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月と部門別予算リスト画面</a:t>
          </a:r>
        </a:p>
      </xdr:txBody>
    </xdr:sp>
    <xdr:clientData/>
  </xdr:twoCellAnchor>
  <xdr:twoCellAnchor>
    <xdr:from>
      <xdr:col>4</xdr:col>
      <xdr:colOff>222235</xdr:colOff>
      <xdr:row>57</xdr:row>
      <xdr:rowOff>179294</xdr:rowOff>
    </xdr:from>
    <xdr:to>
      <xdr:col>4</xdr:col>
      <xdr:colOff>229722</xdr:colOff>
      <xdr:row>60</xdr:row>
      <xdr:rowOff>0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CxnSpPr>
          <a:stCxn id="92" idx="2"/>
          <a:endCxn id="96" idx="0"/>
        </xdr:cNvCxnSpPr>
      </xdr:nvCxnSpPr>
      <xdr:spPr>
        <a:xfrm>
          <a:off x="1285875" y="11153775"/>
          <a:ext cx="9525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60</xdr:row>
      <xdr:rowOff>0</xdr:rowOff>
    </xdr:from>
    <xdr:to>
      <xdr:col>6</xdr:col>
      <xdr:colOff>224119</xdr:colOff>
      <xdr:row>62</xdr:row>
      <xdr:rowOff>11209</xdr:rowOff>
    </xdr:to>
    <xdr:sp macro="" textlink="" fLocksText="0">
      <xdr:nvSpPr>
        <xdr:cNvPr id="96" name="四角形: 角を丸くする 1101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SpPr/>
      </xdr:nvSpPr>
      <xdr:spPr>
        <a:xfrm>
          <a:off x="800100" y="11544300"/>
          <a:ext cx="1028700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F12:検索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11212</xdr:colOff>
      <xdr:row>60</xdr:row>
      <xdr:rowOff>11206</xdr:rowOff>
    </xdr:from>
    <xdr:to>
      <xdr:col>14</xdr:col>
      <xdr:colOff>1</xdr:colOff>
      <xdr:row>62</xdr:row>
      <xdr:rowOff>22415</xdr:rowOff>
    </xdr:to>
    <xdr:sp macro="" textlink="" fLocksText="0">
      <xdr:nvSpPr>
        <xdr:cNvPr id="97" name="四角形: 角を丸くする 1101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SpPr/>
      </xdr:nvSpPr>
      <xdr:spPr>
        <a:xfrm>
          <a:off x="2676525" y="11553825"/>
          <a:ext cx="1057275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F4：クリア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222235</xdr:colOff>
      <xdr:row>57</xdr:row>
      <xdr:rowOff>179294</xdr:rowOff>
    </xdr:from>
    <xdr:to>
      <xdr:col>12</xdr:col>
      <xdr:colOff>5607</xdr:colOff>
      <xdr:row>60</xdr:row>
      <xdr:rowOff>11206</xdr:rowOff>
    </xdr:to>
    <xdr:cxnSp macro="">
      <xdr:nvCxnSpPr>
        <xdr:cNvPr id="98" name="Connector: Elbow 97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CxnSpPr>
          <a:stCxn id="92" idx="2"/>
          <a:endCxn id="97" idx="0"/>
        </xdr:cNvCxnSpPr>
      </xdr:nvCxnSpPr>
      <xdr:spPr>
        <a:xfrm rot="16200000" flipH="1">
          <a:off x="1285875" y="11153775"/>
          <a:ext cx="1924050" cy="40005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224118</xdr:colOff>
      <xdr:row>62</xdr:row>
      <xdr:rowOff>11209</xdr:rowOff>
    </xdr:from>
    <xdr:to>
      <xdr:col>4</xdr:col>
      <xdr:colOff>229722</xdr:colOff>
      <xdr:row>67</xdr:row>
      <xdr:rowOff>0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CxnSpPr>
          <a:stCxn id="96" idx="2"/>
          <a:endCxn id="108" idx="0"/>
        </xdr:cNvCxnSpPr>
      </xdr:nvCxnSpPr>
      <xdr:spPr>
        <a:xfrm flipH="1">
          <a:off x="1295400" y="11934825"/>
          <a:ext cx="0" cy="9429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33</xdr:row>
      <xdr:rowOff>0</xdr:rowOff>
    </xdr:to>
    <xdr:sp macro="" textlink="" fLocksText="0">
      <xdr:nvSpPr>
        <xdr:cNvPr id="100" name="Rectangle: Rounded Corners 99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SpPr/>
      </xdr:nvSpPr>
      <xdr:spPr>
        <a:xfrm>
          <a:off x="266700" y="6210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74</a:t>
          </a:r>
        </a:p>
      </xdr:txBody>
    </xdr:sp>
    <xdr:clientData/>
  </xdr:twoCellAnchor>
  <xdr:twoCellAnchor>
    <xdr:from>
      <xdr:col>3</xdr:col>
      <xdr:colOff>0</xdr:colOff>
      <xdr:row>32</xdr:row>
      <xdr:rowOff>95250</xdr:rowOff>
    </xdr:from>
    <xdr:to>
      <xdr:col>5</xdr:col>
      <xdr:colOff>0</xdr:colOff>
      <xdr:row>37</xdr:row>
      <xdr:rowOff>0</xdr:rowOff>
    </xdr:to>
    <xdr:cxnSp macro="">
      <xdr:nvCxnSpPr>
        <xdr:cNvPr id="101" name="Connector: Elbow 100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CxnSpPr>
          <a:stCxn id="100" idx="3"/>
          <a:endCxn id="135" idx="0"/>
        </xdr:cNvCxnSpPr>
      </xdr:nvCxnSpPr>
      <xdr:spPr>
        <a:xfrm>
          <a:off x="800100" y="6305550"/>
          <a:ext cx="533400" cy="857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234306</xdr:colOff>
      <xdr:row>25</xdr:row>
      <xdr:rowOff>179294</xdr:rowOff>
    </xdr:from>
    <xdr:to>
      <xdr:col>5</xdr:col>
      <xdr:colOff>0</xdr:colOff>
      <xdr:row>37</xdr:row>
      <xdr:rowOff>0</xdr:rowOff>
    </xdr:to>
    <xdr:cxnSp macro="">
      <xdr:nvCxnSpPr>
        <xdr:cNvPr id="103" name="直線矢印コネクタ 1010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CxnSpPr>
          <a:stCxn id="88" idx="2"/>
          <a:endCxn id="135" idx="0"/>
        </xdr:cNvCxnSpPr>
      </xdr:nvCxnSpPr>
      <xdr:spPr>
        <a:xfrm>
          <a:off x="1304925" y="5057775"/>
          <a:ext cx="28575" cy="2105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60</xdr:row>
      <xdr:rowOff>11206</xdr:rowOff>
    </xdr:from>
    <xdr:to>
      <xdr:col>20</xdr:col>
      <xdr:colOff>224112</xdr:colOff>
      <xdr:row>62</xdr:row>
      <xdr:rowOff>22415</xdr:rowOff>
    </xdr:to>
    <xdr:sp macro="" textlink="" fLocksText="0">
      <xdr:nvSpPr>
        <xdr:cNvPr id="105" name="四角形: 角を丸くする 1101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SpPr/>
      </xdr:nvSpPr>
      <xdr:spPr>
        <a:xfrm>
          <a:off x="4533900" y="11553825"/>
          <a:ext cx="1028700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F9:確定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222234</xdr:colOff>
      <xdr:row>57</xdr:row>
      <xdr:rowOff>179294</xdr:rowOff>
    </xdr:from>
    <xdr:to>
      <xdr:col>18</xdr:col>
      <xdr:colOff>229717</xdr:colOff>
      <xdr:row>60</xdr:row>
      <xdr:rowOff>11206</xdr:rowOff>
    </xdr:to>
    <xdr:cxnSp macro="">
      <xdr:nvCxnSpPr>
        <xdr:cNvPr id="107" name="Connector: Elbow 106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CxnSpPr>
          <a:stCxn id="92" idx="2"/>
          <a:endCxn id="105" idx="0"/>
        </xdr:cNvCxnSpPr>
      </xdr:nvCxnSpPr>
      <xdr:spPr>
        <a:xfrm rot="16200000" flipH="1">
          <a:off x="1285875" y="11153775"/>
          <a:ext cx="3743325" cy="40005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224117</xdr:colOff>
      <xdr:row>67</xdr:row>
      <xdr:rowOff>0</xdr:rowOff>
    </xdr:from>
    <xdr:to>
      <xdr:col>7</xdr:col>
      <xdr:colOff>224117</xdr:colOff>
      <xdr:row>70</xdr:row>
      <xdr:rowOff>187452</xdr:rowOff>
    </xdr:to>
    <xdr:sp macro="" textlink="" fLocksText="0">
      <xdr:nvSpPr>
        <xdr:cNvPr id="108" name="四角形: 角を丸くする 3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SpPr/>
      </xdr:nvSpPr>
      <xdr:spPr>
        <a:xfrm>
          <a:off x="495300" y="12877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KN7401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月と部門別予算リスト取得機能</a:t>
          </a:r>
        </a:p>
      </xdr:txBody>
    </xdr:sp>
    <xdr:clientData/>
  </xdr:twoCellAnchor>
  <xdr:twoCellAnchor>
    <xdr:from>
      <xdr:col>29</xdr:col>
      <xdr:colOff>11206</xdr:colOff>
      <xdr:row>67</xdr:row>
      <xdr:rowOff>0</xdr:rowOff>
    </xdr:from>
    <xdr:to>
      <xdr:col>35</xdr:col>
      <xdr:colOff>11206</xdr:colOff>
      <xdr:row>70</xdr:row>
      <xdr:rowOff>187452</xdr:rowOff>
    </xdr:to>
    <xdr:sp macro="" textlink="" fLocksText="0">
      <xdr:nvSpPr>
        <xdr:cNvPr id="109" name="フローチャート: 磁気ディスク 194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SpPr/>
      </xdr:nvSpPr>
      <xdr:spPr>
        <a:xfrm>
          <a:off x="7743825" y="12877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AP7401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予算リスト取得</a:t>
          </a:r>
        </a:p>
      </xdr:txBody>
    </xdr:sp>
    <xdr:clientData/>
  </xdr:twoCellAnchor>
  <xdr:twoCellAnchor>
    <xdr:from>
      <xdr:col>7</xdr:col>
      <xdr:colOff>224117</xdr:colOff>
      <xdr:row>68</xdr:row>
      <xdr:rowOff>188976</xdr:rowOff>
    </xdr:from>
    <xdr:to>
      <xdr:col>29</xdr:col>
      <xdr:colOff>11206</xdr:colOff>
      <xdr:row>68</xdr:row>
      <xdr:rowOff>188976</xdr:rowOff>
    </xdr:to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CxnSpPr>
          <a:stCxn id="108" idx="3"/>
          <a:endCxn id="109" idx="2"/>
        </xdr:cNvCxnSpPr>
      </xdr:nvCxnSpPr>
      <xdr:spPr>
        <a:xfrm>
          <a:off x="2095500" y="13258800"/>
          <a:ext cx="5648325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224118</xdr:colOff>
      <xdr:row>70</xdr:row>
      <xdr:rowOff>187452</xdr:rowOff>
    </xdr:from>
    <xdr:to>
      <xdr:col>4</xdr:col>
      <xdr:colOff>233441</xdr:colOff>
      <xdr:row>73</xdr:row>
      <xdr:rowOff>0</xdr:rowOff>
    </xdr:to>
    <xdr:cxnSp macro="">
      <xdr:nvCxnSpPr>
        <xdr:cNvPr id="111" name="直線矢印コネクタ 1010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CxnSpPr>
          <a:stCxn id="108" idx="2"/>
          <a:endCxn id="112" idx="0"/>
        </xdr:cNvCxnSpPr>
      </xdr:nvCxnSpPr>
      <xdr:spPr>
        <a:xfrm>
          <a:off x="1295400" y="13639800"/>
          <a:ext cx="952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73</xdr:row>
      <xdr:rowOff>0</xdr:rowOff>
    </xdr:from>
    <xdr:to>
      <xdr:col>7</xdr:col>
      <xdr:colOff>231558</xdr:colOff>
      <xdr:row>76</xdr:row>
      <xdr:rowOff>187452</xdr:rowOff>
    </xdr:to>
    <xdr:sp macro="" textlink="" fLocksText="0">
      <xdr:nvSpPr>
        <xdr:cNvPr id="112" name="正方形/長方形 1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SpPr/>
      </xdr:nvSpPr>
      <xdr:spPr>
        <a:xfrm>
          <a:off x="533400" y="14020800"/>
          <a:ext cx="15621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SC7401</a:t>
          </a:r>
          <a:endParaRPr lang="en-US" sz="10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sz="1000" b="0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月と部門別予算リスト画面</a:t>
          </a:r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6</xdr:col>
      <xdr:colOff>0</xdr:colOff>
      <xdr:row>80</xdr:row>
      <xdr:rowOff>0</xdr:rowOff>
    </xdr:to>
    <xdr:sp macro="" textlink="" fLocksText="0">
      <xdr:nvSpPr>
        <xdr:cNvPr id="113" name="Rectangle: Rounded Corners 11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SpPr/>
      </xdr:nvSpPr>
      <xdr:spPr>
        <a:xfrm>
          <a:off x="1066800" y="15163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74</a:t>
          </a:r>
        </a:p>
      </xdr:txBody>
    </xdr:sp>
    <xdr:clientData/>
  </xdr:twoCellAnchor>
  <xdr:twoCellAnchor>
    <xdr:from>
      <xdr:col>4</xdr:col>
      <xdr:colOff>233441</xdr:colOff>
      <xdr:row>76</xdr:row>
      <xdr:rowOff>187452</xdr:rowOff>
    </xdr:from>
    <xdr:to>
      <xdr:col>5</xdr:col>
      <xdr:colOff>0</xdr:colOff>
      <xdr:row>79</xdr:row>
      <xdr:rowOff>0</xdr:rowOff>
    </xdr:to>
    <xdr:cxnSp macro="">
      <xdr:nvCxnSpPr>
        <xdr:cNvPr id="114" name="直線矢印コネクタ 1010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CxnSpPr>
          <a:stCxn id="112" idx="2"/>
          <a:endCxn id="113" idx="0"/>
        </xdr:cNvCxnSpPr>
      </xdr:nvCxnSpPr>
      <xdr:spPr>
        <a:xfrm>
          <a:off x="1304925" y="14782800"/>
          <a:ext cx="2857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62</xdr:row>
      <xdr:rowOff>22415</xdr:rowOff>
    </xdr:from>
    <xdr:to>
      <xdr:col>12</xdr:col>
      <xdr:colOff>5607</xdr:colOff>
      <xdr:row>64</xdr:row>
      <xdr:rowOff>11206</xdr:rowOff>
    </xdr:to>
    <xdr:cxnSp macro="">
      <xdr:nvCxnSpPr>
        <xdr:cNvPr id="117" name="直線矢印コネクタ 1010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CxnSpPr>
          <a:stCxn id="97" idx="2"/>
          <a:endCxn id="118" idx="0"/>
        </xdr:cNvCxnSpPr>
      </xdr:nvCxnSpPr>
      <xdr:spPr>
        <a:xfrm flipH="1">
          <a:off x="3200400" y="11944350"/>
          <a:ext cx="9525" cy="3714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235323</xdr:colOff>
      <xdr:row>64</xdr:row>
      <xdr:rowOff>11206</xdr:rowOff>
    </xdr:from>
    <xdr:to>
      <xdr:col>12</xdr:col>
      <xdr:colOff>235323</xdr:colOff>
      <xdr:row>65</xdr:row>
      <xdr:rowOff>11206</xdr:rowOff>
    </xdr:to>
    <xdr:sp macro="" textlink="" fLocksText="0">
      <xdr:nvSpPr>
        <xdr:cNvPr id="118" name="Rectangle: Rounded Corners 117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SpPr/>
      </xdr:nvSpPr>
      <xdr:spPr>
        <a:xfrm>
          <a:off x="2905125" y="12315825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74.1</a:t>
          </a:r>
        </a:p>
      </xdr:txBody>
    </xdr:sp>
    <xdr:clientData/>
  </xdr:twoCellAnchor>
  <xdr:twoCellAnchor>
    <xdr:from>
      <xdr:col>18</xdr:col>
      <xdr:colOff>224117</xdr:colOff>
      <xdr:row>62</xdr:row>
      <xdr:rowOff>22415</xdr:rowOff>
    </xdr:from>
    <xdr:to>
      <xdr:col>18</xdr:col>
      <xdr:colOff>229718</xdr:colOff>
      <xdr:row>64</xdr:row>
      <xdr:rowOff>22412</xdr:rowOff>
    </xdr:to>
    <xdr:cxnSp macro="">
      <xdr:nvCxnSpPr>
        <xdr:cNvPr id="119" name="直線矢印コネクタ 1010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CxnSpPr>
          <a:stCxn id="105" idx="2"/>
          <a:endCxn id="120" idx="0"/>
        </xdr:cNvCxnSpPr>
      </xdr:nvCxnSpPr>
      <xdr:spPr>
        <a:xfrm flipH="1">
          <a:off x="5029200" y="1194435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224117</xdr:colOff>
      <xdr:row>64</xdr:row>
      <xdr:rowOff>22412</xdr:rowOff>
    </xdr:from>
    <xdr:to>
      <xdr:col>19</xdr:col>
      <xdr:colOff>224117</xdr:colOff>
      <xdr:row>65</xdr:row>
      <xdr:rowOff>22412</xdr:rowOff>
    </xdr:to>
    <xdr:sp macro="" textlink="" fLocksText="0">
      <xdr:nvSpPr>
        <xdr:cNvPr id="120" name="Rectangle: Rounded Corners 119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SpPr/>
      </xdr:nvSpPr>
      <xdr:spPr>
        <a:xfrm>
          <a:off x="4762500" y="1232535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74.2</a:t>
          </a:r>
        </a:p>
      </xdr:txBody>
    </xdr:sp>
    <xdr:clientData/>
  </xdr:twoCellAnchor>
  <xdr:twoCellAnchor>
    <xdr:from>
      <xdr:col>29</xdr:col>
      <xdr:colOff>0</xdr:colOff>
      <xdr:row>37</xdr:row>
      <xdr:rowOff>0</xdr:rowOff>
    </xdr:from>
    <xdr:to>
      <xdr:col>35</xdr:col>
      <xdr:colOff>0</xdr:colOff>
      <xdr:row>41</xdr:row>
      <xdr:rowOff>0</xdr:rowOff>
    </xdr:to>
    <xdr:sp macro="" textlink="" fLocksText="0">
      <xdr:nvSpPr>
        <xdr:cNvPr id="134" name="フローチャート: 磁気ディスク 194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7734300" y="7162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AP1508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商品部門取得</a:t>
          </a:r>
        </a:p>
      </xdr:txBody>
    </xdr:sp>
    <xdr:clientData/>
  </xdr:twoCellAnchor>
  <xdr:twoCellAnchor>
    <xdr:from>
      <xdr:col>2</xdr:col>
      <xdr:colOff>0</xdr:colOff>
      <xdr:row>37</xdr:row>
      <xdr:rowOff>0</xdr:rowOff>
    </xdr:from>
    <xdr:to>
      <xdr:col>8</xdr:col>
      <xdr:colOff>0</xdr:colOff>
      <xdr:row>41</xdr:row>
      <xdr:rowOff>0</xdr:rowOff>
    </xdr:to>
    <xdr:sp macro="" textlink="" fLocksText="0">
      <xdr:nvSpPr>
        <xdr:cNvPr id="135" name="四角形: 角を丸くする 3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533400" y="7162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KN1507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商品部門一覧取得</a:t>
          </a:r>
        </a:p>
      </xdr:txBody>
    </xdr:sp>
    <xdr:clientData/>
  </xdr:twoCellAnchor>
  <xdr:twoCellAnchor>
    <xdr:from>
      <xdr:col>8</xdr:col>
      <xdr:colOff>0</xdr:colOff>
      <xdr:row>39</xdr:row>
      <xdr:rowOff>0</xdr:rowOff>
    </xdr:from>
    <xdr:to>
      <xdr:col>29</xdr:col>
      <xdr:colOff>0</xdr:colOff>
      <xdr:row>39</xdr:row>
      <xdr:rowOff>0</xdr:rowOff>
    </xdr:to>
    <xdr:cxnSp macro="">
      <xdr:nvCxnSpPr>
        <xdr:cNvPr id="136" name="直線矢印コネクタ 196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CxnSpPr>
          <a:stCxn id="135" idx="3"/>
          <a:endCxn id="134" idx="2"/>
        </xdr:cNvCxnSpPr>
      </xdr:nvCxnSpPr>
      <xdr:spPr>
        <a:xfrm>
          <a:off x="2133600" y="75438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222235</xdr:colOff>
      <xdr:row>41</xdr:row>
      <xdr:rowOff>0</xdr:rowOff>
    </xdr:from>
    <xdr:to>
      <xdr:col>5</xdr:col>
      <xdr:colOff>0</xdr:colOff>
      <xdr:row>53</xdr:row>
      <xdr:rowOff>179294</xdr:rowOff>
    </xdr:to>
    <xdr:cxnSp macro="">
      <xdr:nvCxnSpPr>
        <xdr:cNvPr id="140" name="直線矢印コネクタ 1010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CxnSpPr>
          <a:stCxn id="135" idx="2"/>
          <a:endCxn id="92" idx="0"/>
        </xdr:cNvCxnSpPr>
      </xdr:nvCxnSpPr>
      <xdr:spPr>
        <a:xfrm flipH="1">
          <a:off x="1285875" y="7924800"/>
          <a:ext cx="47625" cy="2466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110</xdr:row>
      <xdr:rowOff>0</xdr:rowOff>
    </xdr:from>
    <xdr:to>
      <xdr:col>5</xdr:col>
      <xdr:colOff>0</xdr:colOff>
      <xdr:row>112</xdr:row>
      <xdr:rowOff>190497</xdr:rowOff>
    </xdr:to>
    <xdr:cxnSp macro="">
      <xdr:nvCxnSpPr>
        <xdr:cNvPr id="176" name="Straight Arrow Connector 175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CxnSpPr>
          <a:stCxn id="182" idx="2"/>
          <a:endCxn id="177" idx="0"/>
        </xdr:cNvCxnSpPr>
      </xdr:nvCxnSpPr>
      <xdr:spPr>
        <a:xfrm>
          <a:off x="1333500" y="21069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112</xdr:row>
      <xdr:rowOff>190497</xdr:rowOff>
    </xdr:from>
    <xdr:to>
      <xdr:col>8</xdr:col>
      <xdr:colOff>0</xdr:colOff>
      <xdr:row>116</xdr:row>
      <xdr:rowOff>187449</xdr:rowOff>
    </xdr:to>
    <xdr:sp macro="" textlink="" fLocksText="0">
      <xdr:nvSpPr>
        <xdr:cNvPr id="177" name="四角形: 角を丸くする 3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533400" y="21640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KN7402 </a:t>
          </a:r>
        </a:p>
        <a:p>
          <a:pPr algn="ctr">
            <a:defRPr lang="en-US" sz="1000" b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月と部門別予算更新機能</a:t>
          </a:r>
        </a:p>
      </xdr:txBody>
    </xdr:sp>
    <xdr:clientData/>
  </xdr:twoCellAnchor>
  <xdr:twoCellAnchor>
    <xdr:from>
      <xdr:col>29</xdr:col>
      <xdr:colOff>0</xdr:colOff>
      <xdr:row>113</xdr:row>
      <xdr:rowOff>14251</xdr:rowOff>
    </xdr:from>
    <xdr:to>
      <xdr:col>35</xdr:col>
      <xdr:colOff>0</xdr:colOff>
      <xdr:row>117</xdr:row>
      <xdr:rowOff>11203</xdr:rowOff>
    </xdr:to>
    <xdr:sp macro="" textlink="" fLocksText="0">
      <xdr:nvSpPr>
        <xdr:cNvPr id="178" name="フローチャート: 磁気ディスク 194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7734300" y="21650325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AP7402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予算リスト更新</a:t>
          </a:r>
        </a:p>
      </xdr:txBody>
    </xdr:sp>
    <xdr:clientData/>
  </xdr:twoCellAnchor>
  <xdr:twoCellAnchor>
    <xdr:from>
      <xdr:col>8</xdr:col>
      <xdr:colOff>0</xdr:colOff>
      <xdr:row>114</xdr:row>
      <xdr:rowOff>188973</xdr:rowOff>
    </xdr:from>
    <xdr:to>
      <xdr:col>29</xdr:col>
      <xdr:colOff>0</xdr:colOff>
      <xdr:row>115</xdr:row>
      <xdr:rowOff>12727</xdr:rowOff>
    </xdr:to>
    <xdr:cxnSp macro="">
      <xdr:nvCxnSpPr>
        <xdr:cNvPr id="179" name="Straight Arrow Connector 178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CxnSpPr>
          <a:stCxn id="177" idx="3"/>
          <a:endCxn id="178" idx="2"/>
        </xdr:cNvCxnSpPr>
      </xdr:nvCxnSpPr>
      <xdr:spPr>
        <a:xfrm>
          <a:off x="2133600" y="22021800"/>
          <a:ext cx="5600700" cy="9525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116</xdr:row>
      <xdr:rowOff>187449</xdr:rowOff>
    </xdr:from>
    <xdr:to>
      <xdr:col>5</xdr:col>
      <xdr:colOff>0</xdr:colOff>
      <xdr:row>120</xdr:row>
      <xdr:rowOff>0</xdr:rowOff>
    </xdr:to>
    <xdr:cxnSp macro="">
      <xdr:nvCxnSpPr>
        <xdr:cNvPr id="180" name="直線矢印コネクタ 1010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CxnSpPr>
          <a:stCxn id="177" idx="2"/>
          <a:endCxn id="184" idx="0"/>
        </xdr:cNvCxnSpPr>
      </xdr:nvCxnSpPr>
      <xdr:spPr>
        <a:xfrm>
          <a:off x="1333500" y="22402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109</xdr:row>
      <xdr:rowOff>0</xdr:rowOff>
    </xdr:from>
    <xdr:to>
      <xdr:col>6</xdr:col>
      <xdr:colOff>0</xdr:colOff>
      <xdr:row>110</xdr:row>
      <xdr:rowOff>0</xdr:rowOff>
    </xdr:to>
    <xdr:sp macro="" textlink="" fLocksText="0">
      <xdr:nvSpPr>
        <xdr:cNvPr id="182" name="Rectangle: Rounded Corners 181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1066800" y="20878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74.2</a:t>
          </a:r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6</xdr:col>
      <xdr:colOff>0</xdr:colOff>
      <xdr:row>121</xdr:row>
      <xdr:rowOff>0</xdr:rowOff>
    </xdr:to>
    <xdr:sp macro="" textlink="" fLocksText="0">
      <xdr:nvSpPr>
        <xdr:cNvPr id="184" name="Rectangle: Rounded Corners 183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1066800" y="22974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74</a:t>
          </a:r>
        </a:p>
      </xdr:txBody>
    </xdr:sp>
    <xdr:clientData/>
  </xdr:twoCellAnchor>
  <xdr:twoCellAnchor editAs="oneCell">
    <xdr:from>
      <xdr:col>66</xdr:col>
      <xdr:colOff>0</xdr:colOff>
      <xdr:row>45</xdr:row>
      <xdr:rowOff>0</xdr:rowOff>
    </xdr:from>
    <xdr:to>
      <xdr:col>121</xdr:col>
      <xdr:colOff>66730</xdr:colOff>
      <xdr:row>81</xdr:row>
      <xdr:rowOff>37238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02200" y="8686800"/>
          <a:ext cx="14735175" cy="6896100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84</xdr:row>
      <xdr:rowOff>0</xdr:rowOff>
    </xdr:from>
    <xdr:to>
      <xdr:col>117</xdr:col>
      <xdr:colOff>171468</xdr:colOff>
      <xdr:row>119</xdr:row>
      <xdr:rowOff>153352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02200" y="16116300"/>
          <a:ext cx="13773150" cy="6819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overflow" horzOverflow="overflow" wrap="square" lIns="36000" tIns="0" rIns="36000" bIns="0" anchor="ctr">
        <a:noAutofit/>
      </a:bodyPr>
      <a:lstStyle>
        <a:defPPr algn="ctr">
          <a:defRPr sz="1000" b="0" i="0" u="none" baseline="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01" customWidth="1"/>
    <col min="61" max="16384" width="2.77734375" style="201"/>
  </cols>
  <sheetData>
    <row r="1" spans="1:63" ht="24.95" customHeight="1" x14ac:dyDescent="0.25">
      <c r="A1" s="195" t="s">
        <v>55</v>
      </c>
      <c r="B1" s="196"/>
      <c r="C1" s="196"/>
      <c r="D1" s="196"/>
      <c r="E1" s="196"/>
      <c r="F1" s="196"/>
      <c r="G1" s="196"/>
      <c r="H1" s="196"/>
      <c r="I1" s="196"/>
      <c r="J1" s="197"/>
      <c r="K1" s="195" t="s">
        <v>54</v>
      </c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7"/>
      <c r="W1" s="198" t="s">
        <v>63</v>
      </c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200"/>
      <c r="AP1" s="195" t="s">
        <v>53</v>
      </c>
      <c r="AQ1" s="196"/>
      <c r="AR1" s="196"/>
      <c r="AS1" s="197"/>
      <c r="AT1" s="195" t="s">
        <v>52</v>
      </c>
      <c r="AU1" s="196"/>
      <c r="AV1" s="196"/>
      <c r="AW1" s="196"/>
      <c r="AX1" s="197"/>
      <c r="AY1" s="195" t="s">
        <v>44</v>
      </c>
      <c r="AZ1" s="196"/>
      <c r="BA1" s="196"/>
      <c r="BB1" s="197"/>
      <c r="BC1" s="195" t="s">
        <v>45</v>
      </c>
      <c r="BD1" s="196"/>
      <c r="BE1" s="196"/>
      <c r="BF1" s="196"/>
      <c r="BG1" s="197"/>
      <c r="BH1" s="195" t="s">
        <v>43</v>
      </c>
      <c r="BI1" s="196"/>
      <c r="BJ1" s="196"/>
      <c r="BK1" s="197"/>
    </row>
    <row r="2" spans="1:63" ht="15" customHeight="1" x14ac:dyDescent="0.25">
      <c r="A2" s="5" t="s">
        <v>57</v>
      </c>
      <c r="B2" s="202"/>
      <c r="C2" s="202"/>
      <c r="D2" s="202"/>
      <c r="E2" s="202"/>
      <c r="F2" s="202"/>
      <c r="G2" s="202"/>
      <c r="H2" s="202"/>
      <c r="I2" s="202"/>
      <c r="J2" s="203"/>
      <c r="K2" s="204" t="s">
        <v>12</v>
      </c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3"/>
      <c r="W2" s="205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7"/>
      <c r="AP2" s="204" t="str">
        <f>改訂履歴!$H$11</f>
        <v>TinNH</v>
      </c>
      <c r="AQ2" s="202"/>
      <c r="AR2" s="202"/>
      <c r="AS2" s="203"/>
      <c r="AT2" s="208">
        <f>改訂履歴!$B$11</f>
        <v>45450</v>
      </c>
      <c r="AU2" s="209"/>
      <c r="AV2" s="209"/>
      <c r="AW2" s="209"/>
      <c r="AX2" s="210"/>
      <c r="AY2" s="204" t="str">
        <f>LOOKUP(2,1/(改訂履歴!H11:H30000&lt;&gt;""),改訂履歴!H11:H30000)</f>
        <v>DuNT</v>
      </c>
      <c r="AZ2" s="202"/>
      <c r="BA2" s="202"/>
      <c r="BB2" s="203"/>
      <c r="BC2" s="208">
        <f>LOOKUP(2,1/(改訂履歴!B11:B30000&lt;&gt;""),改訂履歴!B11:B30000)</f>
        <v>45531</v>
      </c>
      <c r="BD2" s="209"/>
      <c r="BE2" s="209"/>
      <c r="BF2" s="209"/>
      <c r="BG2" s="210"/>
      <c r="BH2" s="211">
        <f>LOOKUP(2,1/(改訂履歴!O11:O30000&lt;&gt;""),改訂履歴!O11:O30000)</f>
        <v>0.4</v>
      </c>
      <c r="BI2" s="212"/>
      <c r="BJ2" s="212"/>
      <c r="BK2" s="213"/>
    </row>
    <row r="3" spans="1:63" ht="15" customHeight="1" x14ac:dyDescent="0.25">
      <c r="A3" s="214"/>
      <c r="B3" s="215"/>
      <c r="C3" s="215"/>
      <c r="D3" s="215"/>
      <c r="E3" s="215"/>
      <c r="F3" s="215"/>
      <c r="G3" s="215"/>
      <c r="H3" s="215"/>
      <c r="I3" s="215"/>
      <c r="J3" s="216"/>
      <c r="K3" s="214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6"/>
      <c r="W3" s="217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9"/>
      <c r="AP3" s="214"/>
      <c r="AQ3" s="215"/>
      <c r="AR3" s="215"/>
      <c r="AS3" s="216"/>
      <c r="AT3" s="220"/>
      <c r="AU3" s="221"/>
      <c r="AV3" s="221"/>
      <c r="AW3" s="221"/>
      <c r="AX3" s="222"/>
      <c r="AY3" s="214"/>
      <c r="AZ3" s="215"/>
      <c r="BA3" s="215"/>
      <c r="BB3" s="216"/>
      <c r="BC3" s="220"/>
      <c r="BD3" s="221"/>
      <c r="BE3" s="221"/>
      <c r="BF3" s="221"/>
      <c r="BG3" s="222"/>
      <c r="BH3" s="223"/>
      <c r="BI3" s="224"/>
      <c r="BJ3" s="224"/>
      <c r="BK3" s="225"/>
    </row>
    <row r="4" spans="1:63" ht="24.95" customHeight="1" x14ac:dyDescent="0.25">
      <c r="A4" s="195" t="s">
        <v>49</v>
      </c>
      <c r="B4" s="196"/>
      <c r="C4" s="196"/>
      <c r="D4" s="196"/>
      <c r="E4" s="196"/>
      <c r="F4" s="196"/>
      <c r="G4" s="197"/>
      <c r="H4" s="226" t="s">
        <v>60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8"/>
      <c r="U4" s="195" t="s">
        <v>48</v>
      </c>
      <c r="V4" s="196"/>
      <c r="W4" s="196"/>
      <c r="X4" s="196"/>
      <c r="Y4" s="197"/>
      <c r="Z4" s="226" t="s">
        <v>13</v>
      </c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8"/>
      <c r="AP4" s="226" t="str">
        <f t="array" aca="1" ref="AP4" ca="1">RIGHT(CELL("filename",$A$1),LEN(CELL("filename",$A$1))-FIND("]",CELL("filename",$A$1)))</f>
        <v>表紙</v>
      </c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8"/>
    </row>
    <row r="5" spans="1:63" ht="5.0999999999999996" customHeight="1" x14ac:dyDescent="0.25">
      <c r="A5" s="229"/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  <c r="AV5" s="230"/>
      <c r="AW5" s="230"/>
      <c r="AX5" s="230"/>
      <c r="AY5" s="230"/>
      <c r="AZ5" s="230"/>
      <c r="BA5" s="230"/>
      <c r="BB5" s="230"/>
      <c r="BC5" s="230"/>
      <c r="BD5" s="230"/>
      <c r="BE5" s="230"/>
      <c r="BF5" s="230"/>
      <c r="BG5" s="230"/>
      <c r="BH5" s="230"/>
      <c r="BI5" s="230"/>
      <c r="BJ5" s="230"/>
      <c r="BK5" s="231"/>
    </row>
    <row r="6" spans="1:63" ht="15" customHeight="1" x14ac:dyDescent="0.25">
      <c r="A6" s="232"/>
      <c r="BK6" s="233"/>
    </row>
    <row r="7" spans="1:63" ht="15" customHeight="1" x14ac:dyDescent="0.25">
      <c r="A7" s="232"/>
      <c r="BK7" s="233"/>
    </row>
    <row r="8" spans="1:63" ht="15" customHeight="1" x14ac:dyDescent="0.25">
      <c r="A8" s="232"/>
      <c r="BK8" s="233"/>
    </row>
    <row r="9" spans="1:63" ht="15" customHeight="1" x14ac:dyDescent="0.25">
      <c r="A9" s="232"/>
      <c r="BK9" s="233"/>
    </row>
    <row r="10" spans="1:63" ht="15" customHeight="1" x14ac:dyDescent="0.25">
      <c r="A10" s="232"/>
      <c r="BK10" s="233"/>
    </row>
    <row r="11" spans="1:63" ht="15" customHeight="1" x14ac:dyDescent="0.25">
      <c r="A11" s="232"/>
      <c r="BK11" s="233"/>
    </row>
    <row r="12" spans="1:63" ht="15" customHeight="1" x14ac:dyDescent="0.25">
      <c r="A12" s="232"/>
      <c r="BK12" s="233"/>
    </row>
    <row r="13" spans="1:63" ht="15" customHeight="1" x14ac:dyDescent="0.25">
      <c r="A13" s="232"/>
      <c r="BK13" s="233"/>
    </row>
    <row r="14" spans="1:63" ht="15" customHeight="1" thickBot="1" x14ac:dyDescent="0.3">
      <c r="A14" s="232"/>
      <c r="BK14" s="233"/>
    </row>
    <row r="15" spans="1:63" ht="15" customHeight="1" thickTop="1" x14ac:dyDescent="0.25">
      <c r="A15" s="232"/>
      <c r="K15" s="234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5"/>
      <c r="AF15" s="235"/>
      <c r="AG15" s="235"/>
      <c r="AH15" s="235"/>
      <c r="AI15" s="235"/>
      <c r="AJ15" s="235"/>
      <c r="AK15" s="235"/>
      <c r="AL15" s="235"/>
      <c r="AM15" s="235"/>
      <c r="AN15" s="235"/>
      <c r="AO15" s="235"/>
      <c r="AP15" s="235"/>
      <c r="AQ15" s="235"/>
      <c r="AR15" s="235"/>
      <c r="AS15" s="235"/>
      <c r="AT15" s="235"/>
      <c r="AU15" s="235"/>
      <c r="AV15" s="235"/>
      <c r="AW15" s="235"/>
      <c r="AX15" s="235"/>
      <c r="AY15" s="235"/>
      <c r="AZ15" s="235"/>
      <c r="BA15" s="236"/>
      <c r="BK15" s="233"/>
    </row>
    <row r="16" spans="1:63" ht="15" customHeight="1" x14ac:dyDescent="0.25">
      <c r="A16" s="232"/>
      <c r="K16" s="237"/>
      <c r="L16" s="238" t="s">
        <v>64</v>
      </c>
      <c r="M16" s="239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  <c r="AK16" s="239"/>
      <c r="AL16" s="239"/>
      <c r="AM16" s="239"/>
      <c r="AN16" s="239"/>
      <c r="AO16" s="239"/>
      <c r="AP16" s="239"/>
      <c r="AQ16" s="239"/>
      <c r="AR16" s="239"/>
      <c r="AS16" s="239"/>
      <c r="AT16" s="239"/>
      <c r="AU16" s="239"/>
      <c r="AV16" s="239"/>
      <c r="AW16" s="239"/>
      <c r="AX16" s="239"/>
      <c r="AY16" s="239"/>
      <c r="AZ16" s="239"/>
      <c r="BA16" s="240"/>
      <c r="BK16" s="233"/>
    </row>
    <row r="17" spans="1:63" ht="15" customHeight="1" x14ac:dyDescent="0.25">
      <c r="A17" s="232"/>
      <c r="K17" s="237"/>
      <c r="L17" s="239"/>
      <c r="M17" s="239"/>
      <c r="N17" s="239"/>
      <c r="O17" s="239"/>
      <c r="P17" s="239"/>
      <c r="Q17" s="239"/>
      <c r="R17" s="239"/>
      <c r="S17" s="239"/>
      <c r="T17" s="239"/>
      <c r="U17" s="239"/>
      <c r="V17" s="239"/>
      <c r="W17" s="239"/>
      <c r="X17" s="239"/>
      <c r="Y17" s="239"/>
      <c r="Z17" s="239"/>
      <c r="AA17" s="239"/>
      <c r="AB17" s="239"/>
      <c r="AC17" s="239"/>
      <c r="AD17" s="239"/>
      <c r="AE17" s="239"/>
      <c r="AF17" s="239"/>
      <c r="AG17" s="239"/>
      <c r="AH17" s="239"/>
      <c r="AI17" s="239"/>
      <c r="AJ17" s="239"/>
      <c r="AK17" s="239"/>
      <c r="AL17" s="239"/>
      <c r="AM17" s="239"/>
      <c r="AN17" s="239"/>
      <c r="AO17" s="239"/>
      <c r="AP17" s="239"/>
      <c r="AQ17" s="239"/>
      <c r="AR17" s="239"/>
      <c r="AS17" s="239"/>
      <c r="AT17" s="239"/>
      <c r="AU17" s="239"/>
      <c r="AV17" s="239"/>
      <c r="AW17" s="239"/>
      <c r="AX17" s="239"/>
      <c r="AY17" s="239"/>
      <c r="AZ17" s="239"/>
      <c r="BA17" s="240"/>
      <c r="BK17" s="233"/>
    </row>
    <row r="18" spans="1:63" ht="15" customHeight="1" x14ac:dyDescent="0.25">
      <c r="A18" s="232"/>
      <c r="K18" s="237"/>
      <c r="L18" s="239"/>
      <c r="M18" s="239"/>
      <c r="N18" s="239"/>
      <c r="O18" s="239"/>
      <c r="P18" s="239"/>
      <c r="Q18" s="239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  <c r="AG18" s="239"/>
      <c r="AH18" s="239"/>
      <c r="AI18" s="239"/>
      <c r="AJ18" s="239"/>
      <c r="AK18" s="239"/>
      <c r="AL18" s="239"/>
      <c r="AM18" s="239"/>
      <c r="AN18" s="239"/>
      <c r="AO18" s="239"/>
      <c r="AP18" s="239"/>
      <c r="AQ18" s="239"/>
      <c r="AR18" s="239"/>
      <c r="AS18" s="239"/>
      <c r="AT18" s="239"/>
      <c r="AU18" s="239"/>
      <c r="AV18" s="239"/>
      <c r="AW18" s="239"/>
      <c r="AX18" s="239"/>
      <c r="AY18" s="239"/>
      <c r="AZ18" s="239"/>
      <c r="BA18" s="240"/>
      <c r="BK18" s="233"/>
    </row>
    <row r="19" spans="1:63" ht="15" customHeight="1" x14ac:dyDescent="0.25">
      <c r="A19" s="232"/>
      <c r="K19" s="237"/>
      <c r="L19" s="239"/>
      <c r="M19" s="239"/>
      <c r="N19" s="239"/>
      <c r="O19" s="239"/>
      <c r="P19" s="239"/>
      <c r="Q19" s="239"/>
      <c r="R19" s="239"/>
      <c r="S19" s="239"/>
      <c r="T19" s="239"/>
      <c r="U19" s="239"/>
      <c r="V19" s="239"/>
      <c r="W19" s="239"/>
      <c r="X19" s="239"/>
      <c r="Y19" s="239"/>
      <c r="Z19" s="239"/>
      <c r="AA19" s="239"/>
      <c r="AB19" s="239"/>
      <c r="AC19" s="239"/>
      <c r="AD19" s="239"/>
      <c r="AE19" s="239"/>
      <c r="AF19" s="239"/>
      <c r="AG19" s="239"/>
      <c r="AH19" s="239"/>
      <c r="AI19" s="239"/>
      <c r="AJ19" s="239"/>
      <c r="AK19" s="239"/>
      <c r="AL19" s="239"/>
      <c r="AM19" s="239"/>
      <c r="AN19" s="239"/>
      <c r="AO19" s="239"/>
      <c r="AP19" s="239"/>
      <c r="AQ19" s="239"/>
      <c r="AR19" s="239"/>
      <c r="AS19" s="239"/>
      <c r="AT19" s="239"/>
      <c r="AU19" s="239"/>
      <c r="AV19" s="239"/>
      <c r="AW19" s="239"/>
      <c r="AX19" s="239"/>
      <c r="AY19" s="239"/>
      <c r="AZ19" s="239"/>
      <c r="BA19" s="240"/>
      <c r="BK19" s="233"/>
    </row>
    <row r="20" spans="1:63" ht="15" customHeight="1" x14ac:dyDescent="0.25">
      <c r="A20" s="232"/>
      <c r="K20" s="237"/>
      <c r="L20" s="239"/>
      <c r="M20" s="239"/>
      <c r="N20" s="239"/>
      <c r="O20" s="239"/>
      <c r="P20" s="239"/>
      <c r="Q20" s="239"/>
      <c r="R20" s="239"/>
      <c r="S20" s="239"/>
      <c r="T20" s="239"/>
      <c r="U20" s="239"/>
      <c r="V20" s="239"/>
      <c r="W20" s="239"/>
      <c r="X20" s="239"/>
      <c r="Y20" s="239"/>
      <c r="Z20" s="239"/>
      <c r="AA20" s="239"/>
      <c r="AB20" s="239"/>
      <c r="AC20" s="239"/>
      <c r="AD20" s="239"/>
      <c r="AE20" s="239"/>
      <c r="AF20" s="239"/>
      <c r="AG20" s="239"/>
      <c r="AH20" s="239"/>
      <c r="AI20" s="239"/>
      <c r="AJ20" s="239"/>
      <c r="AK20" s="239"/>
      <c r="AL20" s="239"/>
      <c r="AM20" s="239"/>
      <c r="AN20" s="239"/>
      <c r="AO20" s="239"/>
      <c r="AP20" s="239"/>
      <c r="AQ20" s="239"/>
      <c r="AR20" s="239"/>
      <c r="AS20" s="239"/>
      <c r="AT20" s="239"/>
      <c r="AU20" s="239"/>
      <c r="AV20" s="239"/>
      <c r="AW20" s="239"/>
      <c r="AX20" s="239"/>
      <c r="AY20" s="239"/>
      <c r="AZ20" s="239"/>
      <c r="BA20" s="240"/>
      <c r="BK20" s="233"/>
    </row>
    <row r="21" spans="1:63" ht="15" customHeight="1" x14ac:dyDescent="0.25">
      <c r="A21" s="232"/>
      <c r="K21" s="237"/>
      <c r="L21" s="239"/>
      <c r="M21" s="239"/>
      <c r="N21" s="239"/>
      <c r="O21" s="239"/>
      <c r="P21" s="239"/>
      <c r="Q21" s="239"/>
      <c r="R21" s="239"/>
      <c r="S21" s="239"/>
      <c r="T21" s="239"/>
      <c r="U21" s="239"/>
      <c r="V21" s="239"/>
      <c r="W21" s="239"/>
      <c r="X21" s="239"/>
      <c r="Y21" s="239"/>
      <c r="Z21" s="239"/>
      <c r="AA21" s="239"/>
      <c r="AB21" s="239"/>
      <c r="AC21" s="239"/>
      <c r="AD21" s="239"/>
      <c r="AE21" s="239"/>
      <c r="AF21" s="239"/>
      <c r="AG21" s="239"/>
      <c r="AH21" s="239"/>
      <c r="AI21" s="239"/>
      <c r="AJ21" s="239"/>
      <c r="AK21" s="239"/>
      <c r="AL21" s="239"/>
      <c r="AM21" s="239"/>
      <c r="AN21" s="239"/>
      <c r="AO21" s="239"/>
      <c r="AP21" s="239"/>
      <c r="AQ21" s="239"/>
      <c r="AR21" s="239"/>
      <c r="AS21" s="239"/>
      <c r="AT21" s="239"/>
      <c r="AU21" s="239"/>
      <c r="AV21" s="239"/>
      <c r="AW21" s="239"/>
      <c r="AX21" s="239"/>
      <c r="AY21" s="239"/>
      <c r="AZ21" s="239"/>
      <c r="BA21" s="240"/>
      <c r="BK21" s="233"/>
    </row>
    <row r="22" spans="1:63" ht="15" customHeight="1" thickBot="1" x14ac:dyDescent="0.3">
      <c r="A22" s="232"/>
      <c r="K22" s="237"/>
      <c r="L22" s="241"/>
      <c r="M22" s="241"/>
      <c r="N22" s="241"/>
      <c r="O22" s="241"/>
      <c r="P22" s="241"/>
      <c r="Q22" s="241"/>
      <c r="R22" s="241"/>
      <c r="S22" s="241"/>
      <c r="T22" s="241"/>
      <c r="U22" s="241"/>
      <c r="V22" s="241"/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  <c r="AI22" s="241"/>
      <c r="AJ22" s="241"/>
      <c r="AK22" s="241"/>
      <c r="AL22" s="241"/>
      <c r="AM22" s="241"/>
      <c r="AN22" s="241"/>
      <c r="AO22" s="241"/>
      <c r="AP22" s="241"/>
      <c r="AQ22" s="241"/>
      <c r="AR22" s="241"/>
      <c r="AS22" s="241"/>
      <c r="AT22" s="241"/>
      <c r="AU22" s="241"/>
      <c r="AV22" s="241"/>
      <c r="AW22" s="241"/>
      <c r="AX22" s="241"/>
      <c r="AY22" s="241"/>
      <c r="AZ22" s="241"/>
      <c r="BA22" s="240"/>
      <c r="BK22" s="233"/>
    </row>
    <row r="23" spans="1:63" ht="15" customHeight="1" x14ac:dyDescent="0.25">
      <c r="A23" s="232"/>
      <c r="K23" s="237"/>
      <c r="L23" s="242"/>
      <c r="M23" s="242"/>
      <c r="N23" s="242"/>
      <c r="O23" s="242"/>
      <c r="P23" s="242"/>
      <c r="Q23" s="242"/>
      <c r="R23" s="242"/>
      <c r="S23" s="242"/>
      <c r="T23" s="242"/>
      <c r="U23" s="242"/>
      <c r="V23" s="242"/>
      <c r="W23" s="242"/>
      <c r="X23" s="242"/>
      <c r="Y23" s="242"/>
      <c r="Z23" s="242"/>
      <c r="AA23" s="242"/>
      <c r="AB23" s="242"/>
      <c r="AC23" s="242"/>
      <c r="AD23" s="242"/>
      <c r="AE23" s="242"/>
      <c r="AF23" s="242"/>
      <c r="AG23" s="242"/>
      <c r="AH23" s="242"/>
      <c r="AI23" s="242"/>
      <c r="AJ23" s="242"/>
      <c r="AK23" s="242"/>
      <c r="AL23" s="242"/>
      <c r="AM23" s="242"/>
      <c r="AN23" s="242"/>
      <c r="AO23" s="242"/>
      <c r="AP23" s="242"/>
      <c r="AQ23" s="242"/>
      <c r="AR23" s="242"/>
      <c r="AS23" s="242"/>
      <c r="AT23" s="242"/>
      <c r="AU23" s="242"/>
      <c r="AV23" s="242"/>
      <c r="AW23" s="242"/>
      <c r="AX23" s="242"/>
      <c r="AY23" s="242"/>
      <c r="AZ23" s="242"/>
      <c r="BA23" s="240"/>
      <c r="BK23" s="233"/>
    </row>
    <row r="24" spans="1:63" ht="15" customHeight="1" x14ac:dyDescent="0.25">
      <c r="A24" s="232"/>
      <c r="K24" s="237"/>
      <c r="L24" s="239" t="str">
        <f>K2&amp;"/"&amp;H4&amp;"/"&amp;Z4</f>
        <v>POSサーバ/74_予算登録/概要設計</v>
      </c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  <c r="AA24" s="239"/>
      <c r="AB24" s="239"/>
      <c r="AC24" s="239"/>
      <c r="AD24" s="239"/>
      <c r="AE24" s="239"/>
      <c r="AF24" s="239"/>
      <c r="AG24" s="239"/>
      <c r="AH24" s="239"/>
      <c r="AI24" s="239"/>
      <c r="AJ24" s="239"/>
      <c r="AK24" s="239"/>
      <c r="AL24" s="239"/>
      <c r="AM24" s="239"/>
      <c r="AN24" s="239"/>
      <c r="AO24" s="239"/>
      <c r="AP24" s="239"/>
      <c r="AQ24" s="239"/>
      <c r="AR24" s="239"/>
      <c r="AS24" s="239"/>
      <c r="AT24" s="239"/>
      <c r="AU24" s="239"/>
      <c r="AV24" s="239"/>
      <c r="AW24" s="239"/>
      <c r="AX24" s="239"/>
      <c r="AY24" s="239"/>
      <c r="AZ24" s="239"/>
      <c r="BA24" s="240"/>
      <c r="BK24" s="233"/>
    </row>
    <row r="25" spans="1:63" ht="15" customHeight="1" x14ac:dyDescent="0.25">
      <c r="A25" s="232"/>
      <c r="K25" s="237"/>
      <c r="L25" s="239"/>
      <c r="M25" s="239"/>
      <c r="N25" s="239"/>
      <c r="O25" s="239"/>
      <c r="P25" s="239"/>
      <c r="Q25" s="239"/>
      <c r="R25" s="239"/>
      <c r="S25" s="239"/>
      <c r="T25" s="239"/>
      <c r="U25" s="239"/>
      <c r="V25" s="239"/>
      <c r="W25" s="239"/>
      <c r="X25" s="239"/>
      <c r="Y25" s="239"/>
      <c r="Z25" s="239"/>
      <c r="AA25" s="239"/>
      <c r="AB25" s="239"/>
      <c r="AC25" s="239"/>
      <c r="AD25" s="239"/>
      <c r="AE25" s="239"/>
      <c r="AF25" s="239"/>
      <c r="AG25" s="239"/>
      <c r="AH25" s="239"/>
      <c r="AI25" s="239"/>
      <c r="AJ25" s="239"/>
      <c r="AK25" s="239"/>
      <c r="AL25" s="239"/>
      <c r="AM25" s="239"/>
      <c r="AN25" s="239"/>
      <c r="AO25" s="239"/>
      <c r="AP25" s="239"/>
      <c r="AQ25" s="239"/>
      <c r="AR25" s="239"/>
      <c r="AS25" s="239"/>
      <c r="AT25" s="239"/>
      <c r="AU25" s="239"/>
      <c r="AV25" s="239"/>
      <c r="AW25" s="239"/>
      <c r="AX25" s="239"/>
      <c r="AY25" s="239"/>
      <c r="AZ25" s="239"/>
      <c r="BA25" s="240"/>
      <c r="BK25" s="233"/>
    </row>
    <row r="26" spans="1:63" ht="15" customHeight="1" x14ac:dyDescent="0.25">
      <c r="A26" s="232"/>
      <c r="K26" s="237"/>
      <c r="L26" s="239"/>
      <c r="M26" s="239"/>
      <c r="N26" s="239"/>
      <c r="O26" s="239"/>
      <c r="P26" s="239"/>
      <c r="Q26" s="239"/>
      <c r="R26" s="239"/>
      <c r="S26" s="239"/>
      <c r="T26" s="239"/>
      <c r="U26" s="239"/>
      <c r="V26" s="239"/>
      <c r="W26" s="239"/>
      <c r="X26" s="239"/>
      <c r="Y26" s="239"/>
      <c r="Z26" s="239"/>
      <c r="AA26" s="239"/>
      <c r="AB26" s="239"/>
      <c r="AC26" s="239"/>
      <c r="AD26" s="239"/>
      <c r="AE26" s="239"/>
      <c r="AF26" s="239"/>
      <c r="AG26" s="239"/>
      <c r="AH26" s="239"/>
      <c r="AI26" s="239"/>
      <c r="AJ26" s="239"/>
      <c r="AK26" s="239"/>
      <c r="AL26" s="239"/>
      <c r="AM26" s="239"/>
      <c r="AN26" s="239"/>
      <c r="AO26" s="239"/>
      <c r="AP26" s="239"/>
      <c r="AQ26" s="239"/>
      <c r="AR26" s="239"/>
      <c r="AS26" s="239"/>
      <c r="AT26" s="239"/>
      <c r="AU26" s="239"/>
      <c r="AV26" s="239"/>
      <c r="AW26" s="239"/>
      <c r="AX26" s="239"/>
      <c r="AY26" s="239"/>
      <c r="AZ26" s="239"/>
      <c r="BA26" s="240"/>
      <c r="BK26" s="233"/>
    </row>
    <row r="27" spans="1:63" ht="15" customHeight="1" x14ac:dyDescent="0.25">
      <c r="A27" s="232"/>
      <c r="K27" s="237"/>
      <c r="L27" s="239"/>
      <c r="M27" s="239"/>
      <c r="N27" s="239"/>
      <c r="O27" s="239"/>
      <c r="P27" s="239"/>
      <c r="Q27" s="239"/>
      <c r="R27" s="239"/>
      <c r="S27" s="239"/>
      <c r="T27" s="239"/>
      <c r="U27" s="239"/>
      <c r="V27" s="239"/>
      <c r="W27" s="239"/>
      <c r="X27" s="239"/>
      <c r="Y27" s="239"/>
      <c r="Z27" s="239"/>
      <c r="AA27" s="239"/>
      <c r="AB27" s="239"/>
      <c r="AC27" s="239"/>
      <c r="AD27" s="239"/>
      <c r="AE27" s="239"/>
      <c r="AF27" s="239"/>
      <c r="AG27" s="239"/>
      <c r="AH27" s="239"/>
      <c r="AI27" s="239"/>
      <c r="AJ27" s="239"/>
      <c r="AK27" s="239"/>
      <c r="AL27" s="239"/>
      <c r="AM27" s="239"/>
      <c r="AN27" s="239"/>
      <c r="AO27" s="239"/>
      <c r="AP27" s="239"/>
      <c r="AQ27" s="239"/>
      <c r="AR27" s="239"/>
      <c r="AS27" s="239"/>
      <c r="AT27" s="239"/>
      <c r="AU27" s="239"/>
      <c r="AV27" s="239"/>
      <c r="AW27" s="239"/>
      <c r="AX27" s="239"/>
      <c r="AY27" s="239"/>
      <c r="AZ27" s="239"/>
      <c r="BA27" s="240"/>
      <c r="BK27" s="233"/>
    </row>
    <row r="28" spans="1:63" ht="15" customHeight="1" x14ac:dyDescent="0.25">
      <c r="A28" s="232"/>
      <c r="K28" s="237"/>
      <c r="L28" s="239"/>
      <c r="M28" s="239"/>
      <c r="N28" s="239"/>
      <c r="O28" s="239"/>
      <c r="P28" s="239"/>
      <c r="Q28" s="239"/>
      <c r="R28" s="239"/>
      <c r="S28" s="239"/>
      <c r="T28" s="239"/>
      <c r="U28" s="239"/>
      <c r="V28" s="239"/>
      <c r="W28" s="239"/>
      <c r="X28" s="239"/>
      <c r="Y28" s="239"/>
      <c r="Z28" s="239"/>
      <c r="AA28" s="239"/>
      <c r="AB28" s="239"/>
      <c r="AC28" s="239"/>
      <c r="AD28" s="239"/>
      <c r="AE28" s="239"/>
      <c r="AF28" s="239"/>
      <c r="AG28" s="239"/>
      <c r="AH28" s="239"/>
      <c r="AI28" s="239"/>
      <c r="AJ28" s="239"/>
      <c r="AK28" s="239"/>
      <c r="AL28" s="239"/>
      <c r="AM28" s="239"/>
      <c r="AN28" s="239"/>
      <c r="AO28" s="239"/>
      <c r="AP28" s="239"/>
      <c r="AQ28" s="239"/>
      <c r="AR28" s="239"/>
      <c r="AS28" s="239"/>
      <c r="AT28" s="239"/>
      <c r="AU28" s="239"/>
      <c r="AV28" s="239"/>
      <c r="AW28" s="239"/>
      <c r="AX28" s="239"/>
      <c r="AY28" s="239"/>
      <c r="AZ28" s="239"/>
      <c r="BA28" s="240"/>
      <c r="BK28" s="233"/>
    </row>
    <row r="29" spans="1:63" ht="15" customHeight="1" x14ac:dyDescent="0.25">
      <c r="A29" s="232"/>
      <c r="K29" s="237"/>
      <c r="L29" s="239"/>
      <c r="M29" s="239"/>
      <c r="N29" s="239"/>
      <c r="O29" s="239"/>
      <c r="P29" s="239"/>
      <c r="Q29" s="239"/>
      <c r="R29" s="239"/>
      <c r="S29" s="239"/>
      <c r="T29" s="239"/>
      <c r="U29" s="239"/>
      <c r="V29" s="239"/>
      <c r="W29" s="239"/>
      <c r="X29" s="239"/>
      <c r="Y29" s="239"/>
      <c r="Z29" s="239"/>
      <c r="AA29" s="239"/>
      <c r="AB29" s="239"/>
      <c r="AC29" s="239"/>
      <c r="AD29" s="239"/>
      <c r="AE29" s="239"/>
      <c r="AF29" s="239"/>
      <c r="AG29" s="239"/>
      <c r="AH29" s="239"/>
      <c r="AI29" s="239"/>
      <c r="AJ29" s="239"/>
      <c r="AK29" s="239"/>
      <c r="AL29" s="239"/>
      <c r="AM29" s="239"/>
      <c r="AN29" s="239"/>
      <c r="AO29" s="239"/>
      <c r="AP29" s="239"/>
      <c r="AQ29" s="239"/>
      <c r="AR29" s="239"/>
      <c r="AS29" s="239"/>
      <c r="AT29" s="239"/>
      <c r="AU29" s="239"/>
      <c r="AV29" s="239"/>
      <c r="AW29" s="239"/>
      <c r="AX29" s="239"/>
      <c r="AY29" s="239"/>
      <c r="AZ29" s="239"/>
      <c r="BA29" s="240"/>
      <c r="BK29" s="233"/>
    </row>
    <row r="30" spans="1:63" ht="15" customHeight="1" x14ac:dyDescent="0.25">
      <c r="A30" s="232"/>
      <c r="K30" s="237"/>
      <c r="L30" s="239"/>
      <c r="M30" s="239"/>
      <c r="N30" s="239"/>
      <c r="O30" s="239"/>
      <c r="P30" s="239"/>
      <c r="Q30" s="239"/>
      <c r="R30" s="239"/>
      <c r="S30" s="239"/>
      <c r="T30" s="239"/>
      <c r="U30" s="239"/>
      <c r="V30" s="239"/>
      <c r="W30" s="239"/>
      <c r="X30" s="239"/>
      <c r="Y30" s="239"/>
      <c r="Z30" s="239"/>
      <c r="AA30" s="239"/>
      <c r="AB30" s="239"/>
      <c r="AC30" s="239"/>
      <c r="AD30" s="239"/>
      <c r="AE30" s="239"/>
      <c r="AF30" s="239"/>
      <c r="AG30" s="239"/>
      <c r="AH30" s="239"/>
      <c r="AI30" s="239"/>
      <c r="AJ30" s="239"/>
      <c r="AK30" s="239"/>
      <c r="AL30" s="239"/>
      <c r="AM30" s="239"/>
      <c r="AN30" s="239"/>
      <c r="AO30" s="239"/>
      <c r="AP30" s="239"/>
      <c r="AQ30" s="239"/>
      <c r="AR30" s="239"/>
      <c r="AS30" s="239"/>
      <c r="AT30" s="239"/>
      <c r="AU30" s="239"/>
      <c r="AV30" s="239"/>
      <c r="AW30" s="239"/>
      <c r="AX30" s="239"/>
      <c r="AY30" s="239"/>
      <c r="AZ30" s="239"/>
      <c r="BA30" s="240"/>
      <c r="BK30" s="233"/>
    </row>
    <row r="31" spans="1:63" ht="15" customHeight="1" x14ac:dyDescent="0.25">
      <c r="A31" s="232"/>
      <c r="K31" s="237"/>
      <c r="L31" s="239"/>
      <c r="M31" s="239"/>
      <c r="N31" s="239"/>
      <c r="O31" s="239"/>
      <c r="P31" s="239"/>
      <c r="Q31" s="239"/>
      <c r="R31" s="239"/>
      <c r="S31" s="239"/>
      <c r="T31" s="239"/>
      <c r="U31" s="239"/>
      <c r="V31" s="239"/>
      <c r="W31" s="239"/>
      <c r="X31" s="239"/>
      <c r="Y31" s="239"/>
      <c r="Z31" s="239"/>
      <c r="AA31" s="239"/>
      <c r="AB31" s="239"/>
      <c r="AC31" s="239"/>
      <c r="AD31" s="239"/>
      <c r="AE31" s="239"/>
      <c r="AF31" s="239"/>
      <c r="AG31" s="239"/>
      <c r="AH31" s="239"/>
      <c r="AI31" s="239"/>
      <c r="AJ31" s="239"/>
      <c r="AK31" s="239"/>
      <c r="AL31" s="239"/>
      <c r="AM31" s="239"/>
      <c r="AN31" s="239"/>
      <c r="AO31" s="239"/>
      <c r="AP31" s="239"/>
      <c r="AQ31" s="239"/>
      <c r="AR31" s="239"/>
      <c r="AS31" s="239"/>
      <c r="AT31" s="239"/>
      <c r="AU31" s="239"/>
      <c r="AV31" s="239"/>
      <c r="AW31" s="239"/>
      <c r="AX31" s="239"/>
      <c r="AY31" s="239"/>
      <c r="AZ31" s="239"/>
      <c r="BA31" s="240"/>
      <c r="BK31" s="233"/>
    </row>
    <row r="32" spans="1:63" ht="15" customHeight="1" x14ac:dyDescent="0.25">
      <c r="A32" s="232"/>
      <c r="K32" s="237"/>
      <c r="L32" s="239"/>
      <c r="M32" s="239"/>
      <c r="N32" s="239"/>
      <c r="O32" s="239"/>
      <c r="P32" s="239"/>
      <c r="Q32" s="239"/>
      <c r="R32" s="239"/>
      <c r="S32" s="239"/>
      <c r="T32" s="239"/>
      <c r="U32" s="239"/>
      <c r="V32" s="239"/>
      <c r="W32" s="239"/>
      <c r="X32" s="239"/>
      <c r="Y32" s="239"/>
      <c r="Z32" s="239"/>
      <c r="AA32" s="239"/>
      <c r="AB32" s="239"/>
      <c r="AC32" s="239"/>
      <c r="AD32" s="239"/>
      <c r="AE32" s="239"/>
      <c r="AF32" s="239"/>
      <c r="AG32" s="239"/>
      <c r="AH32" s="239"/>
      <c r="AI32" s="239"/>
      <c r="AJ32" s="239"/>
      <c r="AK32" s="239"/>
      <c r="AL32" s="239"/>
      <c r="AM32" s="239"/>
      <c r="AN32" s="239"/>
      <c r="AO32" s="239"/>
      <c r="AP32" s="239"/>
      <c r="AQ32" s="239"/>
      <c r="AR32" s="239"/>
      <c r="AS32" s="239"/>
      <c r="AT32" s="239"/>
      <c r="AU32" s="239"/>
      <c r="AV32" s="239"/>
      <c r="AW32" s="239"/>
      <c r="AX32" s="239"/>
      <c r="AY32" s="239"/>
      <c r="AZ32" s="239"/>
      <c r="BA32" s="240"/>
      <c r="BK32" s="233"/>
    </row>
    <row r="33" spans="1:63" ht="15" customHeight="1" x14ac:dyDescent="0.25">
      <c r="A33" s="232"/>
      <c r="K33" s="237"/>
      <c r="L33" s="239"/>
      <c r="M33" s="239"/>
      <c r="N33" s="239"/>
      <c r="O33" s="239"/>
      <c r="P33" s="239"/>
      <c r="Q33" s="239"/>
      <c r="R33" s="239"/>
      <c r="S33" s="239"/>
      <c r="T33" s="239"/>
      <c r="U33" s="239"/>
      <c r="V33" s="239"/>
      <c r="W33" s="239"/>
      <c r="X33" s="239"/>
      <c r="Y33" s="239"/>
      <c r="Z33" s="239"/>
      <c r="AA33" s="239"/>
      <c r="AB33" s="239"/>
      <c r="AC33" s="239"/>
      <c r="AD33" s="239"/>
      <c r="AE33" s="239"/>
      <c r="AF33" s="239"/>
      <c r="AG33" s="239"/>
      <c r="AH33" s="239"/>
      <c r="AI33" s="239"/>
      <c r="AJ33" s="239"/>
      <c r="AK33" s="239"/>
      <c r="AL33" s="239"/>
      <c r="AM33" s="239"/>
      <c r="AN33" s="239"/>
      <c r="AO33" s="239"/>
      <c r="AP33" s="239"/>
      <c r="AQ33" s="239"/>
      <c r="AR33" s="239"/>
      <c r="AS33" s="239"/>
      <c r="AT33" s="239"/>
      <c r="AU33" s="239"/>
      <c r="AV33" s="239"/>
      <c r="AW33" s="239"/>
      <c r="AX33" s="239"/>
      <c r="AY33" s="239"/>
      <c r="AZ33" s="239"/>
      <c r="BA33" s="240"/>
      <c r="BK33" s="233"/>
    </row>
    <row r="34" spans="1:63" ht="15" customHeight="1" x14ac:dyDescent="0.25">
      <c r="A34" s="232"/>
      <c r="K34" s="237"/>
      <c r="L34" s="239"/>
      <c r="M34" s="239"/>
      <c r="N34" s="239"/>
      <c r="O34" s="239"/>
      <c r="P34" s="239"/>
      <c r="Q34" s="239"/>
      <c r="R34" s="239"/>
      <c r="S34" s="239"/>
      <c r="T34" s="239"/>
      <c r="U34" s="239"/>
      <c r="V34" s="239"/>
      <c r="W34" s="239"/>
      <c r="X34" s="239"/>
      <c r="Y34" s="239"/>
      <c r="Z34" s="239"/>
      <c r="AA34" s="239"/>
      <c r="AB34" s="239"/>
      <c r="AC34" s="239"/>
      <c r="AD34" s="239"/>
      <c r="AE34" s="239"/>
      <c r="AF34" s="239"/>
      <c r="AG34" s="239"/>
      <c r="AH34" s="239"/>
      <c r="AI34" s="239"/>
      <c r="AJ34" s="239"/>
      <c r="AK34" s="239"/>
      <c r="AL34" s="239"/>
      <c r="AM34" s="239"/>
      <c r="AN34" s="239"/>
      <c r="AO34" s="239"/>
      <c r="AP34" s="239"/>
      <c r="AQ34" s="239"/>
      <c r="AR34" s="239"/>
      <c r="AS34" s="239"/>
      <c r="AT34" s="239"/>
      <c r="AU34" s="239"/>
      <c r="AV34" s="239"/>
      <c r="AW34" s="239"/>
      <c r="AX34" s="239"/>
      <c r="AY34" s="239"/>
      <c r="AZ34" s="239"/>
      <c r="BA34" s="240"/>
      <c r="BK34" s="233"/>
    </row>
    <row r="35" spans="1:63" ht="15" customHeight="1" x14ac:dyDescent="0.25">
      <c r="A35" s="232"/>
      <c r="K35" s="237"/>
      <c r="L35" s="239"/>
      <c r="M35" s="239"/>
      <c r="N35" s="239"/>
      <c r="O35" s="239"/>
      <c r="P35" s="239"/>
      <c r="Q35" s="239"/>
      <c r="R35" s="239"/>
      <c r="S35" s="239"/>
      <c r="T35" s="239"/>
      <c r="U35" s="239"/>
      <c r="V35" s="239"/>
      <c r="W35" s="239"/>
      <c r="X35" s="239"/>
      <c r="Y35" s="239"/>
      <c r="Z35" s="239"/>
      <c r="AA35" s="239"/>
      <c r="AB35" s="239"/>
      <c r="AC35" s="239"/>
      <c r="AD35" s="239"/>
      <c r="AE35" s="239"/>
      <c r="AF35" s="239"/>
      <c r="AG35" s="239"/>
      <c r="AH35" s="239"/>
      <c r="AI35" s="239"/>
      <c r="AJ35" s="239"/>
      <c r="AK35" s="239"/>
      <c r="AL35" s="239"/>
      <c r="AM35" s="239"/>
      <c r="AN35" s="239"/>
      <c r="AO35" s="239"/>
      <c r="AP35" s="239"/>
      <c r="AQ35" s="239"/>
      <c r="AR35" s="239"/>
      <c r="AS35" s="239"/>
      <c r="AT35" s="239"/>
      <c r="AU35" s="239"/>
      <c r="AV35" s="239"/>
      <c r="AW35" s="239"/>
      <c r="AX35" s="239"/>
      <c r="AY35" s="239"/>
      <c r="AZ35" s="239"/>
      <c r="BA35" s="240"/>
      <c r="BK35" s="233"/>
    </row>
    <row r="36" spans="1:63" ht="15" customHeight="1" x14ac:dyDescent="0.25">
      <c r="A36" s="232"/>
      <c r="K36" s="237"/>
      <c r="L36" s="239"/>
      <c r="M36" s="239"/>
      <c r="N36" s="239"/>
      <c r="O36" s="239"/>
      <c r="P36" s="239"/>
      <c r="Q36" s="239"/>
      <c r="R36" s="239"/>
      <c r="S36" s="239"/>
      <c r="T36" s="239"/>
      <c r="U36" s="239"/>
      <c r="V36" s="239"/>
      <c r="W36" s="239"/>
      <c r="X36" s="239"/>
      <c r="Y36" s="239"/>
      <c r="Z36" s="239"/>
      <c r="AA36" s="239"/>
      <c r="AB36" s="239"/>
      <c r="AC36" s="239"/>
      <c r="AD36" s="239"/>
      <c r="AE36" s="239"/>
      <c r="AF36" s="239"/>
      <c r="AG36" s="239"/>
      <c r="AH36" s="239"/>
      <c r="AI36" s="239"/>
      <c r="AJ36" s="239"/>
      <c r="AK36" s="239"/>
      <c r="AL36" s="239"/>
      <c r="AM36" s="239"/>
      <c r="AN36" s="239"/>
      <c r="AO36" s="239"/>
      <c r="AP36" s="239"/>
      <c r="AQ36" s="239"/>
      <c r="AR36" s="239"/>
      <c r="AS36" s="239"/>
      <c r="AT36" s="239"/>
      <c r="AU36" s="239"/>
      <c r="AV36" s="239"/>
      <c r="AW36" s="239"/>
      <c r="AX36" s="239"/>
      <c r="AY36" s="239"/>
      <c r="AZ36" s="239"/>
      <c r="BA36" s="240"/>
      <c r="BK36" s="233"/>
    </row>
    <row r="37" spans="1:63" ht="15" customHeight="1" thickBot="1" x14ac:dyDescent="0.3">
      <c r="A37" s="232"/>
      <c r="K37" s="243"/>
      <c r="L37" s="244"/>
      <c r="M37" s="244"/>
      <c r="N37" s="244"/>
      <c r="O37" s="244"/>
      <c r="P37" s="244"/>
      <c r="Q37" s="244"/>
      <c r="R37" s="244"/>
      <c r="S37" s="244"/>
      <c r="T37" s="244"/>
      <c r="U37" s="244"/>
      <c r="V37" s="244"/>
      <c r="W37" s="244"/>
      <c r="X37" s="244"/>
      <c r="Y37" s="244"/>
      <c r="Z37" s="244"/>
      <c r="AA37" s="244"/>
      <c r="AB37" s="244"/>
      <c r="AC37" s="244"/>
      <c r="AD37" s="244"/>
      <c r="AE37" s="244"/>
      <c r="AF37" s="244"/>
      <c r="AG37" s="244"/>
      <c r="AH37" s="244"/>
      <c r="AI37" s="244"/>
      <c r="AJ37" s="244"/>
      <c r="AK37" s="244"/>
      <c r="AL37" s="244"/>
      <c r="AM37" s="244"/>
      <c r="AN37" s="244"/>
      <c r="AO37" s="244"/>
      <c r="AP37" s="244"/>
      <c r="AQ37" s="244"/>
      <c r="AR37" s="244"/>
      <c r="AS37" s="244"/>
      <c r="AT37" s="244"/>
      <c r="AU37" s="244"/>
      <c r="AV37" s="244"/>
      <c r="AW37" s="244"/>
      <c r="AX37" s="244"/>
      <c r="AY37" s="244"/>
      <c r="AZ37" s="244"/>
      <c r="BA37" s="245"/>
      <c r="BK37" s="233"/>
    </row>
    <row r="38" spans="1:63" ht="15" customHeight="1" thickTop="1" x14ac:dyDescent="0.25">
      <c r="A38" s="232"/>
      <c r="BK38" s="233"/>
    </row>
    <row r="39" spans="1:63" ht="15" customHeight="1" x14ac:dyDescent="0.25">
      <c r="A39" s="232"/>
      <c r="BK39" s="233"/>
    </row>
    <row r="40" spans="1:63" ht="15" customHeight="1" x14ac:dyDescent="0.25">
      <c r="A40" s="232"/>
      <c r="BK40" s="233"/>
    </row>
    <row r="41" spans="1:63" ht="15" customHeight="1" x14ac:dyDescent="0.25">
      <c r="A41" s="232"/>
      <c r="BK41" s="233"/>
    </row>
    <row r="42" spans="1:63" ht="15" customHeight="1" x14ac:dyDescent="0.25">
      <c r="A42" s="232"/>
      <c r="BK42" s="233"/>
    </row>
    <row r="43" spans="1:63" ht="15" customHeight="1" x14ac:dyDescent="0.25">
      <c r="A43" s="232"/>
      <c r="BK43" s="233"/>
    </row>
    <row r="44" spans="1:63" ht="15" customHeight="1" x14ac:dyDescent="0.25">
      <c r="A44" s="232"/>
      <c r="Q44" s="246" t="s">
        <v>65</v>
      </c>
      <c r="R44" s="247"/>
      <c r="S44" s="247"/>
      <c r="T44" s="247"/>
      <c r="U44" s="247"/>
      <c r="V44" s="247"/>
      <c r="W44" s="247"/>
      <c r="X44" s="247"/>
      <c r="Y44" s="247"/>
      <c r="Z44" s="248"/>
      <c r="AA44" s="246" t="s">
        <v>66</v>
      </c>
      <c r="AB44" s="247"/>
      <c r="AC44" s="247"/>
      <c r="AD44" s="247"/>
      <c r="AE44" s="247"/>
      <c r="AF44" s="247"/>
      <c r="AG44" s="247"/>
      <c r="AH44" s="247"/>
      <c r="AI44" s="247"/>
      <c r="AJ44" s="247"/>
      <c r="AK44" s="247"/>
      <c r="AL44" s="247"/>
      <c r="AM44" s="247"/>
      <c r="AN44" s="247"/>
      <c r="AO44" s="247"/>
      <c r="AP44" s="248"/>
      <c r="AQ44" s="246" t="s">
        <v>43</v>
      </c>
      <c r="AR44" s="247"/>
      <c r="AS44" s="247"/>
      <c r="AT44" s="247"/>
      <c r="AU44" s="248"/>
      <c r="BK44" s="233"/>
    </row>
    <row r="45" spans="1:63" ht="15" customHeight="1" x14ac:dyDescent="0.25">
      <c r="A45" s="232"/>
      <c r="Q45" s="249"/>
      <c r="R45" s="250"/>
      <c r="S45" s="250"/>
      <c r="T45" s="250"/>
      <c r="U45" s="250"/>
      <c r="V45" s="250"/>
      <c r="W45" s="250"/>
      <c r="X45" s="250"/>
      <c r="Y45" s="250"/>
      <c r="Z45" s="251"/>
      <c r="AA45" s="249"/>
      <c r="AB45" s="250"/>
      <c r="AC45" s="250"/>
      <c r="AD45" s="250"/>
      <c r="AE45" s="250"/>
      <c r="AF45" s="250"/>
      <c r="AG45" s="250"/>
      <c r="AH45" s="250"/>
      <c r="AI45" s="250"/>
      <c r="AJ45" s="250"/>
      <c r="AK45" s="250"/>
      <c r="AL45" s="250"/>
      <c r="AM45" s="250"/>
      <c r="AN45" s="250"/>
      <c r="AO45" s="250"/>
      <c r="AP45" s="251"/>
      <c r="AQ45" s="249"/>
      <c r="AR45" s="250"/>
      <c r="AS45" s="250"/>
      <c r="AT45" s="250"/>
      <c r="AU45" s="251"/>
      <c r="BK45" s="233"/>
    </row>
    <row r="46" spans="1:63" ht="15" customHeight="1" x14ac:dyDescent="0.25">
      <c r="A46" s="232"/>
      <c r="Q46" s="204"/>
      <c r="R46" s="202"/>
      <c r="S46" s="202"/>
      <c r="T46" s="202"/>
      <c r="U46" s="202"/>
      <c r="V46" s="202"/>
      <c r="W46" s="202"/>
      <c r="X46" s="202"/>
      <c r="Y46" s="202"/>
      <c r="Z46" s="203"/>
      <c r="AA46" s="204"/>
      <c r="AB46" s="202"/>
      <c r="AC46" s="202"/>
      <c r="AD46" s="202"/>
      <c r="AE46" s="202"/>
      <c r="AF46" s="202"/>
      <c r="AG46" s="202"/>
      <c r="AH46" s="202"/>
      <c r="AI46" s="202"/>
      <c r="AJ46" s="202"/>
      <c r="AK46" s="202"/>
      <c r="AL46" s="202"/>
      <c r="AM46" s="202"/>
      <c r="AN46" s="202"/>
      <c r="AO46" s="202"/>
      <c r="AP46" s="203"/>
      <c r="AQ46" s="204"/>
      <c r="AR46" s="202"/>
      <c r="AS46" s="202"/>
      <c r="AT46" s="202"/>
      <c r="AU46" s="203"/>
      <c r="BK46" s="233"/>
    </row>
    <row r="47" spans="1:63" ht="15" customHeight="1" x14ac:dyDescent="0.25">
      <c r="A47" s="232"/>
      <c r="Q47" s="252"/>
      <c r="R47" s="253"/>
      <c r="S47" s="253"/>
      <c r="T47" s="253"/>
      <c r="U47" s="253"/>
      <c r="V47" s="253"/>
      <c r="W47" s="253"/>
      <c r="X47" s="253"/>
      <c r="Y47" s="253"/>
      <c r="Z47" s="254"/>
      <c r="AA47" s="252"/>
      <c r="AB47" s="253"/>
      <c r="AC47" s="253"/>
      <c r="AD47" s="253"/>
      <c r="AE47" s="253"/>
      <c r="AF47" s="253"/>
      <c r="AG47" s="253"/>
      <c r="AH47" s="253"/>
      <c r="AI47" s="253"/>
      <c r="AJ47" s="253"/>
      <c r="AK47" s="253"/>
      <c r="AL47" s="253"/>
      <c r="AM47" s="253"/>
      <c r="AN47" s="253"/>
      <c r="AO47" s="253"/>
      <c r="AP47" s="254"/>
      <c r="AQ47" s="252"/>
      <c r="AR47" s="253"/>
      <c r="AS47" s="253"/>
      <c r="AT47" s="253"/>
      <c r="AU47" s="254"/>
      <c r="BK47" s="233"/>
    </row>
    <row r="48" spans="1:63" ht="15" customHeight="1" x14ac:dyDescent="0.25">
      <c r="A48" s="232"/>
      <c r="Q48" s="252"/>
      <c r="R48" s="253"/>
      <c r="S48" s="253"/>
      <c r="T48" s="253"/>
      <c r="U48" s="253"/>
      <c r="V48" s="253"/>
      <c r="W48" s="253"/>
      <c r="X48" s="253"/>
      <c r="Y48" s="253"/>
      <c r="Z48" s="254"/>
      <c r="AA48" s="252"/>
      <c r="AB48" s="253"/>
      <c r="AC48" s="253"/>
      <c r="AD48" s="253"/>
      <c r="AE48" s="253"/>
      <c r="AF48" s="253"/>
      <c r="AG48" s="253"/>
      <c r="AH48" s="253"/>
      <c r="AI48" s="253"/>
      <c r="AJ48" s="253"/>
      <c r="AK48" s="253"/>
      <c r="AL48" s="253"/>
      <c r="AM48" s="253"/>
      <c r="AN48" s="253"/>
      <c r="AO48" s="253"/>
      <c r="AP48" s="254"/>
      <c r="AQ48" s="252"/>
      <c r="AR48" s="253"/>
      <c r="AS48" s="253"/>
      <c r="AT48" s="253"/>
      <c r="AU48" s="254"/>
      <c r="BK48" s="233"/>
    </row>
    <row r="49" spans="1:63" ht="15" customHeight="1" x14ac:dyDescent="0.25">
      <c r="A49" s="232"/>
      <c r="Q49" s="214"/>
      <c r="R49" s="215"/>
      <c r="S49" s="215"/>
      <c r="T49" s="215"/>
      <c r="U49" s="215"/>
      <c r="V49" s="215"/>
      <c r="W49" s="215"/>
      <c r="X49" s="215"/>
      <c r="Y49" s="215"/>
      <c r="Z49" s="216"/>
      <c r="AA49" s="214"/>
      <c r="AB49" s="215"/>
      <c r="AC49" s="215"/>
      <c r="AD49" s="215"/>
      <c r="AE49" s="215"/>
      <c r="AF49" s="215"/>
      <c r="AG49" s="215"/>
      <c r="AH49" s="215"/>
      <c r="AI49" s="215"/>
      <c r="AJ49" s="215"/>
      <c r="AK49" s="215"/>
      <c r="AL49" s="215"/>
      <c r="AM49" s="215"/>
      <c r="AN49" s="215"/>
      <c r="AO49" s="215"/>
      <c r="AP49" s="216"/>
      <c r="AQ49" s="214"/>
      <c r="AR49" s="215"/>
      <c r="AS49" s="215"/>
      <c r="AT49" s="215"/>
      <c r="AU49" s="216"/>
      <c r="BK49" s="233"/>
    </row>
    <row r="50" spans="1:63" ht="15" customHeight="1" x14ac:dyDescent="0.25">
      <c r="A50" s="232"/>
      <c r="BK50" s="233"/>
    </row>
    <row r="51" spans="1:63" ht="15" customHeight="1" x14ac:dyDescent="0.25">
      <c r="A51" s="232"/>
      <c r="BK51" s="233"/>
    </row>
    <row r="52" spans="1:63" ht="15" customHeight="1" x14ac:dyDescent="0.25">
      <c r="A52" s="232"/>
      <c r="BK52" s="233"/>
    </row>
    <row r="53" spans="1:63" ht="15" customHeight="1" x14ac:dyDescent="0.25">
      <c r="A53" s="232"/>
      <c r="BK53" s="233"/>
    </row>
    <row r="54" spans="1:63" ht="15" customHeight="1" x14ac:dyDescent="0.25">
      <c r="A54" s="232"/>
      <c r="BK54" s="233"/>
    </row>
    <row r="55" spans="1:63" ht="15" customHeight="1" x14ac:dyDescent="0.25">
      <c r="A55" s="229"/>
      <c r="B55" s="230"/>
      <c r="C55" s="230"/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30"/>
      <c r="U55" s="230"/>
      <c r="V55" s="230"/>
      <c r="W55" s="230"/>
      <c r="X55" s="230"/>
      <c r="Y55" s="230"/>
      <c r="Z55" s="230"/>
      <c r="AA55" s="230"/>
      <c r="AB55" s="230"/>
      <c r="AC55" s="230"/>
      <c r="AD55" s="230"/>
      <c r="AE55" s="230"/>
      <c r="AF55" s="230"/>
      <c r="AG55" s="230"/>
      <c r="AH55" s="230"/>
      <c r="AI55" s="230"/>
      <c r="AJ55" s="230"/>
      <c r="AK55" s="230"/>
      <c r="AL55" s="230"/>
      <c r="AM55" s="230"/>
      <c r="AN55" s="230"/>
      <c r="AO55" s="230"/>
      <c r="AP55" s="230"/>
      <c r="AQ55" s="230"/>
      <c r="AR55" s="230"/>
      <c r="AS55" s="230"/>
      <c r="AT55" s="230"/>
      <c r="AU55" s="230"/>
      <c r="AV55" s="230"/>
      <c r="AW55" s="230"/>
      <c r="AX55" s="230"/>
      <c r="AY55" s="230"/>
      <c r="AZ55" s="230"/>
      <c r="BA55" s="230"/>
      <c r="BB55" s="230"/>
      <c r="BC55" s="230"/>
      <c r="BD55" s="230"/>
      <c r="BE55" s="230"/>
      <c r="BF55" s="230"/>
      <c r="BG55" s="230"/>
      <c r="BH55" s="230"/>
      <c r="BI55" s="230"/>
      <c r="BJ55" s="230"/>
      <c r="BK55" s="231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1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tr">
        <f>IF(表紙!W1="","",表紙!W1)</f>
        <v>基本設計書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2</v>
      </c>
      <c r="AQ1" s="13"/>
      <c r="AR1" s="13"/>
      <c r="AS1" s="12"/>
      <c r="AT1" s="14" t="s">
        <v>3</v>
      </c>
      <c r="AU1" s="13"/>
      <c r="AV1" s="13"/>
      <c r="AW1" s="13"/>
      <c r="AX1" s="12"/>
      <c r="AY1" s="14" t="s">
        <v>4</v>
      </c>
      <c r="AZ1" s="13"/>
      <c r="BA1" s="13"/>
      <c r="BB1" s="12"/>
      <c r="BC1" s="14" t="s">
        <v>5</v>
      </c>
      <c r="BD1" s="13"/>
      <c r="BE1" s="13"/>
      <c r="BF1" s="13"/>
      <c r="BG1" s="12"/>
      <c r="BH1" s="14" t="s">
        <v>6</v>
      </c>
      <c r="BI1" s="13"/>
      <c r="BJ1" s="13"/>
      <c r="BK1" s="12"/>
    </row>
    <row r="2" spans="1:63" ht="15" customHeight="1" x14ac:dyDescent="0.25">
      <c r="A2" s="11" t="str">
        <f>IF(表紙!A2="","",表紙!A2)</f>
        <v>POSサーバー</v>
      </c>
      <c r="B2" s="10"/>
      <c r="C2" s="10"/>
      <c r="D2" s="10"/>
      <c r="E2" s="10"/>
      <c r="F2" s="10"/>
      <c r="G2" s="10"/>
      <c r="H2" s="10"/>
      <c r="I2" s="10"/>
      <c r="J2" s="9"/>
      <c r="K2" s="11" t="str">
        <f>IF(表紙!K2="","",表紙!K2)</f>
        <v>POSサーバ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8"/>
      <c r="AP2" s="11" t="str">
        <f>IF(表紙!AP2="","",表紙!AP2)</f>
        <v>TinNH</v>
      </c>
      <c r="AQ2" s="10"/>
      <c r="AR2" s="10"/>
      <c r="AS2" s="9"/>
      <c r="AT2" s="45">
        <f>IF(表紙!AT2="","",表紙!AT2)</f>
        <v>45450</v>
      </c>
      <c r="AU2" s="46"/>
      <c r="AV2" s="46"/>
      <c r="AW2" s="46"/>
      <c r="AX2" s="47"/>
      <c r="AY2" s="11" t="str">
        <f>IF(表紙!AY2="","",表紙!AY2)</f>
        <v>DuNT</v>
      </c>
      <c r="AZ2" s="10"/>
      <c r="BA2" s="10"/>
      <c r="BB2" s="9"/>
      <c r="BC2" s="45">
        <f>IF(表紙!BC2="","",表紙!BC2)</f>
        <v>45531</v>
      </c>
      <c r="BD2" s="46"/>
      <c r="BE2" s="46"/>
      <c r="BF2" s="46"/>
      <c r="BG2" s="47"/>
      <c r="BH2" s="11">
        <f>IF(表紙!BH2="","",表紙!BH2)</f>
        <v>0.4</v>
      </c>
      <c r="BI2" s="10"/>
      <c r="BJ2" s="10"/>
      <c r="BK2" s="9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39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1"/>
      <c r="AP3" s="8"/>
      <c r="AQ3" s="7"/>
      <c r="AR3" s="7"/>
      <c r="AS3" s="6"/>
      <c r="AT3" s="48"/>
      <c r="AU3" s="49"/>
      <c r="AV3" s="49"/>
      <c r="AW3" s="49"/>
      <c r="AX3" s="50"/>
      <c r="AY3" s="8"/>
      <c r="AZ3" s="7"/>
      <c r="BA3" s="7"/>
      <c r="BB3" s="6"/>
      <c r="BC3" s="48"/>
      <c r="BD3" s="49"/>
      <c r="BE3" s="49"/>
      <c r="BF3" s="49"/>
      <c r="BG3" s="50"/>
      <c r="BH3" s="8"/>
      <c r="BI3" s="7"/>
      <c r="BJ3" s="7"/>
      <c r="BK3" s="6"/>
    </row>
    <row r="4" spans="1:63" ht="24.95" customHeight="1" x14ac:dyDescent="0.25">
      <c r="A4" s="14" t="s">
        <v>61</v>
      </c>
      <c r="B4" s="13"/>
      <c r="C4" s="13"/>
      <c r="D4" s="13"/>
      <c r="E4" s="13"/>
      <c r="F4" s="13"/>
      <c r="G4" s="12"/>
      <c r="H4" s="42" t="str">
        <f>IF(表紙!H4="","",表紙!H4)</f>
        <v>74_予算登録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4"/>
      <c r="U4" s="14" t="s">
        <v>7</v>
      </c>
      <c r="V4" s="13"/>
      <c r="W4" s="13"/>
      <c r="X4" s="13"/>
      <c r="Y4" s="12"/>
      <c r="Z4" s="42" t="str">
        <f>IF(表紙!Z4="","",表紙!Z4)</f>
        <v>概要設計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  <c r="AP4" s="42" t="str">
        <f t="array" aca="1" ref="AP4" ca="1">RIGHT(CELL("filename",$A$1),LEN(CELL("filename",$A$1))-FIND("]",CELL("filename",$A$1)))</f>
        <v>改訂履歴</v>
      </c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4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8" t="s">
        <v>8</v>
      </c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10" s="63" t="s">
        <v>5</v>
      </c>
      <c r="C10" s="63"/>
      <c r="D10" s="63"/>
      <c r="E10" s="63"/>
      <c r="F10" s="63"/>
      <c r="G10" s="63"/>
      <c r="H10" s="63" t="s">
        <v>4</v>
      </c>
      <c r="I10" s="63"/>
      <c r="J10" s="63"/>
      <c r="K10" s="63"/>
      <c r="L10" s="63"/>
      <c r="M10" s="63"/>
      <c r="N10" s="63"/>
      <c r="O10" s="63" t="s">
        <v>6</v>
      </c>
      <c r="P10" s="63"/>
      <c r="Q10" s="63"/>
      <c r="R10" s="63"/>
      <c r="S10" s="63" t="s">
        <v>9</v>
      </c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 t="s">
        <v>10</v>
      </c>
      <c r="AY10" s="63"/>
      <c r="AZ10" s="63"/>
      <c r="BA10" s="63"/>
      <c r="BB10" s="63"/>
      <c r="BC10" s="63"/>
      <c r="BD10" s="63" t="s">
        <v>11</v>
      </c>
      <c r="BE10" s="63"/>
      <c r="BF10" s="63"/>
      <c r="BG10" s="63"/>
      <c r="BH10" s="63"/>
      <c r="BI10" s="63"/>
      <c r="BJ10" s="63"/>
      <c r="BK10" s="18"/>
    </row>
    <row r="11" spans="1:63" ht="15" customHeight="1" x14ac:dyDescent="0.25">
      <c r="A11" s="15"/>
      <c r="B11" s="45">
        <v>45450</v>
      </c>
      <c r="C11" s="10"/>
      <c r="D11" s="10"/>
      <c r="E11" s="10"/>
      <c r="F11" s="10"/>
      <c r="G11" s="9"/>
      <c r="H11" s="5" t="s">
        <v>62</v>
      </c>
      <c r="I11" s="10"/>
      <c r="J11" s="10"/>
      <c r="K11" s="10"/>
      <c r="L11" s="10"/>
      <c r="M11" s="10"/>
      <c r="N11" s="9"/>
      <c r="O11" s="11">
        <v>0.1</v>
      </c>
      <c r="P11" s="10"/>
      <c r="Q11" s="10"/>
      <c r="R11" s="10"/>
      <c r="S11" s="51" t="s">
        <v>17</v>
      </c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3"/>
      <c r="AX11" s="54"/>
      <c r="AY11" s="54"/>
      <c r="AZ11" s="54"/>
      <c r="BA11" s="54"/>
      <c r="BB11" s="54"/>
      <c r="BC11" s="55"/>
      <c r="BD11" s="58"/>
      <c r="BE11" s="54"/>
      <c r="BF11" s="54"/>
      <c r="BG11" s="54"/>
      <c r="BH11" s="54"/>
      <c r="BI11" s="54"/>
      <c r="BJ11" s="55"/>
      <c r="BK11" s="18"/>
    </row>
    <row r="12" spans="1:63" ht="15" customHeight="1" x14ac:dyDescent="0.25">
      <c r="A12" s="15"/>
      <c r="B12" s="8"/>
      <c r="C12" s="7"/>
      <c r="D12" s="7"/>
      <c r="E12" s="7"/>
      <c r="F12" s="7"/>
      <c r="G12" s="6"/>
      <c r="H12" s="8"/>
      <c r="I12" s="7"/>
      <c r="J12" s="7"/>
      <c r="K12" s="7"/>
      <c r="L12" s="7"/>
      <c r="M12" s="7"/>
      <c r="N12" s="6"/>
      <c r="O12" s="8"/>
      <c r="P12" s="7"/>
      <c r="Q12" s="7"/>
      <c r="R12" s="7"/>
      <c r="S12" s="60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2"/>
      <c r="AX12" s="56"/>
      <c r="AY12" s="56"/>
      <c r="AZ12" s="56"/>
      <c r="BA12" s="56"/>
      <c r="BB12" s="56"/>
      <c r="BC12" s="57"/>
      <c r="BD12" s="59"/>
      <c r="BE12" s="56"/>
      <c r="BF12" s="56"/>
      <c r="BG12" s="56"/>
      <c r="BH12" s="56"/>
      <c r="BI12" s="56"/>
      <c r="BJ12" s="57"/>
      <c r="BK12" s="18"/>
    </row>
    <row r="13" spans="1:63" ht="15" customHeight="1" x14ac:dyDescent="0.25">
      <c r="A13" s="15"/>
      <c r="B13" s="45">
        <v>45455</v>
      </c>
      <c r="C13" s="10"/>
      <c r="D13" s="10"/>
      <c r="E13" s="10"/>
      <c r="F13" s="10"/>
      <c r="G13" s="9"/>
      <c r="H13" s="11" t="s">
        <v>62</v>
      </c>
      <c r="I13" s="10"/>
      <c r="J13" s="10"/>
      <c r="K13" s="10"/>
      <c r="L13" s="10"/>
      <c r="M13" s="10"/>
      <c r="N13" s="9"/>
      <c r="O13" s="11">
        <v>0.2</v>
      </c>
      <c r="P13" s="10"/>
      <c r="Q13" s="10"/>
      <c r="R13" s="10"/>
      <c r="S13" s="51" t="s">
        <v>39</v>
      </c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3"/>
      <c r="AX13" s="54"/>
      <c r="AY13" s="54"/>
      <c r="AZ13" s="54"/>
      <c r="BA13" s="54"/>
      <c r="BB13" s="54"/>
      <c r="BC13" s="55"/>
      <c r="BD13" s="58"/>
      <c r="BE13" s="54"/>
      <c r="BF13" s="54"/>
      <c r="BG13" s="54"/>
      <c r="BH13" s="54"/>
      <c r="BI13" s="54"/>
      <c r="BJ13" s="55"/>
      <c r="BK13" s="18"/>
    </row>
    <row r="14" spans="1:63" ht="15" customHeight="1" x14ac:dyDescent="0.25">
      <c r="A14" s="15"/>
      <c r="B14" s="8"/>
      <c r="C14" s="7"/>
      <c r="D14" s="7"/>
      <c r="E14" s="7"/>
      <c r="F14" s="7"/>
      <c r="G14" s="6"/>
      <c r="H14" s="8"/>
      <c r="I14" s="7"/>
      <c r="J14" s="7"/>
      <c r="K14" s="7"/>
      <c r="L14" s="7"/>
      <c r="M14" s="7"/>
      <c r="N14" s="6"/>
      <c r="O14" s="8"/>
      <c r="P14" s="7"/>
      <c r="Q14" s="7"/>
      <c r="R14" s="7"/>
      <c r="S14" s="60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2"/>
      <c r="AX14" s="56"/>
      <c r="AY14" s="56"/>
      <c r="AZ14" s="56"/>
      <c r="BA14" s="56"/>
      <c r="BB14" s="56"/>
      <c r="BC14" s="57"/>
      <c r="BD14" s="59"/>
      <c r="BE14" s="56"/>
      <c r="BF14" s="56"/>
      <c r="BG14" s="56"/>
      <c r="BH14" s="56"/>
      <c r="BI14" s="56"/>
      <c r="BJ14" s="57"/>
      <c r="BK14" s="18"/>
    </row>
    <row r="15" spans="1:63" ht="15" customHeight="1" x14ac:dyDescent="0.25">
      <c r="A15" s="15"/>
      <c r="B15" s="45">
        <v>45462</v>
      </c>
      <c r="C15" s="10"/>
      <c r="D15" s="10"/>
      <c r="E15" s="10"/>
      <c r="F15" s="10"/>
      <c r="G15" s="9"/>
      <c r="H15" s="11" t="s">
        <v>34</v>
      </c>
      <c r="I15" s="10"/>
      <c r="J15" s="10"/>
      <c r="K15" s="10"/>
      <c r="L15" s="10"/>
      <c r="M15" s="10"/>
      <c r="N15" s="9"/>
      <c r="O15" s="11">
        <v>0.3</v>
      </c>
      <c r="P15" s="10"/>
      <c r="Q15" s="10"/>
      <c r="R15" s="10"/>
      <c r="S15" s="51" t="s">
        <v>41</v>
      </c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3"/>
      <c r="AX15" s="54"/>
      <c r="AY15" s="54"/>
      <c r="AZ15" s="54"/>
      <c r="BA15" s="54"/>
      <c r="BB15" s="54"/>
      <c r="BC15" s="55"/>
      <c r="BD15" s="58"/>
      <c r="BE15" s="54"/>
      <c r="BF15" s="54"/>
      <c r="BG15" s="54"/>
      <c r="BH15" s="54"/>
      <c r="BI15" s="54"/>
      <c r="BJ15" s="55"/>
      <c r="BK15" s="18"/>
    </row>
    <row r="16" spans="1:63" ht="15" customHeight="1" x14ac:dyDescent="0.25">
      <c r="A16" s="15"/>
      <c r="B16" s="8"/>
      <c r="C16" s="7"/>
      <c r="D16" s="7"/>
      <c r="E16" s="7"/>
      <c r="F16" s="7"/>
      <c r="G16" s="6"/>
      <c r="H16" s="8"/>
      <c r="I16" s="7"/>
      <c r="J16" s="7"/>
      <c r="K16" s="7"/>
      <c r="L16" s="7"/>
      <c r="M16" s="7"/>
      <c r="N16" s="6"/>
      <c r="O16" s="8"/>
      <c r="P16" s="7"/>
      <c r="Q16" s="7"/>
      <c r="R16" s="7"/>
      <c r="S16" s="60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2"/>
      <c r="AX16" s="56"/>
      <c r="AY16" s="56"/>
      <c r="AZ16" s="56"/>
      <c r="BA16" s="56"/>
      <c r="BB16" s="56"/>
      <c r="BC16" s="57"/>
      <c r="BD16" s="59"/>
      <c r="BE16" s="56"/>
      <c r="BF16" s="56"/>
      <c r="BG16" s="56"/>
      <c r="BH16" s="56"/>
      <c r="BI16" s="56"/>
      <c r="BJ16" s="57"/>
      <c r="BK16" s="18"/>
    </row>
    <row r="17" spans="1:63" ht="15" customHeight="1" x14ac:dyDescent="0.25">
      <c r="A17" s="15"/>
      <c r="B17" s="255">
        <v>45531</v>
      </c>
      <c r="C17" s="256"/>
      <c r="D17" s="256"/>
      <c r="E17" s="256"/>
      <c r="F17" s="256"/>
      <c r="G17" s="257"/>
      <c r="H17" s="258" t="s">
        <v>67</v>
      </c>
      <c r="I17" s="256"/>
      <c r="J17" s="256"/>
      <c r="K17" s="256"/>
      <c r="L17" s="256"/>
      <c r="M17" s="256"/>
      <c r="N17" s="257"/>
      <c r="O17" s="258">
        <v>0.4</v>
      </c>
      <c r="P17" s="256"/>
      <c r="Q17" s="256"/>
      <c r="R17" s="256"/>
      <c r="S17" s="259" t="s">
        <v>69</v>
      </c>
      <c r="T17" s="260"/>
      <c r="U17" s="260"/>
      <c r="V17" s="260"/>
      <c r="W17" s="260"/>
      <c r="X17" s="260"/>
      <c r="Y17" s="260"/>
      <c r="Z17" s="260"/>
      <c r="AA17" s="260"/>
      <c r="AB17" s="260"/>
      <c r="AC17" s="260"/>
      <c r="AD17" s="260"/>
      <c r="AE17" s="260"/>
      <c r="AF17" s="260"/>
      <c r="AG17" s="260"/>
      <c r="AH17" s="260"/>
      <c r="AI17" s="260"/>
      <c r="AJ17" s="260"/>
      <c r="AK17" s="260"/>
      <c r="AL17" s="260"/>
      <c r="AM17" s="260"/>
      <c r="AN17" s="260"/>
      <c r="AO17" s="260"/>
      <c r="AP17" s="260"/>
      <c r="AQ17" s="260"/>
      <c r="AR17" s="260"/>
      <c r="AS17" s="260"/>
      <c r="AT17" s="260"/>
      <c r="AU17" s="260"/>
      <c r="AV17" s="260"/>
      <c r="AW17" s="261"/>
      <c r="AX17" s="54"/>
      <c r="AY17" s="54"/>
      <c r="AZ17" s="54"/>
      <c r="BA17" s="54"/>
      <c r="BB17" s="54"/>
      <c r="BC17" s="55"/>
      <c r="BD17" s="58"/>
      <c r="BE17" s="54"/>
      <c r="BF17" s="54"/>
      <c r="BG17" s="54"/>
      <c r="BH17" s="54"/>
      <c r="BI17" s="54"/>
      <c r="BJ17" s="55"/>
      <c r="BK17" s="18"/>
    </row>
    <row r="18" spans="1:63" ht="30" customHeight="1" x14ac:dyDescent="0.25">
      <c r="A18" s="15"/>
      <c r="B18" s="262"/>
      <c r="C18" s="263"/>
      <c r="D18" s="263"/>
      <c r="E18" s="263"/>
      <c r="F18" s="263"/>
      <c r="G18" s="264"/>
      <c r="H18" s="262"/>
      <c r="I18" s="263"/>
      <c r="J18" s="263"/>
      <c r="K18" s="263"/>
      <c r="L18" s="263"/>
      <c r="M18" s="263"/>
      <c r="N18" s="264"/>
      <c r="O18" s="262"/>
      <c r="P18" s="263"/>
      <c r="Q18" s="263"/>
      <c r="R18" s="263"/>
      <c r="S18" s="267" t="s">
        <v>68</v>
      </c>
      <c r="T18" s="265"/>
      <c r="U18" s="265"/>
      <c r="V18" s="265"/>
      <c r="W18" s="265"/>
      <c r="X18" s="265"/>
      <c r="Y18" s="265"/>
      <c r="Z18" s="265"/>
      <c r="AA18" s="265"/>
      <c r="AB18" s="265"/>
      <c r="AC18" s="265"/>
      <c r="AD18" s="265"/>
      <c r="AE18" s="265"/>
      <c r="AF18" s="265"/>
      <c r="AG18" s="265"/>
      <c r="AH18" s="265"/>
      <c r="AI18" s="265"/>
      <c r="AJ18" s="265"/>
      <c r="AK18" s="265"/>
      <c r="AL18" s="265"/>
      <c r="AM18" s="265"/>
      <c r="AN18" s="265"/>
      <c r="AO18" s="265"/>
      <c r="AP18" s="265"/>
      <c r="AQ18" s="265"/>
      <c r="AR18" s="265"/>
      <c r="AS18" s="265"/>
      <c r="AT18" s="265"/>
      <c r="AU18" s="265"/>
      <c r="AV18" s="265"/>
      <c r="AW18" s="266"/>
      <c r="AX18" s="56"/>
      <c r="AY18" s="56"/>
      <c r="AZ18" s="56"/>
      <c r="BA18" s="56"/>
      <c r="BB18" s="56"/>
      <c r="BC18" s="57"/>
      <c r="BD18" s="59"/>
      <c r="BE18" s="56"/>
      <c r="BF18" s="56"/>
      <c r="BG18" s="56"/>
      <c r="BH18" s="56"/>
      <c r="BI18" s="56"/>
      <c r="BJ18" s="57"/>
      <c r="BK18" s="18"/>
    </row>
    <row r="19" spans="1:63" ht="15" customHeight="1" x14ac:dyDescent="0.25">
      <c r="A19" s="15"/>
      <c r="B19" s="11"/>
      <c r="C19" s="10"/>
      <c r="D19" s="10"/>
      <c r="E19" s="10"/>
      <c r="F19" s="10"/>
      <c r="G19" s="9"/>
      <c r="H19" s="11"/>
      <c r="I19" s="10"/>
      <c r="J19" s="10"/>
      <c r="K19" s="10"/>
      <c r="L19" s="10"/>
      <c r="M19" s="10"/>
      <c r="N19" s="9"/>
      <c r="O19" s="11"/>
      <c r="P19" s="10"/>
      <c r="Q19" s="10"/>
      <c r="R19" s="10"/>
      <c r="S19" s="51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3"/>
      <c r="AX19" s="54"/>
      <c r="AY19" s="54"/>
      <c r="AZ19" s="54"/>
      <c r="BA19" s="54"/>
      <c r="BB19" s="54"/>
      <c r="BC19" s="55"/>
      <c r="BD19" s="58"/>
      <c r="BE19" s="54"/>
      <c r="BF19" s="54"/>
      <c r="BG19" s="54"/>
      <c r="BH19" s="54"/>
      <c r="BI19" s="54"/>
      <c r="BJ19" s="55"/>
      <c r="BK19" s="18"/>
    </row>
    <row r="20" spans="1:63" ht="15" customHeight="1" x14ac:dyDescent="0.25">
      <c r="A20" s="15"/>
      <c r="B20" s="8"/>
      <c r="C20" s="7"/>
      <c r="D20" s="7"/>
      <c r="E20" s="7"/>
      <c r="F20" s="7"/>
      <c r="G20" s="6"/>
      <c r="H20" s="8"/>
      <c r="I20" s="7"/>
      <c r="J20" s="7"/>
      <c r="K20" s="7"/>
      <c r="L20" s="7"/>
      <c r="M20" s="7"/>
      <c r="N20" s="6"/>
      <c r="O20" s="8"/>
      <c r="P20" s="7"/>
      <c r="Q20" s="7"/>
      <c r="R20" s="7"/>
      <c r="S20" s="60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2"/>
      <c r="AX20" s="56"/>
      <c r="AY20" s="56"/>
      <c r="AZ20" s="56"/>
      <c r="BA20" s="56"/>
      <c r="BB20" s="56"/>
      <c r="BC20" s="57"/>
      <c r="BD20" s="59"/>
      <c r="BE20" s="56"/>
      <c r="BF20" s="56"/>
      <c r="BG20" s="56"/>
      <c r="BH20" s="56"/>
      <c r="BI20" s="56"/>
      <c r="BJ20" s="57"/>
      <c r="BK20" s="18"/>
    </row>
    <row r="21" spans="1:63" ht="15" customHeight="1" x14ac:dyDescent="0.25">
      <c r="A21" s="15"/>
      <c r="B21" s="11"/>
      <c r="C21" s="10"/>
      <c r="D21" s="10"/>
      <c r="E21" s="10"/>
      <c r="F21" s="10"/>
      <c r="G21" s="9"/>
      <c r="H21" s="11"/>
      <c r="I21" s="10"/>
      <c r="J21" s="10"/>
      <c r="K21" s="10"/>
      <c r="L21" s="10"/>
      <c r="M21" s="10"/>
      <c r="N21" s="9"/>
      <c r="O21" s="11"/>
      <c r="P21" s="10"/>
      <c r="Q21" s="10"/>
      <c r="R21" s="10"/>
      <c r="S21" s="51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3"/>
      <c r="AX21" s="54"/>
      <c r="AY21" s="54"/>
      <c r="AZ21" s="54"/>
      <c r="BA21" s="54"/>
      <c r="BB21" s="54"/>
      <c r="BC21" s="55"/>
      <c r="BD21" s="58"/>
      <c r="BE21" s="54"/>
      <c r="BF21" s="54"/>
      <c r="BG21" s="54"/>
      <c r="BH21" s="54"/>
      <c r="BI21" s="54"/>
      <c r="BJ21" s="55"/>
      <c r="BK21" s="18"/>
    </row>
    <row r="22" spans="1:63" ht="15" customHeight="1" x14ac:dyDescent="0.25">
      <c r="A22" s="15"/>
      <c r="B22" s="8"/>
      <c r="C22" s="7"/>
      <c r="D22" s="7"/>
      <c r="E22" s="7"/>
      <c r="F22" s="7"/>
      <c r="G22" s="6"/>
      <c r="H22" s="8"/>
      <c r="I22" s="7"/>
      <c r="J22" s="7"/>
      <c r="K22" s="7"/>
      <c r="L22" s="7"/>
      <c r="M22" s="7"/>
      <c r="N22" s="6"/>
      <c r="O22" s="8"/>
      <c r="P22" s="7"/>
      <c r="Q22" s="7"/>
      <c r="R22" s="7"/>
      <c r="S22" s="60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2"/>
      <c r="AX22" s="56"/>
      <c r="AY22" s="56"/>
      <c r="AZ22" s="56"/>
      <c r="BA22" s="56"/>
      <c r="BB22" s="56"/>
      <c r="BC22" s="57"/>
      <c r="BD22" s="59"/>
      <c r="BE22" s="56"/>
      <c r="BF22" s="56"/>
      <c r="BG22" s="56"/>
      <c r="BH22" s="56"/>
      <c r="BI22" s="56"/>
      <c r="BJ22" s="57"/>
      <c r="BK22" s="18"/>
    </row>
    <row r="23" spans="1:63" ht="15" customHeight="1" x14ac:dyDescent="0.25">
      <c r="A23" s="15"/>
      <c r="B23" s="11"/>
      <c r="C23" s="10"/>
      <c r="D23" s="10"/>
      <c r="E23" s="10"/>
      <c r="F23" s="10"/>
      <c r="G23" s="9"/>
      <c r="H23" s="11"/>
      <c r="I23" s="10"/>
      <c r="J23" s="10"/>
      <c r="K23" s="10"/>
      <c r="L23" s="10"/>
      <c r="M23" s="10"/>
      <c r="N23" s="9"/>
      <c r="O23" s="11"/>
      <c r="P23" s="10"/>
      <c r="Q23" s="10"/>
      <c r="R23" s="10"/>
      <c r="S23" s="51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3"/>
      <c r="AX23" s="54"/>
      <c r="AY23" s="54"/>
      <c r="AZ23" s="54"/>
      <c r="BA23" s="54"/>
      <c r="BB23" s="54"/>
      <c r="BC23" s="55"/>
      <c r="BD23" s="58"/>
      <c r="BE23" s="54"/>
      <c r="BF23" s="54"/>
      <c r="BG23" s="54"/>
      <c r="BH23" s="54"/>
      <c r="BI23" s="54"/>
      <c r="BJ23" s="55"/>
      <c r="BK23" s="18"/>
    </row>
    <row r="24" spans="1:63" ht="15" customHeight="1" x14ac:dyDescent="0.25">
      <c r="A24" s="15"/>
      <c r="B24" s="8"/>
      <c r="C24" s="7"/>
      <c r="D24" s="7"/>
      <c r="E24" s="7"/>
      <c r="F24" s="7"/>
      <c r="G24" s="6"/>
      <c r="H24" s="8"/>
      <c r="I24" s="7"/>
      <c r="J24" s="7"/>
      <c r="K24" s="7"/>
      <c r="L24" s="7"/>
      <c r="M24" s="7"/>
      <c r="N24" s="6"/>
      <c r="O24" s="8"/>
      <c r="P24" s="7"/>
      <c r="Q24" s="7"/>
      <c r="R24" s="7"/>
      <c r="S24" s="60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2"/>
      <c r="AX24" s="56"/>
      <c r="AY24" s="56"/>
      <c r="AZ24" s="56"/>
      <c r="BA24" s="56"/>
      <c r="BB24" s="56"/>
      <c r="BC24" s="57"/>
      <c r="BD24" s="59"/>
      <c r="BE24" s="56"/>
      <c r="BF24" s="56"/>
      <c r="BG24" s="56"/>
      <c r="BH24" s="56"/>
      <c r="BI24" s="56"/>
      <c r="BJ24" s="57"/>
      <c r="BK24" s="18"/>
    </row>
    <row r="25" spans="1:63" ht="15" customHeight="1" x14ac:dyDescent="0.25">
      <c r="A25" s="15"/>
      <c r="B25" s="11"/>
      <c r="C25" s="10"/>
      <c r="D25" s="10"/>
      <c r="E25" s="10"/>
      <c r="F25" s="10"/>
      <c r="G25" s="9"/>
      <c r="H25" s="11"/>
      <c r="I25" s="10"/>
      <c r="J25" s="10"/>
      <c r="K25" s="10"/>
      <c r="L25" s="10"/>
      <c r="M25" s="10"/>
      <c r="N25" s="9"/>
      <c r="O25" s="11"/>
      <c r="P25" s="10"/>
      <c r="Q25" s="10"/>
      <c r="R25" s="10"/>
      <c r="S25" s="51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3"/>
      <c r="AX25" s="54"/>
      <c r="AY25" s="54"/>
      <c r="AZ25" s="54"/>
      <c r="BA25" s="54"/>
      <c r="BB25" s="54"/>
      <c r="BC25" s="55"/>
      <c r="BD25" s="58"/>
      <c r="BE25" s="54"/>
      <c r="BF25" s="54"/>
      <c r="BG25" s="54"/>
      <c r="BH25" s="54"/>
      <c r="BI25" s="54"/>
      <c r="BJ25" s="55"/>
      <c r="BK25" s="18"/>
    </row>
    <row r="26" spans="1:63" ht="15" customHeight="1" x14ac:dyDescent="0.25">
      <c r="A26" s="15"/>
      <c r="B26" s="8"/>
      <c r="C26" s="7"/>
      <c r="D26" s="7"/>
      <c r="E26" s="7"/>
      <c r="F26" s="7"/>
      <c r="G26" s="6"/>
      <c r="H26" s="8"/>
      <c r="I26" s="7"/>
      <c r="J26" s="7"/>
      <c r="K26" s="7"/>
      <c r="L26" s="7"/>
      <c r="M26" s="7"/>
      <c r="N26" s="6"/>
      <c r="O26" s="8"/>
      <c r="P26" s="7"/>
      <c r="Q26" s="7"/>
      <c r="R26" s="7"/>
      <c r="S26" s="60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2"/>
      <c r="AX26" s="56"/>
      <c r="AY26" s="56"/>
      <c r="AZ26" s="56"/>
      <c r="BA26" s="56"/>
      <c r="BB26" s="56"/>
      <c r="BC26" s="57"/>
      <c r="BD26" s="59"/>
      <c r="BE26" s="56"/>
      <c r="BF26" s="56"/>
      <c r="BG26" s="56"/>
      <c r="BH26" s="56"/>
      <c r="BI26" s="56"/>
      <c r="BJ26" s="57"/>
      <c r="BK26" s="18"/>
    </row>
    <row r="27" spans="1:63" ht="15" customHeight="1" x14ac:dyDescent="0.25">
      <c r="A27" s="15"/>
      <c r="B27" s="11"/>
      <c r="C27" s="10"/>
      <c r="D27" s="10"/>
      <c r="E27" s="10"/>
      <c r="F27" s="10"/>
      <c r="G27" s="9"/>
      <c r="H27" s="11"/>
      <c r="I27" s="10"/>
      <c r="J27" s="10"/>
      <c r="K27" s="10"/>
      <c r="L27" s="10"/>
      <c r="M27" s="10"/>
      <c r="N27" s="9"/>
      <c r="O27" s="11"/>
      <c r="P27" s="10"/>
      <c r="Q27" s="10"/>
      <c r="R27" s="10"/>
      <c r="S27" s="51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3"/>
      <c r="AX27" s="54"/>
      <c r="AY27" s="54"/>
      <c r="AZ27" s="54"/>
      <c r="BA27" s="54"/>
      <c r="BB27" s="54"/>
      <c r="BC27" s="55"/>
      <c r="BD27" s="58"/>
      <c r="BE27" s="54"/>
      <c r="BF27" s="54"/>
      <c r="BG27" s="54"/>
      <c r="BH27" s="54"/>
      <c r="BI27" s="54"/>
      <c r="BJ27" s="55"/>
      <c r="BK27" s="18"/>
    </row>
    <row r="28" spans="1:63" ht="15" customHeight="1" x14ac:dyDescent="0.25">
      <c r="A28" s="15"/>
      <c r="B28" s="8"/>
      <c r="C28" s="7"/>
      <c r="D28" s="7"/>
      <c r="E28" s="7"/>
      <c r="F28" s="7"/>
      <c r="G28" s="6"/>
      <c r="H28" s="8"/>
      <c r="I28" s="7"/>
      <c r="J28" s="7"/>
      <c r="K28" s="7"/>
      <c r="L28" s="7"/>
      <c r="M28" s="7"/>
      <c r="N28" s="6"/>
      <c r="O28" s="8"/>
      <c r="P28" s="7"/>
      <c r="Q28" s="7"/>
      <c r="R28" s="7"/>
      <c r="S28" s="60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2"/>
      <c r="AX28" s="56"/>
      <c r="AY28" s="56"/>
      <c r="AZ28" s="56"/>
      <c r="BA28" s="56"/>
      <c r="BB28" s="56"/>
      <c r="BC28" s="57"/>
      <c r="BD28" s="59"/>
      <c r="BE28" s="56"/>
      <c r="BF28" s="56"/>
      <c r="BG28" s="56"/>
      <c r="BH28" s="56"/>
      <c r="BI28" s="56"/>
      <c r="BJ28" s="57"/>
      <c r="BK28" s="18"/>
    </row>
    <row r="29" spans="1:63" ht="15" customHeight="1" x14ac:dyDescent="0.25">
      <c r="A29" s="15"/>
      <c r="B29" s="11"/>
      <c r="C29" s="10"/>
      <c r="D29" s="10"/>
      <c r="E29" s="10"/>
      <c r="F29" s="10"/>
      <c r="G29" s="9"/>
      <c r="H29" s="11"/>
      <c r="I29" s="10"/>
      <c r="J29" s="10"/>
      <c r="K29" s="10"/>
      <c r="L29" s="10"/>
      <c r="M29" s="10"/>
      <c r="N29" s="9"/>
      <c r="O29" s="11"/>
      <c r="P29" s="10"/>
      <c r="Q29" s="10"/>
      <c r="R29" s="10"/>
      <c r="S29" s="51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3"/>
      <c r="AX29" s="54"/>
      <c r="AY29" s="54"/>
      <c r="AZ29" s="54"/>
      <c r="BA29" s="54"/>
      <c r="BB29" s="54"/>
      <c r="BC29" s="55"/>
      <c r="BD29" s="58"/>
      <c r="BE29" s="54"/>
      <c r="BF29" s="54"/>
      <c r="BG29" s="54"/>
      <c r="BH29" s="54"/>
      <c r="BI29" s="54"/>
      <c r="BJ29" s="55"/>
      <c r="BK29" s="18"/>
    </row>
    <row r="30" spans="1:63" ht="15" customHeight="1" x14ac:dyDescent="0.25">
      <c r="A30" s="15"/>
      <c r="B30" s="8"/>
      <c r="C30" s="7"/>
      <c r="D30" s="7"/>
      <c r="E30" s="7"/>
      <c r="F30" s="7"/>
      <c r="G30" s="6"/>
      <c r="H30" s="8"/>
      <c r="I30" s="7"/>
      <c r="J30" s="7"/>
      <c r="K30" s="7"/>
      <c r="L30" s="7"/>
      <c r="M30" s="7"/>
      <c r="N30" s="6"/>
      <c r="O30" s="8"/>
      <c r="P30" s="7"/>
      <c r="Q30" s="7"/>
      <c r="R30" s="7"/>
      <c r="S30" s="60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2"/>
      <c r="AX30" s="56"/>
      <c r="AY30" s="56"/>
      <c r="AZ30" s="56"/>
      <c r="BA30" s="56"/>
      <c r="BB30" s="56"/>
      <c r="BC30" s="57"/>
      <c r="BD30" s="59"/>
      <c r="BE30" s="56"/>
      <c r="BF30" s="56"/>
      <c r="BG30" s="56"/>
      <c r="BH30" s="56"/>
      <c r="BI30" s="56"/>
      <c r="BJ30" s="57"/>
      <c r="BK30" s="18"/>
    </row>
    <row r="31" spans="1:63" ht="15" customHeight="1" x14ac:dyDescent="0.25">
      <c r="A31" s="15"/>
      <c r="B31" s="11"/>
      <c r="C31" s="10"/>
      <c r="D31" s="10"/>
      <c r="E31" s="10"/>
      <c r="F31" s="10"/>
      <c r="G31" s="9"/>
      <c r="H31" s="11"/>
      <c r="I31" s="10"/>
      <c r="J31" s="10"/>
      <c r="K31" s="10"/>
      <c r="L31" s="10"/>
      <c r="M31" s="10"/>
      <c r="N31" s="9"/>
      <c r="O31" s="11"/>
      <c r="P31" s="10"/>
      <c r="Q31" s="10"/>
      <c r="R31" s="10"/>
      <c r="S31" s="51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3"/>
      <c r="AX31" s="54"/>
      <c r="AY31" s="54"/>
      <c r="AZ31" s="54"/>
      <c r="BA31" s="54"/>
      <c r="BB31" s="54"/>
      <c r="BC31" s="55"/>
      <c r="BD31" s="58"/>
      <c r="BE31" s="54"/>
      <c r="BF31" s="54"/>
      <c r="BG31" s="54"/>
      <c r="BH31" s="54"/>
      <c r="BI31" s="54"/>
      <c r="BJ31" s="55"/>
      <c r="BK31" s="18"/>
    </row>
    <row r="32" spans="1:63" ht="15" customHeight="1" x14ac:dyDescent="0.25">
      <c r="A32" s="15"/>
      <c r="B32" s="8"/>
      <c r="C32" s="7"/>
      <c r="D32" s="7"/>
      <c r="E32" s="7"/>
      <c r="F32" s="7"/>
      <c r="G32" s="6"/>
      <c r="H32" s="8"/>
      <c r="I32" s="7"/>
      <c r="J32" s="7"/>
      <c r="K32" s="7"/>
      <c r="L32" s="7"/>
      <c r="M32" s="7"/>
      <c r="N32" s="6"/>
      <c r="O32" s="8"/>
      <c r="P32" s="7"/>
      <c r="Q32" s="7"/>
      <c r="R32" s="7"/>
      <c r="S32" s="60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2"/>
      <c r="AX32" s="56"/>
      <c r="AY32" s="56"/>
      <c r="AZ32" s="56"/>
      <c r="BA32" s="56"/>
      <c r="BB32" s="56"/>
      <c r="BC32" s="57"/>
      <c r="BD32" s="59"/>
      <c r="BE32" s="56"/>
      <c r="BF32" s="56"/>
      <c r="BG32" s="56"/>
      <c r="BH32" s="56"/>
      <c r="BI32" s="56"/>
      <c r="BJ32" s="57"/>
      <c r="BK32" s="18"/>
    </row>
    <row r="33" spans="1:63" ht="15" customHeight="1" x14ac:dyDescent="0.25">
      <c r="A33" s="15"/>
      <c r="B33" s="11"/>
      <c r="C33" s="10"/>
      <c r="D33" s="10"/>
      <c r="E33" s="10"/>
      <c r="F33" s="10"/>
      <c r="G33" s="9"/>
      <c r="H33" s="11"/>
      <c r="I33" s="10"/>
      <c r="J33" s="10"/>
      <c r="K33" s="10"/>
      <c r="L33" s="10"/>
      <c r="M33" s="10"/>
      <c r="N33" s="9"/>
      <c r="O33" s="11"/>
      <c r="P33" s="10"/>
      <c r="Q33" s="10"/>
      <c r="R33" s="10"/>
      <c r="S33" s="51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3"/>
      <c r="AX33" s="54"/>
      <c r="AY33" s="54"/>
      <c r="AZ33" s="54"/>
      <c r="BA33" s="54"/>
      <c r="BB33" s="54"/>
      <c r="BC33" s="55"/>
      <c r="BD33" s="58"/>
      <c r="BE33" s="54"/>
      <c r="BF33" s="54"/>
      <c r="BG33" s="54"/>
      <c r="BH33" s="54"/>
      <c r="BI33" s="54"/>
      <c r="BJ33" s="55"/>
      <c r="BK33" s="18"/>
    </row>
    <row r="34" spans="1:63" ht="15" customHeight="1" x14ac:dyDescent="0.25">
      <c r="A34" s="15"/>
      <c r="B34" s="8"/>
      <c r="C34" s="7"/>
      <c r="D34" s="7"/>
      <c r="E34" s="7"/>
      <c r="F34" s="7"/>
      <c r="G34" s="6"/>
      <c r="H34" s="8"/>
      <c r="I34" s="7"/>
      <c r="J34" s="7"/>
      <c r="K34" s="7"/>
      <c r="L34" s="7"/>
      <c r="M34" s="7"/>
      <c r="N34" s="6"/>
      <c r="O34" s="8"/>
      <c r="P34" s="7"/>
      <c r="Q34" s="7"/>
      <c r="R34" s="7"/>
      <c r="S34" s="60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2"/>
      <c r="AX34" s="56"/>
      <c r="AY34" s="56"/>
      <c r="AZ34" s="56"/>
      <c r="BA34" s="56"/>
      <c r="BB34" s="56"/>
      <c r="BC34" s="57"/>
      <c r="BD34" s="59"/>
      <c r="BE34" s="56"/>
      <c r="BF34" s="56"/>
      <c r="BG34" s="56"/>
      <c r="BH34" s="56"/>
      <c r="BI34" s="56"/>
      <c r="BJ34" s="57"/>
      <c r="BK34" s="18"/>
    </row>
    <row r="35" spans="1:63" ht="15" customHeight="1" x14ac:dyDescent="0.25">
      <c r="A35" s="15"/>
      <c r="B35" s="11"/>
      <c r="C35" s="10"/>
      <c r="D35" s="10"/>
      <c r="E35" s="10"/>
      <c r="F35" s="10"/>
      <c r="G35" s="9"/>
      <c r="H35" s="11"/>
      <c r="I35" s="10"/>
      <c r="J35" s="10"/>
      <c r="K35" s="10"/>
      <c r="L35" s="10"/>
      <c r="M35" s="10"/>
      <c r="N35" s="9"/>
      <c r="O35" s="11"/>
      <c r="P35" s="10"/>
      <c r="Q35" s="10"/>
      <c r="R35" s="10"/>
      <c r="S35" s="51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3"/>
      <c r="AX35" s="54"/>
      <c r="AY35" s="54"/>
      <c r="AZ35" s="54"/>
      <c r="BA35" s="54"/>
      <c r="BB35" s="54"/>
      <c r="BC35" s="55"/>
      <c r="BD35" s="58"/>
      <c r="BE35" s="54"/>
      <c r="BF35" s="54"/>
      <c r="BG35" s="54"/>
      <c r="BH35" s="54"/>
      <c r="BI35" s="54"/>
      <c r="BJ35" s="55"/>
      <c r="BK35" s="18"/>
    </row>
    <row r="36" spans="1:63" ht="15" customHeight="1" x14ac:dyDescent="0.25">
      <c r="A36" s="15"/>
      <c r="B36" s="8"/>
      <c r="C36" s="7"/>
      <c r="D36" s="7"/>
      <c r="E36" s="7"/>
      <c r="F36" s="7"/>
      <c r="G36" s="6"/>
      <c r="H36" s="8"/>
      <c r="I36" s="7"/>
      <c r="J36" s="7"/>
      <c r="K36" s="7"/>
      <c r="L36" s="7"/>
      <c r="M36" s="7"/>
      <c r="N36" s="6"/>
      <c r="O36" s="8"/>
      <c r="P36" s="7"/>
      <c r="Q36" s="7"/>
      <c r="R36" s="7"/>
      <c r="S36" s="60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2"/>
      <c r="AX36" s="56"/>
      <c r="AY36" s="56"/>
      <c r="AZ36" s="56"/>
      <c r="BA36" s="56"/>
      <c r="BB36" s="56"/>
      <c r="BC36" s="57"/>
      <c r="BD36" s="59"/>
      <c r="BE36" s="56"/>
      <c r="BF36" s="56"/>
      <c r="BG36" s="56"/>
      <c r="BH36" s="56"/>
      <c r="BI36" s="56"/>
      <c r="BJ36" s="57"/>
      <c r="BK36" s="18"/>
    </row>
    <row r="37" spans="1:63" ht="15" customHeight="1" x14ac:dyDescent="0.25">
      <c r="A37" s="15"/>
      <c r="B37" s="11"/>
      <c r="C37" s="10"/>
      <c r="D37" s="10"/>
      <c r="E37" s="10"/>
      <c r="F37" s="10"/>
      <c r="G37" s="9"/>
      <c r="H37" s="11"/>
      <c r="I37" s="10"/>
      <c r="J37" s="10"/>
      <c r="K37" s="10"/>
      <c r="L37" s="10"/>
      <c r="M37" s="10"/>
      <c r="N37" s="9"/>
      <c r="O37" s="11"/>
      <c r="P37" s="10"/>
      <c r="Q37" s="10"/>
      <c r="R37" s="10"/>
      <c r="S37" s="51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3"/>
      <c r="AX37" s="54"/>
      <c r="AY37" s="54"/>
      <c r="AZ37" s="54"/>
      <c r="BA37" s="54"/>
      <c r="BB37" s="54"/>
      <c r="BC37" s="55"/>
      <c r="BD37" s="58"/>
      <c r="BE37" s="54"/>
      <c r="BF37" s="54"/>
      <c r="BG37" s="54"/>
      <c r="BH37" s="54"/>
      <c r="BI37" s="54"/>
      <c r="BJ37" s="55"/>
      <c r="BK37" s="18"/>
    </row>
    <row r="38" spans="1:63" ht="15" customHeight="1" x14ac:dyDescent="0.25">
      <c r="A38" s="15"/>
      <c r="B38" s="8"/>
      <c r="C38" s="7"/>
      <c r="D38" s="7"/>
      <c r="E38" s="7"/>
      <c r="F38" s="7"/>
      <c r="G38" s="6"/>
      <c r="H38" s="8"/>
      <c r="I38" s="7"/>
      <c r="J38" s="7"/>
      <c r="K38" s="7"/>
      <c r="L38" s="7"/>
      <c r="M38" s="7"/>
      <c r="N38" s="6"/>
      <c r="O38" s="8"/>
      <c r="P38" s="7"/>
      <c r="Q38" s="7"/>
      <c r="R38" s="7"/>
      <c r="S38" s="60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2"/>
      <c r="AX38" s="56"/>
      <c r="AY38" s="56"/>
      <c r="AZ38" s="56"/>
      <c r="BA38" s="56"/>
      <c r="BB38" s="56"/>
      <c r="BC38" s="57"/>
      <c r="BD38" s="59"/>
      <c r="BE38" s="56"/>
      <c r="BF38" s="56"/>
      <c r="BG38" s="56"/>
      <c r="BH38" s="56"/>
      <c r="BI38" s="56"/>
      <c r="BJ38" s="57"/>
      <c r="BK38" s="18"/>
    </row>
    <row r="39" spans="1:63" ht="15" customHeight="1" x14ac:dyDescent="0.25">
      <c r="A39" s="15"/>
      <c r="B39" s="11"/>
      <c r="C39" s="10"/>
      <c r="D39" s="10"/>
      <c r="E39" s="10"/>
      <c r="F39" s="10"/>
      <c r="G39" s="9"/>
      <c r="H39" s="11"/>
      <c r="I39" s="10"/>
      <c r="J39" s="10"/>
      <c r="K39" s="10"/>
      <c r="L39" s="10"/>
      <c r="M39" s="10"/>
      <c r="N39" s="9"/>
      <c r="O39" s="11"/>
      <c r="P39" s="10"/>
      <c r="Q39" s="10"/>
      <c r="R39" s="10"/>
      <c r="S39" s="51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3"/>
      <c r="AX39" s="54"/>
      <c r="AY39" s="54"/>
      <c r="AZ39" s="54"/>
      <c r="BA39" s="54"/>
      <c r="BB39" s="54"/>
      <c r="BC39" s="55"/>
      <c r="BD39" s="58"/>
      <c r="BE39" s="54"/>
      <c r="BF39" s="54"/>
      <c r="BG39" s="54"/>
      <c r="BH39" s="54"/>
      <c r="BI39" s="54"/>
      <c r="BJ39" s="55"/>
      <c r="BK39" s="18"/>
    </row>
    <row r="40" spans="1:63" ht="15" customHeight="1" x14ac:dyDescent="0.25">
      <c r="A40" s="15"/>
      <c r="B40" s="8"/>
      <c r="C40" s="7"/>
      <c r="D40" s="7"/>
      <c r="E40" s="7"/>
      <c r="F40" s="7"/>
      <c r="G40" s="6"/>
      <c r="H40" s="8"/>
      <c r="I40" s="7"/>
      <c r="J40" s="7"/>
      <c r="K40" s="7"/>
      <c r="L40" s="7"/>
      <c r="M40" s="7"/>
      <c r="N40" s="6"/>
      <c r="O40" s="8"/>
      <c r="P40" s="7"/>
      <c r="Q40" s="7"/>
      <c r="R40" s="7"/>
      <c r="S40" s="60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2"/>
      <c r="AX40" s="56"/>
      <c r="AY40" s="56"/>
      <c r="AZ40" s="56"/>
      <c r="BA40" s="56"/>
      <c r="BB40" s="56"/>
      <c r="BC40" s="57"/>
      <c r="BD40" s="59"/>
      <c r="BE40" s="56"/>
      <c r="BF40" s="56"/>
      <c r="BG40" s="56"/>
      <c r="BH40" s="56"/>
      <c r="BI40" s="56"/>
      <c r="BJ40" s="57"/>
      <c r="BK40" s="18"/>
    </row>
    <row r="41" spans="1:63" ht="15" customHeight="1" x14ac:dyDescent="0.25">
      <c r="A41" s="15"/>
      <c r="B41" s="11"/>
      <c r="C41" s="10"/>
      <c r="D41" s="10"/>
      <c r="E41" s="10"/>
      <c r="F41" s="10"/>
      <c r="G41" s="9"/>
      <c r="H41" s="11"/>
      <c r="I41" s="10"/>
      <c r="J41" s="10"/>
      <c r="K41" s="10"/>
      <c r="L41" s="10"/>
      <c r="M41" s="10"/>
      <c r="N41" s="9"/>
      <c r="O41" s="11"/>
      <c r="P41" s="10"/>
      <c r="Q41" s="10"/>
      <c r="R41" s="10"/>
      <c r="S41" s="51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3"/>
      <c r="AX41" s="54"/>
      <c r="AY41" s="54"/>
      <c r="AZ41" s="54"/>
      <c r="BA41" s="54"/>
      <c r="BB41" s="54"/>
      <c r="BC41" s="55"/>
      <c r="BD41" s="58"/>
      <c r="BE41" s="54"/>
      <c r="BF41" s="54"/>
      <c r="BG41" s="54"/>
      <c r="BH41" s="54"/>
      <c r="BI41" s="54"/>
      <c r="BJ41" s="55"/>
      <c r="BK41" s="18"/>
    </row>
    <row r="42" spans="1:63" ht="15" customHeight="1" x14ac:dyDescent="0.25">
      <c r="A42" s="15"/>
      <c r="B42" s="8"/>
      <c r="C42" s="7"/>
      <c r="D42" s="7"/>
      <c r="E42" s="7"/>
      <c r="F42" s="7"/>
      <c r="G42" s="6"/>
      <c r="H42" s="8"/>
      <c r="I42" s="7"/>
      <c r="J42" s="7"/>
      <c r="K42" s="7"/>
      <c r="L42" s="7"/>
      <c r="M42" s="7"/>
      <c r="N42" s="6"/>
      <c r="O42" s="8"/>
      <c r="P42" s="7"/>
      <c r="Q42" s="7"/>
      <c r="R42" s="7"/>
      <c r="S42" s="60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2"/>
      <c r="AX42" s="56"/>
      <c r="AY42" s="56"/>
      <c r="AZ42" s="56"/>
      <c r="BA42" s="56"/>
      <c r="BB42" s="56"/>
      <c r="BC42" s="57"/>
      <c r="BD42" s="59"/>
      <c r="BE42" s="56"/>
      <c r="BF42" s="56"/>
      <c r="BG42" s="56"/>
      <c r="BH42" s="56"/>
      <c r="BI42" s="56"/>
      <c r="BJ42" s="57"/>
      <c r="BK42" s="18"/>
    </row>
    <row r="43" spans="1:63" ht="15" customHeight="1" x14ac:dyDescent="0.25">
      <c r="A43" s="15"/>
      <c r="B43" s="11"/>
      <c r="C43" s="10"/>
      <c r="D43" s="10"/>
      <c r="E43" s="10"/>
      <c r="F43" s="10"/>
      <c r="G43" s="9"/>
      <c r="H43" s="11"/>
      <c r="I43" s="10"/>
      <c r="J43" s="10"/>
      <c r="K43" s="10"/>
      <c r="L43" s="10"/>
      <c r="M43" s="10"/>
      <c r="N43" s="9"/>
      <c r="O43" s="11"/>
      <c r="P43" s="10"/>
      <c r="Q43" s="10"/>
      <c r="R43" s="10"/>
      <c r="S43" s="51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3"/>
      <c r="AX43" s="54"/>
      <c r="AY43" s="54"/>
      <c r="AZ43" s="54"/>
      <c r="BA43" s="54"/>
      <c r="BB43" s="54"/>
      <c r="BC43" s="55"/>
      <c r="BD43" s="58"/>
      <c r="BE43" s="54"/>
      <c r="BF43" s="54"/>
      <c r="BG43" s="54"/>
      <c r="BH43" s="54"/>
      <c r="BI43" s="54"/>
      <c r="BJ43" s="55"/>
      <c r="BK43" s="18"/>
    </row>
    <row r="44" spans="1:63" ht="15" customHeight="1" x14ac:dyDescent="0.25">
      <c r="A44" s="15"/>
      <c r="B44" s="8"/>
      <c r="C44" s="7"/>
      <c r="D44" s="7"/>
      <c r="E44" s="7"/>
      <c r="F44" s="7"/>
      <c r="G44" s="6"/>
      <c r="H44" s="8"/>
      <c r="I44" s="7"/>
      <c r="J44" s="7"/>
      <c r="K44" s="7"/>
      <c r="L44" s="7"/>
      <c r="M44" s="7"/>
      <c r="N44" s="6"/>
      <c r="O44" s="8"/>
      <c r="P44" s="7"/>
      <c r="Q44" s="7"/>
      <c r="R44" s="7"/>
      <c r="S44" s="60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2"/>
      <c r="AX44" s="56"/>
      <c r="AY44" s="56"/>
      <c r="AZ44" s="56"/>
      <c r="BA44" s="56"/>
      <c r="BB44" s="56"/>
      <c r="BC44" s="57"/>
      <c r="BD44" s="59"/>
      <c r="BE44" s="56"/>
      <c r="BF44" s="56"/>
      <c r="BG44" s="56"/>
      <c r="BH44" s="56"/>
      <c r="BI44" s="56"/>
      <c r="BJ44" s="57"/>
      <c r="BK44" s="18"/>
    </row>
    <row r="45" spans="1:63" ht="15" customHeight="1" x14ac:dyDescent="0.25">
      <c r="A45" s="15"/>
      <c r="B45" s="11"/>
      <c r="C45" s="10"/>
      <c r="D45" s="10"/>
      <c r="E45" s="10"/>
      <c r="F45" s="10"/>
      <c r="G45" s="9"/>
      <c r="H45" s="11"/>
      <c r="I45" s="10"/>
      <c r="J45" s="10"/>
      <c r="K45" s="10"/>
      <c r="L45" s="10"/>
      <c r="M45" s="10"/>
      <c r="N45" s="9"/>
      <c r="O45" s="11"/>
      <c r="P45" s="10"/>
      <c r="Q45" s="10"/>
      <c r="R45" s="10"/>
      <c r="S45" s="51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3"/>
      <c r="AX45" s="54"/>
      <c r="AY45" s="54"/>
      <c r="AZ45" s="54"/>
      <c r="BA45" s="54"/>
      <c r="BB45" s="54"/>
      <c r="BC45" s="55"/>
      <c r="BD45" s="58"/>
      <c r="BE45" s="54"/>
      <c r="BF45" s="54"/>
      <c r="BG45" s="54"/>
      <c r="BH45" s="54"/>
      <c r="BI45" s="54"/>
      <c r="BJ45" s="55"/>
      <c r="BK45" s="18"/>
    </row>
    <row r="46" spans="1:63" ht="15" customHeight="1" x14ac:dyDescent="0.25">
      <c r="A46" s="15"/>
      <c r="B46" s="8"/>
      <c r="C46" s="7"/>
      <c r="D46" s="7"/>
      <c r="E46" s="7"/>
      <c r="F46" s="7"/>
      <c r="G46" s="6"/>
      <c r="H46" s="8"/>
      <c r="I46" s="7"/>
      <c r="J46" s="7"/>
      <c r="K46" s="7"/>
      <c r="L46" s="7"/>
      <c r="M46" s="7"/>
      <c r="N46" s="6"/>
      <c r="O46" s="8"/>
      <c r="P46" s="7"/>
      <c r="Q46" s="7"/>
      <c r="R46" s="7"/>
      <c r="S46" s="60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2"/>
      <c r="AX46" s="56"/>
      <c r="AY46" s="56"/>
      <c r="AZ46" s="56"/>
      <c r="BA46" s="56"/>
      <c r="BB46" s="56"/>
      <c r="BC46" s="57"/>
      <c r="BD46" s="59"/>
      <c r="BE46" s="56"/>
      <c r="BF46" s="56"/>
      <c r="BG46" s="56"/>
      <c r="BH46" s="56"/>
      <c r="BI46" s="56"/>
      <c r="BJ46" s="57"/>
      <c r="BK46" s="18"/>
    </row>
    <row r="47" spans="1:63" ht="15" customHeight="1" x14ac:dyDescent="0.25">
      <c r="A47" s="15"/>
      <c r="B47" s="11"/>
      <c r="C47" s="10"/>
      <c r="D47" s="10"/>
      <c r="E47" s="10"/>
      <c r="F47" s="10"/>
      <c r="G47" s="9"/>
      <c r="H47" s="11"/>
      <c r="I47" s="10"/>
      <c r="J47" s="10"/>
      <c r="K47" s="10"/>
      <c r="L47" s="10"/>
      <c r="M47" s="10"/>
      <c r="N47" s="9"/>
      <c r="O47" s="11"/>
      <c r="P47" s="10"/>
      <c r="Q47" s="10"/>
      <c r="R47" s="10"/>
      <c r="S47" s="51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3"/>
      <c r="AX47" s="54"/>
      <c r="AY47" s="54"/>
      <c r="AZ47" s="54"/>
      <c r="BA47" s="54"/>
      <c r="BB47" s="54"/>
      <c r="BC47" s="55"/>
      <c r="BD47" s="58"/>
      <c r="BE47" s="54"/>
      <c r="BF47" s="54"/>
      <c r="BG47" s="54"/>
      <c r="BH47" s="54"/>
      <c r="BI47" s="54"/>
      <c r="BJ47" s="55"/>
      <c r="BK47" s="18"/>
    </row>
    <row r="48" spans="1:63" ht="15" customHeight="1" x14ac:dyDescent="0.25">
      <c r="A48" s="15"/>
      <c r="B48" s="8"/>
      <c r="C48" s="7"/>
      <c r="D48" s="7"/>
      <c r="E48" s="7"/>
      <c r="F48" s="7"/>
      <c r="G48" s="6"/>
      <c r="H48" s="8"/>
      <c r="I48" s="7"/>
      <c r="J48" s="7"/>
      <c r="K48" s="7"/>
      <c r="L48" s="7"/>
      <c r="M48" s="7"/>
      <c r="N48" s="6"/>
      <c r="O48" s="8"/>
      <c r="P48" s="7"/>
      <c r="Q48" s="7"/>
      <c r="R48" s="7"/>
      <c r="S48" s="60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2"/>
      <c r="AX48" s="56"/>
      <c r="AY48" s="56"/>
      <c r="AZ48" s="56"/>
      <c r="BA48" s="56"/>
      <c r="BB48" s="56"/>
      <c r="BC48" s="57"/>
      <c r="BD48" s="59"/>
      <c r="BE48" s="56"/>
      <c r="BF48" s="56"/>
      <c r="BG48" s="56"/>
      <c r="BH48" s="56"/>
      <c r="BI48" s="56"/>
      <c r="BJ48" s="57"/>
      <c r="BK48" s="18"/>
    </row>
    <row r="49" spans="1:63" ht="15" customHeight="1" x14ac:dyDescent="0.25">
      <c r="A49" s="15"/>
      <c r="B49" s="11"/>
      <c r="C49" s="10"/>
      <c r="D49" s="10"/>
      <c r="E49" s="10"/>
      <c r="F49" s="10"/>
      <c r="G49" s="9"/>
      <c r="H49" s="11"/>
      <c r="I49" s="10"/>
      <c r="J49" s="10"/>
      <c r="K49" s="10"/>
      <c r="L49" s="10"/>
      <c r="M49" s="10"/>
      <c r="N49" s="9"/>
      <c r="O49" s="11"/>
      <c r="P49" s="10"/>
      <c r="Q49" s="10"/>
      <c r="R49" s="10"/>
      <c r="S49" s="51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3"/>
      <c r="AX49" s="54"/>
      <c r="AY49" s="54"/>
      <c r="AZ49" s="54"/>
      <c r="BA49" s="54"/>
      <c r="BB49" s="54"/>
      <c r="BC49" s="55"/>
      <c r="BD49" s="58"/>
      <c r="BE49" s="54"/>
      <c r="BF49" s="54"/>
      <c r="BG49" s="54"/>
      <c r="BH49" s="54"/>
      <c r="BI49" s="54"/>
      <c r="BJ49" s="55"/>
      <c r="BK49" s="18"/>
    </row>
    <row r="50" spans="1:63" ht="15" customHeight="1" x14ac:dyDescent="0.25">
      <c r="A50" s="15"/>
      <c r="B50" s="8"/>
      <c r="C50" s="7"/>
      <c r="D50" s="7"/>
      <c r="E50" s="7"/>
      <c r="F50" s="7"/>
      <c r="G50" s="6"/>
      <c r="H50" s="8"/>
      <c r="I50" s="7"/>
      <c r="J50" s="7"/>
      <c r="K50" s="7"/>
      <c r="L50" s="7"/>
      <c r="M50" s="7"/>
      <c r="N50" s="6"/>
      <c r="O50" s="8"/>
      <c r="P50" s="7"/>
      <c r="Q50" s="7"/>
      <c r="R50" s="7"/>
      <c r="S50" s="60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2"/>
      <c r="AX50" s="56"/>
      <c r="AY50" s="56"/>
      <c r="AZ50" s="56"/>
      <c r="BA50" s="56"/>
      <c r="BB50" s="56"/>
      <c r="BC50" s="57"/>
      <c r="BD50" s="59"/>
      <c r="BE50" s="56"/>
      <c r="BF50" s="56"/>
      <c r="BG50" s="56"/>
      <c r="BH50" s="56"/>
      <c r="BI50" s="56"/>
      <c r="BJ50" s="57"/>
      <c r="BK50" s="18"/>
    </row>
    <row r="51" spans="1:63" ht="15" customHeight="1" x14ac:dyDescent="0.25">
      <c r="A51" s="15"/>
      <c r="B51" s="11"/>
      <c r="C51" s="10"/>
      <c r="D51" s="10"/>
      <c r="E51" s="10"/>
      <c r="F51" s="10"/>
      <c r="G51" s="9"/>
      <c r="H51" s="11"/>
      <c r="I51" s="10"/>
      <c r="J51" s="10"/>
      <c r="K51" s="10"/>
      <c r="L51" s="10"/>
      <c r="M51" s="10"/>
      <c r="N51" s="9"/>
      <c r="O51" s="11"/>
      <c r="P51" s="10"/>
      <c r="Q51" s="10"/>
      <c r="R51" s="10"/>
      <c r="S51" s="51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3"/>
      <c r="AX51" s="54"/>
      <c r="AY51" s="54"/>
      <c r="AZ51" s="54"/>
      <c r="BA51" s="54"/>
      <c r="BB51" s="54"/>
      <c r="BC51" s="55"/>
      <c r="BD51" s="58"/>
      <c r="BE51" s="54"/>
      <c r="BF51" s="54"/>
      <c r="BG51" s="54"/>
      <c r="BH51" s="54"/>
      <c r="BI51" s="54"/>
      <c r="BJ51" s="55"/>
      <c r="BK51" s="18"/>
    </row>
    <row r="52" spans="1:63" ht="15" customHeight="1" x14ac:dyDescent="0.25">
      <c r="A52" s="15"/>
      <c r="B52" s="8"/>
      <c r="C52" s="7"/>
      <c r="D52" s="7"/>
      <c r="E52" s="7"/>
      <c r="F52" s="7"/>
      <c r="G52" s="6"/>
      <c r="H52" s="8"/>
      <c r="I52" s="7"/>
      <c r="J52" s="7"/>
      <c r="K52" s="7"/>
      <c r="L52" s="7"/>
      <c r="M52" s="7"/>
      <c r="N52" s="6"/>
      <c r="O52" s="8"/>
      <c r="P52" s="7"/>
      <c r="Q52" s="7"/>
      <c r="R52" s="7"/>
      <c r="S52" s="60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2"/>
      <c r="AX52" s="56"/>
      <c r="AY52" s="56"/>
      <c r="AZ52" s="56"/>
      <c r="BA52" s="56"/>
      <c r="BB52" s="56"/>
      <c r="BC52" s="57"/>
      <c r="BD52" s="59"/>
      <c r="BE52" s="56"/>
      <c r="BF52" s="56"/>
      <c r="BG52" s="56"/>
      <c r="BH52" s="56"/>
      <c r="BI52" s="56"/>
      <c r="BJ52" s="57"/>
      <c r="BK52" s="18"/>
    </row>
    <row r="53" spans="1:63" ht="15" customHeight="1" x14ac:dyDescent="0.25">
      <c r="A53" s="15"/>
      <c r="B53" s="11"/>
      <c r="C53" s="10"/>
      <c r="D53" s="10"/>
      <c r="E53" s="10"/>
      <c r="F53" s="10"/>
      <c r="G53" s="9"/>
      <c r="H53" s="11"/>
      <c r="I53" s="10"/>
      <c r="J53" s="10"/>
      <c r="K53" s="10"/>
      <c r="L53" s="10"/>
      <c r="M53" s="10"/>
      <c r="N53" s="9"/>
      <c r="O53" s="11"/>
      <c r="P53" s="10"/>
      <c r="Q53" s="10"/>
      <c r="R53" s="10"/>
      <c r="S53" s="51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3"/>
      <c r="AX53" s="54"/>
      <c r="AY53" s="54"/>
      <c r="AZ53" s="54"/>
      <c r="BA53" s="54"/>
      <c r="BB53" s="54"/>
      <c r="BC53" s="55"/>
      <c r="BD53" s="58"/>
      <c r="BE53" s="54"/>
      <c r="BF53" s="54"/>
      <c r="BG53" s="54"/>
      <c r="BH53" s="54"/>
      <c r="BI53" s="54"/>
      <c r="BJ53" s="55"/>
      <c r="BK53" s="18"/>
    </row>
    <row r="54" spans="1:63" ht="15" customHeight="1" x14ac:dyDescent="0.25">
      <c r="A54" s="15"/>
      <c r="B54" s="8"/>
      <c r="C54" s="7"/>
      <c r="D54" s="7"/>
      <c r="E54" s="7"/>
      <c r="F54" s="7"/>
      <c r="G54" s="6"/>
      <c r="H54" s="8"/>
      <c r="I54" s="7"/>
      <c r="J54" s="7"/>
      <c r="K54" s="7"/>
      <c r="L54" s="7"/>
      <c r="M54" s="7"/>
      <c r="N54" s="6"/>
      <c r="O54" s="8"/>
      <c r="P54" s="7"/>
      <c r="Q54" s="7"/>
      <c r="R54" s="7"/>
      <c r="S54" s="60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2"/>
      <c r="AX54" s="56"/>
      <c r="AY54" s="56"/>
      <c r="AZ54" s="56"/>
      <c r="BA54" s="56"/>
      <c r="BB54" s="56"/>
      <c r="BC54" s="57"/>
      <c r="BD54" s="59"/>
      <c r="BE54" s="56"/>
      <c r="BF54" s="56"/>
      <c r="BG54" s="56"/>
      <c r="BH54" s="56"/>
      <c r="BI54" s="56"/>
      <c r="BJ54" s="57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7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F9033-F6EF-4A9E-ADA2-5794C1C67FAF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4" t="s">
        <v>55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54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">
        <v>56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53</v>
      </c>
      <c r="AQ1" s="13"/>
      <c r="AR1" s="13"/>
      <c r="AS1" s="12"/>
      <c r="AT1" s="14" t="s">
        <v>52</v>
      </c>
      <c r="AU1" s="13"/>
      <c r="AV1" s="13"/>
      <c r="AW1" s="13"/>
      <c r="AX1" s="12"/>
      <c r="AY1" s="14" t="s">
        <v>44</v>
      </c>
      <c r="AZ1" s="13"/>
      <c r="BA1" s="13"/>
      <c r="BB1" s="12"/>
      <c r="BC1" s="14" t="s">
        <v>45</v>
      </c>
      <c r="BD1" s="13"/>
      <c r="BE1" s="13"/>
      <c r="BF1" s="13"/>
      <c r="BG1" s="12"/>
      <c r="BH1" s="14" t="s">
        <v>43</v>
      </c>
      <c r="BI1" s="13"/>
      <c r="BJ1" s="13"/>
      <c r="BK1" s="12"/>
    </row>
    <row r="2" spans="1:63" ht="15" customHeight="1" x14ac:dyDescent="0.25">
      <c r="A2" s="11" t="s">
        <v>57</v>
      </c>
      <c r="B2" s="10"/>
      <c r="C2" s="10"/>
      <c r="D2" s="10"/>
      <c r="E2" s="10"/>
      <c r="F2" s="10"/>
      <c r="G2" s="10"/>
      <c r="H2" s="10"/>
      <c r="I2" s="10"/>
      <c r="J2" s="9"/>
      <c r="K2" s="11" t="s">
        <v>57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8"/>
      <c r="AP2" s="58" t="s">
        <v>51</v>
      </c>
      <c r="AQ2" s="54"/>
      <c r="AR2" s="54"/>
      <c r="AS2" s="80"/>
      <c r="AT2" s="84">
        <v>45497</v>
      </c>
      <c r="AU2" s="54"/>
      <c r="AV2" s="54"/>
      <c r="AW2" s="54"/>
      <c r="AX2" s="80"/>
      <c r="AY2" s="58" t="s">
        <v>50</v>
      </c>
      <c r="AZ2" s="54"/>
      <c r="BA2" s="54"/>
      <c r="BB2" s="80"/>
      <c r="BC2" s="84">
        <v>45497</v>
      </c>
      <c r="BD2" s="54"/>
      <c r="BE2" s="54"/>
      <c r="BF2" s="54"/>
      <c r="BG2" s="80"/>
      <c r="BH2" s="11"/>
      <c r="BI2" s="10"/>
      <c r="BJ2" s="10"/>
      <c r="BK2" s="9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39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1"/>
      <c r="AP3" s="81"/>
      <c r="AQ3" s="82"/>
      <c r="AR3" s="82"/>
      <c r="AS3" s="83"/>
      <c r="AT3" s="81"/>
      <c r="AU3" s="82"/>
      <c r="AV3" s="82"/>
      <c r="AW3" s="82"/>
      <c r="AX3" s="83"/>
      <c r="AY3" s="81"/>
      <c r="AZ3" s="82"/>
      <c r="BA3" s="82"/>
      <c r="BB3" s="83"/>
      <c r="BC3" s="81"/>
      <c r="BD3" s="82"/>
      <c r="BE3" s="82"/>
      <c r="BF3" s="82"/>
      <c r="BG3" s="83"/>
      <c r="BH3" s="8"/>
      <c r="BI3" s="7"/>
      <c r="BJ3" s="7"/>
      <c r="BK3" s="6"/>
    </row>
    <row r="4" spans="1:63" ht="24.95" customHeight="1" x14ac:dyDescent="0.25">
      <c r="A4" s="14" t="s">
        <v>49</v>
      </c>
      <c r="B4" s="13"/>
      <c r="C4" s="13"/>
      <c r="D4" s="13"/>
      <c r="E4" s="13"/>
      <c r="F4" s="13"/>
      <c r="G4" s="12"/>
      <c r="H4" s="42" t="s">
        <v>58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4"/>
      <c r="U4" s="14" t="s">
        <v>48</v>
      </c>
      <c r="V4" s="13"/>
      <c r="W4" s="13"/>
      <c r="X4" s="13"/>
      <c r="Y4" s="12"/>
      <c r="Z4" s="42" t="s">
        <v>59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  <c r="AP4" s="42" t="s">
        <v>47</v>
      </c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4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8" t="s">
        <v>46</v>
      </c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10" s="350" t="s">
        <v>45</v>
      </c>
      <c r="C10" s="350"/>
      <c r="D10" s="350"/>
      <c r="E10" s="350"/>
      <c r="F10" s="350"/>
      <c r="G10" s="350"/>
      <c r="H10" s="350" t="s">
        <v>44</v>
      </c>
      <c r="I10" s="350"/>
      <c r="J10" s="350"/>
      <c r="K10" s="350"/>
      <c r="L10" s="350"/>
      <c r="M10" s="350"/>
      <c r="N10" s="350"/>
      <c r="O10" s="350" t="s">
        <v>43</v>
      </c>
      <c r="P10" s="350"/>
      <c r="Q10" s="350"/>
      <c r="R10" s="350"/>
      <c r="S10" s="350" t="s">
        <v>88</v>
      </c>
      <c r="T10" s="350"/>
      <c r="U10" s="350"/>
      <c r="V10" s="350"/>
      <c r="W10" s="350"/>
      <c r="X10" s="350"/>
      <c r="Y10" s="350"/>
      <c r="Z10" s="350"/>
      <c r="AA10" s="350"/>
      <c r="AB10" s="350"/>
      <c r="AC10" s="350"/>
      <c r="AD10" s="350"/>
      <c r="AE10" s="350"/>
      <c r="AF10" s="350"/>
      <c r="AG10" s="350"/>
      <c r="AH10" s="350"/>
      <c r="AI10" s="350"/>
      <c r="AJ10" s="350"/>
      <c r="AK10" s="350"/>
      <c r="AL10" s="350"/>
      <c r="AM10" s="350"/>
      <c r="AN10" s="350"/>
      <c r="AO10" s="350"/>
      <c r="AP10" s="350"/>
      <c r="AQ10" s="350"/>
      <c r="AR10" s="350"/>
      <c r="AS10" s="350"/>
      <c r="AT10" s="350"/>
      <c r="AU10" s="350"/>
      <c r="AV10" s="350"/>
      <c r="AW10" s="350"/>
      <c r="AX10" s="350" t="s">
        <v>65</v>
      </c>
      <c r="AY10" s="350"/>
      <c r="AZ10" s="350"/>
      <c r="BA10" s="350"/>
      <c r="BB10" s="350"/>
      <c r="BC10" s="350"/>
      <c r="BD10" s="350" t="s">
        <v>66</v>
      </c>
      <c r="BE10" s="350"/>
      <c r="BF10" s="350"/>
      <c r="BG10" s="350"/>
      <c r="BH10" s="350"/>
      <c r="BI10" s="350"/>
      <c r="BJ10" s="350"/>
      <c r="BK10" s="18"/>
    </row>
    <row r="11" spans="1:63" ht="15" customHeight="1" x14ac:dyDescent="0.25">
      <c r="A11" s="15"/>
      <c r="B11" s="45">
        <v>45497</v>
      </c>
      <c r="C11" s="10"/>
      <c r="D11" s="10"/>
      <c r="E11" s="10"/>
      <c r="F11" s="10"/>
      <c r="G11" s="9"/>
      <c r="H11" s="351" t="s">
        <v>42</v>
      </c>
      <c r="I11" s="10"/>
      <c r="J11" s="10"/>
      <c r="K11" s="10"/>
      <c r="L11" s="10"/>
      <c r="M11" s="10"/>
      <c r="N11" s="9"/>
      <c r="O11" s="11"/>
      <c r="P11" s="10"/>
      <c r="Q11" s="10"/>
      <c r="R11" s="10"/>
      <c r="S11" s="70" t="s">
        <v>89</v>
      </c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2"/>
      <c r="AX11" s="352"/>
      <c r="AY11" s="352"/>
      <c r="AZ11" s="352"/>
      <c r="BA11" s="352"/>
      <c r="BB11" s="352"/>
      <c r="BC11" s="353"/>
      <c r="BD11" s="354"/>
      <c r="BE11" s="352"/>
      <c r="BF11" s="352"/>
      <c r="BG11" s="352"/>
      <c r="BH11" s="352"/>
      <c r="BI11" s="352"/>
      <c r="BJ11" s="353"/>
      <c r="BK11" s="18"/>
    </row>
    <row r="12" spans="1:63" ht="15" customHeight="1" x14ac:dyDescent="0.25">
      <c r="A12" s="15"/>
      <c r="B12" s="8"/>
      <c r="C12" s="7"/>
      <c r="D12" s="7"/>
      <c r="E12" s="7"/>
      <c r="F12" s="7"/>
      <c r="G12" s="6"/>
      <c r="H12" s="8"/>
      <c r="I12" s="7"/>
      <c r="J12" s="7"/>
      <c r="K12" s="7"/>
      <c r="L12" s="7"/>
      <c r="M12" s="7"/>
      <c r="N12" s="6"/>
      <c r="O12" s="8"/>
      <c r="P12" s="7"/>
      <c r="Q12" s="7"/>
      <c r="R12" s="7"/>
      <c r="S12" s="73" t="s">
        <v>90</v>
      </c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5"/>
      <c r="AX12" s="355"/>
      <c r="AY12" s="355"/>
      <c r="AZ12" s="355"/>
      <c r="BA12" s="355"/>
      <c r="BB12" s="355"/>
      <c r="BC12" s="356"/>
      <c r="BD12" s="357"/>
      <c r="BE12" s="355"/>
      <c r="BF12" s="355"/>
      <c r="BG12" s="355"/>
      <c r="BH12" s="355"/>
      <c r="BI12" s="355"/>
      <c r="BJ12" s="356"/>
      <c r="BK12" s="18"/>
    </row>
    <row r="13" spans="1:63" ht="15" customHeight="1" x14ac:dyDescent="0.25">
      <c r="A13" s="15"/>
      <c r="B13" s="45">
        <v>45497</v>
      </c>
      <c r="C13" s="10"/>
      <c r="D13" s="10"/>
      <c r="E13" s="10"/>
      <c r="F13" s="10"/>
      <c r="G13" s="9"/>
      <c r="H13" s="351" t="s">
        <v>42</v>
      </c>
      <c r="I13" s="10"/>
      <c r="J13" s="10"/>
      <c r="K13" s="10"/>
      <c r="L13" s="10"/>
      <c r="M13" s="10"/>
      <c r="N13" s="9"/>
      <c r="O13" s="76"/>
      <c r="P13" s="77"/>
      <c r="Q13" s="77"/>
      <c r="R13" s="77"/>
      <c r="S13" s="70" t="s">
        <v>89</v>
      </c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2"/>
      <c r="AX13" s="352"/>
      <c r="AY13" s="352"/>
      <c r="AZ13" s="352"/>
      <c r="BA13" s="352"/>
      <c r="BB13" s="352"/>
      <c r="BC13" s="353"/>
      <c r="BD13" s="354"/>
      <c r="BE13" s="352"/>
      <c r="BF13" s="352"/>
      <c r="BG13" s="352"/>
      <c r="BH13" s="352"/>
      <c r="BI13" s="352"/>
      <c r="BJ13" s="353"/>
      <c r="BK13" s="18"/>
    </row>
    <row r="14" spans="1:63" ht="15" customHeight="1" x14ac:dyDescent="0.25">
      <c r="A14" s="15"/>
      <c r="B14" s="8"/>
      <c r="C14" s="7"/>
      <c r="D14" s="7"/>
      <c r="E14" s="7"/>
      <c r="F14" s="7"/>
      <c r="G14" s="6"/>
      <c r="H14" s="8"/>
      <c r="I14" s="7"/>
      <c r="J14" s="7"/>
      <c r="K14" s="7"/>
      <c r="L14" s="7"/>
      <c r="M14" s="7"/>
      <c r="N14" s="6"/>
      <c r="O14" s="78"/>
      <c r="P14" s="79"/>
      <c r="Q14" s="79"/>
      <c r="R14" s="79"/>
      <c r="S14" s="67" t="s">
        <v>91</v>
      </c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9"/>
      <c r="AX14" s="355"/>
      <c r="AY14" s="355"/>
      <c r="AZ14" s="355"/>
      <c r="BA14" s="355"/>
      <c r="BB14" s="355"/>
      <c r="BC14" s="356"/>
      <c r="BD14" s="357"/>
      <c r="BE14" s="355"/>
      <c r="BF14" s="355"/>
      <c r="BG14" s="355"/>
      <c r="BH14" s="355"/>
      <c r="BI14" s="355"/>
      <c r="BJ14" s="356"/>
      <c r="BK14" s="18"/>
    </row>
    <row r="15" spans="1:63" ht="15" customHeight="1" x14ac:dyDescent="0.25">
      <c r="A15" s="15"/>
      <c r="B15" s="45">
        <v>45497</v>
      </c>
      <c r="C15" s="10"/>
      <c r="D15" s="10"/>
      <c r="E15" s="10"/>
      <c r="F15" s="10"/>
      <c r="G15" s="9"/>
      <c r="H15" s="351" t="s">
        <v>42</v>
      </c>
      <c r="I15" s="10"/>
      <c r="J15" s="10"/>
      <c r="K15" s="10"/>
      <c r="L15" s="10"/>
      <c r="M15" s="10"/>
      <c r="N15" s="9"/>
      <c r="O15" s="11"/>
      <c r="P15" s="10"/>
      <c r="Q15" s="10"/>
      <c r="R15" s="10"/>
      <c r="S15" s="64" t="s">
        <v>89</v>
      </c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6"/>
      <c r="AX15" s="352"/>
      <c r="AY15" s="352"/>
      <c r="AZ15" s="352"/>
      <c r="BA15" s="352"/>
      <c r="BB15" s="352"/>
      <c r="BC15" s="353"/>
      <c r="BD15" s="354"/>
      <c r="BE15" s="352"/>
      <c r="BF15" s="352"/>
      <c r="BG15" s="352"/>
      <c r="BH15" s="352"/>
      <c r="BI15" s="352"/>
      <c r="BJ15" s="353"/>
      <c r="BK15" s="18"/>
    </row>
    <row r="16" spans="1:63" ht="15" customHeight="1" x14ac:dyDescent="0.25">
      <c r="A16" s="15"/>
      <c r="B16" s="8"/>
      <c r="C16" s="7"/>
      <c r="D16" s="7"/>
      <c r="E16" s="7"/>
      <c r="F16" s="7"/>
      <c r="G16" s="6"/>
      <c r="H16" s="8"/>
      <c r="I16" s="7"/>
      <c r="J16" s="7"/>
      <c r="K16" s="7"/>
      <c r="L16" s="7"/>
      <c r="M16" s="7"/>
      <c r="N16" s="6"/>
      <c r="O16" s="8"/>
      <c r="P16" s="7"/>
      <c r="Q16" s="7"/>
      <c r="R16" s="7"/>
      <c r="S16" s="60" t="s">
        <v>92</v>
      </c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2"/>
      <c r="AX16" s="355"/>
      <c r="AY16" s="355"/>
      <c r="AZ16" s="355"/>
      <c r="BA16" s="355"/>
      <c r="BB16" s="355"/>
      <c r="BC16" s="356"/>
      <c r="BD16" s="357"/>
      <c r="BE16" s="355"/>
      <c r="BF16" s="355"/>
      <c r="BG16" s="355"/>
      <c r="BH16" s="355"/>
      <c r="BI16" s="355"/>
      <c r="BJ16" s="356"/>
      <c r="BK16" s="18"/>
    </row>
    <row r="17" spans="1:63" ht="15" customHeight="1" x14ac:dyDescent="0.25">
      <c r="A17" s="15"/>
      <c r="B17" s="11"/>
      <c r="C17" s="10"/>
      <c r="D17" s="10"/>
      <c r="E17" s="10"/>
      <c r="F17" s="10"/>
      <c r="G17" s="9"/>
      <c r="H17" s="11"/>
      <c r="I17" s="10"/>
      <c r="J17" s="10"/>
      <c r="K17" s="10"/>
      <c r="L17" s="10"/>
      <c r="M17" s="10"/>
      <c r="N17" s="9"/>
      <c r="O17" s="11"/>
      <c r="P17" s="10"/>
      <c r="Q17" s="10"/>
      <c r="R17" s="10"/>
      <c r="S17" s="51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3"/>
      <c r="AX17" s="54"/>
      <c r="AY17" s="54"/>
      <c r="AZ17" s="54"/>
      <c r="BA17" s="54"/>
      <c r="BB17" s="54"/>
      <c r="BC17" s="55"/>
      <c r="BD17" s="58"/>
      <c r="BE17" s="54"/>
      <c r="BF17" s="54"/>
      <c r="BG17" s="54"/>
      <c r="BH17" s="54"/>
      <c r="BI17" s="54"/>
      <c r="BJ17" s="55"/>
      <c r="BK17" s="18"/>
    </row>
    <row r="18" spans="1:63" ht="15" customHeight="1" x14ac:dyDescent="0.25">
      <c r="A18" s="15"/>
      <c r="B18" s="8"/>
      <c r="C18" s="7"/>
      <c r="D18" s="7"/>
      <c r="E18" s="7"/>
      <c r="F18" s="7"/>
      <c r="G18" s="6"/>
      <c r="H18" s="8"/>
      <c r="I18" s="7"/>
      <c r="J18" s="7"/>
      <c r="K18" s="7"/>
      <c r="L18" s="7"/>
      <c r="M18" s="7"/>
      <c r="N18" s="6"/>
      <c r="O18" s="8"/>
      <c r="P18" s="7"/>
      <c r="Q18" s="7"/>
      <c r="R18" s="7"/>
      <c r="S18" s="60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2"/>
      <c r="AX18" s="56"/>
      <c r="AY18" s="56"/>
      <c r="AZ18" s="56"/>
      <c r="BA18" s="56"/>
      <c r="BB18" s="56"/>
      <c r="BC18" s="57"/>
      <c r="BD18" s="59"/>
      <c r="BE18" s="56"/>
      <c r="BF18" s="56"/>
      <c r="BG18" s="56"/>
      <c r="BH18" s="56"/>
      <c r="BI18" s="56"/>
      <c r="BJ18" s="57"/>
      <c r="BK18" s="18"/>
    </row>
    <row r="19" spans="1:63" ht="15" customHeight="1" x14ac:dyDescent="0.25">
      <c r="A19" s="15"/>
      <c r="B19" s="11"/>
      <c r="C19" s="10"/>
      <c r="D19" s="10"/>
      <c r="E19" s="10"/>
      <c r="F19" s="10"/>
      <c r="G19" s="9"/>
      <c r="H19" s="11"/>
      <c r="I19" s="10"/>
      <c r="J19" s="10"/>
      <c r="K19" s="10"/>
      <c r="L19" s="10"/>
      <c r="M19" s="10"/>
      <c r="N19" s="9"/>
      <c r="O19" s="11"/>
      <c r="P19" s="10"/>
      <c r="Q19" s="10"/>
      <c r="R19" s="10"/>
      <c r="S19" s="51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3"/>
      <c r="AX19" s="54"/>
      <c r="AY19" s="54"/>
      <c r="AZ19" s="54"/>
      <c r="BA19" s="54"/>
      <c r="BB19" s="54"/>
      <c r="BC19" s="55"/>
      <c r="BD19" s="58"/>
      <c r="BE19" s="54"/>
      <c r="BF19" s="54"/>
      <c r="BG19" s="54"/>
      <c r="BH19" s="54"/>
      <c r="BI19" s="54"/>
      <c r="BJ19" s="55"/>
      <c r="BK19" s="18"/>
    </row>
    <row r="20" spans="1:63" ht="15" customHeight="1" x14ac:dyDescent="0.25">
      <c r="A20" s="15"/>
      <c r="B20" s="8"/>
      <c r="C20" s="7"/>
      <c r="D20" s="7"/>
      <c r="E20" s="7"/>
      <c r="F20" s="7"/>
      <c r="G20" s="6"/>
      <c r="H20" s="8"/>
      <c r="I20" s="7"/>
      <c r="J20" s="7"/>
      <c r="K20" s="7"/>
      <c r="L20" s="7"/>
      <c r="M20" s="7"/>
      <c r="N20" s="6"/>
      <c r="O20" s="8"/>
      <c r="P20" s="7"/>
      <c r="Q20" s="7"/>
      <c r="R20" s="7"/>
      <c r="S20" s="60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2"/>
      <c r="AX20" s="56"/>
      <c r="AY20" s="56"/>
      <c r="AZ20" s="56"/>
      <c r="BA20" s="56"/>
      <c r="BB20" s="56"/>
      <c r="BC20" s="57"/>
      <c r="BD20" s="59"/>
      <c r="BE20" s="56"/>
      <c r="BF20" s="56"/>
      <c r="BG20" s="56"/>
      <c r="BH20" s="56"/>
      <c r="BI20" s="56"/>
      <c r="BJ20" s="57"/>
      <c r="BK20" s="18"/>
    </row>
    <row r="21" spans="1:63" ht="15" customHeight="1" x14ac:dyDescent="0.25">
      <c r="A21" s="15"/>
      <c r="B21" s="11"/>
      <c r="C21" s="10"/>
      <c r="D21" s="10"/>
      <c r="E21" s="10"/>
      <c r="F21" s="10"/>
      <c r="G21" s="9"/>
      <c r="H21" s="11"/>
      <c r="I21" s="10"/>
      <c r="J21" s="10"/>
      <c r="K21" s="10"/>
      <c r="L21" s="10"/>
      <c r="M21" s="10"/>
      <c r="N21" s="9"/>
      <c r="O21" s="11"/>
      <c r="P21" s="10"/>
      <c r="Q21" s="10"/>
      <c r="R21" s="10"/>
      <c r="S21" s="51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3"/>
      <c r="AX21" s="54"/>
      <c r="AY21" s="54"/>
      <c r="AZ21" s="54"/>
      <c r="BA21" s="54"/>
      <c r="BB21" s="54"/>
      <c r="BC21" s="55"/>
      <c r="BD21" s="58"/>
      <c r="BE21" s="54"/>
      <c r="BF21" s="54"/>
      <c r="BG21" s="54"/>
      <c r="BH21" s="54"/>
      <c r="BI21" s="54"/>
      <c r="BJ21" s="55"/>
      <c r="BK21" s="18"/>
    </row>
    <row r="22" spans="1:63" ht="15" customHeight="1" x14ac:dyDescent="0.25">
      <c r="A22" s="15"/>
      <c r="B22" s="8"/>
      <c r="C22" s="7"/>
      <c r="D22" s="7"/>
      <c r="E22" s="7"/>
      <c r="F22" s="7"/>
      <c r="G22" s="6"/>
      <c r="H22" s="8"/>
      <c r="I22" s="7"/>
      <c r="J22" s="7"/>
      <c r="K22" s="7"/>
      <c r="L22" s="7"/>
      <c r="M22" s="7"/>
      <c r="N22" s="6"/>
      <c r="O22" s="8"/>
      <c r="P22" s="7"/>
      <c r="Q22" s="7"/>
      <c r="R22" s="7"/>
      <c r="S22" s="60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2"/>
      <c r="AX22" s="56"/>
      <c r="AY22" s="56"/>
      <c r="AZ22" s="56"/>
      <c r="BA22" s="56"/>
      <c r="BB22" s="56"/>
      <c r="BC22" s="57"/>
      <c r="BD22" s="59"/>
      <c r="BE22" s="56"/>
      <c r="BF22" s="56"/>
      <c r="BG22" s="56"/>
      <c r="BH22" s="56"/>
      <c r="BI22" s="56"/>
      <c r="BJ22" s="57"/>
      <c r="BK22" s="18"/>
    </row>
    <row r="23" spans="1:63" ht="15" customHeight="1" x14ac:dyDescent="0.25">
      <c r="A23" s="15"/>
      <c r="B23" s="11"/>
      <c r="C23" s="10"/>
      <c r="D23" s="10"/>
      <c r="E23" s="10"/>
      <c r="F23" s="10"/>
      <c r="G23" s="9"/>
      <c r="H23" s="11"/>
      <c r="I23" s="10"/>
      <c r="J23" s="10"/>
      <c r="K23" s="10"/>
      <c r="L23" s="10"/>
      <c r="M23" s="10"/>
      <c r="N23" s="9"/>
      <c r="O23" s="11"/>
      <c r="P23" s="10"/>
      <c r="Q23" s="10"/>
      <c r="R23" s="10"/>
      <c r="S23" s="51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3"/>
      <c r="AX23" s="54"/>
      <c r="AY23" s="54"/>
      <c r="AZ23" s="54"/>
      <c r="BA23" s="54"/>
      <c r="BB23" s="54"/>
      <c r="BC23" s="55"/>
      <c r="BD23" s="58"/>
      <c r="BE23" s="54"/>
      <c r="BF23" s="54"/>
      <c r="BG23" s="54"/>
      <c r="BH23" s="54"/>
      <c r="BI23" s="54"/>
      <c r="BJ23" s="55"/>
      <c r="BK23" s="18"/>
    </row>
    <row r="24" spans="1:63" ht="15" customHeight="1" x14ac:dyDescent="0.25">
      <c r="A24" s="15"/>
      <c r="B24" s="8"/>
      <c r="C24" s="7"/>
      <c r="D24" s="7"/>
      <c r="E24" s="7"/>
      <c r="F24" s="7"/>
      <c r="G24" s="6"/>
      <c r="H24" s="8"/>
      <c r="I24" s="7"/>
      <c r="J24" s="7"/>
      <c r="K24" s="7"/>
      <c r="L24" s="7"/>
      <c r="M24" s="7"/>
      <c r="N24" s="6"/>
      <c r="O24" s="8"/>
      <c r="P24" s="7"/>
      <c r="Q24" s="7"/>
      <c r="R24" s="7"/>
      <c r="S24" s="60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2"/>
      <c r="AX24" s="56"/>
      <c r="AY24" s="56"/>
      <c r="AZ24" s="56"/>
      <c r="BA24" s="56"/>
      <c r="BB24" s="56"/>
      <c r="BC24" s="57"/>
      <c r="BD24" s="59"/>
      <c r="BE24" s="56"/>
      <c r="BF24" s="56"/>
      <c r="BG24" s="56"/>
      <c r="BH24" s="56"/>
      <c r="BI24" s="56"/>
      <c r="BJ24" s="57"/>
      <c r="BK24" s="18"/>
    </row>
    <row r="25" spans="1:63" ht="15" customHeight="1" x14ac:dyDescent="0.25">
      <c r="A25" s="15"/>
      <c r="B25" s="11"/>
      <c r="C25" s="10"/>
      <c r="D25" s="10"/>
      <c r="E25" s="10"/>
      <c r="F25" s="10"/>
      <c r="G25" s="9"/>
      <c r="H25" s="11"/>
      <c r="I25" s="10"/>
      <c r="J25" s="10"/>
      <c r="K25" s="10"/>
      <c r="L25" s="10"/>
      <c r="M25" s="10"/>
      <c r="N25" s="9"/>
      <c r="O25" s="11"/>
      <c r="P25" s="10"/>
      <c r="Q25" s="10"/>
      <c r="R25" s="10"/>
      <c r="S25" s="51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3"/>
      <c r="AX25" s="54"/>
      <c r="AY25" s="54"/>
      <c r="AZ25" s="54"/>
      <c r="BA25" s="54"/>
      <c r="BB25" s="54"/>
      <c r="BC25" s="55"/>
      <c r="BD25" s="58"/>
      <c r="BE25" s="54"/>
      <c r="BF25" s="54"/>
      <c r="BG25" s="54"/>
      <c r="BH25" s="54"/>
      <c r="BI25" s="54"/>
      <c r="BJ25" s="55"/>
      <c r="BK25" s="18"/>
    </row>
    <row r="26" spans="1:63" ht="15" customHeight="1" x14ac:dyDescent="0.25">
      <c r="A26" s="15"/>
      <c r="B26" s="8"/>
      <c r="C26" s="7"/>
      <c r="D26" s="7"/>
      <c r="E26" s="7"/>
      <c r="F26" s="7"/>
      <c r="G26" s="6"/>
      <c r="H26" s="8"/>
      <c r="I26" s="7"/>
      <c r="J26" s="7"/>
      <c r="K26" s="7"/>
      <c r="L26" s="7"/>
      <c r="M26" s="7"/>
      <c r="N26" s="6"/>
      <c r="O26" s="8"/>
      <c r="P26" s="7"/>
      <c r="Q26" s="7"/>
      <c r="R26" s="7"/>
      <c r="S26" s="60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2"/>
      <c r="AX26" s="56"/>
      <c r="AY26" s="56"/>
      <c r="AZ26" s="56"/>
      <c r="BA26" s="56"/>
      <c r="BB26" s="56"/>
      <c r="BC26" s="57"/>
      <c r="BD26" s="59"/>
      <c r="BE26" s="56"/>
      <c r="BF26" s="56"/>
      <c r="BG26" s="56"/>
      <c r="BH26" s="56"/>
      <c r="BI26" s="56"/>
      <c r="BJ26" s="57"/>
      <c r="BK26" s="18"/>
    </row>
    <row r="27" spans="1:63" ht="15" customHeight="1" x14ac:dyDescent="0.25">
      <c r="A27" s="15"/>
      <c r="B27" s="11"/>
      <c r="C27" s="10"/>
      <c r="D27" s="10"/>
      <c r="E27" s="10"/>
      <c r="F27" s="10"/>
      <c r="G27" s="9"/>
      <c r="H27" s="11"/>
      <c r="I27" s="10"/>
      <c r="J27" s="10"/>
      <c r="K27" s="10"/>
      <c r="L27" s="10"/>
      <c r="M27" s="10"/>
      <c r="N27" s="9"/>
      <c r="O27" s="11"/>
      <c r="P27" s="10"/>
      <c r="Q27" s="10"/>
      <c r="R27" s="10"/>
      <c r="S27" s="51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3"/>
      <c r="AX27" s="54"/>
      <c r="AY27" s="54"/>
      <c r="AZ27" s="54"/>
      <c r="BA27" s="54"/>
      <c r="BB27" s="54"/>
      <c r="BC27" s="55"/>
      <c r="BD27" s="58"/>
      <c r="BE27" s="54"/>
      <c r="BF27" s="54"/>
      <c r="BG27" s="54"/>
      <c r="BH27" s="54"/>
      <c r="BI27" s="54"/>
      <c r="BJ27" s="55"/>
      <c r="BK27" s="18"/>
    </row>
    <row r="28" spans="1:63" ht="15" customHeight="1" x14ac:dyDescent="0.25">
      <c r="A28" s="15"/>
      <c r="B28" s="8"/>
      <c r="C28" s="7"/>
      <c r="D28" s="7"/>
      <c r="E28" s="7"/>
      <c r="F28" s="7"/>
      <c r="G28" s="6"/>
      <c r="H28" s="8"/>
      <c r="I28" s="7"/>
      <c r="J28" s="7"/>
      <c r="K28" s="7"/>
      <c r="L28" s="7"/>
      <c r="M28" s="7"/>
      <c r="N28" s="6"/>
      <c r="O28" s="8"/>
      <c r="P28" s="7"/>
      <c r="Q28" s="7"/>
      <c r="R28" s="7"/>
      <c r="S28" s="60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2"/>
      <c r="AX28" s="56"/>
      <c r="AY28" s="56"/>
      <c r="AZ28" s="56"/>
      <c r="BA28" s="56"/>
      <c r="BB28" s="56"/>
      <c r="BC28" s="57"/>
      <c r="BD28" s="59"/>
      <c r="BE28" s="56"/>
      <c r="BF28" s="56"/>
      <c r="BG28" s="56"/>
      <c r="BH28" s="56"/>
      <c r="BI28" s="56"/>
      <c r="BJ28" s="57"/>
      <c r="BK28" s="18"/>
    </row>
    <row r="29" spans="1:63" ht="15" customHeight="1" x14ac:dyDescent="0.25">
      <c r="A29" s="15"/>
      <c r="B29" s="11"/>
      <c r="C29" s="10"/>
      <c r="D29" s="10"/>
      <c r="E29" s="10"/>
      <c r="F29" s="10"/>
      <c r="G29" s="9"/>
      <c r="H29" s="11"/>
      <c r="I29" s="10"/>
      <c r="J29" s="10"/>
      <c r="K29" s="10"/>
      <c r="L29" s="10"/>
      <c r="M29" s="10"/>
      <c r="N29" s="9"/>
      <c r="O29" s="11"/>
      <c r="P29" s="10"/>
      <c r="Q29" s="10"/>
      <c r="R29" s="10"/>
      <c r="S29" s="51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3"/>
      <c r="AX29" s="54"/>
      <c r="AY29" s="54"/>
      <c r="AZ29" s="54"/>
      <c r="BA29" s="54"/>
      <c r="BB29" s="54"/>
      <c r="BC29" s="55"/>
      <c r="BD29" s="58"/>
      <c r="BE29" s="54"/>
      <c r="BF29" s="54"/>
      <c r="BG29" s="54"/>
      <c r="BH29" s="54"/>
      <c r="BI29" s="54"/>
      <c r="BJ29" s="55"/>
      <c r="BK29" s="18"/>
    </row>
    <row r="30" spans="1:63" ht="15" customHeight="1" x14ac:dyDescent="0.25">
      <c r="A30" s="15"/>
      <c r="B30" s="8"/>
      <c r="C30" s="7"/>
      <c r="D30" s="7"/>
      <c r="E30" s="7"/>
      <c r="F30" s="7"/>
      <c r="G30" s="6"/>
      <c r="H30" s="8"/>
      <c r="I30" s="7"/>
      <c r="J30" s="7"/>
      <c r="K30" s="7"/>
      <c r="L30" s="7"/>
      <c r="M30" s="7"/>
      <c r="N30" s="6"/>
      <c r="O30" s="8"/>
      <c r="P30" s="7"/>
      <c r="Q30" s="7"/>
      <c r="R30" s="7"/>
      <c r="S30" s="60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2"/>
      <c r="AX30" s="56"/>
      <c r="AY30" s="56"/>
      <c r="AZ30" s="56"/>
      <c r="BA30" s="56"/>
      <c r="BB30" s="56"/>
      <c r="BC30" s="57"/>
      <c r="BD30" s="59"/>
      <c r="BE30" s="56"/>
      <c r="BF30" s="56"/>
      <c r="BG30" s="56"/>
      <c r="BH30" s="56"/>
      <c r="BI30" s="56"/>
      <c r="BJ30" s="57"/>
      <c r="BK30" s="18"/>
    </row>
    <row r="31" spans="1:63" ht="15" customHeight="1" x14ac:dyDescent="0.25">
      <c r="A31" s="15"/>
      <c r="B31" s="11"/>
      <c r="C31" s="10"/>
      <c r="D31" s="10"/>
      <c r="E31" s="10"/>
      <c r="F31" s="10"/>
      <c r="G31" s="9"/>
      <c r="H31" s="11"/>
      <c r="I31" s="10"/>
      <c r="J31" s="10"/>
      <c r="K31" s="10"/>
      <c r="L31" s="10"/>
      <c r="M31" s="10"/>
      <c r="N31" s="9"/>
      <c r="O31" s="11"/>
      <c r="P31" s="10"/>
      <c r="Q31" s="10"/>
      <c r="R31" s="10"/>
      <c r="S31" s="51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3"/>
      <c r="AX31" s="54"/>
      <c r="AY31" s="54"/>
      <c r="AZ31" s="54"/>
      <c r="BA31" s="54"/>
      <c r="BB31" s="54"/>
      <c r="BC31" s="55"/>
      <c r="BD31" s="58"/>
      <c r="BE31" s="54"/>
      <c r="BF31" s="54"/>
      <c r="BG31" s="54"/>
      <c r="BH31" s="54"/>
      <c r="BI31" s="54"/>
      <c r="BJ31" s="55"/>
      <c r="BK31" s="18"/>
    </row>
    <row r="32" spans="1:63" ht="15" customHeight="1" x14ac:dyDescent="0.25">
      <c r="A32" s="15"/>
      <c r="B32" s="8"/>
      <c r="C32" s="7"/>
      <c r="D32" s="7"/>
      <c r="E32" s="7"/>
      <c r="F32" s="7"/>
      <c r="G32" s="6"/>
      <c r="H32" s="8"/>
      <c r="I32" s="7"/>
      <c r="J32" s="7"/>
      <c r="K32" s="7"/>
      <c r="L32" s="7"/>
      <c r="M32" s="7"/>
      <c r="N32" s="6"/>
      <c r="O32" s="8"/>
      <c r="P32" s="7"/>
      <c r="Q32" s="7"/>
      <c r="R32" s="7"/>
      <c r="S32" s="60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2"/>
      <c r="AX32" s="56"/>
      <c r="AY32" s="56"/>
      <c r="AZ32" s="56"/>
      <c r="BA32" s="56"/>
      <c r="BB32" s="56"/>
      <c r="BC32" s="57"/>
      <c r="BD32" s="59"/>
      <c r="BE32" s="56"/>
      <c r="BF32" s="56"/>
      <c r="BG32" s="56"/>
      <c r="BH32" s="56"/>
      <c r="BI32" s="56"/>
      <c r="BJ32" s="57"/>
      <c r="BK32" s="18"/>
    </row>
    <row r="33" spans="1:63" ht="15" customHeight="1" x14ac:dyDescent="0.25">
      <c r="A33" s="15"/>
      <c r="B33" s="11"/>
      <c r="C33" s="10"/>
      <c r="D33" s="10"/>
      <c r="E33" s="10"/>
      <c r="F33" s="10"/>
      <c r="G33" s="9"/>
      <c r="H33" s="11"/>
      <c r="I33" s="10"/>
      <c r="J33" s="10"/>
      <c r="K33" s="10"/>
      <c r="L33" s="10"/>
      <c r="M33" s="10"/>
      <c r="N33" s="9"/>
      <c r="O33" s="11"/>
      <c r="P33" s="10"/>
      <c r="Q33" s="10"/>
      <c r="R33" s="10"/>
      <c r="S33" s="51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3"/>
      <c r="AX33" s="54"/>
      <c r="AY33" s="54"/>
      <c r="AZ33" s="54"/>
      <c r="BA33" s="54"/>
      <c r="BB33" s="54"/>
      <c r="BC33" s="55"/>
      <c r="BD33" s="58"/>
      <c r="BE33" s="54"/>
      <c r="BF33" s="54"/>
      <c r="BG33" s="54"/>
      <c r="BH33" s="54"/>
      <c r="BI33" s="54"/>
      <c r="BJ33" s="55"/>
      <c r="BK33" s="18"/>
    </row>
    <row r="34" spans="1:63" ht="15" customHeight="1" x14ac:dyDescent="0.25">
      <c r="A34" s="15"/>
      <c r="B34" s="8"/>
      <c r="C34" s="7"/>
      <c r="D34" s="7"/>
      <c r="E34" s="7"/>
      <c r="F34" s="7"/>
      <c r="G34" s="6"/>
      <c r="H34" s="8"/>
      <c r="I34" s="7"/>
      <c r="J34" s="7"/>
      <c r="K34" s="7"/>
      <c r="L34" s="7"/>
      <c r="M34" s="7"/>
      <c r="N34" s="6"/>
      <c r="O34" s="8"/>
      <c r="P34" s="7"/>
      <c r="Q34" s="7"/>
      <c r="R34" s="7"/>
      <c r="S34" s="60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2"/>
      <c r="AX34" s="56"/>
      <c r="AY34" s="56"/>
      <c r="AZ34" s="56"/>
      <c r="BA34" s="56"/>
      <c r="BB34" s="56"/>
      <c r="BC34" s="57"/>
      <c r="BD34" s="59"/>
      <c r="BE34" s="56"/>
      <c r="BF34" s="56"/>
      <c r="BG34" s="56"/>
      <c r="BH34" s="56"/>
      <c r="BI34" s="56"/>
      <c r="BJ34" s="57"/>
      <c r="BK34" s="18"/>
    </row>
    <row r="35" spans="1:63" ht="15" customHeight="1" x14ac:dyDescent="0.25">
      <c r="A35" s="15"/>
      <c r="B35" s="11"/>
      <c r="C35" s="10"/>
      <c r="D35" s="10"/>
      <c r="E35" s="10"/>
      <c r="F35" s="10"/>
      <c r="G35" s="9"/>
      <c r="H35" s="11"/>
      <c r="I35" s="10"/>
      <c r="J35" s="10"/>
      <c r="K35" s="10"/>
      <c r="L35" s="10"/>
      <c r="M35" s="10"/>
      <c r="N35" s="9"/>
      <c r="O35" s="11"/>
      <c r="P35" s="10"/>
      <c r="Q35" s="10"/>
      <c r="R35" s="10"/>
      <c r="S35" s="51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3"/>
      <c r="AX35" s="54"/>
      <c r="AY35" s="54"/>
      <c r="AZ35" s="54"/>
      <c r="BA35" s="54"/>
      <c r="BB35" s="54"/>
      <c r="BC35" s="55"/>
      <c r="BD35" s="58"/>
      <c r="BE35" s="54"/>
      <c r="BF35" s="54"/>
      <c r="BG35" s="54"/>
      <c r="BH35" s="54"/>
      <c r="BI35" s="54"/>
      <c r="BJ35" s="55"/>
      <c r="BK35" s="18"/>
    </row>
    <row r="36" spans="1:63" ht="15" customHeight="1" x14ac:dyDescent="0.25">
      <c r="A36" s="15"/>
      <c r="B36" s="8"/>
      <c r="C36" s="7"/>
      <c r="D36" s="7"/>
      <c r="E36" s="7"/>
      <c r="F36" s="7"/>
      <c r="G36" s="6"/>
      <c r="H36" s="8"/>
      <c r="I36" s="7"/>
      <c r="J36" s="7"/>
      <c r="K36" s="7"/>
      <c r="L36" s="7"/>
      <c r="M36" s="7"/>
      <c r="N36" s="6"/>
      <c r="O36" s="8"/>
      <c r="P36" s="7"/>
      <c r="Q36" s="7"/>
      <c r="R36" s="7"/>
      <c r="S36" s="60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2"/>
      <c r="AX36" s="56"/>
      <c r="AY36" s="56"/>
      <c r="AZ36" s="56"/>
      <c r="BA36" s="56"/>
      <c r="BB36" s="56"/>
      <c r="BC36" s="57"/>
      <c r="BD36" s="59"/>
      <c r="BE36" s="56"/>
      <c r="BF36" s="56"/>
      <c r="BG36" s="56"/>
      <c r="BH36" s="56"/>
      <c r="BI36" s="56"/>
      <c r="BJ36" s="57"/>
      <c r="BK36" s="18"/>
    </row>
    <row r="37" spans="1:63" ht="15" customHeight="1" x14ac:dyDescent="0.25">
      <c r="A37" s="15"/>
      <c r="B37" s="11"/>
      <c r="C37" s="10"/>
      <c r="D37" s="10"/>
      <c r="E37" s="10"/>
      <c r="F37" s="10"/>
      <c r="G37" s="9"/>
      <c r="H37" s="11"/>
      <c r="I37" s="10"/>
      <c r="J37" s="10"/>
      <c r="K37" s="10"/>
      <c r="L37" s="10"/>
      <c r="M37" s="10"/>
      <c r="N37" s="9"/>
      <c r="O37" s="11"/>
      <c r="P37" s="10"/>
      <c r="Q37" s="10"/>
      <c r="R37" s="10"/>
      <c r="S37" s="51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3"/>
      <c r="AX37" s="54"/>
      <c r="AY37" s="54"/>
      <c r="AZ37" s="54"/>
      <c r="BA37" s="54"/>
      <c r="BB37" s="54"/>
      <c r="BC37" s="55"/>
      <c r="BD37" s="58"/>
      <c r="BE37" s="54"/>
      <c r="BF37" s="54"/>
      <c r="BG37" s="54"/>
      <c r="BH37" s="54"/>
      <c r="BI37" s="54"/>
      <c r="BJ37" s="55"/>
      <c r="BK37" s="18"/>
    </row>
    <row r="38" spans="1:63" ht="15" customHeight="1" x14ac:dyDescent="0.25">
      <c r="A38" s="15"/>
      <c r="B38" s="8"/>
      <c r="C38" s="7"/>
      <c r="D38" s="7"/>
      <c r="E38" s="7"/>
      <c r="F38" s="7"/>
      <c r="G38" s="6"/>
      <c r="H38" s="8"/>
      <c r="I38" s="7"/>
      <c r="J38" s="7"/>
      <c r="K38" s="7"/>
      <c r="L38" s="7"/>
      <c r="M38" s="7"/>
      <c r="N38" s="6"/>
      <c r="O38" s="8"/>
      <c r="P38" s="7"/>
      <c r="Q38" s="7"/>
      <c r="R38" s="7"/>
      <c r="S38" s="60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2"/>
      <c r="AX38" s="56"/>
      <c r="AY38" s="56"/>
      <c r="AZ38" s="56"/>
      <c r="BA38" s="56"/>
      <c r="BB38" s="56"/>
      <c r="BC38" s="57"/>
      <c r="BD38" s="59"/>
      <c r="BE38" s="56"/>
      <c r="BF38" s="56"/>
      <c r="BG38" s="56"/>
      <c r="BH38" s="56"/>
      <c r="BI38" s="56"/>
      <c r="BJ38" s="57"/>
      <c r="BK38" s="18"/>
    </row>
    <row r="39" spans="1:63" ht="15" customHeight="1" x14ac:dyDescent="0.25">
      <c r="A39" s="15"/>
      <c r="B39" s="11"/>
      <c r="C39" s="10"/>
      <c r="D39" s="10"/>
      <c r="E39" s="10"/>
      <c r="F39" s="10"/>
      <c r="G39" s="9"/>
      <c r="H39" s="11"/>
      <c r="I39" s="10"/>
      <c r="J39" s="10"/>
      <c r="K39" s="10"/>
      <c r="L39" s="10"/>
      <c r="M39" s="10"/>
      <c r="N39" s="9"/>
      <c r="O39" s="11"/>
      <c r="P39" s="10"/>
      <c r="Q39" s="10"/>
      <c r="R39" s="10"/>
      <c r="S39" s="51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3"/>
      <c r="AX39" s="54"/>
      <c r="AY39" s="54"/>
      <c r="AZ39" s="54"/>
      <c r="BA39" s="54"/>
      <c r="BB39" s="54"/>
      <c r="BC39" s="55"/>
      <c r="BD39" s="58"/>
      <c r="BE39" s="54"/>
      <c r="BF39" s="54"/>
      <c r="BG39" s="54"/>
      <c r="BH39" s="54"/>
      <c r="BI39" s="54"/>
      <c r="BJ39" s="55"/>
      <c r="BK39" s="18"/>
    </row>
    <row r="40" spans="1:63" ht="15" customHeight="1" x14ac:dyDescent="0.25">
      <c r="A40" s="15"/>
      <c r="B40" s="8"/>
      <c r="C40" s="7"/>
      <c r="D40" s="7"/>
      <c r="E40" s="7"/>
      <c r="F40" s="7"/>
      <c r="G40" s="6"/>
      <c r="H40" s="8"/>
      <c r="I40" s="7"/>
      <c r="J40" s="7"/>
      <c r="K40" s="7"/>
      <c r="L40" s="7"/>
      <c r="M40" s="7"/>
      <c r="N40" s="6"/>
      <c r="O40" s="8"/>
      <c r="P40" s="7"/>
      <c r="Q40" s="7"/>
      <c r="R40" s="7"/>
      <c r="S40" s="60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2"/>
      <c r="AX40" s="56"/>
      <c r="AY40" s="56"/>
      <c r="AZ40" s="56"/>
      <c r="BA40" s="56"/>
      <c r="BB40" s="56"/>
      <c r="BC40" s="57"/>
      <c r="BD40" s="59"/>
      <c r="BE40" s="56"/>
      <c r="BF40" s="56"/>
      <c r="BG40" s="56"/>
      <c r="BH40" s="56"/>
      <c r="BI40" s="56"/>
      <c r="BJ40" s="57"/>
      <c r="BK40" s="18"/>
    </row>
    <row r="41" spans="1:63" ht="15" customHeight="1" x14ac:dyDescent="0.25">
      <c r="A41" s="15"/>
      <c r="B41" s="11"/>
      <c r="C41" s="10"/>
      <c r="D41" s="10"/>
      <c r="E41" s="10"/>
      <c r="F41" s="10"/>
      <c r="G41" s="9"/>
      <c r="H41" s="11"/>
      <c r="I41" s="10"/>
      <c r="J41" s="10"/>
      <c r="K41" s="10"/>
      <c r="L41" s="10"/>
      <c r="M41" s="10"/>
      <c r="N41" s="9"/>
      <c r="O41" s="11"/>
      <c r="P41" s="10"/>
      <c r="Q41" s="10"/>
      <c r="R41" s="10"/>
      <c r="S41" s="51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3"/>
      <c r="AX41" s="54"/>
      <c r="AY41" s="54"/>
      <c r="AZ41" s="54"/>
      <c r="BA41" s="54"/>
      <c r="BB41" s="54"/>
      <c r="BC41" s="55"/>
      <c r="BD41" s="58"/>
      <c r="BE41" s="54"/>
      <c r="BF41" s="54"/>
      <c r="BG41" s="54"/>
      <c r="BH41" s="54"/>
      <c r="BI41" s="54"/>
      <c r="BJ41" s="55"/>
      <c r="BK41" s="18"/>
    </row>
    <row r="42" spans="1:63" ht="15" customHeight="1" x14ac:dyDescent="0.25">
      <c r="A42" s="15"/>
      <c r="B42" s="8"/>
      <c r="C42" s="7"/>
      <c r="D42" s="7"/>
      <c r="E42" s="7"/>
      <c r="F42" s="7"/>
      <c r="G42" s="6"/>
      <c r="H42" s="8"/>
      <c r="I42" s="7"/>
      <c r="J42" s="7"/>
      <c r="K42" s="7"/>
      <c r="L42" s="7"/>
      <c r="M42" s="7"/>
      <c r="N42" s="6"/>
      <c r="O42" s="8"/>
      <c r="P42" s="7"/>
      <c r="Q42" s="7"/>
      <c r="R42" s="7"/>
      <c r="S42" s="60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2"/>
      <c r="AX42" s="56"/>
      <c r="AY42" s="56"/>
      <c r="AZ42" s="56"/>
      <c r="BA42" s="56"/>
      <c r="BB42" s="56"/>
      <c r="BC42" s="57"/>
      <c r="BD42" s="59"/>
      <c r="BE42" s="56"/>
      <c r="BF42" s="56"/>
      <c r="BG42" s="56"/>
      <c r="BH42" s="56"/>
      <c r="BI42" s="56"/>
      <c r="BJ42" s="57"/>
      <c r="BK42" s="18"/>
    </row>
    <row r="43" spans="1:63" ht="15" customHeight="1" x14ac:dyDescent="0.25">
      <c r="A43" s="15"/>
      <c r="B43" s="11"/>
      <c r="C43" s="10"/>
      <c r="D43" s="10"/>
      <c r="E43" s="10"/>
      <c r="F43" s="10"/>
      <c r="G43" s="9"/>
      <c r="H43" s="11"/>
      <c r="I43" s="10"/>
      <c r="J43" s="10"/>
      <c r="K43" s="10"/>
      <c r="L43" s="10"/>
      <c r="M43" s="10"/>
      <c r="N43" s="9"/>
      <c r="O43" s="11"/>
      <c r="P43" s="10"/>
      <c r="Q43" s="10"/>
      <c r="R43" s="10"/>
      <c r="S43" s="51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3"/>
      <c r="AX43" s="54"/>
      <c r="AY43" s="54"/>
      <c r="AZ43" s="54"/>
      <c r="BA43" s="54"/>
      <c r="BB43" s="54"/>
      <c r="BC43" s="55"/>
      <c r="BD43" s="58"/>
      <c r="BE43" s="54"/>
      <c r="BF43" s="54"/>
      <c r="BG43" s="54"/>
      <c r="BH43" s="54"/>
      <c r="BI43" s="54"/>
      <c r="BJ43" s="55"/>
      <c r="BK43" s="18"/>
    </row>
    <row r="44" spans="1:63" ht="15" customHeight="1" x14ac:dyDescent="0.25">
      <c r="A44" s="15"/>
      <c r="B44" s="8"/>
      <c r="C44" s="7"/>
      <c r="D44" s="7"/>
      <c r="E44" s="7"/>
      <c r="F44" s="7"/>
      <c r="G44" s="6"/>
      <c r="H44" s="8"/>
      <c r="I44" s="7"/>
      <c r="J44" s="7"/>
      <c r="K44" s="7"/>
      <c r="L44" s="7"/>
      <c r="M44" s="7"/>
      <c r="N44" s="6"/>
      <c r="O44" s="8"/>
      <c r="P44" s="7"/>
      <c r="Q44" s="7"/>
      <c r="R44" s="7"/>
      <c r="S44" s="60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2"/>
      <c r="AX44" s="56"/>
      <c r="AY44" s="56"/>
      <c r="AZ44" s="56"/>
      <c r="BA44" s="56"/>
      <c r="BB44" s="56"/>
      <c r="BC44" s="57"/>
      <c r="BD44" s="59"/>
      <c r="BE44" s="56"/>
      <c r="BF44" s="56"/>
      <c r="BG44" s="56"/>
      <c r="BH44" s="56"/>
      <c r="BI44" s="56"/>
      <c r="BJ44" s="57"/>
      <c r="BK44" s="18"/>
    </row>
    <row r="45" spans="1:63" ht="15" customHeight="1" x14ac:dyDescent="0.25">
      <c r="A45" s="15"/>
      <c r="B45" s="11"/>
      <c r="C45" s="10"/>
      <c r="D45" s="10"/>
      <c r="E45" s="10"/>
      <c r="F45" s="10"/>
      <c r="G45" s="9"/>
      <c r="H45" s="11"/>
      <c r="I45" s="10"/>
      <c r="J45" s="10"/>
      <c r="K45" s="10"/>
      <c r="L45" s="10"/>
      <c r="M45" s="10"/>
      <c r="N45" s="9"/>
      <c r="O45" s="11"/>
      <c r="P45" s="10"/>
      <c r="Q45" s="10"/>
      <c r="R45" s="10"/>
      <c r="S45" s="51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3"/>
      <c r="AX45" s="54"/>
      <c r="AY45" s="54"/>
      <c r="AZ45" s="54"/>
      <c r="BA45" s="54"/>
      <c r="BB45" s="54"/>
      <c r="BC45" s="55"/>
      <c r="BD45" s="58"/>
      <c r="BE45" s="54"/>
      <c r="BF45" s="54"/>
      <c r="BG45" s="54"/>
      <c r="BH45" s="54"/>
      <c r="BI45" s="54"/>
      <c r="BJ45" s="55"/>
      <c r="BK45" s="18"/>
    </row>
    <row r="46" spans="1:63" ht="15" customHeight="1" x14ac:dyDescent="0.25">
      <c r="A46" s="15"/>
      <c r="B46" s="8"/>
      <c r="C46" s="7"/>
      <c r="D46" s="7"/>
      <c r="E46" s="7"/>
      <c r="F46" s="7"/>
      <c r="G46" s="6"/>
      <c r="H46" s="8"/>
      <c r="I46" s="7"/>
      <c r="J46" s="7"/>
      <c r="K46" s="7"/>
      <c r="L46" s="7"/>
      <c r="M46" s="7"/>
      <c r="N46" s="6"/>
      <c r="O46" s="8"/>
      <c r="P46" s="7"/>
      <c r="Q46" s="7"/>
      <c r="R46" s="7"/>
      <c r="S46" s="60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2"/>
      <c r="AX46" s="56"/>
      <c r="AY46" s="56"/>
      <c r="AZ46" s="56"/>
      <c r="BA46" s="56"/>
      <c r="BB46" s="56"/>
      <c r="BC46" s="57"/>
      <c r="BD46" s="59"/>
      <c r="BE46" s="56"/>
      <c r="BF46" s="56"/>
      <c r="BG46" s="56"/>
      <c r="BH46" s="56"/>
      <c r="BI46" s="56"/>
      <c r="BJ46" s="57"/>
      <c r="BK46" s="18"/>
    </row>
    <row r="47" spans="1:63" ht="15" customHeight="1" x14ac:dyDescent="0.25">
      <c r="A47" s="15"/>
      <c r="B47" s="11"/>
      <c r="C47" s="10"/>
      <c r="D47" s="10"/>
      <c r="E47" s="10"/>
      <c r="F47" s="10"/>
      <c r="G47" s="9"/>
      <c r="H47" s="11"/>
      <c r="I47" s="10"/>
      <c r="J47" s="10"/>
      <c r="K47" s="10"/>
      <c r="L47" s="10"/>
      <c r="M47" s="10"/>
      <c r="N47" s="9"/>
      <c r="O47" s="11"/>
      <c r="P47" s="10"/>
      <c r="Q47" s="10"/>
      <c r="R47" s="10"/>
      <c r="S47" s="51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3"/>
      <c r="AX47" s="54"/>
      <c r="AY47" s="54"/>
      <c r="AZ47" s="54"/>
      <c r="BA47" s="54"/>
      <c r="BB47" s="54"/>
      <c r="BC47" s="55"/>
      <c r="BD47" s="58"/>
      <c r="BE47" s="54"/>
      <c r="BF47" s="54"/>
      <c r="BG47" s="54"/>
      <c r="BH47" s="54"/>
      <c r="BI47" s="54"/>
      <c r="BJ47" s="55"/>
      <c r="BK47" s="18"/>
    </row>
    <row r="48" spans="1:63" ht="15" customHeight="1" x14ac:dyDescent="0.25">
      <c r="A48" s="15"/>
      <c r="B48" s="8"/>
      <c r="C48" s="7"/>
      <c r="D48" s="7"/>
      <c r="E48" s="7"/>
      <c r="F48" s="7"/>
      <c r="G48" s="6"/>
      <c r="H48" s="8"/>
      <c r="I48" s="7"/>
      <c r="J48" s="7"/>
      <c r="K48" s="7"/>
      <c r="L48" s="7"/>
      <c r="M48" s="7"/>
      <c r="N48" s="6"/>
      <c r="O48" s="8"/>
      <c r="P48" s="7"/>
      <c r="Q48" s="7"/>
      <c r="R48" s="7"/>
      <c r="S48" s="60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2"/>
      <c r="AX48" s="56"/>
      <c r="AY48" s="56"/>
      <c r="AZ48" s="56"/>
      <c r="BA48" s="56"/>
      <c r="BB48" s="56"/>
      <c r="BC48" s="57"/>
      <c r="BD48" s="59"/>
      <c r="BE48" s="56"/>
      <c r="BF48" s="56"/>
      <c r="BG48" s="56"/>
      <c r="BH48" s="56"/>
      <c r="BI48" s="56"/>
      <c r="BJ48" s="57"/>
      <c r="BK48" s="18"/>
    </row>
    <row r="49" spans="1:63" ht="15" customHeight="1" x14ac:dyDescent="0.25">
      <c r="A49" s="15"/>
      <c r="B49" s="11"/>
      <c r="C49" s="10"/>
      <c r="D49" s="10"/>
      <c r="E49" s="10"/>
      <c r="F49" s="10"/>
      <c r="G49" s="9"/>
      <c r="H49" s="11"/>
      <c r="I49" s="10"/>
      <c r="J49" s="10"/>
      <c r="K49" s="10"/>
      <c r="L49" s="10"/>
      <c r="M49" s="10"/>
      <c r="N49" s="9"/>
      <c r="O49" s="11"/>
      <c r="P49" s="10"/>
      <c r="Q49" s="10"/>
      <c r="R49" s="10"/>
      <c r="S49" s="51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3"/>
      <c r="AX49" s="54"/>
      <c r="AY49" s="54"/>
      <c r="AZ49" s="54"/>
      <c r="BA49" s="54"/>
      <c r="BB49" s="54"/>
      <c r="BC49" s="55"/>
      <c r="BD49" s="58"/>
      <c r="BE49" s="54"/>
      <c r="BF49" s="54"/>
      <c r="BG49" s="54"/>
      <c r="BH49" s="54"/>
      <c r="BI49" s="54"/>
      <c r="BJ49" s="55"/>
      <c r="BK49" s="18"/>
    </row>
    <row r="50" spans="1:63" ht="15" customHeight="1" x14ac:dyDescent="0.25">
      <c r="A50" s="15"/>
      <c r="B50" s="8"/>
      <c r="C50" s="7"/>
      <c r="D50" s="7"/>
      <c r="E50" s="7"/>
      <c r="F50" s="7"/>
      <c r="G50" s="6"/>
      <c r="H50" s="8"/>
      <c r="I50" s="7"/>
      <c r="J50" s="7"/>
      <c r="K50" s="7"/>
      <c r="L50" s="7"/>
      <c r="M50" s="7"/>
      <c r="N50" s="6"/>
      <c r="O50" s="8"/>
      <c r="P50" s="7"/>
      <c r="Q50" s="7"/>
      <c r="R50" s="7"/>
      <c r="S50" s="60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2"/>
      <c r="AX50" s="56"/>
      <c r="AY50" s="56"/>
      <c r="AZ50" s="56"/>
      <c r="BA50" s="56"/>
      <c r="BB50" s="56"/>
      <c r="BC50" s="57"/>
      <c r="BD50" s="59"/>
      <c r="BE50" s="56"/>
      <c r="BF50" s="56"/>
      <c r="BG50" s="56"/>
      <c r="BH50" s="56"/>
      <c r="BI50" s="56"/>
      <c r="BJ50" s="57"/>
      <c r="BK50" s="18"/>
    </row>
    <row r="51" spans="1:63" ht="15" customHeight="1" x14ac:dyDescent="0.25">
      <c r="A51" s="15"/>
      <c r="B51" s="11"/>
      <c r="C51" s="10"/>
      <c r="D51" s="10"/>
      <c r="E51" s="10"/>
      <c r="F51" s="10"/>
      <c r="G51" s="9"/>
      <c r="H51" s="11"/>
      <c r="I51" s="10"/>
      <c r="J51" s="10"/>
      <c r="K51" s="10"/>
      <c r="L51" s="10"/>
      <c r="M51" s="10"/>
      <c r="N51" s="9"/>
      <c r="O51" s="11"/>
      <c r="P51" s="10"/>
      <c r="Q51" s="10"/>
      <c r="R51" s="10"/>
      <c r="S51" s="51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3"/>
      <c r="AX51" s="54"/>
      <c r="AY51" s="54"/>
      <c r="AZ51" s="54"/>
      <c r="BA51" s="54"/>
      <c r="BB51" s="54"/>
      <c r="BC51" s="55"/>
      <c r="BD51" s="58"/>
      <c r="BE51" s="54"/>
      <c r="BF51" s="54"/>
      <c r="BG51" s="54"/>
      <c r="BH51" s="54"/>
      <c r="BI51" s="54"/>
      <c r="BJ51" s="55"/>
      <c r="BK51" s="18"/>
    </row>
    <row r="52" spans="1:63" ht="15" customHeight="1" x14ac:dyDescent="0.25">
      <c r="A52" s="15"/>
      <c r="B52" s="8"/>
      <c r="C52" s="7"/>
      <c r="D52" s="7"/>
      <c r="E52" s="7"/>
      <c r="F52" s="7"/>
      <c r="G52" s="6"/>
      <c r="H52" s="8"/>
      <c r="I52" s="7"/>
      <c r="J52" s="7"/>
      <c r="K52" s="7"/>
      <c r="L52" s="7"/>
      <c r="M52" s="7"/>
      <c r="N52" s="6"/>
      <c r="O52" s="8"/>
      <c r="P52" s="7"/>
      <c r="Q52" s="7"/>
      <c r="R52" s="7"/>
      <c r="S52" s="60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2"/>
      <c r="AX52" s="56"/>
      <c r="AY52" s="56"/>
      <c r="AZ52" s="56"/>
      <c r="BA52" s="56"/>
      <c r="BB52" s="56"/>
      <c r="BC52" s="57"/>
      <c r="BD52" s="59"/>
      <c r="BE52" s="56"/>
      <c r="BF52" s="56"/>
      <c r="BG52" s="56"/>
      <c r="BH52" s="56"/>
      <c r="BI52" s="56"/>
      <c r="BJ52" s="57"/>
      <c r="BK52" s="18"/>
    </row>
    <row r="53" spans="1:63" ht="15" customHeight="1" x14ac:dyDescent="0.25">
      <c r="A53" s="15"/>
      <c r="B53" s="11"/>
      <c r="C53" s="10"/>
      <c r="D53" s="10"/>
      <c r="E53" s="10"/>
      <c r="F53" s="10"/>
      <c r="G53" s="9"/>
      <c r="H53" s="11"/>
      <c r="I53" s="10"/>
      <c r="J53" s="10"/>
      <c r="K53" s="10"/>
      <c r="L53" s="10"/>
      <c r="M53" s="10"/>
      <c r="N53" s="9"/>
      <c r="O53" s="11"/>
      <c r="P53" s="10"/>
      <c r="Q53" s="10"/>
      <c r="R53" s="10"/>
      <c r="S53" s="51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3"/>
      <c r="AX53" s="54"/>
      <c r="AY53" s="54"/>
      <c r="AZ53" s="54"/>
      <c r="BA53" s="54"/>
      <c r="BB53" s="54"/>
      <c r="BC53" s="55"/>
      <c r="BD53" s="58"/>
      <c r="BE53" s="54"/>
      <c r="BF53" s="54"/>
      <c r="BG53" s="54"/>
      <c r="BH53" s="54"/>
      <c r="BI53" s="54"/>
      <c r="BJ53" s="55"/>
      <c r="BK53" s="18"/>
    </row>
    <row r="54" spans="1:63" ht="15" customHeight="1" x14ac:dyDescent="0.25">
      <c r="A54" s="15"/>
      <c r="B54" s="8"/>
      <c r="C54" s="7"/>
      <c r="D54" s="7"/>
      <c r="E54" s="7"/>
      <c r="F54" s="7"/>
      <c r="G54" s="6"/>
      <c r="H54" s="8"/>
      <c r="I54" s="7"/>
      <c r="J54" s="7"/>
      <c r="K54" s="7"/>
      <c r="L54" s="7"/>
      <c r="M54" s="7"/>
      <c r="N54" s="6"/>
      <c r="O54" s="8"/>
      <c r="P54" s="7"/>
      <c r="Q54" s="7"/>
      <c r="R54" s="7"/>
      <c r="S54" s="60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2"/>
      <c r="AX54" s="56"/>
      <c r="AY54" s="56"/>
      <c r="AZ54" s="56"/>
      <c r="BA54" s="56"/>
      <c r="BB54" s="56"/>
      <c r="BC54" s="57"/>
      <c r="BD54" s="59"/>
      <c r="BE54" s="56"/>
      <c r="BF54" s="56"/>
      <c r="BG54" s="56"/>
      <c r="BH54" s="56"/>
      <c r="BI54" s="56"/>
      <c r="BJ54" s="57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180"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BD13:BJ14"/>
    <mergeCell ref="S14:AW14"/>
    <mergeCell ref="BD10:BJ10"/>
    <mergeCell ref="B11:G12"/>
    <mergeCell ref="H11:N12"/>
    <mergeCell ref="O11:R12"/>
    <mergeCell ref="S11:AW11"/>
    <mergeCell ref="AX11:BC12"/>
    <mergeCell ref="BD11:BJ12"/>
    <mergeCell ref="S12:AW12"/>
    <mergeCell ref="B10:G10"/>
    <mergeCell ref="H10:N10"/>
    <mergeCell ref="O10:R10"/>
    <mergeCell ref="S10:AW10"/>
    <mergeCell ref="AX10:BC10"/>
    <mergeCell ref="B13:G14"/>
    <mergeCell ref="H13:N14"/>
    <mergeCell ref="O13:R14"/>
    <mergeCell ref="S13:AW13"/>
    <mergeCell ref="AX13:BC14"/>
    <mergeCell ref="B15:G16"/>
    <mergeCell ref="H15:N16"/>
    <mergeCell ref="O15:R16"/>
    <mergeCell ref="S15:AW15"/>
    <mergeCell ref="AX15:BC16"/>
    <mergeCell ref="BD15:BJ16"/>
    <mergeCell ref="S16:AW16"/>
    <mergeCell ref="B17:G18"/>
    <mergeCell ref="H17:N18"/>
    <mergeCell ref="O17:R18"/>
    <mergeCell ref="S17:AW17"/>
    <mergeCell ref="AX17:BC18"/>
    <mergeCell ref="BD17:BJ18"/>
    <mergeCell ref="S18:AW18"/>
    <mergeCell ref="B19:G20"/>
    <mergeCell ref="H19:N20"/>
    <mergeCell ref="O19:R20"/>
    <mergeCell ref="S19:AW19"/>
    <mergeCell ref="AX19:BC20"/>
    <mergeCell ref="BD19:BJ20"/>
    <mergeCell ref="S20:AW20"/>
    <mergeCell ref="B21:G22"/>
    <mergeCell ref="H21:N22"/>
    <mergeCell ref="O21:R22"/>
    <mergeCell ref="S21:AW21"/>
    <mergeCell ref="AX21:BC22"/>
    <mergeCell ref="BD21:BJ22"/>
    <mergeCell ref="S22:AW22"/>
    <mergeCell ref="B23:G24"/>
    <mergeCell ref="H23:N24"/>
    <mergeCell ref="O23:R24"/>
    <mergeCell ref="S23:AW23"/>
    <mergeCell ref="AX23:BC24"/>
    <mergeCell ref="BD23:BJ24"/>
    <mergeCell ref="S24:AW24"/>
    <mergeCell ref="B25:G26"/>
    <mergeCell ref="H25:N26"/>
    <mergeCell ref="O25:R26"/>
    <mergeCell ref="S25:AW25"/>
    <mergeCell ref="AX25:BC26"/>
    <mergeCell ref="BD25:BJ26"/>
    <mergeCell ref="S26:AW26"/>
    <mergeCell ref="B27:G28"/>
    <mergeCell ref="H27:N28"/>
    <mergeCell ref="O27:R28"/>
    <mergeCell ref="S27:AW27"/>
    <mergeCell ref="AX27:BC28"/>
    <mergeCell ref="BD27:BJ28"/>
    <mergeCell ref="S28:AW28"/>
    <mergeCell ref="B29:G30"/>
    <mergeCell ref="H29:N30"/>
    <mergeCell ref="O29:R30"/>
    <mergeCell ref="S29:AW29"/>
    <mergeCell ref="AX29:BC30"/>
    <mergeCell ref="BD29:BJ30"/>
    <mergeCell ref="S30:AW30"/>
    <mergeCell ref="B31:G32"/>
    <mergeCell ref="H31:N32"/>
    <mergeCell ref="O31:R32"/>
    <mergeCell ref="S31:AW31"/>
    <mergeCell ref="AX31:BC32"/>
    <mergeCell ref="BD31:BJ32"/>
    <mergeCell ref="S32:AW32"/>
    <mergeCell ref="B33:G34"/>
    <mergeCell ref="H33:N34"/>
    <mergeCell ref="O33:R34"/>
    <mergeCell ref="S33:AW33"/>
    <mergeCell ref="AX33:BC34"/>
    <mergeCell ref="BD33:BJ34"/>
    <mergeCell ref="S34:AW34"/>
    <mergeCell ref="B35:G36"/>
    <mergeCell ref="H35:N36"/>
    <mergeCell ref="O35:R36"/>
    <mergeCell ref="S35:AW35"/>
    <mergeCell ref="AX35:BC36"/>
    <mergeCell ref="BD35:BJ36"/>
    <mergeCell ref="S36:AW36"/>
    <mergeCell ref="B37:G38"/>
    <mergeCell ref="H37:N38"/>
    <mergeCell ref="O37:R38"/>
    <mergeCell ref="S37:AW37"/>
    <mergeCell ref="AX37:BC38"/>
    <mergeCell ref="BD37:BJ38"/>
    <mergeCell ref="S38:AW38"/>
    <mergeCell ref="B39:G40"/>
    <mergeCell ref="H39:N40"/>
    <mergeCell ref="O39:R40"/>
    <mergeCell ref="S39:AW39"/>
    <mergeCell ref="AX39:BC40"/>
    <mergeCell ref="BD39:BJ40"/>
    <mergeCell ref="S40:AW40"/>
    <mergeCell ref="B41:G42"/>
    <mergeCell ref="H41:N42"/>
    <mergeCell ref="O41:R42"/>
    <mergeCell ref="S41:AW41"/>
    <mergeCell ref="AX41:BC42"/>
    <mergeCell ref="BD41:BJ42"/>
    <mergeCell ref="S42:AW42"/>
    <mergeCell ref="B43:G44"/>
    <mergeCell ref="H43:N44"/>
    <mergeCell ref="O43:R44"/>
    <mergeCell ref="S43:AW43"/>
    <mergeCell ref="AX43:BC44"/>
    <mergeCell ref="BD43:BJ44"/>
    <mergeCell ref="S44:AW44"/>
    <mergeCell ref="B45:G46"/>
    <mergeCell ref="H45:N46"/>
    <mergeCell ref="O45:R46"/>
    <mergeCell ref="S45:AW45"/>
    <mergeCell ref="AX45:BC46"/>
    <mergeCell ref="BD45:BJ46"/>
    <mergeCell ref="S46:AW46"/>
    <mergeCell ref="B47:G48"/>
    <mergeCell ref="H47:N48"/>
    <mergeCell ref="O47:R48"/>
    <mergeCell ref="S47:AW47"/>
    <mergeCell ref="AX47:BC48"/>
    <mergeCell ref="BD47:BJ48"/>
    <mergeCell ref="S48:AW48"/>
    <mergeCell ref="B49:G50"/>
    <mergeCell ref="H49:N50"/>
    <mergeCell ref="O49:R50"/>
    <mergeCell ref="S49:AW49"/>
    <mergeCell ref="AX49:BC50"/>
    <mergeCell ref="BD49:BJ50"/>
    <mergeCell ref="S50:AW50"/>
    <mergeCell ref="B51:G52"/>
    <mergeCell ref="H51:N52"/>
    <mergeCell ref="O51:R52"/>
    <mergeCell ref="S51:AW51"/>
    <mergeCell ref="AX51:BC52"/>
    <mergeCell ref="BD51:BJ52"/>
    <mergeCell ref="S52:AW52"/>
    <mergeCell ref="B53:G54"/>
    <mergeCell ref="H53:N54"/>
    <mergeCell ref="O53:R54"/>
    <mergeCell ref="S53:AW53"/>
    <mergeCell ref="AX53:BC54"/>
    <mergeCell ref="BD53:BJ54"/>
    <mergeCell ref="S54:AW5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sheetPr>
    <pageSetUpPr fitToPage="1"/>
  </sheetPr>
  <dimension ref="A1:BK62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style="268" customWidth="1"/>
    <col min="64" max="16384" width="8.88671875" style="268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1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tr">
        <f>IF(表紙!W1="","",表紙!W1)</f>
        <v>基本設計書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2</v>
      </c>
      <c r="AQ1" s="13"/>
      <c r="AR1" s="13"/>
      <c r="AS1" s="12"/>
      <c r="AT1" s="14" t="s">
        <v>3</v>
      </c>
      <c r="AU1" s="13"/>
      <c r="AV1" s="13"/>
      <c r="AW1" s="13"/>
      <c r="AX1" s="12"/>
      <c r="AY1" s="14" t="s">
        <v>4</v>
      </c>
      <c r="AZ1" s="13"/>
      <c r="BA1" s="13"/>
      <c r="BB1" s="12"/>
      <c r="BC1" s="14" t="s">
        <v>5</v>
      </c>
      <c r="BD1" s="13"/>
      <c r="BE1" s="13"/>
      <c r="BF1" s="13"/>
      <c r="BG1" s="12"/>
      <c r="BH1" s="14" t="s">
        <v>6</v>
      </c>
      <c r="BI1" s="13"/>
      <c r="BJ1" s="13"/>
      <c r="BK1" s="12"/>
    </row>
    <row r="2" spans="1:63" ht="15" customHeight="1" x14ac:dyDescent="0.25">
      <c r="A2" s="269" t="str">
        <f>IF(表紙!A2="","",表紙!A2)</f>
        <v>POSサーバー</v>
      </c>
      <c r="B2" s="270"/>
      <c r="C2" s="270"/>
      <c r="D2" s="270"/>
      <c r="E2" s="270"/>
      <c r="F2" s="270"/>
      <c r="G2" s="270"/>
      <c r="H2" s="270"/>
      <c r="I2" s="270"/>
      <c r="J2" s="271"/>
      <c r="K2" s="269" t="str">
        <f>IF(表紙!K2="","",表紙!K2)</f>
        <v>POSサーバ</v>
      </c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1"/>
      <c r="W2" s="1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8"/>
      <c r="AP2" s="269" t="str">
        <f>IF(表紙!AP2="","",表紙!AP2)</f>
        <v>TinNH</v>
      </c>
      <c r="AQ2" s="270"/>
      <c r="AR2" s="270"/>
      <c r="AS2" s="271"/>
      <c r="AT2" s="272">
        <v>45084</v>
      </c>
      <c r="AU2" s="273"/>
      <c r="AV2" s="273"/>
      <c r="AW2" s="273"/>
      <c r="AX2" s="274"/>
      <c r="AY2" s="269" t="str">
        <f>IF(表紙!AY2="","",表紙!AY2)</f>
        <v>DuNT</v>
      </c>
      <c r="AZ2" s="270"/>
      <c r="BA2" s="270"/>
      <c r="BB2" s="271"/>
      <c r="BC2" s="272">
        <f>IF(表紙!BC2="","",表紙!BC2)</f>
        <v>45531</v>
      </c>
      <c r="BD2" s="273"/>
      <c r="BE2" s="273"/>
      <c r="BF2" s="273"/>
      <c r="BG2" s="274"/>
      <c r="BH2" s="269">
        <f>IF(表紙!BH2="","",表紙!BH2)</f>
        <v>0.4</v>
      </c>
      <c r="BI2" s="270"/>
      <c r="BJ2" s="270"/>
      <c r="BK2" s="271"/>
    </row>
    <row r="3" spans="1:63" ht="15" customHeight="1" x14ac:dyDescent="0.25">
      <c r="A3" s="275"/>
      <c r="B3" s="276"/>
      <c r="C3" s="276"/>
      <c r="D3" s="276"/>
      <c r="E3" s="276"/>
      <c r="F3" s="276"/>
      <c r="G3" s="276"/>
      <c r="H3" s="276"/>
      <c r="I3" s="276"/>
      <c r="J3" s="277"/>
      <c r="K3" s="275"/>
      <c r="L3" s="276"/>
      <c r="M3" s="276"/>
      <c r="N3" s="276"/>
      <c r="O3" s="276"/>
      <c r="P3" s="276"/>
      <c r="Q3" s="276"/>
      <c r="R3" s="276"/>
      <c r="S3" s="276"/>
      <c r="T3" s="276"/>
      <c r="U3" s="276"/>
      <c r="V3" s="277"/>
      <c r="W3" s="39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1"/>
      <c r="AP3" s="275"/>
      <c r="AQ3" s="276"/>
      <c r="AR3" s="276"/>
      <c r="AS3" s="277"/>
      <c r="AT3" s="278"/>
      <c r="AU3" s="279"/>
      <c r="AV3" s="279"/>
      <c r="AW3" s="279"/>
      <c r="AX3" s="280"/>
      <c r="AY3" s="275"/>
      <c r="AZ3" s="276"/>
      <c r="BA3" s="276"/>
      <c r="BB3" s="277"/>
      <c r="BC3" s="278"/>
      <c r="BD3" s="279"/>
      <c r="BE3" s="279"/>
      <c r="BF3" s="279"/>
      <c r="BG3" s="280"/>
      <c r="BH3" s="275"/>
      <c r="BI3" s="276"/>
      <c r="BJ3" s="276"/>
      <c r="BK3" s="277"/>
    </row>
    <row r="4" spans="1:63" ht="24.95" customHeight="1" x14ac:dyDescent="0.25">
      <c r="A4" s="14" t="s">
        <v>61</v>
      </c>
      <c r="B4" s="13"/>
      <c r="C4" s="13"/>
      <c r="D4" s="13"/>
      <c r="E4" s="13"/>
      <c r="F4" s="13"/>
      <c r="G4" s="12"/>
      <c r="H4" s="281" t="str">
        <f>IF(表紙!H4="","",表紙!H4)</f>
        <v>74_予算登録</v>
      </c>
      <c r="I4" s="282"/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3"/>
      <c r="U4" s="14" t="s">
        <v>7</v>
      </c>
      <c r="V4" s="13"/>
      <c r="W4" s="13"/>
      <c r="X4" s="13"/>
      <c r="Y4" s="12"/>
      <c r="Z4" s="281" t="str">
        <f>IF(表紙!Z4="","",表紙!Z4)</f>
        <v>概要設計</v>
      </c>
      <c r="AA4" s="282"/>
      <c r="AB4" s="282"/>
      <c r="AC4" s="282"/>
      <c r="AD4" s="282"/>
      <c r="AE4" s="282"/>
      <c r="AF4" s="282"/>
      <c r="AG4" s="282"/>
      <c r="AH4" s="282"/>
      <c r="AI4" s="282"/>
      <c r="AJ4" s="282"/>
      <c r="AK4" s="282"/>
      <c r="AL4" s="282"/>
      <c r="AM4" s="282"/>
      <c r="AN4" s="282"/>
      <c r="AO4" s="283"/>
      <c r="AP4" s="281" t="str">
        <f t="array" aca="1" ref="AP4" ca="1">RIGHT(CELL("filename",$A$1),LEN(CELL("filename",$A$1))-FIND("]",CELL("filename",$A$1)))</f>
        <v>業務フロー</v>
      </c>
      <c r="AQ4" s="282"/>
      <c r="AR4" s="282"/>
      <c r="AS4" s="282"/>
      <c r="AT4" s="282"/>
      <c r="AU4" s="282"/>
      <c r="AV4" s="282"/>
      <c r="AW4" s="282"/>
      <c r="AX4" s="282"/>
      <c r="AY4" s="282"/>
      <c r="AZ4" s="282"/>
      <c r="BA4" s="282"/>
      <c r="BB4" s="282"/>
      <c r="BC4" s="282"/>
      <c r="BD4" s="282"/>
      <c r="BE4" s="282"/>
      <c r="BF4" s="282"/>
      <c r="BG4" s="282"/>
      <c r="BH4" s="282"/>
      <c r="BI4" s="282"/>
      <c r="BJ4" s="282"/>
      <c r="BK4" s="283"/>
    </row>
    <row r="5" spans="1:63" ht="5.0999999999999996" customHeight="1" x14ac:dyDescent="0.25">
      <c r="A5" s="284"/>
      <c r="B5" s="285"/>
      <c r="C5" s="285"/>
      <c r="D5" s="285"/>
      <c r="E5" s="285"/>
      <c r="F5" s="285"/>
      <c r="G5" s="285"/>
      <c r="H5" s="285"/>
      <c r="I5" s="285"/>
      <c r="J5" s="285"/>
      <c r="K5" s="285"/>
      <c r="L5" s="285"/>
      <c r="M5" s="285"/>
      <c r="N5" s="285"/>
      <c r="O5" s="285"/>
      <c r="P5" s="285"/>
      <c r="Q5" s="285"/>
      <c r="R5" s="285"/>
      <c r="S5" s="285"/>
      <c r="T5" s="285"/>
      <c r="U5" s="285"/>
      <c r="V5" s="285"/>
      <c r="W5" s="285"/>
      <c r="X5" s="285"/>
      <c r="Y5" s="285"/>
      <c r="Z5" s="285"/>
      <c r="AA5" s="285"/>
      <c r="AB5" s="285"/>
      <c r="AC5" s="285"/>
      <c r="AD5" s="285"/>
      <c r="AE5" s="285"/>
      <c r="AF5" s="285"/>
      <c r="AG5" s="285"/>
      <c r="AH5" s="285"/>
      <c r="AI5" s="285"/>
      <c r="AJ5" s="285"/>
      <c r="AK5" s="285"/>
      <c r="AL5" s="285"/>
      <c r="AM5" s="285"/>
      <c r="AN5" s="285"/>
      <c r="AO5" s="285"/>
      <c r="AP5" s="285"/>
      <c r="AQ5" s="285"/>
      <c r="AR5" s="285"/>
      <c r="AS5" s="285"/>
      <c r="AT5" s="285"/>
      <c r="AU5" s="285"/>
      <c r="AV5" s="285"/>
      <c r="AW5" s="285"/>
      <c r="AX5" s="285"/>
      <c r="AY5" s="285"/>
      <c r="AZ5" s="285"/>
      <c r="BA5" s="285"/>
      <c r="BB5" s="285"/>
      <c r="BC5" s="285"/>
      <c r="BD5" s="285"/>
      <c r="BE5" s="285"/>
      <c r="BF5" s="285"/>
      <c r="BG5" s="285"/>
      <c r="BH5" s="285"/>
      <c r="BI5" s="285"/>
      <c r="BJ5" s="285"/>
      <c r="BK5" s="286"/>
    </row>
    <row r="6" spans="1:63" ht="15" customHeight="1" x14ac:dyDescent="0.25">
      <c r="A6" s="287"/>
      <c r="B6" s="288"/>
      <c r="C6" s="289"/>
      <c r="D6" s="289"/>
      <c r="E6" s="289"/>
      <c r="F6" s="289"/>
      <c r="G6" s="289"/>
      <c r="H6" s="289"/>
      <c r="I6" s="289"/>
      <c r="J6" s="289"/>
      <c r="K6" s="289"/>
      <c r="L6" s="289"/>
      <c r="M6" s="289"/>
      <c r="N6" s="289"/>
      <c r="O6" s="289"/>
      <c r="P6" s="289"/>
      <c r="Q6" s="289"/>
      <c r="R6" s="289"/>
      <c r="S6" s="289"/>
      <c r="T6" s="289"/>
      <c r="U6" s="289"/>
      <c r="V6" s="289"/>
      <c r="W6" s="289"/>
      <c r="X6" s="289"/>
      <c r="Y6" s="289"/>
      <c r="Z6" s="289"/>
      <c r="AA6" s="289"/>
      <c r="AB6" s="289"/>
      <c r="AC6" s="289"/>
      <c r="AD6" s="289"/>
      <c r="AE6" s="290"/>
      <c r="AF6" s="288"/>
      <c r="AG6" s="289"/>
      <c r="AH6" s="289"/>
      <c r="AI6" s="289"/>
      <c r="AJ6" s="289"/>
      <c r="AK6" s="289"/>
      <c r="AL6" s="289"/>
      <c r="AM6" s="289"/>
      <c r="AN6" s="289"/>
      <c r="AO6" s="289"/>
      <c r="AP6" s="289"/>
      <c r="AQ6" s="289"/>
      <c r="AR6" s="289"/>
      <c r="AS6" s="289"/>
      <c r="AT6" s="289"/>
      <c r="AU6" s="289"/>
      <c r="AV6" s="289"/>
      <c r="AW6" s="289"/>
      <c r="AX6" s="289"/>
      <c r="AY6" s="289"/>
      <c r="AZ6" s="289"/>
      <c r="BA6" s="289"/>
      <c r="BB6" s="289"/>
      <c r="BC6" s="289"/>
      <c r="BD6" s="289"/>
      <c r="BE6" s="289"/>
      <c r="BF6" s="289"/>
      <c r="BG6" s="289"/>
      <c r="BH6" s="289"/>
      <c r="BI6" s="290"/>
      <c r="BJ6" s="289"/>
      <c r="BK6" s="291"/>
    </row>
    <row r="7" spans="1:63" ht="15" customHeight="1" x14ac:dyDescent="0.25">
      <c r="A7" s="287"/>
      <c r="B7" s="21" t="s">
        <v>14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2"/>
      <c r="AF7" s="21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2"/>
      <c r="BJ7" s="20"/>
      <c r="BK7" s="291"/>
    </row>
    <row r="8" spans="1:63" ht="15" customHeight="1" x14ac:dyDescent="0.25">
      <c r="A8" s="287"/>
      <c r="B8" s="288"/>
      <c r="C8" s="289"/>
      <c r="D8" s="289"/>
      <c r="E8" s="289"/>
      <c r="F8" s="289"/>
      <c r="G8" s="289"/>
      <c r="H8" s="289"/>
      <c r="I8" s="289"/>
      <c r="J8" s="289"/>
      <c r="K8" s="289"/>
      <c r="L8" s="289"/>
      <c r="M8" s="289"/>
      <c r="N8" s="289"/>
      <c r="O8" s="289"/>
      <c r="P8" s="289"/>
      <c r="Q8" s="289"/>
      <c r="R8" s="289"/>
      <c r="S8" s="289"/>
      <c r="T8" s="289"/>
      <c r="U8" s="289"/>
      <c r="V8" s="289"/>
      <c r="W8" s="289"/>
      <c r="X8" s="289"/>
      <c r="Y8" s="289"/>
      <c r="Z8" s="289"/>
      <c r="AA8" s="289"/>
      <c r="AB8" s="289"/>
      <c r="AC8" s="289"/>
      <c r="AD8" s="289"/>
      <c r="AE8" s="290"/>
      <c r="AF8" s="288"/>
      <c r="AG8" s="289"/>
      <c r="AH8" s="289"/>
      <c r="AI8" s="289"/>
      <c r="AJ8" s="289"/>
      <c r="AK8" s="289"/>
      <c r="AL8" s="289"/>
      <c r="AM8" s="289"/>
      <c r="AN8" s="289"/>
      <c r="AO8" s="289"/>
      <c r="AP8" s="289"/>
      <c r="AQ8" s="289"/>
      <c r="AR8" s="289"/>
      <c r="AS8" s="289"/>
      <c r="AT8" s="289"/>
      <c r="AU8" s="289"/>
      <c r="AV8" s="289"/>
      <c r="AW8" s="289"/>
      <c r="AX8" s="289"/>
      <c r="AY8" s="289"/>
      <c r="AZ8" s="289"/>
      <c r="BA8" s="289"/>
      <c r="BB8" s="289"/>
      <c r="BC8" s="289"/>
      <c r="BD8" s="289"/>
      <c r="BE8" s="289"/>
      <c r="BF8" s="289"/>
      <c r="BG8" s="289"/>
      <c r="BH8" s="289"/>
      <c r="BI8" s="290"/>
      <c r="BJ8" s="289"/>
      <c r="BK8" s="291"/>
    </row>
    <row r="9" spans="1:63" ht="15" customHeight="1" x14ac:dyDescent="0.25">
      <c r="A9" s="287"/>
      <c r="B9" s="288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  <c r="R9" s="289"/>
      <c r="S9" s="289"/>
      <c r="T9" s="289"/>
      <c r="U9" s="289"/>
      <c r="V9" s="289"/>
      <c r="W9" s="289"/>
      <c r="X9" s="289"/>
      <c r="Y9" s="289"/>
      <c r="Z9" s="289"/>
      <c r="AA9" s="289"/>
      <c r="AB9" s="289"/>
      <c r="AC9" s="289"/>
      <c r="AD9" s="289"/>
      <c r="AE9" s="290"/>
      <c r="AF9" s="288"/>
      <c r="AG9" s="289"/>
      <c r="AH9" s="289"/>
      <c r="AI9" s="289"/>
      <c r="AJ9" s="289"/>
      <c r="AK9" s="289"/>
      <c r="AL9" s="289"/>
      <c r="AM9" s="289"/>
      <c r="AN9" s="289"/>
      <c r="AO9" s="289"/>
      <c r="AP9" s="289"/>
      <c r="AQ9" s="289"/>
      <c r="AR9" s="289"/>
      <c r="AS9" s="289"/>
      <c r="AT9" s="289"/>
      <c r="AU9" s="289"/>
      <c r="AV9" s="289"/>
      <c r="AW9" s="289"/>
      <c r="AX9" s="289"/>
      <c r="AY9" s="289"/>
      <c r="AZ9" s="289"/>
      <c r="BA9" s="289"/>
      <c r="BB9" s="289"/>
      <c r="BC9" s="289"/>
      <c r="BD9" s="289"/>
      <c r="BE9" s="289"/>
      <c r="BF9" s="289"/>
      <c r="BG9" s="289"/>
      <c r="BH9" s="289"/>
      <c r="BI9" s="290"/>
      <c r="BJ9" s="289"/>
      <c r="BK9" s="291"/>
    </row>
    <row r="10" spans="1:63" ht="15" customHeight="1" x14ac:dyDescent="0.25">
      <c r="A10" s="287"/>
      <c r="B10" s="288"/>
      <c r="C10" s="289"/>
      <c r="D10" s="289"/>
      <c r="E10" s="289"/>
      <c r="F10" s="289"/>
      <c r="G10" s="289"/>
      <c r="H10" s="289"/>
      <c r="I10" s="289"/>
      <c r="J10" s="289"/>
      <c r="K10" s="289"/>
      <c r="L10" s="289"/>
      <c r="M10" s="289"/>
      <c r="N10" s="289"/>
      <c r="O10" s="289"/>
      <c r="P10" s="289"/>
      <c r="Q10" s="289"/>
      <c r="R10" s="289"/>
      <c r="S10" s="289"/>
      <c r="T10" s="289"/>
      <c r="U10" s="289"/>
      <c r="V10" s="289"/>
      <c r="W10" s="289"/>
      <c r="X10" s="289"/>
      <c r="Y10" s="289"/>
      <c r="Z10" s="289"/>
      <c r="AA10" s="289"/>
      <c r="AB10" s="289"/>
      <c r="AC10" s="289"/>
      <c r="AD10" s="289"/>
      <c r="AE10" s="290"/>
      <c r="AF10" s="288"/>
      <c r="AG10" s="289"/>
      <c r="AH10" s="289"/>
      <c r="AI10" s="289"/>
      <c r="AJ10" s="289"/>
      <c r="AK10" s="289"/>
      <c r="AL10" s="289"/>
      <c r="AM10" s="289"/>
      <c r="AN10" s="289"/>
      <c r="AO10" s="289"/>
      <c r="AP10" s="289"/>
      <c r="AQ10" s="289"/>
      <c r="AR10" s="289"/>
      <c r="AS10" s="289"/>
      <c r="AT10" s="289"/>
      <c r="AU10" s="289"/>
      <c r="AV10" s="289"/>
      <c r="AW10" s="289"/>
      <c r="AX10" s="289"/>
      <c r="AY10" s="289"/>
      <c r="AZ10" s="289"/>
      <c r="BA10" s="289"/>
      <c r="BB10" s="289"/>
      <c r="BC10" s="289"/>
      <c r="BD10" s="289"/>
      <c r="BE10" s="289"/>
      <c r="BF10" s="289"/>
      <c r="BG10" s="289"/>
      <c r="BH10" s="289"/>
      <c r="BI10" s="290"/>
      <c r="BJ10" s="289"/>
      <c r="BK10" s="291"/>
    </row>
    <row r="11" spans="1:63" ht="15" customHeight="1" x14ac:dyDescent="0.25">
      <c r="A11" s="287"/>
      <c r="B11" s="288"/>
      <c r="C11" s="289"/>
      <c r="D11" s="289"/>
      <c r="E11" s="289"/>
      <c r="F11" s="289"/>
      <c r="G11" s="289"/>
      <c r="H11" s="289"/>
      <c r="I11" s="289"/>
      <c r="J11" s="289"/>
      <c r="K11" s="289"/>
      <c r="L11" s="289"/>
      <c r="M11" s="289"/>
      <c r="N11" s="289"/>
      <c r="O11" s="289"/>
      <c r="P11" s="289"/>
      <c r="Q11" s="289"/>
      <c r="R11" s="289"/>
      <c r="S11" s="289"/>
      <c r="T11" s="289"/>
      <c r="U11" s="289"/>
      <c r="V11" s="289"/>
      <c r="W11" s="289"/>
      <c r="X11" s="289"/>
      <c r="Y11" s="289"/>
      <c r="Z11" s="289"/>
      <c r="AA11" s="289"/>
      <c r="AB11" s="289"/>
      <c r="AC11" s="289"/>
      <c r="AD11" s="289"/>
      <c r="AE11" s="290"/>
      <c r="AF11" s="288"/>
      <c r="AG11" s="289"/>
      <c r="AH11" s="289"/>
      <c r="AI11" s="289"/>
      <c r="AJ11" s="289"/>
      <c r="AK11" s="289"/>
      <c r="AL11" s="289"/>
      <c r="AM11" s="289"/>
      <c r="AN11" s="289"/>
      <c r="AO11" s="289"/>
      <c r="AP11" s="289"/>
      <c r="AQ11" s="289"/>
      <c r="AR11" s="289"/>
      <c r="AS11" s="289"/>
      <c r="AT11" s="289"/>
      <c r="AU11" s="289"/>
      <c r="AV11" s="289"/>
      <c r="AW11" s="289"/>
      <c r="AX11" s="289"/>
      <c r="AY11" s="289"/>
      <c r="AZ11" s="289"/>
      <c r="BA11" s="289"/>
      <c r="BB11" s="289"/>
      <c r="BC11" s="289"/>
      <c r="BD11" s="289"/>
      <c r="BE11" s="289"/>
      <c r="BF11" s="289"/>
      <c r="BG11" s="289"/>
      <c r="BH11" s="289"/>
      <c r="BI11" s="290"/>
      <c r="BJ11" s="289"/>
      <c r="BK11" s="291"/>
    </row>
    <row r="12" spans="1:63" ht="15" customHeight="1" x14ac:dyDescent="0.25">
      <c r="A12" s="287"/>
      <c r="B12" s="288"/>
      <c r="C12" s="289"/>
      <c r="D12" s="289"/>
      <c r="E12" s="289"/>
      <c r="F12" s="289"/>
      <c r="G12" s="289"/>
      <c r="H12" s="289"/>
      <c r="I12" s="289"/>
      <c r="J12" s="289"/>
      <c r="K12" s="289"/>
      <c r="L12" s="289"/>
      <c r="M12" s="289"/>
      <c r="N12" s="289"/>
      <c r="O12" s="289"/>
      <c r="P12" s="289"/>
      <c r="Q12" s="289"/>
      <c r="R12" s="289"/>
      <c r="S12" s="289"/>
      <c r="T12" s="289"/>
      <c r="U12" s="289"/>
      <c r="V12" s="289"/>
      <c r="W12" s="289"/>
      <c r="X12" s="289"/>
      <c r="Y12" s="289"/>
      <c r="Z12" s="289"/>
      <c r="AA12" s="289"/>
      <c r="AB12" s="289"/>
      <c r="AC12" s="289"/>
      <c r="AD12" s="289"/>
      <c r="AE12" s="290"/>
      <c r="AF12" s="288"/>
      <c r="AG12" s="289"/>
      <c r="AH12" s="289"/>
      <c r="AI12" s="289"/>
      <c r="AJ12" s="289"/>
      <c r="AK12" s="289"/>
      <c r="AL12" s="289"/>
      <c r="AM12" s="289"/>
      <c r="AN12" s="289"/>
      <c r="AO12" s="289"/>
      <c r="AP12" s="289"/>
      <c r="AQ12" s="289"/>
      <c r="AR12" s="289"/>
      <c r="AS12" s="289"/>
      <c r="AT12" s="289"/>
      <c r="AU12" s="289"/>
      <c r="AV12" s="289"/>
      <c r="AW12" s="289"/>
      <c r="AX12" s="289"/>
      <c r="AY12" s="289"/>
      <c r="AZ12" s="289"/>
      <c r="BA12" s="289"/>
      <c r="BB12" s="289"/>
      <c r="BC12" s="289"/>
      <c r="BD12" s="289"/>
      <c r="BE12" s="289"/>
      <c r="BF12" s="289"/>
      <c r="BG12" s="289"/>
      <c r="BH12" s="289"/>
      <c r="BI12" s="290"/>
      <c r="BJ12" s="289"/>
      <c r="BK12" s="291"/>
    </row>
    <row r="13" spans="1:63" ht="15" customHeight="1" x14ac:dyDescent="0.25">
      <c r="A13" s="287"/>
      <c r="B13" s="288"/>
      <c r="C13" s="289"/>
      <c r="D13" s="289"/>
      <c r="E13" s="289"/>
      <c r="F13" s="289"/>
      <c r="G13" s="289"/>
      <c r="H13" s="289"/>
      <c r="I13" s="289"/>
      <c r="J13" s="289"/>
      <c r="K13" s="289"/>
      <c r="L13" s="289"/>
      <c r="M13" s="289"/>
      <c r="N13" s="289"/>
      <c r="O13" s="289"/>
      <c r="P13" s="289"/>
      <c r="Q13" s="289"/>
      <c r="R13" s="289"/>
      <c r="S13" s="289"/>
      <c r="T13" s="289"/>
      <c r="U13" s="289"/>
      <c r="V13" s="289"/>
      <c r="W13" s="289"/>
      <c r="X13" s="289"/>
      <c r="Y13" s="289"/>
      <c r="Z13" s="289"/>
      <c r="AA13" s="289"/>
      <c r="AB13" s="289"/>
      <c r="AC13" s="289"/>
      <c r="AD13" s="289"/>
      <c r="AE13" s="290"/>
      <c r="AF13" s="288"/>
      <c r="AG13" s="289"/>
      <c r="AH13" s="289"/>
      <c r="AI13" s="289"/>
      <c r="AJ13" s="289"/>
      <c r="AK13" s="289"/>
      <c r="AL13" s="289"/>
      <c r="AM13" s="289"/>
      <c r="AN13" s="289"/>
      <c r="AO13" s="289"/>
      <c r="AP13" s="289"/>
      <c r="AQ13" s="289"/>
      <c r="AR13" s="289"/>
      <c r="AS13" s="289"/>
      <c r="AT13" s="289"/>
      <c r="AU13" s="289"/>
      <c r="AV13" s="289"/>
      <c r="AW13" s="289"/>
      <c r="AX13" s="289"/>
      <c r="AY13" s="289"/>
      <c r="AZ13" s="289"/>
      <c r="BA13" s="289"/>
      <c r="BB13" s="289"/>
      <c r="BC13" s="289"/>
      <c r="BD13" s="289"/>
      <c r="BE13" s="289"/>
      <c r="BF13" s="289"/>
      <c r="BG13" s="289"/>
      <c r="BH13" s="289"/>
      <c r="BI13" s="290"/>
      <c r="BJ13" s="289"/>
      <c r="BK13" s="291"/>
    </row>
    <row r="14" spans="1:63" ht="15" customHeight="1" x14ac:dyDescent="0.25">
      <c r="A14" s="287"/>
      <c r="B14" s="288"/>
      <c r="C14" s="289"/>
      <c r="D14" s="289"/>
      <c r="E14" s="289"/>
      <c r="F14" s="289"/>
      <c r="G14" s="289"/>
      <c r="H14" s="289"/>
      <c r="I14" s="289"/>
      <c r="J14" s="289"/>
      <c r="K14" s="289"/>
      <c r="L14" s="289"/>
      <c r="M14" s="289"/>
      <c r="N14" s="289"/>
      <c r="O14" s="289"/>
      <c r="P14" s="289"/>
      <c r="Q14" s="289"/>
      <c r="R14" s="289"/>
      <c r="S14" s="289"/>
      <c r="T14" s="289"/>
      <c r="U14" s="289"/>
      <c r="V14" s="289"/>
      <c r="W14" s="289"/>
      <c r="X14" s="289"/>
      <c r="Y14" s="289"/>
      <c r="Z14" s="289"/>
      <c r="AA14" s="289"/>
      <c r="AB14" s="289"/>
      <c r="AC14" s="289"/>
      <c r="AD14" s="289"/>
      <c r="AE14" s="290"/>
      <c r="AF14" s="288"/>
      <c r="AG14" s="289"/>
      <c r="AH14" s="289"/>
      <c r="AI14" s="289"/>
      <c r="AJ14" s="289"/>
      <c r="AK14" s="289"/>
      <c r="AL14" s="289"/>
      <c r="AM14" s="289"/>
      <c r="AN14" s="289"/>
      <c r="AO14" s="289"/>
      <c r="AP14" s="289"/>
      <c r="AQ14" s="289"/>
      <c r="AR14" s="289"/>
      <c r="AS14" s="289"/>
      <c r="AT14" s="289"/>
      <c r="AU14" s="289"/>
      <c r="AV14" s="289"/>
      <c r="AW14" s="289"/>
      <c r="AX14" s="289"/>
      <c r="AY14" s="289"/>
      <c r="AZ14" s="289"/>
      <c r="BA14" s="289"/>
      <c r="BB14" s="289"/>
      <c r="BC14" s="289"/>
      <c r="BD14" s="289"/>
      <c r="BE14" s="289"/>
      <c r="BF14" s="289"/>
      <c r="BG14" s="289"/>
      <c r="BH14" s="289"/>
      <c r="BI14" s="290"/>
      <c r="BJ14" s="289"/>
      <c r="BK14" s="291"/>
    </row>
    <row r="15" spans="1:63" ht="15" customHeight="1" x14ac:dyDescent="0.25">
      <c r="A15" s="287"/>
      <c r="B15" s="288"/>
      <c r="C15" s="289"/>
      <c r="D15" s="289"/>
      <c r="E15" s="289"/>
      <c r="F15" s="289"/>
      <c r="G15" s="289"/>
      <c r="H15" s="289"/>
      <c r="I15" s="289"/>
      <c r="J15" s="289"/>
      <c r="K15" s="289"/>
      <c r="L15" s="289"/>
      <c r="M15" s="289"/>
      <c r="N15" s="289"/>
      <c r="O15" s="289"/>
      <c r="P15" s="289"/>
      <c r="Q15" s="289"/>
      <c r="R15" s="289"/>
      <c r="S15" s="289"/>
      <c r="T15" s="289"/>
      <c r="U15" s="289"/>
      <c r="V15" s="289"/>
      <c r="W15" s="289"/>
      <c r="X15" s="289"/>
      <c r="Y15" s="289"/>
      <c r="Z15" s="289"/>
      <c r="AA15" s="289"/>
      <c r="AB15" s="289"/>
      <c r="AC15" s="289"/>
      <c r="AD15" s="289"/>
      <c r="AE15" s="290"/>
      <c r="AF15" s="288"/>
      <c r="AG15" s="289"/>
      <c r="AH15" s="289"/>
      <c r="AI15" s="289"/>
      <c r="AJ15" s="289"/>
      <c r="AK15" s="289"/>
      <c r="AL15" s="289"/>
      <c r="AM15" s="289"/>
      <c r="AN15" s="289"/>
      <c r="AO15" s="289"/>
      <c r="AP15" s="289"/>
      <c r="AQ15" s="289"/>
      <c r="AR15" s="289"/>
      <c r="AS15" s="289"/>
      <c r="AT15" s="289"/>
      <c r="AU15" s="289"/>
      <c r="AV15" s="289"/>
      <c r="AW15" s="289"/>
      <c r="AX15" s="289"/>
      <c r="AY15" s="289"/>
      <c r="AZ15" s="289"/>
      <c r="BA15" s="289"/>
      <c r="BB15" s="289"/>
      <c r="BC15" s="289"/>
      <c r="BD15" s="289"/>
      <c r="BE15" s="289"/>
      <c r="BF15" s="289"/>
      <c r="BG15" s="289"/>
      <c r="BH15" s="289"/>
      <c r="BI15" s="290"/>
      <c r="BJ15" s="289"/>
      <c r="BK15" s="291"/>
    </row>
    <row r="16" spans="1:63" ht="15" customHeight="1" x14ac:dyDescent="0.25">
      <c r="A16" s="287"/>
      <c r="B16" s="288"/>
      <c r="C16" s="289"/>
      <c r="D16" s="289"/>
      <c r="E16" s="289"/>
      <c r="F16" s="289"/>
      <c r="G16" s="289"/>
      <c r="H16" s="289"/>
      <c r="I16" s="289"/>
      <c r="J16" s="289"/>
      <c r="K16" s="289"/>
      <c r="L16" s="289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89"/>
      <c r="AA16" s="289"/>
      <c r="AB16" s="289"/>
      <c r="AC16" s="289"/>
      <c r="AD16" s="289"/>
      <c r="AE16" s="290"/>
      <c r="AF16" s="288"/>
      <c r="AG16" s="289"/>
      <c r="AH16" s="289"/>
      <c r="AI16" s="289"/>
      <c r="AJ16" s="289"/>
      <c r="AK16" s="289"/>
      <c r="AL16" s="289"/>
      <c r="AM16" s="289"/>
      <c r="AN16" s="289"/>
      <c r="AO16" s="289"/>
      <c r="AP16" s="289"/>
      <c r="AQ16" s="289"/>
      <c r="AR16" s="289"/>
      <c r="AS16" s="289"/>
      <c r="AT16" s="289"/>
      <c r="AU16" s="289"/>
      <c r="AV16" s="289"/>
      <c r="AW16" s="289"/>
      <c r="AX16" s="289"/>
      <c r="AY16" s="289"/>
      <c r="AZ16" s="289"/>
      <c r="BA16" s="289"/>
      <c r="BB16" s="289"/>
      <c r="BC16" s="289"/>
      <c r="BD16" s="289"/>
      <c r="BE16" s="289"/>
      <c r="BF16" s="289"/>
      <c r="BG16" s="289"/>
      <c r="BH16" s="289"/>
      <c r="BI16" s="290"/>
      <c r="BJ16" s="289"/>
      <c r="BK16" s="291"/>
    </row>
    <row r="17" spans="1:63" ht="15" customHeight="1" x14ac:dyDescent="0.25">
      <c r="A17" s="287"/>
      <c r="B17" s="288"/>
      <c r="C17" s="289"/>
      <c r="D17" s="289"/>
      <c r="E17" s="289"/>
      <c r="F17" s="289"/>
      <c r="G17" s="289"/>
      <c r="H17" s="289"/>
      <c r="I17" s="289"/>
      <c r="J17" s="289"/>
      <c r="K17" s="289"/>
      <c r="L17" s="289"/>
      <c r="M17" s="289"/>
      <c r="N17" s="289"/>
      <c r="O17" s="289"/>
      <c r="P17" s="289"/>
      <c r="Q17" s="289"/>
      <c r="R17" s="289"/>
      <c r="S17" s="289"/>
      <c r="T17" s="289"/>
      <c r="U17" s="289"/>
      <c r="V17" s="289"/>
      <c r="W17" s="289"/>
      <c r="X17" s="289"/>
      <c r="Y17" s="289"/>
      <c r="Z17" s="289"/>
      <c r="AA17" s="289"/>
      <c r="AB17" s="289"/>
      <c r="AC17" s="289"/>
      <c r="AD17" s="289"/>
      <c r="AE17" s="290"/>
      <c r="AF17" s="288"/>
      <c r="AG17" s="289"/>
      <c r="AH17" s="289"/>
      <c r="AI17" s="289"/>
      <c r="AJ17" s="289"/>
      <c r="AK17" s="289"/>
      <c r="AL17" s="289"/>
      <c r="AM17" s="289"/>
      <c r="AN17" s="289"/>
      <c r="AO17" s="289"/>
      <c r="AP17" s="289"/>
      <c r="AQ17" s="289"/>
      <c r="AR17" s="289"/>
      <c r="AS17" s="289"/>
      <c r="AT17" s="289"/>
      <c r="AU17" s="289"/>
      <c r="AV17" s="289"/>
      <c r="AW17" s="289"/>
      <c r="AX17" s="289"/>
      <c r="AY17" s="289"/>
      <c r="AZ17" s="289"/>
      <c r="BA17" s="289"/>
      <c r="BB17" s="289"/>
      <c r="BC17" s="289"/>
      <c r="BD17" s="289"/>
      <c r="BE17" s="289"/>
      <c r="BF17" s="289"/>
      <c r="BG17" s="289"/>
      <c r="BH17" s="289"/>
      <c r="BI17" s="290"/>
      <c r="BJ17" s="289"/>
      <c r="BK17" s="291"/>
    </row>
    <row r="18" spans="1:63" ht="15" customHeight="1" x14ac:dyDescent="0.25">
      <c r="A18" s="287"/>
      <c r="B18" s="288"/>
      <c r="C18" s="289"/>
      <c r="D18" s="289"/>
      <c r="E18" s="289"/>
      <c r="F18" s="289"/>
      <c r="G18" s="289"/>
      <c r="H18" s="289"/>
      <c r="I18" s="289"/>
      <c r="J18" s="289"/>
      <c r="K18" s="289"/>
      <c r="L18" s="289"/>
      <c r="M18" s="289"/>
      <c r="N18" s="289"/>
      <c r="O18" s="289"/>
      <c r="P18" s="289"/>
      <c r="Q18" s="289"/>
      <c r="R18" s="289"/>
      <c r="S18" s="289"/>
      <c r="T18" s="289"/>
      <c r="U18" s="289"/>
      <c r="V18" s="289"/>
      <c r="W18" s="289"/>
      <c r="X18" s="289"/>
      <c r="Y18" s="289"/>
      <c r="Z18" s="289"/>
      <c r="AA18" s="289"/>
      <c r="AB18" s="289"/>
      <c r="AC18" s="289"/>
      <c r="AD18" s="289"/>
      <c r="AE18" s="290"/>
      <c r="AF18" s="288"/>
      <c r="AG18" s="289"/>
      <c r="AH18" s="289"/>
      <c r="AI18" s="289"/>
      <c r="AJ18" s="289"/>
      <c r="AK18" s="289"/>
      <c r="AL18" s="289"/>
      <c r="AM18" s="289"/>
      <c r="AN18" s="289"/>
      <c r="AO18" s="289"/>
      <c r="AP18" s="289"/>
      <c r="AQ18" s="289"/>
      <c r="AR18" s="289"/>
      <c r="AS18" s="289"/>
      <c r="AT18" s="289"/>
      <c r="AU18" s="289"/>
      <c r="AV18" s="289"/>
      <c r="AW18" s="289"/>
      <c r="AX18" s="289"/>
      <c r="AY18" s="289"/>
      <c r="AZ18" s="289"/>
      <c r="BA18" s="289"/>
      <c r="BB18" s="289"/>
      <c r="BC18" s="289"/>
      <c r="BD18" s="289"/>
      <c r="BE18" s="289"/>
      <c r="BF18" s="289"/>
      <c r="BG18" s="289"/>
      <c r="BH18" s="289"/>
      <c r="BI18" s="290"/>
      <c r="BJ18" s="289"/>
      <c r="BK18" s="291"/>
    </row>
    <row r="19" spans="1:63" ht="15" customHeight="1" x14ac:dyDescent="0.25">
      <c r="A19" s="287"/>
      <c r="B19" s="288"/>
      <c r="C19" s="289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89"/>
      <c r="O19" s="289"/>
      <c r="P19" s="289"/>
      <c r="Q19" s="289"/>
      <c r="R19" s="289"/>
      <c r="S19" s="289"/>
      <c r="T19" s="289"/>
      <c r="U19" s="289"/>
      <c r="V19" s="289"/>
      <c r="W19" s="289"/>
      <c r="X19" s="289"/>
      <c r="Y19" s="289"/>
      <c r="Z19" s="289"/>
      <c r="AA19" s="289"/>
      <c r="AB19" s="289"/>
      <c r="AC19" s="289"/>
      <c r="AD19" s="289"/>
      <c r="AE19" s="290"/>
      <c r="AF19" s="288"/>
      <c r="AG19" s="289"/>
      <c r="AH19" s="289"/>
      <c r="AI19" s="289"/>
      <c r="AJ19" s="289"/>
      <c r="AK19" s="289"/>
      <c r="AL19" s="289"/>
      <c r="AM19" s="289"/>
      <c r="AN19" s="289"/>
      <c r="AO19" s="289"/>
      <c r="AP19" s="289"/>
      <c r="AQ19" s="289"/>
      <c r="AR19" s="289"/>
      <c r="AS19" s="289"/>
      <c r="AT19" s="289"/>
      <c r="AU19" s="289"/>
      <c r="AV19" s="289"/>
      <c r="AW19" s="289"/>
      <c r="AX19" s="289"/>
      <c r="AY19" s="289"/>
      <c r="AZ19" s="289"/>
      <c r="BA19" s="289"/>
      <c r="BB19" s="289"/>
      <c r="BC19" s="289"/>
      <c r="BD19" s="289"/>
      <c r="BE19" s="289"/>
      <c r="BF19" s="289"/>
      <c r="BG19" s="289"/>
      <c r="BH19" s="289"/>
      <c r="BI19" s="290"/>
      <c r="BJ19" s="289"/>
      <c r="BK19" s="291"/>
    </row>
    <row r="20" spans="1:63" ht="15" customHeight="1" x14ac:dyDescent="0.25">
      <c r="A20" s="287"/>
      <c r="B20" s="288"/>
      <c r="C20" s="289"/>
      <c r="D20" s="289"/>
      <c r="E20" s="289"/>
      <c r="F20" s="289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89"/>
      <c r="AB20" s="289"/>
      <c r="AC20" s="289"/>
      <c r="AD20" s="289"/>
      <c r="AE20" s="290"/>
      <c r="AF20" s="288"/>
      <c r="AG20" s="289"/>
      <c r="AH20" s="289"/>
      <c r="AI20" s="289"/>
      <c r="AJ20" s="289"/>
      <c r="AK20" s="289"/>
      <c r="AL20" s="289"/>
      <c r="AM20" s="289"/>
      <c r="AN20" s="289"/>
      <c r="AO20" s="289"/>
      <c r="AP20" s="289"/>
      <c r="AQ20" s="289"/>
      <c r="AR20" s="289"/>
      <c r="AS20" s="289"/>
      <c r="AT20" s="289"/>
      <c r="AU20" s="289"/>
      <c r="AV20" s="289"/>
      <c r="AW20" s="289"/>
      <c r="AX20" s="289"/>
      <c r="AY20" s="289"/>
      <c r="AZ20" s="289"/>
      <c r="BA20" s="289"/>
      <c r="BB20" s="289"/>
      <c r="BC20" s="289"/>
      <c r="BD20" s="289"/>
      <c r="BE20" s="289"/>
      <c r="BF20" s="289"/>
      <c r="BG20" s="289"/>
      <c r="BH20" s="289"/>
      <c r="BI20" s="290"/>
      <c r="BJ20" s="289"/>
      <c r="BK20" s="291"/>
    </row>
    <row r="21" spans="1:63" ht="15" customHeight="1" x14ac:dyDescent="0.25">
      <c r="A21" s="287"/>
      <c r="B21" s="288"/>
      <c r="C21" s="289"/>
      <c r="D21" s="289"/>
      <c r="E21" s="289"/>
      <c r="F21" s="289"/>
      <c r="G21" s="289"/>
      <c r="H21" s="289"/>
      <c r="I21" s="289"/>
      <c r="J21" s="289"/>
      <c r="K21" s="289"/>
      <c r="L21" s="289"/>
      <c r="M21" s="289"/>
      <c r="N21" s="289"/>
      <c r="O21" s="289"/>
      <c r="P21" s="289"/>
      <c r="Q21" s="289"/>
      <c r="R21" s="289"/>
      <c r="S21" s="289"/>
      <c r="T21" s="289"/>
      <c r="U21" s="289"/>
      <c r="V21" s="289"/>
      <c r="W21" s="289"/>
      <c r="X21" s="289"/>
      <c r="Y21" s="289"/>
      <c r="Z21" s="289"/>
      <c r="AA21" s="289"/>
      <c r="AB21" s="289"/>
      <c r="AC21" s="289"/>
      <c r="AD21" s="289"/>
      <c r="AE21" s="290"/>
      <c r="AF21" s="288"/>
      <c r="AG21" s="289"/>
      <c r="AH21" s="289"/>
      <c r="AI21" s="289"/>
      <c r="AJ21" s="289"/>
      <c r="AK21" s="289"/>
      <c r="AL21" s="289"/>
      <c r="AM21" s="289"/>
      <c r="AN21" s="289"/>
      <c r="AO21" s="289"/>
      <c r="AP21" s="289"/>
      <c r="AQ21" s="289"/>
      <c r="AR21" s="289"/>
      <c r="AS21" s="289"/>
      <c r="AT21" s="289"/>
      <c r="AU21" s="289"/>
      <c r="AV21" s="289"/>
      <c r="AW21" s="289"/>
      <c r="AX21" s="289"/>
      <c r="AY21" s="289"/>
      <c r="AZ21" s="289"/>
      <c r="BA21" s="289"/>
      <c r="BB21" s="289"/>
      <c r="BC21" s="289"/>
      <c r="BD21" s="289"/>
      <c r="BE21" s="289"/>
      <c r="BF21" s="289"/>
      <c r="BG21" s="289"/>
      <c r="BH21" s="289"/>
      <c r="BI21" s="290"/>
      <c r="BJ21" s="289"/>
      <c r="BK21" s="291"/>
    </row>
    <row r="22" spans="1:63" ht="15" customHeight="1" x14ac:dyDescent="0.25">
      <c r="A22" s="287"/>
      <c r="B22" s="21" t="s">
        <v>15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2"/>
      <c r="AF22" s="21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2"/>
      <c r="BJ22" s="20"/>
      <c r="BK22" s="291"/>
    </row>
    <row r="23" spans="1:63" ht="15" customHeight="1" x14ac:dyDescent="0.25">
      <c r="A23" s="287"/>
      <c r="B23" s="288"/>
      <c r="C23" s="289"/>
      <c r="D23" s="289"/>
      <c r="E23" s="289"/>
      <c r="F23" s="289"/>
      <c r="G23" s="289"/>
      <c r="H23" s="289"/>
      <c r="I23" s="289"/>
      <c r="J23" s="289"/>
      <c r="K23" s="289"/>
      <c r="L23" s="289"/>
      <c r="M23" s="289"/>
      <c r="N23" s="289"/>
      <c r="O23" s="289"/>
      <c r="P23" s="289"/>
      <c r="Q23" s="289"/>
      <c r="R23" s="289"/>
      <c r="S23" s="289"/>
      <c r="T23" s="289"/>
      <c r="U23" s="289"/>
      <c r="V23" s="289"/>
      <c r="W23" s="289"/>
      <c r="X23" s="289"/>
      <c r="Y23" s="289"/>
      <c r="Z23" s="289"/>
      <c r="AA23" s="289"/>
      <c r="AB23" s="289"/>
      <c r="AC23" s="289"/>
      <c r="AD23" s="289"/>
      <c r="AE23" s="290"/>
      <c r="AF23" s="288"/>
      <c r="AG23" s="289"/>
      <c r="AH23" s="289"/>
      <c r="AI23" s="289"/>
      <c r="AJ23" s="289"/>
      <c r="AK23" s="289"/>
      <c r="AL23" s="289"/>
      <c r="AM23" s="289"/>
      <c r="AN23" s="289"/>
      <c r="AO23" s="289"/>
      <c r="AP23" s="289"/>
      <c r="AQ23" s="289"/>
      <c r="AR23" s="289"/>
      <c r="AS23" s="289"/>
      <c r="AT23" s="289"/>
      <c r="AU23" s="289"/>
      <c r="AV23" s="289"/>
      <c r="AW23" s="289"/>
      <c r="AX23" s="289"/>
      <c r="AY23" s="289"/>
      <c r="AZ23" s="289"/>
      <c r="BA23" s="289"/>
      <c r="BB23" s="289"/>
      <c r="BC23" s="289"/>
      <c r="BD23" s="289"/>
      <c r="BE23" s="289"/>
      <c r="BF23" s="289"/>
      <c r="BG23" s="289"/>
      <c r="BH23" s="289"/>
      <c r="BI23" s="290"/>
      <c r="BJ23" s="289"/>
      <c r="BK23" s="291"/>
    </row>
    <row r="24" spans="1:63" ht="15" customHeight="1" x14ac:dyDescent="0.25">
      <c r="A24" s="287"/>
      <c r="B24" s="288"/>
      <c r="C24" s="289"/>
      <c r="D24" s="289"/>
      <c r="E24" s="289"/>
      <c r="F24" s="289"/>
      <c r="G24" s="289"/>
      <c r="H24" s="289"/>
      <c r="I24" s="289"/>
      <c r="J24" s="289"/>
      <c r="K24" s="289"/>
      <c r="L24" s="289"/>
      <c r="M24" s="289"/>
      <c r="N24" s="289"/>
      <c r="O24" s="289"/>
      <c r="P24" s="289"/>
      <c r="Q24" s="289"/>
      <c r="R24" s="289"/>
      <c r="S24" s="289"/>
      <c r="T24" s="289"/>
      <c r="U24" s="289"/>
      <c r="V24" s="289"/>
      <c r="W24" s="289"/>
      <c r="X24" s="289"/>
      <c r="Y24" s="289"/>
      <c r="Z24" s="289"/>
      <c r="AA24" s="289"/>
      <c r="AB24" s="289"/>
      <c r="AC24" s="289"/>
      <c r="AD24" s="289"/>
      <c r="AE24" s="290"/>
      <c r="AF24" s="288"/>
      <c r="AG24" s="289"/>
      <c r="AH24" s="289"/>
      <c r="AI24" s="289"/>
      <c r="AJ24" s="289"/>
      <c r="AK24" s="289"/>
      <c r="AL24" s="289"/>
      <c r="AM24" s="289"/>
      <c r="AN24" s="289"/>
      <c r="AO24" s="289"/>
      <c r="AP24" s="289"/>
      <c r="AQ24" s="289"/>
      <c r="AR24" s="289"/>
      <c r="AS24" s="289"/>
      <c r="AT24" s="289"/>
      <c r="AU24" s="289"/>
      <c r="AV24" s="289"/>
      <c r="AW24" s="289"/>
      <c r="AX24" s="289"/>
      <c r="AY24" s="289"/>
      <c r="AZ24" s="289"/>
      <c r="BA24" s="289"/>
      <c r="BB24" s="289"/>
      <c r="BC24" s="289"/>
      <c r="BD24" s="289"/>
      <c r="BE24" s="289"/>
      <c r="BF24" s="289"/>
      <c r="BG24" s="289"/>
      <c r="BH24" s="289"/>
      <c r="BI24" s="290"/>
      <c r="BJ24" s="289"/>
      <c r="BK24" s="291"/>
    </row>
    <row r="25" spans="1:63" ht="15" customHeight="1" x14ac:dyDescent="0.25">
      <c r="A25" s="287"/>
      <c r="B25" s="288"/>
      <c r="C25" s="289"/>
      <c r="D25" s="289"/>
      <c r="E25" s="289"/>
      <c r="F25" s="289"/>
      <c r="G25" s="289"/>
      <c r="H25" s="289"/>
      <c r="I25" s="289"/>
      <c r="J25" s="289"/>
      <c r="K25" s="289"/>
      <c r="L25" s="289"/>
      <c r="M25" s="289"/>
      <c r="N25" s="289"/>
      <c r="O25" s="289"/>
      <c r="P25" s="289"/>
      <c r="Q25" s="289"/>
      <c r="R25" s="289"/>
      <c r="S25" s="289"/>
      <c r="T25" s="289"/>
      <c r="U25" s="289"/>
      <c r="V25" s="289"/>
      <c r="W25" s="289"/>
      <c r="X25" s="289"/>
      <c r="Y25" s="289"/>
      <c r="Z25" s="289"/>
      <c r="AA25" s="289"/>
      <c r="AB25" s="289"/>
      <c r="AC25" s="289"/>
      <c r="AD25" s="289"/>
      <c r="AE25" s="290"/>
      <c r="AF25" s="288"/>
      <c r="AG25" s="289"/>
      <c r="AH25" s="289"/>
      <c r="AI25" s="289"/>
      <c r="AJ25" s="289"/>
      <c r="AK25" s="289"/>
      <c r="AL25" s="289"/>
      <c r="AM25" s="289"/>
      <c r="AN25" s="289"/>
      <c r="AO25" s="289"/>
      <c r="AP25" s="289"/>
      <c r="AQ25" s="289"/>
      <c r="AR25" s="289"/>
      <c r="AS25" s="289"/>
      <c r="AT25" s="289"/>
      <c r="AU25" s="289"/>
      <c r="AV25" s="289"/>
      <c r="AW25" s="289"/>
      <c r="AX25" s="289"/>
      <c r="AY25" s="289"/>
      <c r="AZ25" s="289"/>
      <c r="BA25" s="289"/>
      <c r="BB25" s="289"/>
      <c r="BC25" s="289"/>
      <c r="BD25" s="289"/>
      <c r="BE25" s="289"/>
      <c r="BF25" s="289"/>
      <c r="BG25" s="289"/>
      <c r="BH25" s="289"/>
      <c r="BI25" s="290"/>
      <c r="BJ25" s="289"/>
      <c r="BK25" s="291"/>
    </row>
    <row r="26" spans="1:63" ht="15" customHeight="1" x14ac:dyDescent="0.25">
      <c r="A26" s="287"/>
      <c r="B26" s="288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  <c r="R26" s="289"/>
      <c r="S26" s="289"/>
      <c r="T26" s="289"/>
      <c r="U26" s="289"/>
      <c r="V26" s="289"/>
      <c r="W26" s="289"/>
      <c r="X26" s="289"/>
      <c r="Y26" s="289"/>
      <c r="Z26" s="289"/>
      <c r="AA26" s="289"/>
      <c r="AB26" s="289"/>
      <c r="AC26" s="289"/>
      <c r="AD26" s="289"/>
      <c r="AE26" s="290"/>
      <c r="AF26" s="288"/>
      <c r="AG26" s="289"/>
      <c r="AH26" s="289"/>
      <c r="AI26" s="289"/>
      <c r="AJ26" s="289"/>
      <c r="AK26" s="289"/>
      <c r="AL26" s="289"/>
      <c r="AM26" s="289"/>
      <c r="AN26" s="289"/>
      <c r="AO26" s="289"/>
      <c r="AP26" s="289"/>
      <c r="AQ26" s="289"/>
      <c r="AR26" s="289"/>
      <c r="AS26" s="289"/>
      <c r="AT26" s="289"/>
      <c r="AU26" s="289"/>
      <c r="AV26" s="289"/>
      <c r="AW26" s="289"/>
      <c r="AX26" s="289"/>
      <c r="AY26" s="289"/>
      <c r="AZ26" s="289"/>
      <c r="BA26" s="289"/>
      <c r="BB26" s="289"/>
      <c r="BC26" s="289"/>
      <c r="BD26" s="289"/>
      <c r="BE26" s="289"/>
      <c r="BF26" s="289"/>
      <c r="BG26" s="289"/>
      <c r="BH26" s="289"/>
      <c r="BI26" s="290"/>
      <c r="BJ26" s="289"/>
      <c r="BK26" s="291"/>
    </row>
    <row r="27" spans="1:63" ht="15" customHeight="1" x14ac:dyDescent="0.25">
      <c r="A27" s="287"/>
      <c r="B27" s="288"/>
      <c r="C27" s="289"/>
      <c r="D27" s="289"/>
      <c r="E27" s="289"/>
      <c r="F27" s="289"/>
      <c r="G27" s="289"/>
      <c r="H27" s="289"/>
      <c r="I27" s="289"/>
      <c r="J27" s="289"/>
      <c r="K27" s="289"/>
      <c r="L27" s="289"/>
      <c r="M27" s="289"/>
      <c r="N27" s="289"/>
      <c r="O27" s="289"/>
      <c r="P27" s="289"/>
      <c r="Q27" s="289"/>
      <c r="R27" s="289"/>
      <c r="S27" s="289"/>
      <c r="T27" s="289"/>
      <c r="U27" s="289"/>
      <c r="V27" s="289"/>
      <c r="W27" s="289"/>
      <c r="X27" s="289"/>
      <c r="Y27" s="289"/>
      <c r="Z27" s="289"/>
      <c r="AA27" s="289"/>
      <c r="AB27" s="289"/>
      <c r="AC27" s="289"/>
      <c r="AD27" s="289"/>
      <c r="AE27" s="290"/>
      <c r="AF27" s="288"/>
      <c r="AG27" s="289"/>
      <c r="AH27" s="289"/>
      <c r="AI27" s="289"/>
      <c r="AJ27" s="289"/>
      <c r="AK27" s="289"/>
      <c r="AL27" s="289"/>
      <c r="AM27" s="289"/>
      <c r="AN27" s="289"/>
      <c r="AO27" s="289"/>
      <c r="AP27" s="289"/>
      <c r="AQ27" s="289"/>
      <c r="AR27" s="289"/>
      <c r="AS27" s="289"/>
      <c r="AT27" s="289"/>
      <c r="AU27" s="289"/>
      <c r="AV27" s="289"/>
      <c r="AW27" s="289"/>
      <c r="AX27" s="289"/>
      <c r="AY27" s="289"/>
      <c r="AZ27" s="289"/>
      <c r="BA27" s="289"/>
      <c r="BB27" s="289"/>
      <c r="BC27" s="289"/>
      <c r="BD27" s="289"/>
      <c r="BE27" s="289"/>
      <c r="BF27" s="289"/>
      <c r="BG27" s="289"/>
      <c r="BH27" s="289"/>
      <c r="BI27" s="290"/>
      <c r="BJ27" s="289"/>
      <c r="BK27" s="291"/>
    </row>
    <row r="28" spans="1:63" ht="15" customHeight="1" x14ac:dyDescent="0.25">
      <c r="A28" s="287"/>
      <c r="B28" s="288"/>
      <c r="C28" s="289"/>
      <c r="D28" s="289"/>
      <c r="E28" s="289"/>
      <c r="F28" s="289"/>
      <c r="G28" s="289"/>
      <c r="H28" s="289"/>
      <c r="I28" s="289"/>
      <c r="J28" s="289"/>
      <c r="K28" s="289"/>
      <c r="L28" s="289"/>
      <c r="M28" s="289"/>
      <c r="N28" s="289"/>
      <c r="O28" s="289"/>
      <c r="P28" s="289"/>
      <c r="Q28" s="289"/>
      <c r="R28" s="289"/>
      <c r="S28" s="289"/>
      <c r="T28" s="289"/>
      <c r="U28" s="289"/>
      <c r="V28" s="289"/>
      <c r="W28" s="289"/>
      <c r="X28" s="289"/>
      <c r="Y28" s="289"/>
      <c r="Z28" s="289"/>
      <c r="AA28" s="289"/>
      <c r="AB28" s="289"/>
      <c r="AC28" s="289"/>
      <c r="AD28" s="289"/>
      <c r="AE28" s="290"/>
      <c r="AF28" s="288"/>
      <c r="AG28" s="289"/>
      <c r="AH28" s="289"/>
      <c r="AI28" s="289"/>
      <c r="AJ28" s="289"/>
      <c r="AK28" s="289"/>
      <c r="AL28" s="289"/>
      <c r="AM28" s="289"/>
      <c r="AN28" s="289"/>
      <c r="AO28" s="289"/>
      <c r="AP28" s="289"/>
      <c r="AQ28" s="289"/>
      <c r="AR28" s="289"/>
      <c r="AS28" s="289"/>
      <c r="AT28" s="289"/>
      <c r="AU28" s="289"/>
      <c r="AV28" s="289"/>
      <c r="AW28" s="289"/>
      <c r="AX28" s="289"/>
      <c r="AY28" s="289"/>
      <c r="AZ28" s="289"/>
      <c r="BA28" s="289"/>
      <c r="BB28" s="289"/>
      <c r="BC28" s="289"/>
      <c r="BD28" s="289"/>
      <c r="BE28" s="289"/>
      <c r="BF28" s="289"/>
      <c r="BG28" s="289"/>
      <c r="BH28" s="289"/>
      <c r="BI28" s="290"/>
      <c r="BJ28" s="289"/>
      <c r="BK28" s="291"/>
    </row>
    <row r="29" spans="1:63" ht="15" customHeight="1" x14ac:dyDescent="0.25">
      <c r="A29" s="287"/>
      <c r="B29" s="288"/>
      <c r="C29" s="289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289"/>
      <c r="S29" s="289"/>
      <c r="T29" s="289"/>
      <c r="U29" s="289"/>
      <c r="V29" s="289"/>
      <c r="W29" s="289"/>
      <c r="X29" s="289"/>
      <c r="Y29" s="289"/>
      <c r="Z29" s="289"/>
      <c r="AA29" s="289"/>
      <c r="AB29" s="289"/>
      <c r="AC29" s="289"/>
      <c r="AD29" s="289"/>
      <c r="AE29" s="290"/>
      <c r="AF29" s="288"/>
      <c r="AG29" s="289"/>
      <c r="AH29" s="289"/>
      <c r="AI29" s="289"/>
      <c r="AJ29" s="289"/>
      <c r="AK29" s="289"/>
      <c r="AL29" s="289"/>
      <c r="AM29" s="289"/>
      <c r="AN29" s="289"/>
      <c r="AO29" s="289"/>
      <c r="AP29" s="289"/>
      <c r="AQ29" s="289"/>
      <c r="AR29" s="289"/>
      <c r="AS29" s="289"/>
      <c r="AT29" s="289"/>
      <c r="AU29" s="289"/>
      <c r="AV29" s="289"/>
      <c r="AW29" s="289"/>
      <c r="AX29" s="289"/>
      <c r="AY29" s="289"/>
      <c r="AZ29" s="289"/>
      <c r="BA29" s="289"/>
      <c r="BB29" s="289"/>
      <c r="BC29" s="289"/>
      <c r="BD29" s="289"/>
      <c r="BE29" s="289"/>
      <c r="BF29" s="289"/>
      <c r="BG29" s="289"/>
      <c r="BH29" s="289"/>
      <c r="BI29" s="290"/>
      <c r="BJ29" s="289"/>
      <c r="BK29" s="291"/>
    </row>
    <row r="30" spans="1:63" ht="15" customHeight="1" x14ac:dyDescent="0.25">
      <c r="A30" s="287"/>
      <c r="B30" s="288"/>
      <c r="C30" s="289"/>
      <c r="D30" s="289"/>
      <c r="E30" s="289"/>
      <c r="F30" s="289"/>
      <c r="G30" s="289"/>
      <c r="H30" s="289"/>
      <c r="I30" s="289"/>
      <c r="J30" s="289"/>
      <c r="K30" s="289"/>
      <c r="L30" s="289"/>
      <c r="M30" s="289"/>
      <c r="N30" s="289"/>
      <c r="O30" s="289"/>
      <c r="P30" s="289"/>
      <c r="Q30" s="289"/>
      <c r="R30" s="289"/>
      <c r="S30" s="289"/>
      <c r="T30" s="289"/>
      <c r="U30" s="289"/>
      <c r="V30" s="289"/>
      <c r="W30" s="289"/>
      <c r="X30" s="289"/>
      <c r="Y30" s="289"/>
      <c r="Z30" s="289"/>
      <c r="AA30" s="289"/>
      <c r="AB30" s="289"/>
      <c r="AC30" s="289"/>
      <c r="AD30" s="289"/>
      <c r="AE30" s="290"/>
      <c r="AF30" s="288"/>
      <c r="AG30" s="289"/>
      <c r="AH30" s="289"/>
      <c r="AI30" s="289"/>
      <c r="AJ30" s="289"/>
      <c r="AK30" s="289"/>
      <c r="AL30" s="289"/>
      <c r="AM30" s="289"/>
      <c r="AN30" s="289"/>
      <c r="AO30" s="289"/>
      <c r="AP30" s="289"/>
      <c r="AQ30" s="289"/>
      <c r="AR30" s="289"/>
      <c r="AS30" s="289"/>
      <c r="AT30" s="289"/>
      <c r="AU30" s="289"/>
      <c r="AV30" s="289"/>
      <c r="AW30" s="289"/>
      <c r="AX30" s="289"/>
      <c r="AY30" s="289"/>
      <c r="AZ30" s="289"/>
      <c r="BA30" s="289"/>
      <c r="BB30" s="289"/>
      <c r="BC30" s="289"/>
      <c r="BD30" s="289"/>
      <c r="BE30" s="289"/>
      <c r="BF30" s="289"/>
      <c r="BG30" s="289"/>
      <c r="BH30" s="289"/>
      <c r="BI30" s="290"/>
      <c r="BJ30" s="289"/>
      <c r="BK30" s="291"/>
    </row>
    <row r="31" spans="1:63" ht="15" customHeight="1" x14ac:dyDescent="0.25">
      <c r="A31" s="287"/>
      <c r="B31" s="288"/>
      <c r="C31" s="289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89"/>
      <c r="P31" s="289"/>
      <c r="Q31" s="289"/>
      <c r="R31" s="289"/>
      <c r="S31" s="289"/>
      <c r="T31" s="289"/>
      <c r="U31" s="289"/>
      <c r="V31" s="289"/>
      <c r="W31" s="289"/>
      <c r="X31" s="289"/>
      <c r="Y31" s="289"/>
      <c r="Z31" s="289"/>
      <c r="AA31" s="289"/>
      <c r="AB31" s="289"/>
      <c r="AC31" s="289"/>
      <c r="AD31" s="289"/>
      <c r="AE31" s="290"/>
      <c r="AF31" s="288"/>
      <c r="AG31" s="289"/>
      <c r="AH31" s="289"/>
      <c r="AI31" s="289"/>
      <c r="AJ31" s="289"/>
      <c r="AK31" s="289"/>
      <c r="AL31" s="289"/>
      <c r="AM31" s="289"/>
      <c r="AN31" s="289"/>
      <c r="AO31" s="289"/>
      <c r="AP31" s="289"/>
      <c r="AQ31" s="289"/>
      <c r="AR31" s="289"/>
      <c r="AS31" s="289"/>
      <c r="AT31" s="289"/>
      <c r="AU31" s="289"/>
      <c r="AV31" s="289"/>
      <c r="AW31" s="289"/>
      <c r="AX31" s="289"/>
      <c r="AY31" s="289"/>
      <c r="AZ31" s="289"/>
      <c r="BA31" s="289"/>
      <c r="BB31" s="289"/>
      <c r="BC31" s="289"/>
      <c r="BD31" s="289"/>
      <c r="BE31" s="289"/>
      <c r="BF31" s="289"/>
      <c r="BG31" s="289"/>
      <c r="BH31" s="289"/>
      <c r="BI31" s="290"/>
      <c r="BJ31" s="289"/>
      <c r="BK31" s="291"/>
    </row>
    <row r="32" spans="1:63" ht="15" customHeight="1" x14ac:dyDescent="0.25">
      <c r="A32" s="287"/>
      <c r="B32" s="288"/>
      <c r="C32" s="289"/>
      <c r="D32" s="289"/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S32" s="289"/>
      <c r="T32" s="289"/>
      <c r="U32" s="289"/>
      <c r="V32" s="289"/>
      <c r="W32" s="289"/>
      <c r="X32" s="289"/>
      <c r="Y32" s="289"/>
      <c r="Z32" s="289"/>
      <c r="AA32" s="289"/>
      <c r="AB32" s="289"/>
      <c r="AC32" s="289"/>
      <c r="AD32" s="289"/>
      <c r="AE32" s="290"/>
      <c r="AF32" s="288"/>
      <c r="AG32" s="289"/>
      <c r="AH32" s="289"/>
      <c r="AI32" s="289"/>
      <c r="AJ32" s="289"/>
      <c r="AK32" s="289"/>
      <c r="AL32" s="289"/>
      <c r="AM32" s="289"/>
      <c r="AN32" s="289"/>
      <c r="AO32" s="289"/>
      <c r="AP32" s="289"/>
      <c r="AQ32" s="289"/>
      <c r="AR32" s="289"/>
      <c r="AS32" s="289"/>
      <c r="AT32" s="289"/>
      <c r="AU32" s="289"/>
      <c r="AV32" s="289"/>
      <c r="AW32" s="289"/>
      <c r="AX32" s="289"/>
      <c r="AY32" s="289"/>
      <c r="AZ32" s="289"/>
      <c r="BA32" s="289"/>
      <c r="BB32" s="289"/>
      <c r="BC32" s="289"/>
      <c r="BD32" s="289"/>
      <c r="BE32" s="289"/>
      <c r="BF32" s="289"/>
      <c r="BG32" s="289"/>
      <c r="BH32" s="289"/>
      <c r="BI32" s="290"/>
      <c r="BJ32" s="289"/>
      <c r="BK32" s="291"/>
    </row>
    <row r="33" spans="1:63" ht="15" customHeight="1" x14ac:dyDescent="0.25">
      <c r="A33" s="287"/>
      <c r="B33" s="288"/>
      <c r="C33" s="289"/>
      <c r="D33" s="289"/>
      <c r="E33" s="289"/>
      <c r="F33" s="289"/>
      <c r="G33" s="289"/>
      <c r="H33" s="289"/>
      <c r="I33" s="289"/>
      <c r="J33" s="289"/>
      <c r="K33" s="289"/>
      <c r="L33" s="289"/>
      <c r="M33" s="289"/>
      <c r="N33" s="289"/>
      <c r="O33" s="289"/>
      <c r="P33" s="289"/>
      <c r="Q33" s="289"/>
      <c r="R33" s="289"/>
      <c r="S33" s="289"/>
      <c r="T33" s="289"/>
      <c r="U33" s="289"/>
      <c r="V33" s="289"/>
      <c r="W33" s="289"/>
      <c r="X33" s="289"/>
      <c r="Y33" s="289"/>
      <c r="Z33" s="289"/>
      <c r="AA33" s="289"/>
      <c r="AB33" s="289"/>
      <c r="AC33" s="289"/>
      <c r="AD33" s="289"/>
      <c r="AE33" s="290"/>
      <c r="AF33" s="288"/>
      <c r="AG33" s="289"/>
      <c r="AH33" s="289"/>
      <c r="AI33" s="289"/>
      <c r="AJ33" s="289"/>
      <c r="AK33" s="289"/>
      <c r="AL33" s="289"/>
      <c r="AM33" s="289"/>
      <c r="AN33" s="289"/>
      <c r="AO33" s="289"/>
      <c r="AP33" s="289"/>
      <c r="AQ33" s="289"/>
      <c r="AR33" s="289"/>
      <c r="AS33" s="289"/>
      <c r="AT33" s="289"/>
      <c r="AU33" s="289"/>
      <c r="AV33" s="289"/>
      <c r="AW33" s="289"/>
      <c r="AX33" s="289"/>
      <c r="AY33" s="289"/>
      <c r="AZ33" s="289"/>
      <c r="BA33" s="289"/>
      <c r="BB33" s="289"/>
      <c r="BC33" s="289"/>
      <c r="BD33" s="289"/>
      <c r="BE33" s="289"/>
      <c r="BF33" s="289"/>
      <c r="BG33" s="289"/>
      <c r="BH33" s="289"/>
      <c r="BI33" s="290"/>
      <c r="BJ33" s="289"/>
      <c r="BK33" s="291"/>
    </row>
    <row r="34" spans="1:63" ht="15" customHeight="1" x14ac:dyDescent="0.25">
      <c r="A34" s="287"/>
      <c r="B34" s="288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89"/>
      <c r="P34" s="289"/>
      <c r="Q34" s="289"/>
      <c r="R34" s="289"/>
      <c r="S34" s="289"/>
      <c r="T34" s="289"/>
      <c r="U34" s="289"/>
      <c r="V34" s="289"/>
      <c r="W34" s="289"/>
      <c r="X34" s="289"/>
      <c r="Y34" s="289"/>
      <c r="Z34" s="289"/>
      <c r="AA34" s="289"/>
      <c r="AB34" s="289"/>
      <c r="AC34" s="289"/>
      <c r="AD34" s="289"/>
      <c r="AE34" s="290"/>
      <c r="AF34" s="288"/>
      <c r="AG34" s="289"/>
      <c r="AH34" s="289"/>
      <c r="AI34" s="289"/>
      <c r="AJ34" s="289"/>
      <c r="AK34" s="289"/>
      <c r="AL34" s="289"/>
      <c r="AM34" s="289"/>
      <c r="AN34" s="289"/>
      <c r="AO34" s="289"/>
      <c r="AP34" s="289"/>
      <c r="AQ34" s="289"/>
      <c r="AR34" s="289"/>
      <c r="AS34" s="289"/>
      <c r="AT34" s="289"/>
      <c r="AU34" s="289"/>
      <c r="AV34" s="289"/>
      <c r="AW34" s="289"/>
      <c r="AX34" s="289"/>
      <c r="AY34" s="289"/>
      <c r="AZ34" s="289"/>
      <c r="BA34" s="289"/>
      <c r="BB34" s="289"/>
      <c r="BC34" s="289"/>
      <c r="BD34" s="289"/>
      <c r="BE34" s="289"/>
      <c r="BF34" s="289"/>
      <c r="BG34" s="289"/>
      <c r="BH34" s="289"/>
      <c r="BI34" s="290"/>
      <c r="BJ34" s="289"/>
      <c r="BK34" s="291"/>
    </row>
    <row r="35" spans="1:63" ht="15" customHeight="1" x14ac:dyDescent="0.25">
      <c r="A35" s="287"/>
      <c r="B35" s="288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Y35" s="289"/>
      <c r="Z35" s="289"/>
      <c r="AA35" s="289"/>
      <c r="AB35" s="289"/>
      <c r="AC35" s="289"/>
      <c r="AD35" s="289"/>
      <c r="AE35" s="290"/>
      <c r="AF35" s="288"/>
      <c r="AG35" s="289"/>
      <c r="AH35" s="289"/>
      <c r="AI35" s="289"/>
      <c r="AJ35" s="289"/>
      <c r="AK35" s="289"/>
      <c r="AL35" s="289"/>
      <c r="AM35" s="289"/>
      <c r="AN35" s="289"/>
      <c r="AO35" s="289"/>
      <c r="AP35" s="289"/>
      <c r="AQ35" s="289"/>
      <c r="AR35" s="289"/>
      <c r="AS35" s="289"/>
      <c r="AT35" s="289"/>
      <c r="AU35" s="289"/>
      <c r="AV35" s="289"/>
      <c r="AW35" s="289"/>
      <c r="AX35" s="289"/>
      <c r="AY35" s="289"/>
      <c r="AZ35" s="289"/>
      <c r="BA35" s="289"/>
      <c r="BB35" s="289"/>
      <c r="BC35" s="289"/>
      <c r="BD35" s="289"/>
      <c r="BE35" s="289"/>
      <c r="BF35" s="289"/>
      <c r="BG35" s="289"/>
      <c r="BH35" s="289"/>
      <c r="BI35" s="290"/>
      <c r="BJ35" s="289"/>
      <c r="BK35" s="291"/>
    </row>
    <row r="36" spans="1:63" ht="15" customHeight="1" x14ac:dyDescent="0.25">
      <c r="A36" s="287"/>
      <c r="B36" s="288"/>
      <c r="C36" s="289"/>
      <c r="D36" s="289"/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89"/>
      <c r="P36" s="289"/>
      <c r="Q36" s="289"/>
      <c r="R36" s="289"/>
      <c r="S36" s="289"/>
      <c r="T36" s="289"/>
      <c r="U36" s="289"/>
      <c r="V36" s="289"/>
      <c r="W36" s="289"/>
      <c r="X36" s="289"/>
      <c r="Y36" s="289"/>
      <c r="Z36" s="289"/>
      <c r="AA36" s="289"/>
      <c r="AB36" s="289"/>
      <c r="AC36" s="289"/>
      <c r="AD36" s="289"/>
      <c r="AE36" s="290"/>
      <c r="AF36" s="288"/>
      <c r="AG36" s="289"/>
      <c r="AH36" s="289"/>
      <c r="AI36" s="289"/>
      <c r="AJ36" s="289"/>
      <c r="AK36" s="289"/>
      <c r="AL36" s="289"/>
      <c r="AM36" s="289"/>
      <c r="AN36" s="289"/>
      <c r="AO36" s="289"/>
      <c r="AP36" s="289"/>
      <c r="AQ36" s="289"/>
      <c r="AR36" s="289"/>
      <c r="AS36" s="289"/>
      <c r="AT36" s="289"/>
      <c r="AU36" s="289"/>
      <c r="AV36" s="289"/>
      <c r="AW36" s="289"/>
      <c r="AX36" s="289"/>
      <c r="AY36" s="289"/>
      <c r="AZ36" s="289"/>
      <c r="BA36" s="289"/>
      <c r="BB36" s="289"/>
      <c r="BC36" s="289"/>
      <c r="BD36" s="289"/>
      <c r="BE36" s="289"/>
      <c r="BF36" s="289"/>
      <c r="BG36" s="289"/>
      <c r="BH36" s="289"/>
      <c r="BI36" s="290"/>
      <c r="BJ36" s="289"/>
      <c r="BK36" s="291"/>
    </row>
    <row r="37" spans="1:63" ht="15" customHeight="1" x14ac:dyDescent="0.25">
      <c r="A37" s="287"/>
      <c r="B37" s="288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Y37" s="289"/>
      <c r="Z37" s="289"/>
      <c r="AA37" s="289"/>
      <c r="AB37" s="289"/>
      <c r="AC37" s="289"/>
      <c r="AD37" s="289"/>
      <c r="AE37" s="289"/>
      <c r="AF37" s="288"/>
      <c r="AG37" s="289"/>
      <c r="AH37" s="289"/>
      <c r="AI37" s="289"/>
      <c r="AJ37" s="289"/>
      <c r="AK37" s="289"/>
      <c r="AL37" s="289"/>
      <c r="AM37" s="289"/>
      <c r="AN37" s="289"/>
      <c r="AO37" s="289"/>
      <c r="AP37" s="289"/>
      <c r="AQ37" s="289"/>
      <c r="AR37" s="289"/>
      <c r="AS37" s="289"/>
      <c r="AT37" s="289"/>
      <c r="AU37" s="289"/>
      <c r="AV37" s="289"/>
      <c r="AW37" s="289"/>
      <c r="AX37" s="289"/>
      <c r="AY37" s="289"/>
      <c r="AZ37" s="289"/>
      <c r="BA37" s="289"/>
      <c r="BB37" s="289"/>
      <c r="BC37" s="289"/>
      <c r="BD37" s="289"/>
      <c r="BE37" s="289"/>
      <c r="BF37" s="289"/>
      <c r="BG37" s="289"/>
      <c r="BH37" s="289"/>
      <c r="BI37" s="290"/>
      <c r="BJ37" s="289"/>
      <c r="BK37" s="291"/>
    </row>
    <row r="38" spans="1:63" ht="15" customHeight="1" x14ac:dyDescent="0.25">
      <c r="A38" s="287"/>
      <c r="B38" s="288"/>
      <c r="C38" s="289"/>
      <c r="D38" s="289"/>
      <c r="E38" s="289"/>
      <c r="F38" s="289"/>
      <c r="G38" s="289"/>
      <c r="H38" s="289"/>
      <c r="I38" s="289"/>
      <c r="J38" s="289"/>
      <c r="K38" s="289"/>
      <c r="L38" s="289"/>
      <c r="M38" s="289"/>
      <c r="N38" s="289"/>
      <c r="O38" s="289"/>
      <c r="P38" s="289"/>
      <c r="Q38" s="289"/>
      <c r="R38" s="289"/>
      <c r="S38" s="289"/>
      <c r="T38" s="289"/>
      <c r="U38" s="289"/>
      <c r="V38" s="289"/>
      <c r="W38" s="289"/>
      <c r="X38" s="289"/>
      <c r="Y38" s="289"/>
      <c r="Z38" s="289"/>
      <c r="AA38" s="289"/>
      <c r="AB38" s="289"/>
      <c r="AC38" s="289"/>
      <c r="AD38" s="289"/>
      <c r="AE38" s="289"/>
      <c r="AF38" s="288"/>
      <c r="AG38" s="289"/>
      <c r="AH38" s="289"/>
      <c r="AI38" s="289"/>
      <c r="AJ38" s="289"/>
      <c r="AK38" s="289"/>
      <c r="AL38" s="289"/>
      <c r="AM38" s="289"/>
      <c r="AN38" s="289"/>
      <c r="AO38" s="289"/>
      <c r="AP38" s="289"/>
      <c r="AQ38" s="289"/>
      <c r="AR38" s="289"/>
      <c r="AS38" s="289"/>
      <c r="AT38" s="289"/>
      <c r="AU38" s="289"/>
      <c r="AV38" s="289"/>
      <c r="AW38" s="289"/>
      <c r="AX38" s="289"/>
      <c r="AY38" s="289"/>
      <c r="AZ38" s="289"/>
      <c r="BA38" s="289"/>
      <c r="BB38" s="289"/>
      <c r="BC38" s="289"/>
      <c r="BD38" s="289"/>
      <c r="BE38" s="289"/>
      <c r="BF38" s="289"/>
      <c r="BG38" s="289"/>
      <c r="BH38" s="289"/>
      <c r="BI38" s="290"/>
      <c r="BJ38" s="289"/>
      <c r="BK38" s="291"/>
    </row>
    <row r="39" spans="1:63" ht="15" customHeight="1" x14ac:dyDescent="0.25">
      <c r="A39" s="287"/>
      <c r="B39" s="288"/>
      <c r="C39" s="289"/>
      <c r="D39" s="289"/>
      <c r="E39" s="289"/>
      <c r="F39" s="289"/>
      <c r="G39" s="289"/>
      <c r="H39" s="289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89"/>
      <c r="Z39" s="289"/>
      <c r="AA39" s="289"/>
      <c r="AB39" s="289"/>
      <c r="AC39" s="289"/>
      <c r="AD39" s="289"/>
      <c r="AE39" s="289"/>
      <c r="AF39" s="288"/>
      <c r="AG39" s="289"/>
      <c r="AH39" s="289"/>
      <c r="AI39" s="289"/>
      <c r="AJ39" s="289"/>
      <c r="AK39" s="289"/>
      <c r="AL39" s="289"/>
      <c r="AM39" s="289"/>
      <c r="AN39" s="289"/>
      <c r="AO39" s="289"/>
      <c r="AP39" s="289"/>
      <c r="AQ39" s="289"/>
      <c r="AR39" s="289"/>
      <c r="AS39" s="289"/>
      <c r="AT39" s="289"/>
      <c r="AU39" s="289"/>
      <c r="AV39" s="289"/>
      <c r="AW39" s="289"/>
      <c r="AX39" s="289"/>
      <c r="AY39" s="289"/>
      <c r="AZ39" s="289"/>
      <c r="BA39" s="289"/>
      <c r="BB39" s="289"/>
      <c r="BC39" s="289"/>
      <c r="BD39" s="289"/>
      <c r="BE39" s="289"/>
      <c r="BF39" s="289"/>
      <c r="BG39" s="289"/>
      <c r="BH39" s="289"/>
      <c r="BI39" s="290"/>
      <c r="BJ39" s="289"/>
      <c r="BK39" s="291"/>
    </row>
    <row r="40" spans="1:63" ht="15" customHeight="1" x14ac:dyDescent="0.25">
      <c r="A40" s="287"/>
      <c r="B40" s="288"/>
      <c r="C40" s="289"/>
      <c r="D40" s="289"/>
      <c r="E40" s="289"/>
      <c r="F40" s="289"/>
      <c r="G40" s="289"/>
      <c r="H40" s="289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Y40" s="289"/>
      <c r="Z40" s="289"/>
      <c r="AA40" s="289"/>
      <c r="AB40" s="289"/>
      <c r="AC40" s="289"/>
      <c r="AD40" s="289"/>
      <c r="AE40" s="289"/>
      <c r="AF40" s="288"/>
      <c r="AG40" s="289"/>
      <c r="AH40" s="289"/>
      <c r="AI40" s="289"/>
      <c r="AJ40" s="289"/>
      <c r="AK40" s="289"/>
      <c r="AL40" s="289"/>
      <c r="AM40" s="289"/>
      <c r="AN40" s="289"/>
      <c r="AO40" s="289"/>
      <c r="AP40" s="289"/>
      <c r="AQ40" s="289"/>
      <c r="AR40" s="289"/>
      <c r="AS40" s="289"/>
      <c r="AT40" s="289"/>
      <c r="AU40" s="289"/>
      <c r="AV40" s="289"/>
      <c r="AW40" s="289"/>
      <c r="AX40" s="289"/>
      <c r="AY40" s="289"/>
      <c r="AZ40" s="289"/>
      <c r="BA40" s="289"/>
      <c r="BB40" s="289"/>
      <c r="BC40" s="289"/>
      <c r="BD40" s="289"/>
      <c r="BE40" s="289"/>
      <c r="BF40" s="289"/>
      <c r="BG40" s="289"/>
      <c r="BH40" s="289"/>
      <c r="BI40" s="290"/>
      <c r="BJ40" s="289"/>
      <c r="BK40" s="291"/>
    </row>
    <row r="41" spans="1:63" ht="15" customHeight="1" x14ac:dyDescent="0.25">
      <c r="A41" s="287"/>
      <c r="B41" s="288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Y41" s="289"/>
      <c r="Z41" s="289"/>
      <c r="AA41" s="289"/>
      <c r="AB41" s="289"/>
      <c r="AC41" s="289"/>
      <c r="AD41" s="289"/>
      <c r="AE41" s="289"/>
      <c r="AF41" s="288"/>
      <c r="AG41" s="289"/>
      <c r="AH41" s="289"/>
      <c r="AI41" s="289"/>
      <c r="AJ41" s="289"/>
      <c r="AK41" s="289"/>
      <c r="AL41" s="289"/>
      <c r="AM41" s="289"/>
      <c r="AN41" s="289"/>
      <c r="AO41" s="289"/>
      <c r="AP41" s="289"/>
      <c r="AQ41" s="289"/>
      <c r="AR41" s="289"/>
      <c r="AS41" s="289"/>
      <c r="AT41" s="289"/>
      <c r="AU41" s="289"/>
      <c r="AV41" s="289"/>
      <c r="AW41" s="289"/>
      <c r="AX41" s="289"/>
      <c r="AY41" s="289"/>
      <c r="AZ41" s="289"/>
      <c r="BA41" s="289"/>
      <c r="BB41" s="289"/>
      <c r="BC41" s="289"/>
      <c r="BD41" s="289"/>
      <c r="BE41" s="289"/>
      <c r="BF41" s="289"/>
      <c r="BG41" s="289"/>
      <c r="BH41" s="289"/>
      <c r="BI41" s="290"/>
      <c r="BJ41" s="289"/>
      <c r="BK41" s="291"/>
    </row>
    <row r="42" spans="1:63" ht="15" customHeight="1" x14ac:dyDescent="0.25">
      <c r="A42" s="287"/>
      <c r="B42" s="21" t="s">
        <v>16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2"/>
      <c r="AF42" s="21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2"/>
      <c r="BJ42" s="20"/>
      <c r="BK42" s="291"/>
    </row>
    <row r="43" spans="1:63" ht="15" customHeight="1" x14ac:dyDescent="0.25">
      <c r="A43" s="287"/>
      <c r="B43" s="288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Y43" s="289"/>
      <c r="Z43" s="289"/>
      <c r="AA43" s="289"/>
      <c r="AB43" s="289"/>
      <c r="AC43" s="289"/>
      <c r="AD43" s="289"/>
      <c r="AE43" s="290"/>
      <c r="AF43" s="288"/>
      <c r="AG43" s="289"/>
      <c r="AH43" s="289"/>
      <c r="AI43" s="289"/>
      <c r="AJ43" s="289"/>
      <c r="AK43" s="289"/>
      <c r="AL43" s="289"/>
      <c r="AM43" s="289"/>
      <c r="AN43" s="289"/>
      <c r="AO43" s="289"/>
      <c r="AP43" s="289"/>
      <c r="AQ43" s="289"/>
      <c r="AR43" s="289"/>
      <c r="AS43" s="289"/>
      <c r="AT43" s="289"/>
      <c r="AU43" s="289"/>
      <c r="AV43" s="289"/>
      <c r="AW43" s="289"/>
      <c r="AX43" s="289"/>
      <c r="AY43" s="289"/>
      <c r="AZ43" s="289"/>
      <c r="BA43" s="289"/>
      <c r="BB43" s="289"/>
      <c r="BC43" s="289"/>
      <c r="BD43" s="289"/>
      <c r="BE43" s="289"/>
      <c r="BF43" s="289"/>
      <c r="BG43" s="289"/>
      <c r="BH43" s="289"/>
      <c r="BI43" s="290"/>
      <c r="BJ43" s="289"/>
      <c r="BK43" s="291"/>
    </row>
    <row r="44" spans="1:63" ht="15" customHeight="1" x14ac:dyDescent="0.25">
      <c r="A44" s="287"/>
      <c r="B44" s="288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Y44" s="289"/>
      <c r="Z44" s="289"/>
      <c r="AA44" s="289"/>
      <c r="AB44" s="289"/>
      <c r="AC44" s="289"/>
      <c r="AD44" s="289"/>
      <c r="AE44" s="290"/>
      <c r="AF44" s="288"/>
      <c r="AG44" s="289"/>
      <c r="AH44" s="289"/>
      <c r="AI44" s="289"/>
      <c r="AJ44" s="289"/>
      <c r="AK44" s="289"/>
      <c r="AL44" s="289"/>
      <c r="AM44" s="289"/>
      <c r="AN44" s="289"/>
      <c r="AO44" s="289"/>
      <c r="AP44" s="289"/>
      <c r="AQ44" s="289"/>
      <c r="AR44" s="289"/>
      <c r="AS44" s="289"/>
      <c r="AT44" s="289"/>
      <c r="AU44" s="289"/>
      <c r="AV44" s="289"/>
      <c r="AW44" s="289"/>
      <c r="AX44" s="289"/>
      <c r="AY44" s="289"/>
      <c r="AZ44" s="289"/>
      <c r="BA44" s="289"/>
      <c r="BB44" s="289"/>
      <c r="BC44" s="289"/>
      <c r="BD44" s="289"/>
      <c r="BE44" s="289"/>
      <c r="BF44" s="289"/>
      <c r="BG44" s="289"/>
      <c r="BH44" s="289"/>
      <c r="BI44" s="290"/>
      <c r="BJ44" s="289"/>
      <c r="BK44" s="291"/>
    </row>
    <row r="45" spans="1:63" ht="15" customHeight="1" x14ac:dyDescent="0.25">
      <c r="A45" s="287"/>
      <c r="B45" s="288"/>
      <c r="C45" s="289"/>
      <c r="D45" s="289"/>
      <c r="E45" s="289"/>
      <c r="F45" s="289"/>
      <c r="G45" s="289"/>
      <c r="H45" s="289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Y45" s="289"/>
      <c r="Z45" s="289"/>
      <c r="AA45" s="289"/>
      <c r="AB45" s="289"/>
      <c r="AC45" s="289"/>
      <c r="AD45" s="289"/>
      <c r="AE45" s="290"/>
      <c r="AF45" s="288"/>
      <c r="AG45" s="289"/>
      <c r="AH45" s="289"/>
      <c r="AI45" s="289"/>
      <c r="AJ45" s="289"/>
      <c r="AK45" s="289"/>
      <c r="AL45" s="289"/>
      <c r="AM45" s="289"/>
      <c r="AN45" s="289"/>
      <c r="AO45" s="289"/>
      <c r="AP45" s="289"/>
      <c r="AQ45" s="289"/>
      <c r="AR45" s="289"/>
      <c r="AS45" s="289"/>
      <c r="AT45" s="289"/>
      <c r="AU45" s="289"/>
      <c r="AV45" s="289"/>
      <c r="AW45" s="289"/>
      <c r="AX45" s="289"/>
      <c r="AY45" s="289"/>
      <c r="AZ45" s="289"/>
      <c r="BA45" s="289"/>
      <c r="BB45" s="289"/>
      <c r="BC45" s="289"/>
      <c r="BD45" s="289"/>
      <c r="BE45" s="289"/>
      <c r="BF45" s="289"/>
      <c r="BG45" s="289"/>
      <c r="BH45" s="289"/>
      <c r="BI45" s="290"/>
      <c r="BJ45" s="289"/>
      <c r="BK45" s="291"/>
    </row>
    <row r="46" spans="1:63" ht="15" customHeight="1" x14ac:dyDescent="0.25">
      <c r="A46" s="287"/>
      <c r="B46" s="288"/>
      <c r="C46" s="289"/>
      <c r="D46" s="289"/>
      <c r="E46" s="289"/>
      <c r="F46" s="289"/>
      <c r="G46" s="289"/>
      <c r="H46" s="289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Y46" s="289"/>
      <c r="Z46" s="289"/>
      <c r="AA46" s="289"/>
      <c r="AB46" s="289"/>
      <c r="AC46" s="289"/>
      <c r="AD46" s="289"/>
      <c r="AE46" s="290"/>
      <c r="AF46" s="288"/>
      <c r="AG46" s="289"/>
      <c r="AH46" s="289"/>
      <c r="AI46" s="289"/>
      <c r="AJ46" s="289"/>
      <c r="AK46" s="289"/>
      <c r="AL46" s="289"/>
      <c r="AM46" s="289"/>
      <c r="AN46" s="289"/>
      <c r="AO46" s="289"/>
      <c r="AP46" s="289"/>
      <c r="AQ46" s="289"/>
      <c r="AR46" s="289"/>
      <c r="AS46" s="289"/>
      <c r="AT46" s="289"/>
      <c r="AU46" s="289"/>
      <c r="AV46" s="289"/>
      <c r="AW46" s="289"/>
      <c r="AX46" s="289"/>
      <c r="AY46" s="289"/>
      <c r="AZ46" s="289"/>
      <c r="BA46" s="289"/>
      <c r="BB46" s="289"/>
      <c r="BC46" s="289"/>
      <c r="BD46" s="289"/>
      <c r="BE46" s="289"/>
      <c r="BF46" s="289"/>
      <c r="BG46" s="289"/>
      <c r="BH46" s="289"/>
      <c r="BI46" s="290"/>
      <c r="BJ46" s="289"/>
      <c r="BK46" s="291"/>
    </row>
    <row r="47" spans="1:63" ht="15" customHeight="1" x14ac:dyDescent="0.25">
      <c r="A47" s="287"/>
      <c r="B47" s="288"/>
      <c r="C47" s="289"/>
      <c r="D47" s="289"/>
      <c r="E47" s="289"/>
      <c r="F47" s="289"/>
      <c r="G47" s="289"/>
      <c r="H47" s="289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Y47" s="289"/>
      <c r="Z47" s="289"/>
      <c r="AA47" s="289"/>
      <c r="AB47" s="289"/>
      <c r="AC47" s="289"/>
      <c r="AD47" s="289"/>
      <c r="AE47" s="290"/>
      <c r="AF47" s="288"/>
      <c r="AG47" s="289"/>
      <c r="AH47" s="289"/>
      <c r="AI47" s="289"/>
      <c r="AJ47" s="289"/>
      <c r="AK47" s="289"/>
      <c r="AL47" s="289"/>
      <c r="AM47" s="289"/>
      <c r="AN47" s="289"/>
      <c r="AO47" s="289"/>
      <c r="AP47" s="289"/>
      <c r="AQ47" s="289"/>
      <c r="AR47" s="289"/>
      <c r="AS47" s="289"/>
      <c r="AT47" s="289"/>
      <c r="AU47" s="289"/>
      <c r="AV47" s="289"/>
      <c r="AW47" s="289"/>
      <c r="AX47" s="289"/>
      <c r="AY47" s="289"/>
      <c r="AZ47" s="289"/>
      <c r="BA47" s="289"/>
      <c r="BB47" s="289"/>
      <c r="BC47" s="289"/>
      <c r="BD47" s="289"/>
      <c r="BE47" s="289"/>
      <c r="BF47" s="289"/>
      <c r="BG47" s="289"/>
      <c r="BH47" s="289"/>
      <c r="BI47" s="290"/>
      <c r="BJ47" s="289"/>
      <c r="BK47" s="291"/>
    </row>
    <row r="48" spans="1:63" ht="15" customHeight="1" x14ac:dyDescent="0.25">
      <c r="A48" s="287"/>
      <c r="B48" s="288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89"/>
      <c r="P48" s="289"/>
      <c r="Q48" s="289"/>
      <c r="R48" s="289"/>
      <c r="S48" s="289"/>
      <c r="T48" s="289"/>
      <c r="U48" s="289"/>
      <c r="V48" s="289"/>
      <c r="W48" s="289"/>
      <c r="X48" s="289"/>
      <c r="Y48" s="289"/>
      <c r="Z48" s="289"/>
      <c r="AA48" s="289"/>
      <c r="AB48" s="289"/>
      <c r="AC48" s="289"/>
      <c r="AD48" s="289"/>
      <c r="AE48" s="290"/>
      <c r="AF48" s="288"/>
      <c r="AG48" s="289"/>
      <c r="AH48" s="289"/>
      <c r="AI48" s="289"/>
      <c r="AJ48" s="289"/>
      <c r="AK48" s="289"/>
      <c r="AL48" s="289"/>
      <c r="AM48" s="289"/>
      <c r="AN48" s="289"/>
      <c r="AO48" s="289"/>
      <c r="AP48" s="289"/>
      <c r="AQ48" s="289"/>
      <c r="AR48" s="289"/>
      <c r="AS48" s="289"/>
      <c r="AT48" s="289"/>
      <c r="AU48" s="289"/>
      <c r="AV48" s="289"/>
      <c r="AW48" s="289"/>
      <c r="AX48" s="289"/>
      <c r="AY48" s="289"/>
      <c r="AZ48" s="289"/>
      <c r="BA48" s="289"/>
      <c r="BB48" s="289"/>
      <c r="BC48" s="289"/>
      <c r="BD48" s="289"/>
      <c r="BE48" s="289"/>
      <c r="BF48" s="289"/>
      <c r="BG48" s="289"/>
      <c r="BH48" s="289"/>
      <c r="BI48" s="290"/>
      <c r="BJ48" s="289"/>
      <c r="BK48" s="291"/>
    </row>
    <row r="49" spans="1:63" ht="15" customHeight="1" x14ac:dyDescent="0.25">
      <c r="A49" s="287"/>
      <c r="B49" s="288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Y49" s="289"/>
      <c r="Z49" s="289"/>
      <c r="AA49" s="289"/>
      <c r="AB49" s="289"/>
      <c r="AC49" s="289"/>
      <c r="AD49" s="289"/>
      <c r="AE49" s="289"/>
      <c r="AF49" s="288"/>
      <c r="AG49" s="289"/>
      <c r="AH49" s="289"/>
      <c r="AI49" s="289"/>
      <c r="AJ49" s="289"/>
      <c r="AK49" s="289"/>
      <c r="AL49" s="289"/>
      <c r="AM49" s="289"/>
      <c r="AN49" s="289"/>
      <c r="AO49" s="289"/>
      <c r="AP49" s="289"/>
      <c r="AQ49" s="289"/>
      <c r="AR49" s="289"/>
      <c r="AS49" s="289"/>
      <c r="AT49" s="289"/>
      <c r="AU49" s="289"/>
      <c r="AV49" s="289"/>
      <c r="AW49" s="289"/>
      <c r="AX49" s="289"/>
      <c r="AY49" s="289"/>
      <c r="AZ49" s="289"/>
      <c r="BA49" s="289"/>
      <c r="BB49" s="289"/>
      <c r="BC49" s="289"/>
      <c r="BD49" s="289"/>
      <c r="BE49" s="289"/>
      <c r="BF49" s="289"/>
      <c r="BG49" s="289"/>
      <c r="BH49" s="289"/>
      <c r="BI49" s="290"/>
      <c r="BJ49" s="289"/>
      <c r="BK49" s="291"/>
    </row>
    <row r="50" spans="1:63" ht="15" customHeight="1" x14ac:dyDescent="0.25">
      <c r="A50" s="287"/>
      <c r="B50" s="288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  <c r="Z50" s="289"/>
      <c r="AA50" s="289"/>
      <c r="AB50" s="289"/>
      <c r="AC50" s="289"/>
      <c r="AD50" s="289"/>
      <c r="AE50" s="289"/>
      <c r="AF50" s="288"/>
      <c r="AG50" s="289"/>
      <c r="AH50" s="289"/>
      <c r="AI50" s="289"/>
      <c r="AJ50" s="289"/>
      <c r="AK50" s="289"/>
      <c r="AL50" s="289"/>
      <c r="AM50" s="289"/>
      <c r="AN50" s="289"/>
      <c r="AO50" s="289"/>
      <c r="AP50" s="289"/>
      <c r="AQ50" s="289"/>
      <c r="AR50" s="289"/>
      <c r="AS50" s="289"/>
      <c r="AT50" s="289"/>
      <c r="AU50" s="289"/>
      <c r="AV50" s="289"/>
      <c r="AW50" s="289"/>
      <c r="AX50" s="289"/>
      <c r="AY50" s="289"/>
      <c r="AZ50" s="289"/>
      <c r="BA50" s="289"/>
      <c r="BB50" s="289"/>
      <c r="BC50" s="289"/>
      <c r="BD50" s="289"/>
      <c r="BE50" s="289"/>
      <c r="BF50" s="289"/>
      <c r="BG50" s="289"/>
      <c r="BH50" s="289"/>
      <c r="BI50" s="290"/>
      <c r="BJ50" s="289"/>
      <c r="BK50" s="291"/>
    </row>
    <row r="51" spans="1:63" ht="15" customHeight="1" x14ac:dyDescent="0.25">
      <c r="A51" s="287"/>
      <c r="B51" s="288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Y51" s="289"/>
      <c r="Z51" s="289"/>
      <c r="AA51" s="289"/>
      <c r="AB51" s="289"/>
      <c r="AC51" s="289"/>
      <c r="AD51" s="289"/>
      <c r="AE51" s="289"/>
      <c r="AF51" s="288"/>
      <c r="AG51" s="289"/>
      <c r="AH51" s="289"/>
      <c r="AI51" s="289"/>
      <c r="AJ51" s="289"/>
      <c r="AK51" s="289"/>
      <c r="AL51" s="289"/>
      <c r="AM51" s="289"/>
      <c r="AN51" s="289"/>
      <c r="AO51" s="289"/>
      <c r="AP51" s="289"/>
      <c r="AQ51" s="289"/>
      <c r="AR51" s="289"/>
      <c r="AS51" s="289"/>
      <c r="AT51" s="289"/>
      <c r="AU51" s="289"/>
      <c r="AV51" s="289"/>
      <c r="AW51" s="289"/>
      <c r="AX51" s="289"/>
      <c r="AY51" s="289"/>
      <c r="AZ51" s="289"/>
      <c r="BA51" s="289"/>
      <c r="BB51" s="289"/>
      <c r="BC51" s="289"/>
      <c r="BD51" s="289"/>
      <c r="BE51" s="289"/>
      <c r="BF51" s="289"/>
      <c r="BG51" s="289"/>
      <c r="BH51" s="289"/>
      <c r="BI51" s="290"/>
      <c r="BJ51" s="289"/>
      <c r="BK51" s="291"/>
    </row>
    <row r="52" spans="1:63" ht="15" customHeight="1" x14ac:dyDescent="0.25">
      <c r="A52" s="287"/>
      <c r="B52" s="288"/>
      <c r="C52" s="289"/>
      <c r="D52" s="289"/>
      <c r="E52" s="289"/>
      <c r="F52" s="289"/>
      <c r="G52" s="289"/>
      <c r="H52" s="289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Y52" s="289"/>
      <c r="Z52" s="289"/>
      <c r="AA52" s="289"/>
      <c r="AB52" s="289"/>
      <c r="AC52" s="289"/>
      <c r="AD52" s="289"/>
      <c r="AE52" s="289"/>
      <c r="AF52" s="288"/>
      <c r="AG52" s="289"/>
      <c r="AH52" s="289"/>
      <c r="AI52" s="289"/>
      <c r="AJ52" s="289"/>
      <c r="AK52" s="289"/>
      <c r="AL52" s="289"/>
      <c r="AM52" s="289"/>
      <c r="AN52" s="289"/>
      <c r="AO52" s="289"/>
      <c r="AP52" s="289"/>
      <c r="AQ52" s="289"/>
      <c r="AR52" s="289"/>
      <c r="AS52" s="289"/>
      <c r="AT52" s="289"/>
      <c r="AU52" s="289"/>
      <c r="AV52" s="289"/>
      <c r="AW52" s="289"/>
      <c r="AX52" s="289"/>
      <c r="AY52" s="289"/>
      <c r="AZ52" s="289"/>
      <c r="BA52" s="289"/>
      <c r="BB52" s="289"/>
      <c r="BC52" s="289"/>
      <c r="BD52" s="289"/>
      <c r="BE52" s="289"/>
      <c r="BF52" s="289"/>
      <c r="BG52" s="289"/>
      <c r="BH52" s="289"/>
      <c r="BI52" s="290"/>
      <c r="BJ52" s="289"/>
      <c r="BK52" s="291"/>
    </row>
    <row r="53" spans="1:63" ht="15" customHeight="1" x14ac:dyDescent="0.25">
      <c r="A53" s="287"/>
      <c r="B53" s="288"/>
      <c r="C53" s="289"/>
      <c r="D53" s="289"/>
      <c r="E53" s="289"/>
      <c r="F53" s="289"/>
      <c r="G53" s="289"/>
      <c r="H53" s="289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Y53" s="289"/>
      <c r="Z53" s="289"/>
      <c r="AA53" s="289"/>
      <c r="AB53" s="289"/>
      <c r="AC53" s="289"/>
      <c r="AD53" s="289"/>
      <c r="AE53" s="289"/>
      <c r="AF53" s="288"/>
      <c r="AG53" s="289"/>
      <c r="AH53" s="289"/>
      <c r="AI53" s="289"/>
      <c r="AJ53" s="289"/>
      <c r="AK53" s="289"/>
      <c r="AL53" s="289"/>
      <c r="AM53" s="289"/>
      <c r="AN53" s="289"/>
      <c r="AO53" s="289"/>
      <c r="AP53" s="289"/>
      <c r="AQ53" s="289"/>
      <c r="AR53" s="289"/>
      <c r="AS53" s="289"/>
      <c r="AT53" s="289"/>
      <c r="AU53" s="289"/>
      <c r="AV53" s="289"/>
      <c r="AW53" s="289"/>
      <c r="AX53" s="289"/>
      <c r="AY53" s="289"/>
      <c r="AZ53" s="289"/>
      <c r="BA53" s="289"/>
      <c r="BB53" s="289"/>
      <c r="BC53" s="289"/>
      <c r="BD53" s="289"/>
      <c r="BE53" s="289"/>
      <c r="BF53" s="289"/>
      <c r="BG53" s="289"/>
      <c r="BH53" s="289"/>
      <c r="BI53" s="290"/>
      <c r="BJ53" s="289"/>
      <c r="BK53" s="291"/>
    </row>
    <row r="54" spans="1:63" ht="15" customHeight="1" x14ac:dyDescent="0.25">
      <c r="A54" s="287"/>
      <c r="B54" s="288"/>
      <c r="C54" s="289"/>
      <c r="D54" s="289"/>
      <c r="E54" s="289"/>
      <c r="F54" s="289"/>
      <c r="G54" s="289"/>
      <c r="H54" s="289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Y54" s="289"/>
      <c r="Z54" s="289"/>
      <c r="AA54" s="289"/>
      <c r="AB54" s="289"/>
      <c r="AC54" s="289"/>
      <c r="AD54" s="289"/>
      <c r="AE54" s="289"/>
      <c r="AF54" s="288"/>
      <c r="AG54" s="289"/>
      <c r="AH54" s="289"/>
      <c r="AI54" s="289"/>
      <c r="AJ54" s="289"/>
      <c r="AK54" s="289"/>
      <c r="AL54" s="289"/>
      <c r="AM54" s="289"/>
      <c r="AN54" s="289"/>
      <c r="AO54" s="289"/>
      <c r="AP54" s="289"/>
      <c r="AQ54" s="289"/>
      <c r="AR54" s="289"/>
      <c r="AS54" s="289"/>
      <c r="AT54" s="289"/>
      <c r="AU54" s="289"/>
      <c r="AV54" s="289"/>
      <c r="AW54" s="289"/>
      <c r="AX54" s="289"/>
      <c r="AY54" s="289"/>
      <c r="AZ54" s="289"/>
      <c r="BA54" s="289"/>
      <c r="BB54" s="289"/>
      <c r="BC54" s="289"/>
      <c r="BD54" s="289"/>
      <c r="BE54" s="289"/>
      <c r="BF54" s="289"/>
      <c r="BG54" s="289"/>
      <c r="BH54" s="289"/>
      <c r="BI54" s="290"/>
      <c r="BJ54" s="289"/>
      <c r="BK54" s="291"/>
    </row>
    <row r="55" spans="1:63" ht="15" customHeight="1" x14ac:dyDescent="0.25">
      <c r="A55" s="287"/>
      <c r="B55" s="288"/>
      <c r="C55" s="289"/>
      <c r="D55" s="289"/>
      <c r="E55" s="289"/>
      <c r="F55" s="289"/>
      <c r="G55" s="289"/>
      <c r="H55" s="289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Y55" s="289"/>
      <c r="Z55" s="289"/>
      <c r="AA55" s="289"/>
      <c r="AB55" s="289"/>
      <c r="AC55" s="289"/>
      <c r="AD55" s="289"/>
      <c r="AE55" s="289"/>
      <c r="AF55" s="288"/>
      <c r="AG55" s="289"/>
      <c r="AH55" s="289"/>
      <c r="AI55" s="289"/>
      <c r="AJ55" s="289"/>
      <c r="AK55" s="289"/>
      <c r="AL55" s="289"/>
      <c r="AM55" s="289"/>
      <c r="AN55" s="289"/>
      <c r="AO55" s="289"/>
      <c r="AP55" s="289"/>
      <c r="AQ55" s="289"/>
      <c r="AR55" s="289"/>
      <c r="AS55" s="289"/>
      <c r="AT55" s="289"/>
      <c r="AU55" s="289"/>
      <c r="AV55" s="289"/>
      <c r="AW55" s="289"/>
      <c r="AX55" s="289"/>
      <c r="AY55" s="289"/>
      <c r="AZ55" s="289"/>
      <c r="BA55" s="289"/>
      <c r="BB55" s="289"/>
      <c r="BC55" s="289"/>
      <c r="BD55" s="289"/>
      <c r="BE55" s="289"/>
      <c r="BF55" s="289"/>
      <c r="BG55" s="289"/>
      <c r="BH55" s="289"/>
      <c r="BI55" s="290"/>
      <c r="BJ55" s="289"/>
      <c r="BK55" s="291"/>
    </row>
    <row r="56" spans="1:63" ht="15" customHeight="1" x14ac:dyDescent="0.25">
      <c r="A56" s="287"/>
      <c r="B56" s="288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  <c r="Z56" s="289"/>
      <c r="AA56" s="289"/>
      <c r="AB56" s="289"/>
      <c r="AC56" s="289"/>
      <c r="AD56" s="289"/>
      <c r="AE56" s="289"/>
      <c r="AF56" s="288"/>
      <c r="AG56" s="289"/>
      <c r="AH56" s="289"/>
      <c r="AI56" s="289"/>
      <c r="AJ56" s="289"/>
      <c r="AK56" s="289"/>
      <c r="AL56" s="289"/>
      <c r="AM56" s="289"/>
      <c r="AN56" s="289"/>
      <c r="AO56" s="289"/>
      <c r="AP56" s="289"/>
      <c r="AQ56" s="289"/>
      <c r="AR56" s="289"/>
      <c r="AS56" s="289"/>
      <c r="AT56" s="289"/>
      <c r="AU56" s="289"/>
      <c r="AV56" s="289"/>
      <c r="AW56" s="289"/>
      <c r="AX56" s="289"/>
      <c r="AY56" s="289"/>
      <c r="AZ56" s="289"/>
      <c r="BA56" s="289"/>
      <c r="BB56" s="289"/>
      <c r="BC56" s="289"/>
      <c r="BD56" s="289"/>
      <c r="BE56" s="289"/>
      <c r="BF56" s="289"/>
      <c r="BG56" s="289"/>
      <c r="BH56" s="289"/>
      <c r="BI56" s="290"/>
      <c r="BJ56" s="289"/>
      <c r="BK56" s="291"/>
    </row>
    <row r="57" spans="1:63" ht="15" customHeight="1" x14ac:dyDescent="0.25">
      <c r="A57" s="287"/>
      <c r="B57" s="288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8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  <c r="AR57" s="289"/>
      <c r="AS57" s="289"/>
      <c r="AT57" s="289"/>
      <c r="AU57" s="289"/>
      <c r="AV57" s="289"/>
      <c r="AW57" s="289"/>
      <c r="AX57" s="289"/>
      <c r="AY57" s="289"/>
      <c r="AZ57" s="289"/>
      <c r="BA57" s="289"/>
      <c r="BB57" s="289"/>
      <c r="BC57" s="289"/>
      <c r="BD57" s="289"/>
      <c r="BE57" s="289"/>
      <c r="BF57" s="289"/>
      <c r="BG57" s="289"/>
      <c r="BH57" s="289"/>
      <c r="BI57" s="290"/>
      <c r="BJ57" s="289"/>
      <c r="BK57" s="291"/>
    </row>
    <row r="58" spans="1:63" ht="15" customHeight="1" x14ac:dyDescent="0.25">
      <c r="A58" s="287"/>
      <c r="B58" s="288"/>
      <c r="C58" s="289"/>
      <c r="D58" s="289"/>
      <c r="E58" s="289"/>
      <c r="F58" s="289"/>
      <c r="G58" s="289"/>
      <c r="H58" s="289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Y58" s="289"/>
      <c r="Z58" s="289"/>
      <c r="AA58" s="289"/>
      <c r="AB58" s="289"/>
      <c r="AC58" s="289"/>
      <c r="AD58" s="289"/>
      <c r="AE58" s="289"/>
      <c r="AF58" s="288"/>
      <c r="AG58" s="289"/>
      <c r="AH58" s="289"/>
      <c r="AI58" s="289"/>
      <c r="AJ58" s="289"/>
      <c r="AK58" s="289"/>
      <c r="AL58" s="289"/>
      <c r="AM58" s="289"/>
      <c r="AN58" s="289"/>
      <c r="AO58" s="289"/>
      <c r="AP58" s="289"/>
      <c r="AQ58" s="289"/>
      <c r="AR58" s="289"/>
      <c r="AS58" s="289"/>
      <c r="AT58" s="289"/>
      <c r="AU58" s="289"/>
      <c r="AV58" s="289"/>
      <c r="AW58" s="289"/>
      <c r="AX58" s="289"/>
      <c r="AY58" s="289"/>
      <c r="AZ58" s="289"/>
      <c r="BA58" s="289"/>
      <c r="BB58" s="289"/>
      <c r="BC58" s="289"/>
      <c r="BD58" s="289"/>
      <c r="BE58" s="289"/>
      <c r="BF58" s="289"/>
      <c r="BG58" s="289"/>
      <c r="BH58" s="289"/>
      <c r="BI58" s="290"/>
      <c r="BJ58" s="289"/>
      <c r="BK58" s="291"/>
    </row>
    <row r="59" spans="1:63" ht="15" customHeight="1" x14ac:dyDescent="0.25">
      <c r="A59" s="287"/>
      <c r="B59" s="288"/>
      <c r="C59" s="289"/>
      <c r="D59" s="289"/>
      <c r="E59" s="289"/>
      <c r="F59" s="289"/>
      <c r="G59" s="289"/>
      <c r="H59" s="289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Y59" s="289"/>
      <c r="Z59" s="289"/>
      <c r="AA59" s="289"/>
      <c r="AB59" s="289"/>
      <c r="AC59" s="289"/>
      <c r="AD59" s="289"/>
      <c r="AE59" s="289"/>
      <c r="AF59" s="288"/>
      <c r="AG59" s="289"/>
      <c r="AH59" s="289"/>
      <c r="AI59" s="289"/>
      <c r="AJ59" s="289"/>
      <c r="AK59" s="289"/>
      <c r="AL59" s="289"/>
      <c r="AM59" s="289"/>
      <c r="AN59" s="289"/>
      <c r="AO59" s="289"/>
      <c r="AP59" s="289"/>
      <c r="AQ59" s="289"/>
      <c r="AR59" s="289"/>
      <c r="AS59" s="289"/>
      <c r="AT59" s="289"/>
      <c r="AU59" s="289"/>
      <c r="AV59" s="289"/>
      <c r="AW59" s="289"/>
      <c r="AX59" s="289"/>
      <c r="AY59" s="289"/>
      <c r="AZ59" s="289"/>
      <c r="BA59" s="289"/>
      <c r="BB59" s="289"/>
      <c r="BC59" s="289"/>
      <c r="BD59" s="289"/>
      <c r="BE59" s="289"/>
      <c r="BF59" s="289"/>
      <c r="BG59" s="289"/>
      <c r="BH59" s="289"/>
      <c r="BI59" s="290"/>
      <c r="BJ59" s="289"/>
      <c r="BK59" s="291"/>
    </row>
    <row r="60" spans="1:63" ht="15" customHeight="1" x14ac:dyDescent="0.25">
      <c r="A60" s="287"/>
      <c r="B60" s="288"/>
      <c r="C60" s="289"/>
      <c r="D60" s="289"/>
      <c r="E60" s="289"/>
      <c r="F60" s="289"/>
      <c r="G60" s="289"/>
      <c r="H60" s="289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Y60" s="289"/>
      <c r="Z60" s="289"/>
      <c r="AA60" s="289"/>
      <c r="AB60" s="289"/>
      <c r="AC60" s="289"/>
      <c r="AD60" s="289"/>
      <c r="AE60" s="289"/>
      <c r="AF60" s="288"/>
      <c r="AG60" s="289"/>
      <c r="AH60" s="289"/>
      <c r="AI60" s="289"/>
      <c r="AJ60" s="289"/>
      <c r="AK60" s="289"/>
      <c r="AL60" s="289"/>
      <c r="AM60" s="289"/>
      <c r="AN60" s="289"/>
      <c r="AO60" s="289"/>
      <c r="AP60" s="289"/>
      <c r="AQ60" s="289"/>
      <c r="AR60" s="289"/>
      <c r="AS60" s="289"/>
      <c r="AT60" s="289"/>
      <c r="AU60" s="289"/>
      <c r="AV60" s="289"/>
      <c r="AW60" s="289"/>
      <c r="AX60" s="289"/>
      <c r="AY60" s="289"/>
      <c r="AZ60" s="289"/>
      <c r="BA60" s="289"/>
      <c r="BB60" s="289"/>
      <c r="BC60" s="289"/>
      <c r="BD60" s="289"/>
      <c r="BE60" s="289"/>
      <c r="BF60" s="289"/>
      <c r="BG60" s="289"/>
      <c r="BH60" s="289"/>
      <c r="BI60" s="290"/>
      <c r="BJ60" s="289"/>
      <c r="BK60" s="291"/>
    </row>
    <row r="61" spans="1:63" ht="15" customHeight="1" x14ac:dyDescent="0.25">
      <c r="A61" s="287"/>
      <c r="B61" s="288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Y61" s="289"/>
      <c r="Z61" s="289"/>
      <c r="AA61" s="289"/>
      <c r="AB61" s="289"/>
      <c r="AC61" s="289"/>
      <c r="AD61" s="289"/>
      <c r="AE61" s="289"/>
      <c r="AF61" s="288"/>
      <c r="AG61" s="289"/>
      <c r="AH61" s="289"/>
      <c r="AI61" s="289"/>
      <c r="AJ61" s="289"/>
      <c r="AK61" s="289"/>
      <c r="AL61" s="289"/>
      <c r="AM61" s="289"/>
      <c r="AN61" s="289"/>
      <c r="AO61" s="289"/>
      <c r="AP61" s="289"/>
      <c r="AQ61" s="289"/>
      <c r="AR61" s="289"/>
      <c r="AS61" s="289"/>
      <c r="AT61" s="289"/>
      <c r="AU61" s="289"/>
      <c r="AV61" s="289"/>
      <c r="AW61" s="289"/>
      <c r="AX61" s="289"/>
      <c r="AY61" s="289"/>
      <c r="AZ61" s="289"/>
      <c r="BA61" s="289"/>
      <c r="BB61" s="289"/>
      <c r="BC61" s="289"/>
      <c r="BD61" s="289"/>
      <c r="BE61" s="289"/>
      <c r="BF61" s="289"/>
      <c r="BG61" s="289"/>
      <c r="BH61" s="289"/>
      <c r="BI61" s="290"/>
      <c r="BJ61" s="289"/>
      <c r="BK61" s="291"/>
    </row>
    <row r="62" spans="1:63" ht="15" customHeight="1" x14ac:dyDescent="0.25">
      <c r="A62" s="292"/>
      <c r="B62" s="293"/>
      <c r="C62" s="292"/>
      <c r="D62" s="292"/>
      <c r="E62" s="292"/>
      <c r="F62" s="292"/>
      <c r="G62" s="292"/>
      <c r="H62" s="292"/>
      <c r="I62" s="292"/>
      <c r="J62" s="292"/>
      <c r="K62" s="292"/>
      <c r="L62" s="292"/>
      <c r="M62" s="292"/>
      <c r="N62" s="292"/>
      <c r="O62" s="292"/>
      <c r="P62" s="292"/>
      <c r="Q62" s="292"/>
      <c r="R62" s="292"/>
      <c r="S62" s="292"/>
      <c r="T62" s="292"/>
      <c r="U62" s="292"/>
      <c r="V62" s="292"/>
      <c r="W62" s="292"/>
      <c r="X62" s="292"/>
      <c r="Y62" s="292"/>
      <c r="Z62" s="292"/>
      <c r="AA62" s="292"/>
      <c r="AB62" s="292"/>
      <c r="AC62" s="292"/>
      <c r="AD62" s="292"/>
      <c r="AE62" s="294"/>
      <c r="AF62" s="293"/>
      <c r="AG62" s="292"/>
      <c r="AH62" s="292"/>
      <c r="AI62" s="292"/>
      <c r="AJ62" s="292"/>
      <c r="AK62" s="292"/>
      <c r="AL62" s="292"/>
      <c r="AM62" s="292"/>
      <c r="AN62" s="292"/>
      <c r="AO62" s="292"/>
      <c r="AP62" s="292"/>
      <c r="AQ62" s="292"/>
      <c r="AR62" s="292"/>
      <c r="AS62" s="292"/>
      <c r="AT62" s="292"/>
      <c r="AU62" s="292"/>
      <c r="AV62" s="292"/>
      <c r="AW62" s="292"/>
      <c r="AX62" s="292"/>
      <c r="AY62" s="292"/>
      <c r="AZ62" s="292"/>
      <c r="BA62" s="292"/>
      <c r="BB62" s="292"/>
      <c r="BC62" s="292"/>
      <c r="BD62" s="292"/>
      <c r="BE62" s="292"/>
      <c r="BF62" s="292"/>
      <c r="BG62" s="292"/>
      <c r="BH62" s="292"/>
      <c r="BI62" s="294"/>
      <c r="BJ62" s="292"/>
      <c r="BK62" s="29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7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201" customWidth="1"/>
    <col min="66" max="16384" width="2.77734375" style="201"/>
  </cols>
  <sheetData>
    <row r="1" spans="1:65" ht="24.95" customHeight="1" x14ac:dyDescent="0.25">
      <c r="A1" s="195" t="s">
        <v>55</v>
      </c>
      <c r="B1" s="196"/>
      <c r="C1" s="196"/>
      <c r="D1" s="196"/>
      <c r="E1" s="196"/>
      <c r="F1" s="196"/>
      <c r="G1" s="196"/>
      <c r="H1" s="196"/>
      <c r="I1" s="196"/>
      <c r="J1" s="197"/>
      <c r="K1" s="195" t="s">
        <v>54</v>
      </c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7"/>
      <c r="W1" s="198" t="str">
        <f>IF(表紙!W1="","",表紙!W1)</f>
        <v>基本設計書</v>
      </c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200"/>
      <c r="AP1" s="195" t="s">
        <v>53</v>
      </c>
      <c r="AQ1" s="196"/>
      <c r="AR1" s="196"/>
      <c r="AS1" s="197"/>
      <c r="AT1" s="195" t="s">
        <v>52</v>
      </c>
      <c r="AU1" s="196"/>
      <c r="AV1" s="196"/>
      <c r="AW1" s="196"/>
      <c r="AX1" s="197"/>
      <c r="AY1" s="195" t="s">
        <v>44</v>
      </c>
      <c r="AZ1" s="196"/>
      <c r="BA1" s="196"/>
      <c r="BB1" s="197"/>
      <c r="BC1" s="195" t="s">
        <v>45</v>
      </c>
      <c r="BD1" s="196"/>
      <c r="BE1" s="196"/>
      <c r="BF1" s="196"/>
      <c r="BG1" s="197"/>
      <c r="BH1" s="195" t="s">
        <v>43</v>
      </c>
      <c r="BI1" s="196"/>
      <c r="BJ1" s="196"/>
      <c r="BK1" s="197"/>
    </row>
    <row r="2" spans="1:65" ht="15" customHeight="1" x14ac:dyDescent="0.25">
      <c r="A2" s="204" t="str">
        <f>IF(表紙!A2="","",表紙!A2)</f>
        <v>POSサーバー</v>
      </c>
      <c r="B2" s="202"/>
      <c r="C2" s="202"/>
      <c r="D2" s="202"/>
      <c r="E2" s="202"/>
      <c r="F2" s="202"/>
      <c r="G2" s="202"/>
      <c r="H2" s="202"/>
      <c r="I2" s="202"/>
      <c r="J2" s="203"/>
      <c r="K2" s="204" t="str">
        <f>IF(表紙!K2="","",表紙!K2)</f>
        <v>POSサーバ</v>
      </c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3"/>
      <c r="W2" s="205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7"/>
      <c r="AP2" s="204" t="str">
        <f>IF(表紙!AP2="","",表紙!AP2)</f>
        <v>TinNH</v>
      </c>
      <c r="AQ2" s="202"/>
      <c r="AR2" s="202"/>
      <c r="AS2" s="203"/>
      <c r="AT2" s="208">
        <f>IF(表紙!AT2="","",表紙!AT2)</f>
        <v>45450</v>
      </c>
      <c r="AU2" s="209"/>
      <c r="AV2" s="209"/>
      <c r="AW2" s="209"/>
      <c r="AX2" s="210"/>
      <c r="AY2" s="204" t="str">
        <f>IF(表紙!AY2="","",表紙!AY2)</f>
        <v>DuNT</v>
      </c>
      <c r="AZ2" s="202"/>
      <c r="BA2" s="202"/>
      <c r="BB2" s="203"/>
      <c r="BC2" s="208">
        <f>IF(表紙!BC2="","",表紙!BC2)</f>
        <v>45531</v>
      </c>
      <c r="BD2" s="209"/>
      <c r="BE2" s="209"/>
      <c r="BF2" s="209"/>
      <c r="BG2" s="210"/>
      <c r="BH2" s="204">
        <f>IF(表紙!BH2="","",表紙!BH2)</f>
        <v>0.4</v>
      </c>
      <c r="BI2" s="202"/>
      <c r="BJ2" s="202"/>
      <c r="BK2" s="203"/>
    </row>
    <row r="3" spans="1:65" ht="15" customHeight="1" x14ac:dyDescent="0.25">
      <c r="A3" s="214"/>
      <c r="B3" s="215"/>
      <c r="C3" s="215"/>
      <c r="D3" s="215"/>
      <c r="E3" s="215"/>
      <c r="F3" s="215"/>
      <c r="G3" s="215"/>
      <c r="H3" s="215"/>
      <c r="I3" s="215"/>
      <c r="J3" s="216"/>
      <c r="K3" s="214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6"/>
      <c r="W3" s="217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9"/>
      <c r="AP3" s="214"/>
      <c r="AQ3" s="215"/>
      <c r="AR3" s="215"/>
      <c r="AS3" s="216"/>
      <c r="AT3" s="220"/>
      <c r="AU3" s="221"/>
      <c r="AV3" s="221"/>
      <c r="AW3" s="221"/>
      <c r="AX3" s="222"/>
      <c r="AY3" s="214"/>
      <c r="AZ3" s="215"/>
      <c r="BA3" s="215"/>
      <c r="BB3" s="216"/>
      <c r="BC3" s="220"/>
      <c r="BD3" s="221"/>
      <c r="BE3" s="221"/>
      <c r="BF3" s="221"/>
      <c r="BG3" s="222"/>
      <c r="BH3" s="214"/>
      <c r="BI3" s="215"/>
      <c r="BJ3" s="215"/>
      <c r="BK3" s="216"/>
    </row>
    <row r="4" spans="1:65" ht="24.95" customHeight="1" x14ac:dyDescent="0.25">
      <c r="A4" s="195" t="s">
        <v>49</v>
      </c>
      <c r="B4" s="196"/>
      <c r="C4" s="196"/>
      <c r="D4" s="196"/>
      <c r="E4" s="196"/>
      <c r="F4" s="196"/>
      <c r="G4" s="197"/>
      <c r="H4" s="226" t="str">
        <f>IF(表紙!H4="","",表紙!H4)</f>
        <v>74_予算登録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8"/>
      <c r="U4" s="195" t="s">
        <v>48</v>
      </c>
      <c r="V4" s="196"/>
      <c r="W4" s="196"/>
      <c r="X4" s="196"/>
      <c r="Y4" s="197"/>
      <c r="Z4" s="226" t="str">
        <f>IF(表紙!Z4="","",表紙!Z4)</f>
        <v>概要設計</v>
      </c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8"/>
      <c r="AP4" s="226" t="str">
        <f t="array" aca="1" ref="AP4" ca="1">RIGHT(CELL("filename",$A$1),LEN(CELL("filename",$A$1))-FIND("]",CELL("filename",$A$1)))</f>
        <v>機能概要説明</v>
      </c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8"/>
    </row>
    <row r="5" spans="1:65" ht="5.0999999999999996" customHeight="1" x14ac:dyDescent="0.25">
      <c r="A5" s="229"/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  <c r="AV5" s="230"/>
      <c r="AW5" s="230"/>
      <c r="AX5" s="230"/>
      <c r="AY5" s="230"/>
      <c r="AZ5" s="230"/>
      <c r="BA5" s="230"/>
      <c r="BB5" s="230"/>
      <c r="BC5" s="230"/>
      <c r="BD5" s="230"/>
      <c r="BE5" s="230"/>
      <c r="BF5" s="230"/>
      <c r="BG5" s="230"/>
      <c r="BH5" s="230"/>
      <c r="BI5" s="230"/>
      <c r="BJ5" s="230"/>
      <c r="BK5" s="231"/>
    </row>
    <row r="6" spans="1:65" ht="15" customHeight="1" x14ac:dyDescent="0.25">
      <c r="A6" s="232"/>
      <c r="BK6" s="233"/>
    </row>
    <row r="7" spans="1:65" ht="15" customHeight="1" x14ac:dyDescent="0.25">
      <c r="A7" s="232"/>
      <c r="B7" s="201" t="s">
        <v>36</v>
      </c>
      <c r="K7" s="296"/>
      <c r="BK7" s="233"/>
      <c r="BM7" s="23">
        <f t="shared" ref="BM7:BM11" si="0">IF(BM6=50,1,BM6+1)</f>
        <v>1</v>
      </c>
    </row>
    <row r="8" spans="1:65" ht="15" customHeight="1" x14ac:dyDescent="0.25">
      <c r="A8" s="232"/>
      <c r="C8" s="201" t="s">
        <v>37</v>
      </c>
      <c r="K8" s="296"/>
      <c r="BK8" s="233"/>
      <c r="BM8" s="23">
        <f t="shared" si="0"/>
        <v>2</v>
      </c>
    </row>
    <row r="9" spans="1:65" ht="15" customHeight="1" x14ac:dyDescent="0.25">
      <c r="A9" s="232"/>
      <c r="C9" s="201" t="s">
        <v>38</v>
      </c>
      <c r="K9" s="296"/>
      <c r="BK9" s="233"/>
      <c r="BM9" s="23">
        <f t="shared" si="0"/>
        <v>3</v>
      </c>
    </row>
    <row r="10" spans="1:65" ht="15" customHeight="1" x14ac:dyDescent="0.25">
      <c r="A10" s="232"/>
      <c r="K10" s="296"/>
      <c r="BK10" s="233"/>
      <c r="BM10" s="23">
        <f t="shared" si="0"/>
        <v>4</v>
      </c>
    </row>
    <row r="11" spans="1:65" s="296" customFormat="1" ht="15" customHeight="1" x14ac:dyDescent="0.25">
      <c r="A11" s="297"/>
      <c r="BK11" s="298"/>
      <c r="BM11" s="23">
        <f t="shared" si="0"/>
        <v>5</v>
      </c>
    </row>
    <row r="12" spans="1:65" s="296" customFormat="1" ht="15" customHeight="1" x14ac:dyDescent="0.25">
      <c r="A12" s="297"/>
      <c r="BK12" s="298"/>
      <c r="BM12" s="23">
        <f t="shared" ref="BM12:BM44" si="1">IF(BM11=50,1,BM11+1)</f>
        <v>6</v>
      </c>
    </row>
    <row r="13" spans="1:65" s="296" customFormat="1" ht="15" customHeight="1" x14ac:dyDescent="0.25">
      <c r="A13" s="297"/>
      <c r="BK13" s="298"/>
      <c r="BM13" s="23">
        <f t="shared" si="1"/>
        <v>7</v>
      </c>
    </row>
    <row r="14" spans="1:65" s="296" customFormat="1" ht="15" customHeight="1" x14ac:dyDescent="0.25">
      <c r="A14" s="297"/>
      <c r="BK14" s="298"/>
      <c r="BM14" s="23">
        <f t="shared" si="1"/>
        <v>8</v>
      </c>
    </row>
    <row r="15" spans="1:65" s="296" customFormat="1" ht="15" customHeight="1" x14ac:dyDescent="0.25">
      <c r="A15" s="297"/>
      <c r="BK15" s="298"/>
      <c r="BM15" s="23">
        <f t="shared" si="1"/>
        <v>9</v>
      </c>
    </row>
    <row r="16" spans="1:65" s="296" customFormat="1" ht="15" customHeight="1" x14ac:dyDescent="0.25">
      <c r="A16" s="297"/>
      <c r="BK16" s="298"/>
      <c r="BM16" s="23">
        <f t="shared" si="1"/>
        <v>10</v>
      </c>
    </row>
    <row r="17" spans="1:65" s="296" customFormat="1" ht="15" customHeight="1" x14ac:dyDescent="0.25">
      <c r="A17" s="297"/>
      <c r="BK17" s="298"/>
      <c r="BM17" s="23">
        <f t="shared" si="1"/>
        <v>11</v>
      </c>
    </row>
    <row r="18" spans="1:65" s="296" customFormat="1" ht="15" customHeight="1" x14ac:dyDescent="0.25">
      <c r="A18" s="297"/>
      <c r="BK18" s="298"/>
      <c r="BM18" s="23">
        <f t="shared" si="1"/>
        <v>12</v>
      </c>
    </row>
    <row r="19" spans="1:65" s="296" customFormat="1" ht="15" customHeight="1" x14ac:dyDescent="0.25">
      <c r="A19" s="297"/>
      <c r="BK19" s="298"/>
      <c r="BM19" s="23">
        <f t="shared" si="1"/>
        <v>13</v>
      </c>
    </row>
    <row r="20" spans="1:65" s="296" customFormat="1" ht="15" customHeight="1" x14ac:dyDescent="0.25">
      <c r="A20" s="297"/>
      <c r="BK20" s="298"/>
      <c r="BM20" s="23">
        <f t="shared" si="1"/>
        <v>14</v>
      </c>
    </row>
    <row r="21" spans="1:65" s="296" customFormat="1" ht="15" customHeight="1" x14ac:dyDescent="0.25">
      <c r="A21" s="297"/>
      <c r="BK21" s="298"/>
      <c r="BM21" s="23">
        <f t="shared" si="1"/>
        <v>15</v>
      </c>
    </row>
    <row r="22" spans="1:65" s="296" customFormat="1" ht="15" customHeight="1" x14ac:dyDescent="0.25">
      <c r="A22" s="297"/>
      <c r="BK22" s="298"/>
      <c r="BM22" s="23">
        <f t="shared" si="1"/>
        <v>16</v>
      </c>
    </row>
    <row r="23" spans="1:65" s="296" customFormat="1" ht="15" customHeight="1" x14ac:dyDescent="0.25">
      <c r="A23" s="297"/>
      <c r="BK23" s="298"/>
      <c r="BM23" s="23">
        <f t="shared" si="1"/>
        <v>17</v>
      </c>
    </row>
    <row r="24" spans="1:65" s="296" customFormat="1" ht="15" customHeight="1" x14ac:dyDescent="0.25">
      <c r="A24" s="297"/>
      <c r="BK24" s="298"/>
      <c r="BM24" s="23">
        <f t="shared" si="1"/>
        <v>18</v>
      </c>
    </row>
    <row r="25" spans="1:65" s="296" customFormat="1" ht="15" customHeight="1" x14ac:dyDescent="0.25">
      <c r="A25" s="297"/>
      <c r="BK25" s="298"/>
      <c r="BM25" s="23">
        <f t="shared" si="1"/>
        <v>19</v>
      </c>
    </row>
    <row r="26" spans="1:65" s="296" customFormat="1" ht="15" customHeight="1" x14ac:dyDescent="0.25">
      <c r="A26" s="297"/>
      <c r="BK26" s="298"/>
      <c r="BM26" s="23">
        <f t="shared" si="1"/>
        <v>20</v>
      </c>
    </row>
    <row r="27" spans="1:65" s="296" customFormat="1" ht="15" customHeight="1" x14ac:dyDescent="0.25">
      <c r="A27" s="297"/>
      <c r="BK27" s="298"/>
      <c r="BM27" s="23">
        <f t="shared" si="1"/>
        <v>21</v>
      </c>
    </row>
    <row r="28" spans="1:65" s="296" customFormat="1" ht="15" customHeight="1" x14ac:dyDescent="0.25">
      <c r="A28" s="297"/>
      <c r="BK28" s="298"/>
      <c r="BM28" s="23">
        <f t="shared" si="1"/>
        <v>22</v>
      </c>
    </row>
    <row r="29" spans="1:65" s="296" customFormat="1" ht="15" customHeight="1" x14ac:dyDescent="0.25">
      <c r="A29" s="297"/>
      <c r="BK29" s="298"/>
      <c r="BM29" s="23">
        <f t="shared" si="1"/>
        <v>23</v>
      </c>
    </row>
    <row r="30" spans="1:65" s="296" customFormat="1" ht="15" customHeight="1" x14ac:dyDescent="0.25">
      <c r="A30" s="297"/>
      <c r="BK30" s="298"/>
      <c r="BM30" s="23">
        <f t="shared" si="1"/>
        <v>24</v>
      </c>
    </row>
    <row r="31" spans="1:65" s="296" customFormat="1" ht="15" customHeight="1" x14ac:dyDescent="0.25">
      <c r="A31" s="297"/>
      <c r="BK31" s="298"/>
      <c r="BM31" s="23">
        <f t="shared" si="1"/>
        <v>25</v>
      </c>
    </row>
    <row r="32" spans="1:65" s="296" customFormat="1" ht="15" customHeight="1" x14ac:dyDescent="0.25">
      <c r="A32" s="297"/>
      <c r="BK32" s="298"/>
      <c r="BM32" s="23">
        <f t="shared" si="1"/>
        <v>26</v>
      </c>
    </row>
    <row r="33" spans="1:65" s="296" customFormat="1" ht="15" customHeight="1" x14ac:dyDescent="0.25">
      <c r="A33" s="297"/>
      <c r="BK33" s="298"/>
      <c r="BM33" s="23">
        <f t="shared" si="1"/>
        <v>27</v>
      </c>
    </row>
    <row r="34" spans="1:65" s="296" customFormat="1" ht="15" customHeight="1" x14ac:dyDescent="0.25">
      <c r="A34" s="297"/>
      <c r="BK34" s="298"/>
      <c r="BM34" s="23">
        <f t="shared" si="1"/>
        <v>28</v>
      </c>
    </row>
    <row r="35" spans="1:65" s="296" customFormat="1" ht="15" customHeight="1" x14ac:dyDescent="0.25">
      <c r="A35" s="297"/>
      <c r="BK35" s="298"/>
      <c r="BM35" s="23">
        <f t="shared" si="1"/>
        <v>29</v>
      </c>
    </row>
    <row r="36" spans="1:65" s="296" customFormat="1" ht="15" customHeight="1" x14ac:dyDescent="0.25">
      <c r="A36" s="297"/>
      <c r="BK36" s="298"/>
      <c r="BM36" s="23">
        <f t="shared" si="1"/>
        <v>30</v>
      </c>
    </row>
    <row r="37" spans="1:65" s="296" customFormat="1" ht="15" customHeight="1" x14ac:dyDescent="0.25">
      <c r="A37" s="297"/>
      <c r="BK37" s="298"/>
      <c r="BM37" s="23">
        <f t="shared" si="1"/>
        <v>31</v>
      </c>
    </row>
    <row r="38" spans="1:65" s="296" customFormat="1" ht="15" customHeight="1" x14ac:dyDescent="0.25">
      <c r="A38" s="297"/>
      <c r="BK38" s="298"/>
      <c r="BM38" s="23">
        <f t="shared" si="1"/>
        <v>32</v>
      </c>
    </row>
    <row r="39" spans="1:65" s="296" customFormat="1" ht="15" customHeight="1" x14ac:dyDescent="0.25">
      <c r="A39" s="297"/>
      <c r="BK39" s="298"/>
      <c r="BM39" s="23">
        <f t="shared" si="1"/>
        <v>33</v>
      </c>
    </row>
    <row r="40" spans="1:65" s="296" customFormat="1" ht="15" customHeight="1" x14ac:dyDescent="0.25">
      <c r="A40" s="297"/>
      <c r="BK40" s="298"/>
      <c r="BM40" s="23">
        <f t="shared" si="1"/>
        <v>34</v>
      </c>
    </row>
    <row r="41" spans="1:65" s="296" customFormat="1" ht="15" customHeight="1" x14ac:dyDescent="0.25">
      <c r="A41" s="297"/>
      <c r="BK41" s="298"/>
      <c r="BM41" s="23">
        <f t="shared" si="1"/>
        <v>35</v>
      </c>
    </row>
    <row r="42" spans="1:65" s="296" customFormat="1" ht="15" customHeight="1" x14ac:dyDescent="0.25">
      <c r="A42" s="297"/>
      <c r="BK42" s="298"/>
      <c r="BM42" s="23">
        <f t="shared" si="1"/>
        <v>36</v>
      </c>
    </row>
    <row r="43" spans="1:65" s="296" customFormat="1" ht="15" customHeight="1" x14ac:dyDescent="0.25">
      <c r="A43" s="297"/>
      <c r="BK43" s="298"/>
      <c r="BM43" s="23">
        <f t="shared" si="1"/>
        <v>37</v>
      </c>
    </row>
    <row r="44" spans="1:65" s="296" customFormat="1" ht="15" customHeight="1" x14ac:dyDescent="0.25">
      <c r="A44" s="297"/>
      <c r="BK44" s="298"/>
      <c r="BM44" s="23">
        <f t="shared" si="1"/>
        <v>38</v>
      </c>
    </row>
    <row r="45" spans="1:65" s="296" customFormat="1" ht="15" customHeight="1" x14ac:dyDescent="0.25">
      <c r="A45" s="297"/>
      <c r="BK45" s="298"/>
      <c r="BM45" s="23">
        <f t="shared" ref="BM45:BM57" si="2">IF(BM44=50,1,BM44+1)</f>
        <v>39</v>
      </c>
    </row>
    <row r="46" spans="1:65" s="296" customFormat="1" ht="15" customHeight="1" x14ac:dyDescent="0.25">
      <c r="A46" s="297"/>
      <c r="BK46" s="298"/>
      <c r="BM46" s="23">
        <f t="shared" si="2"/>
        <v>40</v>
      </c>
    </row>
    <row r="47" spans="1:65" s="296" customFormat="1" ht="15" customHeight="1" x14ac:dyDescent="0.25">
      <c r="A47" s="297"/>
      <c r="BK47" s="298"/>
      <c r="BM47" s="23">
        <f t="shared" si="2"/>
        <v>41</v>
      </c>
    </row>
    <row r="48" spans="1:65" s="296" customFormat="1" ht="15" customHeight="1" x14ac:dyDescent="0.25">
      <c r="A48" s="297"/>
      <c r="BK48" s="298"/>
      <c r="BM48" s="23">
        <f t="shared" si="2"/>
        <v>42</v>
      </c>
    </row>
    <row r="49" spans="1:65" s="296" customFormat="1" ht="15" customHeight="1" x14ac:dyDescent="0.25">
      <c r="A49" s="297"/>
      <c r="BK49" s="298"/>
      <c r="BM49" s="23">
        <f t="shared" si="2"/>
        <v>43</v>
      </c>
    </row>
    <row r="50" spans="1:65" s="296" customFormat="1" ht="15" customHeight="1" x14ac:dyDescent="0.25">
      <c r="A50" s="297"/>
      <c r="BK50" s="298"/>
      <c r="BM50" s="23">
        <f t="shared" si="2"/>
        <v>44</v>
      </c>
    </row>
    <row r="51" spans="1:65" s="296" customFormat="1" ht="15" customHeight="1" x14ac:dyDescent="0.25">
      <c r="A51" s="297"/>
      <c r="BK51" s="298"/>
      <c r="BM51" s="23">
        <f t="shared" si="2"/>
        <v>45</v>
      </c>
    </row>
    <row r="52" spans="1:65" s="296" customFormat="1" ht="15" customHeight="1" x14ac:dyDescent="0.25">
      <c r="A52" s="297"/>
      <c r="BK52" s="298"/>
      <c r="BM52" s="23">
        <f t="shared" si="2"/>
        <v>46</v>
      </c>
    </row>
    <row r="53" spans="1:65" s="296" customFormat="1" ht="15" customHeight="1" x14ac:dyDescent="0.25">
      <c r="A53" s="297"/>
      <c r="BK53" s="298"/>
      <c r="BM53" s="23">
        <f t="shared" si="2"/>
        <v>47</v>
      </c>
    </row>
    <row r="54" spans="1:65" s="296" customFormat="1" ht="15" customHeight="1" x14ac:dyDescent="0.25">
      <c r="A54" s="297"/>
      <c r="BK54" s="298"/>
      <c r="BM54" s="23">
        <f t="shared" si="2"/>
        <v>48</v>
      </c>
    </row>
    <row r="55" spans="1:65" s="296" customFormat="1" ht="15" customHeight="1" x14ac:dyDescent="0.25">
      <c r="A55" s="297"/>
      <c r="BK55" s="298"/>
      <c r="BM55" s="23">
        <f t="shared" si="2"/>
        <v>49</v>
      </c>
    </row>
    <row r="56" spans="1:65" s="296" customFormat="1" ht="15" customHeight="1" x14ac:dyDescent="0.25">
      <c r="A56" s="297"/>
      <c r="BK56" s="298"/>
      <c r="BM56" s="23">
        <f t="shared" si="2"/>
        <v>50</v>
      </c>
    </row>
    <row r="57" spans="1:65" s="296" customFormat="1" ht="15" customHeight="1" x14ac:dyDescent="0.25">
      <c r="A57" s="299"/>
      <c r="B57" s="300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  <c r="AA57" s="300"/>
      <c r="AB57" s="300"/>
      <c r="AC57" s="300"/>
      <c r="AD57" s="300"/>
      <c r="AE57" s="300"/>
      <c r="AF57" s="300"/>
      <c r="AG57" s="300"/>
      <c r="AH57" s="300"/>
      <c r="AI57" s="300"/>
      <c r="AJ57" s="300"/>
      <c r="AK57" s="300"/>
      <c r="AL57" s="300"/>
      <c r="AM57" s="300"/>
      <c r="AN57" s="300"/>
      <c r="AO57" s="300"/>
      <c r="AP57" s="300"/>
      <c r="AQ57" s="300"/>
      <c r="AR57" s="300"/>
      <c r="AS57" s="300"/>
      <c r="AT57" s="300"/>
      <c r="AU57" s="300"/>
      <c r="AV57" s="300"/>
      <c r="AW57" s="300"/>
      <c r="AX57" s="300"/>
      <c r="AY57" s="300"/>
      <c r="AZ57" s="300"/>
      <c r="BA57" s="300"/>
      <c r="BB57" s="300"/>
      <c r="BC57" s="300"/>
      <c r="BD57" s="300"/>
      <c r="BE57" s="300"/>
      <c r="BF57" s="300"/>
      <c r="BG57" s="300"/>
      <c r="BH57" s="300"/>
      <c r="BI57" s="300"/>
      <c r="BJ57" s="300"/>
      <c r="BK57" s="301"/>
      <c r="BM57" s="23">
        <f t="shared" si="2"/>
        <v>1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tabColor rgb="FF0000FF"/>
    <pageSetUpPr fitToPage="1"/>
  </sheetPr>
  <dimension ref="A1:BO124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201" customWidth="1"/>
    <col min="66" max="16384" width="2.77734375" style="201"/>
  </cols>
  <sheetData>
    <row r="1" spans="1:65" s="201" customFormat="1" ht="24.95" customHeight="1" x14ac:dyDescent="0.25">
      <c r="A1" s="195" t="s">
        <v>55</v>
      </c>
      <c r="B1" s="196"/>
      <c r="C1" s="196"/>
      <c r="D1" s="196"/>
      <c r="E1" s="196"/>
      <c r="F1" s="196"/>
      <c r="G1" s="196"/>
      <c r="H1" s="196"/>
      <c r="I1" s="196"/>
      <c r="J1" s="197"/>
      <c r="K1" s="195" t="s">
        <v>54</v>
      </c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7"/>
      <c r="W1" s="198" t="str">
        <f>IF(表紙!W1="","",表紙!W1)</f>
        <v>基本設計書</v>
      </c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200"/>
      <c r="AP1" s="195" t="s">
        <v>53</v>
      </c>
      <c r="AQ1" s="196"/>
      <c r="AR1" s="196"/>
      <c r="AS1" s="197"/>
      <c r="AT1" s="195" t="s">
        <v>52</v>
      </c>
      <c r="AU1" s="196"/>
      <c r="AV1" s="196"/>
      <c r="AW1" s="196"/>
      <c r="AX1" s="197"/>
      <c r="AY1" s="195" t="s">
        <v>44</v>
      </c>
      <c r="AZ1" s="196"/>
      <c r="BA1" s="196"/>
      <c r="BB1" s="197"/>
      <c r="BC1" s="195" t="s">
        <v>45</v>
      </c>
      <c r="BD1" s="196"/>
      <c r="BE1" s="196"/>
      <c r="BF1" s="196"/>
      <c r="BG1" s="197"/>
      <c r="BH1" s="195" t="s">
        <v>43</v>
      </c>
      <c r="BI1" s="196"/>
      <c r="BJ1" s="196"/>
      <c r="BK1" s="197"/>
    </row>
    <row r="2" spans="1:65" s="201" customFormat="1" ht="15" customHeight="1" x14ac:dyDescent="0.25">
      <c r="A2" s="204" t="str">
        <f>IF(表紙!A2="","",表紙!A2)</f>
        <v>POSサーバー</v>
      </c>
      <c r="B2" s="202"/>
      <c r="C2" s="202"/>
      <c r="D2" s="202"/>
      <c r="E2" s="202"/>
      <c r="F2" s="202"/>
      <c r="G2" s="202"/>
      <c r="H2" s="202"/>
      <c r="I2" s="202"/>
      <c r="J2" s="203"/>
      <c r="K2" s="204" t="str">
        <f>IF(表紙!K2="","",表紙!K2)</f>
        <v>POSサーバ</v>
      </c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3"/>
      <c r="W2" s="205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7"/>
      <c r="AP2" s="204" t="str">
        <f>IF(表紙!AP2="","",表紙!AP2)</f>
        <v>TinNH</v>
      </c>
      <c r="AQ2" s="202"/>
      <c r="AR2" s="202"/>
      <c r="AS2" s="203"/>
      <c r="AT2" s="208">
        <f>IF(表紙!AT2="","",表紙!AT2)</f>
        <v>45450</v>
      </c>
      <c r="AU2" s="209"/>
      <c r="AV2" s="209"/>
      <c r="AW2" s="209"/>
      <c r="AX2" s="210"/>
      <c r="AY2" s="204" t="str">
        <f>IF(表紙!AY2="","",表紙!AY2)</f>
        <v>DuNT</v>
      </c>
      <c r="AZ2" s="202"/>
      <c r="BA2" s="202"/>
      <c r="BB2" s="203"/>
      <c r="BC2" s="208">
        <f>IF(表紙!BC2="","",表紙!BC2)</f>
        <v>45531</v>
      </c>
      <c r="BD2" s="209"/>
      <c r="BE2" s="209"/>
      <c r="BF2" s="209"/>
      <c r="BG2" s="210"/>
      <c r="BH2" s="204">
        <f>IF(表紙!BH2="","",表紙!BH2)</f>
        <v>0.4</v>
      </c>
      <c r="BI2" s="202"/>
      <c r="BJ2" s="202"/>
      <c r="BK2" s="203"/>
    </row>
    <row r="3" spans="1:65" s="201" customFormat="1" ht="15" customHeight="1" x14ac:dyDescent="0.25">
      <c r="A3" s="214"/>
      <c r="B3" s="215"/>
      <c r="C3" s="215"/>
      <c r="D3" s="215"/>
      <c r="E3" s="215"/>
      <c r="F3" s="215"/>
      <c r="G3" s="215"/>
      <c r="H3" s="215"/>
      <c r="I3" s="215"/>
      <c r="J3" s="216"/>
      <c r="K3" s="214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6"/>
      <c r="W3" s="217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9"/>
      <c r="AP3" s="214"/>
      <c r="AQ3" s="215"/>
      <c r="AR3" s="215"/>
      <c r="AS3" s="216"/>
      <c r="AT3" s="220"/>
      <c r="AU3" s="221"/>
      <c r="AV3" s="221"/>
      <c r="AW3" s="221"/>
      <c r="AX3" s="222"/>
      <c r="AY3" s="214"/>
      <c r="AZ3" s="215"/>
      <c r="BA3" s="215"/>
      <c r="BB3" s="216"/>
      <c r="BC3" s="220"/>
      <c r="BD3" s="221"/>
      <c r="BE3" s="221"/>
      <c r="BF3" s="221"/>
      <c r="BG3" s="222"/>
      <c r="BH3" s="214"/>
      <c r="BI3" s="215"/>
      <c r="BJ3" s="215"/>
      <c r="BK3" s="216"/>
    </row>
    <row r="4" spans="1:65" s="201" customFormat="1" ht="24.95" customHeight="1" x14ac:dyDescent="0.25">
      <c r="A4" s="195" t="s">
        <v>49</v>
      </c>
      <c r="B4" s="196"/>
      <c r="C4" s="196"/>
      <c r="D4" s="196"/>
      <c r="E4" s="196"/>
      <c r="F4" s="196"/>
      <c r="G4" s="197"/>
      <c r="H4" s="226" t="str">
        <f>IF(表紙!H4="","",表紙!H4)</f>
        <v>74_予算登録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8"/>
      <c r="U4" s="195" t="s">
        <v>48</v>
      </c>
      <c r="V4" s="196"/>
      <c r="W4" s="196"/>
      <c r="X4" s="196"/>
      <c r="Y4" s="197"/>
      <c r="Z4" s="226" t="str">
        <f>IF(表紙!Z4="","",表紙!Z4)</f>
        <v>概要設計</v>
      </c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8"/>
      <c r="AP4" s="226" t="str">
        <f t="array" aca="1" ref="AP4" ca="1">RIGHT(CELL("filename",$A$1),LEN(CELL("filename",$A$1))-FIND("]",CELL("filename",$A$1)))</f>
        <v>機能概要</v>
      </c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8"/>
    </row>
    <row r="5" spans="1:65" s="201" customFormat="1" ht="5.0999999999999996" customHeight="1" x14ac:dyDescent="0.25">
      <c r="A5" s="229"/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  <c r="AV5" s="230"/>
      <c r="AW5" s="230"/>
      <c r="AX5" s="230"/>
      <c r="AY5" s="230"/>
      <c r="AZ5" s="230"/>
      <c r="BA5" s="230"/>
      <c r="BB5" s="230"/>
      <c r="BC5" s="230"/>
      <c r="BD5" s="230"/>
      <c r="BE5" s="230"/>
      <c r="BF5" s="230"/>
      <c r="BG5" s="230"/>
      <c r="BH5" s="230"/>
      <c r="BI5" s="230"/>
      <c r="BJ5" s="230"/>
      <c r="BK5" s="231"/>
    </row>
    <row r="6" spans="1:65" s="201" customFormat="1" ht="15" customHeight="1" x14ac:dyDescent="0.25">
      <c r="A6" s="232"/>
      <c r="BK6" s="302"/>
    </row>
    <row r="7" spans="1:65" s="201" customFormat="1" ht="15" customHeight="1" x14ac:dyDescent="0.25">
      <c r="A7" s="232"/>
      <c r="B7" s="303" t="s">
        <v>58</v>
      </c>
      <c r="C7" s="304"/>
      <c r="D7" s="305"/>
      <c r="E7" s="305"/>
      <c r="F7" s="305"/>
      <c r="G7" s="305"/>
      <c r="H7" s="305"/>
      <c r="I7" s="305"/>
      <c r="J7" s="305"/>
      <c r="K7" s="306"/>
      <c r="L7" s="305"/>
      <c r="M7" s="305"/>
      <c r="N7" s="305"/>
      <c r="O7" s="305"/>
      <c r="P7" s="305"/>
      <c r="Q7" s="305"/>
      <c r="R7" s="305"/>
      <c r="S7" s="305"/>
      <c r="T7" s="306"/>
      <c r="U7" s="304"/>
      <c r="V7" s="305"/>
      <c r="W7" s="305"/>
      <c r="X7" s="305"/>
      <c r="Y7" s="305"/>
      <c r="Z7" s="305"/>
      <c r="AA7" s="305"/>
      <c r="AB7" s="305"/>
      <c r="AC7" s="306"/>
      <c r="AD7" s="304"/>
      <c r="AE7" s="305"/>
      <c r="AF7" s="305"/>
      <c r="AG7" s="305"/>
      <c r="AH7" s="305"/>
      <c r="AI7" s="305"/>
      <c r="AJ7" s="305"/>
      <c r="AK7" s="305"/>
      <c r="AL7" s="306"/>
      <c r="AM7" s="304"/>
      <c r="AN7" s="305"/>
      <c r="AO7" s="305"/>
      <c r="AP7" s="305"/>
      <c r="AQ7" s="305"/>
      <c r="AR7" s="305"/>
      <c r="AS7" s="305"/>
      <c r="AT7" s="305"/>
      <c r="AU7" s="305"/>
      <c r="AV7" s="305"/>
      <c r="AW7" s="305"/>
      <c r="AX7" s="305"/>
      <c r="AY7" s="305"/>
      <c r="AZ7" s="305"/>
      <c r="BA7" s="305"/>
      <c r="BB7" s="305"/>
      <c r="BC7" s="305"/>
      <c r="BD7" s="305"/>
      <c r="BE7" s="305"/>
      <c r="BF7" s="305"/>
      <c r="BG7" s="305"/>
      <c r="BH7" s="305"/>
      <c r="BI7" s="306"/>
      <c r="BJ7" s="305"/>
      <c r="BK7" s="233"/>
    </row>
    <row r="8" spans="1:65" s="201" customFormat="1" ht="15" customHeight="1" x14ac:dyDescent="0.25">
      <c r="A8" s="232"/>
      <c r="B8" s="307"/>
      <c r="K8" s="308"/>
      <c r="U8" s="307"/>
      <c r="AD8" s="307"/>
      <c r="AM8" s="307"/>
      <c r="BI8" s="309"/>
      <c r="BK8" s="233"/>
      <c r="BM8" s="23">
        <f t="shared" ref="BM8:BM21" si="0">IF(BM7=50,1,BM7+1)</f>
        <v>1</v>
      </c>
    </row>
    <row r="9" spans="1:65" s="201" customFormat="1" ht="15" customHeight="1" x14ac:dyDescent="0.25">
      <c r="A9" s="232"/>
      <c r="B9" s="307"/>
      <c r="K9" s="308"/>
      <c r="U9" s="307"/>
      <c r="AD9" s="307"/>
      <c r="AM9" s="307"/>
      <c r="BI9" s="309"/>
      <c r="BK9" s="233"/>
      <c r="BM9" s="23">
        <f t="shared" si="0"/>
        <v>2</v>
      </c>
    </row>
    <row r="10" spans="1:65" s="201" customFormat="1" ht="15" customHeight="1" x14ac:dyDescent="0.25">
      <c r="A10" s="232"/>
      <c r="B10" s="307"/>
      <c r="K10" s="308"/>
      <c r="U10" s="307"/>
      <c r="AD10" s="307"/>
      <c r="AM10" s="307"/>
      <c r="BI10" s="309"/>
      <c r="BK10" s="233"/>
      <c r="BM10" s="23">
        <f t="shared" si="0"/>
        <v>3</v>
      </c>
    </row>
    <row r="11" spans="1:65" s="201" customFormat="1" ht="15" customHeight="1" x14ac:dyDescent="0.25">
      <c r="A11" s="232"/>
      <c r="B11" s="307"/>
      <c r="K11" s="308"/>
      <c r="U11" s="307"/>
      <c r="AD11" s="307"/>
      <c r="AM11" s="307"/>
      <c r="BI11" s="309"/>
      <c r="BK11" s="233"/>
      <c r="BM11" s="23">
        <f t="shared" si="0"/>
        <v>4</v>
      </c>
    </row>
    <row r="12" spans="1:65" s="201" customFormat="1" ht="15" customHeight="1" x14ac:dyDescent="0.25">
      <c r="A12" s="232"/>
      <c r="B12" s="307"/>
      <c r="K12" s="308"/>
      <c r="U12" s="307"/>
      <c r="AD12" s="307"/>
      <c r="AM12" s="307"/>
      <c r="BI12" s="309"/>
      <c r="BK12" s="233"/>
      <c r="BM12" s="23">
        <f t="shared" si="0"/>
        <v>5</v>
      </c>
    </row>
    <row r="13" spans="1:65" s="201" customFormat="1" ht="15" customHeight="1" x14ac:dyDescent="0.25">
      <c r="A13" s="232"/>
      <c r="B13" s="307"/>
      <c r="K13" s="308"/>
      <c r="U13" s="307"/>
      <c r="AD13" s="307"/>
      <c r="AM13" s="307"/>
      <c r="BI13" s="309"/>
      <c r="BK13" s="233"/>
      <c r="BM13" s="23">
        <f t="shared" si="0"/>
        <v>6</v>
      </c>
    </row>
    <row r="14" spans="1:65" s="201" customFormat="1" ht="15" customHeight="1" x14ac:dyDescent="0.25">
      <c r="A14" s="232"/>
      <c r="B14" s="307"/>
      <c r="K14" s="308"/>
      <c r="U14" s="307"/>
      <c r="AD14" s="307"/>
      <c r="AM14" s="307"/>
      <c r="BI14" s="309"/>
      <c r="BK14" s="233"/>
      <c r="BM14" s="23">
        <f t="shared" si="0"/>
        <v>7</v>
      </c>
    </row>
    <row r="15" spans="1:65" s="201" customFormat="1" ht="15" customHeight="1" x14ac:dyDescent="0.25">
      <c r="A15" s="232"/>
      <c r="B15" s="307"/>
      <c r="K15" s="308"/>
      <c r="U15" s="307"/>
      <c r="AD15" s="307"/>
      <c r="AM15" s="307"/>
      <c r="BI15" s="309"/>
      <c r="BK15" s="233"/>
      <c r="BM15" s="23">
        <f t="shared" si="0"/>
        <v>8</v>
      </c>
    </row>
    <row r="16" spans="1:65" s="201" customFormat="1" ht="15" customHeight="1" x14ac:dyDescent="0.25">
      <c r="A16" s="232"/>
      <c r="B16" s="307"/>
      <c r="K16" s="308"/>
      <c r="U16" s="307"/>
      <c r="AD16" s="307"/>
      <c r="AM16" s="307"/>
      <c r="BI16" s="309"/>
      <c r="BK16" s="233"/>
      <c r="BM16" s="23">
        <f t="shared" si="0"/>
        <v>9</v>
      </c>
    </row>
    <row r="17" spans="1:65" s="201" customFormat="1" ht="15" customHeight="1" x14ac:dyDescent="0.25">
      <c r="A17" s="232"/>
      <c r="B17" s="310" t="s">
        <v>40</v>
      </c>
      <c r="C17" s="311"/>
      <c r="D17" s="311"/>
      <c r="E17" s="311"/>
      <c r="F17" s="311"/>
      <c r="G17" s="311"/>
      <c r="H17" s="311"/>
      <c r="I17" s="311"/>
      <c r="J17" s="311"/>
      <c r="K17" s="312"/>
      <c r="L17" s="310"/>
      <c r="M17" s="311"/>
      <c r="N17" s="311"/>
      <c r="O17" s="311"/>
      <c r="P17" s="311"/>
      <c r="Q17" s="311"/>
      <c r="R17" s="311"/>
      <c r="S17" s="311"/>
      <c r="T17" s="312"/>
      <c r="U17" s="310"/>
      <c r="V17" s="311"/>
      <c r="W17" s="311"/>
      <c r="X17" s="311"/>
      <c r="Y17" s="311"/>
      <c r="Z17" s="311"/>
      <c r="AA17" s="311"/>
      <c r="AB17" s="311"/>
      <c r="AC17" s="312"/>
      <c r="AD17" s="310"/>
      <c r="AE17" s="311"/>
      <c r="AF17" s="311"/>
      <c r="AG17" s="311"/>
      <c r="AH17" s="311"/>
      <c r="AI17" s="311"/>
      <c r="AJ17" s="311"/>
      <c r="AK17" s="311"/>
      <c r="AL17" s="312"/>
      <c r="AM17" s="310"/>
      <c r="AN17" s="311"/>
      <c r="AO17" s="311"/>
      <c r="AP17" s="311"/>
      <c r="AQ17" s="311"/>
      <c r="AR17" s="311"/>
      <c r="AS17" s="311"/>
      <c r="AT17" s="311"/>
      <c r="AU17" s="311"/>
      <c r="AV17" s="311"/>
      <c r="AW17" s="311"/>
      <c r="AX17" s="311"/>
      <c r="AY17" s="311"/>
      <c r="AZ17" s="311"/>
      <c r="BA17" s="311"/>
      <c r="BB17" s="311"/>
      <c r="BC17" s="311"/>
      <c r="BD17" s="311"/>
      <c r="BE17" s="311"/>
      <c r="BF17" s="311"/>
      <c r="BG17" s="311"/>
      <c r="BH17" s="311"/>
      <c r="BI17" s="312"/>
      <c r="BK17" s="233"/>
      <c r="BM17" s="23">
        <f t="shared" si="0"/>
        <v>10</v>
      </c>
    </row>
    <row r="18" spans="1:65" s="201" customFormat="1" ht="15" customHeight="1" x14ac:dyDescent="0.25">
      <c r="A18" s="232"/>
      <c r="B18" s="307"/>
      <c r="K18" s="308"/>
      <c r="U18" s="307"/>
      <c r="AD18" s="307"/>
      <c r="AM18" s="307"/>
      <c r="BI18" s="309"/>
      <c r="BK18" s="233"/>
      <c r="BM18" s="23">
        <f t="shared" si="0"/>
        <v>11</v>
      </c>
    </row>
    <row r="19" spans="1:65" s="201" customFormat="1" ht="15" customHeight="1" x14ac:dyDescent="0.25">
      <c r="A19" s="232"/>
      <c r="B19" s="307"/>
      <c r="K19" s="308"/>
      <c r="U19" s="307"/>
      <c r="AD19" s="307"/>
      <c r="AM19" s="307"/>
      <c r="BI19" s="309"/>
      <c r="BK19" s="233"/>
      <c r="BM19" s="23">
        <f t="shared" si="0"/>
        <v>12</v>
      </c>
    </row>
    <row r="20" spans="1:65" s="201" customFormat="1" ht="15" customHeight="1" x14ac:dyDescent="0.25">
      <c r="A20" s="232"/>
      <c r="B20" s="307"/>
      <c r="K20" s="308"/>
      <c r="U20" s="307"/>
      <c r="AD20" s="307"/>
      <c r="AM20" s="307"/>
      <c r="BI20" s="309"/>
      <c r="BK20" s="233"/>
      <c r="BM20" s="23">
        <f t="shared" si="0"/>
        <v>13</v>
      </c>
    </row>
    <row r="21" spans="1:65" s="201" customFormat="1" ht="15" customHeight="1" x14ac:dyDescent="0.25">
      <c r="A21" s="232"/>
      <c r="B21" s="307"/>
      <c r="K21" s="308"/>
      <c r="U21" s="307"/>
      <c r="AD21" s="307"/>
      <c r="AM21" s="307"/>
      <c r="BI21" s="309"/>
      <c r="BK21" s="233"/>
      <c r="BM21" s="23">
        <f t="shared" si="0"/>
        <v>14</v>
      </c>
    </row>
    <row r="22" spans="1:65" s="296" customFormat="1" ht="15" customHeight="1" x14ac:dyDescent="0.25">
      <c r="A22" s="297"/>
      <c r="B22" s="307"/>
      <c r="K22" s="308"/>
      <c r="L22" s="313"/>
      <c r="T22" s="308"/>
      <c r="U22" s="313"/>
      <c r="AC22" s="308"/>
      <c r="AD22" s="313"/>
      <c r="AL22" s="308"/>
      <c r="AM22" s="313"/>
      <c r="BI22" s="308"/>
      <c r="BK22" s="298"/>
      <c r="BM22" s="23">
        <f t="shared" ref="BM22:BM85" si="1">IF(BM21=50,1,BM21+1)</f>
        <v>15</v>
      </c>
    </row>
    <row r="23" spans="1:65" s="296" customFormat="1" ht="15" customHeight="1" x14ac:dyDescent="0.25">
      <c r="A23" s="297"/>
      <c r="B23" s="307"/>
      <c r="K23" s="308"/>
      <c r="L23" s="313"/>
      <c r="T23" s="308"/>
      <c r="U23" s="313"/>
      <c r="AC23" s="308"/>
      <c r="AD23" s="313"/>
      <c r="AL23" s="308"/>
      <c r="AM23" s="313"/>
      <c r="BI23" s="308"/>
      <c r="BK23" s="298"/>
      <c r="BM23" s="23">
        <f t="shared" si="1"/>
        <v>16</v>
      </c>
    </row>
    <row r="24" spans="1:65" s="296" customFormat="1" ht="15" customHeight="1" x14ac:dyDescent="0.25">
      <c r="A24" s="297"/>
      <c r="B24" s="307"/>
      <c r="K24" s="308"/>
      <c r="L24" s="313"/>
      <c r="T24" s="308"/>
      <c r="U24" s="313"/>
      <c r="AC24" s="308"/>
      <c r="AD24" s="313"/>
      <c r="AL24" s="308"/>
      <c r="AM24" s="313"/>
      <c r="BI24" s="308"/>
      <c r="BK24" s="298"/>
      <c r="BM24" s="23">
        <f t="shared" si="1"/>
        <v>17</v>
      </c>
    </row>
    <row r="25" spans="1:65" s="296" customFormat="1" ht="15" customHeight="1" x14ac:dyDescent="0.25">
      <c r="A25" s="297"/>
      <c r="B25" s="307"/>
      <c r="K25" s="308"/>
      <c r="L25" s="313"/>
      <c r="T25" s="308"/>
      <c r="U25" s="313"/>
      <c r="AC25" s="308"/>
      <c r="AD25" s="313"/>
      <c r="AL25" s="308"/>
      <c r="AM25" s="313"/>
      <c r="BI25" s="308"/>
      <c r="BK25" s="298"/>
      <c r="BM25" s="23">
        <f t="shared" si="1"/>
        <v>18</v>
      </c>
    </row>
    <row r="26" spans="1:65" s="296" customFormat="1" ht="15" customHeight="1" x14ac:dyDescent="0.25">
      <c r="A26" s="297"/>
      <c r="B26" s="307"/>
      <c r="K26" s="308"/>
      <c r="L26" s="313"/>
      <c r="T26" s="308"/>
      <c r="U26" s="313"/>
      <c r="AC26" s="308"/>
      <c r="AD26" s="313"/>
      <c r="AL26" s="308"/>
      <c r="AM26" s="313"/>
      <c r="BI26" s="308"/>
      <c r="BK26" s="298"/>
      <c r="BM26" s="23">
        <f t="shared" si="1"/>
        <v>19</v>
      </c>
    </row>
    <row r="27" spans="1:65" s="296" customFormat="1" ht="15" customHeight="1" x14ac:dyDescent="0.25">
      <c r="A27" s="297"/>
      <c r="B27" s="307"/>
      <c r="K27" s="308"/>
      <c r="L27" s="313"/>
      <c r="T27" s="308"/>
      <c r="U27" s="313"/>
      <c r="AC27" s="308"/>
      <c r="AD27" s="313"/>
      <c r="AL27" s="308"/>
      <c r="AM27" s="313"/>
      <c r="BI27" s="308"/>
      <c r="BK27" s="298"/>
      <c r="BM27" s="23">
        <f t="shared" si="1"/>
        <v>20</v>
      </c>
    </row>
    <row r="28" spans="1:65" s="296" customFormat="1" ht="15" customHeight="1" x14ac:dyDescent="0.25">
      <c r="A28" s="297"/>
      <c r="B28" s="307"/>
      <c r="K28" s="308"/>
      <c r="L28" s="313"/>
      <c r="T28" s="308"/>
      <c r="U28" s="313"/>
      <c r="AC28" s="308"/>
      <c r="AD28" s="313"/>
      <c r="AL28" s="308"/>
      <c r="AM28" s="313"/>
      <c r="BI28" s="308"/>
      <c r="BK28" s="298"/>
      <c r="BM28" s="23">
        <f t="shared" si="1"/>
        <v>21</v>
      </c>
    </row>
    <row r="29" spans="1:65" s="296" customFormat="1" ht="15" customHeight="1" x14ac:dyDescent="0.25">
      <c r="A29" s="297"/>
      <c r="B29" s="307"/>
      <c r="K29" s="308"/>
      <c r="L29" s="313"/>
      <c r="T29" s="308"/>
      <c r="U29" s="313"/>
      <c r="AC29" s="308"/>
      <c r="AD29" s="313"/>
      <c r="AL29" s="308"/>
      <c r="AM29" s="313"/>
      <c r="BI29" s="308"/>
      <c r="BK29" s="298"/>
      <c r="BM29" s="23">
        <f t="shared" si="1"/>
        <v>22</v>
      </c>
    </row>
    <row r="30" spans="1:65" s="296" customFormat="1" ht="15" customHeight="1" x14ac:dyDescent="0.25">
      <c r="A30" s="297"/>
      <c r="B30" s="307"/>
      <c r="K30" s="308"/>
      <c r="L30" s="313"/>
      <c r="T30" s="308"/>
      <c r="U30" s="313"/>
      <c r="AC30" s="308"/>
      <c r="AD30" s="313"/>
      <c r="AL30" s="308"/>
      <c r="AM30" s="313"/>
      <c r="BI30" s="308"/>
      <c r="BK30" s="298"/>
      <c r="BM30" s="23">
        <f t="shared" si="1"/>
        <v>23</v>
      </c>
    </row>
    <row r="31" spans="1:65" s="296" customFormat="1" ht="15" customHeight="1" x14ac:dyDescent="0.25">
      <c r="A31" s="297"/>
      <c r="B31" s="307"/>
      <c r="K31" s="308"/>
      <c r="L31" s="313"/>
      <c r="T31" s="308"/>
      <c r="U31" s="313"/>
      <c r="AC31" s="308"/>
      <c r="AD31" s="313"/>
      <c r="AL31" s="308"/>
      <c r="AM31" s="313"/>
      <c r="BI31" s="308"/>
      <c r="BK31" s="298"/>
      <c r="BM31" s="23">
        <f t="shared" si="1"/>
        <v>24</v>
      </c>
    </row>
    <row r="32" spans="1:65" s="296" customFormat="1" ht="15" customHeight="1" x14ac:dyDescent="0.25">
      <c r="A32" s="297"/>
      <c r="B32" s="307"/>
      <c r="K32" s="308"/>
      <c r="L32" s="313"/>
      <c r="T32" s="308"/>
      <c r="U32" s="313"/>
      <c r="AC32" s="308"/>
      <c r="AD32" s="313"/>
      <c r="AL32" s="308"/>
      <c r="AM32" s="313"/>
      <c r="BI32" s="308"/>
      <c r="BK32" s="298"/>
      <c r="BM32" s="23">
        <f t="shared" si="1"/>
        <v>25</v>
      </c>
    </row>
    <row r="33" spans="1:65" s="296" customFormat="1" ht="15" customHeight="1" x14ac:dyDescent="0.25">
      <c r="A33" s="297"/>
      <c r="B33" s="307"/>
      <c r="K33" s="308"/>
      <c r="L33" s="313"/>
      <c r="T33" s="308"/>
      <c r="U33" s="313"/>
      <c r="AC33" s="308"/>
      <c r="AD33" s="313"/>
      <c r="AL33" s="308"/>
      <c r="AM33" s="313"/>
      <c r="BI33" s="308"/>
      <c r="BK33" s="298"/>
      <c r="BM33" s="23">
        <f t="shared" si="1"/>
        <v>26</v>
      </c>
    </row>
    <row r="34" spans="1:65" s="296" customFormat="1" ht="15" customHeight="1" x14ac:dyDescent="0.25">
      <c r="A34" s="297"/>
      <c r="B34" s="307"/>
      <c r="K34" s="308"/>
      <c r="L34" s="313"/>
      <c r="T34" s="308"/>
      <c r="U34" s="313"/>
      <c r="AC34" s="308"/>
      <c r="AD34" s="313"/>
      <c r="AL34" s="308"/>
      <c r="AM34" s="313"/>
      <c r="BI34" s="308"/>
      <c r="BK34" s="298"/>
      <c r="BM34" s="23">
        <f t="shared" si="1"/>
        <v>27</v>
      </c>
    </row>
    <row r="35" spans="1:65" s="296" customFormat="1" ht="15" customHeight="1" x14ac:dyDescent="0.25">
      <c r="A35" s="297"/>
      <c r="B35" s="307"/>
      <c r="K35" s="308"/>
      <c r="L35" s="313"/>
      <c r="T35" s="308"/>
      <c r="U35" s="313"/>
      <c r="AC35" s="308"/>
      <c r="AD35" s="313"/>
      <c r="AL35" s="308"/>
      <c r="AM35" s="313"/>
      <c r="BI35" s="308"/>
      <c r="BK35" s="298"/>
      <c r="BM35" s="23">
        <f t="shared" si="1"/>
        <v>28</v>
      </c>
    </row>
    <row r="36" spans="1:65" s="296" customFormat="1" ht="15" customHeight="1" x14ac:dyDescent="0.25">
      <c r="A36" s="297"/>
      <c r="B36" s="307"/>
      <c r="K36" s="308"/>
      <c r="L36" s="313"/>
      <c r="T36" s="308"/>
      <c r="U36" s="313"/>
      <c r="AC36" s="308"/>
      <c r="AD36" s="313"/>
      <c r="AL36" s="308"/>
      <c r="AM36" s="313"/>
      <c r="BI36" s="308"/>
      <c r="BK36" s="298"/>
      <c r="BM36" s="23">
        <f t="shared" si="1"/>
        <v>29</v>
      </c>
    </row>
    <row r="37" spans="1:65" s="296" customFormat="1" ht="15" customHeight="1" x14ac:dyDescent="0.25">
      <c r="A37" s="297"/>
      <c r="B37" s="307"/>
      <c r="K37" s="308"/>
      <c r="L37" s="313"/>
      <c r="T37" s="308"/>
      <c r="U37" s="313"/>
      <c r="AC37" s="308"/>
      <c r="AD37" s="313"/>
      <c r="AL37" s="308"/>
      <c r="AM37" s="313"/>
      <c r="BI37" s="308"/>
      <c r="BK37" s="298"/>
      <c r="BM37" s="23">
        <f t="shared" si="1"/>
        <v>30</v>
      </c>
    </row>
    <row r="38" spans="1:65" s="296" customFormat="1" ht="15" customHeight="1" x14ac:dyDescent="0.25">
      <c r="A38" s="297"/>
      <c r="B38" s="307"/>
      <c r="K38" s="308"/>
      <c r="L38" s="313"/>
      <c r="T38" s="308"/>
      <c r="U38" s="313"/>
      <c r="AC38" s="308"/>
      <c r="AD38" s="313"/>
      <c r="AL38" s="308"/>
      <c r="AM38" s="313"/>
      <c r="BI38" s="308"/>
      <c r="BK38" s="298"/>
      <c r="BM38" s="23">
        <f t="shared" si="1"/>
        <v>31</v>
      </c>
    </row>
    <row r="39" spans="1:65" s="296" customFormat="1" ht="15" customHeight="1" x14ac:dyDescent="0.25">
      <c r="A39" s="297"/>
      <c r="B39" s="307"/>
      <c r="K39" s="308"/>
      <c r="L39" s="313"/>
      <c r="T39" s="308"/>
      <c r="U39" s="313"/>
      <c r="AC39" s="308"/>
      <c r="AD39" s="313"/>
      <c r="AL39" s="308"/>
      <c r="AM39" s="313"/>
      <c r="BI39" s="308"/>
      <c r="BK39" s="298"/>
      <c r="BM39" s="23">
        <f t="shared" si="1"/>
        <v>32</v>
      </c>
    </row>
    <row r="40" spans="1:65" s="296" customFormat="1" ht="15" customHeight="1" x14ac:dyDescent="0.25">
      <c r="A40" s="297"/>
      <c r="B40" s="307"/>
      <c r="K40" s="308"/>
      <c r="L40" s="313"/>
      <c r="T40" s="308"/>
      <c r="U40" s="313"/>
      <c r="AC40" s="308"/>
      <c r="AD40" s="313"/>
      <c r="AL40" s="308"/>
      <c r="AM40" s="313"/>
      <c r="BI40" s="308"/>
      <c r="BK40" s="298"/>
      <c r="BM40" s="23">
        <f t="shared" si="1"/>
        <v>33</v>
      </c>
    </row>
    <row r="41" spans="1:65" s="296" customFormat="1" ht="15" customHeight="1" x14ac:dyDescent="0.25">
      <c r="A41" s="297"/>
      <c r="B41" s="307"/>
      <c r="K41" s="308"/>
      <c r="L41" s="313"/>
      <c r="T41" s="308"/>
      <c r="U41" s="313"/>
      <c r="AC41" s="308"/>
      <c r="AD41" s="313"/>
      <c r="AL41" s="308"/>
      <c r="AM41" s="313"/>
      <c r="BI41" s="308"/>
      <c r="BK41" s="298"/>
      <c r="BM41" s="23">
        <f t="shared" si="1"/>
        <v>34</v>
      </c>
    </row>
    <row r="42" spans="1:65" s="296" customFormat="1" ht="15" customHeight="1" x14ac:dyDescent="0.25">
      <c r="A42" s="297"/>
      <c r="B42" s="313"/>
      <c r="K42" s="308"/>
      <c r="L42" s="313"/>
      <c r="T42" s="308"/>
      <c r="U42" s="313"/>
      <c r="AC42" s="308"/>
      <c r="AD42" s="313"/>
      <c r="AL42" s="308"/>
      <c r="AM42" s="313"/>
      <c r="BI42" s="308"/>
      <c r="BK42" s="298"/>
      <c r="BM42" s="23">
        <f t="shared" si="1"/>
        <v>35</v>
      </c>
    </row>
    <row r="43" spans="1:65" s="296" customFormat="1" ht="15" customHeight="1" x14ac:dyDescent="0.25">
      <c r="A43" s="297"/>
      <c r="B43" s="313"/>
      <c r="K43" s="308"/>
      <c r="L43" s="313"/>
      <c r="T43" s="308"/>
      <c r="U43" s="313"/>
      <c r="AC43" s="308"/>
      <c r="AD43" s="313"/>
      <c r="AL43" s="308"/>
      <c r="AM43" s="313"/>
      <c r="BI43" s="308"/>
      <c r="BK43" s="298"/>
      <c r="BM43" s="23">
        <f t="shared" si="1"/>
        <v>36</v>
      </c>
    </row>
    <row r="44" spans="1:65" s="296" customFormat="1" ht="15" customHeight="1" x14ac:dyDescent="0.25">
      <c r="A44" s="297"/>
      <c r="B44" s="313"/>
      <c r="K44" s="308"/>
      <c r="L44" s="313"/>
      <c r="T44" s="308"/>
      <c r="U44" s="313"/>
      <c r="AC44" s="308"/>
      <c r="AL44" s="308"/>
      <c r="AM44" s="313"/>
      <c r="BI44" s="308"/>
      <c r="BK44" s="298"/>
      <c r="BM44" s="23">
        <f t="shared" si="1"/>
        <v>37</v>
      </c>
    </row>
    <row r="45" spans="1:65" s="296" customFormat="1" ht="15" customHeight="1" x14ac:dyDescent="0.25">
      <c r="A45" s="297"/>
      <c r="B45" s="313"/>
      <c r="K45" s="308"/>
      <c r="L45" s="313"/>
      <c r="T45" s="308"/>
      <c r="U45" s="313"/>
      <c r="AC45" s="308"/>
      <c r="AL45" s="308"/>
      <c r="AM45" s="313"/>
      <c r="BI45" s="308"/>
      <c r="BK45" s="298"/>
      <c r="BM45" s="23">
        <f t="shared" si="1"/>
        <v>38</v>
      </c>
    </row>
    <row r="46" spans="1:65" s="296" customFormat="1" ht="15" customHeight="1" x14ac:dyDescent="0.25">
      <c r="A46" s="297"/>
      <c r="B46" s="313"/>
      <c r="K46" s="308"/>
      <c r="L46" s="313"/>
      <c r="T46" s="308"/>
      <c r="U46" s="313"/>
      <c r="AC46" s="308"/>
      <c r="AL46" s="308"/>
      <c r="AM46" s="313"/>
      <c r="BI46" s="308"/>
      <c r="BK46" s="298"/>
      <c r="BM46" s="23">
        <f t="shared" si="1"/>
        <v>39</v>
      </c>
    </row>
    <row r="47" spans="1:65" s="296" customFormat="1" ht="15" customHeight="1" x14ac:dyDescent="0.25">
      <c r="A47" s="297"/>
      <c r="B47" s="313"/>
      <c r="K47" s="308"/>
      <c r="L47" s="313"/>
      <c r="T47" s="308"/>
      <c r="U47" s="313"/>
      <c r="AC47" s="308"/>
      <c r="AL47" s="308"/>
      <c r="AM47" s="313"/>
      <c r="BI47" s="308"/>
      <c r="BK47" s="298"/>
      <c r="BM47" s="23">
        <f t="shared" si="1"/>
        <v>40</v>
      </c>
    </row>
    <row r="48" spans="1:65" s="296" customFormat="1" ht="15" customHeight="1" x14ac:dyDescent="0.25">
      <c r="A48" s="297"/>
      <c r="B48" s="313"/>
      <c r="K48" s="308"/>
      <c r="L48" s="313"/>
      <c r="T48" s="308"/>
      <c r="U48" s="313"/>
      <c r="AC48" s="308"/>
      <c r="AL48" s="308"/>
      <c r="AM48" s="313"/>
      <c r="BI48" s="308"/>
      <c r="BK48" s="298"/>
      <c r="BM48" s="23">
        <f t="shared" si="1"/>
        <v>41</v>
      </c>
    </row>
    <row r="49" spans="1:67" s="296" customFormat="1" ht="15" customHeight="1" x14ac:dyDescent="0.25">
      <c r="A49" s="297"/>
      <c r="B49" s="313"/>
      <c r="K49" s="308"/>
      <c r="L49" s="313"/>
      <c r="T49" s="308"/>
      <c r="U49" s="313"/>
      <c r="AC49" s="308"/>
      <c r="AL49" s="308"/>
      <c r="AM49" s="313"/>
      <c r="BI49" s="308"/>
      <c r="BK49" s="298"/>
      <c r="BM49" s="23">
        <f t="shared" si="1"/>
        <v>42</v>
      </c>
    </row>
    <row r="50" spans="1:67" s="296" customFormat="1" ht="15" customHeight="1" x14ac:dyDescent="0.25">
      <c r="A50" s="297"/>
      <c r="B50" s="313"/>
      <c r="K50" s="308"/>
      <c r="L50" s="313"/>
      <c r="T50" s="308"/>
      <c r="U50" s="313"/>
      <c r="AC50" s="308"/>
      <c r="AL50" s="308"/>
      <c r="AM50" s="313"/>
      <c r="BI50" s="308"/>
      <c r="BK50" s="298"/>
      <c r="BM50" s="23">
        <f t="shared" si="1"/>
        <v>43</v>
      </c>
    </row>
    <row r="51" spans="1:67" s="296" customFormat="1" ht="15" customHeight="1" x14ac:dyDescent="0.25">
      <c r="A51" s="297"/>
      <c r="B51" s="313"/>
      <c r="K51" s="308"/>
      <c r="L51" s="313"/>
      <c r="T51" s="308"/>
      <c r="U51" s="313"/>
      <c r="AC51" s="308"/>
      <c r="AL51" s="308"/>
      <c r="AM51" s="313"/>
      <c r="BI51" s="308"/>
      <c r="BK51" s="298"/>
      <c r="BM51" s="23">
        <f t="shared" si="1"/>
        <v>44</v>
      </c>
      <c r="BO51" s="201"/>
    </row>
    <row r="52" spans="1:67" s="296" customFormat="1" ht="15" customHeight="1" x14ac:dyDescent="0.25">
      <c r="A52" s="297"/>
      <c r="B52" s="313"/>
      <c r="K52" s="308"/>
      <c r="L52" s="313"/>
      <c r="T52" s="308"/>
      <c r="U52" s="313"/>
      <c r="AC52" s="308"/>
      <c r="AL52" s="308"/>
      <c r="AM52" s="313"/>
      <c r="BI52" s="308"/>
      <c r="BK52" s="298"/>
      <c r="BM52" s="23">
        <f t="shared" si="1"/>
        <v>45</v>
      </c>
    </row>
    <row r="53" spans="1:67" s="296" customFormat="1" ht="15" customHeight="1" x14ac:dyDescent="0.25">
      <c r="A53" s="297"/>
      <c r="B53" s="313"/>
      <c r="K53" s="308"/>
      <c r="L53" s="313"/>
      <c r="T53" s="308"/>
      <c r="U53" s="313"/>
      <c r="AC53" s="308"/>
      <c r="AL53" s="308"/>
      <c r="AM53" s="313"/>
      <c r="BI53" s="308"/>
      <c r="BK53" s="298"/>
      <c r="BM53" s="23">
        <f t="shared" si="1"/>
        <v>46</v>
      </c>
    </row>
    <row r="54" spans="1:67" s="296" customFormat="1" ht="15" customHeight="1" x14ac:dyDescent="0.25">
      <c r="A54" s="297"/>
      <c r="B54" s="313"/>
      <c r="K54" s="308"/>
      <c r="L54" s="313"/>
      <c r="T54" s="308"/>
      <c r="U54" s="313"/>
      <c r="AC54" s="308"/>
      <c r="AL54" s="308"/>
      <c r="AM54" s="313"/>
      <c r="BI54" s="308"/>
      <c r="BK54" s="298"/>
      <c r="BM54" s="23">
        <f t="shared" si="1"/>
        <v>47</v>
      </c>
    </row>
    <row r="55" spans="1:67" s="296" customFormat="1" ht="15" customHeight="1" x14ac:dyDescent="0.25">
      <c r="A55" s="297"/>
      <c r="B55" s="313"/>
      <c r="K55" s="308"/>
      <c r="L55" s="313"/>
      <c r="T55" s="308"/>
      <c r="U55" s="313"/>
      <c r="AC55" s="308"/>
      <c r="AD55" s="313"/>
      <c r="AL55" s="308"/>
      <c r="AM55" s="313"/>
      <c r="BI55" s="308"/>
      <c r="BK55" s="298"/>
      <c r="BM55" s="23">
        <f t="shared" si="1"/>
        <v>48</v>
      </c>
    </row>
    <row r="56" spans="1:67" s="296" customFormat="1" ht="15" customHeight="1" x14ac:dyDescent="0.25">
      <c r="A56" s="297"/>
      <c r="B56" s="313"/>
      <c r="K56" s="308"/>
      <c r="L56" s="313"/>
      <c r="T56" s="308"/>
      <c r="U56" s="313"/>
      <c r="AC56" s="308"/>
      <c r="AD56" s="313"/>
      <c r="AL56" s="308"/>
      <c r="AM56" s="313"/>
      <c r="BI56" s="308"/>
      <c r="BK56" s="298"/>
      <c r="BM56" s="23">
        <f t="shared" si="1"/>
        <v>49</v>
      </c>
    </row>
    <row r="57" spans="1:67" s="296" customFormat="1" ht="15" customHeight="1" x14ac:dyDescent="0.25">
      <c r="A57" s="297"/>
      <c r="B57" s="313"/>
      <c r="K57" s="308"/>
      <c r="L57" s="313"/>
      <c r="T57" s="308"/>
      <c r="U57" s="313"/>
      <c r="AC57" s="308"/>
      <c r="AD57" s="313"/>
      <c r="AL57" s="308"/>
      <c r="AM57" s="313"/>
      <c r="BI57" s="308"/>
      <c r="BK57" s="298"/>
      <c r="BM57" s="23">
        <f t="shared" si="1"/>
        <v>50</v>
      </c>
    </row>
    <row r="58" spans="1:67" s="296" customFormat="1" ht="15" customHeight="1" x14ac:dyDescent="0.25">
      <c r="A58" s="297"/>
      <c r="B58" s="313"/>
      <c r="K58" s="308"/>
      <c r="L58" s="313"/>
      <c r="T58" s="308"/>
      <c r="U58" s="313"/>
      <c r="AC58" s="308"/>
      <c r="AD58" s="313"/>
      <c r="AL58" s="308"/>
      <c r="AM58" s="313"/>
      <c r="BI58" s="308"/>
      <c r="BK58" s="298"/>
      <c r="BM58" s="23">
        <f t="shared" si="1"/>
        <v>1</v>
      </c>
    </row>
    <row r="59" spans="1:67" s="296" customFormat="1" ht="15" customHeight="1" x14ac:dyDescent="0.25">
      <c r="A59" s="297"/>
      <c r="B59" s="313"/>
      <c r="K59" s="308"/>
      <c r="L59" s="313"/>
      <c r="T59" s="308"/>
      <c r="U59" s="313"/>
      <c r="AC59" s="308"/>
      <c r="AD59" s="313"/>
      <c r="AL59" s="308"/>
      <c r="AM59" s="313"/>
      <c r="BI59" s="308"/>
      <c r="BK59" s="298"/>
      <c r="BM59" s="23">
        <f t="shared" si="1"/>
        <v>2</v>
      </c>
    </row>
    <row r="60" spans="1:67" s="296" customFormat="1" ht="15" customHeight="1" x14ac:dyDescent="0.25">
      <c r="A60" s="297"/>
      <c r="B60" s="313"/>
      <c r="K60" s="308"/>
      <c r="L60" s="313"/>
      <c r="T60" s="308"/>
      <c r="U60" s="313"/>
      <c r="AC60" s="308"/>
      <c r="AD60" s="313"/>
      <c r="AL60" s="308"/>
      <c r="AM60" s="313"/>
      <c r="BI60" s="308"/>
      <c r="BK60" s="298"/>
      <c r="BM60" s="23">
        <f t="shared" si="1"/>
        <v>3</v>
      </c>
    </row>
    <row r="61" spans="1:67" s="296" customFormat="1" ht="15" customHeight="1" x14ac:dyDescent="0.25">
      <c r="A61" s="297"/>
      <c r="B61" s="313"/>
      <c r="K61" s="308"/>
      <c r="L61" s="313"/>
      <c r="T61" s="308"/>
      <c r="U61" s="313"/>
      <c r="AC61" s="308"/>
      <c r="AD61" s="313"/>
      <c r="AL61" s="308"/>
      <c r="AM61" s="313"/>
      <c r="BI61" s="308"/>
      <c r="BK61" s="298"/>
      <c r="BM61" s="23">
        <f t="shared" si="1"/>
        <v>4</v>
      </c>
    </row>
    <row r="62" spans="1:67" s="296" customFormat="1" ht="15" customHeight="1" x14ac:dyDescent="0.25">
      <c r="A62" s="297"/>
      <c r="B62" s="313"/>
      <c r="K62" s="308"/>
      <c r="L62" s="313"/>
      <c r="T62" s="308"/>
      <c r="U62" s="313"/>
      <c r="AC62" s="308"/>
      <c r="AD62" s="313"/>
      <c r="AL62" s="308"/>
      <c r="AM62" s="313"/>
      <c r="BI62" s="308"/>
      <c r="BK62" s="298"/>
      <c r="BM62" s="23">
        <f t="shared" si="1"/>
        <v>5</v>
      </c>
    </row>
    <row r="63" spans="1:67" s="296" customFormat="1" ht="15" customHeight="1" x14ac:dyDescent="0.25">
      <c r="A63" s="297"/>
      <c r="B63" s="313"/>
      <c r="K63" s="308"/>
      <c r="L63" s="313"/>
      <c r="T63" s="308"/>
      <c r="U63" s="313"/>
      <c r="AC63" s="308"/>
      <c r="AD63" s="313"/>
      <c r="AL63" s="308"/>
      <c r="AM63" s="313"/>
      <c r="BI63" s="308"/>
      <c r="BK63" s="298"/>
      <c r="BM63" s="23">
        <f t="shared" si="1"/>
        <v>6</v>
      </c>
    </row>
    <row r="64" spans="1:67" s="296" customFormat="1" ht="15" customHeight="1" x14ac:dyDescent="0.25">
      <c r="A64" s="297"/>
      <c r="B64" s="313"/>
      <c r="K64" s="308"/>
      <c r="L64" s="313"/>
      <c r="T64" s="308"/>
      <c r="U64" s="313"/>
      <c r="AC64" s="308"/>
      <c r="AD64" s="313"/>
      <c r="AL64" s="308"/>
      <c r="AM64" s="313"/>
      <c r="BI64" s="308"/>
      <c r="BK64" s="298"/>
      <c r="BM64" s="23">
        <f t="shared" si="1"/>
        <v>7</v>
      </c>
    </row>
    <row r="65" spans="1:65" s="296" customFormat="1" ht="15" customHeight="1" x14ac:dyDescent="0.25">
      <c r="A65" s="297"/>
      <c r="B65" s="313"/>
      <c r="K65" s="308"/>
      <c r="L65" s="313"/>
      <c r="T65" s="308"/>
      <c r="U65" s="313"/>
      <c r="AC65" s="308"/>
      <c r="AD65" s="313"/>
      <c r="AL65" s="308"/>
      <c r="AM65" s="313"/>
      <c r="BI65" s="308"/>
      <c r="BK65" s="298"/>
      <c r="BM65" s="23">
        <f t="shared" si="1"/>
        <v>8</v>
      </c>
    </row>
    <row r="66" spans="1:65" s="296" customFormat="1" ht="15" customHeight="1" x14ac:dyDescent="0.25">
      <c r="A66" s="297"/>
      <c r="B66" s="313"/>
      <c r="K66" s="308"/>
      <c r="L66" s="313"/>
      <c r="T66" s="308"/>
      <c r="U66" s="313"/>
      <c r="AC66" s="308"/>
      <c r="AD66" s="313"/>
      <c r="AL66" s="308"/>
      <c r="AM66" s="313"/>
      <c r="BI66" s="308"/>
      <c r="BK66" s="298"/>
      <c r="BM66" s="23">
        <f t="shared" si="1"/>
        <v>9</v>
      </c>
    </row>
    <row r="67" spans="1:65" s="201" customFormat="1" ht="15" customHeight="1" x14ac:dyDescent="0.25">
      <c r="A67" s="297"/>
      <c r="B67" s="313"/>
      <c r="C67" s="296"/>
      <c r="D67" s="296"/>
      <c r="E67" s="296"/>
      <c r="F67" s="296"/>
      <c r="G67" s="296"/>
      <c r="H67" s="296"/>
      <c r="I67" s="296"/>
      <c r="J67" s="296"/>
      <c r="K67" s="308"/>
      <c r="L67" s="313"/>
      <c r="M67" s="296"/>
      <c r="N67" s="296"/>
      <c r="O67" s="296"/>
      <c r="P67" s="296"/>
      <c r="Q67" s="296"/>
      <c r="R67" s="296"/>
      <c r="S67" s="296"/>
      <c r="T67" s="308"/>
      <c r="U67" s="313"/>
      <c r="V67" s="296"/>
      <c r="W67" s="296"/>
      <c r="X67" s="296"/>
      <c r="Y67" s="296"/>
      <c r="Z67" s="296"/>
      <c r="AA67" s="296"/>
      <c r="AB67" s="296"/>
      <c r="AC67" s="308"/>
      <c r="AD67" s="313"/>
      <c r="AE67" s="296"/>
      <c r="AF67" s="296"/>
      <c r="AG67" s="296"/>
      <c r="AH67" s="296"/>
      <c r="AI67" s="296"/>
      <c r="AJ67" s="296"/>
      <c r="AK67" s="296"/>
      <c r="AL67" s="308"/>
      <c r="AM67" s="313"/>
      <c r="AN67" s="296"/>
      <c r="AO67" s="296"/>
      <c r="AP67" s="296"/>
      <c r="AQ67" s="296"/>
      <c r="AR67" s="296"/>
      <c r="AS67" s="296"/>
      <c r="AT67" s="296"/>
      <c r="AU67" s="296"/>
      <c r="AV67" s="296"/>
      <c r="AW67" s="296"/>
      <c r="AX67" s="296"/>
      <c r="AY67" s="296"/>
      <c r="AZ67" s="296"/>
      <c r="BA67" s="296"/>
      <c r="BB67" s="296"/>
      <c r="BC67" s="296"/>
      <c r="BD67" s="296"/>
      <c r="BE67" s="296"/>
      <c r="BF67" s="296"/>
      <c r="BG67" s="296"/>
      <c r="BH67" s="296"/>
      <c r="BI67" s="308"/>
      <c r="BJ67" s="296"/>
      <c r="BK67" s="298"/>
      <c r="BM67" s="23">
        <f t="shared" si="1"/>
        <v>10</v>
      </c>
    </row>
    <row r="68" spans="1:65" s="201" customFormat="1" ht="15" customHeight="1" x14ac:dyDescent="0.25">
      <c r="A68" s="297"/>
      <c r="B68" s="313"/>
      <c r="C68" s="296"/>
      <c r="D68" s="296"/>
      <c r="E68" s="296"/>
      <c r="F68" s="296"/>
      <c r="G68" s="296"/>
      <c r="H68" s="296"/>
      <c r="I68" s="296"/>
      <c r="J68" s="296"/>
      <c r="K68" s="308"/>
      <c r="L68" s="313"/>
      <c r="M68" s="296"/>
      <c r="N68" s="296"/>
      <c r="O68" s="296"/>
      <c r="P68" s="296"/>
      <c r="Q68" s="296"/>
      <c r="R68" s="296"/>
      <c r="S68" s="296"/>
      <c r="T68" s="308"/>
      <c r="U68" s="313"/>
      <c r="V68" s="296"/>
      <c r="W68" s="296"/>
      <c r="X68" s="296"/>
      <c r="Y68" s="296"/>
      <c r="Z68" s="296"/>
      <c r="AA68" s="296"/>
      <c r="AB68" s="296"/>
      <c r="AC68" s="308"/>
      <c r="AD68" s="313"/>
      <c r="AE68" s="296"/>
      <c r="AF68" s="296"/>
      <c r="AG68" s="296"/>
      <c r="AH68" s="296"/>
      <c r="AI68" s="296"/>
      <c r="AJ68" s="296"/>
      <c r="AK68" s="296"/>
      <c r="AL68" s="308"/>
      <c r="AM68" s="313"/>
      <c r="AN68" s="296"/>
      <c r="AO68" s="296"/>
      <c r="AP68" s="296"/>
      <c r="AQ68" s="296"/>
      <c r="AR68" s="296"/>
      <c r="AS68" s="296"/>
      <c r="AT68" s="296"/>
      <c r="AU68" s="296"/>
      <c r="AV68" s="296"/>
      <c r="AW68" s="296"/>
      <c r="AX68" s="296"/>
      <c r="AY68" s="296"/>
      <c r="AZ68" s="296"/>
      <c r="BA68" s="296"/>
      <c r="BB68" s="296"/>
      <c r="BC68" s="296"/>
      <c r="BD68" s="296"/>
      <c r="BE68" s="296"/>
      <c r="BF68" s="296"/>
      <c r="BG68" s="296"/>
      <c r="BH68" s="296"/>
      <c r="BI68" s="308"/>
      <c r="BK68" s="233"/>
      <c r="BM68" s="23">
        <f t="shared" si="1"/>
        <v>11</v>
      </c>
    </row>
    <row r="69" spans="1:65" s="201" customFormat="1" ht="15" customHeight="1" x14ac:dyDescent="0.25">
      <c r="A69" s="314"/>
      <c r="B69" s="315"/>
      <c r="C69" s="316"/>
      <c r="D69" s="316"/>
      <c r="E69" s="316"/>
      <c r="F69" s="316"/>
      <c r="G69" s="316"/>
      <c r="H69" s="316"/>
      <c r="I69" s="316"/>
      <c r="J69" s="316"/>
      <c r="K69" s="317"/>
      <c r="L69" s="315"/>
      <c r="M69" s="316"/>
      <c r="N69" s="316"/>
      <c r="O69" s="316"/>
      <c r="P69" s="316"/>
      <c r="Q69" s="316"/>
      <c r="R69" s="316"/>
      <c r="S69" s="316"/>
      <c r="T69" s="317"/>
      <c r="U69" s="315"/>
      <c r="V69" s="316"/>
      <c r="W69" s="316"/>
      <c r="X69" s="316"/>
      <c r="Y69" s="316"/>
      <c r="Z69" s="316"/>
      <c r="AA69" s="316"/>
      <c r="AB69" s="316"/>
      <c r="AC69" s="317"/>
      <c r="AD69" s="315"/>
      <c r="AE69" s="316"/>
      <c r="AF69" s="316"/>
      <c r="AG69" s="316"/>
      <c r="AH69" s="316"/>
      <c r="AI69" s="316"/>
      <c r="AJ69" s="316"/>
      <c r="AK69" s="316"/>
      <c r="AL69" s="317"/>
      <c r="AM69" s="313"/>
      <c r="AN69" s="316"/>
      <c r="AO69" s="316"/>
      <c r="AP69" s="316"/>
      <c r="AQ69" s="316"/>
      <c r="AR69" s="316"/>
      <c r="AS69" s="316"/>
      <c r="AT69" s="316"/>
      <c r="AU69" s="316"/>
      <c r="AV69" s="316"/>
      <c r="AW69" s="316"/>
      <c r="AX69" s="316"/>
      <c r="AY69" s="316"/>
      <c r="AZ69" s="316"/>
      <c r="BA69" s="316"/>
      <c r="BB69" s="316"/>
      <c r="BC69" s="316"/>
      <c r="BD69" s="316"/>
      <c r="BE69" s="316"/>
      <c r="BF69" s="316"/>
      <c r="BG69" s="316"/>
      <c r="BH69" s="316"/>
      <c r="BI69" s="308"/>
      <c r="BK69" s="233"/>
      <c r="BM69" s="23">
        <f t="shared" si="1"/>
        <v>12</v>
      </c>
    </row>
    <row r="70" spans="1:65" s="201" customFormat="1" ht="15" customHeight="1" x14ac:dyDescent="0.25">
      <c r="B70" s="313"/>
      <c r="L70" s="313"/>
      <c r="U70" s="313"/>
      <c r="AD70" s="313"/>
      <c r="AM70" s="313"/>
      <c r="BI70" s="308"/>
      <c r="BK70" s="233"/>
      <c r="BM70" s="23">
        <f t="shared" si="1"/>
        <v>13</v>
      </c>
    </row>
    <row r="71" spans="1:65" s="201" customFormat="1" ht="15" customHeight="1" x14ac:dyDescent="0.25">
      <c r="B71" s="313"/>
      <c r="L71" s="313"/>
      <c r="U71" s="313"/>
      <c r="AD71" s="313"/>
      <c r="AM71" s="313"/>
      <c r="BI71" s="308"/>
      <c r="BK71" s="233"/>
      <c r="BM71" s="23">
        <f t="shared" si="1"/>
        <v>14</v>
      </c>
    </row>
    <row r="72" spans="1:65" s="201" customFormat="1" ht="15" customHeight="1" x14ac:dyDescent="0.25">
      <c r="B72" s="313"/>
      <c r="L72" s="313"/>
      <c r="U72" s="313"/>
      <c r="AD72" s="313"/>
      <c r="AM72" s="313"/>
      <c r="BI72" s="308"/>
      <c r="BK72" s="233"/>
      <c r="BM72" s="23">
        <f t="shared" si="1"/>
        <v>15</v>
      </c>
    </row>
    <row r="73" spans="1:65" s="201" customFormat="1" ht="15" customHeight="1" x14ac:dyDescent="0.25">
      <c r="B73" s="313"/>
      <c r="L73" s="313"/>
      <c r="U73" s="313"/>
      <c r="AD73" s="313"/>
      <c r="AM73" s="313"/>
      <c r="BI73" s="308"/>
      <c r="BK73" s="233"/>
      <c r="BM73" s="23">
        <f t="shared" si="1"/>
        <v>16</v>
      </c>
    </row>
    <row r="74" spans="1:65" s="201" customFormat="1" ht="15" customHeight="1" x14ac:dyDescent="0.25">
      <c r="B74" s="313"/>
      <c r="L74" s="313"/>
      <c r="U74" s="313"/>
      <c r="AD74" s="313"/>
      <c r="AM74" s="313"/>
      <c r="BI74" s="308"/>
      <c r="BK74" s="233"/>
      <c r="BM74" s="23">
        <f t="shared" si="1"/>
        <v>17</v>
      </c>
    </row>
    <row r="75" spans="1:65" s="201" customFormat="1" ht="15" customHeight="1" x14ac:dyDescent="0.25">
      <c r="B75" s="313"/>
      <c r="L75" s="313"/>
      <c r="U75" s="313"/>
      <c r="AD75" s="313"/>
      <c r="AM75" s="313"/>
      <c r="BI75" s="308"/>
      <c r="BK75" s="233"/>
      <c r="BM75" s="23">
        <f t="shared" si="1"/>
        <v>18</v>
      </c>
    </row>
    <row r="76" spans="1:65" s="201" customFormat="1" ht="15" customHeight="1" x14ac:dyDescent="0.25">
      <c r="B76" s="313"/>
      <c r="L76" s="313"/>
      <c r="U76" s="313"/>
      <c r="AD76" s="313"/>
      <c r="AM76" s="313"/>
      <c r="BI76" s="308"/>
      <c r="BK76" s="233"/>
      <c r="BM76" s="23">
        <f t="shared" si="1"/>
        <v>19</v>
      </c>
    </row>
    <row r="77" spans="1:65" s="201" customFormat="1" ht="15" customHeight="1" x14ac:dyDescent="0.25">
      <c r="B77" s="313"/>
      <c r="L77" s="313"/>
      <c r="U77" s="313"/>
      <c r="AD77" s="313"/>
      <c r="AM77" s="313"/>
      <c r="BI77" s="308"/>
      <c r="BK77" s="233"/>
      <c r="BM77" s="23">
        <f t="shared" si="1"/>
        <v>20</v>
      </c>
    </row>
    <row r="78" spans="1:65" s="201" customFormat="1" ht="15" customHeight="1" x14ac:dyDescent="0.25">
      <c r="B78" s="313"/>
      <c r="L78" s="313"/>
      <c r="U78" s="313"/>
      <c r="AD78" s="313"/>
      <c r="AM78" s="313"/>
      <c r="BI78" s="308"/>
      <c r="BK78" s="233"/>
      <c r="BM78" s="23">
        <f t="shared" si="1"/>
        <v>21</v>
      </c>
    </row>
    <row r="79" spans="1:65" s="201" customFormat="1" ht="15" customHeight="1" x14ac:dyDescent="0.25">
      <c r="B79" s="313"/>
      <c r="L79" s="313"/>
      <c r="U79" s="313"/>
      <c r="AD79" s="313"/>
      <c r="AM79" s="313"/>
      <c r="BI79" s="308"/>
      <c r="BK79" s="233"/>
      <c r="BM79" s="23">
        <f t="shared" si="1"/>
        <v>22</v>
      </c>
    </row>
    <row r="80" spans="1:65" s="201" customFormat="1" ht="15" customHeight="1" x14ac:dyDescent="0.25">
      <c r="B80" s="313"/>
      <c r="L80" s="313"/>
      <c r="U80" s="313"/>
      <c r="AD80" s="313"/>
      <c r="AM80" s="313"/>
      <c r="BI80" s="308"/>
      <c r="BK80" s="233"/>
      <c r="BM80" s="23">
        <f t="shared" si="1"/>
        <v>23</v>
      </c>
    </row>
    <row r="81" spans="2:65" s="201" customFormat="1" ht="15" customHeight="1" x14ac:dyDescent="0.25">
      <c r="B81" s="313"/>
      <c r="L81" s="313"/>
      <c r="U81" s="313"/>
      <c r="AD81" s="313"/>
      <c r="AM81" s="313"/>
      <c r="BI81" s="308"/>
      <c r="BK81" s="233"/>
      <c r="BM81" s="23">
        <f t="shared" si="1"/>
        <v>24</v>
      </c>
    </row>
    <row r="82" spans="2:65" s="201" customFormat="1" ht="15" customHeight="1" x14ac:dyDescent="0.25">
      <c r="B82" s="313"/>
      <c r="L82" s="313"/>
      <c r="U82" s="313"/>
      <c r="AD82" s="313"/>
      <c r="AM82" s="313"/>
      <c r="BI82" s="308"/>
      <c r="BK82" s="233"/>
      <c r="BM82" s="23">
        <f t="shared" si="1"/>
        <v>25</v>
      </c>
    </row>
    <row r="83" spans="2:65" s="201" customFormat="1" ht="15" customHeight="1" x14ac:dyDescent="0.25">
      <c r="B83" s="313"/>
      <c r="L83" s="313"/>
      <c r="U83" s="313"/>
      <c r="AD83" s="313"/>
      <c r="AM83" s="313"/>
      <c r="BI83" s="308"/>
      <c r="BK83" s="233"/>
      <c r="BM83" s="23">
        <f t="shared" si="1"/>
        <v>26</v>
      </c>
    </row>
    <row r="84" spans="2:65" s="201" customFormat="1" ht="15" customHeight="1" x14ac:dyDescent="0.25">
      <c r="B84" s="313"/>
      <c r="L84" s="313"/>
      <c r="U84" s="313"/>
      <c r="AD84" s="313"/>
      <c r="AM84" s="313"/>
      <c r="BI84" s="308"/>
      <c r="BK84" s="233"/>
      <c r="BM84" s="23">
        <f t="shared" si="1"/>
        <v>27</v>
      </c>
    </row>
    <row r="85" spans="2:65" s="201" customFormat="1" ht="15" customHeight="1" x14ac:dyDescent="0.25">
      <c r="B85" s="313"/>
      <c r="L85" s="313"/>
      <c r="U85" s="313"/>
      <c r="AD85" s="313"/>
      <c r="AM85" s="313"/>
      <c r="BI85" s="308"/>
      <c r="BK85" s="233"/>
      <c r="BM85" s="23">
        <f t="shared" si="1"/>
        <v>28</v>
      </c>
    </row>
    <row r="86" spans="2:65" s="201" customFormat="1" ht="15" customHeight="1" x14ac:dyDescent="0.25">
      <c r="B86" s="313"/>
      <c r="L86" s="313"/>
      <c r="U86" s="313"/>
      <c r="AD86" s="313"/>
      <c r="AM86" s="313"/>
      <c r="BI86" s="308"/>
      <c r="BK86" s="233"/>
      <c r="BM86" s="23">
        <f t="shared" ref="BM86:BM123" si="2">IF(BM85=50,1,BM85+1)</f>
        <v>29</v>
      </c>
    </row>
    <row r="87" spans="2:65" s="201" customFormat="1" ht="15" customHeight="1" x14ac:dyDescent="0.25">
      <c r="B87" s="313"/>
      <c r="L87" s="313"/>
      <c r="U87" s="313"/>
      <c r="AD87" s="313"/>
      <c r="AM87" s="313"/>
      <c r="BI87" s="308"/>
      <c r="BK87" s="233"/>
      <c r="BM87" s="23">
        <f t="shared" si="2"/>
        <v>30</v>
      </c>
    </row>
    <row r="88" spans="2:65" s="201" customFormat="1" ht="15" customHeight="1" x14ac:dyDescent="0.25">
      <c r="B88" s="313"/>
      <c r="L88" s="313"/>
      <c r="U88" s="313"/>
      <c r="AD88" s="313"/>
      <c r="AM88" s="313"/>
      <c r="BI88" s="308"/>
      <c r="BK88" s="233"/>
      <c r="BM88" s="23">
        <f t="shared" si="2"/>
        <v>31</v>
      </c>
    </row>
    <row r="89" spans="2:65" s="201" customFormat="1" ht="15" customHeight="1" x14ac:dyDescent="0.25">
      <c r="B89" s="313"/>
      <c r="L89" s="313"/>
      <c r="U89" s="313"/>
      <c r="AD89" s="313"/>
      <c r="AM89" s="313"/>
      <c r="BI89" s="308"/>
      <c r="BK89" s="233"/>
      <c r="BM89" s="23">
        <f t="shared" si="2"/>
        <v>32</v>
      </c>
    </row>
    <row r="90" spans="2:65" s="201" customFormat="1" ht="15" customHeight="1" x14ac:dyDescent="0.25">
      <c r="B90" s="313"/>
      <c r="L90" s="313"/>
      <c r="U90" s="313"/>
      <c r="AD90" s="313"/>
      <c r="AM90" s="313"/>
      <c r="BI90" s="308"/>
      <c r="BK90" s="233"/>
      <c r="BM90" s="23">
        <f t="shared" si="2"/>
        <v>33</v>
      </c>
    </row>
    <row r="91" spans="2:65" s="201" customFormat="1" ht="15" customHeight="1" x14ac:dyDescent="0.25">
      <c r="B91" s="313"/>
      <c r="L91" s="313"/>
      <c r="U91" s="313"/>
      <c r="AD91" s="313"/>
      <c r="AM91" s="313"/>
      <c r="BI91" s="308"/>
      <c r="BK91" s="233"/>
      <c r="BM91" s="23">
        <f t="shared" si="2"/>
        <v>34</v>
      </c>
    </row>
    <row r="92" spans="2:65" s="201" customFormat="1" ht="15" customHeight="1" x14ac:dyDescent="0.25">
      <c r="B92" s="313"/>
      <c r="L92" s="313"/>
      <c r="U92" s="313"/>
      <c r="AD92" s="313"/>
      <c r="AM92" s="313"/>
      <c r="BI92" s="308"/>
      <c r="BK92" s="233"/>
      <c r="BM92" s="23">
        <f t="shared" si="2"/>
        <v>35</v>
      </c>
    </row>
    <row r="93" spans="2:65" s="201" customFormat="1" ht="15" customHeight="1" x14ac:dyDescent="0.25">
      <c r="B93" s="313"/>
      <c r="L93" s="313"/>
      <c r="U93" s="313"/>
      <c r="AD93" s="313"/>
      <c r="AM93" s="313"/>
      <c r="BI93" s="308"/>
      <c r="BK93" s="233"/>
      <c r="BM93" s="23">
        <f t="shared" si="2"/>
        <v>36</v>
      </c>
    </row>
    <row r="94" spans="2:65" s="201" customFormat="1" ht="15" customHeight="1" x14ac:dyDescent="0.25">
      <c r="B94" s="313"/>
      <c r="L94" s="313"/>
      <c r="U94" s="313"/>
      <c r="AD94" s="313"/>
      <c r="AM94" s="313"/>
      <c r="BI94" s="308"/>
      <c r="BK94" s="233"/>
      <c r="BM94" s="23">
        <f t="shared" si="2"/>
        <v>37</v>
      </c>
    </row>
    <row r="95" spans="2:65" s="201" customFormat="1" ht="15" customHeight="1" x14ac:dyDescent="0.25">
      <c r="B95" s="313"/>
      <c r="L95" s="313"/>
      <c r="U95" s="313"/>
      <c r="AD95" s="313"/>
      <c r="AM95" s="313"/>
      <c r="BI95" s="308"/>
      <c r="BK95" s="233"/>
      <c r="BM95" s="23">
        <f t="shared" si="2"/>
        <v>38</v>
      </c>
    </row>
    <row r="96" spans="2:65" s="201" customFormat="1" ht="15" customHeight="1" x14ac:dyDescent="0.25">
      <c r="B96" s="313"/>
      <c r="L96" s="313"/>
      <c r="U96" s="313"/>
      <c r="AD96" s="313"/>
      <c r="AM96" s="313"/>
      <c r="BI96" s="308"/>
      <c r="BK96" s="233"/>
      <c r="BM96" s="23">
        <f t="shared" si="2"/>
        <v>39</v>
      </c>
    </row>
    <row r="97" spans="2:65" s="201" customFormat="1" ht="15" customHeight="1" x14ac:dyDescent="0.25">
      <c r="B97" s="313"/>
      <c r="L97" s="313"/>
      <c r="U97" s="313"/>
      <c r="AD97" s="313"/>
      <c r="AM97" s="313"/>
      <c r="BI97" s="308"/>
      <c r="BK97" s="233"/>
      <c r="BM97" s="23">
        <f t="shared" si="2"/>
        <v>40</v>
      </c>
    </row>
    <row r="98" spans="2:65" s="201" customFormat="1" ht="15" customHeight="1" x14ac:dyDescent="0.25">
      <c r="B98" s="313"/>
      <c r="L98" s="313"/>
      <c r="U98" s="313"/>
      <c r="AD98" s="313"/>
      <c r="AM98" s="313"/>
      <c r="BI98" s="308"/>
      <c r="BK98" s="233"/>
      <c r="BM98" s="23">
        <f t="shared" si="2"/>
        <v>41</v>
      </c>
    </row>
    <row r="99" spans="2:65" s="201" customFormat="1" ht="15" customHeight="1" x14ac:dyDescent="0.25">
      <c r="B99" s="313"/>
      <c r="L99" s="313"/>
      <c r="U99" s="313"/>
      <c r="AD99" s="313"/>
      <c r="AM99" s="313"/>
      <c r="BI99" s="308"/>
      <c r="BK99" s="233"/>
      <c r="BM99" s="23">
        <f t="shared" si="2"/>
        <v>42</v>
      </c>
    </row>
    <row r="100" spans="2:65" s="201" customFormat="1" ht="15" customHeight="1" x14ac:dyDescent="0.25">
      <c r="B100" s="313"/>
      <c r="L100" s="313"/>
      <c r="U100" s="313"/>
      <c r="AD100" s="313"/>
      <c r="AM100" s="313"/>
      <c r="BI100" s="308"/>
      <c r="BK100" s="233"/>
      <c r="BM100" s="23">
        <f t="shared" si="2"/>
        <v>43</v>
      </c>
    </row>
    <row r="101" spans="2:65" s="201" customFormat="1" ht="15" customHeight="1" x14ac:dyDescent="0.25">
      <c r="B101" s="313"/>
      <c r="L101" s="313"/>
      <c r="U101" s="313"/>
      <c r="AD101" s="313"/>
      <c r="AM101" s="313"/>
      <c r="BI101" s="308"/>
      <c r="BK101" s="233"/>
      <c r="BM101" s="23">
        <f t="shared" si="2"/>
        <v>44</v>
      </c>
    </row>
    <row r="102" spans="2:65" s="201" customFormat="1" ht="15" customHeight="1" x14ac:dyDescent="0.25">
      <c r="B102" s="313"/>
      <c r="L102" s="313"/>
      <c r="U102" s="313"/>
      <c r="AD102" s="313"/>
      <c r="AM102" s="313"/>
      <c r="BI102" s="308"/>
      <c r="BK102" s="233"/>
      <c r="BM102" s="23">
        <f t="shared" si="2"/>
        <v>45</v>
      </c>
    </row>
    <row r="103" spans="2:65" s="201" customFormat="1" ht="15" customHeight="1" x14ac:dyDescent="0.25">
      <c r="B103" s="313"/>
      <c r="L103" s="313"/>
      <c r="U103" s="313"/>
      <c r="AD103" s="313"/>
      <c r="AM103" s="313"/>
      <c r="BI103" s="308"/>
      <c r="BK103" s="233"/>
      <c r="BM103" s="23">
        <f t="shared" si="2"/>
        <v>46</v>
      </c>
    </row>
    <row r="104" spans="2:65" s="201" customFormat="1" ht="15" customHeight="1" x14ac:dyDescent="0.25">
      <c r="B104" s="313"/>
      <c r="L104" s="313"/>
      <c r="U104" s="313"/>
      <c r="AD104" s="313"/>
      <c r="AM104" s="313"/>
      <c r="BI104" s="308"/>
      <c r="BK104" s="233"/>
      <c r="BM104" s="23">
        <f t="shared" si="2"/>
        <v>47</v>
      </c>
    </row>
    <row r="105" spans="2:65" s="201" customFormat="1" ht="15" customHeight="1" x14ac:dyDescent="0.25">
      <c r="B105" s="313"/>
      <c r="L105" s="313"/>
      <c r="U105" s="313"/>
      <c r="AD105" s="313"/>
      <c r="AM105" s="313"/>
      <c r="BI105" s="308"/>
      <c r="BK105" s="233"/>
      <c r="BM105" s="23">
        <f t="shared" si="2"/>
        <v>48</v>
      </c>
    </row>
    <row r="106" spans="2:65" s="201" customFormat="1" ht="15" customHeight="1" x14ac:dyDescent="0.25">
      <c r="B106" s="313"/>
      <c r="L106" s="313"/>
      <c r="U106" s="313"/>
      <c r="AD106" s="313"/>
      <c r="AM106" s="313"/>
      <c r="BI106" s="308"/>
      <c r="BK106" s="233"/>
      <c r="BM106" s="23">
        <f t="shared" si="2"/>
        <v>49</v>
      </c>
    </row>
    <row r="107" spans="2:65" s="201" customFormat="1" ht="15" customHeight="1" x14ac:dyDescent="0.25">
      <c r="B107" s="313"/>
      <c r="L107" s="313"/>
      <c r="U107" s="313"/>
      <c r="AD107" s="313"/>
      <c r="AM107" s="313"/>
      <c r="BI107" s="308"/>
      <c r="BK107" s="233"/>
      <c r="BM107" s="23">
        <f t="shared" si="2"/>
        <v>50</v>
      </c>
    </row>
    <row r="108" spans="2:65" s="201" customFormat="1" ht="15" customHeight="1" x14ac:dyDescent="0.25">
      <c r="B108" s="310" t="s">
        <v>35</v>
      </c>
      <c r="C108" s="311"/>
      <c r="D108" s="311"/>
      <c r="E108" s="311"/>
      <c r="F108" s="311"/>
      <c r="G108" s="311"/>
      <c r="H108" s="311"/>
      <c r="I108" s="311"/>
      <c r="J108" s="311"/>
      <c r="K108" s="312"/>
      <c r="L108" s="310"/>
      <c r="M108" s="311"/>
      <c r="N108" s="311"/>
      <c r="O108" s="311"/>
      <c r="P108" s="311"/>
      <c r="Q108" s="311"/>
      <c r="R108" s="311"/>
      <c r="S108" s="311"/>
      <c r="T108" s="312"/>
      <c r="U108" s="310"/>
      <c r="V108" s="311"/>
      <c r="W108" s="311"/>
      <c r="X108" s="311"/>
      <c r="Y108" s="311"/>
      <c r="Z108" s="311"/>
      <c r="AA108" s="311"/>
      <c r="AB108" s="311"/>
      <c r="AC108" s="312"/>
      <c r="AD108" s="310"/>
      <c r="AE108" s="311"/>
      <c r="AF108" s="311"/>
      <c r="AG108" s="311"/>
      <c r="AH108" s="311"/>
      <c r="AI108" s="311"/>
      <c r="AJ108" s="311"/>
      <c r="AK108" s="311"/>
      <c r="AL108" s="312"/>
      <c r="AM108" s="310"/>
      <c r="AN108" s="311"/>
      <c r="AO108" s="311"/>
      <c r="AP108" s="311"/>
      <c r="AQ108" s="311"/>
      <c r="AR108" s="311"/>
      <c r="AS108" s="311"/>
      <c r="AT108" s="311"/>
      <c r="AU108" s="311"/>
      <c r="AV108" s="311"/>
      <c r="AW108" s="311"/>
      <c r="AX108" s="311"/>
      <c r="AY108" s="311"/>
      <c r="AZ108" s="311"/>
      <c r="BA108" s="311"/>
      <c r="BB108" s="311"/>
      <c r="BC108" s="311"/>
      <c r="BD108" s="311"/>
      <c r="BE108" s="311"/>
      <c r="BF108" s="311"/>
      <c r="BG108" s="311"/>
      <c r="BH108" s="311"/>
      <c r="BI108" s="312"/>
      <c r="BK108" s="233"/>
      <c r="BM108" s="23">
        <f t="shared" si="2"/>
        <v>1</v>
      </c>
    </row>
    <row r="109" spans="2:65" s="201" customFormat="1" ht="15" customHeight="1" x14ac:dyDescent="0.25">
      <c r="B109" s="313"/>
      <c r="L109" s="313"/>
      <c r="U109" s="313"/>
      <c r="AD109" s="313"/>
      <c r="AM109" s="313"/>
      <c r="BI109" s="308"/>
      <c r="BK109" s="233"/>
      <c r="BM109" s="23">
        <f t="shared" si="2"/>
        <v>2</v>
      </c>
    </row>
    <row r="110" spans="2:65" s="201" customFormat="1" ht="15" customHeight="1" x14ac:dyDescent="0.25">
      <c r="B110" s="313"/>
      <c r="L110" s="313"/>
      <c r="U110" s="313"/>
      <c r="AD110" s="313"/>
      <c r="AM110" s="313"/>
      <c r="BI110" s="308"/>
      <c r="BK110" s="233"/>
      <c r="BM110" s="23">
        <f t="shared" si="2"/>
        <v>3</v>
      </c>
    </row>
    <row r="111" spans="2:65" s="201" customFormat="1" ht="15" customHeight="1" x14ac:dyDescent="0.25">
      <c r="B111" s="313"/>
      <c r="L111" s="313"/>
      <c r="U111" s="313"/>
      <c r="AD111" s="313"/>
      <c r="AM111" s="313"/>
      <c r="BI111" s="308"/>
      <c r="BK111" s="233"/>
      <c r="BM111" s="23">
        <f t="shared" si="2"/>
        <v>4</v>
      </c>
    </row>
    <row r="112" spans="2:65" s="201" customFormat="1" ht="15" customHeight="1" x14ac:dyDescent="0.25">
      <c r="B112" s="313"/>
      <c r="L112" s="313"/>
      <c r="U112" s="313"/>
      <c r="AD112" s="313"/>
      <c r="AM112" s="313"/>
      <c r="BI112" s="308"/>
      <c r="BK112" s="233"/>
      <c r="BM112" s="23">
        <f t="shared" si="2"/>
        <v>5</v>
      </c>
    </row>
    <row r="113" spans="1:65" s="201" customFormat="1" ht="15" customHeight="1" x14ac:dyDescent="0.25">
      <c r="B113" s="313"/>
      <c r="L113" s="313"/>
      <c r="U113" s="313"/>
      <c r="AD113" s="313"/>
      <c r="AM113" s="313"/>
      <c r="BI113" s="308"/>
      <c r="BK113" s="233"/>
      <c r="BM113" s="23">
        <f t="shared" si="2"/>
        <v>6</v>
      </c>
    </row>
    <row r="114" spans="1:65" s="201" customFormat="1" ht="15" customHeight="1" x14ac:dyDescent="0.25">
      <c r="B114" s="313"/>
      <c r="L114" s="313"/>
      <c r="U114" s="313"/>
      <c r="AD114" s="313"/>
      <c r="AM114" s="313"/>
      <c r="BI114" s="308"/>
      <c r="BK114" s="233"/>
      <c r="BM114" s="23">
        <f t="shared" si="2"/>
        <v>7</v>
      </c>
    </row>
    <row r="115" spans="1:65" s="201" customFormat="1" ht="15" customHeight="1" x14ac:dyDescent="0.25">
      <c r="B115" s="313"/>
      <c r="L115" s="313"/>
      <c r="U115" s="313"/>
      <c r="AD115" s="313"/>
      <c r="AM115" s="313"/>
      <c r="BI115" s="308"/>
      <c r="BK115" s="233"/>
      <c r="BM115" s="23">
        <f t="shared" si="2"/>
        <v>8</v>
      </c>
    </row>
    <row r="116" spans="1:65" s="201" customFormat="1" ht="15" customHeight="1" x14ac:dyDescent="0.25">
      <c r="B116" s="313"/>
      <c r="L116" s="313"/>
      <c r="U116" s="313"/>
      <c r="AD116" s="313"/>
      <c r="AM116" s="313"/>
      <c r="BI116" s="308"/>
      <c r="BK116" s="233"/>
      <c r="BM116" s="23">
        <f t="shared" si="2"/>
        <v>9</v>
      </c>
    </row>
    <row r="117" spans="1:65" s="201" customFormat="1" ht="15" customHeight="1" x14ac:dyDescent="0.25">
      <c r="B117" s="313"/>
      <c r="L117" s="313"/>
      <c r="U117" s="313"/>
      <c r="AD117" s="313"/>
      <c r="AM117" s="313"/>
      <c r="BI117" s="308"/>
      <c r="BK117" s="233"/>
      <c r="BM117" s="23">
        <f t="shared" si="2"/>
        <v>10</v>
      </c>
    </row>
    <row r="118" spans="1:65" s="201" customFormat="1" ht="15" customHeight="1" x14ac:dyDescent="0.25">
      <c r="B118" s="313"/>
      <c r="L118" s="313"/>
      <c r="U118" s="313"/>
      <c r="AD118" s="313"/>
      <c r="AM118" s="313"/>
      <c r="BI118" s="308"/>
      <c r="BK118" s="233"/>
      <c r="BM118" s="23">
        <f t="shared" si="2"/>
        <v>11</v>
      </c>
    </row>
    <row r="119" spans="1:65" s="201" customFormat="1" ht="15" customHeight="1" x14ac:dyDescent="0.25">
      <c r="B119" s="313"/>
      <c r="L119" s="313"/>
      <c r="U119" s="313"/>
      <c r="AD119" s="313"/>
      <c r="AM119" s="313"/>
      <c r="BI119" s="308"/>
      <c r="BK119" s="233"/>
      <c r="BM119" s="23">
        <f t="shared" si="2"/>
        <v>12</v>
      </c>
    </row>
    <row r="120" spans="1:65" s="201" customFormat="1" ht="15" customHeight="1" x14ac:dyDescent="0.25">
      <c r="B120" s="313"/>
      <c r="L120" s="313"/>
      <c r="U120" s="313"/>
      <c r="AD120" s="313"/>
      <c r="AM120" s="313"/>
      <c r="BI120" s="308"/>
      <c r="BK120" s="233"/>
      <c r="BM120" s="23">
        <f t="shared" si="2"/>
        <v>13</v>
      </c>
    </row>
    <row r="121" spans="1:65" s="201" customFormat="1" ht="15" customHeight="1" x14ac:dyDescent="0.25">
      <c r="B121" s="313"/>
      <c r="L121" s="313"/>
      <c r="U121" s="313"/>
      <c r="AD121" s="313"/>
      <c r="AM121" s="313"/>
      <c r="BI121" s="308"/>
      <c r="BK121" s="233"/>
      <c r="BM121" s="23">
        <f t="shared" si="2"/>
        <v>14</v>
      </c>
    </row>
    <row r="122" spans="1:65" s="201" customFormat="1" ht="15" customHeight="1" x14ac:dyDescent="0.25">
      <c r="B122" s="313"/>
      <c r="L122" s="313"/>
      <c r="U122" s="313"/>
      <c r="AD122" s="313"/>
      <c r="AM122" s="313"/>
      <c r="BI122" s="308"/>
      <c r="BK122" s="233"/>
      <c r="BM122" s="23">
        <f t="shared" si="2"/>
        <v>15</v>
      </c>
    </row>
    <row r="123" spans="1:65" s="201" customFormat="1" ht="15" customHeight="1" x14ac:dyDescent="0.25">
      <c r="A123" s="230"/>
      <c r="B123" s="318"/>
      <c r="C123" s="230"/>
      <c r="D123" s="230"/>
      <c r="E123" s="230"/>
      <c r="F123" s="230"/>
      <c r="G123" s="230"/>
      <c r="H123" s="230"/>
      <c r="I123" s="230"/>
      <c r="J123" s="230"/>
      <c r="K123" s="230"/>
      <c r="L123" s="318"/>
      <c r="M123" s="230"/>
      <c r="N123" s="230"/>
      <c r="O123" s="230"/>
      <c r="P123" s="230"/>
      <c r="Q123" s="230"/>
      <c r="R123" s="230"/>
      <c r="S123" s="230"/>
      <c r="T123" s="230"/>
      <c r="U123" s="318"/>
      <c r="V123" s="230"/>
      <c r="W123" s="230"/>
      <c r="X123" s="230"/>
      <c r="Y123" s="230"/>
      <c r="Z123" s="230"/>
      <c r="AA123" s="230"/>
      <c r="AB123" s="230"/>
      <c r="AC123" s="230"/>
      <c r="AD123" s="318"/>
      <c r="AE123" s="230"/>
      <c r="AF123" s="230"/>
      <c r="AG123" s="230"/>
      <c r="AH123" s="230"/>
      <c r="AI123" s="230"/>
      <c r="AJ123" s="230"/>
      <c r="AK123" s="230"/>
      <c r="AL123" s="230"/>
      <c r="AM123" s="318"/>
      <c r="AN123" s="230"/>
      <c r="AO123" s="230"/>
      <c r="AP123" s="230"/>
      <c r="AQ123" s="230"/>
      <c r="AR123" s="230"/>
      <c r="AS123" s="230"/>
      <c r="AT123" s="230"/>
      <c r="AU123" s="230"/>
      <c r="AV123" s="230"/>
      <c r="AW123" s="230"/>
      <c r="AX123" s="230"/>
      <c r="AY123" s="230"/>
      <c r="AZ123" s="230"/>
      <c r="BA123" s="230"/>
      <c r="BB123" s="230"/>
      <c r="BC123" s="230"/>
      <c r="BD123" s="230"/>
      <c r="BE123" s="230"/>
      <c r="BF123" s="230"/>
      <c r="BG123" s="230"/>
      <c r="BH123" s="230"/>
      <c r="BI123" s="319"/>
      <c r="BJ123" s="230"/>
      <c r="BK123" s="231"/>
      <c r="BM123" s="23">
        <f t="shared" si="2"/>
        <v>16</v>
      </c>
    </row>
    <row r="124" spans="1:65" s="201" customFormat="1" ht="15" customHeight="1" x14ac:dyDescent="0.25">
      <c r="BM124" s="2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27" orientation="landscape" r:id="rId1"/>
  <headerFooter>
    <oddHeader>&amp;R&amp;F</oddHeader>
    <oddFooter>&amp;C&amp;P / &amp;N ページ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23" customWidth="1"/>
    <col min="64" max="16384" width="10.109375" style="23"/>
  </cols>
  <sheetData>
    <row r="1" spans="1:63" ht="24.95" customHeight="1" x14ac:dyDescent="0.25">
      <c r="A1" s="320" t="s">
        <v>55</v>
      </c>
      <c r="B1" s="321"/>
      <c r="C1" s="321"/>
      <c r="D1" s="321"/>
      <c r="E1" s="321"/>
      <c r="F1" s="321"/>
      <c r="G1" s="321"/>
      <c r="H1" s="321"/>
      <c r="I1" s="321"/>
      <c r="J1" s="322"/>
      <c r="K1" s="320" t="s">
        <v>54</v>
      </c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2"/>
      <c r="W1" s="323" t="str">
        <f>IF(表紙!W1="","",表紙!W1)</f>
        <v>基本設計書</v>
      </c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5"/>
      <c r="AP1" s="195" t="s">
        <v>53</v>
      </c>
      <c r="AQ1" s="196"/>
      <c r="AR1" s="196"/>
      <c r="AS1" s="197"/>
      <c r="AT1" s="195" t="s">
        <v>52</v>
      </c>
      <c r="AU1" s="196"/>
      <c r="AV1" s="196"/>
      <c r="AW1" s="196"/>
      <c r="AX1" s="197"/>
      <c r="AY1" s="195" t="s">
        <v>44</v>
      </c>
      <c r="AZ1" s="196"/>
      <c r="BA1" s="196"/>
      <c r="BB1" s="197"/>
      <c r="BC1" s="195" t="s">
        <v>45</v>
      </c>
      <c r="BD1" s="196"/>
      <c r="BE1" s="196"/>
      <c r="BF1" s="196"/>
      <c r="BG1" s="197"/>
      <c r="BH1" s="195" t="s">
        <v>43</v>
      </c>
      <c r="BI1" s="196"/>
      <c r="BJ1" s="196"/>
      <c r="BK1" s="197"/>
    </row>
    <row r="2" spans="1:63" ht="15" customHeight="1" x14ac:dyDescent="0.25">
      <c r="A2" s="189" t="str">
        <f>IF(表紙!A2="","",表紙!A2)</f>
        <v>POSサーバー</v>
      </c>
      <c r="B2" s="190"/>
      <c r="C2" s="190"/>
      <c r="D2" s="190"/>
      <c r="E2" s="190"/>
      <c r="F2" s="190"/>
      <c r="G2" s="190"/>
      <c r="H2" s="190"/>
      <c r="I2" s="190"/>
      <c r="J2" s="191"/>
      <c r="K2" s="189" t="str">
        <f>IF(表紙!K2="","",表紙!K2)</f>
        <v>POSサーバ</v>
      </c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1"/>
      <c r="W2" s="326"/>
      <c r="X2" s="327"/>
      <c r="Y2" s="327"/>
      <c r="Z2" s="327"/>
      <c r="AA2" s="327"/>
      <c r="AB2" s="327"/>
      <c r="AC2" s="327"/>
      <c r="AD2" s="327"/>
      <c r="AE2" s="327"/>
      <c r="AF2" s="327"/>
      <c r="AG2" s="327"/>
      <c r="AH2" s="327"/>
      <c r="AI2" s="327"/>
      <c r="AJ2" s="327"/>
      <c r="AK2" s="327"/>
      <c r="AL2" s="327"/>
      <c r="AM2" s="327"/>
      <c r="AN2" s="327"/>
      <c r="AO2" s="328"/>
      <c r="AP2" s="204" t="str">
        <f>IF(表紙!AP2="","",表紙!AP2)</f>
        <v>TinNH</v>
      </c>
      <c r="AQ2" s="202"/>
      <c r="AR2" s="202"/>
      <c r="AS2" s="203"/>
      <c r="AT2" s="208">
        <f>IF(表紙!AT2="","",表紙!AT2)</f>
        <v>45450</v>
      </c>
      <c r="AU2" s="209"/>
      <c r="AV2" s="209"/>
      <c r="AW2" s="209"/>
      <c r="AX2" s="210"/>
      <c r="AY2" s="204" t="str">
        <f>IF(表紙!AY2="","",表紙!AY2)</f>
        <v>DuNT</v>
      </c>
      <c r="AZ2" s="202"/>
      <c r="BA2" s="202"/>
      <c r="BB2" s="203"/>
      <c r="BC2" s="208">
        <f>IF(表紙!BC2="","",表紙!BC2)</f>
        <v>45531</v>
      </c>
      <c r="BD2" s="209"/>
      <c r="BE2" s="209"/>
      <c r="BF2" s="209"/>
      <c r="BG2" s="210"/>
      <c r="BH2" s="204">
        <f>IF(表紙!BH2="","",表紙!BH2)</f>
        <v>0.4</v>
      </c>
      <c r="BI2" s="202"/>
      <c r="BJ2" s="202"/>
      <c r="BK2" s="203"/>
    </row>
    <row r="3" spans="1:63" ht="15" customHeight="1" x14ac:dyDescent="0.25">
      <c r="A3" s="192"/>
      <c r="B3" s="193"/>
      <c r="C3" s="193"/>
      <c r="D3" s="193"/>
      <c r="E3" s="193"/>
      <c r="F3" s="193"/>
      <c r="G3" s="193"/>
      <c r="H3" s="193"/>
      <c r="I3" s="193"/>
      <c r="J3" s="194"/>
      <c r="K3" s="192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4"/>
      <c r="W3" s="329"/>
      <c r="X3" s="330"/>
      <c r="Y3" s="330"/>
      <c r="Z3" s="330"/>
      <c r="AA3" s="330"/>
      <c r="AB3" s="330"/>
      <c r="AC3" s="330"/>
      <c r="AD3" s="330"/>
      <c r="AE3" s="330"/>
      <c r="AF3" s="330"/>
      <c r="AG3" s="330"/>
      <c r="AH3" s="330"/>
      <c r="AI3" s="330"/>
      <c r="AJ3" s="330"/>
      <c r="AK3" s="330"/>
      <c r="AL3" s="330"/>
      <c r="AM3" s="330"/>
      <c r="AN3" s="330"/>
      <c r="AO3" s="331"/>
      <c r="AP3" s="214"/>
      <c r="AQ3" s="215"/>
      <c r="AR3" s="215"/>
      <c r="AS3" s="216"/>
      <c r="AT3" s="220"/>
      <c r="AU3" s="221"/>
      <c r="AV3" s="221"/>
      <c r="AW3" s="221"/>
      <c r="AX3" s="222"/>
      <c r="AY3" s="214"/>
      <c r="AZ3" s="215"/>
      <c r="BA3" s="215"/>
      <c r="BB3" s="216"/>
      <c r="BC3" s="220"/>
      <c r="BD3" s="221"/>
      <c r="BE3" s="221"/>
      <c r="BF3" s="221"/>
      <c r="BG3" s="222"/>
      <c r="BH3" s="214"/>
      <c r="BI3" s="215"/>
      <c r="BJ3" s="215"/>
      <c r="BK3" s="216"/>
    </row>
    <row r="4" spans="1:63" ht="24.95" customHeight="1" x14ac:dyDescent="0.25">
      <c r="A4" s="320" t="s">
        <v>49</v>
      </c>
      <c r="B4" s="321"/>
      <c r="C4" s="321"/>
      <c r="D4" s="321"/>
      <c r="E4" s="321"/>
      <c r="F4" s="321"/>
      <c r="G4" s="322"/>
      <c r="H4" s="167" t="str">
        <f>IF(表紙!H4="","",表紙!H4)</f>
        <v>74_予算登録</v>
      </c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9"/>
      <c r="U4" s="320" t="s">
        <v>48</v>
      </c>
      <c r="V4" s="321"/>
      <c r="W4" s="321"/>
      <c r="X4" s="321"/>
      <c r="Y4" s="322"/>
      <c r="Z4" s="167" t="str">
        <f>IF(表紙!Z4="","",表紙!Z4)</f>
        <v>概要設計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9"/>
      <c r="AP4" s="170" t="str">
        <f ca="1">MID(CELL("filename",A1),FIND("]",CELL("filename",A1))+1,255)</f>
        <v>画面設計書</v>
      </c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9"/>
    </row>
    <row r="5" spans="1:63" ht="5.0999999999999996" customHeight="1" x14ac:dyDescent="0.25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6"/>
    </row>
    <row r="6" spans="1:63" ht="15" customHeight="1" x14ac:dyDescent="0.25">
      <c r="A6" s="27"/>
      <c r="BK6" s="28"/>
    </row>
    <row r="7" spans="1:63" ht="15" customHeight="1" x14ac:dyDescent="0.25">
      <c r="A7" s="27"/>
      <c r="B7" s="332" t="s">
        <v>18</v>
      </c>
      <c r="C7" s="332"/>
      <c r="D7" s="332"/>
      <c r="E7" s="332"/>
      <c r="F7" s="332"/>
      <c r="G7" s="332"/>
      <c r="H7" s="332"/>
      <c r="I7" s="332"/>
      <c r="J7" s="332"/>
      <c r="AE7" s="29"/>
      <c r="BK7" s="28"/>
    </row>
    <row r="8" spans="1:63" ht="15" customHeight="1" x14ac:dyDescent="0.25">
      <c r="A8" s="27"/>
      <c r="BK8" s="28"/>
    </row>
    <row r="9" spans="1:63" ht="15" customHeight="1" x14ac:dyDescent="0.25">
      <c r="A9" s="27"/>
      <c r="BK9" s="28"/>
    </row>
    <row r="10" spans="1:63" ht="15" customHeight="1" x14ac:dyDescent="0.25">
      <c r="A10" s="27"/>
      <c r="BK10" s="28"/>
    </row>
    <row r="11" spans="1:63" ht="15" customHeight="1" x14ac:dyDescent="0.25">
      <c r="A11" s="27"/>
      <c r="BK11" s="28"/>
    </row>
    <row r="12" spans="1:63" ht="15" customHeight="1" x14ac:dyDescent="0.25">
      <c r="A12" s="27"/>
      <c r="BK12" s="28"/>
    </row>
    <row r="13" spans="1:63" ht="15" customHeight="1" x14ac:dyDescent="0.25">
      <c r="A13" s="27"/>
      <c r="BK13" s="28"/>
    </row>
    <row r="14" spans="1:63" ht="15" customHeight="1" x14ac:dyDescent="0.25">
      <c r="A14" s="27"/>
      <c r="BK14" s="28"/>
    </row>
    <row r="15" spans="1:63" ht="15" customHeight="1" x14ac:dyDescent="0.25">
      <c r="A15" s="27"/>
      <c r="BK15" s="28"/>
    </row>
    <row r="16" spans="1:63" ht="15" customHeight="1" x14ac:dyDescent="0.25">
      <c r="A16" s="27"/>
      <c r="BK16" s="28"/>
    </row>
    <row r="17" spans="1:63" ht="15" customHeight="1" x14ac:dyDescent="0.25">
      <c r="A17" s="27"/>
      <c r="BK17" s="28"/>
    </row>
    <row r="18" spans="1:63" ht="15" customHeight="1" x14ac:dyDescent="0.25">
      <c r="A18" s="27"/>
      <c r="BK18" s="28"/>
    </row>
    <row r="19" spans="1:63" ht="15" customHeight="1" x14ac:dyDescent="0.25">
      <c r="A19" s="27"/>
      <c r="BK19" s="28"/>
    </row>
    <row r="20" spans="1:63" ht="15" customHeight="1" x14ac:dyDescent="0.25">
      <c r="A20" s="27"/>
      <c r="BK20" s="28"/>
    </row>
    <row r="21" spans="1:63" ht="15" customHeight="1" x14ac:dyDescent="0.25">
      <c r="A21" s="27"/>
      <c r="BK21" s="28"/>
    </row>
    <row r="22" spans="1:63" ht="15" customHeight="1" x14ac:dyDescent="0.25">
      <c r="A22" s="27"/>
      <c r="BK22" s="28"/>
    </row>
    <row r="23" spans="1:63" ht="15" customHeight="1" x14ac:dyDescent="0.25">
      <c r="A23" s="27"/>
      <c r="BK23" s="28"/>
    </row>
    <row r="24" spans="1:63" ht="15" customHeight="1" x14ac:dyDescent="0.25">
      <c r="A24" s="27"/>
      <c r="BK24" s="28"/>
    </row>
    <row r="25" spans="1:63" ht="14.25" customHeight="1" x14ac:dyDescent="0.25">
      <c r="A25" s="27"/>
      <c r="BK25" s="28"/>
    </row>
    <row r="26" spans="1:63" ht="15" customHeight="1" x14ac:dyDescent="0.25">
      <c r="A26" s="27"/>
      <c r="BK26" s="28"/>
    </row>
    <row r="27" spans="1:63" ht="15" customHeight="1" x14ac:dyDescent="0.25">
      <c r="A27" s="27"/>
      <c r="BK27" s="28"/>
    </row>
    <row r="28" spans="1:63" x14ac:dyDescent="0.25">
      <c r="BK28" s="28"/>
    </row>
    <row r="29" spans="1:63" x14ac:dyDescent="0.25">
      <c r="BK29" s="28"/>
    </row>
    <row r="30" spans="1:63" x14ac:dyDescent="0.25">
      <c r="BK30" s="28"/>
    </row>
    <row r="31" spans="1:63" x14ac:dyDescent="0.25">
      <c r="BK31" s="28"/>
    </row>
    <row r="32" spans="1:63" x14ac:dyDescent="0.25">
      <c r="BK32" s="28"/>
    </row>
    <row r="33" spans="1:63" x14ac:dyDescent="0.25">
      <c r="BK33" s="28"/>
    </row>
    <row r="34" spans="1:63" x14ac:dyDescent="0.25">
      <c r="BK34" s="28"/>
    </row>
    <row r="35" spans="1:63" ht="15" customHeight="1" x14ac:dyDescent="0.25">
      <c r="A35" s="27"/>
      <c r="B35" s="29" t="s">
        <v>71</v>
      </c>
      <c r="BK35" s="28"/>
    </row>
    <row r="36" spans="1:63" x14ac:dyDescent="0.25">
      <c r="BK36" s="28"/>
    </row>
    <row r="37" spans="1:63" ht="15.75" customHeight="1" x14ac:dyDescent="0.25">
      <c r="B37" s="171" t="s">
        <v>72</v>
      </c>
      <c r="C37" s="172"/>
      <c r="D37" s="177" t="s">
        <v>73</v>
      </c>
      <c r="E37" s="178"/>
      <c r="F37" s="178"/>
      <c r="G37" s="178"/>
      <c r="H37" s="178"/>
      <c r="I37" s="178"/>
      <c r="J37" s="172"/>
      <c r="K37" s="177" t="s">
        <v>74</v>
      </c>
      <c r="L37" s="178"/>
      <c r="M37" s="172"/>
      <c r="N37" s="181" t="s">
        <v>19</v>
      </c>
      <c r="O37" s="184" t="s">
        <v>75</v>
      </c>
      <c r="P37" s="131" t="s">
        <v>76</v>
      </c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  <c r="AQ37" s="133"/>
      <c r="AR37" s="134" t="s">
        <v>77</v>
      </c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  <c r="BC37" s="137" t="s">
        <v>78</v>
      </c>
      <c r="BD37" s="138"/>
      <c r="BE37" s="138"/>
      <c r="BF37" s="138"/>
      <c r="BG37" s="138"/>
      <c r="BH37" s="138"/>
      <c r="BI37" s="138"/>
      <c r="BJ37" s="139"/>
      <c r="BK37" s="28"/>
    </row>
    <row r="38" spans="1:63" ht="15.75" customHeight="1" x14ac:dyDescent="0.25">
      <c r="B38" s="173"/>
      <c r="C38" s="174"/>
      <c r="D38" s="173"/>
      <c r="E38" s="179"/>
      <c r="F38" s="179"/>
      <c r="G38" s="179"/>
      <c r="H38" s="179"/>
      <c r="I38" s="179"/>
      <c r="J38" s="174"/>
      <c r="K38" s="173"/>
      <c r="L38" s="179"/>
      <c r="M38" s="174"/>
      <c r="N38" s="182"/>
      <c r="O38" s="185"/>
      <c r="P38" s="146" t="s">
        <v>79</v>
      </c>
      <c r="Q38" s="147"/>
      <c r="R38" s="147"/>
      <c r="S38" s="147"/>
      <c r="T38" s="147"/>
      <c r="U38" s="147"/>
      <c r="V38" s="147"/>
      <c r="W38" s="148"/>
      <c r="X38" s="149" t="s">
        <v>80</v>
      </c>
      <c r="Y38" s="150"/>
      <c r="Z38" s="151"/>
      <c r="AA38" s="149" t="s">
        <v>81</v>
      </c>
      <c r="AB38" s="150"/>
      <c r="AC38" s="150"/>
      <c r="AD38" s="150"/>
      <c r="AE38" s="150"/>
      <c r="AF38" s="150"/>
      <c r="AG38" s="150"/>
      <c r="AH38" s="151"/>
      <c r="AI38" s="149" t="s">
        <v>82</v>
      </c>
      <c r="AJ38" s="150"/>
      <c r="AK38" s="150"/>
      <c r="AL38" s="150"/>
      <c r="AM38" s="150"/>
      <c r="AN38" s="150"/>
      <c r="AO38" s="150"/>
      <c r="AP38" s="150"/>
      <c r="AQ38" s="151"/>
      <c r="AR38" s="155" t="s">
        <v>20</v>
      </c>
      <c r="AS38" s="157" t="s">
        <v>83</v>
      </c>
      <c r="AT38" s="159" t="s">
        <v>84</v>
      </c>
      <c r="AU38" s="134" t="s">
        <v>79</v>
      </c>
      <c r="AV38" s="135"/>
      <c r="AW38" s="135"/>
      <c r="AX38" s="135"/>
      <c r="AY38" s="135"/>
      <c r="AZ38" s="135"/>
      <c r="BA38" s="135"/>
      <c r="BB38" s="136"/>
      <c r="BC38" s="140"/>
      <c r="BD38" s="141"/>
      <c r="BE38" s="141"/>
      <c r="BF38" s="141"/>
      <c r="BG38" s="141"/>
      <c r="BH38" s="141"/>
      <c r="BI38" s="141"/>
      <c r="BJ38" s="142"/>
      <c r="BK38" s="28"/>
    </row>
    <row r="39" spans="1:63" x14ac:dyDescent="0.25">
      <c r="B39" s="175"/>
      <c r="C39" s="176"/>
      <c r="D39" s="175"/>
      <c r="E39" s="180"/>
      <c r="F39" s="180"/>
      <c r="G39" s="180"/>
      <c r="H39" s="180"/>
      <c r="I39" s="180"/>
      <c r="J39" s="176"/>
      <c r="K39" s="175"/>
      <c r="L39" s="180"/>
      <c r="M39" s="176"/>
      <c r="N39" s="183"/>
      <c r="O39" s="186"/>
      <c r="P39" s="131" t="s">
        <v>85</v>
      </c>
      <c r="Q39" s="132"/>
      <c r="R39" s="132"/>
      <c r="S39" s="133"/>
      <c r="T39" s="131" t="s">
        <v>73</v>
      </c>
      <c r="U39" s="132"/>
      <c r="V39" s="132"/>
      <c r="W39" s="133"/>
      <c r="X39" s="152"/>
      <c r="Y39" s="153"/>
      <c r="Z39" s="154"/>
      <c r="AA39" s="152"/>
      <c r="AB39" s="153"/>
      <c r="AC39" s="153"/>
      <c r="AD39" s="153"/>
      <c r="AE39" s="153"/>
      <c r="AF39" s="153"/>
      <c r="AG39" s="153"/>
      <c r="AH39" s="154"/>
      <c r="AI39" s="152"/>
      <c r="AJ39" s="153"/>
      <c r="AK39" s="153"/>
      <c r="AL39" s="153"/>
      <c r="AM39" s="153"/>
      <c r="AN39" s="153"/>
      <c r="AO39" s="153"/>
      <c r="AP39" s="153"/>
      <c r="AQ39" s="154"/>
      <c r="AR39" s="156"/>
      <c r="AS39" s="158"/>
      <c r="AT39" s="160"/>
      <c r="AU39" s="134" t="s">
        <v>85</v>
      </c>
      <c r="AV39" s="135"/>
      <c r="AW39" s="135"/>
      <c r="AX39" s="187"/>
      <c r="AY39" s="188" t="s">
        <v>73</v>
      </c>
      <c r="AZ39" s="135"/>
      <c r="BA39" s="135"/>
      <c r="BB39" s="136"/>
      <c r="BC39" s="143"/>
      <c r="BD39" s="144"/>
      <c r="BE39" s="144"/>
      <c r="BF39" s="144"/>
      <c r="BG39" s="144"/>
      <c r="BH39" s="144"/>
      <c r="BI39" s="144"/>
      <c r="BJ39" s="145"/>
      <c r="BK39" s="28"/>
    </row>
    <row r="40" spans="1:63" ht="15.75" customHeight="1" x14ac:dyDescent="0.25">
      <c r="B40" s="124">
        <v>1</v>
      </c>
      <c r="C40" s="125"/>
      <c r="D40" s="126"/>
      <c r="E40" s="127"/>
      <c r="F40" s="127"/>
      <c r="G40" s="127"/>
      <c r="H40" s="127"/>
      <c r="I40" s="127"/>
      <c r="J40" s="128"/>
      <c r="K40" s="110" t="s">
        <v>21</v>
      </c>
      <c r="L40" s="111"/>
      <c r="M40" s="112"/>
      <c r="N40" s="30" t="s">
        <v>22</v>
      </c>
      <c r="O40" s="31" t="s">
        <v>23</v>
      </c>
      <c r="P40" s="129" t="s">
        <v>22</v>
      </c>
      <c r="Q40" s="130"/>
      <c r="R40" s="130"/>
      <c r="S40" s="125"/>
      <c r="T40" s="129" t="s">
        <v>22</v>
      </c>
      <c r="U40" s="130"/>
      <c r="V40" s="130"/>
      <c r="W40" s="125"/>
      <c r="X40" s="161" t="s">
        <v>70</v>
      </c>
      <c r="Y40" s="162"/>
      <c r="Z40" s="163"/>
      <c r="AA40" s="124" t="s">
        <v>24</v>
      </c>
      <c r="AB40" s="130"/>
      <c r="AC40" s="130"/>
      <c r="AD40" s="130"/>
      <c r="AE40" s="130"/>
      <c r="AF40" s="130"/>
      <c r="AG40" s="130"/>
      <c r="AH40" s="125"/>
      <c r="AI40" s="164" t="s">
        <v>22</v>
      </c>
      <c r="AJ40" s="165"/>
      <c r="AK40" s="165"/>
      <c r="AL40" s="165"/>
      <c r="AM40" s="165"/>
      <c r="AN40" s="165"/>
      <c r="AO40" s="165"/>
      <c r="AP40" s="165"/>
      <c r="AQ40" s="166"/>
      <c r="AR40" s="32" t="s">
        <v>22</v>
      </c>
      <c r="AS40" s="32" t="s">
        <v>24</v>
      </c>
      <c r="AT40" s="32" t="s">
        <v>24</v>
      </c>
      <c r="AU40" s="124" t="s">
        <v>25</v>
      </c>
      <c r="AV40" s="130"/>
      <c r="AW40" s="130"/>
      <c r="AX40" s="125"/>
      <c r="AY40" s="124" t="s">
        <v>24</v>
      </c>
      <c r="AZ40" s="130"/>
      <c r="BA40" s="130"/>
      <c r="BB40" s="125"/>
      <c r="BC40" s="333"/>
      <c r="BD40" s="334"/>
      <c r="BE40" s="334"/>
      <c r="BF40" s="334"/>
      <c r="BG40" s="334"/>
      <c r="BH40" s="334"/>
      <c r="BI40" s="334"/>
      <c r="BJ40" s="335"/>
      <c r="BK40" s="28"/>
    </row>
    <row r="41" spans="1:63" x14ac:dyDescent="0.25">
      <c r="B41" s="103">
        <v>2</v>
      </c>
      <c r="C41" s="102"/>
      <c r="D41" s="121"/>
      <c r="E41" s="122"/>
      <c r="F41" s="122"/>
      <c r="G41" s="122"/>
      <c r="H41" s="122"/>
      <c r="I41" s="122"/>
      <c r="J41" s="123"/>
      <c r="K41" s="110" t="s">
        <v>21</v>
      </c>
      <c r="L41" s="111"/>
      <c r="M41" s="112"/>
      <c r="N41" s="31" t="s">
        <v>26</v>
      </c>
      <c r="O41" s="31" t="s">
        <v>23</v>
      </c>
      <c r="P41" s="103" t="s">
        <v>25</v>
      </c>
      <c r="Q41" s="101"/>
      <c r="R41" s="101"/>
      <c r="S41" s="102"/>
      <c r="T41" s="103" t="s">
        <v>25</v>
      </c>
      <c r="U41" s="101"/>
      <c r="V41" s="101"/>
      <c r="W41" s="102"/>
      <c r="X41" s="117" t="s">
        <v>86</v>
      </c>
      <c r="Y41" s="118"/>
      <c r="Z41" s="119"/>
      <c r="AA41" s="103" t="s">
        <v>24</v>
      </c>
      <c r="AB41" s="101"/>
      <c r="AC41" s="101"/>
      <c r="AD41" s="101"/>
      <c r="AE41" s="101"/>
      <c r="AF41" s="101"/>
      <c r="AG41" s="101"/>
      <c r="AH41" s="102"/>
      <c r="AI41" s="104" t="s">
        <v>24</v>
      </c>
      <c r="AJ41" s="105"/>
      <c r="AK41" s="105"/>
      <c r="AL41" s="105"/>
      <c r="AM41" s="105"/>
      <c r="AN41" s="105"/>
      <c r="AO41" s="105"/>
      <c r="AP41" s="105"/>
      <c r="AQ41" s="106"/>
      <c r="AR41" s="33" t="s">
        <v>22</v>
      </c>
      <c r="AS41" s="33" t="s">
        <v>24</v>
      </c>
      <c r="AT41" s="33" t="s">
        <v>24</v>
      </c>
      <c r="AU41" s="103" t="s">
        <v>25</v>
      </c>
      <c r="AV41" s="101"/>
      <c r="AW41" s="101"/>
      <c r="AX41" s="102"/>
      <c r="AY41" s="103" t="s">
        <v>24</v>
      </c>
      <c r="AZ41" s="101"/>
      <c r="BA41" s="101"/>
      <c r="BB41" s="102"/>
      <c r="BC41" s="116"/>
      <c r="BD41" s="336"/>
      <c r="BE41" s="336"/>
      <c r="BF41" s="336"/>
      <c r="BG41" s="336"/>
      <c r="BH41" s="336"/>
      <c r="BI41" s="336"/>
      <c r="BJ41" s="337"/>
      <c r="BK41" s="28"/>
    </row>
    <row r="42" spans="1:63" x14ac:dyDescent="0.25">
      <c r="B42" s="103">
        <v>3</v>
      </c>
      <c r="C42" s="102"/>
      <c r="D42" s="107"/>
      <c r="E42" s="108"/>
      <c r="F42" s="108"/>
      <c r="G42" s="108"/>
      <c r="H42" s="108"/>
      <c r="I42" s="108"/>
      <c r="J42" s="109"/>
      <c r="K42" s="110" t="s">
        <v>21</v>
      </c>
      <c r="L42" s="111"/>
      <c r="M42" s="112"/>
      <c r="N42" s="31" t="s">
        <v>27</v>
      </c>
      <c r="O42" s="31" t="s">
        <v>22</v>
      </c>
      <c r="P42" s="120" t="s">
        <v>22</v>
      </c>
      <c r="Q42" s="101"/>
      <c r="R42" s="101"/>
      <c r="S42" s="102"/>
      <c r="T42" s="103"/>
      <c r="U42" s="101"/>
      <c r="V42" s="101"/>
      <c r="W42" s="102"/>
      <c r="X42" s="113" t="s">
        <v>22</v>
      </c>
      <c r="Y42" s="114"/>
      <c r="Z42" s="115"/>
      <c r="AA42" s="103" t="s">
        <v>24</v>
      </c>
      <c r="AB42" s="101"/>
      <c r="AC42" s="101"/>
      <c r="AD42" s="101"/>
      <c r="AE42" s="101"/>
      <c r="AF42" s="101"/>
      <c r="AG42" s="101"/>
      <c r="AH42" s="102"/>
      <c r="AI42" s="104" t="s">
        <v>24</v>
      </c>
      <c r="AJ42" s="105"/>
      <c r="AK42" s="105"/>
      <c r="AL42" s="105"/>
      <c r="AM42" s="105"/>
      <c r="AN42" s="105"/>
      <c r="AO42" s="105"/>
      <c r="AP42" s="105"/>
      <c r="AQ42" s="106"/>
      <c r="AR42" s="33" t="s">
        <v>22</v>
      </c>
      <c r="AS42" s="33" t="s">
        <v>24</v>
      </c>
      <c r="AT42" s="33" t="s">
        <v>24</v>
      </c>
      <c r="AU42" s="103" t="s">
        <v>25</v>
      </c>
      <c r="AV42" s="101"/>
      <c r="AW42" s="101"/>
      <c r="AX42" s="102"/>
      <c r="AY42" s="103" t="s">
        <v>24</v>
      </c>
      <c r="AZ42" s="101"/>
      <c r="BA42" s="101"/>
      <c r="BB42" s="102"/>
      <c r="BC42" s="338"/>
      <c r="BD42" s="336"/>
      <c r="BE42" s="336"/>
      <c r="BF42" s="336"/>
      <c r="BG42" s="336"/>
      <c r="BH42" s="336"/>
      <c r="BI42" s="336"/>
      <c r="BJ42" s="337"/>
      <c r="BK42" s="28"/>
    </row>
    <row r="43" spans="1:63" x14ac:dyDescent="0.25">
      <c r="B43" s="103">
        <v>4</v>
      </c>
      <c r="C43" s="102"/>
      <c r="D43" s="339"/>
      <c r="E43" s="340"/>
      <c r="F43" s="340"/>
      <c r="G43" s="340"/>
      <c r="H43" s="340"/>
      <c r="I43" s="340"/>
      <c r="J43" s="341"/>
      <c r="K43" s="110" t="s">
        <v>21</v>
      </c>
      <c r="L43" s="111"/>
      <c r="M43" s="112"/>
      <c r="N43" s="34" t="s">
        <v>26</v>
      </c>
      <c r="O43" s="31" t="s">
        <v>23</v>
      </c>
      <c r="P43" s="103" t="s">
        <v>25</v>
      </c>
      <c r="Q43" s="101"/>
      <c r="R43" s="101"/>
      <c r="S43" s="102"/>
      <c r="T43" s="103" t="s">
        <v>25</v>
      </c>
      <c r="U43" s="101"/>
      <c r="V43" s="101"/>
      <c r="W43" s="102"/>
      <c r="X43" s="100" t="s">
        <v>28</v>
      </c>
      <c r="Y43" s="101"/>
      <c r="Z43" s="102"/>
      <c r="AA43" s="103" t="s">
        <v>24</v>
      </c>
      <c r="AB43" s="101"/>
      <c r="AC43" s="101"/>
      <c r="AD43" s="101"/>
      <c r="AE43" s="101"/>
      <c r="AF43" s="101"/>
      <c r="AG43" s="101"/>
      <c r="AH43" s="102"/>
      <c r="AI43" s="104" t="s">
        <v>24</v>
      </c>
      <c r="AJ43" s="105"/>
      <c r="AK43" s="105"/>
      <c r="AL43" s="105"/>
      <c r="AM43" s="105"/>
      <c r="AN43" s="105"/>
      <c r="AO43" s="105"/>
      <c r="AP43" s="105"/>
      <c r="AQ43" s="106"/>
      <c r="AR43" s="33" t="s">
        <v>22</v>
      </c>
      <c r="AS43" s="33" t="s">
        <v>24</v>
      </c>
      <c r="AT43" s="33" t="s">
        <v>24</v>
      </c>
      <c r="AU43" s="103" t="s">
        <v>25</v>
      </c>
      <c r="AV43" s="101"/>
      <c r="AW43" s="101"/>
      <c r="AX43" s="102"/>
      <c r="AY43" s="103" t="s">
        <v>24</v>
      </c>
      <c r="AZ43" s="101"/>
      <c r="BA43" s="101"/>
      <c r="BB43" s="102"/>
      <c r="BC43" s="342"/>
      <c r="BD43" s="343"/>
      <c r="BE43" s="343"/>
      <c r="BF43" s="343"/>
      <c r="BG43" s="343"/>
      <c r="BH43" s="343"/>
      <c r="BI43" s="343"/>
      <c r="BJ43" s="344"/>
      <c r="BK43" s="28"/>
    </row>
    <row r="44" spans="1:63" x14ac:dyDescent="0.25">
      <c r="B44" s="103">
        <v>5</v>
      </c>
      <c r="C44" s="102"/>
      <c r="D44" s="107"/>
      <c r="E44" s="108"/>
      <c r="F44" s="108"/>
      <c r="G44" s="108"/>
      <c r="H44" s="108"/>
      <c r="I44" s="108"/>
      <c r="J44" s="109"/>
      <c r="K44" s="110" t="s">
        <v>29</v>
      </c>
      <c r="L44" s="111"/>
      <c r="M44" s="112"/>
      <c r="N44" s="34" t="s">
        <v>27</v>
      </c>
      <c r="O44" s="31" t="s">
        <v>22</v>
      </c>
      <c r="P44" s="103" t="s">
        <v>25</v>
      </c>
      <c r="Q44" s="101"/>
      <c r="R44" s="101"/>
      <c r="S44" s="102"/>
      <c r="T44" s="103" t="s">
        <v>25</v>
      </c>
      <c r="U44" s="101"/>
      <c r="V44" s="101"/>
      <c r="W44" s="102"/>
      <c r="X44" s="100" t="s">
        <v>22</v>
      </c>
      <c r="Y44" s="101"/>
      <c r="Z44" s="102"/>
      <c r="AA44" s="103" t="s">
        <v>24</v>
      </c>
      <c r="AB44" s="101"/>
      <c r="AC44" s="101"/>
      <c r="AD44" s="101"/>
      <c r="AE44" s="101"/>
      <c r="AF44" s="101"/>
      <c r="AG44" s="101"/>
      <c r="AH44" s="102"/>
      <c r="AI44" s="104" t="s">
        <v>24</v>
      </c>
      <c r="AJ44" s="105"/>
      <c r="AK44" s="105"/>
      <c r="AL44" s="105"/>
      <c r="AM44" s="105"/>
      <c r="AN44" s="105"/>
      <c r="AO44" s="105"/>
      <c r="AP44" s="105"/>
      <c r="AQ44" s="106"/>
      <c r="AR44" s="33" t="s">
        <v>22</v>
      </c>
      <c r="AS44" s="33" t="s">
        <v>24</v>
      </c>
      <c r="AT44" s="33" t="s">
        <v>24</v>
      </c>
      <c r="AU44" s="103" t="s">
        <v>25</v>
      </c>
      <c r="AV44" s="101"/>
      <c r="AW44" s="101"/>
      <c r="AX44" s="102"/>
      <c r="AY44" s="103" t="s">
        <v>24</v>
      </c>
      <c r="AZ44" s="101"/>
      <c r="BA44" s="101"/>
      <c r="BB44" s="102"/>
      <c r="BC44" s="338"/>
      <c r="BD44" s="336"/>
      <c r="BE44" s="336"/>
      <c r="BF44" s="336"/>
      <c r="BG44" s="336"/>
      <c r="BH44" s="336"/>
      <c r="BI44" s="336"/>
      <c r="BJ44" s="337"/>
      <c r="BK44" s="28"/>
    </row>
    <row r="45" spans="1:63" x14ac:dyDescent="0.25">
      <c r="B45" s="85">
        <v>6</v>
      </c>
      <c r="C45" s="87"/>
      <c r="D45" s="91"/>
      <c r="E45" s="92"/>
      <c r="F45" s="92"/>
      <c r="G45" s="92"/>
      <c r="H45" s="92"/>
      <c r="I45" s="92"/>
      <c r="J45" s="93"/>
      <c r="K45" s="94" t="s">
        <v>30</v>
      </c>
      <c r="L45" s="95"/>
      <c r="M45" s="96"/>
      <c r="N45" s="35" t="s">
        <v>27</v>
      </c>
      <c r="O45" s="35" t="s">
        <v>23</v>
      </c>
      <c r="P45" s="85" t="s">
        <v>25</v>
      </c>
      <c r="Q45" s="86"/>
      <c r="R45" s="86"/>
      <c r="S45" s="87"/>
      <c r="T45" s="85" t="s">
        <v>25</v>
      </c>
      <c r="U45" s="86"/>
      <c r="V45" s="86"/>
      <c r="W45" s="87"/>
      <c r="X45" s="97" t="s">
        <v>87</v>
      </c>
      <c r="Y45" s="98"/>
      <c r="Z45" s="99"/>
      <c r="AA45" s="85" t="s">
        <v>24</v>
      </c>
      <c r="AB45" s="86"/>
      <c r="AC45" s="86"/>
      <c r="AD45" s="86"/>
      <c r="AE45" s="86"/>
      <c r="AF45" s="86"/>
      <c r="AG45" s="86"/>
      <c r="AH45" s="87"/>
      <c r="AI45" s="88" t="s">
        <v>31</v>
      </c>
      <c r="AJ45" s="89"/>
      <c r="AK45" s="89"/>
      <c r="AL45" s="89"/>
      <c r="AM45" s="89"/>
      <c r="AN45" s="89"/>
      <c r="AO45" s="89"/>
      <c r="AP45" s="89"/>
      <c r="AQ45" s="90"/>
      <c r="AR45" s="36" t="s">
        <v>22</v>
      </c>
      <c r="AS45" s="36" t="s">
        <v>24</v>
      </c>
      <c r="AT45" s="36" t="s">
        <v>24</v>
      </c>
      <c r="AU45" s="85" t="s">
        <v>25</v>
      </c>
      <c r="AV45" s="86"/>
      <c r="AW45" s="86"/>
      <c r="AX45" s="87"/>
      <c r="AY45" s="85" t="s">
        <v>24</v>
      </c>
      <c r="AZ45" s="86"/>
      <c r="BA45" s="86"/>
      <c r="BB45" s="87"/>
      <c r="BC45" s="345" t="s">
        <v>32</v>
      </c>
      <c r="BD45" s="346"/>
      <c r="BE45" s="346"/>
      <c r="BF45" s="346"/>
      <c r="BG45" s="346"/>
      <c r="BH45" s="346"/>
      <c r="BI45" s="346"/>
      <c r="BJ45" s="347"/>
      <c r="BK45" s="28"/>
    </row>
    <row r="46" spans="1:63" x14ac:dyDescent="0.25">
      <c r="BK46" s="28"/>
    </row>
    <row r="47" spans="1:63" x14ac:dyDescent="0.25">
      <c r="BK47" s="28"/>
    </row>
    <row r="48" spans="1:63" x14ac:dyDescent="0.25">
      <c r="BK48" s="28"/>
    </row>
    <row r="49" spans="1:63" x14ac:dyDescent="0.25">
      <c r="BK49" s="28"/>
    </row>
    <row r="50" spans="1:63" x14ac:dyDescent="0.25">
      <c r="BK50" s="28"/>
    </row>
    <row r="51" spans="1:63" x14ac:dyDescent="0.25">
      <c r="BK51" s="28"/>
    </row>
    <row r="52" spans="1:63" x14ac:dyDescent="0.25">
      <c r="BK52" s="28"/>
    </row>
    <row r="53" spans="1:63" x14ac:dyDescent="0.25">
      <c r="BK53" s="28"/>
    </row>
    <row r="54" spans="1:63" x14ac:dyDescent="0.25">
      <c r="BK54" s="28"/>
    </row>
    <row r="55" spans="1:63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6"/>
    </row>
  </sheetData>
  <mergeCells count="10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</mergeCells>
  <dataValidations count="1">
    <dataValidation type="list" allowBlank="1" showInputMessage="1" showErrorMessage="1" sqref="O40:O45" xr:uid="{00000000-0002-0000-06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01" customWidth="1"/>
    <col min="61" max="16384" width="2.77734375" style="201"/>
  </cols>
  <sheetData>
    <row r="1" spans="1:63" ht="24.95" customHeight="1" x14ac:dyDescent="0.25">
      <c r="A1" s="320" t="s">
        <v>55</v>
      </c>
      <c r="B1" s="321"/>
      <c r="C1" s="321"/>
      <c r="D1" s="321"/>
      <c r="E1" s="321"/>
      <c r="F1" s="321"/>
      <c r="G1" s="321"/>
      <c r="H1" s="321"/>
      <c r="I1" s="321"/>
      <c r="J1" s="322"/>
      <c r="K1" s="320" t="s">
        <v>54</v>
      </c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2"/>
      <c r="W1" s="323" t="str">
        <f>IF(表紙!W1="","",表紙!W1)</f>
        <v>基本設計書</v>
      </c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5"/>
      <c r="AP1" s="195" t="s">
        <v>53</v>
      </c>
      <c r="AQ1" s="196"/>
      <c r="AR1" s="196"/>
      <c r="AS1" s="197"/>
      <c r="AT1" s="195" t="s">
        <v>52</v>
      </c>
      <c r="AU1" s="196"/>
      <c r="AV1" s="196"/>
      <c r="AW1" s="196"/>
      <c r="AX1" s="197"/>
      <c r="AY1" s="195" t="s">
        <v>44</v>
      </c>
      <c r="AZ1" s="196"/>
      <c r="BA1" s="196"/>
      <c r="BB1" s="197"/>
      <c r="BC1" s="195" t="s">
        <v>45</v>
      </c>
      <c r="BD1" s="196"/>
      <c r="BE1" s="196"/>
      <c r="BF1" s="196"/>
      <c r="BG1" s="197"/>
      <c r="BH1" s="195" t="s">
        <v>43</v>
      </c>
      <c r="BI1" s="196"/>
      <c r="BJ1" s="196"/>
      <c r="BK1" s="197"/>
    </row>
    <row r="2" spans="1:63" ht="15" customHeight="1" x14ac:dyDescent="0.25">
      <c r="A2" s="189" t="str">
        <f>IF(表紙!A2="","",表紙!A2)</f>
        <v>POSサーバー</v>
      </c>
      <c r="B2" s="190"/>
      <c r="C2" s="190"/>
      <c r="D2" s="190"/>
      <c r="E2" s="190"/>
      <c r="F2" s="190"/>
      <c r="G2" s="190"/>
      <c r="H2" s="190"/>
      <c r="I2" s="190"/>
      <c r="J2" s="191"/>
      <c r="K2" s="189" t="str">
        <f>IF(表紙!K2="","",表紙!K2)</f>
        <v>POSサーバ</v>
      </c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1"/>
      <c r="W2" s="326"/>
      <c r="X2" s="327"/>
      <c r="Y2" s="327"/>
      <c r="Z2" s="327"/>
      <c r="AA2" s="327"/>
      <c r="AB2" s="327"/>
      <c r="AC2" s="327"/>
      <c r="AD2" s="327"/>
      <c r="AE2" s="327"/>
      <c r="AF2" s="327"/>
      <c r="AG2" s="327"/>
      <c r="AH2" s="327"/>
      <c r="AI2" s="327"/>
      <c r="AJ2" s="327"/>
      <c r="AK2" s="327"/>
      <c r="AL2" s="327"/>
      <c r="AM2" s="327"/>
      <c r="AN2" s="327"/>
      <c r="AO2" s="328"/>
      <c r="AP2" s="204" t="str">
        <f>IF(表紙!AP2="","",表紙!AP2)</f>
        <v>TinNH</v>
      </c>
      <c r="AQ2" s="202"/>
      <c r="AR2" s="202"/>
      <c r="AS2" s="203"/>
      <c r="AT2" s="208">
        <f>IF(表紙!AT2="","",表紙!AT2)</f>
        <v>45450</v>
      </c>
      <c r="AU2" s="209"/>
      <c r="AV2" s="209"/>
      <c r="AW2" s="209"/>
      <c r="AX2" s="210"/>
      <c r="AY2" s="204" t="str">
        <f>IF(表紙!AY2="","",表紙!AY2)</f>
        <v>DuNT</v>
      </c>
      <c r="AZ2" s="202"/>
      <c r="BA2" s="202"/>
      <c r="BB2" s="203"/>
      <c r="BC2" s="208">
        <f>IF(表紙!BC2="","",表紙!BC2)</f>
        <v>45531</v>
      </c>
      <c r="BD2" s="209"/>
      <c r="BE2" s="209"/>
      <c r="BF2" s="209"/>
      <c r="BG2" s="210"/>
      <c r="BH2" s="204">
        <f>IF(表紙!BH2="","",表紙!BH2)</f>
        <v>0.4</v>
      </c>
      <c r="BI2" s="202"/>
      <c r="BJ2" s="202"/>
      <c r="BK2" s="203"/>
    </row>
    <row r="3" spans="1:63" ht="15" customHeight="1" x14ac:dyDescent="0.25">
      <c r="A3" s="192"/>
      <c r="B3" s="193"/>
      <c r="C3" s="193"/>
      <c r="D3" s="193"/>
      <c r="E3" s="193"/>
      <c r="F3" s="193"/>
      <c r="G3" s="193"/>
      <c r="H3" s="193"/>
      <c r="I3" s="193"/>
      <c r="J3" s="194"/>
      <c r="K3" s="192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4"/>
      <c r="W3" s="329"/>
      <c r="X3" s="330"/>
      <c r="Y3" s="330"/>
      <c r="Z3" s="330"/>
      <c r="AA3" s="330"/>
      <c r="AB3" s="330"/>
      <c r="AC3" s="330"/>
      <c r="AD3" s="330"/>
      <c r="AE3" s="330"/>
      <c r="AF3" s="330"/>
      <c r="AG3" s="330"/>
      <c r="AH3" s="330"/>
      <c r="AI3" s="330"/>
      <c r="AJ3" s="330"/>
      <c r="AK3" s="330"/>
      <c r="AL3" s="330"/>
      <c r="AM3" s="330"/>
      <c r="AN3" s="330"/>
      <c r="AO3" s="331"/>
      <c r="AP3" s="214"/>
      <c r="AQ3" s="215"/>
      <c r="AR3" s="215"/>
      <c r="AS3" s="216"/>
      <c r="AT3" s="220"/>
      <c r="AU3" s="221"/>
      <c r="AV3" s="221"/>
      <c r="AW3" s="221"/>
      <c r="AX3" s="222"/>
      <c r="AY3" s="214"/>
      <c r="AZ3" s="215"/>
      <c r="BA3" s="215"/>
      <c r="BB3" s="216"/>
      <c r="BC3" s="220"/>
      <c r="BD3" s="221"/>
      <c r="BE3" s="221"/>
      <c r="BF3" s="221"/>
      <c r="BG3" s="222"/>
      <c r="BH3" s="214"/>
      <c r="BI3" s="215"/>
      <c r="BJ3" s="215"/>
      <c r="BK3" s="216"/>
    </row>
    <row r="4" spans="1:63" ht="24.95" customHeight="1" x14ac:dyDescent="0.25">
      <c r="A4" s="320" t="s">
        <v>49</v>
      </c>
      <c r="B4" s="321"/>
      <c r="C4" s="321"/>
      <c r="D4" s="321"/>
      <c r="E4" s="321"/>
      <c r="F4" s="321"/>
      <c r="G4" s="322"/>
      <c r="H4" s="167" t="str">
        <f>IF(表紙!H4="","",表紙!H4)</f>
        <v>74_予算登録</v>
      </c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9"/>
      <c r="U4" s="320" t="s">
        <v>48</v>
      </c>
      <c r="V4" s="321"/>
      <c r="W4" s="321"/>
      <c r="X4" s="321"/>
      <c r="Y4" s="322"/>
      <c r="Z4" s="167" t="str">
        <f>IF(表紙!Z4="","",表紙!Z4)</f>
        <v>概要設計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9"/>
      <c r="AP4" s="170" t="str">
        <f ca="1">MID(CELL("filename",A1),FIND("]",CELL("filename",A1))+1,255)</f>
        <v>テンプレート</v>
      </c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9"/>
    </row>
    <row r="5" spans="1:63" ht="5.0999999999999996" customHeight="1" x14ac:dyDescent="0.25">
      <c r="A5" s="229"/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  <c r="AV5" s="230"/>
      <c r="AW5" s="230"/>
      <c r="AX5" s="230"/>
      <c r="AY5" s="230"/>
      <c r="AZ5" s="230"/>
      <c r="BA5" s="230"/>
      <c r="BB5" s="230"/>
      <c r="BC5" s="230"/>
      <c r="BD5" s="230"/>
      <c r="BE5" s="230"/>
      <c r="BF5" s="230"/>
      <c r="BG5" s="230"/>
      <c r="BH5" s="230"/>
      <c r="BI5" s="230"/>
      <c r="BJ5" s="230"/>
      <c r="BK5" s="231"/>
    </row>
    <row r="6" spans="1:63" ht="15" customHeight="1" x14ac:dyDescent="0.25">
      <c r="A6" s="232"/>
      <c r="BK6" s="233"/>
    </row>
    <row r="7" spans="1:63" ht="15" customHeight="1" x14ac:dyDescent="0.25">
      <c r="A7" s="232"/>
      <c r="B7" s="303"/>
      <c r="C7" s="304"/>
      <c r="D7" s="305"/>
      <c r="E7" s="305"/>
      <c r="F7" s="305"/>
      <c r="G7" s="305"/>
      <c r="H7" s="305"/>
      <c r="I7" s="305"/>
      <c r="J7" s="305"/>
      <c r="K7" s="305"/>
      <c r="L7" s="305"/>
      <c r="M7" s="305"/>
      <c r="N7" s="305"/>
      <c r="O7" s="305"/>
      <c r="P7" s="305"/>
      <c r="Q7" s="305"/>
      <c r="R7" s="305"/>
      <c r="S7" s="305"/>
      <c r="T7" s="306"/>
      <c r="U7" s="304"/>
      <c r="V7" s="305"/>
      <c r="W7" s="305"/>
      <c r="X7" s="305"/>
      <c r="Y7" s="305"/>
      <c r="Z7" s="305"/>
      <c r="AA7" s="305"/>
      <c r="AB7" s="305"/>
      <c r="AC7" s="306"/>
      <c r="AD7" s="304"/>
      <c r="AE7" s="305"/>
      <c r="AF7" s="305"/>
      <c r="AG7" s="305"/>
      <c r="AH7" s="305"/>
      <c r="AI7" s="305"/>
      <c r="AJ7" s="305"/>
      <c r="AK7" s="305"/>
      <c r="AL7" s="306"/>
      <c r="AM7" s="304"/>
      <c r="AN7" s="305"/>
      <c r="AO7" s="305"/>
      <c r="AP7" s="305"/>
      <c r="AQ7" s="305"/>
      <c r="AR7" s="305"/>
      <c r="AS7" s="305"/>
      <c r="AT7" s="305"/>
      <c r="AU7" s="305"/>
      <c r="AV7" s="305"/>
      <c r="AW7" s="305"/>
      <c r="AX7" s="305"/>
      <c r="AY7" s="305"/>
      <c r="AZ7" s="305"/>
      <c r="BA7" s="305"/>
      <c r="BB7" s="305"/>
      <c r="BC7" s="305"/>
      <c r="BD7" s="305"/>
      <c r="BE7" s="305"/>
      <c r="BF7" s="305"/>
      <c r="BG7" s="305"/>
      <c r="BH7" s="305"/>
      <c r="BI7" s="306"/>
      <c r="BJ7" s="305"/>
      <c r="BK7" s="233"/>
    </row>
    <row r="8" spans="1:63" ht="15" customHeight="1" x14ac:dyDescent="0.25">
      <c r="A8" s="232"/>
      <c r="C8" s="307"/>
      <c r="U8" s="307"/>
      <c r="AD8" s="307"/>
      <c r="AM8" s="307"/>
      <c r="BI8" s="309"/>
    </row>
    <row r="9" spans="1:63" ht="15" customHeight="1" x14ac:dyDescent="0.25">
      <c r="A9" s="232"/>
      <c r="C9" s="307"/>
      <c r="U9" s="307"/>
      <c r="AD9" s="307"/>
      <c r="AM9" s="307"/>
      <c r="BI9" s="309"/>
    </row>
    <row r="10" spans="1:63" ht="15" customHeight="1" x14ac:dyDescent="0.25">
      <c r="A10" s="232"/>
      <c r="C10" s="307"/>
      <c r="U10" s="307"/>
      <c r="AD10" s="307"/>
      <c r="AM10" s="307"/>
      <c r="BI10" s="309"/>
    </row>
    <row r="11" spans="1:63" ht="15" customHeight="1" x14ac:dyDescent="0.25">
      <c r="A11" s="232"/>
      <c r="C11" s="307"/>
      <c r="U11" s="307"/>
      <c r="AD11" s="307"/>
      <c r="AM11" s="307"/>
      <c r="BI11" s="309"/>
    </row>
    <row r="12" spans="1:63" ht="15" customHeight="1" x14ac:dyDescent="0.25">
      <c r="A12" s="232"/>
      <c r="C12" s="307"/>
      <c r="U12" s="307"/>
      <c r="AD12" s="307"/>
      <c r="AM12" s="307"/>
      <c r="AX12" s="201" t="s">
        <v>33</v>
      </c>
      <c r="BI12" s="309"/>
    </row>
    <row r="13" spans="1:63" ht="15" customHeight="1" x14ac:dyDescent="0.25">
      <c r="A13" s="232"/>
      <c r="C13" s="307"/>
      <c r="U13" s="307"/>
      <c r="AD13" s="307"/>
      <c r="AM13" s="307"/>
      <c r="BI13" s="309"/>
    </row>
    <row r="14" spans="1:63" ht="15" customHeight="1" x14ac:dyDescent="0.25">
      <c r="A14" s="232"/>
      <c r="C14" s="307"/>
      <c r="U14" s="307"/>
      <c r="AD14" s="307"/>
      <c r="AM14" s="307"/>
      <c r="BI14" s="309"/>
    </row>
    <row r="15" spans="1:63" ht="15" customHeight="1" x14ac:dyDescent="0.25">
      <c r="A15" s="232"/>
      <c r="C15" s="307"/>
      <c r="U15" s="307"/>
      <c r="AD15" s="307"/>
      <c r="AM15" s="307"/>
      <c r="BI15" s="309"/>
    </row>
    <row r="16" spans="1:63" ht="15" customHeight="1" x14ac:dyDescent="0.25">
      <c r="A16" s="232"/>
      <c r="C16" s="307"/>
      <c r="U16" s="307"/>
      <c r="AD16" s="307"/>
      <c r="AM16" s="307"/>
      <c r="BI16" s="309"/>
    </row>
    <row r="17" spans="1:61" ht="15" customHeight="1" x14ac:dyDescent="0.25">
      <c r="A17" s="232"/>
      <c r="C17" s="307"/>
      <c r="U17" s="307"/>
      <c r="AD17" s="307"/>
      <c r="AM17" s="307"/>
      <c r="BI17" s="309"/>
    </row>
    <row r="18" spans="1:61" ht="15" customHeight="1" x14ac:dyDescent="0.25">
      <c r="A18" s="232"/>
      <c r="C18" s="307"/>
      <c r="U18" s="307"/>
      <c r="AD18" s="307"/>
      <c r="AM18" s="307"/>
      <c r="BI18" s="309"/>
    </row>
    <row r="19" spans="1:61" ht="15" customHeight="1" x14ac:dyDescent="0.25">
      <c r="A19" s="232"/>
      <c r="C19" s="307"/>
      <c r="U19" s="307"/>
      <c r="AD19" s="307"/>
      <c r="AM19" s="307"/>
      <c r="BI19" s="309"/>
    </row>
    <row r="20" spans="1:61" ht="15" customHeight="1" x14ac:dyDescent="0.25">
      <c r="A20" s="232"/>
      <c r="C20" s="307"/>
      <c r="U20" s="307"/>
      <c r="AD20" s="307"/>
      <c r="AM20" s="307"/>
      <c r="BI20" s="309"/>
    </row>
    <row r="21" spans="1:61" ht="15" customHeight="1" x14ac:dyDescent="0.25">
      <c r="A21" s="232"/>
      <c r="C21" s="307"/>
      <c r="U21" s="307"/>
      <c r="AD21" s="307"/>
      <c r="AM21" s="307"/>
      <c r="BI21" s="309"/>
    </row>
    <row r="22" spans="1:61" ht="15" customHeight="1" x14ac:dyDescent="0.25">
      <c r="A22" s="232"/>
      <c r="C22" s="307"/>
      <c r="U22" s="307"/>
      <c r="AD22" s="307"/>
      <c r="AM22" s="307"/>
      <c r="BI22" s="309"/>
    </row>
    <row r="23" spans="1:61" ht="15" customHeight="1" x14ac:dyDescent="0.25">
      <c r="A23" s="232"/>
      <c r="C23" s="307"/>
      <c r="U23" s="307"/>
      <c r="AD23" s="307"/>
      <c r="AM23" s="307"/>
      <c r="BI23" s="309"/>
    </row>
    <row r="24" spans="1:61" ht="15" customHeight="1" x14ac:dyDescent="0.25">
      <c r="A24" s="232"/>
      <c r="C24" s="307"/>
      <c r="U24" s="307"/>
      <c r="AD24" s="307"/>
      <c r="AM24" s="307"/>
      <c r="BI24" s="309"/>
    </row>
    <row r="25" spans="1:61" ht="15" customHeight="1" x14ac:dyDescent="0.25">
      <c r="A25" s="232"/>
      <c r="C25" s="307"/>
      <c r="U25" s="307"/>
      <c r="AD25" s="307"/>
      <c r="AM25" s="307"/>
      <c r="BI25" s="309"/>
    </row>
    <row r="26" spans="1:61" ht="15" customHeight="1" x14ac:dyDescent="0.25">
      <c r="A26" s="232"/>
      <c r="C26" s="307"/>
      <c r="U26" s="307"/>
      <c r="AD26" s="307"/>
      <c r="AM26" s="307"/>
      <c r="BI26" s="309"/>
    </row>
    <row r="27" spans="1:61" ht="15" customHeight="1" x14ac:dyDescent="0.25">
      <c r="A27" s="232"/>
      <c r="C27" s="307"/>
      <c r="U27" s="307"/>
      <c r="AD27" s="307"/>
      <c r="AM27" s="307"/>
      <c r="BI27" s="309"/>
    </row>
    <row r="28" spans="1:61" ht="15" customHeight="1" x14ac:dyDescent="0.25">
      <c r="A28" s="232"/>
      <c r="C28" s="307"/>
      <c r="U28" s="307"/>
      <c r="AD28" s="307"/>
      <c r="AM28" s="307"/>
      <c r="BI28" s="309"/>
    </row>
    <row r="29" spans="1:61" ht="15" customHeight="1" x14ac:dyDescent="0.25">
      <c r="A29" s="232"/>
      <c r="C29" s="307"/>
      <c r="U29" s="307"/>
      <c r="AD29" s="307"/>
      <c r="AM29" s="307"/>
      <c r="BI29" s="309"/>
    </row>
    <row r="30" spans="1:61" ht="15" customHeight="1" x14ac:dyDescent="0.25">
      <c r="A30" s="232"/>
      <c r="C30" s="307"/>
      <c r="U30" s="307"/>
      <c r="AD30" s="307"/>
      <c r="AM30" s="307"/>
      <c r="BI30" s="309"/>
    </row>
    <row r="31" spans="1:61" ht="15" customHeight="1" x14ac:dyDescent="0.25">
      <c r="A31" s="232"/>
      <c r="C31" s="307"/>
      <c r="U31" s="307"/>
      <c r="AD31" s="307"/>
      <c r="AM31" s="307"/>
      <c r="BI31" s="309"/>
    </row>
    <row r="32" spans="1:61" ht="15" customHeight="1" x14ac:dyDescent="0.25">
      <c r="A32" s="232"/>
      <c r="C32" s="307"/>
      <c r="U32" s="307"/>
      <c r="AD32" s="307"/>
      <c r="AM32" s="307"/>
      <c r="BI32" s="309"/>
    </row>
    <row r="33" spans="1:61" ht="15" customHeight="1" x14ac:dyDescent="0.25">
      <c r="A33" s="232"/>
      <c r="C33" s="307"/>
      <c r="U33" s="307"/>
      <c r="AD33" s="307"/>
      <c r="AM33" s="307"/>
      <c r="BI33" s="309"/>
    </row>
    <row r="34" spans="1:61" ht="15" customHeight="1" x14ac:dyDescent="0.25">
      <c r="A34" s="232"/>
      <c r="C34" s="307"/>
      <c r="U34" s="307"/>
      <c r="AD34" s="307"/>
      <c r="AM34" s="307"/>
      <c r="BI34" s="309"/>
    </row>
    <row r="35" spans="1:61" ht="15" customHeight="1" x14ac:dyDescent="0.25">
      <c r="A35" s="232"/>
      <c r="C35" s="307"/>
      <c r="U35" s="307"/>
      <c r="AD35" s="307"/>
      <c r="AM35" s="307"/>
      <c r="BI35" s="309"/>
    </row>
    <row r="36" spans="1:61" ht="15" customHeight="1" x14ac:dyDescent="0.25">
      <c r="A36" s="232"/>
      <c r="C36" s="307"/>
      <c r="U36" s="307"/>
      <c r="AD36" s="307"/>
      <c r="AM36" s="307"/>
      <c r="BI36" s="309"/>
    </row>
    <row r="37" spans="1:61" ht="15" customHeight="1" x14ac:dyDescent="0.25">
      <c r="A37" s="232"/>
      <c r="C37" s="307"/>
      <c r="U37" s="307"/>
      <c r="AD37" s="307"/>
      <c r="AM37" s="307"/>
      <c r="BI37" s="309"/>
    </row>
    <row r="38" spans="1:61" ht="15" customHeight="1" x14ac:dyDescent="0.25">
      <c r="A38" s="232"/>
      <c r="C38" s="307"/>
      <c r="U38" s="307"/>
      <c r="AD38" s="307"/>
      <c r="AM38" s="307"/>
      <c r="BI38" s="309"/>
    </row>
    <row r="39" spans="1:61" ht="15" customHeight="1" x14ac:dyDescent="0.25">
      <c r="A39" s="232"/>
      <c r="C39" s="307"/>
      <c r="U39" s="307"/>
      <c r="AD39" s="307"/>
      <c r="AM39" s="307"/>
      <c r="BI39" s="309"/>
    </row>
    <row r="40" spans="1:61" ht="15" customHeight="1" x14ac:dyDescent="0.25">
      <c r="A40" s="232"/>
      <c r="C40" s="307"/>
      <c r="U40" s="307"/>
      <c r="AD40" s="307"/>
      <c r="AM40" s="307"/>
      <c r="BI40" s="309"/>
    </row>
    <row r="41" spans="1:61" ht="15" customHeight="1" x14ac:dyDescent="0.25">
      <c r="A41" s="232"/>
      <c r="C41" s="307"/>
      <c r="U41" s="307"/>
      <c r="AD41" s="307"/>
      <c r="AM41" s="307"/>
      <c r="BI41" s="309"/>
    </row>
    <row r="42" spans="1:61" ht="15" customHeight="1" x14ac:dyDescent="0.25">
      <c r="A42" s="232"/>
      <c r="C42" s="307"/>
      <c r="U42" s="307"/>
      <c r="AD42" s="307"/>
      <c r="AM42" s="307"/>
      <c r="BI42" s="309"/>
    </row>
    <row r="43" spans="1:61" ht="15" customHeight="1" x14ac:dyDescent="0.25">
      <c r="A43" s="232"/>
      <c r="C43" s="307"/>
      <c r="U43" s="307"/>
      <c r="AD43" s="307"/>
      <c r="AM43" s="307"/>
      <c r="BI43" s="309"/>
    </row>
    <row r="44" spans="1:61" ht="15" customHeight="1" x14ac:dyDescent="0.25">
      <c r="A44" s="232"/>
      <c r="C44" s="307"/>
      <c r="U44" s="307"/>
      <c r="AD44" s="307"/>
      <c r="AM44" s="307"/>
      <c r="BI44" s="309"/>
    </row>
    <row r="45" spans="1:61" ht="15" customHeight="1" x14ac:dyDescent="0.25">
      <c r="A45" s="232"/>
      <c r="C45" s="307"/>
      <c r="U45" s="307"/>
      <c r="AD45" s="307"/>
      <c r="AM45" s="307"/>
      <c r="BI45" s="309"/>
    </row>
    <row r="46" spans="1:61" ht="15" customHeight="1" x14ac:dyDescent="0.25">
      <c r="A46" s="232"/>
      <c r="C46" s="307"/>
      <c r="U46" s="307"/>
      <c r="AD46" s="307"/>
      <c r="AM46" s="307"/>
      <c r="BI46" s="309"/>
    </row>
    <row r="47" spans="1:61" ht="15" customHeight="1" x14ac:dyDescent="0.25">
      <c r="A47" s="232"/>
      <c r="C47" s="307"/>
      <c r="U47" s="307"/>
      <c r="AD47" s="307"/>
      <c r="AM47" s="307"/>
      <c r="BI47" s="309"/>
    </row>
    <row r="48" spans="1:61" ht="15" customHeight="1" x14ac:dyDescent="0.25">
      <c r="A48" s="232"/>
      <c r="C48" s="307"/>
      <c r="U48" s="307"/>
      <c r="AD48" s="307"/>
      <c r="AM48" s="307"/>
      <c r="BI48" s="309"/>
    </row>
    <row r="49" spans="1:63" ht="15" customHeight="1" x14ac:dyDescent="0.25">
      <c r="A49" s="232"/>
      <c r="C49" s="307"/>
      <c r="U49" s="307"/>
      <c r="AD49" s="307"/>
      <c r="AM49" s="307"/>
      <c r="BI49" s="309"/>
    </row>
    <row r="50" spans="1:63" ht="15" customHeight="1" x14ac:dyDescent="0.25">
      <c r="A50" s="232"/>
      <c r="C50" s="307"/>
      <c r="U50" s="307"/>
      <c r="AD50" s="307"/>
      <c r="AM50" s="307"/>
      <c r="BI50" s="309"/>
    </row>
    <row r="51" spans="1:63" ht="15" customHeight="1" x14ac:dyDescent="0.25">
      <c r="A51" s="232"/>
      <c r="C51" s="307"/>
      <c r="U51" s="307"/>
      <c r="AD51" s="307"/>
      <c r="AM51" s="307"/>
      <c r="BI51" s="309"/>
    </row>
    <row r="52" spans="1:63" ht="15" customHeight="1" x14ac:dyDescent="0.25">
      <c r="A52" s="232"/>
      <c r="C52" s="307"/>
      <c r="U52" s="307"/>
      <c r="AD52" s="307"/>
      <c r="AM52" s="307"/>
      <c r="BI52" s="309"/>
    </row>
    <row r="53" spans="1:63" ht="15" customHeight="1" x14ac:dyDescent="0.25">
      <c r="A53" s="232"/>
      <c r="C53" s="307"/>
      <c r="U53" s="307"/>
      <c r="AD53" s="307"/>
      <c r="AM53" s="307"/>
      <c r="BI53" s="309"/>
    </row>
    <row r="54" spans="1:63" ht="15" customHeight="1" x14ac:dyDescent="0.25">
      <c r="A54" s="232"/>
      <c r="C54" s="307"/>
      <c r="U54" s="307"/>
      <c r="AD54" s="307"/>
      <c r="AM54" s="307"/>
      <c r="BI54" s="309"/>
    </row>
    <row r="55" spans="1:63" ht="15" customHeight="1" x14ac:dyDescent="0.25">
      <c r="A55" s="229"/>
      <c r="B55" s="348"/>
      <c r="C55" s="230"/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30"/>
      <c r="U55" s="348"/>
      <c r="V55" s="230"/>
      <c r="W55" s="230"/>
      <c r="X55" s="230"/>
      <c r="Y55" s="230"/>
      <c r="Z55" s="230"/>
      <c r="AA55" s="230"/>
      <c r="AB55" s="230"/>
      <c r="AC55" s="230"/>
      <c r="AD55" s="348"/>
      <c r="AE55" s="230"/>
      <c r="AF55" s="230"/>
      <c r="AG55" s="230"/>
      <c r="AH55" s="230"/>
      <c r="AI55" s="230"/>
      <c r="AJ55" s="230"/>
      <c r="AK55" s="230"/>
      <c r="AL55" s="230"/>
      <c r="AM55" s="348"/>
      <c r="AN55" s="230"/>
      <c r="AO55" s="230"/>
      <c r="AP55" s="230"/>
      <c r="AQ55" s="230"/>
      <c r="AR55" s="230"/>
      <c r="AS55" s="230"/>
      <c r="AT55" s="230"/>
      <c r="AU55" s="230"/>
      <c r="AV55" s="230"/>
      <c r="AW55" s="230"/>
      <c r="AX55" s="230"/>
      <c r="AY55" s="230"/>
      <c r="AZ55" s="230"/>
      <c r="BA55" s="230"/>
      <c r="BB55" s="230"/>
      <c r="BC55" s="230"/>
      <c r="BD55" s="230"/>
      <c r="BE55" s="230"/>
      <c r="BF55" s="230"/>
      <c r="BG55" s="230"/>
      <c r="BH55" s="230"/>
      <c r="BI55" s="349"/>
      <c r="BJ55" s="230"/>
      <c r="BK55" s="231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13</vt:i4>
      </vt:variant>
    </vt:vector>
  </HeadingPairs>
  <TitlesOfParts>
    <vt:vector size="21" baseType="lpstr">
      <vt:lpstr>表紙</vt:lpstr>
      <vt:lpstr>改訂履歴</vt:lpstr>
      <vt:lpstr>指摘履歴</vt:lpstr>
      <vt:lpstr>業務フロー</vt:lpstr>
      <vt:lpstr>機能概要説明</vt:lpstr>
      <vt:lpstr>機能概要</vt:lpstr>
      <vt:lpstr>画面設計書</vt:lpstr>
      <vt:lpstr>テンプレート</vt:lpstr>
      <vt:lpstr>テンプレート!Print_Area</vt:lpstr>
      <vt:lpstr>指摘履歴!Print_Area</vt:lpstr>
      <vt:lpstr>改訂履歴!Print_Area</vt:lpstr>
      <vt:lpstr>機能概要!Print_Area</vt:lpstr>
      <vt:lpstr>機能概要説明!Print_Area</vt:lpstr>
      <vt:lpstr>表紙!Print_Area</vt:lpstr>
      <vt:lpstr>テンプレート!Print_Titles</vt:lpstr>
      <vt:lpstr>指摘履歴!Print_Titles</vt:lpstr>
      <vt:lpstr>改訂履歴!Print_Titles</vt:lpstr>
      <vt:lpstr>業務フロー!Print_Titles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2024-08-29T07:27:58Z</dcterms:modified>
  <cp:category/>
  <cp:contentStatus/>
</cp:coreProperties>
</file>