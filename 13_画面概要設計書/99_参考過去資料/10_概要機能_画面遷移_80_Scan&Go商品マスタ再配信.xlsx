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13F1F886-0981-4323-869F-57BA1939B2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機能概要!$A$1:$BK$112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AP4" i="5" a="1"/>
  <c r="AP4" i="5" s="1"/>
  <c r="Z4" i="5"/>
  <c r="H4" i="5"/>
  <c r="K2" i="5"/>
  <c r="A2" i="5"/>
  <c r="W1" i="5"/>
  <c r="BM9" i="8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8" i="8"/>
  <c r="BM7" i="8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7" s="1"/>
  <c r="AT2" i="4"/>
  <c r="AT2" i="7" s="1"/>
  <c r="AP2" i="4"/>
  <c r="AP2" i="5" s="1"/>
  <c r="BC2" i="3" l="1"/>
  <c r="BH2" i="6"/>
  <c r="AP2" i="8"/>
  <c r="BH2" i="8"/>
  <c r="AT2" i="5"/>
  <c r="BC2" i="7"/>
  <c r="AP2" i="2"/>
  <c r="BH2" i="2"/>
  <c r="AP2" i="3"/>
  <c r="BH2" i="3"/>
  <c r="AP2" i="6"/>
  <c r="AT2" i="8"/>
  <c r="AY2" i="5"/>
  <c r="AP2" i="7"/>
  <c r="BH2" i="7"/>
  <c r="AT2" i="2"/>
  <c r="AT2" i="3"/>
  <c r="AY2" i="6"/>
  <c r="AY2" i="8"/>
  <c r="BC2" i="5"/>
  <c r="AY2" i="2"/>
  <c r="AY2" i="3"/>
  <c r="BC2" i="6"/>
  <c r="BC2" i="8"/>
</calcChain>
</file>

<file path=xl/sharedStrings.xml><?xml version="1.0" encoding="utf-8"?>
<sst xmlns="http://schemas.openxmlformats.org/spreadsheetml/2006/main" count="195" uniqueCount="76">
  <si>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</si>
  <si>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</si>
  <si>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</si>
  <si>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</si>
  <si>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</si>
  <si>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</si>
  <si>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</si>
  <si>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</si>
  <si>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</si>
  <si>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</si>
  <si>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</si>
  <si>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</si>
  <si>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</si>
  <si>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</si>
  <si>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</si>
  <si>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</si>
  <si>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</si>
  <si>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</si>
  <si>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</si>
  <si>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</si>
  <si>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</si>
  <si>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</si>
  <si>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</si>
  <si>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</si>
  <si>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</si>
  <si>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</si>
  <si>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</si>
  <si>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</si>
  <si>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</si>
  <si>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</si>
  <si>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</si>
  <si>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80_Scan&amp;Go商品マスタ再配信</t>
    </r>
  </si>
  <si>
    <r>
      <rPr>
        <sz val="11"/>
        <color rgb="FF000000"/>
        <rFont val="Meiryo UI"/>
        <family val="2"/>
      </rPr>
      <t>Scan&amp;Go商品マスタ再配信機能では次のことが可能になる。</t>
    </r>
  </si>
  <si>
    <r>
      <rPr>
        <sz val="11"/>
        <color rgb="FF000000"/>
        <rFont val="Meiryo UI"/>
        <family val="2"/>
      </rPr>
      <t>システム権限を持つアカウントのみがこの機能を使用できる。</t>
    </r>
  </si>
  <si>
    <r>
      <rPr>
        <sz val="11"/>
        <color rgb="FF000000"/>
        <rFont val="Meiryo UI"/>
        <family val="2"/>
      </rPr>
      <t>・それぞれのScan&amp;Go店舗に適用する。</t>
    </r>
  </si>
  <si>
    <r>
      <rPr>
        <sz val="11"/>
        <color rgb="FF000000"/>
        <rFont val="Meiryo UI"/>
        <family val="2"/>
      </rPr>
      <t>・各商品の売価をScan&amp;Goサーバーに再配信してScan&amp;Goに提供する。</t>
    </r>
  </si>
  <si>
    <r>
      <rPr>
        <sz val="11"/>
        <color rgb="FF000000"/>
        <rFont val="Meiryo UI"/>
        <family val="2"/>
      </rPr>
      <t>MD_ERROR_商品が存在していないエラーモダール</t>
    </r>
  </si>
  <si>
    <r>
      <rPr>
        <sz val="11"/>
        <color rgb="FF000000"/>
        <rFont val="Meiryo UI"/>
        <family val="2"/>
      </rPr>
      <t>・バッチを実行して売価をScan&amp;Goサーバーに配信する。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</si>
  <si>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</si>
  <si>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</si>
  <si>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</si>
  <si>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</si>
  <si>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</si>
  <si>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</si>
  <si>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</si>
  <si>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</si>
  <si>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</si>
  <si>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</si>
  <si>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</si>
  <si>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</si>
  <si>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</si>
  <si>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</si>
  <si>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</si>
  <si>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</si>
  <si>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t>2024年06月18日のコメントによる更新</t>
  </si>
  <si>
    <t>80_Scan&amp;Go商品マスタ再配信</t>
  </si>
  <si>
    <t>SC8001_Scan&amp;Go商品マスタ再配信画面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</si>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</sst>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0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14" fontId="17" fillId="0" borderId="27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7" fillId="0" borderId="0" xfId="7" applyFont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44" xfId="6" applyFont="1" applyBorder="1" applyAlignment="1">
      <alignment vertical="center"/>
    </xf>
    <xf numFmtId="0" fontId="14" fillId="0" borderId="45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14" fillId="0" borderId="46" xfId="6" quotePrefix="1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80</xdr:row>
      <xdr:rowOff>0</xdr:rowOff>
    </xdr:from>
    <xdr:to>
      <xdr:col>61</xdr:col>
      <xdr:colOff>0</xdr:colOff>
      <xdr:row>87</xdr:row>
      <xdr:rowOff>0</xdr:rowOff>
    </xdr:to>
    <xdr:sp macro="" textlink="" fLocksText="0">
      <xdr:nvSpPr>
        <xdr:cNvPr id="135" name="吹き出し: 線 2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/>
      </xdr:nvSpPr>
      <xdr:spPr>
        <a:xfrm>
          <a:off x="10134600" y="15354300"/>
          <a:ext cx="6134100" cy="1333500"/>
        </a:xfrm>
        <a:prstGeom prst="borderCallout1">
          <a:avLst>
            <a:gd name="adj1" fmla="val 48210"/>
            <a:gd name="adj2" fmla="val 884"/>
            <a:gd name="adj3" fmla="val -118864"/>
            <a:gd name="adj4" fmla="val -10070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・商品コード又はPLUコードを入力し、フォーカスアウトした場合は自動的に検索する。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‣商品が存在していない場合、[商品名称]項目に「データが見つかりませんでした。」テキストを赤色で表示し、カーソルのフォーカスを外す。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‣商品が存在している場合、該当欄にデータを埋め込み、カーソルを次の行にフォーカスする。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‣PLUコードを入力すると、親のJANコードで自動検索する。</a:t>
          </a:r>
        </a:p>
      </xdr:txBody>
    </xdr:sp>
    <xdr:clientData/>
  </xdr:twoCellAnchor>
  <xdr:twoCellAnchor>
    <xdr:from>
      <xdr:col>38</xdr:col>
      <xdr:colOff>0</xdr:colOff>
      <xdr:row>40</xdr:row>
      <xdr:rowOff>0</xdr:rowOff>
    </xdr:from>
    <xdr:to>
      <xdr:col>61</xdr:col>
      <xdr:colOff>0</xdr:colOff>
      <xdr:row>79</xdr:row>
      <xdr:rowOff>0</xdr:rowOff>
    </xdr:to>
    <xdr:sp macro="" textlink="" fLocksText="0">
      <xdr:nvSpPr>
        <xdr:cNvPr id="134" name="吹き出し: 線 2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10134600" y="7734300"/>
          <a:ext cx="6134100" cy="7429500"/>
        </a:xfrm>
        <a:prstGeom prst="borderCallout1">
          <a:avLst>
            <a:gd name="adj1" fmla="val 48210"/>
            <a:gd name="adj2" fmla="val 884"/>
            <a:gd name="adj3" fmla="val 46811"/>
            <a:gd name="adj4" fmla="val -1311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・[F08:商品コード切替]ボタンを表示する。現在、他のフローにはこのボタンが追加されているが、このフローでは他のフローと同様に追加する。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・欄を含む空白の10行の表を表示する。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[商品コード]には以下の2つの項目が含まれている。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▸[部門コード]：数字のみ入力可能、最大2文字。1文字を入力した場合、フォーカスアウト時に前ゼロを自動補填する。入力しない場合、前ゼロを自動補填しない。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▸[商品コード]: 数字のみ入力可能、最大6文字。1文字以上を入力した場合、フォーカスアウト時に6文字を構成するために前ゼロを自動補填する。入力しない場合、前ゼロを自動補填しない。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[PLUコード]: 数字のみ入力可能、最大13文字。1文字以上を入力した場合、フォーカスアウト時に前ゼロを自動補填する。入力しない場合、前ゼロを自動補填しない。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[商品名称]：商品名称を表示して編集不可。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+[定番売価]: 商品の定番売価を表示する。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・[商品コード]欄を無効にし、[PLUコード]欄を有効にする。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・最初の[PLUコード]入力項目にカーソルをフォーカスする。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・最後の行を入力した場合、下に新しい行を作成する。画面サイズを超えた場合はスクロールできる。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 F04:クリア]ボタン：有効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・[F09:確定]ボタンを無効にする。表のデータ変更があった場合、[F09:確定]ボタンを有効にする。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アクション、イベント：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・[F08:商品コード切替]ボタンをタッチすると、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+[PLUコード]欄を無効にし、[商品コード]欄を有効にする。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+[F08:商品コード切替]ボタンを [F08:PLUコード切替]ボタンに切り替える。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・[F08:PLUコード切替]ボタンをタッチすると、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+[商品コード]欄を無効にし、[PLUコード]欄を有効にする。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+[F08:PLUコード切替]ボタンを[F08:商品コード切替]ボタンに切り替える。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・最後の行を入力した後、[F09:確定]ボタンを指す。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04:クリア]ボタンをタッチすると、画面上のデータをクリアし、確定ボタンを無効にし、[商品コード]欄を無効にし、[PLUコード]欄を有効にし、[F08:商品コード切替]ボタンを表示し、最初の行にフォーカスする。</a:t>
          </a:r>
        </a:p>
      </xdr:txBody>
    </xdr:sp>
    <xdr:clientData/>
  </xdr:twoCellAnchor>
  <xdr:twoCellAnchor>
    <xdr:from>
      <xdr:col>38</xdr:col>
      <xdr:colOff>0</xdr:colOff>
      <xdr:row>31</xdr:row>
      <xdr:rowOff>0</xdr:rowOff>
    </xdr:from>
    <xdr:to>
      <xdr:col>61</xdr:col>
      <xdr:colOff>0</xdr:colOff>
      <xdr:row>39</xdr:row>
      <xdr:rowOff>0</xdr:rowOff>
    </xdr:to>
    <xdr:sp macro="" textlink="" fLocksText="0">
      <xdr:nvSpPr>
        <xdr:cNvPr id="133" name="吹き出し: 線 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10134600" y="6019800"/>
          <a:ext cx="6134100" cy="1524000"/>
        </a:xfrm>
        <a:prstGeom prst="borderCallout1">
          <a:avLst>
            <a:gd name="adj1" fmla="val 48210"/>
            <a:gd name="adj2" fmla="val 884"/>
            <a:gd name="adj3" fmla="val 126653"/>
            <a:gd name="adj4" fmla="val -1311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・APIを呼び出して、選択した店舗がScan&amp;Go店舗かどうかを確認する。</a:t>
          </a:r>
        </a:p>
        <a:p>
          <a:pPr>
            <a:def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+Scan&amp;Go店舗の場合、SC8001_Scan&amp;Go商品マスタ再配信画面を表示する。</a:t>
          </a:r>
        </a:p>
        <a:p>
          <a:pPr>
            <a:def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+Scan&amp;Go店舗ではない場合、以下のエラーモダールを表示する。Scan&amp;Go対象店舗ではありません。再度、店舗を選択 してください。モダール上の「はい」をタッチすると、SC8001_Scan&amp;Go商品マスタ再配信画面を表示する。</a:t>
          </a:r>
        </a:p>
        <a:p>
          <a:pPr>
            <a:def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ルビナはScan&amp;Go店舗がScan&amp;Goマシン (フロー71) を設置している店舗であると認識していますが、合っていますか。</a:t>
          </a:r>
        </a:p>
      </xdr:txBody>
    </xdr:sp>
    <xdr:clientData/>
  </xdr:twoCellAnchor>
  <xdr:twoCellAnchor>
    <xdr:from>
      <xdr:col>38</xdr:col>
      <xdr:colOff>0</xdr:colOff>
      <xdr:row>16</xdr:row>
      <xdr:rowOff>0</xdr:rowOff>
    </xdr:from>
    <xdr:to>
      <xdr:col>61</xdr:col>
      <xdr:colOff>0</xdr:colOff>
      <xdr:row>20</xdr:row>
      <xdr:rowOff>0</xdr:rowOff>
    </xdr:to>
    <xdr:sp macro="" textlink="" fLocksText="0">
      <xdr:nvSpPr>
        <xdr:cNvPr id="130" name="吹き出し: 線 2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/>
      </xdr:nvSpPr>
      <xdr:spPr>
        <a:xfrm>
          <a:off x="10134600" y="3162300"/>
          <a:ext cx="6134100" cy="762000"/>
        </a:xfrm>
        <a:prstGeom prst="borderCallout1">
          <a:avLst>
            <a:gd name="adj1" fmla="val 51887"/>
            <a:gd name="adj2" fmla="val 470"/>
            <a:gd name="adj3" fmla="val 216872"/>
            <a:gd name="adj4" fmla="val -1095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21</xdr:row>
      <xdr:rowOff>0</xdr:rowOff>
    </xdr:from>
    <xdr:to>
      <xdr:col>61</xdr:col>
      <xdr:colOff>0</xdr:colOff>
      <xdr:row>27</xdr:row>
      <xdr:rowOff>22413</xdr:rowOff>
    </xdr:to>
    <xdr:sp macro="" textlink="" fLocksText="0">
      <xdr:nvSpPr>
        <xdr:cNvPr id="129" name="吹き出し: 線 2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10134600" y="4114800"/>
          <a:ext cx="6134100" cy="1162050"/>
        </a:xfrm>
        <a:prstGeom prst="borderCallout1">
          <a:avLst>
            <a:gd name="adj1" fmla="val 46845"/>
            <a:gd name="adj2" fmla="val 677"/>
            <a:gd name="adj3" fmla="val 173488"/>
            <a:gd name="adj4" fmla="val -1310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顧客が選択した店舗を保存する。SC8001_Scan&amp;Go商品マスタ再配信画面に戻ると、観客が選択した店舗を表示する。SCX0101_メインメニュー画面に戻ると、顧客が選択した店舗をクリアする。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37</xdr:col>
      <xdr:colOff>235322</xdr:colOff>
      <xdr:row>28</xdr:row>
      <xdr:rowOff>0</xdr:rowOff>
    </xdr:from>
    <xdr:to>
      <xdr:col>60</xdr:col>
      <xdr:colOff>235322</xdr:colOff>
      <xdr:row>30</xdr:row>
      <xdr:rowOff>0</xdr:rowOff>
    </xdr:to>
    <xdr:sp macro="" textlink="" fLocksText="0">
      <xdr:nvSpPr>
        <xdr:cNvPr id="131" name="吹き出し: 線 2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/>
      </xdr:nvSpPr>
      <xdr:spPr>
        <a:xfrm>
          <a:off x="10106025" y="5448300"/>
          <a:ext cx="6134100" cy="381000"/>
        </a:xfrm>
        <a:prstGeom prst="borderCallout1">
          <a:avLst>
            <a:gd name="adj1" fmla="val 48210"/>
            <a:gd name="adj2" fmla="val 884"/>
            <a:gd name="adj3" fmla="val 461212"/>
            <a:gd name="adj4" fmla="val -1431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・「確定」ボタン：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SC8001_Scan&amp;Go商品マスタ再配信画面を表示する。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・「取消」ボタン: モダールを閉じてSCX101_メインメニュー画面に戻る。</a:t>
          </a:r>
        </a:p>
      </xdr:txBody>
    </xdr:sp>
    <xdr:clientData/>
  </xdr:twoCellAnchor>
  <xdr:twoCellAnchor>
    <xdr:from>
      <xdr:col>2</xdr:col>
      <xdr:colOff>11209</xdr:colOff>
      <xdr:row>9</xdr:row>
      <xdr:rowOff>0</xdr:rowOff>
    </xdr:from>
    <xdr:to>
      <xdr:col>8</xdr:col>
      <xdr:colOff>0</xdr:colOff>
      <xdr:row>13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2925" y="18288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8</xdr:col>
      <xdr:colOff>0</xdr:colOff>
      <xdr:row>16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590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80_Scan&amp;Go商品マスタ再配信</a:t>
          </a: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8</xdr:col>
      <xdr:colOff>0</xdr:colOff>
      <xdr:row>22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SC8001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Scan&amp;Go商品マスタ再配信画面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0</xdr:colOff>
      <xdr:row>18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6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24</xdr:row>
      <xdr:rowOff>0</xdr:rowOff>
    </xdr:from>
    <xdr:to>
      <xdr:col>13</xdr:col>
      <xdr:colOff>0</xdr:colOff>
      <xdr:row>25</xdr:row>
      <xdr:rowOff>190499</xdr:rowOff>
    </xdr:to>
    <xdr:sp macro="" textlink="" fLocksText="0">
      <xdr:nvSpPr>
        <xdr:cNvPr id="6" name="四角形: 角を丸くする 110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00300" y="4686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7</xdr:col>
      <xdr:colOff>0</xdr:colOff>
      <xdr:row>25</xdr:row>
      <xdr:rowOff>190499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4686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25</xdr:row>
      <xdr:rowOff>190499</xdr:rowOff>
    </xdr:from>
    <xdr:to>
      <xdr:col>11</xdr:col>
      <xdr:colOff>1</xdr:colOff>
      <xdr:row>30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6" idx="2"/>
          <a:endCxn id="10" idx="0"/>
        </xdr:cNvCxnSpPr>
      </xdr:nvCxnSpPr>
      <xdr:spPr>
        <a:xfrm rot="5400000">
          <a:off x="1333500" y="50673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22</xdr:row>
      <xdr:rowOff>0</xdr:rowOff>
    </xdr:from>
    <xdr:to>
      <xdr:col>10</xdr:col>
      <xdr:colOff>235323</xdr:colOff>
      <xdr:row>24</xdr:row>
      <xdr:rowOff>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4" idx="2"/>
          <a:endCxn id="6" idx="0"/>
        </xdr:cNvCxnSpPr>
      </xdr:nvCxnSpPr>
      <xdr:spPr>
        <a:xfrm rot="16200000" flipH="1">
          <a:off x="1304925" y="4305300"/>
          <a:ext cx="16002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0</xdr:rowOff>
    </xdr:from>
    <xdr:to>
      <xdr:col>8</xdr:col>
      <xdr:colOff>0</xdr:colOff>
      <xdr:row>34</xdr:row>
      <xdr:rowOff>0</xdr:rowOff>
    </xdr:to>
    <xdr:sp macro="" textlink="" fLocksText="0">
      <xdr:nvSpPr>
        <xdr:cNvPr id="10" name="正方形/長方形 1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33400" y="5829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6</xdr:col>
      <xdr:colOff>0</xdr:colOff>
      <xdr:row>38</xdr:row>
      <xdr:rowOff>0</xdr:rowOff>
    </xdr:to>
    <xdr:sp macro="" textlink="" fLocksText="0">
      <xdr:nvSpPr>
        <xdr:cNvPr id="11" name="四角形: 角を丸くする 110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9723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9</xdr:col>
      <xdr:colOff>0</xdr:colOff>
      <xdr:row>38</xdr:row>
      <xdr:rowOff>0</xdr:rowOff>
    </xdr:to>
    <xdr:sp macro="" textlink="" fLocksText="0">
      <xdr:nvSpPr>
        <xdr:cNvPr id="12" name="四角形: 角を丸くする 110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866900" y="69723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8</xdr:col>
      <xdr:colOff>1</xdr:colOff>
      <xdr:row>36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rot="16200000" flipH="1">
          <a:off x="1333500" y="6591300"/>
          <a:ext cx="800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0</xdr:colOff>
      <xdr:row>24</xdr:row>
      <xdr:rowOff>0</xdr:rowOff>
    </xdr:to>
    <xdr:cxnSp macro="">
      <xdr:nvCxnSpPr>
        <xdr:cNvPr id="14" name="直線矢印コネクタ 101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2"/>
          <a:endCxn id="7" idx="0"/>
        </xdr:cNvCxnSpPr>
      </xdr:nvCxnSpPr>
      <xdr:spPr>
        <a:xfrm>
          <a:off x="1333500" y="430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190499</xdr:rowOff>
    </xdr:from>
    <xdr:to>
      <xdr:col>5</xdr:col>
      <xdr:colOff>0</xdr:colOff>
      <xdr:row>30</xdr:row>
      <xdr:rowOff>0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7" idx="2"/>
          <a:endCxn id="10" idx="0"/>
        </xdr:cNvCxnSpPr>
      </xdr:nvCxnSpPr>
      <xdr:spPr>
        <a:xfrm>
          <a:off x="1333500" y="506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0</xdr:colOff>
      <xdr:row>36</xdr:row>
      <xdr:rowOff>0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0" idx="2"/>
          <a:endCxn id="11" idx="0"/>
        </xdr:cNvCxnSpPr>
      </xdr:nvCxnSpPr>
      <xdr:spPr>
        <a:xfrm>
          <a:off x="1333500" y="659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0</xdr:rowOff>
    </xdr:from>
    <xdr:to>
      <xdr:col>7</xdr:col>
      <xdr:colOff>0</xdr:colOff>
      <xdr:row>49</xdr:row>
      <xdr:rowOff>190499</xdr:rowOff>
    </xdr:to>
    <xdr:sp macro="" textlink="" fLocksText="0">
      <xdr:nvSpPr>
        <xdr:cNvPr id="23" name="四角形: 角を丸くする 1101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00100" y="9258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Scan&amp;Go店舗</a:t>
          </a:r>
          <a:endParaRPr lang="ja-JP" altLang="en-US" sz="900" strike="sngStrik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48</xdr:row>
      <xdr:rowOff>0</xdr:rowOff>
    </xdr:from>
    <xdr:to>
      <xdr:col>15</xdr:col>
      <xdr:colOff>0</xdr:colOff>
      <xdr:row>49</xdr:row>
      <xdr:rowOff>190499</xdr:rowOff>
    </xdr:to>
    <xdr:sp macro="" textlink="" fLocksText="0">
      <xdr:nvSpPr>
        <xdr:cNvPr id="24" name="四角形: 角を丸くする 110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933700" y="9258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Scan&amp;Go店舗ではない</a:t>
          </a:r>
          <a:endParaRPr lang="ja-JP" altLang="en-US" sz="900" strike="sngStrik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44</xdr:row>
      <xdr:rowOff>0</xdr:rowOff>
    </xdr:from>
    <xdr:to>
      <xdr:col>5</xdr:col>
      <xdr:colOff>0</xdr:colOff>
      <xdr:row>48</xdr:row>
      <xdr:rowOff>0</xdr:rowOff>
    </xdr:to>
    <xdr:cxnSp macro="">
      <xdr:nvCxnSpPr>
        <xdr:cNvPr id="25" name="直線矢印コネクタ 1010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43" idx="2"/>
          <a:endCxn id="23" idx="0"/>
        </xdr:cNvCxnSpPr>
      </xdr:nvCxnSpPr>
      <xdr:spPr>
        <a:xfrm>
          <a:off x="1333500" y="8496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44</xdr:row>
      <xdr:rowOff>0</xdr:rowOff>
    </xdr:from>
    <xdr:to>
      <xdr:col>13</xdr:col>
      <xdr:colOff>0</xdr:colOff>
      <xdr:row>48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43" idx="2"/>
          <a:endCxn id="24" idx="0"/>
        </xdr:cNvCxnSpPr>
      </xdr:nvCxnSpPr>
      <xdr:spPr>
        <a:xfrm rot="16200000" flipH="1">
          <a:off x="1333500" y="8496300"/>
          <a:ext cx="21336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51</xdr:row>
      <xdr:rowOff>0</xdr:rowOff>
    </xdr:from>
    <xdr:to>
      <xdr:col>16</xdr:col>
      <xdr:colOff>0</xdr:colOff>
      <xdr:row>55</xdr:row>
      <xdr:rowOff>0</xdr:rowOff>
    </xdr:to>
    <xdr:sp macro="" textlink="" fLocksText="0">
      <xdr:nvSpPr>
        <xdr:cNvPr id="31" name="正方形/長方形 19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667000" y="982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 strike="sngStrike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Scan&amp;Go店舗選択エラーモダール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8</xdr:col>
      <xdr:colOff>0</xdr:colOff>
      <xdr:row>59</xdr:row>
      <xdr:rowOff>0</xdr:rowOff>
    </xdr:to>
    <xdr:sp macro="" textlink="" fLocksText="0">
      <xdr:nvSpPr>
        <xdr:cNvPr id="32" name="正方形/長方形 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533400" y="10591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SC8001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Scan&amp;Go商品マスタ再配信画面</a:t>
          </a:r>
        </a:p>
      </xdr:txBody>
    </xdr:sp>
    <xdr:clientData/>
  </xdr:twoCellAnchor>
  <xdr:twoCellAnchor>
    <xdr:from>
      <xdr:col>13</xdr:col>
      <xdr:colOff>0</xdr:colOff>
      <xdr:row>49</xdr:row>
      <xdr:rowOff>190499</xdr:rowOff>
    </xdr:from>
    <xdr:to>
      <xdr:col>13</xdr:col>
      <xdr:colOff>0</xdr:colOff>
      <xdr:row>51</xdr:row>
      <xdr:rowOff>0</xdr:rowOff>
    </xdr:to>
    <xdr:cxnSp macro="">
      <xdr:nvCxnSpPr>
        <xdr:cNvPr id="36" name="直線矢印コネクタ 1010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24" idx="2"/>
          <a:endCxn id="31" idx="0"/>
        </xdr:cNvCxnSpPr>
      </xdr:nvCxnSpPr>
      <xdr:spPr>
        <a:xfrm>
          <a:off x="3467100" y="9639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55</xdr:row>
      <xdr:rowOff>0</xdr:rowOff>
    </xdr:from>
    <xdr:to>
      <xdr:col>14</xdr:col>
      <xdr:colOff>2</xdr:colOff>
      <xdr:row>56</xdr:row>
      <xdr:rowOff>0</xdr:rowOff>
    </xdr:to>
    <xdr:sp macro="" textlink="" fLocksText="0">
      <xdr:nvSpPr>
        <xdr:cNvPr id="39" name="四角形: 角を丸くする 110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3200400" y="10591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 strike="sngStrik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0</xdr:colOff>
      <xdr:row>63</xdr:row>
      <xdr:rowOff>0</xdr:rowOff>
    </xdr:from>
    <xdr:to>
      <xdr:col>14</xdr:col>
      <xdr:colOff>0</xdr:colOff>
      <xdr:row>65</xdr:row>
      <xdr:rowOff>0</xdr:rowOff>
    </xdr:to>
    <xdr:sp macro="" textlink="" fLocksText="0">
      <xdr:nvSpPr>
        <xdr:cNvPr id="40" name="四角形: 角を丸くする 110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2667000" y="12115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PLUコード・商品コード入力 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7</xdr:col>
      <xdr:colOff>0</xdr:colOff>
      <xdr:row>65</xdr:row>
      <xdr:rowOff>0</xdr:rowOff>
    </xdr:to>
    <xdr:sp macro="" textlink="" fLocksText="0">
      <xdr:nvSpPr>
        <xdr:cNvPr id="41" name="四角形: 角を丸くする 110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00100" y="12115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0</xdr:colOff>
      <xdr:row>63</xdr:row>
      <xdr:rowOff>0</xdr:rowOff>
    </xdr:from>
    <xdr:to>
      <xdr:col>20</xdr:col>
      <xdr:colOff>0</xdr:colOff>
      <xdr:row>65</xdr:row>
      <xdr:rowOff>0</xdr:rowOff>
    </xdr:to>
    <xdr:sp macro="" textlink="" fLocksText="0">
      <xdr:nvSpPr>
        <xdr:cNvPr id="42" name="四角形: 角を丸くする 110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4267200" y="12115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F04:クリア</a:t>
          </a:r>
          <a:endParaRPr lang="en-US" altLang="ja-JP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sz="1000" b="0" i="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8</xdr:col>
      <xdr:colOff>0</xdr:colOff>
      <xdr:row>44</xdr:row>
      <xdr:rowOff>0</xdr:rowOff>
    </xdr:to>
    <xdr:sp macro="" textlink="" fLocksText="0">
      <xdr:nvSpPr>
        <xdr:cNvPr id="43" name="四角形: 角を丸くする 3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533400" y="7734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KN8001</a:t>
          </a:r>
        </a:p>
        <a:p>
          <a:pPr algn="ctr">
            <a:def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Scan&amp;Go店舗確認機能</a:t>
          </a: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12</xdr:col>
      <xdr:colOff>0</xdr:colOff>
      <xdr:row>63</xdr:row>
      <xdr:rowOff>0</xdr:rowOff>
    </xdr:to>
    <xdr:cxnSp macro="">
      <xdr:nvCxnSpPr>
        <xdr:cNvPr id="53" name="直線矢印コネクタ 101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32" idx="2"/>
          <a:endCxn id="40" idx="0"/>
        </xdr:cNvCxnSpPr>
      </xdr:nvCxnSpPr>
      <xdr:spPr>
        <a:xfrm rot="16200000" flipH="1">
          <a:off x="1333500" y="11353800"/>
          <a:ext cx="1866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5</xdr:col>
      <xdr:colOff>0</xdr:colOff>
      <xdr:row>63</xdr:row>
      <xdr:rowOff>0</xdr:rowOff>
    </xdr:to>
    <xdr:cxnSp macro="">
      <xdr:nvCxnSpPr>
        <xdr:cNvPr id="57" name="直線矢印コネクタ 1010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32" idx="2"/>
          <a:endCxn id="41" idx="0"/>
        </xdr:cNvCxnSpPr>
      </xdr:nvCxnSpPr>
      <xdr:spPr>
        <a:xfrm>
          <a:off x="1333500" y="11353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18</xdr:col>
      <xdr:colOff>0</xdr:colOff>
      <xdr:row>63</xdr:row>
      <xdr:rowOff>0</xdr:rowOff>
    </xdr:to>
    <xdr:cxnSp macro="">
      <xdr:nvCxnSpPr>
        <xdr:cNvPr id="60" name="直線矢印コネクタ 1010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32" idx="2"/>
          <a:endCxn id="42" idx="0"/>
        </xdr:cNvCxnSpPr>
      </xdr:nvCxnSpPr>
      <xdr:spPr>
        <a:xfrm rot="16200000" flipH="1">
          <a:off x="1333500" y="11353800"/>
          <a:ext cx="34671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69</xdr:row>
      <xdr:rowOff>0</xdr:rowOff>
    </xdr:from>
    <xdr:to>
      <xdr:col>15</xdr:col>
      <xdr:colOff>0</xdr:colOff>
      <xdr:row>73</xdr:row>
      <xdr:rowOff>0</xdr:rowOff>
    </xdr:to>
    <xdr:sp macro="" textlink="" fLocksText="0">
      <xdr:nvSpPr>
        <xdr:cNvPr id="63" name="四角形: 角を丸くする 3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400300" y="13258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KN1505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商品提案機能</a:t>
          </a:r>
        </a:p>
      </xdr:txBody>
    </xdr:sp>
    <xdr:clientData/>
  </xdr:twoCellAnchor>
  <xdr:twoCellAnchor>
    <xdr:from>
      <xdr:col>26</xdr:col>
      <xdr:colOff>0</xdr:colOff>
      <xdr:row>63</xdr:row>
      <xdr:rowOff>0</xdr:rowOff>
    </xdr:from>
    <xdr:to>
      <xdr:col>30</xdr:col>
      <xdr:colOff>0</xdr:colOff>
      <xdr:row>65</xdr:row>
      <xdr:rowOff>0</xdr:rowOff>
    </xdr:to>
    <xdr:sp macro="" textlink="" fLocksText="0">
      <xdr:nvSpPr>
        <xdr:cNvPr id="64" name="四角形: 角を丸くする 110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6934200" y="12115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F08:</a:t>
          </a:r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商品コード切替</a:t>
          </a:r>
          <a:endParaRPr lang="en-US" altLang="ja-JP" sz="1000" b="0" i="0" u="none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63</xdr:row>
      <xdr:rowOff>0</xdr:rowOff>
    </xdr:from>
    <xdr:to>
      <xdr:col>25</xdr:col>
      <xdr:colOff>0</xdr:colOff>
      <xdr:row>65</xdr:row>
      <xdr:rowOff>0</xdr:rowOff>
    </xdr:to>
    <xdr:sp macro="" textlink="" fLocksText="0">
      <xdr:nvSpPr>
        <xdr:cNvPr id="65" name="四角形: 角を丸くする 1101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5600700" y="12115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F08:PLU</a:t>
          </a:r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コード切替</a:t>
          </a:r>
          <a:endParaRPr lang="en-US" altLang="ja-JP" sz="1000" b="0" i="0" u="none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1</xdr:colOff>
      <xdr:row>69</xdr:row>
      <xdr:rowOff>0</xdr:rowOff>
    </xdr:from>
    <xdr:to>
      <xdr:col>35</xdr:col>
      <xdr:colOff>1</xdr:colOff>
      <xdr:row>73</xdr:row>
      <xdr:rowOff>0</xdr:rowOff>
    </xdr:to>
    <xdr:sp macro="" textlink="" fLocksText="0">
      <xdr:nvSpPr>
        <xdr:cNvPr id="68" name="フローチャート: 磁気ディスク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7734300" y="13258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AP1506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product/suggest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29</xdr:col>
      <xdr:colOff>1</xdr:colOff>
      <xdr:row>71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3" idx="3"/>
          <a:endCxn id="68" idx="2"/>
        </xdr:cNvCxnSpPr>
      </xdr:nvCxnSpPr>
      <xdr:spPr>
        <a:xfrm>
          <a:off x="4000500" y="13639800"/>
          <a:ext cx="37338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sp macro="" textlink="" fLocksText="0">
      <xdr:nvSpPr>
        <xdr:cNvPr id="71" name="Rectangle: Rounded Corner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533400" y="1002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</a:t>
          </a:r>
        </a:p>
      </xdr:txBody>
    </xdr:sp>
    <xdr:clientData/>
  </xdr:twoCellAnchor>
  <xdr:twoCellAnchor>
    <xdr:from>
      <xdr:col>4</xdr:col>
      <xdr:colOff>0</xdr:colOff>
      <xdr:row>52</xdr:row>
      <xdr:rowOff>95250</xdr:rowOff>
    </xdr:from>
    <xdr:to>
      <xdr:col>5</xdr:col>
      <xdr:colOff>0</xdr:colOff>
      <xdr:row>55</xdr:row>
      <xdr:rowOff>0</xdr:rowOff>
    </xdr:to>
    <xdr:cxnSp macro="">
      <xdr:nvCxnSpPr>
        <xdr:cNvPr id="72" name="直線矢印コネクタ 1010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>
          <a:stCxn id="71" idx="3"/>
          <a:endCxn id="32" idx="0"/>
        </xdr:cNvCxnSpPr>
      </xdr:nvCxnSpPr>
      <xdr:spPr>
        <a:xfrm>
          <a:off x="1066800" y="10115550"/>
          <a:ext cx="2667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67</xdr:row>
      <xdr:rowOff>0</xdr:rowOff>
    </xdr:from>
    <xdr:to>
      <xdr:col>19</xdr:col>
      <xdr:colOff>0</xdr:colOff>
      <xdr:row>68</xdr:row>
      <xdr:rowOff>0</xdr:rowOff>
    </xdr:to>
    <xdr:sp macro="" textlink="" fLocksText="0">
      <xdr:nvSpPr>
        <xdr:cNvPr id="75" name="Rectangle: Rounded Corners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4533900" y="12877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</a:t>
          </a:r>
        </a:p>
      </xdr:txBody>
    </xdr:sp>
    <xdr:clientData/>
  </xdr:twoCellAnchor>
  <xdr:twoCellAnchor>
    <xdr:from>
      <xdr:col>18</xdr:col>
      <xdr:colOff>0</xdr:colOff>
      <xdr:row>65</xdr:row>
      <xdr:rowOff>0</xdr:rowOff>
    </xdr:from>
    <xdr:to>
      <xdr:col>18</xdr:col>
      <xdr:colOff>0</xdr:colOff>
      <xdr:row>67</xdr:row>
      <xdr:rowOff>0</xdr:rowOff>
    </xdr:to>
    <xdr:cxnSp macro="">
      <xdr:nvCxnSpPr>
        <xdr:cNvPr id="76" name="直線矢印コネクタ 1010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42" idx="2"/>
          <a:endCxn id="75" idx="0"/>
        </xdr:cNvCxnSpPr>
      </xdr:nvCxnSpPr>
      <xdr:spPr>
        <a:xfrm>
          <a:off x="4800600" y="12496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65</xdr:row>
      <xdr:rowOff>1</xdr:rowOff>
    </xdr:from>
    <xdr:to>
      <xdr:col>23</xdr:col>
      <xdr:colOff>0</xdr:colOff>
      <xdr:row>67</xdr:row>
      <xdr:rowOff>1</xdr:rowOff>
    </xdr:to>
    <xdr:cxnSp macro="">
      <xdr:nvCxnSpPr>
        <xdr:cNvPr id="79" name="直線矢印コネクタ 1010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65" idx="2"/>
          <a:endCxn id="75" idx="0"/>
        </xdr:cNvCxnSpPr>
      </xdr:nvCxnSpPr>
      <xdr:spPr>
        <a:xfrm rot="5400000">
          <a:off x="4800600" y="12496800"/>
          <a:ext cx="1333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65</xdr:row>
      <xdr:rowOff>1</xdr:rowOff>
    </xdr:from>
    <xdr:to>
      <xdr:col>28</xdr:col>
      <xdr:colOff>0</xdr:colOff>
      <xdr:row>67</xdr:row>
      <xdr:rowOff>1</xdr:rowOff>
    </xdr:to>
    <xdr:cxnSp macro="">
      <xdr:nvCxnSpPr>
        <xdr:cNvPr id="82" name="直線矢印コネクタ 1010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64" idx="2"/>
          <a:endCxn id="75" idx="0"/>
        </xdr:cNvCxnSpPr>
      </xdr:nvCxnSpPr>
      <xdr:spPr>
        <a:xfrm rot="5400000">
          <a:off x="4800600" y="12496800"/>
          <a:ext cx="26670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59</xdr:row>
      <xdr:rowOff>0</xdr:rowOff>
    </xdr:from>
    <xdr:to>
      <xdr:col>22</xdr:col>
      <xdr:colOff>235322</xdr:colOff>
      <xdr:row>63</xdr:row>
      <xdr:rowOff>0</xdr:rowOff>
    </xdr:to>
    <xdr:cxnSp macro="">
      <xdr:nvCxnSpPr>
        <xdr:cNvPr id="86" name="直線矢印コネクタ 1010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>
          <a:stCxn id="32" idx="2"/>
          <a:endCxn id="65" idx="0"/>
        </xdr:cNvCxnSpPr>
      </xdr:nvCxnSpPr>
      <xdr:spPr>
        <a:xfrm rot="16200000" flipH="1">
          <a:off x="1304925" y="11353800"/>
          <a:ext cx="48006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59</xdr:row>
      <xdr:rowOff>0</xdr:rowOff>
    </xdr:from>
    <xdr:to>
      <xdr:col>27</xdr:col>
      <xdr:colOff>235323</xdr:colOff>
      <xdr:row>63</xdr:row>
      <xdr:rowOff>0</xdr:rowOff>
    </xdr:to>
    <xdr:cxnSp macro="">
      <xdr:nvCxnSpPr>
        <xdr:cNvPr id="89" name="直線矢印コネクタ 101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32" idx="2"/>
          <a:endCxn id="64" idx="0"/>
        </xdr:cNvCxnSpPr>
      </xdr:nvCxnSpPr>
      <xdr:spPr>
        <a:xfrm rot="16200000" flipH="1">
          <a:off x="1304925" y="11353800"/>
          <a:ext cx="61341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65</xdr:row>
      <xdr:rowOff>0</xdr:rowOff>
    </xdr:from>
    <xdr:to>
      <xdr:col>12</xdr:col>
      <xdr:colOff>1</xdr:colOff>
      <xdr:row>69</xdr:row>
      <xdr:rowOff>0</xdr:rowOff>
    </xdr:to>
    <xdr:cxnSp macro="">
      <xdr:nvCxnSpPr>
        <xdr:cNvPr id="92" name="直線矢印コネクタ 1010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40" idx="2"/>
          <a:endCxn id="63" idx="0"/>
        </xdr:cNvCxnSpPr>
      </xdr:nvCxnSpPr>
      <xdr:spPr>
        <a:xfrm>
          <a:off x="3200400" y="12496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0</xdr:colOff>
      <xdr:row>40</xdr:row>
      <xdr:rowOff>0</xdr:rowOff>
    </xdr:to>
    <xdr:cxnSp macro="">
      <xdr:nvCxnSpPr>
        <xdr:cNvPr id="95" name="直線矢印コネクタ 1010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CxnSpPr>
          <a:stCxn id="11" idx="2"/>
          <a:endCxn id="43" idx="0"/>
        </xdr:cNvCxnSpPr>
      </xdr:nvCxnSpPr>
      <xdr:spPr>
        <a:xfrm>
          <a:off x="1333500" y="7353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79</xdr:row>
      <xdr:rowOff>0</xdr:rowOff>
    </xdr:from>
    <xdr:to>
      <xdr:col>8</xdr:col>
      <xdr:colOff>0</xdr:colOff>
      <xdr:row>83</xdr:row>
      <xdr:rowOff>0</xdr:rowOff>
    </xdr:to>
    <xdr:sp macro="" textlink="" fLocksText="0">
      <xdr:nvSpPr>
        <xdr:cNvPr id="100" name="四角形: 角を丸くする 3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533400" y="1516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KN8002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Scan&amp;Go商品マスタ再配信機能</a:t>
          </a:r>
        </a:p>
      </xdr:txBody>
    </xdr:sp>
    <xdr:clientData/>
  </xdr:twoCellAnchor>
  <xdr:twoCellAnchor>
    <xdr:from>
      <xdr:col>5</xdr:col>
      <xdr:colOff>0</xdr:colOff>
      <xdr:row>65</xdr:row>
      <xdr:rowOff>0</xdr:rowOff>
    </xdr:from>
    <xdr:to>
      <xdr:col>5</xdr:col>
      <xdr:colOff>0</xdr:colOff>
      <xdr:row>79</xdr:row>
      <xdr:rowOff>0</xdr:rowOff>
    </xdr:to>
    <xdr:cxnSp macro="">
      <xdr:nvCxnSpPr>
        <xdr:cNvPr id="101" name="直線矢印コネクタ 101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>
          <a:stCxn id="41" idx="2"/>
          <a:endCxn id="100" idx="0"/>
        </xdr:cNvCxnSpPr>
      </xdr:nvCxnSpPr>
      <xdr:spPr>
        <a:xfrm>
          <a:off x="1333500" y="12496800"/>
          <a:ext cx="0" cy="2667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79</xdr:row>
      <xdr:rowOff>0</xdr:rowOff>
    </xdr:from>
    <xdr:to>
      <xdr:col>35</xdr:col>
      <xdr:colOff>0</xdr:colOff>
      <xdr:row>83</xdr:row>
      <xdr:rowOff>0</xdr:rowOff>
    </xdr:to>
    <xdr:sp macro="" textlink="" fLocksText="0">
      <xdr:nvSpPr>
        <xdr:cNvPr id="104" name="フローチャート: 磁気ディスク 194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7734300" y="1516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AP8002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Scan&amp;Go商品マスタ再配信</a:t>
          </a: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29</xdr:col>
      <xdr:colOff>0</xdr:colOff>
      <xdr:row>81</xdr:row>
      <xdr:rowOff>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>
          <a:stCxn id="100" idx="3"/>
          <a:endCxn id="104" idx="2"/>
        </xdr:cNvCxnSpPr>
      </xdr:nvCxnSpPr>
      <xdr:spPr>
        <a:xfrm>
          <a:off x="2133600" y="15544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40</xdr:row>
      <xdr:rowOff>0</xdr:rowOff>
    </xdr:from>
    <xdr:to>
      <xdr:col>35</xdr:col>
      <xdr:colOff>0</xdr:colOff>
      <xdr:row>44</xdr:row>
      <xdr:rowOff>0</xdr:rowOff>
    </xdr:to>
    <xdr:sp macro="" textlink="" fLocksText="0">
      <xdr:nvSpPr>
        <xdr:cNvPr id="108" name="フローチャート: 磁気ディスク 194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7734300" y="7734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AP8001</a:t>
          </a:r>
        </a:p>
        <a:p>
          <a:pPr algn="ctr">
            <a:def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Scan&amp;Go店舗確認</a:t>
          </a:r>
        </a:p>
      </xdr:txBody>
    </xdr:sp>
    <xdr:clientData/>
  </xdr:twoCellAnchor>
  <xdr:twoCellAnchor>
    <xdr:from>
      <xdr:col>8</xdr:col>
      <xdr:colOff>0</xdr:colOff>
      <xdr:row>42</xdr:row>
      <xdr:rowOff>0</xdr:rowOff>
    </xdr:from>
    <xdr:to>
      <xdr:col>29</xdr:col>
      <xdr:colOff>0</xdr:colOff>
      <xdr:row>42</xdr:row>
      <xdr:rowOff>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stCxn id="43" idx="3"/>
          <a:endCxn id="108" idx="2"/>
        </xdr:cNvCxnSpPr>
      </xdr:nvCxnSpPr>
      <xdr:spPr>
        <a:xfrm>
          <a:off x="2133600" y="8115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87</xdr:row>
      <xdr:rowOff>1</xdr:rowOff>
    </xdr:from>
    <xdr:to>
      <xdr:col>7</xdr:col>
      <xdr:colOff>0</xdr:colOff>
      <xdr:row>89</xdr:row>
      <xdr:rowOff>0</xdr:rowOff>
    </xdr:to>
    <xdr:sp macro="" textlink="" fLocksText="0">
      <xdr:nvSpPr>
        <xdr:cNvPr id="112" name="四角形: 角を丸くする 110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800100" y="166878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商品が存在している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87</xdr:row>
      <xdr:rowOff>1</xdr:rowOff>
    </xdr:from>
    <xdr:to>
      <xdr:col>13</xdr:col>
      <xdr:colOff>0</xdr:colOff>
      <xdr:row>89</xdr:row>
      <xdr:rowOff>0</xdr:rowOff>
    </xdr:to>
    <xdr:sp macro="" textlink="" fLocksText="0">
      <xdr:nvSpPr>
        <xdr:cNvPr id="113" name="四角形: 角を丸くする 110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2400300" y="166878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商品が存在していない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5</xdr:col>
      <xdr:colOff>0</xdr:colOff>
      <xdr:row>87</xdr:row>
      <xdr:rowOff>1</xdr:rowOff>
    </xdr:to>
    <xdr:cxnSp macro="">
      <xdr:nvCxnSpPr>
        <xdr:cNvPr id="114" name="直線矢印コネクタ 1010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stCxn id="100" idx="2"/>
          <a:endCxn id="112" idx="0"/>
        </xdr:cNvCxnSpPr>
      </xdr:nvCxnSpPr>
      <xdr:spPr>
        <a:xfrm>
          <a:off x="1333500" y="15925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82</xdr:row>
      <xdr:rowOff>190499</xdr:rowOff>
    </xdr:from>
    <xdr:to>
      <xdr:col>11</xdr:col>
      <xdr:colOff>0</xdr:colOff>
      <xdr:row>87</xdr:row>
      <xdr:rowOff>0</xdr:rowOff>
    </xdr:to>
    <xdr:cxnSp macro="">
      <xdr:nvCxnSpPr>
        <xdr:cNvPr id="117" name="直線矢印コネクタ 1010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CxnSpPr>
          <a:stCxn id="100" idx="2"/>
          <a:endCxn id="113" idx="0"/>
        </xdr:cNvCxnSpPr>
      </xdr:nvCxnSpPr>
      <xdr:spPr>
        <a:xfrm rot="16200000" flipH="1">
          <a:off x="1333500" y="15925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91</xdr:row>
      <xdr:rowOff>0</xdr:rowOff>
    </xdr:from>
    <xdr:to>
      <xdr:col>14</xdr:col>
      <xdr:colOff>0</xdr:colOff>
      <xdr:row>95</xdr:row>
      <xdr:rowOff>0</xdr:rowOff>
    </xdr:to>
    <xdr:sp macro="" textlink="" fLocksText="0">
      <xdr:nvSpPr>
        <xdr:cNvPr id="120" name="正方形/長方形 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133600" y="1744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商品が存在していないエラーモダール</a:t>
          </a: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0</xdr:colOff>
      <xdr:row>91</xdr:row>
      <xdr:rowOff>0</xdr:rowOff>
    </xdr:to>
    <xdr:cxnSp macro="">
      <xdr:nvCxnSpPr>
        <xdr:cNvPr id="121" name="直線矢印コネクタ 101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113" idx="2"/>
          <a:endCxn id="120" idx="0"/>
        </xdr:cNvCxnSpPr>
      </xdr:nvCxnSpPr>
      <xdr:spPr>
        <a:xfrm>
          <a:off x="2933700" y="17068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95</xdr:row>
      <xdr:rowOff>0</xdr:rowOff>
    </xdr:from>
    <xdr:to>
      <xdr:col>12</xdr:col>
      <xdr:colOff>2</xdr:colOff>
      <xdr:row>96</xdr:row>
      <xdr:rowOff>0</xdr:rowOff>
    </xdr:to>
    <xdr:sp macro="" textlink="" fLocksText="0">
      <xdr:nvSpPr>
        <xdr:cNvPr id="124" name="四角形: 角を丸くする 110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2667000" y="18211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sp macro="" textlink="" fLocksText="0">
      <xdr:nvSpPr>
        <xdr:cNvPr id="125" name="Rectangle: Rounded Corners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1066800" y="1916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</a:t>
          </a:r>
        </a:p>
      </xdr:txBody>
    </xdr:sp>
    <xdr:clientData/>
  </xdr:twoCellAnchor>
  <xdr:twoCellAnchor>
    <xdr:from>
      <xdr:col>5</xdr:col>
      <xdr:colOff>0</xdr:colOff>
      <xdr:row>89</xdr:row>
      <xdr:rowOff>0</xdr:rowOff>
    </xdr:from>
    <xdr:to>
      <xdr:col>5</xdr:col>
      <xdr:colOff>0</xdr:colOff>
      <xdr:row>100</xdr:row>
      <xdr:rowOff>0</xdr:rowOff>
    </xdr:to>
    <xdr:cxnSp macro="">
      <xdr:nvCxnSpPr>
        <xdr:cNvPr id="126" name="直線矢印コネクタ 1010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CxnSpPr>
          <a:stCxn id="112" idx="2"/>
          <a:endCxn id="125" idx="0"/>
        </xdr:cNvCxnSpPr>
      </xdr:nvCxnSpPr>
      <xdr:spPr>
        <a:xfrm>
          <a:off x="1333500" y="17068800"/>
          <a:ext cx="0" cy="2095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75</xdr:row>
      <xdr:rowOff>0</xdr:rowOff>
    </xdr:from>
    <xdr:to>
      <xdr:col>13</xdr:col>
      <xdr:colOff>0</xdr:colOff>
      <xdr:row>76</xdr:row>
      <xdr:rowOff>0</xdr:rowOff>
    </xdr:to>
    <xdr:sp macro="" textlink="" fLocksText="0">
      <xdr:nvSpPr>
        <xdr:cNvPr id="136" name="Rectangle: Rounded Corners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2933700" y="1440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</a:t>
          </a:r>
        </a:p>
      </xdr:txBody>
    </xdr:sp>
    <xdr:clientData/>
  </xdr:twoCellAnchor>
  <xdr:twoCellAnchor>
    <xdr:from>
      <xdr:col>12</xdr:col>
      <xdr:colOff>1</xdr:colOff>
      <xdr:row>73</xdr:row>
      <xdr:rowOff>0</xdr:rowOff>
    </xdr:from>
    <xdr:to>
      <xdr:col>12</xdr:col>
      <xdr:colOff>1</xdr:colOff>
      <xdr:row>75</xdr:row>
      <xdr:rowOff>0</xdr:rowOff>
    </xdr:to>
    <xdr:cxnSp macro="">
      <xdr:nvCxnSpPr>
        <xdr:cNvPr id="137" name="直線矢印コネクタ 1010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CxnSpPr>
          <a:stCxn id="63" idx="2"/>
          <a:endCxn id="136" idx="0"/>
        </xdr:cNvCxnSpPr>
      </xdr:nvCxnSpPr>
      <xdr:spPr>
        <a:xfrm>
          <a:off x="3200400" y="1402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88</xdr:row>
      <xdr:rowOff>0</xdr:rowOff>
    </xdr:from>
    <xdr:to>
      <xdr:col>61</xdr:col>
      <xdr:colOff>0</xdr:colOff>
      <xdr:row>110</xdr:row>
      <xdr:rowOff>0</xdr:rowOff>
    </xdr:to>
    <xdr:sp macro="" textlink="" fLocksText="0">
      <xdr:nvSpPr>
        <xdr:cNvPr id="140" name="吹き出し: 線 2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10134600" y="16878300"/>
          <a:ext cx="6134100" cy="4191000"/>
        </a:xfrm>
        <a:prstGeom prst="borderCallout1">
          <a:avLst>
            <a:gd name="adj1" fmla="val 48210"/>
            <a:gd name="adj2" fmla="val 884"/>
            <a:gd name="adj3" fmla="val -30234"/>
            <a:gd name="adj4" fmla="val -1311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Scan&amp;Go商品マスタ再配信機能を実行する。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+商品が存在していない場合、エラー行のモダールを表示する。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▸各エラー行のメッセージ："X行目 : 有効な商品を入力してください "。Xは商品が存在していないエラー行の位置である。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▸エラーモダール上の「はい」をタッチした後、最初のエラー行にフォーカスする。[PLUコード]を入力する場合、[PLUコード]にフォーカスする。[商品コード]を入力する場合、[部門コード]にフォーカスする。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+エラーがない場合、バッチを実行して画面上の商品売価をScan&amp;Goサーバーに配信する。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売価情報には以下が含まれている。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 定番売価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 緊急変更売価: 02_緊急売価変更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 特売売価: 03_店舗特売入力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 変更定番売価: 06_1, 7, 8 定番売価変更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▸ミックスマッチ: 05_ミックスマッチ設定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・成功した場合、画面上のデータをクリアし、確定ボタンを無効にし、[商品コード]欄を無効にし、[PLUコード]欄を有効にし、[F08:商品コード切替]ボタンを表示し、リスト上の最初の行にフォーカスする。</a:t>
          </a:r>
        </a:p>
      </xdr:txBody>
    </xdr:sp>
    <xdr:clientData/>
  </xdr:twoCellAnchor>
  <xdr:twoCellAnchor editAs="oneCell">
    <xdr:from>
      <xdr:col>66</xdr:col>
      <xdr:colOff>0</xdr:colOff>
      <xdr:row>75</xdr:row>
      <xdr:rowOff>95250</xdr:rowOff>
    </xdr:from>
    <xdr:to>
      <xdr:col>120</xdr:col>
      <xdr:colOff>152400</xdr:colOff>
      <xdr:row>107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14497050"/>
          <a:ext cx="14554200" cy="600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11</xdr:col>
      <xdr:colOff>1</xdr:colOff>
      <xdr:row>100</xdr:row>
      <xdr:rowOff>0</xdr:rowOff>
    </xdr:to>
    <xdr:cxnSp macro="">
      <xdr:nvCxnSpPr>
        <xdr:cNvPr id="15" name="直線矢印コネクタ 10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24" idx="2"/>
          <a:endCxn id="125" idx="0"/>
        </xdr:cNvCxnSpPr>
      </xdr:nvCxnSpPr>
      <xdr:spPr>
        <a:xfrm rot="5400000">
          <a:off x="1333500" y="184023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56</xdr:row>
      <xdr:rowOff>1</xdr:rowOff>
    </xdr:from>
    <xdr:to>
      <xdr:col>13</xdr:col>
      <xdr:colOff>1</xdr:colOff>
      <xdr:row>57</xdr:row>
      <xdr:rowOff>1</xdr:rowOff>
    </xdr:to>
    <xdr:cxnSp macro="">
      <xdr:nvCxnSpPr>
        <xdr:cNvPr id="19" name="直線矢印コネクタ 1010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39" idx="2"/>
          <a:endCxn id="32" idx="3"/>
        </xdr:cNvCxnSpPr>
      </xdr:nvCxnSpPr>
      <xdr:spPr>
        <a:xfrm rot="5400000">
          <a:off x="2133600" y="10782300"/>
          <a:ext cx="1333500" cy="190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0</xdr:colOff>
      <xdr:row>55</xdr:row>
      <xdr:rowOff>0</xdr:rowOff>
    </xdr:to>
    <xdr:cxnSp macro="">
      <xdr:nvCxnSpPr>
        <xdr:cNvPr id="33" name="直線矢印コネクタ 1010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11" idx="2"/>
          <a:endCxn id="32" idx="0"/>
        </xdr:cNvCxnSpPr>
      </xdr:nvCxnSpPr>
      <xdr:spPr>
        <a:xfrm>
          <a:off x="1333500" y="7353300"/>
          <a:ext cx="0" cy="32385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1</xdr:colOff>
      <xdr:row>39</xdr:row>
      <xdr:rowOff>190499</xdr:rowOff>
    </xdr:from>
    <xdr:to>
      <xdr:col>119</xdr:col>
      <xdr:colOff>1</xdr:colOff>
      <xdr:row>71</xdr:row>
      <xdr:rowOff>19680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7734300"/>
          <a:ext cx="14135100" cy="592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0</xdr:colOff>
      <xdr:row>40</xdr:row>
      <xdr:rowOff>0</xdr:rowOff>
    </xdr:from>
    <xdr:to>
      <xdr:col>122</xdr:col>
      <xdr:colOff>66675</xdr:colOff>
      <xdr:row>41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00000000-0008-0000-04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32289750" y="773430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121</xdr:col>
      <xdr:colOff>0</xdr:colOff>
      <xdr:row>40</xdr:row>
      <xdr:rowOff>0</xdr:rowOff>
    </xdr:from>
    <xdr:to>
      <xdr:col>175</xdr:col>
      <xdr:colOff>0</xdr:colOff>
      <xdr:row>71</xdr:row>
      <xdr:rowOff>42792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2289750" y="7734300"/>
          <a:ext cx="14401800" cy="594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">
        <v>40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5" t="s">
        <v>46</v>
      </c>
      <c r="B2" s="148"/>
      <c r="C2" s="148"/>
      <c r="D2" s="148"/>
      <c r="E2" s="148"/>
      <c r="F2" s="148"/>
      <c r="G2" s="148"/>
      <c r="H2" s="148"/>
      <c r="I2" s="148"/>
      <c r="J2" s="149"/>
      <c r="K2" s="150" t="s">
        <v>10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改訂履歴!$H$11</f>
        <v>LoiLV</v>
      </c>
      <c r="AQ2" s="148"/>
      <c r="AR2" s="148"/>
      <c r="AS2" s="149"/>
      <c r="AT2" s="154">
        <f>改訂履歴!$B$11</f>
        <v>45454</v>
      </c>
      <c r="AU2" s="155"/>
      <c r="AV2" s="155"/>
      <c r="AW2" s="155"/>
      <c r="AX2" s="156"/>
      <c r="AY2" s="150" t="str">
        <f>LOOKUP(2,1/(改訂履歴!H11:H30000&lt;&gt;""),改訂履歴!H11:H30000)</f>
        <v>LoiLV</v>
      </c>
      <c r="AZ2" s="148"/>
      <c r="BA2" s="148"/>
      <c r="BB2" s="149"/>
      <c r="BC2" s="154">
        <f>LOOKUP(2,1/(改訂履歴!B11:B30000&lt;&gt;""),改訂履歴!B11:B30000)</f>
        <v>45462</v>
      </c>
      <c r="BD2" s="155"/>
      <c r="BE2" s="155"/>
      <c r="BF2" s="155"/>
      <c r="BG2" s="156"/>
      <c r="BH2" s="157">
        <f>LOOKUP(2,1/(改訂履歴!O11:O30000&lt;&gt;""),改訂履歴!O11:O30000)</f>
        <v>0.2</v>
      </c>
      <c r="BI2" s="158"/>
      <c r="BJ2" s="158"/>
      <c r="BK2" s="15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9"/>
      <c r="BI3" s="170"/>
      <c r="BJ3" s="170"/>
      <c r="BK3" s="171"/>
    </row>
    <row r="4" spans="1:63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">
        <v>31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">
        <v>11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表紙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K10" s="179"/>
    </row>
    <row r="11" spans="1:63" ht="15" customHeight="1" x14ac:dyDescent="0.25">
      <c r="A11" s="178"/>
      <c r="BK11" s="179"/>
    </row>
    <row r="12" spans="1:63" ht="15" customHeight="1" x14ac:dyDescent="0.25">
      <c r="A12" s="178"/>
      <c r="BK12" s="179"/>
    </row>
    <row r="13" spans="1:63" ht="15" customHeight="1" x14ac:dyDescent="0.25">
      <c r="A13" s="178"/>
      <c r="BK13" s="179"/>
    </row>
    <row r="14" spans="1:63" ht="15" customHeight="1" thickBot="1" x14ac:dyDescent="0.3">
      <c r="A14" s="178"/>
      <c r="BK14" s="179"/>
    </row>
    <row r="15" spans="1:63" ht="15" customHeight="1" thickTop="1" x14ac:dyDescent="0.25">
      <c r="A15" s="178"/>
      <c r="K15" s="180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2"/>
      <c r="BK15" s="179"/>
    </row>
    <row r="16" spans="1:63" ht="15" customHeight="1" x14ac:dyDescent="0.25">
      <c r="A16" s="178"/>
      <c r="K16" s="183"/>
      <c r="L16" s="184" t="s">
        <v>49</v>
      </c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6"/>
      <c r="BK16" s="179"/>
    </row>
    <row r="17" spans="1:63" ht="15" customHeight="1" x14ac:dyDescent="0.25">
      <c r="A17" s="178"/>
      <c r="K17" s="183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6"/>
      <c r="BK17" s="179"/>
    </row>
    <row r="18" spans="1:63" ht="15" customHeight="1" x14ac:dyDescent="0.25">
      <c r="A18" s="178"/>
      <c r="K18" s="183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6"/>
      <c r="BK18" s="179"/>
    </row>
    <row r="19" spans="1:63" ht="15" customHeight="1" x14ac:dyDescent="0.25">
      <c r="A19" s="178"/>
      <c r="K19" s="183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6"/>
      <c r="BK19" s="179"/>
    </row>
    <row r="20" spans="1:63" ht="15" customHeight="1" x14ac:dyDescent="0.25">
      <c r="A20" s="178"/>
      <c r="K20" s="183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6"/>
      <c r="BK20" s="179"/>
    </row>
    <row r="21" spans="1:63" ht="15" customHeight="1" x14ac:dyDescent="0.25">
      <c r="A21" s="178"/>
      <c r="K21" s="183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6"/>
      <c r="BK21" s="179"/>
    </row>
    <row r="22" spans="1:63" ht="15" customHeight="1" thickBot="1" x14ac:dyDescent="0.3">
      <c r="A22" s="178"/>
      <c r="K22" s="183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6"/>
      <c r="BK22" s="179"/>
    </row>
    <row r="23" spans="1:63" ht="15" customHeight="1" x14ac:dyDescent="0.25">
      <c r="A23" s="178"/>
      <c r="K23" s="183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6"/>
      <c r="BK23" s="179"/>
    </row>
    <row r="24" spans="1:63" ht="15" customHeight="1" x14ac:dyDescent="0.25">
      <c r="A24" s="178"/>
      <c r="K24" s="183"/>
      <c r="L24" s="185" t="str">
        <f>K2&amp;"/"&amp;H4&amp;"/"&amp;Z4</f>
        <v>POSサーバー/80_Scan&amp;Go商品マスタ再配信/概要設計書</v>
      </c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6"/>
      <c r="BK24" s="179"/>
    </row>
    <row r="25" spans="1:63" ht="15" customHeight="1" x14ac:dyDescent="0.25">
      <c r="A25" s="178"/>
      <c r="K25" s="183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6"/>
      <c r="BK25" s="179"/>
    </row>
    <row r="26" spans="1:63" ht="15" customHeight="1" x14ac:dyDescent="0.25">
      <c r="A26" s="178"/>
      <c r="K26" s="183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6"/>
      <c r="BK26" s="179"/>
    </row>
    <row r="27" spans="1:63" ht="15" customHeight="1" x14ac:dyDescent="0.25">
      <c r="A27" s="178"/>
      <c r="K27" s="183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6"/>
      <c r="BK27" s="179"/>
    </row>
    <row r="28" spans="1:63" ht="15" customHeight="1" x14ac:dyDescent="0.25">
      <c r="A28" s="178"/>
      <c r="K28" s="183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6"/>
      <c r="BK28" s="179"/>
    </row>
    <row r="29" spans="1:63" ht="15" customHeight="1" x14ac:dyDescent="0.25">
      <c r="A29" s="178"/>
      <c r="K29" s="183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6"/>
      <c r="BK29" s="179"/>
    </row>
    <row r="30" spans="1:63" ht="15" customHeight="1" x14ac:dyDescent="0.25">
      <c r="A30" s="178"/>
      <c r="K30" s="183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6"/>
      <c r="BK30" s="179"/>
    </row>
    <row r="31" spans="1:63" ht="15" customHeight="1" x14ac:dyDescent="0.25">
      <c r="A31" s="178"/>
      <c r="K31" s="183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6"/>
      <c r="BK31" s="179"/>
    </row>
    <row r="32" spans="1:63" ht="15" customHeight="1" x14ac:dyDescent="0.25">
      <c r="A32" s="178"/>
      <c r="K32" s="183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6"/>
      <c r="BK32" s="179"/>
    </row>
    <row r="33" spans="1:63" ht="15" customHeight="1" x14ac:dyDescent="0.25">
      <c r="A33" s="178"/>
      <c r="K33" s="183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6"/>
      <c r="BK33" s="179"/>
    </row>
    <row r="34" spans="1:63" ht="15" customHeight="1" x14ac:dyDescent="0.25">
      <c r="A34" s="178"/>
      <c r="K34" s="183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6"/>
      <c r="BK34" s="179"/>
    </row>
    <row r="35" spans="1:63" ht="15" customHeight="1" x14ac:dyDescent="0.25">
      <c r="A35" s="178"/>
      <c r="K35" s="183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6"/>
      <c r="BK35" s="179"/>
    </row>
    <row r="36" spans="1:63" ht="15" customHeight="1" x14ac:dyDescent="0.25">
      <c r="A36" s="178"/>
      <c r="K36" s="183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6"/>
      <c r="BK36" s="179"/>
    </row>
    <row r="37" spans="1:63" ht="15" customHeight="1" thickBot="1" x14ac:dyDescent="0.3">
      <c r="A37" s="178"/>
      <c r="K37" s="189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1"/>
      <c r="BK37" s="179"/>
    </row>
    <row r="38" spans="1:63" ht="15" customHeight="1" thickTop="1" x14ac:dyDescent="0.25">
      <c r="A38" s="178"/>
      <c r="BK38" s="179"/>
    </row>
    <row r="39" spans="1:63" ht="15" customHeight="1" x14ac:dyDescent="0.25">
      <c r="A39" s="178"/>
      <c r="BK39" s="179"/>
    </row>
    <row r="40" spans="1:63" ht="15" customHeight="1" x14ac:dyDescent="0.25">
      <c r="A40" s="178"/>
      <c r="BK40" s="179"/>
    </row>
    <row r="41" spans="1:63" ht="15" customHeight="1" x14ac:dyDescent="0.25">
      <c r="A41" s="178"/>
      <c r="BK41" s="179"/>
    </row>
    <row r="42" spans="1:63" ht="15" customHeight="1" x14ac:dyDescent="0.25">
      <c r="A42" s="178"/>
      <c r="BK42" s="179"/>
    </row>
    <row r="43" spans="1:63" ht="15" customHeight="1" x14ac:dyDescent="0.25">
      <c r="A43" s="178"/>
      <c r="BK43" s="179"/>
    </row>
    <row r="44" spans="1:63" ht="15" customHeight="1" x14ac:dyDescent="0.25">
      <c r="A44" s="178"/>
      <c r="Q44" s="192" t="s">
        <v>50</v>
      </c>
      <c r="R44" s="193"/>
      <c r="S44" s="193"/>
      <c r="T44" s="193"/>
      <c r="U44" s="193"/>
      <c r="V44" s="193"/>
      <c r="W44" s="193"/>
      <c r="X44" s="193"/>
      <c r="Y44" s="193"/>
      <c r="Z44" s="194"/>
      <c r="AA44" s="192" t="s">
        <v>51</v>
      </c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4"/>
      <c r="AQ44" s="192" t="s">
        <v>45</v>
      </c>
      <c r="AR44" s="193"/>
      <c r="AS44" s="193"/>
      <c r="AT44" s="193"/>
      <c r="AU44" s="194"/>
      <c r="BK44" s="179"/>
    </row>
    <row r="45" spans="1:63" ht="15" customHeight="1" x14ac:dyDescent="0.25">
      <c r="A45" s="178"/>
      <c r="Q45" s="195"/>
      <c r="R45" s="196"/>
      <c r="S45" s="196"/>
      <c r="T45" s="196"/>
      <c r="U45" s="196"/>
      <c r="V45" s="196"/>
      <c r="W45" s="196"/>
      <c r="X45" s="196"/>
      <c r="Y45" s="196"/>
      <c r="Z45" s="197"/>
      <c r="AA45" s="195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7"/>
      <c r="AQ45" s="195"/>
      <c r="AR45" s="196"/>
      <c r="AS45" s="196"/>
      <c r="AT45" s="196"/>
      <c r="AU45" s="197"/>
      <c r="BK45" s="179"/>
    </row>
    <row r="46" spans="1:63" ht="15" customHeight="1" x14ac:dyDescent="0.25">
      <c r="A46" s="178"/>
      <c r="Q46" s="150"/>
      <c r="R46" s="148"/>
      <c r="S46" s="148"/>
      <c r="T46" s="148"/>
      <c r="U46" s="148"/>
      <c r="V46" s="148"/>
      <c r="W46" s="148"/>
      <c r="X46" s="148"/>
      <c r="Y46" s="148"/>
      <c r="Z46" s="149"/>
      <c r="AA46" s="150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9"/>
      <c r="AQ46" s="150"/>
      <c r="AR46" s="148"/>
      <c r="AS46" s="148"/>
      <c r="AT46" s="148"/>
      <c r="AU46" s="149"/>
      <c r="BK46" s="179"/>
    </row>
    <row r="47" spans="1:63" ht="15" customHeight="1" x14ac:dyDescent="0.25">
      <c r="A47" s="178"/>
      <c r="Q47" s="198"/>
      <c r="R47" s="199"/>
      <c r="S47" s="199"/>
      <c r="T47" s="199"/>
      <c r="U47" s="199"/>
      <c r="V47" s="199"/>
      <c r="W47" s="199"/>
      <c r="X47" s="199"/>
      <c r="Y47" s="199"/>
      <c r="Z47" s="200"/>
      <c r="AA47" s="198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200"/>
      <c r="AQ47" s="198"/>
      <c r="AR47" s="199"/>
      <c r="AS47" s="199"/>
      <c r="AT47" s="199"/>
      <c r="AU47" s="200"/>
      <c r="BK47" s="179"/>
    </row>
    <row r="48" spans="1:63" ht="15" customHeight="1" x14ac:dyDescent="0.25">
      <c r="A48" s="178"/>
      <c r="Q48" s="198"/>
      <c r="R48" s="199"/>
      <c r="S48" s="199"/>
      <c r="T48" s="199"/>
      <c r="U48" s="199"/>
      <c r="V48" s="199"/>
      <c r="W48" s="199"/>
      <c r="X48" s="199"/>
      <c r="Y48" s="199"/>
      <c r="Z48" s="200"/>
      <c r="AA48" s="198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00"/>
      <c r="AQ48" s="198"/>
      <c r="AR48" s="199"/>
      <c r="AS48" s="199"/>
      <c r="AT48" s="199"/>
      <c r="AU48" s="200"/>
      <c r="BK48" s="179"/>
    </row>
    <row r="49" spans="1:63" ht="15" customHeight="1" x14ac:dyDescent="0.25">
      <c r="A49" s="178"/>
      <c r="Q49" s="160"/>
      <c r="R49" s="161"/>
      <c r="S49" s="161"/>
      <c r="T49" s="161"/>
      <c r="U49" s="161"/>
      <c r="V49" s="161"/>
      <c r="W49" s="161"/>
      <c r="X49" s="161"/>
      <c r="Y49" s="161"/>
      <c r="Z49" s="162"/>
      <c r="AA49" s="160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2"/>
      <c r="AQ49" s="160"/>
      <c r="AR49" s="161"/>
      <c r="AS49" s="161"/>
      <c r="AT49" s="161"/>
      <c r="AU49" s="162"/>
      <c r="BK49" s="179"/>
    </row>
    <row r="50" spans="1:63" ht="15" customHeight="1" x14ac:dyDescent="0.25">
      <c r="A50" s="178"/>
      <c r="BK50" s="179"/>
    </row>
    <row r="51" spans="1:63" ht="15" customHeight="1" x14ac:dyDescent="0.25">
      <c r="A51" s="178"/>
      <c r="BK51" s="179"/>
    </row>
    <row r="52" spans="1:63" ht="15" customHeight="1" x14ac:dyDescent="0.25">
      <c r="A52" s="178"/>
      <c r="BK52" s="179"/>
    </row>
    <row r="53" spans="1:63" ht="15" customHeight="1" x14ac:dyDescent="0.25">
      <c r="A53" s="178"/>
      <c r="BK53" s="179"/>
    </row>
    <row r="54" spans="1:63" ht="15" customHeight="1" x14ac:dyDescent="0.25">
      <c r="A54" s="178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45454</v>
      </c>
      <c r="AU2" s="155"/>
      <c r="AV2" s="155"/>
      <c r="AW2" s="155"/>
      <c r="AX2" s="156"/>
      <c r="AY2" s="150" t="str">
        <f>IF(表紙!AY2="","",表紙!AY2)</f>
        <v>LoiLV</v>
      </c>
      <c r="AZ2" s="148"/>
      <c r="BA2" s="148"/>
      <c r="BB2" s="149"/>
      <c r="BC2" s="154">
        <f>IF(表紙!BC2="","",表紙!BC2)</f>
        <v>45462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80_Scan&amp;Go商品マスタ再配信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改訂履歴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8" s="147" t="s">
        <v>9</v>
      </c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10" s="201" t="s">
        <v>44</v>
      </c>
      <c r="C10" s="201"/>
      <c r="D10" s="201"/>
      <c r="E10" s="201"/>
      <c r="F10" s="201"/>
      <c r="G10" s="201"/>
      <c r="H10" s="201" t="s">
        <v>43</v>
      </c>
      <c r="I10" s="201"/>
      <c r="J10" s="201"/>
      <c r="K10" s="201"/>
      <c r="L10" s="201"/>
      <c r="M10" s="201"/>
      <c r="N10" s="201"/>
      <c r="O10" s="201" t="s">
        <v>45</v>
      </c>
      <c r="P10" s="201"/>
      <c r="Q10" s="201"/>
      <c r="R10" s="201"/>
      <c r="S10" s="201" t="s">
        <v>52</v>
      </c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 t="s">
        <v>50</v>
      </c>
      <c r="AY10" s="201"/>
      <c r="AZ10" s="201"/>
      <c r="BA10" s="201"/>
      <c r="BB10" s="201"/>
      <c r="BC10" s="201"/>
      <c r="BD10" s="201" t="s">
        <v>51</v>
      </c>
      <c r="BE10" s="201"/>
      <c r="BF10" s="201"/>
      <c r="BG10" s="201"/>
      <c r="BH10" s="201"/>
      <c r="BI10" s="201"/>
      <c r="BJ10" s="201"/>
      <c r="BK10" s="179"/>
    </row>
    <row r="11" spans="1:63" ht="15" customHeight="1" x14ac:dyDescent="0.25">
      <c r="A11" s="178"/>
      <c r="B11" s="154">
        <v>45454</v>
      </c>
      <c r="C11" s="148"/>
      <c r="D11" s="148"/>
      <c r="E11" s="148"/>
      <c r="F11" s="148"/>
      <c r="G11" s="149"/>
      <c r="H11" s="5" t="s">
        <v>53</v>
      </c>
      <c r="I11" s="148"/>
      <c r="J11" s="148"/>
      <c r="K11" s="148"/>
      <c r="L11" s="148"/>
      <c r="M11" s="148"/>
      <c r="N11" s="149"/>
      <c r="O11" s="150">
        <v>0.1</v>
      </c>
      <c r="P11" s="148"/>
      <c r="Q11" s="148"/>
      <c r="R11" s="148"/>
      <c r="S11" s="202" t="s">
        <v>15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79"/>
    </row>
    <row r="12" spans="1:63" ht="15" customHeight="1" x14ac:dyDescent="0.25">
      <c r="A12" s="178"/>
      <c r="B12" s="160"/>
      <c r="C12" s="161"/>
      <c r="D12" s="161"/>
      <c r="E12" s="161"/>
      <c r="F12" s="161"/>
      <c r="G12" s="162"/>
      <c r="H12" s="160"/>
      <c r="I12" s="161"/>
      <c r="J12" s="161"/>
      <c r="K12" s="161"/>
      <c r="L12" s="161"/>
      <c r="M12" s="161"/>
      <c r="N12" s="162"/>
      <c r="O12" s="160"/>
      <c r="P12" s="161"/>
      <c r="Q12" s="161"/>
      <c r="R12" s="161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79"/>
    </row>
    <row r="13" spans="1:63" ht="15" customHeight="1" x14ac:dyDescent="0.25">
      <c r="A13" s="178"/>
      <c r="B13" s="214">
        <v>45462</v>
      </c>
      <c r="C13" s="215"/>
      <c r="D13" s="215"/>
      <c r="E13" s="215"/>
      <c r="F13" s="215"/>
      <c r="G13" s="216"/>
      <c r="H13" s="217" t="s">
        <v>53</v>
      </c>
      <c r="I13" s="215"/>
      <c r="J13" s="215"/>
      <c r="K13" s="215"/>
      <c r="L13" s="215"/>
      <c r="M13" s="215"/>
      <c r="N13" s="216"/>
      <c r="O13" s="217">
        <v>0.2</v>
      </c>
      <c r="P13" s="215"/>
      <c r="Q13" s="215"/>
      <c r="R13" s="215"/>
      <c r="S13" s="218" t="s">
        <v>54</v>
      </c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20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79"/>
    </row>
    <row r="14" spans="1:63" ht="15" customHeight="1" x14ac:dyDescent="0.25">
      <c r="A14" s="178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24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6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79"/>
    </row>
    <row r="15" spans="1:63" ht="15" customHeight="1" x14ac:dyDescent="0.25">
      <c r="A15" s="178"/>
      <c r="B15" s="150"/>
      <c r="C15" s="148"/>
      <c r="D15" s="148"/>
      <c r="E15" s="148"/>
      <c r="F15" s="148"/>
      <c r="G15" s="149"/>
      <c r="H15" s="150"/>
      <c r="I15" s="148"/>
      <c r="J15" s="148"/>
      <c r="K15" s="148"/>
      <c r="L15" s="148"/>
      <c r="M15" s="148"/>
      <c r="N15" s="149"/>
      <c r="O15" s="150"/>
      <c r="P15" s="148"/>
      <c r="Q15" s="148"/>
      <c r="R15" s="148"/>
      <c r="S15" s="202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79"/>
    </row>
    <row r="16" spans="1:63" ht="15" customHeight="1" x14ac:dyDescent="0.25">
      <c r="A16" s="178"/>
      <c r="B16" s="160"/>
      <c r="C16" s="161"/>
      <c r="D16" s="161"/>
      <c r="E16" s="161"/>
      <c r="F16" s="161"/>
      <c r="G16" s="162"/>
      <c r="H16" s="160"/>
      <c r="I16" s="161"/>
      <c r="J16" s="161"/>
      <c r="K16" s="161"/>
      <c r="L16" s="161"/>
      <c r="M16" s="161"/>
      <c r="N16" s="162"/>
      <c r="O16" s="160"/>
      <c r="P16" s="161"/>
      <c r="Q16" s="161"/>
      <c r="R16" s="161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79"/>
    </row>
    <row r="17" spans="1:63" ht="15" customHeight="1" x14ac:dyDescent="0.25">
      <c r="A17" s="178"/>
      <c r="B17" s="150"/>
      <c r="C17" s="148"/>
      <c r="D17" s="148"/>
      <c r="E17" s="148"/>
      <c r="F17" s="148"/>
      <c r="G17" s="149"/>
      <c r="H17" s="150"/>
      <c r="I17" s="148"/>
      <c r="J17" s="148"/>
      <c r="K17" s="148"/>
      <c r="L17" s="148"/>
      <c r="M17" s="148"/>
      <c r="N17" s="149"/>
      <c r="O17" s="150"/>
      <c r="P17" s="148"/>
      <c r="Q17" s="148"/>
      <c r="R17" s="148"/>
      <c r="S17" s="202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79"/>
    </row>
    <row r="18" spans="1:63" ht="15" customHeight="1" x14ac:dyDescent="0.25">
      <c r="A18" s="178"/>
      <c r="B18" s="160"/>
      <c r="C18" s="161"/>
      <c r="D18" s="161"/>
      <c r="E18" s="161"/>
      <c r="F18" s="161"/>
      <c r="G18" s="162"/>
      <c r="H18" s="160"/>
      <c r="I18" s="161"/>
      <c r="J18" s="161"/>
      <c r="K18" s="161"/>
      <c r="L18" s="161"/>
      <c r="M18" s="161"/>
      <c r="N18" s="162"/>
      <c r="O18" s="160"/>
      <c r="P18" s="161"/>
      <c r="Q18" s="161"/>
      <c r="R18" s="161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79"/>
    </row>
    <row r="19" spans="1:63" ht="15" customHeight="1" x14ac:dyDescent="0.25">
      <c r="A19" s="178"/>
      <c r="B19" s="150"/>
      <c r="C19" s="148"/>
      <c r="D19" s="148"/>
      <c r="E19" s="148"/>
      <c r="F19" s="148"/>
      <c r="G19" s="149"/>
      <c r="H19" s="150"/>
      <c r="I19" s="148"/>
      <c r="J19" s="148"/>
      <c r="K19" s="148"/>
      <c r="L19" s="148"/>
      <c r="M19" s="148"/>
      <c r="N19" s="149"/>
      <c r="O19" s="150"/>
      <c r="P19" s="148"/>
      <c r="Q19" s="148"/>
      <c r="R19" s="148"/>
      <c r="S19" s="202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79"/>
    </row>
    <row r="20" spans="1:63" ht="15" customHeight="1" x14ac:dyDescent="0.25">
      <c r="A20" s="178"/>
      <c r="B20" s="160"/>
      <c r="C20" s="161"/>
      <c r="D20" s="161"/>
      <c r="E20" s="161"/>
      <c r="F20" s="161"/>
      <c r="G20" s="162"/>
      <c r="H20" s="160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79"/>
    </row>
    <row r="21" spans="1:63" ht="15" customHeight="1" x14ac:dyDescent="0.25">
      <c r="A21" s="178"/>
      <c r="B21" s="150"/>
      <c r="C21" s="148"/>
      <c r="D21" s="148"/>
      <c r="E21" s="148"/>
      <c r="F21" s="148"/>
      <c r="G21" s="149"/>
      <c r="H21" s="150"/>
      <c r="I21" s="148"/>
      <c r="J21" s="148"/>
      <c r="K21" s="148"/>
      <c r="L21" s="148"/>
      <c r="M21" s="148"/>
      <c r="N21" s="149"/>
      <c r="O21" s="150"/>
      <c r="P21" s="148"/>
      <c r="Q21" s="148"/>
      <c r="R21" s="148"/>
      <c r="S21" s="202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79"/>
    </row>
    <row r="22" spans="1:63" ht="15" customHeight="1" x14ac:dyDescent="0.25">
      <c r="A22" s="178"/>
      <c r="B22" s="160"/>
      <c r="C22" s="161"/>
      <c r="D22" s="161"/>
      <c r="E22" s="161"/>
      <c r="F22" s="161"/>
      <c r="G22" s="162"/>
      <c r="H22" s="160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79"/>
    </row>
    <row r="23" spans="1:63" ht="15" customHeight="1" x14ac:dyDescent="0.25">
      <c r="A23" s="178"/>
      <c r="B23" s="150"/>
      <c r="C23" s="148"/>
      <c r="D23" s="148"/>
      <c r="E23" s="148"/>
      <c r="F23" s="148"/>
      <c r="G23" s="149"/>
      <c r="H23" s="150"/>
      <c r="I23" s="148"/>
      <c r="J23" s="148"/>
      <c r="K23" s="148"/>
      <c r="L23" s="148"/>
      <c r="M23" s="148"/>
      <c r="N23" s="149"/>
      <c r="O23" s="150"/>
      <c r="P23" s="148"/>
      <c r="Q23" s="148"/>
      <c r="R23" s="148"/>
      <c r="S23" s="202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79"/>
    </row>
    <row r="24" spans="1:63" ht="15" customHeight="1" x14ac:dyDescent="0.25">
      <c r="A24" s="178"/>
      <c r="B24" s="160"/>
      <c r="C24" s="161"/>
      <c r="D24" s="161"/>
      <c r="E24" s="161"/>
      <c r="F24" s="161"/>
      <c r="G24" s="162"/>
      <c r="H24" s="160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79"/>
    </row>
    <row r="25" spans="1:63" ht="15" customHeight="1" x14ac:dyDescent="0.25">
      <c r="A25" s="178"/>
      <c r="B25" s="150"/>
      <c r="C25" s="148"/>
      <c r="D25" s="148"/>
      <c r="E25" s="148"/>
      <c r="F25" s="148"/>
      <c r="G25" s="149"/>
      <c r="H25" s="150"/>
      <c r="I25" s="148"/>
      <c r="J25" s="148"/>
      <c r="K25" s="148"/>
      <c r="L25" s="148"/>
      <c r="M25" s="148"/>
      <c r="N25" s="149"/>
      <c r="O25" s="150"/>
      <c r="P25" s="148"/>
      <c r="Q25" s="148"/>
      <c r="R25" s="148"/>
      <c r="S25" s="202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79"/>
    </row>
    <row r="26" spans="1:63" ht="15" customHeight="1" x14ac:dyDescent="0.25">
      <c r="A26" s="178"/>
      <c r="B26" s="160"/>
      <c r="C26" s="161"/>
      <c r="D26" s="161"/>
      <c r="E26" s="161"/>
      <c r="F26" s="161"/>
      <c r="G26" s="162"/>
      <c r="H26" s="160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79"/>
    </row>
    <row r="27" spans="1:63" ht="15" customHeight="1" x14ac:dyDescent="0.25">
      <c r="A27" s="178"/>
      <c r="B27" s="150"/>
      <c r="C27" s="148"/>
      <c r="D27" s="148"/>
      <c r="E27" s="148"/>
      <c r="F27" s="148"/>
      <c r="G27" s="149"/>
      <c r="H27" s="150"/>
      <c r="I27" s="148"/>
      <c r="J27" s="148"/>
      <c r="K27" s="148"/>
      <c r="L27" s="148"/>
      <c r="M27" s="148"/>
      <c r="N27" s="149"/>
      <c r="O27" s="150"/>
      <c r="P27" s="148"/>
      <c r="Q27" s="148"/>
      <c r="R27" s="148"/>
      <c r="S27" s="202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79"/>
    </row>
    <row r="28" spans="1:63" ht="15" customHeight="1" x14ac:dyDescent="0.25">
      <c r="A28" s="178"/>
      <c r="B28" s="160"/>
      <c r="C28" s="161"/>
      <c r="D28" s="161"/>
      <c r="E28" s="161"/>
      <c r="F28" s="161"/>
      <c r="G28" s="162"/>
      <c r="H28" s="160"/>
      <c r="I28" s="161"/>
      <c r="J28" s="161"/>
      <c r="K28" s="161"/>
      <c r="L28" s="161"/>
      <c r="M28" s="161"/>
      <c r="N28" s="162"/>
      <c r="O28" s="160"/>
      <c r="P28" s="161"/>
      <c r="Q28" s="161"/>
      <c r="R28" s="161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79"/>
    </row>
    <row r="29" spans="1:63" ht="15" customHeight="1" x14ac:dyDescent="0.25">
      <c r="A29" s="178"/>
      <c r="B29" s="150"/>
      <c r="C29" s="148"/>
      <c r="D29" s="148"/>
      <c r="E29" s="148"/>
      <c r="F29" s="148"/>
      <c r="G29" s="149"/>
      <c r="H29" s="150"/>
      <c r="I29" s="148"/>
      <c r="J29" s="148"/>
      <c r="K29" s="148"/>
      <c r="L29" s="148"/>
      <c r="M29" s="148"/>
      <c r="N29" s="149"/>
      <c r="O29" s="150"/>
      <c r="P29" s="148"/>
      <c r="Q29" s="148"/>
      <c r="R29" s="148"/>
      <c r="S29" s="202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79"/>
    </row>
    <row r="30" spans="1:63" ht="15" customHeight="1" x14ac:dyDescent="0.25">
      <c r="A30" s="178"/>
      <c r="B30" s="160"/>
      <c r="C30" s="161"/>
      <c r="D30" s="161"/>
      <c r="E30" s="161"/>
      <c r="F30" s="161"/>
      <c r="G30" s="162"/>
      <c r="H30" s="160"/>
      <c r="I30" s="161"/>
      <c r="J30" s="161"/>
      <c r="K30" s="161"/>
      <c r="L30" s="161"/>
      <c r="M30" s="161"/>
      <c r="N30" s="162"/>
      <c r="O30" s="160"/>
      <c r="P30" s="161"/>
      <c r="Q30" s="161"/>
      <c r="R30" s="161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79"/>
    </row>
    <row r="31" spans="1:63" ht="15" customHeight="1" x14ac:dyDescent="0.25">
      <c r="A31" s="178"/>
      <c r="B31" s="150"/>
      <c r="C31" s="148"/>
      <c r="D31" s="148"/>
      <c r="E31" s="148"/>
      <c r="F31" s="148"/>
      <c r="G31" s="149"/>
      <c r="H31" s="150"/>
      <c r="I31" s="148"/>
      <c r="J31" s="148"/>
      <c r="K31" s="148"/>
      <c r="L31" s="148"/>
      <c r="M31" s="148"/>
      <c r="N31" s="149"/>
      <c r="O31" s="150"/>
      <c r="P31" s="148"/>
      <c r="Q31" s="148"/>
      <c r="R31" s="148"/>
      <c r="S31" s="202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79"/>
    </row>
    <row r="32" spans="1:63" ht="15" customHeight="1" x14ac:dyDescent="0.25">
      <c r="A32" s="178"/>
      <c r="B32" s="160"/>
      <c r="C32" s="161"/>
      <c r="D32" s="161"/>
      <c r="E32" s="161"/>
      <c r="F32" s="161"/>
      <c r="G32" s="162"/>
      <c r="H32" s="160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79"/>
    </row>
    <row r="33" spans="1:63" ht="15" customHeight="1" x14ac:dyDescent="0.25">
      <c r="A33" s="178"/>
      <c r="B33" s="150"/>
      <c r="C33" s="148"/>
      <c r="D33" s="148"/>
      <c r="E33" s="148"/>
      <c r="F33" s="148"/>
      <c r="G33" s="149"/>
      <c r="H33" s="150"/>
      <c r="I33" s="148"/>
      <c r="J33" s="148"/>
      <c r="K33" s="148"/>
      <c r="L33" s="148"/>
      <c r="M33" s="148"/>
      <c r="N33" s="149"/>
      <c r="O33" s="150"/>
      <c r="P33" s="148"/>
      <c r="Q33" s="148"/>
      <c r="R33" s="148"/>
      <c r="S33" s="202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79"/>
    </row>
    <row r="34" spans="1:63" ht="15" customHeight="1" x14ac:dyDescent="0.25">
      <c r="A34" s="178"/>
      <c r="B34" s="160"/>
      <c r="C34" s="161"/>
      <c r="D34" s="161"/>
      <c r="E34" s="161"/>
      <c r="F34" s="161"/>
      <c r="G34" s="162"/>
      <c r="H34" s="160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79"/>
    </row>
    <row r="35" spans="1:63" ht="15" customHeight="1" x14ac:dyDescent="0.25">
      <c r="A35" s="178"/>
      <c r="B35" s="150"/>
      <c r="C35" s="148"/>
      <c r="D35" s="148"/>
      <c r="E35" s="148"/>
      <c r="F35" s="148"/>
      <c r="G35" s="149"/>
      <c r="H35" s="150"/>
      <c r="I35" s="148"/>
      <c r="J35" s="148"/>
      <c r="K35" s="148"/>
      <c r="L35" s="148"/>
      <c r="M35" s="148"/>
      <c r="N35" s="149"/>
      <c r="O35" s="150"/>
      <c r="P35" s="148"/>
      <c r="Q35" s="148"/>
      <c r="R35" s="148"/>
      <c r="S35" s="202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79"/>
    </row>
    <row r="36" spans="1:63" ht="15" customHeight="1" x14ac:dyDescent="0.25">
      <c r="A36" s="178"/>
      <c r="B36" s="160"/>
      <c r="C36" s="161"/>
      <c r="D36" s="161"/>
      <c r="E36" s="161"/>
      <c r="F36" s="161"/>
      <c r="G36" s="162"/>
      <c r="H36" s="160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79"/>
    </row>
    <row r="37" spans="1:63" ht="15" customHeight="1" x14ac:dyDescent="0.25">
      <c r="A37" s="178"/>
      <c r="B37" s="150"/>
      <c r="C37" s="148"/>
      <c r="D37" s="148"/>
      <c r="E37" s="148"/>
      <c r="F37" s="148"/>
      <c r="G37" s="149"/>
      <c r="H37" s="150"/>
      <c r="I37" s="148"/>
      <c r="J37" s="148"/>
      <c r="K37" s="148"/>
      <c r="L37" s="148"/>
      <c r="M37" s="148"/>
      <c r="N37" s="149"/>
      <c r="O37" s="150"/>
      <c r="P37" s="148"/>
      <c r="Q37" s="148"/>
      <c r="R37" s="148"/>
      <c r="S37" s="202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79"/>
    </row>
    <row r="38" spans="1:63" ht="15" customHeight="1" x14ac:dyDescent="0.25">
      <c r="A38" s="178"/>
      <c r="B38" s="160"/>
      <c r="C38" s="161"/>
      <c r="D38" s="161"/>
      <c r="E38" s="161"/>
      <c r="F38" s="161"/>
      <c r="G38" s="162"/>
      <c r="H38" s="160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79"/>
    </row>
    <row r="39" spans="1:63" ht="15" customHeight="1" x14ac:dyDescent="0.25">
      <c r="A39" s="178"/>
      <c r="B39" s="150"/>
      <c r="C39" s="148"/>
      <c r="D39" s="148"/>
      <c r="E39" s="148"/>
      <c r="F39" s="148"/>
      <c r="G39" s="149"/>
      <c r="H39" s="150"/>
      <c r="I39" s="148"/>
      <c r="J39" s="148"/>
      <c r="K39" s="148"/>
      <c r="L39" s="148"/>
      <c r="M39" s="148"/>
      <c r="N39" s="149"/>
      <c r="O39" s="150"/>
      <c r="P39" s="148"/>
      <c r="Q39" s="148"/>
      <c r="R39" s="148"/>
      <c r="S39" s="202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79"/>
    </row>
    <row r="40" spans="1:63" ht="15" customHeight="1" x14ac:dyDescent="0.25">
      <c r="A40" s="178"/>
      <c r="B40" s="160"/>
      <c r="C40" s="161"/>
      <c r="D40" s="161"/>
      <c r="E40" s="161"/>
      <c r="F40" s="161"/>
      <c r="G40" s="162"/>
      <c r="H40" s="160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79"/>
    </row>
    <row r="41" spans="1:63" ht="15" customHeight="1" x14ac:dyDescent="0.25">
      <c r="A41" s="178"/>
      <c r="B41" s="150"/>
      <c r="C41" s="148"/>
      <c r="D41" s="148"/>
      <c r="E41" s="148"/>
      <c r="F41" s="148"/>
      <c r="G41" s="149"/>
      <c r="H41" s="150"/>
      <c r="I41" s="148"/>
      <c r="J41" s="148"/>
      <c r="K41" s="148"/>
      <c r="L41" s="148"/>
      <c r="M41" s="148"/>
      <c r="N41" s="149"/>
      <c r="O41" s="150"/>
      <c r="P41" s="148"/>
      <c r="Q41" s="148"/>
      <c r="R41" s="148"/>
      <c r="S41" s="202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79"/>
    </row>
    <row r="42" spans="1:63" ht="15" customHeight="1" x14ac:dyDescent="0.25">
      <c r="A42" s="178"/>
      <c r="B42" s="160"/>
      <c r="C42" s="161"/>
      <c r="D42" s="161"/>
      <c r="E42" s="161"/>
      <c r="F42" s="161"/>
      <c r="G42" s="162"/>
      <c r="H42" s="160"/>
      <c r="I42" s="161"/>
      <c r="J42" s="161"/>
      <c r="K42" s="161"/>
      <c r="L42" s="161"/>
      <c r="M42" s="161"/>
      <c r="N42" s="162"/>
      <c r="O42" s="160"/>
      <c r="P42" s="161"/>
      <c r="Q42" s="161"/>
      <c r="R42" s="161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79"/>
    </row>
    <row r="43" spans="1:63" ht="15" customHeight="1" x14ac:dyDescent="0.25">
      <c r="A43" s="178"/>
      <c r="B43" s="150"/>
      <c r="C43" s="148"/>
      <c r="D43" s="148"/>
      <c r="E43" s="148"/>
      <c r="F43" s="148"/>
      <c r="G43" s="149"/>
      <c r="H43" s="150"/>
      <c r="I43" s="148"/>
      <c r="J43" s="148"/>
      <c r="K43" s="148"/>
      <c r="L43" s="148"/>
      <c r="M43" s="148"/>
      <c r="N43" s="149"/>
      <c r="O43" s="150"/>
      <c r="P43" s="148"/>
      <c r="Q43" s="148"/>
      <c r="R43" s="148"/>
      <c r="S43" s="202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79"/>
    </row>
    <row r="44" spans="1:63" ht="15" customHeight="1" x14ac:dyDescent="0.25">
      <c r="A44" s="178"/>
      <c r="B44" s="160"/>
      <c r="C44" s="161"/>
      <c r="D44" s="161"/>
      <c r="E44" s="161"/>
      <c r="F44" s="161"/>
      <c r="G44" s="162"/>
      <c r="H44" s="160"/>
      <c r="I44" s="161"/>
      <c r="J44" s="161"/>
      <c r="K44" s="161"/>
      <c r="L44" s="161"/>
      <c r="M44" s="161"/>
      <c r="N44" s="162"/>
      <c r="O44" s="160"/>
      <c r="P44" s="161"/>
      <c r="Q44" s="161"/>
      <c r="R44" s="161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79"/>
    </row>
    <row r="45" spans="1:63" ht="15" customHeight="1" x14ac:dyDescent="0.25">
      <c r="A45" s="178"/>
      <c r="B45" s="150"/>
      <c r="C45" s="148"/>
      <c r="D45" s="148"/>
      <c r="E45" s="148"/>
      <c r="F45" s="148"/>
      <c r="G45" s="149"/>
      <c r="H45" s="150"/>
      <c r="I45" s="148"/>
      <c r="J45" s="148"/>
      <c r="K45" s="148"/>
      <c r="L45" s="148"/>
      <c r="M45" s="148"/>
      <c r="N45" s="149"/>
      <c r="O45" s="150"/>
      <c r="P45" s="148"/>
      <c r="Q45" s="148"/>
      <c r="R45" s="148"/>
      <c r="S45" s="202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79"/>
    </row>
    <row r="46" spans="1:63" ht="15" customHeight="1" x14ac:dyDescent="0.25">
      <c r="A46" s="178"/>
      <c r="B46" s="160"/>
      <c r="C46" s="161"/>
      <c r="D46" s="161"/>
      <c r="E46" s="161"/>
      <c r="F46" s="161"/>
      <c r="G46" s="162"/>
      <c r="H46" s="160"/>
      <c r="I46" s="161"/>
      <c r="J46" s="161"/>
      <c r="K46" s="161"/>
      <c r="L46" s="161"/>
      <c r="M46" s="161"/>
      <c r="N46" s="162"/>
      <c r="O46" s="160"/>
      <c r="P46" s="161"/>
      <c r="Q46" s="161"/>
      <c r="R46" s="161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79"/>
    </row>
    <row r="47" spans="1:63" ht="15" customHeight="1" x14ac:dyDescent="0.25">
      <c r="A47" s="178"/>
      <c r="B47" s="150"/>
      <c r="C47" s="148"/>
      <c r="D47" s="148"/>
      <c r="E47" s="148"/>
      <c r="F47" s="148"/>
      <c r="G47" s="149"/>
      <c r="H47" s="150"/>
      <c r="I47" s="148"/>
      <c r="J47" s="148"/>
      <c r="K47" s="148"/>
      <c r="L47" s="148"/>
      <c r="M47" s="148"/>
      <c r="N47" s="149"/>
      <c r="O47" s="150"/>
      <c r="P47" s="148"/>
      <c r="Q47" s="148"/>
      <c r="R47" s="148"/>
      <c r="S47" s="202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79"/>
    </row>
    <row r="48" spans="1:63" ht="15" customHeight="1" x14ac:dyDescent="0.25">
      <c r="A48" s="178"/>
      <c r="B48" s="160"/>
      <c r="C48" s="161"/>
      <c r="D48" s="161"/>
      <c r="E48" s="161"/>
      <c r="F48" s="161"/>
      <c r="G48" s="162"/>
      <c r="H48" s="160"/>
      <c r="I48" s="161"/>
      <c r="J48" s="161"/>
      <c r="K48" s="161"/>
      <c r="L48" s="161"/>
      <c r="M48" s="161"/>
      <c r="N48" s="162"/>
      <c r="O48" s="160"/>
      <c r="P48" s="161"/>
      <c r="Q48" s="161"/>
      <c r="R48" s="161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79"/>
    </row>
    <row r="49" spans="1:63" ht="15" customHeight="1" x14ac:dyDescent="0.25">
      <c r="A49" s="178"/>
      <c r="B49" s="150"/>
      <c r="C49" s="148"/>
      <c r="D49" s="148"/>
      <c r="E49" s="148"/>
      <c r="F49" s="148"/>
      <c r="G49" s="149"/>
      <c r="H49" s="150"/>
      <c r="I49" s="148"/>
      <c r="J49" s="148"/>
      <c r="K49" s="148"/>
      <c r="L49" s="148"/>
      <c r="M49" s="148"/>
      <c r="N49" s="149"/>
      <c r="O49" s="150"/>
      <c r="P49" s="148"/>
      <c r="Q49" s="148"/>
      <c r="R49" s="148"/>
      <c r="S49" s="202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79"/>
    </row>
    <row r="50" spans="1:63" ht="15" customHeight="1" x14ac:dyDescent="0.25">
      <c r="A50" s="178"/>
      <c r="B50" s="160"/>
      <c r="C50" s="161"/>
      <c r="D50" s="161"/>
      <c r="E50" s="161"/>
      <c r="F50" s="161"/>
      <c r="G50" s="162"/>
      <c r="H50" s="160"/>
      <c r="I50" s="161"/>
      <c r="J50" s="161"/>
      <c r="K50" s="161"/>
      <c r="L50" s="161"/>
      <c r="M50" s="161"/>
      <c r="N50" s="162"/>
      <c r="O50" s="160"/>
      <c r="P50" s="161"/>
      <c r="Q50" s="161"/>
      <c r="R50" s="161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79"/>
    </row>
    <row r="51" spans="1:63" ht="15" customHeight="1" x14ac:dyDescent="0.25">
      <c r="A51" s="178"/>
      <c r="B51" s="150"/>
      <c r="C51" s="148"/>
      <c r="D51" s="148"/>
      <c r="E51" s="148"/>
      <c r="F51" s="148"/>
      <c r="G51" s="149"/>
      <c r="H51" s="150"/>
      <c r="I51" s="148"/>
      <c r="J51" s="148"/>
      <c r="K51" s="148"/>
      <c r="L51" s="148"/>
      <c r="M51" s="148"/>
      <c r="N51" s="149"/>
      <c r="O51" s="150"/>
      <c r="P51" s="148"/>
      <c r="Q51" s="148"/>
      <c r="R51" s="148"/>
      <c r="S51" s="202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79"/>
    </row>
    <row r="52" spans="1:63" ht="15" customHeight="1" x14ac:dyDescent="0.25">
      <c r="A52" s="178"/>
      <c r="B52" s="160"/>
      <c r="C52" s="161"/>
      <c r="D52" s="161"/>
      <c r="E52" s="161"/>
      <c r="F52" s="161"/>
      <c r="G52" s="162"/>
      <c r="H52" s="160"/>
      <c r="I52" s="161"/>
      <c r="J52" s="161"/>
      <c r="K52" s="161"/>
      <c r="L52" s="161"/>
      <c r="M52" s="161"/>
      <c r="N52" s="162"/>
      <c r="O52" s="160"/>
      <c r="P52" s="161"/>
      <c r="Q52" s="161"/>
      <c r="R52" s="161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79"/>
    </row>
    <row r="53" spans="1:63" ht="15" customHeight="1" x14ac:dyDescent="0.25">
      <c r="A53" s="178"/>
      <c r="B53" s="150"/>
      <c r="C53" s="148"/>
      <c r="D53" s="148"/>
      <c r="E53" s="148"/>
      <c r="F53" s="148"/>
      <c r="G53" s="149"/>
      <c r="H53" s="150"/>
      <c r="I53" s="148"/>
      <c r="J53" s="148"/>
      <c r="K53" s="148"/>
      <c r="L53" s="148"/>
      <c r="M53" s="148"/>
      <c r="N53" s="149"/>
      <c r="O53" s="150"/>
      <c r="P53" s="148"/>
      <c r="Q53" s="148"/>
      <c r="R53" s="148"/>
      <c r="S53" s="202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79"/>
    </row>
    <row r="54" spans="1:63" ht="15" customHeight="1" x14ac:dyDescent="0.25">
      <c r="A54" s="178"/>
      <c r="B54" s="160"/>
      <c r="C54" s="161"/>
      <c r="D54" s="161"/>
      <c r="E54" s="161"/>
      <c r="F54" s="161"/>
      <c r="G54" s="162"/>
      <c r="H54" s="160"/>
      <c r="I54" s="161"/>
      <c r="J54" s="161"/>
      <c r="K54" s="161"/>
      <c r="L54" s="161"/>
      <c r="M54" s="161"/>
      <c r="N54" s="162"/>
      <c r="O54" s="160"/>
      <c r="P54" s="161"/>
      <c r="Q54" s="161"/>
      <c r="R54" s="161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27" customWidth="1"/>
    <col min="64" max="16384" width="8.88671875" style="227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28" t="str">
        <f>IF(表紙!A2="","",表紙!A2)</f>
        <v>POSサーバー</v>
      </c>
      <c r="B2" s="229"/>
      <c r="C2" s="229"/>
      <c r="D2" s="229"/>
      <c r="E2" s="229"/>
      <c r="F2" s="229"/>
      <c r="G2" s="229"/>
      <c r="H2" s="229"/>
      <c r="I2" s="229"/>
      <c r="J2" s="230"/>
      <c r="K2" s="228" t="str">
        <f>IF(表紙!K2="","",表紙!K2)</f>
        <v>POSサーバー</v>
      </c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30"/>
      <c r="W2" s="1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28" t="str">
        <f>IF(表紙!AP2="","",表紙!AP2)</f>
        <v>LoiLV</v>
      </c>
      <c r="AQ2" s="229"/>
      <c r="AR2" s="229"/>
      <c r="AS2" s="230"/>
      <c r="AT2" s="231">
        <v>45084</v>
      </c>
      <c r="AU2" s="232"/>
      <c r="AV2" s="232"/>
      <c r="AW2" s="232"/>
      <c r="AX2" s="233"/>
      <c r="AY2" s="228" t="str">
        <f>IF(表紙!AY2="","",表紙!AY2)</f>
        <v>LoiLV</v>
      </c>
      <c r="AZ2" s="229"/>
      <c r="BA2" s="229"/>
      <c r="BB2" s="230"/>
      <c r="BC2" s="231">
        <f>IF(表紙!BC2="","",表紙!BC2)</f>
        <v>45462</v>
      </c>
      <c r="BD2" s="232"/>
      <c r="BE2" s="232"/>
      <c r="BF2" s="232"/>
      <c r="BG2" s="233"/>
      <c r="BH2" s="228">
        <f>IF(表紙!BH2="","",表紙!BH2)</f>
        <v>0.2</v>
      </c>
      <c r="BI2" s="229"/>
      <c r="BJ2" s="229"/>
      <c r="BK2" s="230"/>
    </row>
    <row r="3" spans="1:63" ht="15" customHeight="1" x14ac:dyDescent="0.25">
      <c r="A3" s="234"/>
      <c r="B3" s="235"/>
      <c r="C3" s="235"/>
      <c r="D3" s="235"/>
      <c r="E3" s="235"/>
      <c r="F3" s="235"/>
      <c r="G3" s="235"/>
      <c r="H3" s="235"/>
      <c r="I3" s="235"/>
      <c r="J3" s="236"/>
      <c r="K3" s="234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6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34"/>
      <c r="AQ3" s="235"/>
      <c r="AR3" s="235"/>
      <c r="AS3" s="236"/>
      <c r="AT3" s="237"/>
      <c r="AU3" s="238"/>
      <c r="AV3" s="238"/>
      <c r="AW3" s="238"/>
      <c r="AX3" s="239"/>
      <c r="AY3" s="234"/>
      <c r="AZ3" s="235"/>
      <c r="BA3" s="235"/>
      <c r="BB3" s="236"/>
      <c r="BC3" s="237"/>
      <c r="BD3" s="238"/>
      <c r="BE3" s="238"/>
      <c r="BF3" s="238"/>
      <c r="BG3" s="239"/>
      <c r="BH3" s="234"/>
      <c r="BI3" s="235"/>
      <c r="BJ3" s="235"/>
      <c r="BK3" s="236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40" t="str">
        <f>IF(表紙!H4="","",表紙!H4)</f>
        <v>80_Scan&amp;Go商品マスタ再配信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2"/>
      <c r="U4" s="8" t="s">
        <v>8</v>
      </c>
      <c r="V4" s="7"/>
      <c r="W4" s="7"/>
      <c r="X4" s="7"/>
      <c r="Y4" s="6"/>
      <c r="Z4" s="240" t="str">
        <f>IF(表紙!Z4="","",表紙!Z4)</f>
        <v>概要設計書</v>
      </c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2"/>
      <c r="AP4" s="240" t="str">
        <f t="array" aca="1" ref="AP4" ca="1">RIGHT(CELL("filename",$A$1),LEN(CELL("filename",$A$1))-FIND("]",CELL("filename",$A$1)))</f>
        <v>業務フロー凡例</v>
      </c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2"/>
    </row>
    <row r="5" spans="1:63" ht="5.0999999999999996" customHeight="1" x14ac:dyDescent="0.25">
      <c r="A5" s="243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5"/>
    </row>
    <row r="6" spans="1:63" ht="15" customHeight="1" x14ac:dyDescent="0.25">
      <c r="A6" s="246"/>
      <c r="B6" s="247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9"/>
      <c r="AF6" s="247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9"/>
      <c r="BJ6" s="248"/>
      <c r="BK6" s="250"/>
    </row>
    <row r="7" spans="1:63" ht="15" customHeight="1" x14ac:dyDescent="0.25">
      <c r="A7" s="246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1"/>
      <c r="BJ7" s="9"/>
      <c r="BK7" s="250"/>
    </row>
    <row r="8" spans="1:63" ht="15" customHeight="1" x14ac:dyDescent="0.25">
      <c r="A8" s="246"/>
      <c r="B8" s="247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9"/>
      <c r="AF8" s="247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  <c r="BB8" s="248"/>
      <c r="BC8" s="248"/>
      <c r="BD8" s="248"/>
      <c r="BE8" s="248"/>
      <c r="BF8" s="248"/>
      <c r="BG8" s="248"/>
      <c r="BH8" s="248"/>
      <c r="BI8" s="249"/>
      <c r="BJ8" s="248"/>
      <c r="BK8" s="250"/>
    </row>
    <row r="9" spans="1:63" ht="15" customHeight="1" x14ac:dyDescent="0.25">
      <c r="A9" s="246"/>
      <c r="B9" s="247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9"/>
      <c r="AF9" s="247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48"/>
      <c r="BH9" s="248"/>
      <c r="BI9" s="249"/>
      <c r="BJ9" s="248"/>
      <c r="BK9" s="250"/>
    </row>
    <row r="10" spans="1:63" ht="15" customHeight="1" x14ac:dyDescent="0.25">
      <c r="A10" s="246"/>
      <c r="B10" s="247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9"/>
      <c r="AF10" s="247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9"/>
      <c r="BJ10" s="248"/>
      <c r="BK10" s="250"/>
    </row>
    <row r="11" spans="1:63" ht="15" customHeight="1" x14ac:dyDescent="0.25">
      <c r="A11" s="246"/>
      <c r="B11" s="247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9"/>
      <c r="AF11" s="247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9"/>
      <c r="BJ11" s="248"/>
      <c r="BK11" s="250"/>
    </row>
    <row r="12" spans="1:63" ht="15" customHeight="1" x14ac:dyDescent="0.25">
      <c r="A12" s="246"/>
      <c r="B12" s="247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9"/>
      <c r="AF12" s="247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9"/>
      <c r="BJ12" s="248"/>
      <c r="BK12" s="250"/>
    </row>
    <row r="13" spans="1:63" ht="15" customHeight="1" x14ac:dyDescent="0.25">
      <c r="A13" s="246"/>
      <c r="B13" s="247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9"/>
      <c r="AF13" s="247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9"/>
      <c r="BJ13" s="248"/>
      <c r="BK13" s="250"/>
    </row>
    <row r="14" spans="1:63" ht="15" customHeight="1" x14ac:dyDescent="0.25">
      <c r="A14" s="246"/>
      <c r="B14" s="247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9"/>
      <c r="AF14" s="247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8"/>
      <c r="AT14" s="248"/>
      <c r="AU14" s="248"/>
      <c r="AV14" s="248"/>
      <c r="AW14" s="248"/>
      <c r="AX14" s="248"/>
      <c r="AY14" s="248"/>
      <c r="AZ14" s="248"/>
      <c r="BA14" s="248"/>
      <c r="BB14" s="248"/>
      <c r="BC14" s="248"/>
      <c r="BD14" s="248"/>
      <c r="BE14" s="248"/>
      <c r="BF14" s="248"/>
      <c r="BG14" s="248"/>
      <c r="BH14" s="248"/>
      <c r="BI14" s="249"/>
      <c r="BJ14" s="248"/>
      <c r="BK14" s="250"/>
    </row>
    <row r="15" spans="1:63" ht="15" customHeight="1" x14ac:dyDescent="0.25">
      <c r="A15" s="246"/>
      <c r="B15" s="247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9"/>
      <c r="AF15" s="247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8"/>
      <c r="AX15" s="248"/>
      <c r="AY15" s="248"/>
      <c r="AZ15" s="248"/>
      <c r="BA15" s="248"/>
      <c r="BB15" s="248"/>
      <c r="BC15" s="248"/>
      <c r="BD15" s="248"/>
      <c r="BE15" s="248"/>
      <c r="BF15" s="248"/>
      <c r="BG15" s="248"/>
      <c r="BH15" s="248"/>
      <c r="BI15" s="249"/>
      <c r="BJ15" s="248"/>
      <c r="BK15" s="250"/>
    </row>
    <row r="16" spans="1:63" ht="15" customHeight="1" x14ac:dyDescent="0.25">
      <c r="A16" s="246"/>
      <c r="B16" s="247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9"/>
      <c r="AF16" s="247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  <c r="BB16" s="248"/>
      <c r="BC16" s="248"/>
      <c r="BD16" s="248"/>
      <c r="BE16" s="248"/>
      <c r="BF16" s="248"/>
      <c r="BG16" s="248"/>
      <c r="BH16" s="248"/>
      <c r="BI16" s="249"/>
      <c r="BJ16" s="248"/>
      <c r="BK16" s="250"/>
    </row>
    <row r="17" spans="1:63" ht="15" customHeight="1" x14ac:dyDescent="0.25">
      <c r="A17" s="246"/>
      <c r="B17" s="247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9"/>
      <c r="AF17" s="247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8"/>
      <c r="BB17" s="248"/>
      <c r="BC17" s="248"/>
      <c r="BD17" s="248"/>
      <c r="BE17" s="248"/>
      <c r="BF17" s="248"/>
      <c r="BG17" s="248"/>
      <c r="BH17" s="248"/>
      <c r="BI17" s="249"/>
      <c r="BJ17" s="248"/>
      <c r="BK17" s="250"/>
    </row>
    <row r="18" spans="1:63" ht="15" customHeight="1" x14ac:dyDescent="0.25">
      <c r="A18" s="246"/>
      <c r="B18" s="247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9"/>
      <c r="AF18" s="247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8"/>
      <c r="BB18" s="248"/>
      <c r="BC18" s="248"/>
      <c r="BD18" s="248"/>
      <c r="BE18" s="248"/>
      <c r="BF18" s="248"/>
      <c r="BG18" s="248"/>
      <c r="BH18" s="248"/>
      <c r="BI18" s="249"/>
      <c r="BJ18" s="248"/>
      <c r="BK18" s="250"/>
    </row>
    <row r="19" spans="1:63" ht="15" customHeight="1" x14ac:dyDescent="0.25">
      <c r="A19" s="246"/>
      <c r="B19" s="247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9"/>
      <c r="AF19" s="247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G19" s="248"/>
      <c r="BH19" s="248"/>
      <c r="BI19" s="249"/>
      <c r="BJ19" s="248"/>
      <c r="BK19" s="250"/>
    </row>
    <row r="20" spans="1:63" ht="15" customHeight="1" x14ac:dyDescent="0.25">
      <c r="A20" s="246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9"/>
      <c r="AF20" s="247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G20" s="248"/>
      <c r="BH20" s="248"/>
      <c r="BI20" s="249"/>
      <c r="BJ20" s="248"/>
      <c r="BK20" s="250"/>
    </row>
    <row r="21" spans="1:63" ht="15" customHeight="1" x14ac:dyDescent="0.25">
      <c r="A21" s="246"/>
      <c r="B21" s="247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9"/>
      <c r="AF21" s="247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G21" s="248"/>
      <c r="BH21" s="248"/>
      <c r="BI21" s="249"/>
      <c r="BJ21" s="248"/>
      <c r="BK21" s="250"/>
    </row>
    <row r="22" spans="1:63" ht="15" customHeight="1" x14ac:dyDescent="0.25">
      <c r="A22" s="246"/>
      <c r="B22" s="10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1"/>
      <c r="BJ22" s="9"/>
      <c r="BK22" s="250"/>
    </row>
    <row r="23" spans="1:63" ht="15" customHeight="1" x14ac:dyDescent="0.25">
      <c r="A23" s="246"/>
      <c r="B23" s="247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9"/>
      <c r="AF23" s="247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9"/>
      <c r="BJ23" s="248"/>
      <c r="BK23" s="250"/>
    </row>
    <row r="24" spans="1:63" ht="15" customHeight="1" x14ac:dyDescent="0.25">
      <c r="A24" s="246"/>
      <c r="B24" s="247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9"/>
      <c r="AF24" s="247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9"/>
      <c r="BJ24" s="248"/>
      <c r="BK24" s="250"/>
    </row>
    <row r="25" spans="1:63" ht="15" customHeight="1" x14ac:dyDescent="0.25">
      <c r="A25" s="246"/>
      <c r="B25" s="247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9"/>
      <c r="AF25" s="247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9"/>
      <c r="BJ25" s="248"/>
      <c r="BK25" s="250"/>
    </row>
    <row r="26" spans="1:63" ht="15" customHeight="1" x14ac:dyDescent="0.25">
      <c r="A26" s="246"/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9"/>
      <c r="AF26" s="247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9"/>
      <c r="BJ26" s="248"/>
      <c r="BK26" s="250"/>
    </row>
    <row r="27" spans="1:63" ht="15" customHeight="1" x14ac:dyDescent="0.25">
      <c r="A27" s="246"/>
      <c r="B27" s="247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9"/>
      <c r="AF27" s="247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9"/>
      <c r="BJ27" s="248"/>
      <c r="BK27" s="250"/>
    </row>
    <row r="28" spans="1:63" ht="15" customHeight="1" x14ac:dyDescent="0.25">
      <c r="A28" s="246"/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9"/>
      <c r="AF28" s="247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9"/>
      <c r="BJ28" s="248"/>
      <c r="BK28" s="250"/>
    </row>
    <row r="29" spans="1:63" ht="15" customHeight="1" x14ac:dyDescent="0.25">
      <c r="A29" s="246"/>
      <c r="B29" s="247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9"/>
      <c r="AF29" s="247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8"/>
      <c r="BI29" s="249"/>
      <c r="BJ29" s="248"/>
      <c r="BK29" s="250"/>
    </row>
    <row r="30" spans="1:63" ht="15" customHeight="1" x14ac:dyDescent="0.25">
      <c r="A30" s="246"/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9"/>
      <c r="AF30" s="247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9"/>
      <c r="BJ30" s="248"/>
      <c r="BK30" s="250"/>
    </row>
    <row r="31" spans="1:63" ht="15" customHeight="1" x14ac:dyDescent="0.25">
      <c r="A31" s="246"/>
      <c r="B31" s="247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9"/>
      <c r="AF31" s="247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9"/>
      <c r="BJ31" s="248"/>
      <c r="BK31" s="250"/>
    </row>
    <row r="32" spans="1:63" ht="15" customHeight="1" x14ac:dyDescent="0.25">
      <c r="A32" s="246"/>
      <c r="B32" s="247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9"/>
      <c r="AF32" s="247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9"/>
      <c r="BJ32" s="248"/>
      <c r="BK32" s="250"/>
    </row>
    <row r="33" spans="1:63" ht="15" customHeight="1" x14ac:dyDescent="0.25">
      <c r="A33" s="246"/>
      <c r="B33" s="247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9"/>
      <c r="AF33" s="247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9"/>
      <c r="BJ33" s="248"/>
      <c r="BK33" s="250"/>
    </row>
    <row r="34" spans="1:63" ht="15" customHeight="1" x14ac:dyDescent="0.25">
      <c r="A34" s="246"/>
      <c r="B34" s="247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9"/>
      <c r="AF34" s="247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9"/>
      <c r="BJ34" s="248"/>
      <c r="BK34" s="250"/>
    </row>
    <row r="35" spans="1:63" ht="15" customHeight="1" x14ac:dyDescent="0.25">
      <c r="A35" s="246"/>
      <c r="B35" s="247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9"/>
      <c r="AF35" s="247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9"/>
      <c r="BJ35" s="248"/>
      <c r="BK35" s="250"/>
    </row>
    <row r="36" spans="1:63" ht="15" customHeight="1" x14ac:dyDescent="0.25">
      <c r="A36" s="246"/>
      <c r="B36" s="247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9"/>
      <c r="AF36" s="247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9"/>
      <c r="BJ36" s="248"/>
      <c r="BK36" s="250"/>
    </row>
    <row r="37" spans="1:63" ht="15" customHeight="1" x14ac:dyDescent="0.25">
      <c r="A37" s="246"/>
      <c r="B37" s="247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7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9"/>
      <c r="BJ37" s="248"/>
      <c r="BK37" s="250"/>
    </row>
    <row r="38" spans="1:63" ht="15" customHeight="1" x14ac:dyDescent="0.25">
      <c r="A38" s="246"/>
      <c r="B38" s="247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7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9"/>
      <c r="BJ38" s="248"/>
      <c r="BK38" s="250"/>
    </row>
    <row r="39" spans="1:63" ht="15" customHeight="1" x14ac:dyDescent="0.25">
      <c r="A39" s="246"/>
      <c r="B39" s="247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7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9"/>
      <c r="BJ39" s="248"/>
      <c r="BK39" s="250"/>
    </row>
    <row r="40" spans="1:63" ht="15" customHeight="1" x14ac:dyDescent="0.25">
      <c r="A40" s="246"/>
      <c r="B40" s="247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7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9"/>
      <c r="BJ40" s="248"/>
      <c r="BK40" s="250"/>
    </row>
    <row r="41" spans="1:63" ht="15" customHeight="1" x14ac:dyDescent="0.25">
      <c r="A41" s="246"/>
      <c r="B41" s="247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7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9"/>
      <c r="BJ41" s="248"/>
      <c r="BK41" s="250"/>
    </row>
    <row r="42" spans="1:63" ht="15" customHeight="1" x14ac:dyDescent="0.25">
      <c r="A42" s="246"/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1"/>
      <c r="AF42" s="10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1"/>
      <c r="BJ42" s="9"/>
      <c r="BK42" s="250"/>
    </row>
    <row r="43" spans="1:63" ht="15" customHeight="1" x14ac:dyDescent="0.25">
      <c r="A43" s="246"/>
      <c r="B43" s="247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9"/>
      <c r="AF43" s="247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9"/>
      <c r="BJ43" s="248"/>
      <c r="BK43" s="250"/>
    </row>
    <row r="44" spans="1:63" ht="15" customHeight="1" x14ac:dyDescent="0.25">
      <c r="A44" s="246"/>
      <c r="B44" s="247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9"/>
      <c r="AF44" s="247"/>
      <c r="AG44" s="248"/>
      <c r="AH44" s="248"/>
      <c r="AI44" s="248"/>
      <c r="AJ44" s="248"/>
      <c r="AK44" s="248"/>
      <c r="AL44" s="248"/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9"/>
      <c r="BJ44" s="248"/>
      <c r="BK44" s="250"/>
    </row>
    <row r="45" spans="1:63" ht="15" customHeight="1" x14ac:dyDescent="0.25">
      <c r="A45" s="246"/>
      <c r="B45" s="247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9"/>
      <c r="AF45" s="247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8"/>
      <c r="AX45" s="248"/>
      <c r="AY45" s="248"/>
      <c r="AZ45" s="248"/>
      <c r="BA45" s="248"/>
      <c r="BB45" s="248"/>
      <c r="BC45" s="248"/>
      <c r="BD45" s="248"/>
      <c r="BE45" s="248"/>
      <c r="BF45" s="248"/>
      <c r="BG45" s="248"/>
      <c r="BH45" s="248"/>
      <c r="BI45" s="249"/>
      <c r="BJ45" s="248"/>
      <c r="BK45" s="250"/>
    </row>
    <row r="46" spans="1:63" ht="15" customHeight="1" x14ac:dyDescent="0.25">
      <c r="A46" s="246"/>
      <c r="B46" s="247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9"/>
      <c r="AF46" s="247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48"/>
      <c r="AU46" s="248"/>
      <c r="AV46" s="248"/>
      <c r="AW46" s="248"/>
      <c r="AX46" s="248"/>
      <c r="AY46" s="248"/>
      <c r="AZ46" s="248"/>
      <c r="BA46" s="248"/>
      <c r="BB46" s="248"/>
      <c r="BC46" s="248"/>
      <c r="BD46" s="248"/>
      <c r="BE46" s="248"/>
      <c r="BF46" s="248"/>
      <c r="BG46" s="248"/>
      <c r="BH46" s="248"/>
      <c r="BI46" s="249"/>
      <c r="BJ46" s="248"/>
      <c r="BK46" s="250"/>
    </row>
    <row r="47" spans="1:63" ht="15" customHeight="1" x14ac:dyDescent="0.25">
      <c r="A47" s="246"/>
      <c r="B47" s="247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9"/>
      <c r="AF47" s="247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8"/>
      <c r="AX47" s="248"/>
      <c r="AY47" s="248"/>
      <c r="AZ47" s="248"/>
      <c r="BA47" s="248"/>
      <c r="BB47" s="248"/>
      <c r="BC47" s="248"/>
      <c r="BD47" s="248"/>
      <c r="BE47" s="248"/>
      <c r="BF47" s="248"/>
      <c r="BG47" s="248"/>
      <c r="BH47" s="248"/>
      <c r="BI47" s="249"/>
      <c r="BJ47" s="248"/>
      <c r="BK47" s="250"/>
    </row>
    <row r="48" spans="1:63" ht="15" customHeight="1" x14ac:dyDescent="0.25">
      <c r="A48" s="246"/>
      <c r="B48" s="247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9"/>
      <c r="AF48" s="247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248"/>
      <c r="AY48" s="248"/>
      <c r="AZ48" s="248"/>
      <c r="BA48" s="248"/>
      <c r="BB48" s="248"/>
      <c r="BC48" s="248"/>
      <c r="BD48" s="248"/>
      <c r="BE48" s="248"/>
      <c r="BF48" s="248"/>
      <c r="BG48" s="248"/>
      <c r="BH48" s="248"/>
      <c r="BI48" s="249"/>
      <c r="BJ48" s="248"/>
      <c r="BK48" s="250"/>
    </row>
    <row r="49" spans="1:63" ht="15" customHeight="1" x14ac:dyDescent="0.25">
      <c r="A49" s="246"/>
      <c r="B49" s="247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7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9"/>
      <c r="BJ49" s="248"/>
      <c r="BK49" s="250"/>
    </row>
    <row r="50" spans="1:63" ht="15" customHeight="1" x14ac:dyDescent="0.25">
      <c r="A50" s="246"/>
      <c r="B50" s="247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7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9"/>
      <c r="BJ50" s="248"/>
      <c r="BK50" s="250"/>
    </row>
    <row r="51" spans="1:63" ht="15" customHeight="1" x14ac:dyDescent="0.25">
      <c r="A51" s="246"/>
      <c r="B51" s="247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7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8"/>
      <c r="AX51" s="248"/>
      <c r="AY51" s="248"/>
      <c r="AZ51" s="248"/>
      <c r="BA51" s="248"/>
      <c r="BB51" s="248"/>
      <c r="BC51" s="248"/>
      <c r="BD51" s="248"/>
      <c r="BE51" s="248"/>
      <c r="BF51" s="248"/>
      <c r="BG51" s="248"/>
      <c r="BH51" s="248"/>
      <c r="BI51" s="249"/>
      <c r="BJ51" s="248"/>
      <c r="BK51" s="250"/>
    </row>
    <row r="52" spans="1:63" ht="15" customHeight="1" x14ac:dyDescent="0.25">
      <c r="A52" s="246"/>
      <c r="B52" s="247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7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9"/>
      <c r="BJ52" s="248"/>
      <c r="BK52" s="250"/>
    </row>
    <row r="53" spans="1:63" ht="15" customHeight="1" x14ac:dyDescent="0.25">
      <c r="A53" s="246"/>
      <c r="B53" s="247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7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  <c r="BF53" s="248"/>
      <c r="BG53" s="248"/>
      <c r="BH53" s="248"/>
      <c r="BI53" s="249"/>
      <c r="BJ53" s="248"/>
      <c r="BK53" s="250"/>
    </row>
    <row r="54" spans="1:63" ht="15" customHeight="1" x14ac:dyDescent="0.25">
      <c r="A54" s="246"/>
      <c r="B54" s="247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7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  <c r="BC54" s="248"/>
      <c r="BD54" s="248"/>
      <c r="BE54" s="248"/>
      <c r="BF54" s="248"/>
      <c r="BG54" s="248"/>
      <c r="BH54" s="248"/>
      <c r="BI54" s="249"/>
      <c r="BJ54" s="248"/>
      <c r="BK54" s="250"/>
    </row>
    <row r="55" spans="1:63" ht="15" customHeight="1" x14ac:dyDescent="0.25">
      <c r="A55" s="246"/>
      <c r="B55" s="247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7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9"/>
      <c r="BJ55" s="248"/>
      <c r="BK55" s="250"/>
    </row>
    <row r="56" spans="1:63" ht="15" customHeight="1" x14ac:dyDescent="0.25">
      <c r="A56" s="246"/>
      <c r="B56" s="247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248"/>
      <c r="AF56" s="247"/>
      <c r="AG56" s="248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248"/>
      <c r="AX56" s="248"/>
      <c r="AY56" s="248"/>
      <c r="AZ56" s="248"/>
      <c r="BA56" s="248"/>
      <c r="BB56" s="248"/>
      <c r="BC56" s="248"/>
      <c r="BD56" s="248"/>
      <c r="BE56" s="248"/>
      <c r="BF56" s="248"/>
      <c r="BG56" s="248"/>
      <c r="BH56" s="248"/>
      <c r="BI56" s="249"/>
      <c r="BJ56" s="248"/>
      <c r="BK56" s="250"/>
    </row>
    <row r="57" spans="1:63" ht="15" customHeight="1" x14ac:dyDescent="0.25">
      <c r="A57" s="246"/>
      <c r="B57" s="247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7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8"/>
      <c r="BB57" s="248"/>
      <c r="BC57" s="248"/>
      <c r="BD57" s="248"/>
      <c r="BE57" s="248"/>
      <c r="BF57" s="248"/>
      <c r="BG57" s="248"/>
      <c r="BH57" s="248"/>
      <c r="BI57" s="249"/>
      <c r="BJ57" s="248"/>
      <c r="BK57" s="250"/>
    </row>
    <row r="58" spans="1:63" ht="15" customHeight="1" x14ac:dyDescent="0.25">
      <c r="A58" s="246"/>
      <c r="B58" s="247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7"/>
      <c r="AG58" s="248"/>
      <c r="AH58" s="248"/>
      <c r="AI58" s="248"/>
      <c r="AJ58" s="248"/>
      <c r="AK58" s="248"/>
      <c r="AL58" s="248"/>
      <c r="AM58" s="248"/>
      <c r="AN58" s="248"/>
      <c r="AO58" s="248"/>
      <c r="AP58" s="248"/>
      <c r="AQ58" s="248"/>
      <c r="AR58" s="248"/>
      <c r="AS58" s="248"/>
      <c r="AT58" s="248"/>
      <c r="AU58" s="248"/>
      <c r="AV58" s="248"/>
      <c r="AW58" s="248"/>
      <c r="AX58" s="248"/>
      <c r="AY58" s="248"/>
      <c r="AZ58" s="248"/>
      <c r="BA58" s="248"/>
      <c r="BB58" s="248"/>
      <c r="BC58" s="248"/>
      <c r="BD58" s="248"/>
      <c r="BE58" s="248"/>
      <c r="BF58" s="248"/>
      <c r="BG58" s="248"/>
      <c r="BH58" s="248"/>
      <c r="BI58" s="249"/>
      <c r="BJ58" s="248"/>
      <c r="BK58" s="250"/>
    </row>
    <row r="59" spans="1:63" ht="15" customHeight="1" x14ac:dyDescent="0.25">
      <c r="A59" s="246"/>
      <c r="B59" s="247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7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248"/>
      <c r="AR59" s="248"/>
      <c r="AS59" s="248"/>
      <c r="AT59" s="248"/>
      <c r="AU59" s="248"/>
      <c r="AV59" s="248"/>
      <c r="AW59" s="248"/>
      <c r="AX59" s="248"/>
      <c r="AY59" s="248"/>
      <c r="AZ59" s="248"/>
      <c r="BA59" s="248"/>
      <c r="BB59" s="248"/>
      <c r="BC59" s="248"/>
      <c r="BD59" s="248"/>
      <c r="BE59" s="248"/>
      <c r="BF59" s="248"/>
      <c r="BG59" s="248"/>
      <c r="BH59" s="248"/>
      <c r="BI59" s="249"/>
      <c r="BJ59" s="248"/>
      <c r="BK59" s="250"/>
    </row>
    <row r="60" spans="1:63" ht="15" customHeight="1" x14ac:dyDescent="0.25">
      <c r="A60" s="246"/>
      <c r="B60" s="247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7"/>
      <c r="AG60" s="248"/>
      <c r="AH60" s="248"/>
      <c r="AI60" s="248"/>
      <c r="AJ60" s="248"/>
      <c r="AK60" s="248"/>
      <c r="AL60" s="248"/>
      <c r="AM60" s="248"/>
      <c r="AN60" s="248"/>
      <c r="AO60" s="248"/>
      <c r="AP60" s="248"/>
      <c r="AQ60" s="248"/>
      <c r="AR60" s="248"/>
      <c r="AS60" s="248"/>
      <c r="AT60" s="248"/>
      <c r="AU60" s="248"/>
      <c r="AV60" s="248"/>
      <c r="AW60" s="248"/>
      <c r="AX60" s="248"/>
      <c r="AY60" s="248"/>
      <c r="AZ60" s="248"/>
      <c r="BA60" s="248"/>
      <c r="BB60" s="248"/>
      <c r="BC60" s="248"/>
      <c r="BD60" s="248"/>
      <c r="BE60" s="248"/>
      <c r="BF60" s="248"/>
      <c r="BG60" s="248"/>
      <c r="BH60" s="248"/>
      <c r="BI60" s="249"/>
      <c r="BJ60" s="248"/>
      <c r="BK60" s="250"/>
    </row>
    <row r="61" spans="1:63" ht="15" customHeight="1" x14ac:dyDescent="0.25">
      <c r="A61" s="246"/>
      <c r="B61" s="247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7"/>
      <c r="AG61" s="248"/>
      <c r="AH61" s="248"/>
      <c r="AI61" s="248"/>
      <c r="AJ61" s="248"/>
      <c r="AK61" s="248"/>
      <c r="AL61" s="248"/>
      <c r="AM61" s="248"/>
      <c r="AN61" s="248"/>
      <c r="AO61" s="248"/>
      <c r="AP61" s="248"/>
      <c r="AQ61" s="248"/>
      <c r="AR61" s="248"/>
      <c r="AS61" s="248"/>
      <c r="AT61" s="248"/>
      <c r="AU61" s="248"/>
      <c r="AV61" s="248"/>
      <c r="AW61" s="248"/>
      <c r="AX61" s="248"/>
      <c r="AY61" s="248"/>
      <c r="AZ61" s="248"/>
      <c r="BA61" s="248"/>
      <c r="BB61" s="248"/>
      <c r="BC61" s="248"/>
      <c r="BD61" s="248"/>
      <c r="BE61" s="248"/>
      <c r="BF61" s="248"/>
      <c r="BG61" s="248"/>
      <c r="BH61" s="248"/>
      <c r="BI61" s="249"/>
      <c r="BJ61" s="248"/>
      <c r="BK61" s="250"/>
    </row>
    <row r="62" spans="1:63" ht="15" customHeight="1" x14ac:dyDescent="0.25">
      <c r="A62" s="251"/>
      <c r="B62" s="252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3"/>
      <c r="AF62" s="252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1"/>
      <c r="BE62" s="251"/>
      <c r="BF62" s="251"/>
      <c r="BG62" s="251"/>
      <c r="BH62" s="251"/>
      <c r="BI62" s="253"/>
      <c r="BJ62" s="251"/>
      <c r="BK62" s="25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7" customWidth="1"/>
    <col min="66" max="16384" width="2.77734375" style="147"/>
  </cols>
  <sheetData>
    <row r="1" spans="1:65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5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45454</v>
      </c>
      <c r="AU2" s="155"/>
      <c r="AV2" s="155"/>
      <c r="AW2" s="155"/>
      <c r="AX2" s="156"/>
      <c r="AY2" s="150" t="str">
        <f>IF(表紙!AY2="","",表紙!AY2)</f>
        <v>LoiLV</v>
      </c>
      <c r="AZ2" s="148"/>
      <c r="BA2" s="148"/>
      <c r="BB2" s="149"/>
      <c r="BC2" s="154">
        <f>IF(表紙!BC2="","",表紙!BC2)</f>
        <v>45462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5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80_Scan&amp;Go商品マスタ再配信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機能概要説明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ht="15" customHeight="1" x14ac:dyDescent="0.25">
      <c r="A6" s="178"/>
      <c r="BK6" s="179"/>
    </row>
    <row r="7" spans="1:65" ht="15" customHeight="1" x14ac:dyDescent="0.25">
      <c r="A7" s="178"/>
      <c r="B7" s="147" t="s">
        <v>32</v>
      </c>
      <c r="K7" s="255"/>
      <c r="BK7" s="179"/>
      <c r="BM7" s="12">
        <f t="shared" ref="BM7:BM11" si="0">IF(BM6=50,1,BM6+1)</f>
        <v>1</v>
      </c>
    </row>
    <row r="8" spans="1:65" ht="15" customHeight="1" x14ac:dyDescent="0.25">
      <c r="A8" s="178"/>
      <c r="C8" s="256" t="s">
        <v>33</v>
      </c>
      <c r="K8" s="255"/>
      <c r="BK8" s="179"/>
      <c r="BM8" s="12">
        <f t="shared" si="0"/>
        <v>2</v>
      </c>
    </row>
    <row r="9" spans="1:65" ht="15" customHeight="1" x14ac:dyDescent="0.25">
      <c r="A9" s="178"/>
      <c r="C9" s="256" t="s">
        <v>35</v>
      </c>
      <c r="K9" s="255"/>
      <c r="BK9" s="179"/>
      <c r="BM9" s="12">
        <f t="shared" si="0"/>
        <v>3</v>
      </c>
    </row>
    <row r="10" spans="1:65" ht="15" customHeight="1" x14ac:dyDescent="0.25">
      <c r="A10" s="178"/>
      <c r="C10" s="256" t="s">
        <v>34</v>
      </c>
      <c r="K10" s="255"/>
      <c r="BK10" s="179"/>
      <c r="BM10" s="12">
        <f t="shared" si="0"/>
        <v>4</v>
      </c>
    </row>
    <row r="11" spans="1:65" s="255" customFormat="1" ht="15" customHeight="1" x14ac:dyDescent="0.25">
      <c r="A11" s="257"/>
      <c r="C11" s="258" t="s">
        <v>37</v>
      </c>
      <c r="BK11" s="259"/>
      <c r="BM11" s="12">
        <f t="shared" si="0"/>
        <v>5</v>
      </c>
    </row>
    <row r="12" spans="1:65" s="255" customFormat="1" ht="15" customHeight="1" x14ac:dyDescent="0.25">
      <c r="A12" s="257"/>
      <c r="BK12" s="259"/>
      <c r="BM12" s="12">
        <f t="shared" ref="BM12:BM44" si="1">IF(BM11=50,1,BM11+1)</f>
        <v>6</v>
      </c>
    </row>
    <row r="13" spans="1:65" s="255" customFormat="1" ht="15" customHeight="1" x14ac:dyDescent="0.25">
      <c r="A13" s="257"/>
      <c r="BK13" s="259"/>
      <c r="BM13" s="12">
        <f t="shared" si="1"/>
        <v>7</v>
      </c>
    </row>
    <row r="14" spans="1:65" s="255" customFormat="1" ht="15" customHeight="1" x14ac:dyDescent="0.25">
      <c r="A14" s="257"/>
      <c r="BK14" s="259"/>
      <c r="BM14" s="12">
        <f t="shared" si="1"/>
        <v>8</v>
      </c>
    </row>
    <row r="15" spans="1:65" s="255" customFormat="1" ht="15" customHeight="1" x14ac:dyDescent="0.25">
      <c r="A15" s="257"/>
      <c r="BK15" s="259"/>
      <c r="BM15" s="12">
        <f t="shared" si="1"/>
        <v>9</v>
      </c>
    </row>
    <row r="16" spans="1:65" s="255" customFormat="1" ht="15" customHeight="1" x14ac:dyDescent="0.25">
      <c r="A16" s="257"/>
      <c r="BK16" s="259"/>
      <c r="BM16" s="12">
        <f t="shared" si="1"/>
        <v>10</v>
      </c>
    </row>
    <row r="17" spans="1:65" s="255" customFormat="1" ht="15" customHeight="1" x14ac:dyDescent="0.25">
      <c r="A17" s="257"/>
      <c r="BK17" s="259"/>
      <c r="BM17" s="12">
        <f t="shared" si="1"/>
        <v>11</v>
      </c>
    </row>
    <row r="18" spans="1:65" s="255" customFormat="1" ht="15" customHeight="1" x14ac:dyDescent="0.25">
      <c r="A18" s="257"/>
      <c r="BK18" s="259"/>
      <c r="BM18" s="12">
        <f t="shared" si="1"/>
        <v>12</v>
      </c>
    </row>
    <row r="19" spans="1:65" s="255" customFormat="1" ht="15" customHeight="1" x14ac:dyDescent="0.25">
      <c r="A19" s="257"/>
      <c r="BK19" s="259"/>
      <c r="BM19" s="12">
        <f t="shared" si="1"/>
        <v>13</v>
      </c>
    </row>
    <row r="20" spans="1:65" s="255" customFormat="1" ht="15" customHeight="1" x14ac:dyDescent="0.25">
      <c r="A20" s="257"/>
      <c r="BK20" s="259"/>
      <c r="BM20" s="12">
        <f t="shared" si="1"/>
        <v>14</v>
      </c>
    </row>
    <row r="21" spans="1:65" s="255" customFormat="1" ht="15" customHeight="1" x14ac:dyDescent="0.25">
      <c r="A21" s="257"/>
      <c r="BK21" s="259"/>
      <c r="BM21" s="12">
        <f t="shared" si="1"/>
        <v>15</v>
      </c>
    </row>
    <row r="22" spans="1:65" s="255" customFormat="1" ht="15" customHeight="1" x14ac:dyDescent="0.25">
      <c r="A22" s="257"/>
      <c r="BK22" s="259"/>
      <c r="BM22" s="12">
        <f t="shared" si="1"/>
        <v>16</v>
      </c>
    </row>
    <row r="23" spans="1:65" s="255" customFormat="1" ht="15" customHeight="1" x14ac:dyDescent="0.25">
      <c r="A23" s="257"/>
      <c r="BK23" s="259"/>
      <c r="BM23" s="12">
        <f t="shared" si="1"/>
        <v>17</v>
      </c>
    </row>
    <row r="24" spans="1:65" s="255" customFormat="1" ht="15" customHeight="1" x14ac:dyDescent="0.25">
      <c r="A24" s="257"/>
      <c r="BK24" s="259"/>
      <c r="BM24" s="12">
        <f t="shared" si="1"/>
        <v>18</v>
      </c>
    </row>
    <row r="25" spans="1:65" s="255" customFormat="1" ht="15" customHeight="1" x14ac:dyDescent="0.25">
      <c r="A25" s="257"/>
      <c r="BK25" s="259"/>
      <c r="BM25" s="12">
        <f t="shared" si="1"/>
        <v>19</v>
      </c>
    </row>
    <row r="26" spans="1:65" s="255" customFormat="1" ht="15" customHeight="1" x14ac:dyDescent="0.25">
      <c r="A26" s="257"/>
      <c r="BK26" s="259"/>
      <c r="BM26" s="12">
        <f t="shared" si="1"/>
        <v>20</v>
      </c>
    </row>
    <row r="27" spans="1:65" s="255" customFormat="1" ht="15" customHeight="1" x14ac:dyDescent="0.25">
      <c r="A27" s="257"/>
      <c r="BK27" s="259"/>
      <c r="BM27" s="12">
        <f t="shared" si="1"/>
        <v>21</v>
      </c>
    </row>
    <row r="28" spans="1:65" s="255" customFormat="1" ht="15" customHeight="1" x14ac:dyDescent="0.25">
      <c r="A28" s="257"/>
      <c r="BK28" s="259"/>
      <c r="BM28" s="12">
        <f t="shared" si="1"/>
        <v>22</v>
      </c>
    </row>
    <row r="29" spans="1:65" s="255" customFormat="1" ht="15" customHeight="1" x14ac:dyDescent="0.25">
      <c r="A29" s="257"/>
      <c r="BK29" s="259"/>
      <c r="BM29" s="12">
        <f t="shared" si="1"/>
        <v>23</v>
      </c>
    </row>
    <row r="30" spans="1:65" s="255" customFormat="1" ht="15" customHeight="1" x14ac:dyDescent="0.25">
      <c r="A30" s="257"/>
      <c r="BK30" s="259"/>
      <c r="BM30" s="12">
        <f t="shared" si="1"/>
        <v>24</v>
      </c>
    </row>
    <row r="31" spans="1:65" s="255" customFormat="1" ht="15" customHeight="1" x14ac:dyDescent="0.25">
      <c r="A31" s="257"/>
      <c r="BK31" s="259"/>
      <c r="BM31" s="12">
        <f t="shared" si="1"/>
        <v>25</v>
      </c>
    </row>
    <row r="32" spans="1:65" s="255" customFormat="1" ht="15" customHeight="1" x14ac:dyDescent="0.25">
      <c r="A32" s="257"/>
      <c r="BK32" s="259"/>
      <c r="BM32" s="12">
        <f t="shared" si="1"/>
        <v>26</v>
      </c>
    </row>
    <row r="33" spans="1:65" s="255" customFormat="1" ht="15" customHeight="1" x14ac:dyDescent="0.25">
      <c r="A33" s="257"/>
      <c r="BK33" s="259"/>
      <c r="BM33" s="12">
        <f t="shared" si="1"/>
        <v>27</v>
      </c>
    </row>
    <row r="34" spans="1:65" s="255" customFormat="1" ht="15" customHeight="1" x14ac:dyDescent="0.25">
      <c r="A34" s="257"/>
      <c r="BK34" s="259"/>
      <c r="BM34" s="12">
        <f t="shared" si="1"/>
        <v>28</v>
      </c>
    </row>
    <row r="35" spans="1:65" s="255" customFormat="1" ht="15" customHeight="1" x14ac:dyDescent="0.25">
      <c r="A35" s="257"/>
      <c r="BK35" s="259"/>
      <c r="BM35" s="12">
        <f t="shared" si="1"/>
        <v>29</v>
      </c>
    </row>
    <row r="36" spans="1:65" s="255" customFormat="1" ht="15" customHeight="1" x14ac:dyDescent="0.25">
      <c r="A36" s="257"/>
      <c r="BK36" s="259"/>
      <c r="BM36" s="12">
        <f t="shared" si="1"/>
        <v>30</v>
      </c>
    </row>
    <row r="37" spans="1:65" s="255" customFormat="1" ht="15" customHeight="1" x14ac:dyDescent="0.25">
      <c r="A37" s="257"/>
      <c r="BK37" s="259"/>
      <c r="BM37" s="12">
        <f t="shared" si="1"/>
        <v>31</v>
      </c>
    </row>
    <row r="38" spans="1:65" s="255" customFormat="1" ht="15" customHeight="1" x14ac:dyDescent="0.25">
      <c r="A38" s="257"/>
      <c r="BK38" s="259"/>
      <c r="BM38" s="12">
        <f t="shared" si="1"/>
        <v>32</v>
      </c>
    </row>
    <row r="39" spans="1:65" s="255" customFormat="1" ht="15" customHeight="1" x14ac:dyDescent="0.25">
      <c r="A39" s="257"/>
      <c r="BK39" s="259"/>
      <c r="BM39" s="12">
        <f t="shared" si="1"/>
        <v>33</v>
      </c>
    </row>
    <row r="40" spans="1:65" s="255" customFormat="1" ht="15" customHeight="1" x14ac:dyDescent="0.25">
      <c r="A40" s="257"/>
      <c r="BK40" s="259"/>
      <c r="BM40" s="12">
        <f t="shared" si="1"/>
        <v>34</v>
      </c>
    </row>
    <row r="41" spans="1:65" s="255" customFormat="1" ht="15" customHeight="1" x14ac:dyDescent="0.25">
      <c r="A41" s="257"/>
      <c r="BK41" s="259"/>
      <c r="BM41" s="12">
        <f t="shared" si="1"/>
        <v>35</v>
      </c>
    </row>
    <row r="42" spans="1:65" s="255" customFormat="1" ht="15" customHeight="1" x14ac:dyDescent="0.25">
      <c r="A42" s="257"/>
      <c r="BK42" s="259"/>
      <c r="BM42" s="12">
        <f t="shared" si="1"/>
        <v>36</v>
      </c>
    </row>
    <row r="43" spans="1:65" s="255" customFormat="1" ht="15" customHeight="1" x14ac:dyDescent="0.25">
      <c r="A43" s="257"/>
      <c r="BK43" s="259"/>
      <c r="BM43" s="12">
        <f t="shared" si="1"/>
        <v>37</v>
      </c>
    </row>
    <row r="44" spans="1:65" s="255" customFormat="1" ht="15" customHeight="1" x14ac:dyDescent="0.25">
      <c r="A44" s="257"/>
      <c r="BK44" s="259"/>
      <c r="BM44" s="12">
        <f t="shared" si="1"/>
        <v>38</v>
      </c>
    </row>
    <row r="45" spans="1:65" s="255" customFormat="1" ht="15" customHeight="1" x14ac:dyDescent="0.25">
      <c r="A45" s="257"/>
      <c r="BK45" s="259"/>
      <c r="BM45" s="12">
        <f t="shared" ref="BM45:BM57" si="2">IF(BM44=50,1,BM44+1)</f>
        <v>39</v>
      </c>
    </row>
    <row r="46" spans="1:65" s="255" customFormat="1" ht="15" customHeight="1" x14ac:dyDescent="0.25">
      <c r="A46" s="257"/>
      <c r="BK46" s="259"/>
      <c r="BM46" s="12">
        <f t="shared" si="2"/>
        <v>40</v>
      </c>
    </row>
    <row r="47" spans="1:65" s="255" customFormat="1" ht="15" customHeight="1" x14ac:dyDescent="0.25">
      <c r="A47" s="257"/>
      <c r="BK47" s="259"/>
      <c r="BM47" s="12">
        <f t="shared" si="2"/>
        <v>41</v>
      </c>
    </row>
    <row r="48" spans="1:65" s="255" customFormat="1" ht="15" customHeight="1" x14ac:dyDescent="0.25">
      <c r="A48" s="257"/>
      <c r="BK48" s="259"/>
      <c r="BM48" s="12">
        <f t="shared" si="2"/>
        <v>42</v>
      </c>
    </row>
    <row r="49" spans="1:65" s="255" customFormat="1" ht="15" customHeight="1" x14ac:dyDescent="0.25">
      <c r="A49" s="257"/>
      <c r="BK49" s="259"/>
      <c r="BM49" s="12">
        <f t="shared" si="2"/>
        <v>43</v>
      </c>
    </row>
    <row r="50" spans="1:65" s="255" customFormat="1" ht="15" customHeight="1" x14ac:dyDescent="0.25">
      <c r="A50" s="257"/>
      <c r="BK50" s="259"/>
      <c r="BM50" s="12">
        <f t="shared" si="2"/>
        <v>44</v>
      </c>
    </row>
    <row r="51" spans="1:65" s="255" customFormat="1" ht="15" customHeight="1" x14ac:dyDescent="0.25">
      <c r="A51" s="257"/>
      <c r="BK51" s="259"/>
      <c r="BM51" s="12">
        <f t="shared" si="2"/>
        <v>45</v>
      </c>
    </row>
    <row r="52" spans="1:65" s="255" customFormat="1" ht="15" customHeight="1" x14ac:dyDescent="0.25">
      <c r="A52" s="257"/>
      <c r="BK52" s="259"/>
      <c r="BM52" s="12">
        <f t="shared" si="2"/>
        <v>46</v>
      </c>
    </row>
    <row r="53" spans="1:65" s="255" customFormat="1" ht="15" customHeight="1" x14ac:dyDescent="0.25">
      <c r="A53" s="257"/>
      <c r="BK53" s="259"/>
      <c r="BM53" s="12">
        <f t="shared" si="2"/>
        <v>47</v>
      </c>
    </row>
    <row r="54" spans="1:65" s="255" customFormat="1" ht="15" customHeight="1" x14ac:dyDescent="0.25">
      <c r="A54" s="257"/>
      <c r="BK54" s="259"/>
      <c r="BM54" s="12">
        <f t="shared" si="2"/>
        <v>48</v>
      </c>
    </row>
    <row r="55" spans="1:65" s="255" customFormat="1" ht="15" customHeight="1" x14ac:dyDescent="0.25">
      <c r="A55" s="257"/>
      <c r="BK55" s="259"/>
      <c r="BM55" s="12">
        <f t="shared" si="2"/>
        <v>49</v>
      </c>
    </row>
    <row r="56" spans="1:65" s="255" customFormat="1" ht="15" customHeight="1" x14ac:dyDescent="0.25">
      <c r="A56" s="257"/>
      <c r="BK56" s="259"/>
      <c r="BM56" s="12">
        <f t="shared" si="2"/>
        <v>50</v>
      </c>
    </row>
    <row r="57" spans="1:65" s="255" customFormat="1" ht="15" customHeight="1" x14ac:dyDescent="0.25">
      <c r="A57" s="260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  <c r="AA57" s="261"/>
      <c r="AB57" s="261"/>
      <c r="AC57" s="261"/>
      <c r="AD57" s="261"/>
      <c r="AE57" s="261"/>
      <c r="AF57" s="261"/>
      <c r="AG57" s="261"/>
      <c r="AH57" s="261"/>
      <c r="AI57" s="261"/>
      <c r="AJ57" s="261"/>
      <c r="AK57" s="261"/>
      <c r="AL57" s="261"/>
      <c r="AM57" s="261"/>
      <c r="AN57" s="261"/>
      <c r="AO57" s="261"/>
      <c r="AP57" s="261"/>
      <c r="AQ57" s="261"/>
      <c r="AR57" s="261"/>
      <c r="AS57" s="261"/>
      <c r="AT57" s="261"/>
      <c r="AU57" s="261"/>
      <c r="AV57" s="261"/>
      <c r="AW57" s="261"/>
      <c r="AX57" s="261"/>
      <c r="AY57" s="261"/>
      <c r="AZ57" s="261"/>
      <c r="BA57" s="261"/>
      <c r="BB57" s="261"/>
      <c r="BC57" s="261"/>
      <c r="BD57" s="261"/>
      <c r="BE57" s="261"/>
      <c r="BF57" s="261"/>
      <c r="BG57" s="261"/>
      <c r="BH57" s="261"/>
      <c r="BI57" s="261"/>
      <c r="BJ57" s="261"/>
      <c r="BK57" s="262"/>
      <c r="BM57" s="12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DR11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147" customWidth="1"/>
    <col min="65" max="65" width="3" style="147" bestFit="1" customWidth="1"/>
    <col min="66" max="67" width="2.77734375" style="147" customWidth="1"/>
    <col min="68" max="16384" width="2.77734375" style="147"/>
  </cols>
  <sheetData>
    <row r="1" spans="1:65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5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45454</v>
      </c>
      <c r="AU2" s="155"/>
      <c r="AV2" s="155"/>
      <c r="AW2" s="155"/>
      <c r="AX2" s="156"/>
      <c r="AY2" s="150" t="str">
        <f>IF(表紙!AY2="","",表紙!AY2)</f>
        <v>LoiLV</v>
      </c>
      <c r="AZ2" s="148"/>
      <c r="BA2" s="148"/>
      <c r="BB2" s="149"/>
      <c r="BC2" s="154">
        <f>IF(表紙!BC2="","",表紙!BC2)</f>
        <v>45462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5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80_Scan&amp;Go商品マスタ再配信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ht="15" customHeight="1" x14ac:dyDescent="0.25">
      <c r="A6" s="178"/>
      <c r="BK6" s="179"/>
    </row>
    <row r="7" spans="1:65" ht="15" customHeight="1" x14ac:dyDescent="0.25">
      <c r="A7" s="178"/>
      <c r="B7" s="263" t="s">
        <v>55</v>
      </c>
      <c r="C7" s="264"/>
      <c r="D7" s="265"/>
      <c r="E7" s="265"/>
      <c r="F7" s="265"/>
      <c r="G7" s="265"/>
      <c r="H7" s="265"/>
      <c r="I7" s="265"/>
      <c r="J7" s="265"/>
      <c r="K7" s="266"/>
      <c r="L7" s="265"/>
      <c r="M7" s="265"/>
      <c r="N7" s="265"/>
      <c r="O7" s="265"/>
      <c r="P7" s="265"/>
      <c r="Q7" s="265"/>
      <c r="R7" s="265"/>
      <c r="S7" s="265"/>
      <c r="T7" s="266"/>
      <c r="U7" s="264"/>
      <c r="V7" s="265"/>
      <c r="W7" s="265"/>
      <c r="X7" s="265"/>
      <c r="Y7" s="265"/>
      <c r="Z7" s="265"/>
      <c r="AA7" s="265"/>
      <c r="AB7" s="265"/>
      <c r="AC7" s="266"/>
      <c r="AD7" s="264"/>
      <c r="AE7" s="265"/>
      <c r="AF7" s="265"/>
      <c r="AG7" s="265"/>
      <c r="AH7" s="265"/>
      <c r="AI7" s="265"/>
      <c r="AJ7" s="265"/>
      <c r="AK7" s="265"/>
      <c r="AL7" s="266"/>
      <c r="AM7" s="264"/>
      <c r="AN7" s="265"/>
      <c r="AO7" s="265"/>
      <c r="AP7" s="265"/>
      <c r="AQ7" s="265"/>
      <c r="AR7" s="265"/>
      <c r="AS7" s="265"/>
      <c r="AT7" s="265"/>
      <c r="AU7" s="265"/>
      <c r="AV7" s="265"/>
      <c r="AW7" s="265"/>
      <c r="AX7" s="265"/>
      <c r="AY7" s="265"/>
      <c r="AZ7" s="265"/>
      <c r="BA7" s="265"/>
      <c r="BB7" s="265"/>
      <c r="BC7" s="265"/>
      <c r="BD7" s="265"/>
      <c r="BE7" s="265"/>
      <c r="BF7" s="265"/>
      <c r="BG7" s="265"/>
      <c r="BH7" s="265"/>
      <c r="BI7" s="266"/>
      <c r="BJ7" s="265"/>
      <c r="BK7" s="179"/>
    </row>
    <row r="8" spans="1:65" ht="15" customHeight="1" x14ac:dyDescent="0.25">
      <c r="A8" s="178"/>
      <c r="B8" s="267"/>
      <c r="K8" s="268"/>
      <c r="U8" s="267"/>
      <c r="AD8" s="267"/>
      <c r="AM8" s="267"/>
      <c r="BI8" s="269"/>
      <c r="BK8" s="179"/>
      <c r="BM8" s="12">
        <f t="shared" ref="BM8:BM21" si="0">IF(BM7=50,1,BM7+1)</f>
        <v>1</v>
      </c>
    </row>
    <row r="9" spans="1:65" ht="15" customHeight="1" x14ac:dyDescent="0.25">
      <c r="A9" s="178"/>
      <c r="B9" s="267"/>
      <c r="K9" s="268"/>
      <c r="U9" s="267"/>
      <c r="AD9" s="267"/>
      <c r="AM9" s="267"/>
      <c r="BI9" s="269"/>
      <c r="BK9" s="179"/>
      <c r="BM9" s="12">
        <f t="shared" si="0"/>
        <v>2</v>
      </c>
    </row>
    <row r="10" spans="1:65" ht="15" customHeight="1" x14ac:dyDescent="0.25">
      <c r="A10" s="178"/>
      <c r="B10" s="267"/>
      <c r="K10" s="268"/>
      <c r="U10" s="267"/>
      <c r="AD10" s="267"/>
      <c r="AM10" s="267"/>
      <c r="BI10" s="269"/>
      <c r="BK10" s="179"/>
      <c r="BM10" s="12">
        <f t="shared" si="0"/>
        <v>3</v>
      </c>
    </row>
    <row r="11" spans="1:65" ht="15" customHeight="1" x14ac:dyDescent="0.25">
      <c r="A11" s="178"/>
      <c r="B11" s="267"/>
      <c r="K11" s="268"/>
      <c r="U11" s="267"/>
      <c r="AD11" s="267"/>
      <c r="AM11" s="267"/>
      <c r="BI11" s="269"/>
      <c r="BK11" s="179"/>
      <c r="BM11" s="12">
        <f t="shared" si="0"/>
        <v>4</v>
      </c>
    </row>
    <row r="12" spans="1:65" ht="15" customHeight="1" x14ac:dyDescent="0.25">
      <c r="A12" s="178"/>
      <c r="B12" s="267"/>
      <c r="K12" s="268"/>
      <c r="U12" s="267"/>
      <c r="AD12" s="267"/>
      <c r="AM12" s="267"/>
      <c r="BI12" s="269"/>
      <c r="BK12" s="179"/>
      <c r="BM12" s="12">
        <f t="shared" si="0"/>
        <v>5</v>
      </c>
    </row>
    <row r="13" spans="1:65" ht="15" customHeight="1" x14ac:dyDescent="0.25">
      <c r="A13" s="178"/>
      <c r="B13" s="267"/>
      <c r="K13" s="268"/>
      <c r="U13" s="267"/>
      <c r="AD13" s="267"/>
      <c r="AM13" s="267"/>
      <c r="BI13" s="269"/>
      <c r="BK13" s="179"/>
      <c r="BM13" s="12">
        <f t="shared" si="0"/>
        <v>6</v>
      </c>
    </row>
    <row r="14" spans="1:65" ht="15" customHeight="1" x14ac:dyDescent="0.25">
      <c r="A14" s="178"/>
      <c r="B14" s="267"/>
      <c r="K14" s="268"/>
      <c r="U14" s="267"/>
      <c r="AD14" s="267"/>
      <c r="AM14" s="267"/>
      <c r="BI14" s="269"/>
      <c r="BK14" s="179"/>
      <c r="BM14" s="12">
        <f t="shared" si="0"/>
        <v>7</v>
      </c>
    </row>
    <row r="15" spans="1:65" ht="15" customHeight="1" x14ac:dyDescent="0.25">
      <c r="A15" s="178"/>
      <c r="B15" s="267"/>
      <c r="K15" s="268"/>
      <c r="U15" s="267"/>
      <c r="AD15" s="267"/>
      <c r="AM15" s="267"/>
      <c r="BI15" s="269"/>
      <c r="BK15" s="179"/>
      <c r="BM15" s="12">
        <f t="shared" si="0"/>
        <v>8</v>
      </c>
    </row>
    <row r="16" spans="1:65" ht="15" customHeight="1" x14ac:dyDescent="0.25">
      <c r="A16" s="178"/>
      <c r="B16" s="267"/>
      <c r="K16" s="268"/>
      <c r="U16" s="267"/>
      <c r="AD16" s="267"/>
      <c r="AM16" s="267"/>
      <c r="BI16" s="269"/>
      <c r="BK16" s="179"/>
      <c r="BM16" s="12">
        <f t="shared" si="0"/>
        <v>9</v>
      </c>
    </row>
    <row r="17" spans="1:67" ht="15" customHeight="1" x14ac:dyDescent="0.25">
      <c r="A17" s="178"/>
      <c r="B17" s="267"/>
      <c r="K17" s="268"/>
      <c r="U17" s="267"/>
      <c r="AD17" s="267"/>
      <c r="AM17" s="267"/>
      <c r="BI17" s="269"/>
      <c r="BK17" s="179"/>
      <c r="BM17" s="12">
        <f t="shared" si="0"/>
        <v>10</v>
      </c>
    </row>
    <row r="18" spans="1:67" ht="15" customHeight="1" x14ac:dyDescent="0.25">
      <c r="A18" s="178"/>
      <c r="B18" s="267"/>
      <c r="K18" s="268"/>
      <c r="U18" s="267"/>
      <c r="AD18" s="267"/>
      <c r="AM18" s="267"/>
      <c r="BI18" s="269"/>
      <c r="BK18" s="179"/>
      <c r="BM18" s="12">
        <f t="shared" si="0"/>
        <v>11</v>
      </c>
    </row>
    <row r="19" spans="1:67" ht="15" customHeight="1" x14ac:dyDescent="0.25">
      <c r="A19" s="178"/>
      <c r="B19" s="267"/>
      <c r="K19" s="268"/>
      <c r="U19" s="267"/>
      <c r="AD19" s="267"/>
      <c r="AM19" s="267"/>
      <c r="BI19" s="269"/>
      <c r="BK19" s="179"/>
      <c r="BM19" s="12">
        <f t="shared" si="0"/>
        <v>12</v>
      </c>
    </row>
    <row r="20" spans="1:67" ht="15" customHeight="1" x14ac:dyDescent="0.25">
      <c r="A20" s="178"/>
      <c r="B20" s="267"/>
      <c r="K20" s="268"/>
      <c r="U20" s="267"/>
      <c r="AD20" s="267"/>
      <c r="AM20" s="267"/>
      <c r="BI20" s="269"/>
      <c r="BK20" s="179"/>
      <c r="BM20" s="12">
        <f t="shared" si="0"/>
        <v>13</v>
      </c>
    </row>
    <row r="21" spans="1:67" ht="15" customHeight="1" x14ac:dyDescent="0.25">
      <c r="A21" s="178"/>
      <c r="B21" s="267"/>
      <c r="K21" s="268"/>
      <c r="U21" s="267"/>
      <c r="AD21" s="267"/>
      <c r="AM21" s="267"/>
      <c r="BI21" s="269"/>
      <c r="BK21" s="179"/>
      <c r="BM21" s="12">
        <f t="shared" si="0"/>
        <v>14</v>
      </c>
    </row>
    <row r="22" spans="1:67" s="255" customFormat="1" ht="15" customHeight="1" x14ac:dyDescent="0.25">
      <c r="A22" s="257"/>
      <c r="B22" s="267"/>
      <c r="K22" s="268"/>
      <c r="L22" s="270"/>
      <c r="T22" s="268"/>
      <c r="U22" s="270"/>
      <c r="AC22" s="268"/>
      <c r="AD22" s="270"/>
      <c r="AL22" s="268"/>
      <c r="AM22" s="270"/>
      <c r="BI22" s="268"/>
      <c r="BK22" s="259"/>
      <c r="BM22" s="12">
        <f t="shared" ref="BM22:BM57" si="1">IF(BM21=50,1,BM21+1)</f>
        <v>15</v>
      </c>
    </row>
    <row r="23" spans="1:67" s="255" customFormat="1" ht="15" customHeight="1" x14ac:dyDescent="0.25">
      <c r="A23" s="257"/>
      <c r="B23" s="267"/>
      <c r="K23" s="268"/>
      <c r="L23" s="270"/>
      <c r="T23" s="268"/>
      <c r="U23" s="270"/>
      <c r="AC23" s="268"/>
      <c r="AD23" s="270"/>
      <c r="AL23" s="268"/>
      <c r="AM23" s="270"/>
      <c r="BI23" s="268"/>
      <c r="BK23" s="259"/>
      <c r="BM23" s="12">
        <f t="shared" si="1"/>
        <v>16</v>
      </c>
      <c r="BO23" s="147"/>
    </row>
    <row r="24" spans="1:67" s="255" customFormat="1" ht="15" customHeight="1" x14ac:dyDescent="0.25">
      <c r="A24" s="257"/>
      <c r="B24" s="267"/>
      <c r="K24" s="268"/>
      <c r="L24" s="270"/>
      <c r="T24" s="268"/>
      <c r="U24" s="270"/>
      <c r="AC24" s="268"/>
      <c r="AD24" s="270"/>
      <c r="AL24" s="268"/>
      <c r="AM24" s="270"/>
      <c r="BI24" s="268"/>
      <c r="BK24" s="259"/>
      <c r="BM24" s="12">
        <f t="shared" si="1"/>
        <v>17</v>
      </c>
    </row>
    <row r="25" spans="1:67" s="255" customFormat="1" ht="15" customHeight="1" x14ac:dyDescent="0.25">
      <c r="A25" s="257"/>
      <c r="B25" s="267"/>
      <c r="K25" s="268"/>
      <c r="L25" s="270"/>
      <c r="T25" s="268"/>
      <c r="U25" s="270"/>
      <c r="AC25" s="268"/>
      <c r="AD25" s="270"/>
      <c r="AL25" s="268"/>
      <c r="AM25" s="270"/>
      <c r="BI25" s="268"/>
      <c r="BK25" s="259"/>
      <c r="BM25" s="12">
        <f t="shared" si="1"/>
        <v>18</v>
      </c>
    </row>
    <row r="26" spans="1:67" s="255" customFormat="1" ht="15" customHeight="1" x14ac:dyDescent="0.25">
      <c r="A26" s="257"/>
      <c r="B26" s="267"/>
      <c r="K26" s="268"/>
      <c r="L26" s="270"/>
      <c r="T26" s="268"/>
      <c r="U26" s="270"/>
      <c r="AC26" s="268"/>
      <c r="AD26" s="270"/>
      <c r="AL26" s="268"/>
      <c r="AM26" s="270"/>
      <c r="BI26" s="268"/>
      <c r="BK26" s="259"/>
      <c r="BM26" s="12">
        <f t="shared" si="1"/>
        <v>19</v>
      </c>
    </row>
    <row r="27" spans="1:67" s="255" customFormat="1" ht="15" customHeight="1" x14ac:dyDescent="0.25">
      <c r="A27" s="257"/>
      <c r="B27" s="267"/>
      <c r="K27" s="268"/>
      <c r="L27" s="270"/>
      <c r="T27" s="268"/>
      <c r="U27" s="270"/>
      <c r="AC27" s="268"/>
      <c r="AD27" s="270"/>
      <c r="AL27" s="268"/>
      <c r="AM27" s="270"/>
      <c r="BI27" s="268"/>
      <c r="BK27" s="259"/>
      <c r="BM27" s="12">
        <f t="shared" si="1"/>
        <v>20</v>
      </c>
    </row>
    <row r="28" spans="1:67" s="255" customFormat="1" ht="15" customHeight="1" x14ac:dyDescent="0.25">
      <c r="A28" s="257"/>
      <c r="B28" s="267"/>
      <c r="K28" s="268"/>
      <c r="L28" s="270"/>
      <c r="T28" s="268"/>
      <c r="U28" s="270"/>
      <c r="AC28" s="268"/>
      <c r="AD28" s="270"/>
      <c r="AL28" s="268"/>
      <c r="AM28" s="270"/>
      <c r="BI28" s="268"/>
      <c r="BK28" s="259"/>
      <c r="BM28" s="12">
        <f t="shared" si="1"/>
        <v>21</v>
      </c>
    </row>
    <row r="29" spans="1:67" s="255" customFormat="1" ht="15" customHeight="1" x14ac:dyDescent="0.25">
      <c r="A29" s="257"/>
      <c r="B29" s="267"/>
      <c r="K29" s="268"/>
      <c r="L29" s="270"/>
      <c r="T29" s="268"/>
      <c r="U29" s="270"/>
      <c r="AC29" s="268"/>
      <c r="AD29" s="270"/>
      <c r="AL29" s="268"/>
      <c r="AM29" s="270"/>
      <c r="BI29" s="268"/>
      <c r="BK29" s="259"/>
      <c r="BM29" s="12">
        <f t="shared" si="1"/>
        <v>22</v>
      </c>
    </row>
    <row r="30" spans="1:67" s="255" customFormat="1" ht="15" customHeight="1" x14ac:dyDescent="0.25">
      <c r="A30" s="257"/>
      <c r="B30" s="267"/>
      <c r="K30" s="268"/>
      <c r="L30" s="270"/>
      <c r="T30" s="268"/>
      <c r="U30" s="270"/>
      <c r="AC30" s="268"/>
      <c r="AD30" s="270"/>
      <c r="AL30" s="268"/>
      <c r="AM30" s="270"/>
      <c r="BI30" s="268"/>
      <c r="BK30" s="259"/>
      <c r="BM30" s="12">
        <f t="shared" si="1"/>
        <v>23</v>
      </c>
    </row>
    <row r="31" spans="1:67" s="255" customFormat="1" ht="15" customHeight="1" x14ac:dyDescent="0.25">
      <c r="A31" s="257"/>
      <c r="B31" s="267"/>
      <c r="K31" s="268"/>
      <c r="L31" s="270"/>
      <c r="T31" s="268"/>
      <c r="U31" s="270"/>
      <c r="AC31" s="268"/>
      <c r="AD31" s="270"/>
      <c r="AL31" s="268"/>
      <c r="AM31" s="270"/>
      <c r="BI31" s="268"/>
      <c r="BK31" s="259"/>
      <c r="BM31" s="12">
        <f t="shared" si="1"/>
        <v>24</v>
      </c>
    </row>
    <row r="32" spans="1:67" s="255" customFormat="1" ht="15" customHeight="1" x14ac:dyDescent="0.25">
      <c r="A32" s="257"/>
      <c r="B32" s="267"/>
      <c r="K32" s="268"/>
      <c r="L32" s="270"/>
      <c r="T32" s="268"/>
      <c r="U32" s="270"/>
      <c r="AC32" s="268"/>
      <c r="AD32" s="270"/>
      <c r="AL32" s="268"/>
      <c r="AM32" s="270"/>
      <c r="BI32" s="268"/>
      <c r="BK32" s="259"/>
      <c r="BM32" s="12">
        <f t="shared" si="1"/>
        <v>25</v>
      </c>
    </row>
    <row r="33" spans="1:122" s="255" customFormat="1" ht="15" customHeight="1" x14ac:dyDescent="0.25">
      <c r="A33" s="257"/>
      <c r="B33" s="267"/>
      <c r="K33" s="268"/>
      <c r="L33" s="270"/>
      <c r="T33" s="268"/>
      <c r="U33" s="270"/>
      <c r="AC33" s="268"/>
      <c r="AD33" s="270"/>
      <c r="AL33" s="268"/>
      <c r="AM33" s="270"/>
      <c r="BI33" s="268"/>
      <c r="BK33" s="259"/>
      <c r="BM33" s="12">
        <f t="shared" si="1"/>
        <v>26</v>
      </c>
    </row>
    <row r="34" spans="1:122" s="255" customFormat="1" ht="15" customHeight="1" x14ac:dyDescent="0.25">
      <c r="A34" s="257"/>
      <c r="B34" s="267"/>
      <c r="K34" s="268"/>
      <c r="L34" s="270"/>
      <c r="T34" s="268"/>
      <c r="U34" s="270"/>
      <c r="AC34" s="268"/>
      <c r="AD34" s="270"/>
      <c r="AL34" s="268"/>
      <c r="AM34" s="270"/>
      <c r="BI34" s="268"/>
      <c r="BK34" s="259"/>
      <c r="BM34" s="12">
        <f t="shared" si="1"/>
        <v>27</v>
      </c>
    </row>
    <row r="35" spans="1:122" s="255" customFormat="1" ht="15" customHeight="1" x14ac:dyDescent="0.25">
      <c r="A35" s="257"/>
      <c r="B35" s="267"/>
      <c r="K35" s="268"/>
      <c r="L35" s="270"/>
      <c r="T35" s="268"/>
      <c r="U35" s="270"/>
      <c r="AC35" s="268"/>
      <c r="AD35" s="270"/>
      <c r="AL35" s="268"/>
      <c r="AM35" s="270"/>
      <c r="BI35" s="268"/>
      <c r="BK35" s="259"/>
      <c r="BM35" s="12">
        <f t="shared" si="1"/>
        <v>28</v>
      </c>
    </row>
    <row r="36" spans="1:122" s="255" customFormat="1" ht="15" customHeight="1" x14ac:dyDescent="0.25">
      <c r="A36" s="257"/>
      <c r="B36" s="267"/>
      <c r="K36" s="268"/>
      <c r="L36" s="270"/>
      <c r="T36" s="268"/>
      <c r="U36" s="270"/>
      <c r="AC36" s="268"/>
      <c r="AD36" s="270"/>
      <c r="AL36" s="268"/>
      <c r="AM36" s="270"/>
      <c r="BI36" s="268"/>
      <c r="BK36" s="259"/>
      <c r="BM36" s="12">
        <f t="shared" si="1"/>
        <v>29</v>
      </c>
    </row>
    <row r="37" spans="1:122" s="255" customFormat="1" ht="15" customHeight="1" x14ac:dyDescent="0.25">
      <c r="A37" s="257"/>
      <c r="B37" s="267"/>
      <c r="K37" s="268"/>
      <c r="L37" s="270"/>
      <c r="T37" s="268"/>
      <c r="U37" s="270"/>
      <c r="AC37" s="268"/>
      <c r="AD37" s="270"/>
      <c r="AL37" s="268"/>
      <c r="AM37" s="270"/>
      <c r="BI37" s="268"/>
      <c r="BK37" s="259"/>
      <c r="BM37" s="12">
        <f t="shared" si="1"/>
        <v>30</v>
      </c>
    </row>
    <row r="38" spans="1:122" s="255" customFormat="1" ht="15" customHeight="1" x14ac:dyDescent="0.25">
      <c r="A38" s="257"/>
      <c r="B38" s="267"/>
      <c r="K38" s="268"/>
      <c r="L38" s="270"/>
      <c r="T38" s="268"/>
      <c r="U38" s="270"/>
      <c r="AC38" s="268"/>
      <c r="AD38" s="270"/>
      <c r="AL38" s="268"/>
      <c r="AM38" s="270"/>
      <c r="BI38" s="268"/>
      <c r="BK38" s="259"/>
      <c r="BM38" s="12">
        <f t="shared" si="1"/>
        <v>31</v>
      </c>
    </row>
    <row r="39" spans="1:122" s="255" customFormat="1" ht="15" customHeight="1" x14ac:dyDescent="0.25">
      <c r="A39" s="257"/>
      <c r="B39" s="267"/>
      <c r="K39" s="268"/>
      <c r="L39" s="270"/>
      <c r="T39" s="268"/>
      <c r="U39" s="270"/>
      <c r="AC39" s="268"/>
      <c r="AD39" s="270"/>
      <c r="AL39" s="268"/>
      <c r="AM39" s="270"/>
      <c r="BI39" s="268"/>
      <c r="BK39" s="259"/>
      <c r="BM39" s="12">
        <f t="shared" si="1"/>
        <v>32</v>
      </c>
      <c r="BO39" s="271" t="s">
        <v>56</v>
      </c>
    </row>
    <row r="40" spans="1:122" s="255" customFormat="1" ht="15" customHeight="1" x14ac:dyDescent="0.25">
      <c r="A40" s="257"/>
      <c r="B40" s="267"/>
      <c r="K40" s="268"/>
      <c r="L40" s="270"/>
      <c r="T40" s="268"/>
      <c r="U40" s="270"/>
      <c r="AC40" s="268"/>
      <c r="AD40" s="270"/>
      <c r="AL40" s="268"/>
      <c r="AM40" s="270"/>
      <c r="BI40" s="268"/>
      <c r="BK40" s="259"/>
      <c r="BM40" s="12">
        <f t="shared" si="1"/>
        <v>33</v>
      </c>
    </row>
    <row r="41" spans="1:122" s="255" customFormat="1" ht="15" customHeight="1" x14ac:dyDescent="0.25">
      <c r="A41" s="257"/>
      <c r="B41" s="267"/>
      <c r="K41" s="268"/>
      <c r="L41" s="270"/>
      <c r="T41" s="268"/>
      <c r="U41" s="270"/>
      <c r="AC41" s="268"/>
      <c r="AD41" s="270"/>
      <c r="AL41" s="268"/>
      <c r="AM41" s="270"/>
      <c r="BI41" s="268"/>
      <c r="BK41" s="259"/>
      <c r="BM41" s="12">
        <f t="shared" si="1"/>
        <v>34</v>
      </c>
      <c r="BO41" s="147"/>
      <c r="DR41" s="147"/>
    </row>
    <row r="42" spans="1:122" s="255" customFormat="1" ht="15" customHeight="1" x14ac:dyDescent="0.25">
      <c r="A42" s="257"/>
      <c r="B42" s="267"/>
      <c r="K42" s="268"/>
      <c r="L42" s="270"/>
      <c r="T42" s="268"/>
      <c r="U42" s="270"/>
      <c r="AC42" s="268"/>
      <c r="AD42" s="270"/>
      <c r="AL42" s="268"/>
      <c r="AM42" s="270"/>
      <c r="BI42" s="268"/>
      <c r="BK42" s="259"/>
      <c r="BM42" s="12">
        <f t="shared" si="1"/>
        <v>35</v>
      </c>
    </row>
    <row r="43" spans="1:122" s="255" customFormat="1" ht="15" customHeight="1" x14ac:dyDescent="0.25">
      <c r="A43" s="257"/>
      <c r="B43" s="270"/>
      <c r="K43" s="268"/>
      <c r="L43" s="270"/>
      <c r="T43" s="268"/>
      <c r="U43" s="270"/>
      <c r="AC43" s="268"/>
      <c r="AD43" s="270"/>
      <c r="AL43" s="268"/>
      <c r="AM43" s="270"/>
      <c r="BI43" s="268"/>
      <c r="BK43" s="259"/>
      <c r="BM43" s="12">
        <f t="shared" si="1"/>
        <v>36</v>
      </c>
    </row>
    <row r="44" spans="1:122" s="255" customFormat="1" ht="15" customHeight="1" x14ac:dyDescent="0.25">
      <c r="A44" s="257"/>
      <c r="B44" s="270"/>
      <c r="K44" s="268"/>
      <c r="L44" s="270"/>
      <c r="T44" s="268"/>
      <c r="U44" s="270"/>
      <c r="AC44" s="268"/>
      <c r="AD44" s="270"/>
      <c r="AL44" s="268"/>
      <c r="AM44" s="270"/>
      <c r="BI44" s="268"/>
      <c r="BK44" s="259"/>
      <c r="BM44" s="12">
        <f t="shared" si="1"/>
        <v>37</v>
      </c>
    </row>
    <row r="45" spans="1:122" s="255" customFormat="1" ht="15" customHeight="1" x14ac:dyDescent="0.25">
      <c r="A45" s="257"/>
      <c r="B45" s="270"/>
      <c r="K45" s="268"/>
      <c r="L45" s="270"/>
      <c r="T45" s="268"/>
      <c r="U45" s="270"/>
      <c r="AC45" s="268"/>
      <c r="AL45" s="268"/>
      <c r="AM45" s="270"/>
      <c r="BI45" s="268"/>
      <c r="BK45" s="259"/>
      <c r="BM45" s="12">
        <f t="shared" si="1"/>
        <v>38</v>
      </c>
    </row>
    <row r="46" spans="1:122" s="255" customFormat="1" ht="15" customHeight="1" x14ac:dyDescent="0.25">
      <c r="A46" s="257"/>
      <c r="B46" s="270"/>
      <c r="K46" s="268"/>
      <c r="L46" s="270"/>
      <c r="T46" s="268"/>
      <c r="U46" s="270"/>
      <c r="AC46" s="268"/>
      <c r="AD46" s="270"/>
      <c r="AL46" s="268"/>
      <c r="AM46" s="270"/>
      <c r="BI46" s="268"/>
      <c r="BK46" s="259"/>
      <c r="BM46" s="12">
        <f t="shared" si="1"/>
        <v>39</v>
      </c>
    </row>
    <row r="47" spans="1:122" s="255" customFormat="1" ht="15" customHeight="1" x14ac:dyDescent="0.25">
      <c r="A47" s="257"/>
      <c r="B47" s="270"/>
      <c r="K47" s="268"/>
      <c r="L47" s="270"/>
      <c r="T47" s="268"/>
      <c r="U47" s="270"/>
      <c r="AC47" s="268"/>
      <c r="AD47" s="270"/>
      <c r="AL47" s="268"/>
      <c r="AM47" s="270"/>
      <c r="BI47" s="268"/>
      <c r="BK47" s="259"/>
      <c r="BM47" s="12">
        <f t="shared" si="1"/>
        <v>40</v>
      </c>
    </row>
    <row r="48" spans="1:122" s="255" customFormat="1" ht="15" customHeight="1" x14ac:dyDescent="0.25">
      <c r="A48" s="257"/>
      <c r="B48" s="270"/>
      <c r="K48" s="268"/>
      <c r="L48" s="270"/>
      <c r="T48" s="268"/>
      <c r="U48" s="270"/>
      <c r="AC48" s="268"/>
      <c r="AD48" s="270"/>
      <c r="AL48" s="268"/>
      <c r="AM48" s="270"/>
      <c r="BI48" s="268"/>
      <c r="BK48" s="259"/>
      <c r="BM48" s="12">
        <f t="shared" si="1"/>
        <v>41</v>
      </c>
    </row>
    <row r="49" spans="1:65" s="255" customFormat="1" ht="15" customHeight="1" x14ac:dyDescent="0.25">
      <c r="A49" s="257"/>
      <c r="B49" s="270"/>
      <c r="K49" s="268"/>
      <c r="L49" s="270"/>
      <c r="T49" s="268"/>
      <c r="U49" s="270"/>
      <c r="AC49" s="268"/>
      <c r="AD49" s="270"/>
      <c r="AL49" s="268"/>
      <c r="AM49" s="270"/>
      <c r="BI49" s="268"/>
      <c r="BK49" s="259"/>
      <c r="BM49" s="12">
        <f t="shared" si="1"/>
        <v>42</v>
      </c>
    </row>
    <row r="50" spans="1:65" s="255" customFormat="1" ht="15" customHeight="1" x14ac:dyDescent="0.25">
      <c r="A50" s="257"/>
      <c r="B50" s="270"/>
      <c r="K50" s="268"/>
      <c r="L50" s="270"/>
      <c r="T50" s="268"/>
      <c r="U50" s="270"/>
      <c r="AC50" s="268"/>
      <c r="AD50" s="270"/>
      <c r="AL50" s="268"/>
      <c r="AM50" s="270"/>
      <c r="BI50" s="268"/>
      <c r="BK50" s="259"/>
      <c r="BM50" s="12">
        <f t="shared" si="1"/>
        <v>43</v>
      </c>
    </row>
    <row r="51" spans="1:65" s="255" customFormat="1" ht="15" customHeight="1" x14ac:dyDescent="0.25">
      <c r="A51" s="257"/>
      <c r="B51" s="270"/>
      <c r="K51" s="268"/>
      <c r="L51" s="270"/>
      <c r="T51" s="268"/>
      <c r="U51" s="270"/>
      <c r="AC51" s="268"/>
      <c r="AD51" s="270"/>
      <c r="AL51" s="268"/>
      <c r="AM51" s="270"/>
      <c r="BI51" s="268"/>
      <c r="BK51" s="259"/>
      <c r="BM51" s="12">
        <f t="shared" si="1"/>
        <v>44</v>
      </c>
    </row>
    <row r="52" spans="1:65" s="255" customFormat="1" ht="15" customHeight="1" x14ac:dyDescent="0.25">
      <c r="A52" s="257"/>
      <c r="B52" s="270"/>
      <c r="K52" s="268"/>
      <c r="L52" s="270"/>
      <c r="T52" s="268"/>
      <c r="U52" s="270"/>
      <c r="AC52" s="268"/>
      <c r="AD52" s="270"/>
      <c r="AL52" s="268"/>
      <c r="AM52" s="270"/>
      <c r="BI52" s="268"/>
      <c r="BK52" s="259"/>
      <c r="BM52" s="12">
        <f t="shared" si="1"/>
        <v>45</v>
      </c>
    </row>
    <row r="53" spans="1:65" s="255" customFormat="1" ht="15" customHeight="1" x14ac:dyDescent="0.25">
      <c r="A53" s="257"/>
      <c r="B53" s="270"/>
      <c r="K53" s="268"/>
      <c r="L53" s="270"/>
      <c r="T53" s="268"/>
      <c r="U53" s="270"/>
      <c r="AC53" s="268"/>
      <c r="AD53" s="270"/>
      <c r="AL53" s="268"/>
      <c r="AM53" s="270"/>
      <c r="BI53" s="268"/>
      <c r="BK53" s="259"/>
      <c r="BM53" s="12">
        <f t="shared" si="1"/>
        <v>46</v>
      </c>
    </row>
    <row r="54" spans="1:65" s="255" customFormat="1" ht="15" customHeight="1" x14ac:dyDescent="0.25">
      <c r="A54" s="257"/>
      <c r="B54" s="270"/>
      <c r="K54" s="268"/>
      <c r="L54" s="270"/>
      <c r="T54" s="268"/>
      <c r="U54" s="270"/>
      <c r="AC54" s="268"/>
      <c r="AD54" s="270"/>
      <c r="AL54" s="268"/>
      <c r="AM54" s="270"/>
      <c r="BI54" s="268"/>
      <c r="BK54" s="259"/>
      <c r="BM54" s="12">
        <f t="shared" si="1"/>
        <v>47</v>
      </c>
    </row>
    <row r="55" spans="1:65" s="255" customFormat="1" ht="15" customHeight="1" x14ac:dyDescent="0.25">
      <c r="A55" s="257"/>
      <c r="B55" s="270"/>
      <c r="K55" s="268"/>
      <c r="L55" s="270"/>
      <c r="T55" s="268"/>
      <c r="U55" s="270"/>
      <c r="AC55" s="268"/>
      <c r="AD55" s="270"/>
      <c r="AL55" s="268"/>
      <c r="AM55" s="270"/>
      <c r="BI55" s="268"/>
      <c r="BK55" s="259"/>
      <c r="BM55" s="12">
        <f t="shared" si="1"/>
        <v>48</v>
      </c>
    </row>
    <row r="56" spans="1:65" s="255" customFormat="1" ht="15" customHeight="1" x14ac:dyDescent="0.25">
      <c r="A56" s="257"/>
      <c r="B56" s="270"/>
      <c r="K56" s="268"/>
      <c r="L56" s="270"/>
      <c r="T56" s="268"/>
      <c r="U56" s="270"/>
      <c r="AC56" s="268"/>
      <c r="AD56" s="270"/>
      <c r="AL56" s="268"/>
      <c r="AM56" s="270"/>
      <c r="BI56" s="268"/>
      <c r="BK56" s="259"/>
      <c r="BM56" s="12">
        <f t="shared" si="1"/>
        <v>49</v>
      </c>
    </row>
    <row r="57" spans="1:65" s="255" customFormat="1" ht="15" customHeight="1" x14ac:dyDescent="0.25">
      <c r="A57" s="257"/>
      <c r="B57" s="270"/>
      <c r="K57" s="268"/>
      <c r="L57" s="270"/>
      <c r="T57" s="268"/>
      <c r="U57" s="270"/>
      <c r="AC57" s="268"/>
      <c r="AD57" s="270"/>
      <c r="AL57" s="268"/>
      <c r="AM57" s="270"/>
      <c r="BI57" s="268"/>
      <c r="BK57" s="259"/>
      <c r="BM57" s="12">
        <f t="shared" si="1"/>
        <v>50</v>
      </c>
    </row>
    <row r="58" spans="1:65" ht="15" customHeight="1" x14ac:dyDescent="0.25">
      <c r="A58" s="178"/>
      <c r="B58" s="267"/>
      <c r="L58" s="267"/>
      <c r="U58" s="267"/>
      <c r="AD58" s="267"/>
      <c r="AM58" s="267"/>
      <c r="BJ58" s="267"/>
      <c r="BM58" s="147">
        <v>1</v>
      </c>
    </row>
    <row r="59" spans="1:65" ht="15" customHeight="1" x14ac:dyDescent="0.25">
      <c r="A59" s="178"/>
      <c r="B59" s="267"/>
      <c r="L59" s="267"/>
      <c r="U59" s="267"/>
      <c r="AD59" s="267"/>
      <c r="AM59" s="267"/>
      <c r="BJ59" s="267"/>
      <c r="BM59" s="147">
        <v>2</v>
      </c>
    </row>
    <row r="60" spans="1:65" ht="15" customHeight="1" x14ac:dyDescent="0.25">
      <c r="A60" s="178"/>
      <c r="B60" s="267"/>
      <c r="L60" s="267"/>
      <c r="U60" s="267"/>
      <c r="AD60" s="267"/>
      <c r="AM60" s="267"/>
      <c r="BJ60" s="267"/>
      <c r="BM60" s="147">
        <v>3</v>
      </c>
    </row>
    <row r="61" spans="1:65" ht="15" customHeight="1" x14ac:dyDescent="0.25">
      <c r="A61" s="178"/>
      <c r="B61" s="267"/>
      <c r="L61" s="267"/>
      <c r="U61" s="267"/>
      <c r="AD61" s="267"/>
      <c r="AM61" s="267"/>
      <c r="BJ61" s="267"/>
      <c r="BM61" s="147">
        <v>4</v>
      </c>
    </row>
    <row r="62" spans="1:65" ht="15" customHeight="1" x14ac:dyDescent="0.25">
      <c r="A62" s="178"/>
      <c r="B62" s="267"/>
      <c r="L62" s="267"/>
      <c r="U62" s="267"/>
      <c r="AD62" s="267"/>
      <c r="AM62" s="267"/>
      <c r="BJ62" s="267"/>
      <c r="BM62" s="147">
        <v>5</v>
      </c>
    </row>
    <row r="63" spans="1:65" ht="15" customHeight="1" x14ac:dyDescent="0.25">
      <c r="A63" s="178"/>
      <c r="B63" s="267"/>
      <c r="L63" s="267"/>
      <c r="U63" s="267"/>
      <c r="AD63" s="267"/>
      <c r="AM63" s="267"/>
      <c r="BJ63" s="267"/>
      <c r="BM63" s="147">
        <v>6</v>
      </c>
    </row>
    <row r="64" spans="1:65" ht="15" customHeight="1" x14ac:dyDescent="0.25">
      <c r="A64" s="178"/>
      <c r="B64" s="267"/>
      <c r="L64" s="267"/>
      <c r="U64" s="267"/>
      <c r="AD64" s="267"/>
      <c r="AM64" s="267"/>
      <c r="BJ64" s="267"/>
      <c r="BM64" s="147">
        <v>7</v>
      </c>
    </row>
    <row r="65" spans="1:67" ht="15" customHeight="1" x14ac:dyDescent="0.25">
      <c r="A65" s="178"/>
      <c r="B65" s="267"/>
      <c r="L65" s="267"/>
      <c r="U65" s="267"/>
      <c r="AD65" s="267"/>
      <c r="AM65" s="267"/>
      <c r="BJ65" s="267"/>
      <c r="BM65" s="147">
        <v>8</v>
      </c>
    </row>
    <row r="66" spans="1:67" ht="15" customHeight="1" x14ac:dyDescent="0.25">
      <c r="A66" s="178"/>
      <c r="B66" s="267"/>
      <c r="L66" s="267"/>
      <c r="U66" s="267"/>
      <c r="AD66" s="267"/>
      <c r="AM66" s="267"/>
      <c r="BJ66" s="267"/>
      <c r="BM66" s="147">
        <v>9</v>
      </c>
    </row>
    <row r="67" spans="1:67" ht="15" customHeight="1" x14ac:dyDescent="0.25">
      <c r="A67" s="178"/>
      <c r="B67" s="267"/>
      <c r="L67" s="267"/>
      <c r="U67" s="267"/>
      <c r="AD67" s="267"/>
      <c r="AM67" s="267"/>
      <c r="BJ67" s="267"/>
      <c r="BM67" s="147">
        <v>10</v>
      </c>
    </row>
    <row r="68" spans="1:67" ht="15" customHeight="1" x14ac:dyDescent="0.25">
      <c r="A68" s="178"/>
      <c r="B68" s="267"/>
      <c r="K68" s="268"/>
      <c r="L68" s="270"/>
      <c r="T68" s="268"/>
      <c r="U68" s="270"/>
      <c r="AC68" s="268"/>
      <c r="AD68" s="270"/>
      <c r="AL68" s="268"/>
      <c r="AM68" s="270"/>
      <c r="BI68" s="268"/>
      <c r="BJ68" s="270"/>
      <c r="BM68" s="147">
        <v>11</v>
      </c>
    </row>
    <row r="69" spans="1:67" ht="15" customHeight="1" x14ac:dyDescent="0.25">
      <c r="A69" s="178"/>
      <c r="B69" s="267"/>
      <c r="K69" s="268"/>
      <c r="L69" s="270"/>
      <c r="T69" s="268"/>
      <c r="U69" s="270"/>
      <c r="AC69" s="268"/>
      <c r="AD69" s="270"/>
      <c r="AL69" s="268"/>
      <c r="AM69" s="270"/>
      <c r="BI69" s="268"/>
      <c r="BJ69" s="270"/>
      <c r="BM69" s="147">
        <v>12</v>
      </c>
    </row>
    <row r="70" spans="1:67" ht="15" customHeight="1" x14ac:dyDescent="0.25">
      <c r="A70" s="257"/>
      <c r="B70" s="267"/>
      <c r="K70" s="268"/>
      <c r="L70" s="270"/>
      <c r="T70" s="268"/>
      <c r="U70" s="270"/>
      <c r="AC70" s="268"/>
      <c r="AD70" s="270"/>
      <c r="AL70" s="268"/>
      <c r="AM70" s="270"/>
      <c r="BI70" s="268"/>
      <c r="BJ70" s="270"/>
      <c r="BM70" s="147">
        <v>13</v>
      </c>
    </row>
    <row r="71" spans="1:67" ht="15" customHeight="1" x14ac:dyDescent="0.25">
      <c r="A71" s="257"/>
      <c r="B71" s="267"/>
      <c r="K71" s="268"/>
      <c r="L71" s="270"/>
      <c r="T71" s="268"/>
      <c r="U71" s="270"/>
      <c r="AC71" s="268"/>
      <c r="AD71" s="270"/>
      <c r="AL71" s="268"/>
      <c r="AM71" s="270"/>
      <c r="BI71" s="268"/>
      <c r="BJ71" s="270"/>
      <c r="BM71" s="147">
        <v>14</v>
      </c>
    </row>
    <row r="72" spans="1:67" ht="15" customHeight="1" x14ac:dyDescent="0.25">
      <c r="A72" s="257"/>
      <c r="B72" s="267"/>
      <c r="K72" s="268"/>
      <c r="L72" s="270"/>
      <c r="T72" s="268"/>
      <c r="U72" s="270"/>
      <c r="AC72" s="268"/>
      <c r="AD72" s="270"/>
      <c r="AL72" s="268"/>
      <c r="AM72" s="270"/>
      <c r="BI72" s="268"/>
      <c r="BJ72" s="270"/>
      <c r="BM72" s="147">
        <v>15</v>
      </c>
    </row>
    <row r="73" spans="1:67" ht="15" customHeight="1" x14ac:dyDescent="0.25">
      <c r="A73" s="257"/>
      <c r="B73" s="267"/>
      <c r="K73" s="268"/>
      <c r="L73" s="270"/>
      <c r="T73" s="268"/>
      <c r="U73" s="270"/>
      <c r="AC73" s="268"/>
      <c r="AD73" s="270"/>
      <c r="AL73" s="268"/>
      <c r="AM73" s="270"/>
      <c r="BI73" s="268"/>
      <c r="BJ73" s="270"/>
      <c r="BM73" s="147">
        <v>16</v>
      </c>
    </row>
    <row r="74" spans="1:67" ht="15" customHeight="1" x14ac:dyDescent="0.25">
      <c r="A74" s="257"/>
      <c r="B74" s="267"/>
      <c r="K74" s="268"/>
      <c r="L74" s="270"/>
      <c r="T74" s="268"/>
      <c r="U74" s="270"/>
      <c r="AC74" s="268"/>
      <c r="AD74" s="270"/>
      <c r="AL74" s="268"/>
      <c r="AM74" s="270"/>
      <c r="BI74" s="268"/>
      <c r="BJ74" s="270"/>
      <c r="BM74" s="147">
        <v>17</v>
      </c>
    </row>
    <row r="75" spans="1:67" ht="15" customHeight="1" x14ac:dyDescent="0.25">
      <c r="A75" s="257"/>
      <c r="B75" s="267"/>
      <c r="K75" s="268"/>
      <c r="L75" s="270"/>
      <c r="T75" s="268"/>
      <c r="U75" s="270"/>
      <c r="AC75" s="268"/>
      <c r="AD75" s="270"/>
      <c r="AL75" s="268"/>
      <c r="AM75" s="270"/>
      <c r="BI75" s="268"/>
      <c r="BJ75" s="270"/>
      <c r="BM75" s="147">
        <v>18</v>
      </c>
      <c r="BO75" s="147" t="s">
        <v>36</v>
      </c>
    </row>
    <row r="76" spans="1:67" ht="15" customHeight="1" x14ac:dyDescent="0.25">
      <c r="A76" s="257"/>
      <c r="B76" s="267"/>
      <c r="K76" s="268"/>
      <c r="L76" s="270"/>
      <c r="T76" s="268"/>
      <c r="U76" s="270"/>
      <c r="AC76" s="268"/>
      <c r="AD76" s="270"/>
      <c r="AL76" s="268"/>
      <c r="AM76" s="270"/>
      <c r="BI76" s="268"/>
      <c r="BJ76" s="270"/>
      <c r="BM76" s="147">
        <v>19</v>
      </c>
    </row>
    <row r="77" spans="1:67" ht="15" customHeight="1" x14ac:dyDescent="0.25">
      <c r="A77" s="257"/>
      <c r="B77" s="267"/>
      <c r="K77" s="268"/>
      <c r="L77" s="270"/>
      <c r="T77" s="268"/>
      <c r="U77" s="270"/>
      <c r="AC77" s="268"/>
      <c r="AD77" s="270"/>
      <c r="AL77" s="268"/>
      <c r="AM77" s="270"/>
      <c r="BI77" s="268"/>
      <c r="BJ77" s="270"/>
      <c r="BM77" s="147">
        <v>20</v>
      </c>
    </row>
    <row r="78" spans="1:67" ht="15" customHeight="1" x14ac:dyDescent="0.25">
      <c r="A78" s="257"/>
      <c r="B78" s="267"/>
      <c r="K78" s="268"/>
      <c r="L78" s="270"/>
      <c r="T78" s="268"/>
      <c r="U78" s="270"/>
      <c r="AC78" s="268"/>
      <c r="AD78" s="270"/>
      <c r="AL78" s="268"/>
      <c r="AM78" s="270"/>
      <c r="BI78" s="268"/>
      <c r="BJ78" s="270"/>
      <c r="BM78" s="147">
        <v>21</v>
      </c>
    </row>
    <row r="79" spans="1:67" ht="15" customHeight="1" x14ac:dyDescent="0.25">
      <c r="A79" s="257"/>
      <c r="B79" s="267"/>
      <c r="K79" s="268"/>
      <c r="L79" s="270"/>
      <c r="T79" s="268"/>
      <c r="U79" s="270"/>
      <c r="AC79" s="268"/>
      <c r="AD79" s="270"/>
      <c r="AL79" s="268"/>
      <c r="AM79" s="270"/>
      <c r="BI79" s="268"/>
      <c r="BJ79" s="270"/>
      <c r="BM79" s="147">
        <v>22</v>
      </c>
    </row>
    <row r="80" spans="1:67" ht="15" customHeight="1" x14ac:dyDescent="0.25">
      <c r="A80" s="257"/>
      <c r="B80" s="267"/>
      <c r="K80" s="268"/>
      <c r="L80" s="270"/>
      <c r="T80" s="268"/>
      <c r="U80" s="270"/>
      <c r="AC80" s="268"/>
      <c r="AD80" s="270"/>
      <c r="AL80" s="268"/>
      <c r="AM80" s="270"/>
      <c r="BI80" s="268"/>
      <c r="BJ80" s="270"/>
      <c r="BM80" s="147">
        <v>23</v>
      </c>
    </row>
    <row r="81" spans="1:65" ht="15" customHeight="1" x14ac:dyDescent="0.25">
      <c r="A81" s="257"/>
      <c r="B81" s="267"/>
      <c r="K81" s="268"/>
      <c r="L81" s="270"/>
      <c r="T81" s="268"/>
      <c r="U81" s="270"/>
      <c r="AC81" s="268"/>
      <c r="AD81" s="270"/>
      <c r="AL81" s="268"/>
      <c r="AM81" s="270"/>
      <c r="BI81" s="268"/>
      <c r="BJ81" s="270"/>
      <c r="BM81" s="147">
        <v>24</v>
      </c>
    </row>
    <row r="82" spans="1:65" ht="15" customHeight="1" x14ac:dyDescent="0.25">
      <c r="A82" s="257"/>
      <c r="B82" s="267"/>
      <c r="K82" s="268"/>
      <c r="L82" s="270"/>
      <c r="T82" s="268"/>
      <c r="U82" s="270"/>
      <c r="AC82" s="268"/>
      <c r="AD82" s="270"/>
      <c r="AL82" s="268"/>
      <c r="AM82" s="270"/>
      <c r="BI82" s="268"/>
      <c r="BJ82" s="270"/>
      <c r="BM82" s="147">
        <v>25</v>
      </c>
    </row>
    <row r="83" spans="1:65" ht="15" customHeight="1" x14ac:dyDescent="0.25">
      <c r="A83" s="257"/>
      <c r="B83" s="267"/>
      <c r="K83" s="268"/>
      <c r="L83" s="270"/>
      <c r="T83" s="268"/>
      <c r="U83" s="270"/>
      <c r="AC83" s="268"/>
      <c r="AD83" s="270"/>
      <c r="AL83" s="268"/>
      <c r="AM83" s="270"/>
      <c r="BI83" s="268"/>
      <c r="BJ83" s="270"/>
      <c r="BM83" s="147">
        <v>26</v>
      </c>
    </row>
    <row r="84" spans="1:65" ht="15" customHeight="1" x14ac:dyDescent="0.25">
      <c r="A84" s="257"/>
      <c r="B84" s="267"/>
      <c r="K84" s="268"/>
      <c r="L84" s="270"/>
      <c r="T84" s="268"/>
      <c r="U84" s="270"/>
      <c r="AC84" s="268"/>
      <c r="AD84" s="270"/>
      <c r="AL84" s="268"/>
      <c r="AM84" s="270"/>
      <c r="BI84" s="268"/>
      <c r="BJ84" s="270"/>
      <c r="BM84" s="147">
        <v>27</v>
      </c>
    </row>
    <row r="85" spans="1:65" ht="15" customHeight="1" x14ac:dyDescent="0.25">
      <c r="A85" s="257"/>
      <c r="B85" s="267"/>
      <c r="K85" s="268"/>
      <c r="L85" s="270"/>
      <c r="T85" s="268"/>
      <c r="U85" s="270"/>
      <c r="AC85" s="268"/>
      <c r="AD85" s="270"/>
      <c r="AL85" s="268"/>
      <c r="AM85" s="270"/>
      <c r="BI85" s="268"/>
      <c r="BJ85" s="270"/>
      <c r="BM85" s="147">
        <v>28</v>
      </c>
    </row>
    <row r="86" spans="1:65" ht="15" customHeight="1" x14ac:dyDescent="0.25">
      <c r="A86" s="257"/>
      <c r="B86" s="267"/>
      <c r="K86" s="268"/>
      <c r="L86" s="270"/>
      <c r="T86" s="268"/>
      <c r="U86" s="270"/>
      <c r="AC86" s="268"/>
      <c r="AD86" s="270"/>
      <c r="AL86" s="268"/>
      <c r="AM86" s="270"/>
      <c r="BI86" s="268"/>
      <c r="BJ86" s="270"/>
      <c r="BM86" s="147">
        <v>29</v>
      </c>
    </row>
    <row r="87" spans="1:65" ht="15" customHeight="1" x14ac:dyDescent="0.25">
      <c r="A87" s="257"/>
      <c r="B87" s="267"/>
      <c r="K87" s="268"/>
      <c r="L87" s="270"/>
      <c r="T87" s="268"/>
      <c r="U87" s="270"/>
      <c r="AC87" s="268"/>
      <c r="AD87" s="270"/>
      <c r="AL87" s="268"/>
      <c r="AM87" s="270"/>
      <c r="BI87" s="268"/>
      <c r="BJ87" s="270"/>
      <c r="BM87" s="147">
        <v>30</v>
      </c>
    </row>
    <row r="88" spans="1:65" ht="15" customHeight="1" x14ac:dyDescent="0.25">
      <c r="A88" s="257"/>
      <c r="B88" s="267"/>
      <c r="K88" s="268"/>
      <c r="L88" s="270"/>
      <c r="T88" s="268"/>
      <c r="U88" s="270"/>
      <c r="AC88" s="268"/>
      <c r="AD88" s="270"/>
      <c r="AL88" s="268"/>
      <c r="AM88" s="270"/>
      <c r="BI88" s="268"/>
      <c r="BJ88" s="270"/>
      <c r="BM88" s="147">
        <v>31</v>
      </c>
    </row>
    <row r="89" spans="1:65" ht="15" customHeight="1" x14ac:dyDescent="0.25">
      <c r="A89" s="257"/>
      <c r="B89" s="267"/>
      <c r="K89" s="268"/>
      <c r="L89" s="270"/>
      <c r="T89" s="268"/>
      <c r="U89" s="270"/>
      <c r="AC89" s="268"/>
      <c r="AD89" s="270"/>
      <c r="AL89" s="268"/>
      <c r="AM89" s="270"/>
      <c r="BI89" s="268"/>
      <c r="BJ89" s="270"/>
      <c r="BM89" s="147">
        <v>32</v>
      </c>
    </row>
    <row r="90" spans="1:65" ht="15" customHeight="1" x14ac:dyDescent="0.25">
      <c r="A90" s="257"/>
      <c r="B90" s="267"/>
      <c r="K90" s="268"/>
      <c r="L90" s="270"/>
      <c r="T90" s="268"/>
      <c r="U90" s="270"/>
      <c r="AC90" s="268"/>
      <c r="AD90" s="270"/>
      <c r="AL90" s="268"/>
      <c r="AM90" s="270"/>
      <c r="BI90" s="268"/>
      <c r="BJ90" s="270"/>
      <c r="BM90" s="147">
        <v>33</v>
      </c>
    </row>
    <row r="91" spans="1:65" ht="15" customHeight="1" x14ac:dyDescent="0.25">
      <c r="A91" s="257"/>
      <c r="B91" s="267"/>
      <c r="K91" s="268"/>
      <c r="L91" s="270"/>
      <c r="T91" s="268"/>
      <c r="U91" s="270"/>
      <c r="AC91" s="268"/>
      <c r="AD91" s="270"/>
      <c r="AL91" s="268"/>
      <c r="AM91" s="270"/>
      <c r="BI91" s="268"/>
      <c r="BJ91" s="270"/>
      <c r="BM91" s="147">
        <v>34</v>
      </c>
    </row>
    <row r="92" spans="1:65" ht="15" customHeight="1" x14ac:dyDescent="0.25">
      <c r="A92" s="257"/>
      <c r="B92" s="267"/>
      <c r="K92" s="268"/>
      <c r="L92" s="270"/>
      <c r="T92" s="268"/>
      <c r="U92" s="270"/>
      <c r="AC92" s="268"/>
      <c r="AD92" s="270"/>
      <c r="AL92" s="268"/>
      <c r="AM92" s="270"/>
      <c r="BI92" s="268"/>
      <c r="BJ92" s="270"/>
      <c r="BM92" s="147">
        <v>35</v>
      </c>
    </row>
    <row r="93" spans="1:65" ht="15" customHeight="1" x14ac:dyDescent="0.25">
      <c r="A93" s="257"/>
      <c r="B93" s="270"/>
      <c r="K93" s="268"/>
      <c r="L93" s="270"/>
      <c r="T93" s="268"/>
      <c r="U93" s="270"/>
      <c r="AC93" s="268"/>
      <c r="AD93" s="270"/>
      <c r="AL93" s="268"/>
      <c r="AM93" s="270"/>
      <c r="BI93" s="268"/>
      <c r="BJ93" s="270"/>
      <c r="BM93" s="147">
        <v>36</v>
      </c>
    </row>
    <row r="94" spans="1:65" ht="15" customHeight="1" x14ac:dyDescent="0.25">
      <c r="A94" s="257"/>
      <c r="B94" s="270"/>
      <c r="K94" s="268"/>
      <c r="L94" s="270"/>
      <c r="T94" s="268"/>
      <c r="U94" s="270"/>
      <c r="AC94" s="268"/>
      <c r="AD94" s="270"/>
      <c r="AL94" s="268"/>
      <c r="AM94" s="270"/>
      <c r="BI94" s="268"/>
      <c r="BJ94" s="270"/>
      <c r="BM94" s="147">
        <v>37</v>
      </c>
    </row>
    <row r="95" spans="1:65" ht="15" customHeight="1" x14ac:dyDescent="0.25">
      <c r="A95" s="257"/>
      <c r="B95" s="270"/>
      <c r="K95" s="268"/>
      <c r="L95" s="270"/>
      <c r="T95" s="268"/>
      <c r="U95" s="270"/>
      <c r="AC95" s="268"/>
      <c r="AD95" s="270"/>
      <c r="AL95" s="268"/>
      <c r="AM95" s="270"/>
      <c r="BI95" s="268"/>
      <c r="BJ95" s="270"/>
      <c r="BM95" s="147">
        <v>38</v>
      </c>
    </row>
    <row r="96" spans="1:65" ht="15" customHeight="1" x14ac:dyDescent="0.25">
      <c r="A96" s="257"/>
      <c r="B96" s="270"/>
      <c r="K96" s="268"/>
      <c r="L96" s="270"/>
      <c r="T96" s="268"/>
      <c r="U96" s="270"/>
      <c r="AC96" s="268"/>
      <c r="AD96" s="270"/>
      <c r="AL96" s="268"/>
      <c r="AM96" s="270"/>
      <c r="BI96" s="268"/>
      <c r="BJ96" s="270"/>
      <c r="BM96" s="147">
        <v>39</v>
      </c>
    </row>
    <row r="97" spans="1:65" ht="15" customHeight="1" x14ac:dyDescent="0.25">
      <c r="A97" s="257"/>
      <c r="B97" s="270"/>
      <c r="K97" s="268"/>
      <c r="L97" s="270"/>
      <c r="T97" s="268"/>
      <c r="U97" s="270"/>
      <c r="AC97" s="268"/>
      <c r="AD97" s="270"/>
      <c r="AL97" s="268"/>
      <c r="AM97" s="270"/>
      <c r="BI97" s="268"/>
      <c r="BJ97" s="270"/>
      <c r="BM97" s="147">
        <v>40</v>
      </c>
    </row>
    <row r="98" spans="1:65" ht="15" customHeight="1" x14ac:dyDescent="0.25">
      <c r="A98" s="257"/>
      <c r="B98" s="270"/>
      <c r="K98" s="268"/>
      <c r="L98" s="270"/>
      <c r="T98" s="268"/>
      <c r="U98" s="270"/>
      <c r="AC98" s="268"/>
      <c r="AD98" s="270"/>
      <c r="AL98" s="268"/>
      <c r="AM98" s="270"/>
      <c r="BI98" s="268"/>
      <c r="BJ98" s="270"/>
      <c r="BM98" s="147">
        <v>41</v>
      </c>
    </row>
    <row r="99" spans="1:65" ht="15" customHeight="1" x14ac:dyDescent="0.25">
      <c r="A99" s="257"/>
      <c r="B99" s="270"/>
      <c r="K99" s="268"/>
      <c r="L99" s="270"/>
      <c r="T99" s="268"/>
      <c r="U99" s="270"/>
      <c r="AC99" s="268"/>
      <c r="AD99" s="270"/>
      <c r="AL99" s="268"/>
      <c r="AM99" s="270"/>
      <c r="BI99" s="268"/>
      <c r="BJ99" s="270"/>
      <c r="BM99" s="147">
        <v>42</v>
      </c>
    </row>
    <row r="100" spans="1:65" ht="15" customHeight="1" x14ac:dyDescent="0.25">
      <c r="A100" s="257"/>
      <c r="B100" s="270"/>
      <c r="K100" s="268"/>
      <c r="L100" s="270"/>
      <c r="T100" s="268"/>
      <c r="U100" s="270"/>
      <c r="AC100" s="268"/>
      <c r="AD100" s="270"/>
      <c r="AL100" s="268"/>
      <c r="AM100" s="270"/>
      <c r="BI100" s="268"/>
      <c r="BJ100" s="270"/>
      <c r="BM100" s="147">
        <v>43</v>
      </c>
    </row>
    <row r="101" spans="1:65" ht="15" customHeight="1" x14ac:dyDescent="0.25">
      <c r="A101" s="257"/>
      <c r="B101" s="270"/>
      <c r="K101" s="268"/>
      <c r="L101" s="270"/>
      <c r="T101" s="268"/>
      <c r="U101" s="270"/>
      <c r="AC101" s="268"/>
      <c r="AD101" s="270"/>
      <c r="AL101" s="268"/>
      <c r="AM101" s="270"/>
      <c r="BI101" s="268"/>
      <c r="BJ101" s="270"/>
      <c r="BM101" s="147">
        <v>44</v>
      </c>
    </row>
    <row r="102" spans="1:65" ht="15" customHeight="1" x14ac:dyDescent="0.25">
      <c r="A102" s="257"/>
      <c r="B102" s="270"/>
      <c r="K102" s="268"/>
      <c r="L102" s="270"/>
      <c r="T102" s="268"/>
      <c r="U102" s="270"/>
      <c r="AC102" s="268"/>
      <c r="AD102" s="270"/>
      <c r="AL102" s="268"/>
      <c r="AM102" s="270"/>
      <c r="BI102" s="268"/>
      <c r="BJ102" s="270"/>
      <c r="BM102" s="147">
        <v>45</v>
      </c>
    </row>
    <row r="103" spans="1:65" ht="15" customHeight="1" x14ac:dyDescent="0.25">
      <c r="A103" s="257"/>
      <c r="B103" s="270"/>
      <c r="K103" s="268"/>
      <c r="L103" s="270"/>
      <c r="T103" s="268"/>
      <c r="U103" s="270"/>
      <c r="AC103" s="268"/>
      <c r="AD103" s="270"/>
      <c r="AL103" s="268"/>
      <c r="AM103" s="270"/>
      <c r="BI103" s="268"/>
      <c r="BJ103" s="270"/>
      <c r="BM103" s="147">
        <v>46</v>
      </c>
    </row>
    <row r="104" spans="1:65" ht="15" customHeight="1" x14ac:dyDescent="0.25">
      <c r="A104" s="257"/>
      <c r="B104" s="270"/>
      <c r="K104" s="268"/>
      <c r="L104" s="270"/>
      <c r="T104" s="268"/>
      <c r="U104" s="270"/>
      <c r="AC104" s="268"/>
      <c r="AD104" s="270"/>
      <c r="AL104" s="268"/>
      <c r="AM104" s="270"/>
      <c r="BI104" s="268"/>
      <c r="BJ104" s="270"/>
      <c r="BM104" s="147">
        <v>47</v>
      </c>
    </row>
    <row r="105" spans="1:65" ht="15" customHeight="1" x14ac:dyDescent="0.25">
      <c r="A105" s="257"/>
      <c r="B105" s="270"/>
      <c r="K105" s="268"/>
      <c r="L105" s="270"/>
      <c r="T105" s="268"/>
      <c r="U105" s="270"/>
      <c r="AC105" s="268"/>
      <c r="AD105" s="270"/>
      <c r="AL105" s="268"/>
      <c r="AM105" s="270"/>
      <c r="BI105" s="268"/>
      <c r="BJ105" s="270"/>
      <c r="BM105" s="147">
        <v>48</v>
      </c>
    </row>
    <row r="106" spans="1:65" ht="15" customHeight="1" x14ac:dyDescent="0.25">
      <c r="A106" s="257"/>
      <c r="B106" s="270"/>
      <c r="K106" s="268"/>
      <c r="L106" s="270"/>
      <c r="T106" s="268"/>
      <c r="U106" s="270"/>
      <c r="AC106" s="268"/>
      <c r="AD106" s="270"/>
      <c r="AL106" s="268"/>
      <c r="AM106" s="270"/>
      <c r="BI106" s="268"/>
      <c r="BJ106" s="255"/>
      <c r="BM106" s="147">
        <v>49</v>
      </c>
    </row>
    <row r="107" spans="1:65" ht="15" customHeight="1" x14ac:dyDescent="0.25">
      <c r="A107" s="257"/>
      <c r="B107" s="270"/>
      <c r="K107" s="268"/>
      <c r="L107" s="270"/>
      <c r="T107" s="268"/>
      <c r="U107" s="270"/>
      <c r="AC107" s="268"/>
      <c r="AD107" s="270"/>
      <c r="AL107" s="268"/>
      <c r="AM107" s="270"/>
      <c r="BI107" s="268"/>
      <c r="BJ107" s="255"/>
      <c r="BM107" s="147">
        <v>50</v>
      </c>
    </row>
    <row r="108" spans="1:65" ht="15" customHeight="1" x14ac:dyDescent="0.25">
      <c r="A108" s="257"/>
      <c r="B108" s="270"/>
      <c r="C108" s="255"/>
      <c r="D108" s="255"/>
      <c r="E108" s="255"/>
      <c r="F108" s="255"/>
      <c r="G108" s="255"/>
      <c r="H108" s="255"/>
      <c r="I108" s="255"/>
      <c r="J108" s="255"/>
      <c r="K108" s="268"/>
      <c r="L108" s="270"/>
      <c r="M108" s="255"/>
      <c r="N108" s="255"/>
      <c r="O108" s="255"/>
      <c r="P108" s="255"/>
      <c r="Q108" s="255"/>
      <c r="R108" s="255"/>
      <c r="S108" s="255"/>
      <c r="T108" s="268"/>
      <c r="U108" s="270"/>
      <c r="V108" s="255"/>
      <c r="W108" s="255"/>
      <c r="X108" s="255"/>
      <c r="Y108" s="255"/>
      <c r="Z108" s="255"/>
      <c r="AA108" s="255"/>
      <c r="AB108" s="255"/>
      <c r="AC108" s="268"/>
      <c r="AD108" s="270"/>
      <c r="AE108" s="255"/>
      <c r="AF108" s="255"/>
      <c r="AG108" s="255"/>
      <c r="AH108" s="255"/>
      <c r="AI108" s="255"/>
      <c r="AJ108" s="255"/>
      <c r="AK108" s="255"/>
      <c r="AL108" s="268"/>
      <c r="AM108" s="270"/>
      <c r="AN108" s="255"/>
      <c r="AO108" s="255"/>
      <c r="AP108" s="255"/>
      <c r="AQ108" s="255"/>
      <c r="AR108" s="255"/>
      <c r="AS108" s="255"/>
      <c r="AT108" s="255"/>
      <c r="AU108" s="255"/>
      <c r="AV108" s="255"/>
      <c r="AW108" s="255"/>
      <c r="AX108" s="255"/>
      <c r="AY108" s="255"/>
      <c r="AZ108" s="255"/>
      <c r="BA108" s="255"/>
      <c r="BB108" s="255"/>
      <c r="BC108" s="255"/>
      <c r="BD108" s="255"/>
      <c r="BE108" s="255"/>
      <c r="BF108" s="255"/>
      <c r="BG108" s="255"/>
      <c r="BH108" s="255"/>
      <c r="BI108" s="268"/>
      <c r="BJ108" s="255"/>
      <c r="BK108" s="259"/>
      <c r="BM108" s="147">
        <v>1</v>
      </c>
    </row>
    <row r="109" spans="1:65" ht="15" customHeight="1" x14ac:dyDescent="0.25">
      <c r="A109" s="257"/>
      <c r="B109" s="270"/>
      <c r="C109" s="255"/>
      <c r="D109" s="255"/>
      <c r="E109" s="255"/>
      <c r="F109" s="255"/>
      <c r="G109" s="255"/>
      <c r="H109" s="255"/>
      <c r="I109" s="255"/>
      <c r="J109" s="255"/>
      <c r="K109" s="268"/>
      <c r="L109" s="270"/>
      <c r="M109" s="255"/>
      <c r="N109" s="255"/>
      <c r="O109" s="255"/>
      <c r="P109" s="255"/>
      <c r="Q109" s="255"/>
      <c r="R109" s="255"/>
      <c r="S109" s="255"/>
      <c r="T109" s="268"/>
      <c r="U109" s="270"/>
      <c r="V109" s="255"/>
      <c r="W109" s="255"/>
      <c r="X109" s="255"/>
      <c r="Y109" s="255"/>
      <c r="Z109" s="255"/>
      <c r="AA109" s="255"/>
      <c r="AB109" s="255"/>
      <c r="AC109" s="268"/>
      <c r="AD109" s="270"/>
      <c r="AE109" s="255"/>
      <c r="AF109" s="255"/>
      <c r="AG109" s="255"/>
      <c r="AH109" s="255"/>
      <c r="AI109" s="255"/>
      <c r="AJ109" s="255"/>
      <c r="AK109" s="255"/>
      <c r="AL109" s="268"/>
      <c r="AM109" s="270"/>
      <c r="AN109" s="255"/>
      <c r="AO109" s="255"/>
      <c r="AP109" s="255"/>
      <c r="AQ109" s="255"/>
      <c r="AR109" s="255"/>
      <c r="AS109" s="255"/>
      <c r="AT109" s="255"/>
      <c r="AU109" s="255"/>
      <c r="AV109" s="255"/>
      <c r="AW109" s="255"/>
      <c r="AX109" s="255"/>
      <c r="AY109" s="255"/>
      <c r="AZ109" s="255"/>
      <c r="BA109" s="255"/>
      <c r="BB109" s="255"/>
      <c r="BC109" s="255"/>
      <c r="BD109" s="255"/>
      <c r="BE109" s="255"/>
      <c r="BF109" s="255"/>
      <c r="BG109" s="255"/>
      <c r="BH109" s="255"/>
      <c r="BI109" s="268"/>
      <c r="BJ109" s="255"/>
      <c r="BK109" s="259"/>
    </row>
    <row r="110" spans="1:65" ht="15" customHeight="1" x14ac:dyDescent="0.25">
      <c r="A110" s="257"/>
      <c r="B110" s="270"/>
      <c r="C110" s="255"/>
      <c r="D110" s="255"/>
      <c r="E110" s="255"/>
      <c r="F110" s="255"/>
      <c r="G110" s="255"/>
      <c r="H110" s="255"/>
      <c r="I110" s="255"/>
      <c r="J110" s="255"/>
      <c r="K110" s="268"/>
      <c r="L110" s="270"/>
      <c r="M110" s="255"/>
      <c r="N110" s="255"/>
      <c r="O110" s="255"/>
      <c r="P110" s="255"/>
      <c r="Q110" s="255"/>
      <c r="R110" s="255"/>
      <c r="S110" s="255"/>
      <c r="T110" s="268"/>
      <c r="U110" s="270"/>
      <c r="V110" s="255"/>
      <c r="W110" s="255"/>
      <c r="X110" s="255"/>
      <c r="Y110" s="255"/>
      <c r="Z110" s="255"/>
      <c r="AA110" s="255"/>
      <c r="AB110" s="255"/>
      <c r="AC110" s="268"/>
      <c r="AD110" s="270"/>
      <c r="AE110" s="255"/>
      <c r="AF110" s="255"/>
      <c r="AG110" s="255"/>
      <c r="AH110" s="255"/>
      <c r="AI110" s="255"/>
      <c r="AJ110" s="255"/>
      <c r="AK110" s="255"/>
      <c r="AL110" s="268"/>
      <c r="AM110" s="270"/>
      <c r="AN110" s="255"/>
      <c r="AO110" s="255"/>
      <c r="AP110" s="255"/>
      <c r="AQ110" s="255"/>
      <c r="AR110" s="255"/>
      <c r="AS110" s="255"/>
      <c r="AT110" s="255"/>
      <c r="AU110" s="255"/>
      <c r="AV110" s="255"/>
      <c r="AW110" s="255"/>
      <c r="AX110" s="255"/>
      <c r="AY110" s="255"/>
      <c r="AZ110" s="255"/>
      <c r="BA110" s="255"/>
      <c r="BB110" s="255"/>
      <c r="BC110" s="255"/>
      <c r="BD110" s="255"/>
      <c r="BE110" s="255"/>
      <c r="BF110" s="255"/>
      <c r="BG110" s="255"/>
      <c r="BH110" s="255"/>
      <c r="BI110" s="268"/>
      <c r="BJ110" s="255"/>
      <c r="BK110" s="259"/>
    </row>
    <row r="111" spans="1:65" ht="15" customHeight="1" x14ac:dyDescent="0.25">
      <c r="A111" s="257"/>
      <c r="B111" s="270"/>
      <c r="C111" s="255"/>
      <c r="D111" s="255"/>
      <c r="E111" s="255"/>
      <c r="F111" s="255"/>
      <c r="G111" s="255"/>
      <c r="H111" s="255"/>
      <c r="I111" s="255"/>
      <c r="J111" s="255"/>
      <c r="K111" s="268"/>
      <c r="L111" s="270"/>
      <c r="M111" s="255"/>
      <c r="N111" s="255"/>
      <c r="O111" s="255"/>
      <c r="P111" s="255"/>
      <c r="Q111" s="255"/>
      <c r="R111" s="255"/>
      <c r="S111" s="255"/>
      <c r="T111" s="268"/>
      <c r="U111" s="270"/>
      <c r="V111" s="255"/>
      <c r="W111" s="255"/>
      <c r="X111" s="255"/>
      <c r="Y111" s="255"/>
      <c r="Z111" s="255"/>
      <c r="AA111" s="255"/>
      <c r="AB111" s="255"/>
      <c r="AC111" s="268"/>
      <c r="AD111" s="270"/>
      <c r="AE111" s="255"/>
      <c r="AF111" s="255"/>
      <c r="AG111" s="255"/>
      <c r="AH111" s="255"/>
      <c r="AI111" s="255"/>
      <c r="AJ111" s="255"/>
      <c r="AK111" s="255"/>
      <c r="AL111" s="268"/>
      <c r="AM111" s="270"/>
      <c r="AN111" s="255"/>
      <c r="AO111" s="255"/>
      <c r="AP111" s="255"/>
      <c r="AQ111" s="255"/>
      <c r="AR111" s="255"/>
      <c r="AS111" s="255"/>
      <c r="AT111" s="255"/>
      <c r="AU111" s="255"/>
      <c r="AV111" s="255"/>
      <c r="AW111" s="255"/>
      <c r="AX111" s="255"/>
      <c r="AY111" s="255"/>
      <c r="AZ111" s="255"/>
      <c r="BA111" s="255"/>
      <c r="BB111" s="255"/>
      <c r="BC111" s="255"/>
      <c r="BD111" s="255"/>
      <c r="BE111" s="255"/>
      <c r="BF111" s="255"/>
      <c r="BG111" s="255"/>
      <c r="BH111" s="255"/>
      <c r="BI111" s="268"/>
      <c r="BJ111" s="255"/>
      <c r="BK111" s="259"/>
    </row>
    <row r="112" spans="1:65" ht="15" customHeight="1" x14ac:dyDescent="0.25">
      <c r="A112" s="260"/>
      <c r="B112" s="272"/>
      <c r="C112" s="261"/>
      <c r="D112" s="261"/>
      <c r="E112" s="261"/>
      <c r="F112" s="261"/>
      <c r="G112" s="261"/>
      <c r="H112" s="261"/>
      <c r="I112" s="261"/>
      <c r="J112" s="261"/>
      <c r="K112" s="273"/>
      <c r="L112" s="272"/>
      <c r="M112" s="261"/>
      <c r="N112" s="261"/>
      <c r="O112" s="261"/>
      <c r="P112" s="261"/>
      <c r="Q112" s="261"/>
      <c r="R112" s="261"/>
      <c r="S112" s="261"/>
      <c r="T112" s="273"/>
      <c r="U112" s="272"/>
      <c r="V112" s="261"/>
      <c r="W112" s="261"/>
      <c r="X112" s="261"/>
      <c r="Y112" s="261"/>
      <c r="Z112" s="261"/>
      <c r="AA112" s="261"/>
      <c r="AB112" s="261"/>
      <c r="AC112" s="273"/>
      <c r="AD112" s="272"/>
      <c r="AE112" s="261"/>
      <c r="AF112" s="261"/>
      <c r="AG112" s="261"/>
      <c r="AH112" s="261"/>
      <c r="AI112" s="261"/>
      <c r="AJ112" s="261"/>
      <c r="AK112" s="261"/>
      <c r="AL112" s="273"/>
      <c r="AM112" s="272"/>
      <c r="AN112" s="261"/>
      <c r="AO112" s="261"/>
      <c r="AP112" s="261"/>
      <c r="AQ112" s="261"/>
      <c r="AR112" s="261"/>
      <c r="AS112" s="261"/>
      <c r="AT112" s="261"/>
      <c r="AU112" s="261"/>
      <c r="AV112" s="261"/>
      <c r="AW112" s="261"/>
      <c r="AX112" s="261"/>
      <c r="AY112" s="261"/>
      <c r="AZ112" s="261"/>
      <c r="BA112" s="261"/>
      <c r="BB112" s="261"/>
      <c r="BC112" s="261"/>
      <c r="BD112" s="261"/>
      <c r="BE112" s="261"/>
      <c r="BF112" s="261"/>
      <c r="BG112" s="261"/>
      <c r="BH112" s="261"/>
      <c r="BI112" s="273"/>
      <c r="BJ112" s="261"/>
      <c r="BK112" s="262"/>
      <c r="BM112" s="147">
        <v>2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0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2" customWidth="1"/>
    <col min="64" max="16384" width="10.109375" style="12"/>
  </cols>
  <sheetData>
    <row r="1" spans="1:63" ht="24.95" customHeight="1" x14ac:dyDescent="0.25">
      <c r="A1" s="274" t="s">
        <v>38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39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277" t="str">
        <f>IF(表紙!W1="","",表紙!W1)</f>
        <v>基本設計書</v>
      </c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9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80"/>
      <c r="X2" s="281"/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82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45454</v>
      </c>
      <c r="AU2" s="155"/>
      <c r="AV2" s="155"/>
      <c r="AW2" s="155"/>
      <c r="AX2" s="156"/>
      <c r="AY2" s="150" t="str">
        <f>IF(表紙!AY2="","",表紙!AY2)</f>
        <v>LoiLV</v>
      </c>
      <c r="AZ2" s="148"/>
      <c r="BA2" s="148"/>
      <c r="BB2" s="149"/>
      <c r="BC2" s="154">
        <f>IF(表紙!BC2="","",表紙!BC2)</f>
        <v>45462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83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74" t="s">
        <v>47</v>
      </c>
      <c r="B4" s="275"/>
      <c r="C4" s="275"/>
      <c r="D4" s="275"/>
      <c r="E4" s="275"/>
      <c r="F4" s="275"/>
      <c r="G4" s="276"/>
      <c r="H4" s="113" t="str">
        <f>IF(表紙!H4="","",表紙!H4)</f>
        <v>80_Scan&amp;Go商品マスタ再配信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274" t="s">
        <v>48</v>
      </c>
      <c r="V4" s="275"/>
      <c r="W4" s="275"/>
      <c r="X4" s="275"/>
      <c r="Y4" s="276"/>
      <c r="Z4" s="113" t="str">
        <f>IF(表紙!Z4="","",表紙!Z4)</f>
        <v>概要設計書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画面設計書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7" s="286" t="s">
        <v>16</v>
      </c>
      <c r="C7" s="286"/>
      <c r="D7" s="286"/>
      <c r="E7" s="286"/>
      <c r="F7" s="286"/>
      <c r="G7" s="286"/>
      <c r="H7" s="286"/>
      <c r="I7" s="286"/>
      <c r="J7" s="286"/>
      <c r="AE7" s="18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x14ac:dyDescent="0.25">
      <c r="A14" s="16"/>
      <c r="BK14" s="17"/>
    </row>
    <row r="15" spans="1:63" ht="15" customHeight="1" x14ac:dyDescent="0.25">
      <c r="A15" s="16"/>
      <c r="BK15" s="17"/>
    </row>
    <row r="16" spans="1:63" ht="15" customHeight="1" x14ac:dyDescent="0.25">
      <c r="A16" s="16"/>
      <c r="BK16" s="17"/>
    </row>
    <row r="17" spans="1:63" ht="15" customHeight="1" x14ac:dyDescent="0.25">
      <c r="A17" s="16"/>
      <c r="BK17" s="17"/>
    </row>
    <row r="18" spans="1:63" ht="15" customHeight="1" x14ac:dyDescent="0.25">
      <c r="A18" s="16"/>
      <c r="BK18" s="17"/>
    </row>
    <row r="19" spans="1:63" ht="15" customHeight="1" x14ac:dyDescent="0.25">
      <c r="A19" s="16"/>
      <c r="BK19" s="17"/>
    </row>
    <row r="20" spans="1:63" ht="15" customHeight="1" x14ac:dyDescent="0.25">
      <c r="A20" s="16"/>
      <c r="BK20" s="17"/>
    </row>
    <row r="21" spans="1:63" ht="15" customHeight="1" x14ac:dyDescent="0.25">
      <c r="A21" s="16"/>
      <c r="BK21" s="17"/>
    </row>
    <row r="22" spans="1:63" ht="15" customHeight="1" x14ac:dyDescent="0.25">
      <c r="A22" s="16"/>
      <c r="BK22" s="17"/>
    </row>
    <row r="23" spans="1:63" ht="15" customHeight="1" x14ac:dyDescent="0.25">
      <c r="A23" s="16"/>
      <c r="BK23" s="17"/>
    </row>
    <row r="24" spans="1:63" ht="15" customHeight="1" x14ac:dyDescent="0.25">
      <c r="A24" s="16"/>
      <c r="BK24" s="17"/>
    </row>
    <row r="25" spans="1:63" ht="14.25" customHeight="1" x14ac:dyDescent="0.25">
      <c r="A25" s="16"/>
      <c r="BK25" s="17"/>
    </row>
    <row r="26" spans="1:63" ht="15" customHeight="1" x14ac:dyDescent="0.25">
      <c r="A26" s="16"/>
      <c r="BK26" s="17"/>
    </row>
    <row r="27" spans="1:63" ht="15" customHeight="1" x14ac:dyDescent="0.25">
      <c r="A27" s="16"/>
      <c r="BK27" s="17"/>
    </row>
    <row r="28" spans="1:63" x14ac:dyDescent="0.25">
      <c r="BK28" s="17"/>
    </row>
    <row r="29" spans="1:63" x14ac:dyDescent="0.25">
      <c r="BK29" s="17"/>
    </row>
    <row r="30" spans="1:63" x14ac:dyDescent="0.25">
      <c r="BK30" s="17"/>
    </row>
    <row r="31" spans="1:63" x14ac:dyDescent="0.25">
      <c r="BK31" s="17"/>
    </row>
    <row r="32" spans="1:63" x14ac:dyDescent="0.25">
      <c r="BK32" s="17"/>
    </row>
    <row r="33" spans="1:63" x14ac:dyDescent="0.25">
      <c r="BK33" s="17"/>
    </row>
    <row r="34" spans="1:63" x14ac:dyDescent="0.25">
      <c r="BK34" s="17"/>
    </row>
    <row r="35" spans="1:63" ht="15" customHeight="1" x14ac:dyDescent="0.25">
      <c r="A35" s="16"/>
      <c r="B35" s="18" t="s">
        <v>59</v>
      </c>
      <c r="BK35" s="17"/>
    </row>
    <row r="36" spans="1:63" x14ac:dyDescent="0.25">
      <c r="BK36" s="17"/>
    </row>
    <row r="37" spans="1:63" ht="15.75" customHeight="1" x14ac:dyDescent="0.25">
      <c r="B37" s="117" t="s">
        <v>60</v>
      </c>
      <c r="C37" s="118"/>
      <c r="D37" s="123" t="s">
        <v>61</v>
      </c>
      <c r="E37" s="124"/>
      <c r="F37" s="124"/>
      <c r="G37" s="124"/>
      <c r="H37" s="124"/>
      <c r="I37" s="124"/>
      <c r="J37" s="118"/>
      <c r="K37" s="123" t="s">
        <v>62</v>
      </c>
      <c r="L37" s="124"/>
      <c r="M37" s="118"/>
      <c r="N37" s="127" t="s">
        <v>17</v>
      </c>
      <c r="O37" s="130" t="s">
        <v>63</v>
      </c>
      <c r="P37" s="77" t="s">
        <v>64</v>
      </c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9"/>
      <c r="AR37" s="80" t="s">
        <v>65</v>
      </c>
      <c r="AS37" s="81"/>
      <c r="AT37" s="81"/>
      <c r="AU37" s="81"/>
      <c r="AV37" s="81"/>
      <c r="AW37" s="81"/>
      <c r="AX37" s="81"/>
      <c r="AY37" s="81"/>
      <c r="AZ37" s="81"/>
      <c r="BA37" s="81"/>
      <c r="BB37" s="82"/>
      <c r="BC37" s="83" t="s">
        <v>66</v>
      </c>
      <c r="BD37" s="84"/>
      <c r="BE37" s="84"/>
      <c r="BF37" s="84"/>
      <c r="BG37" s="84"/>
      <c r="BH37" s="84"/>
      <c r="BI37" s="84"/>
      <c r="BJ37" s="85"/>
      <c r="BK37" s="17"/>
    </row>
    <row r="38" spans="1:63" ht="15.75" customHeight="1" x14ac:dyDescent="0.25">
      <c r="B38" s="119"/>
      <c r="C38" s="120"/>
      <c r="D38" s="119"/>
      <c r="E38" s="125"/>
      <c r="F38" s="125"/>
      <c r="G38" s="125"/>
      <c r="H38" s="125"/>
      <c r="I38" s="125"/>
      <c r="J38" s="120"/>
      <c r="K38" s="119"/>
      <c r="L38" s="125"/>
      <c r="M38" s="120"/>
      <c r="N38" s="128"/>
      <c r="O38" s="131"/>
      <c r="P38" s="92" t="s">
        <v>67</v>
      </c>
      <c r="Q38" s="93"/>
      <c r="R38" s="93"/>
      <c r="S38" s="93"/>
      <c r="T38" s="93"/>
      <c r="U38" s="93"/>
      <c r="V38" s="93"/>
      <c r="W38" s="94"/>
      <c r="X38" s="95" t="s">
        <v>68</v>
      </c>
      <c r="Y38" s="96"/>
      <c r="Z38" s="97"/>
      <c r="AA38" s="95" t="s">
        <v>69</v>
      </c>
      <c r="AB38" s="96"/>
      <c r="AC38" s="96"/>
      <c r="AD38" s="96"/>
      <c r="AE38" s="96"/>
      <c r="AF38" s="96"/>
      <c r="AG38" s="96"/>
      <c r="AH38" s="97"/>
      <c r="AI38" s="95" t="s">
        <v>70</v>
      </c>
      <c r="AJ38" s="96"/>
      <c r="AK38" s="96"/>
      <c r="AL38" s="96"/>
      <c r="AM38" s="96"/>
      <c r="AN38" s="96"/>
      <c r="AO38" s="96"/>
      <c r="AP38" s="96"/>
      <c r="AQ38" s="97"/>
      <c r="AR38" s="101" t="s">
        <v>18</v>
      </c>
      <c r="AS38" s="103" t="s">
        <v>71</v>
      </c>
      <c r="AT38" s="105" t="s">
        <v>72</v>
      </c>
      <c r="AU38" s="80" t="s">
        <v>67</v>
      </c>
      <c r="AV38" s="81"/>
      <c r="AW38" s="81"/>
      <c r="AX38" s="81"/>
      <c r="AY38" s="81"/>
      <c r="AZ38" s="81"/>
      <c r="BA38" s="81"/>
      <c r="BB38" s="82"/>
      <c r="BC38" s="86"/>
      <c r="BD38" s="87"/>
      <c r="BE38" s="87"/>
      <c r="BF38" s="87"/>
      <c r="BG38" s="87"/>
      <c r="BH38" s="87"/>
      <c r="BI38" s="87"/>
      <c r="BJ38" s="88"/>
      <c r="BK38" s="17"/>
    </row>
    <row r="39" spans="1:63" x14ac:dyDescent="0.25">
      <c r="B39" s="121"/>
      <c r="C39" s="122"/>
      <c r="D39" s="121"/>
      <c r="E39" s="126"/>
      <c r="F39" s="126"/>
      <c r="G39" s="126"/>
      <c r="H39" s="126"/>
      <c r="I39" s="126"/>
      <c r="J39" s="122"/>
      <c r="K39" s="121"/>
      <c r="L39" s="126"/>
      <c r="M39" s="122"/>
      <c r="N39" s="129"/>
      <c r="O39" s="132"/>
      <c r="P39" s="77" t="s">
        <v>73</v>
      </c>
      <c r="Q39" s="78"/>
      <c r="R39" s="78"/>
      <c r="S39" s="79"/>
      <c r="T39" s="77" t="s">
        <v>61</v>
      </c>
      <c r="U39" s="78"/>
      <c r="V39" s="78"/>
      <c r="W39" s="79"/>
      <c r="X39" s="98"/>
      <c r="Y39" s="99"/>
      <c r="Z39" s="100"/>
      <c r="AA39" s="98"/>
      <c r="AB39" s="99"/>
      <c r="AC39" s="99"/>
      <c r="AD39" s="99"/>
      <c r="AE39" s="99"/>
      <c r="AF39" s="99"/>
      <c r="AG39" s="99"/>
      <c r="AH39" s="100"/>
      <c r="AI39" s="98"/>
      <c r="AJ39" s="99"/>
      <c r="AK39" s="99"/>
      <c r="AL39" s="99"/>
      <c r="AM39" s="99"/>
      <c r="AN39" s="99"/>
      <c r="AO39" s="99"/>
      <c r="AP39" s="99"/>
      <c r="AQ39" s="100"/>
      <c r="AR39" s="102"/>
      <c r="AS39" s="104"/>
      <c r="AT39" s="106"/>
      <c r="AU39" s="80" t="s">
        <v>73</v>
      </c>
      <c r="AV39" s="81"/>
      <c r="AW39" s="81"/>
      <c r="AX39" s="133"/>
      <c r="AY39" s="134" t="s">
        <v>61</v>
      </c>
      <c r="AZ39" s="81"/>
      <c r="BA39" s="81"/>
      <c r="BB39" s="82"/>
      <c r="BC39" s="89"/>
      <c r="BD39" s="90"/>
      <c r="BE39" s="90"/>
      <c r="BF39" s="90"/>
      <c r="BG39" s="90"/>
      <c r="BH39" s="90"/>
      <c r="BI39" s="90"/>
      <c r="BJ39" s="91"/>
      <c r="BK39" s="17"/>
    </row>
    <row r="40" spans="1:63" ht="15.75" customHeight="1" x14ac:dyDescent="0.25">
      <c r="B40" s="70">
        <v>1</v>
      </c>
      <c r="C40" s="71"/>
      <c r="D40" s="72"/>
      <c r="E40" s="73"/>
      <c r="F40" s="73"/>
      <c r="G40" s="73"/>
      <c r="H40" s="73"/>
      <c r="I40" s="73"/>
      <c r="J40" s="74"/>
      <c r="K40" s="56" t="s">
        <v>19</v>
      </c>
      <c r="L40" s="57"/>
      <c r="M40" s="58"/>
      <c r="N40" s="19" t="s">
        <v>20</v>
      </c>
      <c r="O40" s="20" t="s">
        <v>21</v>
      </c>
      <c r="P40" s="75" t="s">
        <v>20</v>
      </c>
      <c r="Q40" s="76"/>
      <c r="R40" s="76"/>
      <c r="S40" s="71"/>
      <c r="T40" s="75" t="s">
        <v>20</v>
      </c>
      <c r="U40" s="76"/>
      <c r="V40" s="76"/>
      <c r="W40" s="71"/>
      <c r="X40" s="107" t="s">
        <v>57</v>
      </c>
      <c r="Y40" s="108"/>
      <c r="Z40" s="109"/>
      <c r="AA40" s="70" t="s">
        <v>22</v>
      </c>
      <c r="AB40" s="76"/>
      <c r="AC40" s="76"/>
      <c r="AD40" s="76"/>
      <c r="AE40" s="76"/>
      <c r="AF40" s="76"/>
      <c r="AG40" s="76"/>
      <c r="AH40" s="71"/>
      <c r="AI40" s="110" t="s">
        <v>20</v>
      </c>
      <c r="AJ40" s="111"/>
      <c r="AK40" s="111"/>
      <c r="AL40" s="111"/>
      <c r="AM40" s="111"/>
      <c r="AN40" s="111"/>
      <c r="AO40" s="111"/>
      <c r="AP40" s="111"/>
      <c r="AQ40" s="112"/>
      <c r="AR40" s="21" t="s">
        <v>20</v>
      </c>
      <c r="AS40" s="21" t="s">
        <v>22</v>
      </c>
      <c r="AT40" s="21" t="s">
        <v>22</v>
      </c>
      <c r="AU40" s="70" t="s">
        <v>23</v>
      </c>
      <c r="AV40" s="76"/>
      <c r="AW40" s="76"/>
      <c r="AX40" s="71"/>
      <c r="AY40" s="70" t="s">
        <v>22</v>
      </c>
      <c r="AZ40" s="76"/>
      <c r="BA40" s="76"/>
      <c r="BB40" s="71"/>
      <c r="BC40" s="287"/>
      <c r="BD40" s="288"/>
      <c r="BE40" s="288"/>
      <c r="BF40" s="288"/>
      <c r="BG40" s="288"/>
      <c r="BH40" s="288"/>
      <c r="BI40" s="288"/>
      <c r="BJ40" s="289"/>
      <c r="BK40" s="17"/>
    </row>
    <row r="41" spans="1:63" x14ac:dyDescent="0.25">
      <c r="B41" s="49">
        <v>2</v>
      </c>
      <c r="C41" s="48"/>
      <c r="D41" s="67"/>
      <c r="E41" s="68"/>
      <c r="F41" s="68"/>
      <c r="G41" s="68"/>
      <c r="H41" s="68"/>
      <c r="I41" s="68"/>
      <c r="J41" s="69"/>
      <c r="K41" s="56" t="s">
        <v>19</v>
      </c>
      <c r="L41" s="57"/>
      <c r="M41" s="58"/>
      <c r="N41" s="20" t="s">
        <v>24</v>
      </c>
      <c r="O41" s="20" t="s">
        <v>21</v>
      </c>
      <c r="P41" s="49" t="s">
        <v>23</v>
      </c>
      <c r="Q41" s="47"/>
      <c r="R41" s="47"/>
      <c r="S41" s="48"/>
      <c r="T41" s="49" t="s">
        <v>23</v>
      </c>
      <c r="U41" s="47"/>
      <c r="V41" s="47"/>
      <c r="W41" s="48"/>
      <c r="X41" s="63" t="s">
        <v>74</v>
      </c>
      <c r="Y41" s="64"/>
      <c r="Z41" s="65"/>
      <c r="AA41" s="49" t="s">
        <v>22</v>
      </c>
      <c r="AB41" s="47"/>
      <c r="AC41" s="47"/>
      <c r="AD41" s="47"/>
      <c r="AE41" s="47"/>
      <c r="AF41" s="47"/>
      <c r="AG41" s="47"/>
      <c r="AH41" s="48"/>
      <c r="AI41" s="50" t="s">
        <v>22</v>
      </c>
      <c r="AJ41" s="51"/>
      <c r="AK41" s="51"/>
      <c r="AL41" s="51"/>
      <c r="AM41" s="51"/>
      <c r="AN41" s="51"/>
      <c r="AO41" s="51"/>
      <c r="AP41" s="51"/>
      <c r="AQ41" s="52"/>
      <c r="AR41" s="22" t="s">
        <v>20</v>
      </c>
      <c r="AS41" s="22" t="s">
        <v>22</v>
      </c>
      <c r="AT41" s="22" t="s">
        <v>22</v>
      </c>
      <c r="AU41" s="49" t="s">
        <v>23</v>
      </c>
      <c r="AV41" s="47"/>
      <c r="AW41" s="47"/>
      <c r="AX41" s="48"/>
      <c r="AY41" s="49" t="s">
        <v>22</v>
      </c>
      <c r="AZ41" s="47"/>
      <c r="BA41" s="47"/>
      <c r="BB41" s="48"/>
      <c r="BC41" s="62"/>
      <c r="BD41" s="290"/>
      <c r="BE41" s="290"/>
      <c r="BF41" s="290"/>
      <c r="BG41" s="290"/>
      <c r="BH41" s="290"/>
      <c r="BI41" s="290"/>
      <c r="BJ41" s="291"/>
      <c r="BK41" s="17"/>
    </row>
    <row r="42" spans="1:63" x14ac:dyDescent="0.25">
      <c r="B42" s="49">
        <v>3</v>
      </c>
      <c r="C42" s="48"/>
      <c r="D42" s="53"/>
      <c r="E42" s="54"/>
      <c r="F42" s="54"/>
      <c r="G42" s="54"/>
      <c r="H42" s="54"/>
      <c r="I42" s="54"/>
      <c r="J42" s="55"/>
      <c r="K42" s="56" t="s">
        <v>19</v>
      </c>
      <c r="L42" s="57"/>
      <c r="M42" s="58"/>
      <c r="N42" s="20" t="s">
        <v>25</v>
      </c>
      <c r="O42" s="20" t="s">
        <v>20</v>
      </c>
      <c r="P42" s="66" t="s">
        <v>20</v>
      </c>
      <c r="Q42" s="47"/>
      <c r="R42" s="47"/>
      <c r="S42" s="48"/>
      <c r="T42" s="49"/>
      <c r="U42" s="47"/>
      <c r="V42" s="47"/>
      <c r="W42" s="48"/>
      <c r="X42" s="59" t="s">
        <v>20</v>
      </c>
      <c r="Y42" s="60"/>
      <c r="Z42" s="61"/>
      <c r="AA42" s="49" t="s">
        <v>22</v>
      </c>
      <c r="AB42" s="47"/>
      <c r="AC42" s="47"/>
      <c r="AD42" s="47"/>
      <c r="AE42" s="47"/>
      <c r="AF42" s="47"/>
      <c r="AG42" s="47"/>
      <c r="AH42" s="48"/>
      <c r="AI42" s="50" t="s">
        <v>22</v>
      </c>
      <c r="AJ42" s="51"/>
      <c r="AK42" s="51"/>
      <c r="AL42" s="51"/>
      <c r="AM42" s="51"/>
      <c r="AN42" s="51"/>
      <c r="AO42" s="51"/>
      <c r="AP42" s="51"/>
      <c r="AQ42" s="52"/>
      <c r="AR42" s="22" t="s">
        <v>20</v>
      </c>
      <c r="AS42" s="22" t="s">
        <v>22</v>
      </c>
      <c r="AT42" s="22" t="s">
        <v>22</v>
      </c>
      <c r="AU42" s="49" t="s">
        <v>23</v>
      </c>
      <c r="AV42" s="47"/>
      <c r="AW42" s="47"/>
      <c r="AX42" s="48"/>
      <c r="AY42" s="49" t="s">
        <v>22</v>
      </c>
      <c r="AZ42" s="47"/>
      <c r="BA42" s="47"/>
      <c r="BB42" s="48"/>
      <c r="BC42" s="292"/>
      <c r="BD42" s="290"/>
      <c r="BE42" s="290"/>
      <c r="BF42" s="290"/>
      <c r="BG42" s="290"/>
      <c r="BH42" s="290"/>
      <c r="BI42" s="290"/>
      <c r="BJ42" s="291"/>
      <c r="BK42" s="17"/>
    </row>
    <row r="43" spans="1:63" x14ac:dyDescent="0.25">
      <c r="B43" s="49">
        <v>4</v>
      </c>
      <c r="C43" s="48"/>
      <c r="D43" s="293"/>
      <c r="E43" s="294"/>
      <c r="F43" s="294"/>
      <c r="G43" s="294"/>
      <c r="H43" s="294"/>
      <c r="I43" s="294"/>
      <c r="J43" s="295"/>
      <c r="K43" s="56" t="s">
        <v>19</v>
      </c>
      <c r="L43" s="57"/>
      <c r="M43" s="58"/>
      <c r="N43" s="23" t="s">
        <v>24</v>
      </c>
      <c r="O43" s="20" t="s">
        <v>21</v>
      </c>
      <c r="P43" s="49" t="s">
        <v>23</v>
      </c>
      <c r="Q43" s="47"/>
      <c r="R43" s="47"/>
      <c r="S43" s="48"/>
      <c r="T43" s="49" t="s">
        <v>23</v>
      </c>
      <c r="U43" s="47"/>
      <c r="V43" s="47"/>
      <c r="W43" s="48"/>
      <c r="X43" s="46" t="s">
        <v>58</v>
      </c>
      <c r="Y43" s="47"/>
      <c r="Z43" s="48"/>
      <c r="AA43" s="49" t="s">
        <v>22</v>
      </c>
      <c r="AB43" s="47"/>
      <c r="AC43" s="47"/>
      <c r="AD43" s="47"/>
      <c r="AE43" s="47"/>
      <c r="AF43" s="47"/>
      <c r="AG43" s="47"/>
      <c r="AH43" s="48"/>
      <c r="AI43" s="50" t="s">
        <v>22</v>
      </c>
      <c r="AJ43" s="51"/>
      <c r="AK43" s="51"/>
      <c r="AL43" s="51"/>
      <c r="AM43" s="51"/>
      <c r="AN43" s="51"/>
      <c r="AO43" s="51"/>
      <c r="AP43" s="51"/>
      <c r="AQ43" s="52"/>
      <c r="AR43" s="22" t="s">
        <v>20</v>
      </c>
      <c r="AS43" s="22" t="s">
        <v>22</v>
      </c>
      <c r="AT43" s="22" t="s">
        <v>22</v>
      </c>
      <c r="AU43" s="49" t="s">
        <v>23</v>
      </c>
      <c r="AV43" s="47"/>
      <c r="AW43" s="47"/>
      <c r="AX43" s="48"/>
      <c r="AY43" s="49" t="s">
        <v>22</v>
      </c>
      <c r="AZ43" s="47"/>
      <c r="BA43" s="47"/>
      <c r="BB43" s="48"/>
      <c r="BC43" s="296"/>
      <c r="BD43" s="297"/>
      <c r="BE43" s="297"/>
      <c r="BF43" s="297"/>
      <c r="BG43" s="297"/>
      <c r="BH43" s="297"/>
      <c r="BI43" s="297"/>
      <c r="BJ43" s="298"/>
      <c r="BK43" s="17"/>
    </row>
    <row r="44" spans="1:63" x14ac:dyDescent="0.25">
      <c r="B44" s="49">
        <v>5</v>
      </c>
      <c r="C44" s="48"/>
      <c r="D44" s="53"/>
      <c r="E44" s="54"/>
      <c r="F44" s="54"/>
      <c r="G44" s="54"/>
      <c r="H44" s="54"/>
      <c r="I44" s="54"/>
      <c r="J44" s="55"/>
      <c r="K44" s="56" t="s">
        <v>26</v>
      </c>
      <c r="L44" s="57"/>
      <c r="M44" s="58"/>
      <c r="N44" s="23" t="s">
        <v>25</v>
      </c>
      <c r="O44" s="20" t="s">
        <v>20</v>
      </c>
      <c r="P44" s="49" t="s">
        <v>23</v>
      </c>
      <c r="Q44" s="47"/>
      <c r="R44" s="47"/>
      <c r="S44" s="48"/>
      <c r="T44" s="49" t="s">
        <v>23</v>
      </c>
      <c r="U44" s="47"/>
      <c r="V44" s="47"/>
      <c r="W44" s="48"/>
      <c r="X44" s="46" t="s">
        <v>20</v>
      </c>
      <c r="Y44" s="47"/>
      <c r="Z44" s="48"/>
      <c r="AA44" s="49" t="s">
        <v>22</v>
      </c>
      <c r="AB44" s="47"/>
      <c r="AC44" s="47"/>
      <c r="AD44" s="47"/>
      <c r="AE44" s="47"/>
      <c r="AF44" s="47"/>
      <c r="AG44" s="47"/>
      <c r="AH44" s="48"/>
      <c r="AI44" s="50" t="s">
        <v>22</v>
      </c>
      <c r="AJ44" s="51"/>
      <c r="AK44" s="51"/>
      <c r="AL44" s="51"/>
      <c r="AM44" s="51"/>
      <c r="AN44" s="51"/>
      <c r="AO44" s="51"/>
      <c r="AP44" s="51"/>
      <c r="AQ44" s="52"/>
      <c r="AR44" s="22" t="s">
        <v>20</v>
      </c>
      <c r="AS44" s="22" t="s">
        <v>22</v>
      </c>
      <c r="AT44" s="22" t="s">
        <v>22</v>
      </c>
      <c r="AU44" s="49" t="s">
        <v>23</v>
      </c>
      <c r="AV44" s="47"/>
      <c r="AW44" s="47"/>
      <c r="AX44" s="48"/>
      <c r="AY44" s="49" t="s">
        <v>22</v>
      </c>
      <c r="AZ44" s="47"/>
      <c r="BA44" s="47"/>
      <c r="BB44" s="48"/>
      <c r="BC44" s="292"/>
      <c r="BD44" s="290"/>
      <c r="BE44" s="290"/>
      <c r="BF44" s="290"/>
      <c r="BG44" s="290"/>
      <c r="BH44" s="290"/>
      <c r="BI44" s="290"/>
      <c r="BJ44" s="291"/>
      <c r="BK44" s="17"/>
    </row>
    <row r="45" spans="1:63" x14ac:dyDescent="0.25">
      <c r="B45" s="31">
        <v>6</v>
      </c>
      <c r="C45" s="33"/>
      <c r="D45" s="37"/>
      <c r="E45" s="38"/>
      <c r="F45" s="38"/>
      <c r="G45" s="38"/>
      <c r="H45" s="38"/>
      <c r="I45" s="38"/>
      <c r="J45" s="39"/>
      <c r="K45" s="40" t="s">
        <v>27</v>
      </c>
      <c r="L45" s="41"/>
      <c r="M45" s="42"/>
      <c r="N45" s="24" t="s">
        <v>25</v>
      </c>
      <c r="O45" s="24" t="s">
        <v>21</v>
      </c>
      <c r="P45" s="31" t="s">
        <v>23</v>
      </c>
      <c r="Q45" s="32"/>
      <c r="R45" s="32"/>
      <c r="S45" s="33"/>
      <c r="T45" s="31" t="s">
        <v>23</v>
      </c>
      <c r="U45" s="32"/>
      <c r="V45" s="32"/>
      <c r="W45" s="33"/>
      <c r="X45" s="43" t="s">
        <v>75</v>
      </c>
      <c r="Y45" s="44"/>
      <c r="Z45" s="45"/>
      <c r="AA45" s="31" t="s">
        <v>22</v>
      </c>
      <c r="AB45" s="32"/>
      <c r="AC45" s="32"/>
      <c r="AD45" s="32"/>
      <c r="AE45" s="32"/>
      <c r="AF45" s="32"/>
      <c r="AG45" s="32"/>
      <c r="AH45" s="33"/>
      <c r="AI45" s="34" t="s">
        <v>28</v>
      </c>
      <c r="AJ45" s="35"/>
      <c r="AK45" s="35"/>
      <c r="AL45" s="35"/>
      <c r="AM45" s="35"/>
      <c r="AN45" s="35"/>
      <c r="AO45" s="35"/>
      <c r="AP45" s="35"/>
      <c r="AQ45" s="36"/>
      <c r="AR45" s="25" t="s">
        <v>20</v>
      </c>
      <c r="AS45" s="25" t="s">
        <v>22</v>
      </c>
      <c r="AT45" s="25" t="s">
        <v>22</v>
      </c>
      <c r="AU45" s="31" t="s">
        <v>23</v>
      </c>
      <c r="AV45" s="32"/>
      <c r="AW45" s="32"/>
      <c r="AX45" s="33"/>
      <c r="AY45" s="31" t="s">
        <v>22</v>
      </c>
      <c r="AZ45" s="32"/>
      <c r="BA45" s="32"/>
      <c r="BB45" s="33"/>
      <c r="BC45" s="299" t="s">
        <v>29</v>
      </c>
      <c r="BD45" s="300"/>
      <c r="BE45" s="300"/>
      <c r="BF45" s="300"/>
      <c r="BG45" s="300"/>
      <c r="BH45" s="300"/>
      <c r="BI45" s="300"/>
      <c r="BJ45" s="301"/>
      <c r="BK45" s="17"/>
    </row>
    <row r="46" spans="1:63" x14ac:dyDescent="0.25">
      <c r="BK46" s="17"/>
    </row>
    <row r="47" spans="1:63" x14ac:dyDescent="0.25">
      <c r="BK47" s="17"/>
    </row>
    <row r="48" spans="1:63" x14ac:dyDescent="0.25">
      <c r="BK48" s="17"/>
    </row>
    <row r="49" spans="1:63" x14ac:dyDescent="0.25">
      <c r="BK49" s="17"/>
    </row>
    <row r="50" spans="1:63" x14ac:dyDescent="0.25">
      <c r="BK50" s="17"/>
    </row>
    <row r="51" spans="1:63" x14ac:dyDescent="0.25">
      <c r="BK51" s="17"/>
    </row>
    <row r="52" spans="1:63" x14ac:dyDescent="0.25">
      <c r="BK52" s="17"/>
    </row>
    <row r="53" spans="1:63" x14ac:dyDescent="0.25">
      <c r="BK53" s="17"/>
    </row>
    <row r="54" spans="1:63" x14ac:dyDescent="0.25">
      <c r="BK54" s="17"/>
    </row>
    <row r="55" spans="1:6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274" t="s">
        <v>38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39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277" t="str">
        <f>IF(表紙!W1="","",表紙!W1)</f>
        <v>基本設計書</v>
      </c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9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80"/>
      <c r="X2" s="281"/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82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45454</v>
      </c>
      <c r="AU2" s="155"/>
      <c r="AV2" s="155"/>
      <c r="AW2" s="155"/>
      <c r="AX2" s="156"/>
      <c r="AY2" s="150" t="str">
        <f>IF(表紙!AY2="","",表紙!AY2)</f>
        <v>LoiLV</v>
      </c>
      <c r="AZ2" s="148"/>
      <c r="BA2" s="148"/>
      <c r="BB2" s="149"/>
      <c r="BC2" s="154">
        <f>IF(表紙!BC2="","",表紙!BC2)</f>
        <v>45462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83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74" t="s">
        <v>47</v>
      </c>
      <c r="B4" s="275"/>
      <c r="C4" s="275"/>
      <c r="D4" s="275"/>
      <c r="E4" s="275"/>
      <c r="F4" s="275"/>
      <c r="G4" s="276"/>
      <c r="H4" s="113" t="str">
        <f>IF(表紙!H4="","",表紙!H4)</f>
        <v>80_Scan&amp;Go商品マスタ再配信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274" t="s">
        <v>48</v>
      </c>
      <c r="V4" s="275"/>
      <c r="W4" s="275"/>
      <c r="X4" s="275"/>
      <c r="Y4" s="276"/>
      <c r="Z4" s="113" t="str">
        <f>IF(表紙!Z4="","",表紙!Z4)</f>
        <v>概要設計書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テンプレート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7" s="263"/>
      <c r="C7" s="264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6"/>
      <c r="U7" s="264"/>
      <c r="V7" s="265"/>
      <c r="W7" s="265"/>
      <c r="X7" s="265"/>
      <c r="Y7" s="265"/>
      <c r="Z7" s="265"/>
      <c r="AA7" s="265"/>
      <c r="AB7" s="265"/>
      <c r="AC7" s="266"/>
      <c r="AD7" s="264"/>
      <c r="AE7" s="265"/>
      <c r="AF7" s="265"/>
      <c r="AG7" s="265"/>
      <c r="AH7" s="265"/>
      <c r="AI7" s="265"/>
      <c r="AJ7" s="265"/>
      <c r="AK7" s="265"/>
      <c r="AL7" s="266"/>
      <c r="AM7" s="264"/>
      <c r="AN7" s="265"/>
      <c r="AO7" s="265"/>
      <c r="AP7" s="265"/>
      <c r="AQ7" s="265"/>
      <c r="AR7" s="265"/>
      <c r="AS7" s="265"/>
      <c r="AT7" s="265"/>
      <c r="AU7" s="265"/>
      <c r="AV7" s="265"/>
      <c r="AW7" s="265"/>
      <c r="AX7" s="265"/>
      <c r="AY7" s="265"/>
      <c r="AZ7" s="265"/>
      <c r="BA7" s="265"/>
      <c r="BB7" s="265"/>
      <c r="BC7" s="265"/>
      <c r="BD7" s="265"/>
      <c r="BE7" s="265"/>
      <c r="BF7" s="265"/>
      <c r="BG7" s="265"/>
      <c r="BH7" s="265"/>
      <c r="BI7" s="266"/>
      <c r="BJ7" s="265"/>
      <c r="BK7" s="179"/>
    </row>
    <row r="8" spans="1:63" ht="15" customHeight="1" x14ac:dyDescent="0.25">
      <c r="A8" s="178"/>
      <c r="C8" s="267"/>
      <c r="U8" s="267"/>
      <c r="AD8" s="267"/>
      <c r="AM8" s="267"/>
      <c r="BI8" s="269"/>
    </row>
    <row r="9" spans="1:63" ht="15" customHeight="1" x14ac:dyDescent="0.25">
      <c r="A9" s="178"/>
      <c r="C9" s="267"/>
      <c r="U9" s="267"/>
      <c r="AD9" s="267"/>
      <c r="AM9" s="267"/>
      <c r="BI9" s="269"/>
    </row>
    <row r="10" spans="1:63" ht="15" customHeight="1" x14ac:dyDescent="0.25">
      <c r="A10" s="178"/>
      <c r="C10" s="267"/>
      <c r="U10" s="267"/>
      <c r="AD10" s="267"/>
      <c r="AM10" s="267"/>
      <c r="BI10" s="269"/>
    </row>
    <row r="11" spans="1:63" ht="15" customHeight="1" x14ac:dyDescent="0.25">
      <c r="A11" s="178"/>
      <c r="C11" s="267"/>
      <c r="U11" s="267"/>
      <c r="AD11" s="267"/>
      <c r="AM11" s="267"/>
      <c r="BI11" s="269"/>
    </row>
    <row r="12" spans="1:63" ht="15" customHeight="1" x14ac:dyDescent="0.25">
      <c r="A12" s="178"/>
      <c r="C12" s="267"/>
      <c r="U12" s="267"/>
      <c r="AD12" s="267"/>
      <c r="AM12" s="267"/>
      <c r="AX12" s="147" t="s">
        <v>30</v>
      </c>
      <c r="BI12" s="269"/>
    </row>
    <row r="13" spans="1:63" ht="15" customHeight="1" x14ac:dyDescent="0.25">
      <c r="A13" s="178"/>
      <c r="C13" s="267"/>
      <c r="U13" s="267"/>
      <c r="AD13" s="267"/>
      <c r="AM13" s="267"/>
      <c r="BI13" s="269"/>
    </row>
    <row r="14" spans="1:63" ht="15" customHeight="1" x14ac:dyDescent="0.25">
      <c r="A14" s="178"/>
      <c r="C14" s="267"/>
      <c r="U14" s="267"/>
      <c r="AD14" s="267"/>
      <c r="AM14" s="267"/>
      <c r="BI14" s="269"/>
    </row>
    <row r="15" spans="1:63" ht="15" customHeight="1" x14ac:dyDescent="0.25">
      <c r="A15" s="178"/>
      <c r="C15" s="267"/>
      <c r="U15" s="267"/>
      <c r="AD15" s="267"/>
      <c r="AM15" s="267"/>
      <c r="BI15" s="269"/>
    </row>
    <row r="16" spans="1:63" ht="15" customHeight="1" x14ac:dyDescent="0.25">
      <c r="A16" s="178"/>
      <c r="C16" s="267"/>
      <c r="U16" s="267"/>
      <c r="AD16" s="267"/>
      <c r="AM16" s="267"/>
      <c r="BI16" s="269"/>
    </row>
    <row r="17" spans="1:61" ht="15" customHeight="1" x14ac:dyDescent="0.25">
      <c r="A17" s="178"/>
      <c r="C17" s="267"/>
      <c r="U17" s="267"/>
      <c r="AD17" s="267"/>
      <c r="AM17" s="267"/>
      <c r="BI17" s="269"/>
    </row>
    <row r="18" spans="1:61" ht="15" customHeight="1" x14ac:dyDescent="0.25">
      <c r="A18" s="178"/>
      <c r="C18" s="267"/>
      <c r="U18" s="267"/>
      <c r="AD18" s="267"/>
      <c r="AM18" s="267"/>
      <c r="BI18" s="269"/>
    </row>
    <row r="19" spans="1:61" ht="15" customHeight="1" x14ac:dyDescent="0.25">
      <c r="A19" s="178"/>
      <c r="C19" s="267"/>
      <c r="U19" s="267"/>
      <c r="AD19" s="267"/>
      <c r="AM19" s="267"/>
      <c r="BI19" s="269"/>
    </row>
    <row r="20" spans="1:61" ht="15" customHeight="1" x14ac:dyDescent="0.25">
      <c r="A20" s="178"/>
      <c r="C20" s="267"/>
      <c r="U20" s="267"/>
      <c r="AD20" s="267"/>
      <c r="AM20" s="267"/>
      <c r="BI20" s="269"/>
    </row>
    <row r="21" spans="1:61" ht="15" customHeight="1" x14ac:dyDescent="0.25">
      <c r="A21" s="178"/>
      <c r="C21" s="267"/>
      <c r="U21" s="267"/>
      <c r="AD21" s="267"/>
      <c r="AM21" s="267"/>
      <c r="BI21" s="269"/>
    </row>
    <row r="22" spans="1:61" ht="15" customHeight="1" x14ac:dyDescent="0.25">
      <c r="A22" s="178"/>
      <c r="C22" s="267"/>
      <c r="U22" s="267"/>
      <c r="AD22" s="267"/>
      <c r="AM22" s="267"/>
      <c r="BI22" s="269"/>
    </row>
    <row r="23" spans="1:61" ht="15" customHeight="1" x14ac:dyDescent="0.25">
      <c r="A23" s="178"/>
      <c r="C23" s="267"/>
      <c r="U23" s="267"/>
      <c r="AD23" s="267"/>
      <c r="AM23" s="267"/>
      <c r="BI23" s="269"/>
    </row>
    <row r="24" spans="1:61" ht="15" customHeight="1" x14ac:dyDescent="0.25">
      <c r="A24" s="178"/>
      <c r="C24" s="267"/>
      <c r="U24" s="267"/>
      <c r="AD24" s="267"/>
      <c r="AM24" s="267"/>
      <c r="BI24" s="269"/>
    </row>
    <row r="25" spans="1:61" ht="15" customHeight="1" x14ac:dyDescent="0.25">
      <c r="A25" s="178"/>
      <c r="C25" s="267"/>
      <c r="U25" s="267"/>
      <c r="AD25" s="267"/>
      <c r="AM25" s="267"/>
      <c r="BI25" s="269"/>
    </row>
    <row r="26" spans="1:61" ht="15" customHeight="1" x14ac:dyDescent="0.25">
      <c r="A26" s="178"/>
      <c r="C26" s="267"/>
      <c r="U26" s="267"/>
      <c r="AD26" s="267"/>
      <c r="AM26" s="267"/>
      <c r="BI26" s="269"/>
    </row>
    <row r="27" spans="1:61" ht="15" customHeight="1" x14ac:dyDescent="0.25">
      <c r="A27" s="178"/>
      <c r="C27" s="267"/>
      <c r="U27" s="267"/>
      <c r="AD27" s="267"/>
      <c r="AM27" s="267"/>
      <c r="BI27" s="269"/>
    </row>
    <row r="28" spans="1:61" ht="15" customHeight="1" x14ac:dyDescent="0.25">
      <c r="A28" s="178"/>
      <c r="C28" s="267"/>
      <c r="U28" s="267"/>
      <c r="AD28" s="267"/>
      <c r="AM28" s="267"/>
      <c r="BI28" s="269"/>
    </row>
    <row r="29" spans="1:61" ht="15" customHeight="1" x14ac:dyDescent="0.25">
      <c r="A29" s="178"/>
      <c r="C29" s="267"/>
      <c r="U29" s="267"/>
      <c r="AD29" s="267"/>
      <c r="AM29" s="267"/>
      <c r="BI29" s="269"/>
    </row>
    <row r="30" spans="1:61" ht="15" customHeight="1" x14ac:dyDescent="0.25">
      <c r="A30" s="178"/>
      <c r="C30" s="267"/>
      <c r="U30" s="267"/>
      <c r="AD30" s="267"/>
      <c r="AM30" s="267"/>
      <c r="BI30" s="269"/>
    </row>
    <row r="31" spans="1:61" ht="15" customHeight="1" x14ac:dyDescent="0.25">
      <c r="A31" s="178"/>
      <c r="C31" s="267"/>
      <c r="U31" s="267"/>
      <c r="AD31" s="267"/>
      <c r="AM31" s="267"/>
      <c r="BI31" s="269"/>
    </row>
    <row r="32" spans="1:61" ht="15" customHeight="1" x14ac:dyDescent="0.25">
      <c r="A32" s="178"/>
      <c r="C32" s="267"/>
      <c r="U32" s="267"/>
      <c r="AD32" s="267"/>
      <c r="AM32" s="267"/>
      <c r="BI32" s="269"/>
    </row>
    <row r="33" spans="1:61" ht="15" customHeight="1" x14ac:dyDescent="0.25">
      <c r="A33" s="178"/>
      <c r="C33" s="267"/>
      <c r="U33" s="267"/>
      <c r="AD33" s="267"/>
      <c r="AM33" s="267"/>
      <c r="BI33" s="269"/>
    </row>
    <row r="34" spans="1:61" ht="15" customHeight="1" x14ac:dyDescent="0.25">
      <c r="A34" s="178"/>
      <c r="C34" s="267"/>
      <c r="U34" s="267"/>
      <c r="AD34" s="267"/>
      <c r="AM34" s="267"/>
      <c r="BI34" s="269"/>
    </row>
    <row r="35" spans="1:61" ht="15" customHeight="1" x14ac:dyDescent="0.25">
      <c r="A35" s="178"/>
      <c r="C35" s="267"/>
      <c r="U35" s="267"/>
      <c r="AD35" s="267"/>
      <c r="AM35" s="267"/>
      <c r="BI35" s="269"/>
    </row>
    <row r="36" spans="1:61" ht="15" customHeight="1" x14ac:dyDescent="0.25">
      <c r="A36" s="178"/>
      <c r="C36" s="267"/>
      <c r="U36" s="267"/>
      <c r="AD36" s="267"/>
      <c r="AM36" s="267"/>
      <c r="BI36" s="269"/>
    </row>
    <row r="37" spans="1:61" ht="15" customHeight="1" x14ac:dyDescent="0.25">
      <c r="A37" s="178"/>
      <c r="C37" s="267"/>
      <c r="U37" s="267"/>
      <c r="AD37" s="267"/>
      <c r="AM37" s="267"/>
      <c r="BI37" s="269"/>
    </row>
    <row r="38" spans="1:61" ht="15" customHeight="1" x14ac:dyDescent="0.25">
      <c r="A38" s="178"/>
      <c r="C38" s="267"/>
      <c r="U38" s="267"/>
      <c r="AD38" s="267"/>
      <c r="AM38" s="267"/>
      <c r="BI38" s="269"/>
    </row>
    <row r="39" spans="1:61" ht="15" customHeight="1" x14ac:dyDescent="0.25">
      <c r="A39" s="178"/>
      <c r="C39" s="267"/>
      <c r="U39" s="267"/>
      <c r="AD39" s="267"/>
      <c r="AM39" s="267"/>
      <c r="BI39" s="269"/>
    </row>
    <row r="40" spans="1:61" ht="15" customHeight="1" x14ac:dyDescent="0.25">
      <c r="A40" s="178"/>
      <c r="C40" s="267"/>
      <c r="U40" s="267"/>
      <c r="AD40" s="267"/>
      <c r="AM40" s="267"/>
      <c r="BI40" s="269"/>
    </row>
    <row r="41" spans="1:61" ht="15" customHeight="1" x14ac:dyDescent="0.25">
      <c r="A41" s="178"/>
      <c r="C41" s="267"/>
      <c r="U41" s="267"/>
      <c r="AD41" s="267"/>
      <c r="AM41" s="267"/>
      <c r="BI41" s="269"/>
    </row>
    <row r="42" spans="1:61" ht="15" customHeight="1" x14ac:dyDescent="0.25">
      <c r="A42" s="178"/>
      <c r="C42" s="267"/>
      <c r="U42" s="267"/>
      <c r="AD42" s="267"/>
      <c r="AM42" s="267"/>
      <c r="BI42" s="269"/>
    </row>
    <row r="43" spans="1:61" ht="15" customHeight="1" x14ac:dyDescent="0.25">
      <c r="A43" s="178"/>
      <c r="C43" s="267"/>
      <c r="U43" s="267"/>
      <c r="AD43" s="267"/>
      <c r="AM43" s="267"/>
      <c r="BI43" s="269"/>
    </row>
    <row r="44" spans="1:61" ht="15" customHeight="1" x14ac:dyDescent="0.25">
      <c r="A44" s="178"/>
      <c r="C44" s="267"/>
      <c r="U44" s="267"/>
      <c r="AD44" s="267"/>
      <c r="AM44" s="267"/>
      <c r="BI44" s="269"/>
    </row>
    <row r="45" spans="1:61" ht="15" customHeight="1" x14ac:dyDescent="0.25">
      <c r="A45" s="178"/>
      <c r="C45" s="267"/>
      <c r="U45" s="267"/>
      <c r="AD45" s="267"/>
      <c r="AM45" s="267"/>
      <c r="BI45" s="269"/>
    </row>
    <row r="46" spans="1:61" ht="15" customHeight="1" x14ac:dyDescent="0.25">
      <c r="A46" s="178"/>
      <c r="C46" s="267"/>
      <c r="U46" s="267"/>
      <c r="AD46" s="267"/>
      <c r="AM46" s="267"/>
      <c r="BI46" s="269"/>
    </row>
    <row r="47" spans="1:61" ht="15" customHeight="1" x14ac:dyDescent="0.25">
      <c r="A47" s="178"/>
      <c r="C47" s="267"/>
      <c r="U47" s="267"/>
      <c r="AD47" s="267"/>
      <c r="AM47" s="267"/>
      <c r="BI47" s="269"/>
    </row>
    <row r="48" spans="1:61" ht="15" customHeight="1" x14ac:dyDescent="0.25">
      <c r="A48" s="178"/>
      <c r="C48" s="267"/>
      <c r="U48" s="267"/>
      <c r="AD48" s="267"/>
      <c r="AM48" s="267"/>
      <c r="BI48" s="269"/>
    </row>
    <row r="49" spans="1:63" ht="15" customHeight="1" x14ac:dyDescent="0.25">
      <c r="A49" s="178"/>
      <c r="C49" s="267"/>
      <c r="U49" s="267"/>
      <c r="AD49" s="267"/>
      <c r="AM49" s="267"/>
      <c r="BI49" s="269"/>
    </row>
    <row r="50" spans="1:63" ht="15" customHeight="1" x14ac:dyDescent="0.25">
      <c r="A50" s="178"/>
      <c r="C50" s="267"/>
      <c r="U50" s="267"/>
      <c r="AD50" s="267"/>
      <c r="AM50" s="267"/>
      <c r="BI50" s="269"/>
    </row>
    <row r="51" spans="1:63" ht="15" customHeight="1" x14ac:dyDescent="0.25">
      <c r="A51" s="178"/>
      <c r="C51" s="267"/>
      <c r="U51" s="267"/>
      <c r="AD51" s="267"/>
      <c r="AM51" s="267"/>
      <c r="BI51" s="269"/>
    </row>
    <row r="52" spans="1:63" ht="15" customHeight="1" x14ac:dyDescent="0.25">
      <c r="A52" s="178"/>
      <c r="C52" s="267"/>
      <c r="U52" s="267"/>
      <c r="AD52" s="267"/>
      <c r="AM52" s="267"/>
      <c r="BI52" s="269"/>
    </row>
    <row r="53" spans="1:63" ht="15" customHeight="1" x14ac:dyDescent="0.25">
      <c r="A53" s="178"/>
      <c r="C53" s="267"/>
      <c r="U53" s="267"/>
      <c r="AD53" s="267"/>
      <c r="AM53" s="267"/>
      <c r="BI53" s="269"/>
    </row>
    <row r="54" spans="1:63" ht="15" customHeight="1" x14ac:dyDescent="0.25">
      <c r="A54" s="178"/>
      <c r="C54" s="267"/>
      <c r="U54" s="267"/>
      <c r="AD54" s="267"/>
      <c r="AM54" s="267"/>
      <c r="BI54" s="269"/>
    </row>
    <row r="55" spans="1:63" ht="15" customHeight="1" x14ac:dyDescent="0.25">
      <c r="A55" s="175"/>
      <c r="B55" s="302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302"/>
      <c r="V55" s="176"/>
      <c r="W55" s="176"/>
      <c r="X55" s="176"/>
      <c r="Y55" s="176"/>
      <c r="Z55" s="176"/>
      <c r="AA55" s="176"/>
      <c r="AB55" s="176"/>
      <c r="AC55" s="176"/>
      <c r="AD55" s="302"/>
      <c r="AE55" s="176"/>
      <c r="AF55" s="176"/>
      <c r="AG55" s="176"/>
      <c r="AH55" s="176"/>
      <c r="AI55" s="176"/>
      <c r="AJ55" s="176"/>
      <c r="AK55" s="176"/>
      <c r="AL55" s="176"/>
      <c r="AM55" s="302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303"/>
      <c r="BJ55" s="176"/>
      <c r="BK55" s="177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CE3096-03A2-4131-947B-D67CADE2BC40}"/>
</file>

<file path=customXml/itemProps2.xml><?xml version="1.0" encoding="utf-8"?>
<ds:datastoreItem xmlns:ds="http://schemas.openxmlformats.org/officeDocument/2006/customXml" ds:itemID="{AE13A992-90B0-4625-97A1-A0AC5655A7D6}"/>
</file>

<file path=customXml/itemProps3.xml><?xml version="1.0" encoding="utf-8"?>
<ds:datastoreItem xmlns:ds="http://schemas.openxmlformats.org/officeDocument/2006/customXml" ds:itemID="{54F7FF65-3A10-4E58-9780-9EEB280C98B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2024-06-20T06:57:32Z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