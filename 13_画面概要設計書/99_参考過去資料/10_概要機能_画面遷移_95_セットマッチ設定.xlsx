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6D25BAE6-ACB2-4F5E-9DE7-9C1563258173}"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業務フロー" sheetId="6" r:id="rId3"/>
    <sheet name="機能概要説明" sheetId="8" r:id="rId4"/>
    <sheet name="機能概要" sheetId="5" r:id="rId5"/>
    <sheet name="画面設計書" sheetId="7" r:id="rId6"/>
    <sheet name="テンプレート" sheetId="2" r:id="rId7"/>
  </sheets>
  <definedNames>
    <definedName name="_xlnm.Print_Area" localSheetId="6">テンプレート!$A$1:$BK$55</definedName>
    <definedName name="_xlnm.Print_Area" localSheetId="1">改訂履歴!$A$1:$BK$55</definedName>
    <definedName name="_xlnm.Print_Area" localSheetId="2">業務フロー!$A$1:$BK$61</definedName>
    <definedName name="_xlnm.Print_Area" localSheetId="4">機能概要!$A$1:$BK$244</definedName>
    <definedName name="_xlnm.Print_Area" localSheetId="3">機能概要説明!$A$1:$BK$59</definedName>
    <definedName name="_xlnm.Print_Area" localSheetId="0">表紙!$A$1:$BK$55</definedName>
    <definedName name="_xlnm.Print_Titles" localSheetId="6">テンプレート!$1:$5</definedName>
    <definedName name="_xlnm.Print_Titles" localSheetId="1">改訂履歴!$1:$5</definedName>
    <definedName name="_xlnm.Print_Titles" localSheetId="2">業務フロー!$1:$5</definedName>
    <definedName name="_xlnm.Print_Titles" localSheetId="4">機能概要!$1:$5</definedName>
    <definedName name="_xlnm.Print_Titles" localSheetId="3">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2" l="1"/>
  <c r="Z4" i="2"/>
  <c r="H4" i="2"/>
  <c r="K2" i="2"/>
  <c r="A2" i="2"/>
  <c r="W1" i="2"/>
  <c r="AP4" i="7"/>
  <c r="Z4" i="7"/>
  <c r="H4" i="7"/>
  <c r="K2" i="7"/>
  <c r="A2" i="7"/>
  <c r="W1" i="7"/>
  <c r="BM11" i="5"/>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BM104" i="5" s="1"/>
  <c r="BM105" i="5" s="1"/>
  <c r="BM106" i="5" s="1"/>
  <c r="BM107" i="5" s="1"/>
  <c r="BM108" i="5" s="1"/>
  <c r="BM109" i="5" s="1"/>
  <c r="BM110" i="5" s="1"/>
  <c r="BM111" i="5" s="1"/>
  <c r="BM112" i="5" s="1"/>
  <c r="BM113" i="5" s="1"/>
  <c r="BM114" i="5" s="1"/>
  <c r="BM115" i="5" s="1"/>
  <c r="BM116" i="5" s="1"/>
  <c r="BM117" i="5" s="1"/>
  <c r="BM118" i="5" s="1"/>
  <c r="BM119" i="5" s="1"/>
  <c r="BM120" i="5" s="1"/>
  <c r="BM121" i="5" s="1"/>
  <c r="BM122" i="5" s="1"/>
  <c r="BM123" i="5" s="1"/>
  <c r="BM124" i="5" s="1"/>
  <c r="BM125" i="5" s="1"/>
  <c r="BM126" i="5" s="1"/>
  <c r="BM127" i="5" s="1"/>
  <c r="BM128" i="5" s="1"/>
  <c r="BM129" i="5" s="1"/>
  <c r="BM130" i="5" s="1"/>
  <c r="BM131" i="5" s="1"/>
  <c r="BM132" i="5" s="1"/>
  <c r="BM133" i="5" s="1"/>
  <c r="BM134" i="5" s="1"/>
  <c r="BM135" i="5" s="1"/>
  <c r="BM136" i="5" s="1"/>
  <c r="BM137" i="5" s="1"/>
  <c r="BM138" i="5" s="1"/>
  <c r="BM139" i="5" s="1"/>
  <c r="BM140" i="5" s="1"/>
  <c r="BM141" i="5" s="1"/>
  <c r="BM142" i="5" s="1"/>
  <c r="BM143" i="5" s="1"/>
  <c r="BM144" i="5" s="1"/>
  <c r="BM145" i="5" s="1"/>
  <c r="BM146" i="5" s="1"/>
  <c r="BM147" i="5" s="1"/>
  <c r="BM148" i="5" s="1"/>
  <c r="BM149" i="5" s="1"/>
  <c r="BM150" i="5" s="1"/>
  <c r="BM151" i="5" s="1"/>
  <c r="BM152" i="5" s="1"/>
  <c r="BM153" i="5" s="1"/>
  <c r="BM154" i="5" s="1"/>
  <c r="BM155" i="5" s="1"/>
  <c r="BM156" i="5" s="1"/>
  <c r="BM157" i="5" s="1"/>
  <c r="BM158" i="5" s="1"/>
  <c r="BM159" i="5" s="1"/>
  <c r="BM160" i="5" s="1"/>
  <c r="BM161" i="5" s="1"/>
  <c r="BM162" i="5" s="1"/>
  <c r="BM163" i="5" s="1"/>
  <c r="BM164" i="5" s="1"/>
  <c r="BM165" i="5" s="1"/>
  <c r="BM166" i="5" s="1"/>
  <c r="BM167" i="5" s="1"/>
  <c r="BM168" i="5" s="1"/>
  <c r="BM169" i="5" s="1"/>
  <c r="BM170" i="5" s="1"/>
  <c r="BM171" i="5" s="1"/>
  <c r="BM172" i="5" s="1"/>
  <c r="BM173" i="5" s="1"/>
  <c r="BM174" i="5" s="1"/>
  <c r="BM175" i="5" s="1"/>
  <c r="BM176" i="5" s="1"/>
  <c r="BM177" i="5" s="1"/>
  <c r="BM178" i="5" s="1"/>
  <c r="BM179" i="5" s="1"/>
  <c r="BM180" i="5" s="1"/>
  <c r="BM181" i="5" s="1"/>
  <c r="BM182" i="5" s="1"/>
  <c r="BM183" i="5" s="1"/>
  <c r="BM184" i="5" s="1"/>
  <c r="BM185" i="5" s="1"/>
  <c r="BM186" i="5" s="1"/>
  <c r="BM187" i="5" s="1"/>
  <c r="BM188" i="5" s="1"/>
  <c r="BM189" i="5" s="1"/>
  <c r="BM190" i="5" s="1"/>
  <c r="BM191" i="5" s="1"/>
  <c r="BM192" i="5" s="1"/>
  <c r="BM193" i="5" s="1"/>
  <c r="BM194" i="5" s="1"/>
  <c r="BM195" i="5" s="1"/>
  <c r="BM196" i="5" s="1"/>
  <c r="BM197" i="5" s="1"/>
  <c r="BM198" i="5" s="1"/>
  <c r="BM199" i="5" s="1"/>
  <c r="BM200" i="5" s="1"/>
  <c r="BM201" i="5" s="1"/>
  <c r="BM202" i="5" s="1"/>
  <c r="BM203" i="5" s="1"/>
  <c r="BM204" i="5" s="1"/>
  <c r="BM205" i="5" s="1"/>
  <c r="BM206" i="5" s="1"/>
  <c r="BM207" i="5" s="1"/>
  <c r="BM208" i="5" s="1"/>
  <c r="BM209" i="5" s="1"/>
  <c r="BM210" i="5" s="1"/>
  <c r="BM211" i="5" s="1"/>
  <c r="BM212" i="5" s="1"/>
  <c r="BM213" i="5" s="1"/>
  <c r="BM214" i="5" s="1"/>
  <c r="BM215" i="5" s="1"/>
  <c r="BM216" i="5" s="1"/>
  <c r="BM217" i="5" s="1"/>
  <c r="BM218" i="5" s="1"/>
  <c r="BM219" i="5" s="1"/>
  <c r="BM220" i="5" s="1"/>
  <c r="BM221" i="5" s="1"/>
  <c r="BM222" i="5" s="1"/>
  <c r="BM223" i="5" s="1"/>
  <c r="BM224" i="5" s="1"/>
  <c r="BM225" i="5" s="1"/>
  <c r="BM226" i="5" s="1"/>
  <c r="BM227" i="5" s="1"/>
  <c r="BM228" i="5" s="1"/>
  <c r="BM229" i="5" s="1"/>
  <c r="BM230" i="5" s="1"/>
  <c r="BM231" i="5" s="1"/>
  <c r="BM232" i="5" s="1"/>
  <c r="BM233" i="5" s="1"/>
  <c r="BM234" i="5" s="1"/>
  <c r="BM235" i="5" s="1"/>
  <c r="BM236" i="5" s="1"/>
  <c r="BM237" i="5" s="1"/>
  <c r="BM238" i="5" s="1"/>
  <c r="BM239" i="5" s="1"/>
  <c r="BM240" i="5" s="1"/>
  <c r="BM241" i="5" s="1"/>
  <c r="BM242" i="5" s="1"/>
  <c r="BM243" i="5" s="1"/>
  <c r="BM244" i="5" s="1"/>
  <c r="BM10" i="5"/>
  <c r="BM9" i="5"/>
  <c r="BM8" i="5"/>
  <c r="AP4" i="5" a="1"/>
  <c r="AP4" i="5" s="1"/>
  <c r="Z4" i="5"/>
  <c r="H4" i="5"/>
  <c r="BH2" i="5"/>
  <c r="AP2" i="5"/>
  <c r="K2" i="5"/>
  <c r="A2" i="5"/>
  <c r="W1" i="5"/>
  <c r="BM7" i="8"/>
  <c r="BM8" i="8" s="1"/>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58" i="8" s="1"/>
  <c r="BM59" i="8" s="1"/>
  <c r="AP4" i="8" a="1"/>
  <c r="AP4" i="8" s="1"/>
  <c r="Z4" i="8"/>
  <c r="H4" i="8"/>
  <c r="BH2" i="8"/>
  <c r="AT2" i="8"/>
  <c r="AP2" i="8"/>
  <c r="K2" i="8"/>
  <c r="A2" i="8"/>
  <c r="W1" i="8"/>
  <c r="AP4" i="6" a="1"/>
  <c r="AP4" i="6" s="1"/>
  <c r="Z4" i="6"/>
  <c r="H4" i="6"/>
  <c r="BH2" i="6"/>
  <c r="AP2" i="6"/>
  <c r="K2" i="6"/>
  <c r="A2" i="6"/>
  <c r="W1" i="6"/>
  <c r="AP4" i="3" a="1"/>
  <c r="AP4" i="3" s="1"/>
  <c r="Z4" i="3"/>
  <c r="H4" i="3"/>
  <c r="BH2" i="3"/>
  <c r="AP2" i="3"/>
  <c r="K2" i="3"/>
  <c r="A2" i="3"/>
  <c r="W1" i="3"/>
  <c r="L24" i="4"/>
  <c r="AP4" i="4" a="1"/>
  <c r="AP4" i="4" s="1"/>
  <c r="BH2" i="4"/>
  <c r="BH2" i="7" s="1"/>
  <c r="BC2" i="4"/>
  <c r="AY2" i="4"/>
  <c r="AT2" i="4"/>
  <c r="AT2" i="7" s="1"/>
  <c r="AP2" i="4"/>
  <c r="AP2" i="7" s="1"/>
  <c r="AY2" i="7" l="1"/>
  <c r="AY2" i="2"/>
  <c r="AY2" i="5"/>
  <c r="AY2" i="3"/>
  <c r="AY2" i="8"/>
  <c r="AY2" i="6"/>
  <c r="BC2" i="2"/>
  <c r="BC2" i="5"/>
  <c r="BC2" i="8"/>
  <c r="BC2" i="6"/>
  <c r="BC2" i="7"/>
  <c r="BC2" i="3"/>
  <c r="AP2" i="2"/>
  <c r="BH2" i="2"/>
  <c r="AT2" i="3"/>
  <c r="AT2" i="5"/>
  <c r="AT2" i="2"/>
</calcChain>
</file>

<file path=xl/sharedStrings.xml><?xml version="1.0" encoding="utf-8"?>
<sst xmlns="http://schemas.openxmlformats.org/spreadsheetml/2006/main" count="202" uniqueCount="85">
  <si>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</si>
  <si>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</si>
  <si>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</si>
  <si>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</si>
  <si>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</si>
  <si>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</si>
  <si>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</si>
  <si>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</si>
  <si>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</si>
  <si>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t>
    </r>
  </si>
  <si>
    <r>
      <rPr>
        <sz val="11"/>
        <color rgb="FF000000"/>
        <rFont val="Meiryo UI"/>
        <family val="2"/>
      </rPr>
      <t>概要設計</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</si>
  <si>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</si>
  <si>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</si>
  <si>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</si>
  <si>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新規作成</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</si>
  <si>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</si>
  <si>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</si>
  <si>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</si>
  <si>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</si>
  <si>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</si>
  <si>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</si>
  <si>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</si>
  <si>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</si>
  <si>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</si>
  <si>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</si>
  <si>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EditText</t>
    </r>
  </si>
  <si>
    <r>
      <rPr>
        <sz val="11"/>
        <color rgb="FF000000"/>
        <rFont val="Meiryo UI"/>
        <family val="2"/>
      </rPr>
      <t>ボタン</t>
    </r>
  </si>
  <si>
    <r>
      <rPr>
        <sz val="11"/>
        <color rgb="FF000000"/>
        <rFont val="Meiryo UI"/>
        <family val="2"/>
      </rPr>
      <t>Enable</t>
    </r>
  </si>
  <si>
    <r>
      <rPr>
        <sz val="11"/>
        <color rgb="FF000000"/>
        <rFont val="Meiryo UI"/>
        <family val="2"/>
      </rPr>
      <t>Login-01/EmployeeMaster</t>
    </r>
  </si>
  <si>
    <t>`</t>
  </si>
  <si>
    <r>
      <rPr>
        <sz val="11"/>
        <color rgb="FF000000"/>
        <rFont val="Meiryo UI"/>
        <family val="2"/>
      </rPr>
      <t>プロモーション情報検索機能</t>
    </r>
  </si>
  <si>
    <r>
      <rPr>
        <sz val="11"/>
        <color rgb="FF000000"/>
        <rFont val="Meiryo UI"/>
        <family val="2"/>
      </rPr>
      <t>‣新規作成</t>
    </r>
  </si>
  <si>
    <r>
      <rPr>
        <sz val="11"/>
        <color rgb="FF000000"/>
        <rFont val="Meiryo UI"/>
        <family val="2"/>
      </rPr>
      <t>‣修正</t>
    </r>
  </si>
  <si>
    <r>
      <rPr>
        <sz val="11"/>
        <color rgb="FF000000"/>
        <rFont val="Meiryo UI"/>
        <family val="2"/>
      </rPr>
      <t>・セットマッチの有効期間はプロモーション期間内のみ設定可能。</t>
    </r>
  </si>
  <si>
    <r>
      <rPr>
        <sz val="11"/>
        <color rgb="FF000000"/>
        <rFont val="Meiryo UI"/>
        <family val="2"/>
      </rPr>
      <t>・セットマッチ情報を設定する。</t>
    </r>
  </si>
  <si>
    <r>
      <rPr>
        <sz val="11"/>
        <color rgb="FF000000"/>
        <rFont val="Meiryo UI"/>
        <family val="2"/>
      </rPr>
      <t>セットマッチ設定機能</t>
    </r>
  </si>
  <si>
    <r>
      <rPr>
        <sz val="11"/>
        <color rgb="FF000000"/>
        <rFont val="Meiryo UI"/>
        <family val="2"/>
      </rPr>
      <t>セットマッチ情報検索機能</t>
    </r>
  </si>
  <si>
    <r>
      <rPr>
        <sz val="11"/>
        <color rgb="FF000000"/>
        <rFont val="Meiryo UI"/>
        <family val="2"/>
      </rPr>
      <t>セットマッチ設定機能（新規）</t>
    </r>
  </si>
  <si>
    <r>
      <rPr>
        <sz val="11"/>
        <color rgb="FF000000"/>
        <rFont val="Meiryo UI"/>
        <family val="2"/>
      </rPr>
      <t>セットマッチの製品グループの新規作成・編集機能</t>
    </r>
  </si>
  <si>
    <r>
      <rPr>
        <sz val="11"/>
        <color rgb="FF000000"/>
        <rFont val="Meiryo UI"/>
        <family val="2"/>
      </rPr>
      <t>セットマッチ削除機能</t>
    </r>
  </si>
  <si>
    <r>
      <rPr>
        <sz val="11"/>
        <color rgb="FF000000"/>
        <rFont val="Meiryo UI"/>
        <family val="2"/>
      </rPr>
      <t>セットマッチ情報保存機能</t>
    </r>
  </si>
  <si>
    <r>
      <rPr>
        <sz val="11"/>
        <color rgb="FF000000"/>
        <rFont val="Meiryo UI"/>
        <family val="2"/>
      </rPr>
      <t>95_セットマッチ設定</t>
    </r>
  </si>
  <si>
    <r>
      <rPr>
        <sz val="11"/>
        <color rgb="FF000000"/>
        <rFont val="Meiryo UI"/>
        <family val="2"/>
      </rPr>
      <t>・セットマッチ設定時にセットマッチの1つ製品グループの購入対象商品数を入力する必要がある。</t>
    </r>
  </si>
  <si>
    <r>
      <rPr>
        <sz val="11"/>
        <color rgb="FF000000"/>
        <rFont val="Meiryo UI"/>
        <family val="2"/>
      </rPr>
      <t>・売価、割引、値引によるセットマッチ設定可能。</t>
    </r>
  </si>
  <si>
    <r>
      <rPr>
        <sz val="11"/>
        <color rgb="FF000000"/>
        <rFont val="Meiryo UI"/>
        <family val="2"/>
      </rPr>
      <t>・削除：夜間実行セットマッチを削除するバッチ、または画面上で削除するバッチがある。</t>
    </r>
  </si>
  <si>
    <r>
      <rPr>
        <sz val="11"/>
        <color rgb="FFFFFFFF"/>
        <rFont val="Meiryo UI"/>
        <family val="3"/>
        <charset val="128"/>
      </rPr>
      <t>機能カテゴリー</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</si>
  <si>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</si>
  <si>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</si>
  <si>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</si>
  <si>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</si>
  <si>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</si>
  <si>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</si>
  <si>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</si>
  <si>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</si>
  <si>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</si>
  <si>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</si>
  <si>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</si>
  <si>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</si>
  <si>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</si>
  <si>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</si>
  <si>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r>
      <rPr>
        <sz val="11"/>
        <color rgb="FFFFFFFF"/>
        <rFont val="Meiryo UI"/>
        <family val="2"/>
      </rPr>
      <t>機能カテゴリー</t>
    </r>
  </si>
  <si>
    <r>
      <rPr>
        <sz val="11"/>
        <color rgb="FFFFFFFF"/>
        <rFont val="Meiryo UI"/>
        <family val="2"/>
      </rPr>
      <t>更新内容</t>
    </r>
  </si>
  <si>
    <t>SonMNT</t>
  </si>
  <si>
    <t>・プロモーションコードに紐づけられたセットマッチコードに従って商品を設定する。1つのセットマッチコードで複数の設定が可能。</t>
  </si>
  <si>
    <t>95_セットマッチ設定</t>
  </si>
  <si>
    <t>ｌ</t>
  </si>
  <si>
    <t>Android POS Control</t>
  </si>
  <si>
    <r>
      <rPr>
        <sz val="11"/>
        <color rgb="FF000000"/>
        <rFont val="Meiryo UI"/>
        <family val="2"/>
      </rPr>
      <t>Password</t>
    </r>
  </si>
  <si>
    <t>■画面項目定義</t>
  </si>
  <si>
    <t>画面項目ID</t>
  </si>
  <si>
    <t>項目</t>
  </si>
  <si>
    <t>Type</t>
  </si>
  <si>
    <t>多言語対象</t>
  </si>
  <si>
    <t>出力</t>
  </si>
  <si>
    <t>インプット</t>
  </si>
  <si>
    <t>備考</t>
  </si>
  <si>
    <t>マッピングデータ</t>
  </si>
  <si>
    <t>初期値</t>
  </si>
  <si>
    <t>表示コントロール</t>
  </si>
  <si>
    <t>Control enable</t>
  </si>
  <si>
    <t>数字</t>
  </si>
  <si>
    <t>文字</t>
  </si>
  <si>
    <t>API名</t>
  </si>
  <si>
    <t>User ID</t>
  </si>
  <si>
    <t>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</si>
</sst>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19"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1"/>
      <color rgb="FFFF0000"/>
      <name val="Meiryo UI"/>
      <family val="2"/>
    </font>
    <font>
      <sz val="11"/>
      <color rgb="FF00B05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s>
  <fills count="8">
    <fill>
      <patternFill patternType="none"/>
    </fill>
    <fill>
      <patternFill patternType="gray125"/>
    </fill>
    <fill>
      <patternFill patternType="solid">
        <fgColor rgb="FF333399"/>
        <bgColor indexed="64"/>
      </patternFill>
    </fill>
    <fill>
      <patternFill patternType="solid">
        <fgColor theme="7" tint="0.79995117038483843"/>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4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1" fillId="0" borderId="0">
      <alignment vertical="center"/>
    </xf>
  </cellStyleXfs>
  <cellXfs count="332">
    <xf numFmtId="0" fontId="0" fillId="0" borderId="0" xfId="0"/>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10" fillId="0" borderId="0" xfId="7" applyFont="1">
      <alignment vertical="center"/>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7" fillId="0" borderId="30"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14" fontId="10" fillId="0" borderId="30" xfId="0" applyNumberFormat="1" applyFont="1" applyBorder="1" applyAlignment="1">
      <alignment horizontal="center" vertical="center"/>
    </xf>
    <xf numFmtId="0" fontId="10" fillId="0" borderId="31" xfId="0" applyFont="1" applyBorder="1" applyAlignment="1">
      <alignment horizontal="center" vertical="center"/>
    </xf>
    <xf numFmtId="0" fontId="10" fillId="0" borderId="32"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0" fillId="0" borderId="30" xfId="0" applyFont="1" applyBorder="1" applyAlignment="1">
      <alignment horizontal="center" vertical="center"/>
    </xf>
    <xf numFmtId="0" fontId="10" fillId="0" borderId="33" xfId="0" applyFont="1" applyBorder="1"/>
    <xf numFmtId="0" fontId="10" fillId="0" borderId="34" xfId="0" applyFont="1" applyBorder="1"/>
    <xf numFmtId="0" fontId="10" fillId="0" borderId="22" xfId="0" applyFont="1" applyBorder="1"/>
    <xf numFmtId="0" fontId="10" fillId="0" borderId="31" xfId="0" applyFont="1" applyBorder="1"/>
    <xf numFmtId="0" fontId="10" fillId="0" borderId="32" xfId="0" applyFont="1" applyBorder="1"/>
    <xf numFmtId="0" fontId="10" fillId="0" borderId="3" xfId="0" applyFont="1" applyBorder="1"/>
    <xf numFmtId="0" fontId="10" fillId="0" borderId="5" xfId="0" applyFont="1" applyBorder="1"/>
    <xf numFmtId="0" fontId="10" fillId="0" borderId="30" xfId="0" applyFont="1" applyBorder="1"/>
    <xf numFmtId="0" fontId="10" fillId="0" borderId="2" xfId="0" applyFont="1" applyBorder="1"/>
    <xf numFmtId="0" fontId="10" fillId="0" borderId="35" xfId="0" applyFont="1" applyBorder="1"/>
    <xf numFmtId="0" fontId="10" fillId="0" borderId="36" xfId="0" applyFont="1" applyBorder="1"/>
    <xf numFmtId="0" fontId="10" fillId="0" borderId="37" xfId="0" applyFont="1" applyBorder="1"/>
    <xf numFmtId="14" fontId="9" fillId="0" borderId="30" xfId="0" applyNumberFormat="1"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30" xfId="0" applyFont="1" applyBorder="1" applyAlignment="1">
      <alignment horizontal="center" vertical="center"/>
    </xf>
    <xf numFmtId="0" fontId="9" fillId="0" borderId="33" xfId="0" applyFont="1" applyBorder="1"/>
    <xf numFmtId="0" fontId="9" fillId="0" borderId="34" xfId="0" applyFont="1" applyBorder="1"/>
    <xf numFmtId="0" fontId="9" fillId="0" borderId="22" xfId="0" applyFont="1" applyBorder="1"/>
    <xf numFmtId="0" fontId="9" fillId="0" borderId="31" xfId="0" applyFont="1" applyBorder="1"/>
    <xf numFmtId="0" fontId="9" fillId="0" borderId="32" xfId="0" applyFont="1" applyBorder="1"/>
    <xf numFmtId="0" fontId="9" fillId="0" borderId="3" xfId="0" applyFont="1" applyBorder="1"/>
    <xf numFmtId="0" fontId="9" fillId="0" borderId="5" xfId="0" applyFont="1" applyBorder="1"/>
    <xf numFmtId="0" fontId="9" fillId="0" borderId="30" xfId="0" applyFont="1" applyBorder="1"/>
    <xf numFmtId="0" fontId="9" fillId="0" borderId="2" xfId="0" applyFont="1" applyBorder="1"/>
    <xf numFmtId="0" fontId="9" fillId="0" borderId="35" xfId="0" applyFont="1" applyBorder="1"/>
    <xf numFmtId="0" fontId="9" fillId="0" borderId="36" xfId="0" applyFont="1" applyBorder="1"/>
    <xf numFmtId="0" fontId="9" fillId="0" borderId="37" xfId="0" applyFont="1" applyBorder="1"/>
    <xf numFmtId="0" fontId="6" fillId="0" borderId="30"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6" fillId="0" borderId="27" xfId="6" applyFont="1"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7" fillId="0" borderId="27" xfId="6" applyFont="1" applyBorder="1" applyAlignment="1">
      <alignment horizontal="center" vertical="center"/>
    </xf>
    <xf numFmtId="0" fontId="7" fillId="7" borderId="30" xfId="6" applyFont="1" applyFill="1" applyBorder="1" applyAlignment="1">
      <alignment vertical="center" wrapText="1"/>
    </xf>
    <xf numFmtId="0" fontId="6" fillId="7" borderId="32" xfId="6" applyFont="1" applyFill="1" applyBorder="1" applyAlignment="1">
      <alignment vertical="center"/>
    </xf>
    <xf numFmtId="0" fontId="6" fillId="7" borderId="1" xfId="6" applyFont="1" applyFill="1" applyBorder="1" applyAlignment="1">
      <alignment vertical="center"/>
    </xf>
    <xf numFmtId="0" fontId="6" fillId="7" borderId="4" xfId="6" applyFont="1" applyFill="1" applyBorder="1" applyAlignment="1">
      <alignment vertical="center"/>
    </xf>
    <xf numFmtId="0" fontId="6" fillId="7" borderId="2" xfId="6" applyFont="1" applyFill="1" applyBorder="1" applyAlignment="1">
      <alignment vertical="center"/>
    </xf>
    <xf numFmtId="0" fontId="6" fillId="7" borderId="5" xfId="6" applyFont="1" applyFill="1" applyBorder="1" applyAlignment="1">
      <alignment vertical="center"/>
    </xf>
    <xf numFmtId="0" fontId="7" fillId="7" borderId="30" xfId="6" applyFont="1" applyFill="1" applyBorder="1" applyAlignment="1">
      <alignment vertical="center"/>
    </xf>
    <xf numFmtId="0" fontId="6" fillId="7" borderId="31" xfId="6" applyFont="1" applyFill="1" applyBorder="1" applyAlignment="1">
      <alignment vertical="center"/>
    </xf>
    <xf numFmtId="0" fontId="6" fillId="7" borderId="0" xfId="6" applyFont="1" applyFill="1" applyAlignment="1">
      <alignment vertical="center"/>
    </xf>
    <xf numFmtId="0" fontId="6" fillId="7" borderId="3" xfId="6" applyFont="1" applyFill="1" applyBorder="1" applyAlignment="1">
      <alignment vertical="center"/>
    </xf>
    <xf numFmtId="0" fontId="6" fillId="7" borderId="44" xfId="6" applyFont="1" applyFill="1" applyBorder="1" applyAlignment="1">
      <alignment vertical="center" shrinkToFit="1"/>
    </xf>
    <xf numFmtId="0" fontId="6" fillId="7" borderId="46" xfId="6" applyFont="1" applyFill="1" applyBorder="1" applyAlignment="1">
      <alignment vertical="center" shrinkToFit="1"/>
    </xf>
    <xf numFmtId="0" fontId="6" fillId="7" borderId="45" xfId="6" applyFont="1" applyFill="1" applyBorder="1" applyAlignment="1">
      <alignment vertical="center" shrinkToFit="1"/>
    </xf>
    <xf numFmtId="0" fontId="7" fillId="7" borderId="44" xfId="6" applyFont="1" applyFill="1" applyBorder="1" applyAlignment="1">
      <alignment vertical="center" wrapText="1"/>
    </xf>
    <xf numFmtId="0" fontId="7" fillId="7" borderId="46" xfId="6" applyFont="1" applyFill="1" applyBorder="1" applyAlignment="1">
      <alignment vertical="center" wrapText="1"/>
    </xf>
    <xf numFmtId="0" fontId="7" fillId="7" borderId="45" xfId="6" applyFont="1" applyFill="1" applyBorder="1" applyAlignment="1">
      <alignment vertical="center" wrapText="1"/>
    </xf>
    <xf numFmtId="0" fontId="7" fillId="5" borderId="27" xfId="6" applyFont="1" applyFill="1" applyBorder="1" applyAlignment="1">
      <alignment vertical="center"/>
    </xf>
    <xf numFmtId="0" fontId="6" fillId="5" borderId="28" xfId="6" applyFont="1" applyFill="1" applyBorder="1" applyAlignment="1">
      <alignment vertical="center"/>
    </xf>
    <xf numFmtId="0" fontId="6" fillId="5" borderId="47" xfId="6" applyFont="1" applyFill="1" applyBorder="1" applyAlignment="1">
      <alignment vertical="center"/>
    </xf>
    <xf numFmtId="0" fontId="7" fillId="5" borderId="48" xfId="6" applyFont="1" applyFill="1" applyBorder="1" applyAlignment="1">
      <alignment vertical="center"/>
    </xf>
    <xf numFmtId="0" fontId="6" fillId="5" borderId="29" xfId="6" applyFont="1" applyFill="1" applyBorder="1" applyAlignment="1">
      <alignment vertical="center"/>
    </xf>
    <xf numFmtId="0" fontId="6" fillId="0" borderId="33" xfId="6" applyFont="1" applyBorder="1" applyAlignment="1">
      <alignment horizontal="center" vertical="center"/>
    </xf>
    <xf numFmtId="0" fontId="6" fillId="0" borderId="22" xfId="6" applyFont="1" applyBorder="1" applyAlignment="1">
      <alignment horizontal="center" vertical="center"/>
    </xf>
    <xf numFmtId="0" fontId="6" fillId="0" borderId="33" xfId="6" applyFont="1" applyBorder="1" applyAlignment="1">
      <alignment vertical="center"/>
    </xf>
    <xf numFmtId="0" fontId="6" fillId="0" borderId="34" xfId="6" applyFont="1" applyBorder="1" applyAlignment="1">
      <alignment vertical="center"/>
    </xf>
    <xf numFmtId="0" fontId="6" fillId="0" borderId="22" xfId="6" applyFont="1" applyBorder="1" applyAlignment="1">
      <alignment vertical="center"/>
    </xf>
    <xf numFmtId="0" fontId="6" fillId="0" borderId="38" xfId="6" applyFont="1" applyBorder="1" applyAlignment="1">
      <alignment vertical="center"/>
    </xf>
    <xf numFmtId="0" fontId="6" fillId="0" borderId="39" xfId="6" applyFont="1" applyBorder="1" applyAlignment="1">
      <alignment vertical="center"/>
    </xf>
    <xf numFmtId="0" fontId="6" fillId="0" borderId="40" xfId="6" applyFont="1" applyBorder="1" applyAlignment="1">
      <alignment vertical="center"/>
    </xf>
    <xf numFmtId="0" fontId="7" fillId="0" borderId="33" xfId="6" applyFont="1" applyBorder="1" applyAlignment="1">
      <alignment horizontal="center" vertical="center"/>
    </xf>
    <xf numFmtId="0" fontId="6" fillId="0" borderId="34" xfId="6" applyFont="1" applyBorder="1" applyAlignment="1">
      <alignment horizontal="center" vertical="center"/>
    </xf>
    <xf numFmtId="0" fontId="7" fillId="4" borderId="27" xfId="6" applyFont="1" applyFill="1" applyBorder="1" applyAlignment="1">
      <alignment vertical="center"/>
    </xf>
    <xf numFmtId="0" fontId="6" fillId="4" borderId="28" xfId="6" applyFont="1" applyFill="1" applyBorder="1" applyAlignment="1">
      <alignment vertical="center"/>
    </xf>
    <xf numFmtId="0" fontId="6" fillId="4" borderId="29" xfId="6" applyFont="1" applyFill="1" applyBorder="1" applyAlignment="1">
      <alignment vertical="center"/>
    </xf>
    <xf numFmtId="0" fontId="7" fillId="6" borderId="30" xfId="6" applyFont="1" applyFill="1" applyBorder="1" applyAlignment="1">
      <alignment vertical="center"/>
    </xf>
    <xf numFmtId="0" fontId="6" fillId="6" borderId="31" xfId="6" applyFont="1" applyFill="1" applyBorder="1" applyAlignment="1">
      <alignment vertical="center"/>
    </xf>
    <xf numFmtId="0" fontId="6" fillId="6" borderId="32" xfId="6" applyFont="1" applyFill="1" applyBorder="1" applyAlignment="1">
      <alignment vertical="center"/>
    </xf>
    <xf numFmtId="0" fontId="6" fillId="6" borderId="1" xfId="6" applyFont="1" applyFill="1" applyBorder="1" applyAlignment="1">
      <alignment vertical="center"/>
    </xf>
    <xf numFmtId="0" fontId="6" fillId="6" borderId="0" xfId="6" applyFont="1" applyFill="1" applyAlignment="1">
      <alignment vertical="center"/>
    </xf>
    <xf numFmtId="0" fontId="6" fillId="6" borderId="4" xfId="6" applyFont="1" applyFill="1" applyBorder="1" applyAlignment="1">
      <alignment vertical="center"/>
    </xf>
    <xf numFmtId="0" fontId="6" fillId="6" borderId="2" xfId="6" applyFont="1" applyFill="1" applyBorder="1" applyAlignment="1">
      <alignment vertical="center"/>
    </xf>
    <xf numFmtId="0" fontId="6" fillId="6" borderId="3" xfId="6" applyFont="1" applyFill="1" applyBorder="1" applyAlignment="1">
      <alignment vertical="center"/>
    </xf>
    <xf numFmtId="0" fontId="6" fillId="6" borderId="5" xfId="6" applyFont="1" applyFill="1" applyBorder="1" applyAlignment="1">
      <alignment vertical="center"/>
    </xf>
    <xf numFmtId="0" fontId="7" fillId="4" borderId="27" xfId="6" applyFont="1" applyFill="1" applyBorder="1"/>
    <xf numFmtId="0" fontId="7" fillId="4" borderId="28" xfId="6" applyFont="1" applyFill="1" applyBorder="1"/>
    <xf numFmtId="0" fontId="7" fillId="4" borderId="29" xfId="6" applyFont="1" applyFill="1" applyBorder="1"/>
    <xf numFmtId="0" fontId="7" fillId="4" borderId="30" xfId="6" applyFont="1" applyFill="1" applyBorder="1" applyAlignment="1">
      <alignment vertical="center"/>
    </xf>
    <xf numFmtId="0" fontId="6" fillId="4" borderId="31" xfId="6" applyFont="1" applyFill="1" applyBorder="1" applyAlignment="1">
      <alignment vertical="center"/>
    </xf>
    <xf numFmtId="0" fontId="6" fillId="4" borderId="32" xfId="6" applyFont="1" applyFill="1" applyBorder="1" applyAlignment="1">
      <alignment vertical="center"/>
    </xf>
    <xf numFmtId="0" fontId="6" fillId="4" borderId="2" xfId="6" applyFont="1" applyFill="1" applyBorder="1" applyAlignment="1">
      <alignment vertical="center"/>
    </xf>
    <xf numFmtId="0" fontId="6" fillId="4" borderId="3" xfId="6" applyFont="1" applyFill="1" applyBorder="1" applyAlignment="1">
      <alignment vertical="center"/>
    </xf>
    <xf numFmtId="0" fontId="6" fillId="4" borderId="5" xfId="6" applyFont="1" applyFill="1" applyBorder="1" applyAlignment="1">
      <alignment vertical="center"/>
    </xf>
    <xf numFmtId="0" fontId="6" fillId="5" borderId="30" xfId="6" applyFont="1" applyFill="1" applyBorder="1" applyAlignment="1">
      <alignment vertical="center" wrapText="1"/>
    </xf>
    <xf numFmtId="0" fontId="6" fillId="5" borderId="2" xfId="6" applyFont="1" applyFill="1" applyBorder="1" applyAlignment="1">
      <alignment vertical="center" wrapText="1"/>
    </xf>
    <xf numFmtId="0" fontId="7" fillId="5" borderId="44" xfId="6" applyFont="1" applyFill="1" applyBorder="1" applyAlignment="1">
      <alignment vertical="center" wrapText="1"/>
    </xf>
    <xf numFmtId="0" fontId="7" fillId="5" borderId="45" xfId="6" applyFont="1" applyFill="1" applyBorder="1" applyAlignment="1">
      <alignment vertical="center" wrapText="1"/>
    </xf>
    <xf numFmtId="0" fontId="7" fillId="5" borderId="32" xfId="6" applyFont="1" applyFill="1" applyBorder="1" applyAlignment="1">
      <alignment vertical="center" wrapText="1"/>
    </xf>
    <xf numFmtId="0" fontId="7" fillId="5" borderId="5" xfId="6" applyFont="1" applyFill="1" applyBorder="1" applyAlignment="1">
      <alignment vertical="center" wrapText="1"/>
    </xf>
    <xf numFmtId="0" fontId="7" fillId="0" borderId="33" xfId="6" applyFont="1" applyBorder="1" applyAlignment="1">
      <alignment horizontal="center" vertical="center" wrapText="1"/>
    </xf>
    <xf numFmtId="0" fontId="7" fillId="0" borderId="34"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3" xfId="6" applyFont="1" applyBorder="1" applyAlignment="1">
      <alignment horizontal="left" vertical="center"/>
    </xf>
    <xf numFmtId="0" fontId="6" fillId="0" borderId="34" xfId="6" applyFont="1" applyBorder="1" applyAlignment="1">
      <alignment horizontal="left" vertical="center"/>
    </xf>
    <xf numFmtId="0" fontId="6" fillId="0" borderId="22" xfId="6" applyFont="1" applyBorder="1" applyAlignment="1">
      <alignment horizontal="left" vertical="center"/>
    </xf>
    <xf numFmtId="0" fontId="6" fillId="0" borderId="38" xfId="6" applyFont="1" applyBorder="1" applyAlignment="1">
      <alignment horizontal="center" vertical="center"/>
    </xf>
    <xf numFmtId="0" fontId="6" fillId="0" borderId="40" xfId="6" applyFont="1" applyBorder="1" applyAlignment="1">
      <alignment horizontal="center" vertical="center"/>
    </xf>
    <xf numFmtId="0" fontId="6" fillId="0" borderId="38" xfId="6" quotePrefix="1" applyFont="1" applyBorder="1" applyAlignment="1">
      <alignment vertical="center" wrapText="1"/>
    </xf>
    <xf numFmtId="0" fontId="6" fillId="0" borderId="39" xfId="6" quotePrefix="1" applyFont="1" applyBorder="1" applyAlignment="1">
      <alignment vertical="center" wrapText="1"/>
    </xf>
    <xf numFmtId="0" fontId="6" fillId="0" borderId="40" xfId="6" quotePrefix="1" applyFont="1" applyBorder="1" applyAlignment="1">
      <alignment vertical="center" wrapText="1"/>
    </xf>
    <xf numFmtId="0" fontId="7" fillId="0" borderId="38" xfId="6" applyFont="1" applyBorder="1" applyAlignment="1">
      <alignment horizontal="center" vertical="center"/>
    </xf>
    <xf numFmtId="0" fontId="6" fillId="0" borderId="39" xfId="6" applyFont="1" applyBorder="1" applyAlignment="1">
      <alignment horizontal="center" vertical="center"/>
    </xf>
    <xf numFmtId="0" fontId="6" fillId="0" borderId="38" xfId="6" quotePrefix="1" applyFont="1" applyBorder="1" applyAlignment="1">
      <alignment vertical="center"/>
    </xf>
    <xf numFmtId="0" fontId="6" fillId="0" borderId="39" xfId="6" quotePrefix="1" applyFont="1" applyBorder="1" applyAlignment="1">
      <alignment vertical="center"/>
    </xf>
    <xf numFmtId="0" fontId="6" fillId="0" borderId="40" xfId="6" quotePrefix="1" applyFont="1" applyBorder="1" applyAlignment="1">
      <alignment vertical="center"/>
    </xf>
    <xf numFmtId="0" fontId="7" fillId="0" borderId="38" xfId="6" quotePrefix="1" applyFont="1" applyBorder="1" applyAlignment="1">
      <alignment horizontal="center" vertical="center" wrapText="1"/>
    </xf>
    <xf numFmtId="0" fontId="7" fillId="0" borderId="39" xfId="6" applyFont="1" applyBorder="1" applyAlignment="1">
      <alignment horizontal="center" vertical="center" wrapText="1"/>
    </xf>
    <xf numFmtId="0" fontId="7" fillId="0" borderId="40" xfId="6" applyFont="1" applyBorder="1" applyAlignment="1">
      <alignment horizontal="center" vertical="center" wrapText="1"/>
    </xf>
    <xf numFmtId="0" fontId="6" fillId="0" borderId="38" xfId="6" applyFont="1" applyBorder="1" applyAlignment="1">
      <alignment horizontal="left" vertical="center"/>
    </xf>
    <xf numFmtId="0" fontId="6" fillId="0" borderId="39" xfId="6" applyFont="1" applyBorder="1" applyAlignment="1">
      <alignment horizontal="left" vertical="center"/>
    </xf>
    <xf numFmtId="0" fontId="6" fillId="0" borderId="40" xfId="6" applyFont="1" applyBorder="1" applyAlignment="1">
      <alignment horizontal="left" vertical="center"/>
    </xf>
    <xf numFmtId="0" fontId="8" fillId="0" borderId="38" xfId="6" applyFont="1" applyBorder="1" applyAlignment="1">
      <alignment vertical="center" wrapText="1"/>
    </xf>
    <xf numFmtId="0" fontId="7" fillId="0" borderId="38" xfId="6" quotePrefix="1" applyFont="1" applyBorder="1" applyAlignment="1">
      <alignment horizontal="center" vertical="center"/>
    </xf>
    <xf numFmtId="0" fontId="7" fillId="0" borderId="39" xfId="6" applyFont="1" applyBorder="1" applyAlignment="1">
      <alignment horizontal="center" vertical="center"/>
    </xf>
    <xf numFmtId="0" fontId="7" fillId="0" borderId="40" xfId="6" applyFont="1" applyBorder="1" applyAlignment="1">
      <alignment horizontal="center" vertical="center"/>
    </xf>
    <xf numFmtId="0" fontId="6" fillId="0" borderId="38" xfId="6" quotePrefix="1" applyFont="1" applyBorder="1" applyAlignment="1">
      <alignment horizontal="center" vertical="center"/>
    </xf>
    <xf numFmtId="0" fontId="6" fillId="0" borderId="35" xfId="6" applyFont="1" applyBorder="1" applyAlignment="1">
      <alignment horizontal="center"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5" xfId="6" applyFont="1" applyBorder="1" applyAlignment="1">
      <alignment horizontal="left"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6" fillId="0" borderId="35" xfId="6" quotePrefix="1"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5" xfId="6"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7" fillId="0" borderId="35" xfId="6" quotePrefix="1"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12" fillId="2" borderId="27" xfId="0" applyFont="1" applyFill="1" applyBorder="1" applyAlignment="1">
      <alignment horizontal="center" vertical="center"/>
    </xf>
    <xf numFmtId="0" fontId="12" fillId="2" borderId="28" xfId="0" applyFont="1" applyFill="1" applyBorder="1" applyAlignment="1">
      <alignment horizontal="center" vertical="center"/>
    </xf>
    <xf numFmtId="0" fontId="12" fillId="2" borderId="29" xfId="0" applyFont="1" applyFill="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2" xfId="0" applyFont="1" applyBorder="1" applyAlignment="1">
      <alignment horizontal="center" vertical="center"/>
    </xf>
    <xf numFmtId="0" fontId="16" fillId="0" borderId="0" xfId="0" applyFont="1"/>
    <xf numFmtId="0" fontId="16" fillId="0" borderId="31" xfId="0" applyFont="1" applyBorder="1" applyAlignment="1">
      <alignment horizontal="center" vertical="center"/>
    </xf>
    <xf numFmtId="0" fontId="16" fillId="0" borderId="32" xfId="0" applyFont="1" applyBorder="1" applyAlignment="1">
      <alignment horizontal="center" vertical="center"/>
    </xf>
    <xf numFmtId="0" fontId="16" fillId="0" borderId="30" xfId="0"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14" fontId="16" fillId="0" borderId="30" xfId="0" applyNumberFormat="1" applyFont="1" applyBorder="1" applyAlignment="1">
      <alignment horizontal="center" vertical="center"/>
    </xf>
    <xf numFmtId="14" fontId="16" fillId="0" borderId="31" xfId="0" applyNumberFormat="1" applyFont="1" applyBorder="1" applyAlignment="1">
      <alignment horizontal="center" vertical="center"/>
    </xf>
    <xf numFmtId="14" fontId="16" fillId="0" borderId="32" xfId="0" applyNumberFormat="1" applyFont="1" applyBorder="1" applyAlignment="1">
      <alignment horizontal="center" vertical="center"/>
    </xf>
    <xf numFmtId="2" fontId="16" fillId="0" borderId="30" xfId="0" applyNumberFormat="1" applyFont="1" applyBorder="1" applyAlignment="1">
      <alignment horizontal="center" vertical="center"/>
    </xf>
    <xf numFmtId="2" fontId="16" fillId="0" borderId="31" xfId="0" applyNumberFormat="1" applyFont="1" applyBorder="1" applyAlignment="1">
      <alignment horizontal="center" vertical="center"/>
    </xf>
    <xf numFmtId="2" fontId="16" fillId="0" borderId="32" xfId="0" applyNumberFormat="1"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14" fontId="16" fillId="0" borderId="2" xfId="0" applyNumberFormat="1" applyFont="1" applyBorder="1" applyAlignment="1">
      <alignment horizontal="center" vertical="center"/>
    </xf>
    <xf numFmtId="14" fontId="16" fillId="0" borderId="3" xfId="0" applyNumberFormat="1" applyFont="1" applyBorder="1" applyAlignment="1">
      <alignment horizontal="center" vertical="center"/>
    </xf>
    <xf numFmtId="14" fontId="16" fillId="0" borderId="5" xfId="0" applyNumberFormat="1" applyFont="1" applyBorder="1" applyAlignment="1">
      <alignment horizontal="center" vertical="center"/>
    </xf>
    <xf numFmtId="2" fontId="16" fillId="0" borderId="2"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5" xfId="0" applyNumberFormat="1" applyFont="1" applyBorder="1" applyAlignment="1">
      <alignment horizontal="center" vertical="center"/>
    </xf>
    <xf numFmtId="0" fontId="16" fillId="0" borderId="27" xfId="0" applyFont="1" applyBorder="1" applyAlignment="1">
      <alignment horizontal="center" vertical="center"/>
    </xf>
    <xf numFmtId="0" fontId="16" fillId="0" borderId="28" xfId="0" applyFont="1" applyBorder="1" applyAlignment="1">
      <alignment horizontal="center" vertical="center"/>
    </xf>
    <xf numFmtId="0" fontId="16" fillId="0" borderId="29" xfId="0" applyFont="1" applyBorder="1" applyAlignment="1">
      <alignment horizontal="center" vertical="center"/>
    </xf>
    <xf numFmtId="0" fontId="16" fillId="0" borderId="2" xfId="0" applyFont="1" applyBorder="1"/>
    <xf numFmtId="0" fontId="16" fillId="0" borderId="3" xfId="0" applyFont="1" applyBorder="1"/>
    <xf numFmtId="0" fontId="16" fillId="0" borderId="5" xfId="0" applyFont="1" applyBorder="1"/>
    <xf numFmtId="0" fontId="16" fillId="0" borderId="1" xfId="0" applyFont="1" applyBorder="1"/>
    <xf numFmtId="0" fontId="16" fillId="0" borderId="4" xfId="0" applyFont="1" applyBorder="1"/>
    <xf numFmtId="0" fontId="16" fillId="0" borderId="7" xfId="0" applyFont="1" applyBorder="1"/>
    <xf numFmtId="0" fontId="16" fillId="0" borderId="8" xfId="0" applyFont="1" applyBorder="1"/>
    <xf numFmtId="0" fontId="16" fillId="0" borderId="11" xfId="0" applyFont="1" applyBorder="1"/>
    <xf numFmtId="0" fontId="16" fillId="0" borderId="6" xfId="0" applyFont="1" applyBorder="1"/>
    <xf numFmtId="0" fontId="17" fillId="0" borderId="0" xfId="0" applyFont="1" applyAlignment="1">
      <alignment horizontal="center" vertical="center"/>
    </xf>
    <xf numFmtId="0" fontId="18" fillId="0" borderId="0" xfId="0" applyFont="1" applyAlignment="1">
      <alignment horizontal="center" vertical="center"/>
    </xf>
    <xf numFmtId="0" fontId="16" fillId="0" borderId="12" xfId="0" applyFont="1" applyBorder="1"/>
    <xf numFmtId="0" fontId="16" fillId="0" borderId="14" xfId="0" applyFont="1" applyBorder="1"/>
    <xf numFmtId="0" fontId="16" fillId="0" borderId="15" xfId="0" applyFont="1" applyBorder="1"/>
    <xf numFmtId="0" fontId="16" fillId="0" borderId="9" xfId="0" applyFont="1" applyBorder="1"/>
    <xf numFmtId="0" fontId="16" fillId="0" borderId="10" xfId="0" applyFont="1" applyBorder="1"/>
    <xf numFmtId="0" fontId="16" fillId="0" borderId="13" xfId="0" applyFont="1" applyBorder="1"/>
    <xf numFmtId="0" fontId="12" fillId="2" borderId="30" xfId="0" applyFont="1" applyFill="1" applyBorder="1" applyAlignment="1">
      <alignment horizontal="center" vertical="center"/>
    </xf>
    <xf numFmtId="0" fontId="12" fillId="2" borderId="31" xfId="0" applyFont="1" applyFill="1" applyBorder="1" applyAlignment="1">
      <alignment horizontal="center" vertical="center"/>
    </xf>
    <xf numFmtId="0" fontId="12" fillId="2" borderId="32"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2" fillId="2" borderId="5" xfId="0" applyFont="1" applyFill="1" applyBorder="1" applyAlignment="1">
      <alignment horizontal="center" vertical="center"/>
    </xf>
    <xf numFmtId="0" fontId="16" fillId="0" borderId="1" xfId="0" applyFont="1" applyBorder="1" applyAlignment="1">
      <alignment horizontal="center" vertical="center"/>
    </xf>
    <xf numFmtId="0" fontId="16" fillId="0" borderId="0" xfId="0" applyFont="1" applyAlignment="1">
      <alignment horizontal="center" vertical="center"/>
    </xf>
    <xf numFmtId="0" fontId="16" fillId="0" borderId="4" xfId="0" applyFont="1" applyBorder="1" applyAlignment="1">
      <alignment horizontal="center" vertical="center"/>
    </xf>
    <xf numFmtId="0" fontId="12" fillId="2" borderId="0" xfId="0" applyFont="1" applyFill="1"/>
    <xf numFmtId="0" fontId="16" fillId="0" borderId="33" xfId="0" applyFont="1" applyBorder="1"/>
    <xf numFmtId="0" fontId="16" fillId="0" borderId="34" xfId="0" applyFont="1" applyBorder="1"/>
    <xf numFmtId="0" fontId="16" fillId="0" borderId="22" xfId="0" applyFont="1" applyBorder="1"/>
    <xf numFmtId="0" fontId="16" fillId="0" borderId="31" xfId="0" applyFont="1" applyBorder="1"/>
    <xf numFmtId="0" fontId="16" fillId="0" borderId="32" xfId="0" applyFont="1" applyBorder="1"/>
    <xf numFmtId="0" fontId="16" fillId="0" borderId="30" xfId="0" applyFont="1" applyBorder="1"/>
    <xf numFmtId="0" fontId="16" fillId="0" borderId="35" xfId="0" applyFont="1" applyBorder="1"/>
    <xf numFmtId="0" fontId="16" fillId="0" borderId="36" xfId="0" applyFont="1" applyBorder="1"/>
    <xf numFmtId="0" fontId="16" fillId="0" borderId="37" xfId="0" applyFont="1" applyBorder="1"/>
    <xf numFmtId="0" fontId="16" fillId="0" borderId="3" xfId="0" applyFont="1" applyBorder="1"/>
    <xf numFmtId="0" fontId="16" fillId="0" borderId="5" xfId="0" applyFont="1" applyBorder="1"/>
    <xf numFmtId="0" fontId="16" fillId="0" borderId="2" xfId="0" applyFont="1" applyBorder="1"/>
    <xf numFmtId="0" fontId="0" fillId="0" borderId="0" xfId="0" applyFont="1"/>
    <xf numFmtId="0" fontId="0" fillId="0" borderId="30" xfId="0" applyFont="1" applyBorder="1" applyAlignment="1">
      <alignment horizontal="center" vertical="center"/>
    </xf>
    <xf numFmtId="0" fontId="0" fillId="0" borderId="31" xfId="0" applyFont="1" applyBorder="1" applyAlignment="1">
      <alignment horizontal="center" vertical="center"/>
    </xf>
    <xf numFmtId="0" fontId="0" fillId="0" borderId="32" xfId="0" applyFont="1" applyBorder="1" applyAlignment="1">
      <alignment horizontal="center" vertical="center"/>
    </xf>
    <xf numFmtId="14" fontId="0" fillId="0" borderId="30" xfId="0" applyNumberFormat="1" applyFont="1" applyBorder="1" applyAlignment="1">
      <alignment horizontal="center" vertical="center"/>
    </xf>
    <xf numFmtId="14" fontId="0" fillId="0" borderId="31" xfId="0" applyNumberFormat="1" applyFont="1" applyBorder="1" applyAlignment="1">
      <alignment horizontal="center" vertical="center"/>
    </xf>
    <xf numFmtId="14" fontId="0" fillId="0" borderId="32" xfId="0" applyNumberFormat="1" applyFont="1" applyBorder="1" applyAlignment="1">
      <alignment horizontal="center"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5" xfId="0" applyFont="1" applyBorder="1" applyAlignment="1">
      <alignment horizontal="center" vertical="center"/>
    </xf>
    <xf numFmtId="14" fontId="0" fillId="0" borderId="2" xfId="0" applyNumberFormat="1" applyFont="1" applyBorder="1" applyAlignment="1">
      <alignment horizontal="center" vertical="center"/>
    </xf>
    <xf numFmtId="14" fontId="0" fillId="0" borderId="3" xfId="0" applyNumberFormat="1" applyFont="1" applyBorder="1" applyAlignment="1">
      <alignment horizontal="center" vertical="center"/>
    </xf>
    <xf numFmtId="14" fontId="0" fillId="0" borderId="5" xfId="0" applyNumberFormat="1" applyFont="1" applyBorder="1" applyAlignment="1">
      <alignment horizontal="center" vertical="center"/>
    </xf>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0" fontId="0" fillId="0" borderId="2" xfId="0" applyFont="1" applyBorder="1"/>
    <xf numFmtId="0" fontId="0" fillId="0" borderId="3" xfId="0" applyFont="1" applyBorder="1"/>
    <xf numFmtId="0" fontId="0" fillId="0" borderId="5" xfId="0" applyFont="1" applyBorder="1"/>
    <xf numFmtId="0" fontId="0" fillId="0" borderId="1" xfId="0" applyFont="1" applyBorder="1" applyAlignment="1">
      <alignment vertical="center"/>
    </xf>
    <xf numFmtId="0" fontId="0" fillId="0" borderId="18" xfId="0" applyFont="1" applyBorder="1" applyAlignment="1">
      <alignment vertical="center"/>
    </xf>
    <xf numFmtId="0" fontId="0" fillId="0" borderId="0" xfId="0" applyFont="1" applyAlignment="1">
      <alignment vertical="center"/>
    </xf>
    <xf numFmtId="0" fontId="0" fillId="0" borderId="19" xfId="0" applyFont="1" applyBorder="1" applyAlignment="1">
      <alignment vertical="center"/>
    </xf>
    <xf numFmtId="0" fontId="0" fillId="0" borderId="4" xfId="0" applyFont="1" applyBorder="1" applyAlignment="1">
      <alignment vertical="center"/>
    </xf>
    <xf numFmtId="0" fontId="0" fillId="0" borderId="3" xfId="0" applyFont="1" applyBorder="1" applyAlignment="1">
      <alignment vertical="center"/>
    </xf>
    <xf numFmtId="0" fontId="0" fillId="0" borderId="20" xfId="0" applyFont="1" applyBorder="1" applyAlignment="1">
      <alignment vertical="center"/>
    </xf>
    <xf numFmtId="0" fontId="0" fillId="0" borderId="21" xfId="0" applyFont="1" applyBorder="1" applyAlignment="1">
      <alignment vertical="center"/>
    </xf>
    <xf numFmtId="0" fontId="0" fillId="0" borderId="5" xfId="0" applyFont="1" applyBorder="1" applyAlignment="1">
      <alignment vertical="center"/>
    </xf>
    <xf numFmtId="0" fontId="7" fillId="0" borderId="0" xfId="0" applyFont="1"/>
    <xf numFmtId="0" fontId="16" fillId="0" borderId="0" xfId="7" applyFont="1">
      <alignment vertical="center"/>
    </xf>
    <xf numFmtId="0" fontId="16" fillId="0" borderId="0" xfId="0" quotePrefix="1" applyFont="1"/>
    <xf numFmtId="0" fontId="16" fillId="0" borderId="1" xfId="7" applyFont="1" applyBorder="1">
      <alignment vertical="center"/>
    </xf>
    <xf numFmtId="0" fontId="16" fillId="0" borderId="4" xfId="7" applyFont="1" applyBorder="1">
      <alignment vertical="center"/>
    </xf>
    <xf numFmtId="0" fontId="16" fillId="0" borderId="2" xfId="7" applyFont="1" applyBorder="1">
      <alignment vertical="center"/>
    </xf>
    <xf numFmtId="0" fontId="16" fillId="0" borderId="3" xfId="7" applyFont="1" applyBorder="1">
      <alignment vertical="center"/>
    </xf>
    <xf numFmtId="0" fontId="16" fillId="0" borderId="5" xfId="7" applyFont="1" applyBorder="1">
      <alignment vertical="center"/>
    </xf>
    <xf numFmtId="0" fontId="13" fillId="2" borderId="0" xfId="0" applyFont="1" applyFill="1" applyAlignment="1">
      <alignment vertical="center"/>
    </xf>
    <xf numFmtId="0" fontId="12" fillId="2" borderId="16" xfId="0" applyFont="1" applyFill="1" applyBorder="1" applyAlignment="1">
      <alignment vertical="center"/>
    </xf>
    <xf numFmtId="0" fontId="12" fillId="2" borderId="0" xfId="0" applyFont="1" applyFill="1" applyAlignment="1">
      <alignment vertical="center"/>
    </xf>
    <xf numFmtId="0" fontId="12" fillId="2" borderId="17" xfId="0" applyFont="1" applyFill="1" applyBorder="1" applyAlignment="1">
      <alignment vertical="center"/>
    </xf>
    <xf numFmtId="0" fontId="16" fillId="0" borderId="18" xfId="0" applyFont="1" applyBorder="1"/>
    <xf numFmtId="0" fontId="16" fillId="0" borderId="19" xfId="7" applyFont="1" applyBorder="1">
      <alignment vertical="center"/>
    </xf>
    <xf numFmtId="0" fontId="16" fillId="0" borderId="19" xfId="0" applyFont="1" applyBorder="1"/>
    <xf numFmtId="0" fontId="16" fillId="0" borderId="18" xfId="7" applyFont="1" applyBorder="1">
      <alignment vertical="center"/>
    </xf>
    <xf numFmtId="0" fontId="16" fillId="3" borderId="18" xfId="7" applyFont="1" applyFill="1" applyBorder="1">
      <alignment vertical="center"/>
    </xf>
    <xf numFmtId="0" fontId="16" fillId="3" borderId="0" xfId="7" applyFont="1" applyFill="1">
      <alignment vertical="center"/>
    </xf>
    <xf numFmtId="0" fontId="16" fillId="3" borderId="19" xfId="7" applyFont="1" applyFill="1" applyBorder="1">
      <alignment vertical="center"/>
    </xf>
    <xf numFmtId="0" fontId="16" fillId="0" borderId="20" xfId="7" applyFont="1" applyBorder="1">
      <alignment vertical="center"/>
    </xf>
    <xf numFmtId="0" fontId="16" fillId="0" borderId="21" xfId="7" applyFont="1" applyBorder="1">
      <alignment vertical="center"/>
    </xf>
    <xf numFmtId="0" fontId="12" fillId="2" borderId="27" xfId="6" applyFont="1" applyFill="1" applyBorder="1" applyAlignment="1">
      <alignment horizontal="center" vertical="center"/>
    </xf>
    <xf numFmtId="0" fontId="12" fillId="2" borderId="28" xfId="6" applyFont="1" applyFill="1" applyBorder="1" applyAlignment="1">
      <alignment horizontal="center" vertical="center"/>
    </xf>
    <xf numFmtId="0" fontId="12" fillId="2" borderId="29" xfId="6" applyFont="1" applyFill="1" applyBorder="1" applyAlignment="1">
      <alignment horizontal="center" vertical="center"/>
    </xf>
    <xf numFmtId="0" fontId="14" fillId="0" borderId="30" xfId="6" applyFont="1" applyBorder="1" applyAlignment="1">
      <alignment horizontal="center" vertical="center"/>
    </xf>
    <xf numFmtId="0" fontId="14" fillId="0" borderId="31" xfId="6" applyFont="1" applyBorder="1" applyAlignment="1">
      <alignment horizontal="center" vertical="center"/>
    </xf>
    <xf numFmtId="0" fontId="14" fillId="0" borderId="32" xfId="6" applyFont="1" applyBorder="1" applyAlignment="1">
      <alignment horizontal="center" vertical="center"/>
    </xf>
    <xf numFmtId="0" fontId="14" fillId="0" borderId="1" xfId="6" applyFont="1" applyBorder="1" applyAlignment="1">
      <alignment horizontal="center" vertical="center"/>
    </xf>
    <xf numFmtId="0" fontId="14" fillId="0" borderId="0" xfId="6" applyFont="1" applyAlignment="1">
      <alignment horizontal="center" vertical="center"/>
    </xf>
    <xf numFmtId="0" fontId="14" fillId="0" borderId="4" xfId="6" applyFont="1" applyBorder="1" applyAlignment="1">
      <alignment horizontal="center" vertical="center"/>
    </xf>
    <xf numFmtId="0" fontId="14" fillId="0" borderId="2" xfId="6" applyFont="1" applyBorder="1" applyAlignment="1">
      <alignment horizontal="center" vertical="center"/>
    </xf>
    <xf numFmtId="0" fontId="14" fillId="0" borderId="3" xfId="6" applyFont="1" applyBorder="1" applyAlignment="1">
      <alignment horizontal="center" vertical="center"/>
    </xf>
    <xf numFmtId="0" fontId="14" fillId="0" borderId="5" xfId="6" applyFont="1" applyBorder="1" applyAlignment="1">
      <alignment horizontal="center" vertical="center"/>
    </xf>
    <xf numFmtId="0" fontId="16" fillId="0" borderId="0" xfId="6" applyFont="1" applyAlignment="1">
      <alignment vertical="center"/>
    </xf>
    <xf numFmtId="0" fontId="16" fillId="0" borderId="33" xfId="6" applyFont="1" applyBorder="1" applyAlignment="1">
      <alignment vertical="center" wrapText="1"/>
    </xf>
    <xf numFmtId="0" fontId="16" fillId="0" borderId="34" xfId="6" applyFont="1" applyBorder="1" applyAlignment="1">
      <alignment vertical="center" wrapText="1"/>
    </xf>
    <xf numFmtId="0" fontId="16" fillId="0" borderId="22" xfId="6" applyFont="1" applyBorder="1" applyAlignment="1">
      <alignment vertical="center" wrapText="1"/>
    </xf>
    <xf numFmtId="0" fontId="16" fillId="0" borderId="39" xfId="6" applyFont="1" applyBorder="1" applyAlignment="1">
      <alignment vertical="center"/>
    </xf>
    <xf numFmtId="0" fontId="16" fillId="0" borderId="40" xfId="6" applyFont="1" applyBorder="1" applyAlignment="1">
      <alignment vertical="center"/>
    </xf>
    <xf numFmtId="0" fontId="16" fillId="0" borderId="38" xfId="6" applyFont="1" applyBorder="1" applyAlignment="1">
      <alignment vertical="center"/>
    </xf>
    <xf numFmtId="0" fontId="16" fillId="0" borderId="41" xfId="6" quotePrefix="1" applyFont="1" applyBorder="1" applyAlignment="1">
      <alignment vertical="center"/>
    </xf>
    <xf numFmtId="0" fontId="16" fillId="0" borderId="42" xfId="6" quotePrefix="1" applyFont="1" applyBorder="1" applyAlignment="1">
      <alignment vertical="center"/>
    </xf>
    <xf numFmtId="0" fontId="16" fillId="0" borderId="43" xfId="6" quotePrefix="1" applyFont="1" applyBorder="1" applyAlignment="1">
      <alignment vertical="center"/>
    </xf>
    <xf numFmtId="0" fontId="16" fillId="0" borderId="41" xfId="6" applyFont="1" applyBorder="1" applyAlignment="1">
      <alignment vertical="center"/>
    </xf>
    <xf numFmtId="0" fontId="16" fillId="0" borderId="42" xfId="6" applyFont="1" applyBorder="1" applyAlignment="1">
      <alignment vertical="center"/>
    </xf>
    <xf numFmtId="0" fontId="16" fillId="0" borderId="43" xfId="6" applyFont="1" applyBorder="1" applyAlignment="1">
      <alignment vertical="center"/>
    </xf>
    <xf numFmtId="0" fontId="16" fillId="0" borderId="35" xfId="6" applyFont="1" applyBorder="1" applyAlignment="1">
      <alignment vertical="center"/>
    </xf>
    <xf numFmtId="0" fontId="16" fillId="0" borderId="36" xfId="6" applyFont="1" applyBorder="1" applyAlignment="1">
      <alignment vertical="center"/>
    </xf>
    <xf numFmtId="0" fontId="16" fillId="0" borderId="37" xfId="6" applyFont="1" applyBorder="1" applyAlignment="1">
      <alignment vertical="center"/>
    </xf>
    <xf numFmtId="0" fontId="16" fillId="0" borderId="20" xfId="0" applyFont="1" applyBorder="1"/>
    <xf numFmtId="0" fontId="16" fillId="0" borderId="21" xfId="0" applyFont="1" applyBorder="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処理機能</a:t>
          </a:r>
          <a:endParaRPr lang="en-US" altLang="ja-JP"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a:ea typeface="Meiryo UI"/>
            </a:rPr>
            <a:t>セカンドディスプレイ</a:t>
          </a:r>
          <a:endParaRPr lang="en-US" altLang="ja-JP" sz="1100">
            <a:solidFill>
              <a:srgbClr val="000000"/>
            </a:solidFill>
            <a:latin typeface="Meiryo UI" panose="020B0604030504040204" pitchFamily="50" charset="-128"/>
            <a:ea typeface="Meiryo UI" panose="020B0604030504040204" pitchFamily="50"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a:ea typeface="Meiryo UI"/>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a:ea typeface="Meiryo UI"/>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a:ea typeface="Meiryo UI"/>
            </a:rPr>
            <a:t>スキャナー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API連携</a:t>
          </a:r>
          <a:endParaRPr lang="en-US" altLang="ja-JP" sz="1100">
            <a:solidFill>
              <a:srgbClr val="000000"/>
            </a:solidFill>
            <a:latin typeface="Meiryo UI" panose="020B0604030504040204" pitchFamily="50" charset="-128"/>
            <a:ea typeface="Meiryo UI" panose="020B0604030504040204" pitchFamily="50"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a:ea typeface="Meiryo UI"/>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a:ea typeface="Meiryo UI"/>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a:ea typeface="Meiryo UI"/>
            </a:rPr>
            <a:t>磁気カードリーダー</a:t>
          </a:r>
        </a:p>
        <a:p>
          <a:pPr>
            <a:defRPr lang="ja-JP" altLang="ja-JP" sz="1100" b="0" i="0" u="none" baseline="0">
              <a:solidFill>
                <a:srgbClr val="000000"/>
              </a:solidFill>
              <a:latin typeface="Meiryo UI"/>
              <a:ea typeface="Meiryo UI"/>
            </a:defRPr>
          </a:pPr>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 エフケイシステム　両面双方向読み取り MJR-100</a:t>
          </a:r>
        </a:p>
        <a:p>
          <a:pPr>
            <a:defRPr lang="ja-JP" altLang="en-US" sz="1100" b="0" i="0" u="none" baseline="0">
              <a:solidFill>
                <a:srgbClr val="000000"/>
              </a:solidFill>
              <a:latin typeface="Meiryo UI"/>
              <a:ea typeface="Meiryo UI"/>
            </a:defRPr>
          </a:pPr>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50" charset="-128"/>
              <a:ea typeface="Meiryo UI" panose="020B0604030504040204" pitchFamily="50" charset="-128"/>
              <a:cs typeface="+mn-cs"/>
            </a:rPr>
            <a:t>●●</a:t>
          </a:r>
          <a:endParaRPr lang="en-US" altLang="ja-JP" sz="1100" b="0" i="0" u="none">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端末内DB</a:t>
          </a:r>
          <a:endParaRPr lang="ja-JP" altLang="en-US"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a:ea typeface="Meiryo UI"/>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a:ea typeface="Meiryo UI"/>
            </a:rPr>
            <a:t>最新</a:t>
          </a:r>
        </a:p>
      </xdr:txBody>
    </xdr:sp>
    <xdr:clientData/>
  </xdr:twoCellAnchor>
  <xdr:twoCellAnchor>
    <xdr:from>
      <xdr:col>40</xdr:col>
      <xdr:colOff>235323</xdr:colOff>
      <xdr:row>56</xdr:row>
      <xdr:rowOff>11205</xdr:rowOff>
    </xdr:from>
    <xdr:to>
      <xdr:col>60</xdr:col>
      <xdr:colOff>235322</xdr:colOff>
      <xdr:row>59</xdr:row>
      <xdr:rowOff>201705</xdr:rowOff>
    </xdr:to>
    <xdr:sp macro="" textlink="" fLocksText="0">
      <xdr:nvSpPr>
        <xdr:cNvPr id="32" name="吹き出し: 線 22">
          <a:extLst>
            <a:ext uri="{FF2B5EF4-FFF2-40B4-BE49-F238E27FC236}">
              <a16:creationId xmlns:a16="http://schemas.microsoft.com/office/drawing/2014/main" id="{00000000-0008-0000-0200-000020000000}"/>
            </a:ext>
          </a:extLst>
        </xdr:cNvPr>
        <xdr:cNvSpPr/>
      </xdr:nvSpPr>
      <xdr:spPr>
        <a:xfrm>
          <a:off x="10906125" y="10801350"/>
          <a:ext cx="5334000" cy="790575"/>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他の機能への連携</a:t>
          </a:r>
        </a:p>
      </xdr:txBody>
    </xdr:sp>
    <xdr:clientData/>
  </xdr:twoCellAnchor>
  <xdr:twoCellAnchor>
    <xdr:from>
      <xdr:col>31</xdr:col>
      <xdr:colOff>235323</xdr:colOff>
      <xdr:row>56</xdr:row>
      <xdr:rowOff>11206</xdr:rowOff>
    </xdr:from>
    <xdr:to>
      <xdr:col>38</xdr:col>
      <xdr:colOff>449</xdr:colOff>
      <xdr:row>59</xdr:row>
      <xdr:rowOff>169289</xdr:rowOff>
    </xdr:to>
    <xdr:sp macro="" textlink="" fLocksText="0">
      <xdr:nvSpPr>
        <xdr:cNvPr id="33" name="四角形: 角を丸くする 21">
          <a:extLst>
            <a:ext uri="{FF2B5EF4-FFF2-40B4-BE49-F238E27FC236}">
              <a16:creationId xmlns:a16="http://schemas.microsoft.com/office/drawing/2014/main" id="{00000000-0008-0000-0200-000021000000}"/>
            </a:ext>
          </a:extLst>
        </xdr:cNvPr>
        <xdr:cNvSpPr/>
      </xdr:nvSpPr>
      <xdr:spPr>
        <a:xfrm>
          <a:off x="8505825" y="10801350"/>
          <a:ext cx="1628775"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1</xdr:colOff>
      <xdr:row>162</xdr:row>
      <xdr:rowOff>0</xdr:rowOff>
    </xdr:from>
    <xdr:to>
      <xdr:col>61</xdr:col>
      <xdr:colOff>0</xdr:colOff>
      <xdr:row>164</xdr:row>
      <xdr:rowOff>168088</xdr:rowOff>
    </xdr:to>
    <xdr:sp macro="" textlink="" fLocksText="0">
      <xdr:nvSpPr>
        <xdr:cNvPr id="15" name="吹き出し: 線 12">
          <a:extLst>
            <a:ext uri="{FF2B5EF4-FFF2-40B4-BE49-F238E27FC236}">
              <a16:creationId xmlns:a16="http://schemas.microsoft.com/office/drawing/2014/main" id="{00000000-0008-0000-0400-00000F000000}"/>
            </a:ext>
          </a:extLst>
        </xdr:cNvPr>
        <xdr:cNvSpPr/>
      </xdr:nvSpPr>
      <xdr:spPr>
        <a:xfrm>
          <a:off x="10134600" y="30975300"/>
          <a:ext cx="6134100" cy="552450"/>
        </a:xfrm>
        <a:prstGeom prst="borderCallout1">
          <a:avLst>
            <a:gd name="adj1" fmla="val 69934"/>
            <a:gd name="adj2" fmla="val 263"/>
            <a:gd name="adj3" fmla="val 67171"/>
            <a:gd name="adj4" fmla="val -13433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セットマッチを新規作成してレコードを生成し、レコードの行IDを画面に表示する。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1</xdr:col>
      <xdr:colOff>217714</xdr:colOff>
      <xdr:row>8</xdr:row>
      <xdr:rowOff>0</xdr:rowOff>
    </xdr:from>
    <xdr:to>
      <xdr:col>8</xdr:col>
      <xdr:colOff>16023</xdr:colOff>
      <xdr:row>12</xdr:row>
      <xdr:rowOff>1200</xdr:rowOff>
    </xdr:to>
    <xdr:sp macro="" textlink="" fLocksText="0">
      <xdr:nvSpPr>
        <xdr:cNvPr id="25" name="四角形: 角を丸くする 21">
          <a:extLst>
            <a:ext uri="{FF2B5EF4-FFF2-40B4-BE49-F238E27FC236}">
              <a16:creationId xmlns:a16="http://schemas.microsoft.com/office/drawing/2014/main" id="{00000000-0008-0000-0400-000019000000}"/>
            </a:ext>
          </a:extLst>
        </xdr:cNvPr>
        <xdr:cNvSpPr/>
      </xdr:nvSpPr>
      <xdr:spPr>
        <a:xfrm>
          <a:off x="485775" y="1638300"/>
          <a:ext cx="16668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1</xdr:col>
      <xdr:colOff>217714</xdr:colOff>
      <xdr:row>12</xdr:row>
      <xdr:rowOff>0</xdr:rowOff>
    </xdr:from>
    <xdr:to>
      <xdr:col>8</xdr:col>
      <xdr:colOff>15572</xdr:colOff>
      <xdr:row>14</xdr:row>
      <xdr:rowOff>0</xdr:rowOff>
    </xdr:to>
    <xdr:sp macro="" textlink="" fLocksText="0">
      <xdr:nvSpPr>
        <xdr:cNvPr id="26" name="四角形: 角を丸くする 1101">
          <a:extLst>
            <a:ext uri="{FF2B5EF4-FFF2-40B4-BE49-F238E27FC236}">
              <a16:creationId xmlns:a16="http://schemas.microsoft.com/office/drawing/2014/main" id="{00000000-0008-0000-0400-00001A000000}"/>
            </a:ext>
          </a:extLst>
        </xdr:cNvPr>
        <xdr:cNvSpPr/>
      </xdr:nvSpPr>
      <xdr:spPr>
        <a:xfrm>
          <a:off x="485775" y="2400300"/>
          <a:ext cx="166687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95_セットマッチ設定</a:t>
          </a:r>
        </a:p>
      </xdr:txBody>
    </xdr:sp>
    <xdr:clientData/>
  </xdr:twoCellAnchor>
  <xdr:twoCellAnchor>
    <xdr:from>
      <xdr:col>1</xdr:col>
      <xdr:colOff>217715</xdr:colOff>
      <xdr:row>17</xdr:row>
      <xdr:rowOff>0</xdr:rowOff>
    </xdr:from>
    <xdr:to>
      <xdr:col>8</xdr:col>
      <xdr:colOff>15572</xdr:colOff>
      <xdr:row>21</xdr:row>
      <xdr:rowOff>0</xdr:rowOff>
    </xdr:to>
    <xdr:sp macro="" textlink="" fLocksText="0">
      <xdr:nvSpPr>
        <xdr:cNvPr id="27" name="正方形/長方形 1">
          <a:extLst>
            <a:ext uri="{FF2B5EF4-FFF2-40B4-BE49-F238E27FC236}">
              <a16:creationId xmlns:a16="http://schemas.microsoft.com/office/drawing/2014/main" id="{00000000-0008-0000-0400-00001B000000}"/>
            </a:ext>
          </a:extLst>
        </xdr:cNvPr>
        <xdr:cNvSpPr/>
      </xdr:nvSpPr>
      <xdr:spPr>
        <a:xfrm>
          <a:off x="485775" y="3352800"/>
          <a:ext cx="166687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SC9501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セットマッチ設定画面</a:t>
          </a:r>
        </a:p>
      </xdr:txBody>
    </xdr:sp>
    <xdr:clientData/>
  </xdr:twoCellAnchor>
  <xdr:twoCellAnchor>
    <xdr:from>
      <xdr:col>4</xdr:col>
      <xdr:colOff>239108</xdr:colOff>
      <xdr:row>14</xdr:row>
      <xdr:rowOff>0</xdr:rowOff>
    </xdr:from>
    <xdr:to>
      <xdr:col>4</xdr:col>
      <xdr:colOff>239108</xdr:colOff>
      <xdr:row>17</xdr:row>
      <xdr:rowOff>0</xdr:rowOff>
    </xdr:to>
    <xdr:cxnSp macro="">
      <xdr:nvCxnSpPr>
        <xdr:cNvPr id="28" name="直線矢印コネクタ 1010">
          <a:extLst>
            <a:ext uri="{FF2B5EF4-FFF2-40B4-BE49-F238E27FC236}">
              <a16:creationId xmlns:a16="http://schemas.microsoft.com/office/drawing/2014/main" id="{00000000-0008-0000-0400-00001C000000}"/>
            </a:ext>
          </a:extLst>
        </xdr:cNvPr>
        <xdr:cNvCxnSpPr>
          <a:stCxn id="26" idx="2"/>
          <a:endCxn id="27" idx="0"/>
        </xdr:cNvCxnSpPr>
      </xdr:nvCxnSpPr>
      <xdr:spPr>
        <a:xfrm>
          <a:off x="1304925" y="2781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35</xdr:row>
      <xdr:rowOff>1</xdr:rowOff>
    </xdr:from>
    <xdr:to>
      <xdr:col>61</xdr:col>
      <xdr:colOff>0</xdr:colOff>
      <xdr:row>39</xdr:row>
      <xdr:rowOff>33617</xdr:rowOff>
    </xdr:to>
    <xdr:sp macro="" textlink="" fLocksText="0">
      <xdr:nvSpPr>
        <xdr:cNvPr id="29" name="吹き出し: 線 2">
          <a:extLst>
            <a:ext uri="{FF2B5EF4-FFF2-40B4-BE49-F238E27FC236}">
              <a16:creationId xmlns:a16="http://schemas.microsoft.com/office/drawing/2014/main" id="{00000000-0008-0000-0400-00001D000000}"/>
            </a:ext>
          </a:extLst>
        </xdr:cNvPr>
        <xdr:cNvSpPr/>
      </xdr:nvSpPr>
      <xdr:spPr>
        <a:xfrm>
          <a:off x="10134600" y="6781800"/>
          <a:ext cx="6134100" cy="800100"/>
        </a:xfrm>
        <a:prstGeom prst="borderCallout1">
          <a:avLst>
            <a:gd name="adj1" fmla="val 48210"/>
            <a:gd name="adj2" fmla="val 56"/>
            <a:gd name="adj3" fmla="val 48453"/>
            <a:gd name="adj4" fmla="val -13920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・「決定」ボタン：MD0101_店舗一覧モダールでユーザーが選択したstoreIdを使用してSC9501_セットマッチ設定画面の機能を実行する。</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・「取消」ボタン：モダールを閉じてSCX101_メインメニュー画面に戻る。</a:t>
          </a:r>
        </a:p>
      </xdr:txBody>
    </xdr:sp>
    <xdr:clientData/>
  </xdr:twoCellAnchor>
  <xdr:twoCellAnchor>
    <xdr:from>
      <xdr:col>1</xdr:col>
      <xdr:colOff>217714</xdr:colOff>
      <xdr:row>29</xdr:row>
      <xdr:rowOff>12700</xdr:rowOff>
    </xdr:from>
    <xdr:to>
      <xdr:col>8</xdr:col>
      <xdr:colOff>15572</xdr:colOff>
      <xdr:row>33</xdr:row>
      <xdr:rowOff>12700</xdr:rowOff>
    </xdr:to>
    <xdr:sp macro="" textlink="" fLocksText="0">
      <xdr:nvSpPr>
        <xdr:cNvPr id="30" name="正方形/長方形 19">
          <a:extLst>
            <a:ext uri="{FF2B5EF4-FFF2-40B4-BE49-F238E27FC236}">
              <a16:creationId xmlns:a16="http://schemas.microsoft.com/office/drawing/2014/main" id="{00000000-0008-0000-0400-00001E000000}"/>
            </a:ext>
          </a:extLst>
        </xdr:cNvPr>
        <xdr:cNvSpPr/>
      </xdr:nvSpPr>
      <xdr:spPr>
        <a:xfrm>
          <a:off x="485775" y="5648325"/>
          <a:ext cx="1666875"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MD0101</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店舗一覧モダール</a:t>
          </a:r>
        </a:p>
      </xdr:txBody>
    </xdr:sp>
    <xdr:clientData/>
  </xdr:twoCellAnchor>
  <xdr:twoCellAnchor>
    <xdr:from>
      <xdr:col>38</xdr:col>
      <xdr:colOff>0</xdr:colOff>
      <xdr:row>28</xdr:row>
      <xdr:rowOff>1</xdr:rowOff>
    </xdr:from>
    <xdr:to>
      <xdr:col>61</xdr:col>
      <xdr:colOff>0</xdr:colOff>
      <xdr:row>34</xdr:row>
      <xdr:rowOff>0</xdr:rowOff>
    </xdr:to>
    <xdr:sp macro="" textlink="" fLocksText="0">
      <xdr:nvSpPr>
        <xdr:cNvPr id="31" name="吹き出し: 線 2">
          <a:extLst>
            <a:ext uri="{FF2B5EF4-FFF2-40B4-BE49-F238E27FC236}">
              <a16:creationId xmlns:a16="http://schemas.microsoft.com/office/drawing/2014/main" id="{00000000-0008-0000-0400-00001F000000}"/>
            </a:ext>
          </a:extLst>
        </xdr:cNvPr>
        <xdr:cNvSpPr/>
      </xdr:nvSpPr>
      <xdr:spPr>
        <a:xfrm>
          <a:off x="10134600" y="5448300"/>
          <a:ext cx="6134100" cy="1143000"/>
        </a:xfrm>
        <a:prstGeom prst="borderCallout1">
          <a:avLst>
            <a:gd name="adj1" fmla="val 49730"/>
            <a:gd name="adj2" fmla="val 242"/>
            <a:gd name="adj3" fmla="val 50430"/>
            <a:gd name="adj4" fmla="val -13008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店舗一覧表示モダール</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1つの店舗のみ選択可能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顧客が選択した店舗を保存する。セットマッチ設定画面に戻ると、観客が選択した店舗を表示する。SCX0101_メインメニュー画面に戻ると、顧客が選択した店舗をクリアする。</a:t>
          </a:r>
        </a:p>
      </xdr:txBody>
    </xdr:sp>
    <xdr:clientData/>
  </xdr:twoCellAnchor>
  <xdr:twoCellAnchor>
    <xdr:from>
      <xdr:col>4</xdr:col>
      <xdr:colOff>239108</xdr:colOff>
      <xdr:row>21</xdr:row>
      <xdr:rowOff>0</xdr:rowOff>
    </xdr:from>
    <xdr:to>
      <xdr:col>4</xdr:col>
      <xdr:colOff>239108</xdr:colOff>
      <xdr:row>23</xdr:row>
      <xdr:rowOff>13607</xdr:rowOff>
    </xdr:to>
    <xdr:cxnSp macro="">
      <xdr:nvCxnSpPr>
        <xdr:cNvPr id="32" name="直線矢印コネクタ 1010">
          <a:extLst>
            <a:ext uri="{FF2B5EF4-FFF2-40B4-BE49-F238E27FC236}">
              <a16:creationId xmlns:a16="http://schemas.microsoft.com/office/drawing/2014/main" id="{00000000-0008-0000-0400-000020000000}"/>
            </a:ext>
          </a:extLst>
        </xdr:cNvPr>
        <xdr:cNvCxnSpPr>
          <a:stCxn id="27" idx="2"/>
          <a:endCxn id="38" idx="0"/>
        </xdr:cNvCxnSpPr>
      </xdr:nvCxnSpPr>
      <xdr:spPr>
        <a:xfrm>
          <a:off x="1304925" y="41148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235322</xdr:colOff>
      <xdr:row>36</xdr:row>
      <xdr:rowOff>2</xdr:rowOff>
    </xdr:from>
    <xdr:to>
      <xdr:col>5</xdr:col>
      <xdr:colOff>235322</xdr:colOff>
      <xdr:row>38</xdr:row>
      <xdr:rowOff>2</xdr:rowOff>
    </xdr:to>
    <xdr:sp macro="" textlink="" fLocksText="0">
      <xdr:nvSpPr>
        <xdr:cNvPr id="33" name="四角形: 角を丸くする 1101">
          <a:extLst>
            <a:ext uri="{FF2B5EF4-FFF2-40B4-BE49-F238E27FC236}">
              <a16:creationId xmlns:a16="http://schemas.microsoft.com/office/drawing/2014/main" id="{00000000-0008-0000-0400-000021000000}"/>
            </a:ext>
          </a:extLst>
        </xdr:cNvPr>
        <xdr:cNvSpPr/>
      </xdr:nvSpPr>
      <xdr:spPr>
        <a:xfrm>
          <a:off x="1038225" y="6972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決定</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1</xdr:colOff>
      <xdr:row>36</xdr:row>
      <xdr:rowOff>2</xdr:rowOff>
    </xdr:from>
    <xdr:to>
      <xdr:col>13</xdr:col>
      <xdr:colOff>0</xdr:colOff>
      <xdr:row>38</xdr:row>
      <xdr:rowOff>0</xdr:rowOff>
    </xdr:to>
    <xdr:sp macro="" textlink="" fLocksText="0">
      <xdr:nvSpPr>
        <xdr:cNvPr id="34" name="四角形: 角を丸くする 1101">
          <a:extLst>
            <a:ext uri="{FF2B5EF4-FFF2-40B4-BE49-F238E27FC236}">
              <a16:creationId xmlns:a16="http://schemas.microsoft.com/office/drawing/2014/main" id="{00000000-0008-0000-0400-000022000000}"/>
            </a:ext>
          </a:extLst>
        </xdr:cNvPr>
        <xdr:cNvSpPr/>
      </xdr:nvSpPr>
      <xdr:spPr>
        <a:xfrm>
          <a:off x="2933700" y="6972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4</xdr:col>
      <xdr:colOff>234305</xdr:colOff>
      <xdr:row>33</xdr:row>
      <xdr:rowOff>12700</xdr:rowOff>
    </xdr:from>
    <xdr:to>
      <xdr:col>4</xdr:col>
      <xdr:colOff>235323</xdr:colOff>
      <xdr:row>36</xdr:row>
      <xdr:rowOff>2</xdr:rowOff>
    </xdr:to>
    <xdr:cxnSp macro="">
      <xdr:nvCxnSpPr>
        <xdr:cNvPr id="35" name="直線矢印コネクタ 1010">
          <a:extLst>
            <a:ext uri="{FF2B5EF4-FFF2-40B4-BE49-F238E27FC236}">
              <a16:creationId xmlns:a16="http://schemas.microsoft.com/office/drawing/2014/main" id="{00000000-0008-0000-0400-000023000000}"/>
            </a:ext>
          </a:extLst>
        </xdr:cNvPr>
        <xdr:cNvCxnSpPr>
          <a:stCxn id="30" idx="2"/>
          <a:endCxn id="33" idx="0"/>
        </xdr:cNvCxnSpPr>
      </xdr:nvCxnSpPr>
      <xdr:spPr>
        <a:xfrm>
          <a:off x="1304925" y="6410325"/>
          <a:ext cx="0" cy="5619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234305</xdr:colOff>
      <xdr:row>33</xdr:row>
      <xdr:rowOff>12700</xdr:rowOff>
    </xdr:from>
    <xdr:to>
      <xdr:col>12</xdr:col>
      <xdr:colOff>1</xdr:colOff>
      <xdr:row>36</xdr:row>
      <xdr:rowOff>2</xdr:rowOff>
    </xdr:to>
    <xdr:cxnSp macro="">
      <xdr:nvCxnSpPr>
        <xdr:cNvPr id="36" name="Connector: Elbow 35">
          <a:extLst>
            <a:ext uri="{FF2B5EF4-FFF2-40B4-BE49-F238E27FC236}">
              <a16:creationId xmlns:a16="http://schemas.microsoft.com/office/drawing/2014/main" id="{00000000-0008-0000-0400-000024000000}"/>
            </a:ext>
          </a:extLst>
        </xdr:cNvPr>
        <xdr:cNvCxnSpPr>
          <a:stCxn id="30" idx="2"/>
          <a:endCxn id="34" idx="0"/>
        </xdr:cNvCxnSpPr>
      </xdr:nvCxnSpPr>
      <xdr:spPr>
        <a:xfrm rot="16200000" flipH="1">
          <a:off x="1304925" y="6410325"/>
          <a:ext cx="1895475" cy="561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1</xdr:colOff>
      <xdr:row>23</xdr:row>
      <xdr:rowOff>1</xdr:rowOff>
    </xdr:from>
    <xdr:to>
      <xdr:col>13</xdr:col>
      <xdr:colOff>1</xdr:colOff>
      <xdr:row>25</xdr:row>
      <xdr:rowOff>0</xdr:rowOff>
    </xdr:to>
    <xdr:sp macro="" textlink="" fLocksText="0">
      <xdr:nvSpPr>
        <xdr:cNvPr id="37" name="四角形: 角を丸くする 1101">
          <a:extLst>
            <a:ext uri="{FF2B5EF4-FFF2-40B4-BE49-F238E27FC236}">
              <a16:creationId xmlns:a16="http://schemas.microsoft.com/office/drawing/2014/main" id="{00000000-0008-0000-0400-000025000000}"/>
            </a:ext>
          </a:extLst>
        </xdr:cNvPr>
        <xdr:cNvSpPr/>
      </xdr:nvSpPr>
      <xdr:spPr>
        <a:xfrm>
          <a:off x="2400300" y="4495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b" anchorCtr="0">
          <a:prstTxWarp prst="textNoShape">
            <a:avLst/>
          </a:prstTxWarp>
          <a:noAutofit/>
        </a:bodyPr>
        <a:lstStyle/>
        <a:p>
          <a:pPr marL="0" indent="0" algn="ctr"/>
          <a:endParaRPr lang="ja-JP" altLang="en-US" sz="800">
            <a:solidFill>
              <a:schemeClr val="bg1"/>
            </a:solidFill>
            <a:latin typeface="Meiryo UI" panose="020B0604030504040204" pitchFamily="34" charset="-128"/>
            <a:ea typeface="Meiryo UI" panose="020B0604030504040204" pitchFamily="34" charset="-128"/>
            <a:cs typeface="+mn-cs"/>
          </a:endParaRPr>
        </a:p>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a:latin typeface="Meiryo UI" panose="020B0604030504040204" pitchFamily="34" charset="-128"/>
              <a:ea typeface="Meiryo UI" panose="020B0604030504040204" pitchFamily="34" charset="-128"/>
            </a:rPr>
            <a:t>
</a:t>
          </a:r>
          <a:r>
            <a:rPr lang="en-US" altLang="ja-JP" sz="800" b="0" i="0" u="none" baseline="0">
              <a:solidFill>
                <a:srgbClr val="FFFFFF"/>
              </a:solidFill>
              <a:latin typeface="Meiryo UI" panose="020B0604030504040204" pitchFamily="34" charset="-128"/>
              <a:ea typeface="Meiryo UI" panose="020B0604030504040204" pitchFamily="34" charset="-128"/>
            </a:rPr>
            <a:t>店舗情報（ヘッダー）</a:t>
          </a:r>
        </a:p>
      </xdr:txBody>
    </xdr:sp>
    <xdr:clientData/>
  </xdr:twoCellAnchor>
  <xdr:twoCellAnchor>
    <xdr:from>
      <xdr:col>2</xdr:col>
      <xdr:colOff>224846</xdr:colOff>
      <xdr:row>23</xdr:row>
      <xdr:rowOff>13607</xdr:rowOff>
    </xdr:from>
    <xdr:to>
      <xdr:col>7</xdr:col>
      <xdr:colOff>8441</xdr:colOff>
      <xdr:row>24</xdr:row>
      <xdr:rowOff>0</xdr:rowOff>
    </xdr:to>
    <xdr:sp macro="" textlink="" fLocksText="0">
      <xdr:nvSpPr>
        <xdr:cNvPr id="38" name="四角形: 角を丸くする 1101">
          <a:extLst>
            <a:ext uri="{FF2B5EF4-FFF2-40B4-BE49-F238E27FC236}">
              <a16:creationId xmlns:a16="http://schemas.microsoft.com/office/drawing/2014/main" id="{00000000-0008-0000-0400-000026000000}"/>
            </a:ext>
          </a:extLst>
        </xdr:cNvPr>
        <xdr:cNvSpPr/>
      </xdr:nvSpPr>
      <xdr:spPr>
        <a:xfrm>
          <a:off x="762000" y="4505325"/>
          <a:ext cx="1114425"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234307</xdr:colOff>
      <xdr:row>20</xdr:row>
      <xdr:rowOff>190499</xdr:rowOff>
    </xdr:from>
    <xdr:to>
      <xdr:col>11</xdr:col>
      <xdr:colOff>2</xdr:colOff>
      <xdr:row>23</xdr:row>
      <xdr:rowOff>0</xdr:rowOff>
    </xdr:to>
    <xdr:cxnSp macro="">
      <xdr:nvCxnSpPr>
        <xdr:cNvPr id="39" name="Connector: Elbow 38">
          <a:extLst>
            <a:ext uri="{FF2B5EF4-FFF2-40B4-BE49-F238E27FC236}">
              <a16:creationId xmlns:a16="http://schemas.microsoft.com/office/drawing/2014/main" id="{00000000-0008-0000-0400-000027000000}"/>
            </a:ext>
          </a:extLst>
        </xdr:cNvPr>
        <xdr:cNvCxnSpPr>
          <a:stCxn id="27" idx="2"/>
          <a:endCxn id="37" idx="0"/>
        </xdr:cNvCxnSpPr>
      </xdr:nvCxnSpPr>
      <xdr:spPr>
        <a:xfrm rot="16200000" flipH="1">
          <a:off x="1304925" y="4114800"/>
          <a:ext cx="16287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234305</xdr:colOff>
      <xdr:row>25</xdr:row>
      <xdr:rowOff>1</xdr:rowOff>
    </xdr:from>
    <xdr:to>
      <xdr:col>11</xdr:col>
      <xdr:colOff>1</xdr:colOff>
      <xdr:row>29</xdr:row>
      <xdr:rowOff>12701</xdr:rowOff>
    </xdr:to>
    <xdr:cxnSp macro="">
      <xdr:nvCxnSpPr>
        <xdr:cNvPr id="40" name="Connector: Elbow 39">
          <a:extLst>
            <a:ext uri="{FF2B5EF4-FFF2-40B4-BE49-F238E27FC236}">
              <a16:creationId xmlns:a16="http://schemas.microsoft.com/office/drawing/2014/main" id="{00000000-0008-0000-0400-000028000000}"/>
            </a:ext>
          </a:extLst>
        </xdr:cNvPr>
        <xdr:cNvCxnSpPr>
          <a:stCxn id="37" idx="2"/>
          <a:endCxn id="30" idx="0"/>
        </xdr:cNvCxnSpPr>
      </xdr:nvCxnSpPr>
      <xdr:spPr>
        <a:xfrm rot="5400000">
          <a:off x="1304925" y="4876800"/>
          <a:ext cx="1628775" cy="771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239108</xdr:colOff>
      <xdr:row>24</xdr:row>
      <xdr:rowOff>0</xdr:rowOff>
    </xdr:from>
    <xdr:to>
      <xdr:col>4</xdr:col>
      <xdr:colOff>239108</xdr:colOff>
      <xdr:row>29</xdr:row>
      <xdr:rowOff>12700</xdr:rowOff>
    </xdr:to>
    <xdr:cxnSp macro="">
      <xdr:nvCxnSpPr>
        <xdr:cNvPr id="41" name="直線矢印コネクタ 1010">
          <a:extLst>
            <a:ext uri="{FF2B5EF4-FFF2-40B4-BE49-F238E27FC236}">
              <a16:creationId xmlns:a16="http://schemas.microsoft.com/office/drawing/2014/main" id="{00000000-0008-0000-0400-000029000000}"/>
            </a:ext>
          </a:extLst>
        </xdr:cNvPr>
        <xdr:cNvCxnSpPr>
          <a:stCxn id="38" idx="2"/>
          <a:endCxn id="30" idx="0"/>
        </xdr:cNvCxnSpPr>
      </xdr:nvCxnSpPr>
      <xdr:spPr>
        <a:xfrm>
          <a:off x="1304925" y="4686300"/>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22</xdr:row>
      <xdr:rowOff>3</xdr:rowOff>
    </xdr:from>
    <xdr:to>
      <xdr:col>61</xdr:col>
      <xdr:colOff>0</xdr:colOff>
      <xdr:row>26</xdr:row>
      <xdr:rowOff>2</xdr:rowOff>
    </xdr:to>
    <xdr:sp macro="" textlink="" fLocksText="0">
      <xdr:nvSpPr>
        <xdr:cNvPr id="42" name="吹き出し: 線 2">
          <a:extLst>
            <a:ext uri="{FF2B5EF4-FFF2-40B4-BE49-F238E27FC236}">
              <a16:creationId xmlns:a16="http://schemas.microsoft.com/office/drawing/2014/main" id="{00000000-0008-0000-0400-00002A000000}"/>
            </a:ext>
          </a:extLst>
        </xdr:cNvPr>
        <xdr:cNvSpPr/>
      </xdr:nvSpPr>
      <xdr:spPr>
        <a:xfrm>
          <a:off x="10134600" y="4305300"/>
          <a:ext cx="6134100" cy="762000"/>
        </a:xfrm>
        <a:prstGeom prst="borderCallout1">
          <a:avLst>
            <a:gd name="adj1" fmla="val 49927"/>
            <a:gd name="adj2" fmla="val -182"/>
            <a:gd name="adj3" fmla="val 50899"/>
            <a:gd name="adj4" fmla="val -10893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店舗情報をタッチすると共通機能を実行する。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各ユーザーのstoreIdに基づいて、各店舗に該当する店舗一覧を取得する。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storeId = 09999の場合、全ての店舗一覧を取得する。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38</xdr:row>
      <xdr:rowOff>2</xdr:rowOff>
    </xdr:from>
    <xdr:to>
      <xdr:col>5</xdr:col>
      <xdr:colOff>0</xdr:colOff>
      <xdr:row>41</xdr:row>
      <xdr:rowOff>0</xdr:rowOff>
    </xdr:to>
    <xdr:cxnSp macro="">
      <xdr:nvCxnSpPr>
        <xdr:cNvPr id="43" name="直線矢印コネクタ 1010">
          <a:extLst>
            <a:ext uri="{FF2B5EF4-FFF2-40B4-BE49-F238E27FC236}">
              <a16:creationId xmlns:a16="http://schemas.microsoft.com/office/drawing/2014/main" id="{00000000-0008-0000-0400-00002B000000}"/>
            </a:ext>
          </a:extLst>
        </xdr:cNvPr>
        <xdr:cNvCxnSpPr>
          <a:stCxn id="33" idx="2"/>
          <a:endCxn id="11" idx="0"/>
        </xdr:cNvCxnSpPr>
      </xdr:nvCxnSpPr>
      <xdr:spPr>
        <a:xfrm>
          <a:off x="1304925" y="7353300"/>
          <a:ext cx="2857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39</xdr:row>
      <xdr:rowOff>0</xdr:rowOff>
    </xdr:from>
    <xdr:to>
      <xdr:col>3</xdr:col>
      <xdr:colOff>0</xdr:colOff>
      <xdr:row>40</xdr:row>
      <xdr:rowOff>0</xdr:rowOff>
    </xdr:to>
    <xdr:sp macro="" textlink="" fLocksText="0">
      <xdr:nvSpPr>
        <xdr:cNvPr id="22" name="Rectangle: Rounded Corners 21">
          <a:extLst>
            <a:ext uri="{FF2B5EF4-FFF2-40B4-BE49-F238E27FC236}">
              <a16:creationId xmlns:a16="http://schemas.microsoft.com/office/drawing/2014/main" id="{00000000-0008-0000-0400-000016000000}"/>
            </a:ext>
          </a:extLst>
        </xdr:cNvPr>
        <xdr:cNvSpPr/>
      </xdr:nvSpPr>
      <xdr:spPr>
        <a:xfrm>
          <a:off x="266700" y="7543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95</a:t>
          </a:r>
        </a:p>
      </xdr:txBody>
    </xdr:sp>
    <xdr:clientData/>
  </xdr:twoCellAnchor>
  <xdr:twoCellAnchor>
    <xdr:from>
      <xdr:col>3</xdr:col>
      <xdr:colOff>0</xdr:colOff>
      <xdr:row>39</xdr:row>
      <xdr:rowOff>95250</xdr:rowOff>
    </xdr:from>
    <xdr:to>
      <xdr:col>5</xdr:col>
      <xdr:colOff>0</xdr:colOff>
      <xdr:row>41</xdr:row>
      <xdr:rowOff>0</xdr:rowOff>
    </xdr:to>
    <xdr:cxnSp macro="">
      <xdr:nvCxnSpPr>
        <xdr:cNvPr id="23" name="Connector: Elbow 22">
          <a:extLst>
            <a:ext uri="{FF2B5EF4-FFF2-40B4-BE49-F238E27FC236}">
              <a16:creationId xmlns:a16="http://schemas.microsoft.com/office/drawing/2014/main" id="{00000000-0008-0000-0400-000017000000}"/>
            </a:ext>
          </a:extLst>
        </xdr:cNvPr>
        <xdr:cNvCxnSpPr>
          <a:stCxn id="22" idx="3"/>
          <a:endCxn id="11" idx="0"/>
        </xdr:cNvCxnSpPr>
      </xdr:nvCxnSpPr>
      <xdr:spPr>
        <a:xfrm>
          <a:off x="800100" y="7639050"/>
          <a:ext cx="533400" cy="2857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11192</xdr:colOff>
      <xdr:row>92</xdr:row>
      <xdr:rowOff>11203</xdr:rowOff>
    </xdr:from>
    <xdr:to>
      <xdr:col>5</xdr:col>
      <xdr:colOff>11192</xdr:colOff>
      <xdr:row>92</xdr:row>
      <xdr:rowOff>190497</xdr:rowOff>
    </xdr:to>
    <xdr:sp macro="" textlink="" fLocksText="0">
      <xdr:nvSpPr>
        <xdr:cNvPr id="131" name="Rectangle: Rounded Corners 130">
          <a:extLst>
            <a:ext uri="{FF2B5EF4-FFF2-40B4-BE49-F238E27FC236}">
              <a16:creationId xmlns:a16="http://schemas.microsoft.com/office/drawing/2014/main" id="{00000000-0008-0000-0400-000083000000}"/>
            </a:ext>
          </a:extLst>
        </xdr:cNvPr>
        <xdr:cNvSpPr/>
      </xdr:nvSpPr>
      <xdr:spPr>
        <a:xfrm>
          <a:off x="809625" y="17649825"/>
          <a:ext cx="533400" cy="180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95.1</a:t>
          </a:r>
        </a:p>
      </xdr:txBody>
    </xdr:sp>
    <xdr:clientData/>
  </xdr:twoCellAnchor>
  <xdr:twoCellAnchor>
    <xdr:from>
      <xdr:col>4</xdr:col>
      <xdr:colOff>11193</xdr:colOff>
      <xdr:row>92</xdr:row>
      <xdr:rowOff>190497</xdr:rowOff>
    </xdr:from>
    <xdr:to>
      <xdr:col>4</xdr:col>
      <xdr:colOff>11193</xdr:colOff>
      <xdr:row>94</xdr:row>
      <xdr:rowOff>190497</xdr:rowOff>
    </xdr:to>
    <xdr:cxnSp macro="">
      <xdr:nvCxnSpPr>
        <xdr:cNvPr id="132" name="直線矢印コネクタ 1010">
          <a:extLst>
            <a:ext uri="{FF2B5EF4-FFF2-40B4-BE49-F238E27FC236}">
              <a16:creationId xmlns:a16="http://schemas.microsoft.com/office/drawing/2014/main" id="{00000000-0008-0000-0400-000084000000}"/>
            </a:ext>
          </a:extLst>
        </xdr:cNvPr>
        <xdr:cNvCxnSpPr/>
      </xdr:nvCxnSpPr>
      <xdr:spPr>
        <a:xfrm>
          <a:off x="1076325" y="17830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11192</xdr:colOff>
      <xdr:row>94</xdr:row>
      <xdr:rowOff>190497</xdr:rowOff>
    </xdr:from>
    <xdr:to>
      <xdr:col>7</xdr:col>
      <xdr:colOff>11192</xdr:colOff>
      <xdr:row>98</xdr:row>
      <xdr:rowOff>190497</xdr:rowOff>
    </xdr:to>
    <xdr:sp macro="" textlink="" fLocksText="0">
      <xdr:nvSpPr>
        <xdr:cNvPr id="133" name="正方形/長方形 19">
          <a:extLst>
            <a:ext uri="{FF2B5EF4-FFF2-40B4-BE49-F238E27FC236}">
              <a16:creationId xmlns:a16="http://schemas.microsoft.com/office/drawing/2014/main" id="{00000000-0008-0000-0400-000085000000}"/>
            </a:ext>
          </a:extLst>
        </xdr:cNvPr>
        <xdr:cNvSpPr/>
      </xdr:nvSpPr>
      <xdr:spPr>
        <a:xfrm>
          <a:off x="276225" y="18211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MD0103</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プロモーション一覧モーダル</a:t>
          </a:r>
        </a:p>
      </xdr:txBody>
    </xdr:sp>
    <xdr:clientData/>
  </xdr:twoCellAnchor>
  <xdr:twoCellAnchor>
    <xdr:from>
      <xdr:col>15</xdr:col>
      <xdr:colOff>11192</xdr:colOff>
      <xdr:row>103</xdr:row>
      <xdr:rowOff>11203</xdr:rowOff>
    </xdr:from>
    <xdr:to>
      <xdr:col>19</xdr:col>
      <xdr:colOff>11192</xdr:colOff>
      <xdr:row>104</xdr:row>
      <xdr:rowOff>11203</xdr:rowOff>
    </xdr:to>
    <xdr:sp macro="" textlink="" fLocksText="0">
      <xdr:nvSpPr>
        <xdr:cNvPr id="134" name="四角形: 角を丸くする 1101">
          <a:extLst>
            <a:ext uri="{FF2B5EF4-FFF2-40B4-BE49-F238E27FC236}">
              <a16:creationId xmlns:a16="http://schemas.microsoft.com/office/drawing/2014/main" id="{00000000-0008-0000-0400-000086000000}"/>
            </a:ext>
          </a:extLst>
        </xdr:cNvPr>
        <xdr:cNvSpPr/>
      </xdr:nvSpPr>
      <xdr:spPr>
        <a:xfrm>
          <a:off x="4010025" y="19745325"/>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検索</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28</xdr:col>
      <xdr:colOff>235305</xdr:colOff>
      <xdr:row>105</xdr:row>
      <xdr:rowOff>190497</xdr:rowOff>
    </xdr:from>
    <xdr:to>
      <xdr:col>34</xdr:col>
      <xdr:colOff>235306</xdr:colOff>
      <xdr:row>109</xdr:row>
      <xdr:rowOff>190497</xdr:rowOff>
    </xdr:to>
    <xdr:sp macro="" textlink="" fLocksText="0">
      <xdr:nvSpPr>
        <xdr:cNvPr id="135" name="フローチャート: 磁気ディスク 194">
          <a:extLst>
            <a:ext uri="{FF2B5EF4-FFF2-40B4-BE49-F238E27FC236}">
              <a16:creationId xmlns:a16="http://schemas.microsoft.com/office/drawing/2014/main" id="{00000000-0008-0000-0400-000087000000}"/>
            </a:ext>
          </a:extLst>
        </xdr:cNvPr>
        <xdr:cNvSpPr/>
      </xdr:nvSpPr>
      <xdr:spPr>
        <a:xfrm>
          <a:off x="7705725" y="20307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AP0105</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プロモーション一覧取得</a:t>
          </a:r>
        </a:p>
      </xdr:txBody>
    </xdr:sp>
    <xdr:clientData/>
  </xdr:twoCellAnchor>
  <xdr:twoCellAnchor>
    <xdr:from>
      <xdr:col>14</xdr:col>
      <xdr:colOff>11192</xdr:colOff>
      <xdr:row>105</xdr:row>
      <xdr:rowOff>190497</xdr:rowOff>
    </xdr:from>
    <xdr:to>
      <xdr:col>20</xdr:col>
      <xdr:colOff>11191</xdr:colOff>
      <xdr:row>109</xdr:row>
      <xdr:rowOff>190497</xdr:rowOff>
    </xdr:to>
    <xdr:sp macro="" textlink="" fLocksText="0">
      <xdr:nvSpPr>
        <xdr:cNvPr id="136" name="四角形: 角を丸くする 3">
          <a:extLst>
            <a:ext uri="{FF2B5EF4-FFF2-40B4-BE49-F238E27FC236}">
              <a16:creationId xmlns:a16="http://schemas.microsoft.com/office/drawing/2014/main" id="{00000000-0008-0000-0400-000088000000}"/>
            </a:ext>
          </a:extLst>
        </xdr:cNvPr>
        <xdr:cNvSpPr/>
      </xdr:nvSpPr>
      <xdr:spPr>
        <a:xfrm>
          <a:off x="3743325" y="20307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KN9501</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プロモーション一覧取得機能</a:t>
          </a:r>
        </a:p>
      </xdr:txBody>
    </xdr:sp>
    <xdr:clientData/>
  </xdr:twoCellAnchor>
  <xdr:twoCellAnchor>
    <xdr:from>
      <xdr:col>20</xdr:col>
      <xdr:colOff>11191</xdr:colOff>
      <xdr:row>107</xdr:row>
      <xdr:rowOff>190497</xdr:rowOff>
    </xdr:from>
    <xdr:to>
      <xdr:col>28</xdr:col>
      <xdr:colOff>235305</xdr:colOff>
      <xdr:row>107</xdr:row>
      <xdr:rowOff>190497</xdr:rowOff>
    </xdr:to>
    <xdr:cxnSp macro="">
      <xdr:nvCxnSpPr>
        <xdr:cNvPr id="137" name="直線矢印コネクタ 196">
          <a:extLst>
            <a:ext uri="{FF2B5EF4-FFF2-40B4-BE49-F238E27FC236}">
              <a16:creationId xmlns:a16="http://schemas.microsoft.com/office/drawing/2014/main" id="{00000000-0008-0000-0400-000089000000}"/>
            </a:ext>
          </a:extLst>
        </xdr:cNvPr>
        <xdr:cNvCxnSpPr>
          <a:stCxn id="136" idx="3"/>
          <a:endCxn id="135" idx="2"/>
        </xdr:cNvCxnSpPr>
      </xdr:nvCxnSpPr>
      <xdr:spPr>
        <a:xfrm>
          <a:off x="5343525" y="20688300"/>
          <a:ext cx="23622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11192</xdr:colOff>
      <xdr:row>98</xdr:row>
      <xdr:rowOff>190497</xdr:rowOff>
    </xdr:from>
    <xdr:to>
      <xdr:col>4</xdr:col>
      <xdr:colOff>11193</xdr:colOff>
      <xdr:row>102</xdr:row>
      <xdr:rowOff>190497</xdr:rowOff>
    </xdr:to>
    <xdr:cxnSp macro="">
      <xdr:nvCxnSpPr>
        <xdr:cNvPr id="138" name="直線矢印コネクタ 1010">
          <a:extLst>
            <a:ext uri="{FF2B5EF4-FFF2-40B4-BE49-F238E27FC236}">
              <a16:creationId xmlns:a16="http://schemas.microsoft.com/office/drawing/2014/main" id="{00000000-0008-0000-0400-00008A000000}"/>
            </a:ext>
          </a:extLst>
        </xdr:cNvPr>
        <xdr:cNvCxnSpPr>
          <a:endCxn id="141" idx="0"/>
        </xdr:cNvCxnSpPr>
      </xdr:nvCxnSpPr>
      <xdr:spPr>
        <a:xfrm flipH="1">
          <a:off x="1076325" y="18973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11192</xdr:colOff>
      <xdr:row>102</xdr:row>
      <xdr:rowOff>190499</xdr:rowOff>
    </xdr:from>
    <xdr:to>
      <xdr:col>13</xdr:col>
      <xdr:colOff>0</xdr:colOff>
      <xdr:row>104</xdr:row>
      <xdr:rowOff>0</xdr:rowOff>
    </xdr:to>
    <xdr:sp macro="" textlink="" fLocksText="0">
      <xdr:nvSpPr>
        <xdr:cNvPr id="139" name="四角形: 角を丸くする 1101">
          <a:extLst>
            <a:ext uri="{FF2B5EF4-FFF2-40B4-BE49-F238E27FC236}">
              <a16:creationId xmlns:a16="http://schemas.microsoft.com/office/drawing/2014/main" id="{00000000-0008-0000-0400-00008B000000}"/>
            </a:ext>
          </a:extLst>
        </xdr:cNvPr>
        <xdr:cNvSpPr/>
      </xdr:nvSpPr>
      <xdr:spPr>
        <a:xfrm>
          <a:off x="2409825" y="19735800"/>
          <a:ext cx="105727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戻る</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11193</xdr:colOff>
      <xdr:row>98</xdr:row>
      <xdr:rowOff>190497</xdr:rowOff>
    </xdr:from>
    <xdr:to>
      <xdr:col>11</xdr:col>
      <xdr:colOff>5596</xdr:colOff>
      <xdr:row>102</xdr:row>
      <xdr:rowOff>190499</xdr:rowOff>
    </xdr:to>
    <xdr:cxnSp macro="">
      <xdr:nvCxnSpPr>
        <xdr:cNvPr id="140" name="Connector: Elbow 139">
          <a:extLst>
            <a:ext uri="{FF2B5EF4-FFF2-40B4-BE49-F238E27FC236}">
              <a16:creationId xmlns:a16="http://schemas.microsoft.com/office/drawing/2014/main" id="{00000000-0008-0000-0400-00008C000000}"/>
            </a:ext>
          </a:extLst>
        </xdr:cNvPr>
        <xdr:cNvCxnSpPr>
          <a:stCxn id="133" idx="2"/>
          <a:endCxn id="139" idx="0"/>
        </xdr:cNvCxnSpPr>
      </xdr:nvCxnSpPr>
      <xdr:spPr>
        <a:xfrm rot="16200000" flipH="1">
          <a:off x="1076325" y="18973800"/>
          <a:ext cx="18669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11192</xdr:colOff>
      <xdr:row>102</xdr:row>
      <xdr:rowOff>190497</xdr:rowOff>
    </xdr:from>
    <xdr:to>
      <xdr:col>6</xdr:col>
      <xdr:colOff>11192</xdr:colOff>
      <xdr:row>103</xdr:row>
      <xdr:rowOff>190497</xdr:rowOff>
    </xdr:to>
    <xdr:sp macro="" textlink="" fLocksText="0">
      <xdr:nvSpPr>
        <xdr:cNvPr id="141" name="四角形: 角を丸くする 1101">
          <a:extLst>
            <a:ext uri="{FF2B5EF4-FFF2-40B4-BE49-F238E27FC236}">
              <a16:creationId xmlns:a16="http://schemas.microsoft.com/office/drawing/2014/main" id="{00000000-0008-0000-0400-00008D000000}"/>
            </a:ext>
          </a:extLst>
        </xdr:cNvPr>
        <xdr:cNvSpPr/>
      </xdr:nvSpPr>
      <xdr:spPr>
        <a:xfrm>
          <a:off x="542925" y="19735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選択</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11192</xdr:colOff>
      <xdr:row>98</xdr:row>
      <xdr:rowOff>179291</xdr:rowOff>
    </xdr:from>
    <xdr:to>
      <xdr:col>17</xdr:col>
      <xdr:colOff>11191</xdr:colOff>
      <xdr:row>103</xdr:row>
      <xdr:rowOff>11203</xdr:rowOff>
    </xdr:to>
    <xdr:cxnSp macro="">
      <xdr:nvCxnSpPr>
        <xdr:cNvPr id="142" name="Connector: Elbow 141">
          <a:extLst>
            <a:ext uri="{FF2B5EF4-FFF2-40B4-BE49-F238E27FC236}">
              <a16:creationId xmlns:a16="http://schemas.microsoft.com/office/drawing/2014/main" id="{00000000-0008-0000-0400-00008E000000}"/>
            </a:ext>
          </a:extLst>
        </xdr:cNvPr>
        <xdr:cNvCxnSpPr>
          <a:endCxn id="134" idx="0"/>
        </xdr:cNvCxnSpPr>
      </xdr:nvCxnSpPr>
      <xdr:spPr>
        <a:xfrm rot="16200000" flipH="1">
          <a:off x="1076325" y="18964275"/>
          <a:ext cx="3467100" cy="7810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11192</xdr:colOff>
      <xdr:row>104</xdr:row>
      <xdr:rowOff>11203</xdr:rowOff>
    </xdr:from>
    <xdr:to>
      <xdr:col>17</xdr:col>
      <xdr:colOff>11192</xdr:colOff>
      <xdr:row>105</xdr:row>
      <xdr:rowOff>190497</xdr:rowOff>
    </xdr:to>
    <xdr:cxnSp macro="">
      <xdr:nvCxnSpPr>
        <xdr:cNvPr id="143" name="直線矢印コネクタ 1010">
          <a:extLst>
            <a:ext uri="{FF2B5EF4-FFF2-40B4-BE49-F238E27FC236}">
              <a16:creationId xmlns:a16="http://schemas.microsoft.com/office/drawing/2014/main" id="{00000000-0008-0000-0400-00008F000000}"/>
            </a:ext>
          </a:extLst>
        </xdr:cNvPr>
        <xdr:cNvCxnSpPr>
          <a:stCxn id="134" idx="2"/>
          <a:endCxn id="136" idx="0"/>
        </xdr:cNvCxnSpPr>
      </xdr:nvCxnSpPr>
      <xdr:spPr>
        <a:xfrm>
          <a:off x="4543425" y="19935825"/>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11192</xdr:colOff>
      <xdr:row>103</xdr:row>
      <xdr:rowOff>190497</xdr:rowOff>
    </xdr:from>
    <xdr:to>
      <xdr:col>4</xdr:col>
      <xdr:colOff>11207</xdr:colOff>
      <xdr:row>108</xdr:row>
      <xdr:rowOff>179292</xdr:rowOff>
    </xdr:to>
    <xdr:cxnSp macro="">
      <xdr:nvCxnSpPr>
        <xdr:cNvPr id="153" name="直線矢印コネクタ 1010">
          <a:extLst>
            <a:ext uri="{FF2B5EF4-FFF2-40B4-BE49-F238E27FC236}">
              <a16:creationId xmlns:a16="http://schemas.microsoft.com/office/drawing/2014/main" id="{00000000-0008-0000-0400-000099000000}"/>
            </a:ext>
          </a:extLst>
        </xdr:cNvPr>
        <xdr:cNvCxnSpPr>
          <a:stCxn id="141" idx="2"/>
          <a:endCxn id="159" idx="0"/>
        </xdr:cNvCxnSpPr>
      </xdr:nvCxnSpPr>
      <xdr:spPr>
        <a:xfrm>
          <a:off x="1076325" y="19926300"/>
          <a:ext cx="0" cy="9429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11206</xdr:colOff>
      <xdr:row>108</xdr:row>
      <xdr:rowOff>179292</xdr:rowOff>
    </xdr:from>
    <xdr:to>
      <xdr:col>5</xdr:col>
      <xdr:colOff>11206</xdr:colOff>
      <xdr:row>109</xdr:row>
      <xdr:rowOff>179292</xdr:rowOff>
    </xdr:to>
    <xdr:sp macro="" textlink="" fLocksText="0">
      <xdr:nvSpPr>
        <xdr:cNvPr id="159" name="Rectangle: Rounded Corners 158">
          <a:extLst>
            <a:ext uri="{FF2B5EF4-FFF2-40B4-BE49-F238E27FC236}">
              <a16:creationId xmlns:a16="http://schemas.microsoft.com/office/drawing/2014/main" id="{00000000-0008-0000-0400-00009F000000}"/>
            </a:ext>
          </a:extLst>
        </xdr:cNvPr>
        <xdr:cNvSpPr/>
      </xdr:nvSpPr>
      <xdr:spPr>
        <a:xfrm>
          <a:off x="809625" y="208692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95</a:t>
          </a:r>
        </a:p>
      </xdr:txBody>
    </xdr:sp>
    <xdr:clientData/>
  </xdr:twoCellAnchor>
  <xdr:twoCellAnchor>
    <xdr:from>
      <xdr:col>3</xdr:col>
      <xdr:colOff>11188</xdr:colOff>
      <xdr:row>121</xdr:row>
      <xdr:rowOff>11207</xdr:rowOff>
    </xdr:from>
    <xdr:to>
      <xdr:col>5</xdr:col>
      <xdr:colOff>11188</xdr:colOff>
      <xdr:row>122</xdr:row>
      <xdr:rowOff>1</xdr:rowOff>
    </xdr:to>
    <xdr:sp macro="" textlink="" fLocksText="0">
      <xdr:nvSpPr>
        <xdr:cNvPr id="176" name="Rectangle: Rounded Corners 175">
          <a:extLst>
            <a:ext uri="{FF2B5EF4-FFF2-40B4-BE49-F238E27FC236}">
              <a16:creationId xmlns:a16="http://schemas.microsoft.com/office/drawing/2014/main" id="{00000000-0008-0000-0400-0000B0000000}"/>
            </a:ext>
          </a:extLst>
        </xdr:cNvPr>
        <xdr:cNvSpPr/>
      </xdr:nvSpPr>
      <xdr:spPr>
        <a:xfrm>
          <a:off x="809625" y="23174325"/>
          <a:ext cx="533400" cy="180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95.2</a:t>
          </a:r>
        </a:p>
      </xdr:txBody>
    </xdr:sp>
    <xdr:clientData/>
  </xdr:twoCellAnchor>
  <xdr:twoCellAnchor>
    <xdr:from>
      <xdr:col>4</xdr:col>
      <xdr:colOff>11189</xdr:colOff>
      <xdr:row>122</xdr:row>
      <xdr:rowOff>1</xdr:rowOff>
    </xdr:from>
    <xdr:to>
      <xdr:col>4</xdr:col>
      <xdr:colOff>11189</xdr:colOff>
      <xdr:row>124</xdr:row>
      <xdr:rowOff>1</xdr:rowOff>
    </xdr:to>
    <xdr:cxnSp macro="">
      <xdr:nvCxnSpPr>
        <xdr:cNvPr id="177" name="直線矢印コネクタ 1010">
          <a:extLst>
            <a:ext uri="{FF2B5EF4-FFF2-40B4-BE49-F238E27FC236}">
              <a16:creationId xmlns:a16="http://schemas.microsoft.com/office/drawing/2014/main" id="{00000000-0008-0000-0400-0000B1000000}"/>
            </a:ext>
          </a:extLst>
        </xdr:cNvPr>
        <xdr:cNvCxnSpPr/>
      </xdr:nvCxnSpPr>
      <xdr:spPr>
        <a:xfrm>
          <a:off x="1076325" y="23355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11188</xdr:colOff>
      <xdr:row>124</xdr:row>
      <xdr:rowOff>1</xdr:rowOff>
    </xdr:from>
    <xdr:to>
      <xdr:col>7</xdr:col>
      <xdr:colOff>11188</xdr:colOff>
      <xdr:row>128</xdr:row>
      <xdr:rowOff>1</xdr:rowOff>
    </xdr:to>
    <xdr:sp macro="" textlink="" fLocksText="0">
      <xdr:nvSpPr>
        <xdr:cNvPr id="178" name="正方形/長方形 19">
          <a:extLst>
            <a:ext uri="{FF2B5EF4-FFF2-40B4-BE49-F238E27FC236}">
              <a16:creationId xmlns:a16="http://schemas.microsoft.com/office/drawing/2014/main" id="{00000000-0008-0000-0400-0000B2000000}"/>
            </a:ext>
          </a:extLst>
        </xdr:cNvPr>
        <xdr:cNvSpPr/>
      </xdr:nvSpPr>
      <xdr:spPr>
        <a:xfrm>
          <a:off x="276225" y="23736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MD0501</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セットマッチ一覧モーダル</a:t>
          </a:r>
        </a:p>
      </xdr:txBody>
    </xdr:sp>
    <xdr:clientData/>
  </xdr:twoCellAnchor>
  <xdr:twoCellAnchor>
    <xdr:from>
      <xdr:col>15</xdr:col>
      <xdr:colOff>11188</xdr:colOff>
      <xdr:row>132</xdr:row>
      <xdr:rowOff>11207</xdr:rowOff>
    </xdr:from>
    <xdr:to>
      <xdr:col>19</xdr:col>
      <xdr:colOff>11188</xdr:colOff>
      <xdr:row>133</xdr:row>
      <xdr:rowOff>11207</xdr:rowOff>
    </xdr:to>
    <xdr:sp macro="" textlink="" fLocksText="0">
      <xdr:nvSpPr>
        <xdr:cNvPr id="179" name="四角形: 角を丸くする 1101">
          <a:extLst>
            <a:ext uri="{FF2B5EF4-FFF2-40B4-BE49-F238E27FC236}">
              <a16:creationId xmlns:a16="http://schemas.microsoft.com/office/drawing/2014/main" id="{00000000-0008-0000-0400-0000B3000000}"/>
            </a:ext>
          </a:extLst>
        </xdr:cNvPr>
        <xdr:cNvSpPr/>
      </xdr:nvSpPr>
      <xdr:spPr>
        <a:xfrm>
          <a:off x="4010025" y="25269825"/>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検索</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28</xdr:col>
      <xdr:colOff>235301</xdr:colOff>
      <xdr:row>135</xdr:row>
      <xdr:rowOff>1</xdr:rowOff>
    </xdr:from>
    <xdr:to>
      <xdr:col>34</xdr:col>
      <xdr:colOff>235302</xdr:colOff>
      <xdr:row>139</xdr:row>
      <xdr:rowOff>1</xdr:rowOff>
    </xdr:to>
    <xdr:sp macro="" textlink="" fLocksText="0">
      <xdr:nvSpPr>
        <xdr:cNvPr id="180" name="フローチャート: 磁気ディスク 194">
          <a:extLst>
            <a:ext uri="{FF2B5EF4-FFF2-40B4-BE49-F238E27FC236}">
              <a16:creationId xmlns:a16="http://schemas.microsoft.com/office/drawing/2014/main" id="{00000000-0008-0000-0400-0000B4000000}"/>
            </a:ext>
          </a:extLst>
        </xdr:cNvPr>
        <xdr:cNvSpPr/>
      </xdr:nvSpPr>
      <xdr:spPr>
        <a:xfrm>
          <a:off x="7705725" y="25831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AP9501</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セットマッチ一覧取得</a:t>
          </a:r>
        </a:p>
      </xdr:txBody>
    </xdr:sp>
    <xdr:clientData/>
  </xdr:twoCellAnchor>
  <xdr:twoCellAnchor>
    <xdr:from>
      <xdr:col>14</xdr:col>
      <xdr:colOff>11188</xdr:colOff>
      <xdr:row>135</xdr:row>
      <xdr:rowOff>1</xdr:rowOff>
    </xdr:from>
    <xdr:to>
      <xdr:col>20</xdr:col>
      <xdr:colOff>11187</xdr:colOff>
      <xdr:row>139</xdr:row>
      <xdr:rowOff>1</xdr:rowOff>
    </xdr:to>
    <xdr:sp macro="" textlink="" fLocksText="0">
      <xdr:nvSpPr>
        <xdr:cNvPr id="181" name="四角形: 角を丸くする 3">
          <a:extLst>
            <a:ext uri="{FF2B5EF4-FFF2-40B4-BE49-F238E27FC236}">
              <a16:creationId xmlns:a16="http://schemas.microsoft.com/office/drawing/2014/main" id="{00000000-0008-0000-0400-0000B5000000}"/>
            </a:ext>
          </a:extLst>
        </xdr:cNvPr>
        <xdr:cNvSpPr/>
      </xdr:nvSpPr>
      <xdr:spPr>
        <a:xfrm>
          <a:off x="3743325" y="25831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KN9502</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セットマッチ一覧取得機能</a:t>
          </a:r>
        </a:p>
      </xdr:txBody>
    </xdr:sp>
    <xdr:clientData/>
  </xdr:twoCellAnchor>
  <xdr:twoCellAnchor>
    <xdr:from>
      <xdr:col>20</xdr:col>
      <xdr:colOff>11187</xdr:colOff>
      <xdr:row>137</xdr:row>
      <xdr:rowOff>1</xdr:rowOff>
    </xdr:from>
    <xdr:to>
      <xdr:col>28</xdr:col>
      <xdr:colOff>235301</xdr:colOff>
      <xdr:row>137</xdr:row>
      <xdr:rowOff>1</xdr:rowOff>
    </xdr:to>
    <xdr:cxnSp macro="">
      <xdr:nvCxnSpPr>
        <xdr:cNvPr id="182" name="直線矢印コネクタ 196">
          <a:extLst>
            <a:ext uri="{FF2B5EF4-FFF2-40B4-BE49-F238E27FC236}">
              <a16:creationId xmlns:a16="http://schemas.microsoft.com/office/drawing/2014/main" id="{00000000-0008-0000-0400-0000B6000000}"/>
            </a:ext>
          </a:extLst>
        </xdr:cNvPr>
        <xdr:cNvCxnSpPr>
          <a:stCxn id="181" idx="3"/>
          <a:endCxn id="180" idx="2"/>
        </xdr:cNvCxnSpPr>
      </xdr:nvCxnSpPr>
      <xdr:spPr>
        <a:xfrm>
          <a:off x="5343525" y="26212800"/>
          <a:ext cx="23622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11188</xdr:colOff>
      <xdr:row>128</xdr:row>
      <xdr:rowOff>1</xdr:rowOff>
    </xdr:from>
    <xdr:to>
      <xdr:col>4</xdr:col>
      <xdr:colOff>11189</xdr:colOff>
      <xdr:row>132</xdr:row>
      <xdr:rowOff>1</xdr:rowOff>
    </xdr:to>
    <xdr:cxnSp macro="">
      <xdr:nvCxnSpPr>
        <xdr:cNvPr id="183" name="直線矢印コネクタ 1010">
          <a:extLst>
            <a:ext uri="{FF2B5EF4-FFF2-40B4-BE49-F238E27FC236}">
              <a16:creationId xmlns:a16="http://schemas.microsoft.com/office/drawing/2014/main" id="{00000000-0008-0000-0400-0000B7000000}"/>
            </a:ext>
          </a:extLst>
        </xdr:cNvPr>
        <xdr:cNvCxnSpPr>
          <a:endCxn id="186" idx="0"/>
        </xdr:cNvCxnSpPr>
      </xdr:nvCxnSpPr>
      <xdr:spPr>
        <a:xfrm flipH="1">
          <a:off x="1076325" y="24498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132</xdr:row>
      <xdr:rowOff>1</xdr:rowOff>
    </xdr:from>
    <xdr:to>
      <xdr:col>13</xdr:col>
      <xdr:colOff>0</xdr:colOff>
      <xdr:row>133</xdr:row>
      <xdr:rowOff>0</xdr:rowOff>
    </xdr:to>
    <xdr:sp macro="" textlink="" fLocksText="0">
      <xdr:nvSpPr>
        <xdr:cNvPr id="184" name="四角形: 角を丸くする 1101">
          <a:extLst>
            <a:ext uri="{FF2B5EF4-FFF2-40B4-BE49-F238E27FC236}">
              <a16:creationId xmlns:a16="http://schemas.microsoft.com/office/drawing/2014/main" id="{00000000-0008-0000-0400-0000B8000000}"/>
            </a:ext>
          </a:extLst>
        </xdr:cNvPr>
        <xdr:cNvSpPr/>
      </xdr:nvSpPr>
      <xdr:spPr>
        <a:xfrm>
          <a:off x="2400300" y="25260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戻る</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11189</xdr:colOff>
      <xdr:row>128</xdr:row>
      <xdr:rowOff>1</xdr:rowOff>
    </xdr:from>
    <xdr:to>
      <xdr:col>11</xdr:col>
      <xdr:colOff>0</xdr:colOff>
      <xdr:row>132</xdr:row>
      <xdr:rowOff>1</xdr:rowOff>
    </xdr:to>
    <xdr:cxnSp macro="">
      <xdr:nvCxnSpPr>
        <xdr:cNvPr id="185" name="Connector: Elbow 184">
          <a:extLst>
            <a:ext uri="{FF2B5EF4-FFF2-40B4-BE49-F238E27FC236}">
              <a16:creationId xmlns:a16="http://schemas.microsoft.com/office/drawing/2014/main" id="{00000000-0008-0000-0400-0000B9000000}"/>
            </a:ext>
          </a:extLst>
        </xdr:cNvPr>
        <xdr:cNvCxnSpPr>
          <a:endCxn id="184" idx="0"/>
        </xdr:cNvCxnSpPr>
      </xdr:nvCxnSpPr>
      <xdr:spPr>
        <a:xfrm>
          <a:off x="1076325" y="24498300"/>
          <a:ext cx="1857375" cy="76200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11188</xdr:colOff>
      <xdr:row>132</xdr:row>
      <xdr:rowOff>1</xdr:rowOff>
    </xdr:from>
    <xdr:to>
      <xdr:col>6</xdr:col>
      <xdr:colOff>11188</xdr:colOff>
      <xdr:row>133</xdr:row>
      <xdr:rowOff>1</xdr:rowOff>
    </xdr:to>
    <xdr:sp macro="" textlink="" fLocksText="0">
      <xdr:nvSpPr>
        <xdr:cNvPr id="186" name="四角形: 角を丸くする 1101">
          <a:extLst>
            <a:ext uri="{FF2B5EF4-FFF2-40B4-BE49-F238E27FC236}">
              <a16:creationId xmlns:a16="http://schemas.microsoft.com/office/drawing/2014/main" id="{00000000-0008-0000-0400-0000BA000000}"/>
            </a:ext>
          </a:extLst>
        </xdr:cNvPr>
        <xdr:cNvSpPr/>
      </xdr:nvSpPr>
      <xdr:spPr>
        <a:xfrm>
          <a:off x="542925" y="25260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選択</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11188</xdr:colOff>
      <xdr:row>127</xdr:row>
      <xdr:rowOff>179295</xdr:rowOff>
    </xdr:from>
    <xdr:to>
      <xdr:col>17</xdr:col>
      <xdr:colOff>11187</xdr:colOff>
      <xdr:row>132</xdr:row>
      <xdr:rowOff>11207</xdr:rowOff>
    </xdr:to>
    <xdr:cxnSp macro="">
      <xdr:nvCxnSpPr>
        <xdr:cNvPr id="187" name="Connector: Elbow 186">
          <a:extLst>
            <a:ext uri="{FF2B5EF4-FFF2-40B4-BE49-F238E27FC236}">
              <a16:creationId xmlns:a16="http://schemas.microsoft.com/office/drawing/2014/main" id="{00000000-0008-0000-0400-0000BB000000}"/>
            </a:ext>
          </a:extLst>
        </xdr:cNvPr>
        <xdr:cNvCxnSpPr>
          <a:endCxn id="179" idx="0"/>
        </xdr:cNvCxnSpPr>
      </xdr:nvCxnSpPr>
      <xdr:spPr>
        <a:xfrm rot="16200000" flipH="1">
          <a:off x="1076325" y="24488775"/>
          <a:ext cx="3467100" cy="7810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11188</xdr:colOff>
      <xdr:row>133</xdr:row>
      <xdr:rowOff>11207</xdr:rowOff>
    </xdr:from>
    <xdr:to>
      <xdr:col>17</xdr:col>
      <xdr:colOff>11188</xdr:colOff>
      <xdr:row>135</xdr:row>
      <xdr:rowOff>1</xdr:rowOff>
    </xdr:to>
    <xdr:cxnSp macro="">
      <xdr:nvCxnSpPr>
        <xdr:cNvPr id="188" name="直線矢印コネクタ 1010">
          <a:extLst>
            <a:ext uri="{FF2B5EF4-FFF2-40B4-BE49-F238E27FC236}">
              <a16:creationId xmlns:a16="http://schemas.microsoft.com/office/drawing/2014/main" id="{00000000-0008-0000-0400-0000BC000000}"/>
            </a:ext>
          </a:extLst>
        </xdr:cNvPr>
        <xdr:cNvCxnSpPr>
          <a:stCxn id="179" idx="2"/>
          <a:endCxn id="181" idx="0"/>
        </xdr:cNvCxnSpPr>
      </xdr:nvCxnSpPr>
      <xdr:spPr>
        <a:xfrm>
          <a:off x="4543425" y="25460325"/>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11188</xdr:colOff>
      <xdr:row>133</xdr:row>
      <xdr:rowOff>1</xdr:rowOff>
    </xdr:from>
    <xdr:to>
      <xdr:col>4</xdr:col>
      <xdr:colOff>11203</xdr:colOff>
      <xdr:row>146</xdr:row>
      <xdr:rowOff>2</xdr:rowOff>
    </xdr:to>
    <xdr:cxnSp macro="">
      <xdr:nvCxnSpPr>
        <xdr:cNvPr id="189" name="直線矢印コネクタ 1010">
          <a:extLst>
            <a:ext uri="{FF2B5EF4-FFF2-40B4-BE49-F238E27FC236}">
              <a16:creationId xmlns:a16="http://schemas.microsoft.com/office/drawing/2014/main" id="{00000000-0008-0000-0400-0000BD000000}"/>
            </a:ext>
          </a:extLst>
        </xdr:cNvPr>
        <xdr:cNvCxnSpPr>
          <a:stCxn id="186" idx="2"/>
          <a:endCxn id="191" idx="0"/>
        </xdr:cNvCxnSpPr>
      </xdr:nvCxnSpPr>
      <xdr:spPr>
        <a:xfrm>
          <a:off x="1076325" y="25450800"/>
          <a:ext cx="0" cy="2476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37</xdr:col>
      <xdr:colOff>235319</xdr:colOff>
      <xdr:row>121</xdr:row>
      <xdr:rowOff>4</xdr:rowOff>
    </xdr:from>
    <xdr:to>
      <xdr:col>60</xdr:col>
      <xdr:colOff>235319</xdr:colOff>
      <xdr:row>142</xdr:row>
      <xdr:rowOff>0</xdr:rowOff>
    </xdr:to>
    <xdr:sp macro="" textlink="" fLocksText="0">
      <xdr:nvSpPr>
        <xdr:cNvPr id="190" name="吹き出し: 線 3">
          <a:extLst>
            <a:ext uri="{FF2B5EF4-FFF2-40B4-BE49-F238E27FC236}">
              <a16:creationId xmlns:a16="http://schemas.microsoft.com/office/drawing/2014/main" id="{00000000-0008-0000-0400-0000BE000000}"/>
            </a:ext>
          </a:extLst>
        </xdr:cNvPr>
        <xdr:cNvSpPr/>
      </xdr:nvSpPr>
      <xdr:spPr>
        <a:xfrm>
          <a:off x="10106025" y="23164800"/>
          <a:ext cx="6134100" cy="4000500"/>
        </a:xfrm>
        <a:prstGeom prst="borderCallout1">
          <a:avLst>
            <a:gd name="adj1" fmla="val 24076"/>
            <a:gd name="adj2" fmla="val 56"/>
            <a:gd name="adj3" fmla="val 23730"/>
            <a:gd name="adj4" fmla="val -13482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▪初期表示：</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‣プロモーション：セットマッチ設定画面で入力されたプロモーションコードを埋め込む。入力されていない場合、ブランクを表示する。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‣セットマッチコード：ブランク</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‣商品コード：ブランク</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‣期間：期間中</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‣日時：現在日</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▪「検索」をタッチすると、入力された検索条件でKN0501_セットマッチ一覧取得機能を実行し、検索条件のバリデーションチェックを行う。</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‣検索条件がバリデーションチェックOKの場合：</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●満たすデータがある場合、セットマッチ一覧をMD0501_セットマッチ一覧モダールに更新する。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●満たすデータがない場合、MD_ERRORを表示する。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‣検索条件がバリデーションチェックNGの場合、MD_ERRORを表示する。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▪「選択」をタッチすると、セットマッチを選択し、セットマッチ設定画面に戻り、選択されたセットマッチ情報をセットマッチ設定画面に表示してユーザーが編集を続行できる。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▪「戻る」ボタンをタッチすると、モーダルを閉じる。</a:t>
          </a:r>
        </a:p>
      </xdr:txBody>
    </xdr:sp>
    <xdr:clientData/>
  </xdr:twoCellAnchor>
  <xdr:twoCellAnchor>
    <xdr:from>
      <xdr:col>3</xdr:col>
      <xdr:colOff>11202</xdr:colOff>
      <xdr:row>146</xdr:row>
      <xdr:rowOff>2</xdr:rowOff>
    </xdr:from>
    <xdr:to>
      <xdr:col>5</xdr:col>
      <xdr:colOff>11202</xdr:colOff>
      <xdr:row>147</xdr:row>
      <xdr:rowOff>2</xdr:rowOff>
    </xdr:to>
    <xdr:sp macro="" textlink="" fLocksText="0">
      <xdr:nvSpPr>
        <xdr:cNvPr id="191" name="Rectangle: Rounded Corners 190">
          <a:extLst>
            <a:ext uri="{FF2B5EF4-FFF2-40B4-BE49-F238E27FC236}">
              <a16:creationId xmlns:a16="http://schemas.microsoft.com/office/drawing/2014/main" id="{00000000-0008-0000-0400-0000BF000000}"/>
            </a:ext>
          </a:extLst>
        </xdr:cNvPr>
        <xdr:cNvSpPr/>
      </xdr:nvSpPr>
      <xdr:spPr>
        <a:xfrm>
          <a:off x="809625" y="27927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95</a:t>
          </a:r>
        </a:p>
      </xdr:txBody>
    </xdr:sp>
    <xdr:clientData/>
  </xdr:twoCellAnchor>
  <xdr:twoCellAnchor>
    <xdr:from>
      <xdr:col>20</xdr:col>
      <xdr:colOff>11206</xdr:colOff>
      <xdr:row>144</xdr:row>
      <xdr:rowOff>11204</xdr:rowOff>
    </xdr:from>
    <xdr:to>
      <xdr:col>26</xdr:col>
      <xdr:colOff>11206</xdr:colOff>
      <xdr:row>148</xdr:row>
      <xdr:rowOff>11204</xdr:rowOff>
    </xdr:to>
    <xdr:sp macro="" textlink="" fLocksText="0">
      <xdr:nvSpPr>
        <xdr:cNvPr id="194" name="正方形/長方形 1">
          <a:extLst>
            <a:ext uri="{FF2B5EF4-FFF2-40B4-BE49-F238E27FC236}">
              <a16:creationId xmlns:a16="http://schemas.microsoft.com/office/drawing/2014/main" id="{00000000-0008-0000-0400-0000C2000000}"/>
            </a:ext>
          </a:extLst>
        </xdr:cNvPr>
        <xdr:cNvSpPr/>
      </xdr:nvSpPr>
      <xdr:spPr>
        <a:xfrm>
          <a:off x="5343525" y="27555825"/>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検索条件のバリデーションチェック</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No data found</a:t>
          </a:r>
        </a:p>
      </xdr:txBody>
    </xdr:sp>
    <xdr:clientData/>
  </xdr:twoCellAnchor>
  <xdr:twoCellAnchor>
    <xdr:from>
      <xdr:col>21</xdr:col>
      <xdr:colOff>235321</xdr:colOff>
      <xdr:row>148</xdr:row>
      <xdr:rowOff>11204</xdr:rowOff>
    </xdr:from>
    <xdr:to>
      <xdr:col>23</xdr:col>
      <xdr:colOff>235321</xdr:colOff>
      <xdr:row>149</xdr:row>
      <xdr:rowOff>0</xdr:rowOff>
    </xdr:to>
    <xdr:sp macro="" textlink="" fLocksText="0">
      <xdr:nvSpPr>
        <xdr:cNvPr id="195" name="四角形: 角を丸くする 294">
          <a:extLst>
            <a:ext uri="{FF2B5EF4-FFF2-40B4-BE49-F238E27FC236}">
              <a16:creationId xmlns:a16="http://schemas.microsoft.com/office/drawing/2014/main" id="{00000000-0008-0000-0400-0000C3000000}"/>
            </a:ext>
          </a:extLst>
        </xdr:cNvPr>
        <xdr:cNvSpPr/>
      </xdr:nvSpPr>
      <xdr:spPr>
        <a:xfrm>
          <a:off x="5838825" y="28317825"/>
          <a:ext cx="533400" cy="1809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ja-JP" altLang="en-US" sz="11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9</xdr:col>
      <xdr:colOff>11200</xdr:colOff>
      <xdr:row>141</xdr:row>
      <xdr:rowOff>0</xdr:rowOff>
    </xdr:from>
    <xdr:to>
      <xdr:col>12</xdr:col>
      <xdr:colOff>224117</xdr:colOff>
      <xdr:row>142</xdr:row>
      <xdr:rowOff>22412</xdr:rowOff>
    </xdr:to>
    <xdr:sp macro="" textlink="" fLocksText="0">
      <xdr:nvSpPr>
        <xdr:cNvPr id="199" name="四角形: 角を丸くする 294">
          <a:extLst>
            <a:ext uri="{FF2B5EF4-FFF2-40B4-BE49-F238E27FC236}">
              <a16:creationId xmlns:a16="http://schemas.microsoft.com/office/drawing/2014/main" id="{00000000-0008-0000-0400-0000C7000000}"/>
            </a:ext>
          </a:extLst>
        </xdr:cNvPr>
        <xdr:cNvSpPr/>
      </xdr:nvSpPr>
      <xdr:spPr>
        <a:xfrm>
          <a:off x="2409825" y="26974800"/>
          <a:ext cx="1019175" cy="20955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1件</a:t>
          </a:r>
        </a:p>
      </xdr:txBody>
    </xdr:sp>
    <xdr:clientData/>
  </xdr:twoCellAnchor>
  <xdr:twoCellAnchor>
    <xdr:from>
      <xdr:col>15</xdr:col>
      <xdr:colOff>11207</xdr:colOff>
      <xdr:row>141</xdr:row>
      <xdr:rowOff>0</xdr:rowOff>
    </xdr:from>
    <xdr:to>
      <xdr:col>19</xdr:col>
      <xdr:colOff>11207</xdr:colOff>
      <xdr:row>142</xdr:row>
      <xdr:rowOff>11205</xdr:rowOff>
    </xdr:to>
    <xdr:sp macro="" textlink="" fLocksText="0">
      <xdr:nvSpPr>
        <xdr:cNvPr id="200" name="四角形: 角を丸くする 294">
          <a:extLst>
            <a:ext uri="{FF2B5EF4-FFF2-40B4-BE49-F238E27FC236}">
              <a16:creationId xmlns:a16="http://schemas.microsoft.com/office/drawing/2014/main" id="{00000000-0008-0000-0400-0000C8000000}"/>
            </a:ext>
          </a:extLst>
        </xdr:cNvPr>
        <xdr:cNvSpPr/>
      </xdr:nvSpPr>
      <xdr:spPr>
        <a:xfrm>
          <a:off x="4010025" y="26974800"/>
          <a:ext cx="10668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n件</a:t>
          </a:r>
        </a:p>
      </xdr:txBody>
    </xdr:sp>
    <xdr:clientData/>
  </xdr:twoCellAnchor>
  <xdr:twoCellAnchor>
    <xdr:from>
      <xdr:col>21</xdr:col>
      <xdr:colOff>11206</xdr:colOff>
      <xdr:row>141</xdr:row>
      <xdr:rowOff>0</xdr:rowOff>
    </xdr:from>
    <xdr:to>
      <xdr:col>25</xdr:col>
      <xdr:colOff>11206</xdr:colOff>
      <xdr:row>142</xdr:row>
      <xdr:rowOff>11206</xdr:rowOff>
    </xdr:to>
    <xdr:sp macro="" textlink="" fLocksText="0">
      <xdr:nvSpPr>
        <xdr:cNvPr id="201" name="四角形: 角を丸くする 294">
          <a:extLst>
            <a:ext uri="{FF2B5EF4-FFF2-40B4-BE49-F238E27FC236}">
              <a16:creationId xmlns:a16="http://schemas.microsoft.com/office/drawing/2014/main" id="{00000000-0008-0000-0400-0000C9000000}"/>
            </a:ext>
          </a:extLst>
        </xdr:cNvPr>
        <xdr:cNvSpPr/>
      </xdr:nvSpPr>
      <xdr:spPr>
        <a:xfrm>
          <a:off x="5610225" y="26974800"/>
          <a:ext cx="10668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000000"/>
              </a:solidFill>
              <a:latin typeface="Meiryo UI" panose="020B0604030504040204" pitchFamily="34" charset="-128"/>
              <a:ea typeface="Meiryo UI" panose="020B0604030504040204" pitchFamily="34" charset="-128"/>
            </a:rPr>
            <a:t>0件</a:t>
          </a:r>
        </a:p>
      </xdr:txBody>
    </xdr:sp>
    <xdr:clientData/>
  </xdr:twoCellAnchor>
  <xdr:twoCellAnchor>
    <xdr:from>
      <xdr:col>10</xdr:col>
      <xdr:colOff>235322</xdr:colOff>
      <xdr:row>139</xdr:row>
      <xdr:rowOff>0</xdr:rowOff>
    </xdr:from>
    <xdr:to>
      <xdr:col>17</xdr:col>
      <xdr:colOff>11189</xdr:colOff>
      <xdr:row>140</xdr:row>
      <xdr:rowOff>190499</xdr:rowOff>
    </xdr:to>
    <xdr:cxnSp macro="">
      <xdr:nvCxnSpPr>
        <xdr:cNvPr id="202" name="Connector: Elbow 201">
          <a:extLst>
            <a:ext uri="{FF2B5EF4-FFF2-40B4-BE49-F238E27FC236}">
              <a16:creationId xmlns:a16="http://schemas.microsoft.com/office/drawing/2014/main" id="{00000000-0008-0000-0400-0000CA000000}"/>
            </a:ext>
          </a:extLst>
        </xdr:cNvPr>
        <xdr:cNvCxnSpPr>
          <a:stCxn id="181" idx="2"/>
          <a:endCxn id="199" idx="0"/>
        </xdr:cNvCxnSpPr>
      </xdr:nvCxnSpPr>
      <xdr:spPr>
        <a:xfrm rot="5400000">
          <a:off x="2905125" y="26593800"/>
          <a:ext cx="1638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11188</xdr:colOff>
      <xdr:row>139</xdr:row>
      <xdr:rowOff>0</xdr:rowOff>
    </xdr:from>
    <xdr:to>
      <xdr:col>23</xdr:col>
      <xdr:colOff>11206</xdr:colOff>
      <xdr:row>140</xdr:row>
      <xdr:rowOff>190499</xdr:rowOff>
    </xdr:to>
    <xdr:cxnSp macro="">
      <xdr:nvCxnSpPr>
        <xdr:cNvPr id="205" name="Connector: Elbow 204">
          <a:extLst>
            <a:ext uri="{FF2B5EF4-FFF2-40B4-BE49-F238E27FC236}">
              <a16:creationId xmlns:a16="http://schemas.microsoft.com/office/drawing/2014/main" id="{00000000-0008-0000-0400-0000CD000000}"/>
            </a:ext>
          </a:extLst>
        </xdr:cNvPr>
        <xdr:cNvCxnSpPr>
          <a:stCxn id="181" idx="2"/>
          <a:endCxn id="201" idx="0"/>
        </xdr:cNvCxnSpPr>
      </xdr:nvCxnSpPr>
      <xdr:spPr>
        <a:xfrm rot="16200000" flipH="1">
          <a:off x="4543425" y="265938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11188</xdr:colOff>
      <xdr:row>139</xdr:row>
      <xdr:rowOff>1</xdr:rowOff>
    </xdr:from>
    <xdr:to>
      <xdr:col>17</xdr:col>
      <xdr:colOff>11207</xdr:colOff>
      <xdr:row>141</xdr:row>
      <xdr:rowOff>0</xdr:rowOff>
    </xdr:to>
    <xdr:cxnSp macro="">
      <xdr:nvCxnSpPr>
        <xdr:cNvPr id="218" name="直線矢印コネクタ 1010">
          <a:extLst>
            <a:ext uri="{FF2B5EF4-FFF2-40B4-BE49-F238E27FC236}">
              <a16:creationId xmlns:a16="http://schemas.microsoft.com/office/drawing/2014/main" id="{00000000-0008-0000-0400-0000DA000000}"/>
            </a:ext>
          </a:extLst>
        </xdr:cNvPr>
        <xdr:cNvCxnSpPr>
          <a:stCxn id="181" idx="2"/>
          <a:endCxn id="200" idx="0"/>
        </xdr:cNvCxnSpPr>
      </xdr:nvCxnSpPr>
      <xdr:spPr>
        <a:xfrm>
          <a:off x="4543425" y="26593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11203</xdr:colOff>
      <xdr:row>142</xdr:row>
      <xdr:rowOff>22413</xdr:rowOff>
    </xdr:from>
    <xdr:to>
      <xdr:col>10</xdr:col>
      <xdr:colOff>235321</xdr:colOff>
      <xdr:row>146</xdr:row>
      <xdr:rowOff>3</xdr:rowOff>
    </xdr:to>
    <xdr:cxnSp macro="">
      <xdr:nvCxnSpPr>
        <xdr:cNvPr id="222" name="Connector: Elbow 221">
          <a:extLst>
            <a:ext uri="{FF2B5EF4-FFF2-40B4-BE49-F238E27FC236}">
              <a16:creationId xmlns:a16="http://schemas.microsoft.com/office/drawing/2014/main" id="{00000000-0008-0000-0400-0000DE000000}"/>
            </a:ext>
          </a:extLst>
        </xdr:cNvPr>
        <xdr:cNvCxnSpPr>
          <a:stCxn id="199" idx="2"/>
          <a:endCxn id="191" idx="0"/>
        </xdr:cNvCxnSpPr>
      </xdr:nvCxnSpPr>
      <xdr:spPr>
        <a:xfrm rot="5400000">
          <a:off x="1076325" y="27184350"/>
          <a:ext cx="1828800" cy="7429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11188</xdr:colOff>
      <xdr:row>126</xdr:row>
      <xdr:rowOff>2</xdr:rowOff>
    </xdr:from>
    <xdr:to>
      <xdr:col>17</xdr:col>
      <xdr:colOff>11207</xdr:colOff>
      <xdr:row>142</xdr:row>
      <xdr:rowOff>11206</xdr:rowOff>
    </xdr:to>
    <xdr:cxnSp macro="">
      <xdr:nvCxnSpPr>
        <xdr:cNvPr id="225" name="Connector: Elbow 224">
          <a:extLst>
            <a:ext uri="{FF2B5EF4-FFF2-40B4-BE49-F238E27FC236}">
              <a16:creationId xmlns:a16="http://schemas.microsoft.com/office/drawing/2014/main" id="{00000000-0008-0000-0400-0000E1000000}"/>
            </a:ext>
          </a:extLst>
        </xdr:cNvPr>
        <xdr:cNvCxnSpPr>
          <a:stCxn id="200" idx="2"/>
          <a:endCxn id="178" idx="1"/>
        </xdr:cNvCxnSpPr>
      </xdr:nvCxnSpPr>
      <xdr:spPr>
        <a:xfrm rot="5400000" flipH="1">
          <a:off x="276225" y="24117300"/>
          <a:ext cx="4267200" cy="3057525"/>
        </a:xfrm>
        <a:prstGeom prst="bentConnector4">
          <a:avLst>
            <a:gd name="adj1" fmla="val -43370"/>
            <a:gd name="adj2" fmla="val 10369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23</xdr:col>
      <xdr:colOff>11206</xdr:colOff>
      <xdr:row>142</xdr:row>
      <xdr:rowOff>11206</xdr:rowOff>
    </xdr:from>
    <xdr:to>
      <xdr:col>23</xdr:col>
      <xdr:colOff>11207</xdr:colOff>
      <xdr:row>144</xdr:row>
      <xdr:rowOff>11204</xdr:rowOff>
    </xdr:to>
    <xdr:cxnSp macro="">
      <xdr:nvCxnSpPr>
        <xdr:cNvPr id="234" name="直線矢印コネクタ 1010">
          <a:extLst>
            <a:ext uri="{FF2B5EF4-FFF2-40B4-BE49-F238E27FC236}">
              <a16:creationId xmlns:a16="http://schemas.microsoft.com/office/drawing/2014/main" id="{00000000-0008-0000-0400-0000EA000000}"/>
            </a:ext>
          </a:extLst>
        </xdr:cNvPr>
        <xdr:cNvCxnSpPr>
          <a:stCxn id="201" idx="2"/>
          <a:endCxn id="194" idx="0"/>
        </xdr:cNvCxnSpPr>
      </xdr:nvCxnSpPr>
      <xdr:spPr>
        <a:xfrm>
          <a:off x="6143625" y="27174825"/>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11206</xdr:colOff>
      <xdr:row>112</xdr:row>
      <xdr:rowOff>11206</xdr:rowOff>
    </xdr:from>
    <xdr:to>
      <xdr:col>20</xdr:col>
      <xdr:colOff>11205</xdr:colOff>
      <xdr:row>116</xdr:row>
      <xdr:rowOff>11206</xdr:rowOff>
    </xdr:to>
    <xdr:sp macro="" textlink="" fLocksText="0">
      <xdr:nvSpPr>
        <xdr:cNvPr id="249" name="正方形/長方形 1">
          <a:extLst>
            <a:ext uri="{FF2B5EF4-FFF2-40B4-BE49-F238E27FC236}">
              <a16:creationId xmlns:a16="http://schemas.microsoft.com/office/drawing/2014/main" id="{00000000-0008-0000-0400-0000F9000000}"/>
            </a:ext>
          </a:extLst>
        </xdr:cNvPr>
        <xdr:cNvSpPr/>
      </xdr:nvSpPr>
      <xdr:spPr>
        <a:xfrm>
          <a:off x="3743325" y="21459825"/>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vi-VN"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検索条件バリデーションチェック</a:t>
          </a:r>
        </a:p>
      </xdr:txBody>
    </xdr:sp>
    <xdr:clientData/>
  </xdr:twoCellAnchor>
  <xdr:twoCellAnchor>
    <xdr:from>
      <xdr:col>17</xdr:col>
      <xdr:colOff>11192</xdr:colOff>
      <xdr:row>109</xdr:row>
      <xdr:rowOff>190497</xdr:rowOff>
    </xdr:from>
    <xdr:to>
      <xdr:col>17</xdr:col>
      <xdr:colOff>11206</xdr:colOff>
      <xdr:row>112</xdr:row>
      <xdr:rowOff>11206</xdr:rowOff>
    </xdr:to>
    <xdr:cxnSp macro="">
      <xdr:nvCxnSpPr>
        <xdr:cNvPr id="250" name="直線矢印コネクタ 1010">
          <a:extLst>
            <a:ext uri="{FF2B5EF4-FFF2-40B4-BE49-F238E27FC236}">
              <a16:creationId xmlns:a16="http://schemas.microsoft.com/office/drawing/2014/main" id="{00000000-0008-0000-0400-0000FA000000}"/>
            </a:ext>
          </a:extLst>
        </xdr:cNvPr>
        <xdr:cNvCxnSpPr>
          <a:stCxn id="136" idx="2"/>
          <a:endCxn id="249" idx="0"/>
        </xdr:cNvCxnSpPr>
      </xdr:nvCxnSpPr>
      <xdr:spPr>
        <a:xfrm>
          <a:off x="4543425" y="21069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116</xdr:row>
      <xdr:rowOff>22412</xdr:rowOff>
    </xdr:from>
    <xdr:to>
      <xdr:col>18</xdr:col>
      <xdr:colOff>0</xdr:colOff>
      <xdr:row>117</xdr:row>
      <xdr:rowOff>0</xdr:rowOff>
    </xdr:to>
    <xdr:sp macro="" textlink="" fLocksText="0">
      <xdr:nvSpPr>
        <xdr:cNvPr id="253" name="四角形: 角を丸くする 294">
          <a:extLst>
            <a:ext uri="{FF2B5EF4-FFF2-40B4-BE49-F238E27FC236}">
              <a16:creationId xmlns:a16="http://schemas.microsoft.com/office/drawing/2014/main" id="{00000000-0008-0000-0400-0000FD000000}"/>
            </a:ext>
          </a:extLst>
        </xdr:cNvPr>
        <xdr:cNvSpPr/>
      </xdr:nvSpPr>
      <xdr:spPr>
        <a:xfrm>
          <a:off x="4267200" y="22231350"/>
          <a:ext cx="533400" cy="17145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ja-JP" altLang="en-US" sz="11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94</xdr:row>
      <xdr:rowOff>0</xdr:rowOff>
    </xdr:from>
    <xdr:to>
      <xdr:col>61</xdr:col>
      <xdr:colOff>0</xdr:colOff>
      <xdr:row>100</xdr:row>
      <xdr:rowOff>2</xdr:rowOff>
    </xdr:to>
    <xdr:sp macro="" textlink="" fLocksText="0">
      <xdr:nvSpPr>
        <xdr:cNvPr id="51" name="吹き出し: 線 3">
          <a:extLst>
            <a:ext uri="{FF2B5EF4-FFF2-40B4-BE49-F238E27FC236}">
              <a16:creationId xmlns:a16="http://schemas.microsoft.com/office/drawing/2014/main" id="{00000000-0008-0000-0400-000033000000}"/>
            </a:ext>
          </a:extLst>
        </xdr:cNvPr>
        <xdr:cNvSpPr/>
      </xdr:nvSpPr>
      <xdr:spPr>
        <a:xfrm>
          <a:off x="10134600" y="18021300"/>
          <a:ext cx="6134100" cy="1143000"/>
        </a:xfrm>
        <a:prstGeom prst="borderCallout1">
          <a:avLst>
            <a:gd name="adj1" fmla="val 50736"/>
            <a:gd name="adj2" fmla="val 56"/>
            <a:gd name="adj3" fmla="val 49680"/>
            <a:gd name="adj4" fmla="val -13461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 プロモーションコードの検索項目の形式が不正の場合：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‣数字ではないコードを入力した場合、「プロモーションコードは数字を入力してください。」が表示される。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‣5桁より大きいコードを入力した場合、「プロモーションコードの長さは5桁以下にしてくださ い。」が表示される。</a:t>
          </a:r>
        </a:p>
      </xdr:txBody>
    </xdr:sp>
    <xdr:clientData/>
  </xdr:twoCellAnchor>
  <xdr:twoCellAnchor>
    <xdr:from>
      <xdr:col>38</xdr:col>
      <xdr:colOff>0</xdr:colOff>
      <xdr:row>144</xdr:row>
      <xdr:rowOff>0</xdr:rowOff>
    </xdr:from>
    <xdr:to>
      <xdr:col>61</xdr:col>
      <xdr:colOff>0</xdr:colOff>
      <xdr:row>153</xdr:row>
      <xdr:rowOff>179293</xdr:rowOff>
    </xdr:to>
    <xdr:sp macro="" textlink="" fLocksText="0">
      <xdr:nvSpPr>
        <xdr:cNvPr id="52" name="吹き出し: 線 3">
          <a:extLst>
            <a:ext uri="{FF2B5EF4-FFF2-40B4-BE49-F238E27FC236}">
              <a16:creationId xmlns:a16="http://schemas.microsoft.com/office/drawing/2014/main" id="{00000000-0008-0000-0400-000034000000}"/>
            </a:ext>
          </a:extLst>
        </xdr:cNvPr>
        <xdr:cNvSpPr/>
      </xdr:nvSpPr>
      <xdr:spPr>
        <a:xfrm>
          <a:off x="10134600" y="27546300"/>
          <a:ext cx="6134100" cy="1895475"/>
        </a:xfrm>
        <a:prstGeom prst="borderCallout1">
          <a:avLst>
            <a:gd name="adj1" fmla="val 19967"/>
            <a:gd name="adj2" fmla="val -151"/>
            <a:gd name="adj3" fmla="val 20476"/>
            <a:gd name="adj4" fmla="val -5180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▪入力された検索項目が満たされている (形式が不正ではない) が、満たすデータがない場合、「データが見つかりませんでした。」メッセージを含むエラーモーダルを表示する。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▪商品コードの検索項目のバリデーションチェック：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‣数字ではない部門コードを入力した場合、「部門コードは数字を入力してください。」が表示される。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‣2桁より大きい部門コードを入力した場合、「部門コードの長さは2桁以下にしてください。」が表示される。</a:t>
          </a:r>
        </a:p>
      </xdr:txBody>
    </xdr:sp>
    <xdr:clientData/>
  </xdr:twoCellAnchor>
  <xdr:twoCellAnchor>
    <xdr:from>
      <xdr:col>2</xdr:col>
      <xdr:colOff>0</xdr:colOff>
      <xdr:row>41</xdr:row>
      <xdr:rowOff>0</xdr:rowOff>
    </xdr:from>
    <xdr:to>
      <xdr:col>8</xdr:col>
      <xdr:colOff>0</xdr:colOff>
      <xdr:row>45</xdr:row>
      <xdr:rowOff>0</xdr:rowOff>
    </xdr:to>
    <xdr:sp macro="" textlink="" fLocksText="0">
      <xdr:nvSpPr>
        <xdr:cNvPr id="11" name="正方形/長方形 1">
          <a:extLst>
            <a:ext uri="{FF2B5EF4-FFF2-40B4-BE49-F238E27FC236}">
              <a16:creationId xmlns:a16="http://schemas.microsoft.com/office/drawing/2014/main" id="{00000000-0008-0000-0400-00000B000000}"/>
            </a:ext>
          </a:extLst>
        </xdr:cNvPr>
        <xdr:cNvSpPr/>
      </xdr:nvSpPr>
      <xdr:spPr>
        <a:xfrm>
          <a:off x="533400" y="7924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SC9501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セットマッチ設定画面</a:t>
          </a:r>
        </a:p>
      </xdr:txBody>
    </xdr:sp>
    <xdr:clientData/>
  </xdr:twoCellAnchor>
  <xdr:twoCellAnchor>
    <xdr:from>
      <xdr:col>5</xdr:col>
      <xdr:colOff>0</xdr:colOff>
      <xdr:row>62</xdr:row>
      <xdr:rowOff>11205</xdr:rowOff>
    </xdr:from>
    <xdr:to>
      <xdr:col>5</xdr:col>
      <xdr:colOff>0</xdr:colOff>
      <xdr:row>64</xdr:row>
      <xdr:rowOff>0</xdr:rowOff>
    </xdr:to>
    <xdr:cxnSp macro="">
      <xdr:nvCxnSpPr>
        <xdr:cNvPr id="57" name="直線矢印コネクタ 1010">
          <a:extLst>
            <a:ext uri="{FF2B5EF4-FFF2-40B4-BE49-F238E27FC236}">
              <a16:creationId xmlns:a16="http://schemas.microsoft.com/office/drawing/2014/main" id="{00000000-0008-0000-0400-000039000000}"/>
            </a:ext>
          </a:extLst>
        </xdr:cNvPr>
        <xdr:cNvCxnSpPr>
          <a:stCxn id="76" idx="2"/>
          <a:endCxn id="72" idx="0"/>
        </xdr:cNvCxnSpPr>
      </xdr:nvCxnSpPr>
      <xdr:spPr>
        <a:xfrm>
          <a:off x="1333500" y="11934825"/>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64</xdr:row>
      <xdr:rowOff>0</xdr:rowOff>
    </xdr:from>
    <xdr:to>
      <xdr:col>6</xdr:col>
      <xdr:colOff>0</xdr:colOff>
      <xdr:row>65</xdr:row>
      <xdr:rowOff>0</xdr:rowOff>
    </xdr:to>
    <xdr:sp macro="" textlink="" fLocksText="0">
      <xdr:nvSpPr>
        <xdr:cNvPr id="72" name="Rectangle: Rounded Corners 71">
          <a:extLst>
            <a:ext uri="{FF2B5EF4-FFF2-40B4-BE49-F238E27FC236}">
              <a16:creationId xmlns:a16="http://schemas.microsoft.com/office/drawing/2014/main" id="{00000000-0008-0000-0400-000048000000}"/>
            </a:ext>
          </a:extLst>
        </xdr:cNvPr>
        <xdr:cNvSpPr/>
      </xdr:nvSpPr>
      <xdr:spPr>
        <a:xfrm>
          <a:off x="1066800" y="12306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95.4 </a:t>
          </a:r>
        </a:p>
      </xdr:txBody>
    </xdr:sp>
    <xdr:clientData/>
  </xdr:twoCellAnchor>
  <xdr:twoCellAnchor>
    <xdr:from>
      <xdr:col>3</xdr:col>
      <xdr:colOff>0</xdr:colOff>
      <xdr:row>60</xdr:row>
      <xdr:rowOff>11207</xdr:rowOff>
    </xdr:from>
    <xdr:to>
      <xdr:col>7</xdr:col>
      <xdr:colOff>0</xdr:colOff>
      <xdr:row>62</xdr:row>
      <xdr:rowOff>11205</xdr:rowOff>
    </xdr:to>
    <xdr:sp macro="" textlink="" fLocksText="0">
      <xdr:nvSpPr>
        <xdr:cNvPr id="76" name="四角形: 角を丸くする 1101">
          <a:extLst>
            <a:ext uri="{FF2B5EF4-FFF2-40B4-BE49-F238E27FC236}">
              <a16:creationId xmlns:a16="http://schemas.microsoft.com/office/drawing/2014/main" id="{00000000-0008-0000-0400-00004C000000}"/>
            </a:ext>
          </a:extLst>
        </xdr:cNvPr>
        <xdr:cNvSpPr/>
      </xdr:nvSpPr>
      <xdr:spPr>
        <a:xfrm>
          <a:off x="800100" y="11553825"/>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800" b="0" i="0" u="none" baseline="0">
              <a:solidFill>
                <a:srgbClr val="FFFFFF"/>
              </a:solidFill>
              <a:latin typeface="Meiryo UI" panose="020B0604030504040204" pitchFamily="34" charset="-128"/>
              <a:ea typeface="Meiryo UI" panose="020B0604030504040204" pitchFamily="34" charset="-128"/>
            </a:rPr>
            <a:t>新規</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58</xdr:row>
      <xdr:rowOff>0</xdr:rowOff>
    </xdr:from>
    <xdr:to>
      <xdr:col>5</xdr:col>
      <xdr:colOff>0</xdr:colOff>
      <xdr:row>60</xdr:row>
      <xdr:rowOff>11207</xdr:rowOff>
    </xdr:to>
    <xdr:cxnSp macro="">
      <xdr:nvCxnSpPr>
        <xdr:cNvPr id="77" name="直線矢印コネクタ 1010">
          <a:extLst>
            <a:ext uri="{FF2B5EF4-FFF2-40B4-BE49-F238E27FC236}">
              <a16:creationId xmlns:a16="http://schemas.microsoft.com/office/drawing/2014/main" id="{00000000-0008-0000-0400-00004D000000}"/>
            </a:ext>
          </a:extLst>
        </xdr:cNvPr>
        <xdr:cNvCxnSpPr>
          <a:stCxn id="175" idx="2"/>
          <a:endCxn id="76" idx="0"/>
        </xdr:cNvCxnSpPr>
      </xdr:nvCxnSpPr>
      <xdr:spPr>
        <a:xfrm>
          <a:off x="1333500" y="11163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60</xdr:row>
      <xdr:rowOff>1</xdr:rowOff>
    </xdr:from>
    <xdr:to>
      <xdr:col>14</xdr:col>
      <xdr:colOff>0</xdr:colOff>
      <xdr:row>62</xdr:row>
      <xdr:rowOff>1</xdr:rowOff>
    </xdr:to>
    <xdr:sp macro="" textlink="" fLocksText="0">
      <xdr:nvSpPr>
        <xdr:cNvPr id="82" name="四角形: 角を丸くする 1101">
          <a:extLst>
            <a:ext uri="{FF2B5EF4-FFF2-40B4-BE49-F238E27FC236}">
              <a16:creationId xmlns:a16="http://schemas.microsoft.com/office/drawing/2014/main" id="{00000000-0008-0000-0400-000052000000}"/>
            </a:ext>
          </a:extLst>
        </xdr:cNvPr>
        <xdr:cNvSpPr/>
      </xdr:nvSpPr>
      <xdr:spPr>
        <a:xfrm>
          <a:off x="2667000" y="11544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800" b="0" i="0" u="none" baseline="0">
              <a:solidFill>
                <a:srgbClr val="FFFFFF"/>
              </a:solidFill>
              <a:latin typeface="Meiryo UI" panose="020B0604030504040204" pitchFamily="34" charset="-128"/>
              <a:ea typeface="Meiryo UI" panose="020B0604030504040204" pitchFamily="34" charset="-128"/>
            </a:rPr>
            <a:t>編集</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1</xdr:colOff>
      <xdr:row>57</xdr:row>
      <xdr:rowOff>190499</xdr:rowOff>
    </xdr:from>
    <xdr:to>
      <xdr:col>12</xdr:col>
      <xdr:colOff>1</xdr:colOff>
      <xdr:row>60</xdr:row>
      <xdr:rowOff>0</xdr:rowOff>
    </xdr:to>
    <xdr:cxnSp macro="">
      <xdr:nvCxnSpPr>
        <xdr:cNvPr id="83" name="Connector: Elbow 82">
          <a:extLst>
            <a:ext uri="{FF2B5EF4-FFF2-40B4-BE49-F238E27FC236}">
              <a16:creationId xmlns:a16="http://schemas.microsoft.com/office/drawing/2014/main" id="{00000000-0008-0000-0400-000053000000}"/>
            </a:ext>
          </a:extLst>
        </xdr:cNvPr>
        <xdr:cNvCxnSpPr>
          <a:stCxn id="175" idx="2"/>
          <a:endCxn id="82" idx="0"/>
        </xdr:cNvCxnSpPr>
      </xdr:nvCxnSpPr>
      <xdr:spPr>
        <a:xfrm rot="16200000" flipH="1">
          <a:off x="1333500" y="11163300"/>
          <a:ext cx="18669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0</xdr:colOff>
      <xdr:row>60</xdr:row>
      <xdr:rowOff>0</xdr:rowOff>
    </xdr:from>
    <xdr:to>
      <xdr:col>21</xdr:col>
      <xdr:colOff>0</xdr:colOff>
      <xdr:row>61</xdr:row>
      <xdr:rowOff>190498</xdr:rowOff>
    </xdr:to>
    <xdr:sp macro="" textlink="" fLocksText="0">
      <xdr:nvSpPr>
        <xdr:cNvPr id="90" name="四角形: 角を丸くする 1101">
          <a:extLst>
            <a:ext uri="{FF2B5EF4-FFF2-40B4-BE49-F238E27FC236}">
              <a16:creationId xmlns:a16="http://schemas.microsoft.com/office/drawing/2014/main" id="{00000000-0008-0000-0400-00005A000000}"/>
            </a:ext>
          </a:extLst>
        </xdr:cNvPr>
        <xdr:cNvSpPr/>
      </xdr:nvSpPr>
      <xdr:spPr>
        <a:xfrm>
          <a:off x="4533900" y="11544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800" b="0" i="0" u="none" baseline="0">
              <a:solidFill>
                <a:srgbClr val="FFFFFF"/>
              </a:solidFill>
              <a:latin typeface="Meiryo UI" panose="020B0604030504040204" pitchFamily="34" charset="-128"/>
              <a:ea typeface="Meiryo UI" panose="020B0604030504040204" pitchFamily="34" charset="-128"/>
            </a:rPr>
            <a:t>クリア</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58</xdr:row>
      <xdr:rowOff>0</xdr:rowOff>
    </xdr:from>
    <xdr:to>
      <xdr:col>18</xdr:col>
      <xdr:colOff>235322</xdr:colOff>
      <xdr:row>60</xdr:row>
      <xdr:rowOff>0</xdr:rowOff>
    </xdr:to>
    <xdr:cxnSp macro="">
      <xdr:nvCxnSpPr>
        <xdr:cNvPr id="91" name="Connector: Elbow 90">
          <a:extLst>
            <a:ext uri="{FF2B5EF4-FFF2-40B4-BE49-F238E27FC236}">
              <a16:creationId xmlns:a16="http://schemas.microsoft.com/office/drawing/2014/main" id="{00000000-0008-0000-0400-00005B000000}"/>
            </a:ext>
          </a:extLst>
        </xdr:cNvPr>
        <xdr:cNvCxnSpPr>
          <a:stCxn id="175" idx="2"/>
          <a:endCxn id="90" idx="0"/>
        </xdr:cNvCxnSpPr>
      </xdr:nvCxnSpPr>
      <xdr:spPr>
        <a:xfrm rot="16200000" flipH="1">
          <a:off x="1304925" y="11163300"/>
          <a:ext cx="37338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0</xdr:colOff>
      <xdr:row>61</xdr:row>
      <xdr:rowOff>190498</xdr:rowOff>
    </xdr:from>
    <xdr:to>
      <xdr:col>19</xdr:col>
      <xdr:colOff>1</xdr:colOff>
      <xdr:row>64</xdr:row>
      <xdr:rowOff>11206</xdr:rowOff>
    </xdr:to>
    <xdr:cxnSp macro="">
      <xdr:nvCxnSpPr>
        <xdr:cNvPr id="92" name="直線矢印コネクタ 1010">
          <a:extLst>
            <a:ext uri="{FF2B5EF4-FFF2-40B4-BE49-F238E27FC236}">
              <a16:creationId xmlns:a16="http://schemas.microsoft.com/office/drawing/2014/main" id="{00000000-0008-0000-0400-00005C000000}"/>
            </a:ext>
          </a:extLst>
        </xdr:cNvPr>
        <xdr:cNvCxnSpPr>
          <a:stCxn id="90" idx="2"/>
          <a:endCxn id="93" idx="0"/>
        </xdr:cNvCxnSpPr>
      </xdr:nvCxnSpPr>
      <xdr:spPr>
        <a:xfrm>
          <a:off x="5067300" y="11925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0</xdr:colOff>
      <xdr:row>64</xdr:row>
      <xdr:rowOff>11206</xdr:rowOff>
    </xdr:from>
    <xdr:to>
      <xdr:col>20</xdr:col>
      <xdr:colOff>0</xdr:colOff>
      <xdr:row>65</xdr:row>
      <xdr:rowOff>11206</xdr:rowOff>
    </xdr:to>
    <xdr:sp macro="" textlink="" fLocksText="0">
      <xdr:nvSpPr>
        <xdr:cNvPr id="93" name="Rectangle: Rounded Corners 92">
          <a:extLst>
            <a:ext uri="{FF2B5EF4-FFF2-40B4-BE49-F238E27FC236}">
              <a16:creationId xmlns:a16="http://schemas.microsoft.com/office/drawing/2014/main" id="{00000000-0008-0000-0400-00005D000000}"/>
            </a:ext>
          </a:extLst>
        </xdr:cNvPr>
        <xdr:cNvSpPr/>
      </xdr:nvSpPr>
      <xdr:spPr>
        <a:xfrm>
          <a:off x="4800600" y="123158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95.5</a:t>
          </a:r>
        </a:p>
      </xdr:txBody>
    </xdr:sp>
    <xdr:clientData/>
  </xdr:twoCellAnchor>
  <xdr:twoCellAnchor>
    <xdr:from>
      <xdr:col>24</xdr:col>
      <xdr:colOff>0</xdr:colOff>
      <xdr:row>60</xdr:row>
      <xdr:rowOff>1</xdr:rowOff>
    </xdr:from>
    <xdr:to>
      <xdr:col>28</xdr:col>
      <xdr:colOff>0</xdr:colOff>
      <xdr:row>61</xdr:row>
      <xdr:rowOff>190499</xdr:rowOff>
    </xdr:to>
    <xdr:sp macro="" textlink="" fLocksText="0">
      <xdr:nvSpPr>
        <xdr:cNvPr id="99" name="四角形: 角を丸くする 1101">
          <a:extLst>
            <a:ext uri="{FF2B5EF4-FFF2-40B4-BE49-F238E27FC236}">
              <a16:creationId xmlns:a16="http://schemas.microsoft.com/office/drawing/2014/main" id="{00000000-0008-0000-0400-000063000000}"/>
            </a:ext>
          </a:extLst>
        </xdr:cNvPr>
        <xdr:cNvSpPr/>
      </xdr:nvSpPr>
      <xdr:spPr>
        <a:xfrm>
          <a:off x="6400800" y="11544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800" b="0" i="0" u="none" baseline="0">
              <a:solidFill>
                <a:srgbClr val="FFFFFF"/>
              </a:solidFill>
              <a:latin typeface="Meiryo UI" panose="020B0604030504040204" pitchFamily="34" charset="-128"/>
              <a:ea typeface="Meiryo UI" panose="020B0604030504040204" pitchFamily="34" charset="-128"/>
            </a:rPr>
            <a:t>確定</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1</xdr:colOff>
      <xdr:row>57</xdr:row>
      <xdr:rowOff>190499</xdr:rowOff>
    </xdr:from>
    <xdr:to>
      <xdr:col>26</xdr:col>
      <xdr:colOff>1</xdr:colOff>
      <xdr:row>60</xdr:row>
      <xdr:rowOff>0</xdr:rowOff>
    </xdr:to>
    <xdr:cxnSp macro="">
      <xdr:nvCxnSpPr>
        <xdr:cNvPr id="100" name="Connector: Elbow 99">
          <a:extLst>
            <a:ext uri="{FF2B5EF4-FFF2-40B4-BE49-F238E27FC236}">
              <a16:creationId xmlns:a16="http://schemas.microsoft.com/office/drawing/2014/main" id="{00000000-0008-0000-0400-000064000000}"/>
            </a:ext>
          </a:extLst>
        </xdr:cNvPr>
        <xdr:cNvCxnSpPr>
          <a:stCxn id="175" idx="2"/>
          <a:endCxn id="99" idx="0"/>
        </xdr:cNvCxnSpPr>
      </xdr:nvCxnSpPr>
      <xdr:spPr>
        <a:xfrm rot="16200000" flipH="1">
          <a:off x="1333500" y="11163300"/>
          <a:ext cx="56007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26</xdr:col>
      <xdr:colOff>0</xdr:colOff>
      <xdr:row>61</xdr:row>
      <xdr:rowOff>190499</xdr:rowOff>
    </xdr:from>
    <xdr:to>
      <xdr:col>26</xdr:col>
      <xdr:colOff>1</xdr:colOff>
      <xdr:row>64</xdr:row>
      <xdr:rowOff>11207</xdr:rowOff>
    </xdr:to>
    <xdr:cxnSp macro="">
      <xdr:nvCxnSpPr>
        <xdr:cNvPr id="101" name="直線矢印コネクタ 1010">
          <a:extLst>
            <a:ext uri="{FF2B5EF4-FFF2-40B4-BE49-F238E27FC236}">
              <a16:creationId xmlns:a16="http://schemas.microsoft.com/office/drawing/2014/main" id="{00000000-0008-0000-0400-000065000000}"/>
            </a:ext>
          </a:extLst>
        </xdr:cNvPr>
        <xdr:cNvCxnSpPr>
          <a:stCxn id="99" idx="2"/>
          <a:endCxn id="102" idx="0"/>
        </xdr:cNvCxnSpPr>
      </xdr:nvCxnSpPr>
      <xdr:spPr>
        <a:xfrm>
          <a:off x="6934200" y="11925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25</xdr:col>
      <xdr:colOff>1</xdr:colOff>
      <xdr:row>64</xdr:row>
      <xdr:rowOff>11207</xdr:rowOff>
    </xdr:from>
    <xdr:to>
      <xdr:col>27</xdr:col>
      <xdr:colOff>1</xdr:colOff>
      <xdr:row>65</xdr:row>
      <xdr:rowOff>11207</xdr:rowOff>
    </xdr:to>
    <xdr:sp macro="" textlink="" fLocksText="0">
      <xdr:nvSpPr>
        <xdr:cNvPr id="102" name="Rectangle: Rounded Corners 101">
          <a:extLst>
            <a:ext uri="{FF2B5EF4-FFF2-40B4-BE49-F238E27FC236}">
              <a16:creationId xmlns:a16="http://schemas.microsoft.com/office/drawing/2014/main" id="{00000000-0008-0000-0400-000066000000}"/>
            </a:ext>
          </a:extLst>
        </xdr:cNvPr>
        <xdr:cNvSpPr/>
      </xdr:nvSpPr>
      <xdr:spPr>
        <a:xfrm>
          <a:off x="6667500" y="123158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95.6</a:t>
          </a:r>
        </a:p>
      </xdr:txBody>
    </xdr:sp>
    <xdr:clientData/>
  </xdr:twoCellAnchor>
  <xdr:twoCellAnchor>
    <xdr:from>
      <xdr:col>38</xdr:col>
      <xdr:colOff>0</xdr:colOff>
      <xdr:row>40</xdr:row>
      <xdr:rowOff>0</xdr:rowOff>
    </xdr:from>
    <xdr:to>
      <xdr:col>61</xdr:col>
      <xdr:colOff>0</xdr:colOff>
      <xdr:row>88</xdr:row>
      <xdr:rowOff>0</xdr:rowOff>
    </xdr:to>
    <xdr:sp macro="" textlink="" fLocksText="0">
      <xdr:nvSpPr>
        <xdr:cNvPr id="104" name="吹き出し: 線 2">
          <a:extLst>
            <a:ext uri="{FF2B5EF4-FFF2-40B4-BE49-F238E27FC236}">
              <a16:creationId xmlns:a16="http://schemas.microsoft.com/office/drawing/2014/main" id="{00000000-0008-0000-0400-000068000000}"/>
            </a:ext>
          </a:extLst>
        </xdr:cNvPr>
        <xdr:cNvSpPr/>
      </xdr:nvSpPr>
      <xdr:spPr>
        <a:xfrm>
          <a:off x="10134600" y="7734300"/>
          <a:ext cx="6134100" cy="9144000"/>
        </a:xfrm>
        <a:prstGeom prst="borderCallout1">
          <a:avLst>
            <a:gd name="adj1" fmla="val 6367"/>
            <a:gd name="adj2" fmla="val -358"/>
            <a:gd name="adj3" fmla="val 6412"/>
            <a:gd name="adj4" fmla="val -13030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 画面初期化の場合 </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‣以下のボタンを無効にする。「新規」、「F04:クリア」、「F09: 確定」</a:t>
          </a:r>
        </a:p>
        <a:p>
          <a:pPr>
            <a:defRPr lang="vi-VN"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‣「検索」ボタン（プロモーション）、「検索」ボタン（セットマッチ情報）を有効にする。</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‣商品情報表示一覧エリアを無効にする。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▪プロモーションコードを入力すると、自動的に検索する。</a:t>
          </a:r>
        </a:p>
        <a:p>
          <a:pPr>
            <a:defRPr lang="vi-VN"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‣プロモーションがない場合：「プロモーション名称」項目に「・データが見つかりませんでした。」テキストを表示する。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‣プロモーションがある場合、プロモーション名称を埋め込む。</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「新規」ボタン：</a:t>
          </a:r>
        </a:p>
        <a:p>
          <a:pPr>
            <a:defRPr lang="vi-VN"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‣プロモーションコードを入力すると、「新規」ボタンを有効にする。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‣セットマッチ情報新規作成モードに切り替える。</a:t>
          </a:r>
        </a:p>
        <a:p>
          <a:pPr>
            <a:defRPr lang="vi-VN"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‣自動採番方法で「セットマッチコード」項目を新規作成する。</a:t>
          </a:r>
        </a:p>
        <a:p>
          <a:pPr>
            <a:defRPr lang="vi-VN"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‣検索(セットマッチ情報)を実行し、値がある場合、「新規」ボタンを無効にする。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▪会員価格:</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‣0:ALL =&gt;全て購入者</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‣1:S&amp;Gアプリ+カード =&gt; S&amp;GアプリとS&amp;Gカードを使用する購入者</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‣2:S&amp;Gアプリ =&gt; S&amp;Gアプリのみを使用する購入者</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‣3:S&amp;Gカード =&gt; S&amp;Gカードのみを使用する購入者</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▪タイムサービス:  </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 0:通常 =&gt; 開始日時から終了日時まで継続的に行われる。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‣1:タイムサービス =&gt; 毎日開始時刻から終了時刻まで行われる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▪セットマッチ区分: </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1:売価 =&gt; 売価でセットマッチを作成する。ミックスマッチ新規作成の場合、デフォルト値は「1」と表示する。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‣2:割引 =&gt;割引でミックスマッチを作成する。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3:値引 =&gt; 値引でミックスマッチを作成する。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セットマッチオプション</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‣以下の2つの項目が含まれている。</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[成立]、[会員価格]</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▪セットマッチグループ一覧情報エリア</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[有効]：セットマッチの状態が設定されているかによって表示する。</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en-US" altLang="ja-JP" sz="1000" b="0" i="0" u="none" baseline="0">
              <a:solidFill>
                <a:srgbClr val="000000"/>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[状態]が以下が含まれている：</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0：実施、1：中止</a:t>
          </a:r>
          <a:endParaRPr lang="en-US" altLang="ja-JP" sz="1000" b="0" i="0" u="none" baseline="0">
            <a:solidFill>
              <a:srgbClr val="000000"/>
            </a:solidFill>
            <a:latin typeface="Meiryo UI"/>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en-US" altLang="ja-JP" sz="1000" b="0" i="0" u="none" baseline="0">
              <a:solidFill>
                <a:srgbClr val="000000"/>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[成立セット数]：1超えの数字入力必須。</a:t>
          </a:r>
        </a:p>
        <a:p>
          <a:pPr>
            <a:defRPr lang="vi-VN"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00"/>
              </a:solidFill>
              <a:latin typeface="Meiryo UI"/>
              <a:ea typeface="Meiryo UI" panose="020B0604030504040204" pitchFamily="34" charset="-128"/>
            </a:rPr>
            <a:t>　</a:t>
          </a:r>
          <a:r>
            <a:rPr lang="en-US" altLang="ja-JP" sz="1000" b="0" i="0" u="none" baseline="0">
              <a:solidFill>
                <a:srgbClr val="000000"/>
              </a:solidFill>
              <a:latin typeface="Meiryo UI"/>
              <a:ea typeface="Meiryo UI" panose="020B0604030504040204" pitchFamily="34" charset="-128"/>
            </a:rPr>
            <a:t>‣</a:t>
          </a:r>
          <a:r>
            <a:rPr lang="vi-VN" altLang="ja-JP" sz="1000" b="0" i="0" u="none" baseline="0">
              <a:solidFill>
                <a:srgbClr val="000000"/>
              </a:solidFill>
              <a:latin typeface="Meiryo UI"/>
              <a:ea typeface="Meiryo UI" panose="020B0604030504040204" pitchFamily="34" charset="-128"/>
            </a:rPr>
            <a:t>[グループ名称]</a:t>
          </a:r>
        </a:p>
        <a:p>
          <a:pPr>
            <a:defRPr lang="vi-VN" altLang="ja-JP" sz="1000" b="0" i="0" u="none" baseline="0">
              <a:solidFill>
                <a:srgbClr val="000000"/>
              </a:solidFill>
              <a:latin typeface="Meiryo UI"/>
              <a:ea typeface="Meiryo UI" panose="020B0604030504040204" pitchFamily="34" charset="-128"/>
            </a:defRPr>
          </a:pPr>
          <a:r>
            <a:rPr lang="vi-VN" altLang="ja-JP" sz="1100" b="0" i="0" u="none" baseline="0">
              <a:solidFill>
                <a:srgbClr val="000000"/>
              </a:solidFill>
              <a:latin typeface="Calibri"/>
              <a:ea typeface="Meiryo UI" panose="020B0604030504040204" pitchFamily="34" charset="-128"/>
            </a:rPr>
            <a:t>  </a:t>
          </a:r>
          <a:r>
            <a:rPr lang="en-US" altLang="ja-JP" sz="1100" b="0" i="0" u="none" baseline="0">
              <a:solidFill>
                <a:srgbClr val="000000"/>
              </a:solidFill>
              <a:latin typeface="Calibri"/>
              <a:ea typeface="Meiryo UI" panose="020B0604030504040204" pitchFamily="34" charset="-128"/>
            </a:rPr>
            <a:t>‣</a:t>
          </a:r>
          <a:r>
            <a:rPr lang="vi-VN" altLang="ja-JP" sz="1100" b="0" i="0" u="none" baseline="0">
              <a:solidFill>
                <a:srgbClr val="000000"/>
              </a:solidFill>
              <a:latin typeface="Calibri"/>
              <a:ea typeface="Meiryo UI" panose="020B0604030504040204" pitchFamily="34" charset="-128"/>
            </a:rPr>
            <a:t>1ページに少なくとも10件のレコードを表示し、画面上の項目の割り当てによってはさらに多くのレコードを表示でき、最大100ページを表示できる。ページングエリアのボタン：「先頭行」、「最終行」、「▲前頁」、「▼次頁」：[10_概要機能_画面遷移_00_共通.xlsx]ファイルの共通仕様をご参照ください。</a:t>
          </a:r>
        </a:p>
        <a:p>
          <a:pPr>
            <a:defRPr lang="vi-VN" altLang="ja-JP" sz="1000" b="0" i="0" u="none" baseline="0">
              <a:solidFill>
                <a:srgbClr val="000000"/>
              </a:solidFill>
              <a:latin typeface="Meiryo UI"/>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xdr:col>
      <xdr:colOff>0</xdr:colOff>
      <xdr:row>46</xdr:row>
      <xdr:rowOff>179291</xdr:rowOff>
    </xdr:from>
    <xdr:to>
      <xdr:col>7</xdr:col>
      <xdr:colOff>0</xdr:colOff>
      <xdr:row>49</xdr:row>
      <xdr:rowOff>0</xdr:rowOff>
    </xdr:to>
    <xdr:sp macro="" textlink="" fLocksText="0">
      <xdr:nvSpPr>
        <xdr:cNvPr id="110" name="四角形: 角を丸くする 1101">
          <a:extLst>
            <a:ext uri="{FF2B5EF4-FFF2-40B4-BE49-F238E27FC236}">
              <a16:creationId xmlns:a16="http://schemas.microsoft.com/office/drawing/2014/main" id="{00000000-0008-0000-0400-00006E000000}"/>
            </a:ext>
          </a:extLst>
        </xdr:cNvPr>
        <xdr:cNvSpPr/>
      </xdr:nvSpPr>
      <xdr:spPr>
        <a:xfrm>
          <a:off x="800100" y="9058275"/>
          <a:ext cx="1066800"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検索</a:t>
          </a:r>
          <a:r>
            <a:rPr lang="en-US" altLang="ja-JP" sz="900" b="0" i="0" u="none" baseline="0">
              <a:solidFill>
                <a:srgbClr val="FFFFFF"/>
              </a:solidFill>
              <a:latin typeface="Meiryo UI" panose="020B0604030504040204" pitchFamily="34" charset="-128"/>
              <a:ea typeface="Meiryo UI" panose="020B0604030504040204" pitchFamily="34" charset="-128"/>
            </a:rPr>
            <a:t>（プロモーション）</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19</xdr:col>
      <xdr:colOff>3</xdr:colOff>
      <xdr:row>47</xdr:row>
      <xdr:rowOff>0</xdr:rowOff>
    </xdr:from>
    <xdr:to>
      <xdr:col>23</xdr:col>
      <xdr:colOff>0</xdr:colOff>
      <xdr:row>49</xdr:row>
      <xdr:rowOff>0</xdr:rowOff>
    </xdr:to>
    <xdr:sp macro="" textlink="" fLocksText="0">
      <xdr:nvSpPr>
        <xdr:cNvPr id="112" name="四角形: 角を丸くする 1101">
          <a:extLst>
            <a:ext uri="{FF2B5EF4-FFF2-40B4-BE49-F238E27FC236}">
              <a16:creationId xmlns:a16="http://schemas.microsoft.com/office/drawing/2014/main" id="{00000000-0008-0000-0400-000070000000}"/>
            </a:ext>
          </a:extLst>
        </xdr:cNvPr>
        <xdr:cNvSpPr/>
      </xdr:nvSpPr>
      <xdr:spPr>
        <a:xfrm>
          <a:off x="5067300" y="9067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新規</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0</xdr:colOff>
      <xdr:row>47</xdr:row>
      <xdr:rowOff>0</xdr:rowOff>
    </xdr:from>
    <xdr:to>
      <xdr:col>15</xdr:col>
      <xdr:colOff>0</xdr:colOff>
      <xdr:row>49</xdr:row>
      <xdr:rowOff>0</xdr:rowOff>
    </xdr:to>
    <xdr:sp macro="" textlink="" fLocksText="0">
      <xdr:nvSpPr>
        <xdr:cNvPr id="113" name="四角形: 角を丸くする 1101">
          <a:extLst>
            <a:ext uri="{FF2B5EF4-FFF2-40B4-BE49-F238E27FC236}">
              <a16:creationId xmlns:a16="http://schemas.microsoft.com/office/drawing/2014/main" id="{00000000-0008-0000-0400-000071000000}"/>
            </a:ext>
          </a:extLst>
        </xdr:cNvPr>
        <xdr:cNvSpPr/>
      </xdr:nvSpPr>
      <xdr:spPr>
        <a:xfrm>
          <a:off x="2933700" y="9067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50" b="0" i="0" u="none" baseline="0">
              <a:solidFill>
                <a:srgbClr val="FFFFFF"/>
              </a:solidFill>
              <a:latin typeface="Meiryo UI" panose="020B0604030504040204" pitchFamily="34" charset="-128"/>
              <a:ea typeface="Meiryo UI" panose="020B0604030504040204" pitchFamily="34" charset="-128"/>
            </a:rPr>
            <a:t>検索</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45</xdr:row>
      <xdr:rowOff>0</xdr:rowOff>
    </xdr:from>
    <xdr:to>
      <xdr:col>5</xdr:col>
      <xdr:colOff>0</xdr:colOff>
      <xdr:row>46</xdr:row>
      <xdr:rowOff>179291</xdr:rowOff>
    </xdr:to>
    <xdr:cxnSp macro="">
      <xdr:nvCxnSpPr>
        <xdr:cNvPr id="115" name="直線矢印コネクタ 1010">
          <a:extLst>
            <a:ext uri="{FF2B5EF4-FFF2-40B4-BE49-F238E27FC236}">
              <a16:creationId xmlns:a16="http://schemas.microsoft.com/office/drawing/2014/main" id="{00000000-0008-0000-0400-000073000000}"/>
            </a:ext>
          </a:extLst>
        </xdr:cNvPr>
        <xdr:cNvCxnSpPr>
          <a:stCxn id="11" idx="2"/>
          <a:endCxn id="110" idx="0"/>
        </xdr:cNvCxnSpPr>
      </xdr:nvCxnSpPr>
      <xdr:spPr>
        <a:xfrm>
          <a:off x="1333500" y="8686800"/>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45</xdr:row>
      <xdr:rowOff>0</xdr:rowOff>
    </xdr:from>
    <xdr:to>
      <xdr:col>13</xdr:col>
      <xdr:colOff>0</xdr:colOff>
      <xdr:row>47</xdr:row>
      <xdr:rowOff>0</xdr:rowOff>
    </xdr:to>
    <xdr:cxnSp macro="">
      <xdr:nvCxnSpPr>
        <xdr:cNvPr id="118" name="Connector: Elbow 117">
          <a:extLst>
            <a:ext uri="{FF2B5EF4-FFF2-40B4-BE49-F238E27FC236}">
              <a16:creationId xmlns:a16="http://schemas.microsoft.com/office/drawing/2014/main" id="{00000000-0008-0000-0400-000076000000}"/>
            </a:ext>
          </a:extLst>
        </xdr:cNvPr>
        <xdr:cNvCxnSpPr>
          <a:stCxn id="11" idx="2"/>
          <a:endCxn id="113" idx="0"/>
        </xdr:cNvCxnSpPr>
      </xdr:nvCxnSpPr>
      <xdr:spPr>
        <a:xfrm rot="16200000" flipH="1">
          <a:off x="1333500" y="8686800"/>
          <a:ext cx="21336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45</xdr:row>
      <xdr:rowOff>0</xdr:rowOff>
    </xdr:from>
    <xdr:to>
      <xdr:col>21</xdr:col>
      <xdr:colOff>2</xdr:colOff>
      <xdr:row>47</xdr:row>
      <xdr:rowOff>0</xdr:rowOff>
    </xdr:to>
    <xdr:cxnSp macro="">
      <xdr:nvCxnSpPr>
        <xdr:cNvPr id="122" name="Connector: Elbow 121">
          <a:extLst>
            <a:ext uri="{FF2B5EF4-FFF2-40B4-BE49-F238E27FC236}">
              <a16:creationId xmlns:a16="http://schemas.microsoft.com/office/drawing/2014/main" id="{00000000-0008-0000-0400-00007A000000}"/>
            </a:ext>
          </a:extLst>
        </xdr:cNvPr>
        <xdr:cNvCxnSpPr>
          <a:stCxn id="11" idx="2"/>
          <a:endCxn id="112" idx="0"/>
        </xdr:cNvCxnSpPr>
      </xdr:nvCxnSpPr>
      <xdr:spPr>
        <a:xfrm rot="16200000" flipH="1">
          <a:off x="1333500" y="8686800"/>
          <a:ext cx="4267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49</xdr:row>
      <xdr:rowOff>0</xdr:rowOff>
    </xdr:from>
    <xdr:to>
      <xdr:col>5</xdr:col>
      <xdr:colOff>0</xdr:colOff>
      <xdr:row>51</xdr:row>
      <xdr:rowOff>0</xdr:rowOff>
    </xdr:to>
    <xdr:cxnSp macro="">
      <xdr:nvCxnSpPr>
        <xdr:cNvPr id="130" name="直線矢印コネクタ 1010">
          <a:extLst>
            <a:ext uri="{FF2B5EF4-FFF2-40B4-BE49-F238E27FC236}">
              <a16:creationId xmlns:a16="http://schemas.microsoft.com/office/drawing/2014/main" id="{00000000-0008-0000-0400-000082000000}"/>
            </a:ext>
          </a:extLst>
        </xdr:cNvPr>
        <xdr:cNvCxnSpPr>
          <a:stCxn id="110" idx="2"/>
          <a:endCxn id="152" idx="0"/>
        </xdr:cNvCxnSpPr>
      </xdr:nvCxnSpPr>
      <xdr:spPr>
        <a:xfrm>
          <a:off x="1333500" y="9448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49</xdr:row>
      <xdr:rowOff>0</xdr:rowOff>
    </xdr:from>
    <xdr:to>
      <xdr:col>13</xdr:col>
      <xdr:colOff>0</xdr:colOff>
      <xdr:row>51</xdr:row>
      <xdr:rowOff>11206</xdr:rowOff>
    </xdr:to>
    <xdr:cxnSp macro="">
      <xdr:nvCxnSpPr>
        <xdr:cNvPr id="146" name="直線矢印コネクタ 1010">
          <a:extLst>
            <a:ext uri="{FF2B5EF4-FFF2-40B4-BE49-F238E27FC236}">
              <a16:creationId xmlns:a16="http://schemas.microsoft.com/office/drawing/2014/main" id="{00000000-0008-0000-0400-000092000000}"/>
            </a:ext>
          </a:extLst>
        </xdr:cNvPr>
        <xdr:cNvCxnSpPr>
          <a:stCxn id="113" idx="2"/>
          <a:endCxn id="155" idx="0"/>
        </xdr:cNvCxnSpPr>
      </xdr:nvCxnSpPr>
      <xdr:spPr>
        <a:xfrm>
          <a:off x="3467100" y="94488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21</xdr:col>
      <xdr:colOff>1</xdr:colOff>
      <xdr:row>49</xdr:row>
      <xdr:rowOff>0</xdr:rowOff>
    </xdr:from>
    <xdr:to>
      <xdr:col>21</xdr:col>
      <xdr:colOff>2</xdr:colOff>
      <xdr:row>51</xdr:row>
      <xdr:rowOff>0</xdr:rowOff>
    </xdr:to>
    <xdr:cxnSp macro="">
      <xdr:nvCxnSpPr>
        <xdr:cNvPr id="149" name="直線矢印コネクタ 1010">
          <a:extLst>
            <a:ext uri="{FF2B5EF4-FFF2-40B4-BE49-F238E27FC236}">
              <a16:creationId xmlns:a16="http://schemas.microsoft.com/office/drawing/2014/main" id="{00000000-0008-0000-0400-000095000000}"/>
            </a:ext>
          </a:extLst>
        </xdr:cNvPr>
        <xdr:cNvCxnSpPr>
          <a:stCxn id="112" idx="2"/>
          <a:endCxn id="173" idx="0"/>
        </xdr:cNvCxnSpPr>
      </xdr:nvCxnSpPr>
      <xdr:spPr>
        <a:xfrm flipH="1">
          <a:off x="5600700" y="9448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51</xdr:row>
      <xdr:rowOff>0</xdr:rowOff>
    </xdr:from>
    <xdr:to>
      <xdr:col>6</xdr:col>
      <xdr:colOff>0</xdr:colOff>
      <xdr:row>52</xdr:row>
      <xdr:rowOff>0</xdr:rowOff>
    </xdr:to>
    <xdr:sp macro="" textlink="" fLocksText="0">
      <xdr:nvSpPr>
        <xdr:cNvPr id="152" name="Rectangle: Rounded Corners 151">
          <a:extLst>
            <a:ext uri="{FF2B5EF4-FFF2-40B4-BE49-F238E27FC236}">
              <a16:creationId xmlns:a16="http://schemas.microsoft.com/office/drawing/2014/main" id="{00000000-0008-0000-0400-000098000000}"/>
            </a:ext>
          </a:extLst>
        </xdr:cNvPr>
        <xdr:cNvSpPr/>
      </xdr:nvSpPr>
      <xdr:spPr>
        <a:xfrm>
          <a:off x="1066800" y="9829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95.1</a:t>
          </a:r>
        </a:p>
      </xdr:txBody>
    </xdr:sp>
    <xdr:clientData/>
  </xdr:twoCellAnchor>
  <xdr:twoCellAnchor>
    <xdr:from>
      <xdr:col>12</xdr:col>
      <xdr:colOff>0</xdr:colOff>
      <xdr:row>51</xdr:row>
      <xdr:rowOff>11206</xdr:rowOff>
    </xdr:from>
    <xdr:to>
      <xdr:col>14</xdr:col>
      <xdr:colOff>0</xdr:colOff>
      <xdr:row>52</xdr:row>
      <xdr:rowOff>0</xdr:rowOff>
    </xdr:to>
    <xdr:sp macro="" textlink="" fLocksText="0">
      <xdr:nvSpPr>
        <xdr:cNvPr id="155" name="Rectangle: Rounded Corners 154">
          <a:extLst>
            <a:ext uri="{FF2B5EF4-FFF2-40B4-BE49-F238E27FC236}">
              <a16:creationId xmlns:a16="http://schemas.microsoft.com/office/drawing/2014/main" id="{00000000-0008-0000-0400-00009B000000}"/>
            </a:ext>
          </a:extLst>
        </xdr:cNvPr>
        <xdr:cNvSpPr/>
      </xdr:nvSpPr>
      <xdr:spPr>
        <a:xfrm>
          <a:off x="3200400" y="9839325"/>
          <a:ext cx="533400" cy="180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95.2</a:t>
          </a:r>
        </a:p>
      </xdr:txBody>
    </xdr:sp>
    <xdr:clientData/>
  </xdr:twoCellAnchor>
  <xdr:twoCellAnchor>
    <xdr:from>
      <xdr:col>20</xdr:col>
      <xdr:colOff>0</xdr:colOff>
      <xdr:row>51</xdr:row>
      <xdr:rowOff>0</xdr:rowOff>
    </xdr:from>
    <xdr:to>
      <xdr:col>22</xdr:col>
      <xdr:colOff>0</xdr:colOff>
      <xdr:row>52</xdr:row>
      <xdr:rowOff>0</xdr:rowOff>
    </xdr:to>
    <xdr:sp macro="" textlink="" fLocksText="0">
      <xdr:nvSpPr>
        <xdr:cNvPr id="173" name="Rectangle: Rounded Corners 172">
          <a:extLst>
            <a:ext uri="{FF2B5EF4-FFF2-40B4-BE49-F238E27FC236}">
              <a16:creationId xmlns:a16="http://schemas.microsoft.com/office/drawing/2014/main" id="{00000000-0008-0000-0400-0000AD000000}"/>
            </a:ext>
          </a:extLst>
        </xdr:cNvPr>
        <xdr:cNvSpPr/>
      </xdr:nvSpPr>
      <xdr:spPr>
        <a:xfrm>
          <a:off x="5334000" y="9829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95.3</a:t>
          </a:r>
        </a:p>
      </xdr:txBody>
    </xdr:sp>
    <xdr:clientData/>
  </xdr:twoCellAnchor>
  <xdr:twoCellAnchor>
    <xdr:from>
      <xdr:col>2</xdr:col>
      <xdr:colOff>0</xdr:colOff>
      <xdr:row>54</xdr:row>
      <xdr:rowOff>0</xdr:rowOff>
    </xdr:from>
    <xdr:to>
      <xdr:col>8</xdr:col>
      <xdr:colOff>0</xdr:colOff>
      <xdr:row>58</xdr:row>
      <xdr:rowOff>0</xdr:rowOff>
    </xdr:to>
    <xdr:sp macro="" textlink="" fLocksText="0">
      <xdr:nvSpPr>
        <xdr:cNvPr id="175" name="正方形/長方形 1">
          <a:extLst>
            <a:ext uri="{FF2B5EF4-FFF2-40B4-BE49-F238E27FC236}">
              <a16:creationId xmlns:a16="http://schemas.microsoft.com/office/drawing/2014/main" id="{00000000-0008-0000-0400-0000AF000000}"/>
            </a:ext>
          </a:extLst>
        </xdr:cNvPr>
        <xdr:cNvSpPr/>
      </xdr:nvSpPr>
      <xdr:spPr>
        <a:xfrm>
          <a:off x="533400" y="10401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SC9501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セットマッチ設定画面</a:t>
          </a:r>
        </a:p>
      </xdr:txBody>
    </xdr:sp>
    <xdr:clientData/>
  </xdr:twoCellAnchor>
  <xdr:twoCellAnchor>
    <xdr:from>
      <xdr:col>5</xdr:col>
      <xdr:colOff>0</xdr:colOff>
      <xdr:row>52</xdr:row>
      <xdr:rowOff>0</xdr:rowOff>
    </xdr:from>
    <xdr:to>
      <xdr:col>5</xdr:col>
      <xdr:colOff>0</xdr:colOff>
      <xdr:row>54</xdr:row>
      <xdr:rowOff>0</xdr:rowOff>
    </xdr:to>
    <xdr:cxnSp macro="">
      <xdr:nvCxnSpPr>
        <xdr:cNvPr id="196" name="直線矢印コネクタ 1010">
          <a:extLst>
            <a:ext uri="{FF2B5EF4-FFF2-40B4-BE49-F238E27FC236}">
              <a16:creationId xmlns:a16="http://schemas.microsoft.com/office/drawing/2014/main" id="{00000000-0008-0000-0400-0000C4000000}"/>
            </a:ext>
          </a:extLst>
        </xdr:cNvPr>
        <xdr:cNvCxnSpPr>
          <a:stCxn id="152" idx="2"/>
          <a:endCxn id="175" idx="0"/>
        </xdr:cNvCxnSpPr>
      </xdr:nvCxnSpPr>
      <xdr:spPr>
        <a:xfrm>
          <a:off x="1333500" y="10020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52</xdr:row>
      <xdr:rowOff>0</xdr:rowOff>
    </xdr:from>
    <xdr:to>
      <xdr:col>13</xdr:col>
      <xdr:colOff>0</xdr:colOff>
      <xdr:row>54</xdr:row>
      <xdr:rowOff>0</xdr:rowOff>
    </xdr:to>
    <xdr:cxnSp macro="">
      <xdr:nvCxnSpPr>
        <xdr:cNvPr id="203" name="Connector: Elbow 202">
          <a:extLst>
            <a:ext uri="{FF2B5EF4-FFF2-40B4-BE49-F238E27FC236}">
              <a16:creationId xmlns:a16="http://schemas.microsoft.com/office/drawing/2014/main" id="{00000000-0008-0000-0400-0000CB000000}"/>
            </a:ext>
          </a:extLst>
        </xdr:cNvPr>
        <xdr:cNvCxnSpPr>
          <a:stCxn id="155" idx="2"/>
          <a:endCxn id="175" idx="0"/>
        </xdr:cNvCxnSpPr>
      </xdr:nvCxnSpPr>
      <xdr:spPr>
        <a:xfrm rot="5400000">
          <a:off x="1333500" y="10020300"/>
          <a:ext cx="21336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52</xdr:row>
      <xdr:rowOff>1</xdr:rowOff>
    </xdr:from>
    <xdr:to>
      <xdr:col>21</xdr:col>
      <xdr:colOff>1</xdr:colOff>
      <xdr:row>54</xdr:row>
      <xdr:rowOff>1</xdr:rowOff>
    </xdr:to>
    <xdr:cxnSp macro="">
      <xdr:nvCxnSpPr>
        <xdr:cNvPr id="213" name="Connector: Elbow 212">
          <a:extLst>
            <a:ext uri="{FF2B5EF4-FFF2-40B4-BE49-F238E27FC236}">
              <a16:creationId xmlns:a16="http://schemas.microsoft.com/office/drawing/2014/main" id="{00000000-0008-0000-0400-0000D5000000}"/>
            </a:ext>
          </a:extLst>
        </xdr:cNvPr>
        <xdr:cNvCxnSpPr>
          <a:stCxn id="173" idx="2"/>
          <a:endCxn id="175" idx="0"/>
        </xdr:cNvCxnSpPr>
      </xdr:nvCxnSpPr>
      <xdr:spPr>
        <a:xfrm rot="5400000">
          <a:off x="1333500" y="10020300"/>
          <a:ext cx="4267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158</xdr:row>
      <xdr:rowOff>0</xdr:rowOff>
    </xdr:from>
    <xdr:to>
      <xdr:col>5</xdr:col>
      <xdr:colOff>0</xdr:colOff>
      <xdr:row>159</xdr:row>
      <xdr:rowOff>0</xdr:rowOff>
    </xdr:to>
    <xdr:sp macro="" textlink="" fLocksText="0">
      <xdr:nvSpPr>
        <xdr:cNvPr id="258" name="Rectangle: Rounded Corners 257">
          <a:extLst>
            <a:ext uri="{FF2B5EF4-FFF2-40B4-BE49-F238E27FC236}">
              <a16:creationId xmlns:a16="http://schemas.microsoft.com/office/drawing/2014/main" id="{00000000-0008-0000-0400-000002010000}"/>
            </a:ext>
          </a:extLst>
        </xdr:cNvPr>
        <xdr:cNvSpPr/>
      </xdr:nvSpPr>
      <xdr:spPr>
        <a:xfrm>
          <a:off x="800100" y="3021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95.3</a:t>
          </a:r>
        </a:p>
      </xdr:txBody>
    </xdr:sp>
    <xdr:clientData/>
  </xdr:twoCellAnchor>
  <xdr:twoCellAnchor>
    <xdr:from>
      <xdr:col>4</xdr:col>
      <xdr:colOff>1</xdr:colOff>
      <xdr:row>159</xdr:row>
      <xdr:rowOff>0</xdr:rowOff>
    </xdr:from>
    <xdr:to>
      <xdr:col>4</xdr:col>
      <xdr:colOff>1</xdr:colOff>
      <xdr:row>161</xdr:row>
      <xdr:rowOff>0</xdr:rowOff>
    </xdr:to>
    <xdr:cxnSp macro="">
      <xdr:nvCxnSpPr>
        <xdr:cNvPr id="260" name="直線矢印コネクタ 1010">
          <a:extLst>
            <a:ext uri="{FF2B5EF4-FFF2-40B4-BE49-F238E27FC236}">
              <a16:creationId xmlns:a16="http://schemas.microsoft.com/office/drawing/2014/main" id="{00000000-0008-0000-0400-000004010000}"/>
            </a:ext>
          </a:extLst>
        </xdr:cNvPr>
        <xdr:cNvCxnSpPr>
          <a:stCxn id="258" idx="2"/>
          <a:endCxn id="6" idx="0"/>
        </xdr:cNvCxnSpPr>
      </xdr:nvCxnSpPr>
      <xdr:spPr>
        <a:xfrm>
          <a:off x="1066800" y="30403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165</xdr:row>
      <xdr:rowOff>0</xdr:rowOff>
    </xdr:from>
    <xdr:to>
      <xdr:col>4</xdr:col>
      <xdr:colOff>1</xdr:colOff>
      <xdr:row>167</xdr:row>
      <xdr:rowOff>0</xdr:rowOff>
    </xdr:to>
    <xdr:cxnSp macro="">
      <xdr:nvCxnSpPr>
        <xdr:cNvPr id="304" name="直線矢印コネクタ 1010">
          <a:extLst>
            <a:ext uri="{FF2B5EF4-FFF2-40B4-BE49-F238E27FC236}">
              <a16:creationId xmlns:a16="http://schemas.microsoft.com/office/drawing/2014/main" id="{00000000-0008-0000-0400-000030010000}"/>
            </a:ext>
          </a:extLst>
        </xdr:cNvPr>
        <xdr:cNvCxnSpPr>
          <a:stCxn id="6" idx="2"/>
          <a:endCxn id="316" idx="0"/>
        </xdr:cNvCxnSpPr>
      </xdr:nvCxnSpPr>
      <xdr:spPr>
        <a:xfrm>
          <a:off x="1066800" y="3154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167</xdr:row>
      <xdr:rowOff>0</xdr:rowOff>
    </xdr:from>
    <xdr:to>
      <xdr:col>5</xdr:col>
      <xdr:colOff>0</xdr:colOff>
      <xdr:row>168</xdr:row>
      <xdr:rowOff>0</xdr:rowOff>
    </xdr:to>
    <xdr:sp macro="" textlink="" fLocksText="0">
      <xdr:nvSpPr>
        <xdr:cNvPr id="316" name="Rectangle: Rounded Corners 315">
          <a:extLst>
            <a:ext uri="{FF2B5EF4-FFF2-40B4-BE49-F238E27FC236}">
              <a16:creationId xmlns:a16="http://schemas.microsoft.com/office/drawing/2014/main" id="{00000000-0008-0000-0400-00003C010000}"/>
            </a:ext>
          </a:extLst>
        </xdr:cNvPr>
        <xdr:cNvSpPr/>
      </xdr:nvSpPr>
      <xdr:spPr>
        <a:xfrm>
          <a:off x="800100" y="3192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95</a:t>
          </a:r>
        </a:p>
      </xdr:txBody>
    </xdr:sp>
    <xdr:clientData/>
  </xdr:twoCellAnchor>
  <xdr:twoCellAnchor>
    <xdr:from>
      <xdr:col>3</xdr:col>
      <xdr:colOff>0</xdr:colOff>
      <xdr:row>172</xdr:row>
      <xdr:rowOff>0</xdr:rowOff>
    </xdr:from>
    <xdr:to>
      <xdr:col>5</xdr:col>
      <xdr:colOff>0</xdr:colOff>
      <xdr:row>173</xdr:row>
      <xdr:rowOff>0</xdr:rowOff>
    </xdr:to>
    <xdr:sp macro="" textlink="" fLocksText="0">
      <xdr:nvSpPr>
        <xdr:cNvPr id="323" name="Rectangle: Rounded Corners 322">
          <a:extLst>
            <a:ext uri="{FF2B5EF4-FFF2-40B4-BE49-F238E27FC236}">
              <a16:creationId xmlns:a16="http://schemas.microsoft.com/office/drawing/2014/main" id="{00000000-0008-0000-0400-000043010000}"/>
            </a:ext>
          </a:extLst>
        </xdr:cNvPr>
        <xdr:cNvSpPr/>
      </xdr:nvSpPr>
      <xdr:spPr>
        <a:xfrm>
          <a:off x="800100" y="32880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95.4</a:t>
          </a:r>
        </a:p>
      </xdr:txBody>
    </xdr:sp>
    <xdr:clientData/>
  </xdr:twoCellAnchor>
  <xdr:twoCellAnchor>
    <xdr:from>
      <xdr:col>4</xdr:col>
      <xdr:colOff>1</xdr:colOff>
      <xdr:row>173</xdr:row>
      <xdr:rowOff>0</xdr:rowOff>
    </xdr:from>
    <xdr:to>
      <xdr:col>4</xdr:col>
      <xdr:colOff>1</xdr:colOff>
      <xdr:row>175</xdr:row>
      <xdr:rowOff>0</xdr:rowOff>
    </xdr:to>
    <xdr:cxnSp macro="">
      <xdr:nvCxnSpPr>
        <xdr:cNvPr id="324" name="直線矢印コネクタ 1010">
          <a:extLst>
            <a:ext uri="{FF2B5EF4-FFF2-40B4-BE49-F238E27FC236}">
              <a16:creationId xmlns:a16="http://schemas.microsoft.com/office/drawing/2014/main" id="{00000000-0008-0000-0400-000044010000}"/>
            </a:ext>
          </a:extLst>
        </xdr:cNvPr>
        <xdr:cNvCxnSpPr>
          <a:stCxn id="323" idx="2"/>
          <a:endCxn id="327" idx="0"/>
        </xdr:cNvCxnSpPr>
      </xdr:nvCxnSpPr>
      <xdr:spPr>
        <a:xfrm>
          <a:off x="1066800" y="33070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175</xdr:row>
      <xdr:rowOff>0</xdr:rowOff>
    </xdr:from>
    <xdr:to>
      <xdr:col>7</xdr:col>
      <xdr:colOff>0</xdr:colOff>
      <xdr:row>179</xdr:row>
      <xdr:rowOff>0</xdr:rowOff>
    </xdr:to>
    <xdr:sp macro="" textlink="" fLocksText="0">
      <xdr:nvSpPr>
        <xdr:cNvPr id="327" name="正方形/長方形 19">
          <a:extLst>
            <a:ext uri="{FF2B5EF4-FFF2-40B4-BE49-F238E27FC236}">
              <a16:creationId xmlns:a16="http://schemas.microsoft.com/office/drawing/2014/main" id="{00000000-0008-0000-0400-000047010000}"/>
            </a:ext>
          </a:extLst>
        </xdr:cNvPr>
        <xdr:cNvSpPr/>
      </xdr:nvSpPr>
      <xdr:spPr>
        <a:xfrm>
          <a:off x="266700" y="33451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MD9501</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グループを作成するモーダル </a:t>
          </a:r>
        </a:p>
      </xdr:txBody>
    </xdr:sp>
    <xdr:clientData/>
  </xdr:twoCellAnchor>
  <xdr:twoCellAnchor>
    <xdr:from>
      <xdr:col>4</xdr:col>
      <xdr:colOff>0</xdr:colOff>
      <xdr:row>179</xdr:row>
      <xdr:rowOff>0</xdr:rowOff>
    </xdr:from>
    <xdr:to>
      <xdr:col>4</xdr:col>
      <xdr:colOff>1</xdr:colOff>
      <xdr:row>181</xdr:row>
      <xdr:rowOff>0</xdr:rowOff>
    </xdr:to>
    <xdr:cxnSp macro="">
      <xdr:nvCxnSpPr>
        <xdr:cNvPr id="329" name="直線矢印コネクタ 1010">
          <a:extLst>
            <a:ext uri="{FF2B5EF4-FFF2-40B4-BE49-F238E27FC236}">
              <a16:creationId xmlns:a16="http://schemas.microsoft.com/office/drawing/2014/main" id="{00000000-0008-0000-0400-000049010000}"/>
            </a:ext>
          </a:extLst>
        </xdr:cNvPr>
        <xdr:cNvCxnSpPr>
          <a:stCxn id="327" idx="2"/>
          <a:endCxn id="333" idx="0"/>
        </xdr:cNvCxnSpPr>
      </xdr:nvCxnSpPr>
      <xdr:spPr>
        <a:xfrm flipH="1">
          <a:off x="1066800" y="34213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172</xdr:row>
      <xdr:rowOff>0</xdr:rowOff>
    </xdr:from>
    <xdr:to>
      <xdr:col>61</xdr:col>
      <xdr:colOff>0</xdr:colOff>
      <xdr:row>189</xdr:row>
      <xdr:rowOff>0</xdr:rowOff>
    </xdr:to>
    <xdr:sp macro="" textlink="" fLocksText="0">
      <xdr:nvSpPr>
        <xdr:cNvPr id="332" name="吹き出し: 線 2">
          <a:extLst>
            <a:ext uri="{FF2B5EF4-FFF2-40B4-BE49-F238E27FC236}">
              <a16:creationId xmlns:a16="http://schemas.microsoft.com/office/drawing/2014/main" id="{00000000-0008-0000-0400-00004C010000}"/>
            </a:ext>
          </a:extLst>
        </xdr:cNvPr>
        <xdr:cNvSpPr/>
      </xdr:nvSpPr>
      <xdr:spPr>
        <a:xfrm>
          <a:off x="10134600" y="32880300"/>
          <a:ext cx="6134100" cy="3238500"/>
        </a:xfrm>
        <a:prstGeom prst="borderCallout1">
          <a:avLst>
            <a:gd name="adj1" fmla="val 49927"/>
            <a:gd name="adj2" fmla="val -182"/>
            <a:gd name="adj3" fmla="val 28193"/>
            <a:gd name="adj4" fmla="val -13523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▪新規作成の場合の初期表示：</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vi-VN"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a:ea typeface="Meiryo UI" panose="020B0604030504040204" pitchFamily="34" charset="-128"/>
            </a:rPr>
            <a:t> </a:t>
          </a:r>
          <a:r>
            <a:rPr lang="vi-VN" altLang="ja-JP" sz="1000" b="0" i="0" u="none" baseline="0">
              <a:solidFill>
                <a:srgbClr val="000000"/>
              </a:solidFill>
              <a:latin typeface="Meiryo UI"/>
              <a:ea typeface="Meiryo UI" panose="020B0604030504040204" pitchFamily="34" charset="-128"/>
            </a:rPr>
            <a:t>‣[タイプ]項目：ユーザーが製品グループまたは商品に従ってグループを作成するモードを選択できる。ユーザーがプルダウン値を切り替えると、ユーザーが選択したオプションに従ってモーダルのインターフェイスを変更する。新しいモーダルが表示されると、デフォルトで選択されるオプションが「製品グループ」にな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 [グループ名称]: デフォルトの表示がブランクになる。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‣[状態]: 以下が含まれている。「0：実施」、「1：中止」。デフォルトの選択が「0：実施」になる。</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‣[製品グループ]: デフォルトの表示がブランクになる。 </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‣[戻る]ボタンと[確定]ボタン：有効</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 編集の場合の初期表示：</a:t>
          </a:r>
        </a:p>
        <a:p>
          <a:pPr>
            <a:defRPr lang="vi-VN" altLang="ja-JP" sz="1000" b="0" i="0" u="none" baseline="0">
              <a:solidFill>
                <a:srgbClr val="000000"/>
              </a:solidFill>
              <a:latin typeface="Meiryo UI"/>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・ユーザーが以前に保存した情報に従ってグループの各項目の情報を表示し、ユーザーが[戻る]ボタンでこのグループを削除できる。</a:t>
          </a:r>
        </a:p>
        <a:p>
          <a:pPr>
            <a:defRPr lang="vi-VN" altLang="ja-JP" sz="1000" b="0" i="0" u="none" baseline="0">
              <a:solidFill>
                <a:srgbClr val="000000"/>
              </a:solidFill>
              <a:latin typeface="Meiryo UI"/>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2</xdr:col>
      <xdr:colOff>0</xdr:colOff>
      <xdr:row>181</xdr:row>
      <xdr:rowOff>0</xdr:rowOff>
    </xdr:from>
    <xdr:to>
      <xdr:col>6</xdr:col>
      <xdr:colOff>0</xdr:colOff>
      <xdr:row>183</xdr:row>
      <xdr:rowOff>0</xdr:rowOff>
    </xdr:to>
    <xdr:sp macro="" textlink="" fLocksText="0">
      <xdr:nvSpPr>
        <xdr:cNvPr id="333" name="四角形: 角を丸くする 1101">
          <a:extLst>
            <a:ext uri="{FF2B5EF4-FFF2-40B4-BE49-F238E27FC236}">
              <a16:creationId xmlns:a16="http://schemas.microsoft.com/office/drawing/2014/main" id="{00000000-0008-0000-0400-00004D010000}"/>
            </a:ext>
          </a:extLst>
        </xdr:cNvPr>
        <xdr:cNvSpPr/>
      </xdr:nvSpPr>
      <xdr:spPr>
        <a:xfrm>
          <a:off x="533400" y="34594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グループ選択アイコン</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235323</xdr:colOff>
      <xdr:row>181</xdr:row>
      <xdr:rowOff>0</xdr:rowOff>
    </xdr:from>
    <xdr:to>
      <xdr:col>14</xdr:col>
      <xdr:colOff>235323</xdr:colOff>
      <xdr:row>183</xdr:row>
      <xdr:rowOff>0</xdr:rowOff>
    </xdr:to>
    <xdr:sp macro="" textlink="" fLocksText="0">
      <xdr:nvSpPr>
        <xdr:cNvPr id="336" name="四角形: 角を丸くする 1101">
          <a:extLst>
            <a:ext uri="{FF2B5EF4-FFF2-40B4-BE49-F238E27FC236}">
              <a16:creationId xmlns:a16="http://schemas.microsoft.com/office/drawing/2014/main" id="{00000000-0008-0000-0400-000050010000}"/>
            </a:ext>
          </a:extLst>
        </xdr:cNvPr>
        <xdr:cNvSpPr/>
      </xdr:nvSpPr>
      <xdr:spPr>
        <a:xfrm>
          <a:off x="2371725" y="34594800"/>
          <a:ext cx="16002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[タイプ]：商品を選択する</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0</xdr:colOff>
      <xdr:row>179</xdr:row>
      <xdr:rowOff>0</xdr:rowOff>
    </xdr:from>
    <xdr:to>
      <xdr:col>11</xdr:col>
      <xdr:colOff>235322</xdr:colOff>
      <xdr:row>181</xdr:row>
      <xdr:rowOff>0</xdr:rowOff>
    </xdr:to>
    <xdr:cxnSp macro="">
      <xdr:nvCxnSpPr>
        <xdr:cNvPr id="337" name="Connector: Elbow 336">
          <a:extLst>
            <a:ext uri="{FF2B5EF4-FFF2-40B4-BE49-F238E27FC236}">
              <a16:creationId xmlns:a16="http://schemas.microsoft.com/office/drawing/2014/main" id="{00000000-0008-0000-0400-000051010000}"/>
            </a:ext>
          </a:extLst>
        </xdr:cNvPr>
        <xdr:cNvCxnSpPr>
          <a:stCxn id="327" idx="2"/>
          <a:endCxn id="336" idx="0"/>
        </xdr:cNvCxnSpPr>
      </xdr:nvCxnSpPr>
      <xdr:spPr>
        <a:xfrm rot="16200000" flipH="1">
          <a:off x="1066800" y="34213800"/>
          <a:ext cx="21050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183</xdr:row>
      <xdr:rowOff>0</xdr:rowOff>
    </xdr:from>
    <xdr:to>
      <xdr:col>12</xdr:col>
      <xdr:colOff>0</xdr:colOff>
      <xdr:row>185</xdr:row>
      <xdr:rowOff>0</xdr:rowOff>
    </xdr:to>
    <xdr:cxnSp macro="">
      <xdr:nvCxnSpPr>
        <xdr:cNvPr id="342" name="直線矢印コネクタ 1010">
          <a:extLst>
            <a:ext uri="{FF2B5EF4-FFF2-40B4-BE49-F238E27FC236}">
              <a16:creationId xmlns:a16="http://schemas.microsoft.com/office/drawing/2014/main" id="{00000000-0008-0000-0400-000056010000}"/>
            </a:ext>
          </a:extLst>
        </xdr:cNvPr>
        <xdr:cNvCxnSpPr>
          <a:stCxn id="336" idx="2"/>
        </xdr:cNvCxnSpPr>
      </xdr:nvCxnSpPr>
      <xdr:spPr>
        <a:xfrm>
          <a:off x="3200400" y="34975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190</xdr:row>
      <xdr:rowOff>0</xdr:rowOff>
    </xdr:from>
    <xdr:to>
      <xdr:col>7</xdr:col>
      <xdr:colOff>0</xdr:colOff>
      <xdr:row>194</xdr:row>
      <xdr:rowOff>0</xdr:rowOff>
    </xdr:to>
    <xdr:sp macro="" textlink="" fLocksText="0">
      <xdr:nvSpPr>
        <xdr:cNvPr id="345" name="四角形: 角を丸くする 3">
          <a:extLst>
            <a:ext uri="{FF2B5EF4-FFF2-40B4-BE49-F238E27FC236}">
              <a16:creationId xmlns:a16="http://schemas.microsoft.com/office/drawing/2014/main" id="{00000000-0008-0000-0400-000059010000}"/>
            </a:ext>
          </a:extLst>
        </xdr:cNvPr>
        <xdr:cNvSpPr/>
      </xdr:nvSpPr>
      <xdr:spPr>
        <a:xfrm>
          <a:off x="266700" y="36309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KN9505</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製品グループ選択機能</a:t>
          </a:r>
        </a:p>
      </xdr:txBody>
    </xdr:sp>
    <xdr:clientData/>
  </xdr:twoCellAnchor>
  <xdr:twoCellAnchor>
    <xdr:from>
      <xdr:col>4</xdr:col>
      <xdr:colOff>0</xdr:colOff>
      <xdr:row>183</xdr:row>
      <xdr:rowOff>0</xdr:rowOff>
    </xdr:from>
    <xdr:to>
      <xdr:col>4</xdr:col>
      <xdr:colOff>1</xdr:colOff>
      <xdr:row>190</xdr:row>
      <xdr:rowOff>0</xdr:rowOff>
    </xdr:to>
    <xdr:cxnSp macro="">
      <xdr:nvCxnSpPr>
        <xdr:cNvPr id="347" name="直線矢印コネクタ 1010">
          <a:extLst>
            <a:ext uri="{FF2B5EF4-FFF2-40B4-BE49-F238E27FC236}">
              <a16:creationId xmlns:a16="http://schemas.microsoft.com/office/drawing/2014/main" id="{00000000-0008-0000-0400-00005B010000}"/>
            </a:ext>
          </a:extLst>
        </xdr:cNvPr>
        <xdr:cNvCxnSpPr>
          <a:stCxn id="333" idx="2"/>
          <a:endCxn id="345" idx="0"/>
        </xdr:cNvCxnSpPr>
      </xdr:nvCxnSpPr>
      <xdr:spPr>
        <a:xfrm>
          <a:off x="1066800" y="34975800"/>
          <a:ext cx="0" cy="1333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185</xdr:row>
      <xdr:rowOff>0</xdr:rowOff>
    </xdr:from>
    <xdr:to>
      <xdr:col>15</xdr:col>
      <xdr:colOff>0</xdr:colOff>
      <xdr:row>189</xdr:row>
      <xdr:rowOff>0</xdr:rowOff>
    </xdr:to>
    <xdr:sp macro="" textlink="" fLocksText="0">
      <xdr:nvSpPr>
        <xdr:cNvPr id="350" name="四角形: 角を丸くする 3">
          <a:extLst>
            <a:ext uri="{FF2B5EF4-FFF2-40B4-BE49-F238E27FC236}">
              <a16:creationId xmlns:a16="http://schemas.microsoft.com/office/drawing/2014/main" id="{00000000-0008-0000-0400-00005E010000}"/>
            </a:ext>
          </a:extLst>
        </xdr:cNvPr>
        <xdr:cNvSpPr/>
      </xdr:nvSpPr>
      <xdr:spPr>
        <a:xfrm>
          <a:off x="2400300" y="35356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KN9506</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商品選択機能</a:t>
          </a:r>
        </a:p>
      </xdr:txBody>
    </xdr:sp>
    <xdr:clientData/>
  </xdr:twoCellAnchor>
  <xdr:twoCellAnchor>
    <xdr:from>
      <xdr:col>1</xdr:col>
      <xdr:colOff>0</xdr:colOff>
      <xdr:row>196</xdr:row>
      <xdr:rowOff>0</xdr:rowOff>
    </xdr:from>
    <xdr:to>
      <xdr:col>7</xdr:col>
      <xdr:colOff>0</xdr:colOff>
      <xdr:row>200</xdr:row>
      <xdr:rowOff>0</xdr:rowOff>
    </xdr:to>
    <xdr:sp macro="" textlink="" fLocksText="0">
      <xdr:nvSpPr>
        <xdr:cNvPr id="351" name="正方形/長方形 19">
          <a:extLst>
            <a:ext uri="{FF2B5EF4-FFF2-40B4-BE49-F238E27FC236}">
              <a16:creationId xmlns:a16="http://schemas.microsoft.com/office/drawing/2014/main" id="{00000000-0008-0000-0400-00005F010000}"/>
            </a:ext>
          </a:extLst>
        </xdr:cNvPr>
        <xdr:cNvSpPr/>
      </xdr:nvSpPr>
      <xdr:spPr>
        <a:xfrm>
          <a:off x="266700" y="37452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MD9501</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グループを作成するモーダル </a:t>
          </a:r>
        </a:p>
      </xdr:txBody>
    </xdr:sp>
    <xdr:clientData/>
  </xdr:twoCellAnchor>
  <xdr:twoCellAnchor>
    <xdr:from>
      <xdr:col>4</xdr:col>
      <xdr:colOff>1</xdr:colOff>
      <xdr:row>194</xdr:row>
      <xdr:rowOff>0</xdr:rowOff>
    </xdr:from>
    <xdr:to>
      <xdr:col>4</xdr:col>
      <xdr:colOff>1</xdr:colOff>
      <xdr:row>196</xdr:row>
      <xdr:rowOff>0</xdr:rowOff>
    </xdr:to>
    <xdr:cxnSp macro="">
      <xdr:nvCxnSpPr>
        <xdr:cNvPr id="352" name="直線矢印コネクタ 1010">
          <a:extLst>
            <a:ext uri="{FF2B5EF4-FFF2-40B4-BE49-F238E27FC236}">
              <a16:creationId xmlns:a16="http://schemas.microsoft.com/office/drawing/2014/main" id="{00000000-0008-0000-0400-000060010000}"/>
            </a:ext>
          </a:extLst>
        </xdr:cNvPr>
        <xdr:cNvCxnSpPr>
          <a:stCxn id="345" idx="2"/>
          <a:endCxn id="351" idx="0"/>
        </xdr:cNvCxnSpPr>
      </xdr:nvCxnSpPr>
      <xdr:spPr>
        <a:xfrm>
          <a:off x="1066800" y="37071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189</xdr:row>
      <xdr:rowOff>0</xdr:rowOff>
    </xdr:from>
    <xdr:to>
      <xdr:col>12</xdr:col>
      <xdr:colOff>1</xdr:colOff>
      <xdr:row>196</xdr:row>
      <xdr:rowOff>0</xdr:rowOff>
    </xdr:to>
    <xdr:cxnSp macro="">
      <xdr:nvCxnSpPr>
        <xdr:cNvPr id="355" name="Connector: Elbow 354">
          <a:extLst>
            <a:ext uri="{FF2B5EF4-FFF2-40B4-BE49-F238E27FC236}">
              <a16:creationId xmlns:a16="http://schemas.microsoft.com/office/drawing/2014/main" id="{00000000-0008-0000-0400-000063010000}"/>
            </a:ext>
          </a:extLst>
        </xdr:cNvPr>
        <xdr:cNvCxnSpPr>
          <a:stCxn id="350" idx="2"/>
          <a:endCxn id="351" idx="0"/>
        </xdr:cNvCxnSpPr>
      </xdr:nvCxnSpPr>
      <xdr:spPr>
        <a:xfrm rot="5400000">
          <a:off x="1066800" y="36118800"/>
          <a:ext cx="2133600" cy="1333500"/>
        </a:xfrm>
        <a:prstGeom prst="bentConnector3">
          <a:avLst>
            <a:gd name="adj1" fmla="val 86134"/>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190</xdr:row>
      <xdr:rowOff>0</xdr:rowOff>
    </xdr:from>
    <xdr:to>
      <xdr:col>61</xdr:col>
      <xdr:colOff>0</xdr:colOff>
      <xdr:row>197</xdr:row>
      <xdr:rowOff>0</xdr:rowOff>
    </xdr:to>
    <xdr:sp macro="" textlink="" fLocksText="0">
      <xdr:nvSpPr>
        <xdr:cNvPr id="359" name="吹き出し: 線 2">
          <a:extLst>
            <a:ext uri="{FF2B5EF4-FFF2-40B4-BE49-F238E27FC236}">
              <a16:creationId xmlns:a16="http://schemas.microsoft.com/office/drawing/2014/main" id="{00000000-0008-0000-0400-000067010000}"/>
            </a:ext>
          </a:extLst>
        </xdr:cNvPr>
        <xdr:cNvSpPr/>
      </xdr:nvSpPr>
      <xdr:spPr>
        <a:xfrm>
          <a:off x="10134600" y="36309300"/>
          <a:ext cx="6134100" cy="1333500"/>
        </a:xfrm>
        <a:prstGeom prst="borderCallout1">
          <a:avLst>
            <a:gd name="adj1" fmla="val 50711"/>
            <a:gd name="adj2" fmla="val 25"/>
            <a:gd name="adj3" fmla="val -41329"/>
            <a:gd name="adj4" fmla="val -9900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追加ボタン(+記号)を表示する。追加ボタンをタッチすると、フォームを作成する。「検索」ボタンをタッチすると、名称で商品を検索できる。「選択」ボタンをタッチすると、セットマッチのグループに適用する商品を選択する。「戻る」ボタンをタッチすると、検索フォームを非表示し、商品を選択する。xボタンをタッチすると、その商品を削除し、[製品グループ]項目を非表示する。セットマッチの1つグループに追加できる最大商品数：10商品。</a:t>
          </a:r>
        </a:p>
      </xdr:txBody>
    </xdr:sp>
    <xdr:clientData/>
  </xdr:twoCellAnchor>
  <xdr:twoCellAnchor>
    <xdr:from>
      <xdr:col>2</xdr:col>
      <xdr:colOff>0</xdr:colOff>
      <xdr:row>202</xdr:row>
      <xdr:rowOff>0</xdr:rowOff>
    </xdr:from>
    <xdr:to>
      <xdr:col>6</xdr:col>
      <xdr:colOff>0</xdr:colOff>
      <xdr:row>204</xdr:row>
      <xdr:rowOff>0</xdr:rowOff>
    </xdr:to>
    <xdr:sp macro="" textlink="" fLocksText="0">
      <xdr:nvSpPr>
        <xdr:cNvPr id="360" name="四角形: 角を丸くする 1101">
          <a:extLst>
            <a:ext uri="{FF2B5EF4-FFF2-40B4-BE49-F238E27FC236}">
              <a16:creationId xmlns:a16="http://schemas.microsoft.com/office/drawing/2014/main" id="{00000000-0008-0000-0400-000068010000}"/>
            </a:ext>
          </a:extLst>
        </xdr:cNvPr>
        <xdr:cNvSpPr/>
      </xdr:nvSpPr>
      <xdr:spPr>
        <a:xfrm>
          <a:off x="533400" y="38595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900" b="0" i="0" u="none" baseline="0">
              <a:solidFill>
                <a:srgbClr val="FFFFFF"/>
              </a:solidFill>
              <a:latin typeface="Meiryo UI" panose="020B0604030504040204" pitchFamily="34" charset="-128"/>
              <a:ea typeface="Meiryo UI" panose="020B0604030504040204" pitchFamily="34" charset="-128"/>
            </a:rPr>
            <a:t>確定</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0</xdr:colOff>
      <xdr:row>200</xdr:row>
      <xdr:rowOff>0</xdr:rowOff>
    </xdr:from>
    <xdr:to>
      <xdr:col>4</xdr:col>
      <xdr:colOff>1</xdr:colOff>
      <xdr:row>202</xdr:row>
      <xdr:rowOff>0</xdr:rowOff>
    </xdr:to>
    <xdr:cxnSp macro="">
      <xdr:nvCxnSpPr>
        <xdr:cNvPr id="361" name="直線矢印コネクタ 1010">
          <a:extLst>
            <a:ext uri="{FF2B5EF4-FFF2-40B4-BE49-F238E27FC236}">
              <a16:creationId xmlns:a16="http://schemas.microsoft.com/office/drawing/2014/main" id="{00000000-0008-0000-0400-000069010000}"/>
            </a:ext>
          </a:extLst>
        </xdr:cNvPr>
        <xdr:cNvCxnSpPr>
          <a:stCxn id="351" idx="2"/>
          <a:endCxn id="360" idx="0"/>
        </xdr:cNvCxnSpPr>
      </xdr:nvCxnSpPr>
      <xdr:spPr>
        <a:xfrm flipH="1">
          <a:off x="1066800" y="38214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205</xdr:row>
      <xdr:rowOff>179294</xdr:rowOff>
    </xdr:from>
    <xdr:to>
      <xdr:col>7</xdr:col>
      <xdr:colOff>0</xdr:colOff>
      <xdr:row>209</xdr:row>
      <xdr:rowOff>179294</xdr:rowOff>
    </xdr:to>
    <xdr:sp macro="" textlink="" fLocksText="0">
      <xdr:nvSpPr>
        <xdr:cNvPr id="365" name="四角形: 角を丸くする 3">
          <a:extLst>
            <a:ext uri="{FF2B5EF4-FFF2-40B4-BE49-F238E27FC236}">
              <a16:creationId xmlns:a16="http://schemas.microsoft.com/office/drawing/2014/main" id="{00000000-0008-0000-0400-00006D010000}"/>
            </a:ext>
          </a:extLst>
        </xdr:cNvPr>
        <xdr:cNvSpPr/>
      </xdr:nvSpPr>
      <xdr:spPr>
        <a:xfrm>
          <a:off x="266700" y="39347775"/>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KN9507_グループ情報をセットマッチに保存する機能 </a:t>
          </a:r>
        </a:p>
      </xdr:txBody>
    </xdr:sp>
    <xdr:clientData/>
  </xdr:twoCellAnchor>
  <xdr:twoCellAnchor>
    <xdr:from>
      <xdr:col>4</xdr:col>
      <xdr:colOff>0</xdr:colOff>
      <xdr:row>204</xdr:row>
      <xdr:rowOff>0</xdr:rowOff>
    </xdr:from>
    <xdr:to>
      <xdr:col>4</xdr:col>
      <xdr:colOff>1</xdr:colOff>
      <xdr:row>205</xdr:row>
      <xdr:rowOff>179294</xdr:rowOff>
    </xdr:to>
    <xdr:cxnSp macro="">
      <xdr:nvCxnSpPr>
        <xdr:cNvPr id="366" name="直線矢印コネクタ 1010">
          <a:extLst>
            <a:ext uri="{FF2B5EF4-FFF2-40B4-BE49-F238E27FC236}">
              <a16:creationId xmlns:a16="http://schemas.microsoft.com/office/drawing/2014/main" id="{00000000-0008-0000-0400-00006E010000}"/>
            </a:ext>
          </a:extLst>
        </xdr:cNvPr>
        <xdr:cNvCxnSpPr>
          <a:stCxn id="360" idx="2"/>
          <a:endCxn id="365" idx="0"/>
        </xdr:cNvCxnSpPr>
      </xdr:nvCxnSpPr>
      <xdr:spPr>
        <a:xfrm>
          <a:off x="1066800" y="38976300"/>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202</xdr:row>
      <xdr:rowOff>0</xdr:rowOff>
    </xdr:from>
    <xdr:to>
      <xdr:col>14</xdr:col>
      <xdr:colOff>0</xdr:colOff>
      <xdr:row>204</xdr:row>
      <xdr:rowOff>0</xdr:rowOff>
    </xdr:to>
    <xdr:sp macro="" textlink="" fLocksText="0">
      <xdr:nvSpPr>
        <xdr:cNvPr id="370" name="四角形: 角を丸くする 1101">
          <a:extLst>
            <a:ext uri="{FF2B5EF4-FFF2-40B4-BE49-F238E27FC236}">
              <a16:creationId xmlns:a16="http://schemas.microsoft.com/office/drawing/2014/main" id="{00000000-0008-0000-0400-000072010000}"/>
            </a:ext>
          </a:extLst>
        </xdr:cNvPr>
        <xdr:cNvSpPr/>
      </xdr:nvSpPr>
      <xdr:spPr>
        <a:xfrm>
          <a:off x="2667000" y="38595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900" b="0" i="0" u="none" baseline="0">
              <a:solidFill>
                <a:srgbClr val="FFFFFF"/>
              </a:solidFill>
              <a:latin typeface="Meiryo UI" panose="020B0604030504040204" pitchFamily="34" charset="-128"/>
              <a:ea typeface="Meiryo UI" panose="020B0604030504040204" pitchFamily="34" charset="-128"/>
            </a:rPr>
            <a:t>戻る</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0</xdr:colOff>
      <xdr:row>200</xdr:row>
      <xdr:rowOff>0</xdr:rowOff>
    </xdr:from>
    <xdr:to>
      <xdr:col>11</xdr:col>
      <xdr:colOff>235322</xdr:colOff>
      <xdr:row>202</xdr:row>
      <xdr:rowOff>0</xdr:rowOff>
    </xdr:to>
    <xdr:cxnSp macro="">
      <xdr:nvCxnSpPr>
        <xdr:cNvPr id="371" name="Connector: Elbow 370">
          <a:extLst>
            <a:ext uri="{FF2B5EF4-FFF2-40B4-BE49-F238E27FC236}">
              <a16:creationId xmlns:a16="http://schemas.microsoft.com/office/drawing/2014/main" id="{00000000-0008-0000-0400-000073010000}"/>
            </a:ext>
          </a:extLst>
        </xdr:cNvPr>
        <xdr:cNvCxnSpPr>
          <a:stCxn id="351" idx="2"/>
          <a:endCxn id="370" idx="0"/>
        </xdr:cNvCxnSpPr>
      </xdr:nvCxnSpPr>
      <xdr:spPr>
        <a:xfrm rot="16200000" flipH="1">
          <a:off x="1066800" y="38214300"/>
          <a:ext cx="21050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209</xdr:row>
      <xdr:rowOff>179294</xdr:rowOff>
    </xdr:from>
    <xdr:to>
      <xdr:col>4</xdr:col>
      <xdr:colOff>1</xdr:colOff>
      <xdr:row>212</xdr:row>
      <xdr:rowOff>0</xdr:rowOff>
    </xdr:to>
    <xdr:cxnSp macro="">
      <xdr:nvCxnSpPr>
        <xdr:cNvPr id="374" name="直線矢印コネクタ 1010">
          <a:extLst>
            <a:ext uri="{FF2B5EF4-FFF2-40B4-BE49-F238E27FC236}">
              <a16:creationId xmlns:a16="http://schemas.microsoft.com/office/drawing/2014/main" id="{00000000-0008-0000-0400-000076010000}"/>
            </a:ext>
          </a:extLst>
        </xdr:cNvPr>
        <xdr:cNvCxnSpPr>
          <a:stCxn id="365" idx="2"/>
          <a:endCxn id="377" idx="0"/>
        </xdr:cNvCxnSpPr>
      </xdr:nvCxnSpPr>
      <xdr:spPr>
        <a:xfrm>
          <a:off x="1066800" y="40109775"/>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212</xdr:row>
      <xdr:rowOff>0</xdr:rowOff>
    </xdr:from>
    <xdr:to>
      <xdr:col>5</xdr:col>
      <xdr:colOff>0</xdr:colOff>
      <xdr:row>213</xdr:row>
      <xdr:rowOff>0</xdr:rowOff>
    </xdr:to>
    <xdr:sp macro="" textlink="" fLocksText="0">
      <xdr:nvSpPr>
        <xdr:cNvPr id="377" name="Rectangle: Rounded Corners 376">
          <a:extLst>
            <a:ext uri="{FF2B5EF4-FFF2-40B4-BE49-F238E27FC236}">
              <a16:creationId xmlns:a16="http://schemas.microsoft.com/office/drawing/2014/main" id="{00000000-0008-0000-0400-000079010000}"/>
            </a:ext>
          </a:extLst>
        </xdr:cNvPr>
        <xdr:cNvSpPr/>
      </xdr:nvSpPr>
      <xdr:spPr>
        <a:xfrm>
          <a:off x="800100" y="40500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95</a:t>
          </a:r>
        </a:p>
      </xdr:txBody>
    </xdr:sp>
    <xdr:clientData/>
  </xdr:twoCellAnchor>
  <xdr:twoCellAnchor>
    <xdr:from>
      <xdr:col>38</xdr:col>
      <xdr:colOff>0</xdr:colOff>
      <xdr:row>198</xdr:row>
      <xdr:rowOff>0</xdr:rowOff>
    </xdr:from>
    <xdr:to>
      <xdr:col>61</xdr:col>
      <xdr:colOff>0</xdr:colOff>
      <xdr:row>204</xdr:row>
      <xdr:rowOff>0</xdr:rowOff>
    </xdr:to>
    <xdr:sp macro="" textlink="" fLocksText="0">
      <xdr:nvSpPr>
        <xdr:cNvPr id="379" name="吹き出し: 線 2">
          <a:extLst>
            <a:ext uri="{FF2B5EF4-FFF2-40B4-BE49-F238E27FC236}">
              <a16:creationId xmlns:a16="http://schemas.microsoft.com/office/drawing/2014/main" id="{00000000-0008-0000-0400-00007B010000}"/>
            </a:ext>
          </a:extLst>
        </xdr:cNvPr>
        <xdr:cNvSpPr/>
      </xdr:nvSpPr>
      <xdr:spPr>
        <a:xfrm>
          <a:off x="10134600" y="37833300"/>
          <a:ext cx="6134100" cy="1143000"/>
        </a:xfrm>
        <a:prstGeom prst="borderCallout1">
          <a:avLst>
            <a:gd name="adj1" fmla="val 50291"/>
            <a:gd name="adj2" fmla="val 439"/>
            <a:gd name="adj3" fmla="val -89858"/>
            <a:gd name="adj4" fmla="val -13771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・追加ボタンをタッチすると、製品グループ一覧を含むフォームを表示し、「選択」ボタンをタッチして製品グループを選択できる。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ユーザーが製品グループを選択した後、製品グループ選択フォームを非表示し、[製品グループ]に情報を埋め込む。ユーザーがセットマッチの1つグループに対して1つの商品のみを選択できる。</a:t>
          </a:r>
        </a:p>
      </xdr:txBody>
    </xdr:sp>
    <xdr:clientData/>
  </xdr:twoCellAnchor>
  <xdr:twoCellAnchor>
    <xdr:from>
      <xdr:col>38</xdr:col>
      <xdr:colOff>0</xdr:colOff>
      <xdr:row>205</xdr:row>
      <xdr:rowOff>0</xdr:rowOff>
    </xdr:from>
    <xdr:to>
      <xdr:col>61</xdr:col>
      <xdr:colOff>0</xdr:colOff>
      <xdr:row>215</xdr:row>
      <xdr:rowOff>0</xdr:rowOff>
    </xdr:to>
    <xdr:sp macro="" textlink="" fLocksText="0">
      <xdr:nvSpPr>
        <xdr:cNvPr id="380" name="吹き出し: 線 2">
          <a:extLst>
            <a:ext uri="{FF2B5EF4-FFF2-40B4-BE49-F238E27FC236}">
              <a16:creationId xmlns:a16="http://schemas.microsoft.com/office/drawing/2014/main" id="{00000000-0008-0000-0400-00007C010000}"/>
            </a:ext>
          </a:extLst>
        </xdr:cNvPr>
        <xdr:cNvSpPr/>
      </xdr:nvSpPr>
      <xdr:spPr>
        <a:xfrm>
          <a:off x="10134600" y="39166800"/>
          <a:ext cx="6134100" cy="1905000"/>
        </a:xfrm>
        <a:prstGeom prst="borderCallout1">
          <a:avLst>
            <a:gd name="adj1" fmla="val 30291"/>
            <a:gd name="adj2" fmla="val 232"/>
            <a:gd name="adj3" fmla="val 29582"/>
            <a:gd name="adj4" fmla="val -13502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・バリデーションチェックを行う。</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+[グループ名称]、[成立セット数]の入力必須をチェックする。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+製品グループ選択モードで[製品グループ]の入力必須をチェックする。商品選択モードで少なくとも 1つの商品レコードの存在をチェックする。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・ユーザーが画面上のセットマッチのグループ一覧エリアにグループを作成または更新した後、グループ情報を保存し、情報を再度表示する。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・[成立セット数]：新規作成の場合、デフォルトの値が「1」である。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5</xdr:col>
      <xdr:colOff>1</xdr:colOff>
      <xdr:row>62</xdr:row>
      <xdr:rowOff>0</xdr:rowOff>
    </xdr:from>
    <xdr:to>
      <xdr:col>12</xdr:col>
      <xdr:colOff>1</xdr:colOff>
      <xdr:row>63</xdr:row>
      <xdr:rowOff>190499</xdr:rowOff>
    </xdr:to>
    <xdr:cxnSp macro="">
      <xdr:nvCxnSpPr>
        <xdr:cNvPr id="381" name="Connector: Elbow 380">
          <a:extLst>
            <a:ext uri="{FF2B5EF4-FFF2-40B4-BE49-F238E27FC236}">
              <a16:creationId xmlns:a16="http://schemas.microsoft.com/office/drawing/2014/main" id="{00000000-0008-0000-0400-00007D010000}"/>
            </a:ext>
          </a:extLst>
        </xdr:cNvPr>
        <xdr:cNvCxnSpPr>
          <a:stCxn id="82" idx="2"/>
          <a:endCxn id="72" idx="0"/>
        </xdr:cNvCxnSpPr>
      </xdr:nvCxnSpPr>
      <xdr:spPr>
        <a:xfrm rot="5400000">
          <a:off x="1333500" y="11925300"/>
          <a:ext cx="18669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218</xdr:row>
      <xdr:rowOff>0</xdr:rowOff>
    </xdr:from>
    <xdr:to>
      <xdr:col>5</xdr:col>
      <xdr:colOff>0</xdr:colOff>
      <xdr:row>219</xdr:row>
      <xdr:rowOff>0</xdr:rowOff>
    </xdr:to>
    <xdr:sp macro="" textlink="" fLocksText="0">
      <xdr:nvSpPr>
        <xdr:cNvPr id="384" name="Rectangle: Rounded Corners 383">
          <a:extLst>
            <a:ext uri="{FF2B5EF4-FFF2-40B4-BE49-F238E27FC236}">
              <a16:creationId xmlns:a16="http://schemas.microsoft.com/office/drawing/2014/main" id="{00000000-0008-0000-0400-000080010000}"/>
            </a:ext>
          </a:extLst>
        </xdr:cNvPr>
        <xdr:cNvSpPr/>
      </xdr:nvSpPr>
      <xdr:spPr>
        <a:xfrm>
          <a:off x="800100" y="4164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95.5</a:t>
          </a:r>
        </a:p>
      </xdr:txBody>
    </xdr:sp>
    <xdr:clientData/>
  </xdr:twoCellAnchor>
  <xdr:twoCellAnchor>
    <xdr:from>
      <xdr:col>4</xdr:col>
      <xdr:colOff>1</xdr:colOff>
      <xdr:row>219</xdr:row>
      <xdr:rowOff>0</xdr:rowOff>
    </xdr:from>
    <xdr:to>
      <xdr:col>4</xdr:col>
      <xdr:colOff>1</xdr:colOff>
      <xdr:row>221</xdr:row>
      <xdr:rowOff>0</xdr:rowOff>
    </xdr:to>
    <xdr:cxnSp macro="">
      <xdr:nvCxnSpPr>
        <xdr:cNvPr id="385" name="直線矢印コネクタ 1010">
          <a:extLst>
            <a:ext uri="{FF2B5EF4-FFF2-40B4-BE49-F238E27FC236}">
              <a16:creationId xmlns:a16="http://schemas.microsoft.com/office/drawing/2014/main" id="{00000000-0008-0000-0400-000081010000}"/>
            </a:ext>
          </a:extLst>
        </xdr:cNvPr>
        <xdr:cNvCxnSpPr>
          <a:stCxn id="384" idx="2"/>
          <a:endCxn id="387" idx="0"/>
        </xdr:cNvCxnSpPr>
      </xdr:nvCxnSpPr>
      <xdr:spPr>
        <a:xfrm>
          <a:off x="1066800" y="41833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221</xdr:row>
      <xdr:rowOff>0</xdr:rowOff>
    </xdr:from>
    <xdr:to>
      <xdr:col>7</xdr:col>
      <xdr:colOff>0</xdr:colOff>
      <xdr:row>225</xdr:row>
      <xdr:rowOff>0</xdr:rowOff>
    </xdr:to>
    <xdr:sp macro="" textlink="" fLocksText="0">
      <xdr:nvSpPr>
        <xdr:cNvPr id="387" name="四角形: 角を丸くする 3">
          <a:extLst>
            <a:ext uri="{FF2B5EF4-FFF2-40B4-BE49-F238E27FC236}">
              <a16:creationId xmlns:a16="http://schemas.microsoft.com/office/drawing/2014/main" id="{00000000-0008-0000-0400-000083010000}"/>
            </a:ext>
          </a:extLst>
        </xdr:cNvPr>
        <xdr:cNvSpPr/>
      </xdr:nvSpPr>
      <xdr:spPr>
        <a:xfrm>
          <a:off x="266700" y="42214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KN9508_セットマッチ情報削除機能</a:t>
          </a:r>
        </a:p>
      </xdr:txBody>
    </xdr:sp>
    <xdr:clientData/>
  </xdr:twoCellAnchor>
  <xdr:twoCellAnchor>
    <xdr:from>
      <xdr:col>4</xdr:col>
      <xdr:colOff>1</xdr:colOff>
      <xdr:row>225</xdr:row>
      <xdr:rowOff>0</xdr:rowOff>
    </xdr:from>
    <xdr:to>
      <xdr:col>4</xdr:col>
      <xdr:colOff>1</xdr:colOff>
      <xdr:row>227</xdr:row>
      <xdr:rowOff>0</xdr:rowOff>
    </xdr:to>
    <xdr:cxnSp macro="">
      <xdr:nvCxnSpPr>
        <xdr:cNvPr id="389" name="直線矢印コネクタ 1010">
          <a:extLst>
            <a:ext uri="{FF2B5EF4-FFF2-40B4-BE49-F238E27FC236}">
              <a16:creationId xmlns:a16="http://schemas.microsoft.com/office/drawing/2014/main" id="{00000000-0008-0000-0400-000085010000}"/>
            </a:ext>
          </a:extLst>
        </xdr:cNvPr>
        <xdr:cNvCxnSpPr>
          <a:stCxn id="387" idx="2"/>
          <a:endCxn id="390" idx="0"/>
        </xdr:cNvCxnSpPr>
      </xdr:nvCxnSpPr>
      <xdr:spPr>
        <a:xfrm>
          <a:off x="1066800" y="4297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227</xdr:row>
      <xdr:rowOff>0</xdr:rowOff>
    </xdr:from>
    <xdr:to>
      <xdr:col>5</xdr:col>
      <xdr:colOff>0</xdr:colOff>
      <xdr:row>228</xdr:row>
      <xdr:rowOff>0</xdr:rowOff>
    </xdr:to>
    <xdr:sp macro="" textlink="" fLocksText="0">
      <xdr:nvSpPr>
        <xdr:cNvPr id="390" name="Rectangle: Rounded Corners 389">
          <a:extLst>
            <a:ext uri="{FF2B5EF4-FFF2-40B4-BE49-F238E27FC236}">
              <a16:creationId xmlns:a16="http://schemas.microsoft.com/office/drawing/2014/main" id="{00000000-0008-0000-0400-000086010000}"/>
            </a:ext>
          </a:extLst>
        </xdr:cNvPr>
        <xdr:cNvSpPr/>
      </xdr:nvSpPr>
      <xdr:spPr>
        <a:xfrm>
          <a:off x="800100" y="4335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95</a:t>
          </a:r>
        </a:p>
      </xdr:txBody>
    </xdr:sp>
    <xdr:clientData/>
  </xdr:twoCellAnchor>
  <xdr:twoCellAnchor>
    <xdr:from>
      <xdr:col>38</xdr:col>
      <xdr:colOff>0</xdr:colOff>
      <xdr:row>219</xdr:row>
      <xdr:rowOff>0</xdr:rowOff>
    </xdr:from>
    <xdr:to>
      <xdr:col>61</xdr:col>
      <xdr:colOff>0</xdr:colOff>
      <xdr:row>226</xdr:row>
      <xdr:rowOff>0</xdr:rowOff>
    </xdr:to>
    <xdr:sp macro="" textlink="" fLocksText="0">
      <xdr:nvSpPr>
        <xdr:cNvPr id="392" name="吹き出し: 線 2">
          <a:extLst>
            <a:ext uri="{FF2B5EF4-FFF2-40B4-BE49-F238E27FC236}">
              <a16:creationId xmlns:a16="http://schemas.microsoft.com/office/drawing/2014/main" id="{00000000-0008-0000-0400-000088010000}"/>
            </a:ext>
          </a:extLst>
        </xdr:cNvPr>
        <xdr:cNvSpPr/>
      </xdr:nvSpPr>
      <xdr:spPr>
        <a:xfrm>
          <a:off x="10134600" y="41833800"/>
          <a:ext cx="6134100" cy="1333500"/>
        </a:xfrm>
        <a:prstGeom prst="borderCallout1">
          <a:avLst>
            <a:gd name="adj1" fmla="val 41887"/>
            <a:gd name="adj2" fmla="val -182"/>
            <a:gd name="adj3" fmla="val 42776"/>
            <a:gd name="adj4" fmla="val -13502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・セットマッチ新規作成の場合、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ユーザーが入力したセットマッチ情報を削除し、画面を初期状態にリセットする。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・セットマッチ編集の場合、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セットマッチ削除APIを呼び出し、編集対象セットマッチを削除する。</a:t>
          </a:r>
        </a:p>
      </xdr:txBody>
    </xdr:sp>
    <xdr:clientData/>
  </xdr:twoCellAnchor>
  <xdr:twoCellAnchor>
    <xdr:from>
      <xdr:col>29</xdr:col>
      <xdr:colOff>0</xdr:colOff>
      <xdr:row>221</xdr:row>
      <xdr:rowOff>0</xdr:rowOff>
    </xdr:from>
    <xdr:to>
      <xdr:col>35</xdr:col>
      <xdr:colOff>0</xdr:colOff>
      <xdr:row>225</xdr:row>
      <xdr:rowOff>0</xdr:rowOff>
    </xdr:to>
    <xdr:sp macro="" textlink="" fLocksText="0">
      <xdr:nvSpPr>
        <xdr:cNvPr id="393" name="フローチャート: 磁気ディスク 194">
          <a:extLst>
            <a:ext uri="{FF2B5EF4-FFF2-40B4-BE49-F238E27FC236}">
              <a16:creationId xmlns:a16="http://schemas.microsoft.com/office/drawing/2014/main" id="{00000000-0008-0000-0400-000089010000}"/>
            </a:ext>
          </a:extLst>
        </xdr:cNvPr>
        <xdr:cNvSpPr/>
      </xdr:nvSpPr>
      <xdr:spPr>
        <a:xfrm>
          <a:off x="7734300" y="42214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AP9504</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セットマッチ削除</a:t>
          </a:r>
        </a:p>
      </xdr:txBody>
    </xdr:sp>
    <xdr:clientData/>
  </xdr:twoCellAnchor>
  <xdr:twoCellAnchor>
    <xdr:from>
      <xdr:col>7</xdr:col>
      <xdr:colOff>0</xdr:colOff>
      <xdr:row>223</xdr:row>
      <xdr:rowOff>0</xdr:rowOff>
    </xdr:from>
    <xdr:to>
      <xdr:col>29</xdr:col>
      <xdr:colOff>0</xdr:colOff>
      <xdr:row>223</xdr:row>
      <xdr:rowOff>0</xdr:rowOff>
    </xdr:to>
    <xdr:cxnSp macro="">
      <xdr:nvCxnSpPr>
        <xdr:cNvPr id="394" name="直線矢印コネクタ 196">
          <a:extLst>
            <a:ext uri="{FF2B5EF4-FFF2-40B4-BE49-F238E27FC236}">
              <a16:creationId xmlns:a16="http://schemas.microsoft.com/office/drawing/2014/main" id="{00000000-0008-0000-0400-00008A010000}"/>
            </a:ext>
          </a:extLst>
        </xdr:cNvPr>
        <xdr:cNvCxnSpPr>
          <a:stCxn id="387" idx="3"/>
          <a:endCxn id="393" idx="2"/>
        </xdr:cNvCxnSpPr>
      </xdr:nvCxnSpPr>
      <xdr:spPr>
        <a:xfrm>
          <a:off x="1866900" y="42595800"/>
          <a:ext cx="5867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232</xdr:row>
      <xdr:rowOff>0</xdr:rowOff>
    </xdr:from>
    <xdr:to>
      <xdr:col>5</xdr:col>
      <xdr:colOff>0</xdr:colOff>
      <xdr:row>233</xdr:row>
      <xdr:rowOff>0</xdr:rowOff>
    </xdr:to>
    <xdr:sp macro="" textlink="" fLocksText="0">
      <xdr:nvSpPr>
        <xdr:cNvPr id="398" name="Rectangle: Rounded Corners 397">
          <a:extLst>
            <a:ext uri="{FF2B5EF4-FFF2-40B4-BE49-F238E27FC236}">
              <a16:creationId xmlns:a16="http://schemas.microsoft.com/office/drawing/2014/main" id="{00000000-0008-0000-0400-00008E010000}"/>
            </a:ext>
          </a:extLst>
        </xdr:cNvPr>
        <xdr:cNvSpPr/>
      </xdr:nvSpPr>
      <xdr:spPr>
        <a:xfrm>
          <a:off x="800100" y="44310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95.6</a:t>
          </a:r>
        </a:p>
      </xdr:txBody>
    </xdr:sp>
    <xdr:clientData/>
  </xdr:twoCellAnchor>
  <xdr:twoCellAnchor>
    <xdr:from>
      <xdr:col>4</xdr:col>
      <xdr:colOff>1</xdr:colOff>
      <xdr:row>233</xdr:row>
      <xdr:rowOff>0</xdr:rowOff>
    </xdr:from>
    <xdr:to>
      <xdr:col>4</xdr:col>
      <xdr:colOff>1</xdr:colOff>
      <xdr:row>235</xdr:row>
      <xdr:rowOff>0</xdr:rowOff>
    </xdr:to>
    <xdr:cxnSp macro="">
      <xdr:nvCxnSpPr>
        <xdr:cNvPr id="399" name="直線矢印コネクタ 1010">
          <a:extLst>
            <a:ext uri="{FF2B5EF4-FFF2-40B4-BE49-F238E27FC236}">
              <a16:creationId xmlns:a16="http://schemas.microsoft.com/office/drawing/2014/main" id="{00000000-0008-0000-0400-00008F010000}"/>
            </a:ext>
          </a:extLst>
        </xdr:cNvPr>
        <xdr:cNvCxnSpPr>
          <a:stCxn id="398" idx="2"/>
          <a:endCxn id="400" idx="0"/>
        </xdr:cNvCxnSpPr>
      </xdr:nvCxnSpPr>
      <xdr:spPr>
        <a:xfrm>
          <a:off x="1066800" y="44500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235</xdr:row>
      <xdr:rowOff>0</xdr:rowOff>
    </xdr:from>
    <xdr:to>
      <xdr:col>7</xdr:col>
      <xdr:colOff>0</xdr:colOff>
      <xdr:row>239</xdr:row>
      <xdr:rowOff>0</xdr:rowOff>
    </xdr:to>
    <xdr:sp macro="" textlink="" fLocksText="0">
      <xdr:nvSpPr>
        <xdr:cNvPr id="400" name="四角形: 角を丸くする 3">
          <a:extLst>
            <a:ext uri="{FF2B5EF4-FFF2-40B4-BE49-F238E27FC236}">
              <a16:creationId xmlns:a16="http://schemas.microsoft.com/office/drawing/2014/main" id="{00000000-0008-0000-0400-000090010000}"/>
            </a:ext>
          </a:extLst>
        </xdr:cNvPr>
        <xdr:cNvSpPr/>
      </xdr:nvSpPr>
      <xdr:spPr>
        <a:xfrm>
          <a:off x="266700" y="44881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KN9509_セットマッチ情報保存機能</a:t>
          </a:r>
        </a:p>
      </xdr:txBody>
    </xdr:sp>
    <xdr:clientData/>
  </xdr:twoCellAnchor>
  <xdr:twoCellAnchor>
    <xdr:from>
      <xdr:col>4</xdr:col>
      <xdr:colOff>1</xdr:colOff>
      <xdr:row>239</xdr:row>
      <xdr:rowOff>0</xdr:rowOff>
    </xdr:from>
    <xdr:to>
      <xdr:col>4</xdr:col>
      <xdr:colOff>1</xdr:colOff>
      <xdr:row>241</xdr:row>
      <xdr:rowOff>0</xdr:rowOff>
    </xdr:to>
    <xdr:cxnSp macro="">
      <xdr:nvCxnSpPr>
        <xdr:cNvPr id="401" name="直線矢印コネクタ 1010">
          <a:extLst>
            <a:ext uri="{FF2B5EF4-FFF2-40B4-BE49-F238E27FC236}">
              <a16:creationId xmlns:a16="http://schemas.microsoft.com/office/drawing/2014/main" id="{00000000-0008-0000-0400-000091010000}"/>
            </a:ext>
          </a:extLst>
        </xdr:cNvPr>
        <xdr:cNvCxnSpPr>
          <a:stCxn id="400" idx="2"/>
          <a:endCxn id="402" idx="0"/>
        </xdr:cNvCxnSpPr>
      </xdr:nvCxnSpPr>
      <xdr:spPr>
        <a:xfrm>
          <a:off x="1066800" y="45643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241</xdr:row>
      <xdr:rowOff>0</xdr:rowOff>
    </xdr:from>
    <xdr:to>
      <xdr:col>5</xdr:col>
      <xdr:colOff>0</xdr:colOff>
      <xdr:row>242</xdr:row>
      <xdr:rowOff>0</xdr:rowOff>
    </xdr:to>
    <xdr:sp macro="" textlink="" fLocksText="0">
      <xdr:nvSpPr>
        <xdr:cNvPr id="402" name="Rectangle: Rounded Corners 401">
          <a:extLst>
            <a:ext uri="{FF2B5EF4-FFF2-40B4-BE49-F238E27FC236}">
              <a16:creationId xmlns:a16="http://schemas.microsoft.com/office/drawing/2014/main" id="{00000000-0008-0000-0400-000092010000}"/>
            </a:ext>
          </a:extLst>
        </xdr:cNvPr>
        <xdr:cNvSpPr/>
      </xdr:nvSpPr>
      <xdr:spPr>
        <a:xfrm>
          <a:off x="800100" y="46024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95</a:t>
          </a:r>
        </a:p>
      </xdr:txBody>
    </xdr:sp>
    <xdr:clientData/>
  </xdr:twoCellAnchor>
  <xdr:twoCellAnchor>
    <xdr:from>
      <xdr:col>38</xdr:col>
      <xdr:colOff>0</xdr:colOff>
      <xdr:row>235</xdr:row>
      <xdr:rowOff>0</xdr:rowOff>
    </xdr:from>
    <xdr:to>
      <xdr:col>61</xdr:col>
      <xdr:colOff>0</xdr:colOff>
      <xdr:row>237</xdr:row>
      <xdr:rowOff>0</xdr:rowOff>
    </xdr:to>
    <xdr:sp macro="" textlink="" fLocksText="0">
      <xdr:nvSpPr>
        <xdr:cNvPr id="403" name="吹き出し: 線 2">
          <a:extLst>
            <a:ext uri="{FF2B5EF4-FFF2-40B4-BE49-F238E27FC236}">
              <a16:creationId xmlns:a16="http://schemas.microsoft.com/office/drawing/2014/main" id="{00000000-0008-0000-0400-000093010000}"/>
            </a:ext>
          </a:extLst>
        </xdr:cNvPr>
        <xdr:cNvSpPr/>
      </xdr:nvSpPr>
      <xdr:spPr>
        <a:xfrm>
          <a:off x="10134600" y="44881800"/>
          <a:ext cx="6134100" cy="381000"/>
        </a:xfrm>
        <a:prstGeom prst="borderCallout1">
          <a:avLst>
            <a:gd name="adj1" fmla="val 50291"/>
            <a:gd name="adj2" fmla="val 439"/>
            <a:gd name="adj3" fmla="val 46697"/>
            <a:gd name="adj4" fmla="val -13481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セットマッチAPIを呼び出して、セットマッチを新規作成または編集する。</a:t>
          </a:r>
        </a:p>
      </xdr:txBody>
    </xdr:sp>
    <xdr:clientData/>
  </xdr:twoCellAnchor>
  <xdr:twoCellAnchor>
    <xdr:from>
      <xdr:col>29</xdr:col>
      <xdr:colOff>0</xdr:colOff>
      <xdr:row>235</xdr:row>
      <xdr:rowOff>0</xdr:rowOff>
    </xdr:from>
    <xdr:to>
      <xdr:col>35</xdr:col>
      <xdr:colOff>0</xdr:colOff>
      <xdr:row>239</xdr:row>
      <xdr:rowOff>0</xdr:rowOff>
    </xdr:to>
    <xdr:sp macro="" textlink="" fLocksText="0">
      <xdr:nvSpPr>
        <xdr:cNvPr id="404" name="フローチャート: 磁気ディスク 194">
          <a:extLst>
            <a:ext uri="{FF2B5EF4-FFF2-40B4-BE49-F238E27FC236}">
              <a16:creationId xmlns:a16="http://schemas.microsoft.com/office/drawing/2014/main" id="{00000000-0008-0000-0400-000094010000}"/>
            </a:ext>
          </a:extLst>
        </xdr:cNvPr>
        <xdr:cNvSpPr/>
      </xdr:nvSpPr>
      <xdr:spPr>
        <a:xfrm>
          <a:off x="7734300" y="44881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AP9505</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セットマッチ保存</a:t>
          </a:r>
        </a:p>
      </xdr:txBody>
    </xdr:sp>
    <xdr:clientData/>
  </xdr:twoCellAnchor>
  <xdr:twoCellAnchor>
    <xdr:from>
      <xdr:col>7</xdr:col>
      <xdr:colOff>0</xdr:colOff>
      <xdr:row>237</xdr:row>
      <xdr:rowOff>0</xdr:rowOff>
    </xdr:from>
    <xdr:to>
      <xdr:col>29</xdr:col>
      <xdr:colOff>0</xdr:colOff>
      <xdr:row>237</xdr:row>
      <xdr:rowOff>0</xdr:rowOff>
    </xdr:to>
    <xdr:cxnSp macro="">
      <xdr:nvCxnSpPr>
        <xdr:cNvPr id="405" name="直線矢印コネクタ 196">
          <a:extLst>
            <a:ext uri="{FF2B5EF4-FFF2-40B4-BE49-F238E27FC236}">
              <a16:creationId xmlns:a16="http://schemas.microsoft.com/office/drawing/2014/main" id="{00000000-0008-0000-0400-000095010000}"/>
            </a:ext>
          </a:extLst>
        </xdr:cNvPr>
        <xdr:cNvCxnSpPr>
          <a:stCxn id="400" idx="3"/>
          <a:endCxn id="404" idx="2"/>
        </xdr:cNvCxnSpPr>
      </xdr:nvCxnSpPr>
      <xdr:spPr>
        <a:xfrm>
          <a:off x="1866900" y="45262800"/>
          <a:ext cx="5867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161</xdr:row>
      <xdr:rowOff>0</xdr:rowOff>
    </xdr:from>
    <xdr:to>
      <xdr:col>7</xdr:col>
      <xdr:colOff>0</xdr:colOff>
      <xdr:row>165</xdr:row>
      <xdr:rowOff>0</xdr:rowOff>
    </xdr:to>
    <xdr:sp macro="" textlink="" fLocksText="0">
      <xdr:nvSpPr>
        <xdr:cNvPr id="6" name="四角形: 角を丸くする 3">
          <a:extLst>
            <a:ext uri="{FF2B5EF4-FFF2-40B4-BE49-F238E27FC236}">
              <a16:creationId xmlns:a16="http://schemas.microsoft.com/office/drawing/2014/main" id="{00000000-0008-0000-0400-000006000000}"/>
            </a:ext>
          </a:extLst>
        </xdr:cNvPr>
        <xdr:cNvSpPr/>
      </xdr:nvSpPr>
      <xdr:spPr>
        <a:xfrm>
          <a:off x="266700" y="30784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KN9510</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セットマッチコード自動生成機能 </a:t>
          </a:r>
        </a:p>
      </xdr:txBody>
    </xdr:sp>
    <xdr:clientData/>
  </xdr:twoCellAnchor>
  <xdr:twoCellAnchor>
    <xdr:from>
      <xdr:col>29</xdr:col>
      <xdr:colOff>0</xdr:colOff>
      <xdr:row>161</xdr:row>
      <xdr:rowOff>0</xdr:rowOff>
    </xdr:from>
    <xdr:to>
      <xdr:col>35</xdr:col>
      <xdr:colOff>0</xdr:colOff>
      <xdr:row>165</xdr:row>
      <xdr:rowOff>0</xdr:rowOff>
    </xdr:to>
    <xdr:sp macro="" textlink="" fLocksText="0">
      <xdr:nvSpPr>
        <xdr:cNvPr id="10" name="フローチャート: 磁気ディスク 194">
          <a:extLst>
            <a:ext uri="{FF2B5EF4-FFF2-40B4-BE49-F238E27FC236}">
              <a16:creationId xmlns:a16="http://schemas.microsoft.com/office/drawing/2014/main" id="{00000000-0008-0000-0400-00000A000000}"/>
            </a:ext>
          </a:extLst>
        </xdr:cNvPr>
        <xdr:cNvSpPr/>
      </xdr:nvSpPr>
      <xdr:spPr>
        <a:xfrm>
          <a:off x="7734300" y="30784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AP9506</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セットマッチコード取得</a:t>
          </a:r>
        </a:p>
      </xdr:txBody>
    </xdr:sp>
    <xdr:clientData/>
  </xdr:twoCellAnchor>
  <xdr:twoCellAnchor>
    <xdr:from>
      <xdr:col>7</xdr:col>
      <xdr:colOff>0</xdr:colOff>
      <xdr:row>163</xdr:row>
      <xdr:rowOff>0</xdr:rowOff>
    </xdr:from>
    <xdr:to>
      <xdr:col>29</xdr:col>
      <xdr:colOff>0</xdr:colOff>
      <xdr:row>163</xdr:row>
      <xdr:rowOff>0</xdr:rowOff>
    </xdr:to>
    <xdr:cxnSp macro="">
      <xdr:nvCxnSpPr>
        <xdr:cNvPr id="12" name="直線矢印コネクタ 196">
          <a:extLst>
            <a:ext uri="{FF2B5EF4-FFF2-40B4-BE49-F238E27FC236}">
              <a16:creationId xmlns:a16="http://schemas.microsoft.com/office/drawing/2014/main" id="{00000000-0008-0000-0400-00000C000000}"/>
            </a:ext>
          </a:extLst>
        </xdr:cNvPr>
        <xdr:cNvCxnSpPr>
          <a:stCxn id="6" idx="3"/>
          <a:endCxn id="10" idx="2"/>
        </xdr:cNvCxnSpPr>
      </xdr:nvCxnSpPr>
      <xdr:spPr>
        <a:xfrm>
          <a:off x="1866900" y="31165800"/>
          <a:ext cx="5867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0</xdr:colOff>
      <xdr:row>92</xdr:row>
      <xdr:rowOff>0</xdr:rowOff>
    </xdr:from>
    <xdr:to>
      <xdr:col>87</xdr:col>
      <xdr:colOff>135740</xdr:colOff>
      <xdr:row>99</xdr:row>
      <xdr:rowOff>143081</xdr:rowOff>
    </xdr:to>
    <xdr:pic>
      <xdr:nvPicPr>
        <xdr:cNvPr id="17" name="Picture 16">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1"/>
        <a:stretch>
          <a:fillRect/>
        </a:stretch>
      </xdr:blipFill>
      <xdr:spPr>
        <a:xfrm>
          <a:off x="17602200" y="17640300"/>
          <a:ext cx="5734050" cy="1476375"/>
        </a:xfrm>
        <a:prstGeom prst="rect">
          <a:avLst/>
        </a:prstGeom>
      </xdr:spPr>
    </xdr:pic>
    <xdr:clientData/>
  </xdr:twoCellAnchor>
  <xdr:twoCellAnchor editAs="oneCell">
    <xdr:from>
      <xdr:col>67</xdr:col>
      <xdr:colOff>0</xdr:colOff>
      <xdr:row>171</xdr:row>
      <xdr:rowOff>0</xdr:rowOff>
    </xdr:from>
    <xdr:to>
      <xdr:col>83</xdr:col>
      <xdr:colOff>121565</xdr:colOff>
      <xdr:row>180</xdr:row>
      <xdr:rowOff>85976</xdr:rowOff>
    </xdr:to>
    <xdr:pic>
      <xdr:nvPicPr>
        <xdr:cNvPr id="19" name="Picture 18">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2"/>
        <a:stretch>
          <a:fillRect/>
        </a:stretch>
      </xdr:blipFill>
      <xdr:spPr>
        <a:xfrm>
          <a:off x="17868900" y="32689800"/>
          <a:ext cx="4391025" cy="1800225"/>
        </a:xfrm>
        <a:prstGeom prst="rect">
          <a:avLst/>
        </a:prstGeom>
      </xdr:spPr>
    </xdr:pic>
    <xdr:clientData/>
  </xdr:twoCellAnchor>
  <xdr:twoCellAnchor editAs="oneCell">
    <xdr:from>
      <xdr:col>85</xdr:col>
      <xdr:colOff>0</xdr:colOff>
      <xdr:row>171</xdr:row>
      <xdr:rowOff>0</xdr:rowOff>
    </xdr:from>
    <xdr:to>
      <xdr:col>101</xdr:col>
      <xdr:colOff>131093</xdr:colOff>
      <xdr:row>187</xdr:row>
      <xdr:rowOff>57583</xdr:rowOff>
    </xdr:to>
    <xdr:pic>
      <xdr:nvPicPr>
        <xdr:cNvPr id="20" name="Picture 19">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3"/>
        <a:stretch>
          <a:fillRect/>
        </a:stretch>
      </xdr:blipFill>
      <xdr:spPr>
        <a:xfrm>
          <a:off x="22669500" y="32689800"/>
          <a:ext cx="4400550" cy="3105150"/>
        </a:xfrm>
        <a:prstGeom prst="rect">
          <a:avLst/>
        </a:prstGeom>
      </xdr:spPr>
    </xdr:pic>
    <xdr:clientData/>
  </xdr:twoCellAnchor>
  <xdr:twoCellAnchor editAs="oneCell">
    <xdr:from>
      <xdr:col>67</xdr:col>
      <xdr:colOff>0</xdr:colOff>
      <xdr:row>191</xdr:row>
      <xdr:rowOff>0</xdr:rowOff>
    </xdr:from>
    <xdr:to>
      <xdr:col>83</xdr:col>
      <xdr:colOff>121565</xdr:colOff>
      <xdr:row>203</xdr:row>
      <xdr:rowOff>152740</xdr:rowOff>
    </xdr:to>
    <xdr:pic>
      <xdr:nvPicPr>
        <xdr:cNvPr id="21" name="Picture 20">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4"/>
        <a:stretch>
          <a:fillRect/>
        </a:stretch>
      </xdr:blipFill>
      <xdr:spPr>
        <a:xfrm>
          <a:off x="17868900" y="36499800"/>
          <a:ext cx="4391025" cy="2438400"/>
        </a:xfrm>
        <a:prstGeom prst="rect">
          <a:avLst/>
        </a:prstGeom>
      </xdr:spPr>
    </xdr:pic>
    <xdr:clientData/>
  </xdr:twoCellAnchor>
  <xdr:twoCellAnchor editAs="oneCell">
    <xdr:from>
      <xdr:col>85</xdr:col>
      <xdr:colOff>0</xdr:colOff>
      <xdr:row>191</xdr:row>
      <xdr:rowOff>0</xdr:rowOff>
    </xdr:from>
    <xdr:to>
      <xdr:col>101</xdr:col>
      <xdr:colOff>131093</xdr:colOff>
      <xdr:row>208</xdr:row>
      <xdr:rowOff>48084</xdr:rowOff>
    </xdr:to>
    <xdr:pic>
      <xdr:nvPicPr>
        <xdr:cNvPr id="24" name="Picture 2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5"/>
        <a:stretch>
          <a:fillRect/>
        </a:stretch>
      </xdr:blipFill>
      <xdr:spPr>
        <a:xfrm>
          <a:off x="22669500" y="36499800"/>
          <a:ext cx="4400550" cy="3286125"/>
        </a:xfrm>
        <a:prstGeom prst="rect">
          <a:avLst/>
        </a:prstGeom>
      </xdr:spPr>
    </xdr:pic>
    <xdr:clientData/>
  </xdr:twoCellAnchor>
  <xdr:twoCellAnchor editAs="oneCell">
    <xdr:from>
      <xdr:col>66</xdr:col>
      <xdr:colOff>212911</xdr:colOff>
      <xdr:row>35</xdr:row>
      <xdr:rowOff>0</xdr:rowOff>
    </xdr:from>
    <xdr:to>
      <xdr:col>118</xdr:col>
      <xdr:colOff>141211</xdr:colOff>
      <xdr:row>55</xdr:row>
      <xdr:rowOff>143427</xdr:rowOff>
    </xdr:to>
    <xdr:pic>
      <xdr:nvPicPr>
        <xdr:cNvPr id="44" name="Picture 43">
          <a:extLst>
            <a:ext uri="{FF2B5EF4-FFF2-40B4-BE49-F238E27FC236}">
              <a16:creationId xmlns:a16="http://schemas.microsoft.com/office/drawing/2014/main" id="{00000000-0008-0000-0400-00002C000000}"/>
            </a:ext>
          </a:extLst>
        </xdr:cNvPr>
        <xdr:cNvPicPr>
          <a:picLocks noChangeAspect="1"/>
        </xdr:cNvPicPr>
      </xdr:nvPicPr>
      <xdr:blipFill>
        <a:blip xmlns:r="http://schemas.openxmlformats.org/officeDocument/2006/relationships" r:embed="rId6"/>
        <a:stretch>
          <a:fillRect/>
        </a:stretch>
      </xdr:blipFill>
      <xdr:spPr>
        <a:xfrm>
          <a:off x="17811750" y="6781800"/>
          <a:ext cx="13792200" cy="3952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186" customWidth="1"/>
    <col min="61" max="16384" width="2.77734375" style="186"/>
  </cols>
  <sheetData>
    <row r="1" spans="1:63" ht="24.95" customHeight="1" x14ac:dyDescent="0.25">
      <c r="A1" s="180" t="s">
        <v>46</v>
      </c>
      <c r="B1" s="181"/>
      <c r="C1" s="181"/>
      <c r="D1" s="181"/>
      <c r="E1" s="181"/>
      <c r="F1" s="181"/>
      <c r="G1" s="181"/>
      <c r="H1" s="181"/>
      <c r="I1" s="181"/>
      <c r="J1" s="182"/>
      <c r="K1" s="180" t="s">
        <v>47</v>
      </c>
      <c r="L1" s="181"/>
      <c r="M1" s="181"/>
      <c r="N1" s="181"/>
      <c r="O1" s="181"/>
      <c r="P1" s="181"/>
      <c r="Q1" s="181"/>
      <c r="R1" s="181"/>
      <c r="S1" s="181"/>
      <c r="T1" s="181"/>
      <c r="U1" s="181"/>
      <c r="V1" s="182"/>
      <c r="W1" s="183" t="s">
        <v>48</v>
      </c>
      <c r="X1" s="184"/>
      <c r="Y1" s="184"/>
      <c r="Z1" s="184"/>
      <c r="AA1" s="184"/>
      <c r="AB1" s="184"/>
      <c r="AC1" s="184"/>
      <c r="AD1" s="184"/>
      <c r="AE1" s="184"/>
      <c r="AF1" s="184"/>
      <c r="AG1" s="184"/>
      <c r="AH1" s="184"/>
      <c r="AI1" s="184"/>
      <c r="AJ1" s="184"/>
      <c r="AK1" s="184"/>
      <c r="AL1" s="184"/>
      <c r="AM1" s="184"/>
      <c r="AN1" s="184"/>
      <c r="AO1" s="185"/>
      <c r="AP1" s="180" t="s">
        <v>49</v>
      </c>
      <c r="AQ1" s="181"/>
      <c r="AR1" s="181"/>
      <c r="AS1" s="182"/>
      <c r="AT1" s="180" t="s">
        <v>50</v>
      </c>
      <c r="AU1" s="181"/>
      <c r="AV1" s="181"/>
      <c r="AW1" s="181"/>
      <c r="AX1" s="182"/>
      <c r="AY1" s="180" t="s">
        <v>51</v>
      </c>
      <c r="AZ1" s="181"/>
      <c r="BA1" s="181"/>
      <c r="BB1" s="182"/>
      <c r="BC1" s="180" t="s">
        <v>52</v>
      </c>
      <c r="BD1" s="181"/>
      <c r="BE1" s="181"/>
      <c r="BF1" s="181"/>
      <c r="BG1" s="182"/>
      <c r="BH1" s="180" t="s">
        <v>53</v>
      </c>
      <c r="BI1" s="181"/>
      <c r="BJ1" s="181"/>
      <c r="BK1" s="182"/>
    </row>
    <row r="2" spans="1:63" ht="15" customHeight="1" x14ac:dyDescent="0.25">
      <c r="A2" s="22" t="s">
        <v>54</v>
      </c>
      <c r="B2" s="187"/>
      <c r="C2" s="187"/>
      <c r="D2" s="187"/>
      <c r="E2" s="187"/>
      <c r="F2" s="187"/>
      <c r="G2" s="187"/>
      <c r="H2" s="187"/>
      <c r="I2" s="187"/>
      <c r="J2" s="188"/>
      <c r="K2" s="189" t="s">
        <v>9</v>
      </c>
      <c r="L2" s="187"/>
      <c r="M2" s="187"/>
      <c r="N2" s="187"/>
      <c r="O2" s="187"/>
      <c r="P2" s="187"/>
      <c r="Q2" s="187"/>
      <c r="R2" s="187"/>
      <c r="S2" s="187"/>
      <c r="T2" s="187"/>
      <c r="U2" s="187"/>
      <c r="V2" s="188"/>
      <c r="W2" s="190"/>
      <c r="X2" s="191"/>
      <c r="Y2" s="191"/>
      <c r="Z2" s="191"/>
      <c r="AA2" s="191"/>
      <c r="AB2" s="191"/>
      <c r="AC2" s="191"/>
      <c r="AD2" s="191"/>
      <c r="AE2" s="191"/>
      <c r="AF2" s="191"/>
      <c r="AG2" s="191"/>
      <c r="AH2" s="191"/>
      <c r="AI2" s="191"/>
      <c r="AJ2" s="191"/>
      <c r="AK2" s="191"/>
      <c r="AL2" s="191"/>
      <c r="AM2" s="191"/>
      <c r="AN2" s="191"/>
      <c r="AO2" s="192"/>
      <c r="AP2" s="189" t="str">
        <f>改訂履歴!$H$11</f>
        <v>SonMNT</v>
      </c>
      <c r="AQ2" s="187"/>
      <c r="AR2" s="187"/>
      <c r="AS2" s="188"/>
      <c r="AT2" s="193">
        <f>改訂履歴!$B$11</f>
        <v>45477</v>
      </c>
      <c r="AU2" s="194"/>
      <c r="AV2" s="194"/>
      <c r="AW2" s="194"/>
      <c r="AX2" s="195"/>
      <c r="AY2" s="189" t="str">
        <f>LOOKUP(2,1/(改訂履歴!H11:H30000&lt;&gt;""),改訂履歴!H11:H30000)</f>
        <v>SonMNT</v>
      </c>
      <c r="AZ2" s="187"/>
      <c r="BA2" s="187"/>
      <c r="BB2" s="188"/>
      <c r="BC2" s="193">
        <f>LOOKUP(2,1/(改訂履歴!B11:B30000&lt;&gt;""),改訂履歴!B11:B30000)</f>
        <v>45477</v>
      </c>
      <c r="BD2" s="194"/>
      <c r="BE2" s="194"/>
      <c r="BF2" s="194"/>
      <c r="BG2" s="195"/>
      <c r="BH2" s="196">
        <f>LOOKUP(2,1/(改訂履歴!O11:O30000&lt;&gt;""),改訂履歴!O11:O30000)</f>
        <v>0.1</v>
      </c>
      <c r="BI2" s="197"/>
      <c r="BJ2" s="197"/>
      <c r="BK2" s="198"/>
    </row>
    <row r="3" spans="1:63" ht="15" customHeight="1" x14ac:dyDescent="0.25">
      <c r="A3" s="199"/>
      <c r="B3" s="200"/>
      <c r="C3" s="200"/>
      <c r="D3" s="200"/>
      <c r="E3" s="200"/>
      <c r="F3" s="200"/>
      <c r="G3" s="200"/>
      <c r="H3" s="200"/>
      <c r="I3" s="200"/>
      <c r="J3" s="201"/>
      <c r="K3" s="199"/>
      <c r="L3" s="200"/>
      <c r="M3" s="200"/>
      <c r="N3" s="200"/>
      <c r="O3" s="200"/>
      <c r="P3" s="200"/>
      <c r="Q3" s="200"/>
      <c r="R3" s="200"/>
      <c r="S3" s="200"/>
      <c r="T3" s="200"/>
      <c r="U3" s="200"/>
      <c r="V3" s="201"/>
      <c r="W3" s="202"/>
      <c r="X3" s="203"/>
      <c r="Y3" s="203"/>
      <c r="Z3" s="203"/>
      <c r="AA3" s="203"/>
      <c r="AB3" s="203"/>
      <c r="AC3" s="203"/>
      <c r="AD3" s="203"/>
      <c r="AE3" s="203"/>
      <c r="AF3" s="203"/>
      <c r="AG3" s="203"/>
      <c r="AH3" s="203"/>
      <c r="AI3" s="203"/>
      <c r="AJ3" s="203"/>
      <c r="AK3" s="203"/>
      <c r="AL3" s="203"/>
      <c r="AM3" s="203"/>
      <c r="AN3" s="203"/>
      <c r="AO3" s="204"/>
      <c r="AP3" s="199"/>
      <c r="AQ3" s="200"/>
      <c r="AR3" s="200"/>
      <c r="AS3" s="201"/>
      <c r="AT3" s="205"/>
      <c r="AU3" s="206"/>
      <c r="AV3" s="206"/>
      <c r="AW3" s="206"/>
      <c r="AX3" s="207"/>
      <c r="AY3" s="199"/>
      <c r="AZ3" s="200"/>
      <c r="BA3" s="200"/>
      <c r="BB3" s="201"/>
      <c r="BC3" s="205"/>
      <c r="BD3" s="206"/>
      <c r="BE3" s="206"/>
      <c r="BF3" s="206"/>
      <c r="BG3" s="207"/>
      <c r="BH3" s="208"/>
      <c r="BI3" s="209"/>
      <c r="BJ3" s="209"/>
      <c r="BK3" s="210"/>
    </row>
    <row r="4" spans="1:63" ht="24.95" customHeight="1" x14ac:dyDescent="0.25">
      <c r="A4" s="180" t="s">
        <v>55</v>
      </c>
      <c r="B4" s="181"/>
      <c r="C4" s="181"/>
      <c r="D4" s="181"/>
      <c r="E4" s="181"/>
      <c r="F4" s="181"/>
      <c r="G4" s="182"/>
      <c r="H4" s="211" t="s">
        <v>41</v>
      </c>
      <c r="I4" s="212"/>
      <c r="J4" s="212"/>
      <c r="K4" s="212"/>
      <c r="L4" s="212"/>
      <c r="M4" s="212"/>
      <c r="N4" s="212"/>
      <c r="O4" s="212"/>
      <c r="P4" s="212"/>
      <c r="Q4" s="212"/>
      <c r="R4" s="212"/>
      <c r="S4" s="212"/>
      <c r="T4" s="213"/>
      <c r="U4" s="180" t="s">
        <v>56</v>
      </c>
      <c r="V4" s="181"/>
      <c r="W4" s="181"/>
      <c r="X4" s="181"/>
      <c r="Y4" s="182"/>
      <c r="Z4" s="211" t="s">
        <v>10</v>
      </c>
      <c r="AA4" s="212"/>
      <c r="AB4" s="212"/>
      <c r="AC4" s="212"/>
      <c r="AD4" s="212"/>
      <c r="AE4" s="212"/>
      <c r="AF4" s="212"/>
      <c r="AG4" s="212"/>
      <c r="AH4" s="212"/>
      <c r="AI4" s="212"/>
      <c r="AJ4" s="212"/>
      <c r="AK4" s="212"/>
      <c r="AL4" s="212"/>
      <c r="AM4" s="212"/>
      <c r="AN4" s="212"/>
      <c r="AO4" s="213"/>
      <c r="AP4" s="211" t="str">
        <f t="array" aca="1" ref="AP4" ca="1">RIGHT(CELL("filename",$A$1),LEN(CELL("filename",$A$1))-FIND("]",CELL("filename",$A$1)))</f>
        <v>表紙</v>
      </c>
      <c r="AQ4" s="212"/>
      <c r="AR4" s="212"/>
      <c r="AS4" s="212"/>
      <c r="AT4" s="212"/>
      <c r="AU4" s="212"/>
      <c r="AV4" s="212"/>
      <c r="AW4" s="212"/>
      <c r="AX4" s="212"/>
      <c r="AY4" s="212"/>
      <c r="AZ4" s="212"/>
      <c r="BA4" s="212"/>
      <c r="BB4" s="212"/>
      <c r="BC4" s="212"/>
      <c r="BD4" s="212"/>
      <c r="BE4" s="212"/>
      <c r="BF4" s="212"/>
      <c r="BG4" s="212"/>
      <c r="BH4" s="212"/>
      <c r="BI4" s="212"/>
      <c r="BJ4" s="212"/>
      <c r="BK4" s="213"/>
    </row>
    <row r="5" spans="1:63" ht="5.0999999999999996" customHeight="1" x14ac:dyDescent="0.25">
      <c r="A5" s="214"/>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6"/>
    </row>
    <row r="6" spans="1:63" ht="15" customHeight="1" x14ac:dyDescent="0.25">
      <c r="A6" s="217"/>
      <c r="BK6" s="218"/>
    </row>
    <row r="7" spans="1:63" ht="15" customHeight="1" x14ac:dyDescent="0.25">
      <c r="A7" s="217"/>
      <c r="BK7" s="218"/>
    </row>
    <row r="8" spans="1:63" ht="15" customHeight="1" x14ac:dyDescent="0.25">
      <c r="A8" s="217"/>
      <c r="BK8" s="218"/>
    </row>
    <row r="9" spans="1:63" ht="15" customHeight="1" x14ac:dyDescent="0.25">
      <c r="A9" s="217"/>
      <c r="BK9" s="218"/>
    </row>
    <row r="10" spans="1:63" ht="15" customHeight="1" x14ac:dyDescent="0.25">
      <c r="A10" s="217"/>
      <c r="BK10" s="218"/>
    </row>
    <row r="11" spans="1:63" ht="15" customHeight="1" x14ac:dyDescent="0.25">
      <c r="A11" s="217"/>
      <c r="BK11" s="218"/>
    </row>
    <row r="12" spans="1:63" ht="15" customHeight="1" x14ac:dyDescent="0.25">
      <c r="A12" s="217"/>
      <c r="BK12" s="218"/>
    </row>
    <row r="13" spans="1:63" ht="15" customHeight="1" x14ac:dyDescent="0.25">
      <c r="A13" s="217"/>
      <c r="BK13" s="218"/>
    </row>
    <row r="14" spans="1:63" ht="15" customHeight="1" thickBot="1" x14ac:dyDescent="0.3">
      <c r="A14" s="217"/>
      <c r="BK14" s="218"/>
    </row>
    <row r="15" spans="1:63" ht="15" customHeight="1" thickTop="1" x14ac:dyDescent="0.25">
      <c r="A15" s="217"/>
      <c r="K15" s="219"/>
      <c r="L15" s="220"/>
      <c r="M15" s="220"/>
      <c r="N15" s="220"/>
      <c r="O15" s="220"/>
      <c r="P15" s="220"/>
      <c r="Q15" s="220"/>
      <c r="R15" s="220"/>
      <c r="S15" s="220"/>
      <c r="T15" s="220"/>
      <c r="U15" s="220"/>
      <c r="V15" s="220"/>
      <c r="W15" s="220"/>
      <c r="X15" s="220"/>
      <c r="Y15" s="220"/>
      <c r="Z15" s="220"/>
      <c r="AA15" s="220"/>
      <c r="AB15" s="220"/>
      <c r="AC15" s="220"/>
      <c r="AD15" s="220"/>
      <c r="AE15" s="220"/>
      <c r="AF15" s="220"/>
      <c r="AG15" s="220"/>
      <c r="AH15" s="220"/>
      <c r="AI15" s="220"/>
      <c r="AJ15" s="220"/>
      <c r="AK15" s="220"/>
      <c r="AL15" s="220"/>
      <c r="AM15" s="220"/>
      <c r="AN15" s="220"/>
      <c r="AO15" s="220"/>
      <c r="AP15" s="220"/>
      <c r="AQ15" s="220"/>
      <c r="AR15" s="220"/>
      <c r="AS15" s="220"/>
      <c r="AT15" s="220"/>
      <c r="AU15" s="220"/>
      <c r="AV15" s="220"/>
      <c r="AW15" s="220"/>
      <c r="AX15" s="220"/>
      <c r="AY15" s="220"/>
      <c r="AZ15" s="220"/>
      <c r="BA15" s="221"/>
      <c r="BK15" s="218"/>
    </row>
    <row r="16" spans="1:63" ht="15" customHeight="1" x14ac:dyDescent="0.25">
      <c r="A16" s="217"/>
      <c r="K16" s="222"/>
      <c r="L16" s="223" t="s">
        <v>57</v>
      </c>
      <c r="M16" s="224"/>
      <c r="N16" s="224"/>
      <c r="O16" s="224"/>
      <c r="P16" s="224"/>
      <c r="Q16" s="224"/>
      <c r="R16" s="224"/>
      <c r="S16" s="224"/>
      <c r="T16" s="224"/>
      <c r="U16" s="224"/>
      <c r="V16" s="224"/>
      <c r="W16" s="224"/>
      <c r="X16" s="224"/>
      <c r="Y16" s="224"/>
      <c r="Z16" s="224"/>
      <c r="AA16" s="224"/>
      <c r="AB16" s="224"/>
      <c r="AC16" s="224"/>
      <c r="AD16" s="224"/>
      <c r="AE16" s="224"/>
      <c r="AF16" s="224"/>
      <c r="AG16" s="224"/>
      <c r="AH16" s="224"/>
      <c r="AI16" s="224"/>
      <c r="AJ16" s="224"/>
      <c r="AK16" s="224"/>
      <c r="AL16" s="224"/>
      <c r="AM16" s="224"/>
      <c r="AN16" s="224"/>
      <c r="AO16" s="224"/>
      <c r="AP16" s="224"/>
      <c r="AQ16" s="224"/>
      <c r="AR16" s="224"/>
      <c r="AS16" s="224"/>
      <c r="AT16" s="224"/>
      <c r="AU16" s="224"/>
      <c r="AV16" s="224"/>
      <c r="AW16" s="224"/>
      <c r="AX16" s="224"/>
      <c r="AY16" s="224"/>
      <c r="AZ16" s="224"/>
      <c r="BA16" s="225"/>
      <c r="BK16" s="218"/>
    </row>
    <row r="17" spans="1:63" ht="15" customHeight="1" x14ac:dyDescent="0.25">
      <c r="A17" s="217"/>
      <c r="K17" s="222"/>
      <c r="L17" s="224"/>
      <c r="M17" s="224"/>
      <c r="N17" s="224"/>
      <c r="O17" s="224"/>
      <c r="P17" s="224"/>
      <c r="Q17" s="224"/>
      <c r="R17" s="224"/>
      <c r="S17" s="224"/>
      <c r="T17" s="224"/>
      <c r="U17" s="224"/>
      <c r="V17" s="224"/>
      <c r="W17" s="224"/>
      <c r="X17" s="224"/>
      <c r="Y17" s="224"/>
      <c r="Z17" s="224"/>
      <c r="AA17" s="224"/>
      <c r="AB17" s="224"/>
      <c r="AC17" s="224"/>
      <c r="AD17" s="224"/>
      <c r="AE17" s="224"/>
      <c r="AF17" s="224"/>
      <c r="AG17" s="224"/>
      <c r="AH17" s="224"/>
      <c r="AI17" s="224"/>
      <c r="AJ17" s="224"/>
      <c r="AK17" s="224"/>
      <c r="AL17" s="224"/>
      <c r="AM17" s="224"/>
      <c r="AN17" s="224"/>
      <c r="AO17" s="224"/>
      <c r="AP17" s="224"/>
      <c r="AQ17" s="224"/>
      <c r="AR17" s="224"/>
      <c r="AS17" s="224"/>
      <c r="AT17" s="224"/>
      <c r="AU17" s="224"/>
      <c r="AV17" s="224"/>
      <c r="AW17" s="224"/>
      <c r="AX17" s="224"/>
      <c r="AY17" s="224"/>
      <c r="AZ17" s="224"/>
      <c r="BA17" s="225"/>
      <c r="BK17" s="218"/>
    </row>
    <row r="18" spans="1:63" ht="15" customHeight="1" x14ac:dyDescent="0.25">
      <c r="A18" s="217"/>
      <c r="K18" s="222"/>
      <c r="L18" s="224"/>
      <c r="M18" s="224"/>
      <c r="N18" s="224"/>
      <c r="O18" s="224"/>
      <c r="P18" s="224"/>
      <c r="Q18" s="224"/>
      <c r="R18" s="224"/>
      <c r="S18" s="224"/>
      <c r="T18" s="224"/>
      <c r="U18" s="224"/>
      <c r="V18" s="224"/>
      <c r="W18" s="224"/>
      <c r="X18" s="224"/>
      <c r="Y18" s="224"/>
      <c r="Z18" s="224"/>
      <c r="AA18" s="224"/>
      <c r="AB18" s="224"/>
      <c r="AC18" s="224"/>
      <c r="AD18" s="224"/>
      <c r="AE18" s="224"/>
      <c r="AF18" s="224"/>
      <c r="AG18" s="224"/>
      <c r="AH18" s="224"/>
      <c r="AI18" s="224"/>
      <c r="AJ18" s="224"/>
      <c r="AK18" s="224"/>
      <c r="AL18" s="224"/>
      <c r="AM18" s="224"/>
      <c r="AN18" s="224"/>
      <c r="AO18" s="224"/>
      <c r="AP18" s="224"/>
      <c r="AQ18" s="224"/>
      <c r="AR18" s="224"/>
      <c r="AS18" s="224"/>
      <c r="AT18" s="224"/>
      <c r="AU18" s="224"/>
      <c r="AV18" s="224"/>
      <c r="AW18" s="224"/>
      <c r="AX18" s="224"/>
      <c r="AY18" s="224"/>
      <c r="AZ18" s="224"/>
      <c r="BA18" s="225"/>
      <c r="BK18" s="218"/>
    </row>
    <row r="19" spans="1:63" ht="15" customHeight="1" x14ac:dyDescent="0.25">
      <c r="A19" s="217"/>
      <c r="K19" s="222"/>
      <c r="L19" s="224"/>
      <c r="M19" s="224"/>
      <c r="N19" s="224"/>
      <c r="O19" s="224"/>
      <c r="P19" s="224"/>
      <c r="Q19" s="224"/>
      <c r="R19" s="224"/>
      <c r="S19" s="224"/>
      <c r="T19" s="224"/>
      <c r="U19" s="224"/>
      <c r="V19" s="224"/>
      <c r="W19" s="224"/>
      <c r="X19" s="224"/>
      <c r="Y19" s="224"/>
      <c r="Z19" s="224"/>
      <c r="AA19" s="224"/>
      <c r="AB19" s="224"/>
      <c r="AC19" s="224"/>
      <c r="AD19" s="224"/>
      <c r="AE19" s="224"/>
      <c r="AF19" s="224"/>
      <c r="AG19" s="224"/>
      <c r="AH19" s="224"/>
      <c r="AI19" s="224"/>
      <c r="AJ19" s="224"/>
      <c r="AK19" s="224"/>
      <c r="AL19" s="224"/>
      <c r="AM19" s="224"/>
      <c r="AN19" s="224"/>
      <c r="AO19" s="224"/>
      <c r="AP19" s="224"/>
      <c r="AQ19" s="224"/>
      <c r="AR19" s="224"/>
      <c r="AS19" s="224"/>
      <c r="AT19" s="224"/>
      <c r="AU19" s="224"/>
      <c r="AV19" s="224"/>
      <c r="AW19" s="224"/>
      <c r="AX19" s="224"/>
      <c r="AY19" s="224"/>
      <c r="AZ19" s="224"/>
      <c r="BA19" s="225"/>
      <c r="BK19" s="218"/>
    </row>
    <row r="20" spans="1:63" ht="15" customHeight="1" x14ac:dyDescent="0.25">
      <c r="A20" s="217"/>
      <c r="K20" s="222"/>
      <c r="L20" s="224"/>
      <c r="M20" s="224"/>
      <c r="N20" s="224"/>
      <c r="O20" s="224"/>
      <c r="P20" s="224"/>
      <c r="Q20" s="224"/>
      <c r="R20" s="224"/>
      <c r="S20" s="224"/>
      <c r="T20" s="224"/>
      <c r="U20" s="224"/>
      <c r="V20" s="224"/>
      <c r="W20" s="224"/>
      <c r="X20" s="224"/>
      <c r="Y20" s="224"/>
      <c r="Z20" s="224"/>
      <c r="AA20" s="224"/>
      <c r="AB20" s="224"/>
      <c r="AC20" s="224"/>
      <c r="AD20" s="224"/>
      <c r="AE20" s="224"/>
      <c r="AF20" s="224"/>
      <c r="AG20" s="224"/>
      <c r="AH20" s="224"/>
      <c r="AI20" s="224"/>
      <c r="AJ20" s="224"/>
      <c r="AK20" s="224"/>
      <c r="AL20" s="224"/>
      <c r="AM20" s="224"/>
      <c r="AN20" s="224"/>
      <c r="AO20" s="224"/>
      <c r="AP20" s="224"/>
      <c r="AQ20" s="224"/>
      <c r="AR20" s="224"/>
      <c r="AS20" s="224"/>
      <c r="AT20" s="224"/>
      <c r="AU20" s="224"/>
      <c r="AV20" s="224"/>
      <c r="AW20" s="224"/>
      <c r="AX20" s="224"/>
      <c r="AY20" s="224"/>
      <c r="AZ20" s="224"/>
      <c r="BA20" s="225"/>
      <c r="BK20" s="218"/>
    </row>
    <row r="21" spans="1:63" ht="15" customHeight="1" x14ac:dyDescent="0.25">
      <c r="A21" s="217"/>
      <c r="K21" s="222"/>
      <c r="L21" s="224"/>
      <c r="M21" s="224"/>
      <c r="N21" s="224"/>
      <c r="O21" s="224"/>
      <c r="P21" s="224"/>
      <c r="Q21" s="224"/>
      <c r="R21" s="224"/>
      <c r="S21" s="224"/>
      <c r="T21" s="224"/>
      <c r="U21" s="224"/>
      <c r="V21" s="224"/>
      <c r="W21" s="224"/>
      <c r="X21" s="224"/>
      <c r="Y21" s="224"/>
      <c r="Z21" s="224"/>
      <c r="AA21" s="224"/>
      <c r="AB21" s="224"/>
      <c r="AC21" s="224"/>
      <c r="AD21" s="224"/>
      <c r="AE21" s="224"/>
      <c r="AF21" s="224"/>
      <c r="AG21" s="224"/>
      <c r="AH21" s="224"/>
      <c r="AI21" s="224"/>
      <c r="AJ21" s="224"/>
      <c r="AK21" s="224"/>
      <c r="AL21" s="224"/>
      <c r="AM21" s="224"/>
      <c r="AN21" s="224"/>
      <c r="AO21" s="224"/>
      <c r="AP21" s="224"/>
      <c r="AQ21" s="224"/>
      <c r="AR21" s="224"/>
      <c r="AS21" s="224"/>
      <c r="AT21" s="224"/>
      <c r="AU21" s="224"/>
      <c r="AV21" s="224"/>
      <c r="AW21" s="224"/>
      <c r="AX21" s="224"/>
      <c r="AY21" s="224"/>
      <c r="AZ21" s="224"/>
      <c r="BA21" s="225"/>
      <c r="BK21" s="218"/>
    </row>
    <row r="22" spans="1:63" ht="15" customHeight="1" thickBot="1" x14ac:dyDescent="0.3">
      <c r="A22" s="217"/>
      <c r="K22" s="222"/>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6"/>
      <c r="AI22" s="226"/>
      <c r="AJ22" s="226"/>
      <c r="AK22" s="226"/>
      <c r="AL22" s="226"/>
      <c r="AM22" s="226"/>
      <c r="AN22" s="226"/>
      <c r="AO22" s="226"/>
      <c r="AP22" s="226"/>
      <c r="AQ22" s="226"/>
      <c r="AR22" s="226"/>
      <c r="AS22" s="226"/>
      <c r="AT22" s="226"/>
      <c r="AU22" s="226"/>
      <c r="AV22" s="226"/>
      <c r="AW22" s="226"/>
      <c r="AX22" s="226"/>
      <c r="AY22" s="226"/>
      <c r="AZ22" s="226"/>
      <c r="BA22" s="225"/>
      <c r="BK22" s="218"/>
    </row>
    <row r="23" spans="1:63" ht="15" customHeight="1" x14ac:dyDescent="0.25">
      <c r="A23" s="217"/>
      <c r="K23" s="222"/>
      <c r="L23" s="227"/>
      <c r="M23" s="227"/>
      <c r="N23" s="227"/>
      <c r="O23" s="227"/>
      <c r="P23" s="227"/>
      <c r="Q23" s="227"/>
      <c r="R23" s="227"/>
      <c r="S23" s="227"/>
      <c r="T23" s="227"/>
      <c r="U23" s="227"/>
      <c r="V23" s="227"/>
      <c r="W23" s="227"/>
      <c r="X23" s="227"/>
      <c r="Y23" s="227"/>
      <c r="Z23" s="227"/>
      <c r="AA23" s="227"/>
      <c r="AB23" s="227"/>
      <c r="AC23" s="227"/>
      <c r="AD23" s="227"/>
      <c r="AE23" s="227"/>
      <c r="AF23" s="227"/>
      <c r="AG23" s="227"/>
      <c r="AH23" s="227"/>
      <c r="AI23" s="227"/>
      <c r="AJ23" s="227"/>
      <c r="AK23" s="227"/>
      <c r="AL23" s="227"/>
      <c r="AM23" s="227"/>
      <c r="AN23" s="227"/>
      <c r="AO23" s="227"/>
      <c r="AP23" s="227"/>
      <c r="AQ23" s="227"/>
      <c r="AR23" s="227"/>
      <c r="AS23" s="227"/>
      <c r="AT23" s="227"/>
      <c r="AU23" s="227"/>
      <c r="AV23" s="227"/>
      <c r="AW23" s="227"/>
      <c r="AX23" s="227"/>
      <c r="AY23" s="227"/>
      <c r="AZ23" s="227"/>
      <c r="BA23" s="225"/>
      <c r="BK23" s="218"/>
    </row>
    <row r="24" spans="1:63" ht="15" customHeight="1" x14ac:dyDescent="0.25">
      <c r="A24" s="217"/>
      <c r="K24" s="222"/>
      <c r="L24" s="224" t="str">
        <f>K2&amp;"/"&amp;H4&amp;"/"&amp;Z4</f>
        <v>POSサーバ/95_セットマッチ設定/概要設計</v>
      </c>
      <c r="M24" s="224"/>
      <c r="N24" s="224"/>
      <c r="O24" s="224"/>
      <c r="P24" s="224"/>
      <c r="Q24" s="224"/>
      <c r="R24" s="224"/>
      <c r="S24" s="224"/>
      <c r="T24" s="224"/>
      <c r="U24" s="224"/>
      <c r="V24" s="224"/>
      <c r="W24" s="224"/>
      <c r="X24" s="224"/>
      <c r="Y24" s="224"/>
      <c r="Z24" s="224"/>
      <c r="AA24" s="224"/>
      <c r="AB24" s="224"/>
      <c r="AC24" s="224"/>
      <c r="AD24" s="224"/>
      <c r="AE24" s="224"/>
      <c r="AF24" s="224"/>
      <c r="AG24" s="224"/>
      <c r="AH24" s="224"/>
      <c r="AI24" s="224"/>
      <c r="AJ24" s="224"/>
      <c r="AK24" s="224"/>
      <c r="AL24" s="224"/>
      <c r="AM24" s="224"/>
      <c r="AN24" s="224"/>
      <c r="AO24" s="224"/>
      <c r="AP24" s="224"/>
      <c r="AQ24" s="224"/>
      <c r="AR24" s="224"/>
      <c r="AS24" s="224"/>
      <c r="AT24" s="224"/>
      <c r="AU24" s="224"/>
      <c r="AV24" s="224"/>
      <c r="AW24" s="224"/>
      <c r="AX24" s="224"/>
      <c r="AY24" s="224"/>
      <c r="AZ24" s="224"/>
      <c r="BA24" s="225"/>
      <c r="BK24" s="218"/>
    </row>
    <row r="25" spans="1:63" ht="15" customHeight="1" x14ac:dyDescent="0.25">
      <c r="A25" s="217"/>
      <c r="K25" s="222"/>
      <c r="L25" s="224"/>
      <c r="M25" s="224"/>
      <c r="N25" s="224"/>
      <c r="O25" s="224"/>
      <c r="P25" s="224"/>
      <c r="Q25" s="224"/>
      <c r="R25" s="224"/>
      <c r="S25" s="224"/>
      <c r="T25" s="224"/>
      <c r="U25" s="224"/>
      <c r="V25" s="224"/>
      <c r="W25" s="224"/>
      <c r="X25" s="224"/>
      <c r="Y25" s="224"/>
      <c r="Z25" s="224"/>
      <c r="AA25" s="224"/>
      <c r="AB25" s="224"/>
      <c r="AC25" s="224"/>
      <c r="AD25" s="224"/>
      <c r="AE25" s="224"/>
      <c r="AF25" s="224"/>
      <c r="AG25" s="224"/>
      <c r="AH25" s="224"/>
      <c r="AI25" s="224"/>
      <c r="AJ25" s="224"/>
      <c r="AK25" s="224"/>
      <c r="AL25" s="224"/>
      <c r="AM25" s="224"/>
      <c r="AN25" s="224"/>
      <c r="AO25" s="224"/>
      <c r="AP25" s="224"/>
      <c r="AQ25" s="224"/>
      <c r="AR25" s="224"/>
      <c r="AS25" s="224"/>
      <c r="AT25" s="224"/>
      <c r="AU25" s="224"/>
      <c r="AV25" s="224"/>
      <c r="AW25" s="224"/>
      <c r="AX25" s="224"/>
      <c r="AY25" s="224"/>
      <c r="AZ25" s="224"/>
      <c r="BA25" s="225"/>
      <c r="BK25" s="218"/>
    </row>
    <row r="26" spans="1:63" ht="15" customHeight="1" x14ac:dyDescent="0.25">
      <c r="A26" s="217"/>
      <c r="K26" s="222"/>
      <c r="L26" s="224"/>
      <c r="M26" s="224"/>
      <c r="N26" s="224"/>
      <c r="O26" s="224"/>
      <c r="P26" s="224"/>
      <c r="Q26" s="224"/>
      <c r="R26" s="224"/>
      <c r="S26" s="224"/>
      <c r="T26" s="224"/>
      <c r="U26" s="224"/>
      <c r="V26" s="224"/>
      <c r="W26" s="224"/>
      <c r="X26" s="224"/>
      <c r="Y26" s="224"/>
      <c r="Z26" s="224"/>
      <c r="AA26" s="224"/>
      <c r="AB26" s="224"/>
      <c r="AC26" s="224"/>
      <c r="AD26" s="224"/>
      <c r="AE26" s="224"/>
      <c r="AF26" s="224"/>
      <c r="AG26" s="224"/>
      <c r="AH26" s="224"/>
      <c r="AI26" s="224"/>
      <c r="AJ26" s="224"/>
      <c r="AK26" s="224"/>
      <c r="AL26" s="224"/>
      <c r="AM26" s="224"/>
      <c r="AN26" s="224"/>
      <c r="AO26" s="224"/>
      <c r="AP26" s="224"/>
      <c r="AQ26" s="224"/>
      <c r="AR26" s="224"/>
      <c r="AS26" s="224"/>
      <c r="AT26" s="224"/>
      <c r="AU26" s="224"/>
      <c r="AV26" s="224"/>
      <c r="AW26" s="224"/>
      <c r="AX26" s="224"/>
      <c r="AY26" s="224"/>
      <c r="AZ26" s="224"/>
      <c r="BA26" s="225"/>
      <c r="BK26" s="218"/>
    </row>
    <row r="27" spans="1:63" ht="15" customHeight="1" x14ac:dyDescent="0.25">
      <c r="A27" s="217"/>
      <c r="K27" s="222"/>
      <c r="L27" s="224"/>
      <c r="M27" s="224"/>
      <c r="N27" s="224"/>
      <c r="O27" s="224"/>
      <c r="P27" s="224"/>
      <c r="Q27" s="224"/>
      <c r="R27" s="224"/>
      <c r="S27" s="224"/>
      <c r="T27" s="224"/>
      <c r="U27" s="224"/>
      <c r="V27" s="224"/>
      <c r="W27" s="224"/>
      <c r="X27" s="224"/>
      <c r="Y27" s="224"/>
      <c r="Z27" s="224"/>
      <c r="AA27" s="224"/>
      <c r="AB27" s="224"/>
      <c r="AC27" s="224"/>
      <c r="AD27" s="224"/>
      <c r="AE27" s="224"/>
      <c r="AF27" s="224"/>
      <c r="AG27" s="224"/>
      <c r="AH27" s="224"/>
      <c r="AI27" s="224"/>
      <c r="AJ27" s="224"/>
      <c r="AK27" s="224"/>
      <c r="AL27" s="224"/>
      <c r="AM27" s="224"/>
      <c r="AN27" s="224"/>
      <c r="AO27" s="224"/>
      <c r="AP27" s="224"/>
      <c r="AQ27" s="224"/>
      <c r="AR27" s="224"/>
      <c r="AS27" s="224"/>
      <c r="AT27" s="224"/>
      <c r="AU27" s="224"/>
      <c r="AV27" s="224"/>
      <c r="AW27" s="224"/>
      <c r="AX27" s="224"/>
      <c r="AY27" s="224"/>
      <c r="AZ27" s="224"/>
      <c r="BA27" s="225"/>
      <c r="BK27" s="218"/>
    </row>
    <row r="28" spans="1:63" ht="15" customHeight="1" x14ac:dyDescent="0.25">
      <c r="A28" s="217"/>
      <c r="K28" s="222"/>
      <c r="L28" s="224"/>
      <c r="M28" s="224"/>
      <c r="N28" s="224"/>
      <c r="O28" s="224"/>
      <c r="P28" s="224"/>
      <c r="Q28" s="224"/>
      <c r="R28" s="224"/>
      <c r="S28" s="224"/>
      <c r="T28" s="224"/>
      <c r="U28" s="224"/>
      <c r="V28" s="224"/>
      <c r="W28" s="224"/>
      <c r="X28" s="224"/>
      <c r="Y28" s="224"/>
      <c r="Z28" s="224"/>
      <c r="AA28" s="224"/>
      <c r="AB28" s="224"/>
      <c r="AC28" s="224"/>
      <c r="AD28" s="224"/>
      <c r="AE28" s="224"/>
      <c r="AF28" s="224"/>
      <c r="AG28" s="224"/>
      <c r="AH28" s="224"/>
      <c r="AI28" s="224"/>
      <c r="AJ28" s="224"/>
      <c r="AK28" s="224"/>
      <c r="AL28" s="224"/>
      <c r="AM28" s="224"/>
      <c r="AN28" s="224"/>
      <c r="AO28" s="224"/>
      <c r="AP28" s="224"/>
      <c r="AQ28" s="224"/>
      <c r="AR28" s="224"/>
      <c r="AS28" s="224"/>
      <c r="AT28" s="224"/>
      <c r="AU28" s="224"/>
      <c r="AV28" s="224"/>
      <c r="AW28" s="224"/>
      <c r="AX28" s="224"/>
      <c r="AY28" s="224"/>
      <c r="AZ28" s="224"/>
      <c r="BA28" s="225"/>
      <c r="BK28" s="218"/>
    </row>
    <row r="29" spans="1:63" ht="15" customHeight="1" x14ac:dyDescent="0.25">
      <c r="A29" s="217"/>
      <c r="K29" s="222"/>
      <c r="L29" s="224"/>
      <c r="M29" s="224"/>
      <c r="N29" s="224"/>
      <c r="O29" s="224"/>
      <c r="P29" s="224"/>
      <c r="Q29" s="224"/>
      <c r="R29" s="224"/>
      <c r="S29" s="224"/>
      <c r="T29" s="224"/>
      <c r="U29" s="224"/>
      <c r="V29" s="224"/>
      <c r="W29" s="224"/>
      <c r="X29" s="224"/>
      <c r="Y29" s="224"/>
      <c r="Z29" s="224"/>
      <c r="AA29" s="224"/>
      <c r="AB29" s="224"/>
      <c r="AC29" s="224"/>
      <c r="AD29" s="224"/>
      <c r="AE29" s="224"/>
      <c r="AF29" s="224"/>
      <c r="AG29" s="224"/>
      <c r="AH29" s="224"/>
      <c r="AI29" s="224"/>
      <c r="AJ29" s="224"/>
      <c r="AK29" s="224"/>
      <c r="AL29" s="224"/>
      <c r="AM29" s="224"/>
      <c r="AN29" s="224"/>
      <c r="AO29" s="224"/>
      <c r="AP29" s="224"/>
      <c r="AQ29" s="224"/>
      <c r="AR29" s="224"/>
      <c r="AS29" s="224"/>
      <c r="AT29" s="224"/>
      <c r="AU29" s="224"/>
      <c r="AV29" s="224"/>
      <c r="AW29" s="224"/>
      <c r="AX29" s="224"/>
      <c r="AY29" s="224"/>
      <c r="AZ29" s="224"/>
      <c r="BA29" s="225"/>
      <c r="BK29" s="218"/>
    </row>
    <row r="30" spans="1:63" ht="15" customHeight="1" x14ac:dyDescent="0.25">
      <c r="A30" s="217"/>
      <c r="K30" s="222"/>
      <c r="L30" s="224"/>
      <c r="M30" s="224"/>
      <c r="N30" s="224"/>
      <c r="O30" s="224"/>
      <c r="P30" s="224"/>
      <c r="Q30" s="224"/>
      <c r="R30" s="224"/>
      <c r="S30" s="224"/>
      <c r="T30" s="224"/>
      <c r="U30" s="224"/>
      <c r="V30" s="224"/>
      <c r="W30" s="224"/>
      <c r="X30" s="224"/>
      <c r="Y30" s="224"/>
      <c r="Z30" s="224"/>
      <c r="AA30" s="224"/>
      <c r="AB30" s="224"/>
      <c r="AC30" s="224"/>
      <c r="AD30" s="224"/>
      <c r="AE30" s="224"/>
      <c r="AF30" s="224"/>
      <c r="AG30" s="224"/>
      <c r="AH30" s="224"/>
      <c r="AI30" s="224"/>
      <c r="AJ30" s="224"/>
      <c r="AK30" s="224"/>
      <c r="AL30" s="224"/>
      <c r="AM30" s="224"/>
      <c r="AN30" s="224"/>
      <c r="AO30" s="224"/>
      <c r="AP30" s="224"/>
      <c r="AQ30" s="224"/>
      <c r="AR30" s="224"/>
      <c r="AS30" s="224"/>
      <c r="AT30" s="224"/>
      <c r="AU30" s="224"/>
      <c r="AV30" s="224"/>
      <c r="AW30" s="224"/>
      <c r="AX30" s="224"/>
      <c r="AY30" s="224"/>
      <c r="AZ30" s="224"/>
      <c r="BA30" s="225"/>
      <c r="BK30" s="218"/>
    </row>
    <row r="31" spans="1:63" ht="15" customHeight="1" x14ac:dyDescent="0.25">
      <c r="A31" s="217"/>
      <c r="K31" s="222"/>
      <c r="L31" s="224"/>
      <c r="M31" s="224"/>
      <c r="N31" s="224"/>
      <c r="O31" s="224"/>
      <c r="P31" s="224"/>
      <c r="Q31" s="224"/>
      <c r="R31" s="224"/>
      <c r="S31" s="224"/>
      <c r="T31" s="224"/>
      <c r="U31" s="224"/>
      <c r="V31" s="224"/>
      <c r="W31" s="224"/>
      <c r="X31" s="224"/>
      <c r="Y31" s="224"/>
      <c r="Z31" s="224"/>
      <c r="AA31" s="224"/>
      <c r="AB31" s="224"/>
      <c r="AC31" s="224"/>
      <c r="AD31" s="224"/>
      <c r="AE31" s="224"/>
      <c r="AF31" s="224"/>
      <c r="AG31" s="224"/>
      <c r="AH31" s="224"/>
      <c r="AI31" s="224"/>
      <c r="AJ31" s="224"/>
      <c r="AK31" s="224"/>
      <c r="AL31" s="224"/>
      <c r="AM31" s="224"/>
      <c r="AN31" s="224"/>
      <c r="AO31" s="224"/>
      <c r="AP31" s="224"/>
      <c r="AQ31" s="224"/>
      <c r="AR31" s="224"/>
      <c r="AS31" s="224"/>
      <c r="AT31" s="224"/>
      <c r="AU31" s="224"/>
      <c r="AV31" s="224"/>
      <c r="AW31" s="224"/>
      <c r="AX31" s="224"/>
      <c r="AY31" s="224"/>
      <c r="AZ31" s="224"/>
      <c r="BA31" s="225"/>
      <c r="BK31" s="218"/>
    </row>
    <row r="32" spans="1:63" ht="15" customHeight="1" x14ac:dyDescent="0.25">
      <c r="A32" s="217"/>
      <c r="K32" s="222"/>
      <c r="L32" s="224"/>
      <c r="M32" s="224"/>
      <c r="N32" s="224"/>
      <c r="O32" s="224"/>
      <c r="P32" s="224"/>
      <c r="Q32" s="224"/>
      <c r="R32" s="224"/>
      <c r="S32" s="224"/>
      <c r="T32" s="224"/>
      <c r="U32" s="224"/>
      <c r="V32" s="224"/>
      <c r="W32" s="224"/>
      <c r="X32" s="224"/>
      <c r="Y32" s="224"/>
      <c r="Z32" s="224"/>
      <c r="AA32" s="224"/>
      <c r="AB32" s="224"/>
      <c r="AC32" s="224"/>
      <c r="AD32" s="224"/>
      <c r="AE32" s="224"/>
      <c r="AF32" s="224"/>
      <c r="AG32" s="224"/>
      <c r="AH32" s="224"/>
      <c r="AI32" s="224"/>
      <c r="AJ32" s="224"/>
      <c r="AK32" s="224"/>
      <c r="AL32" s="224"/>
      <c r="AM32" s="224"/>
      <c r="AN32" s="224"/>
      <c r="AO32" s="224"/>
      <c r="AP32" s="224"/>
      <c r="AQ32" s="224"/>
      <c r="AR32" s="224"/>
      <c r="AS32" s="224"/>
      <c r="AT32" s="224"/>
      <c r="AU32" s="224"/>
      <c r="AV32" s="224"/>
      <c r="AW32" s="224"/>
      <c r="AX32" s="224"/>
      <c r="AY32" s="224"/>
      <c r="AZ32" s="224"/>
      <c r="BA32" s="225"/>
      <c r="BK32" s="218"/>
    </row>
    <row r="33" spans="1:63" ht="15" customHeight="1" x14ac:dyDescent="0.25">
      <c r="A33" s="217"/>
      <c r="K33" s="222"/>
      <c r="L33" s="224"/>
      <c r="M33" s="224"/>
      <c r="N33" s="224"/>
      <c r="O33" s="224"/>
      <c r="P33" s="224"/>
      <c r="Q33" s="224"/>
      <c r="R33" s="224"/>
      <c r="S33" s="224"/>
      <c r="T33" s="224"/>
      <c r="U33" s="224"/>
      <c r="V33" s="224"/>
      <c r="W33" s="224"/>
      <c r="X33" s="224"/>
      <c r="Y33" s="224"/>
      <c r="Z33" s="224"/>
      <c r="AA33" s="224"/>
      <c r="AB33" s="224"/>
      <c r="AC33" s="224"/>
      <c r="AD33" s="224"/>
      <c r="AE33" s="224"/>
      <c r="AF33" s="224"/>
      <c r="AG33" s="224"/>
      <c r="AH33" s="224"/>
      <c r="AI33" s="224"/>
      <c r="AJ33" s="224"/>
      <c r="AK33" s="224"/>
      <c r="AL33" s="224"/>
      <c r="AM33" s="224"/>
      <c r="AN33" s="224"/>
      <c r="AO33" s="224"/>
      <c r="AP33" s="224"/>
      <c r="AQ33" s="224"/>
      <c r="AR33" s="224"/>
      <c r="AS33" s="224"/>
      <c r="AT33" s="224"/>
      <c r="AU33" s="224"/>
      <c r="AV33" s="224"/>
      <c r="AW33" s="224"/>
      <c r="AX33" s="224"/>
      <c r="AY33" s="224"/>
      <c r="AZ33" s="224"/>
      <c r="BA33" s="225"/>
      <c r="BK33" s="218"/>
    </row>
    <row r="34" spans="1:63" ht="15" customHeight="1" x14ac:dyDescent="0.25">
      <c r="A34" s="217"/>
      <c r="K34" s="222"/>
      <c r="L34" s="224"/>
      <c r="M34" s="224"/>
      <c r="N34" s="224"/>
      <c r="O34" s="224"/>
      <c r="P34" s="224"/>
      <c r="Q34" s="224"/>
      <c r="R34" s="224"/>
      <c r="S34" s="224"/>
      <c r="T34" s="224"/>
      <c r="U34" s="224"/>
      <c r="V34" s="224"/>
      <c r="W34" s="224"/>
      <c r="X34" s="224"/>
      <c r="Y34" s="224"/>
      <c r="Z34" s="224"/>
      <c r="AA34" s="224"/>
      <c r="AB34" s="224"/>
      <c r="AC34" s="224"/>
      <c r="AD34" s="224"/>
      <c r="AE34" s="224"/>
      <c r="AF34" s="224"/>
      <c r="AG34" s="224"/>
      <c r="AH34" s="224"/>
      <c r="AI34" s="224"/>
      <c r="AJ34" s="224"/>
      <c r="AK34" s="224"/>
      <c r="AL34" s="224"/>
      <c r="AM34" s="224"/>
      <c r="AN34" s="224"/>
      <c r="AO34" s="224"/>
      <c r="AP34" s="224"/>
      <c r="AQ34" s="224"/>
      <c r="AR34" s="224"/>
      <c r="AS34" s="224"/>
      <c r="AT34" s="224"/>
      <c r="AU34" s="224"/>
      <c r="AV34" s="224"/>
      <c r="AW34" s="224"/>
      <c r="AX34" s="224"/>
      <c r="AY34" s="224"/>
      <c r="AZ34" s="224"/>
      <c r="BA34" s="225"/>
      <c r="BK34" s="218"/>
    </row>
    <row r="35" spans="1:63" ht="15" customHeight="1" x14ac:dyDescent="0.25">
      <c r="A35" s="217"/>
      <c r="K35" s="222"/>
      <c r="L35" s="224"/>
      <c r="M35" s="224"/>
      <c r="N35" s="224"/>
      <c r="O35" s="224"/>
      <c r="P35" s="224"/>
      <c r="Q35" s="224"/>
      <c r="R35" s="224"/>
      <c r="S35" s="224"/>
      <c r="T35" s="224"/>
      <c r="U35" s="224"/>
      <c r="V35" s="224"/>
      <c r="W35" s="224"/>
      <c r="X35" s="224"/>
      <c r="Y35" s="224"/>
      <c r="Z35" s="224"/>
      <c r="AA35" s="224"/>
      <c r="AB35" s="224"/>
      <c r="AC35" s="224"/>
      <c r="AD35" s="224"/>
      <c r="AE35" s="224"/>
      <c r="AF35" s="224"/>
      <c r="AG35" s="224"/>
      <c r="AH35" s="224"/>
      <c r="AI35" s="224"/>
      <c r="AJ35" s="224"/>
      <c r="AK35" s="224"/>
      <c r="AL35" s="224"/>
      <c r="AM35" s="224"/>
      <c r="AN35" s="224"/>
      <c r="AO35" s="224"/>
      <c r="AP35" s="224"/>
      <c r="AQ35" s="224"/>
      <c r="AR35" s="224"/>
      <c r="AS35" s="224"/>
      <c r="AT35" s="224"/>
      <c r="AU35" s="224"/>
      <c r="AV35" s="224"/>
      <c r="AW35" s="224"/>
      <c r="AX35" s="224"/>
      <c r="AY35" s="224"/>
      <c r="AZ35" s="224"/>
      <c r="BA35" s="225"/>
      <c r="BK35" s="218"/>
    </row>
    <row r="36" spans="1:63" ht="15" customHeight="1" x14ac:dyDescent="0.25">
      <c r="A36" s="217"/>
      <c r="K36" s="222"/>
      <c r="L36" s="224"/>
      <c r="M36" s="224"/>
      <c r="N36" s="224"/>
      <c r="O36" s="224"/>
      <c r="P36" s="224"/>
      <c r="Q36" s="224"/>
      <c r="R36" s="224"/>
      <c r="S36" s="224"/>
      <c r="T36" s="224"/>
      <c r="U36" s="224"/>
      <c r="V36" s="224"/>
      <c r="W36" s="224"/>
      <c r="X36" s="224"/>
      <c r="Y36" s="224"/>
      <c r="Z36" s="224"/>
      <c r="AA36" s="224"/>
      <c r="AB36" s="224"/>
      <c r="AC36" s="224"/>
      <c r="AD36" s="224"/>
      <c r="AE36" s="224"/>
      <c r="AF36" s="224"/>
      <c r="AG36" s="224"/>
      <c r="AH36" s="224"/>
      <c r="AI36" s="224"/>
      <c r="AJ36" s="224"/>
      <c r="AK36" s="224"/>
      <c r="AL36" s="224"/>
      <c r="AM36" s="224"/>
      <c r="AN36" s="224"/>
      <c r="AO36" s="224"/>
      <c r="AP36" s="224"/>
      <c r="AQ36" s="224"/>
      <c r="AR36" s="224"/>
      <c r="AS36" s="224"/>
      <c r="AT36" s="224"/>
      <c r="AU36" s="224"/>
      <c r="AV36" s="224"/>
      <c r="AW36" s="224"/>
      <c r="AX36" s="224"/>
      <c r="AY36" s="224"/>
      <c r="AZ36" s="224"/>
      <c r="BA36" s="225"/>
      <c r="BK36" s="218"/>
    </row>
    <row r="37" spans="1:63" ht="15" customHeight="1" thickBot="1" x14ac:dyDescent="0.3">
      <c r="A37" s="217"/>
      <c r="K37" s="228"/>
      <c r="L37" s="229"/>
      <c r="M37" s="229"/>
      <c r="N37" s="229"/>
      <c r="O37" s="229"/>
      <c r="P37" s="229"/>
      <c r="Q37" s="229"/>
      <c r="R37" s="229"/>
      <c r="S37" s="229"/>
      <c r="T37" s="229"/>
      <c r="U37" s="229"/>
      <c r="V37" s="229"/>
      <c r="W37" s="229"/>
      <c r="X37" s="229"/>
      <c r="Y37" s="229"/>
      <c r="Z37" s="229"/>
      <c r="AA37" s="229"/>
      <c r="AB37" s="229"/>
      <c r="AC37" s="229"/>
      <c r="AD37" s="229"/>
      <c r="AE37" s="229"/>
      <c r="AF37" s="229"/>
      <c r="AG37" s="229"/>
      <c r="AH37" s="229"/>
      <c r="AI37" s="229"/>
      <c r="AJ37" s="229"/>
      <c r="AK37" s="229"/>
      <c r="AL37" s="229"/>
      <c r="AM37" s="229"/>
      <c r="AN37" s="229"/>
      <c r="AO37" s="229"/>
      <c r="AP37" s="229"/>
      <c r="AQ37" s="229"/>
      <c r="AR37" s="229"/>
      <c r="AS37" s="229"/>
      <c r="AT37" s="229"/>
      <c r="AU37" s="229"/>
      <c r="AV37" s="229"/>
      <c r="AW37" s="229"/>
      <c r="AX37" s="229"/>
      <c r="AY37" s="229"/>
      <c r="AZ37" s="229"/>
      <c r="BA37" s="230"/>
      <c r="BK37" s="218"/>
    </row>
    <row r="38" spans="1:63" ht="15" customHeight="1" thickTop="1" x14ac:dyDescent="0.25">
      <c r="A38" s="217"/>
      <c r="BK38" s="218"/>
    </row>
    <row r="39" spans="1:63" ht="15" customHeight="1" x14ac:dyDescent="0.25">
      <c r="A39" s="217"/>
      <c r="BK39" s="218"/>
    </row>
    <row r="40" spans="1:63" ht="15" customHeight="1" x14ac:dyDescent="0.25">
      <c r="A40" s="217"/>
      <c r="BK40" s="218"/>
    </row>
    <row r="41" spans="1:63" ht="15" customHeight="1" x14ac:dyDescent="0.25">
      <c r="A41" s="217"/>
      <c r="BK41" s="218"/>
    </row>
    <row r="42" spans="1:63" ht="15" customHeight="1" x14ac:dyDescent="0.25">
      <c r="A42" s="217"/>
      <c r="BK42" s="218"/>
    </row>
    <row r="43" spans="1:63" ht="15" customHeight="1" x14ac:dyDescent="0.25">
      <c r="A43" s="217"/>
      <c r="BK43" s="218"/>
    </row>
    <row r="44" spans="1:63" ht="15" customHeight="1" x14ac:dyDescent="0.25">
      <c r="A44" s="217"/>
      <c r="Q44" s="231" t="s">
        <v>58</v>
      </c>
      <c r="R44" s="232"/>
      <c r="S44" s="232"/>
      <c r="T44" s="232"/>
      <c r="U44" s="232"/>
      <c r="V44" s="232"/>
      <c r="W44" s="232"/>
      <c r="X44" s="232"/>
      <c r="Y44" s="232"/>
      <c r="Z44" s="233"/>
      <c r="AA44" s="231" t="s">
        <v>59</v>
      </c>
      <c r="AB44" s="232"/>
      <c r="AC44" s="232"/>
      <c r="AD44" s="232"/>
      <c r="AE44" s="232"/>
      <c r="AF44" s="232"/>
      <c r="AG44" s="232"/>
      <c r="AH44" s="232"/>
      <c r="AI44" s="232"/>
      <c r="AJ44" s="232"/>
      <c r="AK44" s="232"/>
      <c r="AL44" s="232"/>
      <c r="AM44" s="232"/>
      <c r="AN44" s="232"/>
      <c r="AO44" s="232"/>
      <c r="AP44" s="233"/>
      <c r="AQ44" s="231" t="s">
        <v>53</v>
      </c>
      <c r="AR44" s="232"/>
      <c r="AS44" s="232"/>
      <c r="AT44" s="232"/>
      <c r="AU44" s="233"/>
      <c r="BK44" s="218"/>
    </row>
    <row r="45" spans="1:63" ht="15" customHeight="1" x14ac:dyDescent="0.25">
      <c r="A45" s="217"/>
      <c r="Q45" s="234"/>
      <c r="R45" s="235"/>
      <c r="S45" s="235"/>
      <c r="T45" s="235"/>
      <c r="U45" s="235"/>
      <c r="V45" s="235"/>
      <c r="W45" s="235"/>
      <c r="X45" s="235"/>
      <c r="Y45" s="235"/>
      <c r="Z45" s="236"/>
      <c r="AA45" s="234"/>
      <c r="AB45" s="235"/>
      <c r="AC45" s="235"/>
      <c r="AD45" s="235"/>
      <c r="AE45" s="235"/>
      <c r="AF45" s="235"/>
      <c r="AG45" s="235"/>
      <c r="AH45" s="235"/>
      <c r="AI45" s="235"/>
      <c r="AJ45" s="235"/>
      <c r="AK45" s="235"/>
      <c r="AL45" s="235"/>
      <c r="AM45" s="235"/>
      <c r="AN45" s="235"/>
      <c r="AO45" s="235"/>
      <c r="AP45" s="236"/>
      <c r="AQ45" s="234"/>
      <c r="AR45" s="235"/>
      <c r="AS45" s="235"/>
      <c r="AT45" s="235"/>
      <c r="AU45" s="236"/>
      <c r="BK45" s="218"/>
    </row>
    <row r="46" spans="1:63" ht="15" customHeight="1" x14ac:dyDescent="0.25">
      <c r="A46" s="217"/>
      <c r="Q46" s="189"/>
      <c r="R46" s="187"/>
      <c r="S46" s="187"/>
      <c r="T46" s="187"/>
      <c r="U46" s="187"/>
      <c r="V46" s="187"/>
      <c r="W46" s="187"/>
      <c r="X46" s="187"/>
      <c r="Y46" s="187"/>
      <c r="Z46" s="188"/>
      <c r="AA46" s="189"/>
      <c r="AB46" s="187"/>
      <c r="AC46" s="187"/>
      <c r="AD46" s="187"/>
      <c r="AE46" s="187"/>
      <c r="AF46" s="187"/>
      <c r="AG46" s="187"/>
      <c r="AH46" s="187"/>
      <c r="AI46" s="187"/>
      <c r="AJ46" s="187"/>
      <c r="AK46" s="187"/>
      <c r="AL46" s="187"/>
      <c r="AM46" s="187"/>
      <c r="AN46" s="187"/>
      <c r="AO46" s="187"/>
      <c r="AP46" s="188"/>
      <c r="AQ46" s="189"/>
      <c r="AR46" s="187"/>
      <c r="AS46" s="187"/>
      <c r="AT46" s="187"/>
      <c r="AU46" s="188"/>
      <c r="BK46" s="218"/>
    </row>
    <row r="47" spans="1:63" ht="15" customHeight="1" x14ac:dyDescent="0.25">
      <c r="A47" s="217"/>
      <c r="Q47" s="237"/>
      <c r="R47" s="238"/>
      <c r="S47" s="238"/>
      <c r="T47" s="238"/>
      <c r="U47" s="238"/>
      <c r="V47" s="238"/>
      <c r="W47" s="238"/>
      <c r="X47" s="238"/>
      <c r="Y47" s="238"/>
      <c r="Z47" s="239"/>
      <c r="AA47" s="237"/>
      <c r="AB47" s="238"/>
      <c r="AC47" s="238"/>
      <c r="AD47" s="238"/>
      <c r="AE47" s="238"/>
      <c r="AF47" s="238"/>
      <c r="AG47" s="238"/>
      <c r="AH47" s="238"/>
      <c r="AI47" s="238"/>
      <c r="AJ47" s="238"/>
      <c r="AK47" s="238"/>
      <c r="AL47" s="238"/>
      <c r="AM47" s="238"/>
      <c r="AN47" s="238"/>
      <c r="AO47" s="238"/>
      <c r="AP47" s="239"/>
      <c r="AQ47" s="237"/>
      <c r="AR47" s="238"/>
      <c r="AS47" s="238"/>
      <c r="AT47" s="238"/>
      <c r="AU47" s="239"/>
      <c r="BK47" s="218"/>
    </row>
    <row r="48" spans="1:63" ht="15" customHeight="1" x14ac:dyDescent="0.25">
      <c r="A48" s="217"/>
      <c r="Q48" s="237"/>
      <c r="R48" s="238"/>
      <c r="S48" s="238"/>
      <c r="T48" s="238"/>
      <c r="U48" s="238"/>
      <c r="V48" s="238"/>
      <c r="W48" s="238"/>
      <c r="X48" s="238"/>
      <c r="Y48" s="238"/>
      <c r="Z48" s="239"/>
      <c r="AA48" s="237"/>
      <c r="AB48" s="238"/>
      <c r="AC48" s="238"/>
      <c r="AD48" s="238"/>
      <c r="AE48" s="238"/>
      <c r="AF48" s="238"/>
      <c r="AG48" s="238"/>
      <c r="AH48" s="238"/>
      <c r="AI48" s="238"/>
      <c r="AJ48" s="238"/>
      <c r="AK48" s="238"/>
      <c r="AL48" s="238"/>
      <c r="AM48" s="238"/>
      <c r="AN48" s="238"/>
      <c r="AO48" s="238"/>
      <c r="AP48" s="239"/>
      <c r="AQ48" s="237"/>
      <c r="AR48" s="238"/>
      <c r="AS48" s="238"/>
      <c r="AT48" s="238"/>
      <c r="AU48" s="239"/>
      <c r="BK48" s="218"/>
    </row>
    <row r="49" spans="1:63" ht="15" customHeight="1" x14ac:dyDescent="0.25">
      <c r="A49" s="217"/>
      <c r="Q49" s="199"/>
      <c r="R49" s="200"/>
      <c r="S49" s="200"/>
      <c r="T49" s="200"/>
      <c r="U49" s="200"/>
      <c r="V49" s="200"/>
      <c r="W49" s="200"/>
      <c r="X49" s="200"/>
      <c r="Y49" s="200"/>
      <c r="Z49" s="201"/>
      <c r="AA49" s="199"/>
      <c r="AB49" s="200"/>
      <c r="AC49" s="200"/>
      <c r="AD49" s="200"/>
      <c r="AE49" s="200"/>
      <c r="AF49" s="200"/>
      <c r="AG49" s="200"/>
      <c r="AH49" s="200"/>
      <c r="AI49" s="200"/>
      <c r="AJ49" s="200"/>
      <c r="AK49" s="200"/>
      <c r="AL49" s="200"/>
      <c r="AM49" s="200"/>
      <c r="AN49" s="200"/>
      <c r="AO49" s="200"/>
      <c r="AP49" s="201"/>
      <c r="AQ49" s="199"/>
      <c r="AR49" s="200"/>
      <c r="AS49" s="200"/>
      <c r="AT49" s="200"/>
      <c r="AU49" s="201"/>
      <c r="BK49" s="218"/>
    </row>
    <row r="50" spans="1:63" ht="15" customHeight="1" x14ac:dyDescent="0.25">
      <c r="A50" s="217"/>
      <c r="BK50" s="218"/>
    </row>
    <row r="51" spans="1:63" ht="15" customHeight="1" x14ac:dyDescent="0.25">
      <c r="A51" s="217"/>
      <c r="BK51" s="218"/>
    </row>
    <row r="52" spans="1:63" ht="15" customHeight="1" x14ac:dyDescent="0.25">
      <c r="A52" s="217"/>
      <c r="BK52" s="218"/>
    </row>
    <row r="53" spans="1:63" ht="15" customHeight="1" x14ac:dyDescent="0.25">
      <c r="A53" s="217"/>
      <c r="BK53" s="218"/>
    </row>
    <row r="54" spans="1:63" ht="15" customHeight="1" x14ac:dyDescent="0.25">
      <c r="A54" s="217"/>
      <c r="BK54" s="218"/>
    </row>
    <row r="55" spans="1:63" ht="15" customHeight="1" x14ac:dyDescent="0.25">
      <c r="A55" s="214"/>
      <c r="B55" s="215"/>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c r="AA55" s="215"/>
      <c r="AB55" s="215"/>
      <c r="AC55" s="215"/>
      <c r="AD55" s="215"/>
      <c r="AE55" s="215"/>
      <c r="AF55" s="215"/>
      <c r="AG55" s="215"/>
      <c r="AH55" s="215"/>
      <c r="AI55" s="215"/>
      <c r="AJ55" s="215"/>
      <c r="AK55" s="215"/>
      <c r="AL55" s="215"/>
      <c r="AM55" s="215"/>
      <c r="AN55" s="215"/>
      <c r="AO55" s="215"/>
      <c r="AP55" s="215"/>
      <c r="AQ55" s="215"/>
      <c r="AR55" s="215"/>
      <c r="AS55" s="215"/>
      <c r="AT55" s="215"/>
      <c r="AU55" s="215"/>
      <c r="AV55" s="215"/>
      <c r="AW55" s="215"/>
      <c r="AX55" s="215"/>
      <c r="AY55" s="215"/>
      <c r="AZ55" s="215"/>
      <c r="BA55" s="215"/>
      <c r="BB55" s="215"/>
      <c r="BC55" s="215"/>
      <c r="BD55" s="215"/>
      <c r="BE55" s="215"/>
      <c r="BF55" s="215"/>
      <c r="BG55" s="215"/>
      <c r="BH55" s="215"/>
      <c r="BI55" s="215"/>
      <c r="BJ55" s="215"/>
      <c r="BK55" s="216"/>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86" customWidth="1"/>
    <col min="61" max="16384" width="2.77734375" style="186"/>
  </cols>
  <sheetData>
    <row r="1" spans="1:63" ht="24.95" customHeight="1" x14ac:dyDescent="0.25">
      <c r="A1" s="180" t="s">
        <v>46</v>
      </c>
      <c r="B1" s="181"/>
      <c r="C1" s="181"/>
      <c r="D1" s="181"/>
      <c r="E1" s="181"/>
      <c r="F1" s="181"/>
      <c r="G1" s="181"/>
      <c r="H1" s="181"/>
      <c r="I1" s="181"/>
      <c r="J1" s="182"/>
      <c r="K1" s="180" t="s">
        <v>47</v>
      </c>
      <c r="L1" s="181"/>
      <c r="M1" s="181"/>
      <c r="N1" s="181"/>
      <c r="O1" s="181"/>
      <c r="P1" s="181"/>
      <c r="Q1" s="181"/>
      <c r="R1" s="181"/>
      <c r="S1" s="181"/>
      <c r="T1" s="181"/>
      <c r="U1" s="181"/>
      <c r="V1" s="182"/>
      <c r="W1" s="183" t="str">
        <f>IF(表紙!W1="","",表紙!W1)</f>
        <v>基本設計書</v>
      </c>
      <c r="X1" s="184"/>
      <c r="Y1" s="184"/>
      <c r="Z1" s="184"/>
      <c r="AA1" s="184"/>
      <c r="AB1" s="184"/>
      <c r="AC1" s="184"/>
      <c r="AD1" s="184"/>
      <c r="AE1" s="184"/>
      <c r="AF1" s="184"/>
      <c r="AG1" s="184"/>
      <c r="AH1" s="184"/>
      <c r="AI1" s="184"/>
      <c r="AJ1" s="184"/>
      <c r="AK1" s="184"/>
      <c r="AL1" s="184"/>
      <c r="AM1" s="184"/>
      <c r="AN1" s="184"/>
      <c r="AO1" s="185"/>
      <c r="AP1" s="180" t="s">
        <v>49</v>
      </c>
      <c r="AQ1" s="181"/>
      <c r="AR1" s="181"/>
      <c r="AS1" s="182"/>
      <c r="AT1" s="180" t="s">
        <v>50</v>
      </c>
      <c r="AU1" s="181"/>
      <c r="AV1" s="181"/>
      <c r="AW1" s="181"/>
      <c r="AX1" s="182"/>
      <c r="AY1" s="180" t="s">
        <v>51</v>
      </c>
      <c r="AZ1" s="181"/>
      <c r="BA1" s="181"/>
      <c r="BB1" s="182"/>
      <c r="BC1" s="180" t="s">
        <v>52</v>
      </c>
      <c r="BD1" s="181"/>
      <c r="BE1" s="181"/>
      <c r="BF1" s="181"/>
      <c r="BG1" s="182"/>
      <c r="BH1" s="180" t="s">
        <v>53</v>
      </c>
      <c r="BI1" s="181"/>
      <c r="BJ1" s="181"/>
      <c r="BK1" s="182"/>
    </row>
    <row r="2" spans="1:63" ht="15" customHeight="1" x14ac:dyDescent="0.25">
      <c r="A2" s="189" t="str">
        <f>IF(表紙!A2="","",表紙!A2)</f>
        <v>POSサーバー</v>
      </c>
      <c r="B2" s="187"/>
      <c r="C2" s="187"/>
      <c r="D2" s="187"/>
      <c r="E2" s="187"/>
      <c r="F2" s="187"/>
      <c r="G2" s="187"/>
      <c r="H2" s="187"/>
      <c r="I2" s="187"/>
      <c r="J2" s="188"/>
      <c r="K2" s="189" t="str">
        <f>IF(表紙!K2="","",表紙!K2)</f>
        <v>POSサーバ</v>
      </c>
      <c r="L2" s="187"/>
      <c r="M2" s="187"/>
      <c r="N2" s="187"/>
      <c r="O2" s="187"/>
      <c r="P2" s="187"/>
      <c r="Q2" s="187"/>
      <c r="R2" s="187"/>
      <c r="S2" s="187"/>
      <c r="T2" s="187"/>
      <c r="U2" s="187"/>
      <c r="V2" s="188"/>
      <c r="W2" s="190"/>
      <c r="X2" s="191"/>
      <c r="Y2" s="191"/>
      <c r="Z2" s="191"/>
      <c r="AA2" s="191"/>
      <c r="AB2" s="191"/>
      <c r="AC2" s="191"/>
      <c r="AD2" s="191"/>
      <c r="AE2" s="191"/>
      <c r="AF2" s="191"/>
      <c r="AG2" s="191"/>
      <c r="AH2" s="191"/>
      <c r="AI2" s="191"/>
      <c r="AJ2" s="191"/>
      <c r="AK2" s="191"/>
      <c r="AL2" s="191"/>
      <c r="AM2" s="191"/>
      <c r="AN2" s="191"/>
      <c r="AO2" s="192"/>
      <c r="AP2" s="189" t="str">
        <f>IF(表紙!AP2="","",表紙!AP2)</f>
        <v>SonMNT</v>
      </c>
      <c r="AQ2" s="187"/>
      <c r="AR2" s="187"/>
      <c r="AS2" s="188"/>
      <c r="AT2" s="193">
        <f>IF(表紙!AT2="","",表紙!AT2)</f>
        <v>45477</v>
      </c>
      <c r="AU2" s="194"/>
      <c r="AV2" s="194"/>
      <c r="AW2" s="194"/>
      <c r="AX2" s="195"/>
      <c r="AY2" s="189" t="str">
        <f>IF(表紙!AY2="","",表紙!AY2)</f>
        <v>SonMNT</v>
      </c>
      <c r="AZ2" s="187"/>
      <c r="BA2" s="187"/>
      <c r="BB2" s="188"/>
      <c r="BC2" s="193">
        <f>IF(表紙!BC2="","",表紙!BC2)</f>
        <v>45477</v>
      </c>
      <c r="BD2" s="194"/>
      <c r="BE2" s="194"/>
      <c r="BF2" s="194"/>
      <c r="BG2" s="195"/>
      <c r="BH2" s="189">
        <f>IF(表紙!BH2="","",表紙!BH2)</f>
        <v>0.1</v>
      </c>
      <c r="BI2" s="187"/>
      <c r="BJ2" s="187"/>
      <c r="BK2" s="188"/>
    </row>
    <row r="3" spans="1:63" ht="15" customHeight="1" x14ac:dyDescent="0.25">
      <c r="A3" s="199"/>
      <c r="B3" s="200"/>
      <c r="C3" s="200"/>
      <c r="D3" s="200"/>
      <c r="E3" s="200"/>
      <c r="F3" s="200"/>
      <c r="G3" s="200"/>
      <c r="H3" s="200"/>
      <c r="I3" s="200"/>
      <c r="J3" s="201"/>
      <c r="K3" s="199"/>
      <c r="L3" s="200"/>
      <c r="M3" s="200"/>
      <c r="N3" s="200"/>
      <c r="O3" s="200"/>
      <c r="P3" s="200"/>
      <c r="Q3" s="200"/>
      <c r="R3" s="200"/>
      <c r="S3" s="200"/>
      <c r="T3" s="200"/>
      <c r="U3" s="200"/>
      <c r="V3" s="201"/>
      <c r="W3" s="202"/>
      <c r="X3" s="203"/>
      <c r="Y3" s="203"/>
      <c r="Z3" s="203"/>
      <c r="AA3" s="203"/>
      <c r="AB3" s="203"/>
      <c r="AC3" s="203"/>
      <c r="AD3" s="203"/>
      <c r="AE3" s="203"/>
      <c r="AF3" s="203"/>
      <c r="AG3" s="203"/>
      <c r="AH3" s="203"/>
      <c r="AI3" s="203"/>
      <c r="AJ3" s="203"/>
      <c r="AK3" s="203"/>
      <c r="AL3" s="203"/>
      <c r="AM3" s="203"/>
      <c r="AN3" s="203"/>
      <c r="AO3" s="204"/>
      <c r="AP3" s="199"/>
      <c r="AQ3" s="200"/>
      <c r="AR3" s="200"/>
      <c r="AS3" s="201"/>
      <c r="AT3" s="205"/>
      <c r="AU3" s="206"/>
      <c r="AV3" s="206"/>
      <c r="AW3" s="206"/>
      <c r="AX3" s="207"/>
      <c r="AY3" s="199"/>
      <c r="AZ3" s="200"/>
      <c r="BA3" s="200"/>
      <c r="BB3" s="201"/>
      <c r="BC3" s="205"/>
      <c r="BD3" s="206"/>
      <c r="BE3" s="206"/>
      <c r="BF3" s="206"/>
      <c r="BG3" s="207"/>
      <c r="BH3" s="199"/>
      <c r="BI3" s="200"/>
      <c r="BJ3" s="200"/>
      <c r="BK3" s="201"/>
    </row>
    <row r="4" spans="1:63" ht="24.95" customHeight="1" x14ac:dyDescent="0.25">
      <c r="A4" s="180" t="s">
        <v>60</v>
      </c>
      <c r="B4" s="181"/>
      <c r="C4" s="181"/>
      <c r="D4" s="181"/>
      <c r="E4" s="181"/>
      <c r="F4" s="181"/>
      <c r="G4" s="182"/>
      <c r="H4" s="211" t="str">
        <f>IF(表紙!H4="","",表紙!H4)</f>
        <v>95_セットマッチ設定</v>
      </c>
      <c r="I4" s="212"/>
      <c r="J4" s="212"/>
      <c r="K4" s="212"/>
      <c r="L4" s="212"/>
      <c r="M4" s="212"/>
      <c r="N4" s="212"/>
      <c r="O4" s="212"/>
      <c r="P4" s="212"/>
      <c r="Q4" s="212"/>
      <c r="R4" s="212"/>
      <c r="S4" s="212"/>
      <c r="T4" s="213"/>
      <c r="U4" s="180" t="s">
        <v>56</v>
      </c>
      <c r="V4" s="181"/>
      <c r="W4" s="181"/>
      <c r="X4" s="181"/>
      <c r="Y4" s="182"/>
      <c r="Z4" s="211" t="str">
        <f>IF(表紙!Z4="","",表紙!Z4)</f>
        <v>概要設計</v>
      </c>
      <c r="AA4" s="212"/>
      <c r="AB4" s="212"/>
      <c r="AC4" s="212"/>
      <c r="AD4" s="212"/>
      <c r="AE4" s="212"/>
      <c r="AF4" s="212"/>
      <c r="AG4" s="212"/>
      <c r="AH4" s="212"/>
      <c r="AI4" s="212"/>
      <c r="AJ4" s="212"/>
      <c r="AK4" s="212"/>
      <c r="AL4" s="212"/>
      <c r="AM4" s="212"/>
      <c r="AN4" s="212"/>
      <c r="AO4" s="213"/>
      <c r="AP4" s="211" t="str">
        <f t="array" aca="1" ref="AP4" ca="1">RIGHT(CELL("filename",$A$1),LEN(CELL("filename",$A$1))-FIND("]",CELL("filename",$A$1)))</f>
        <v>改訂履歴</v>
      </c>
      <c r="AQ4" s="212"/>
      <c r="AR4" s="212"/>
      <c r="AS4" s="212"/>
      <c r="AT4" s="212"/>
      <c r="AU4" s="212"/>
      <c r="AV4" s="212"/>
      <c r="AW4" s="212"/>
      <c r="AX4" s="212"/>
      <c r="AY4" s="212"/>
      <c r="AZ4" s="212"/>
      <c r="BA4" s="212"/>
      <c r="BB4" s="212"/>
      <c r="BC4" s="212"/>
      <c r="BD4" s="212"/>
      <c r="BE4" s="212"/>
      <c r="BF4" s="212"/>
      <c r="BG4" s="212"/>
      <c r="BH4" s="212"/>
      <c r="BI4" s="212"/>
      <c r="BJ4" s="212"/>
      <c r="BK4" s="213"/>
    </row>
    <row r="5" spans="1:63" ht="5.0999999999999996" customHeight="1" x14ac:dyDescent="0.25">
      <c r="A5" s="214"/>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6"/>
    </row>
    <row r="6" spans="1:63" ht="15" customHeight="1" x14ac:dyDescent="0.25">
      <c r="A6" s="217"/>
      <c r="BK6" s="218"/>
    </row>
    <row r="7" spans="1:63" ht="15" customHeight="1" x14ac:dyDescent="0.25">
      <c r="A7" s="217"/>
      <c r="BK7" s="218"/>
    </row>
    <row r="8" spans="1:63" ht="15" customHeight="1" x14ac:dyDescent="0.25">
      <c r="A8" s="217"/>
      <c r="B8" s="186" t="s">
        <v>8</v>
      </c>
      <c r="BK8" s="218"/>
    </row>
    <row r="9" spans="1:63" ht="15" customHeight="1" x14ac:dyDescent="0.25">
      <c r="A9" s="217"/>
      <c r="BK9" s="218"/>
    </row>
    <row r="10" spans="1:63" ht="15" customHeight="1" x14ac:dyDescent="0.25">
      <c r="A10" s="217"/>
      <c r="B10" s="240" t="s">
        <v>52</v>
      </c>
      <c r="C10" s="240"/>
      <c r="D10" s="240"/>
      <c r="E10" s="240"/>
      <c r="F10" s="240"/>
      <c r="G10" s="240"/>
      <c r="H10" s="240" t="s">
        <v>51</v>
      </c>
      <c r="I10" s="240"/>
      <c r="J10" s="240"/>
      <c r="K10" s="240"/>
      <c r="L10" s="240"/>
      <c r="M10" s="240"/>
      <c r="N10" s="240"/>
      <c r="O10" s="240" t="s">
        <v>53</v>
      </c>
      <c r="P10" s="240"/>
      <c r="Q10" s="240"/>
      <c r="R10" s="240"/>
      <c r="S10" s="240" t="s">
        <v>61</v>
      </c>
      <c r="T10" s="240"/>
      <c r="U10" s="240"/>
      <c r="V10" s="240"/>
      <c r="W10" s="240"/>
      <c r="X10" s="240"/>
      <c r="Y10" s="240"/>
      <c r="Z10" s="240"/>
      <c r="AA10" s="240"/>
      <c r="AB10" s="240"/>
      <c r="AC10" s="240"/>
      <c r="AD10" s="240"/>
      <c r="AE10" s="240"/>
      <c r="AF10" s="240"/>
      <c r="AG10" s="240"/>
      <c r="AH10" s="240"/>
      <c r="AI10" s="240"/>
      <c r="AJ10" s="240"/>
      <c r="AK10" s="240"/>
      <c r="AL10" s="240"/>
      <c r="AM10" s="240"/>
      <c r="AN10" s="240"/>
      <c r="AO10" s="240"/>
      <c r="AP10" s="240"/>
      <c r="AQ10" s="240"/>
      <c r="AR10" s="240"/>
      <c r="AS10" s="240"/>
      <c r="AT10" s="240"/>
      <c r="AU10" s="240"/>
      <c r="AV10" s="240"/>
      <c r="AW10" s="240"/>
      <c r="AX10" s="240" t="s">
        <v>58</v>
      </c>
      <c r="AY10" s="240"/>
      <c r="AZ10" s="240"/>
      <c r="BA10" s="240"/>
      <c r="BB10" s="240"/>
      <c r="BC10" s="240"/>
      <c r="BD10" s="240" t="s">
        <v>59</v>
      </c>
      <c r="BE10" s="240"/>
      <c r="BF10" s="240"/>
      <c r="BG10" s="240"/>
      <c r="BH10" s="240"/>
      <c r="BI10" s="240"/>
      <c r="BJ10" s="240"/>
      <c r="BK10" s="218"/>
    </row>
    <row r="11" spans="1:63" ht="15" customHeight="1" x14ac:dyDescent="0.25">
      <c r="A11" s="217"/>
      <c r="B11" s="193">
        <v>45477</v>
      </c>
      <c r="C11" s="187"/>
      <c r="D11" s="187"/>
      <c r="E11" s="187"/>
      <c r="F11" s="187"/>
      <c r="G11" s="188"/>
      <c r="H11" s="22" t="s">
        <v>62</v>
      </c>
      <c r="I11" s="187"/>
      <c r="J11" s="187"/>
      <c r="K11" s="187"/>
      <c r="L11" s="187"/>
      <c r="M11" s="187"/>
      <c r="N11" s="188"/>
      <c r="O11" s="189">
        <v>0.1</v>
      </c>
      <c r="P11" s="187"/>
      <c r="Q11" s="187"/>
      <c r="R11" s="187"/>
      <c r="S11" s="241" t="s">
        <v>14</v>
      </c>
      <c r="T11" s="242"/>
      <c r="U11" s="242"/>
      <c r="V11" s="242"/>
      <c r="W11" s="242"/>
      <c r="X11" s="242"/>
      <c r="Y11" s="242"/>
      <c r="Z11" s="242"/>
      <c r="AA11" s="242"/>
      <c r="AB11" s="242"/>
      <c r="AC11" s="242"/>
      <c r="AD11" s="242"/>
      <c r="AE11" s="242"/>
      <c r="AF11" s="242"/>
      <c r="AG11" s="242"/>
      <c r="AH11" s="242"/>
      <c r="AI11" s="242"/>
      <c r="AJ11" s="242"/>
      <c r="AK11" s="242"/>
      <c r="AL11" s="242"/>
      <c r="AM11" s="242"/>
      <c r="AN11" s="242"/>
      <c r="AO11" s="242"/>
      <c r="AP11" s="242"/>
      <c r="AQ11" s="242"/>
      <c r="AR11" s="242"/>
      <c r="AS11" s="242"/>
      <c r="AT11" s="242"/>
      <c r="AU11" s="242"/>
      <c r="AV11" s="242"/>
      <c r="AW11" s="243"/>
      <c r="AX11" s="244"/>
      <c r="AY11" s="244"/>
      <c r="AZ11" s="244"/>
      <c r="BA11" s="244"/>
      <c r="BB11" s="244"/>
      <c r="BC11" s="245"/>
      <c r="BD11" s="246"/>
      <c r="BE11" s="244"/>
      <c r="BF11" s="244"/>
      <c r="BG11" s="244"/>
      <c r="BH11" s="244"/>
      <c r="BI11" s="244"/>
      <c r="BJ11" s="245"/>
      <c r="BK11" s="218"/>
    </row>
    <row r="12" spans="1:63" ht="15" customHeight="1" x14ac:dyDescent="0.25">
      <c r="A12" s="217"/>
      <c r="B12" s="199"/>
      <c r="C12" s="200"/>
      <c r="D12" s="200"/>
      <c r="E12" s="200"/>
      <c r="F12" s="200"/>
      <c r="G12" s="201"/>
      <c r="H12" s="199"/>
      <c r="I12" s="200"/>
      <c r="J12" s="200"/>
      <c r="K12" s="200"/>
      <c r="L12" s="200"/>
      <c r="M12" s="200"/>
      <c r="N12" s="201"/>
      <c r="O12" s="199"/>
      <c r="P12" s="200"/>
      <c r="Q12" s="200"/>
      <c r="R12" s="200"/>
      <c r="S12" s="247"/>
      <c r="T12" s="248"/>
      <c r="U12" s="248"/>
      <c r="V12" s="248"/>
      <c r="W12" s="248"/>
      <c r="X12" s="248"/>
      <c r="Y12" s="248"/>
      <c r="Z12" s="248"/>
      <c r="AA12" s="248"/>
      <c r="AB12" s="248"/>
      <c r="AC12" s="248"/>
      <c r="AD12" s="248"/>
      <c r="AE12" s="248"/>
      <c r="AF12" s="248"/>
      <c r="AG12" s="248"/>
      <c r="AH12" s="248"/>
      <c r="AI12" s="248"/>
      <c r="AJ12" s="248"/>
      <c r="AK12" s="248"/>
      <c r="AL12" s="248"/>
      <c r="AM12" s="248"/>
      <c r="AN12" s="248"/>
      <c r="AO12" s="248"/>
      <c r="AP12" s="248"/>
      <c r="AQ12" s="248"/>
      <c r="AR12" s="248"/>
      <c r="AS12" s="248"/>
      <c r="AT12" s="248"/>
      <c r="AU12" s="248"/>
      <c r="AV12" s="248"/>
      <c r="AW12" s="249"/>
      <c r="AX12" s="250"/>
      <c r="AY12" s="250"/>
      <c r="AZ12" s="250"/>
      <c r="BA12" s="250"/>
      <c r="BB12" s="250"/>
      <c r="BC12" s="251"/>
      <c r="BD12" s="252"/>
      <c r="BE12" s="250"/>
      <c r="BF12" s="250"/>
      <c r="BG12" s="250"/>
      <c r="BH12" s="250"/>
      <c r="BI12" s="250"/>
      <c r="BJ12" s="251"/>
      <c r="BK12" s="218"/>
    </row>
    <row r="13" spans="1:63" ht="15" customHeight="1" x14ac:dyDescent="0.25">
      <c r="A13" s="217"/>
      <c r="B13" s="193"/>
      <c r="C13" s="187"/>
      <c r="D13" s="187"/>
      <c r="E13" s="187"/>
      <c r="F13" s="187"/>
      <c r="G13" s="188"/>
      <c r="H13" s="189"/>
      <c r="I13" s="187"/>
      <c r="J13" s="187"/>
      <c r="K13" s="187"/>
      <c r="L13" s="187"/>
      <c r="M13" s="187"/>
      <c r="N13" s="188"/>
      <c r="O13" s="189"/>
      <c r="P13" s="187"/>
      <c r="Q13" s="187"/>
      <c r="R13" s="187"/>
      <c r="S13" s="241"/>
      <c r="T13" s="242"/>
      <c r="U13" s="242"/>
      <c r="V13" s="242"/>
      <c r="W13" s="242"/>
      <c r="X13" s="242"/>
      <c r="Y13" s="242"/>
      <c r="Z13" s="242"/>
      <c r="AA13" s="242"/>
      <c r="AB13" s="242"/>
      <c r="AC13" s="242"/>
      <c r="AD13" s="242"/>
      <c r="AE13" s="242"/>
      <c r="AF13" s="242"/>
      <c r="AG13" s="242"/>
      <c r="AH13" s="242"/>
      <c r="AI13" s="242"/>
      <c r="AJ13" s="242"/>
      <c r="AK13" s="242"/>
      <c r="AL13" s="242"/>
      <c r="AM13" s="242"/>
      <c r="AN13" s="242"/>
      <c r="AO13" s="242"/>
      <c r="AP13" s="242"/>
      <c r="AQ13" s="242"/>
      <c r="AR13" s="242"/>
      <c r="AS13" s="242"/>
      <c r="AT13" s="242"/>
      <c r="AU13" s="242"/>
      <c r="AV13" s="242"/>
      <c r="AW13" s="243"/>
      <c r="AX13" s="244"/>
      <c r="AY13" s="244"/>
      <c r="AZ13" s="244"/>
      <c r="BA13" s="244"/>
      <c r="BB13" s="244"/>
      <c r="BC13" s="245"/>
      <c r="BD13" s="246"/>
      <c r="BE13" s="244"/>
      <c r="BF13" s="244"/>
      <c r="BG13" s="244"/>
      <c r="BH13" s="244"/>
      <c r="BI13" s="244"/>
      <c r="BJ13" s="245"/>
      <c r="BK13" s="218"/>
    </row>
    <row r="14" spans="1:63" ht="15" customHeight="1" x14ac:dyDescent="0.25">
      <c r="A14" s="217"/>
      <c r="B14" s="199"/>
      <c r="C14" s="200"/>
      <c r="D14" s="200"/>
      <c r="E14" s="200"/>
      <c r="F14" s="200"/>
      <c r="G14" s="201"/>
      <c r="H14" s="199"/>
      <c r="I14" s="200"/>
      <c r="J14" s="200"/>
      <c r="K14" s="200"/>
      <c r="L14" s="200"/>
      <c r="M14" s="200"/>
      <c r="N14" s="201"/>
      <c r="O14" s="199"/>
      <c r="P14" s="200"/>
      <c r="Q14" s="200"/>
      <c r="R14" s="200"/>
      <c r="S14" s="247"/>
      <c r="T14" s="248"/>
      <c r="U14" s="248"/>
      <c r="V14" s="248"/>
      <c r="W14" s="248"/>
      <c r="X14" s="248"/>
      <c r="Y14" s="248"/>
      <c r="Z14" s="248"/>
      <c r="AA14" s="248"/>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9"/>
      <c r="AX14" s="250"/>
      <c r="AY14" s="250"/>
      <c r="AZ14" s="250"/>
      <c r="BA14" s="250"/>
      <c r="BB14" s="250"/>
      <c r="BC14" s="251"/>
      <c r="BD14" s="252"/>
      <c r="BE14" s="250"/>
      <c r="BF14" s="250"/>
      <c r="BG14" s="250"/>
      <c r="BH14" s="250"/>
      <c r="BI14" s="250"/>
      <c r="BJ14" s="251"/>
      <c r="BK14" s="218"/>
    </row>
    <row r="15" spans="1:63" ht="15" customHeight="1" x14ac:dyDescent="0.25">
      <c r="A15" s="217"/>
      <c r="B15" s="51"/>
      <c r="C15" s="52"/>
      <c r="D15" s="52"/>
      <c r="E15" s="52"/>
      <c r="F15" s="52"/>
      <c r="G15" s="53"/>
      <c r="H15" s="57"/>
      <c r="I15" s="52"/>
      <c r="J15" s="52"/>
      <c r="K15" s="52"/>
      <c r="L15" s="52"/>
      <c r="M15" s="52"/>
      <c r="N15" s="53"/>
      <c r="O15" s="57"/>
      <c r="P15" s="52"/>
      <c r="Q15" s="52"/>
      <c r="R15" s="52"/>
      <c r="S15" s="58"/>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60"/>
      <c r="AX15" s="61"/>
      <c r="AY15" s="61"/>
      <c r="AZ15" s="61"/>
      <c r="BA15" s="61"/>
      <c r="BB15" s="61"/>
      <c r="BC15" s="62"/>
      <c r="BD15" s="65"/>
      <c r="BE15" s="61"/>
      <c r="BF15" s="61"/>
      <c r="BG15" s="61"/>
      <c r="BH15" s="61"/>
      <c r="BI15" s="61"/>
      <c r="BJ15" s="62"/>
      <c r="BK15" s="218"/>
    </row>
    <row r="16" spans="1:63" ht="15" customHeight="1" x14ac:dyDescent="0.25">
      <c r="A16" s="217"/>
      <c r="B16" s="54"/>
      <c r="C16" s="55"/>
      <c r="D16" s="55"/>
      <c r="E16" s="55"/>
      <c r="F16" s="55"/>
      <c r="G16" s="56"/>
      <c r="H16" s="54"/>
      <c r="I16" s="55"/>
      <c r="J16" s="55"/>
      <c r="K16" s="55"/>
      <c r="L16" s="55"/>
      <c r="M16" s="55"/>
      <c r="N16" s="56"/>
      <c r="O16" s="54"/>
      <c r="P16" s="55"/>
      <c r="Q16" s="55"/>
      <c r="R16" s="55"/>
      <c r="S16" s="67"/>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9"/>
      <c r="AX16" s="63"/>
      <c r="AY16" s="63"/>
      <c r="AZ16" s="63"/>
      <c r="BA16" s="63"/>
      <c r="BB16" s="63"/>
      <c r="BC16" s="64"/>
      <c r="BD16" s="66"/>
      <c r="BE16" s="63"/>
      <c r="BF16" s="63"/>
      <c r="BG16" s="63"/>
      <c r="BH16" s="63"/>
      <c r="BI16" s="63"/>
      <c r="BJ16" s="64"/>
      <c r="BK16" s="218"/>
    </row>
    <row r="17" spans="1:63" ht="15" customHeight="1" x14ac:dyDescent="0.25">
      <c r="A17" s="217"/>
      <c r="B17" s="32"/>
      <c r="C17" s="33"/>
      <c r="D17" s="33"/>
      <c r="E17" s="33"/>
      <c r="F17" s="33"/>
      <c r="G17" s="34"/>
      <c r="H17" s="38"/>
      <c r="I17" s="33"/>
      <c r="J17" s="33"/>
      <c r="K17" s="33"/>
      <c r="L17" s="33"/>
      <c r="M17" s="33"/>
      <c r="N17" s="34"/>
      <c r="O17" s="38"/>
      <c r="P17" s="33"/>
      <c r="Q17" s="33"/>
      <c r="R17" s="33"/>
      <c r="S17" s="39"/>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1"/>
      <c r="AX17" s="42"/>
      <c r="AY17" s="42"/>
      <c r="AZ17" s="42"/>
      <c r="BA17" s="42"/>
      <c r="BB17" s="42"/>
      <c r="BC17" s="43"/>
      <c r="BD17" s="46"/>
      <c r="BE17" s="42"/>
      <c r="BF17" s="42"/>
      <c r="BG17" s="42"/>
      <c r="BH17" s="42"/>
      <c r="BI17" s="42"/>
      <c r="BJ17" s="43"/>
      <c r="BK17" s="218"/>
    </row>
    <row r="18" spans="1:63" ht="15" customHeight="1" x14ac:dyDescent="0.25">
      <c r="A18" s="217"/>
      <c r="B18" s="35"/>
      <c r="C18" s="36"/>
      <c r="D18" s="36"/>
      <c r="E18" s="36"/>
      <c r="F18" s="36"/>
      <c r="G18" s="37"/>
      <c r="H18" s="35"/>
      <c r="I18" s="36"/>
      <c r="J18" s="36"/>
      <c r="K18" s="36"/>
      <c r="L18" s="36"/>
      <c r="M18" s="36"/>
      <c r="N18" s="37"/>
      <c r="O18" s="35"/>
      <c r="P18" s="36"/>
      <c r="Q18" s="36"/>
      <c r="R18" s="36"/>
      <c r="S18" s="48"/>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50"/>
      <c r="AX18" s="44"/>
      <c r="AY18" s="44"/>
      <c r="AZ18" s="44"/>
      <c r="BA18" s="44"/>
      <c r="BB18" s="44"/>
      <c r="BC18" s="45"/>
      <c r="BD18" s="47"/>
      <c r="BE18" s="44"/>
      <c r="BF18" s="44"/>
      <c r="BG18" s="44"/>
      <c r="BH18" s="44"/>
      <c r="BI18" s="44"/>
      <c r="BJ18" s="45"/>
      <c r="BK18" s="218"/>
    </row>
    <row r="19" spans="1:63" ht="15" customHeight="1" x14ac:dyDescent="0.25">
      <c r="A19" s="217"/>
      <c r="B19" s="189"/>
      <c r="C19" s="187"/>
      <c r="D19" s="187"/>
      <c r="E19" s="187"/>
      <c r="F19" s="187"/>
      <c r="G19" s="188"/>
      <c r="H19" s="189"/>
      <c r="I19" s="187"/>
      <c r="J19" s="187"/>
      <c r="K19" s="187"/>
      <c r="L19" s="187"/>
      <c r="M19" s="187"/>
      <c r="N19" s="188"/>
      <c r="O19" s="189"/>
      <c r="P19" s="187"/>
      <c r="Q19" s="187"/>
      <c r="R19" s="187"/>
      <c r="S19" s="241"/>
      <c r="T19" s="242"/>
      <c r="U19" s="242"/>
      <c r="V19" s="242"/>
      <c r="W19" s="242"/>
      <c r="X19" s="242"/>
      <c r="Y19" s="242"/>
      <c r="Z19" s="242"/>
      <c r="AA19" s="242"/>
      <c r="AB19" s="242"/>
      <c r="AC19" s="242"/>
      <c r="AD19" s="242"/>
      <c r="AE19" s="242"/>
      <c r="AF19" s="242"/>
      <c r="AG19" s="242"/>
      <c r="AH19" s="242"/>
      <c r="AI19" s="242"/>
      <c r="AJ19" s="242"/>
      <c r="AK19" s="242"/>
      <c r="AL19" s="242"/>
      <c r="AM19" s="242"/>
      <c r="AN19" s="242"/>
      <c r="AO19" s="242"/>
      <c r="AP19" s="242"/>
      <c r="AQ19" s="242"/>
      <c r="AR19" s="242"/>
      <c r="AS19" s="242"/>
      <c r="AT19" s="242"/>
      <c r="AU19" s="242"/>
      <c r="AV19" s="242"/>
      <c r="AW19" s="243"/>
      <c r="AX19" s="244"/>
      <c r="AY19" s="244"/>
      <c r="AZ19" s="244"/>
      <c r="BA19" s="244"/>
      <c r="BB19" s="244"/>
      <c r="BC19" s="245"/>
      <c r="BD19" s="246"/>
      <c r="BE19" s="244"/>
      <c r="BF19" s="244"/>
      <c r="BG19" s="244"/>
      <c r="BH19" s="244"/>
      <c r="BI19" s="244"/>
      <c r="BJ19" s="245"/>
      <c r="BK19" s="218"/>
    </row>
    <row r="20" spans="1:63" ht="15" customHeight="1" x14ac:dyDescent="0.25">
      <c r="A20" s="217"/>
      <c r="B20" s="199"/>
      <c r="C20" s="200"/>
      <c r="D20" s="200"/>
      <c r="E20" s="200"/>
      <c r="F20" s="200"/>
      <c r="G20" s="201"/>
      <c r="H20" s="199"/>
      <c r="I20" s="200"/>
      <c r="J20" s="200"/>
      <c r="K20" s="200"/>
      <c r="L20" s="200"/>
      <c r="M20" s="200"/>
      <c r="N20" s="201"/>
      <c r="O20" s="199"/>
      <c r="P20" s="200"/>
      <c r="Q20" s="200"/>
      <c r="R20" s="200"/>
      <c r="S20" s="247"/>
      <c r="T20" s="248"/>
      <c r="U20" s="248"/>
      <c r="V20" s="248"/>
      <c r="W20" s="248"/>
      <c r="X20" s="248"/>
      <c r="Y20" s="248"/>
      <c r="Z20" s="248"/>
      <c r="AA20" s="248"/>
      <c r="AB20" s="248"/>
      <c r="AC20" s="248"/>
      <c r="AD20" s="248"/>
      <c r="AE20" s="248"/>
      <c r="AF20" s="248"/>
      <c r="AG20" s="248"/>
      <c r="AH20" s="248"/>
      <c r="AI20" s="248"/>
      <c r="AJ20" s="248"/>
      <c r="AK20" s="248"/>
      <c r="AL20" s="248"/>
      <c r="AM20" s="248"/>
      <c r="AN20" s="248"/>
      <c r="AO20" s="248"/>
      <c r="AP20" s="248"/>
      <c r="AQ20" s="248"/>
      <c r="AR20" s="248"/>
      <c r="AS20" s="248"/>
      <c r="AT20" s="248"/>
      <c r="AU20" s="248"/>
      <c r="AV20" s="248"/>
      <c r="AW20" s="249"/>
      <c r="AX20" s="250"/>
      <c r="AY20" s="250"/>
      <c r="AZ20" s="250"/>
      <c r="BA20" s="250"/>
      <c r="BB20" s="250"/>
      <c r="BC20" s="251"/>
      <c r="BD20" s="252"/>
      <c r="BE20" s="250"/>
      <c r="BF20" s="250"/>
      <c r="BG20" s="250"/>
      <c r="BH20" s="250"/>
      <c r="BI20" s="250"/>
      <c r="BJ20" s="251"/>
      <c r="BK20" s="218"/>
    </row>
    <row r="21" spans="1:63" ht="15" customHeight="1" x14ac:dyDescent="0.25">
      <c r="A21" s="217"/>
      <c r="B21" s="189"/>
      <c r="C21" s="187"/>
      <c r="D21" s="187"/>
      <c r="E21" s="187"/>
      <c r="F21" s="187"/>
      <c r="G21" s="188"/>
      <c r="H21" s="189"/>
      <c r="I21" s="187"/>
      <c r="J21" s="187"/>
      <c r="K21" s="187"/>
      <c r="L21" s="187"/>
      <c r="M21" s="187"/>
      <c r="N21" s="188"/>
      <c r="O21" s="189"/>
      <c r="P21" s="187"/>
      <c r="Q21" s="187"/>
      <c r="R21" s="187"/>
      <c r="S21" s="241"/>
      <c r="T21" s="242"/>
      <c r="U21" s="242"/>
      <c r="V21" s="242"/>
      <c r="W21" s="242"/>
      <c r="X21" s="242"/>
      <c r="Y21" s="242"/>
      <c r="Z21" s="242"/>
      <c r="AA21" s="242"/>
      <c r="AB21" s="242"/>
      <c r="AC21" s="242"/>
      <c r="AD21" s="242"/>
      <c r="AE21" s="242"/>
      <c r="AF21" s="242"/>
      <c r="AG21" s="242"/>
      <c r="AH21" s="242"/>
      <c r="AI21" s="242"/>
      <c r="AJ21" s="242"/>
      <c r="AK21" s="242"/>
      <c r="AL21" s="242"/>
      <c r="AM21" s="242"/>
      <c r="AN21" s="242"/>
      <c r="AO21" s="242"/>
      <c r="AP21" s="242"/>
      <c r="AQ21" s="242"/>
      <c r="AR21" s="242"/>
      <c r="AS21" s="242"/>
      <c r="AT21" s="242"/>
      <c r="AU21" s="242"/>
      <c r="AV21" s="242"/>
      <c r="AW21" s="243"/>
      <c r="AX21" s="244"/>
      <c r="AY21" s="244"/>
      <c r="AZ21" s="244"/>
      <c r="BA21" s="244"/>
      <c r="BB21" s="244"/>
      <c r="BC21" s="245"/>
      <c r="BD21" s="246"/>
      <c r="BE21" s="244"/>
      <c r="BF21" s="244"/>
      <c r="BG21" s="244"/>
      <c r="BH21" s="244"/>
      <c r="BI21" s="244"/>
      <c r="BJ21" s="245"/>
      <c r="BK21" s="218"/>
    </row>
    <row r="22" spans="1:63" ht="15" customHeight="1" x14ac:dyDescent="0.25">
      <c r="A22" s="217"/>
      <c r="B22" s="199"/>
      <c r="C22" s="200"/>
      <c r="D22" s="200"/>
      <c r="E22" s="200"/>
      <c r="F22" s="200"/>
      <c r="G22" s="201"/>
      <c r="H22" s="199"/>
      <c r="I22" s="200"/>
      <c r="J22" s="200"/>
      <c r="K22" s="200"/>
      <c r="L22" s="200"/>
      <c r="M22" s="200"/>
      <c r="N22" s="201"/>
      <c r="O22" s="199"/>
      <c r="P22" s="200"/>
      <c r="Q22" s="200"/>
      <c r="R22" s="200"/>
      <c r="S22" s="247"/>
      <c r="T22" s="248"/>
      <c r="U22" s="248"/>
      <c r="V22" s="248"/>
      <c r="W22" s="248"/>
      <c r="X22" s="248"/>
      <c r="Y22" s="248"/>
      <c r="Z22" s="248"/>
      <c r="AA22" s="248"/>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9"/>
      <c r="AX22" s="250"/>
      <c r="AY22" s="250"/>
      <c r="AZ22" s="250"/>
      <c r="BA22" s="250"/>
      <c r="BB22" s="250"/>
      <c r="BC22" s="251"/>
      <c r="BD22" s="252"/>
      <c r="BE22" s="250"/>
      <c r="BF22" s="250"/>
      <c r="BG22" s="250"/>
      <c r="BH22" s="250"/>
      <c r="BI22" s="250"/>
      <c r="BJ22" s="251"/>
      <c r="BK22" s="218"/>
    </row>
    <row r="23" spans="1:63" ht="15" customHeight="1" x14ac:dyDescent="0.25">
      <c r="A23" s="217"/>
      <c r="B23" s="189"/>
      <c r="C23" s="187"/>
      <c r="D23" s="187"/>
      <c r="E23" s="187"/>
      <c r="F23" s="187"/>
      <c r="G23" s="188"/>
      <c r="H23" s="189"/>
      <c r="I23" s="187"/>
      <c r="J23" s="187"/>
      <c r="K23" s="187"/>
      <c r="L23" s="187"/>
      <c r="M23" s="187"/>
      <c r="N23" s="188"/>
      <c r="O23" s="189"/>
      <c r="P23" s="187"/>
      <c r="Q23" s="187"/>
      <c r="R23" s="187"/>
      <c r="S23" s="241"/>
      <c r="T23" s="242"/>
      <c r="U23" s="242"/>
      <c r="V23" s="242"/>
      <c r="W23" s="242"/>
      <c r="X23" s="242"/>
      <c r="Y23" s="242"/>
      <c r="Z23" s="242"/>
      <c r="AA23" s="242"/>
      <c r="AB23" s="242"/>
      <c r="AC23" s="242"/>
      <c r="AD23" s="242"/>
      <c r="AE23" s="242"/>
      <c r="AF23" s="242"/>
      <c r="AG23" s="242"/>
      <c r="AH23" s="242"/>
      <c r="AI23" s="242"/>
      <c r="AJ23" s="242"/>
      <c r="AK23" s="242"/>
      <c r="AL23" s="242"/>
      <c r="AM23" s="242"/>
      <c r="AN23" s="242"/>
      <c r="AO23" s="242"/>
      <c r="AP23" s="242"/>
      <c r="AQ23" s="242"/>
      <c r="AR23" s="242"/>
      <c r="AS23" s="242"/>
      <c r="AT23" s="242"/>
      <c r="AU23" s="242"/>
      <c r="AV23" s="242"/>
      <c r="AW23" s="243"/>
      <c r="AX23" s="244"/>
      <c r="AY23" s="244"/>
      <c r="AZ23" s="244"/>
      <c r="BA23" s="244"/>
      <c r="BB23" s="244"/>
      <c r="BC23" s="245"/>
      <c r="BD23" s="246"/>
      <c r="BE23" s="244"/>
      <c r="BF23" s="244"/>
      <c r="BG23" s="244"/>
      <c r="BH23" s="244"/>
      <c r="BI23" s="244"/>
      <c r="BJ23" s="245"/>
      <c r="BK23" s="218"/>
    </row>
    <row r="24" spans="1:63" ht="15" customHeight="1" x14ac:dyDescent="0.25">
      <c r="A24" s="217"/>
      <c r="B24" s="199"/>
      <c r="C24" s="200"/>
      <c r="D24" s="200"/>
      <c r="E24" s="200"/>
      <c r="F24" s="200"/>
      <c r="G24" s="201"/>
      <c r="H24" s="199"/>
      <c r="I24" s="200"/>
      <c r="J24" s="200"/>
      <c r="K24" s="200"/>
      <c r="L24" s="200"/>
      <c r="M24" s="200"/>
      <c r="N24" s="201"/>
      <c r="O24" s="199"/>
      <c r="P24" s="200"/>
      <c r="Q24" s="200"/>
      <c r="R24" s="200"/>
      <c r="S24" s="247"/>
      <c r="T24" s="248"/>
      <c r="U24" s="248"/>
      <c r="V24" s="248"/>
      <c r="W24" s="248"/>
      <c r="X24" s="248"/>
      <c r="Y24" s="248"/>
      <c r="Z24" s="248"/>
      <c r="AA24" s="248"/>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9"/>
      <c r="AX24" s="250"/>
      <c r="AY24" s="250"/>
      <c r="AZ24" s="250"/>
      <c r="BA24" s="250"/>
      <c r="BB24" s="250"/>
      <c r="BC24" s="251"/>
      <c r="BD24" s="252"/>
      <c r="BE24" s="250"/>
      <c r="BF24" s="250"/>
      <c r="BG24" s="250"/>
      <c r="BH24" s="250"/>
      <c r="BI24" s="250"/>
      <c r="BJ24" s="251"/>
      <c r="BK24" s="218"/>
    </row>
    <row r="25" spans="1:63" ht="15" customHeight="1" x14ac:dyDescent="0.25">
      <c r="A25" s="217"/>
      <c r="B25" s="189"/>
      <c r="C25" s="187"/>
      <c r="D25" s="187"/>
      <c r="E25" s="187"/>
      <c r="F25" s="187"/>
      <c r="G25" s="188"/>
      <c r="H25" s="189"/>
      <c r="I25" s="187"/>
      <c r="J25" s="187"/>
      <c r="K25" s="187"/>
      <c r="L25" s="187"/>
      <c r="M25" s="187"/>
      <c r="N25" s="188"/>
      <c r="O25" s="189"/>
      <c r="P25" s="187"/>
      <c r="Q25" s="187"/>
      <c r="R25" s="187"/>
      <c r="S25" s="241"/>
      <c r="T25" s="242"/>
      <c r="U25" s="242"/>
      <c r="V25" s="242"/>
      <c r="W25" s="242"/>
      <c r="X25" s="242"/>
      <c r="Y25" s="242"/>
      <c r="Z25" s="242"/>
      <c r="AA25" s="242"/>
      <c r="AB25" s="242"/>
      <c r="AC25" s="242"/>
      <c r="AD25" s="242"/>
      <c r="AE25" s="242"/>
      <c r="AF25" s="242"/>
      <c r="AG25" s="242"/>
      <c r="AH25" s="242"/>
      <c r="AI25" s="242"/>
      <c r="AJ25" s="242"/>
      <c r="AK25" s="242"/>
      <c r="AL25" s="242"/>
      <c r="AM25" s="242"/>
      <c r="AN25" s="242"/>
      <c r="AO25" s="242"/>
      <c r="AP25" s="242"/>
      <c r="AQ25" s="242"/>
      <c r="AR25" s="242"/>
      <c r="AS25" s="242"/>
      <c r="AT25" s="242"/>
      <c r="AU25" s="242"/>
      <c r="AV25" s="242"/>
      <c r="AW25" s="243"/>
      <c r="AX25" s="244"/>
      <c r="AY25" s="244"/>
      <c r="AZ25" s="244"/>
      <c r="BA25" s="244"/>
      <c r="BB25" s="244"/>
      <c r="BC25" s="245"/>
      <c r="BD25" s="246"/>
      <c r="BE25" s="244"/>
      <c r="BF25" s="244"/>
      <c r="BG25" s="244"/>
      <c r="BH25" s="244"/>
      <c r="BI25" s="244"/>
      <c r="BJ25" s="245"/>
      <c r="BK25" s="218"/>
    </row>
    <row r="26" spans="1:63" ht="15" customHeight="1" x14ac:dyDescent="0.25">
      <c r="A26" s="217"/>
      <c r="B26" s="199"/>
      <c r="C26" s="200"/>
      <c r="D26" s="200"/>
      <c r="E26" s="200"/>
      <c r="F26" s="200"/>
      <c r="G26" s="201"/>
      <c r="H26" s="199"/>
      <c r="I26" s="200"/>
      <c r="J26" s="200"/>
      <c r="K26" s="200"/>
      <c r="L26" s="200"/>
      <c r="M26" s="200"/>
      <c r="N26" s="201"/>
      <c r="O26" s="199"/>
      <c r="P26" s="200"/>
      <c r="Q26" s="200"/>
      <c r="R26" s="200"/>
      <c r="S26" s="247"/>
      <c r="T26" s="248"/>
      <c r="U26" s="248"/>
      <c r="V26" s="248"/>
      <c r="W26" s="248"/>
      <c r="X26" s="248"/>
      <c r="Y26" s="248"/>
      <c r="Z26" s="248"/>
      <c r="AA26" s="248"/>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9"/>
      <c r="AX26" s="250"/>
      <c r="AY26" s="250"/>
      <c r="AZ26" s="250"/>
      <c r="BA26" s="250"/>
      <c r="BB26" s="250"/>
      <c r="BC26" s="251"/>
      <c r="BD26" s="252"/>
      <c r="BE26" s="250"/>
      <c r="BF26" s="250"/>
      <c r="BG26" s="250"/>
      <c r="BH26" s="250"/>
      <c r="BI26" s="250"/>
      <c r="BJ26" s="251"/>
      <c r="BK26" s="218"/>
    </row>
    <row r="27" spans="1:63" ht="15" customHeight="1" x14ac:dyDescent="0.25">
      <c r="A27" s="217"/>
      <c r="B27" s="189"/>
      <c r="C27" s="187"/>
      <c r="D27" s="187"/>
      <c r="E27" s="187"/>
      <c r="F27" s="187"/>
      <c r="G27" s="188"/>
      <c r="H27" s="189"/>
      <c r="I27" s="187"/>
      <c r="J27" s="187"/>
      <c r="K27" s="187"/>
      <c r="L27" s="187"/>
      <c r="M27" s="187"/>
      <c r="N27" s="188"/>
      <c r="O27" s="189"/>
      <c r="P27" s="187"/>
      <c r="Q27" s="187"/>
      <c r="R27" s="187"/>
      <c r="S27" s="241"/>
      <c r="T27" s="242"/>
      <c r="U27" s="242"/>
      <c r="V27" s="242"/>
      <c r="W27" s="242"/>
      <c r="X27" s="242"/>
      <c r="Y27" s="242"/>
      <c r="Z27" s="242"/>
      <c r="AA27" s="242"/>
      <c r="AB27" s="242"/>
      <c r="AC27" s="242"/>
      <c r="AD27" s="242"/>
      <c r="AE27" s="242"/>
      <c r="AF27" s="242"/>
      <c r="AG27" s="242"/>
      <c r="AH27" s="242"/>
      <c r="AI27" s="242"/>
      <c r="AJ27" s="242"/>
      <c r="AK27" s="242"/>
      <c r="AL27" s="242"/>
      <c r="AM27" s="242"/>
      <c r="AN27" s="242"/>
      <c r="AO27" s="242"/>
      <c r="AP27" s="242"/>
      <c r="AQ27" s="242"/>
      <c r="AR27" s="242"/>
      <c r="AS27" s="242"/>
      <c r="AT27" s="242"/>
      <c r="AU27" s="242"/>
      <c r="AV27" s="242"/>
      <c r="AW27" s="243"/>
      <c r="AX27" s="244"/>
      <c r="AY27" s="244"/>
      <c r="AZ27" s="244"/>
      <c r="BA27" s="244"/>
      <c r="BB27" s="244"/>
      <c r="BC27" s="245"/>
      <c r="BD27" s="246"/>
      <c r="BE27" s="244"/>
      <c r="BF27" s="244"/>
      <c r="BG27" s="244"/>
      <c r="BH27" s="244"/>
      <c r="BI27" s="244"/>
      <c r="BJ27" s="245"/>
      <c r="BK27" s="218"/>
    </row>
    <row r="28" spans="1:63" ht="15" customHeight="1" x14ac:dyDescent="0.25">
      <c r="A28" s="217"/>
      <c r="B28" s="199"/>
      <c r="C28" s="200"/>
      <c r="D28" s="200"/>
      <c r="E28" s="200"/>
      <c r="F28" s="200"/>
      <c r="G28" s="201"/>
      <c r="H28" s="199"/>
      <c r="I28" s="200"/>
      <c r="J28" s="200"/>
      <c r="K28" s="200"/>
      <c r="L28" s="200"/>
      <c r="M28" s="200"/>
      <c r="N28" s="201"/>
      <c r="O28" s="199"/>
      <c r="P28" s="200"/>
      <c r="Q28" s="200"/>
      <c r="R28" s="200"/>
      <c r="S28" s="247"/>
      <c r="T28" s="248"/>
      <c r="U28" s="248"/>
      <c r="V28" s="248"/>
      <c r="W28" s="248"/>
      <c r="X28" s="248"/>
      <c r="Y28" s="248"/>
      <c r="Z28" s="248"/>
      <c r="AA28" s="248"/>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9"/>
      <c r="AX28" s="250"/>
      <c r="AY28" s="250"/>
      <c r="AZ28" s="250"/>
      <c r="BA28" s="250"/>
      <c r="BB28" s="250"/>
      <c r="BC28" s="251"/>
      <c r="BD28" s="252"/>
      <c r="BE28" s="250"/>
      <c r="BF28" s="250"/>
      <c r="BG28" s="250"/>
      <c r="BH28" s="250"/>
      <c r="BI28" s="250"/>
      <c r="BJ28" s="251"/>
      <c r="BK28" s="218"/>
    </row>
    <row r="29" spans="1:63" ht="15" customHeight="1" x14ac:dyDescent="0.25">
      <c r="A29" s="217"/>
      <c r="B29" s="189"/>
      <c r="C29" s="187"/>
      <c r="D29" s="187"/>
      <c r="E29" s="187"/>
      <c r="F29" s="187"/>
      <c r="G29" s="188"/>
      <c r="H29" s="189"/>
      <c r="I29" s="187"/>
      <c r="J29" s="187"/>
      <c r="K29" s="187"/>
      <c r="L29" s="187"/>
      <c r="M29" s="187"/>
      <c r="N29" s="188"/>
      <c r="O29" s="189"/>
      <c r="P29" s="187"/>
      <c r="Q29" s="187"/>
      <c r="R29" s="187"/>
      <c r="S29" s="241"/>
      <c r="T29" s="242"/>
      <c r="U29" s="242"/>
      <c r="V29" s="242"/>
      <c r="W29" s="242"/>
      <c r="X29" s="242"/>
      <c r="Y29" s="242"/>
      <c r="Z29" s="242"/>
      <c r="AA29" s="242"/>
      <c r="AB29" s="242"/>
      <c r="AC29" s="242"/>
      <c r="AD29" s="242"/>
      <c r="AE29" s="242"/>
      <c r="AF29" s="242"/>
      <c r="AG29" s="242"/>
      <c r="AH29" s="242"/>
      <c r="AI29" s="242"/>
      <c r="AJ29" s="242"/>
      <c r="AK29" s="242"/>
      <c r="AL29" s="242"/>
      <c r="AM29" s="242"/>
      <c r="AN29" s="242"/>
      <c r="AO29" s="242"/>
      <c r="AP29" s="242"/>
      <c r="AQ29" s="242"/>
      <c r="AR29" s="242"/>
      <c r="AS29" s="242"/>
      <c r="AT29" s="242"/>
      <c r="AU29" s="242"/>
      <c r="AV29" s="242"/>
      <c r="AW29" s="243"/>
      <c r="AX29" s="244"/>
      <c r="AY29" s="244"/>
      <c r="AZ29" s="244"/>
      <c r="BA29" s="244"/>
      <c r="BB29" s="244"/>
      <c r="BC29" s="245"/>
      <c r="BD29" s="246"/>
      <c r="BE29" s="244"/>
      <c r="BF29" s="244"/>
      <c r="BG29" s="244"/>
      <c r="BH29" s="244"/>
      <c r="BI29" s="244"/>
      <c r="BJ29" s="245"/>
      <c r="BK29" s="218"/>
    </row>
    <row r="30" spans="1:63" ht="15" customHeight="1" x14ac:dyDescent="0.25">
      <c r="A30" s="217"/>
      <c r="B30" s="199"/>
      <c r="C30" s="200"/>
      <c r="D30" s="200"/>
      <c r="E30" s="200"/>
      <c r="F30" s="200"/>
      <c r="G30" s="201"/>
      <c r="H30" s="199"/>
      <c r="I30" s="200"/>
      <c r="J30" s="200"/>
      <c r="K30" s="200"/>
      <c r="L30" s="200"/>
      <c r="M30" s="200"/>
      <c r="N30" s="201"/>
      <c r="O30" s="199"/>
      <c r="P30" s="200"/>
      <c r="Q30" s="200"/>
      <c r="R30" s="200"/>
      <c r="S30" s="247"/>
      <c r="T30" s="248"/>
      <c r="U30" s="248"/>
      <c r="V30" s="248"/>
      <c r="W30" s="248"/>
      <c r="X30" s="248"/>
      <c r="Y30" s="248"/>
      <c r="Z30" s="248"/>
      <c r="AA30" s="248"/>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9"/>
      <c r="AX30" s="250"/>
      <c r="AY30" s="250"/>
      <c r="AZ30" s="250"/>
      <c r="BA30" s="250"/>
      <c r="BB30" s="250"/>
      <c r="BC30" s="251"/>
      <c r="BD30" s="252"/>
      <c r="BE30" s="250"/>
      <c r="BF30" s="250"/>
      <c r="BG30" s="250"/>
      <c r="BH30" s="250"/>
      <c r="BI30" s="250"/>
      <c r="BJ30" s="251"/>
      <c r="BK30" s="218"/>
    </row>
    <row r="31" spans="1:63" ht="15" customHeight="1" x14ac:dyDescent="0.25">
      <c r="A31" s="217"/>
      <c r="B31" s="189"/>
      <c r="C31" s="187"/>
      <c r="D31" s="187"/>
      <c r="E31" s="187"/>
      <c r="F31" s="187"/>
      <c r="G31" s="188"/>
      <c r="H31" s="189"/>
      <c r="I31" s="187"/>
      <c r="J31" s="187"/>
      <c r="K31" s="187"/>
      <c r="L31" s="187"/>
      <c r="M31" s="187"/>
      <c r="N31" s="188"/>
      <c r="O31" s="189"/>
      <c r="P31" s="187"/>
      <c r="Q31" s="187"/>
      <c r="R31" s="187"/>
      <c r="S31" s="241"/>
      <c r="T31" s="242"/>
      <c r="U31" s="242"/>
      <c r="V31" s="242"/>
      <c r="W31" s="242"/>
      <c r="X31" s="242"/>
      <c r="Y31" s="242"/>
      <c r="Z31" s="242"/>
      <c r="AA31" s="242"/>
      <c r="AB31" s="242"/>
      <c r="AC31" s="242"/>
      <c r="AD31" s="242"/>
      <c r="AE31" s="242"/>
      <c r="AF31" s="242"/>
      <c r="AG31" s="242"/>
      <c r="AH31" s="242"/>
      <c r="AI31" s="242"/>
      <c r="AJ31" s="242"/>
      <c r="AK31" s="242"/>
      <c r="AL31" s="242"/>
      <c r="AM31" s="242"/>
      <c r="AN31" s="242"/>
      <c r="AO31" s="242"/>
      <c r="AP31" s="242"/>
      <c r="AQ31" s="242"/>
      <c r="AR31" s="242"/>
      <c r="AS31" s="242"/>
      <c r="AT31" s="242"/>
      <c r="AU31" s="242"/>
      <c r="AV31" s="242"/>
      <c r="AW31" s="243"/>
      <c r="AX31" s="244"/>
      <c r="AY31" s="244"/>
      <c r="AZ31" s="244"/>
      <c r="BA31" s="244"/>
      <c r="BB31" s="244"/>
      <c r="BC31" s="245"/>
      <c r="BD31" s="246"/>
      <c r="BE31" s="244"/>
      <c r="BF31" s="244"/>
      <c r="BG31" s="244"/>
      <c r="BH31" s="244"/>
      <c r="BI31" s="244"/>
      <c r="BJ31" s="245"/>
      <c r="BK31" s="218"/>
    </row>
    <row r="32" spans="1:63" ht="15" customHeight="1" x14ac:dyDescent="0.25">
      <c r="A32" s="217"/>
      <c r="B32" s="199"/>
      <c r="C32" s="200"/>
      <c r="D32" s="200"/>
      <c r="E32" s="200"/>
      <c r="F32" s="200"/>
      <c r="G32" s="201"/>
      <c r="H32" s="199"/>
      <c r="I32" s="200"/>
      <c r="J32" s="200"/>
      <c r="K32" s="200"/>
      <c r="L32" s="200"/>
      <c r="M32" s="200"/>
      <c r="N32" s="201"/>
      <c r="O32" s="199"/>
      <c r="P32" s="200"/>
      <c r="Q32" s="200"/>
      <c r="R32" s="200"/>
      <c r="S32" s="247"/>
      <c r="T32" s="248"/>
      <c r="U32" s="248"/>
      <c r="V32" s="248"/>
      <c r="W32" s="248"/>
      <c r="X32" s="248"/>
      <c r="Y32" s="248"/>
      <c r="Z32" s="248"/>
      <c r="AA32" s="248"/>
      <c r="AB32" s="248"/>
      <c r="AC32" s="248"/>
      <c r="AD32" s="248"/>
      <c r="AE32" s="248"/>
      <c r="AF32" s="248"/>
      <c r="AG32" s="248"/>
      <c r="AH32" s="248"/>
      <c r="AI32" s="248"/>
      <c r="AJ32" s="248"/>
      <c r="AK32" s="248"/>
      <c r="AL32" s="248"/>
      <c r="AM32" s="248"/>
      <c r="AN32" s="248"/>
      <c r="AO32" s="248"/>
      <c r="AP32" s="248"/>
      <c r="AQ32" s="248"/>
      <c r="AR32" s="248"/>
      <c r="AS32" s="248"/>
      <c r="AT32" s="248"/>
      <c r="AU32" s="248"/>
      <c r="AV32" s="248"/>
      <c r="AW32" s="249"/>
      <c r="AX32" s="250"/>
      <c r="AY32" s="250"/>
      <c r="AZ32" s="250"/>
      <c r="BA32" s="250"/>
      <c r="BB32" s="250"/>
      <c r="BC32" s="251"/>
      <c r="BD32" s="252"/>
      <c r="BE32" s="250"/>
      <c r="BF32" s="250"/>
      <c r="BG32" s="250"/>
      <c r="BH32" s="250"/>
      <c r="BI32" s="250"/>
      <c r="BJ32" s="251"/>
      <c r="BK32" s="218"/>
    </row>
    <row r="33" spans="1:63" ht="15" customHeight="1" x14ac:dyDescent="0.25">
      <c r="A33" s="217"/>
      <c r="B33" s="189"/>
      <c r="C33" s="187"/>
      <c r="D33" s="187"/>
      <c r="E33" s="187"/>
      <c r="F33" s="187"/>
      <c r="G33" s="188"/>
      <c r="H33" s="189"/>
      <c r="I33" s="187"/>
      <c r="J33" s="187"/>
      <c r="K33" s="187"/>
      <c r="L33" s="187"/>
      <c r="M33" s="187"/>
      <c r="N33" s="188"/>
      <c r="O33" s="189"/>
      <c r="P33" s="187"/>
      <c r="Q33" s="187"/>
      <c r="R33" s="187"/>
      <c r="S33" s="241"/>
      <c r="T33" s="242"/>
      <c r="U33" s="242"/>
      <c r="V33" s="242"/>
      <c r="W33" s="242"/>
      <c r="X33" s="242"/>
      <c r="Y33" s="242"/>
      <c r="Z33" s="242"/>
      <c r="AA33" s="242"/>
      <c r="AB33" s="242"/>
      <c r="AC33" s="242"/>
      <c r="AD33" s="242"/>
      <c r="AE33" s="242"/>
      <c r="AF33" s="242"/>
      <c r="AG33" s="242"/>
      <c r="AH33" s="242"/>
      <c r="AI33" s="242"/>
      <c r="AJ33" s="242"/>
      <c r="AK33" s="242"/>
      <c r="AL33" s="242"/>
      <c r="AM33" s="242"/>
      <c r="AN33" s="242"/>
      <c r="AO33" s="242"/>
      <c r="AP33" s="242"/>
      <c r="AQ33" s="242"/>
      <c r="AR33" s="242"/>
      <c r="AS33" s="242"/>
      <c r="AT33" s="242"/>
      <c r="AU33" s="242"/>
      <c r="AV33" s="242"/>
      <c r="AW33" s="243"/>
      <c r="AX33" s="244"/>
      <c r="AY33" s="244"/>
      <c r="AZ33" s="244"/>
      <c r="BA33" s="244"/>
      <c r="BB33" s="244"/>
      <c r="BC33" s="245"/>
      <c r="BD33" s="246"/>
      <c r="BE33" s="244"/>
      <c r="BF33" s="244"/>
      <c r="BG33" s="244"/>
      <c r="BH33" s="244"/>
      <c r="BI33" s="244"/>
      <c r="BJ33" s="245"/>
      <c r="BK33" s="218"/>
    </row>
    <row r="34" spans="1:63" ht="15" customHeight="1" x14ac:dyDescent="0.25">
      <c r="A34" s="217"/>
      <c r="B34" s="199"/>
      <c r="C34" s="200"/>
      <c r="D34" s="200"/>
      <c r="E34" s="200"/>
      <c r="F34" s="200"/>
      <c r="G34" s="201"/>
      <c r="H34" s="199"/>
      <c r="I34" s="200"/>
      <c r="J34" s="200"/>
      <c r="K34" s="200"/>
      <c r="L34" s="200"/>
      <c r="M34" s="200"/>
      <c r="N34" s="201"/>
      <c r="O34" s="199"/>
      <c r="P34" s="200"/>
      <c r="Q34" s="200"/>
      <c r="R34" s="200"/>
      <c r="S34" s="247"/>
      <c r="T34" s="248"/>
      <c r="U34" s="248"/>
      <c r="V34" s="248"/>
      <c r="W34" s="248"/>
      <c r="X34" s="248"/>
      <c r="Y34" s="248"/>
      <c r="Z34" s="248"/>
      <c r="AA34" s="248"/>
      <c r="AB34" s="248"/>
      <c r="AC34" s="248"/>
      <c r="AD34" s="248"/>
      <c r="AE34" s="248"/>
      <c r="AF34" s="248"/>
      <c r="AG34" s="248"/>
      <c r="AH34" s="248"/>
      <c r="AI34" s="248"/>
      <c r="AJ34" s="248"/>
      <c r="AK34" s="248"/>
      <c r="AL34" s="248"/>
      <c r="AM34" s="248"/>
      <c r="AN34" s="248"/>
      <c r="AO34" s="248"/>
      <c r="AP34" s="248"/>
      <c r="AQ34" s="248"/>
      <c r="AR34" s="248"/>
      <c r="AS34" s="248"/>
      <c r="AT34" s="248"/>
      <c r="AU34" s="248"/>
      <c r="AV34" s="248"/>
      <c r="AW34" s="249"/>
      <c r="AX34" s="250"/>
      <c r="AY34" s="250"/>
      <c r="AZ34" s="250"/>
      <c r="BA34" s="250"/>
      <c r="BB34" s="250"/>
      <c r="BC34" s="251"/>
      <c r="BD34" s="252"/>
      <c r="BE34" s="250"/>
      <c r="BF34" s="250"/>
      <c r="BG34" s="250"/>
      <c r="BH34" s="250"/>
      <c r="BI34" s="250"/>
      <c r="BJ34" s="251"/>
      <c r="BK34" s="218"/>
    </row>
    <row r="35" spans="1:63" ht="15" customHeight="1" x14ac:dyDescent="0.25">
      <c r="A35" s="217"/>
      <c r="B35" s="189"/>
      <c r="C35" s="187"/>
      <c r="D35" s="187"/>
      <c r="E35" s="187"/>
      <c r="F35" s="187"/>
      <c r="G35" s="188"/>
      <c r="H35" s="189"/>
      <c r="I35" s="187"/>
      <c r="J35" s="187"/>
      <c r="K35" s="187"/>
      <c r="L35" s="187"/>
      <c r="M35" s="187"/>
      <c r="N35" s="188"/>
      <c r="O35" s="189"/>
      <c r="P35" s="187"/>
      <c r="Q35" s="187"/>
      <c r="R35" s="187"/>
      <c r="S35" s="241"/>
      <c r="T35" s="242"/>
      <c r="U35" s="242"/>
      <c r="V35" s="242"/>
      <c r="W35" s="242"/>
      <c r="X35" s="242"/>
      <c r="Y35" s="242"/>
      <c r="Z35" s="242"/>
      <c r="AA35" s="242"/>
      <c r="AB35" s="242"/>
      <c r="AC35" s="242"/>
      <c r="AD35" s="242"/>
      <c r="AE35" s="242"/>
      <c r="AF35" s="242"/>
      <c r="AG35" s="242"/>
      <c r="AH35" s="242"/>
      <c r="AI35" s="242"/>
      <c r="AJ35" s="242"/>
      <c r="AK35" s="242"/>
      <c r="AL35" s="242"/>
      <c r="AM35" s="242"/>
      <c r="AN35" s="242"/>
      <c r="AO35" s="242"/>
      <c r="AP35" s="242"/>
      <c r="AQ35" s="242"/>
      <c r="AR35" s="242"/>
      <c r="AS35" s="242"/>
      <c r="AT35" s="242"/>
      <c r="AU35" s="242"/>
      <c r="AV35" s="242"/>
      <c r="AW35" s="243"/>
      <c r="AX35" s="244"/>
      <c r="AY35" s="244"/>
      <c r="AZ35" s="244"/>
      <c r="BA35" s="244"/>
      <c r="BB35" s="244"/>
      <c r="BC35" s="245"/>
      <c r="BD35" s="246"/>
      <c r="BE35" s="244"/>
      <c r="BF35" s="244"/>
      <c r="BG35" s="244"/>
      <c r="BH35" s="244"/>
      <c r="BI35" s="244"/>
      <c r="BJ35" s="245"/>
      <c r="BK35" s="218"/>
    </row>
    <row r="36" spans="1:63" ht="15" customHeight="1" x14ac:dyDescent="0.25">
      <c r="A36" s="217"/>
      <c r="B36" s="199"/>
      <c r="C36" s="200"/>
      <c r="D36" s="200"/>
      <c r="E36" s="200"/>
      <c r="F36" s="200"/>
      <c r="G36" s="201"/>
      <c r="H36" s="199"/>
      <c r="I36" s="200"/>
      <c r="J36" s="200"/>
      <c r="K36" s="200"/>
      <c r="L36" s="200"/>
      <c r="M36" s="200"/>
      <c r="N36" s="201"/>
      <c r="O36" s="199"/>
      <c r="P36" s="200"/>
      <c r="Q36" s="200"/>
      <c r="R36" s="200"/>
      <c r="S36" s="247"/>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9"/>
      <c r="AX36" s="250"/>
      <c r="AY36" s="250"/>
      <c r="AZ36" s="250"/>
      <c r="BA36" s="250"/>
      <c r="BB36" s="250"/>
      <c r="BC36" s="251"/>
      <c r="BD36" s="252"/>
      <c r="BE36" s="250"/>
      <c r="BF36" s="250"/>
      <c r="BG36" s="250"/>
      <c r="BH36" s="250"/>
      <c r="BI36" s="250"/>
      <c r="BJ36" s="251"/>
      <c r="BK36" s="218"/>
    </row>
    <row r="37" spans="1:63" ht="15" customHeight="1" x14ac:dyDescent="0.25">
      <c r="A37" s="217"/>
      <c r="B37" s="189"/>
      <c r="C37" s="187"/>
      <c r="D37" s="187"/>
      <c r="E37" s="187"/>
      <c r="F37" s="187"/>
      <c r="G37" s="188"/>
      <c r="H37" s="189"/>
      <c r="I37" s="187"/>
      <c r="J37" s="187"/>
      <c r="K37" s="187"/>
      <c r="L37" s="187"/>
      <c r="M37" s="187"/>
      <c r="N37" s="188"/>
      <c r="O37" s="189"/>
      <c r="P37" s="187"/>
      <c r="Q37" s="187"/>
      <c r="R37" s="187"/>
      <c r="S37" s="241"/>
      <c r="T37" s="242"/>
      <c r="U37" s="242"/>
      <c r="V37" s="242"/>
      <c r="W37" s="242"/>
      <c r="X37" s="242"/>
      <c r="Y37" s="242"/>
      <c r="Z37" s="242"/>
      <c r="AA37" s="242"/>
      <c r="AB37" s="242"/>
      <c r="AC37" s="242"/>
      <c r="AD37" s="242"/>
      <c r="AE37" s="242"/>
      <c r="AF37" s="242"/>
      <c r="AG37" s="242"/>
      <c r="AH37" s="242"/>
      <c r="AI37" s="242"/>
      <c r="AJ37" s="242"/>
      <c r="AK37" s="242"/>
      <c r="AL37" s="242"/>
      <c r="AM37" s="242"/>
      <c r="AN37" s="242"/>
      <c r="AO37" s="242"/>
      <c r="AP37" s="242"/>
      <c r="AQ37" s="242"/>
      <c r="AR37" s="242"/>
      <c r="AS37" s="242"/>
      <c r="AT37" s="242"/>
      <c r="AU37" s="242"/>
      <c r="AV37" s="242"/>
      <c r="AW37" s="243"/>
      <c r="AX37" s="244"/>
      <c r="AY37" s="244"/>
      <c r="AZ37" s="244"/>
      <c r="BA37" s="244"/>
      <c r="BB37" s="244"/>
      <c r="BC37" s="245"/>
      <c r="BD37" s="246"/>
      <c r="BE37" s="244"/>
      <c r="BF37" s="244"/>
      <c r="BG37" s="244"/>
      <c r="BH37" s="244"/>
      <c r="BI37" s="244"/>
      <c r="BJ37" s="245"/>
      <c r="BK37" s="218"/>
    </row>
    <row r="38" spans="1:63" ht="15" customHeight="1" x14ac:dyDescent="0.25">
      <c r="A38" s="217"/>
      <c r="B38" s="199"/>
      <c r="C38" s="200"/>
      <c r="D38" s="200"/>
      <c r="E38" s="200"/>
      <c r="F38" s="200"/>
      <c r="G38" s="201"/>
      <c r="H38" s="199"/>
      <c r="I38" s="200"/>
      <c r="J38" s="200"/>
      <c r="K38" s="200"/>
      <c r="L38" s="200"/>
      <c r="M38" s="200"/>
      <c r="N38" s="201"/>
      <c r="O38" s="199"/>
      <c r="P38" s="200"/>
      <c r="Q38" s="200"/>
      <c r="R38" s="200"/>
      <c r="S38" s="247"/>
      <c r="T38" s="248"/>
      <c r="U38" s="248"/>
      <c r="V38" s="248"/>
      <c r="W38" s="248"/>
      <c r="X38" s="248"/>
      <c r="Y38" s="248"/>
      <c r="Z38" s="248"/>
      <c r="AA38" s="248"/>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9"/>
      <c r="AX38" s="250"/>
      <c r="AY38" s="250"/>
      <c r="AZ38" s="250"/>
      <c r="BA38" s="250"/>
      <c r="BB38" s="250"/>
      <c r="BC38" s="251"/>
      <c r="BD38" s="252"/>
      <c r="BE38" s="250"/>
      <c r="BF38" s="250"/>
      <c r="BG38" s="250"/>
      <c r="BH38" s="250"/>
      <c r="BI38" s="250"/>
      <c r="BJ38" s="251"/>
      <c r="BK38" s="218"/>
    </row>
    <row r="39" spans="1:63" ht="15" customHeight="1" x14ac:dyDescent="0.25">
      <c r="A39" s="217"/>
      <c r="B39" s="189"/>
      <c r="C39" s="187"/>
      <c r="D39" s="187"/>
      <c r="E39" s="187"/>
      <c r="F39" s="187"/>
      <c r="G39" s="188"/>
      <c r="H39" s="189"/>
      <c r="I39" s="187"/>
      <c r="J39" s="187"/>
      <c r="K39" s="187"/>
      <c r="L39" s="187"/>
      <c r="M39" s="187"/>
      <c r="N39" s="188"/>
      <c r="O39" s="189"/>
      <c r="P39" s="187"/>
      <c r="Q39" s="187"/>
      <c r="R39" s="187"/>
      <c r="S39" s="241"/>
      <c r="T39" s="242"/>
      <c r="U39" s="242"/>
      <c r="V39" s="242"/>
      <c r="W39" s="242"/>
      <c r="X39" s="242"/>
      <c r="Y39" s="242"/>
      <c r="Z39" s="242"/>
      <c r="AA39" s="242"/>
      <c r="AB39" s="242"/>
      <c r="AC39" s="242"/>
      <c r="AD39" s="242"/>
      <c r="AE39" s="242"/>
      <c r="AF39" s="242"/>
      <c r="AG39" s="242"/>
      <c r="AH39" s="242"/>
      <c r="AI39" s="242"/>
      <c r="AJ39" s="242"/>
      <c r="AK39" s="242"/>
      <c r="AL39" s="242"/>
      <c r="AM39" s="242"/>
      <c r="AN39" s="242"/>
      <c r="AO39" s="242"/>
      <c r="AP39" s="242"/>
      <c r="AQ39" s="242"/>
      <c r="AR39" s="242"/>
      <c r="AS39" s="242"/>
      <c r="AT39" s="242"/>
      <c r="AU39" s="242"/>
      <c r="AV39" s="242"/>
      <c r="AW39" s="243"/>
      <c r="AX39" s="244"/>
      <c r="AY39" s="244"/>
      <c r="AZ39" s="244"/>
      <c r="BA39" s="244"/>
      <c r="BB39" s="244"/>
      <c r="BC39" s="245"/>
      <c r="BD39" s="246"/>
      <c r="BE39" s="244"/>
      <c r="BF39" s="244"/>
      <c r="BG39" s="244"/>
      <c r="BH39" s="244"/>
      <c r="BI39" s="244"/>
      <c r="BJ39" s="245"/>
      <c r="BK39" s="218"/>
    </row>
    <row r="40" spans="1:63" ht="15" customHeight="1" x14ac:dyDescent="0.25">
      <c r="A40" s="217"/>
      <c r="B40" s="199"/>
      <c r="C40" s="200"/>
      <c r="D40" s="200"/>
      <c r="E40" s="200"/>
      <c r="F40" s="200"/>
      <c r="G40" s="201"/>
      <c r="H40" s="199"/>
      <c r="I40" s="200"/>
      <c r="J40" s="200"/>
      <c r="K40" s="200"/>
      <c r="L40" s="200"/>
      <c r="M40" s="200"/>
      <c r="N40" s="201"/>
      <c r="O40" s="199"/>
      <c r="P40" s="200"/>
      <c r="Q40" s="200"/>
      <c r="R40" s="200"/>
      <c r="S40" s="247"/>
      <c r="T40" s="248"/>
      <c r="U40" s="248"/>
      <c r="V40" s="248"/>
      <c r="W40" s="248"/>
      <c r="X40" s="248"/>
      <c r="Y40" s="248"/>
      <c r="Z40" s="248"/>
      <c r="AA40" s="248"/>
      <c r="AB40" s="248"/>
      <c r="AC40" s="248"/>
      <c r="AD40" s="248"/>
      <c r="AE40" s="248"/>
      <c r="AF40" s="248"/>
      <c r="AG40" s="248"/>
      <c r="AH40" s="248"/>
      <c r="AI40" s="248"/>
      <c r="AJ40" s="248"/>
      <c r="AK40" s="248"/>
      <c r="AL40" s="248"/>
      <c r="AM40" s="248"/>
      <c r="AN40" s="248"/>
      <c r="AO40" s="248"/>
      <c r="AP40" s="248"/>
      <c r="AQ40" s="248"/>
      <c r="AR40" s="248"/>
      <c r="AS40" s="248"/>
      <c r="AT40" s="248"/>
      <c r="AU40" s="248"/>
      <c r="AV40" s="248"/>
      <c r="AW40" s="249"/>
      <c r="AX40" s="250"/>
      <c r="AY40" s="250"/>
      <c r="AZ40" s="250"/>
      <c r="BA40" s="250"/>
      <c r="BB40" s="250"/>
      <c r="BC40" s="251"/>
      <c r="BD40" s="252"/>
      <c r="BE40" s="250"/>
      <c r="BF40" s="250"/>
      <c r="BG40" s="250"/>
      <c r="BH40" s="250"/>
      <c r="BI40" s="250"/>
      <c r="BJ40" s="251"/>
      <c r="BK40" s="218"/>
    </row>
    <row r="41" spans="1:63" ht="15" customHeight="1" x14ac:dyDescent="0.25">
      <c r="A41" s="217"/>
      <c r="B41" s="189"/>
      <c r="C41" s="187"/>
      <c r="D41" s="187"/>
      <c r="E41" s="187"/>
      <c r="F41" s="187"/>
      <c r="G41" s="188"/>
      <c r="H41" s="189"/>
      <c r="I41" s="187"/>
      <c r="J41" s="187"/>
      <c r="K41" s="187"/>
      <c r="L41" s="187"/>
      <c r="M41" s="187"/>
      <c r="N41" s="188"/>
      <c r="O41" s="189"/>
      <c r="P41" s="187"/>
      <c r="Q41" s="187"/>
      <c r="R41" s="187"/>
      <c r="S41" s="241"/>
      <c r="T41" s="242"/>
      <c r="U41" s="242"/>
      <c r="V41" s="242"/>
      <c r="W41" s="242"/>
      <c r="X41" s="242"/>
      <c r="Y41" s="242"/>
      <c r="Z41" s="242"/>
      <c r="AA41" s="242"/>
      <c r="AB41" s="242"/>
      <c r="AC41" s="242"/>
      <c r="AD41" s="242"/>
      <c r="AE41" s="242"/>
      <c r="AF41" s="242"/>
      <c r="AG41" s="242"/>
      <c r="AH41" s="242"/>
      <c r="AI41" s="242"/>
      <c r="AJ41" s="242"/>
      <c r="AK41" s="242"/>
      <c r="AL41" s="242"/>
      <c r="AM41" s="242"/>
      <c r="AN41" s="242"/>
      <c r="AO41" s="242"/>
      <c r="AP41" s="242"/>
      <c r="AQ41" s="242"/>
      <c r="AR41" s="242"/>
      <c r="AS41" s="242"/>
      <c r="AT41" s="242"/>
      <c r="AU41" s="242"/>
      <c r="AV41" s="242"/>
      <c r="AW41" s="243"/>
      <c r="AX41" s="244"/>
      <c r="AY41" s="244"/>
      <c r="AZ41" s="244"/>
      <c r="BA41" s="244"/>
      <c r="BB41" s="244"/>
      <c r="BC41" s="245"/>
      <c r="BD41" s="246"/>
      <c r="BE41" s="244"/>
      <c r="BF41" s="244"/>
      <c r="BG41" s="244"/>
      <c r="BH41" s="244"/>
      <c r="BI41" s="244"/>
      <c r="BJ41" s="245"/>
      <c r="BK41" s="218"/>
    </row>
    <row r="42" spans="1:63" ht="15" customHeight="1" x14ac:dyDescent="0.25">
      <c r="A42" s="217"/>
      <c r="B42" s="199"/>
      <c r="C42" s="200"/>
      <c r="D42" s="200"/>
      <c r="E42" s="200"/>
      <c r="F42" s="200"/>
      <c r="G42" s="201"/>
      <c r="H42" s="199"/>
      <c r="I42" s="200"/>
      <c r="J42" s="200"/>
      <c r="K42" s="200"/>
      <c r="L42" s="200"/>
      <c r="M42" s="200"/>
      <c r="N42" s="201"/>
      <c r="O42" s="199"/>
      <c r="P42" s="200"/>
      <c r="Q42" s="200"/>
      <c r="R42" s="200"/>
      <c r="S42" s="247"/>
      <c r="T42" s="248"/>
      <c r="U42" s="248"/>
      <c r="V42" s="248"/>
      <c r="W42" s="248"/>
      <c r="X42" s="248"/>
      <c r="Y42" s="248"/>
      <c r="Z42" s="248"/>
      <c r="AA42" s="248"/>
      <c r="AB42" s="248"/>
      <c r="AC42" s="248"/>
      <c r="AD42" s="248"/>
      <c r="AE42" s="248"/>
      <c r="AF42" s="248"/>
      <c r="AG42" s="248"/>
      <c r="AH42" s="248"/>
      <c r="AI42" s="248"/>
      <c r="AJ42" s="248"/>
      <c r="AK42" s="248"/>
      <c r="AL42" s="248"/>
      <c r="AM42" s="248"/>
      <c r="AN42" s="248"/>
      <c r="AO42" s="248"/>
      <c r="AP42" s="248"/>
      <c r="AQ42" s="248"/>
      <c r="AR42" s="248"/>
      <c r="AS42" s="248"/>
      <c r="AT42" s="248"/>
      <c r="AU42" s="248"/>
      <c r="AV42" s="248"/>
      <c r="AW42" s="249"/>
      <c r="AX42" s="250"/>
      <c r="AY42" s="250"/>
      <c r="AZ42" s="250"/>
      <c r="BA42" s="250"/>
      <c r="BB42" s="250"/>
      <c r="BC42" s="251"/>
      <c r="BD42" s="252"/>
      <c r="BE42" s="250"/>
      <c r="BF42" s="250"/>
      <c r="BG42" s="250"/>
      <c r="BH42" s="250"/>
      <c r="BI42" s="250"/>
      <c r="BJ42" s="251"/>
      <c r="BK42" s="218"/>
    </row>
    <row r="43" spans="1:63" ht="15" customHeight="1" x14ac:dyDescent="0.25">
      <c r="A43" s="217"/>
      <c r="B43" s="189"/>
      <c r="C43" s="187"/>
      <c r="D43" s="187"/>
      <c r="E43" s="187"/>
      <c r="F43" s="187"/>
      <c r="G43" s="188"/>
      <c r="H43" s="189"/>
      <c r="I43" s="187"/>
      <c r="J43" s="187"/>
      <c r="K43" s="187"/>
      <c r="L43" s="187"/>
      <c r="M43" s="187"/>
      <c r="N43" s="188"/>
      <c r="O43" s="189"/>
      <c r="P43" s="187"/>
      <c r="Q43" s="187"/>
      <c r="R43" s="187"/>
      <c r="S43" s="241"/>
      <c r="T43" s="242"/>
      <c r="U43" s="242"/>
      <c r="V43" s="242"/>
      <c r="W43" s="242"/>
      <c r="X43" s="242"/>
      <c r="Y43" s="242"/>
      <c r="Z43" s="242"/>
      <c r="AA43" s="242"/>
      <c r="AB43" s="242"/>
      <c r="AC43" s="242"/>
      <c r="AD43" s="242"/>
      <c r="AE43" s="242"/>
      <c r="AF43" s="242"/>
      <c r="AG43" s="242"/>
      <c r="AH43" s="242"/>
      <c r="AI43" s="242"/>
      <c r="AJ43" s="242"/>
      <c r="AK43" s="242"/>
      <c r="AL43" s="242"/>
      <c r="AM43" s="242"/>
      <c r="AN43" s="242"/>
      <c r="AO43" s="242"/>
      <c r="AP43" s="242"/>
      <c r="AQ43" s="242"/>
      <c r="AR43" s="242"/>
      <c r="AS43" s="242"/>
      <c r="AT43" s="242"/>
      <c r="AU43" s="242"/>
      <c r="AV43" s="242"/>
      <c r="AW43" s="243"/>
      <c r="AX43" s="244"/>
      <c r="AY43" s="244"/>
      <c r="AZ43" s="244"/>
      <c r="BA43" s="244"/>
      <c r="BB43" s="244"/>
      <c r="BC43" s="245"/>
      <c r="BD43" s="246"/>
      <c r="BE43" s="244"/>
      <c r="BF43" s="244"/>
      <c r="BG43" s="244"/>
      <c r="BH43" s="244"/>
      <c r="BI43" s="244"/>
      <c r="BJ43" s="245"/>
      <c r="BK43" s="218"/>
    </row>
    <row r="44" spans="1:63" ht="15" customHeight="1" x14ac:dyDescent="0.25">
      <c r="A44" s="217"/>
      <c r="B44" s="199"/>
      <c r="C44" s="200"/>
      <c r="D44" s="200"/>
      <c r="E44" s="200"/>
      <c r="F44" s="200"/>
      <c r="G44" s="201"/>
      <c r="H44" s="199"/>
      <c r="I44" s="200"/>
      <c r="J44" s="200"/>
      <c r="K44" s="200"/>
      <c r="L44" s="200"/>
      <c r="M44" s="200"/>
      <c r="N44" s="201"/>
      <c r="O44" s="199"/>
      <c r="P44" s="200"/>
      <c r="Q44" s="200"/>
      <c r="R44" s="200"/>
      <c r="S44" s="247"/>
      <c r="T44" s="248"/>
      <c r="U44" s="248"/>
      <c r="V44" s="248"/>
      <c r="W44" s="248"/>
      <c r="X44" s="248"/>
      <c r="Y44" s="248"/>
      <c r="Z44" s="248"/>
      <c r="AA44" s="248"/>
      <c r="AB44" s="248"/>
      <c r="AC44" s="248"/>
      <c r="AD44" s="248"/>
      <c r="AE44" s="248"/>
      <c r="AF44" s="248"/>
      <c r="AG44" s="248"/>
      <c r="AH44" s="248"/>
      <c r="AI44" s="248"/>
      <c r="AJ44" s="248"/>
      <c r="AK44" s="248"/>
      <c r="AL44" s="248"/>
      <c r="AM44" s="248"/>
      <c r="AN44" s="248"/>
      <c r="AO44" s="248"/>
      <c r="AP44" s="248"/>
      <c r="AQ44" s="248"/>
      <c r="AR44" s="248"/>
      <c r="AS44" s="248"/>
      <c r="AT44" s="248"/>
      <c r="AU44" s="248"/>
      <c r="AV44" s="248"/>
      <c r="AW44" s="249"/>
      <c r="AX44" s="250"/>
      <c r="AY44" s="250"/>
      <c r="AZ44" s="250"/>
      <c r="BA44" s="250"/>
      <c r="BB44" s="250"/>
      <c r="BC44" s="251"/>
      <c r="BD44" s="252"/>
      <c r="BE44" s="250"/>
      <c r="BF44" s="250"/>
      <c r="BG44" s="250"/>
      <c r="BH44" s="250"/>
      <c r="BI44" s="250"/>
      <c r="BJ44" s="251"/>
      <c r="BK44" s="218"/>
    </row>
    <row r="45" spans="1:63" ht="15" customHeight="1" x14ac:dyDescent="0.25">
      <c r="A45" s="217"/>
      <c r="B45" s="189"/>
      <c r="C45" s="187"/>
      <c r="D45" s="187"/>
      <c r="E45" s="187"/>
      <c r="F45" s="187"/>
      <c r="G45" s="188"/>
      <c r="H45" s="189"/>
      <c r="I45" s="187"/>
      <c r="J45" s="187"/>
      <c r="K45" s="187"/>
      <c r="L45" s="187"/>
      <c r="M45" s="187"/>
      <c r="N45" s="188"/>
      <c r="O45" s="189"/>
      <c r="P45" s="187"/>
      <c r="Q45" s="187"/>
      <c r="R45" s="187"/>
      <c r="S45" s="241"/>
      <c r="T45" s="242"/>
      <c r="U45" s="242"/>
      <c r="V45" s="242"/>
      <c r="W45" s="242"/>
      <c r="X45" s="242"/>
      <c r="Y45" s="242"/>
      <c r="Z45" s="242"/>
      <c r="AA45" s="242"/>
      <c r="AB45" s="242"/>
      <c r="AC45" s="242"/>
      <c r="AD45" s="242"/>
      <c r="AE45" s="242"/>
      <c r="AF45" s="242"/>
      <c r="AG45" s="242"/>
      <c r="AH45" s="242"/>
      <c r="AI45" s="242"/>
      <c r="AJ45" s="242"/>
      <c r="AK45" s="242"/>
      <c r="AL45" s="242"/>
      <c r="AM45" s="242"/>
      <c r="AN45" s="242"/>
      <c r="AO45" s="242"/>
      <c r="AP45" s="242"/>
      <c r="AQ45" s="242"/>
      <c r="AR45" s="242"/>
      <c r="AS45" s="242"/>
      <c r="AT45" s="242"/>
      <c r="AU45" s="242"/>
      <c r="AV45" s="242"/>
      <c r="AW45" s="243"/>
      <c r="AX45" s="244"/>
      <c r="AY45" s="244"/>
      <c r="AZ45" s="244"/>
      <c r="BA45" s="244"/>
      <c r="BB45" s="244"/>
      <c r="BC45" s="245"/>
      <c r="BD45" s="246"/>
      <c r="BE45" s="244"/>
      <c r="BF45" s="244"/>
      <c r="BG45" s="244"/>
      <c r="BH45" s="244"/>
      <c r="BI45" s="244"/>
      <c r="BJ45" s="245"/>
      <c r="BK45" s="218"/>
    </row>
    <row r="46" spans="1:63" ht="15" customHeight="1" x14ac:dyDescent="0.25">
      <c r="A46" s="217"/>
      <c r="B46" s="199"/>
      <c r="C46" s="200"/>
      <c r="D46" s="200"/>
      <c r="E46" s="200"/>
      <c r="F46" s="200"/>
      <c r="G46" s="201"/>
      <c r="H46" s="199"/>
      <c r="I46" s="200"/>
      <c r="J46" s="200"/>
      <c r="K46" s="200"/>
      <c r="L46" s="200"/>
      <c r="M46" s="200"/>
      <c r="N46" s="201"/>
      <c r="O46" s="199"/>
      <c r="P46" s="200"/>
      <c r="Q46" s="200"/>
      <c r="R46" s="200"/>
      <c r="S46" s="247"/>
      <c r="T46" s="248"/>
      <c r="U46" s="248"/>
      <c r="V46" s="248"/>
      <c r="W46" s="248"/>
      <c r="X46" s="248"/>
      <c r="Y46" s="248"/>
      <c r="Z46" s="248"/>
      <c r="AA46" s="248"/>
      <c r="AB46" s="248"/>
      <c r="AC46" s="248"/>
      <c r="AD46" s="248"/>
      <c r="AE46" s="248"/>
      <c r="AF46" s="248"/>
      <c r="AG46" s="248"/>
      <c r="AH46" s="248"/>
      <c r="AI46" s="248"/>
      <c r="AJ46" s="248"/>
      <c r="AK46" s="248"/>
      <c r="AL46" s="248"/>
      <c r="AM46" s="248"/>
      <c r="AN46" s="248"/>
      <c r="AO46" s="248"/>
      <c r="AP46" s="248"/>
      <c r="AQ46" s="248"/>
      <c r="AR46" s="248"/>
      <c r="AS46" s="248"/>
      <c r="AT46" s="248"/>
      <c r="AU46" s="248"/>
      <c r="AV46" s="248"/>
      <c r="AW46" s="249"/>
      <c r="AX46" s="250"/>
      <c r="AY46" s="250"/>
      <c r="AZ46" s="250"/>
      <c r="BA46" s="250"/>
      <c r="BB46" s="250"/>
      <c r="BC46" s="251"/>
      <c r="BD46" s="252"/>
      <c r="BE46" s="250"/>
      <c r="BF46" s="250"/>
      <c r="BG46" s="250"/>
      <c r="BH46" s="250"/>
      <c r="BI46" s="250"/>
      <c r="BJ46" s="251"/>
      <c r="BK46" s="218"/>
    </row>
    <row r="47" spans="1:63" ht="15" customHeight="1" x14ac:dyDescent="0.25">
      <c r="A47" s="217"/>
      <c r="B47" s="189"/>
      <c r="C47" s="187"/>
      <c r="D47" s="187"/>
      <c r="E47" s="187"/>
      <c r="F47" s="187"/>
      <c r="G47" s="188"/>
      <c r="H47" s="189"/>
      <c r="I47" s="187"/>
      <c r="J47" s="187"/>
      <c r="K47" s="187"/>
      <c r="L47" s="187"/>
      <c r="M47" s="187"/>
      <c r="N47" s="188"/>
      <c r="O47" s="189"/>
      <c r="P47" s="187"/>
      <c r="Q47" s="187"/>
      <c r="R47" s="187"/>
      <c r="S47" s="241"/>
      <c r="T47" s="242"/>
      <c r="U47" s="242"/>
      <c r="V47" s="242"/>
      <c r="W47" s="242"/>
      <c r="X47" s="242"/>
      <c r="Y47" s="242"/>
      <c r="Z47" s="242"/>
      <c r="AA47" s="242"/>
      <c r="AB47" s="242"/>
      <c r="AC47" s="242"/>
      <c r="AD47" s="242"/>
      <c r="AE47" s="242"/>
      <c r="AF47" s="242"/>
      <c r="AG47" s="242"/>
      <c r="AH47" s="242"/>
      <c r="AI47" s="242"/>
      <c r="AJ47" s="242"/>
      <c r="AK47" s="242"/>
      <c r="AL47" s="242"/>
      <c r="AM47" s="242"/>
      <c r="AN47" s="242"/>
      <c r="AO47" s="242"/>
      <c r="AP47" s="242"/>
      <c r="AQ47" s="242"/>
      <c r="AR47" s="242"/>
      <c r="AS47" s="242"/>
      <c r="AT47" s="242"/>
      <c r="AU47" s="242"/>
      <c r="AV47" s="242"/>
      <c r="AW47" s="243"/>
      <c r="AX47" s="244"/>
      <c r="AY47" s="244"/>
      <c r="AZ47" s="244"/>
      <c r="BA47" s="244"/>
      <c r="BB47" s="244"/>
      <c r="BC47" s="245"/>
      <c r="BD47" s="246"/>
      <c r="BE47" s="244"/>
      <c r="BF47" s="244"/>
      <c r="BG47" s="244"/>
      <c r="BH47" s="244"/>
      <c r="BI47" s="244"/>
      <c r="BJ47" s="245"/>
      <c r="BK47" s="218"/>
    </row>
    <row r="48" spans="1:63" ht="15" customHeight="1" x14ac:dyDescent="0.25">
      <c r="A48" s="217"/>
      <c r="B48" s="199"/>
      <c r="C48" s="200"/>
      <c r="D48" s="200"/>
      <c r="E48" s="200"/>
      <c r="F48" s="200"/>
      <c r="G48" s="201"/>
      <c r="H48" s="199"/>
      <c r="I48" s="200"/>
      <c r="J48" s="200"/>
      <c r="K48" s="200"/>
      <c r="L48" s="200"/>
      <c r="M48" s="200"/>
      <c r="N48" s="201"/>
      <c r="O48" s="199"/>
      <c r="P48" s="200"/>
      <c r="Q48" s="200"/>
      <c r="R48" s="200"/>
      <c r="S48" s="247"/>
      <c r="T48" s="248"/>
      <c r="U48" s="248"/>
      <c r="V48" s="248"/>
      <c r="W48" s="248"/>
      <c r="X48" s="248"/>
      <c r="Y48" s="248"/>
      <c r="Z48" s="248"/>
      <c r="AA48" s="248"/>
      <c r="AB48" s="248"/>
      <c r="AC48" s="248"/>
      <c r="AD48" s="248"/>
      <c r="AE48" s="248"/>
      <c r="AF48" s="248"/>
      <c r="AG48" s="248"/>
      <c r="AH48" s="248"/>
      <c r="AI48" s="248"/>
      <c r="AJ48" s="248"/>
      <c r="AK48" s="248"/>
      <c r="AL48" s="248"/>
      <c r="AM48" s="248"/>
      <c r="AN48" s="248"/>
      <c r="AO48" s="248"/>
      <c r="AP48" s="248"/>
      <c r="AQ48" s="248"/>
      <c r="AR48" s="248"/>
      <c r="AS48" s="248"/>
      <c r="AT48" s="248"/>
      <c r="AU48" s="248"/>
      <c r="AV48" s="248"/>
      <c r="AW48" s="249"/>
      <c r="AX48" s="250"/>
      <c r="AY48" s="250"/>
      <c r="AZ48" s="250"/>
      <c r="BA48" s="250"/>
      <c r="BB48" s="250"/>
      <c r="BC48" s="251"/>
      <c r="BD48" s="252"/>
      <c r="BE48" s="250"/>
      <c r="BF48" s="250"/>
      <c r="BG48" s="250"/>
      <c r="BH48" s="250"/>
      <c r="BI48" s="250"/>
      <c r="BJ48" s="251"/>
      <c r="BK48" s="218"/>
    </row>
    <row r="49" spans="1:63" ht="15" customHeight="1" x14ac:dyDescent="0.25">
      <c r="A49" s="217"/>
      <c r="B49" s="189"/>
      <c r="C49" s="187"/>
      <c r="D49" s="187"/>
      <c r="E49" s="187"/>
      <c r="F49" s="187"/>
      <c r="G49" s="188"/>
      <c r="H49" s="189"/>
      <c r="I49" s="187"/>
      <c r="J49" s="187"/>
      <c r="K49" s="187"/>
      <c r="L49" s="187"/>
      <c r="M49" s="187"/>
      <c r="N49" s="188"/>
      <c r="O49" s="189"/>
      <c r="P49" s="187"/>
      <c r="Q49" s="187"/>
      <c r="R49" s="187"/>
      <c r="S49" s="241"/>
      <c r="T49" s="242"/>
      <c r="U49" s="242"/>
      <c r="V49" s="242"/>
      <c r="W49" s="242"/>
      <c r="X49" s="242"/>
      <c r="Y49" s="242"/>
      <c r="Z49" s="242"/>
      <c r="AA49" s="242"/>
      <c r="AB49" s="242"/>
      <c r="AC49" s="242"/>
      <c r="AD49" s="242"/>
      <c r="AE49" s="242"/>
      <c r="AF49" s="242"/>
      <c r="AG49" s="242"/>
      <c r="AH49" s="242"/>
      <c r="AI49" s="242"/>
      <c r="AJ49" s="242"/>
      <c r="AK49" s="242"/>
      <c r="AL49" s="242"/>
      <c r="AM49" s="242"/>
      <c r="AN49" s="242"/>
      <c r="AO49" s="242"/>
      <c r="AP49" s="242"/>
      <c r="AQ49" s="242"/>
      <c r="AR49" s="242"/>
      <c r="AS49" s="242"/>
      <c r="AT49" s="242"/>
      <c r="AU49" s="242"/>
      <c r="AV49" s="242"/>
      <c r="AW49" s="243"/>
      <c r="AX49" s="244"/>
      <c r="AY49" s="244"/>
      <c r="AZ49" s="244"/>
      <c r="BA49" s="244"/>
      <c r="BB49" s="244"/>
      <c r="BC49" s="245"/>
      <c r="BD49" s="246"/>
      <c r="BE49" s="244"/>
      <c r="BF49" s="244"/>
      <c r="BG49" s="244"/>
      <c r="BH49" s="244"/>
      <c r="BI49" s="244"/>
      <c r="BJ49" s="245"/>
      <c r="BK49" s="218"/>
    </row>
    <row r="50" spans="1:63" ht="15" customHeight="1" x14ac:dyDescent="0.25">
      <c r="A50" s="217"/>
      <c r="B50" s="199"/>
      <c r="C50" s="200"/>
      <c r="D50" s="200"/>
      <c r="E50" s="200"/>
      <c r="F50" s="200"/>
      <c r="G50" s="201"/>
      <c r="H50" s="199"/>
      <c r="I50" s="200"/>
      <c r="J50" s="200"/>
      <c r="K50" s="200"/>
      <c r="L50" s="200"/>
      <c r="M50" s="200"/>
      <c r="N50" s="201"/>
      <c r="O50" s="199"/>
      <c r="P50" s="200"/>
      <c r="Q50" s="200"/>
      <c r="R50" s="200"/>
      <c r="S50" s="247"/>
      <c r="T50" s="248"/>
      <c r="U50" s="248"/>
      <c r="V50" s="248"/>
      <c r="W50" s="248"/>
      <c r="X50" s="248"/>
      <c r="Y50" s="248"/>
      <c r="Z50" s="248"/>
      <c r="AA50" s="248"/>
      <c r="AB50" s="248"/>
      <c r="AC50" s="248"/>
      <c r="AD50" s="248"/>
      <c r="AE50" s="248"/>
      <c r="AF50" s="248"/>
      <c r="AG50" s="248"/>
      <c r="AH50" s="248"/>
      <c r="AI50" s="248"/>
      <c r="AJ50" s="248"/>
      <c r="AK50" s="248"/>
      <c r="AL50" s="248"/>
      <c r="AM50" s="248"/>
      <c r="AN50" s="248"/>
      <c r="AO50" s="248"/>
      <c r="AP50" s="248"/>
      <c r="AQ50" s="248"/>
      <c r="AR50" s="248"/>
      <c r="AS50" s="248"/>
      <c r="AT50" s="248"/>
      <c r="AU50" s="248"/>
      <c r="AV50" s="248"/>
      <c r="AW50" s="249"/>
      <c r="AX50" s="250"/>
      <c r="AY50" s="250"/>
      <c r="AZ50" s="250"/>
      <c r="BA50" s="250"/>
      <c r="BB50" s="250"/>
      <c r="BC50" s="251"/>
      <c r="BD50" s="252"/>
      <c r="BE50" s="250"/>
      <c r="BF50" s="250"/>
      <c r="BG50" s="250"/>
      <c r="BH50" s="250"/>
      <c r="BI50" s="250"/>
      <c r="BJ50" s="251"/>
      <c r="BK50" s="218"/>
    </row>
    <row r="51" spans="1:63" ht="15" customHeight="1" x14ac:dyDescent="0.25">
      <c r="A51" s="217"/>
      <c r="B51" s="189"/>
      <c r="C51" s="187"/>
      <c r="D51" s="187"/>
      <c r="E51" s="187"/>
      <c r="F51" s="187"/>
      <c r="G51" s="188"/>
      <c r="H51" s="189"/>
      <c r="I51" s="187"/>
      <c r="J51" s="187"/>
      <c r="K51" s="187"/>
      <c r="L51" s="187"/>
      <c r="M51" s="187"/>
      <c r="N51" s="188"/>
      <c r="O51" s="189"/>
      <c r="P51" s="187"/>
      <c r="Q51" s="187"/>
      <c r="R51" s="187"/>
      <c r="S51" s="241"/>
      <c r="T51" s="242"/>
      <c r="U51" s="242"/>
      <c r="V51" s="242"/>
      <c r="W51" s="242"/>
      <c r="X51" s="242"/>
      <c r="Y51" s="242"/>
      <c r="Z51" s="242"/>
      <c r="AA51" s="242"/>
      <c r="AB51" s="242"/>
      <c r="AC51" s="242"/>
      <c r="AD51" s="242"/>
      <c r="AE51" s="242"/>
      <c r="AF51" s="242"/>
      <c r="AG51" s="242"/>
      <c r="AH51" s="242"/>
      <c r="AI51" s="242"/>
      <c r="AJ51" s="242"/>
      <c r="AK51" s="242"/>
      <c r="AL51" s="242"/>
      <c r="AM51" s="242"/>
      <c r="AN51" s="242"/>
      <c r="AO51" s="242"/>
      <c r="AP51" s="242"/>
      <c r="AQ51" s="242"/>
      <c r="AR51" s="242"/>
      <c r="AS51" s="242"/>
      <c r="AT51" s="242"/>
      <c r="AU51" s="242"/>
      <c r="AV51" s="242"/>
      <c r="AW51" s="243"/>
      <c r="AX51" s="244"/>
      <c r="AY51" s="244"/>
      <c r="AZ51" s="244"/>
      <c r="BA51" s="244"/>
      <c r="BB51" s="244"/>
      <c r="BC51" s="245"/>
      <c r="BD51" s="246"/>
      <c r="BE51" s="244"/>
      <c r="BF51" s="244"/>
      <c r="BG51" s="244"/>
      <c r="BH51" s="244"/>
      <c r="BI51" s="244"/>
      <c r="BJ51" s="245"/>
      <c r="BK51" s="218"/>
    </row>
    <row r="52" spans="1:63" ht="15" customHeight="1" x14ac:dyDescent="0.25">
      <c r="A52" s="217"/>
      <c r="B52" s="199"/>
      <c r="C52" s="200"/>
      <c r="D52" s="200"/>
      <c r="E52" s="200"/>
      <c r="F52" s="200"/>
      <c r="G52" s="201"/>
      <c r="H52" s="199"/>
      <c r="I52" s="200"/>
      <c r="J52" s="200"/>
      <c r="K52" s="200"/>
      <c r="L52" s="200"/>
      <c r="M52" s="200"/>
      <c r="N52" s="201"/>
      <c r="O52" s="199"/>
      <c r="P52" s="200"/>
      <c r="Q52" s="200"/>
      <c r="R52" s="200"/>
      <c r="S52" s="247"/>
      <c r="T52" s="248"/>
      <c r="U52" s="248"/>
      <c r="V52" s="248"/>
      <c r="W52" s="248"/>
      <c r="X52" s="248"/>
      <c r="Y52" s="248"/>
      <c r="Z52" s="248"/>
      <c r="AA52" s="248"/>
      <c r="AB52" s="248"/>
      <c r="AC52" s="248"/>
      <c r="AD52" s="248"/>
      <c r="AE52" s="248"/>
      <c r="AF52" s="248"/>
      <c r="AG52" s="248"/>
      <c r="AH52" s="248"/>
      <c r="AI52" s="248"/>
      <c r="AJ52" s="248"/>
      <c r="AK52" s="248"/>
      <c r="AL52" s="248"/>
      <c r="AM52" s="248"/>
      <c r="AN52" s="248"/>
      <c r="AO52" s="248"/>
      <c r="AP52" s="248"/>
      <c r="AQ52" s="248"/>
      <c r="AR52" s="248"/>
      <c r="AS52" s="248"/>
      <c r="AT52" s="248"/>
      <c r="AU52" s="248"/>
      <c r="AV52" s="248"/>
      <c r="AW52" s="249"/>
      <c r="AX52" s="250"/>
      <c r="AY52" s="250"/>
      <c r="AZ52" s="250"/>
      <c r="BA52" s="250"/>
      <c r="BB52" s="250"/>
      <c r="BC52" s="251"/>
      <c r="BD52" s="252"/>
      <c r="BE52" s="250"/>
      <c r="BF52" s="250"/>
      <c r="BG52" s="250"/>
      <c r="BH52" s="250"/>
      <c r="BI52" s="250"/>
      <c r="BJ52" s="251"/>
      <c r="BK52" s="218"/>
    </row>
    <row r="53" spans="1:63" ht="15" customHeight="1" x14ac:dyDescent="0.25">
      <c r="A53" s="217"/>
      <c r="B53" s="189"/>
      <c r="C53" s="187"/>
      <c r="D53" s="187"/>
      <c r="E53" s="187"/>
      <c r="F53" s="187"/>
      <c r="G53" s="188"/>
      <c r="H53" s="189"/>
      <c r="I53" s="187"/>
      <c r="J53" s="187"/>
      <c r="K53" s="187"/>
      <c r="L53" s="187"/>
      <c r="M53" s="187"/>
      <c r="N53" s="188"/>
      <c r="O53" s="189"/>
      <c r="P53" s="187"/>
      <c r="Q53" s="187"/>
      <c r="R53" s="187"/>
      <c r="S53" s="241"/>
      <c r="T53" s="242"/>
      <c r="U53" s="242"/>
      <c r="V53" s="242"/>
      <c r="W53" s="242"/>
      <c r="X53" s="242"/>
      <c r="Y53" s="242"/>
      <c r="Z53" s="242"/>
      <c r="AA53" s="242"/>
      <c r="AB53" s="242"/>
      <c r="AC53" s="242"/>
      <c r="AD53" s="242"/>
      <c r="AE53" s="242"/>
      <c r="AF53" s="242"/>
      <c r="AG53" s="242"/>
      <c r="AH53" s="242"/>
      <c r="AI53" s="242"/>
      <c r="AJ53" s="242"/>
      <c r="AK53" s="242"/>
      <c r="AL53" s="242"/>
      <c r="AM53" s="242"/>
      <c r="AN53" s="242"/>
      <c r="AO53" s="242"/>
      <c r="AP53" s="242"/>
      <c r="AQ53" s="242"/>
      <c r="AR53" s="242"/>
      <c r="AS53" s="242"/>
      <c r="AT53" s="242"/>
      <c r="AU53" s="242"/>
      <c r="AV53" s="242"/>
      <c r="AW53" s="243"/>
      <c r="AX53" s="244"/>
      <c r="AY53" s="244"/>
      <c r="AZ53" s="244"/>
      <c r="BA53" s="244"/>
      <c r="BB53" s="244"/>
      <c r="BC53" s="245"/>
      <c r="BD53" s="246"/>
      <c r="BE53" s="244"/>
      <c r="BF53" s="244"/>
      <c r="BG53" s="244"/>
      <c r="BH53" s="244"/>
      <c r="BI53" s="244"/>
      <c r="BJ53" s="245"/>
      <c r="BK53" s="218"/>
    </row>
    <row r="54" spans="1:63" ht="15" customHeight="1" x14ac:dyDescent="0.25">
      <c r="A54" s="217"/>
      <c r="B54" s="199"/>
      <c r="C54" s="200"/>
      <c r="D54" s="200"/>
      <c r="E54" s="200"/>
      <c r="F54" s="200"/>
      <c r="G54" s="201"/>
      <c r="H54" s="199"/>
      <c r="I54" s="200"/>
      <c r="J54" s="200"/>
      <c r="K54" s="200"/>
      <c r="L54" s="200"/>
      <c r="M54" s="200"/>
      <c r="N54" s="201"/>
      <c r="O54" s="199"/>
      <c r="P54" s="200"/>
      <c r="Q54" s="200"/>
      <c r="R54" s="200"/>
      <c r="S54" s="247"/>
      <c r="T54" s="248"/>
      <c r="U54" s="248"/>
      <c r="V54" s="248"/>
      <c r="W54" s="248"/>
      <c r="X54" s="248"/>
      <c r="Y54" s="248"/>
      <c r="Z54" s="248"/>
      <c r="AA54" s="248"/>
      <c r="AB54" s="248"/>
      <c r="AC54" s="248"/>
      <c r="AD54" s="248"/>
      <c r="AE54" s="248"/>
      <c r="AF54" s="248"/>
      <c r="AG54" s="248"/>
      <c r="AH54" s="248"/>
      <c r="AI54" s="248"/>
      <c r="AJ54" s="248"/>
      <c r="AK54" s="248"/>
      <c r="AL54" s="248"/>
      <c r="AM54" s="248"/>
      <c r="AN54" s="248"/>
      <c r="AO54" s="248"/>
      <c r="AP54" s="248"/>
      <c r="AQ54" s="248"/>
      <c r="AR54" s="248"/>
      <c r="AS54" s="248"/>
      <c r="AT54" s="248"/>
      <c r="AU54" s="248"/>
      <c r="AV54" s="248"/>
      <c r="AW54" s="249"/>
      <c r="AX54" s="250"/>
      <c r="AY54" s="250"/>
      <c r="AZ54" s="250"/>
      <c r="BA54" s="250"/>
      <c r="BB54" s="250"/>
      <c r="BC54" s="251"/>
      <c r="BD54" s="252"/>
      <c r="BE54" s="250"/>
      <c r="BF54" s="250"/>
      <c r="BG54" s="250"/>
      <c r="BH54" s="250"/>
      <c r="BI54" s="250"/>
      <c r="BJ54" s="251"/>
      <c r="BK54" s="218"/>
    </row>
    <row r="55" spans="1:63" ht="15" customHeight="1" x14ac:dyDescent="0.25">
      <c r="A55" s="214"/>
      <c r="B55" s="215"/>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c r="AA55" s="215"/>
      <c r="AB55" s="215"/>
      <c r="AC55" s="215"/>
      <c r="AD55" s="215"/>
      <c r="AE55" s="215"/>
      <c r="AF55" s="215"/>
      <c r="AG55" s="215"/>
      <c r="AH55" s="215"/>
      <c r="AI55" s="215"/>
      <c r="AJ55" s="215"/>
      <c r="AK55" s="215"/>
      <c r="AL55" s="215"/>
      <c r="AM55" s="215"/>
      <c r="AN55" s="215"/>
      <c r="AO55" s="215"/>
      <c r="AP55" s="215"/>
      <c r="AQ55" s="215"/>
      <c r="AR55" s="215"/>
      <c r="AS55" s="215"/>
      <c r="AT55" s="215"/>
      <c r="AU55" s="215"/>
      <c r="AV55" s="215"/>
      <c r="AW55" s="215"/>
      <c r="AX55" s="215"/>
      <c r="AY55" s="215"/>
      <c r="AZ55" s="215"/>
      <c r="BA55" s="215"/>
      <c r="BB55" s="215"/>
      <c r="BC55" s="215"/>
      <c r="BD55" s="215"/>
      <c r="BE55" s="215"/>
      <c r="BF55" s="215"/>
      <c r="BG55" s="215"/>
      <c r="BH55" s="215"/>
      <c r="BI55" s="215"/>
      <c r="BJ55" s="215"/>
      <c r="BK55" s="216"/>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dimension ref="A1:BK61"/>
  <sheetViews>
    <sheetView view="pageBreakPreview" zoomScale="85" zoomScaleNormal="85" zoomScaleSheetLayoutView="85" workbookViewId="0">
      <selection sqref="A1:J1"/>
    </sheetView>
  </sheetViews>
  <sheetFormatPr defaultRowHeight="15.75" x14ac:dyDescent="0.25"/>
  <cols>
    <col min="1" max="63" width="2.77734375" style="253" customWidth="1"/>
    <col min="64" max="16384" width="8.88671875" style="253"/>
  </cols>
  <sheetData>
    <row r="1" spans="1:63" ht="24.95" customHeight="1" x14ac:dyDescent="0.25">
      <c r="A1" s="19" t="s">
        <v>0</v>
      </c>
      <c r="B1" s="20"/>
      <c r="C1" s="20"/>
      <c r="D1" s="20"/>
      <c r="E1" s="20"/>
      <c r="F1" s="20"/>
      <c r="G1" s="20"/>
      <c r="H1" s="20"/>
      <c r="I1" s="20"/>
      <c r="J1" s="21"/>
      <c r="K1" s="19" t="s">
        <v>1</v>
      </c>
      <c r="L1" s="20"/>
      <c r="M1" s="20"/>
      <c r="N1" s="20"/>
      <c r="O1" s="20"/>
      <c r="P1" s="20"/>
      <c r="Q1" s="20"/>
      <c r="R1" s="20"/>
      <c r="S1" s="20"/>
      <c r="T1" s="20"/>
      <c r="U1" s="20"/>
      <c r="V1" s="21"/>
      <c r="W1" s="23" t="str">
        <f>IF(表紙!W1="","",表紙!W1)</f>
        <v>基本設計書</v>
      </c>
      <c r="X1" s="24"/>
      <c r="Y1" s="24"/>
      <c r="Z1" s="24"/>
      <c r="AA1" s="24"/>
      <c r="AB1" s="24"/>
      <c r="AC1" s="24"/>
      <c r="AD1" s="24"/>
      <c r="AE1" s="24"/>
      <c r="AF1" s="24"/>
      <c r="AG1" s="24"/>
      <c r="AH1" s="24"/>
      <c r="AI1" s="24"/>
      <c r="AJ1" s="24"/>
      <c r="AK1" s="24"/>
      <c r="AL1" s="24"/>
      <c r="AM1" s="24"/>
      <c r="AN1" s="24"/>
      <c r="AO1" s="25"/>
      <c r="AP1" s="19" t="s">
        <v>2</v>
      </c>
      <c r="AQ1" s="20"/>
      <c r="AR1" s="20"/>
      <c r="AS1" s="21"/>
      <c r="AT1" s="19" t="s">
        <v>3</v>
      </c>
      <c r="AU1" s="20"/>
      <c r="AV1" s="20"/>
      <c r="AW1" s="20"/>
      <c r="AX1" s="21"/>
      <c r="AY1" s="19" t="s">
        <v>4</v>
      </c>
      <c r="AZ1" s="20"/>
      <c r="BA1" s="20"/>
      <c r="BB1" s="21"/>
      <c r="BC1" s="19" t="s">
        <v>5</v>
      </c>
      <c r="BD1" s="20"/>
      <c r="BE1" s="20"/>
      <c r="BF1" s="20"/>
      <c r="BG1" s="21"/>
      <c r="BH1" s="19" t="s">
        <v>6</v>
      </c>
      <c r="BI1" s="20"/>
      <c r="BJ1" s="20"/>
      <c r="BK1" s="21"/>
    </row>
    <row r="2" spans="1:63" ht="15" customHeight="1" x14ac:dyDescent="0.25">
      <c r="A2" s="254" t="str">
        <f>IF(表紙!A2="","",表紙!A2)</f>
        <v>POSサーバー</v>
      </c>
      <c r="B2" s="255"/>
      <c r="C2" s="255"/>
      <c r="D2" s="255"/>
      <c r="E2" s="255"/>
      <c r="F2" s="255"/>
      <c r="G2" s="255"/>
      <c r="H2" s="255"/>
      <c r="I2" s="255"/>
      <c r="J2" s="256"/>
      <c r="K2" s="254" t="str">
        <f>IF(表紙!K2="","",表紙!K2)</f>
        <v>POSサーバ</v>
      </c>
      <c r="L2" s="255"/>
      <c r="M2" s="255"/>
      <c r="N2" s="255"/>
      <c r="O2" s="255"/>
      <c r="P2" s="255"/>
      <c r="Q2" s="255"/>
      <c r="R2" s="255"/>
      <c r="S2" s="255"/>
      <c r="T2" s="255"/>
      <c r="U2" s="255"/>
      <c r="V2" s="256"/>
      <c r="W2" s="26"/>
      <c r="X2" s="27"/>
      <c r="Y2" s="27"/>
      <c r="Z2" s="27"/>
      <c r="AA2" s="27"/>
      <c r="AB2" s="27"/>
      <c r="AC2" s="27"/>
      <c r="AD2" s="27"/>
      <c r="AE2" s="27"/>
      <c r="AF2" s="27"/>
      <c r="AG2" s="27"/>
      <c r="AH2" s="27"/>
      <c r="AI2" s="27"/>
      <c r="AJ2" s="27"/>
      <c r="AK2" s="27"/>
      <c r="AL2" s="27"/>
      <c r="AM2" s="27"/>
      <c r="AN2" s="27"/>
      <c r="AO2" s="28"/>
      <c r="AP2" s="254" t="str">
        <f>IF(表紙!AP2="","",表紙!AP2)</f>
        <v>SonMNT</v>
      </c>
      <c r="AQ2" s="255"/>
      <c r="AR2" s="255"/>
      <c r="AS2" s="256"/>
      <c r="AT2" s="257">
        <v>45084</v>
      </c>
      <c r="AU2" s="258"/>
      <c r="AV2" s="258"/>
      <c r="AW2" s="258"/>
      <c r="AX2" s="259"/>
      <c r="AY2" s="254" t="str">
        <f>IF(表紙!AY2="","",表紙!AY2)</f>
        <v>SonMNT</v>
      </c>
      <c r="AZ2" s="255"/>
      <c r="BA2" s="255"/>
      <c r="BB2" s="256"/>
      <c r="BC2" s="257">
        <f>IF(表紙!BC2="","",表紙!BC2)</f>
        <v>45477</v>
      </c>
      <c r="BD2" s="258"/>
      <c r="BE2" s="258"/>
      <c r="BF2" s="258"/>
      <c r="BG2" s="259"/>
      <c r="BH2" s="254">
        <f>IF(表紙!BH2="","",表紙!BH2)</f>
        <v>0.1</v>
      </c>
      <c r="BI2" s="255"/>
      <c r="BJ2" s="255"/>
      <c r="BK2" s="256"/>
    </row>
    <row r="3" spans="1:63" ht="15" customHeight="1" x14ac:dyDescent="0.25">
      <c r="A3" s="260"/>
      <c r="B3" s="261"/>
      <c r="C3" s="261"/>
      <c r="D3" s="261"/>
      <c r="E3" s="261"/>
      <c r="F3" s="261"/>
      <c r="G3" s="261"/>
      <c r="H3" s="261"/>
      <c r="I3" s="261"/>
      <c r="J3" s="262"/>
      <c r="K3" s="260"/>
      <c r="L3" s="261"/>
      <c r="M3" s="261"/>
      <c r="N3" s="261"/>
      <c r="O3" s="261"/>
      <c r="P3" s="261"/>
      <c r="Q3" s="261"/>
      <c r="R3" s="261"/>
      <c r="S3" s="261"/>
      <c r="T3" s="261"/>
      <c r="U3" s="261"/>
      <c r="V3" s="262"/>
      <c r="W3" s="29"/>
      <c r="X3" s="30"/>
      <c r="Y3" s="30"/>
      <c r="Z3" s="30"/>
      <c r="AA3" s="30"/>
      <c r="AB3" s="30"/>
      <c r="AC3" s="30"/>
      <c r="AD3" s="30"/>
      <c r="AE3" s="30"/>
      <c r="AF3" s="30"/>
      <c r="AG3" s="30"/>
      <c r="AH3" s="30"/>
      <c r="AI3" s="30"/>
      <c r="AJ3" s="30"/>
      <c r="AK3" s="30"/>
      <c r="AL3" s="30"/>
      <c r="AM3" s="30"/>
      <c r="AN3" s="30"/>
      <c r="AO3" s="31"/>
      <c r="AP3" s="260"/>
      <c r="AQ3" s="261"/>
      <c r="AR3" s="261"/>
      <c r="AS3" s="262"/>
      <c r="AT3" s="263"/>
      <c r="AU3" s="264"/>
      <c r="AV3" s="264"/>
      <c r="AW3" s="264"/>
      <c r="AX3" s="265"/>
      <c r="AY3" s="260"/>
      <c r="AZ3" s="261"/>
      <c r="BA3" s="261"/>
      <c r="BB3" s="262"/>
      <c r="BC3" s="263"/>
      <c r="BD3" s="264"/>
      <c r="BE3" s="264"/>
      <c r="BF3" s="264"/>
      <c r="BG3" s="265"/>
      <c r="BH3" s="260"/>
      <c r="BI3" s="261"/>
      <c r="BJ3" s="261"/>
      <c r="BK3" s="262"/>
    </row>
    <row r="4" spans="1:63" ht="24.95" customHeight="1" x14ac:dyDescent="0.25">
      <c r="A4" s="19" t="s">
        <v>45</v>
      </c>
      <c r="B4" s="20"/>
      <c r="C4" s="20"/>
      <c r="D4" s="20"/>
      <c r="E4" s="20"/>
      <c r="F4" s="20"/>
      <c r="G4" s="21"/>
      <c r="H4" s="266" t="str">
        <f>IF(表紙!H4="","",表紙!H4)</f>
        <v>95_セットマッチ設定</v>
      </c>
      <c r="I4" s="267"/>
      <c r="J4" s="267"/>
      <c r="K4" s="267"/>
      <c r="L4" s="267"/>
      <c r="M4" s="267"/>
      <c r="N4" s="267"/>
      <c r="O4" s="267"/>
      <c r="P4" s="267"/>
      <c r="Q4" s="267"/>
      <c r="R4" s="267"/>
      <c r="S4" s="267"/>
      <c r="T4" s="268"/>
      <c r="U4" s="19" t="s">
        <v>7</v>
      </c>
      <c r="V4" s="20"/>
      <c r="W4" s="20"/>
      <c r="X4" s="20"/>
      <c r="Y4" s="21"/>
      <c r="Z4" s="266" t="str">
        <f>IF(表紙!Z4="","",表紙!Z4)</f>
        <v>概要設計</v>
      </c>
      <c r="AA4" s="267"/>
      <c r="AB4" s="267"/>
      <c r="AC4" s="267"/>
      <c r="AD4" s="267"/>
      <c r="AE4" s="267"/>
      <c r="AF4" s="267"/>
      <c r="AG4" s="267"/>
      <c r="AH4" s="267"/>
      <c r="AI4" s="267"/>
      <c r="AJ4" s="267"/>
      <c r="AK4" s="267"/>
      <c r="AL4" s="267"/>
      <c r="AM4" s="267"/>
      <c r="AN4" s="267"/>
      <c r="AO4" s="268"/>
      <c r="AP4" s="266" t="str">
        <f t="array" aca="1" ref="AP4" ca="1">RIGHT(CELL("filename",$A$1),LEN(CELL("filename",$A$1))-FIND("]",CELL("filename",$A$1)))</f>
        <v>業務フロー</v>
      </c>
      <c r="AQ4" s="267"/>
      <c r="AR4" s="267"/>
      <c r="AS4" s="267"/>
      <c r="AT4" s="267"/>
      <c r="AU4" s="267"/>
      <c r="AV4" s="267"/>
      <c r="AW4" s="267"/>
      <c r="AX4" s="267"/>
      <c r="AY4" s="267"/>
      <c r="AZ4" s="267"/>
      <c r="BA4" s="267"/>
      <c r="BB4" s="267"/>
      <c r="BC4" s="267"/>
      <c r="BD4" s="267"/>
      <c r="BE4" s="267"/>
      <c r="BF4" s="267"/>
      <c r="BG4" s="267"/>
      <c r="BH4" s="267"/>
      <c r="BI4" s="267"/>
      <c r="BJ4" s="267"/>
      <c r="BK4" s="268"/>
    </row>
    <row r="5" spans="1:63" ht="5.0999999999999996" customHeight="1" x14ac:dyDescent="0.25">
      <c r="A5" s="269"/>
      <c r="B5" s="270"/>
      <c r="C5" s="270"/>
      <c r="D5" s="270"/>
      <c r="E5" s="270"/>
      <c r="F5" s="270"/>
      <c r="G5" s="270"/>
      <c r="H5" s="270"/>
      <c r="I5" s="270"/>
      <c r="J5" s="270"/>
      <c r="K5" s="270"/>
      <c r="L5" s="270"/>
      <c r="M5" s="270"/>
      <c r="N5" s="270"/>
      <c r="O5" s="270"/>
      <c r="P5" s="270"/>
      <c r="Q5" s="270"/>
      <c r="R5" s="270"/>
      <c r="S5" s="270"/>
      <c r="T5" s="270"/>
      <c r="U5" s="270"/>
      <c r="V5" s="270"/>
      <c r="W5" s="270"/>
      <c r="X5" s="270"/>
      <c r="Y5" s="270"/>
      <c r="Z5" s="270"/>
      <c r="AA5" s="270"/>
      <c r="AB5" s="270"/>
      <c r="AC5" s="270"/>
      <c r="AD5" s="270"/>
      <c r="AE5" s="270"/>
      <c r="AF5" s="270"/>
      <c r="AG5" s="270"/>
      <c r="AH5" s="270"/>
      <c r="AI5" s="270"/>
      <c r="AJ5" s="270"/>
      <c r="AK5" s="270"/>
      <c r="AL5" s="270"/>
      <c r="AM5" s="270"/>
      <c r="AN5" s="270"/>
      <c r="AO5" s="270"/>
      <c r="AP5" s="270"/>
      <c r="AQ5" s="270"/>
      <c r="AR5" s="270"/>
      <c r="AS5" s="270"/>
      <c r="AT5" s="270"/>
      <c r="AU5" s="270"/>
      <c r="AV5" s="270"/>
      <c r="AW5" s="270"/>
      <c r="AX5" s="270"/>
      <c r="AY5" s="270"/>
      <c r="AZ5" s="270"/>
      <c r="BA5" s="270"/>
      <c r="BB5" s="270"/>
      <c r="BC5" s="270"/>
      <c r="BD5" s="270"/>
      <c r="BE5" s="270"/>
      <c r="BF5" s="270"/>
      <c r="BG5" s="270"/>
      <c r="BH5" s="270"/>
      <c r="BI5" s="270"/>
      <c r="BJ5" s="270"/>
      <c r="BK5" s="271"/>
    </row>
    <row r="6" spans="1:63" ht="15" customHeight="1" x14ac:dyDescent="0.25">
      <c r="A6" s="272"/>
      <c r="B6" s="273"/>
      <c r="C6" s="274"/>
      <c r="D6" s="274"/>
      <c r="E6" s="274"/>
      <c r="F6" s="274"/>
      <c r="G6" s="274"/>
      <c r="H6" s="274"/>
      <c r="I6" s="274"/>
      <c r="J6" s="274"/>
      <c r="K6" s="274"/>
      <c r="L6" s="274"/>
      <c r="M6" s="274"/>
      <c r="N6" s="274"/>
      <c r="O6" s="274"/>
      <c r="P6" s="274"/>
      <c r="Q6" s="274"/>
      <c r="R6" s="274"/>
      <c r="S6" s="274"/>
      <c r="T6" s="274"/>
      <c r="U6" s="274"/>
      <c r="V6" s="274"/>
      <c r="W6" s="274"/>
      <c r="X6" s="274"/>
      <c r="Y6" s="274"/>
      <c r="Z6" s="274"/>
      <c r="AA6" s="274"/>
      <c r="AB6" s="274"/>
      <c r="AC6" s="274"/>
      <c r="AD6" s="274"/>
      <c r="AE6" s="275"/>
      <c r="AF6" s="273"/>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4"/>
      <c r="BF6" s="274"/>
      <c r="BG6" s="274"/>
      <c r="BH6" s="274"/>
      <c r="BI6" s="275"/>
      <c r="BJ6" s="274"/>
      <c r="BK6" s="276"/>
    </row>
    <row r="7" spans="1:63" ht="15" customHeight="1" x14ac:dyDescent="0.25">
      <c r="A7" s="272"/>
      <c r="B7" s="2" t="s">
        <v>11</v>
      </c>
      <c r="C7" s="1"/>
      <c r="D7" s="1"/>
      <c r="E7" s="1"/>
      <c r="F7" s="1"/>
      <c r="G7" s="1"/>
      <c r="H7" s="1"/>
      <c r="I7" s="1"/>
      <c r="J7" s="1"/>
      <c r="K7" s="1"/>
      <c r="L7" s="1"/>
      <c r="M7" s="1"/>
      <c r="N7" s="1"/>
      <c r="O7" s="1"/>
      <c r="P7" s="1"/>
      <c r="Q7" s="1"/>
      <c r="R7" s="1"/>
      <c r="S7" s="1"/>
      <c r="T7" s="1"/>
      <c r="U7" s="1"/>
      <c r="V7" s="1"/>
      <c r="W7" s="1"/>
      <c r="X7" s="1"/>
      <c r="Y7" s="1"/>
      <c r="Z7" s="1"/>
      <c r="AA7" s="1"/>
      <c r="AB7" s="1"/>
      <c r="AC7" s="1"/>
      <c r="AD7" s="1"/>
      <c r="AE7" s="3"/>
      <c r="AF7" s="2"/>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3"/>
      <c r="BJ7" s="1"/>
      <c r="BK7" s="276"/>
    </row>
    <row r="8" spans="1:63" ht="15" customHeight="1" x14ac:dyDescent="0.25">
      <c r="A8" s="272"/>
      <c r="B8" s="273"/>
      <c r="C8" s="274"/>
      <c r="D8" s="274"/>
      <c r="E8" s="274"/>
      <c r="F8" s="274"/>
      <c r="G8" s="274"/>
      <c r="H8" s="274"/>
      <c r="I8" s="274"/>
      <c r="J8" s="274"/>
      <c r="K8" s="274"/>
      <c r="L8" s="274"/>
      <c r="M8" s="274"/>
      <c r="N8" s="274"/>
      <c r="O8" s="274"/>
      <c r="P8" s="274"/>
      <c r="Q8" s="274"/>
      <c r="R8" s="274"/>
      <c r="S8" s="274"/>
      <c r="T8" s="274"/>
      <c r="U8" s="274"/>
      <c r="V8" s="274"/>
      <c r="W8" s="274"/>
      <c r="X8" s="274"/>
      <c r="Y8" s="274"/>
      <c r="Z8" s="274"/>
      <c r="AA8" s="274"/>
      <c r="AB8" s="274"/>
      <c r="AC8" s="274"/>
      <c r="AD8" s="274"/>
      <c r="AE8" s="275"/>
      <c r="AF8" s="273"/>
      <c r="AG8" s="274"/>
      <c r="AH8" s="274"/>
      <c r="AI8" s="274"/>
      <c r="AJ8" s="274"/>
      <c r="AK8" s="274"/>
      <c r="AL8" s="274"/>
      <c r="AM8" s="274"/>
      <c r="AN8" s="274"/>
      <c r="AO8" s="274"/>
      <c r="AP8" s="274"/>
      <c r="AQ8" s="274"/>
      <c r="AR8" s="274"/>
      <c r="AS8" s="274"/>
      <c r="AT8" s="274"/>
      <c r="AU8" s="274"/>
      <c r="AV8" s="274"/>
      <c r="AW8" s="274"/>
      <c r="AX8" s="274"/>
      <c r="AY8" s="274"/>
      <c r="AZ8" s="274"/>
      <c r="BA8" s="274"/>
      <c r="BB8" s="274"/>
      <c r="BC8" s="274"/>
      <c r="BD8" s="274"/>
      <c r="BE8" s="274"/>
      <c r="BF8" s="274"/>
      <c r="BG8" s="274"/>
      <c r="BH8" s="274"/>
      <c r="BI8" s="275"/>
      <c r="BJ8" s="274"/>
      <c r="BK8" s="276"/>
    </row>
    <row r="9" spans="1:63" ht="15" customHeight="1" x14ac:dyDescent="0.25">
      <c r="A9" s="272"/>
      <c r="B9" s="273"/>
      <c r="C9" s="274"/>
      <c r="D9" s="274"/>
      <c r="E9" s="274"/>
      <c r="F9" s="274"/>
      <c r="G9" s="274"/>
      <c r="H9" s="274"/>
      <c r="I9" s="274"/>
      <c r="J9" s="274"/>
      <c r="K9" s="274"/>
      <c r="L9" s="274"/>
      <c r="M9" s="274"/>
      <c r="N9" s="274"/>
      <c r="O9" s="274"/>
      <c r="P9" s="274"/>
      <c r="Q9" s="274"/>
      <c r="R9" s="274"/>
      <c r="S9" s="274"/>
      <c r="T9" s="274"/>
      <c r="U9" s="274"/>
      <c r="V9" s="274"/>
      <c r="W9" s="274"/>
      <c r="X9" s="274"/>
      <c r="Y9" s="274"/>
      <c r="Z9" s="274"/>
      <c r="AA9" s="274"/>
      <c r="AB9" s="274"/>
      <c r="AC9" s="274"/>
      <c r="AD9" s="274"/>
      <c r="AE9" s="275"/>
      <c r="AF9" s="273"/>
      <c r="AG9" s="274"/>
      <c r="AH9" s="274"/>
      <c r="AI9" s="274"/>
      <c r="AJ9" s="274"/>
      <c r="AK9" s="274"/>
      <c r="AL9" s="274"/>
      <c r="AM9" s="274"/>
      <c r="AN9" s="274"/>
      <c r="AO9" s="274"/>
      <c r="AP9" s="274"/>
      <c r="AQ9" s="274"/>
      <c r="AR9" s="274"/>
      <c r="AS9" s="274"/>
      <c r="AT9" s="274"/>
      <c r="AU9" s="274"/>
      <c r="AV9" s="274"/>
      <c r="AW9" s="274"/>
      <c r="AX9" s="274"/>
      <c r="AY9" s="274"/>
      <c r="AZ9" s="274"/>
      <c r="BA9" s="274"/>
      <c r="BB9" s="274"/>
      <c r="BC9" s="274"/>
      <c r="BD9" s="274"/>
      <c r="BE9" s="274"/>
      <c r="BF9" s="274"/>
      <c r="BG9" s="274"/>
      <c r="BH9" s="274"/>
      <c r="BI9" s="275"/>
      <c r="BJ9" s="274"/>
      <c r="BK9" s="276"/>
    </row>
    <row r="10" spans="1:63" ht="15" customHeight="1" x14ac:dyDescent="0.25">
      <c r="A10" s="272"/>
      <c r="B10" s="273"/>
      <c r="C10" s="274"/>
      <c r="D10" s="274"/>
      <c r="E10" s="274"/>
      <c r="F10" s="274"/>
      <c r="G10" s="274"/>
      <c r="H10" s="274"/>
      <c r="I10" s="274"/>
      <c r="J10" s="274"/>
      <c r="K10" s="274"/>
      <c r="L10" s="274"/>
      <c r="M10" s="274"/>
      <c r="N10" s="274"/>
      <c r="O10" s="274"/>
      <c r="P10" s="274"/>
      <c r="Q10" s="274"/>
      <c r="R10" s="274"/>
      <c r="S10" s="274"/>
      <c r="T10" s="274"/>
      <c r="U10" s="274"/>
      <c r="V10" s="274"/>
      <c r="W10" s="274"/>
      <c r="X10" s="274"/>
      <c r="Y10" s="274"/>
      <c r="Z10" s="274"/>
      <c r="AA10" s="274"/>
      <c r="AB10" s="274"/>
      <c r="AC10" s="274"/>
      <c r="AD10" s="274"/>
      <c r="AE10" s="275"/>
      <c r="AF10" s="273"/>
      <c r="AG10" s="274"/>
      <c r="AH10" s="274"/>
      <c r="AI10" s="274"/>
      <c r="AJ10" s="274"/>
      <c r="AK10" s="274"/>
      <c r="AL10" s="274"/>
      <c r="AM10" s="274"/>
      <c r="AN10" s="274"/>
      <c r="AO10" s="274"/>
      <c r="AP10" s="274"/>
      <c r="AQ10" s="274"/>
      <c r="AR10" s="274"/>
      <c r="AS10" s="274"/>
      <c r="AT10" s="274"/>
      <c r="AU10" s="274"/>
      <c r="AV10" s="274"/>
      <c r="AW10" s="274"/>
      <c r="AX10" s="274"/>
      <c r="AY10" s="274"/>
      <c r="AZ10" s="274"/>
      <c r="BA10" s="274"/>
      <c r="BB10" s="274"/>
      <c r="BC10" s="274"/>
      <c r="BD10" s="274"/>
      <c r="BE10" s="274"/>
      <c r="BF10" s="274"/>
      <c r="BG10" s="274"/>
      <c r="BH10" s="274"/>
      <c r="BI10" s="275"/>
      <c r="BJ10" s="274"/>
      <c r="BK10" s="276"/>
    </row>
    <row r="11" spans="1:63" ht="15" customHeight="1" x14ac:dyDescent="0.25">
      <c r="A11" s="272"/>
      <c r="B11" s="273"/>
      <c r="C11" s="274"/>
      <c r="D11" s="274"/>
      <c r="E11" s="274"/>
      <c r="F11" s="274"/>
      <c r="G11" s="274"/>
      <c r="H11" s="274"/>
      <c r="I11" s="274"/>
      <c r="J11" s="274"/>
      <c r="K11" s="274"/>
      <c r="L11" s="274"/>
      <c r="M11" s="274"/>
      <c r="N11" s="274"/>
      <c r="O11" s="274"/>
      <c r="P11" s="274"/>
      <c r="Q11" s="274"/>
      <c r="R11" s="274"/>
      <c r="S11" s="274"/>
      <c r="T11" s="274"/>
      <c r="U11" s="274"/>
      <c r="V11" s="274"/>
      <c r="W11" s="274"/>
      <c r="X11" s="274"/>
      <c r="Y11" s="274"/>
      <c r="Z11" s="274"/>
      <c r="AA11" s="274"/>
      <c r="AB11" s="274"/>
      <c r="AC11" s="274"/>
      <c r="AD11" s="274"/>
      <c r="AE11" s="275"/>
      <c r="AF11" s="273"/>
      <c r="AG11" s="274"/>
      <c r="AH11" s="274"/>
      <c r="AI11" s="274"/>
      <c r="AJ11" s="274"/>
      <c r="AK11" s="274"/>
      <c r="AL11" s="274"/>
      <c r="AM11" s="274"/>
      <c r="AN11" s="274"/>
      <c r="AO11" s="274"/>
      <c r="AP11" s="274"/>
      <c r="AQ11" s="274"/>
      <c r="AR11" s="274"/>
      <c r="AS11" s="274"/>
      <c r="AT11" s="274"/>
      <c r="AU11" s="274"/>
      <c r="AV11" s="274"/>
      <c r="AW11" s="274"/>
      <c r="AX11" s="274"/>
      <c r="AY11" s="274"/>
      <c r="AZ11" s="274"/>
      <c r="BA11" s="274"/>
      <c r="BB11" s="274"/>
      <c r="BC11" s="274"/>
      <c r="BD11" s="274"/>
      <c r="BE11" s="274"/>
      <c r="BF11" s="274"/>
      <c r="BG11" s="274"/>
      <c r="BH11" s="274"/>
      <c r="BI11" s="275"/>
      <c r="BJ11" s="274"/>
      <c r="BK11" s="276"/>
    </row>
    <row r="12" spans="1:63" ht="15" customHeight="1" x14ac:dyDescent="0.25">
      <c r="A12" s="272"/>
      <c r="B12" s="273"/>
      <c r="C12" s="274"/>
      <c r="D12" s="274"/>
      <c r="E12" s="274"/>
      <c r="F12" s="274"/>
      <c r="G12" s="274"/>
      <c r="H12" s="274"/>
      <c r="I12" s="274"/>
      <c r="J12" s="274"/>
      <c r="K12" s="274"/>
      <c r="L12" s="274"/>
      <c r="M12" s="274"/>
      <c r="N12" s="274"/>
      <c r="O12" s="274"/>
      <c r="P12" s="274"/>
      <c r="Q12" s="274"/>
      <c r="R12" s="274"/>
      <c r="S12" s="274"/>
      <c r="T12" s="274"/>
      <c r="U12" s="274"/>
      <c r="V12" s="274"/>
      <c r="W12" s="274"/>
      <c r="X12" s="274"/>
      <c r="Y12" s="274"/>
      <c r="Z12" s="274"/>
      <c r="AA12" s="274"/>
      <c r="AB12" s="274"/>
      <c r="AC12" s="274"/>
      <c r="AD12" s="274"/>
      <c r="AE12" s="275"/>
      <c r="AF12" s="273"/>
      <c r="AG12" s="274"/>
      <c r="AH12" s="274"/>
      <c r="AI12" s="274"/>
      <c r="AJ12" s="274"/>
      <c r="AK12" s="274"/>
      <c r="AL12" s="274"/>
      <c r="AM12" s="274"/>
      <c r="AN12" s="274"/>
      <c r="AO12" s="274"/>
      <c r="AP12" s="274"/>
      <c r="AQ12" s="274"/>
      <c r="AR12" s="274"/>
      <c r="AS12" s="274"/>
      <c r="AT12" s="274"/>
      <c r="AU12" s="274"/>
      <c r="AV12" s="274"/>
      <c r="AW12" s="274"/>
      <c r="AX12" s="274"/>
      <c r="AY12" s="274"/>
      <c r="AZ12" s="274"/>
      <c r="BA12" s="274"/>
      <c r="BB12" s="274"/>
      <c r="BC12" s="274"/>
      <c r="BD12" s="274"/>
      <c r="BE12" s="274"/>
      <c r="BF12" s="274"/>
      <c r="BG12" s="274"/>
      <c r="BH12" s="274"/>
      <c r="BI12" s="275"/>
      <c r="BJ12" s="274"/>
      <c r="BK12" s="276"/>
    </row>
    <row r="13" spans="1:63" ht="15" customHeight="1" x14ac:dyDescent="0.25">
      <c r="A13" s="272"/>
      <c r="B13" s="273"/>
      <c r="C13" s="274"/>
      <c r="D13" s="274"/>
      <c r="E13" s="274"/>
      <c r="F13" s="274"/>
      <c r="G13" s="274"/>
      <c r="H13" s="274"/>
      <c r="I13" s="274"/>
      <c r="J13" s="274"/>
      <c r="K13" s="274"/>
      <c r="L13" s="274"/>
      <c r="M13" s="274"/>
      <c r="N13" s="274"/>
      <c r="O13" s="274"/>
      <c r="P13" s="274"/>
      <c r="Q13" s="274"/>
      <c r="R13" s="274"/>
      <c r="S13" s="274"/>
      <c r="T13" s="274"/>
      <c r="U13" s="274"/>
      <c r="V13" s="274"/>
      <c r="W13" s="274"/>
      <c r="X13" s="274"/>
      <c r="Y13" s="274"/>
      <c r="Z13" s="274"/>
      <c r="AA13" s="274"/>
      <c r="AB13" s="274"/>
      <c r="AC13" s="274"/>
      <c r="AD13" s="274"/>
      <c r="AE13" s="275"/>
      <c r="AF13" s="273"/>
      <c r="AG13" s="274"/>
      <c r="AH13" s="274"/>
      <c r="AI13" s="274"/>
      <c r="AJ13" s="274"/>
      <c r="AK13" s="274"/>
      <c r="AL13" s="274"/>
      <c r="AM13" s="274"/>
      <c r="AN13" s="274"/>
      <c r="AO13" s="274"/>
      <c r="AP13" s="274"/>
      <c r="AQ13" s="274"/>
      <c r="AR13" s="274"/>
      <c r="AS13" s="274"/>
      <c r="AT13" s="274"/>
      <c r="AU13" s="274"/>
      <c r="AV13" s="274"/>
      <c r="AW13" s="274"/>
      <c r="AX13" s="274"/>
      <c r="AY13" s="274"/>
      <c r="AZ13" s="274"/>
      <c r="BA13" s="274"/>
      <c r="BB13" s="274"/>
      <c r="BC13" s="274"/>
      <c r="BD13" s="274"/>
      <c r="BE13" s="274"/>
      <c r="BF13" s="274"/>
      <c r="BG13" s="274"/>
      <c r="BH13" s="274"/>
      <c r="BI13" s="275"/>
      <c r="BJ13" s="274"/>
      <c r="BK13" s="276"/>
    </row>
    <row r="14" spans="1:63" ht="15" customHeight="1" x14ac:dyDescent="0.25">
      <c r="A14" s="272"/>
      <c r="B14" s="273"/>
      <c r="C14" s="274"/>
      <c r="D14" s="274"/>
      <c r="E14" s="274"/>
      <c r="F14" s="274"/>
      <c r="G14" s="274"/>
      <c r="H14" s="274"/>
      <c r="I14" s="274"/>
      <c r="J14" s="274"/>
      <c r="K14" s="274"/>
      <c r="L14" s="274"/>
      <c r="M14" s="274"/>
      <c r="N14" s="274"/>
      <c r="O14" s="274"/>
      <c r="P14" s="274"/>
      <c r="Q14" s="274"/>
      <c r="R14" s="274"/>
      <c r="S14" s="274"/>
      <c r="T14" s="274"/>
      <c r="U14" s="274"/>
      <c r="V14" s="274"/>
      <c r="W14" s="274"/>
      <c r="X14" s="274"/>
      <c r="Y14" s="274"/>
      <c r="Z14" s="274"/>
      <c r="AA14" s="274"/>
      <c r="AB14" s="274"/>
      <c r="AC14" s="274"/>
      <c r="AD14" s="274"/>
      <c r="AE14" s="275"/>
      <c r="AF14" s="273"/>
      <c r="AG14" s="274"/>
      <c r="AH14" s="274"/>
      <c r="AI14" s="274"/>
      <c r="AJ14" s="274"/>
      <c r="AK14" s="274"/>
      <c r="AL14" s="274"/>
      <c r="AM14" s="274"/>
      <c r="AN14" s="274"/>
      <c r="AO14" s="274"/>
      <c r="AP14" s="274"/>
      <c r="AQ14" s="274"/>
      <c r="AR14" s="274"/>
      <c r="AS14" s="274"/>
      <c r="AT14" s="274"/>
      <c r="AU14" s="274"/>
      <c r="AV14" s="274"/>
      <c r="AW14" s="274"/>
      <c r="AX14" s="274"/>
      <c r="AY14" s="274"/>
      <c r="AZ14" s="274"/>
      <c r="BA14" s="274"/>
      <c r="BB14" s="274"/>
      <c r="BC14" s="274"/>
      <c r="BD14" s="274"/>
      <c r="BE14" s="274"/>
      <c r="BF14" s="274"/>
      <c r="BG14" s="274"/>
      <c r="BH14" s="274"/>
      <c r="BI14" s="275"/>
      <c r="BJ14" s="274"/>
      <c r="BK14" s="276"/>
    </row>
    <row r="15" spans="1:63" ht="15" customHeight="1" x14ac:dyDescent="0.25">
      <c r="A15" s="272"/>
      <c r="B15" s="273"/>
      <c r="C15" s="274"/>
      <c r="D15" s="274"/>
      <c r="E15" s="274"/>
      <c r="F15" s="274"/>
      <c r="G15" s="274"/>
      <c r="H15" s="274"/>
      <c r="I15" s="274"/>
      <c r="J15" s="274"/>
      <c r="K15" s="274"/>
      <c r="L15" s="274"/>
      <c r="M15" s="274"/>
      <c r="N15" s="274"/>
      <c r="O15" s="274"/>
      <c r="P15" s="274"/>
      <c r="Q15" s="274"/>
      <c r="R15" s="274"/>
      <c r="S15" s="274"/>
      <c r="T15" s="274"/>
      <c r="U15" s="274"/>
      <c r="V15" s="274"/>
      <c r="W15" s="274"/>
      <c r="X15" s="274"/>
      <c r="Y15" s="274"/>
      <c r="Z15" s="274"/>
      <c r="AA15" s="274"/>
      <c r="AB15" s="274"/>
      <c r="AC15" s="274"/>
      <c r="AD15" s="274"/>
      <c r="AE15" s="275"/>
      <c r="AF15" s="273"/>
      <c r="AG15" s="274"/>
      <c r="AH15" s="274"/>
      <c r="AI15" s="274"/>
      <c r="AJ15" s="274"/>
      <c r="AK15" s="274"/>
      <c r="AL15" s="274"/>
      <c r="AM15" s="274"/>
      <c r="AN15" s="274"/>
      <c r="AO15" s="274"/>
      <c r="AP15" s="274"/>
      <c r="AQ15" s="274"/>
      <c r="AR15" s="274"/>
      <c r="AS15" s="274"/>
      <c r="AT15" s="274"/>
      <c r="AU15" s="274"/>
      <c r="AV15" s="274"/>
      <c r="AW15" s="274"/>
      <c r="AX15" s="274"/>
      <c r="AY15" s="274"/>
      <c r="AZ15" s="274"/>
      <c r="BA15" s="274"/>
      <c r="BB15" s="274"/>
      <c r="BC15" s="274"/>
      <c r="BD15" s="274"/>
      <c r="BE15" s="274"/>
      <c r="BF15" s="274"/>
      <c r="BG15" s="274"/>
      <c r="BH15" s="274"/>
      <c r="BI15" s="275"/>
      <c r="BJ15" s="274"/>
      <c r="BK15" s="276"/>
    </row>
    <row r="16" spans="1:63" ht="15" customHeight="1" x14ac:dyDescent="0.25">
      <c r="A16" s="272"/>
      <c r="B16" s="273"/>
      <c r="C16" s="274"/>
      <c r="D16" s="274"/>
      <c r="E16" s="274"/>
      <c r="F16" s="274"/>
      <c r="G16" s="274"/>
      <c r="H16" s="274"/>
      <c r="I16" s="274"/>
      <c r="J16" s="274"/>
      <c r="K16" s="274"/>
      <c r="L16" s="274"/>
      <c r="M16" s="274"/>
      <c r="N16" s="274"/>
      <c r="O16" s="274"/>
      <c r="P16" s="274"/>
      <c r="Q16" s="274"/>
      <c r="R16" s="274"/>
      <c r="S16" s="274"/>
      <c r="T16" s="274"/>
      <c r="U16" s="274"/>
      <c r="V16" s="274"/>
      <c r="W16" s="274"/>
      <c r="X16" s="274"/>
      <c r="Y16" s="274"/>
      <c r="Z16" s="274"/>
      <c r="AA16" s="274"/>
      <c r="AB16" s="274"/>
      <c r="AC16" s="274"/>
      <c r="AD16" s="274"/>
      <c r="AE16" s="275"/>
      <c r="AF16" s="273"/>
      <c r="AG16" s="274"/>
      <c r="AH16" s="274"/>
      <c r="AI16" s="274"/>
      <c r="AJ16" s="274"/>
      <c r="AK16" s="274"/>
      <c r="AL16" s="274"/>
      <c r="AM16" s="274"/>
      <c r="AN16" s="274"/>
      <c r="AO16" s="274"/>
      <c r="AP16" s="274"/>
      <c r="AQ16" s="274"/>
      <c r="AR16" s="274"/>
      <c r="AS16" s="274"/>
      <c r="AT16" s="274"/>
      <c r="AU16" s="274"/>
      <c r="AV16" s="274"/>
      <c r="AW16" s="274"/>
      <c r="AX16" s="274"/>
      <c r="AY16" s="274"/>
      <c r="AZ16" s="274"/>
      <c r="BA16" s="274"/>
      <c r="BB16" s="274"/>
      <c r="BC16" s="274"/>
      <c r="BD16" s="274"/>
      <c r="BE16" s="274"/>
      <c r="BF16" s="274"/>
      <c r="BG16" s="274"/>
      <c r="BH16" s="274"/>
      <c r="BI16" s="275"/>
      <c r="BJ16" s="274"/>
      <c r="BK16" s="276"/>
    </row>
    <row r="17" spans="1:63" ht="15" customHeight="1" x14ac:dyDescent="0.25">
      <c r="A17" s="272"/>
      <c r="B17" s="273"/>
      <c r="C17" s="274"/>
      <c r="D17" s="274"/>
      <c r="E17" s="274"/>
      <c r="F17" s="274"/>
      <c r="G17" s="274"/>
      <c r="H17" s="274"/>
      <c r="I17" s="274"/>
      <c r="J17" s="274"/>
      <c r="K17" s="274"/>
      <c r="L17" s="274"/>
      <c r="M17" s="274"/>
      <c r="N17" s="274"/>
      <c r="O17" s="274"/>
      <c r="P17" s="274"/>
      <c r="Q17" s="274"/>
      <c r="R17" s="274"/>
      <c r="S17" s="274"/>
      <c r="T17" s="274"/>
      <c r="U17" s="274"/>
      <c r="V17" s="274"/>
      <c r="W17" s="274"/>
      <c r="X17" s="274"/>
      <c r="Y17" s="274"/>
      <c r="Z17" s="274"/>
      <c r="AA17" s="274"/>
      <c r="AB17" s="274"/>
      <c r="AC17" s="274"/>
      <c r="AD17" s="274"/>
      <c r="AE17" s="275"/>
      <c r="AF17" s="273"/>
      <c r="AG17" s="274"/>
      <c r="AH17" s="274"/>
      <c r="AI17" s="274"/>
      <c r="AJ17" s="274"/>
      <c r="AK17" s="274"/>
      <c r="AL17" s="274"/>
      <c r="AM17" s="274"/>
      <c r="AN17" s="274"/>
      <c r="AO17" s="274"/>
      <c r="AP17" s="274"/>
      <c r="AQ17" s="274"/>
      <c r="AR17" s="274"/>
      <c r="AS17" s="274"/>
      <c r="AT17" s="274"/>
      <c r="AU17" s="274"/>
      <c r="AV17" s="274"/>
      <c r="AW17" s="274"/>
      <c r="AX17" s="274"/>
      <c r="AY17" s="274"/>
      <c r="AZ17" s="274"/>
      <c r="BA17" s="274"/>
      <c r="BB17" s="274"/>
      <c r="BC17" s="274"/>
      <c r="BD17" s="274"/>
      <c r="BE17" s="274"/>
      <c r="BF17" s="274"/>
      <c r="BG17" s="274"/>
      <c r="BH17" s="274"/>
      <c r="BI17" s="275"/>
      <c r="BJ17" s="274"/>
      <c r="BK17" s="276"/>
    </row>
    <row r="18" spans="1:63" ht="15" customHeight="1" x14ac:dyDescent="0.25">
      <c r="A18" s="272"/>
      <c r="B18" s="273"/>
      <c r="C18" s="274"/>
      <c r="D18" s="274"/>
      <c r="E18" s="274"/>
      <c r="F18" s="274"/>
      <c r="G18" s="274"/>
      <c r="H18" s="274"/>
      <c r="I18" s="274"/>
      <c r="J18" s="274"/>
      <c r="K18" s="274"/>
      <c r="L18" s="274"/>
      <c r="M18" s="274"/>
      <c r="N18" s="274"/>
      <c r="O18" s="274"/>
      <c r="P18" s="274"/>
      <c r="Q18" s="274"/>
      <c r="R18" s="274"/>
      <c r="S18" s="274"/>
      <c r="T18" s="274"/>
      <c r="U18" s="274"/>
      <c r="V18" s="274"/>
      <c r="W18" s="274"/>
      <c r="X18" s="274"/>
      <c r="Y18" s="274"/>
      <c r="Z18" s="274"/>
      <c r="AA18" s="274"/>
      <c r="AB18" s="274"/>
      <c r="AC18" s="274"/>
      <c r="AD18" s="274"/>
      <c r="AE18" s="275"/>
      <c r="AF18" s="273"/>
      <c r="AG18" s="274"/>
      <c r="AH18" s="274"/>
      <c r="AI18" s="274"/>
      <c r="AJ18" s="274"/>
      <c r="AK18" s="274"/>
      <c r="AL18" s="274"/>
      <c r="AM18" s="274"/>
      <c r="AN18" s="274"/>
      <c r="AO18" s="274"/>
      <c r="AP18" s="274"/>
      <c r="AQ18" s="274"/>
      <c r="AR18" s="274"/>
      <c r="AS18" s="274"/>
      <c r="AT18" s="274"/>
      <c r="AU18" s="274"/>
      <c r="AV18" s="274"/>
      <c r="AW18" s="274"/>
      <c r="AX18" s="274"/>
      <c r="AY18" s="274"/>
      <c r="AZ18" s="274"/>
      <c r="BA18" s="274"/>
      <c r="BB18" s="274"/>
      <c r="BC18" s="274"/>
      <c r="BD18" s="274"/>
      <c r="BE18" s="274"/>
      <c r="BF18" s="274"/>
      <c r="BG18" s="274"/>
      <c r="BH18" s="274"/>
      <c r="BI18" s="275"/>
      <c r="BJ18" s="274"/>
      <c r="BK18" s="276"/>
    </row>
    <row r="19" spans="1:63" ht="15" customHeight="1" x14ac:dyDescent="0.25">
      <c r="A19" s="272"/>
      <c r="B19" s="273"/>
      <c r="C19" s="274"/>
      <c r="D19" s="274"/>
      <c r="E19" s="274"/>
      <c r="F19" s="274"/>
      <c r="G19" s="274"/>
      <c r="H19" s="274"/>
      <c r="I19" s="274"/>
      <c r="J19" s="274"/>
      <c r="K19" s="274"/>
      <c r="L19" s="274"/>
      <c r="M19" s="274"/>
      <c r="N19" s="274"/>
      <c r="O19" s="274"/>
      <c r="P19" s="274"/>
      <c r="Q19" s="274"/>
      <c r="R19" s="274"/>
      <c r="S19" s="274"/>
      <c r="T19" s="274"/>
      <c r="U19" s="274"/>
      <c r="V19" s="274"/>
      <c r="W19" s="274"/>
      <c r="X19" s="274"/>
      <c r="Y19" s="274"/>
      <c r="Z19" s="274"/>
      <c r="AA19" s="274"/>
      <c r="AB19" s="274"/>
      <c r="AC19" s="274"/>
      <c r="AD19" s="274"/>
      <c r="AE19" s="275"/>
      <c r="AF19" s="273"/>
      <c r="AG19" s="274"/>
      <c r="AH19" s="274"/>
      <c r="AI19" s="274"/>
      <c r="AJ19" s="274"/>
      <c r="AK19" s="274"/>
      <c r="AL19" s="274"/>
      <c r="AM19" s="274"/>
      <c r="AN19" s="274"/>
      <c r="AO19" s="274"/>
      <c r="AP19" s="274"/>
      <c r="AQ19" s="274"/>
      <c r="AR19" s="274"/>
      <c r="AS19" s="274"/>
      <c r="AT19" s="274"/>
      <c r="AU19" s="274"/>
      <c r="AV19" s="274"/>
      <c r="AW19" s="274"/>
      <c r="AX19" s="274"/>
      <c r="AY19" s="274"/>
      <c r="AZ19" s="274"/>
      <c r="BA19" s="274"/>
      <c r="BB19" s="274"/>
      <c r="BC19" s="274"/>
      <c r="BD19" s="274"/>
      <c r="BE19" s="274"/>
      <c r="BF19" s="274"/>
      <c r="BG19" s="274"/>
      <c r="BH19" s="274"/>
      <c r="BI19" s="275"/>
      <c r="BJ19" s="274"/>
      <c r="BK19" s="276"/>
    </row>
    <row r="20" spans="1:63" ht="15" customHeight="1" x14ac:dyDescent="0.25">
      <c r="A20" s="272"/>
      <c r="B20" s="273"/>
      <c r="C20" s="274"/>
      <c r="D20" s="274"/>
      <c r="E20" s="274"/>
      <c r="F20" s="274"/>
      <c r="G20" s="274"/>
      <c r="H20" s="274"/>
      <c r="I20" s="274"/>
      <c r="J20" s="274"/>
      <c r="K20" s="274"/>
      <c r="L20" s="274"/>
      <c r="M20" s="274"/>
      <c r="N20" s="274"/>
      <c r="O20" s="274"/>
      <c r="P20" s="274"/>
      <c r="Q20" s="274"/>
      <c r="R20" s="274"/>
      <c r="S20" s="274"/>
      <c r="T20" s="274"/>
      <c r="U20" s="274"/>
      <c r="V20" s="274"/>
      <c r="W20" s="274"/>
      <c r="X20" s="274"/>
      <c r="Y20" s="274"/>
      <c r="Z20" s="274"/>
      <c r="AA20" s="274"/>
      <c r="AB20" s="274"/>
      <c r="AC20" s="274"/>
      <c r="AD20" s="274"/>
      <c r="AE20" s="275"/>
      <c r="AF20" s="273"/>
      <c r="AG20" s="274"/>
      <c r="AH20" s="274"/>
      <c r="AI20" s="274"/>
      <c r="AJ20" s="274"/>
      <c r="AK20" s="274"/>
      <c r="AL20" s="274"/>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5"/>
      <c r="BJ20" s="274"/>
      <c r="BK20" s="276"/>
    </row>
    <row r="21" spans="1:63" ht="15" customHeight="1" x14ac:dyDescent="0.25">
      <c r="A21" s="272"/>
      <c r="B21" s="273"/>
      <c r="C21" s="274"/>
      <c r="D21" s="274"/>
      <c r="E21" s="274"/>
      <c r="F21" s="274"/>
      <c r="G21" s="274"/>
      <c r="H21" s="274"/>
      <c r="I21" s="274"/>
      <c r="J21" s="274"/>
      <c r="K21" s="274"/>
      <c r="L21" s="274"/>
      <c r="M21" s="274"/>
      <c r="N21" s="274"/>
      <c r="O21" s="274"/>
      <c r="P21" s="274"/>
      <c r="Q21" s="274"/>
      <c r="R21" s="274"/>
      <c r="S21" s="274"/>
      <c r="T21" s="274"/>
      <c r="U21" s="274"/>
      <c r="V21" s="274"/>
      <c r="W21" s="274"/>
      <c r="X21" s="274"/>
      <c r="Y21" s="274"/>
      <c r="Z21" s="274"/>
      <c r="AA21" s="274"/>
      <c r="AB21" s="274"/>
      <c r="AC21" s="274"/>
      <c r="AD21" s="274"/>
      <c r="AE21" s="275"/>
      <c r="AF21" s="273"/>
      <c r="AG21" s="274"/>
      <c r="AH21" s="274"/>
      <c r="AI21" s="274"/>
      <c r="AJ21" s="274"/>
      <c r="AK21" s="274"/>
      <c r="AL21" s="274"/>
      <c r="AM21" s="274"/>
      <c r="AN21" s="274"/>
      <c r="AO21" s="274"/>
      <c r="AP21" s="274"/>
      <c r="AQ21" s="274"/>
      <c r="AR21" s="274"/>
      <c r="AS21" s="274"/>
      <c r="AT21" s="274"/>
      <c r="AU21" s="274"/>
      <c r="AV21" s="274"/>
      <c r="AW21" s="274"/>
      <c r="AX21" s="274"/>
      <c r="AY21" s="274"/>
      <c r="AZ21" s="274"/>
      <c r="BA21" s="274"/>
      <c r="BB21" s="274"/>
      <c r="BC21" s="274"/>
      <c r="BD21" s="274"/>
      <c r="BE21" s="274"/>
      <c r="BF21" s="274"/>
      <c r="BG21" s="274"/>
      <c r="BH21" s="274"/>
      <c r="BI21" s="275"/>
      <c r="BJ21" s="274"/>
      <c r="BK21" s="276"/>
    </row>
    <row r="22" spans="1:63" ht="15" customHeight="1" x14ac:dyDescent="0.25">
      <c r="A22" s="272"/>
      <c r="B22" s="2" t="s">
        <v>12</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3"/>
      <c r="AF22" s="2"/>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3"/>
      <c r="BJ22" s="1"/>
      <c r="BK22" s="276"/>
    </row>
    <row r="23" spans="1:63" ht="15" customHeight="1" x14ac:dyDescent="0.25">
      <c r="A23" s="272"/>
      <c r="B23" s="273"/>
      <c r="C23" s="274"/>
      <c r="D23" s="274"/>
      <c r="E23" s="274"/>
      <c r="F23" s="274"/>
      <c r="G23" s="274"/>
      <c r="H23" s="274"/>
      <c r="I23" s="274"/>
      <c r="J23" s="274"/>
      <c r="K23" s="274"/>
      <c r="L23" s="274"/>
      <c r="M23" s="274"/>
      <c r="N23" s="274"/>
      <c r="O23" s="274"/>
      <c r="P23" s="274"/>
      <c r="Q23" s="274"/>
      <c r="R23" s="274"/>
      <c r="S23" s="274"/>
      <c r="T23" s="274"/>
      <c r="U23" s="274"/>
      <c r="V23" s="274"/>
      <c r="W23" s="274"/>
      <c r="X23" s="274"/>
      <c r="Y23" s="274"/>
      <c r="Z23" s="274"/>
      <c r="AA23" s="274"/>
      <c r="AB23" s="274"/>
      <c r="AC23" s="274"/>
      <c r="AD23" s="274"/>
      <c r="AE23" s="275"/>
      <c r="AF23" s="273"/>
      <c r="AG23" s="274"/>
      <c r="AH23" s="274"/>
      <c r="AI23" s="274"/>
      <c r="AJ23" s="274"/>
      <c r="AK23" s="274"/>
      <c r="AL23" s="274"/>
      <c r="AM23" s="274"/>
      <c r="AN23" s="274"/>
      <c r="AO23" s="274"/>
      <c r="AP23" s="274"/>
      <c r="AQ23" s="274"/>
      <c r="AR23" s="274"/>
      <c r="AS23" s="274"/>
      <c r="AT23" s="274"/>
      <c r="AU23" s="274"/>
      <c r="AV23" s="274"/>
      <c r="AW23" s="274"/>
      <c r="AX23" s="274"/>
      <c r="AY23" s="274"/>
      <c r="AZ23" s="274"/>
      <c r="BA23" s="274"/>
      <c r="BB23" s="274"/>
      <c r="BC23" s="274"/>
      <c r="BD23" s="274"/>
      <c r="BE23" s="274"/>
      <c r="BF23" s="274"/>
      <c r="BG23" s="274"/>
      <c r="BH23" s="274"/>
      <c r="BI23" s="275"/>
      <c r="BJ23" s="274"/>
      <c r="BK23" s="276"/>
    </row>
    <row r="24" spans="1:63" ht="15" customHeight="1" x14ac:dyDescent="0.25">
      <c r="A24" s="272"/>
      <c r="B24" s="273"/>
      <c r="C24" s="274"/>
      <c r="D24" s="274"/>
      <c r="E24" s="274"/>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5"/>
      <c r="AF24" s="273"/>
      <c r="AG24" s="274"/>
      <c r="AH24" s="274"/>
      <c r="AI24" s="274"/>
      <c r="AJ24" s="274"/>
      <c r="AK24" s="274"/>
      <c r="AL24" s="274"/>
      <c r="AM24" s="274"/>
      <c r="AN24" s="274"/>
      <c r="AO24" s="274"/>
      <c r="AP24" s="274"/>
      <c r="AQ24" s="274"/>
      <c r="AR24" s="274"/>
      <c r="AS24" s="274"/>
      <c r="AT24" s="274"/>
      <c r="AU24" s="274"/>
      <c r="AV24" s="274"/>
      <c r="AW24" s="274"/>
      <c r="AX24" s="274"/>
      <c r="AY24" s="274"/>
      <c r="AZ24" s="274"/>
      <c r="BA24" s="274"/>
      <c r="BB24" s="274"/>
      <c r="BC24" s="274"/>
      <c r="BD24" s="274"/>
      <c r="BE24" s="274"/>
      <c r="BF24" s="274"/>
      <c r="BG24" s="274"/>
      <c r="BH24" s="274"/>
      <c r="BI24" s="275"/>
      <c r="BJ24" s="274"/>
      <c r="BK24" s="276"/>
    </row>
    <row r="25" spans="1:63" ht="15" customHeight="1" x14ac:dyDescent="0.25">
      <c r="A25" s="272"/>
      <c r="B25" s="273"/>
      <c r="C25" s="274"/>
      <c r="D25" s="274"/>
      <c r="E25" s="274"/>
      <c r="F25" s="274"/>
      <c r="G25" s="274"/>
      <c r="H25" s="274"/>
      <c r="I25" s="274"/>
      <c r="J25" s="274"/>
      <c r="K25" s="274"/>
      <c r="L25" s="274"/>
      <c r="M25" s="274"/>
      <c r="N25" s="274"/>
      <c r="O25" s="274"/>
      <c r="P25" s="274"/>
      <c r="Q25" s="274"/>
      <c r="R25" s="274"/>
      <c r="S25" s="274"/>
      <c r="T25" s="274"/>
      <c r="U25" s="274"/>
      <c r="V25" s="274"/>
      <c r="W25" s="274"/>
      <c r="X25" s="274"/>
      <c r="Y25" s="274"/>
      <c r="Z25" s="274"/>
      <c r="AA25" s="274"/>
      <c r="AB25" s="274"/>
      <c r="AC25" s="274"/>
      <c r="AD25" s="274"/>
      <c r="AE25" s="275"/>
      <c r="AF25" s="273"/>
      <c r="AG25" s="274"/>
      <c r="AH25" s="274"/>
      <c r="AI25" s="274"/>
      <c r="AJ25" s="274"/>
      <c r="AK25" s="274"/>
      <c r="AL25" s="274"/>
      <c r="AM25" s="274"/>
      <c r="AN25" s="274"/>
      <c r="AO25" s="274"/>
      <c r="AP25" s="274"/>
      <c r="AQ25" s="274"/>
      <c r="AR25" s="274"/>
      <c r="AS25" s="274"/>
      <c r="AT25" s="274"/>
      <c r="AU25" s="274"/>
      <c r="AV25" s="274"/>
      <c r="AW25" s="274"/>
      <c r="AX25" s="274"/>
      <c r="AY25" s="274"/>
      <c r="AZ25" s="274"/>
      <c r="BA25" s="274"/>
      <c r="BB25" s="274"/>
      <c r="BC25" s="274"/>
      <c r="BD25" s="274"/>
      <c r="BE25" s="274"/>
      <c r="BF25" s="274"/>
      <c r="BG25" s="274"/>
      <c r="BH25" s="274"/>
      <c r="BI25" s="275"/>
      <c r="BJ25" s="274"/>
      <c r="BK25" s="276"/>
    </row>
    <row r="26" spans="1:63" ht="15" customHeight="1" x14ac:dyDescent="0.25">
      <c r="A26" s="272"/>
      <c r="B26" s="273"/>
      <c r="C26" s="274"/>
      <c r="D26" s="274"/>
      <c r="E26" s="274"/>
      <c r="F26" s="274"/>
      <c r="G26" s="274"/>
      <c r="H26" s="274"/>
      <c r="I26" s="274"/>
      <c r="J26" s="274"/>
      <c r="K26" s="274"/>
      <c r="L26" s="274"/>
      <c r="M26" s="274"/>
      <c r="N26" s="274"/>
      <c r="O26" s="274"/>
      <c r="P26" s="274"/>
      <c r="Q26" s="274"/>
      <c r="R26" s="274"/>
      <c r="S26" s="274"/>
      <c r="T26" s="274"/>
      <c r="U26" s="274"/>
      <c r="V26" s="274"/>
      <c r="W26" s="274"/>
      <c r="X26" s="274"/>
      <c r="Y26" s="274"/>
      <c r="Z26" s="274"/>
      <c r="AA26" s="274"/>
      <c r="AB26" s="274"/>
      <c r="AC26" s="274"/>
      <c r="AD26" s="274"/>
      <c r="AE26" s="275"/>
      <c r="AF26" s="273"/>
      <c r="AG26" s="274"/>
      <c r="AH26" s="274"/>
      <c r="AI26" s="274"/>
      <c r="AJ26" s="274"/>
      <c r="AK26" s="274"/>
      <c r="AL26" s="274"/>
      <c r="AM26" s="274"/>
      <c r="AN26" s="274"/>
      <c r="AO26" s="274"/>
      <c r="AP26" s="274"/>
      <c r="AQ26" s="274"/>
      <c r="AR26" s="274"/>
      <c r="AS26" s="274"/>
      <c r="AT26" s="274"/>
      <c r="AU26" s="274"/>
      <c r="AV26" s="274"/>
      <c r="AW26" s="274"/>
      <c r="AX26" s="274"/>
      <c r="AY26" s="274"/>
      <c r="AZ26" s="274"/>
      <c r="BA26" s="274"/>
      <c r="BB26" s="274"/>
      <c r="BC26" s="274"/>
      <c r="BD26" s="274"/>
      <c r="BE26" s="274"/>
      <c r="BF26" s="274"/>
      <c r="BG26" s="274"/>
      <c r="BH26" s="274"/>
      <c r="BI26" s="275"/>
      <c r="BJ26" s="274"/>
      <c r="BK26" s="276"/>
    </row>
    <row r="27" spans="1:63" ht="15" customHeight="1" x14ac:dyDescent="0.25">
      <c r="A27" s="272"/>
      <c r="B27" s="273"/>
      <c r="C27" s="274"/>
      <c r="D27" s="274"/>
      <c r="E27" s="274"/>
      <c r="F27" s="274"/>
      <c r="G27" s="274"/>
      <c r="H27" s="274"/>
      <c r="I27" s="274"/>
      <c r="J27" s="274"/>
      <c r="K27" s="274"/>
      <c r="L27" s="274"/>
      <c r="M27" s="274"/>
      <c r="N27" s="274"/>
      <c r="O27" s="274"/>
      <c r="P27" s="274"/>
      <c r="Q27" s="274"/>
      <c r="R27" s="274"/>
      <c r="S27" s="274"/>
      <c r="T27" s="274"/>
      <c r="U27" s="274"/>
      <c r="V27" s="274"/>
      <c r="W27" s="274"/>
      <c r="X27" s="274"/>
      <c r="Y27" s="274"/>
      <c r="Z27" s="274"/>
      <c r="AA27" s="274"/>
      <c r="AB27" s="274"/>
      <c r="AC27" s="274"/>
      <c r="AD27" s="274"/>
      <c r="AE27" s="275"/>
      <c r="AF27" s="273"/>
      <c r="AG27" s="274"/>
      <c r="AH27" s="274"/>
      <c r="AI27" s="274"/>
      <c r="AJ27" s="274"/>
      <c r="AK27" s="274"/>
      <c r="AL27" s="274"/>
      <c r="AM27" s="274"/>
      <c r="AN27" s="274"/>
      <c r="AO27" s="274"/>
      <c r="AP27" s="274"/>
      <c r="AQ27" s="274"/>
      <c r="AR27" s="274"/>
      <c r="AS27" s="274"/>
      <c r="AT27" s="274"/>
      <c r="AU27" s="274"/>
      <c r="AV27" s="274"/>
      <c r="AW27" s="274"/>
      <c r="AX27" s="274"/>
      <c r="AY27" s="274"/>
      <c r="AZ27" s="274"/>
      <c r="BA27" s="274"/>
      <c r="BB27" s="274"/>
      <c r="BC27" s="274"/>
      <c r="BD27" s="274"/>
      <c r="BE27" s="274"/>
      <c r="BF27" s="274"/>
      <c r="BG27" s="274"/>
      <c r="BH27" s="274"/>
      <c r="BI27" s="275"/>
      <c r="BJ27" s="274"/>
      <c r="BK27" s="276"/>
    </row>
    <row r="28" spans="1:63" ht="15" customHeight="1" x14ac:dyDescent="0.25">
      <c r="A28" s="272"/>
      <c r="B28" s="273"/>
      <c r="C28" s="274"/>
      <c r="D28" s="274"/>
      <c r="E28" s="274"/>
      <c r="F28" s="274"/>
      <c r="G28" s="274"/>
      <c r="H28" s="274"/>
      <c r="I28" s="274"/>
      <c r="J28" s="274"/>
      <c r="K28" s="274"/>
      <c r="L28" s="274"/>
      <c r="M28" s="274"/>
      <c r="N28" s="274"/>
      <c r="O28" s="274"/>
      <c r="P28" s="274"/>
      <c r="Q28" s="274"/>
      <c r="R28" s="274"/>
      <c r="S28" s="274"/>
      <c r="T28" s="274"/>
      <c r="U28" s="274"/>
      <c r="V28" s="274"/>
      <c r="W28" s="274"/>
      <c r="X28" s="274"/>
      <c r="Y28" s="274"/>
      <c r="Z28" s="274"/>
      <c r="AA28" s="274"/>
      <c r="AB28" s="274"/>
      <c r="AC28" s="274"/>
      <c r="AD28" s="274"/>
      <c r="AE28" s="275"/>
      <c r="AF28" s="273"/>
      <c r="AG28" s="274"/>
      <c r="AH28" s="274"/>
      <c r="AI28" s="274"/>
      <c r="AJ28" s="274"/>
      <c r="AK28" s="274"/>
      <c r="AL28" s="274"/>
      <c r="AM28" s="274"/>
      <c r="AN28" s="274"/>
      <c r="AO28" s="274"/>
      <c r="AP28" s="274"/>
      <c r="AQ28" s="274"/>
      <c r="AR28" s="274"/>
      <c r="AS28" s="274"/>
      <c r="AT28" s="274"/>
      <c r="AU28" s="274"/>
      <c r="AV28" s="274"/>
      <c r="AW28" s="274"/>
      <c r="AX28" s="274"/>
      <c r="AY28" s="274"/>
      <c r="AZ28" s="274"/>
      <c r="BA28" s="274"/>
      <c r="BB28" s="274"/>
      <c r="BC28" s="274"/>
      <c r="BD28" s="274"/>
      <c r="BE28" s="274"/>
      <c r="BF28" s="274"/>
      <c r="BG28" s="274"/>
      <c r="BH28" s="274"/>
      <c r="BI28" s="275"/>
      <c r="BJ28" s="274"/>
      <c r="BK28" s="276"/>
    </row>
    <row r="29" spans="1:63" ht="15" customHeight="1" x14ac:dyDescent="0.25">
      <c r="A29" s="272"/>
      <c r="B29" s="273"/>
      <c r="C29" s="274"/>
      <c r="D29" s="274"/>
      <c r="E29" s="274"/>
      <c r="F29" s="274"/>
      <c r="G29" s="274"/>
      <c r="H29" s="274"/>
      <c r="I29" s="274"/>
      <c r="J29" s="274"/>
      <c r="K29" s="274"/>
      <c r="L29" s="274"/>
      <c r="M29" s="274"/>
      <c r="N29" s="274"/>
      <c r="O29" s="274"/>
      <c r="P29" s="274"/>
      <c r="Q29" s="274"/>
      <c r="R29" s="274"/>
      <c r="S29" s="274"/>
      <c r="T29" s="274"/>
      <c r="U29" s="274"/>
      <c r="V29" s="274"/>
      <c r="W29" s="274"/>
      <c r="X29" s="274"/>
      <c r="Y29" s="274"/>
      <c r="Z29" s="274"/>
      <c r="AA29" s="274"/>
      <c r="AB29" s="274"/>
      <c r="AC29" s="274"/>
      <c r="AD29" s="274"/>
      <c r="AE29" s="275"/>
      <c r="AF29" s="273"/>
      <c r="AG29" s="274"/>
      <c r="AH29" s="274"/>
      <c r="AI29" s="274"/>
      <c r="AJ29" s="274"/>
      <c r="AK29" s="274"/>
      <c r="AL29" s="274"/>
      <c r="AM29" s="274"/>
      <c r="AN29" s="274"/>
      <c r="AO29" s="274"/>
      <c r="AP29" s="274"/>
      <c r="AQ29" s="274"/>
      <c r="AR29" s="274"/>
      <c r="AS29" s="274"/>
      <c r="AT29" s="274"/>
      <c r="AU29" s="274"/>
      <c r="AV29" s="274"/>
      <c r="AW29" s="274"/>
      <c r="AX29" s="274"/>
      <c r="AY29" s="274"/>
      <c r="AZ29" s="274"/>
      <c r="BA29" s="274"/>
      <c r="BB29" s="274"/>
      <c r="BC29" s="274"/>
      <c r="BD29" s="274"/>
      <c r="BE29" s="274"/>
      <c r="BF29" s="274"/>
      <c r="BG29" s="274"/>
      <c r="BH29" s="274"/>
      <c r="BI29" s="275"/>
      <c r="BJ29" s="274"/>
      <c r="BK29" s="276"/>
    </row>
    <row r="30" spans="1:63" ht="15" customHeight="1" x14ac:dyDescent="0.25">
      <c r="A30" s="272"/>
      <c r="B30" s="273"/>
      <c r="C30" s="274"/>
      <c r="D30" s="274"/>
      <c r="E30" s="274"/>
      <c r="F30" s="274"/>
      <c r="G30" s="274"/>
      <c r="H30" s="274"/>
      <c r="I30" s="274"/>
      <c r="J30" s="274"/>
      <c r="K30" s="274"/>
      <c r="L30" s="274"/>
      <c r="M30" s="274"/>
      <c r="N30" s="274"/>
      <c r="O30" s="274"/>
      <c r="P30" s="274"/>
      <c r="Q30" s="274"/>
      <c r="R30" s="274"/>
      <c r="S30" s="274"/>
      <c r="T30" s="274"/>
      <c r="U30" s="274"/>
      <c r="V30" s="274"/>
      <c r="W30" s="274"/>
      <c r="X30" s="274"/>
      <c r="Y30" s="274"/>
      <c r="Z30" s="274"/>
      <c r="AA30" s="274"/>
      <c r="AB30" s="274"/>
      <c r="AC30" s="274"/>
      <c r="AD30" s="274"/>
      <c r="AE30" s="275"/>
      <c r="AF30" s="273"/>
      <c r="AG30" s="274"/>
      <c r="AH30" s="274"/>
      <c r="AI30" s="274"/>
      <c r="AJ30" s="274"/>
      <c r="AK30" s="274"/>
      <c r="AL30" s="274"/>
      <c r="AM30" s="274"/>
      <c r="AN30" s="274"/>
      <c r="AO30" s="274"/>
      <c r="AP30" s="274"/>
      <c r="AQ30" s="274"/>
      <c r="AR30" s="274"/>
      <c r="AS30" s="274"/>
      <c r="AT30" s="274"/>
      <c r="AU30" s="274"/>
      <c r="AV30" s="274"/>
      <c r="AW30" s="274"/>
      <c r="AX30" s="274"/>
      <c r="AY30" s="274"/>
      <c r="AZ30" s="274"/>
      <c r="BA30" s="274"/>
      <c r="BB30" s="274"/>
      <c r="BC30" s="274"/>
      <c r="BD30" s="274"/>
      <c r="BE30" s="274"/>
      <c r="BF30" s="274"/>
      <c r="BG30" s="274"/>
      <c r="BH30" s="274"/>
      <c r="BI30" s="275"/>
      <c r="BJ30" s="274"/>
      <c r="BK30" s="276"/>
    </row>
    <row r="31" spans="1:63" ht="15" customHeight="1" x14ac:dyDescent="0.25">
      <c r="A31" s="272"/>
      <c r="B31" s="273"/>
      <c r="C31" s="274"/>
      <c r="D31" s="274"/>
      <c r="E31" s="274"/>
      <c r="F31" s="274"/>
      <c r="G31" s="274"/>
      <c r="H31" s="274"/>
      <c r="I31" s="274"/>
      <c r="J31" s="274"/>
      <c r="K31" s="274"/>
      <c r="L31" s="274"/>
      <c r="M31" s="274"/>
      <c r="N31" s="274"/>
      <c r="O31" s="274"/>
      <c r="P31" s="274"/>
      <c r="Q31" s="274"/>
      <c r="R31" s="274"/>
      <c r="S31" s="274"/>
      <c r="T31" s="274"/>
      <c r="U31" s="274"/>
      <c r="V31" s="274"/>
      <c r="W31" s="274"/>
      <c r="X31" s="274"/>
      <c r="Y31" s="274"/>
      <c r="Z31" s="274"/>
      <c r="AA31" s="274"/>
      <c r="AB31" s="274"/>
      <c r="AC31" s="274"/>
      <c r="AD31" s="274"/>
      <c r="AE31" s="275"/>
      <c r="AF31" s="273"/>
      <c r="AG31" s="274"/>
      <c r="AH31" s="274"/>
      <c r="AI31" s="274"/>
      <c r="AJ31" s="274"/>
      <c r="AK31" s="274"/>
      <c r="AL31" s="274"/>
      <c r="AM31" s="274"/>
      <c r="AN31" s="274"/>
      <c r="AO31" s="274"/>
      <c r="AP31" s="274"/>
      <c r="AQ31" s="274"/>
      <c r="AR31" s="274"/>
      <c r="AS31" s="274"/>
      <c r="AT31" s="274"/>
      <c r="AU31" s="274"/>
      <c r="AV31" s="274"/>
      <c r="AW31" s="274"/>
      <c r="AX31" s="274"/>
      <c r="AY31" s="274"/>
      <c r="AZ31" s="274"/>
      <c r="BA31" s="274"/>
      <c r="BB31" s="274"/>
      <c r="BC31" s="274"/>
      <c r="BD31" s="274"/>
      <c r="BE31" s="274"/>
      <c r="BF31" s="274"/>
      <c r="BG31" s="274"/>
      <c r="BH31" s="274"/>
      <c r="BI31" s="275"/>
      <c r="BJ31" s="274"/>
      <c r="BK31" s="276"/>
    </row>
    <row r="32" spans="1:63" ht="15" customHeight="1" x14ac:dyDescent="0.25">
      <c r="A32" s="272"/>
      <c r="B32" s="273"/>
      <c r="C32" s="274"/>
      <c r="D32" s="274"/>
      <c r="E32" s="274"/>
      <c r="F32" s="274"/>
      <c r="G32" s="274"/>
      <c r="H32" s="274"/>
      <c r="I32" s="274"/>
      <c r="J32" s="274"/>
      <c r="K32" s="274"/>
      <c r="L32" s="274"/>
      <c r="M32" s="274"/>
      <c r="N32" s="274"/>
      <c r="O32" s="274"/>
      <c r="P32" s="274"/>
      <c r="Q32" s="274"/>
      <c r="R32" s="274"/>
      <c r="S32" s="274"/>
      <c r="T32" s="274"/>
      <c r="U32" s="274"/>
      <c r="V32" s="274"/>
      <c r="W32" s="274"/>
      <c r="X32" s="274"/>
      <c r="Y32" s="274"/>
      <c r="Z32" s="274"/>
      <c r="AA32" s="274"/>
      <c r="AB32" s="274"/>
      <c r="AC32" s="274"/>
      <c r="AD32" s="274"/>
      <c r="AE32" s="275"/>
      <c r="AF32" s="273"/>
      <c r="AG32" s="274"/>
      <c r="AH32" s="274"/>
      <c r="AI32" s="274"/>
      <c r="AJ32" s="274"/>
      <c r="AK32" s="274"/>
      <c r="AL32" s="274"/>
      <c r="AM32" s="274"/>
      <c r="AN32" s="274"/>
      <c r="AO32" s="274"/>
      <c r="AP32" s="274"/>
      <c r="AQ32" s="274"/>
      <c r="AR32" s="274"/>
      <c r="AS32" s="274"/>
      <c r="AT32" s="274"/>
      <c r="AU32" s="274"/>
      <c r="AV32" s="274"/>
      <c r="AW32" s="274"/>
      <c r="AX32" s="274"/>
      <c r="AY32" s="274"/>
      <c r="AZ32" s="274"/>
      <c r="BA32" s="274"/>
      <c r="BB32" s="274"/>
      <c r="BC32" s="274"/>
      <c r="BD32" s="274"/>
      <c r="BE32" s="274"/>
      <c r="BF32" s="274"/>
      <c r="BG32" s="274"/>
      <c r="BH32" s="274"/>
      <c r="BI32" s="275"/>
      <c r="BJ32" s="274"/>
      <c r="BK32" s="276"/>
    </row>
    <row r="33" spans="1:63" ht="15" customHeight="1" x14ac:dyDescent="0.25">
      <c r="A33" s="272"/>
      <c r="B33" s="273"/>
      <c r="C33" s="274"/>
      <c r="D33" s="274"/>
      <c r="E33" s="274"/>
      <c r="F33" s="274"/>
      <c r="G33" s="274"/>
      <c r="H33" s="274"/>
      <c r="I33" s="274"/>
      <c r="J33" s="274"/>
      <c r="K33" s="274"/>
      <c r="L33" s="274"/>
      <c r="M33" s="274"/>
      <c r="N33" s="274"/>
      <c r="O33" s="274"/>
      <c r="P33" s="274"/>
      <c r="Q33" s="274"/>
      <c r="R33" s="274"/>
      <c r="S33" s="274"/>
      <c r="T33" s="274"/>
      <c r="U33" s="274"/>
      <c r="V33" s="274"/>
      <c r="W33" s="274"/>
      <c r="X33" s="274"/>
      <c r="Y33" s="274"/>
      <c r="Z33" s="274"/>
      <c r="AA33" s="274"/>
      <c r="AB33" s="274"/>
      <c r="AC33" s="274"/>
      <c r="AD33" s="274"/>
      <c r="AE33" s="275"/>
      <c r="AF33" s="273"/>
      <c r="AG33" s="274"/>
      <c r="AH33" s="274"/>
      <c r="AI33" s="274"/>
      <c r="AJ33" s="274"/>
      <c r="AK33" s="274"/>
      <c r="AL33" s="274"/>
      <c r="AM33" s="274"/>
      <c r="AN33" s="274"/>
      <c r="AO33" s="274"/>
      <c r="AP33" s="274"/>
      <c r="AQ33" s="274"/>
      <c r="AR33" s="274"/>
      <c r="AS33" s="274"/>
      <c r="AT33" s="274"/>
      <c r="AU33" s="274"/>
      <c r="AV33" s="274"/>
      <c r="AW33" s="274"/>
      <c r="AX33" s="274"/>
      <c r="AY33" s="274"/>
      <c r="AZ33" s="274"/>
      <c r="BA33" s="274"/>
      <c r="BB33" s="274"/>
      <c r="BC33" s="274"/>
      <c r="BD33" s="274"/>
      <c r="BE33" s="274"/>
      <c r="BF33" s="274"/>
      <c r="BG33" s="274"/>
      <c r="BH33" s="274"/>
      <c r="BI33" s="275"/>
      <c r="BJ33" s="274"/>
      <c r="BK33" s="276"/>
    </row>
    <row r="34" spans="1:63" ht="15" customHeight="1" x14ac:dyDescent="0.25">
      <c r="A34" s="272"/>
      <c r="B34" s="273"/>
      <c r="C34" s="274"/>
      <c r="D34" s="274"/>
      <c r="E34" s="274"/>
      <c r="F34" s="274"/>
      <c r="G34" s="274"/>
      <c r="H34" s="274"/>
      <c r="I34" s="274"/>
      <c r="J34" s="274"/>
      <c r="K34" s="274"/>
      <c r="L34" s="274"/>
      <c r="M34" s="274"/>
      <c r="N34" s="274"/>
      <c r="O34" s="274"/>
      <c r="P34" s="274"/>
      <c r="Q34" s="274"/>
      <c r="R34" s="274"/>
      <c r="S34" s="274"/>
      <c r="T34" s="274"/>
      <c r="U34" s="274"/>
      <c r="V34" s="274"/>
      <c r="W34" s="274"/>
      <c r="X34" s="274"/>
      <c r="Y34" s="274"/>
      <c r="Z34" s="274"/>
      <c r="AA34" s="274"/>
      <c r="AB34" s="274"/>
      <c r="AC34" s="274"/>
      <c r="AD34" s="274"/>
      <c r="AE34" s="275"/>
      <c r="AF34" s="273"/>
      <c r="AG34" s="274"/>
      <c r="AH34" s="274"/>
      <c r="AI34" s="274"/>
      <c r="AJ34" s="274"/>
      <c r="AK34" s="274"/>
      <c r="AL34" s="274"/>
      <c r="AM34" s="274"/>
      <c r="AN34" s="274"/>
      <c r="AO34" s="274"/>
      <c r="AP34" s="274"/>
      <c r="AQ34" s="274"/>
      <c r="AR34" s="274"/>
      <c r="AS34" s="274"/>
      <c r="AT34" s="274"/>
      <c r="AU34" s="274"/>
      <c r="AV34" s="274"/>
      <c r="AW34" s="274"/>
      <c r="AX34" s="274"/>
      <c r="AY34" s="274"/>
      <c r="AZ34" s="274"/>
      <c r="BA34" s="274"/>
      <c r="BB34" s="274"/>
      <c r="BC34" s="274"/>
      <c r="BD34" s="274"/>
      <c r="BE34" s="274"/>
      <c r="BF34" s="274"/>
      <c r="BG34" s="274"/>
      <c r="BH34" s="274"/>
      <c r="BI34" s="275"/>
      <c r="BJ34" s="274"/>
      <c r="BK34" s="276"/>
    </row>
    <row r="35" spans="1:63" ht="15" customHeight="1" x14ac:dyDescent="0.25">
      <c r="A35" s="272"/>
      <c r="B35" s="273"/>
      <c r="C35" s="274"/>
      <c r="D35" s="274"/>
      <c r="E35" s="274"/>
      <c r="F35" s="274"/>
      <c r="G35" s="274"/>
      <c r="H35" s="274"/>
      <c r="I35" s="274"/>
      <c r="J35" s="274"/>
      <c r="K35" s="274"/>
      <c r="L35" s="274"/>
      <c r="M35" s="274"/>
      <c r="N35" s="274"/>
      <c r="O35" s="274"/>
      <c r="P35" s="274"/>
      <c r="Q35" s="274"/>
      <c r="R35" s="274"/>
      <c r="S35" s="274"/>
      <c r="T35" s="274"/>
      <c r="U35" s="274"/>
      <c r="V35" s="274"/>
      <c r="W35" s="274"/>
      <c r="X35" s="274"/>
      <c r="Y35" s="274"/>
      <c r="Z35" s="274"/>
      <c r="AA35" s="274"/>
      <c r="AB35" s="274"/>
      <c r="AC35" s="274"/>
      <c r="AD35" s="274"/>
      <c r="AE35" s="275"/>
      <c r="AF35" s="273"/>
      <c r="AG35" s="274"/>
      <c r="AH35" s="274"/>
      <c r="AI35" s="274"/>
      <c r="AJ35" s="274"/>
      <c r="AK35" s="274"/>
      <c r="AL35" s="274"/>
      <c r="AM35" s="274"/>
      <c r="AN35" s="274"/>
      <c r="AO35" s="274"/>
      <c r="AP35" s="274"/>
      <c r="AQ35" s="274"/>
      <c r="AR35" s="274"/>
      <c r="AS35" s="274"/>
      <c r="AT35" s="274"/>
      <c r="AU35" s="274"/>
      <c r="AV35" s="274"/>
      <c r="AW35" s="274"/>
      <c r="AX35" s="274"/>
      <c r="AY35" s="274"/>
      <c r="AZ35" s="274"/>
      <c r="BA35" s="274"/>
      <c r="BB35" s="274"/>
      <c r="BC35" s="274"/>
      <c r="BD35" s="274"/>
      <c r="BE35" s="274"/>
      <c r="BF35" s="274"/>
      <c r="BG35" s="274"/>
      <c r="BH35" s="274"/>
      <c r="BI35" s="275"/>
      <c r="BJ35" s="274"/>
      <c r="BK35" s="276"/>
    </row>
    <row r="36" spans="1:63" ht="15" customHeight="1" x14ac:dyDescent="0.25">
      <c r="A36" s="272"/>
      <c r="B36" s="273"/>
      <c r="C36" s="274"/>
      <c r="D36" s="274"/>
      <c r="E36" s="274"/>
      <c r="F36" s="274"/>
      <c r="G36" s="274"/>
      <c r="H36" s="274"/>
      <c r="I36" s="274"/>
      <c r="J36" s="274"/>
      <c r="K36" s="274"/>
      <c r="L36" s="274"/>
      <c r="M36" s="274"/>
      <c r="N36" s="274"/>
      <c r="O36" s="274"/>
      <c r="P36" s="274"/>
      <c r="Q36" s="274"/>
      <c r="R36" s="274"/>
      <c r="S36" s="274"/>
      <c r="T36" s="274"/>
      <c r="U36" s="274"/>
      <c r="V36" s="274"/>
      <c r="W36" s="274"/>
      <c r="X36" s="274"/>
      <c r="Y36" s="274"/>
      <c r="Z36" s="274"/>
      <c r="AA36" s="274"/>
      <c r="AB36" s="274"/>
      <c r="AC36" s="274"/>
      <c r="AD36" s="274"/>
      <c r="AE36" s="275"/>
      <c r="AF36" s="273"/>
      <c r="AG36" s="274"/>
      <c r="AH36" s="274"/>
      <c r="AI36" s="274"/>
      <c r="AJ36" s="274"/>
      <c r="AK36" s="274"/>
      <c r="AL36" s="274"/>
      <c r="AM36" s="274"/>
      <c r="AN36" s="274"/>
      <c r="AO36" s="274"/>
      <c r="AP36" s="274"/>
      <c r="AQ36" s="274"/>
      <c r="AR36" s="274"/>
      <c r="AS36" s="274"/>
      <c r="AT36" s="274"/>
      <c r="AU36" s="274"/>
      <c r="AV36" s="274"/>
      <c r="AW36" s="274"/>
      <c r="AX36" s="274"/>
      <c r="AY36" s="274"/>
      <c r="AZ36" s="274"/>
      <c r="BA36" s="274"/>
      <c r="BB36" s="274"/>
      <c r="BC36" s="274"/>
      <c r="BD36" s="274"/>
      <c r="BE36" s="274"/>
      <c r="BF36" s="274"/>
      <c r="BG36" s="274"/>
      <c r="BH36" s="274"/>
      <c r="BI36" s="275"/>
      <c r="BJ36" s="274"/>
      <c r="BK36" s="276"/>
    </row>
    <row r="37" spans="1:63" ht="15" customHeight="1" x14ac:dyDescent="0.25">
      <c r="A37" s="272"/>
      <c r="B37" s="273"/>
      <c r="C37" s="274"/>
      <c r="D37" s="274"/>
      <c r="E37" s="274"/>
      <c r="F37" s="274"/>
      <c r="G37" s="274"/>
      <c r="H37" s="274"/>
      <c r="I37" s="274"/>
      <c r="J37" s="274"/>
      <c r="K37" s="274"/>
      <c r="L37" s="274"/>
      <c r="M37" s="274"/>
      <c r="N37" s="274"/>
      <c r="O37" s="274"/>
      <c r="P37" s="274"/>
      <c r="Q37" s="274"/>
      <c r="R37" s="274"/>
      <c r="S37" s="274"/>
      <c r="T37" s="274"/>
      <c r="U37" s="274"/>
      <c r="V37" s="274"/>
      <c r="W37" s="274"/>
      <c r="X37" s="274"/>
      <c r="Y37" s="274"/>
      <c r="Z37" s="274"/>
      <c r="AA37" s="274"/>
      <c r="AB37" s="274"/>
      <c r="AC37" s="274"/>
      <c r="AD37" s="274"/>
      <c r="AE37" s="274"/>
      <c r="AF37" s="273"/>
      <c r="AG37" s="274"/>
      <c r="AH37" s="274"/>
      <c r="AI37" s="274"/>
      <c r="AJ37" s="274"/>
      <c r="AK37" s="274"/>
      <c r="AL37" s="274"/>
      <c r="AM37" s="274"/>
      <c r="AN37" s="274"/>
      <c r="AO37" s="274"/>
      <c r="AP37" s="274"/>
      <c r="AQ37" s="274"/>
      <c r="AR37" s="274"/>
      <c r="AS37" s="274"/>
      <c r="AT37" s="274"/>
      <c r="AU37" s="274"/>
      <c r="AV37" s="274"/>
      <c r="AW37" s="274"/>
      <c r="AX37" s="274"/>
      <c r="AY37" s="274"/>
      <c r="AZ37" s="274"/>
      <c r="BA37" s="274"/>
      <c r="BB37" s="274"/>
      <c r="BC37" s="274"/>
      <c r="BD37" s="274"/>
      <c r="BE37" s="274"/>
      <c r="BF37" s="274"/>
      <c r="BG37" s="274"/>
      <c r="BH37" s="274"/>
      <c r="BI37" s="275"/>
      <c r="BJ37" s="274"/>
      <c r="BK37" s="276"/>
    </row>
    <row r="38" spans="1:63" ht="15" customHeight="1" x14ac:dyDescent="0.25">
      <c r="A38" s="272"/>
      <c r="B38" s="273"/>
      <c r="C38" s="274"/>
      <c r="D38" s="274"/>
      <c r="E38" s="274"/>
      <c r="F38" s="274"/>
      <c r="G38" s="274"/>
      <c r="H38" s="274"/>
      <c r="I38" s="274"/>
      <c r="J38" s="274"/>
      <c r="K38" s="274"/>
      <c r="L38" s="274"/>
      <c r="M38" s="274"/>
      <c r="N38" s="274"/>
      <c r="O38" s="274"/>
      <c r="P38" s="274"/>
      <c r="Q38" s="274"/>
      <c r="R38" s="274"/>
      <c r="S38" s="274"/>
      <c r="T38" s="274"/>
      <c r="U38" s="274"/>
      <c r="V38" s="274"/>
      <c r="W38" s="274"/>
      <c r="X38" s="274"/>
      <c r="Y38" s="274"/>
      <c r="Z38" s="274"/>
      <c r="AA38" s="274"/>
      <c r="AB38" s="274"/>
      <c r="AC38" s="274"/>
      <c r="AD38" s="274"/>
      <c r="AE38" s="274"/>
      <c r="AF38" s="273"/>
      <c r="AG38" s="274"/>
      <c r="AH38" s="274"/>
      <c r="AI38" s="274"/>
      <c r="AJ38" s="274"/>
      <c r="AK38" s="274"/>
      <c r="AL38" s="274"/>
      <c r="AM38" s="274"/>
      <c r="AN38" s="274"/>
      <c r="AO38" s="274"/>
      <c r="AP38" s="274"/>
      <c r="AQ38" s="274"/>
      <c r="AR38" s="274"/>
      <c r="AS38" s="274"/>
      <c r="AT38" s="274"/>
      <c r="AU38" s="274"/>
      <c r="AV38" s="274"/>
      <c r="AW38" s="274"/>
      <c r="AX38" s="274"/>
      <c r="AY38" s="274"/>
      <c r="AZ38" s="274"/>
      <c r="BA38" s="274"/>
      <c r="BB38" s="274"/>
      <c r="BC38" s="274"/>
      <c r="BD38" s="274"/>
      <c r="BE38" s="274"/>
      <c r="BF38" s="274"/>
      <c r="BG38" s="274"/>
      <c r="BH38" s="274"/>
      <c r="BI38" s="275"/>
      <c r="BJ38" s="274"/>
      <c r="BK38" s="276"/>
    </row>
    <row r="39" spans="1:63" ht="15" customHeight="1" x14ac:dyDescent="0.25">
      <c r="A39" s="272"/>
      <c r="B39" s="273"/>
      <c r="C39" s="274"/>
      <c r="D39" s="274"/>
      <c r="E39" s="274"/>
      <c r="F39" s="274"/>
      <c r="G39" s="274"/>
      <c r="H39" s="274"/>
      <c r="I39" s="274"/>
      <c r="J39" s="274"/>
      <c r="K39" s="274"/>
      <c r="L39" s="274"/>
      <c r="M39" s="274"/>
      <c r="N39" s="274"/>
      <c r="O39" s="274"/>
      <c r="P39" s="274"/>
      <c r="Q39" s="274"/>
      <c r="R39" s="274"/>
      <c r="S39" s="274"/>
      <c r="T39" s="274"/>
      <c r="U39" s="274"/>
      <c r="V39" s="274"/>
      <c r="W39" s="274"/>
      <c r="X39" s="274"/>
      <c r="Y39" s="274"/>
      <c r="Z39" s="274"/>
      <c r="AA39" s="274"/>
      <c r="AB39" s="274"/>
      <c r="AC39" s="274"/>
      <c r="AD39" s="274"/>
      <c r="AE39" s="274"/>
      <c r="AF39" s="273"/>
      <c r="AG39" s="274"/>
      <c r="AH39" s="274"/>
      <c r="AI39" s="274"/>
      <c r="AJ39" s="274"/>
      <c r="AK39" s="274"/>
      <c r="AL39" s="274"/>
      <c r="AM39" s="274"/>
      <c r="AN39" s="274"/>
      <c r="AO39" s="274"/>
      <c r="AP39" s="274"/>
      <c r="AQ39" s="274"/>
      <c r="AR39" s="274"/>
      <c r="AS39" s="274"/>
      <c r="AT39" s="274"/>
      <c r="AU39" s="274"/>
      <c r="AV39" s="274"/>
      <c r="AW39" s="274"/>
      <c r="AX39" s="274"/>
      <c r="AY39" s="274"/>
      <c r="AZ39" s="274"/>
      <c r="BA39" s="274"/>
      <c r="BB39" s="274"/>
      <c r="BC39" s="274"/>
      <c r="BD39" s="274"/>
      <c r="BE39" s="274"/>
      <c r="BF39" s="274"/>
      <c r="BG39" s="274"/>
      <c r="BH39" s="274"/>
      <c r="BI39" s="275"/>
      <c r="BJ39" s="274"/>
      <c r="BK39" s="276"/>
    </row>
    <row r="40" spans="1:63" ht="15" customHeight="1" x14ac:dyDescent="0.25">
      <c r="A40" s="272"/>
      <c r="B40" s="273"/>
      <c r="C40" s="274"/>
      <c r="D40" s="274"/>
      <c r="E40" s="274"/>
      <c r="F40" s="274"/>
      <c r="G40" s="274"/>
      <c r="H40" s="274"/>
      <c r="I40" s="274"/>
      <c r="J40" s="274"/>
      <c r="K40" s="274"/>
      <c r="L40" s="274"/>
      <c r="M40" s="274"/>
      <c r="N40" s="274"/>
      <c r="O40" s="274"/>
      <c r="P40" s="274"/>
      <c r="Q40" s="274"/>
      <c r="R40" s="274"/>
      <c r="S40" s="274"/>
      <c r="T40" s="274"/>
      <c r="U40" s="274"/>
      <c r="V40" s="274"/>
      <c r="W40" s="274"/>
      <c r="X40" s="274"/>
      <c r="Y40" s="274"/>
      <c r="Z40" s="274"/>
      <c r="AA40" s="274"/>
      <c r="AB40" s="274"/>
      <c r="AC40" s="274"/>
      <c r="AD40" s="274"/>
      <c r="AE40" s="274"/>
      <c r="AF40" s="273"/>
      <c r="AG40" s="274"/>
      <c r="AH40" s="274"/>
      <c r="AI40" s="274"/>
      <c r="AJ40" s="274"/>
      <c r="AK40" s="274"/>
      <c r="AL40" s="274"/>
      <c r="AM40" s="274"/>
      <c r="AN40" s="274"/>
      <c r="AO40" s="274"/>
      <c r="AP40" s="274"/>
      <c r="AQ40" s="274"/>
      <c r="AR40" s="274"/>
      <c r="AS40" s="274"/>
      <c r="AT40" s="274"/>
      <c r="AU40" s="274"/>
      <c r="AV40" s="274"/>
      <c r="AW40" s="274"/>
      <c r="AX40" s="274"/>
      <c r="AY40" s="274"/>
      <c r="AZ40" s="274"/>
      <c r="BA40" s="274"/>
      <c r="BB40" s="274"/>
      <c r="BC40" s="274"/>
      <c r="BD40" s="274"/>
      <c r="BE40" s="274"/>
      <c r="BF40" s="274"/>
      <c r="BG40" s="274"/>
      <c r="BH40" s="274"/>
      <c r="BI40" s="275"/>
      <c r="BJ40" s="274"/>
      <c r="BK40" s="276"/>
    </row>
    <row r="41" spans="1:63" ht="15" customHeight="1" x14ac:dyDescent="0.25">
      <c r="A41" s="272"/>
      <c r="B41" s="273"/>
      <c r="C41" s="274"/>
      <c r="D41" s="274"/>
      <c r="E41" s="274"/>
      <c r="F41" s="274"/>
      <c r="G41" s="274"/>
      <c r="H41" s="274"/>
      <c r="I41" s="274"/>
      <c r="J41" s="274"/>
      <c r="K41" s="274"/>
      <c r="L41" s="274"/>
      <c r="M41" s="274"/>
      <c r="N41" s="274"/>
      <c r="O41" s="274"/>
      <c r="P41" s="274"/>
      <c r="Q41" s="274"/>
      <c r="R41" s="274"/>
      <c r="S41" s="274"/>
      <c r="T41" s="274"/>
      <c r="U41" s="274"/>
      <c r="V41" s="274"/>
      <c r="W41" s="274"/>
      <c r="X41" s="274"/>
      <c r="Y41" s="274"/>
      <c r="Z41" s="274"/>
      <c r="AA41" s="274"/>
      <c r="AB41" s="274"/>
      <c r="AC41" s="274"/>
      <c r="AD41" s="274"/>
      <c r="AE41" s="274"/>
      <c r="AF41" s="273"/>
      <c r="AG41" s="274"/>
      <c r="AH41" s="274"/>
      <c r="AI41" s="274"/>
      <c r="AJ41" s="274"/>
      <c r="AK41" s="274"/>
      <c r="AL41" s="274"/>
      <c r="AM41" s="274"/>
      <c r="AN41" s="274"/>
      <c r="AO41" s="274"/>
      <c r="AP41" s="274"/>
      <c r="AQ41" s="274"/>
      <c r="AR41" s="274"/>
      <c r="AS41" s="274"/>
      <c r="AT41" s="274"/>
      <c r="AU41" s="274"/>
      <c r="AV41" s="274"/>
      <c r="AW41" s="274"/>
      <c r="AX41" s="274"/>
      <c r="AY41" s="274"/>
      <c r="AZ41" s="274"/>
      <c r="BA41" s="274"/>
      <c r="BB41" s="274"/>
      <c r="BC41" s="274"/>
      <c r="BD41" s="274"/>
      <c r="BE41" s="274"/>
      <c r="BF41" s="274"/>
      <c r="BG41" s="274"/>
      <c r="BH41" s="274"/>
      <c r="BI41" s="275"/>
      <c r="BJ41" s="274"/>
      <c r="BK41" s="276"/>
    </row>
    <row r="42" spans="1:63" ht="15" customHeight="1" x14ac:dyDescent="0.25">
      <c r="A42" s="272"/>
      <c r="B42" s="2" t="s">
        <v>13</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3"/>
      <c r="AF42" s="2"/>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3"/>
      <c r="BJ42" s="1"/>
      <c r="BK42" s="276"/>
    </row>
    <row r="43" spans="1:63" ht="15" customHeight="1" x14ac:dyDescent="0.25">
      <c r="A43" s="272"/>
      <c r="B43" s="273"/>
      <c r="C43" s="274"/>
      <c r="D43" s="274"/>
      <c r="E43" s="274"/>
      <c r="F43" s="274"/>
      <c r="G43" s="274"/>
      <c r="H43" s="274"/>
      <c r="I43" s="274"/>
      <c r="J43" s="274"/>
      <c r="K43" s="274"/>
      <c r="L43" s="274"/>
      <c r="M43" s="274"/>
      <c r="N43" s="274"/>
      <c r="O43" s="274"/>
      <c r="P43" s="274"/>
      <c r="Q43" s="274"/>
      <c r="R43" s="274"/>
      <c r="S43" s="274"/>
      <c r="T43" s="274"/>
      <c r="U43" s="274"/>
      <c r="V43" s="274"/>
      <c r="W43" s="274"/>
      <c r="X43" s="274"/>
      <c r="Y43" s="274"/>
      <c r="Z43" s="274"/>
      <c r="AA43" s="274"/>
      <c r="AB43" s="274"/>
      <c r="AC43" s="274"/>
      <c r="AD43" s="274"/>
      <c r="AE43" s="275"/>
      <c r="AF43" s="273"/>
      <c r="AG43" s="274"/>
      <c r="AH43" s="274"/>
      <c r="AI43" s="274"/>
      <c r="AJ43" s="274"/>
      <c r="AK43" s="274"/>
      <c r="AL43" s="274"/>
      <c r="AM43" s="274"/>
      <c r="AN43" s="274"/>
      <c r="AO43" s="274"/>
      <c r="AP43" s="274"/>
      <c r="AQ43" s="274"/>
      <c r="AR43" s="274"/>
      <c r="AS43" s="274"/>
      <c r="AT43" s="274"/>
      <c r="AU43" s="274"/>
      <c r="AV43" s="274"/>
      <c r="AW43" s="274"/>
      <c r="AX43" s="274"/>
      <c r="AY43" s="274"/>
      <c r="AZ43" s="274"/>
      <c r="BA43" s="274"/>
      <c r="BB43" s="274"/>
      <c r="BC43" s="274"/>
      <c r="BD43" s="274"/>
      <c r="BE43" s="274"/>
      <c r="BF43" s="274"/>
      <c r="BG43" s="274"/>
      <c r="BH43" s="274"/>
      <c r="BI43" s="275"/>
      <c r="BJ43" s="274"/>
      <c r="BK43" s="276"/>
    </row>
    <row r="44" spans="1:63" ht="15" customHeight="1" x14ac:dyDescent="0.25">
      <c r="A44" s="272"/>
      <c r="B44" s="273"/>
      <c r="C44" s="274"/>
      <c r="D44" s="274"/>
      <c r="E44" s="274"/>
      <c r="F44" s="274"/>
      <c r="G44" s="274"/>
      <c r="H44" s="274"/>
      <c r="I44" s="274"/>
      <c r="J44" s="274"/>
      <c r="K44" s="274"/>
      <c r="L44" s="274"/>
      <c r="M44" s="274"/>
      <c r="N44" s="274"/>
      <c r="O44" s="274"/>
      <c r="P44" s="274"/>
      <c r="Q44" s="274"/>
      <c r="R44" s="274"/>
      <c r="S44" s="274"/>
      <c r="T44" s="274"/>
      <c r="U44" s="274"/>
      <c r="V44" s="274"/>
      <c r="W44" s="274"/>
      <c r="X44" s="274"/>
      <c r="Y44" s="274"/>
      <c r="Z44" s="274"/>
      <c r="AA44" s="274"/>
      <c r="AB44" s="274"/>
      <c r="AC44" s="274"/>
      <c r="AD44" s="274"/>
      <c r="AE44" s="275"/>
      <c r="AF44" s="273"/>
      <c r="AG44" s="274"/>
      <c r="AH44" s="274"/>
      <c r="AI44" s="274"/>
      <c r="AJ44" s="274"/>
      <c r="AK44" s="274"/>
      <c r="AL44" s="274"/>
      <c r="AM44" s="274"/>
      <c r="AN44" s="274"/>
      <c r="AO44" s="274"/>
      <c r="AP44" s="274"/>
      <c r="AQ44" s="274"/>
      <c r="AR44" s="274"/>
      <c r="AS44" s="274"/>
      <c r="AT44" s="274"/>
      <c r="AU44" s="274"/>
      <c r="AV44" s="274"/>
      <c r="AW44" s="274"/>
      <c r="AX44" s="274"/>
      <c r="AY44" s="274"/>
      <c r="AZ44" s="274"/>
      <c r="BA44" s="274"/>
      <c r="BB44" s="274"/>
      <c r="BC44" s="274"/>
      <c r="BD44" s="274"/>
      <c r="BE44" s="274"/>
      <c r="BF44" s="274"/>
      <c r="BG44" s="274"/>
      <c r="BH44" s="274"/>
      <c r="BI44" s="275"/>
      <c r="BJ44" s="274"/>
      <c r="BK44" s="276"/>
    </row>
    <row r="45" spans="1:63" ht="15" customHeight="1" x14ac:dyDescent="0.25">
      <c r="A45" s="272"/>
      <c r="B45" s="273"/>
      <c r="C45" s="274"/>
      <c r="D45" s="274"/>
      <c r="E45" s="274"/>
      <c r="F45" s="274"/>
      <c r="G45" s="274"/>
      <c r="H45" s="274"/>
      <c r="I45" s="274"/>
      <c r="J45" s="274"/>
      <c r="K45" s="274"/>
      <c r="L45" s="274"/>
      <c r="M45" s="274"/>
      <c r="N45" s="274"/>
      <c r="O45" s="274"/>
      <c r="P45" s="274"/>
      <c r="Q45" s="274"/>
      <c r="R45" s="274"/>
      <c r="S45" s="274"/>
      <c r="T45" s="274"/>
      <c r="U45" s="274"/>
      <c r="V45" s="274"/>
      <c r="W45" s="274"/>
      <c r="X45" s="274"/>
      <c r="Y45" s="274"/>
      <c r="Z45" s="274"/>
      <c r="AA45" s="274"/>
      <c r="AB45" s="274"/>
      <c r="AC45" s="274"/>
      <c r="AD45" s="274"/>
      <c r="AE45" s="275"/>
      <c r="AF45" s="273"/>
      <c r="AG45" s="274"/>
      <c r="AH45" s="274"/>
      <c r="AI45" s="274"/>
      <c r="AJ45" s="274"/>
      <c r="AK45" s="274"/>
      <c r="AL45" s="274"/>
      <c r="AM45" s="274"/>
      <c r="AN45" s="274"/>
      <c r="AO45" s="274"/>
      <c r="AP45" s="274"/>
      <c r="AQ45" s="274"/>
      <c r="AR45" s="274"/>
      <c r="AS45" s="274"/>
      <c r="AT45" s="274"/>
      <c r="AU45" s="274"/>
      <c r="AV45" s="274"/>
      <c r="AW45" s="274"/>
      <c r="AX45" s="274"/>
      <c r="AY45" s="274"/>
      <c r="AZ45" s="274"/>
      <c r="BA45" s="274"/>
      <c r="BB45" s="274"/>
      <c r="BC45" s="274"/>
      <c r="BD45" s="274"/>
      <c r="BE45" s="274"/>
      <c r="BF45" s="274"/>
      <c r="BG45" s="274"/>
      <c r="BH45" s="274"/>
      <c r="BI45" s="275"/>
      <c r="BJ45" s="274"/>
      <c r="BK45" s="276"/>
    </row>
    <row r="46" spans="1:63" ht="15" customHeight="1" x14ac:dyDescent="0.25">
      <c r="A46" s="272"/>
      <c r="B46" s="273"/>
      <c r="C46" s="274"/>
      <c r="D46" s="274"/>
      <c r="E46" s="274"/>
      <c r="F46" s="274"/>
      <c r="G46" s="274"/>
      <c r="H46" s="274"/>
      <c r="I46" s="274"/>
      <c r="J46" s="274"/>
      <c r="K46" s="274"/>
      <c r="L46" s="274"/>
      <c r="M46" s="274"/>
      <c r="N46" s="274"/>
      <c r="O46" s="274"/>
      <c r="P46" s="274"/>
      <c r="Q46" s="274"/>
      <c r="R46" s="274"/>
      <c r="S46" s="274"/>
      <c r="T46" s="274"/>
      <c r="U46" s="274"/>
      <c r="V46" s="274"/>
      <c r="W46" s="274"/>
      <c r="X46" s="274"/>
      <c r="Y46" s="274"/>
      <c r="Z46" s="274"/>
      <c r="AA46" s="274"/>
      <c r="AB46" s="274"/>
      <c r="AC46" s="274"/>
      <c r="AD46" s="274"/>
      <c r="AE46" s="275"/>
      <c r="AF46" s="273"/>
      <c r="AG46" s="274"/>
      <c r="AH46" s="274"/>
      <c r="AI46" s="274"/>
      <c r="AJ46" s="274"/>
      <c r="AK46" s="274"/>
      <c r="AL46" s="274"/>
      <c r="AM46" s="274"/>
      <c r="AN46" s="274"/>
      <c r="AO46" s="274"/>
      <c r="AP46" s="274"/>
      <c r="AQ46" s="274"/>
      <c r="AR46" s="274"/>
      <c r="AS46" s="274"/>
      <c r="AT46" s="274"/>
      <c r="AU46" s="274"/>
      <c r="AV46" s="274"/>
      <c r="AW46" s="274"/>
      <c r="AX46" s="274"/>
      <c r="AY46" s="274"/>
      <c r="AZ46" s="274"/>
      <c r="BA46" s="274"/>
      <c r="BB46" s="274"/>
      <c r="BC46" s="274"/>
      <c r="BD46" s="274"/>
      <c r="BE46" s="274"/>
      <c r="BF46" s="274"/>
      <c r="BG46" s="274"/>
      <c r="BH46" s="274"/>
      <c r="BI46" s="275"/>
      <c r="BJ46" s="274"/>
      <c r="BK46" s="276"/>
    </row>
    <row r="47" spans="1:63" ht="15" customHeight="1" x14ac:dyDescent="0.25">
      <c r="A47" s="272"/>
      <c r="B47" s="273"/>
      <c r="C47" s="274"/>
      <c r="D47" s="274"/>
      <c r="E47" s="274"/>
      <c r="F47" s="274"/>
      <c r="G47" s="274"/>
      <c r="H47" s="274"/>
      <c r="I47" s="274"/>
      <c r="J47" s="274"/>
      <c r="K47" s="274"/>
      <c r="L47" s="274"/>
      <c r="M47" s="274"/>
      <c r="N47" s="274"/>
      <c r="O47" s="274"/>
      <c r="P47" s="274"/>
      <c r="Q47" s="274"/>
      <c r="R47" s="274"/>
      <c r="S47" s="274"/>
      <c r="T47" s="274"/>
      <c r="U47" s="274"/>
      <c r="V47" s="274"/>
      <c r="W47" s="274"/>
      <c r="X47" s="274"/>
      <c r="Y47" s="274"/>
      <c r="Z47" s="274"/>
      <c r="AA47" s="274"/>
      <c r="AB47" s="274"/>
      <c r="AC47" s="274"/>
      <c r="AD47" s="274"/>
      <c r="AE47" s="275"/>
      <c r="AF47" s="273"/>
      <c r="AG47" s="274"/>
      <c r="AH47" s="274"/>
      <c r="AI47" s="274"/>
      <c r="AJ47" s="274"/>
      <c r="AK47" s="274"/>
      <c r="AL47" s="274"/>
      <c r="AM47" s="274"/>
      <c r="AN47" s="274"/>
      <c r="AO47" s="274"/>
      <c r="AP47" s="274"/>
      <c r="AQ47" s="274"/>
      <c r="AR47" s="274"/>
      <c r="AS47" s="274"/>
      <c r="AT47" s="274"/>
      <c r="AU47" s="274"/>
      <c r="AV47" s="274"/>
      <c r="AW47" s="274"/>
      <c r="AX47" s="274"/>
      <c r="AY47" s="274"/>
      <c r="AZ47" s="274"/>
      <c r="BA47" s="274"/>
      <c r="BB47" s="274"/>
      <c r="BC47" s="274"/>
      <c r="BD47" s="274"/>
      <c r="BE47" s="274"/>
      <c r="BF47" s="274"/>
      <c r="BG47" s="274"/>
      <c r="BH47" s="274"/>
      <c r="BI47" s="275"/>
      <c r="BJ47" s="274"/>
      <c r="BK47" s="276"/>
    </row>
    <row r="48" spans="1:63" ht="15" customHeight="1" x14ac:dyDescent="0.25">
      <c r="A48" s="272"/>
      <c r="B48" s="273"/>
      <c r="C48" s="274"/>
      <c r="D48" s="274"/>
      <c r="E48" s="274"/>
      <c r="F48" s="274"/>
      <c r="G48" s="274"/>
      <c r="H48" s="274"/>
      <c r="I48" s="274"/>
      <c r="J48" s="274"/>
      <c r="K48" s="274"/>
      <c r="L48" s="274"/>
      <c r="M48" s="274"/>
      <c r="N48" s="274"/>
      <c r="O48" s="274"/>
      <c r="P48" s="274"/>
      <c r="Q48" s="274"/>
      <c r="R48" s="274"/>
      <c r="S48" s="274"/>
      <c r="T48" s="274"/>
      <c r="U48" s="274"/>
      <c r="V48" s="274"/>
      <c r="W48" s="274"/>
      <c r="X48" s="274"/>
      <c r="Y48" s="274"/>
      <c r="Z48" s="274"/>
      <c r="AA48" s="274"/>
      <c r="AB48" s="274"/>
      <c r="AC48" s="274"/>
      <c r="AD48" s="274"/>
      <c r="AE48" s="275"/>
      <c r="AF48" s="273"/>
      <c r="AG48" s="274"/>
      <c r="AH48" s="274"/>
      <c r="AI48" s="274"/>
      <c r="AJ48" s="274"/>
      <c r="AK48" s="274"/>
      <c r="AL48" s="274"/>
      <c r="AM48" s="274"/>
      <c r="AN48" s="274"/>
      <c r="AO48" s="274"/>
      <c r="AP48" s="274"/>
      <c r="AQ48" s="274"/>
      <c r="AR48" s="274"/>
      <c r="AS48" s="274"/>
      <c r="AT48" s="274"/>
      <c r="AU48" s="274"/>
      <c r="AV48" s="274"/>
      <c r="AW48" s="274"/>
      <c r="AX48" s="274"/>
      <c r="AY48" s="274"/>
      <c r="AZ48" s="274"/>
      <c r="BA48" s="274"/>
      <c r="BB48" s="274"/>
      <c r="BC48" s="274"/>
      <c r="BD48" s="274"/>
      <c r="BE48" s="274"/>
      <c r="BF48" s="274"/>
      <c r="BG48" s="274"/>
      <c r="BH48" s="274"/>
      <c r="BI48" s="275"/>
      <c r="BJ48" s="274"/>
      <c r="BK48" s="276"/>
    </row>
    <row r="49" spans="1:63" ht="15" customHeight="1" x14ac:dyDescent="0.25">
      <c r="A49" s="272"/>
      <c r="B49" s="273"/>
      <c r="C49" s="274"/>
      <c r="D49" s="274"/>
      <c r="E49" s="274"/>
      <c r="F49" s="274"/>
      <c r="G49" s="274"/>
      <c r="H49" s="274"/>
      <c r="I49" s="274"/>
      <c r="J49" s="274"/>
      <c r="K49" s="274"/>
      <c r="L49" s="274"/>
      <c r="M49" s="274"/>
      <c r="N49" s="274"/>
      <c r="O49" s="274"/>
      <c r="P49" s="274"/>
      <c r="Q49" s="274"/>
      <c r="R49" s="274"/>
      <c r="S49" s="274"/>
      <c r="T49" s="274"/>
      <c r="U49" s="274"/>
      <c r="V49" s="274"/>
      <c r="W49" s="274"/>
      <c r="X49" s="274"/>
      <c r="Y49" s="274"/>
      <c r="Z49" s="274"/>
      <c r="AA49" s="274"/>
      <c r="AB49" s="274"/>
      <c r="AC49" s="274"/>
      <c r="AD49" s="274"/>
      <c r="AE49" s="274"/>
      <c r="AF49" s="273"/>
      <c r="AG49" s="274"/>
      <c r="AH49" s="274"/>
      <c r="AI49" s="274"/>
      <c r="AJ49" s="274"/>
      <c r="AK49" s="274"/>
      <c r="AL49" s="274"/>
      <c r="AM49" s="274"/>
      <c r="AN49" s="274"/>
      <c r="AO49" s="274"/>
      <c r="AP49" s="274"/>
      <c r="AQ49" s="274"/>
      <c r="AR49" s="274"/>
      <c r="AS49" s="274"/>
      <c r="AT49" s="274"/>
      <c r="AU49" s="274"/>
      <c r="AV49" s="274"/>
      <c r="AW49" s="274"/>
      <c r="AX49" s="274"/>
      <c r="AY49" s="274"/>
      <c r="AZ49" s="274"/>
      <c r="BA49" s="274"/>
      <c r="BB49" s="274"/>
      <c r="BC49" s="274"/>
      <c r="BD49" s="274"/>
      <c r="BE49" s="274"/>
      <c r="BF49" s="274"/>
      <c r="BG49" s="274"/>
      <c r="BH49" s="274"/>
      <c r="BI49" s="275"/>
      <c r="BJ49" s="274"/>
      <c r="BK49" s="276"/>
    </row>
    <row r="50" spans="1:63" ht="15" customHeight="1" x14ac:dyDescent="0.25">
      <c r="A50" s="272"/>
      <c r="B50" s="273"/>
      <c r="C50" s="274"/>
      <c r="D50" s="274"/>
      <c r="E50" s="274"/>
      <c r="F50" s="274"/>
      <c r="G50" s="274"/>
      <c r="H50" s="274"/>
      <c r="I50" s="274"/>
      <c r="J50" s="274"/>
      <c r="K50" s="274"/>
      <c r="L50" s="274"/>
      <c r="M50" s="274"/>
      <c r="N50" s="274"/>
      <c r="O50" s="274"/>
      <c r="P50" s="274"/>
      <c r="Q50" s="274"/>
      <c r="R50" s="274"/>
      <c r="S50" s="274"/>
      <c r="T50" s="274"/>
      <c r="U50" s="274"/>
      <c r="V50" s="274"/>
      <c r="W50" s="274"/>
      <c r="X50" s="274"/>
      <c r="Y50" s="274"/>
      <c r="Z50" s="274"/>
      <c r="AA50" s="274"/>
      <c r="AB50" s="274"/>
      <c r="AC50" s="274"/>
      <c r="AD50" s="274"/>
      <c r="AE50" s="274"/>
      <c r="AF50" s="273"/>
      <c r="AG50" s="274"/>
      <c r="AH50" s="274"/>
      <c r="AI50" s="274"/>
      <c r="AJ50" s="274"/>
      <c r="AK50" s="274"/>
      <c r="AL50" s="274"/>
      <c r="AM50" s="274"/>
      <c r="AN50" s="274"/>
      <c r="AO50" s="274"/>
      <c r="AP50" s="274"/>
      <c r="AQ50" s="274"/>
      <c r="AR50" s="274"/>
      <c r="AS50" s="274"/>
      <c r="AT50" s="274"/>
      <c r="AU50" s="274"/>
      <c r="AV50" s="274"/>
      <c r="AW50" s="274"/>
      <c r="AX50" s="274"/>
      <c r="AY50" s="274"/>
      <c r="AZ50" s="274"/>
      <c r="BA50" s="274"/>
      <c r="BB50" s="274"/>
      <c r="BC50" s="274"/>
      <c r="BD50" s="274"/>
      <c r="BE50" s="274"/>
      <c r="BF50" s="274"/>
      <c r="BG50" s="274"/>
      <c r="BH50" s="274"/>
      <c r="BI50" s="275"/>
      <c r="BJ50" s="274"/>
      <c r="BK50" s="276"/>
    </row>
    <row r="51" spans="1:63" ht="15" customHeight="1" x14ac:dyDescent="0.25">
      <c r="A51" s="272"/>
      <c r="B51" s="273"/>
      <c r="C51" s="274"/>
      <c r="D51" s="274"/>
      <c r="E51" s="274"/>
      <c r="F51" s="274"/>
      <c r="G51" s="274"/>
      <c r="H51" s="274"/>
      <c r="I51" s="274"/>
      <c r="J51" s="274"/>
      <c r="K51" s="274"/>
      <c r="L51" s="274"/>
      <c r="M51" s="274"/>
      <c r="N51" s="274"/>
      <c r="O51" s="274"/>
      <c r="P51" s="274"/>
      <c r="Q51" s="274"/>
      <c r="R51" s="274"/>
      <c r="S51" s="274"/>
      <c r="T51" s="274"/>
      <c r="U51" s="274"/>
      <c r="V51" s="274"/>
      <c r="W51" s="274"/>
      <c r="X51" s="274"/>
      <c r="Y51" s="274"/>
      <c r="Z51" s="274"/>
      <c r="AA51" s="274"/>
      <c r="AB51" s="274"/>
      <c r="AC51" s="274"/>
      <c r="AD51" s="274"/>
      <c r="AE51" s="274"/>
      <c r="AF51" s="273"/>
      <c r="AG51" s="274"/>
      <c r="AH51" s="274"/>
      <c r="AI51" s="274"/>
      <c r="AJ51" s="274"/>
      <c r="AK51" s="274"/>
      <c r="AL51" s="274"/>
      <c r="AM51" s="274"/>
      <c r="AN51" s="274"/>
      <c r="AO51" s="274"/>
      <c r="AP51" s="274"/>
      <c r="AQ51" s="274"/>
      <c r="AR51" s="274"/>
      <c r="AS51" s="274"/>
      <c r="AT51" s="274"/>
      <c r="AU51" s="274"/>
      <c r="AV51" s="274"/>
      <c r="AW51" s="274"/>
      <c r="AX51" s="274"/>
      <c r="AY51" s="274"/>
      <c r="AZ51" s="274"/>
      <c r="BA51" s="274"/>
      <c r="BB51" s="274"/>
      <c r="BC51" s="274"/>
      <c r="BD51" s="274"/>
      <c r="BE51" s="274"/>
      <c r="BF51" s="274"/>
      <c r="BG51" s="274"/>
      <c r="BH51" s="274"/>
      <c r="BI51" s="275"/>
      <c r="BJ51" s="274"/>
      <c r="BK51" s="276"/>
    </row>
    <row r="52" spans="1:63" ht="15" customHeight="1" x14ac:dyDescent="0.25">
      <c r="A52" s="272"/>
      <c r="B52" s="273"/>
      <c r="C52" s="274"/>
      <c r="D52" s="274"/>
      <c r="E52" s="274"/>
      <c r="F52" s="274"/>
      <c r="G52" s="274"/>
      <c r="H52" s="274"/>
      <c r="I52" s="274"/>
      <c r="J52" s="274"/>
      <c r="K52" s="274"/>
      <c r="L52" s="274"/>
      <c r="M52" s="274"/>
      <c r="N52" s="274"/>
      <c r="O52" s="274"/>
      <c r="P52" s="274"/>
      <c r="Q52" s="274"/>
      <c r="R52" s="274"/>
      <c r="S52" s="274"/>
      <c r="T52" s="274"/>
      <c r="U52" s="274"/>
      <c r="V52" s="274"/>
      <c r="W52" s="274"/>
      <c r="X52" s="274"/>
      <c r="Y52" s="274"/>
      <c r="Z52" s="274"/>
      <c r="AA52" s="274"/>
      <c r="AB52" s="274"/>
      <c r="AC52" s="274"/>
      <c r="AD52" s="274"/>
      <c r="AE52" s="274"/>
      <c r="AF52" s="273"/>
      <c r="AG52" s="274"/>
      <c r="AH52" s="274"/>
      <c r="AI52" s="274"/>
      <c r="AJ52" s="274"/>
      <c r="AK52" s="274"/>
      <c r="AL52" s="274"/>
      <c r="AM52" s="274"/>
      <c r="AN52" s="274"/>
      <c r="AO52" s="274"/>
      <c r="AP52" s="274"/>
      <c r="AQ52" s="274"/>
      <c r="AR52" s="274"/>
      <c r="AS52" s="274"/>
      <c r="AT52" s="274"/>
      <c r="AU52" s="274"/>
      <c r="AV52" s="274"/>
      <c r="AW52" s="274"/>
      <c r="AX52" s="274"/>
      <c r="AY52" s="274"/>
      <c r="AZ52" s="274"/>
      <c r="BA52" s="274"/>
      <c r="BB52" s="274"/>
      <c r="BC52" s="274"/>
      <c r="BD52" s="274"/>
      <c r="BE52" s="274"/>
      <c r="BF52" s="274"/>
      <c r="BG52" s="274"/>
      <c r="BH52" s="274"/>
      <c r="BI52" s="275"/>
      <c r="BJ52" s="274"/>
      <c r="BK52" s="276"/>
    </row>
    <row r="53" spans="1:63" ht="15" customHeight="1" x14ac:dyDescent="0.25">
      <c r="A53" s="272"/>
      <c r="B53" s="273"/>
      <c r="C53" s="274"/>
      <c r="D53" s="274"/>
      <c r="E53" s="274"/>
      <c r="F53" s="274"/>
      <c r="G53" s="274"/>
      <c r="H53" s="274"/>
      <c r="I53" s="274"/>
      <c r="J53" s="274"/>
      <c r="K53" s="274"/>
      <c r="L53" s="274"/>
      <c r="M53" s="274"/>
      <c r="N53" s="274"/>
      <c r="O53" s="274"/>
      <c r="P53" s="274"/>
      <c r="Q53" s="274"/>
      <c r="R53" s="274"/>
      <c r="S53" s="274"/>
      <c r="T53" s="274"/>
      <c r="U53" s="274"/>
      <c r="V53" s="274"/>
      <c r="W53" s="274"/>
      <c r="X53" s="274"/>
      <c r="Y53" s="274"/>
      <c r="Z53" s="274"/>
      <c r="AA53" s="274"/>
      <c r="AB53" s="274"/>
      <c r="AC53" s="274"/>
      <c r="AD53" s="274"/>
      <c r="AE53" s="274"/>
      <c r="AF53" s="273"/>
      <c r="AG53" s="274"/>
      <c r="AH53" s="274"/>
      <c r="AI53" s="274"/>
      <c r="AJ53" s="274"/>
      <c r="AK53" s="274"/>
      <c r="AL53" s="274"/>
      <c r="AM53" s="274"/>
      <c r="AN53" s="274"/>
      <c r="AO53" s="274"/>
      <c r="AP53" s="274"/>
      <c r="AQ53" s="274"/>
      <c r="AR53" s="274"/>
      <c r="AS53" s="274"/>
      <c r="AT53" s="274"/>
      <c r="AU53" s="274"/>
      <c r="AV53" s="274"/>
      <c r="AW53" s="274"/>
      <c r="AX53" s="274"/>
      <c r="AY53" s="274"/>
      <c r="AZ53" s="274"/>
      <c r="BA53" s="274"/>
      <c r="BB53" s="274"/>
      <c r="BC53" s="274"/>
      <c r="BD53" s="274"/>
      <c r="BE53" s="274"/>
      <c r="BF53" s="274"/>
      <c r="BG53" s="274"/>
      <c r="BH53" s="274"/>
      <c r="BI53" s="275"/>
      <c r="BJ53" s="274"/>
      <c r="BK53" s="276"/>
    </row>
    <row r="54" spans="1:63" ht="15" customHeight="1" x14ac:dyDescent="0.25">
      <c r="A54" s="272"/>
      <c r="B54" s="273"/>
      <c r="C54" s="274"/>
      <c r="D54" s="274"/>
      <c r="E54" s="274"/>
      <c r="F54" s="274"/>
      <c r="G54" s="274"/>
      <c r="H54" s="274"/>
      <c r="I54" s="274"/>
      <c r="J54" s="274"/>
      <c r="K54" s="274"/>
      <c r="L54" s="274"/>
      <c r="M54" s="274"/>
      <c r="N54" s="274"/>
      <c r="O54" s="274"/>
      <c r="P54" s="274"/>
      <c r="Q54" s="274"/>
      <c r="R54" s="274"/>
      <c r="S54" s="274"/>
      <c r="T54" s="274"/>
      <c r="U54" s="274"/>
      <c r="V54" s="274"/>
      <c r="W54" s="274"/>
      <c r="X54" s="274"/>
      <c r="Y54" s="274"/>
      <c r="Z54" s="274"/>
      <c r="AA54" s="274"/>
      <c r="AB54" s="274"/>
      <c r="AC54" s="274"/>
      <c r="AD54" s="274"/>
      <c r="AE54" s="274"/>
      <c r="AF54" s="273"/>
      <c r="AG54" s="274"/>
      <c r="AH54" s="274"/>
      <c r="AI54" s="274"/>
      <c r="AJ54" s="274"/>
      <c r="AK54" s="274"/>
      <c r="AL54" s="274"/>
      <c r="AM54" s="274"/>
      <c r="AN54" s="274"/>
      <c r="AO54" s="274"/>
      <c r="AP54" s="274"/>
      <c r="AQ54" s="274"/>
      <c r="AR54" s="274"/>
      <c r="AS54" s="274"/>
      <c r="AT54" s="274"/>
      <c r="AU54" s="274"/>
      <c r="AV54" s="274"/>
      <c r="AW54" s="274"/>
      <c r="AX54" s="274"/>
      <c r="AY54" s="274"/>
      <c r="AZ54" s="274"/>
      <c r="BA54" s="274"/>
      <c r="BB54" s="274"/>
      <c r="BC54" s="274"/>
      <c r="BD54" s="274"/>
      <c r="BE54" s="274"/>
      <c r="BF54" s="274"/>
      <c r="BG54" s="274"/>
      <c r="BH54" s="274"/>
      <c r="BI54" s="275"/>
      <c r="BJ54" s="274"/>
      <c r="BK54" s="276"/>
    </row>
    <row r="55" spans="1:63" ht="15" customHeight="1" x14ac:dyDescent="0.25">
      <c r="A55" s="274"/>
      <c r="B55" s="273"/>
      <c r="C55" s="274"/>
      <c r="D55" s="274"/>
      <c r="E55" s="274"/>
      <c r="F55" s="274"/>
      <c r="G55" s="274"/>
      <c r="H55" s="274"/>
      <c r="I55" s="274"/>
      <c r="J55" s="274"/>
      <c r="K55" s="274"/>
      <c r="L55" s="274"/>
      <c r="M55" s="274"/>
      <c r="N55" s="274"/>
      <c r="O55" s="274"/>
      <c r="P55" s="274"/>
      <c r="Q55" s="274"/>
      <c r="R55" s="274"/>
      <c r="S55" s="274"/>
      <c r="T55" s="274"/>
      <c r="U55" s="274"/>
      <c r="V55" s="274"/>
      <c r="W55" s="274"/>
      <c r="X55" s="274"/>
      <c r="Y55" s="274"/>
      <c r="Z55" s="274"/>
      <c r="AA55" s="274"/>
      <c r="AB55" s="274"/>
      <c r="AC55" s="274"/>
      <c r="AD55" s="274"/>
      <c r="AE55" s="275"/>
      <c r="AF55" s="273"/>
      <c r="AG55" s="274"/>
      <c r="AH55" s="274"/>
      <c r="AI55" s="274"/>
      <c r="AJ55" s="274"/>
      <c r="AK55" s="274"/>
      <c r="AL55" s="274"/>
      <c r="AM55" s="274"/>
      <c r="AN55" s="274"/>
      <c r="AO55" s="274"/>
      <c r="AP55" s="274"/>
      <c r="AQ55" s="274"/>
      <c r="AR55" s="274"/>
      <c r="AS55" s="274"/>
      <c r="AT55" s="274"/>
      <c r="AU55" s="274"/>
      <c r="AV55" s="274"/>
      <c r="AW55" s="274"/>
      <c r="AX55" s="274"/>
      <c r="AY55" s="274"/>
      <c r="AZ55" s="274"/>
      <c r="BA55" s="274"/>
      <c r="BB55" s="274"/>
      <c r="BC55" s="274"/>
      <c r="BD55" s="274"/>
      <c r="BE55" s="274"/>
      <c r="BF55" s="274"/>
      <c r="BG55" s="274"/>
      <c r="BH55" s="274"/>
      <c r="BI55" s="275"/>
      <c r="BJ55" s="274"/>
      <c r="BK55" s="276"/>
    </row>
    <row r="56" spans="1:63" x14ac:dyDescent="0.25">
      <c r="A56" s="274"/>
      <c r="B56" s="273"/>
      <c r="C56" s="274"/>
      <c r="D56" s="274"/>
      <c r="E56" s="274"/>
      <c r="F56" s="274"/>
      <c r="G56" s="274"/>
      <c r="H56" s="274"/>
      <c r="I56" s="274"/>
      <c r="J56" s="274"/>
      <c r="K56" s="274"/>
      <c r="L56" s="274"/>
      <c r="M56" s="274"/>
      <c r="N56" s="274"/>
      <c r="O56" s="274"/>
      <c r="P56" s="274"/>
      <c r="Q56" s="274"/>
      <c r="R56" s="274"/>
      <c r="S56" s="274"/>
      <c r="T56" s="274"/>
      <c r="U56" s="274"/>
      <c r="V56" s="274"/>
      <c r="W56" s="274"/>
      <c r="X56" s="274"/>
      <c r="Y56" s="274"/>
      <c r="Z56" s="274"/>
      <c r="AA56" s="274"/>
      <c r="AB56" s="274"/>
      <c r="AC56" s="274"/>
      <c r="AD56" s="274"/>
      <c r="AE56" s="275"/>
      <c r="AF56" s="273"/>
      <c r="AG56" s="274"/>
      <c r="AH56" s="274"/>
      <c r="AI56" s="274"/>
      <c r="AJ56" s="274"/>
      <c r="AK56" s="274"/>
      <c r="AL56" s="274"/>
      <c r="AM56" s="274"/>
      <c r="AN56" s="274"/>
      <c r="AO56" s="274"/>
      <c r="AP56" s="274"/>
      <c r="AQ56" s="274"/>
      <c r="AR56" s="274"/>
      <c r="AS56" s="274"/>
      <c r="AT56" s="274"/>
      <c r="AU56" s="274"/>
      <c r="AV56" s="274"/>
      <c r="AW56" s="274"/>
      <c r="AX56" s="274"/>
      <c r="AY56" s="274"/>
      <c r="AZ56" s="274"/>
      <c r="BA56" s="274"/>
      <c r="BB56" s="274"/>
      <c r="BC56" s="274"/>
      <c r="BD56" s="274"/>
      <c r="BE56" s="274"/>
      <c r="BF56" s="274"/>
      <c r="BG56" s="274"/>
      <c r="BH56" s="274"/>
      <c r="BI56" s="275"/>
      <c r="BJ56" s="274"/>
      <c r="BK56" s="276"/>
    </row>
    <row r="57" spans="1:63" x14ac:dyDescent="0.25">
      <c r="A57" s="274"/>
      <c r="B57" s="273"/>
      <c r="C57" s="274"/>
      <c r="D57" s="274"/>
      <c r="E57" s="274"/>
      <c r="F57" s="274"/>
      <c r="G57" s="274"/>
      <c r="H57" s="274"/>
      <c r="I57" s="274"/>
      <c r="J57" s="274"/>
      <c r="K57" s="274"/>
      <c r="L57" s="274"/>
      <c r="M57" s="274"/>
      <c r="N57" s="274"/>
      <c r="O57" s="274"/>
      <c r="P57" s="274"/>
      <c r="Q57" s="274"/>
      <c r="R57" s="274"/>
      <c r="S57" s="274"/>
      <c r="T57" s="274"/>
      <c r="U57" s="274"/>
      <c r="V57" s="274"/>
      <c r="W57" s="274"/>
      <c r="X57" s="274"/>
      <c r="Y57" s="274"/>
      <c r="Z57" s="274"/>
      <c r="AA57" s="274"/>
      <c r="AB57" s="274"/>
      <c r="AC57" s="274"/>
      <c r="AD57" s="274"/>
      <c r="AE57" s="275"/>
      <c r="AF57" s="273"/>
      <c r="AG57" s="274"/>
      <c r="AH57" s="274"/>
      <c r="AI57" s="274"/>
      <c r="AJ57" s="274"/>
      <c r="AK57" s="274"/>
      <c r="AL57" s="274"/>
      <c r="AM57" s="274"/>
      <c r="AN57" s="274"/>
      <c r="AO57" s="274"/>
      <c r="AP57" s="274"/>
      <c r="AQ57" s="274"/>
      <c r="AR57" s="274"/>
      <c r="AS57" s="274"/>
      <c r="AT57" s="274"/>
      <c r="AU57" s="274"/>
      <c r="AV57" s="274"/>
      <c r="AW57" s="274"/>
      <c r="AX57" s="274"/>
      <c r="AY57" s="274"/>
      <c r="AZ57" s="274"/>
      <c r="BA57" s="274"/>
      <c r="BB57" s="274"/>
      <c r="BC57" s="274"/>
      <c r="BD57" s="274"/>
      <c r="BE57" s="274"/>
      <c r="BF57" s="274"/>
      <c r="BG57" s="274"/>
      <c r="BH57" s="274"/>
      <c r="BI57" s="275"/>
      <c r="BJ57" s="274"/>
      <c r="BK57" s="276"/>
    </row>
    <row r="58" spans="1:63" x14ac:dyDescent="0.25">
      <c r="A58" s="274"/>
      <c r="B58" s="273"/>
      <c r="C58" s="274"/>
      <c r="D58" s="274"/>
      <c r="E58" s="274"/>
      <c r="F58" s="274"/>
      <c r="G58" s="274"/>
      <c r="H58" s="274"/>
      <c r="I58" s="274"/>
      <c r="J58" s="274"/>
      <c r="K58" s="274"/>
      <c r="L58" s="274"/>
      <c r="M58" s="274"/>
      <c r="N58" s="274"/>
      <c r="O58" s="274"/>
      <c r="P58" s="274"/>
      <c r="Q58" s="274"/>
      <c r="R58" s="274"/>
      <c r="S58" s="274"/>
      <c r="T58" s="274"/>
      <c r="U58" s="274"/>
      <c r="V58" s="274"/>
      <c r="W58" s="274"/>
      <c r="X58" s="274"/>
      <c r="Y58" s="274"/>
      <c r="Z58" s="274"/>
      <c r="AA58" s="274"/>
      <c r="AB58" s="274"/>
      <c r="AC58" s="274"/>
      <c r="AD58" s="274"/>
      <c r="AE58" s="275"/>
      <c r="AF58" s="273"/>
      <c r="AG58" s="274"/>
      <c r="AH58" s="274"/>
      <c r="AI58" s="274"/>
      <c r="AJ58" s="274"/>
      <c r="AK58" s="274"/>
      <c r="AL58" s="274"/>
      <c r="AM58" s="274"/>
      <c r="AN58" s="274"/>
      <c r="AO58" s="274"/>
      <c r="AP58" s="274"/>
      <c r="AQ58" s="274"/>
      <c r="AR58" s="274"/>
      <c r="AS58" s="274"/>
      <c r="AT58" s="274"/>
      <c r="AU58" s="274"/>
      <c r="AV58" s="274"/>
      <c r="AW58" s="274"/>
      <c r="AX58" s="274"/>
      <c r="AY58" s="274"/>
      <c r="AZ58" s="274"/>
      <c r="BA58" s="274"/>
      <c r="BB58" s="274"/>
      <c r="BC58" s="274"/>
      <c r="BD58" s="274"/>
      <c r="BE58" s="274"/>
      <c r="BF58" s="274"/>
      <c r="BG58" s="274"/>
      <c r="BH58" s="274"/>
      <c r="BI58" s="275"/>
      <c r="BJ58" s="274"/>
      <c r="BK58" s="276"/>
    </row>
    <row r="59" spans="1:63" x14ac:dyDescent="0.25">
      <c r="A59" s="274"/>
      <c r="B59" s="273"/>
      <c r="C59" s="274"/>
      <c r="D59" s="274"/>
      <c r="E59" s="274"/>
      <c r="F59" s="274"/>
      <c r="G59" s="274"/>
      <c r="H59" s="274"/>
      <c r="I59" s="274"/>
      <c r="J59" s="274"/>
      <c r="K59" s="274"/>
      <c r="L59" s="274"/>
      <c r="M59" s="274"/>
      <c r="N59" s="274"/>
      <c r="O59" s="274"/>
      <c r="P59" s="274"/>
      <c r="Q59" s="274"/>
      <c r="R59" s="274"/>
      <c r="S59" s="274"/>
      <c r="T59" s="274"/>
      <c r="U59" s="274"/>
      <c r="V59" s="274"/>
      <c r="W59" s="274"/>
      <c r="X59" s="274"/>
      <c r="Y59" s="274"/>
      <c r="Z59" s="274"/>
      <c r="AA59" s="274"/>
      <c r="AB59" s="274"/>
      <c r="AC59" s="274"/>
      <c r="AD59" s="274"/>
      <c r="AE59" s="275"/>
      <c r="AF59" s="273"/>
      <c r="AG59" s="274"/>
      <c r="AH59" s="274"/>
      <c r="AI59" s="274"/>
      <c r="AJ59" s="274"/>
      <c r="AK59" s="274"/>
      <c r="AL59" s="274"/>
      <c r="AM59" s="274"/>
      <c r="AN59" s="274"/>
      <c r="AO59" s="274"/>
      <c r="AP59" s="274"/>
      <c r="AQ59" s="274"/>
      <c r="AR59" s="274"/>
      <c r="AS59" s="274"/>
      <c r="AT59" s="274"/>
      <c r="AU59" s="274"/>
      <c r="AV59" s="274"/>
      <c r="AW59" s="274"/>
      <c r="AX59" s="274"/>
      <c r="AY59" s="274"/>
      <c r="AZ59" s="274"/>
      <c r="BA59" s="274"/>
      <c r="BB59" s="274"/>
      <c r="BC59" s="274"/>
      <c r="BD59" s="274"/>
      <c r="BE59" s="274"/>
      <c r="BF59" s="274"/>
      <c r="BG59" s="274"/>
      <c r="BH59" s="274"/>
      <c r="BI59" s="275"/>
      <c r="BJ59" s="274"/>
      <c r="BK59" s="276"/>
    </row>
    <row r="60" spans="1:63" x14ac:dyDescent="0.25">
      <c r="A60" s="274"/>
      <c r="B60" s="273"/>
      <c r="C60" s="274"/>
      <c r="D60" s="274"/>
      <c r="E60" s="274"/>
      <c r="F60" s="274"/>
      <c r="G60" s="274"/>
      <c r="H60" s="274"/>
      <c r="I60" s="274"/>
      <c r="J60" s="274"/>
      <c r="K60" s="274"/>
      <c r="L60" s="274"/>
      <c r="M60" s="274"/>
      <c r="N60" s="274"/>
      <c r="O60" s="274"/>
      <c r="P60" s="274"/>
      <c r="Q60" s="274"/>
      <c r="R60" s="274"/>
      <c r="S60" s="274"/>
      <c r="T60" s="274"/>
      <c r="U60" s="274"/>
      <c r="V60" s="274"/>
      <c r="W60" s="274"/>
      <c r="X60" s="274"/>
      <c r="Y60" s="274"/>
      <c r="Z60" s="274"/>
      <c r="AA60" s="274"/>
      <c r="AB60" s="274"/>
      <c r="AC60" s="274"/>
      <c r="AD60" s="274"/>
      <c r="AE60" s="275"/>
      <c r="AF60" s="273"/>
      <c r="AG60" s="274"/>
      <c r="AH60" s="274"/>
      <c r="AI60" s="274"/>
      <c r="AJ60" s="274"/>
      <c r="AK60" s="274"/>
      <c r="AL60" s="274"/>
      <c r="AM60" s="274"/>
      <c r="AN60" s="274"/>
      <c r="AO60" s="274"/>
      <c r="AP60" s="274"/>
      <c r="AQ60" s="274"/>
      <c r="AR60" s="274"/>
      <c r="AS60" s="274"/>
      <c r="AT60" s="274"/>
      <c r="AU60" s="274"/>
      <c r="AV60" s="274"/>
      <c r="AW60" s="274"/>
      <c r="AX60" s="274"/>
      <c r="AY60" s="274"/>
      <c r="AZ60" s="274"/>
      <c r="BA60" s="274"/>
      <c r="BB60" s="274"/>
      <c r="BC60" s="274"/>
      <c r="BD60" s="274"/>
      <c r="BE60" s="274"/>
      <c r="BF60" s="274"/>
      <c r="BG60" s="274"/>
      <c r="BH60" s="274"/>
      <c r="BI60" s="275"/>
      <c r="BJ60" s="274"/>
      <c r="BK60" s="276"/>
    </row>
    <row r="61" spans="1:63" x14ac:dyDescent="0.25">
      <c r="A61" s="277"/>
      <c r="B61" s="278"/>
      <c r="C61" s="277"/>
      <c r="D61" s="277"/>
      <c r="E61" s="277"/>
      <c r="F61" s="277"/>
      <c r="G61" s="277"/>
      <c r="H61" s="277"/>
      <c r="I61" s="277"/>
      <c r="J61" s="277"/>
      <c r="K61" s="277"/>
      <c r="L61" s="277"/>
      <c r="M61" s="277"/>
      <c r="N61" s="277"/>
      <c r="O61" s="277"/>
      <c r="P61" s="277"/>
      <c r="Q61" s="277"/>
      <c r="R61" s="277"/>
      <c r="S61" s="277"/>
      <c r="T61" s="277"/>
      <c r="U61" s="277"/>
      <c r="V61" s="277"/>
      <c r="W61" s="277"/>
      <c r="X61" s="277"/>
      <c r="Y61" s="277"/>
      <c r="Z61" s="277"/>
      <c r="AA61" s="277"/>
      <c r="AB61" s="277"/>
      <c r="AC61" s="277"/>
      <c r="AD61" s="277"/>
      <c r="AE61" s="279"/>
      <c r="AF61" s="278"/>
      <c r="AG61" s="277"/>
      <c r="AH61" s="277"/>
      <c r="AI61" s="277"/>
      <c r="AJ61" s="277"/>
      <c r="AK61" s="277"/>
      <c r="AL61" s="277"/>
      <c r="AM61" s="277"/>
      <c r="AN61" s="277"/>
      <c r="AO61" s="277"/>
      <c r="AP61" s="277"/>
      <c r="AQ61" s="277"/>
      <c r="AR61" s="277"/>
      <c r="AS61" s="277"/>
      <c r="AT61" s="277"/>
      <c r="AU61" s="277"/>
      <c r="AV61" s="277"/>
      <c r="AW61" s="277"/>
      <c r="AX61" s="277"/>
      <c r="AY61" s="277"/>
      <c r="AZ61" s="277"/>
      <c r="BA61" s="277"/>
      <c r="BB61" s="277"/>
      <c r="BC61" s="277"/>
      <c r="BD61" s="277"/>
      <c r="BE61" s="277"/>
      <c r="BF61" s="277"/>
      <c r="BG61" s="277"/>
      <c r="BH61" s="277"/>
      <c r="BI61" s="279"/>
      <c r="BJ61" s="277"/>
      <c r="BK61" s="280"/>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1"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9"/>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186" customWidth="1"/>
    <col min="66" max="16384" width="2.77734375" style="186"/>
  </cols>
  <sheetData>
    <row r="1" spans="1:65" ht="24.95" customHeight="1" x14ac:dyDescent="0.25">
      <c r="A1" s="180" t="s">
        <v>46</v>
      </c>
      <c r="B1" s="181"/>
      <c r="C1" s="181"/>
      <c r="D1" s="181"/>
      <c r="E1" s="181"/>
      <c r="F1" s="181"/>
      <c r="G1" s="181"/>
      <c r="H1" s="181"/>
      <c r="I1" s="181"/>
      <c r="J1" s="182"/>
      <c r="K1" s="180" t="s">
        <v>47</v>
      </c>
      <c r="L1" s="181"/>
      <c r="M1" s="181"/>
      <c r="N1" s="181"/>
      <c r="O1" s="181"/>
      <c r="P1" s="181"/>
      <c r="Q1" s="181"/>
      <c r="R1" s="181"/>
      <c r="S1" s="181"/>
      <c r="T1" s="181"/>
      <c r="U1" s="181"/>
      <c r="V1" s="182"/>
      <c r="W1" s="183" t="str">
        <f>IF(表紙!W1="","",表紙!W1)</f>
        <v>基本設計書</v>
      </c>
      <c r="X1" s="184"/>
      <c r="Y1" s="184"/>
      <c r="Z1" s="184"/>
      <c r="AA1" s="184"/>
      <c r="AB1" s="184"/>
      <c r="AC1" s="184"/>
      <c r="AD1" s="184"/>
      <c r="AE1" s="184"/>
      <c r="AF1" s="184"/>
      <c r="AG1" s="184"/>
      <c r="AH1" s="184"/>
      <c r="AI1" s="184"/>
      <c r="AJ1" s="184"/>
      <c r="AK1" s="184"/>
      <c r="AL1" s="184"/>
      <c r="AM1" s="184"/>
      <c r="AN1" s="184"/>
      <c r="AO1" s="185"/>
      <c r="AP1" s="180" t="s">
        <v>49</v>
      </c>
      <c r="AQ1" s="181"/>
      <c r="AR1" s="181"/>
      <c r="AS1" s="182"/>
      <c r="AT1" s="180" t="s">
        <v>50</v>
      </c>
      <c r="AU1" s="181"/>
      <c r="AV1" s="181"/>
      <c r="AW1" s="181"/>
      <c r="AX1" s="182"/>
      <c r="AY1" s="180" t="s">
        <v>51</v>
      </c>
      <c r="AZ1" s="181"/>
      <c r="BA1" s="181"/>
      <c r="BB1" s="182"/>
      <c r="BC1" s="180" t="s">
        <v>52</v>
      </c>
      <c r="BD1" s="181"/>
      <c r="BE1" s="181"/>
      <c r="BF1" s="181"/>
      <c r="BG1" s="182"/>
      <c r="BH1" s="180" t="s">
        <v>53</v>
      </c>
      <c r="BI1" s="181"/>
      <c r="BJ1" s="181"/>
      <c r="BK1" s="182"/>
    </row>
    <row r="2" spans="1:65" ht="15" customHeight="1" x14ac:dyDescent="0.25">
      <c r="A2" s="189" t="str">
        <f>IF(表紙!A2="","",表紙!A2)</f>
        <v>POSサーバー</v>
      </c>
      <c r="B2" s="187"/>
      <c r="C2" s="187"/>
      <c r="D2" s="187"/>
      <c r="E2" s="187"/>
      <c r="F2" s="187"/>
      <c r="G2" s="187"/>
      <c r="H2" s="187"/>
      <c r="I2" s="187"/>
      <c r="J2" s="188"/>
      <c r="K2" s="189" t="str">
        <f>IF(表紙!K2="","",表紙!K2)</f>
        <v>POSサーバ</v>
      </c>
      <c r="L2" s="187"/>
      <c r="M2" s="187"/>
      <c r="N2" s="187"/>
      <c r="O2" s="187"/>
      <c r="P2" s="187"/>
      <c r="Q2" s="187"/>
      <c r="R2" s="187"/>
      <c r="S2" s="187"/>
      <c r="T2" s="187"/>
      <c r="U2" s="187"/>
      <c r="V2" s="188"/>
      <c r="W2" s="190"/>
      <c r="X2" s="191"/>
      <c r="Y2" s="191"/>
      <c r="Z2" s="191"/>
      <c r="AA2" s="191"/>
      <c r="AB2" s="191"/>
      <c r="AC2" s="191"/>
      <c r="AD2" s="191"/>
      <c r="AE2" s="191"/>
      <c r="AF2" s="191"/>
      <c r="AG2" s="191"/>
      <c r="AH2" s="191"/>
      <c r="AI2" s="191"/>
      <c r="AJ2" s="191"/>
      <c r="AK2" s="191"/>
      <c r="AL2" s="191"/>
      <c r="AM2" s="191"/>
      <c r="AN2" s="191"/>
      <c r="AO2" s="192"/>
      <c r="AP2" s="189" t="str">
        <f>IF(表紙!AP2="","",表紙!AP2)</f>
        <v>SonMNT</v>
      </c>
      <c r="AQ2" s="187"/>
      <c r="AR2" s="187"/>
      <c r="AS2" s="188"/>
      <c r="AT2" s="193">
        <f>IF(表紙!AT2="","",表紙!AT2)</f>
        <v>45477</v>
      </c>
      <c r="AU2" s="194"/>
      <c r="AV2" s="194"/>
      <c r="AW2" s="194"/>
      <c r="AX2" s="195"/>
      <c r="AY2" s="189" t="str">
        <f>IF(表紙!AY2="","",表紙!AY2)</f>
        <v>SonMNT</v>
      </c>
      <c r="AZ2" s="187"/>
      <c r="BA2" s="187"/>
      <c r="BB2" s="188"/>
      <c r="BC2" s="193">
        <f>IF(表紙!BC2="","",表紙!BC2)</f>
        <v>45477</v>
      </c>
      <c r="BD2" s="194"/>
      <c r="BE2" s="194"/>
      <c r="BF2" s="194"/>
      <c r="BG2" s="195"/>
      <c r="BH2" s="189">
        <f>IF(表紙!BH2="","",表紙!BH2)</f>
        <v>0.1</v>
      </c>
      <c r="BI2" s="187"/>
      <c r="BJ2" s="187"/>
      <c r="BK2" s="188"/>
    </row>
    <row r="3" spans="1:65" ht="15" customHeight="1" x14ac:dyDescent="0.25">
      <c r="A3" s="199"/>
      <c r="B3" s="200"/>
      <c r="C3" s="200"/>
      <c r="D3" s="200"/>
      <c r="E3" s="200"/>
      <c r="F3" s="200"/>
      <c r="G3" s="200"/>
      <c r="H3" s="200"/>
      <c r="I3" s="200"/>
      <c r="J3" s="201"/>
      <c r="K3" s="199"/>
      <c r="L3" s="200"/>
      <c r="M3" s="200"/>
      <c r="N3" s="200"/>
      <c r="O3" s="200"/>
      <c r="P3" s="200"/>
      <c r="Q3" s="200"/>
      <c r="R3" s="200"/>
      <c r="S3" s="200"/>
      <c r="T3" s="200"/>
      <c r="U3" s="200"/>
      <c r="V3" s="201"/>
      <c r="W3" s="202"/>
      <c r="X3" s="203"/>
      <c r="Y3" s="203"/>
      <c r="Z3" s="203"/>
      <c r="AA3" s="203"/>
      <c r="AB3" s="203"/>
      <c r="AC3" s="203"/>
      <c r="AD3" s="203"/>
      <c r="AE3" s="203"/>
      <c r="AF3" s="203"/>
      <c r="AG3" s="203"/>
      <c r="AH3" s="203"/>
      <c r="AI3" s="203"/>
      <c r="AJ3" s="203"/>
      <c r="AK3" s="203"/>
      <c r="AL3" s="203"/>
      <c r="AM3" s="203"/>
      <c r="AN3" s="203"/>
      <c r="AO3" s="204"/>
      <c r="AP3" s="199"/>
      <c r="AQ3" s="200"/>
      <c r="AR3" s="200"/>
      <c r="AS3" s="201"/>
      <c r="AT3" s="205"/>
      <c r="AU3" s="206"/>
      <c r="AV3" s="206"/>
      <c r="AW3" s="206"/>
      <c r="AX3" s="207"/>
      <c r="AY3" s="199"/>
      <c r="AZ3" s="200"/>
      <c r="BA3" s="200"/>
      <c r="BB3" s="201"/>
      <c r="BC3" s="205"/>
      <c r="BD3" s="206"/>
      <c r="BE3" s="206"/>
      <c r="BF3" s="206"/>
      <c r="BG3" s="207"/>
      <c r="BH3" s="199"/>
      <c r="BI3" s="200"/>
      <c r="BJ3" s="200"/>
      <c r="BK3" s="201"/>
    </row>
    <row r="4" spans="1:65" ht="24.95" customHeight="1" x14ac:dyDescent="0.25">
      <c r="A4" s="180" t="s">
        <v>55</v>
      </c>
      <c r="B4" s="181"/>
      <c r="C4" s="181"/>
      <c r="D4" s="181"/>
      <c r="E4" s="181"/>
      <c r="F4" s="181"/>
      <c r="G4" s="182"/>
      <c r="H4" s="211" t="str">
        <f>IF(表紙!H4="","",表紙!H4)</f>
        <v>95_セットマッチ設定</v>
      </c>
      <c r="I4" s="212"/>
      <c r="J4" s="212"/>
      <c r="K4" s="212"/>
      <c r="L4" s="212"/>
      <c r="M4" s="212"/>
      <c r="N4" s="212"/>
      <c r="O4" s="212"/>
      <c r="P4" s="212"/>
      <c r="Q4" s="212"/>
      <c r="R4" s="212"/>
      <c r="S4" s="212"/>
      <c r="T4" s="213"/>
      <c r="U4" s="180" t="s">
        <v>56</v>
      </c>
      <c r="V4" s="181"/>
      <c r="W4" s="181"/>
      <c r="X4" s="181"/>
      <c r="Y4" s="182"/>
      <c r="Z4" s="211" t="str">
        <f>IF(表紙!Z4="","",表紙!Z4)</f>
        <v>概要設計</v>
      </c>
      <c r="AA4" s="212"/>
      <c r="AB4" s="212"/>
      <c r="AC4" s="212"/>
      <c r="AD4" s="212"/>
      <c r="AE4" s="212"/>
      <c r="AF4" s="212"/>
      <c r="AG4" s="212"/>
      <c r="AH4" s="212"/>
      <c r="AI4" s="212"/>
      <c r="AJ4" s="212"/>
      <c r="AK4" s="212"/>
      <c r="AL4" s="212"/>
      <c r="AM4" s="212"/>
      <c r="AN4" s="212"/>
      <c r="AO4" s="213"/>
      <c r="AP4" s="211" t="str">
        <f t="array" aca="1" ref="AP4" ca="1">RIGHT(CELL("filename",$A$1),LEN(CELL("filename",$A$1))-FIND("]",CELL("filename",$A$1)))</f>
        <v>機能概要説明</v>
      </c>
      <c r="AQ4" s="212"/>
      <c r="AR4" s="212"/>
      <c r="AS4" s="212"/>
      <c r="AT4" s="212"/>
      <c r="AU4" s="212"/>
      <c r="AV4" s="212"/>
      <c r="AW4" s="212"/>
      <c r="AX4" s="212"/>
      <c r="AY4" s="212"/>
      <c r="AZ4" s="212"/>
      <c r="BA4" s="212"/>
      <c r="BB4" s="212"/>
      <c r="BC4" s="212"/>
      <c r="BD4" s="212"/>
      <c r="BE4" s="212"/>
      <c r="BF4" s="212"/>
      <c r="BG4" s="212"/>
      <c r="BH4" s="212"/>
      <c r="BI4" s="212"/>
      <c r="BJ4" s="212"/>
      <c r="BK4" s="213"/>
    </row>
    <row r="5" spans="1:65" ht="5.0999999999999996" customHeight="1" x14ac:dyDescent="0.25">
      <c r="A5" s="214"/>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6"/>
    </row>
    <row r="6" spans="1:65" ht="15" customHeight="1" x14ac:dyDescent="0.25">
      <c r="A6" s="217"/>
      <c r="BK6" s="218"/>
    </row>
    <row r="7" spans="1:65" ht="15" customHeight="1" x14ac:dyDescent="0.25">
      <c r="A7" s="217"/>
      <c r="C7" s="186" t="s">
        <v>35</v>
      </c>
      <c r="K7" s="282"/>
      <c r="BK7" s="218"/>
      <c r="BM7" s="4">
        <f>IF(BM6=50,1,BM6+1)</f>
        <v>1</v>
      </c>
    </row>
    <row r="8" spans="1:65" ht="15" customHeight="1" x14ac:dyDescent="0.25">
      <c r="A8" s="217"/>
      <c r="D8" s="186" t="s">
        <v>34</v>
      </c>
      <c r="K8" s="282"/>
      <c r="BK8" s="218"/>
      <c r="BM8" s="4">
        <f t="shared" ref="BM8:BM16" si="0">IF(BM7=50,1,BM7+1)</f>
        <v>2</v>
      </c>
    </row>
    <row r="9" spans="1:65" ht="15" customHeight="1" x14ac:dyDescent="0.25">
      <c r="A9" s="217"/>
      <c r="E9" s="283" t="s">
        <v>31</v>
      </c>
      <c r="K9" s="282"/>
      <c r="BK9" s="218"/>
      <c r="BM9" s="4">
        <f t="shared" si="0"/>
        <v>3</v>
      </c>
    </row>
    <row r="10" spans="1:65" ht="15" customHeight="1" x14ac:dyDescent="0.25">
      <c r="A10" s="217"/>
      <c r="E10" s="283" t="s">
        <v>32</v>
      </c>
      <c r="K10" s="282"/>
      <c r="BK10" s="218"/>
      <c r="BM10" s="4">
        <f t="shared" si="0"/>
        <v>4</v>
      </c>
    </row>
    <row r="11" spans="1:65" ht="15" customHeight="1" x14ac:dyDescent="0.25">
      <c r="A11" s="217"/>
      <c r="E11" s="283" t="s">
        <v>44</v>
      </c>
      <c r="K11" s="282"/>
      <c r="BK11" s="218"/>
      <c r="BM11" s="4">
        <f t="shared" si="0"/>
        <v>5</v>
      </c>
    </row>
    <row r="12" spans="1:65" ht="15" customHeight="1" x14ac:dyDescent="0.25">
      <c r="A12" s="217"/>
      <c r="D12" s="281" t="s">
        <v>63</v>
      </c>
      <c r="K12" s="282"/>
      <c r="BK12" s="218"/>
      <c r="BM12" s="4">
        <f t="shared" si="0"/>
        <v>6</v>
      </c>
    </row>
    <row r="13" spans="1:65" ht="15" customHeight="1" x14ac:dyDescent="0.25">
      <c r="A13" s="217"/>
      <c r="D13" s="186" t="s">
        <v>33</v>
      </c>
      <c r="K13" s="282"/>
      <c r="BK13" s="218"/>
      <c r="BM13" s="4">
        <f t="shared" si="0"/>
        <v>7</v>
      </c>
    </row>
    <row r="14" spans="1:65" s="282" customFormat="1" ht="15" customHeight="1" x14ac:dyDescent="0.25">
      <c r="A14" s="284"/>
      <c r="D14" s="186" t="s">
        <v>42</v>
      </c>
      <c r="BK14" s="285"/>
      <c r="BM14" s="4">
        <f t="shared" si="0"/>
        <v>8</v>
      </c>
    </row>
    <row r="15" spans="1:65" s="282" customFormat="1" ht="15" customHeight="1" x14ac:dyDescent="0.25">
      <c r="A15" s="284"/>
      <c r="D15" s="186" t="s">
        <v>43</v>
      </c>
      <c r="BK15" s="285"/>
      <c r="BM15" s="4">
        <f t="shared" si="0"/>
        <v>9</v>
      </c>
    </row>
    <row r="16" spans="1:65" s="282" customFormat="1" ht="15" customHeight="1" x14ac:dyDescent="0.25">
      <c r="A16" s="284"/>
      <c r="BK16" s="285"/>
      <c r="BM16" s="4">
        <f t="shared" si="0"/>
        <v>10</v>
      </c>
    </row>
    <row r="17" spans="1:65" s="282" customFormat="1" ht="15" customHeight="1" x14ac:dyDescent="0.25">
      <c r="A17" s="284"/>
      <c r="BK17" s="285"/>
      <c r="BM17" s="4">
        <f t="shared" ref="BM17:BM46" si="1">IF(BM16=50,1,BM16+1)</f>
        <v>11</v>
      </c>
    </row>
    <row r="18" spans="1:65" s="282" customFormat="1" ht="15" customHeight="1" x14ac:dyDescent="0.25">
      <c r="A18" s="284"/>
      <c r="BK18" s="285"/>
      <c r="BM18" s="4">
        <f t="shared" si="1"/>
        <v>12</v>
      </c>
    </row>
    <row r="19" spans="1:65" s="282" customFormat="1" ht="15" customHeight="1" x14ac:dyDescent="0.25">
      <c r="A19" s="284"/>
      <c r="BK19" s="285"/>
      <c r="BM19" s="4">
        <f t="shared" si="1"/>
        <v>13</v>
      </c>
    </row>
    <row r="20" spans="1:65" s="282" customFormat="1" ht="15" customHeight="1" x14ac:dyDescent="0.25">
      <c r="A20" s="284"/>
      <c r="BK20" s="285"/>
      <c r="BM20" s="4">
        <f t="shared" si="1"/>
        <v>14</v>
      </c>
    </row>
    <row r="21" spans="1:65" s="282" customFormat="1" ht="15" customHeight="1" x14ac:dyDescent="0.25">
      <c r="A21" s="284"/>
      <c r="BK21" s="285"/>
      <c r="BM21" s="4">
        <f t="shared" si="1"/>
        <v>15</v>
      </c>
    </row>
    <row r="22" spans="1:65" s="282" customFormat="1" ht="15" customHeight="1" x14ac:dyDescent="0.25">
      <c r="A22" s="284"/>
      <c r="BK22" s="285"/>
      <c r="BM22" s="4">
        <f t="shared" si="1"/>
        <v>16</v>
      </c>
    </row>
    <row r="23" spans="1:65" s="282" customFormat="1" ht="15" customHeight="1" x14ac:dyDescent="0.25">
      <c r="A23" s="284"/>
      <c r="BK23" s="285"/>
      <c r="BM23" s="4">
        <f t="shared" si="1"/>
        <v>17</v>
      </c>
    </row>
    <row r="24" spans="1:65" s="282" customFormat="1" ht="15" customHeight="1" x14ac:dyDescent="0.25">
      <c r="A24" s="284"/>
      <c r="BK24" s="285"/>
      <c r="BM24" s="4">
        <f t="shared" si="1"/>
        <v>18</v>
      </c>
    </row>
    <row r="25" spans="1:65" s="282" customFormat="1" ht="15" customHeight="1" x14ac:dyDescent="0.25">
      <c r="A25" s="284"/>
      <c r="BK25" s="285"/>
      <c r="BM25" s="4">
        <f t="shared" si="1"/>
        <v>19</v>
      </c>
    </row>
    <row r="26" spans="1:65" s="282" customFormat="1" ht="15" customHeight="1" x14ac:dyDescent="0.25">
      <c r="A26" s="284"/>
      <c r="BK26" s="285"/>
      <c r="BM26" s="4">
        <f t="shared" si="1"/>
        <v>20</v>
      </c>
    </row>
    <row r="27" spans="1:65" s="282" customFormat="1" ht="15" customHeight="1" x14ac:dyDescent="0.25">
      <c r="A27" s="284"/>
      <c r="BK27" s="285"/>
      <c r="BM27" s="4">
        <f t="shared" si="1"/>
        <v>21</v>
      </c>
    </row>
    <row r="28" spans="1:65" s="282" customFormat="1" ht="15" customHeight="1" x14ac:dyDescent="0.25">
      <c r="A28" s="284"/>
      <c r="BK28" s="285"/>
      <c r="BM28" s="4">
        <f t="shared" si="1"/>
        <v>22</v>
      </c>
    </row>
    <row r="29" spans="1:65" s="282" customFormat="1" ht="15" customHeight="1" x14ac:dyDescent="0.25">
      <c r="A29" s="284"/>
      <c r="BK29" s="285"/>
      <c r="BM29" s="4">
        <f t="shared" si="1"/>
        <v>23</v>
      </c>
    </row>
    <row r="30" spans="1:65" s="282" customFormat="1" ht="15" customHeight="1" x14ac:dyDescent="0.25">
      <c r="A30" s="284"/>
      <c r="BK30" s="285"/>
      <c r="BM30" s="4">
        <f t="shared" si="1"/>
        <v>24</v>
      </c>
    </row>
    <row r="31" spans="1:65" s="282" customFormat="1" ht="15" customHeight="1" x14ac:dyDescent="0.25">
      <c r="A31" s="284"/>
      <c r="BK31" s="285"/>
      <c r="BM31" s="4">
        <f t="shared" si="1"/>
        <v>25</v>
      </c>
    </row>
    <row r="32" spans="1:65" s="282" customFormat="1" ht="15" customHeight="1" x14ac:dyDescent="0.25">
      <c r="A32" s="284"/>
      <c r="BK32" s="285"/>
      <c r="BM32" s="4">
        <f t="shared" si="1"/>
        <v>26</v>
      </c>
    </row>
    <row r="33" spans="1:65" s="282" customFormat="1" ht="15" customHeight="1" x14ac:dyDescent="0.25">
      <c r="A33" s="284"/>
      <c r="BK33" s="285"/>
      <c r="BM33" s="4">
        <f t="shared" si="1"/>
        <v>27</v>
      </c>
    </row>
    <row r="34" spans="1:65" s="282" customFormat="1" ht="15" customHeight="1" x14ac:dyDescent="0.25">
      <c r="A34" s="284"/>
      <c r="BK34" s="285"/>
      <c r="BM34" s="4">
        <f t="shared" si="1"/>
        <v>28</v>
      </c>
    </row>
    <row r="35" spans="1:65" s="282" customFormat="1" ht="15" customHeight="1" x14ac:dyDescent="0.25">
      <c r="A35" s="284"/>
      <c r="BK35" s="285"/>
      <c r="BM35" s="4">
        <f t="shared" si="1"/>
        <v>29</v>
      </c>
    </row>
    <row r="36" spans="1:65" s="282" customFormat="1" ht="15" customHeight="1" x14ac:dyDescent="0.25">
      <c r="A36" s="284"/>
      <c r="BK36" s="285"/>
      <c r="BM36" s="4">
        <f t="shared" si="1"/>
        <v>30</v>
      </c>
    </row>
    <row r="37" spans="1:65" s="282" customFormat="1" ht="15" customHeight="1" x14ac:dyDescent="0.25">
      <c r="A37" s="284"/>
      <c r="BK37" s="285"/>
      <c r="BM37" s="4">
        <f t="shared" si="1"/>
        <v>31</v>
      </c>
    </row>
    <row r="38" spans="1:65" s="282" customFormat="1" ht="15" customHeight="1" x14ac:dyDescent="0.25">
      <c r="A38" s="284"/>
      <c r="BK38" s="285"/>
      <c r="BM38" s="4">
        <f t="shared" si="1"/>
        <v>32</v>
      </c>
    </row>
    <row r="39" spans="1:65" s="282" customFormat="1" ht="15" customHeight="1" x14ac:dyDescent="0.25">
      <c r="A39" s="284"/>
      <c r="BK39" s="285"/>
      <c r="BM39" s="4">
        <f t="shared" si="1"/>
        <v>33</v>
      </c>
    </row>
    <row r="40" spans="1:65" s="282" customFormat="1" ht="15" customHeight="1" x14ac:dyDescent="0.25">
      <c r="A40" s="284"/>
      <c r="BK40" s="285"/>
      <c r="BM40" s="4">
        <f t="shared" si="1"/>
        <v>34</v>
      </c>
    </row>
    <row r="41" spans="1:65" s="282" customFormat="1" ht="15" customHeight="1" x14ac:dyDescent="0.25">
      <c r="A41" s="284"/>
      <c r="BK41" s="285"/>
      <c r="BM41" s="4">
        <f t="shared" si="1"/>
        <v>35</v>
      </c>
    </row>
    <row r="42" spans="1:65" s="282" customFormat="1" ht="15" customHeight="1" x14ac:dyDescent="0.25">
      <c r="A42" s="284"/>
      <c r="BK42" s="285"/>
      <c r="BM42" s="4">
        <f t="shared" si="1"/>
        <v>36</v>
      </c>
    </row>
    <row r="43" spans="1:65" s="282" customFormat="1" ht="15" customHeight="1" x14ac:dyDescent="0.25">
      <c r="A43" s="284"/>
      <c r="BK43" s="285"/>
      <c r="BM43" s="4">
        <f t="shared" si="1"/>
        <v>37</v>
      </c>
    </row>
    <row r="44" spans="1:65" s="282" customFormat="1" ht="15" customHeight="1" x14ac:dyDescent="0.25">
      <c r="A44" s="284"/>
      <c r="BK44" s="285"/>
      <c r="BM44" s="4">
        <f t="shared" si="1"/>
        <v>38</v>
      </c>
    </row>
    <row r="45" spans="1:65" s="282" customFormat="1" ht="15" customHeight="1" x14ac:dyDescent="0.25">
      <c r="A45" s="284"/>
      <c r="BK45" s="285"/>
      <c r="BM45" s="4">
        <f t="shared" si="1"/>
        <v>39</v>
      </c>
    </row>
    <row r="46" spans="1:65" s="282" customFormat="1" ht="15" customHeight="1" x14ac:dyDescent="0.25">
      <c r="A46" s="284"/>
      <c r="BK46" s="285"/>
      <c r="BM46" s="4">
        <f t="shared" si="1"/>
        <v>40</v>
      </c>
    </row>
    <row r="47" spans="1:65" s="282" customFormat="1" ht="15" customHeight="1" x14ac:dyDescent="0.25">
      <c r="A47" s="284"/>
      <c r="BK47" s="285"/>
      <c r="BM47" s="4">
        <f t="shared" ref="BM47:BM59" si="2">IF(BM46=50,1,BM46+1)</f>
        <v>41</v>
      </c>
    </row>
    <row r="48" spans="1:65" s="282" customFormat="1" ht="15" customHeight="1" x14ac:dyDescent="0.25">
      <c r="A48" s="284"/>
      <c r="BK48" s="285"/>
      <c r="BM48" s="4">
        <f t="shared" si="2"/>
        <v>42</v>
      </c>
    </row>
    <row r="49" spans="1:65" s="282" customFormat="1" ht="15" customHeight="1" x14ac:dyDescent="0.25">
      <c r="A49" s="284"/>
      <c r="BK49" s="285"/>
      <c r="BM49" s="4">
        <f t="shared" si="2"/>
        <v>43</v>
      </c>
    </row>
    <row r="50" spans="1:65" s="282" customFormat="1" ht="15" customHeight="1" x14ac:dyDescent="0.25">
      <c r="A50" s="284"/>
      <c r="BK50" s="285"/>
      <c r="BM50" s="4">
        <f t="shared" si="2"/>
        <v>44</v>
      </c>
    </row>
    <row r="51" spans="1:65" s="282" customFormat="1" ht="15" customHeight="1" x14ac:dyDescent="0.25">
      <c r="A51" s="284"/>
      <c r="BK51" s="285"/>
      <c r="BM51" s="4">
        <f t="shared" si="2"/>
        <v>45</v>
      </c>
    </row>
    <row r="52" spans="1:65" s="282" customFormat="1" ht="15" customHeight="1" x14ac:dyDescent="0.25">
      <c r="A52" s="284"/>
      <c r="BK52" s="285"/>
      <c r="BM52" s="4">
        <f t="shared" si="2"/>
        <v>46</v>
      </c>
    </row>
    <row r="53" spans="1:65" s="282" customFormat="1" ht="15" customHeight="1" x14ac:dyDescent="0.25">
      <c r="A53" s="284"/>
      <c r="BK53" s="285"/>
      <c r="BM53" s="4">
        <f t="shared" si="2"/>
        <v>47</v>
      </c>
    </row>
    <row r="54" spans="1:65" s="282" customFormat="1" ht="15" customHeight="1" x14ac:dyDescent="0.25">
      <c r="A54" s="284"/>
      <c r="BK54" s="285"/>
      <c r="BM54" s="4">
        <f t="shared" si="2"/>
        <v>48</v>
      </c>
    </row>
    <row r="55" spans="1:65" s="282" customFormat="1" ht="15" customHeight="1" x14ac:dyDescent="0.25">
      <c r="A55" s="284"/>
      <c r="BK55" s="285"/>
      <c r="BM55" s="4">
        <f t="shared" si="2"/>
        <v>49</v>
      </c>
    </row>
    <row r="56" spans="1:65" s="282" customFormat="1" ht="15" customHeight="1" x14ac:dyDescent="0.25">
      <c r="A56" s="284"/>
      <c r="BK56" s="285"/>
      <c r="BM56" s="4">
        <f t="shared" si="2"/>
        <v>50</v>
      </c>
    </row>
    <row r="57" spans="1:65" s="282" customFormat="1" ht="15" customHeight="1" x14ac:dyDescent="0.25">
      <c r="A57" s="284"/>
      <c r="BK57" s="285"/>
      <c r="BM57" s="4">
        <f t="shared" si="2"/>
        <v>1</v>
      </c>
    </row>
    <row r="58" spans="1:65" s="282" customFormat="1" ht="15" customHeight="1" x14ac:dyDescent="0.25">
      <c r="A58" s="284"/>
      <c r="BK58" s="285"/>
      <c r="BM58" s="4">
        <f t="shared" si="2"/>
        <v>2</v>
      </c>
    </row>
    <row r="59" spans="1:65" s="282" customFormat="1" ht="15" customHeight="1" x14ac:dyDescent="0.25">
      <c r="A59" s="286"/>
      <c r="B59" s="287"/>
      <c r="C59" s="287"/>
      <c r="D59" s="287"/>
      <c r="E59" s="287"/>
      <c r="F59" s="287"/>
      <c r="G59" s="287"/>
      <c r="H59" s="287"/>
      <c r="I59" s="287"/>
      <c r="J59" s="287"/>
      <c r="K59" s="287"/>
      <c r="L59" s="287"/>
      <c r="M59" s="287"/>
      <c r="N59" s="287"/>
      <c r="O59" s="287"/>
      <c r="P59" s="287"/>
      <c r="Q59" s="287"/>
      <c r="R59" s="287"/>
      <c r="S59" s="287"/>
      <c r="T59" s="287"/>
      <c r="U59" s="287"/>
      <c r="V59" s="287"/>
      <c r="W59" s="287"/>
      <c r="X59" s="287"/>
      <c r="Y59" s="287"/>
      <c r="Z59" s="287"/>
      <c r="AA59" s="287"/>
      <c r="AB59" s="287"/>
      <c r="AC59" s="287"/>
      <c r="AD59" s="287"/>
      <c r="AE59" s="287"/>
      <c r="AF59" s="287"/>
      <c r="AG59" s="287"/>
      <c r="AH59" s="287"/>
      <c r="AI59" s="287"/>
      <c r="AJ59" s="287"/>
      <c r="AK59" s="287"/>
      <c r="AL59" s="287"/>
      <c r="AM59" s="287"/>
      <c r="AN59" s="287"/>
      <c r="AO59" s="287"/>
      <c r="AP59" s="287"/>
      <c r="AQ59" s="287"/>
      <c r="AR59" s="287"/>
      <c r="AS59" s="287"/>
      <c r="AT59" s="287"/>
      <c r="AU59" s="287"/>
      <c r="AV59" s="287"/>
      <c r="AW59" s="287"/>
      <c r="AX59" s="287"/>
      <c r="AY59" s="287"/>
      <c r="AZ59" s="287"/>
      <c r="BA59" s="287"/>
      <c r="BB59" s="287"/>
      <c r="BC59" s="287"/>
      <c r="BD59" s="287"/>
      <c r="BE59" s="287"/>
      <c r="BF59" s="287"/>
      <c r="BG59" s="287"/>
      <c r="BH59" s="287"/>
      <c r="BI59" s="287"/>
      <c r="BJ59" s="287"/>
      <c r="BK59" s="288"/>
      <c r="BM59" s="4">
        <f t="shared" si="2"/>
        <v>3</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5"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pageSetUpPr fitToPage="1"/>
  </sheetPr>
  <dimension ref="A1:BO244"/>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186" customWidth="1"/>
    <col min="66" max="16384" width="2.77734375" style="186"/>
  </cols>
  <sheetData>
    <row r="1" spans="1:65" ht="24.95" customHeight="1" x14ac:dyDescent="0.25">
      <c r="A1" s="180" t="s">
        <v>46</v>
      </c>
      <c r="B1" s="181"/>
      <c r="C1" s="181"/>
      <c r="D1" s="181"/>
      <c r="E1" s="181"/>
      <c r="F1" s="181"/>
      <c r="G1" s="181"/>
      <c r="H1" s="181"/>
      <c r="I1" s="181"/>
      <c r="J1" s="182"/>
      <c r="K1" s="180" t="s">
        <v>47</v>
      </c>
      <c r="L1" s="181"/>
      <c r="M1" s="181"/>
      <c r="N1" s="181"/>
      <c r="O1" s="181"/>
      <c r="P1" s="181"/>
      <c r="Q1" s="181"/>
      <c r="R1" s="181"/>
      <c r="S1" s="181"/>
      <c r="T1" s="181"/>
      <c r="U1" s="181"/>
      <c r="V1" s="182"/>
      <c r="W1" s="183" t="str">
        <f>IF(表紙!W1="","",表紙!W1)</f>
        <v>基本設計書</v>
      </c>
      <c r="X1" s="184"/>
      <c r="Y1" s="184"/>
      <c r="Z1" s="184"/>
      <c r="AA1" s="184"/>
      <c r="AB1" s="184"/>
      <c r="AC1" s="184"/>
      <c r="AD1" s="184"/>
      <c r="AE1" s="184"/>
      <c r="AF1" s="184"/>
      <c r="AG1" s="184"/>
      <c r="AH1" s="184"/>
      <c r="AI1" s="184"/>
      <c r="AJ1" s="184"/>
      <c r="AK1" s="184"/>
      <c r="AL1" s="184"/>
      <c r="AM1" s="184"/>
      <c r="AN1" s="184"/>
      <c r="AO1" s="185"/>
      <c r="AP1" s="180" t="s">
        <v>49</v>
      </c>
      <c r="AQ1" s="181"/>
      <c r="AR1" s="181"/>
      <c r="AS1" s="182"/>
      <c r="AT1" s="180" t="s">
        <v>50</v>
      </c>
      <c r="AU1" s="181"/>
      <c r="AV1" s="181"/>
      <c r="AW1" s="181"/>
      <c r="AX1" s="182"/>
      <c r="AY1" s="180" t="s">
        <v>51</v>
      </c>
      <c r="AZ1" s="181"/>
      <c r="BA1" s="181"/>
      <c r="BB1" s="182"/>
      <c r="BC1" s="180" t="s">
        <v>52</v>
      </c>
      <c r="BD1" s="181"/>
      <c r="BE1" s="181"/>
      <c r="BF1" s="181"/>
      <c r="BG1" s="182"/>
      <c r="BH1" s="180" t="s">
        <v>53</v>
      </c>
      <c r="BI1" s="181"/>
      <c r="BJ1" s="181"/>
      <c r="BK1" s="182"/>
    </row>
    <row r="2" spans="1:65" ht="15" customHeight="1" x14ac:dyDescent="0.25">
      <c r="A2" s="189" t="str">
        <f>IF(表紙!A2="","",表紙!A2)</f>
        <v>POSサーバー</v>
      </c>
      <c r="B2" s="187"/>
      <c r="C2" s="187"/>
      <c r="D2" s="187"/>
      <c r="E2" s="187"/>
      <c r="F2" s="187"/>
      <c r="G2" s="187"/>
      <c r="H2" s="187"/>
      <c r="I2" s="187"/>
      <c r="J2" s="188"/>
      <c r="K2" s="189" t="str">
        <f>IF(表紙!K2="","",表紙!K2)</f>
        <v>POSサーバ</v>
      </c>
      <c r="L2" s="187"/>
      <c r="M2" s="187"/>
      <c r="N2" s="187"/>
      <c r="O2" s="187"/>
      <c r="P2" s="187"/>
      <c r="Q2" s="187"/>
      <c r="R2" s="187"/>
      <c r="S2" s="187"/>
      <c r="T2" s="187"/>
      <c r="U2" s="187"/>
      <c r="V2" s="188"/>
      <c r="W2" s="190"/>
      <c r="X2" s="191"/>
      <c r="Y2" s="191"/>
      <c r="Z2" s="191"/>
      <c r="AA2" s="191"/>
      <c r="AB2" s="191"/>
      <c r="AC2" s="191"/>
      <c r="AD2" s="191"/>
      <c r="AE2" s="191"/>
      <c r="AF2" s="191"/>
      <c r="AG2" s="191"/>
      <c r="AH2" s="191"/>
      <c r="AI2" s="191"/>
      <c r="AJ2" s="191"/>
      <c r="AK2" s="191"/>
      <c r="AL2" s="191"/>
      <c r="AM2" s="191"/>
      <c r="AN2" s="191"/>
      <c r="AO2" s="192"/>
      <c r="AP2" s="189" t="str">
        <f>IF(表紙!AP2="","",表紙!AP2)</f>
        <v>SonMNT</v>
      </c>
      <c r="AQ2" s="187"/>
      <c r="AR2" s="187"/>
      <c r="AS2" s="188"/>
      <c r="AT2" s="193">
        <f>IF(表紙!AT2="","",表紙!AT2)</f>
        <v>45477</v>
      </c>
      <c r="AU2" s="194"/>
      <c r="AV2" s="194"/>
      <c r="AW2" s="194"/>
      <c r="AX2" s="195"/>
      <c r="AY2" s="189" t="str">
        <f>IF(表紙!AY2="","",表紙!AY2)</f>
        <v>SonMNT</v>
      </c>
      <c r="AZ2" s="187"/>
      <c r="BA2" s="187"/>
      <c r="BB2" s="188"/>
      <c r="BC2" s="193">
        <f>IF(表紙!BC2="","",表紙!BC2)</f>
        <v>45477</v>
      </c>
      <c r="BD2" s="194"/>
      <c r="BE2" s="194"/>
      <c r="BF2" s="194"/>
      <c r="BG2" s="195"/>
      <c r="BH2" s="189">
        <f>IF(表紙!BH2="","",表紙!BH2)</f>
        <v>0.1</v>
      </c>
      <c r="BI2" s="187"/>
      <c r="BJ2" s="187"/>
      <c r="BK2" s="188"/>
    </row>
    <row r="3" spans="1:65" ht="15" customHeight="1" x14ac:dyDescent="0.25">
      <c r="A3" s="199"/>
      <c r="B3" s="200"/>
      <c r="C3" s="200"/>
      <c r="D3" s="200"/>
      <c r="E3" s="200"/>
      <c r="F3" s="200"/>
      <c r="G3" s="200"/>
      <c r="H3" s="200"/>
      <c r="I3" s="200"/>
      <c r="J3" s="201"/>
      <c r="K3" s="199"/>
      <c r="L3" s="200"/>
      <c r="M3" s="200"/>
      <c r="N3" s="200"/>
      <c r="O3" s="200"/>
      <c r="P3" s="200"/>
      <c r="Q3" s="200"/>
      <c r="R3" s="200"/>
      <c r="S3" s="200"/>
      <c r="T3" s="200"/>
      <c r="U3" s="200"/>
      <c r="V3" s="201"/>
      <c r="W3" s="202"/>
      <c r="X3" s="203"/>
      <c r="Y3" s="203"/>
      <c r="Z3" s="203"/>
      <c r="AA3" s="203"/>
      <c r="AB3" s="203"/>
      <c r="AC3" s="203"/>
      <c r="AD3" s="203"/>
      <c r="AE3" s="203"/>
      <c r="AF3" s="203"/>
      <c r="AG3" s="203"/>
      <c r="AH3" s="203"/>
      <c r="AI3" s="203"/>
      <c r="AJ3" s="203"/>
      <c r="AK3" s="203"/>
      <c r="AL3" s="203"/>
      <c r="AM3" s="203"/>
      <c r="AN3" s="203"/>
      <c r="AO3" s="204"/>
      <c r="AP3" s="199"/>
      <c r="AQ3" s="200"/>
      <c r="AR3" s="200"/>
      <c r="AS3" s="201"/>
      <c r="AT3" s="205"/>
      <c r="AU3" s="206"/>
      <c r="AV3" s="206"/>
      <c r="AW3" s="206"/>
      <c r="AX3" s="207"/>
      <c r="AY3" s="199"/>
      <c r="AZ3" s="200"/>
      <c r="BA3" s="200"/>
      <c r="BB3" s="201"/>
      <c r="BC3" s="205"/>
      <c r="BD3" s="206"/>
      <c r="BE3" s="206"/>
      <c r="BF3" s="206"/>
      <c r="BG3" s="207"/>
      <c r="BH3" s="199"/>
      <c r="BI3" s="200"/>
      <c r="BJ3" s="200"/>
      <c r="BK3" s="201"/>
    </row>
    <row r="4" spans="1:65" ht="24.95" customHeight="1" x14ac:dyDescent="0.25">
      <c r="A4" s="180" t="s">
        <v>55</v>
      </c>
      <c r="B4" s="181"/>
      <c r="C4" s="181"/>
      <c r="D4" s="181"/>
      <c r="E4" s="181"/>
      <c r="F4" s="181"/>
      <c r="G4" s="182"/>
      <c r="H4" s="211" t="str">
        <f>IF(表紙!H4="","",表紙!H4)</f>
        <v>95_セットマッチ設定</v>
      </c>
      <c r="I4" s="212"/>
      <c r="J4" s="212"/>
      <c r="K4" s="212"/>
      <c r="L4" s="212"/>
      <c r="M4" s="212"/>
      <c r="N4" s="212"/>
      <c r="O4" s="212"/>
      <c r="P4" s="212"/>
      <c r="Q4" s="212"/>
      <c r="R4" s="212"/>
      <c r="S4" s="212"/>
      <c r="T4" s="213"/>
      <c r="U4" s="180" t="s">
        <v>56</v>
      </c>
      <c r="V4" s="181"/>
      <c r="W4" s="181"/>
      <c r="X4" s="181"/>
      <c r="Y4" s="182"/>
      <c r="Z4" s="211" t="str">
        <f>IF(表紙!Z4="","",表紙!Z4)</f>
        <v>概要設計</v>
      </c>
      <c r="AA4" s="212"/>
      <c r="AB4" s="212"/>
      <c r="AC4" s="212"/>
      <c r="AD4" s="212"/>
      <c r="AE4" s="212"/>
      <c r="AF4" s="212"/>
      <c r="AG4" s="212"/>
      <c r="AH4" s="212"/>
      <c r="AI4" s="212"/>
      <c r="AJ4" s="212"/>
      <c r="AK4" s="212"/>
      <c r="AL4" s="212"/>
      <c r="AM4" s="212"/>
      <c r="AN4" s="212"/>
      <c r="AO4" s="213"/>
      <c r="AP4" s="211" t="str">
        <f t="array" aca="1" ref="AP4" ca="1">RIGHT(CELL("filename",$A$1),LEN(CELL("filename",$A$1))-FIND("]",CELL("filename",$A$1)))</f>
        <v>機能概要</v>
      </c>
      <c r="AQ4" s="212"/>
      <c r="AR4" s="212"/>
      <c r="AS4" s="212"/>
      <c r="AT4" s="212"/>
      <c r="AU4" s="212"/>
      <c r="AV4" s="212"/>
      <c r="AW4" s="212"/>
      <c r="AX4" s="212"/>
      <c r="AY4" s="212"/>
      <c r="AZ4" s="212"/>
      <c r="BA4" s="212"/>
      <c r="BB4" s="212"/>
      <c r="BC4" s="212"/>
      <c r="BD4" s="212"/>
      <c r="BE4" s="212"/>
      <c r="BF4" s="212"/>
      <c r="BG4" s="212"/>
      <c r="BH4" s="212"/>
      <c r="BI4" s="212"/>
      <c r="BJ4" s="212"/>
      <c r="BK4" s="213"/>
    </row>
    <row r="5" spans="1:65" ht="5.0999999999999996" customHeight="1" x14ac:dyDescent="0.25">
      <c r="A5" s="214"/>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6"/>
    </row>
    <row r="6" spans="1:65" ht="15" customHeight="1" x14ac:dyDescent="0.25">
      <c r="A6" s="217"/>
      <c r="BK6" s="218"/>
    </row>
    <row r="7" spans="1:65" ht="15" customHeight="1" x14ac:dyDescent="0.25">
      <c r="A7" s="217"/>
      <c r="B7" s="289" t="s">
        <v>64</v>
      </c>
      <c r="C7" s="290"/>
      <c r="D7" s="291"/>
      <c r="E7" s="291"/>
      <c r="F7" s="291"/>
      <c r="G7" s="291"/>
      <c r="H7" s="291"/>
      <c r="I7" s="291"/>
      <c r="J7" s="291"/>
      <c r="K7" s="292"/>
      <c r="L7" s="291"/>
      <c r="M7" s="291"/>
      <c r="N7" s="291"/>
      <c r="O7" s="291"/>
      <c r="P7" s="291"/>
      <c r="Q7" s="291"/>
      <c r="R7" s="291"/>
      <c r="S7" s="291"/>
      <c r="T7" s="292"/>
      <c r="U7" s="290"/>
      <c r="V7" s="291"/>
      <c r="W7" s="291"/>
      <c r="X7" s="291"/>
      <c r="Y7" s="291"/>
      <c r="Z7" s="291"/>
      <c r="AA7" s="291"/>
      <c r="AB7" s="291"/>
      <c r="AC7" s="292"/>
      <c r="AD7" s="290"/>
      <c r="AE7" s="291"/>
      <c r="AF7" s="291"/>
      <c r="AG7" s="291"/>
      <c r="AH7" s="291"/>
      <c r="AI7" s="291"/>
      <c r="AJ7" s="291"/>
      <c r="AK7" s="291"/>
      <c r="AL7" s="292"/>
      <c r="AM7" s="290"/>
      <c r="AN7" s="291"/>
      <c r="AO7" s="291"/>
      <c r="AP7" s="291"/>
      <c r="AQ7" s="291"/>
      <c r="AR7" s="291"/>
      <c r="AS7" s="291"/>
      <c r="AT7" s="291"/>
      <c r="AU7" s="291"/>
      <c r="AV7" s="291"/>
      <c r="AW7" s="291"/>
      <c r="AX7" s="291"/>
      <c r="AY7" s="291"/>
      <c r="AZ7" s="291"/>
      <c r="BA7" s="291"/>
      <c r="BB7" s="291"/>
      <c r="BC7" s="291"/>
      <c r="BD7" s="291"/>
      <c r="BE7" s="291"/>
      <c r="BF7" s="291"/>
      <c r="BG7" s="291"/>
      <c r="BH7" s="291"/>
      <c r="BI7" s="292"/>
      <c r="BJ7" s="291"/>
      <c r="BK7" s="218"/>
    </row>
    <row r="8" spans="1:65" ht="15" customHeight="1" x14ac:dyDescent="0.25">
      <c r="A8" s="217"/>
      <c r="B8" s="293"/>
      <c r="K8" s="294"/>
      <c r="U8" s="293"/>
      <c r="AD8" s="293"/>
      <c r="AM8" s="293"/>
      <c r="BI8" s="295"/>
      <c r="BK8" s="218"/>
      <c r="BM8" s="4">
        <f t="shared" ref="BM8:BM71" si="0">IF(BM7=50,1,BM7+1)</f>
        <v>1</v>
      </c>
    </row>
    <row r="9" spans="1:65" ht="15" customHeight="1" x14ac:dyDescent="0.25">
      <c r="A9" s="217"/>
      <c r="B9" s="293"/>
      <c r="K9" s="294"/>
      <c r="U9" s="293"/>
      <c r="AD9" s="293"/>
      <c r="AM9" s="293"/>
      <c r="BI9" s="295"/>
      <c r="BK9" s="218"/>
      <c r="BM9" s="4">
        <f t="shared" si="0"/>
        <v>2</v>
      </c>
    </row>
    <row r="10" spans="1:65" ht="15" customHeight="1" x14ac:dyDescent="0.25">
      <c r="A10" s="217"/>
      <c r="B10" s="293"/>
      <c r="K10" s="294"/>
      <c r="U10" s="293"/>
      <c r="AD10" s="293"/>
      <c r="AM10" s="293"/>
      <c r="BI10" s="295"/>
      <c r="BK10" s="218"/>
      <c r="BM10" s="4">
        <f t="shared" si="0"/>
        <v>3</v>
      </c>
    </row>
    <row r="11" spans="1:65" ht="15" customHeight="1" x14ac:dyDescent="0.25">
      <c r="A11" s="217"/>
      <c r="B11" s="293"/>
      <c r="K11" s="294"/>
      <c r="U11" s="293"/>
      <c r="AD11" s="293"/>
      <c r="AM11" s="293"/>
      <c r="BI11" s="295"/>
      <c r="BK11" s="218"/>
      <c r="BM11" s="4">
        <f t="shared" si="0"/>
        <v>4</v>
      </c>
    </row>
    <row r="12" spans="1:65" ht="15" customHeight="1" x14ac:dyDescent="0.25">
      <c r="A12" s="217"/>
      <c r="B12" s="293"/>
      <c r="K12" s="294"/>
      <c r="U12" s="293"/>
      <c r="AD12" s="293"/>
      <c r="AM12" s="293"/>
      <c r="BI12" s="295"/>
      <c r="BK12" s="218"/>
      <c r="BM12" s="4">
        <f t="shared" si="0"/>
        <v>5</v>
      </c>
    </row>
    <row r="13" spans="1:65" ht="15" customHeight="1" x14ac:dyDescent="0.25">
      <c r="A13" s="217"/>
      <c r="B13" s="293"/>
      <c r="K13" s="294"/>
      <c r="U13" s="293"/>
      <c r="AD13" s="293"/>
      <c r="AM13" s="293"/>
      <c r="BI13" s="295"/>
      <c r="BK13" s="218"/>
      <c r="BM13" s="4">
        <f t="shared" si="0"/>
        <v>6</v>
      </c>
    </row>
    <row r="14" spans="1:65" ht="15" customHeight="1" x14ac:dyDescent="0.25">
      <c r="A14" s="217"/>
      <c r="B14" s="293"/>
      <c r="K14" s="294"/>
      <c r="U14" s="293"/>
      <c r="AD14" s="293"/>
      <c r="AM14" s="293"/>
      <c r="BI14" s="295"/>
      <c r="BK14" s="218"/>
      <c r="BM14" s="4">
        <f t="shared" si="0"/>
        <v>7</v>
      </c>
    </row>
    <row r="15" spans="1:65" ht="15" customHeight="1" x14ac:dyDescent="0.25">
      <c r="A15" s="217"/>
      <c r="B15" s="293"/>
      <c r="K15" s="294"/>
      <c r="U15" s="293"/>
      <c r="AD15" s="293"/>
      <c r="AM15" s="293"/>
      <c r="BI15" s="295"/>
      <c r="BK15" s="218"/>
      <c r="BM15" s="4">
        <f t="shared" si="0"/>
        <v>8</v>
      </c>
    </row>
    <row r="16" spans="1:65" ht="15" customHeight="1" x14ac:dyDescent="0.25">
      <c r="A16" s="217"/>
      <c r="B16" s="293"/>
      <c r="K16" s="294"/>
      <c r="U16" s="293"/>
      <c r="AD16" s="293"/>
      <c r="AM16" s="293"/>
      <c r="BI16" s="295"/>
      <c r="BK16" s="218"/>
      <c r="BM16" s="4">
        <f t="shared" si="0"/>
        <v>9</v>
      </c>
    </row>
    <row r="17" spans="1:65" ht="15" customHeight="1" x14ac:dyDescent="0.25">
      <c r="A17" s="217"/>
      <c r="B17" s="293"/>
      <c r="K17" s="294"/>
      <c r="U17" s="293"/>
      <c r="AD17" s="293"/>
      <c r="AM17" s="293"/>
      <c r="BI17" s="295"/>
      <c r="BK17" s="218"/>
      <c r="BM17" s="4">
        <f t="shared" si="0"/>
        <v>10</v>
      </c>
    </row>
    <row r="18" spans="1:65" ht="15" customHeight="1" x14ac:dyDescent="0.25">
      <c r="A18" s="217"/>
      <c r="B18" s="293"/>
      <c r="K18" s="294"/>
      <c r="U18" s="293"/>
      <c r="AD18" s="293"/>
      <c r="AM18" s="293"/>
      <c r="BI18" s="295"/>
      <c r="BK18" s="218"/>
      <c r="BM18" s="4">
        <f t="shared" si="0"/>
        <v>11</v>
      </c>
    </row>
    <row r="19" spans="1:65" ht="15" customHeight="1" x14ac:dyDescent="0.25">
      <c r="A19" s="217"/>
      <c r="B19" s="293"/>
      <c r="K19" s="294"/>
      <c r="U19" s="293"/>
      <c r="AD19" s="293"/>
      <c r="AM19" s="293"/>
      <c r="BI19" s="295"/>
      <c r="BK19" s="218"/>
      <c r="BM19" s="4">
        <f t="shared" si="0"/>
        <v>12</v>
      </c>
    </row>
    <row r="20" spans="1:65" ht="15" customHeight="1" x14ac:dyDescent="0.25">
      <c r="A20" s="217"/>
      <c r="B20" s="293"/>
      <c r="K20" s="294"/>
      <c r="U20" s="293"/>
      <c r="AD20" s="293"/>
      <c r="AM20" s="293"/>
      <c r="BI20" s="295"/>
      <c r="BK20" s="218"/>
      <c r="BM20" s="4">
        <f t="shared" si="0"/>
        <v>13</v>
      </c>
    </row>
    <row r="21" spans="1:65" ht="15" customHeight="1" x14ac:dyDescent="0.25">
      <c r="A21" s="217"/>
      <c r="B21" s="293"/>
      <c r="K21" s="294"/>
      <c r="U21" s="293"/>
      <c r="AD21" s="293"/>
      <c r="AM21" s="293"/>
      <c r="BI21" s="295"/>
      <c r="BK21" s="218"/>
      <c r="BM21" s="4">
        <f t="shared" si="0"/>
        <v>14</v>
      </c>
    </row>
    <row r="22" spans="1:65" s="282" customFormat="1" ht="15" customHeight="1" x14ac:dyDescent="0.25">
      <c r="A22" s="284"/>
      <c r="B22" s="293"/>
      <c r="K22" s="294"/>
      <c r="L22" s="296"/>
      <c r="T22" s="294"/>
      <c r="U22" s="296"/>
      <c r="AC22" s="294"/>
      <c r="AD22" s="296"/>
      <c r="AL22" s="294"/>
      <c r="AM22" s="296"/>
      <c r="BI22" s="294"/>
      <c r="BK22" s="285"/>
      <c r="BM22" s="4">
        <f t="shared" si="0"/>
        <v>15</v>
      </c>
    </row>
    <row r="23" spans="1:65" s="282" customFormat="1" ht="15" customHeight="1" x14ac:dyDescent="0.25">
      <c r="A23" s="284"/>
      <c r="B23" s="293"/>
      <c r="K23" s="294"/>
      <c r="L23" s="296"/>
      <c r="T23" s="294"/>
      <c r="U23" s="296"/>
      <c r="AC23" s="294"/>
      <c r="AD23" s="296"/>
      <c r="AL23" s="294"/>
      <c r="AM23" s="296"/>
      <c r="BI23" s="294"/>
      <c r="BK23" s="285"/>
      <c r="BM23" s="4">
        <f t="shared" si="0"/>
        <v>16</v>
      </c>
    </row>
    <row r="24" spans="1:65" s="282" customFormat="1" ht="15" customHeight="1" x14ac:dyDescent="0.25">
      <c r="A24" s="284"/>
      <c r="B24" s="293"/>
      <c r="K24" s="294"/>
      <c r="L24" s="296"/>
      <c r="T24" s="294"/>
      <c r="U24" s="296"/>
      <c r="AC24" s="294"/>
      <c r="AD24" s="296"/>
      <c r="AL24" s="294"/>
      <c r="AM24" s="296"/>
      <c r="BI24" s="294"/>
      <c r="BK24" s="285"/>
      <c r="BM24" s="4">
        <f t="shared" si="0"/>
        <v>17</v>
      </c>
    </row>
    <row r="25" spans="1:65" s="282" customFormat="1" ht="15" customHeight="1" x14ac:dyDescent="0.25">
      <c r="A25" s="284"/>
      <c r="B25" s="293"/>
      <c r="K25" s="294"/>
      <c r="L25" s="296"/>
      <c r="T25" s="294"/>
      <c r="U25" s="296"/>
      <c r="AC25" s="294"/>
      <c r="AD25" s="296"/>
      <c r="AL25" s="294"/>
      <c r="AM25" s="296"/>
      <c r="BI25" s="294"/>
      <c r="BK25" s="285"/>
      <c r="BM25" s="4">
        <f t="shared" si="0"/>
        <v>18</v>
      </c>
    </row>
    <row r="26" spans="1:65" s="282" customFormat="1" ht="15" customHeight="1" x14ac:dyDescent="0.25">
      <c r="A26" s="284"/>
      <c r="B26" s="293"/>
      <c r="K26" s="294"/>
      <c r="L26" s="296"/>
      <c r="T26" s="294"/>
      <c r="U26" s="296"/>
      <c r="AC26" s="294"/>
      <c r="AD26" s="296"/>
      <c r="AL26" s="294"/>
      <c r="AM26" s="296"/>
      <c r="BI26" s="294"/>
      <c r="BK26" s="285"/>
      <c r="BM26" s="4">
        <f t="shared" si="0"/>
        <v>19</v>
      </c>
    </row>
    <row r="27" spans="1:65" s="282" customFormat="1" ht="15" customHeight="1" x14ac:dyDescent="0.25">
      <c r="A27" s="284"/>
      <c r="B27" s="293"/>
      <c r="K27" s="294"/>
      <c r="L27" s="296"/>
      <c r="T27" s="294"/>
      <c r="U27" s="296"/>
      <c r="AC27" s="294"/>
      <c r="AD27" s="296"/>
      <c r="AL27" s="294"/>
      <c r="AM27" s="296"/>
      <c r="BI27" s="294"/>
      <c r="BK27" s="285"/>
      <c r="BM27" s="4">
        <f t="shared" si="0"/>
        <v>20</v>
      </c>
    </row>
    <row r="28" spans="1:65" s="282" customFormat="1" ht="15" customHeight="1" x14ac:dyDescent="0.25">
      <c r="A28" s="284"/>
      <c r="B28" s="293"/>
      <c r="K28" s="294"/>
      <c r="L28" s="296"/>
      <c r="T28" s="294"/>
      <c r="U28" s="296"/>
      <c r="AC28" s="294"/>
      <c r="AD28" s="296"/>
      <c r="AL28" s="294"/>
      <c r="AM28" s="296"/>
      <c r="BI28" s="294"/>
      <c r="BK28" s="285"/>
      <c r="BM28" s="4">
        <f t="shared" si="0"/>
        <v>21</v>
      </c>
    </row>
    <row r="29" spans="1:65" s="282" customFormat="1" ht="15" customHeight="1" x14ac:dyDescent="0.25">
      <c r="A29" s="284"/>
      <c r="B29" s="293"/>
      <c r="K29" s="294"/>
      <c r="L29" s="296"/>
      <c r="T29" s="294"/>
      <c r="U29" s="296"/>
      <c r="AC29" s="294"/>
      <c r="AD29" s="296"/>
      <c r="AL29" s="294"/>
      <c r="AM29" s="296"/>
      <c r="BI29" s="294"/>
      <c r="BK29" s="285"/>
      <c r="BM29" s="4">
        <f t="shared" si="0"/>
        <v>22</v>
      </c>
    </row>
    <row r="30" spans="1:65" s="282" customFormat="1" ht="15" customHeight="1" x14ac:dyDescent="0.25">
      <c r="A30" s="284"/>
      <c r="B30" s="293"/>
      <c r="K30" s="294"/>
      <c r="L30" s="296"/>
      <c r="T30" s="294"/>
      <c r="U30" s="296"/>
      <c r="AC30" s="294"/>
      <c r="AD30" s="296"/>
      <c r="AL30" s="294"/>
      <c r="AM30" s="296"/>
      <c r="BI30" s="294"/>
      <c r="BK30" s="285"/>
      <c r="BM30" s="4">
        <f t="shared" si="0"/>
        <v>23</v>
      </c>
    </row>
    <row r="31" spans="1:65" s="282" customFormat="1" ht="15" customHeight="1" x14ac:dyDescent="0.25">
      <c r="A31" s="284"/>
      <c r="B31" s="293"/>
      <c r="K31" s="294"/>
      <c r="L31" s="296"/>
      <c r="T31" s="294"/>
      <c r="U31" s="296"/>
      <c r="AC31" s="294"/>
      <c r="AD31" s="296"/>
      <c r="AL31" s="294"/>
      <c r="AM31" s="296"/>
      <c r="BI31" s="294"/>
      <c r="BK31" s="285"/>
      <c r="BM31" s="4">
        <f t="shared" si="0"/>
        <v>24</v>
      </c>
    </row>
    <row r="32" spans="1:65" s="282" customFormat="1" ht="15" customHeight="1" x14ac:dyDescent="0.25">
      <c r="A32" s="284"/>
      <c r="B32" s="293"/>
      <c r="K32" s="294"/>
      <c r="L32" s="296"/>
      <c r="T32" s="294"/>
      <c r="U32" s="296"/>
      <c r="AC32" s="294"/>
      <c r="AD32" s="296"/>
      <c r="AL32" s="294"/>
      <c r="AM32" s="296"/>
      <c r="BI32" s="294"/>
      <c r="BK32" s="285"/>
      <c r="BM32" s="4">
        <f t="shared" si="0"/>
        <v>25</v>
      </c>
    </row>
    <row r="33" spans="1:67" s="282" customFormat="1" ht="15" customHeight="1" x14ac:dyDescent="0.25">
      <c r="A33" s="284"/>
      <c r="B33" s="293"/>
      <c r="K33" s="294"/>
      <c r="L33" s="296"/>
      <c r="T33" s="294"/>
      <c r="U33" s="296"/>
      <c r="AC33" s="294"/>
      <c r="AD33" s="296"/>
      <c r="AL33" s="294"/>
      <c r="AM33" s="296"/>
      <c r="BI33" s="294"/>
      <c r="BK33" s="285"/>
      <c r="BM33" s="4">
        <f t="shared" si="0"/>
        <v>26</v>
      </c>
    </row>
    <row r="34" spans="1:67" s="282" customFormat="1" ht="15" customHeight="1" x14ac:dyDescent="0.25">
      <c r="A34" s="284"/>
      <c r="B34" s="293"/>
      <c r="K34" s="294"/>
      <c r="L34" s="296"/>
      <c r="T34" s="294"/>
      <c r="U34" s="296"/>
      <c r="AC34" s="294"/>
      <c r="AD34" s="296"/>
      <c r="AL34" s="294"/>
      <c r="AM34" s="296"/>
      <c r="BI34" s="294"/>
      <c r="BK34" s="285"/>
      <c r="BM34" s="4">
        <f t="shared" si="0"/>
        <v>27</v>
      </c>
    </row>
    <row r="35" spans="1:67" s="282" customFormat="1" ht="15" customHeight="1" x14ac:dyDescent="0.25">
      <c r="A35" s="284"/>
      <c r="B35" s="293"/>
      <c r="K35" s="294"/>
      <c r="L35" s="296"/>
      <c r="T35" s="294"/>
      <c r="U35" s="296"/>
      <c r="AC35" s="294"/>
      <c r="AD35" s="296"/>
      <c r="AL35" s="294"/>
      <c r="AM35" s="296"/>
      <c r="BI35" s="294"/>
      <c r="BK35" s="285"/>
      <c r="BM35" s="4">
        <f t="shared" si="0"/>
        <v>28</v>
      </c>
    </row>
    <row r="36" spans="1:67" s="282" customFormat="1" ht="15" customHeight="1" x14ac:dyDescent="0.25">
      <c r="A36" s="284"/>
      <c r="B36" s="293"/>
      <c r="K36" s="294"/>
      <c r="L36" s="296"/>
      <c r="T36" s="294"/>
      <c r="U36" s="296"/>
      <c r="AC36" s="294"/>
      <c r="AD36" s="296"/>
      <c r="AL36" s="294"/>
      <c r="AM36" s="296"/>
      <c r="BI36" s="294"/>
      <c r="BK36" s="285"/>
      <c r="BM36" s="4">
        <f t="shared" si="0"/>
        <v>29</v>
      </c>
    </row>
    <row r="37" spans="1:67" s="282" customFormat="1" ht="15" customHeight="1" x14ac:dyDescent="0.25">
      <c r="A37" s="284"/>
      <c r="B37" s="293"/>
      <c r="K37" s="294"/>
      <c r="L37" s="296"/>
      <c r="T37" s="294"/>
      <c r="U37" s="296"/>
      <c r="AC37" s="294"/>
      <c r="AD37" s="296"/>
      <c r="AL37" s="294"/>
      <c r="AM37" s="296"/>
      <c r="BI37" s="294"/>
      <c r="BK37" s="285"/>
      <c r="BM37" s="4">
        <f t="shared" si="0"/>
        <v>30</v>
      </c>
    </row>
    <row r="38" spans="1:67" s="282" customFormat="1" ht="15" customHeight="1" x14ac:dyDescent="0.25">
      <c r="A38" s="284"/>
      <c r="B38" s="293"/>
      <c r="K38" s="294"/>
      <c r="L38" s="296"/>
      <c r="T38" s="294"/>
      <c r="U38" s="296"/>
      <c r="AC38" s="294"/>
      <c r="AD38" s="296"/>
      <c r="AL38" s="294"/>
      <c r="AM38" s="296"/>
      <c r="BI38" s="294"/>
      <c r="BK38" s="285"/>
      <c r="BM38" s="4">
        <f t="shared" si="0"/>
        <v>31</v>
      </c>
    </row>
    <row r="39" spans="1:67" s="282" customFormat="1" ht="15" customHeight="1" x14ac:dyDescent="0.25">
      <c r="A39" s="284"/>
      <c r="B39" s="293"/>
      <c r="K39" s="294"/>
      <c r="L39" s="296"/>
      <c r="T39" s="294"/>
      <c r="U39" s="296"/>
      <c r="AC39" s="294"/>
      <c r="AD39" s="296"/>
      <c r="AL39" s="294"/>
      <c r="AM39" s="296"/>
      <c r="BI39" s="294"/>
      <c r="BK39" s="285"/>
      <c r="BM39" s="4">
        <f t="shared" si="0"/>
        <v>32</v>
      </c>
    </row>
    <row r="40" spans="1:67" s="282" customFormat="1" ht="15" customHeight="1" x14ac:dyDescent="0.25">
      <c r="A40" s="284"/>
      <c r="B40" s="293"/>
      <c r="K40" s="294"/>
      <c r="L40" s="296"/>
      <c r="T40" s="294"/>
      <c r="U40" s="296"/>
      <c r="AC40" s="294"/>
      <c r="AD40" s="296"/>
      <c r="AL40" s="294"/>
      <c r="AM40" s="296"/>
      <c r="BI40" s="294"/>
      <c r="BK40" s="285"/>
      <c r="BM40" s="4">
        <f t="shared" si="0"/>
        <v>33</v>
      </c>
    </row>
    <row r="41" spans="1:67" s="282" customFormat="1" ht="15" customHeight="1" x14ac:dyDescent="0.25">
      <c r="A41" s="284"/>
      <c r="B41" s="293"/>
      <c r="K41" s="294"/>
      <c r="L41" s="296"/>
      <c r="T41" s="294"/>
      <c r="U41" s="296"/>
      <c r="AC41" s="294"/>
      <c r="AD41" s="296"/>
      <c r="AL41" s="294"/>
      <c r="AM41" s="296"/>
      <c r="BI41" s="294"/>
      <c r="BK41" s="285"/>
      <c r="BM41" s="4">
        <f t="shared" si="0"/>
        <v>34</v>
      </c>
      <c r="BO41" s="18"/>
    </row>
    <row r="42" spans="1:67" s="282" customFormat="1" ht="15" customHeight="1" x14ac:dyDescent="0.25">
      <c r="A42" s="284"/>
      <c r="B42" s="293"/>
      <c r="K42" s="294"/>
      <c r="L42" s="296"/>
      <c r="T42" s="294"/>
      <c r="U42" s="296"/>
      <c r="AC42" s="294"/>
      <c r="AD42" s="296"/>
      <c r="AL42" s="294"/>
      <c r="AM42" s="296"/>
      <c r="BI42" s="294"/>
      <c r="BK42" s="285"/>
      <c r="BM42" s="4">
        <f t="shared" si="0"/>
        <v>35</v>
      </c>
    </row>
    <row r="43" spans="1:67" s="282" customFormat="1" ht="15" customHeight="1" x14ac:dyDescent="0.25">
      <c r="A43" s="284"/>
      <c r="B43" s="293"/>
      <c r="K43" s="294"/>
      <c r="L43" s="296"/>
      <c r="T43" s="294"/>
      <c r="U43" s="296"/>
      <c r="AC43" s="294"/>
      <c r="AD43" s="296"/>
      <c r="AL43" s="294"/>
      <c r="AM43" s="296"/>
      <c r="BI43" s="294"/>
      <c r="BK43" s="285"/>
      <c r="BM43" s="4">
        <f t="shared" si="0"/>
        <v>36</v>
      </c>
    </row>
    <row r="44" spans="1:67" s="282" customFormat="1" ht="15" customHeight="1" x14ac:dyDescent="0.25">
      <c r="A44" s="284"/>
      <c r="B44" s="293"/>
      <c r="K44" s="294"/>
      <c r="L44" s="296"/>
      <c r="T44" s="294"/>
      <c r="U44" s="296"/>
      <c r="AC44" s="294"/>
      <c r="AD44" s="296"/>
      <c r="AL44" s="294"/>
      <c r="AM44" s="296"/>
      <c r="BI44" s="294"/>
      <c r="BK44" s="285"/>
      <c r="BM44" s="4">
        <f t="shared" si="0"/>
        <v>37</v>
      </c>
    </row>
    <row r="45" spans="1:67" s="282" customFormat="1" ht="15" customHeight="1" x14ac:dyDescent="0.25">
      <c r="A45" s="284"/>
      <c r="B45" s="296"/>
      <c r="K45" s="294"/>
      <c r="L45" s="296"/>
      <c r="T45" s="294"/>
      <c r="U45" s="296"/>
      <c r="AC45" s="294"/>
      <c r="AD45" s="296"/>
      <c r="AL45" s="294"/>
      <c r="AM45" s="296"/>
      <c r="BI45" s="294"/>
      <c r="BK45" s="285"/>
      <c r="BM45" s="4">
        <f t="shared" si="0"/>
        <v>38</v>
      </c>
    </row>
    <row r="46" spans="1:67" s="282" customFormat="1" ht="15" customHeight="1" x14ac:dyDescent="0.25">
      <c r="A46" s="284"/>
      <c r="B46" s="296"/>
      <c r="K46" s="294"/>
      <c r="L46" s="296"/>
      <c r="T46" s="294"/>
      <c r="U46" s="296"/>
      <c r="AC46" s="294"/>
      <c r="AD46" s="296"/>
      <c r="AL46" s="294"/>
      <c r="AM46" s="296"/>
      <c r="BI46" s="294"/>
      <c r="BK46" s="285"/>
      <c r="BM46" s="4">
        <f t="shared" si="0"/>
        <v>39</v>
      </c>
    </row>
    <row r="47" spans="1:67" s="282" customFormat="1" ht="15" customHeight="1" x14ac:dyDescent="0.25">
      <c r="A47" s="284"/>
      <c r="B47" s="296"/>
      <c r="K47" s="294"/>
      <c r="L47" s="296"/>
      <c r="T47" s="294"/>
      <c r="U47" s="296"/>
      <c r="AC47" s="294"/>
      <c r="AL47" s="294"/>
      <c r="AM47" s="296"/>
      <c r="BI47" s="294"/>
      <c r="BK47" s="285"/>
      <c r="BM47" s="4">
        <f t="shared" si="0"/>
        <v>40</v>
      </c>
    </row>
    <row r="48" spans="1:67" s="282" customFormat="1" ht="15" customHeight="1" x14ac:dyDescent="0.25">
      <c r="A48" s="284"/>
      <c r="B48" s="296"/>
      <c r="K48" s="294"/>
      <c r="L48" s="296"/>
      <c r="T48" s="294"/>
      <c r="U48" s="296"/>
      <c r="AC48" s="294"/>
      <c r="AD48" s="296"/>
      <c r="AL48" s="294"/>
      <c r="AM48" s="296"/>
      <c r="BI48" s="294"/>
      <c r="BK48" s="285"/>
      <c r="BM48" s="4">
        <f t="shared" si="0"/>
        <v>41</v>
      </c>
    </row>
    <row r="49" spans="1:65" s="282" customFormat="1" ht="15" customHeight="1" x14ac:dyDescent="0.25">
      <c r="A49" s="284"/>
      <c r="B49" s="296"/>
      <c r="K49" s="294"/>
      <c r="L49" s="296"/>
      <c r="T49" s="294"/>
      <c r="U49" s="296"/>
      <c r="AC49" s="294"/>
      <c r="AD49" s="296"/>
      <c r="AL49" s="294"/>
      <c r="AM49" s="296"/>
      <c r="BI49" s="294"/>
      <c r="BK49" s="285"/>
      <c r="BM49" s="4">
        <f t="shared" si="0"/>
        <v>42</v>
      </c>
    </row>
    <row r="50" spans="1:65" s="282" customFormat="1" ht="15" customHeight="1" x14ac:dyDescent="0.25">
      <c r="A50" s="284"/>
      <c r="B50" s="296"/>
      <c r="K50" s="294"/>
      <c r="L50" s="296"/>
      <c r="T50" s="294"/>
      <c r="U50" s="296"/>
      <c r="AC50" s="294"/>
      <c r="AD50" s="296"/>
      <c r="AL50" s="294"/>
      <c r="AM50" s="296"/>
      <c r="BI50" s="294"/>
      <c r="BK50" s="285"/>
      <c r="BM50" s="4">
        <f t="shared" si="0"/>
        <v>43</v>
      </c>
    </row>
    <row r="51" spans="1:65" s="282" customFormat="1" ht="15" customHeight="1" x14ac:dyDescent="0.25">
      <c r="A51" s="284"/>
      <c r="B51" s="296"/>
      <c r="K51" s="294"/>
      <c r="L51" s="296"/>
      <c r="T51" s="294"/>
      <c r="U51" s="296"/>
      <c r="AC51" s="294"/>
      <c r="AD51" s="296"/>
      <c r="AL51" s="294"/>
      <c r="AM51" s="296"/>
      <c r="BI51" s="294"/>
      <c r="BK51" s="285"/>
      <c r="BM51" s="4">
        <f t="shared" si="0"/>
        <v>44</v>
      </c>
    </row>
    <row r="52" spans="1:65" s="282" customFormat="1" ht="15" customHeight="1" x14ac:dyDescent="0.25">
      <c r="A52" s="284"/>
      <c r="B52" s="296"/>
      <c r="K52" s="294"/>
      <c r="L52" s="296"/>
      <c r="T52" s="294"/>
      <c r="U52" s="296"/>
      <c r="AC52" s="294"/>
      <c r="AD52" s="296"/>
      <c r="AL52" s="294"/>
      <c r="AM52" s="296"/>
      <c r="BI52" s="294"/>
      <c r="BK52" s="285"/>
      <c r="BM52" s="4">
        <f t="shared" si="0"/>
        <v>45</v>
      </c>
    </row>
    <row r="53" spans="1:65" s="282" customFormat="1" ht="15" customHeight="1" x14ac:dyDescent="0.25">
      <c r="A53" s="284"/>
      <c r="B53" s="296"/>
      <c r="K53" s="294"/>
      <c r="L53" s="296"/>
      <c r="T53" s="294"/>
      <c r="U53" s="296"/>
      <c r="AC53" s="294"/>
      <c r="AD53" s="296"/>
      <c r="AL53" s="294"/>
      <c r="AM53" s="296"/>
      <c r="BI53" s="294"/>
      <c r="BK53" s="285"/>
      <c r="BM53" s="4">
        <f t="shared" si="0"/>
        <v>46</v>
      </c>
    </row>
    <row r="54" spans="1:65" s="282" customFormat="1" ht="15" customHeight="1" x14ac:dyDescent="0.25">
      <c r="A54" s="284"/>
      <c r="B54" s="296"/>
      <c r="K54" s="294"/>
      <c r="L54" s="296"/>
      <c r="T54" s="294"/>
      <c r="U54" s="296"/>
      <c r="AC54" s="294"/>
      <c r="AD54" s="296"/>
      <c r="AL54" s="294"/>
      <c r="AM54" s="296"/>
      <c r="BI54" s="294"/>
      <c r="BK54" s="285"/>
      <c r="BM54" s="4">
        <f t="shared" si="0"/>
        <v>47</v>
      </c>
    </row>
    <row r="55" spans="1:65" s="282" customFormat="1" ht="15" customHeight="1" x14ac:dyDescent="0.25">
      <c r="A55" s="284"/>
      <c r="B55" s="296"/>
      <c r="K55" s="294"/>
      <c r="L55" s="296"/>
      <c r="T55" s="294"/>
      <c r="U55" s="296"/>
      <c r="AC55" s="294"/>
      <c r="AD55" s="296"/>
      <c r="AL55" s="294"/>
      <c r="AM55" s="296"/>
      <c r="BI55" s="294"/>
      <c r="BK55" s="285"/>
      <c r="BM55" s="4">
        <f t="shared" si="0"/>
        <v>48</v>
      </c>
    </row>
    <row r="56" spans="1:65" s="282" customFormat="1" ht="15" customHeight="1" x14ac:dyDescent="0.25">
      <c r="A56" s="284"/>
      <c r="B56" s="296"/>
      <c r="K56" s="294"/>
      <c r="L56" s="296"/>
      <c r="T56" s="294"/>
      <c r="U56" s="296"/>
      <c r="AC56" s="294"/>
      <c r="AD56" s="296"/>
      <c r="AL56" s="294"/>
      <c r="AM56" s="296"/>
      <c r="BI56" s="294"/>
      <c r="BK56" s="285"/>
      <c r="BM56" s="4">
        <f t="shared" si="0"/>
        <v>49</v>
      </c>
    </row>
    <row r="57" spans="1:65" s="282" customFormat="1" ht="15" customHeight="1" x14ac:dyDescent="0.25">
      <c r="A57" s="284"/>
      <c r="B57" s="296"/>
      <c r="K57" s="294"/>
      <c r="L57" s="296"/>
      <c r="T57" s="294"/>
      <c r="U57" s="296"/>
      <c r="AC57" s="294"/>
      <c r="AD57" s="296"/>
      <c r="AL57" s="294"/>
      <c r="AM57" s="296"/>
      <c r="BI57" s="294"/>
      <c r="BK57" s="285"/>
      <c r="BM57" s="4">
        <f t="shared" si="0"/>
        <v>50</v>
      </c>
    </row>
    <row r="58" spans="1:65" s="282" customFormat="1" ht="15" customHeight="1" x14ac:dyDescent="0.25">
      <c r="A58" s="284"/>
      <c r="B58" s="296"/>
      <c r="K58" s="294"/>
      <c r="L58" s="296"/>
      <c r="T58" s="294"/>
      <c r="U58" s="296"/>
      <c r="AC58" s="294"/>
      <c r="AD58" s="296"/>
      <c r="AL58" s="294"/>
      <c r="AM58" s="296"/>
      <c r="BI58" s="294"/>
      <c r="BK58" s="285"/>
      <c r="BM58" s="4">
        <f t="shared" si="0"/>
        <v>1</v>
      </c>
    </row>
    <row r="59" spans="1:65" s="282" customFormat="1" ht="15" customHeight="1" x14ac:dyDescent="0.25">
      <c r="A59" s="284"/>
      <c r="B59" s="296"/>
      <c r="K59" s="294"/>
      <c r="L59" s="296"/>
      <c r="T59" s="294"/>
      <c r="U59" s="296"/>
      <c r="AC59" s="294"/>
      <c r="AD59" s="296"/>
      <c r="AL59" s="294"/>
      <c r="AM59" s="296"/>
      <c r="BI59" s="294"/>
      <c r="BK59" s="285"/>
      <c r="BM59" s="4">
        <f t="shared" si="0"/>
        <v>2</v>
      </c>
    </row>
    <row r="60" spans="1:65" s="282" customFormat="1" ht="15" customHeight="1" x14ac:dyDescent="0.25">
      <c r="A60" s="284"/>
      <c r="B60" s="296"/>
      <c r="K60" s="294"/>
      <c r="L60" s="296"/>
      <c r="T60" s="294"/>
      <c r="U60" s="296"/>
      <c r="AC60" s="294"/>
      <c r="AD60" s="296"/>
      <c r="AL60" s="294"/>
      <c r="AM60" s="296"/>
      <c r="BI60" s="294"/>
      <c r="BK60" s="285"/>
      <c r="BM60" s="4">
        <f t="shared" si="0"/>
        <v>3</v>
      </c>
    </row>
    <row r="61" spans="1:65" s="282" customFormat="1" ht="15" customHeight="1" x14ac:dyDescent="0.25">
      <c r="A61" s="284"/>
      <c r="B61" s="296"/>
      <c r="K61" s="294"/>
      <c r="L61" s="296"/>
      <c r="T61" s="294"/>
      <c r="U61" s="296"/>
      <c r="AC61" s="294"/>
      <c r="AD61" s="296"/>
      <c r="AL61" s="294"/>
      <c r="AM61" s="296"/>
      <c r="BI61" s="294"/>
      <c r="BK61" s="285"/>
      <c r="BM61" s="4">
        <f t="shared" si="0"/>
        <v>4</v>
      </c>
    </row>
    <row r="62" spans="1:65" ht="15" customHeight="1" x14ac:dyDescent="0.25">
      <c r="A62" s="284"/>
      <c r="B62" s="296"/>
      <c r="C62" s="282"/>
      <c r="D62" s="282"/>
      <c r="E62" s="282"/>
      <c r="F62" s="282"/>
      <c r="G62" s="282"/>
      <c r="H62" s="282"/>
      <c r="I62" s="282"/>
      <c r="J62" s="282"/>
      <c r="K62" s="294"/>
      <c r="L62" s="296"/>
      <c r="M62" s="282"/>
      <c r="N62" s="282"/>
      <c r="O62" s="282"/>
      <c r="P62" s="282"/>
      <c r="Q62" s="282"/>
      <c r="R62" s="282"/>
      <c r="S62" s="282"/>
      <c r="T62" s="294"/>
      <c r="U62" s="296"/>
      <c r="V62" s="282"/>
      <c r="W62" s="282"/>
      <c r="X62" s="282"/>
      <c r="Y62" s="282"/>
      <c r="Z62" s="282"/>
      <c r="AA62" s="282"/>
      <c r="AB62" s="282"/>
      <c r="AC62" s="294"/>
      <c r="AD62" s="296"/>
      <c r="AE62" s="282"/>
      <c r="AF62" s="282"/>
      <c r="AG62" s="282"/>
      <c r="AH62" s="282"/>
      <c r="AI62" s="282"/>
      <c r="AJ62" s="282"/>
      <c r="AK62" s="282"/>
      <c r="AL62" s="294"/>
      <c r="AM62" s="296"/>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94"/>
      <c r="BJ62" s="282"/>
      <c r="BK62" s="285"/>
      <c r="BM62" s="4">
        <f t="shared" si="0"/>
        <v>5</v>
      </c>
    </row>
    <row r="63" spans="1:65" ht="15" customHeight="1" x14ac:dyDescent="0.25">
      <c r="A63" s="284"/>
      <c r="B63" s="296"/>
      <c r="C63" s="282"/>
      <c r="D63" s="282"/>
      <c r="E63" s="282"/>
      <c r="F63" s="282"/>
      <c r="G63" s="282"/>
      <c r="H63" s="282"/>
      <c r="I63" s="282"/>
      <c r="J63" s="282"/>
      <c r="K63" s="294"/>
      <c r="L63" s="296"/>
      <c r="M63" s="282"/>
      <c r="N63" s="282"/>
      <c r="O63" s="282"/>
      <c r="P63" s="282"/>
      <c r="Q63" s="282"/>
      <c r="R63" s="282"/>
      <c r="S63" s="282"/>
      <c r="T63" s="294"/>
      <c r="U63" s="296"/>
      <c r="V63" s="282"/>
      <c r="W63" s="282"/>
      <c r="X63" s="282"/>
      <c r="Y63" s="282"/>
      <c r="Z63" s="282"/>
      <c r="AA63" s="282"/>
      <c r="AB63" s="282"/>
      <c r="AC63" s="294"/>
      <c r="AD63" s="296"/>
      <c r="AE63" s="282"/>
      <c r="AF63" s="282"/>
      <c r="AG63" s="282"/>
      <c r="AH63" s="282"/>
      <c r="AI63" s="282"/>
      <c r="AJ63" s="282"/>
      <c r="AK63" s="282"/>
      <c r="AL63" s="294"/>
      <c r="AM63" s="296"/>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94"/>
      <c r="BJ63" s="282"/>
      <c r="BK63" s="285"/>
      <c r="BM63" s="4">
        <f t="shared" si="0"/>
        <v>6</v>
      </c>
    </row>
    <row r="64" spans="1:65" ht="15" customHeight="1" x14ac:dyDescent="0.25">
      <c r="A64" s="284"/>
      <c r="B64" s="296"/>
      <c r="C64" s="282"/>
      <c r="D64" s="282"/>
      <c r="E64" s="282"/>
      <c r="F64" s="282"/>
      <c r="G64" s="282"/>
      <c r="H64" s="282"/>
      <c r="I64" s="282"/>
      <c r="J64" s="282"/>
      <c r="K64" s="294"/>
      <c r="L64" s="296"/>
      <c r="M64" s="282"/>
      <c r="N64" s="282"/>
      <c r="O64" s="282"/>
      <c r="P64" s="282"/>
      <c r="Q64" s="282"/>
      <c r="R64" s="282"/>
      <c r="S64" s="282"/>
      <c r="T64" s="294"/>
      <c r="U64" s="296"/>
      <c r="V64" s="282"/>
      <c r="W64" s="282"/>
      <c r="X64" s="282"/>
      <c r="Y64" s="282"/>
      <c r="Z64" s="282"/>
      <c r="AA64" s="282"/>
      <c r="AB64" s="282"/>
      <c r="AC64" s="294"/>
      <c r="AD64" s="296"/>
      <c r="AE64" s="282"/>
      <c r="AF64" s="282"/>
      <c r="AG64" s="282"/>
      <c r="AH64" s="282"/>
      <c r="AI64" s="282"/>
      <c r="AJ64" s="282"/>
      <c r="AK64" s="282"/>
      <c r="AL64" s="294"/>
      <c r="AM64" s="296"/>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94"/>
      <c r="BJ64" s="282"/>
      <c r="BK64" s="285"/>
      <c r="BM64" s="4">
        <f t="shared" si="0"/>
        <v>7</v>
      </c>
    </row>
    <row r="65" spans="1:65" ht="15" customHeight="1" x14ac:dyDescent="0.25">
      <c r="A65" s="284"/>
      <c r="B65" s="296"/>
      <c r="C65" s="282"/>
      <c r="D65" s="282"/>
      <c r="E65" s="282"/>
      <c r="F65" s="282"/>
      <c r="G65" s="282"/>
      <c r="H65" s="282"/>
      <c r="I65" s="282"/>
      <c r="J65" s="282"/>
      <c r="K65" s="294"/>
      <c r="L65" s="296"/>
      <c r="M65" s="282"/>
      <c r="N65" s="282"/>
      <c r="O65" s="282"/>
      <c r="P65" s="282"/>
      <c r="Q65" s="282"/>
      <c r="R65" s="282"/>
      <c r="S65" s="282"/>
      <c r="T65" s="294"/>
      <c r="U65" s="296"/>
      <c r="V65" s="282"/>
      <c r="W65" s="282"/>
      <c r="X65" s="282"/>
      <c r="Y65" s="282"/>
      <c r="Z65" s="282"/>
      <c r="AA65" s="282"/>
      <c r="AB65" s="282"/>
      <c r="AC65" s="294"/>
      <c r="AD65" s="296"/>
      <c r="AE65" s="282"/>
      <c r="AF65" s="282"/>
      <c r="AG65" s="282"/>
      <c r="AH65" s="282"/>
      <c r="AI65" s="282"/>
      <c r="AJ65" s="282"/>
      <c r="AK65" s="282"/>
      <c r="AL65" s="294"/>
      <c r="AM65" s="296"/>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94"/>
      <c r="BJ65" s="282"/>
      <c r="BK65" s="285"/>
      <c r="BM65" s="4">
        <f t="shared" si="0"/>
        <v>8</v>
      </c>
    </row>
    <row r="66" spans="1:65" ht="15" customHeight="1" x14ac:dyDescent="0.25">
      <c r="A66" s="284"/>
      <c r="B66" s="296"/>
      <c r="C66" s="282"/>
      <c r="D66" s="282"/>
      <c r="E66" s="282"/>
      <c r="F66" s="282"/>
      <c r="G66" s="282"/>
      <c r="H66" s="282"/>
      <c r="I66" s="282"/>
      <c r="J66" s="282"/>
      <c r="K66" s="294"/>
      <c r="L66" s="296"/>
      <c r="M66" s="282"/>
      <c r="N66" s="282"/>
      <c r="O66" s="282"/>
      <c r="P66" s="282"/>
      <c r="Q66" s="282"/>
      <c r="R66" s="282"/>
      <c r="S66" s="282"/>
      <c r="T66" s="294"/>
      <c r="U66" s="296"/>
      <c r="V66" s="282"/>
      <c r="W66" s="282"/>
      <c r="X66" s="282"/>
      <c r="Y66" s="282"/>
      <c r="Z66" s="282"/>
      <c r="AA66" s="282"/>
      <c r="AB66" s="282"/>
      <c r="AC66" s="294"/>
      <c r="AD66" s="296"/>
      <c r="AE66" s="282"/>
      <c r="AF66" s="282"/>
      <c r="AG66" s="282"/>
      <c r="AH66" s="282"/>
      <c r="AI66" s="282"/>
      <c r="AJ66" s="282"/>
      <c r="AK66" s="282"/>
      <c r="AL66" s="294"/>
      <c r="AM66" s="296"/>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94"/>
      <c r="BJ66" s="282"/>
      <c r="BK66" s="285"/>
      <c r="BM66" s="4">
        <f t="shared" si="0"/>
        <v>9</v>
      </c>
    </row>
    <row r="67" spans="1:65" ht="15" customHeight="1" x14ac:dyDescent="0.25">
      <c r="A67" s="284"/>
      <c r="B67" s="296"/>
      <c r="C67" s="282"/>
      <c r="D67" s="282"/>
      <c r="E67" s="282"/>
      <c r="F67" s="282"/>
      <c r="G67" s="282"/>
      <c r="H67" s="282"/>
      <c r="I67" s="282"/>
      <c r="J67" s="282"/>
      <c r="K67" s="294"/>
      <c r="L67" s="296"/>
      <c r="M67" s="282"/>
      <c r="N67" s="282"/>
      <c r="O67" s="282"/>
      <c r="P67" s="282"/>
      <c r="Q67" s="282"/>
      <c r="R67" s="282"/>
      <c r="S67" s="282"/>
      <c r="T67" s="294"/>
      <c r="U67" s="296"/>
      <c r="V67" s="282"/>
      <c r="W67" s="282"/>
      <c r="X67" s="282"/>
      <c r="Y67" s="282"/>
      <c r="Z67" s="282"/>
      <c r="AA67" s="282"/>
      <c r="AB67" s="282"/>
      <c r="AC67" s="294"/>
      <c r="AD67" s="296"/>
      <c r="AE67" s="282"/>
      <c r="AF67" s="282"/>
      <c r="AG67" s="282"/>
      <c r="AH67" s="282"/>
      <c r="AI67" s="282"/>
      <c r="AJ67" s="282"/>
      <c r="AK67" s="282"/>
      <c r="AL67" s="294"/>
      <c r="AM67" s="296"/>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94"/>
      <c r="BJ67" s="282"/>
      <c r="BK67" s="285"/>
      <c r="BM67" s="4">
        <f t="shared" si="0"/>
        <v>10</v>
      </c>
    </row>
    <row r="68" spans="1:65" ht="15" customHeight="1" x14ac:dyDescent="0.25">
      <c r="A68" s="284"/>
      <c r="B68" s="296"/>
      <c r="C68" s="282"/>
      <c r="D68" s="282"/>
      <c r="E68" s="282"/>
      <c r="F68" s="282"/>
      <c r="G68" s="282"/>
      <c r="H68" s="282"/>
      <c r="I68" s="282"/>
      <c r="J68" s="282"/>
      <c r="K68" s="294"/>
      <c r="L68" s="296"/>
      <c r="M68" s="282"/>
      <c r="N68" s="282"/>
      <c r="O68" s="282"/>
      <c r="P68" s="282"/>
      <c r="Q68" s="282"/>
      <c r="R68" s="282"/>
      <c r="S68" s="282"/>
      <c r="T68" s="294"/>
      <c r="U68" s="296"/>
      <c r="V68" s="282"/>
      <c r="W68" s="282"/>
      <c r="X68" s="282"/>
      <c r="Y68" s="282"/>
      <c r="Z68" s="282"/>
      <c r="AA68" s="282"/>
      <c r="AB68" s="282"/>
      <c r="AC68" s="294"/>
      <c r="AD68" s="296"/>
      <c r="AE68" s="282"/>
      <c r="AF68" s="282"/>
      <c r="AG68" s="282"/>
      <c r="AH68" s="282"/>
      <c r="AI68" s="282"/>
      <c r="AJ68" s="282"/>
      <c r="AK68" s="282"/>
      <c r="AL68" s="294"/>
      <c r="AM68" s="296"/>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94"/>
      <c r="BJ68" s="282"/>
      <c r="BK68" s="285"/>
      <c r="BM68" s="4">
        <f t="shared" si="0"/>
        <v>11</v>
      </c>
    </row>
    <row r="69" spans="1:65" ht="15" customHeight="1" x14ac:dyDescent="0.25">
      <c r="A69" s="284"/>
      <c r="B69" s="296"/>
      <c r="C69" s="282"/>
      <c r="D69" s="282"/>
      <c r="E69" s="282"/>
      <c r="F69" s="282"/>
      <c r="G69" s="282"/>
      <c r="H69" s="282"/>
      <c r="I69" s="282"/>
      <c r="J69" s="282"/>
      <c r="K69" s="294"/>
      <c r="L69" s="296"/>
      <c r="M69" s="282"/>
      <c r="N69" s="282"/>
      <c r="O69" s="282"/>
      <c r="P69" s="282"/>
      <c r="Q69" s="282"/>
      <c r="R69" s="282"/>
      <c r="S69" s="282"/>
      <c r="T69" s="294"/>
      <c r="U69" s="296"/>
      <c r="V69" s="282"/>
      <c r="W69" s="282"/>
      <c r="X69" s="282"/>
      <c r="Y69" s="282"/>
      <c r="Z69" s="282"/>
      <c r="AA69" s="282"/>
      <c r="AB69" s="282"/>
      <c r="AC69" s="294"/>
      <c r="AD69" s="296"/>
      <c r="AE69" s="282"/>
      <c r="AF69" s="282"/>
      <c r="AG69" s="282"/>
      <c r="AH69" s="282"/>
      <c r="AI69" s="282"/>
      <c r="AJ69" s="282"/>
      <c r="AK69" s="282"/>
      <c r="AL69" s="294"/>
      <c r="AM69" s="296"/>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94"/>
      <c r="BJ69" s="282"/>
      <c r="BK69" s="285"/>
      <c r="BM69" s="4">
        <f t="shared" si="0"/>
        <v>12</v>
      </c>
    </row>
    <row r="70" spans="1:65" ht="15" customHeight="1" x14ac:dyDescent="0.25">
      <c r="A70" s="284"/>
      <c r="B70" s="296"/>
      <c r="C70" s="282"/>
      <c r="D70" s="282"/>
      <c r="E70" s="282"/>
      <c r="F70" s="282"/>
      <c r="G70" s="282"/>
      <c r="H70" s="282"/>
      <c r="I70" s="282"/>
      <c r="J70" s="282"/>
      <c r="K70" s="294"/>
      <c r="L70" s="296"/>
      <c r="M70" s="282"/>
      <c r="N70" s="282"/>
      <c r="O70" s="282"/>
      <c r="P70" s="282"/>
      <c r="Q70" s="282"/>
      <c r="R70" s="282"/>
      <c r="S70" s="282"/>
      <c r="T70" s="294"/>
      <c r="U70" s="296"/>
      <c r="V70" s="282"/>
      <c r="W70" s="282"/>
      <c r="X70" s="282"/>
      <c r="Y70" s="282"/>
      <c r="Z70" s="282"/>
      <c r="AA70" s="282"/>
      <c r="AB70" s="282"/>
      <c r="AC70" s="294"/>
      <c r="AD70" s="296"/>
      <c r="AE70" s="282"/>
      <c r="AF70" s="282"/>
      <c r="AG70" s="282"/>
      <c r="AH70" s="282"/>
      <c r="AI70" s="282"/>
      <c r="AJ70" s="282"/>
      <c r="AK70" s="282"/>
      <c r="AL70" s="294"/>
      <c r="AM70" s="296"/>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94"/>
      <c r="BJ70" s="282"/>
      <c r="BK70" s="285"/>
      <c r="BM70" s="4">
        <f t="shared" si="0"/>
        <v>13</v>
      </c>
    </row>
    <row r="71" spans="1:65" ht="15" customHeight="1" x14ac:dyDescent="0.25">
      <c r="A71" s="284"/>
      <c r="B71" s="296"/>
      <c r="C71" s="282"/>
      <c r="D71" s="282"/>
      <c r="E71" s="282"/>
      <c r="F71" s="282"/>
      <c r="G71" s="282"/>
      <c r="H71" s="282"/>
      <c r="I71" s="282"/>
      <c r="J71" s="282"/>
      <c r="K71" s="294"/>
      <c r="L71" s="296"/>
      <c r="M71" s="282"/>
      <c r="N71" s="282"/>
      <c r="O71" s="282"/>
      <c r="P71" s="282"/>
      <c r="Q71" s="282"/>
      <c r="R71" s="282"/>
      <c r="S71" s="282"/>
      <c r="T71" s="294"/>
      <c r="U71" s="296"/>
      <c r="V71" s="282"/>
      <c r="W71" s="282"/>
      <c r="X71" s="282"/>
      <c r="Y71" s="282"/>
      <c r="Z71" s="282"/>
      <c r="AA71" s="282"/>
      <c r="AB71" s="282"/>
      <c r="AC71" s="294"/>
      <c r="AD71" s="296"/>
      <c r="AE71" s="282"/>
      <c r="AF71" s="282"/>
      <c r="AG71" s="282"/>
      <c r="AH71" s="282"/>
      <c r="AI71" s="282"/>
      <c r="AJ71" s="282"/>
      <c r="AK71" s="282"/>
      <c r="AL71" s="294"/>
      <c r="AM71" s="296"/>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94"/>
      <c r="BJ71" s="282"/>
      <c r="BK71" s="285"/>
      <c r="BM71" s="4">
        <f t="shared" si="0"/>
        <v>14</v>
      </c>
    </row>
    <row r="72" spans="1:65" ht="15" customHeight="1" x14ac:dyDescent="0.25">
      <c r="A72" s="284"/>
      <c r="B72" s="296"/>
      <c r="C72" s="282"/>
      <c r="D72" s="282"/>
      <c r="E72" s="282"/>
      <c r="F72" s="282"/>
      <c r="G72" s="282"/>
      <c r="H72" s="282"/>
      <c r="I72" s="282"/>
      <c r="J72" s="282"/>
      <c r="K72" s="294"/>
      <c r="L72" s="296"/>
      <c r="M72" s="282"/>
      <c r="N72" s="282"/>
      <c r="O72" s="282"/>
      <c r="P72" s="282"/>
      <c r="Q72" s="282"/>
      <c r="R72" s="282"/>
      <c r="S72" s="282"/>
      <c r="T72" s="294"/>
      <c r="U72" s="296"/>
      <c r="V72" s="282"/>
      <c r="W72" s="282"/>
      <c r="X72" s="282"/>
      <c r="Y72" s="282"/>
      <c r="Z72" s="282"/>
      <c r="AA72" s="282"/>
      <c r="AB72" s="282"/>
      <c r="AC72" s="294"/>
      <c r="AD72" s="296"/>
      <c r="AE72" s="282"/>
      <c r="AF72" s="282"/>
      <c r="AG72" s="282"/>
      <c r="AH72" s="282"/>
      <c r="AI72" s="282"/>
      <c r="AJ72" s="282"/>
      <c r="AK72" s="282"/>
      <c r="AL72" s="294"/>
      <c r="AM72" s="296"/>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94"/>
      <c r="BJ72" s="282"/>
      <c r="BK72" s="285"/>
      <c r="BM72" s="4">
        <f t="shared" ref="BM72:BM135" si="1">IF(BM71=50,1,BM71+1)</f>
        <v>15</v>
      </c>
    </row>
    <row r="73" spans="1:65" ht="15" customHeight="1" x14ac:dyDescent="0.25">
      <c r="A73" s="284"/>
      <c r="B73" s="296"/>
      <c r="C73" s="282"/>
      <c r="D73" s="282"/>
      <c r="E73" s="282"/>
      <c r="F73" s="282"/>
      <c r="G73" s="282"/>
      <c r="H73" s="282"/>
      <c r="I73" s="282"/>
      <c r="J73" s="282"/>
      <c r="K73" s="294"/>
      <c r="L73" s="296"/>
      <c r="M73" s="282"/>
      <c r="N73" s="282"/>
      <c r="O73" s="282"/>
      <c r="P73" s="282"/>
      <c r="Q73" s="282"/>
      <c r="R73" s="282"/>
      <c r="S73" s="282"/>
      <c r="T73" s="294"/>
      <c r="U73" s="296"/>
      <c r="V73" s="282"/>
      <c r="W73" s="282"/>
      <c r="X73" s="282"/>
      <c r="Y73" s="282"/>
      <c r="Z73" s="282"/>
      <c r="AA73" s="282"/>
      <c r="AB73" s="282"/>
      <c r="AC73" s="294"/>
      <c r="AD73" s="296"/>
      <c r="AE73" s="282"/>
      <c r="AF73" s="282"/>
      <c r="AG73" s="282"/>
      <c r="AH73" s="282"/>
      <c r="AI73" s="282"/>
      <c r="AJ73" s="282"/>
      <c r="AK73" s="282"/>
      <c r="AL73" s="294"/>
      <c r="AM73" s="296"/>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94"/>
      <c r="BJ73" s="282"/>
      <c r="BK73" s="285"/>
      <c r="BM73" s="4">
        <f t="shared" si="1"/>
        <v>16</v>
      </c>
    </row>
    <row r="74" spans="1:65" ht="15" customHeight="1" x14ac:dyDescent="0.25">
      <c r="A74" s="284"/>
      <c r="B74" s="296"/>
      <c r="C74" s="282"/>
      <c r="D74" s="282"/>
      <c r="E74" s="282"/>
      <c r="F74" s="282"/>
      <c r="G74" s="282"/>
      <c r="H74" s="282"/>
      <c r="I74" s="282"/>
      <c r="J74" s="282"/>
      <c r="K74" s="294"/>
      <c r="L74" s="296"/>
      <c r="M74" s="282"/>
      <c r="N74" s="282"/>
      <c r="O74" s="282"/>
      <c r="P74" s="282"/>
      <c r="Q74" s="282"/>
      <c r="R74" s="282"/>
      <c r="S74" s="282"/>
      <c r="T74" s="294"/>
      <c r="U74" s="296"/>
      <c r="V74" s="282"/>
      <c r="W74" s="282"/>
      <c r="X74" s="282"/>
      <c r="Y74" s="282"/>
      <c r="Z74" s="282"/>
      <c r="AA74" s="282"/>
      <c r="AB74" s="282"/>
      <c r="AC74" s="294"/>
      <c r="AD74" s="296"/>
      <c r="AE74" s="282"/>
      <c r="AF74" s="282"/>
      <c r="AG74" s="282"/>
      <c r="AH74" s="282"/>
      <c r="AI74" s="282"/>
      <c r="AJ74" s="282"/>
      <c r="AK74" s="282"/>
      <c r="AL74" s="294"/>
      <c r="AM74" s="296"/>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94"/>
      <c r="BJ74" s="282"/>
      <c r="BK74" s="285"/>
      <c r="BM74" s="4">
        <f t="shared" si="1"/>
        <v>17</v>
      </c>
    </row>
    <row r="75" spans="1:65" ht="15" customHeight="1" x14ac:dyDescent="0.25">
      <c r="A75" s="284"/>
      <c r="B75" s="296"/>
      <c r="C75" s="282"/>
      <c r="D75" s="282"/>
      <c r="E75" s="282"/>
      <c r="F75" s="282"/>
      <c r="G75" s="282"/>
      <c r="H75" s="282"/>
      <c r="I75" s="282"/>
      <c r="J75" s="282"/>
      <c r="K75" s="294"/>
      <c r="L75" s="296"/>
      <c r="M75" s="282"/>
      <c r="N75" s="282"/>
      <c r="O75" s="282"/>
      <c r="P75" s="282"/>
      <c r="Q75" s="282"/>
      <c r="R75" s="282"/>
      <c r="S75" s="282"/>
      <c r="T75" s="294"/>
      <c r="U75" s="296"/>
      <c r="V75" s="282"/>
      <c r="W75" s="282"/>
      <c r="X75" s="282"/>
      <c r="Y75" s="282"/>
      <c r="Z75" s="282"/>
      <c r="AA75" s="282"/>
      <c r="AB75" s="282"/>
      <c r="AC75" s="294"/>
      <c r="AD75" s="296"/>
      <c r="AE75" s="282"/>
      <c r="AF75" s="282"/>
      <c r="AG75" s="282"/>
      <c r="AH75" s="282"/>
      <c r="AI75" s="282"/>
      <c r="AJ75" s="282"/>
      <c r="AK75" s="282"/>
      <c r="AL75" s="294"/>
      <c r="AM75" s="296"/>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94"/>
      <c r="BJ75" s="282"/>
      <c r="BK75" s="285"/>
      <c r="BM75" s="4">
        <f t="shared" si="1"/>
        <v>18</v>
      </c>
    </row>
    <row r="76" spans="1:65" ht="15" customHeight="1" x14ac:dyDescent="0.25">
      <c r="A76" s="284"/>
      <c r="B76" s="296"/>
      <c r="C76" s="282"/>
      <c r="D76" s="282"/>
      <c r="E76" s="282"/>
      <c r="F76" s="282"/>
      <c r="G76" s="282"/>
      <c r="H76" s="282"/>
      <c r="I76" s="282"/>
      <c r="J76" s="282"/>
      <c r="K76" s="294"/>
      <c r="L76" s="296"/>
      <c r="M76" s="282"/>
      <c r="N76" s="282"/>
      <c r="O76" s="282"/>
      <c r="P76" s="282"/>
      <c r="Q76" s="282"/>
      <c r="R76" s="282"/>
      <c r="S76" s="282"/>
      <c r="T76" s="294"/>
      <c r="U76" s="296"/>
      <c r="V76" s="282"/>
      <c r="W76" s="282"/>
      <c r="X76" s="282"/>
      <c r="Y76" s="282"/>
      <c r="Z76" s="282"/>
      <c r="AA76" s="282"/>
      <c r="AB76" s="282"/>
      <c r="AC76" s="294"/>
      <c r="AD76" s="296"/>
      <c r="AE76" s="282"/>
      <c r="AF76" s="282"/>
      <c r="AG76" s="282"/>
      <c r="AH76" s="282"/>
      <c r="AI76" s="282"/>
      <c r="AJ76" s="282"/>
      <c r="AK76" s="282"/>
      <c r="AL76" s="294"/>
      <c r="AM76" s="296"/>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94"/>
      <c r="BJ76" s="282"/>
      <c r="BK76" s="285"/>
      <c r="BM76" s="4">
        <f t="shared" si="1"/>
        <v>19</v>
      </c>
    </row>
    <row r="77" spans="1:65" ht="15" customHeight="1" x14ac:dyDescent="0.25">
      <c r="A77" s="284"/>
      <c r="B77" s="296"/>
      <c r="C77" s="282"/>
      <c r="D77" s="282"/>
      <c r="E77" s="282"/>
      <c r="F77" s="282"/>
      <c r="G77" s="282"/>
      <c r="H77" s="282"/>
      <c r="I77" s="282"/>
      <c r="J77" s="282"/>
      <c r="K77" s="294"/>
      <c r="L77" s="296"/>
      <c r="M77" s="282"/>
      <c r="N77" s="282"/>
      <c r="O77" s="282"/>
      <c r="P77" s="282"/>
      <c r="Q77" s="282"/>
      <c r="R77" s="282"/>
      <c r="S77" s="282"/>
      <c r="T77" s="294"/>
      <c r="U77" s="296"/>
      <c r="V77" s="282"/>
      <c r="W77" s="282"/>
      <c r="X77" s="282"/>
      <c r="Y77" s="282"/>
      <c r="Z77" s="282"/>
      <c r="AA77" s="282"/>
      <c r="AB77" s="282"/>
      <c r="AC77" s="294"/>
      <c r="AD77" s="296"/>
      <c r="AE77" s="282"/>
      <c r="AF77" s="282"/>
      <c r="AG77" s="282"/>
      <c r="AH77" s="282"/>
      <c r="AI77" s="282"/>
      <c r="AJ77" s="282"/>
      <c r="AK77" s="282"/>
      <c r="AL77" s="294"/>
      <c r="AM77" s="296"/>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94"/>
      <c r="BJ77" s="282"/>
      <c r="BK77" s="285"/>
      <c r="BM77" s="4">
        <f t="shared" si="1"/>
        <v>20</v>
      </c>
    </row>
    <row r="78" spans="1:65" ht="15" customHeight="1" x14ac:dyDescent="0.25">
      <c r="A78" s="284"/>
      <c r="B78" s="296"/>
      <c r="C78" s="282"/>
      <c r="D78" s="282"/>
      <c r="E78" s="282"/>
      <c r="F78" s="282"/>
      <c r="G78" s="282"/>
      <c r="H78" s="282"/>
      <c r="I78" s="282"/>
      <c r="J78" s="282"/>
      <c r="K78" s="294"/>
      <c r="L78" s="296"/>
      <c r="M78" s="282"/>
      <c r="N78" s="282"/>
      <c r="O78" s="282"/>
      <c r="P78" s="282"/>
      <c r="Q78" s="282"/>
      <c r="R78" s="282"/>
      <c r="S78" s="282"/>
      <c r="T78" s="294"/>
      <c r="U78" s="296"/>
      <c r="V78" s="282"/>
      <c r="W78" s="282"/>
      <c r="X78" s="282"/>
      <c r="Y78" s="282"/>
      <c r="Z78" s="282"/>
      <c r="AA78" s="282"/>
      <c r="AB78" s="282"/>
      <c r="AC78" s="294"/>
      <c r="AD78" s="296"/>
      <c r="AE78" s="282"/>
      <c r="AF78" s="282"/>
      <c r="AG78" s="282"/>
      <c r="AH78" s="282"/>
      <c r="AI78" s="282"/>
      <c r="AJ78" s="282"/>
      <c r="AK78" s="282"/>
      <c r="AL78" s="294"/>
      <c r="AM78" s="296"/>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94"/>
      <c r="BJ78" s="282"/>
      <c r="BK78" s="285"/>
      <c r="BM78" s="4">
        <f t="shared" si="1"/>
        <v>21</v>
      </c>
    </row>
    <row r="79" spans="1:65" ht="15" customHeight="1" x14ac:dyDescent="0.25">
      <c r="A79" s="284"/>
      <c r="B79" s="296"/>
      <c r="C79" s="282"/>
      <c r="D79" s="282"/>
      <c r="E79" s="282"/>
      <c r="F79" s="282"/>
      <c r="G79" s="282"/>
      <c r="H79" s="282"/>
      <c r="I79" s="282"/>
      <c r="J79" s="282"/>
      <c r="K79" s="294"/>
      <c r="L79" s="296"/>
      <c r="M79" s="282"/>
      <c r="N79" s="282"/>
      <c r="O79" s="282"/>
      <c r="P79" s="282"/>
      <c r="Q79" s="282"/>
      <c r="R79" s="282"/>
      <c r="S79" s="282"/>
      <c r="T79" s="294"/>
      <c r="U79" s="296"/>
      <c r="V79" s="282"/>
      <c r="W79" s="282"/>
      <c r="X79" s="282"/>
      <c r="Y79" s="282"/>
      <c r="Z79" s="282"/>
      <c r="AA79" s="282"/>
      <c r="AB79" s="282"/>
      <c r="AC79" s="294"/>
      <c r="AD79" s="296"/>
      <c r="AE79" s="282"/>
      <c r="AF79" s="282"/>
      <c r="AG79" s="282"/>
      <c r="AH79" s="282"/>
      <c r="AI79" s="282"/>
      <c r="AJ79" s="282"/>
      <c r="AK79" s="282"/>
      <c r="AL79" s="294"/>
      <c r="AM79" s="296"/>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94"/>
      <c r="BJ79" s="282"/>
      <c r="BK79" s="285"/>
      <c r="BM79" s="4">
        <f t="shared" si="1"/>
        <v>22</v>
      </c>
    </row>
    <row r="80" spans="1:65" ht="15" customHeight="1" x14ac:dyDescent="0.25">
      <c r="A80" s="284"/>
      <c r="B80" s="296"/>
      <c r="C80" s="282"/>
      <c r="D80" s="282"/>
      <c r="E80" s="282"/>
      <c r="F80" s="282"/>
      <c r="G80" s="282"/>
      <c r="H80" s="282"/>
      <c r="I80" s="282"/>
      <c r="J80" s="282"/>
      <c r="K80" s="294"/>
      <c r="L80" s="296"/>
      <c r="M80" s="282"/>
      <c r="N80" s="282"/>
      <c r="O80" s="282"/>
      <c r="P80" s="282"/>
      <c r="Q80" s="282"/>
      <c r="R80" s="282"/>
      <c r="S80" s="282"/>
      <c r="T80" s="294"/>
      <c r="U80" s="296"/>
      <c r="V80" s="282"/>
      <c r="W80" s="282"/>
      <c r="X80" s="282"/>
      <c r="Y80" s="282"/>
      <c r="Z80" s="282"/>
      <c r="AA80" s="282"/>
      <c r="AB80" s="282"/>
      <c r="AC80" s="294"/>
      <c r="AD80" s="296"/>
      <c r="AE80" s="282"/>
      <c r="AF80" s="282"/>
      <c r="AG80" s="282"/>
      <c r="AH80" s="282"/>
      <c r="AI80" s="282"/>
      <c r="AJ80" s="282"/>
      <c r="AK80" s="282"/>
      <c r="AL80" s="294"/>
      <c r="AM80" s="296"/>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94"/>
      <c r="BJ80" s="282"/>
      <c r="BK80" s="285"/>
      <c r="BM80" s="4">
        <f t="shared" si="1"/>
        <v>23</v>
      </c>
    </row>
    <row r="81" spans="1:67" ht="15" customHeight="1" x14ac:dyDescent="0.25">
      <c r="A81" s="284"/>
      <c r="B81" s="296"/>
      <c r="C81" s="282"/>
      <c r="D81" s="282"/>
      <c r="E81" s="282"/>
      <c r="F81" s="282"/>
      <c r="G81" s="282"/>
      <c r="H81" s="282"/>
      <c r="I81" s="282"/>
      <c r="J81" s="282"/>
      <c r="K81" s="294"/>
      <c r="L81" s="296"/>
      <c r="M81" s="282"/>
      <c r="N81" s="282"/>
      <c r="O81" s="282"/>
      <c r="P81" s="282"/>
      <c r="Q81" s="282"/>
      <c r="R81" s="282"/>
      <c r="S81" s="282"/>
      <c r="T81" s="294"/>
      <c r="U81" s="296"/>
      <c r="V81" s="282"/>
      <c r="W81" s="282"/>
      <c r="X81" s="282"/>
      <c r="Y81" s="282"/>
      <c r="Z81" s="282"/>
      <c r="AA81" s="282"/>
      <c r="AB81" s="282"/>
      <c r="AC81" s="294"/>
      <c r="AD81" s="296"/>
      <c r="AE81" s="282"/>
      <c r="AF81" s="282"/>
      <c r="AG81" s="282"/>
      <c r="AH81" s="282"/>
      <c r="AI81" s="282"/>
      <c r="AJ81" s="282"/>
      <c r="AK81" s="282"/>
      <c r="AL81" s="294"/>
      <c r="AM81" s="296"/>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94"/>
      <c r="BJ81" s="282"/>
      <c r="BK81" s="285"/>
      <c r="BM81" s="4">
        <f t="shared" si="1"/>
        <v>24</v>
      </c>
    </row>
    <row r="82" spans="1:67" ht="15" customHeight="1" x14ac:dyDescent="0.25">
      <c r="A82" s="284"/>
      <c r="B82" s="296"/>
      <c r="C82" s="282"/>
      <c r="D82" s="282"/>
      <c r="E82" s="282"/>
      <c r="F82" s="282"/>
      <c r="G82" s="282"/>
      <c r="H82" s="282"/>
      <c r="I82" s="282"/>
      <c r="J82" s="282"/>
      <c r="K82" s="294"/>
      <c r="L82" s="296"/>
      <c r="M82" s="282"/>
      <c r="N82" s="282"/>
      <c r="O82" s="282"/>
      <c r="P82" s="282"/>
      <c r="Q82" s="282"/>
      <c r="R82" s="282"/>
      <c r="S82" s="282"/>
      <c r="T82" s="294"/>
      <c r="U82" s="296"/>
      <c r="V82" s="282"/>
      <c r="W82" s="282"/>
      <c r="X82" s="282"/>
      <c r="Y82" s="282"/>
      <c r="Z82" s="282"/>
      <c r="AA82" s="282"/>
      <c r="AB82" s="282"/>
      <c r="AC82" s="294"/>
      <c r="AD82" s="296"/>
      <c r="AE82" s="282"/>
      <c r="AF82" s="282"/>
      <c r="AG82" s="282"/>
      <c r="AH82" s="282"/>
      <c r="AI82" s="282"/>
      <c r="AJ82" s="282"/>
      <c r="AK82" s="282"/>
      <c r="AL82" s="294"/>
      <c r="AM82" s="296"/>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94"/>
      <c r="BJ82" s="282"/>
      <c r="BK82" s="285"/>
      <c r="BM82" s="4">
        <f t="shared" si="1"/>
        <v>25</v>
      </c>
    </row>
    <row r="83" spans="1:67" ht="15" customHeight="1" x14ac:dyDescent="0.25">
      <c r="A83" s="284"/>
      <c r="B83" s="296"/>
      <c r="C83" s="282"/>
      <c r="D83" s="282"/>
      <c r="E83" s="282"/>
      <c r="F83" s="282"/>
      <c r="G83" s="282"/>
      <c r="H83" s="282"/>
      <c r="I83" s="282"/>
      <c r="J83" s="282"/>
      <c r="K83" s="294"/>
      <c r="L83" s="296"/>
      <c r="M83" s="282"/>
      <c r="N83" s="282"/>
      <c r="O83" s="282"/>
      <c r="P83" s="282"/>
      <c r="Q83" s="282"/>
      <c r="R83" s="282"/>
      <c r="S83" s="282"/>
      <c r="T83" s="294"/>
      <c r="U83" s="296"/>
      <c r="V83" s="282"/>
      <c r="W83" s="282"/>
      <c r="X83" s="282"/>
      <c r="Y83" s="282"/>
      <c r="Z83" s="282"/>
      <c r="AA83" s="282"/>
      <c r="AB83" s="282"/>
      <c r="AC83" s="294"/>
      <c r="AD83" s="296"/>
      <c r="AE83" s="282"/>
      <c r="AF83" s="282"/>
      <c r="AG83" s="282"/>
      <c r="AH83" s="282"/>
      <c r="AI83" s="282"/>
      <c r="AJ83" s="282"/>
      <c r="AK83" s="282"/>
      <c r="AL83" s="294"/>
      <c r="AM83" s="296"/>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94"/>
      <c r="BJ83" s="282"/>
      <c r="BK83" s="285"/>
      <c r="BM83" s="4">
        <f t="shared" si="1"/>
        <v>26</v>
      </c>
      <c r="BO83" s="282"/>
    </row>
    <row r="84" spans="1:67" ht="15" customHeight="1" x14ac:dyDescent="0.25">
      <c r="A84" s="284"/>
      <c r="B84" s="296"/>
      <c r="C84" s="282"/>
      <c r="D84" s="282"/>
      <c r="E84" s="282"/>
      <c r="F84" s="282"/>
      <c r="G84" s="282"/>
      <c r="H84" s="282"/>
      <c r="I84" s="282"/>
      <c r="J84" s="282"/>
      <c r="K84" s="294"/>
      <c r="L84" s="296"/>
      <c r="M84" s="282"/>
      <c r="N84" s="282"/>
      <c r="O84" s="282"/>
      <c r="P84" s="282"/>
      <c r="Q84" s="282"/>
      <c r="R84" s="282"/>
      <c r="S84" s="282"/>
      <c r="T84" s="294"/>
      <c r="U84" s="296"/>
      <c r="V84" s="282"/>
      <c r="W84" s="282"/>
      <c r="X84" s="282"/>
      <c r="Y84" s="282"/>
      <c r="Z84" s="282"/>
      <c r="AA84" s="282"/>
      <c r="AB84" s="282"/>
      <c r="AC84" s="294"/>
      <c r="AD84" s="296"/>
      <c r="AE84" s="282"/>
      <c r="AF84" s="282"/>
      <c r="AG84" s="282"/>
      <c r="AH84" s="282"/>
      <c r="AI84" s="282"/>
      <c r="AJ84" s="282"/>
      <c r="AK84" s="282"/>
      <c r="AL84" s="294"/>
      <c r="AM84" s="296"/>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94"/>
      <c r="BJ84" s="282"/>
      <c r="BK84" s="285"/>
      <c r="BM84" s="4">
        <f t="shared" si="1"/>
        <v>27</v>
      </c>
    </row>
    <row r="85" spans="1:67" ht="15" customHeight="1" x14ac:dyDescent="0.25">
      <c r="A85" s="284"/>
      <c r="B85" s="296"/>
      <c r="C85" s="282"/>
      <c r="D85" s="282"/>
      <c r="E85" s="282"/>
      <c r="F85" s="282"/>
      <c r="G85" s="282"/>
      <c r="H85" s="282"/>
      <c r="I85" s="282"/>
      <c r="J85" s="282"/>
      <c r="K85" s="294"/>
      <c r="L85" s="296"/>
      <c r="M85" s="282"/>
      <c r="N85" s="282"/>
      <c r="O85" s="282"/>
      <c r="P85" s="282"/>
      <c r="Q85" s="282"/>
      <c r="R85" s="282"/>
      <c r="S85" s="282"/>
      <c r="T85" s="294"/>
      <c r="U85" s="296"/>
      <c r="V85" s="282"/>
      <c r="W85" s="282"/>
      <c r="X85" s="282"/>
      <c r="Y85" s="282"/>
      <c r="Z85" s="282"/>
      <c r="AA85" s="282"/>
      <c r="AB85" s="282"/>
      <c r="AC85" s="294"/>
      <c r="AD85" s="296"/>
      <c r="AE85" s="282"/>
      <c r="AF85" s="282"/>
      <c r="AG85" s="282"/>
      <c r="AH85" s="282"/>
      <c r="AI85" s="282"/>
      <c r="AJ85" s="282"/>
      <c r="AK85" s="282"/>
      <c r="AL85" s="294"/>
      <c r="AM85" s="296"/>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94"/>
      <c r="BJ85" s="282"/>
      <c r="BK85" s="285"/>
      <c r="BM85" s="4">
        <f t="shared" si="1"/>
        <v>28</v>
      </c>
    </row>
    <row r="86" spans="1:67" ht="15" customHeight="1" x14ac:dyDescent="0.25">
      <c r="A86" s="284"/>
      <c r="B86" s="296"/>
      <c r="C86" s="282"/>
      <c r="D86" s="282"/>
      <c r="E86" s="282"/>
      <c r="F86" s="282"/>
      <c r="G86" s="282"/>
      <c r="H86" s="282"/>
      <c r="I86" s="282"/>
      <c r="J86" s="282"/>
      <c r="K86" s="294"/>
      <c r="L86" s="296"/>
      <c r="M86" s="282"/>
      <c r="N86" s="282"/>
      <c r="O86" s="282"/>
      <c r="P86" s="282"/>
      <c r="Q86" s="282"/>
      <c r="R86" s="282"/>
      <c r="S86" s="282"/>
      <c r="T86" s="294"/>
      <c r="U86" s="296"/>
      <c r="V86" s="282"/>
      <c r="W86" s="282"/>
      <c r="X86" s="282"/>
      <c r="Y86" s="282"/>
      <c r="Z86" s="282"/>
      <c r="AA86" s="282"/>
      <c r="AB86" s="282"/>
      <c r="AC86" s="294"/>
      <c r="AD86" s="296"/>
      <c r="AE86" s="282"/>
      <c r="AF86" s="282"/>
      <c r="AG86" s="282"/>
      <c r="AH86" s="282"/>
      <c r="AI86" s="282"/>
      <c r="AJ86" s="282"/>
      <c r="AK86" s="282"/>
      <c r="AL86" s="294"/>
      <c r="AM86" s="296"/>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94"/>
      <c r="BJ86" s="282"/>
      <c r="BK86" s="285"/>
      <c r="BM86" s="4">
        <f t="shared" si="1"/>
        <v>29</v>
      </c>
    </row>
    <row r="87" spans="1:67" ht="15" customHeight="1" x14ac:dyDescent="0.25">
      <c r="A87" s="284"/>
      <c r="B87" s="296"/>
      <c r="C87" s="282"/>
      <c r="D87" s="282"/>
      <c r="E87" s="282"/>
      <c r="F87" s="282"/>
      <c r="G87" s="282"/>
      <c r="H87" s="282"/>
      <c r="I87" s="282"/>
      <c r="J87" s="282"/>
      <c r="K87" s="294"/>
      <c r="L87" s="296"/>
      <c r="M87" s="282"/>
      <c r="N87" s="282"/>
      <c r="O87" s="282"/>
      <c r="P87" s="282"/>
      <c r="Q87" s="282"/>
      <c r="R87" s="282"/>
      <c r="S87" s="282"/>
      <c r="T87" s="294"/>
      <c r="U87" s="296"/>
      <c r="V87" s="282"/>
      <c r="W87" s="282"/>
      <c r="X87" s="282"/>
      <c r="Y87" s="282"/>
      <c r="Z87" s="282"/>
      <c r="AA87" s="282"/>
      <c r="AB87" s="282"/>
      <c r="AC87" s="294"/>
      <c r="AD87" s="296"/>
      <c r="AE87" s="282"/>
      <c r="AF87" s="282"/>
      <c r="AG87" s="282"/>
      <c r="AH87" s="282"/>
      <c r="AI87" s="282"/>
      <c r="AJ87" s="282"/>
      <c r="AK87" s="282"/>
      <c r="AL87" s="294"/>
      <c r="AM87" s="296"/>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94"/>
      <c r="BJ87" s="282"/>
      <c r="BK87" s="285"/>
      <c r="BM87" s="4">
        <f t="shared" si="1"/>
        <v>30</v>
      </c>
    </row>
    <row r="88" spans="1:67" ht="15" customHeight="1" x14ac:dyDescent="0.25">
      <c r="A88" s="284"/>
      <c r="B88" s="296"/>
      <c r="C88" s="282"/>
      <c r="D88" s="282"/>
      <c r="E88" s="282"/>
      <c r="F88" s="282"/>
      <c r="G88" s="282"/>
      <c r="H88" s="282"/>
      <c r="I88" s="282"/>
      <c r="J88" s="282"/>
      <c r="K88" s="294"/>
      <c r="L88" s="296"/>
      <c r="M88" s="282"/>
      <c r="N88" s="282"/>
      <c r="O88" s="282"/>
      <c r="P88" s="282"/>
      <c r="Q88" s="282"/>
      <c r="R88" s="282"/>
      <c r="S88" s="282"/>
      <c r="T88" s="294"/>
      <c r="U88" s="296"/>
      <c r="V88" s="282"/>
      <c r="W88" s="282"/>
      <c r="X88" s="282"/>
      <c r="Y88" s="282"/>
      <c r="Z88" s="282"/>
      <c r="AA88" s="282"/>
      <c r="AB88" s="282"/>
      <c r="AC88" s="294"/>
      <c r="AD88" s="296"/>
      <c r="AE88" s="282"/>
      <c r="AF88" s="282"/>
      <c r="AG88" s="282"/>
      <c r="AH88" s="282"/>
      <c r="AI88" s="282"/>
      <c r="AJ88" s="282"/>
      <c r="AK88" s="282"/>
      <c r="AL88" s="294"/>
      <c r="AM88" s="296"/>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94"/>
      <c r="BJ88" s="282"/>
      <c r="BK88" s="285"/>
      <c r="BM88" s="4">
        <f t="shared" si="1"/>
        <v>31</v>
      </c>
    </row>
    <row r="89" spans="1:67" ht="15" customHeight="1" x14ac:dyDescent="0.25">
      <c r="A89" s="284"/>
      <c r="B89" s="296"/>
      <c r="C89" s="282"/>
      <c r="D89" s="282"/>
      <c r="E89" s="282"/>
      <c r="F89" s="282"/>
      <c r="G89" s="282"/>
      <c r="H89" s="282"/>
      <c r="I89" s="282"/>
      <c r="J89" s="282"/>
      <c r="K89" s="294"/>
      <c r="L89" s="296"/>
      <c r="M89" s="282"/>
      <c r="N89" s="282"/>
      <c r="O89" s="282"/>
      <c r="P89" s="282"/>
      <c r="Q89" s="282"/>
      <c r="R89" s="282"/>
      <c r="S89" s="282"/>
      <c r="T89" s="294"/>
      <c r="U89" s="296"/>
      <c r="V89" s="282"/>
      <c r="W89" s="282"/>
      <c r="X89" s="282"/>
      <c r="Y89" s="282"/>
      <c r="Z89" s="282"/>
      <c r="AA89" s="282"/>
      <c r="AB89" s="282"/>
      <c r="AC89" s="294"/>
      <c r="AD89" s="296"/>
      <c r="AE89" s="282"/>
      <c r="AF89" s="282"/>
      <c r="AG89" s="282"/>
      <c r="AH89" s="282"/>
      <c r="AI89" s="282"/>
      <c r="AJ89" s="282"/>
      <c r="AK89" s="282"/>
      <c r="AL89" s="294"/>
      <c r="AM89" s="296"/>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94"/>
      <c r="BJ89" s="282"/>
      <c r="BK89" s="285"/>
      <c r="BM89" s="4">
        <f t="shared" si="1"/>
        <v>32</v>
      </c>
    </row>
    <row r="90" spans="1:67" ht="15" customHeight="1" x14ac:dyDescent="0.25">
      <c r="A90" s="284"/>
      <c r="B90" s="296"/>
      <c r="C90" s="282"/>
      <c r="D90" s="282"/>
      <c r="E90" s="282"/>
      <c r="F90" s="282"/>
      <c r="G90" s="282"/>
      <c r="H90" s="282"/>
      <c r="I90" s="282"/>
      <c r="J90" s="282"/>
      <c r="K90" s="294"/>
      <c r="L90" s="296"/>
      <c r="M90" s="282"/>
      <c r="N90" s="282"/>
      <c r="O90" s="282"/>
      <c r="P90" s="282"/>
      <c r="Q90" s="282"/>
      <c r="R90" s="282"/>
      <c r="S90" s="282"/>
      <c r="T90" s="294"/>
      <c r="U90" s="296"/>
      <c r="V90" s="282"/>
      <c r="W90" s="282"/>
      <c r="X90" s="282"/>
      <c r="Y90" s="282"/>
      <c r="Z90" s="282"/>
      <c r="AA90" s="282"/>
      <c r="AB90" s="282"/>
      <c r="AC90" s="294"/>
      <c r="AD90" s="296"/>
      <c r="AE90" s="282"/>
      <c r="AF90" s="282"/>
      <c r="AG90" s="282"/>
      <c r="AH90" s="282"/>
      <c r="AI90" s="282"/>
      <c r="AJ90" s="282"/>
      <c r="AK90" s="282"/>
      <c r="AL90" s="294"/>
      <c r="AM90" s="296"/>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94"/>
      <c r="BJ90" s="282"/>
      <c r="BK90" s="285"/>
      <c r="BM90" s="4">
        <f t="shared" si="1"/>
        <v>33</v>
      </c>
    </row>
    <row r="91" spans="1:67" ht="15" customHeight="1" x14ac:dyDescent="0.25">
      <c r="A91" s="284"/>
      <c r="B91" s="297" t="s">
        <v>30</v>
      </c>
      <c r="C91" s="298"/>
      <c r="D91" s="298"/>
      <c r="E91" s="298"/>
      <c r="F91" s="298"/>
      <c r="G91" s="298"/>
      <c r="H91" s="298"/>
      <c r="I91" s="298"/>
      <c r="J91" s="298"/>
      <c r="K91" s="299"/>
      <c r="L91" s="297"/>
      <c r="M91" s="298"/>
      <c r="N91" s="298"/>
      <c r="O91" s="298"/>
      <c r="P91" s="298"/>
      <c r="Q91" s="298"/>
      <c r="R91" s="298"/>
      <c r="S91" s="298"/>
      <c r="T91" s="299"/>
      <c r="U91" s="297"/>
      <c r="V91" s="298"/>
      <c r="W91" s="298"/>
      <c r="X91" s="298"/>
      <c r="Y91" s="298"/>
      <c r="Z91" s="298"/>
      <c r="AA91" s="298"/>
      <c r="AB91" s="298"/>
      <c r="AC91" s="299"/>
      <c r="AD91" s="297"/>
      <c r="AE91" s="298"/>
      <c r="AF91" s="298"/>
      <c r="AG91" s="298"/>
      <c r="AH91" s="298"/>
      <c r="AI91" s="298"/>
      <c r="AJ91" s="298"/>
      <c r="AK91" s="298"/>
      <c r="AL91" s="299"/>
      <c r="AM91" s="297"/>
      <c r="AN91" s="298"/>
      <c r="AO91" s="298"/>
      <c r="AP91" s="298"/>
      <c r="AQ91" s="298"/>
      <c r="AR91" s="298"/>
      <c r="AS91" s="298"/>
      <c r="AT91" s="298"/>
      <c r="AU91" s="298"/>
      <c r="AV91" s="298"/>
      <c r="AW91" s="298"/>
      <c r="AX91" s="298"/>
      <c r="AY91" s="298"/>
      <c r="AZ91" s="298"/>
      <c r="BA91" s="298"/>
      <c r="BB91" s="298"/>
      <c r="BC91" s="298"/>
      <c r="BD91" s="298"/>
      <c r="BE91" s="298"/>
      <c r="BF91" s="298"/>
      <c r="BG91" s="298"/>
      <c r="BH91" s="298"/>
      <c r="BI91" s="299"/>
      <c r="BJ91" s="298"/>
      <c r="BK91" s="285"/>
      <c r="BM91" s="4">
        <f t="shared" si="1"/>
        <v>34</v>
      </c>
    </row>
    <row r="92" spans="1:67" ht="15" customHeight="1" x14ac:dyDescent="0.25">
      <c r="A92" s="284"/>
      <c r="B92" s="296"/>
      <c r="C92" s="282"/>
      <c r="D92" s="282"/>
      <c r="E92" s="282"/>
      <c r="F92" s="282"/>
      <c r="G92" s="282"/>
      <c r="H92" s="282"/>
      <c r="I92" s="282"/>
      <c r="J92" s="282"/>
      <c r="K92" s="294"/>
      <c r="L92" s="296"/>
      <c r="M92" s="282"/>
      <c r="N92" s="282"/>
      <c r="O92" s="282"/>
      <c r="P92" s="282"/>
      <c r="Q92" s="282"/>
      <c r="R92" s="282"/>
      <c r="S92" s="282"/>
      <c r="T92" s="294"/>
      <c r="U92" s="296"/>
      <c r="V92" s="282"/>
      <c r="W92" s="282"/>
      <c r="X92" s="282"/>
      <c r="Y92" s="282"/>
      <c r="Z92" s="282"/>
      <c r="AA92" s="282"/>
      <c r="AB92" s="282"/>
      <c r="AC92" s="294"/>
      <c r="AD92" s="296"/>
      <c r="AE92" s="282"/>
      <c r="AF92" s="282"/>
      <c r="AG92" s="282"/>
      <c r="AH92" s="282"/>
      <c r="AI92" s="282"/>
      <c r="AJ92" s="282"/>
      <c r="AK92" s="282"/>
      <c r="AL92" s="294"/>
      <c r="AM92" s="296"/>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94"/>
      <c r="BJ92" s="282"/>
      <c r="BK92" s="285"/>
      <c r="BM92" s="4">
        <f t="shared" si="1"/>
        <v>35</v>
      </c>
    </row>
    <row r="93" spans="1:67" ht="15" customHeight="1" x14ac:dyDescent="0.25">
      <c r="A93" s="284"/>
      <c r="B93" s="296"/>
      <c r="C93" s="282"/>
      <c r="D93" s="282"/>
      <c r="E93" s="282"/>
      <c r="F93" s="282"/>
      <c r="G93" s="282"/>
      <c r="H93" s="282"/>
      <c r="I93" s="282"/>
      <c r="J93" s="282"/>
      <c r="K93" s="294"/>
      <c r="L93" s="296"/>
      <c r="M93" s="282"/>
      <c r="N93" s="282"/>
      <c r="O93" s="282"/>
      <c r="P93" s="282"/>
      <c r="Q93" s="282"/>
      <c r="R93" s="282"/>
      <c r="S93" s="282"/>
      <c r="T93" s="294"/>
      <c r="U93" s="296"/>
      <c r="V93" s="282"/>
      <c r="W93" s="282"/>
      <c r="X93" s="282"/>
      <c r="Y93" s="282"/>
      <c r="Z93" s="282"/>
      <c r="AA93" s="282"/>
      <c r="AB93" s="282"/>
      <c r="AC93" s="294"/>
      <c r="AD93" s="296"/>
      <c r="AE93" s="282"/>
      <c r="AF93" s="282"/>
      <c r="AG93" s="282"/>
      <c r="AH93" s="282"/>
      <c r="AI93" s="282"/>
      <c r="AJ93" s="282"/>
      <c r="AK93" s="282"/>
      <c r="AL93" s="294"/>
      <c r="AM93" s="296"/>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94"/>
      <c r="BJ93" s="282"/>
      <c r="BK93" s="285"/>
      <c r="BM93" s="4">
        <f t="shared" si="1"/>
        <v>36</v>
      </c>
    </row>
    <row r="94" spans="1:67" ht="15" customHeight="1" x14ac:dyDescent="0.25">
      <c r="A94" s="284"/>
      <c r="B94" s="296"/>
      <c r="C94" s="282"/>
      <c r="D94" s="282"/>
      <c r="E94" s="282"/>
      <c r="F94" s="282"/>
      <c r="G94" s="282"/>
      <c r="H94" s="282"/>
      <c r="I94" s="282"/>
      <c r="J94" s="282"/>
      <c r="K94" s="294"/>
      <c r="L94" s="296"/>
      <c r="M94" s="282"/>
      <c r="N94" s="282"/>
      <c r="O94" s="282"/>
      <c r="P94" s="282"/>
      <c r="Q94" s="282"/>
      <c r="R94" s="282"/>
      <c r="S94" s="282"/>
      <c r="T94" s="294"/>
      <c r="U94" s="296"/>
      <c r="V94" s="282"/>
      <c r="W94" s="282"/>
      <c r="X94" s="282"/>
      <c r="Y94" s="282"/>
      <c r="Z94" s="282"/>
      <c r="AA94" s="282"/>
      <c r="AB94" s="282"/>
      <c r="AC94" s="294"/>
      <c r="AD94" s="296"/>
      <c r="AE94" s="282"/>
      <c r="AF94" s="282"/>
      <c r="AG94" s="282"/>
      <c r="AH94" s="282"/>
      <c r="AI94" s="282"/>
      <c r="AJ94" s="282"/>
      <c r="AK94" s="282"/>
      <c r="AL94" s="294"/>
      <c r="AM94" s="296"/>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94"/>
      <c r="BJ94" s="282"/>
      <c r="BK94" s="285"/>
      <c r="BM94" s="4">
        <f t="shared" si="1"/>
        <v>37</v>
      </c>
    </row>
    <row r="95" spans="1:67" ht="15" customHeight="1" x14ac:dyDescent="0.25">
      <c r="A95" s="284"/>
      <c r="B95" s="296"/>
      <c r="C95" s="282"/>
      <c r="D95" s="282"/>
      <c r="E95" s="282"/>
      <c r="F95" s="282"/>
      <c r="G95" s="282"/>
      <c r="H95" s="282"/>
      <c r="I95" s="282"/>
      <c r="J95" s="282"/>
      <c r="K95" s="294"/>
      <c r="L95" s="296"/>
      <c r="M95" s="282"/>
      <c r="N95" s="282"/>
      <c r="O95" s="282"/>
      <c r="P95" s="282"/>
      <c r="Q95" s="282"/>
      <c r="R95" s="282"/>
      <c r="S95" s="282"/>
      <c r="T95" s="294"/>
      <c r="U95" s="296"/>
      <c r="V95" s="282"/>
      <c r="W95" s="282"/>
      <c r="X95" s="282"/>
      <c r="Y95" s="282"/>
      <c r="Z95" s="282"/>
      <c r="AA95" s="282"/>
      <c r="AB95" s="282"/>
      <c r="AC95" s="294"/>
      <c r="AD95" s="296"/>
      <c r="AE95" s="282"/>
      <c r="AF95" s="282"/>
      <c r="AG95" s="282"/>
      <c r="AH95" s="282"/>
      <c r="AI95" s="282"/>
      <c r="AJ95" s="282"/>
      <c r="AK95" s="282"/>
      <c r="AL95" s="294"/>
      <c r="AM95" s="296"/>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94"/>
      <c r="BJ95" s="282"/>
      <c r="BK95" s="285"/>
      <c r="BM95" s="4">
        <f t="shared" si="1"/>
        <v>38</v>
      </c>
    </row>
    <row r="96" spans="1:67" ht="15" customHeight="1" x14ac:dyDescent="0.25">
      <c r="A96" s="284"/>
      <c r="B96" s="296"/>
      <c r="C96" s="282"/>
      <c r="D96" s="282"/>
      <c r="E96" s="282"/>
      <c r="F96" s="282"/>
      <c r="G96" s="282"/>
      <c r="H96" s="282"/>
      <c r="I96" s="282"/>
      <c r="J96" s="282"/>
      <c r="K96" s="294"/>
      <c r="L96" s="296"/>
      <c r="M96" s="282"/>
      <c r="N96" s="282"/>
      <c r="O96" s="282"/>
      <c r="P96" s="282"/>
      <c r="Q96" s="282"/>
      <c r="R96" s="282"/>
      <c r="S96" s="282"/>
      <c r="T96" s="294"/>
      <c r="U96" s="296"/>
      <c r="V96" s="282"/>
      <c r="W96" s="282"/>
      <c r="X96" s="282"/>
      <c r="Y96" s="282"/>
      <c r="Z96" s="282"/>
      <c r="AA96" s="282"/>
      <c r="AB96" s="282"/>
      <c r="AC96" s="294"/>
      <c r="AD96" s="296"/>
      <c r="AE96" s="282"/>
      <c r="AF96" s="282"/>
      <c r="AG96" s="282"/>
      <c r="AH96" s="282"/>
      <c r="AI96" s="282"/>
      <c r="AJ96" s="282"/>
      <c r="AK96" s="282"/>
      <c r="AL96" s="294"/>
      <c r="AM96" s="296"/>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94"/>
      <c r="BJ96" s="282"/>
      <c r="BK96" s="285"/>
      <c r="BM96" s="4">
        <f t="shared" si="1"/>
        <v>39</v>
      </c>
    </row>
    <row r="97" spans="1:65" ht="15" customHeight="1" x14ac:dyDescent="0.25">
      <c r="A97" s="284"/>
      <c r="B97" s="296"/>
      <c r="C97" s="282"/>
      <c r="D97" s="282"/>
      <c r="E97" s="282"/>
      <c r="F97" s="282"/>
      <c r="G97" s="282"/>
      <c r="H97" s="282"/>
      <c r="I97" s="282"/>
      <c r="J97" s="282"/>
      <c r="K97" s="294"/>
      <c r="L97" s="296"/>
      <c r="M97" s="282"/>
      <c r="N97" s="282"/>
      <c r="O97" s="282"/>
      <c r="P97" s="282"/>
      <c r="Q97" s="282"/>
      <c r="R97" s="282"/>
      <c r="S97" s="282"/>
      <c r="T97" s="294"/>
      <c r="U97" s="296"/>
      <c r="V97" s="282"/>
      <c r="W97" s="282"/>
      <c r="X97" s="282"/>
      <c r="Y97" s="282"/>
      <c r="Z97" s="282"/>
      <c r="AA97" s="282"/>
      <c r="AB97" s="282"/>
      <c r="AC97" s="294"/>
      <c r="AD97" s="296"/>
      <c r="AE97" s="282"/>
      <c r="AF97" s="282"/>
      <c r="AG97" s="282"/>
      <c r="AH97" s="282"/>
      <c r="AI97" s="282"/>
      <c r="AJ97" s="282"/>
      <c r="AK97" s="282"/>
      <c r="AL97" s="294"/>
      <c r="AM97" s="296"/>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94"/>
      <c r="BJ97" s="282"/>
      <c r="BK97" s="285"/>
      <c r="BM97" s="4">
        <f t="shared" si="1"/>
        <v>40</v>
      </c>
    </row>
    <row r="98" spans="1:65" ht="15" customHeight="1" x14ac:dyDescent="0.25">
      <c r="A98" s="284"/>
      <c r="B98" s="296"/>
      <c r="C98" s="282"/>
      <c r="D98" s="282"/>
      <c r="E98" s="282"/>
      <c r="F98" s="282"/>
      <c r="G98" s="282"/>
      <c r="H98" s="282"/>
      <c r="I98" s="282"/>
      <c r="J98" s="282"/>
      <c r="K98" s="294"/>
      <c r="L98" s="296"/>
      <c r="M98" s="282"/>
      <c r="N98" s="282"/>
      <c r="O98" s="282"/>
      <c r="P98" s="282"/>
      <c r="Q98" s="282"/>
      <c r="R98" s="282"/>
      <c r="S98" s="282"/>
      <c r="T98" s="294"/>
      <c r="U98" s="296"/>
      <c r="V98" s="282"/>
      <c r="W98" s="282"/>
      <c r="X98" s="282"/>
      <c r="Y98" s="282"/>
      <c r="Z98" s="282"/>
      <c r="AA98" s="282"/>
      <c r="AB98" s="282"/>
      <c r="AC98" s="294"/>
      <c r="AD98" s="296"/>
      <c r="AE98" s="282"/>
      <c r="AF98" s="282"/>
      <c r="AG98" s="282"/>
      <c r="AH98" s="282"/>
      <c r="AI98" s="282"/>
      <c r="AJ98" s="282"/>
      <c r="AK98" s="282"/>
      <c r="AL98" s="294"/>
      <c r="AM98" s="296"/>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94"/>
      <c r="BJ98" s="282"/>
      <c r="BK98" s="285"/>
      <c r="BM98" s="4">
        <f t="shared" si="1"/>
        <v>41</v>
      </c>
    </row>
    <row r="99" spans="1:65" ht="15" customHeight="1" x14ac:dyDescent="0.25">
      <c r="A99" s="284"/>
      <c r="B99" s="296"/>
      <c r="C99" s="282"/>
      <c r="D99" s="282"/>
      <c r="E99" s="282"/>
      <c r="F99" s="282"/>
      <c r="G99" s="282"/>
      <c r="H99" s="282"/>
      <c r="I99" s="282"/>
      <c r="J99" s="282"/>
      <c r="K99" s="294"/>
      <c r="L99" s="296"/>
      <c r="M99" s="282"/>
      <c r="N99" s="282"/>
      <c r="O99" s="282"/>
      <c r="P99" s="282"/>
      <c r="Q99" s="282"/>
      <c r="R99" s="282"/>
      <c r="S99" s="282"/>
      <c r="T99" s="294"/>
      <c r="U99" s="296"/>
      <c r="V99" s="282"/>
      <c r="W99" s="282"/>
      <c r="X99" s="282"/>
      <c r="Y99" s="282"/>
      <c r="Z99" s="282"/>
      <c r="AA99" s="282"/>
      <c r="AB99" s="282"/>
      <c r="AC99" s="294"/>
      <c r="AD99" s="296"/>
      <c r="AE99" s="282"/>
      <c r="AF99" s="282"/>
      <c r="AG99" s="282"/>
      <c r="AH99" s="282"/>
      <c r="AI99" s="282"/>
      <c r="AJ99" s="282"/>
      <c r="AK99" s="282"/>
      <c r="AL99" s="294"/>
      <c r="AM99" s="296"/>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94"/>
      <c r="BJ99" s="282"/>
      <c r="BK99" s="285"/>
      <c r="BM99" s="4">
        <f t="shared" si="1"/>
        <v>42</v>
      </c>
    </row>
    <row r="100" spans="1:65" ht="15" customHeight="1" x14ac:dyDescent="0.25">
      <c r="A100" s="284"/>
      <c r="B100" s="296"/>
      <c r="C100" s="282"/>
      <c r="D100" s="282"/>
      <c r="E100" s="282"/>
      <c r="F100" s="282"/>
      <c r="G100" s="282"/>
      <c r="H100" s="282"/>
      <c r="I100" s="282"/>
      <c r="J100" s="282"/>
      <c r="K100" s="294"/>
      <c r="L100" s="296"/>
      <c r="M100" s="282"/>
      <c r="N100" s="282"/>
      <c r="O100" s="282"/>
      <c r="P100" s="282"/>
      <c r="Q100" s="282"/>
      <c r="R100" s="282"/>
      <c r="S100" s="282"/>
      <c r="T100" s="294"/>
      <c r="U100" s="296"/>
      <c r="V100" s="282"/>
      <c r="W100" s="282"/>
      <c r="X100" s="282"/>
      <c r="Y100" s="282"/>
      <c r="Z100" s="282"/>
      <c r="AA100" s="282"/>
      <c r="AB100" s="282"/>
      <c r="AC100" s="294"/>
      <c r="AD100" s="296"/>
      <c r="AE100" s="282"/>
      <c r="AF100" s="282"/>
      <c r="AG100" s="282"/>
      <c r="AH100" s="282"/>
      <c r="AI100" s="282"/>
      <c r="AJ100" s="282"/>
      <c r="AK100" s="282"/>
      <c r="AL100" s="294"/>
      <c r="AM100" s="296"/>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94"/>
      <c r="BJ100" s="282"/>
      <c r="BK100" s="285"/>
      <c r="BM100" s="4">
        <f t="shared" si="1"/>
        <v>43</v>
      </c>
    </row>
    <row r="101" spans="1:65" ht="15" customHeight="1" x14ac:dyDescent="0.25">
      <c r="A101" s="284"/>
      <c r="B101" s="296"/>
      <c r="C101" s="282"/>
      <c r="D101" s="282"/>
      <c r="E101" s="282"/>
      <c r="F101" s="282"/>
      <c r="G101" s="282"/>
      <c r="H101" s="282"/>
      <c r="I101" s="282"/>
      <c r="J101" s="282"/>
      <c r="K101" s="294"/>
      <c r="L101" s="296"/>
      <c r="M101" s="282"/>
      <c r="N101" s="282"/>
      <c r="O101" s="282"/>
      <c r="P101" s="282"/>
      <c r="Q101" s="282"/>
      <c r="R101" s="282"/>
      <c r="S101" s="282"/>
      <c r="T101" s="294"/>
      <c r="U101" s="296"/>
      <c r="V101" s="282"/>
      <c r="W101" s="282"/>
      <c r="X101" s="282"/>
      <c r="Y101" s="282"/>
      <c r="Z101" s="282"/>
      <c r="AA101" s="282"/>
      <c r="AB101" s="282"/>
      <c r="AC101" s="294"/>
      <c r="AD101" s="296"/>
      <c r="AE101" s="282"/>
      <c r="AF101" s="282"/>
      <c r="AG101" s="282"/>
      <c r="AH101" s="282"/>
      <c r="AI101" s="282"/>
      <c r="AJ101" s="282"/>
      <c r="AK101" s="282"/>
      <c r="AL101" s="294"/>
      <c r="AM101" s="296"/>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94"/>
      <c r="BJ101" s="282"/>
      <c r="BK101" s="285"/>
      <c r="BM101" s="4">
        <f t="shared" si="1"/>
        <v>44</v>
      </c>
    </row>
    <row r="102" spans="1:65" ht="15" customHeight="1" x14ac:dyDescent="0.25">
      <c r="A102" s="284"/>
      <c r="B102" s="296"/>
      <c r="C102" s="282"/>
      <c r="D102" s="282"/>
      <c r="E102" s="282"/>
      <c r="F102" s="282"/>
      <c r="G102" s="282"/>
      <c r="H102" s="282"/>
      <c r="I102" s="282"/>
      <c r="J102" s="282"/>
      <c r="K102" s="294"/>
      <c r="L102" s="296"/>
      <c r="M102" s="282"/>
      <c r="N102" s="282"/>
      <c r="O102" s="282"/>
      <c r="P102" s="282"/>
      <c r="Q102" s="282"/>
      <c r="R102" s="282"/>
      <c r="S102" s="282"/>
      <c r="T102" s="294"/>
      <c r="U102" s="296"/>
      <c r="V102" s="282"/>
      <c r="W102" s="282"/>
      <c r="X102" s="282"/>
      <c r="Y102" s="282"/>
      <c r="Z102" s="282"/>
      <c r="AA102" s="282"/>
      <c r="AB102" s="282"/>
      <c r="AC102" s="294"/>
      <c r="AD102" s="296"/>
      <c r="AE102" s="282"/>
      <c r="AF102" s="282"/>
      <c r="AG102" s="282"/>
      <c r="AH102" s="282"/>
      <c r="AI102" s="282"/>
      <c r="AJ102" s="282"/>
      <c r="AK102" s="282"/>
      <c r="AL102" s="294"/>
      <c r="AM102" s="296"/>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94"/>
      <c r="BJ102" s="282"/>
      <c r="BK102" s="285"/>
      <c r="BM102" s="4">
        <f t="shared" si="1"/>
        <v>45</v>
      </c>
    </row>
    <row r="103" spans="1:65" ht="15" customHeight="1" x14ac:dyDescent="0.25">
      <c r="A103" s="284"/>
      <c r="B103" s="296"/>
      <c r="C103" s="282"/>
      <c r="D103" s="282"/>
      <c r="E103" s="282"/>
      <c r="F103" s="282"/>
      <c r="G103" s="282"/>
      <c r="H103" s="282"/>
      <c r="I103" s="282"/>
      <c r="J103" s="282"/>
      <c r="K103" s="294"/>
      <c r="L103" s="296"/>
      <c r="M103" s="282"/>
      <c r="N103" s="282"/>
      <c r="O103" s="282"/>
      <c r="P103" s="282"/>
      <c r="Q103" s="282"/>
      <c r="R103" s="282"/>
      <c r="S103" s="282"/>
      <c r="T103" s="294"/>
      <c r="U103" s="296"/>
      <c r="V103" s="282"/>
      <c r="W103" s="282"/>
      <c r="X103" s="282"/>
      <c r="Y103" s="282"/>
      <c r="Z103" s="282"/>
      <c r="AA103" s="282"/>
      <c r="AB103" s="282"/>
      <c r="AC103" s="294"/>
      <c r="AD103" s="296"/>
      <c r="AE103" s="282"/>
      <c r="AF103" s="282"/>
      <c r="AG103" s="282"/>
      <c r="AH103" s="282"/>
      <c r="AI103" s="282"/>
      <c r="AJ103" s="282"/>
      <c r="AK103" s="282"/>
      <c r="AL103" s="294"/>
      <c r="AM103" s="296"/>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94"/>
      <c r="BJ103" s="282"/>
      <c r="BK103" s="285"/>
      <c r="BM103" s="4">
        <f t="shared" si="1"/>
        <v>46</v>
      </c>
    </row>
    <row r="104" spans="1:65" ht="15" customHeight="1" x14ac:dyDescent="0.25">
      <c r="A104" s="284"/>
      <c r="B104" s="296"/>
      <c r="C104" s="282"/>
      <c r="D104" s="282"/>
      <c r="E104" s="282"/>
      <c r="F104" s="282"/>
      <c r="G104" s="282"/>
      <c r="H104" s="282"/>
      <c r="I104" s="282"/>
      <c r="J104" s="282"/>
      <c r="K104" s="294"/>
      <c r="L104" s="296"/>
      <c r="M104" s="282"/>
      <c r="N104" s="282"/>
      <c r="O104" s="282"/>
      <c r="P104" s="282"/>
      <c r="Q104" s="282"/>
      <c r="R104" s="282"/>
      <c r="S104" s="282"/>
      <c r="T104" s="294"/>
      <c r="U104" s="296"/>
      <c r="V104" s="282"/>
      <c r="W104" s="282"/>
      <c r="X104" s="282"/>
      <c r="Y104" s="282"/>
      <c r="Z104" s="282"/>
      <c r="AA104" s="282"/>
      <c r="AB104" s="282"/>
      <c r="AC104" s="294"/>
      <c r="AD104" s="296"/>
      <c r="AE104" s="282"/>
      <c r="AF104" s="282"/>
      <c r="AG104" s="282"/>
      <c r="AH104" s="282"/>
      <c r="AI104" s="282"/>
      <c r="AJ104" s="282"/>
      <c r="AK104" s="282"/>
      <c r="AL104" s="294"/>
      <c r="AM104" s="296"/>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94"/>
      <c r="BJ104" s="282"/>
      <c r="BK104" s="285"/>
      <c r="BM104" s="4">
        <f t="shared" si="1"/>
        <v>47</v>
      </c>
    </row>
    <row r="105" spans="1:65" ht="15" customHeight="1" x14ac:dyDescent="0.25">
      <c r="A105" s="284"/>
      <c r="B105" s="296"/>
      <c r="C105" s="282"/>
      <c r="D105" s="282"/>
      <c r="E105" s="282"/>
      <c r="F105" s="282"/>
      <c r="G105" s="282"/>
      <c r="H105" s="282"/>
      <c r="I105" s="282"/>
      <c r="J105" s="282"/>
      <c r="K105" s="294"/>
      <c r="L105" s="296"/>
      <c r="M105" s="282"/>
      <c r="N105" s="282"/>
      <c r="O105" s="282"/>
      <c r="P105" s="282"/>
      <c r="Q105" s="282"/>
      <c r="R105" s="282"/>
      <c r="S105" s="282"/>
      <c r="T105" s="294"/>
      <c r="U105" s="296"/>
      <c r="V105" s="282"/>
      <c r="W105" s="282"/>
      <c r="X105" s="282"/>
      <c r="Y105" s="282"/>
      <c r="Z105" s="282"/>
      <c r="AA105" s="282"/>
      <c r="AB105" s="282"/>
      <c r="AC105" s="294"/>
      <c r="AD105" s="296"/>
      <c r="AE105" s="282"/>
      <c r="AF105" s="282"/>
      <c r="AG105" s="282"/>
      <c r="AH105" s="282"/>
      <c r="AI105" s="282"/>
      <c r="AJ105" s="282"/>
      <c r="AK105" s="282"/>
      <c r="AL105" s="294"/>
      <c r="AM105" s="296"/>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94"/>
      <c r="BJ105" s="282"/>
      <c r="BK105" s="285"/>
      <c r="BM105" s="4">
        <f t="shared" si="1"/>
        <v>48</v>
      </c>
    </row>
    <row r="106" spans="1:65" ht="15" customHeight="1" x14ac:dyDescent="0.25">
      <c r="A106" s="284"/>
      <c r="B106" s="296"/>
      <c r="C106" s="282"/>
      <c r="D106" s="282"/>
      <c r="E106" s="282"/>
      <c r="F106" s="282"/>
      <c r="G106" s="282"/>
      <c r="H106" s="282"/>
      <c r="I106" s="282"/>
      <c r="J106" s="282"/>
      <c r="K106" s="294"/>
      <c r="L106" s="296"/>
      <c r="M106" s="282"/>
      <c r="N106" s="282"/>
      <c r="O106" s="282"/>
      <c r="P106" s="282"/>
      <c r="Q106" s="282"/>
      <c r="R106" s="282"/>
      <c r="S106" s="282"/>
      <c r="T106" s="294"/>
      <c r="U106" s="296"/>
      <c r="V106" s="282"/>
      <c r="W106" s="282"/>
      <c r="X106" s="282"/>
      <c r="Y106" s="282"/>
      <c r="Z106" s="282"/>
      <c r="AA106" s="282"/>
      <c r="AB106" s="282"/>
      <c r="AC106" s="294"/>
      <c r="AD106" s="296"/>
      <c r="AE106" s="282"/>
      <c r="AF106" s="282"/>
      <c r="AG106" s="282"/>
      <c r="AH106" s="282"/>
      <c r="AI106" s="282"/>
      <c r="AJ106" s="282"/>
      <c r="AK106" s="282"/>
      <c r="AL106" s="294"/>
      <c r="AM106" s="296"/>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94"/>
      <c r="BJ106" s="282"/>
      <c r="BK106" s="285"/>
      <c r="BM106" s="4">
        <f t="shared" si="1"/>
        <v>49</v>
      </c>
    </row>
    <row r="107" spans="1:65" ht="15" customHeight="1" x14ac:dyDescent="0.25">
      <c r="A107" s="284"/>
      <c r="B107" s="296"/>
      <c r="C107" s="282"/>
      <c r="D107" s="282"/>
      <c r="E107" s="282"/>
      <c r="F107" s="282"/>
      <c r="G107" s="282"/>
      <c r="H107" s="282"/>
      <c r="I107" s="282"/>
      <c r="J107" s="282"/>
      <c r="K107" s="294"/>
      <c r="L107" s="296"/>
      <c r="M107" s="282"/>
      <c r="N107" s="282"/>
      <c r="O107" s="282"/>
      <c r="P107" s="282"/>
      <c r="Q107" s="282"/>
      <c r="R107" s="282"/>
      <c r="S107" s="282"/>
      <c r="T107" s="294"/>
      <c r="U107" s="296"/>
      <c r="V107" s="282"/>
      <c r="W107" s="282"/>
      <c r="X107" s="282"/>
      <c r="Y107" s="282"/>
      <c r="Z107" s="282"/>
      <c r="AA107" s="282"/>
      <c r="AB107" s="282"/>
      <c r="AC107" s="294"/>
      <c r="AD107" s="296"/>
      <c r="AE107" s="282"/>
      <c r="AF107" s="282"/>
      <c r="AG107" s="282"/>
      <c r="AH107" s="282"/>
      <c r="AI107" s="282"/>
      <c r="AJ107" s="282"/>
      <c r="AK107" s="282"/>
      <c r="AL107" s="294"/>
      <c r="AM107" s="296"/>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94"/>
      <c r="BJ107" s="282"/>
      <c r="BK107" s="285"/>
      <c r="BM107" s="4">
        <f t="shared" si="1"/>
        <v>50</v>
      </c>
    </row>
    <row r="108" spans="1:65" ht="15" customHeight="1" x14ac:dyDescent="0.25">
      <c r="A108" s="284"/>
      <c r="B108" s="296"/>
      <c r="C108" s="282"/>
      <c r="D108" s="282"/>
      <c r="E108" s="282"/>
      <c r="F108" s="282"/>
      <c r="G108" s="282"/>
      <c r="H108" s="282"/>
      <c r="I108" s="282"/>
      <c r="J108" s="282"/>
      <c r="K108" s="294"/>
      <c r="L108" s="296"/>
      <c r="M108" s="282"/>
      <c r="N108" s="282"/>
      <c r="O108" s="282"/>
      <c r="P108" s="282"/>
      <c r="Q108" s="282"/>
      <c r="R108" s="282"/>
      <c r="S108" s="282"/>
      <c r="T108" s="294"/>
      <c r="U108" s="296"/>
      <c r="V108" s="282"/>
      <c r="W108" s="282"/>
      <c r="X108" s="282"/>
      <c r="Y108" s="282"/>
      <c r="Z108" s="282"/>
      <c r="AA108" s="282"/>
      <c r="AB108" s="282"/>
      <c r="AC108" s="294"/>
      <c r="AD108" s="296"/>
      <c r="AE108" s="282"/>
      <c r="AF108" s="282"/>
      <c r="AG108" s="282"/>
      <c r="AH108" s="282"/>
      <c r="AI108" s="282"/>
      <c r="AJ108" s="282"/>
      <c r="AK108" s="282"/>
      <c r="AL108" s="294"/>
      <c r="AM108" s="296"/>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94"/>
      <c r="BJ108" s="282"/>
      <c r="BK108" s="285"/>
      <c r="BM108" s="4">
        <f t="shared" si="1"/>
        <v>1</v>
      </c>
    </row>
    <row r="109" spans="1:65" ht="15" customHeight="1" x14ac:dyDescent="0.25">
      <c r="A109" s="284"/>
      <c r="B109" s="296"/>
      <c r="C109" s="282"/>
      <c r="D109" s="282"/>
      <c r="E109" s="282"/>
      <c r="F109" s="282"/>
      <c r="G109" s="282"/>
      <c r="H109" s="282"/>
      <c r="I109" s="282"/>
      <c r="J109" s="282"/>
      <c r="K109" s="294"/>
      <c r="L109" s="296"/>
      <c r="M109" s="282"/>
      <c r="N109" s="282"/>
      <c r="O109" s="282"/>
      <c r="P109" s="282"/>
      <c r="Q109" s="282"/>
      <c r="R109" s="282"/>
      <c r="S109" s="282"/>
      <c r="T109" s="294"/>
      <c r="U109" s="296"/>
      <c r="V109" s="282"/>
      <c r="W109" s="282"/>
      <c r="X109" s="282"/>
      <c r="Y109" s="282"/>
      <c r="Z109" s="282"/>
      <c r="AA109" s="282"/>
      <c r="AB109" s="282"/>
      <c r="AC109" s="294"/>
      <c r="AD109" s="296"/>
      <c r="AE109" s="282"/>
      <c r="AF109" s="282"/>
      <c r="AG109" s="282"/>
      <c r="AH109" s="282"/>
      <c r="AI109" s="282"/>
      <c r="AJ109" s="282"/>
      <c r="AK109" s="282"/>
      <c r="AL109" s="294"/>
      <c r="AM109" s="296"/>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94"/>
      <c r="BJ109" s="282"/>
      <c r="BK109" s="285"/>
      <c r="BM109" s="4">
        <f t="shared" si="1"/>
        <v>2</v>
      </c>
    </row>
    <row r="110" spans="1:65" ht="15" customHeight="1" x14ac:dyDescent="0.25">
      <c r="A110" s="284"/>
      <c r="B110" s="296"/>
      <c r="C110" s="282"/>
      <c r="D110" s="282"/>
      <c r="E110" s="282"/>
      <c r="F110" s="282"/>
      <c r="G110" s="282"/>
      <c r="H110" s="282"/>
      <c r="I110" s="282"/>
      <c r="J110" s="282"/>
      <c r="K110" s="294"/>
      <c r="L110" s="296"/>
      <c r="M110" s="282"/>
      <c r="N110" s="282"/>
      <c r="O110" s="282"/>
      <c r="P110" s="282"/>
      <c r="Q110" s="282"/>
      <c r="R110" s="282"/>
      <c r="S110" s="282"/>
      <c r="T110" s="294"/>
      <c r="U110" s="296"/>
      <c r="V110" s="282"/>
      <c r="W110" s="282"/>
      <c r="X110" s="282"/>
      <c r="Y110" s="282"/>
      <c r="Z110" s="282"/>
      <c r="AA110" s="282"/>
      <c r="AB110" s="282"/>
      <c r="AC110" s="294"/>
      <c r="AD110" s="296"/>
      <c r="AE110" s="282"/>
      <c r="AF110" s="282"/>
      <c r="AG110" s="282"/>
      <c r="AH110" s="282"/>
      <c r="AI110" s="282"/>
      <c r="AJ110" s="282"/>
      <c r="AK110" s="282"/>
      <c r="AL110" s="294"/>
      <c r="AM110" s="296"/>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94"/>
      <c r="BJ110" s="282"/>
      <c r="BK110" s="285"/>
      <c r="BM110" s="4">
        <f t="shared" si="1"/>
        <v>3</v>
      </c>
    </row>
    <row r="111" spans="1:65" ht="15" customHeight="1" x14ac:dyDescent="0.25">
      <c r="A111" s="284"/>
      <c r="B111" s="296"/>
      <c r="C111" s="282"/>
      <c r="D111" s="282"/>
      <c r="E111" s="282"/>
      <c r="F111" s="282"/>
      <c r="G111" s="282"/>
      <c r="H111" s="282"/>
      <c r="I111" s="282"/>
      <c r="J111" s="282"/>
      <c r="K111" s="294"/>
      <c r="L111" s="296"/>
      <c r="M111" s="282"/>
      <c r="N111" s="282"/>
      <c r="O111" s="282"/>
      <c r="P111" s="282"/>
      <c r="Q111" s="282"/>
      <c r="R111" s="282"/>
      <c r="S111" s="282"/>
      <c r="T111" s="294"/>
      <c r="U111" s="296"/>
      <c r="V111" s="282"/>
      <c r="W111" s="282"/>
      <c r="X111" s="282"/>
      <c r="Y111" s="282"/>
      <c r="Z111" s="282"/>
      <c r="AA111" s="282"/>
      <c r="AB111" s="282"/>
      <c r="AC111" s="294"/>
      <c r="AD111" s="296"/>
      <c r="AE111" s="282"/>
      <c r="AF111" s="282"/>
      <c r="AG111" s="282"/>
      <c r="AH111" s="282"/>
      <c r="AI111" s="282"/>
      <c r="AJ111" s="282"/>
      <c r="AK111" s="282"/>
      <c r="AL111" s="294"/>
      <c r="AM111" s="296"/>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94"/>
      <c r="BJ111" s="282"/>
      <c r="BK111" s="285"/>
      <c r="BM111" s="4">
        <f t="shared" si="1"/>
        <v>4</v>
      </c>
    </row>
    <row r="112" spans="1:65" ht="15" customHeight="1" x14ac:dyDescent="0.25">
      <c r="A112" s="284"/>
      <c r="B112" s="296"/>
      <c r="C112" s="282"/>
      <c r="D112" s="282"/>
      <c r="E112" s="282"/>
      <c r="F112" s="282"/>
      <c r="G112" s="282"/>
      <c r="H112" s="282"/>
      <c r="I112" s="282"/>
      <c r="J112" s="282"/>
      <c r="K112" s="294"/>
      <c r="L112" s="296"/>
      <c r="M112" s="282"/>
      <c r="N112" s="282"/>
      <c r="O112" s="282"/>
      <c r="P112" s="282"/>
      <c r="Q112" s="282"/>
      <c r="R112" s="282"/>
      <c r="S112" s="282"/>
      <c r="T112" s="294"/>
      <c r="U112" s="296"/>
      <c r="V112" s="282"/>
      <c r="W112" s="282"/>
      <c r="X112" s="282"/>
      <c r="Y112" s="282"/>
      <c r="Z112" s="282"/>
      <c r="AA112" s="282"/>
      <c r="AB112" s="282"/>
      <c r="AC112" s="294"/>
      <c r="AD112" s="296"/>
      <c r="AE112" s="282"/>
      <c r="AF112" s="282"/>
      <c r="AG112" s="282"/>
      <c r="AH112" s="282"/>
      <c r="AI112" s="282"/>
      <c r="AJ112" s="282"/>
      <c r="AK112" s="282"/>
      <c r="AL112" s="294"/>
      <c r="AM112" s="296"/>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94"/>
      <c r="BJ112" s="282"/>
      <c r="BK112" s="285"/>
      <c r="BM112" s="4">
        <f t="shared" si="1"/>
        <v>5</v>
      </c>
    </row>
    <row r="113" spans="1:65" ht="15" customHeight="1" x14ac:dyDescent="0.25">
      <c r="A113" s="284"/>
      <c r="B113" s="296"/>
      <c r="C113" s="282"/>
      <c r="D113" s="282"/>
      <c r="E113" s="282"/>
      <c r="F113" s="282"/>
      <c r="G113" s="282"/>
      <c r="H113" s="282"/>
      <c r="I113" s="282"/>
      <c r="J113" s="282"/>
      <c r="K113" s="294"/>
      <c r="L113" s="296"/>
      <c r="M113" s="282"/>
      <c r="N113" s="282"/>
      <c r="O113" s="282"/>
      <c r="P113" s="282"/>
      <c r="Q113" s="282"/>
      <c r="R113" s="282"/>
      <c r="S113" s="282"/>
      <c r="T113" s="294"/>
      <c r="U113" s="296"/>
      <c r="V113" s="282"/>
      <c r="W113" s="282"/>
      <c r="X113" s="282"/>
      <c r="Y113" s="282"/>
      <c r="Z113" s="282"/>
      <c r="AA113" s="282"/>
      <c r="AB113" s="282"/>
      <c r="AC113" s="294"/>
      <c r="AD113" s="296"/>
      <c r="AE113" s="282"/>
      <c r="AF113" s="282"/>
      <c r="AG113" s="282"/>
      <c r="AH113" s="282"/>
      <c r="AI113" s="282"/>
      <c r="AJ113" s="282"/>
      <c r="AK113" s="282"/>
      <c r="AL113" s="294"/>
      <c r="AM113" s="296"/>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94"/>
      <c r="BJ113" s="282"/>
      <c r="BK113" s="285"/>
      <c r="BM113" s="4">
        <f t="shared" si="1"/>
        <v>6</v>
      </c>
    </row>
    <row r="114" spans="1:65" ht="15" customHeight="1" x14ac:dyDescent="0.25">
      <c r="A114" s="284"/>
      <c r="B114" s="296"/>
      <c r="C114" s="282"/>
      <c r="D114" s="282"/>
      <c r="E114" s="282"/>
      <c r="F114" s="282"/>
      <c r="G114" s="282"/>
      <c r="H114" s="282"/>
      <c r="I114" s="282"/>
      <c r="J114" s="282"/>
      <c r="K114" s="294"/>
      <c r="L114" s="296"/>
      <c r="M114" s="282"/>
      <c r="N114" s="282"/>
      <c r="O114" s="282"/>
      <c r="P114" s="282"/>
      <c r="Q114" s="282"/>
      <c r="R114" s="282"/>
      <c r="S114" s="282"/>
      <c r="T114" s="294"/>
      <c r="U114" s="296"/>
      <c r="V114" s="282"/>
      <c r="W114" s="282"/>
      <c r="X114" s="282"/>
      <c r="Y114" s="282"/>
      <c r="Z114" s="282"/>
      <c r="AA114" s="282"/>
      <c r="AB114" s="282"/>
      <c r="AC114" s="294"/>
      <c r="AD114" s="296"/>
      <c r="AE114" s="282"/>
      <c r="AF114" s="282"/>
      <c r="AG114" s="282"/>
      <c r="AH114" s="282"/>
      <c r="AI114" s="282"/>
      <c r="AJ114" s="282"/>
      <c r="AK114" s="282"/>
      <c r="AL114" s="294"/>
      <c r="AM114" s="296"/>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94"/>
      <c r="BJ114" s="282"/>
      <c r="BK114" s="285"/>
      <c r="BM114" s="4">
        <f t="shared" si="1"/>
        <v>7</v>
      </c>
    </row>
    <row r="115" spans="1:65" ht="15" customHeight="1" x14ac:dyDescent="0.25">
      <c r="A115" s="284"/>
      <c r="B115" s="296"/>
      <c r="C115" s="282"/>
      <c r="D115" s="282"/>
      <c r="E115" s="282"/>
      <c r="F115" s="282"/>
      <c r="G115" s="282"/>
      <c r="H115" s="282"/>
      <c r="I115" s="282"/>
      <c r="J115" s="282"/>
      <c r="K115" s="294"/>
      <c r="L115" s="296"/>
      <c r="M115" s="282"/>
      <c r="N115" s="282"/>
      <c r="O115" s="282"/>
      <c r="P115" s="282"/>
      <c r="Q115" s="282"/>
      <c r="R115" s="282"/>
      <c r="S115" s="282"/>
      <c r="T115" s="294"/>
      <c r="U115" s="296"/>
      <c r="V115" s="282"/>
      <c r="W115" s="282"/>
      <c r="X115" s="282"/>
      <c r="Y115" s="282"/>
      <c r="Z115" s="282"/>
      <c r="AA115" s="282"/>
      <c r="AB115" s="282"/>
      <c r="AC115" s="294"/>
      <c r="AD115" s="296"/>
      <c r="AE115" s="282"/>
      <c r="AF115" s="282"/>
      <c r="AG115" s="282"/>
      <c r="AH115" s="282"/>
      <c r="AI115" s="282"/>
      <c r="AJ115" s="282"/>
      <c r="AK115" s="282"/>
      <c r="AL115" s="294"/>
      <c r="AM115" s="296"/>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94"/>
      <c r="BJ115" s="282"/>
      <c r="BK115" s="285"/>
      <c r="BM115" s="4">
        <f t="shared" si="1"/>
        <v>8</v>
      </c>
    </row>
    <row r="116" spans="1:65" ht="15" customHeight="1" x14ac:dyDescent="0.25">
      <c r="A116" s="284"/>
      <c r="B116" s="296"/>
      <c r="C116" s="282"/>
      <c r="D116" s="282"/>
      <c r="E116" s="282"/>
      <c r="F116" s="282"/>
      <c r="G116" s="282"/>
      <c r="H116" s="282"/>
      <c r="I116" s="282"/>
      <c r="J116" s="282"/>
      <c r="K116" s="294"/>
      <c r="L116" s="296"/>
      <c r="M116" s="282"/>
      <c r="N116" s="282"/>
      <c r="O116" s="282"/>
      <c r="P116" s="282"/>
      <c r="Q116" s="282"/>
      <c r="R116" s="282"/>
      <c r="S116" s="282"/>
      <c r="T116" s="294"/>
      <c r="U116" s="296"/>
      <c r="V116" s="282"/>
      <c r="W116" s="282"/>
      <c r="X116" s="282"/>
      <c r="Y116" s="282"/>
      <c r="Z116" s="282"/>
      <c r="AA116" s="282"/>
      <c r="AB116" s="282"/>
      <c r="AC116" s="294"/>
      <c r="AD116" s="296"/>
      <c r="AE116" s="282"/>
      <c r="AF116" s="282"/>
      <c r="AG116" s="282"/>
      <c r="AH116" s="282"/>
      <c r="AI116" s="282"/>
      <c r="AJ116" s="282"/>
      <c r="AK116" s="282"/>
      <c r="AL116" s="294"/>
      <c r="AM116" s="296"/>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94"/>
      <c r="BJ116" s="282"/>
      <c r="BK116" s="285"/>
      <c r="BM116" s="4">
        <f t="shared" si="1"/>
        <v>9</v>
      </c>
    </row>
    <row r="117" spans="1:65" ht="15" customHeight="1" x14ac:dyDescent="0.25">
      <c r="A117" s="284"/>
      <c r="B117" s="296"/>
      <c r="C117" s="282"/>
      <c r="D117" s="282"/>
      <c r="E117" s="282"/>
      <c r="F117" s="282"/>
      <c r="G117" s="282"/>
      <c r="H117" s="282"/>
      <c r="I117" s="282"/>
      <c r="J117" s="282"/>
      <c r="K117" s="294"/>
      <c r="L117" s="296"/>
      <c r="M117" s="282"/>
      <c r="N117" s="282"/>
      <c r="O117" s="282"/>
      <c r="P117" s="282"/>
      <c r="Q117" s="282"/>
      <c r="R117" s="282"/>
      <c r="S117" s="282"/>
      <c r="T117" s="294"/>
      <c r="U117" s="296"/>
      <c r="V117" s="282"/>
      <c r="W117" s="282"/>
      <c r="X117" s="282"/>
      <c r="Y117" s="282"/>
      <c r="Z117" s="282"/>
      <c r="AA117" s="282"/>
      <c r="AB117" s="282"/>
      <c r="AC117" s="294"/>
      <c r="AD117" s="296"/>
      <c r="AE117" s="282"/>
      <c r="AF117" s="282"/>
      <c r="AG117" s="282"/>
      <c r="AH117" s="282"/>
      <c r="AI117" s="282"/>
      <c r="AJ117" s="282"/>
      <c r="AK117" s="282"/>
      <c r="AL117" s="294"/>
      <c r="AM117" s="296"/>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94"/>
      <c r="BJ117" s="282"/>
      <c r="BK117" s="285"/>
      <c r="BM117" s="4">
        <f t="shared" si="1"/>
        <v>10</v>
      </c>
    </row>
    <row r="118" spans="1:65" ht="15" customHeight="1" x14ac:dyDescent="0.25">
      <c r="A118" s="284"/>
      <c r="B118" s="296"/>
      <c r="C118" s="282"/>
      <c r="D118" s="282"/>
      <c r="E118" s="282"/>
      <c r="F118" s="282"/>
      <c r="G118" s="282"/>
      <c r="H118" s="282"/>
      <c r="I118" s="282"/>
      <c r="J118" s="282"/>
      <c r="K118" s="294"/>
      <c r="L118" s="296"/>
      <c r="M118" s="282"/>
      <c r="N118" s="282"/>
      <c r="O118" s="282"/>
      <c r="P118" s="282"/>
      <c r="Q118" s="282"/>
      <c r="R118" s="282"/>
      <c r="S118" s="282"/>
      <c r="T118" s="294"/>
      <c r="U118" s="296"/>
      <c r="V118" s="282"/>
      <c r="W118" s="282"/>
      <c r="X118" s="282"/>
      <c r="Y118" s="282"/>
      <c r="Z118" s="282"/>
      <c r="AA118" s="282"/>
      <c r="AB118" s="282"/>
      <c r="AC118" s="294"/>
      <c r="AD118" s="296"/>
      <c r="AE118" s="282"/>
      <c r="AF118" s="282"/>
      <c r="AG118" s="282"/>
      <c r="AH118" s="282"/>
      <c r="AI118" s="282"/>
      <c r="AJ118" s="282"/>
      <c r="AK118" s="282"/>
      <c r="AL118" s="294"/>
      <c r="AM118" s="296"/>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94"/>
      <c r="BJ118" s="282"/>
      <c r="BK118" s="285"/>
      <c r="BM118" s="4">
        <f t="shared" si="1"/>
        <v>11</v>
      </c>
    </row>
    <row r="119" spans="1:65" ht="15" customHeight="1" x14ac:dyDescent="0.25">
      <c r="A119" s="284"/>
      <c r="B119" s="296"/>
      <c r="C119" s="282"/>
      <c r="D119" s="282"/>
      <c r="E119" s="282"/>
      <c r="F119" s="282"/>
      <c r="G119" s="282"/>
      <c r="H119" s="282"/>
      <c r="I119" s="282"/>
      <c r="J119" s="282"/>
      <c r="K119" s="294"/>
      <c r="L119" s="296"/>
      <c r="M119" s="282"/>
      <c r="N119" s="282"/>
      <c r="O119" s="282"/>
      <c r="P119" s="282"/>
      <c r="Q119" s="282"/>
      <c r="R119" s="282"/>
      <c r="S119" s="282"/>
      <c r="T119" s="294"/>
      <c r="U119" s="296"/>
      <c r="V119" s="282"/>
      <c r="W119" s="282"/>
      <c r="X119" s="282"/>
      <c r="Y119" s="282"/>
      <c r="Z119" s="282"/>
      <c r="AA119" s="282"/>
      <c r="AB119" s="282"/>
      <c r="AC119" s="294"/>
      <c r="AD119" s="296"/>
      <c r="AE119" s="282"/>
      <c r="AF119" s="282"/>
      <c r="AG119" s="282"/>
      <c r="AH119" s="282"/>
      <c r="AI119" s="282"/>
      <c r="AJ119" s="282"/>
      <c r="AK119" s="282"/>
      <c r="AL119" s="294"/>
      <c r="AM119" s="296"/>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94"/>
      <c r="BJ119" s="282"/>
      <c r="BK119" s="285"/>
      <c r="BM119" s="4">
        <f t="shared" si="1"/>
        <v>12</v>
      </c>
    </row>
    <row r="120" spans="1:65" ht="15" customHeight="1" x14ac:dyDescent="0.25">
      <c r="A120" s="284"/>
      <c r="B120" s="297" t="s">
        <v>36</v>
      </c>
      <c r="C120" s="298"/>
      <c r="D120" s="298"/>
      <c r="E120" s="298"/>
      <c r="F120" s="298"/>
      <c r="G120" s="298"/>
      <c r="H120" s="298"/>
      <c r="I120" s="298"/>
      <c r="J120" s="298"/>
      <c r="K120" s="299"/>
      <c r="L120" s="297"/>
      <c r="M120" s="298"/>
      <c r="N120" s="298"/>
      <c r="O120" s="298"/>
      <c r="P120" s="298"/>
      <c r="Q120" s="298"/>
      <c r="R120" s="298"/>
      <c r="S120" s="298"/>
      <c r="T120" s="299"/>
      <c r="U120" s="297"/>
      <c r="V120" s="298"/>
      <c r="W120" s="298"/>
      <c r="X120" s="298"/>
      <c r="Y120" s="298"/>
      <c r="Z120" s="298"/>
      <c r="AA120" s="298"/>
      <c r="AB120" s="298"/>
      <c r="AC120" s="299"/>
      <c r="AD120" s="297"/>
      <c r="AE120" s="298"/>
      <c r="AF120" s="298"/>
      <c r="AG120" s="298"/>
      <c r="AH120" s="298"/>
      <c r="AI120" s="298"/>
      <c r="AJ120" s="298"/>
      <c r="AK120" s="298"/>
      <c r="AL120" s="299"/>
      <c r="AM120" s="297"/>
      <c r="AN120" s="298"/>
      <c r="AO120" s="298"/>
      <c r="AP120" s="298"/>
      <c r="AQ120" s="298"/>
      <c r="AR120" s="298"/>
      <c r="AS120" s="298"/>
      <c r="AT120" s="298"/>
      <c r="AU120" s="298"/>
      <c r="AV120" s="298"/>
      <c r="AW120" s="298"/>
      <c r="AX120" s="298"/>
      <c r="AY120" s="298"/>
      <c r="AZ120" s="298"/>
      <c r="BA120" s="298"/>
      <c r="BB120" s="298"/>
      <c r="BC120" s="298"/>
      <c r="BD120" s="298"/>
      <c r="BE120" s="298"/>
      <c r="BF120" s="298"/>
      <c r="BG120" s="298"/>
      <c r="BH120" s="298"/>
      <c r="BI120" s="299"/>
      <c r="BJ120" s="298"/>
      <c r="BK120" s="285"/>
      <c r="BM120" s="4">
        <f t="shared" si="1"/>
        <v>13</v>
      </c>
    </row>
    <row r="121" spans="1:65" ht="15" customHeight="1" x14ac:dyDescent="0.25">
      <c r="A121" s="284"/>
      <c r="B121" s="296"/>
      <c r="C121" s="282"/>
      <c r="D121" s="282"/>
      <c r="E121" s="282"/>
      <c r="F121" s="282"/>
      <c r="G121" s="282"/>
      <c r="H121" s="282"/>
      <c r="I121" s="282"/>
      <c r="J121" s="282"/>
      <c r="K121" s="294"/>
      <c r="L121" s="296"/>
      <c r="M121" s="282"/>
      <c r="N121" s="282"/>
      <c r="O121" s="282"/>
      <c r="P121" s="282"/>
      <c r="Q121" s="282"/>
      <c r="R121" s="282"/>
      <c r="S121" s="282"/>
      <c r="T121" s="294"/>
      <c r="U121" s="296"/>
      <c r="V121" s="282"/>
      <c r="W121" s="282"/>
      <c r="X121" s="282"/>
      <c r="Y121" s="282"/>
      <c r="Z121" s="282"/>
      <c r="AA121" s="282"/>
      <c r="AB121" s="282"/>
      <c r="AC121" s="294"/>
      <c r="AD121" s="296"/>
      <c r="AE121" s="282"/>
      <c r="AF121" s="282"/>
      <c r="AG121" s="282"/>
      <c r="AH121" s="282"/>
      <c r="AI121" s="282"/>
      <c r="AJ121" s="282"/>
      <c r="AK121" s="282"/>
      <c r="AL121" s="294"/>
      <c r="AM121" s="296"/>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94"/>
      <c r="BJ121" s="282"/>
      <c r="BK121" s="285"/>
      <c r="BM121" s="4">
        <f t="shared" si="1"/>
        <v>14</v>
      </c>
    </row>
    <row r="122" spans="1:65" ht="15" customHeight="1" x14ac:dyDescent="0.25">
      <c r="A122" s="284"/>
      <c r="B122" s="296"/>
      <c r="C122" s="282"/>
      <c r="D122" s="282"/>
      <c r="E122" s="282"/>
      <c r="F122" s="282"/>
      <c r="G122" s="282"/>
      <c r="H122" s="282"/>
      <c r="I122" s="282"/>
      <c r="J122" s="282"/>
      <c r="K122" s="294"/>
      <c r="L122" s="296"/>
      <c r="M122" s="282"/>
      <c r="N122" s="282"/>
      <c r="O122" s="282"/>
      <c r="P122" s="282"/>
      <c r="Q122" s="282"/>
      <c r="R122" s="282"/>
      <c r="S122" s="282"/>
      <c r="T122" s="294"/>
      <c r="U122" s="296"/>
      <c r="V122" s="282"/>
      <c r="W122" s="282"/>
      <c r="X122" s="282"/>
      <c r="Y122" s="282"/>
      <c r="Z122" s="282"/>
      <c r="AA122" s="282"/>
      <c r="AB122" s="282"/>
      <c r="AC122" s="294"/>
      <c r="AD122" s="296"/>
      <c r="AE122" s="282"/>
      <c r="AF122" s="282"/>
      <c r="AG122" s="282"/>
      <c r="AH122" s="282"/>
      <c r="AI122" s="282"/>
      <c r="AJ122" s="282"/>
      <c r="AK122" s="282"/>
      <c r="AL122" s="294"/>
      <c r="AM122" s="296"/>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94"/>
      <c r="BJ122" s="282"/>
      <c r="BK122" s="285"/>
      <c r="BM122" s="4">
        <f t="shared" si="1"/>
        <v>15</v>
      </c>
    </row>
    <row r="123" spans="1:65" ht="15" customHeight="1" x14ac:dyDescent="0.25">
      <c r="A123" s="284"/>
      <c r="B123" s="296"/>
      <c r="C123" s="282"/>
      <c r="D123" s="282"/>
      <c r="E123" s="282"/>
      <c r="F123" s="282"/>
      <c r="G123" s="282"/>
      <c r="H123" s="282"/>
      <c r="I123" s="282"/>
      <c r="J123" s="282"/>
      <c r="K123" s="294"/>
      <c r="L123" s="296"/>
      <c r="M123" s="282"/>
      <c r="N123" s="282"/>
      <c r="O123" s="282"/>
      <c r="P123" s="282"/>
      <c r="Q123" s="282"/>
      <c r="R123" s="282"/>
      <c r="S123" s="282"/>
      <c r="T123" s="294"/>
      <c r="U123" s="296"/>
      <c r="V123" s="282"/>
      <c r="W123" s="282"/>
      <c r="X123" s="282"/>
      <c r="Y123" s="282"/>
      <c r="Z123" s="282"/>
      <c r="AA123" s="282"/>
      <c r="AB123" s="282"/>
      <c r="AC123" s="294"/>
      <c r="AD123" s="296"/>
      <c r="AE123" s="282"/>
      <c r="AF123" s="282"/>
      <c r="AG123" s="282"/>
      <c r="AH123" s="282"/>
      <c r="AI123" s="282"/>
      <c r="AJ123" s="282"/>
      <c r="AK123" s="282"/>
      <c r="AL123" s="294"/>
      <c r="AM123" s="296"/>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94"/>
      <c r="BJ123" s="282"/>
      <c r="BK123" s="285"/>
      <c r="BM123" s="4">
        <f t="shared" si="1"/>
        <v>16</v>
      </c>
    </row>
    <row r="124" spans="1:65" ht="15" customHeight="1" x14ac:dyDescent="0.25">
      <c r="A124" s="284"/>
      <c r="B124" s="296"/>
      <c r="C124" s="282"/>
      <c r="D124" s="282"/>
      <c r="E124" s="282"/>
      <c r="F124" s="282"/>
      <c r="G124" s="282"/>
      <c r="H124" s="282"/>
      <c r="I124" s="282"/>
      <c r="J124" s="282"/>
      <c r="K124" s="294"/>
      <c r="L124" s="296"/>
      <c r="M124" s="282"/>
      <c r="N124" s="282"/>
      <c r="O124" s="282"/>
      <c r="P124" s="282"/>
      <c r="Q124" s="282"/>
      <c r="R124" s="282"/>
      <c r="S124" s="282"/>
      <c r="T124" s="294"/>
      <c r="U124" s="296"/>
      <c r="V124" s="282"/>
      <c r="W124" s="282"/>
      <c r="X124" s="282"/>
      <c r="Y124" s="282"/>
      <c r="Z124" s="282"/>
      <c r="AA124" s="282"/>
      <c r="AB124" s="282"/>
      <c r="AC124" s="294"/>
      <c r="AD124" s="296"/>
      <c r="AE124" s="282"/>
      <c r="AF124" s="282"/>
      <c r="AG124" s="282"/>
      <c r="AH124" s="282"/>
      <c r="AI124" s="282"/>
      <c r="AJ124" s="282"/>
      <c r="AK124" s="282"/>
      <c r="AL124" s="294"/>
      <c r="AM124" s="296"/>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94"/>
      <c r="BJ124" s="282"/>
      <c r="BK124" s="285"/>
      <c r="BM124" s="4">
        <f t="shared" si="1"/>
        <v>17</v>
      </c>
    </row>
    <row r="125" spans="1:65" ht="15" customHeight="1" x14ac:dyDescent="0.25">
      <c r="A125" s="284"/>
      <c r="B125" s="296"/>
      <c r="C125" s="282"/>
      <c r="D125" s="282"/>
      <c r="E125" s="282"/>
      <c r="F125" s="282"/>
      <c r="G125" s="282"/>
      <c r="H125" s="282"/>
      <c r="I125" s="282"/>
      <c r="J125" s="282"/>
      <c r="K125" s="294"/>
      <c r="L125" s="296"/>
      <c r="M125" s="282"/>
      <c r="N125" s="282"/>
      <c r="O125" s="282"/>
      <c r="P125" s="282"/>
      <c r="Q125" s="282"/>
      <c r="R125" s="282"/>
      <c r="S125" s="282"/>
      <c r="T125" s="294"/>
      <c r="U125" s="296"/>
      <c r="V125" s="282"/>
      <c r="W125" s="282"/>
      <c r="X125" s="282"/>
      <c r="Y125" s="282"/>
      <c r="Z125" s="282"/>
      <c r="AA125" s="282"/>
      <c r="AB125" s="282"/>
      <c r="AC125" s="294"/>
      <c r="AD125" s="296"/>
      <c r="AE125" s="282"/>
      <c r="AF125" s="282"/>
      <c r="AG125" s="282"/>
      <c r="AH125" s="282"/>
      <c r="AI125" s="282"/>
      <c r="AJ125" s="282"/>
      <c r="AK125" s="282"/>
      <c r="AL125" s="294"/>
      <c r="AM125" s="296"/>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94"/>
      <c r="BJ125" s="282"/>
      <c r="BK125" s="285"/>
      <c r="BM125" s="4">
        <f t="shared" si="1"/>
        <v>18</v>
      </c>
    </row>
    <row r="126" spans="1:65" ht="15" customHeight="1" x14ac:dyDescent="0.25">
      <c r="A126" s="284"/>
      <c r="B126" s="296"/>
      <c r="C126" s="282"/>
      <c r="D126" s="282"/>
      <c r="E126" s="282"/>
      <c r="F126" s="282"/>
      <c r="G126" s="282"/>
      <c r="H126" s="282"/>
      <c r="I126" s="282"/>
      <c r="J126" s="282"/>
      <c r="K126" s="294"/>
      <c r="L126" s="296"/>
      <c r="M126" s="282"/>
      <c r="N126" s="282"/>
      <c r="O126" s="282"/>
      <c r="P126" s="282"/>
      <c r="Q126" s="282"/>
      <c r="R126" s="282"/>
      <c r="S126" s="282"/>
      <c r="T126" s="294"/>
      <c r="U126" s="296"/>
      <c r="V126" s="282"/>
      <c r="W126" s="282"/>
      <c r="X126" s="282"/>
      <c r="Y126" s="282"/>
      <c r="Z126" s="282"/>
      <c r="AA126" s="282"/>
      <c r="AB126" s="282"/>
      <c r="AC126" s="294"/>
      <c r="AD126" s="296"/>
      <c r="AE126" s="282"/>
      <c r="AF126" s="282"/>
      <c r="AG126" s="282"/>
      <c r="AH126" s="282"/>
      <c r="AI126" s="282"/>
      <c r="AJ126" s="282"/>
      <c r="AK126" s="282"/>
      <c r="AL126" s="294"/>
      <c r="AM126" s="296"/>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94"/>
      <c r="BJ126" s="282"/>
      <c r="BK126" s="285"/>
      <c r="BM126" s="4">
        <f t="shared" si="1"/>
        <v>19</v>
      </c>
    </row>
    <row r="127" spans="1:65" ht="15" customHeight="1" x14ac:dyDescent="0.25">
      <c r="A127" s="284"/>
      <c r="B127" s="296"/>
      <c r="C127" s="282"/>
      <c r="D127" s="282"/>
      <c r="E127" s="282"/>
      <c r="F127" s="282"/>
      <c r="G127" s="282"/>
      <c r="H127" s="282"/>
      <c r="I127" s="282"/>
      <c r="J127" s="282"/>
      <c r="K127" s="294"/>
      <c r="L127" s="296"/>
      <c r="M127" s="282"/>
      <c r="N127" s="282"/>
      <c r="O127" s="282"/>
      <c r="P127" s="282"/>
      <c r="Q127" s="282"/>
      <c r="R127" s="282"/>
      <c r="S127" s="282"/>
      <c r="T127" s="294"/>
      <c r="U127" s="296"/>
      <c r="V127" s="282"/>
      <c r="W127" s="282"/>
      <c r="X127" s="282"/>
      <c r="Y127" s="282"/>
      <c r="Z127" s="282"/>
      <c r="AA127" s="282"/>
      <c r="AB127" s="282"/>
      <c r="AC127" s="294"/>
      <c r="AD127" s="296"/>
      <c r="AE127" s="282"/>
      <c r="AF127" s="282"/>
      <c r="AG127" s="282"/>
      <c r="AH127" s="282"/>
      <c r="AI127" s="282"/>
      <c r="AJ127" s="282"/>
      <c r="AK127" s="282"/>
      <c r="AL127" s="294"/>
      <c r="AM127" s="296"/>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94"/>
      <c r="BJ127" s="282"/>
      <c r="BK127" s="285"/>
      <c r="BM127" s="4">
        <f t="shared" si="1"/>
        <v>20</v>
      </c>
    </row>
    <row r="128" spans="1:65" ht="15" customHeight="1" x14ac:dyDescent="0.25">
      <c r="A128" s="284"/>
      <c r="B128" s="296"/>
      <c r="C128" s="282"/>
      <c r="D128" s="282"/>
      <c r="E128" s="282"/>
      <c r="F128" s="282"/>
      <c r="G128" s="282"/>
      <c r="H128" s="282"/>
      <c r="I128" s="282"/>
      <c r="J128" s="282"/>
      <c r="K128" s="294"/>
      <c r="L128" s="296"/>
      <c r="M128" s="282"/>
      <c r="N128" s="282"/>
      <c r="O128" s="282"/>
      <c r="P128" s="282"/>
      <c r="Q128" s="282"/>
      <c r="R128" s="282"/>
      <c r="S128" s="282"/>
      <c r="T128" s="294"/>
      <c r="U128" s="296"/>
      <c r="V128" s="282"/>
      <c r="W128" s="282"/>
      <c r="X128" s="282"/>
      <c r="Y128" s="282"/>
      <c r="Z128" s="282"/>
      <c r="AA128" s="282"/>
      <c r="AB128" s="282"/>
      <c r="AC128" s="294"/>
      <c r="AD128" s="296"/>
      <c r="AE128" s="282"/>
      <c r="AF128" s="282"/>
      <c r="AG128" s="282"/>
      <c r="AH128" s="282"/>
      <c r="AI128" s="282"/>
      <c r="AJ128" s="282"/>
      <c r="AK128" s="282"/>
      <c r="AL128" s="294"/>
      <c r="AM128" s="296"/>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94"/>
      <c r="BJ128" s="282"/>
      <c r="BK128" s="285"/>
      <c r="BM128" s="4">
        <f t="shared" si="1"/>
        <v>21</v>
      </c>
    </row>
    <row r="129" spans="1:65" ht="15" customHeight="1" x14ac:dyDescent="0.25">
      <c r="A129" s="284"/>
      <c r="B129" s="296"/>
      <c r="C129" s="282"/>
      <c r="D129" s="282"/>
      <c r="E129" s="282"/>
      <c r="F129" s="282"/>
      <c r="G129" s="282"/>
      <c r="H129" s="282"/>
      <c r="I129" s="282"/>
      <c r="J129" s="282"/>
      <c r="K129" s="294"/>
      <c r="L129" s="296"/>
      <c r="M129" s="282"/>
      <c r="N129" s="282"/>
      <c r="O129" s="282"/>
      <c r="P129" s="282"/>
      <c r="Q129" s="282"/>
      <c r="R129" s="282"/>
      <c r="S129" s="282"/>
      <c r="T129" s="294"/>
      <c r="U129" s="296"/>
      <c r="V129" s="282"/>
      <c r="W129" s="282"/>
      <c r="X129" s="282"/>
      <c r="Y129" s="282"/>
      <c r="Z129" s="282"/>
      <c r="AA129" s="282"/>
      <c r="AB129" s="282"/>
      <c r="AC129" s="294"/>
      <c r="AD129" s="296"/>
      <c r="AE129" s="282"/>
      <c r="AF129" s="282"/>
      <c r="AG129" s="282"/>
      <c r="AH129" s="282"/>
      <c r="AI129" s="282"/>
      <c r="AJ129" s="282"/>
      <c r="AK129" s="282"/>
      <c r="AL129" s="294"/>
      <c r="AM129" s="296"/>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94"/>
      <c r="BJ129" s="282"/>
      <c r="BK129" s="285"/>
      <c r="BM129" s="4">
        <f t="shared" si="1"/>
        <v>22</v>
      </c>
    </row>
    <row r="130" spans="1:65" ht="15" customHeight="1" x14ac:dyDescent="0.25">
      <c r="A130" s="284"/>
      <c r="B130" s="296"/>
      <c r="C130" s="282"/>
      <c r="D130" s="282"/>
      <c r="E130" s="282"/>
      <c r="F130" s="282"/>
      <c r="G130" s="282"/>
      <c r="H130" s="282"/>
      <c r="I130" s="282"/>
      <c r="J130" s="282"/>
      <c r="K130" s="294"/>
      <c r="L130" s="296"/>
      <c r="M130" s="282"/>
      <c r="N130" s="282"/>
      <c r="O130" s="282"/>
      <c r="P130" s="282"/>
      <c r="Q130" s="282"/>
      <c r="R130" s="282"/>
      <c r="S130" s="282"/>
      <c r="T130" s="294"/>
      <c r="U130" s="296"/>
      <c r="V130" s="282"/>
      <c r="W130" s="282"/>
      <c r="X130" s="282"/>
      <c r="Y130" s="282"/>
      <c r="Z130" s="282"/>
      <c r="AA130" s="282"/>
      <c r="AB130" s="282"/>
      <c r="AC130" s="294"/>
      <c r="AD130" s="296"/>
      <c r="AE130" s="282"/>
      <c r="AF130" s="282"/>
      <c r="AG130" s="282"/>
      <c r="AH130" s="282"/>
      <c r="AI130" s="282"/>
      <c r="AJ130" s="282"/>
      <c r="AK130" s="282"/>
      <c r="AL130" s="294"/>
      <c r="AM130" s="296"/>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94"/>
      <c r="BJ130" s="282"/>
      <c r="BK130" s="285"/>
      <c r="BM130" s="4">
        <f t="shared" si="1"/>
        <v>23</v>
      </c>
    </row>
    <row r="131" spans="1:65" ht="15" customHeight="1" x14ac:dyDescent="0.25">
      <c r="A131" s="284"/>
      <c r="B131" s="296"/>
      <c r="C131" s="282"/>
      <c r="D131" s="282"/>
      <c r="E131" s="282"/>
      <c r="F131" s="282"/>
      <c r="G131" s="282"/>
      <c r="H131" s="282"/>
      <c r="I131" s="282"/>
      <c r="J131" s="282"/>
      <c r="K131" s="294"/>
      <c r="L131" s="296"/>
      <c r="M131" s="282"/>
      <c r="N131" s="282"/>
      <c r="O131" s="282"/>
      <c r="P131" s="282"/>
      <c r="Q131" s="282"/>
      <c r="R131" s="282"/>
      <c r="S131" s="282"/>
      <c r="T131" s="294"/>
      <c r="U131" s="296"/>
      <c r="V131" s="282"/>
      <c r="W131" s="282"/>
      <c r="X131" s="282"/>
      <c r="Y131" s="282"/>
      <c r="Z131" s="282"/>
      <c r="AA131" s="282"/>
      <c r="AB131" s="282"/>
      <c r="AC131" s="294"/>
      <c r="AD131" s="296"/>
      <c r="AE131" s="282"/>
      <c r="AF131" s="282"/>
      <c r="AG131" s="282"/>
      <c r="AH131" s="282"/>
      <c r="AI131" s="282"/>
      <c r="AJ131" s="282"/>
      <c r="AK131" s="282"/>
      <c r="AL131" s="294"/>
      <c r="AM131" s="296"/>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94"/>
      <c r="BJ131" s="282"/>
      <c r="BK131" s="285"/>
      <c r="BM131" s="4">
        <f t="shared" si="1"/>
        <v>24</v>
      </c>
    </row>
    <row r="132" spans="1:65" ht="15" customHeight="1" x14ac:dyDescent="0.25">
      <c r="A132" s="284"/>
      <c r="B132" s="296"/>
      <c r="C132" s="282"/>
      <c r="D132" s="282"/>
      <c r="E132" s="282"/>
      <c r="F132" s="282"/>
      <c r="G132" s="282"/>
      <c r="H132" s="282"/>
      <c r="I132" s="282"/>
      <c r="J132" s="282"/>
      <c r="K132" s="294"/>
      <c r="L132" s="296"/>
      <c r="M132" s="282"/>
      <c r="N132" s="282"/>
      <c r="O132" s="282"/>
      <c r="P132" s="282"/>
      <c r="Q132" s="282"/>
      <c r="R132" s="282"/>
      <c r="S132" s="282"/>
      <c r="T132" s="294"/>
      <c r="U132" s="296"/>
      <c r="V132" s="282"/>
      <c r="W132" s="282"/>
      <c r="X132" s="282"/>
      <c r="Y132" s="282"/>
      <c r="Z132" s="282"/>
      <c r="AA132" s="282"/>
      <c r="AB132" s="282"/>
      <c r="AC132" s="294"/>
      <c r="AD132" s="296"/>
      <c r="AE132" s="282"/>
      <c r="AF132" s="282"/>
      <c r="AG132" s="282"/>
      <c r="AH132" s="282"/>
      <c r="AI132" s="282"/>
      <c r="AJ132" s="282"/>
      <c r="AK132" s="282"/>
      <c r="AL132" s="294"/>
      <c r="AM132" s="296"/>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94"/>
      <c r="BJ132" s="282"/>
      <c r="BK132" s="285"/>
      <c r="BM132" s="4">
        <f t="shared" si="1"/>
        <v>25</v>
      </c>
    </row>
    <row r="133" spans="1:65" ht="15" customHeight="1" x14ac:dyDescent="0.25">
      <c r="A133" s="284"/>
      <c r="B133" s="296"/>
      <c r="C133" s="282"/>
      <c r="D133" s="282"/>
      <c r="E133" s="282"/>
      <c r="F133" s="282"/>
      <c r="G133" s="282"/>
      <c r="H133" s="282"/>
      <c r="I133" s="282"/>
      <c r="J133" s="282"/>
      <c r="K133" s="294"/>
      <c r="L133" s="296"/>
      <c r="M133" s="282"/>
      <c r="N133" s="282"/>
      <c r="O133" s="282"/>
      <c r="P133" s="282"/>
      <c r="Q133" s="282"/>
      <c r="R133" s="282"/>
      <c r="S133" s="282"/>
      <c r="T133" s="294"/>
      <c r="U133" s="296"/>
      <c r="V133" s="282"/>
      <c r="W133" s="282"/>
      <c r="X133" s="282"/>
      <c r="Y133" s="282"/>
      <c r="Z133" s="282"/>
      <c r="AA133" s="282"/>
      <c r="AB133" s="282"/>
      <c r="AC133" s="294"/>
      <c r="AD133" s="296"/>
      <c r="AE133" s="282"/>
      <c r="AF133" s="282"/>
      <c r="AG133" s="282"/>
      <c r="AH133" s="282"/>
      <c r="AI133" s="282"/>
      <c r="AJ133" s="282"/>
      <c r="AK133" s="282"/>
      <c r="AL133" s="294"/>
      <c r="AM133" s="296"/>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94"/>
      <c r="BJ133" s="282"/>
      <c r="BK133" s="285"/>
      <c r="BM133" s="4">
        <f t="shared" si="1"/>
        <v>26</v>
      </c>
    </row>
    <row r="134" spans="1:65" ht="15" customHeight="1" x14ac:dyDescent="0.25">
      <c r="A134" s="284"/>
      <c r="B134" s="296"/>
      <c r="C134" s="282"/>
      <c r="D134" s="282"/>
      <c r="E134" s="282"/>
      <c r="F134" s="282"/>
      <c r="G134" s="282"/>
      <c r="H134" s="282"/>
      <c r="I134" s="282"/>
      <c r="J134" s="282"/>
      <c r="K134" s="294"/>
      <c r="L134" s="296"/>
      <c r="M134" s="282"/>
      <c r="N134" s="282"/>
      <c r="O134" s="282"/>
      <c r="P134" s="282"/>
      <c r="Q134" s="282"/>
      <c r="R134" s="282"/>
      <c r="S134" s="282"/>
      <c r="T134" s="294"/>
      <c r="U134" s="296"/>
      <c r="V134" s="282"/>
      <c r="W134" s="282"/>
      <c r="X134" s="282"/>
      <c r="Y134" s="282"/>
      <c r="Z134" s="282"/>
      <c r="AA134" s="282"/>
      <c r="AB134" s="282"/>
      <c r="AC134" s="294"/>
      <c r="AD134" s="296"/>
      <c r="AE134" s="282"/>
      <c r="AF134" s="282"/>
      <c r="AG134" s="282"/>
      <c r="AH134" s="282"/>
      <c r="AI134" s="282"/>
      <c r="AJ134" s="282"/>
      <c r="AK134" s="282"/>
      <c r="AL134" s="294"/>
      <c r="AM134" s="296"/>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94"/>
      <c r="BJ134" s="282"/>
      <c r="BK134" s="285"/>
      <c r="BM134" s="4">
        <f t="shared" si="1"/>
        <v>27</v>
      </c>
    </row>
    <row r="135" spans="1:65" ht="15" customHeight="1" x14ac:dyDescent="0.25">
      <c r="A135" s="284"/>
      <c r="B135" s="296"/>
      <c r="C135" s="282"/>
      <c r="D135" s="282"/>
      <c r="E135" s="282"/>
      <c r="F135" s="282"/>
      <c r="G135" s="282"/>
      <c r="H135" s="282"/>
      <c r="I135" s="282"/>
      <c r="J135" s="282"/>
      <c r="K135" s="294"/>
      <c r="L135" s="296"/>
      <c r="M135" s="282"/>
      <c r="N135" s="282"/>
      <c r="O135" s="282"/>
      <c r="P135" s="282"/>
      <c r="Q135" s="282"/>
      <c r="R135" s="282"/>
      <c r="S135" s="282"/>
      <c r="T135" s="294"/>
      <c r="U135" s="296"/>
      <c r="V135" s="282"/>
      <c r="W135" s="282"/>
      <c r="X135" s="282"/>
      <c r="Y135" s="282"/>
      <c r="Z135" s="282"/>
      <c r="AA135" s="282"/>
      <c r="AB135" s="282"/>
      <c r="AC135" s="294"/>
      <c r="AD135" s="296"/>
      <c r="AE135" s="282"/>
      <c r="AF135" s="282"/>
      <c r="AG135" s="282"/>
      <c r="AH135" s="282"/>
      <c r="AI135" s="282"/>
      <c r="AJ135" s="282"/>
      <c r="AK135" s="282"/>
      <c r="AL135" s="294"/>
      <c r="AM135" s="296"/>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94"/>
      <c r="BJ135" s="282"/>
      <c r="BK135" s="285"/>
      <c r="BM135" s="4">
        <f t="shared" si="1"/>
        <v>28</v>
      </c>
    </row>
    <row r="136" spans="1:65" ht="15" customHeight="1" x14ac:dyDescent="0.25">
      <c r="A136" s="284"/>
      <c r="B136" s="296"/>
      <c r="C136" s="282"/>
      <c r="D136" s="282"/>
      <c r="E136" s="282"/>
      <c r="F136" s="282"/>
      <c r="G136" s="282"/>
      <c r="H136" s="282"/>
      <c r="I136" s="282"/>
      <c r="J136" s="282"/>
      <c r="K136" s="294"/>
      <c r="L136" s="296"/>
      <c r="M136" s="282"/>
      <c r="N136" s="282"/>
      <c r="O136" s="282"/>
      <c r="P136" s="282"/>
      <c r="Q136" s="282"/>
      <c r="R136" s="282"/>
      <c r="S136" s="282"/>
      <c r="T136" s="294"/>
      <c r="U136" s="296"/>
      <c r="V136" s="282"/>
      <c r="W136" s="282"/>
      <c r="X136" s="282"/>
      <c r="Y136" s="282"/>
      <c r="Z136" s="282"/>
      <c r="AA136" s="282"/>
      <c r="AB136" s="282"/>
      <c r="AC136" s="294"/>
      <c r="AD136" s="296"/>
      <c r="AE136" s="282"/>
      <c r="AF136" s="282"/>
      <c r="AG136" s="282"/>
      <c r="AH136" s="282"/>
      <c r="AI136" s="282"/>
      <c r="AJ136" s="282"/>
      <c r="AK136" s="282"/>
      <c r="AL136" s="294"/>
      <c r="AM136" s="296"/>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94"/>
      <c r="BJ136" s="282"/>
      <c r="BK136" s="285"/>
      <c r="BM136" s="4">
        <f t="shared" ref="BM136:BM199" si="2">IF(BM135=50,1,BM135+1)</f>
        <v>29</v>
      </c>
    </row>
    <row r="137" spans="1:65" ht="15" customHeight="1" x14ac:dyDescent="0.25">
      <c r="A137" s="284"/>
      <c r="B137" s="296"/>
      <c r="C137" s="282"/>
      <c r="D137" s="282"/>
      <c r="E137" s="282"/>
      <c r="F137" s="282"/>
      <c r="G137" s="282"/>
      <c r="H137" s="282"/>
      <c r="I137" s="282"/>
      <c r="J137" s="282"/>
      <c r="K137" s="294"/>
      <c r="L137" s="296"/>
      <c r="M137" s="282"/>
      <c r="N137" s="282"/>
      <c r="O137" s="282"/>
      <c r="P137" s="282"/>
      <c r="Q137" s="282"/>
      <c r="R137" s="282"/>
      <c r="S137" s="282"/>
      <c r="T137" s="294"/>
      <c r="U137" s="296"/>
      <c r="V137" s="282"/>
      <c r="W137" s="282"/>
      <c r="X137" s="282"/>
      <c r="Y137" s="282"/>
      <c r="Z137" s="282"/>
      <c r="AA137" s="282"/>
      <c r="AB137" s="282"/>
      <c r="AC137" s="294"/>
      <c r="AD137" s="296"/>
      <c r="AE137" s="282"/>
      <c r="AF137" s="282"/>
      <c r="AG137" s="282"/>
      <c r="AH137" s="282"/>
      <c r="AI137" s="282"/>
      <c r="AJ137" s="282"/>
      <c r="AK137" s="282"/>
      <c r="AL137" s="294"/>
      <c r="AM137" s="296"/>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94"/>
      <c r="BJ137" s="282"/>
      <c r="BK137" s="285"/>
      <c r="BM137" s="4">
        <f t="shared" si="2"/>
        <v>30</v>
      </c>
    </row>
    <row r="138" spans="1:65" ht="15" customHeight="1" x14ac:dyDescent="0.25">
      <c r="A138" s="284"/>
      <c r="B138" s="296"/>
      <c r="C138" s="282"/>
      <c r="D138" s="282"/>
      <c r="E138" s="282"/>
      <c r="F138" s="282"/>
      <c r="G138" s="282"/>
      <c r="H138" s="282"/>
      <c r="I138" s="282"/>
      <c r="J138" s="282"/>
      <c r="K138" s="294"/>
      <c r="L138" s="296"/>
      <c r="M138" s="282"/>
      <c r="N138" s="282"/>
      <c r="O138" s="282"/>
      <c r="P138" s="282"/>
      <c r="Q138" s="282"/>
      <c r="R138" s="282"/>
      <c r="S138" s="282"/>
      <c r="T138" s="294"/>
      <c r="U138" s="296"/>
      <c r="V138" s="282"/>
      <c r="W138" s="282"/>
      <c r="X138" s="282"/>
      <c r="Y138" s="282"/>
      <c r="Z138" s="282"/>
      <c r="AA138" s="282"/>
      <c r="AB138" s="282"/>
      <c r="AC138" s="294"/>
      <c r="AD138" s="296"/>
      <c r="AE138" s="282"/>
      <c r="AF138" s="282"/>
      <c r="AG138" s="282"/>
      <c r="AH138" s="282"/>
      <c r="AI138" s="282"/>
      <c r="AJ138" s="282"/>
      <c r="AK138" s="282"/>
      <c r="AL138" s="294"/>
      <c r="AM138" s="296"/>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94"/>
      <c r="BJ138" s="282"/>
      <c r="BK138" s="285"/>
      <c r="BM138" s="4">
        <f t="shared" si="2"/>
        <v>31</v>
      </c>
    </row>
    <row r="139" spans="1:65" ht="15" customHeight="1" x14ac:dyDescent="0.25">
      <c r="A139" s="284"/>
      <c r="B139" s="296"/>
      <c r="C139" s="282"/>
      <c r="D139" s="282"/>
      <c r="E139" s="282"/>
      <c r="F139" s="282"/>
      <c r="G139" s="282"/>
      <c r="H139" s="282"/>
      <c r="I139" s="282"/>
      <c r="J139" s="282"/>
      <c r="K139" s="294"/>
      <c r="L139" s="296"/>
      <c r="M139" s="282"/>
      <c r="N139" s="282"/>
      <c r="O139" s="282"/>
      <c r="P139" s="282"/>
      <c r="Q139" s="282"/>
      <c r="R139" s="282"/>
      <c r="S139" s="282"/>
      <c r="T139" s="294"/>
      <c r="U139" s="296"/>
      <c r="V139" s="282"/>
      <c r="W139" s="282"/>
      <c r="X139" s="282"/>
      <c r="Y139" s="282"/>
      <c r="Z139" s="282"/>
      <c r="AA139" s="282"/>
      <c r="AB139" s="282"/>
      <c r="AC139" s="294"/>
      <c r="AD139" s="296"/>
      <c r="AE139" s="282"/>
      <c r="AF139" s="282"/>
      <c r="AG139" s="282"/>
      <c r="AH139" s="282"/>
      <c r="AI139" s="282"/>
      <c r="AJ139" s="282"/>
      <c r="AK139" s="282"/>
      <c r="AL139" s="294"/>
      <c r="AM139" s="296"/>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94"/>
      <c r="BJ139" s="282"/>
      <c r="BK139" s="285"/>
      <c r="BM139" s="4">
        <f t="shared" si="2"/>
        <v>32</v>
      </c>
    </row>
    <row r="140" spans="1:65" ht="15" customHeight="1" x14ac:dyDescent="0.25">
      <c r="A140" s="284"/>
      <c r="B140" s="296"/>
      <c r="C140" s="282"/>
      <c r="D140" s="282"/>
      <c r="E140" s="282"/>
      <c r="F140" s="282"/>
      <c r="G140" s="282"/>
      <c r="H140" s="282"/>
      <c r="I140" s="282"/>
      <c r="J140" s="282"/>
      <c r="K140" s="294"/>
      <c r="L140" s="296"/>
      <c r="M140" s="282"/>
      <c r="N140" s="282"/>
      <c r="O140" s="282"/>
      <c r="P140" s="282"/>
      <c r="Q140" s="282"/>
      <c r="R140" s="282"/>
      <c r="S140" s="282"/>
      <c r="T140" s="294"/>
      <c r="U140" s="296"/>
      <c r="V140" s="282"/>
      <c r="W140" s="282"/>
      <c r="X140" s="282"/>
      <c r="Y140" s="282"/>
      <c r="Z140" s="282"/>
      <c r="AA140" s="282"/>
      <c r="AB140" s="282"/>
      <c r="AC140" s="294"/>
      <c r="AD140" s="296"/>
      <c r="AE140" s="282"/>
      <c r="AF140" s="282"/>
      <c r="AG140" s="282"/>
      <c r="AH140" s="282"/>
      <c r="AI140" s="282"/>
      <c r="AJ140" s="282"/>
      <c r="AK140" s="282"/>
      <c r="AL140" s="294"/>
      <c r="AM140" s="296"/>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94"/>
      <c r="BJ140" s="282"/>
      <c r="BK140" s="285"/>
      <c r="BM140" s="4">
        <f t="shared" si="2"/>
        <v>33</v>
      </c>
    </row>
    <row r="141" spans="1:65" ht="15" customHeight="1" x14ac:dyDescent="0.25">
      <c r="A141" s="284"/>
      <c r="B141" s="296"/>
      <c r="C141" s="282"/>
      <c r="D141" s="282"/>
      <c r="E141" s="282"/>
      <c r="F141" s="282"/>
      <c r="G141" s="282"/>
      <c r="H141" s="282"/>
      <c r="I141" s="282"/>
      <c r="J141" s="282"/>
      <c r="K141" s="294"/>
      <c r="L141" s="296"/>
      <c r="M141" s="282"/>
      <c r="N141" s="282"/>
      <c r="O141" s="282"/>
      <c r="P141" s="282"/>
      <c r="Q141" s="282"/>
      <c r="R141" s="282"/>
      <c r="S141" s="282"/>
      <c r="T141" s="294"/>
      <c r="U141" s="296"/>
      <c r="V141" s="282"/>
      <c r="W141" s="282"/>
      <c r="X141" s="282"/>
      <c r="Y141" s="282"/>
      <c r="Z141" s="282"/>
      <c r="AA141" s="282"/>
      <c r="AB141" s="282"/>
      <c r="AC141" s="294"/>
      <c r="AD141" s="296"/>
      <c r="AE141" s="282"/>
      <c r="AF141" s="282"/>
      <c r="AG141" s="282"/>
      <c r="AH141" s="282"/>
      <c r="AI141" s="282"/>
      <c r="AJ141" s="282"/>
      <c r="AK141" s="282"/>
      <c r="AL141" s="294"/>
      <c r="AM141" s="296"/>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94"/>
      <c r="BJ141" s="282"/>
      <c r="BK141" s="285"/>
      <c r="BM141" s="4">
        <f t="shared" si="2"/>
        <v>34</v>
      </c>
    </row>
    <row r="142" spans="1:65" ht="15" customHeight="1" x14ac:dyDescent="0.25">
      <c r="A142" s="284"/>
      <c r="B142" s="296"/>
      <c r="C142" s="282"/>
      <c r="D142" s="282"/>
      <c r="E142" s="282"/>
      <c r="F142" s="282"/>
      <c r="G142" s="282"/>
      <c r="H142" s="282"/>
      <c r="I142" s="282"/>
      <c r="J142" s="282"/>
      <c r="K142" s="294"/>
      <c r="L142" s="296"/>
      <c r="M142" s="282"/>
      <c r="N142" s="282"/>
      <c r="O142" s="282"/>
      <c r="P142" s="282"/>
      <c r="Q142" s="282"/>
      <c r="R142" s="282"/>
      <c r="S142" s="282"/>
      <c r="T142" s="294"/>
      <c r="U142" s="296"/>
      <c r="V142" s="282"/>
      <c r="W142" s="282"/>
      <c r="X142" s="282"/>
      <c r="Y142" s="282"/>
      <c r="Z142" s="282"/>
      <c r="AA142" s="282"/>
      <c r="AB142" s="282"/>
      <c r="AC142" s="294"/>
      <c r="AD142" s="296"/>
      <c r="AE142" s="282"/>
      <c r="AF142" s="282"/>
      <c r="AG142" s="282"/>
      <c r="AH142" s="282"/>
      <c r="AI142" s="282"/>
      <c r="AJ142" s="282"/>
      <c r="AK142" s="282"/>
      <c r="AL142" s="294"/>
      <c r="AM142" s="296"/>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94"/>
      <c r="BJ142" s="282"/>
      <c r="BK142" s="285"/>
      <c r="BM142" s="4">
        <f t="shared" si="2"/>
        <v>35</v>
      </c>
    </row>
    <row r="143" spans="1:65" ht="15" customHeight="1" x14ac:dyDescent="0.25">
      <c r="A143" s="284"/>
      <c r="B143" s="296"/>
      <c r="C143" s="282"/>
      <c r="D143" s="282"/>
      <c r="E143" s="282"/>
      <c r="F143" s="282"/>
      <c r="G143" s="282"/>
      <c r="H143" s="282"/>
      <c r="I143" s="282"/>
      <c r="J143" s="282"/>
      <c r="K143" s="294"/>
      <c r="L143" s="296"/>
      <c r="M143" s="282"/>
      <c r="N143" s="282"/>
      <c r="O143" s="282"/>
      <c r="P143" s="282"/>
      <c r="Q143" s="282"/>
      <c r="R143" s="282"/>
      <c r="S143" s="282"/>
      <c r="T143" s="294"/>
      <c r="U143" s="296"/>
      <c r="V143" s="282"/>
      <c r="W143" s="282"/>
      <c r="X143" s="282"/>
      <c r="Y143" s="282"/>
      <c r="Z143" s="282"/>
      <c r="AA143" s="282"/>
      <c r="AB143" s="282"/>
      <c r="AC143" s="294"/>
      <c r="AD143" s="296"/>
      <c r="AE143" s="282"/>
      <c r="AF143" s="282"/>
      <c r="AG143" s="282"/>
      <c r="AH143" s="282"/>
      <c r="AI143" s="282"/>
      <c r="AJ143" s="282"/>
      <c r="AK143" s="282"/>
      <c r="AL143" s="294"/>
      <c r="AM143" s="296"/>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94"/>
      <c r="BJ143" s="282"/>
      <c r="BK143" s="285"/>
      <c r="BM143" s="4">
        <f t="shared" si="2"/>
        <v>36</v>
      </c>
    </row>
    <row r="144" spans="1:65" ht="15" customHeight="1" x14ac:dyDescent="0.25">
      <c r="A144" s="284"/>
      <c r="B144" s="296"/>
      <c r="C144" s="282"/>
      <c r="D144" s="282"/>
      <c r="E144" s="282"/>
      <c r="F144" s="282"/>
      <c r="G144" s="282"/>
      <c r="H144" s="282"/>
      <c r="I144" s="282"/>
      <c r="J144" s="282"/>
      <c r="K144" s="294"/>
      <c r="L144" s="296"/>
      <c r="M144" s="282"/>
      <c r="N144" s="282"/>
      <c r="O144" s="282"/>
      <c r="P144" s="282"/>
      <c r="Q144" s="282"/>
      <c r="R144" s="282"/>
      <c r="S144" s="282"/>
      <c r="T144" s="294"/>
      <c r="U144" s="296"/>
      <c r="V144" s="282"/>
      <c r="W144" s="282"/>
      <c r="X144" s="282"/>
      <c r="Y144" s="282"/>
      <c r="Z144" s="282"/>
      <c r="AA144" s="282"/>
      <c r="AB144" s="282"/>
      <c r="AC144" s="294"/>
      <c r="AD144" s="296"/>
      <c r="AE144" s="282"/>
      <c r="AF144" s="282"/>
      <c r="AG144" s="282"/>
      <c r="AH144" s="282" t="s">
        <v>65</v>
      </c>
      <c r="AI144" s="282"/>
      <c r="AJ144" s="282"/>
      <c r="AK144" s="282"/>
      <c r="AL144" s="294"/>
      <c r="AM144" s="296"/>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94"/>
      <c r="BJ144" s="282"/>
      <c r="BK144" s="285"/>
      <c r="BM144" s="4">
        <f t="shared" si="2"/>
        <v>37</v>
      </c>
    </row>
    <row r="145" spans="1:65" ht="15" customHeight="1" x14ac:dyDescent="0.25">
      <c r="A145" s="284"/>
      <c r="B145" s="296"/>
      <c r="C145" s="282"/>
      <c r="D145" s="282"/>
      <c r="E145" s="282"/>
      <c r="F145" s="282"/>
      <c r="G145" s="282"/>
      <c r="H145" s="282"/>
      <c r="I145" s="282"/>
      <c r="J145" s="282"/>
      <c r="K145" s="294"/>
      <c r="L145" s="296"/>
      <c r="M145" s="282"/>
      <c r="N145" s="282"/>
      <c r="O145" s="282"/>
      <c r="P145" s="282"/>
      <c r="Q145" s="282"/>
      <c r="R145" s="282"/>
      <c r="S145" s="282"/>
      <c r="T145" s="294"/>
      <c r="U145" s="296"/>
      <c r="V145" s="282"/>
      <c r="W145" s="282"/>
      <c r="X145" s="282"/>
      <c r="Y145" s="282"/>
      <c r="Z145" s="282"/>
      <c r="AA145" s="282"/>
      <c r="AB145" s="282"/>
      <c r="AC145" s="294"/>
      <c r="AD145" s="296"/>
      <c r="AE145" s="282"/>
      <c r="AF145" s="282"/>
      <c r="AG145" s="282"/>
      <c r="AH145" s="282"/>
      <c r="AI145" s="282"/>
      <c r="AJ145" s="282"/>
      <c r="AK145" s="282"/>
      <c r="AL145" s="294"/>
      <c r="AM145" s="296"/>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94"/>
      <c r="BJ145" s="282"/>
      <c r="BK145" s="285"/>
      <c r="BM145" s="4">
        <f t="shared" si="2"/>
        <v>38</v>
      </c>
    </row>
    <row r="146" spans="1:65" ht="15" customHeight="1" x14ac:dyDescent="0.25">
      <c r="A146" s="284"/>
      <c r="B146" s="296"/>
      <c r="C146" s="282"/>
      <c r="D146" s="282"/>
      <c r="E146" s="282"/>
      <c r="F146" s="282"/>
      <c r="G146" s="282"/>
      <c r="H146" s="282"/>
      <c r="I146" s="282"/>
      <c r="J146" s="282"/>
      <c r="K146" s="294"/>
      <c r="L146" s="296"/>
      <c r="M146" s="282"/>
      <c r="N146" s="282"/>
      <c r="O146" s="282"/>
      <c r="P146" s="282"/>
      <c r="Q146" s="282"/>
      <c r="R146" s="282"/>
      <c r="S146" s="282"/>
      <c r="T146" s="294"/>
      <c r="U146" s="296"/>
      <c r="V146" s="282"/>
      <c r="W146" s="282"/>
      <c r="X146" s="282"/>
      <c r="Y146" s="282"/>
      <c r="Z146" s="282"/>
      <c r="AA146" s="282"/>
      <c r="AB146" s="282"/>
      <c r="AC146" s="294"/>
      <c r="AD146" s="296"/>
      <c r="AE146" s="282"/>
      <c r="AF146" s="282"/>
      <c r="AG146" s="282"/>
      <c r="AH146" s="282"/>
      <c r="AI146" s="282"/>
      <c r="AJ146" s="282"/>
      <c r="AK146" s="282"/>
      <c r="AL146" s="294"/>
      <c r="AM146" s="296"/>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94"/>
      <c r="BJ146" s="282"/>
      <c r="BK146" s="285"/>
      <c r="BM146" s="4">
        <f t="shared" si="2"/>
        <v>39</v>
      </c>
    </row>
    <row r="147" spans="1:65" ht="15" customHeight="1" x14ac:dyDescent="0.25">
      <c r="A147" s="284"/>
      <c r="B147" s="296"/>
      <c r="C147" s="282"/>
      <c r="D147" s="282"/>
      <c r="E147" s="282"/>
      <c r="F147" s="282"/>
      <c r="G147" s="282"/>
      <c r="H147" s="282"/>
      <c r="I147" s="282"/>
      <c r="J147" s="282"/>
      <c r="K147" s="294"/>
      <c r="L147" s="296"/>
      <c r="M147" s="282"/>
      <c r="N147" s="282"/>
      <c r="O147" s="282"/>
      <c r="P147" s="282"/>
      <c r="Q147" s="282"/>
      <c r="R147" s="282"/>
      <c r="S147" s="282"/>
      <c r="T147" s="294"/>
      <c r="U147" s="296"/>
      <c r="V147" s="282"/>
      <c r="W147" s="282"/>
      <c r="X147" s="282"/>
      <c r="Y147" s="282"/>
      <c r="Z147" s="282"/>
      <c r="AA147" s="282"/>
      <c r="AB147" s="282"/>
      <c r="AC147" s="294"/>
      <c r="AD147" s="296"/>
      <c r="AE147" s="282"/>
      <c r="AF147" s="282"/>
      <c r="AG147" s="282"/>
      <c r="AH147" s="282"/>
      <c r="AI147" s="282"/>
      <c r="AJ147" s="282"/>
      <c r="AK147" s="282"/>
      <c r="AL147" s="294"/>
      <c r="AM147" s="296"/>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94"/>
      <c r="BJ147" s="282"/>
      <c r="BK147" s="285"/>
      <c r="BM147" s="4">
        <f t="shared" si="2"/>
        <v>40</v>
      </c>
    </row>
    <row r="148" spans="1:65" ht="15" customHeight="1" x14ac:dyDescent="0.25">
      <c r="A148" s="284"/>
      <c r="B148" s="296"/>
      <c r="C148" s="282"/>
      <c r="D148" s="282"/>
      <c r="E148" s="282"/>
      <c r="F148" s="282"/>
      <c r="G148" s="282"/>
      <c r="H148" s="282"/>
      <c r="I148" s="282"/>
      <c r="J148" s="282"/>
      <c r="K148" s="294"/>
      <c r="L148" s="296"/>
      <c r="M148" s="282"/>
      <c r="N148" s="282"/>
      <c r="O148" s="282"/>
      <c r="P148" s="282"/>
      <c r="Q148" s="282"/>
      <c r="R148" s="282"/>
      <c r="S148" s="282"/>
      <c r="T148" s="294"/>
      <c r="U148" s="296"/>
      <c r="V148" s="282"/>
      <c r="W148" s="282"/>
      <c r="X148" s="282"/>
      <c r="Y148" s="282"/>
      <c r="Z148" s="282"/>
      <c r="AA148" s="282"/>
      <c r="AB148" s="282"/>
      <c r="AC148" s="294"/>
      <c r="AD148" s="296"/>
      <c r="AE148" s="282"/>
      <c r="AF148" s="282"/>
      <c r="AG148" s="282"/>
      <c r="AH148" s="282"/>
      <c r="AI148" s="282"/>
      <c r="AJ148" s="282"/>
      <c r="AK148" s="282"/>
      <c r="AL148" s="294"/>
      <c r="AM148" s="296"/>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94"/>
      <c r="BJ148" s="282"/>
      <c r="BK148" s="285"/>
      <c r="BM148" s="4">
        <f t="shared" si="2"/>
        <v>41</v>
      </c>
    </row>
    <row r="149" spans="1:65" ht="15" customHeight="1" x14ac:dyDescent="0.25">
      <c r="A149" s="284"/>
      <c r="B149" s="296"/>
      <c r="C149" s="282"/>
      <c r="D149" s="282"/>
      <c r="E149" s="282"/>
      <c r="F149" s="282"/>
      <c r="G149" s="282"/>
      <c r="H149" s="282"/>
      <c r="I149" s="282"/>
      <c r="J149" s="282"/>
      <c r="K149" s="294"/>
      <c r="L149" s="296"/>
      <c r="M149" s="282"/>
      <c r="N149" s="282"/>
      <c r="O149" s="282"/>
      <c r="P149" s="282"/>
      <c r="Q149" s="282"/>
      <c r="R149" s="282"/>
      <c r="S149" s="282"/>
      <c r="T149" s="294"/>
      <c r="U149" s="296"/>
      <c r="V149" s="282"/>
      <c r="W149" s="282"/>
      <c r="X149" s="282"/>
      <c r="Y149" s="282"/>
      <c r="Z149" s="282"/>
      <c r="AA149" s="282"/>
      <c r="AB149" s="282"/>
      <c r="AC149" s="294"/>
      <c r="AD149" s="296"/>
      <c r="AE149" s="282"/>
      <c r="AF149" s="282"/>
      <c r="AG149" s="282"/>
      <c r="AH149" s="282"/>
      <c r="AI149" s="282"/>
      <c r="AJ149" s="282"/>
      <c r="AK149" s="282"/>
      <c r="AL149" s="294"/>
      <c r="AM149" s="296"/>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94"/>
      <c r="BJ149" s="282"/>
      <c r="BK149" s="285"/>
      <c r="BM149" s="4">
        <f t="shared" si="2"/>
        <v>42</v>
      </c>
    </row>
    <row r="150" spans="1:65" ht="15" customHeight="1" x14ac:dyDescent="0.25">
      <c r="A150" s="284"/>
      <c r="B150" s="296"/>
      <c r="C150" s="282"/>
      <c r="D150" s="282"/>
      <c r="E150" s="282"/>
      <c r="F150" s="282"/>
      <c r="G150" s="282"/>
      <c r="H150" s="282"/>
      <c r="I150" s="282"/>
      <c r="J150" s="282"/>
      <c r="K150" s="294"/>
      <c r="L150" s="296"/>
      <c r="M150" s="282"/>
      <c r="N150" s="282"/>
      <c r="O150" s="282"/>
      <c r="P150" s="282"/>
      <c r="Q150" s="282"/>
      <c r="R150" s="282"/>
      <c r="S150" s="282"/>
      <c r="T150" s="294"/>
      <c r="U150" s="296"/>
      <c r="V150" s="282"/>
      <c r="W150" s="282"/>
      <c r="X150" s="282"/>
      <c r="Y150" s="282"/>
      <c r="Z150" s="282"/>
      <c r="AA150" s="282"/>
      <c r="AB150" s="282"/>
      <c r="AC150" s="294"/>
      <c r="AD150" s="296"/>
      <c r="AE150" s="282"/>
      <c r="AF150" s="282"/>
      <c r="AG150" s="282"/>
      <c r="AH150" s="282"/>
      <c r="AI150" s="282"/>
      <c r="AJ150" s="282"/>
      <c r="AK150" s="282"/>
      <c r="AL150" s="294"/>
      <c r="AM150" s="296"/>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94"/>
      <c r="BJ150" s="282"/>
      <c r="BK150" s="285"/>
      <c r="BM150" s="4">
        <f t="shared" si="2"/>
        <v>43</v>
      </c>
    </row>
    <row r="151" spans="1:65" ht="15" customHeight="1" x14ac:dyDescent="0.25">
      <c r="A151" s="284"/>
      <c r="B151" s="296"/>
      <c r="C151" s="282"/>
      <c r="D151" s="282"/>
      <c r="E151" s="282"/>
      <c r="F151" s="282"/>
      <c r="G151" s="282"/>
      <c r="H151" s="282"/>
      <c r="I151" s="282"/>
      <c r="J151" s="282"/>
      <c r="K151" s="294"/>
      <c r="L151" s="296"/>
      <c r="M151" s="282"/>
      <c r="N151" s="282"/>
      <c r="O151" s="282"/>
      <c r="P151" s="282"/>
      <c r="Q151" s="282"/>
      <c r="R151" s="282"/>
      <c r="S151" s="282"/>
      <c r="T151" s="294"/>
      <c r="U151" s="296"/>
      <c r="V151" s="282"/>
      <c r="W151" s="282"/>
      <c r="X151" s="282"/>
      <c r="Y151" s="282"/>
      <c r="Z151" s="282"/>
      <c r="AA151" s="282"/>
      <c r="AB151" s="282"/>
      <c r="AC151" s="294"/>
      <c r="AD151" s="296"/>
      <c r="AE151" s="282"/>
      <c r="AF151" s="282"/>
      <c r="AG151" s="282"/>
      <c r="AH151" s="282"/>
      <c r="AI151" s="282"/>
      <c r="AJ151" s="282"/>
      <c r="AK151" s="282"/>
      <c r="AL151" s="294"/>
      <c r="AM151" s="296"/>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94"/>
      <c r="BJ151" s="282"/>
      <c r="BK151" s="285"/>
      <c r="BM151" s="4">
        <f t="shared" si="2"/>
        <v>44</v>
      </c>
    </row>
    <row r="152" spans="1:65" ht="15" customHeight="1" x14ac:dyDescent="0.25">
      <c r="A152" s="284"/>
      <c r="B152" s="296"/>
      <c r="C152" s="282"/>
      <c r="D152" s="282"/>
      <c r="E152" s="282"/>
      <c r="F152" s="282"/>
      <c r="G152" s="282"/>
      <c r="H152" s="282"/>
      <c r="I152" s="282"/>
      <c r="J152" s="282"/>
      <c r="K152" s="294"/>
      <c r="L152" s="296"/>
      <c r="M152" s="282"/>
      <c r="N152" s="282"/>
      <c r="O152" s="282"/>
      <c r="P152" s="282"/>
      <c r="Q152" s="282"/>
      <c r="R152" s="282"/>
      <c r="S152" s="282"/>
      <c r="T152" s="294"/>
      <c r="U152" s="296"/>
      <c r="V152" s="282"/>
      <c r="W152" s="282"/>
      <c r="X152" s="282"/>
      <c r="Y152" s="282"/>
      <c r="Z152" s="282"/>
      <c r="AA152" s="282"/>
      <c r="AB152" s="282"/>
      <c r="AC152" s="294"/>
      <c r="AD152" s="296"/>
      <c r="AE152" s="282"/>
      <c r="AF152" s="282"/>
      <c r="AG152" s="282"/>
      <c r="AH152" s="282"/>
      <c r="AI152" s="282"/>
      <c r="AJ152" s="282"/>
      <c r="AK152" s="282"/>
      <c r="AL152" s="294"/>
      <c r="AM152" s="296"/>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94"/>
      <c r="BJ152" s="282"/>
      <c r="BK152" s="285"/>
      <c r="BM152" s="4">
        <f t="shared" si="2"/>
        <v>45</v>
      </c>
    </row>
    <row r="153" spans="1:65" ht="15" customHeight="1" x14ac:dyDescent="0.25">
      <c r="A153" s="284"/>
      <c r="B153" s="296"/>
      <c r="C153" s="282"/>
      <c r="D153" s="282"/>
      <c r="E153" s="282"/>
      <c r="F153" s="282"/>
      <c r="G153" s="282"/>
      <c r="H153" s="282"/>
      <c r="I153" s="282"/>
      <c r="J153" s="282"/>
      <c r="K153" s="294"/>
      <c r="L153" s="296"/>
      <c r="M153" s="282"/>
      <c r="N153" s="282"/>
      <c r="O153" s="282"/>
      <c r="P153" s="282"/>
      <c r="Q153" s="282"/>
      <c r="R153" s="282"/>
      <c r="S153" s="282"/>
      <c r="T153" s="294"/>
      <c r="U153" s="296"/>
      <c r="V153" s="282"/>
      <c r="W153" s="282"/>
      <c r="X153" s="282"/>
      <c r="Y153" s="282"/>
      <c r="Z153" s="282"/>
      <c r="AA153" s="282"/>
      <c r="AB153" s="282"/>
      <c r="AC153" s="294"/>
      <c r="AD153" s="296"/>
      <c r="AE153" s="282"/>
      <c r="AF153" s="282"/>
      <c r="AG153" s="282"/>
      <c r="AH153" s="282"/>
      <c r="AI153" s="282"/>
      <c r="AJ153" s="282"/>
      <c r="AK153" s="282"/>
      <c r="AL153" s="294"/>
      <c r="AM153" s="296"/>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94"/>
      <c r="BJ153" s="282"/>
      <c r="BK153" s="285"/>
      <c r="BM153" s="4">
        <f t="shared" si="2"/>
        <v>46</v>
      </c>
    </row>
    <row r="154" spans="1:65" ht="15" customHeight="1" x14ac:dyDescent="0.25">
      <c r="A154" s="284"/>
      <c r="B154" s="296"/>
      <c r="C154" s="282"/>
      <c r="D154" s="282"/>
      <c r="E154" s="282"/>
      <c r="F154" s="282"/>
      <c r="G154" s="282"/>
      <c r="H154" s="282"/>
      <c r="I154" s="282"/>
      <c r="J154" s="282"/>
      <c r="K154" s="294"/>
      <c r="L154" s="296"/>
      <c r="M154" s="282"/>
      <c r="N154" s="282"/>
      <c r="O154" s="282"/>
      <c r="P154" s="282"/>
      <c r="Q154" s="282"/>
      <c r="R154" s="282"/>
      <c r="S154" s="282"/>
      <c r="T154" s="294"/>
      <c r="U154" s="296"/>
      <c r="V154" s="282"/>
      <c r="W154" s="282"/>
      <c r="X154" s="282"/>
      <c r="Y154" s="282"/>
      <c r="Z154" s="282"/>
      <c r="AA154" s="282"/>
      <c r="AB154" s="282"/>
      <c r="AC154" s="294"/>
      <c r="AD154" s="296"/>
      <c r="AE154" s="282"/>
      <c r="AF154" s="282"/>
      <c r="AG154" s="282"/>
      <c r="AH154" s="282"/>
      <c r="AI154" s="282"/>
      <c r="AJ154" s="282"/>
      <c r="AK154" s="282"/>
      <c r="AL154" s="294"/>
      <c r="AM154" s="296"/>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94"/>
      <c r="BJ154" s="282"/>
      <c r="BK154" s="285"/>
      <c r="BM154" s="4">
        <f t="shared" si="2"/>
        <v>47</v>
      </c>
    </row>
    <row r="155" spans="1:65" ht="15" customHeight="1" x14ac:dyDescent="0.25">
      <c r="A155" s="284"/>
      <c r="B155" s="296"/>
      <c r="C155" s="282"/>
      <c r="D155" s="282"/>
      <c r="E155" s="282"/>
      <c r="F155" s="282"/>
      <c r="G155" s="282"/>
      <c r="H155" s="282"/>
      <c r="I155" s="282"/>
      <c r="J155" s="282"/>
      <c r="K155" s="294"/>
      <c r="L155" s="296"/>
      <c r="M155" s="282"/>
      <c r="N155" s="282"/>
      <c r="O155" s="282"/>
      <c r="P155" s="282"/>
      <c r="Q155" s="282"/>
      <c r="R155" s="282"/>
      <c r="S155" s="282"/>
      <c r="T155" s="294"/>
      <c r="U155" s="296"/>
      <c r="V155" s="282"/>
      <c r="W155" s="282"/>
      <c r="X155" s="282"/>
      <c r="Y155" s="282"/>
      <c r="Z155" s="282"/>
      <c r="AA155" s="282"/>
      <c r="AB155" s="282"/>
      <c r="AC155" s="294"/>
      <c r="AD155" s="296"/>
      <c r="AE155" s="282"/>
      <c r="AF155" s="282"/>
      <c r="AG155" s="282"/>
      <c r="AH155" s="282"/>
      <c r="AI155" s="282"/>
      <c r="AJ155" s="282"/>
      <c r="AK155" s="282"/>
      <c r="AL155" s="294"/>
      <c r="AM155" s="296"/>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94"/>
      <c r="BJ155" s="282"/>
      <c r="BK155" s="285"/>
      <c r="BM155" s="4">
        <f t="shared" si="2"/>
        <v>48</v>
      </c>
    </row>
    <row r="156" spans="1:65" ht="15" customHeight="1" x14ac:dyDescent="0.25">
      <c r="A156" s="284"/>
      <c r="B156" s="296"/>
      <c r="C156" s="282"/>
      <c r="D156" s="282"/>
      <c r="E156" s="282"/>
      <c r="F156" s="282"/>
      <c r="G156" s="282"/>
      <c r="H156" s="282"/>
      <c r="I156" s="282"/>
      <c r="J156" s="282"/>
      <c r="K156" s="294"/>
      <c r="L156" s="296"/>
      <c r="M156" s="282"/>
      <c r="N156" s="282"/>
      <c r="O156" s="282"/>
      <c r="P156" s="282"/>
      <c r="Q156" s="282"/>
      <c r="R156" s="282"/>
      <c r="S156" s="282"/>
      <c r="T156" s="294"/>
      <c r="U156" s="296"/>
      <c r="V156" s="282"/>
      <c r="W156" s="282"/>
      <c r="X156" s="282"/>
      <c r="Y156" s="282"/>
      <c r="Z156" s="282"/>
      <c r="AA156" s="282"/>
      <c r="AB156" s="282"/>
      <c r="AC156" s="294"/>
      <c r="AD156" s="296"/>
      <c r="AE156" s="282"/>
      <c r="AF156" s="282"/>
      <c r="AG156" s="282"/>
      <c r="AH156" s="282"/>
      <c r="AI156" s="282"/>
      <c r="AJ156" s="282"/>
      <c r="AK156" s="282"/>
      <c r="AL156" s="294"/>
      <c r="AM156" s="296"/>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94"/>
      <c r="BJ156" s="282"/>
      <c r="BK156" s="285"/>
      <c r="BM156" s="4">
        <f t="shared" si="2"/>
        <v>49</v>
      </c>
    </row>
    <row r="157" spans="1:65" ht="15" customHeight="1" x14ac:dyDescent="0.25">
      <c r="A157" s="284"/>
      <c r="B157" s="297" t="s">
        <v>37</v>
      </c>
      <c r="C157" s="298"/>
      <c r="D157" s="298"/>
      <c r="E157" s="298"/>
      <c r="F157" s="298"/>
      <c r="G157" s="298"/>
      <c r="H157" s="298"/>
      <c r="I157" s="298"/>
      <c r="J157" s="298"/>
      <c r="K157" s="299"/>
      <c r="L157" s="297"/>
      <c r="M157" s="298"/>
      <c r="N157" s="298"/>
      <c r="O157" s="298"/>
      <c r="P157" s="298"/>
      <c r="Q157" s="298"/>
      <c r="R157" s="298"/>
      <c r="S157" s="298"/>
      <c r="T157" s="299"/>
      <c r="U157" s="297"/>
      <c r="V157" s="298"/>
      <c r="W157" s="298"/>
      <c r="X157" s="298"/>
      <c r="Y157" s="298"/>
      <c r="Z157" s="298"/>
      <c r="AA157" s="298"/>
      <c r="AB157" s="298"/>
      <c r="AC157" s="299"/>
      <c r="AD157" s="297"/>
      <c r="AE157" s="298"/>
      <c r="AF157" s="298"/>
      <c r="AG157" s="298"/>
      <c r="AH157" s="298"/>
      <c r="AI157" s="298"/>
      <c r="AJ157" s="298"/>
      <c r="AK157" s="298"/>
      <c r="AL157" s="299"/>
      <c r="AM157" s="297"/>
      <c r="AN157" s="298"/>
      <c r="AO157" s="298"/>
      <c r="AP157" s="298"/>
      <c r="AQ157" s="298"/>
      <c r="AR157" s="298"/>
      <c r="AS157" s="298"/>
      <c r="AT157" s="298"/>
      <c r="AU157" s="298"/>
      <c r="AV157" s="298"/>
      <c r="AW157" s="298"/>
      <c r="AX157" s="298"/>
      <c r="AY157" s="298"/>
      <c r="AZ157" s="298"/>
      <c r="BA157" s="298"/>
      <c r="BB157" s="298"/>
      <c r="BC157" s="298"/>
      <c r="BD157" s="298"/>
      <c r="BE157" s="298"/>
      <c r="BF157" s="298"/>
      <c r="BG157" s="298"/>
      <c r="BH157" s="298"/>
      <c r="BI157" s="299"/>
      <c r="BJ157" s="298"/>
      <c r="BK157" s="285"/>
      <c r="BM157" s="4">
        <f t="shared" si="2"/>
        <v>50</v>
      </c>
    </row>
    <row r="158" spans="1:65" ht="15" customHeight="1" x14ac:dyDescent="0.25">
      <c r="A158" s="284"/>
      <c r="B158" s="296"/>
      <c r="C158" s="282"/>
      <c r="D158" s="282"/>
      <c r="E158" s="282"/>
      <c r="F158" s="282"/>
      <c r="G158" s="282"/>
      <c r="H158" s="282"/>
      <c r="I158" s="282"/>
      <c r="J158" s="282"/>
      <c r="K158" s="294"/>
      <c r="L158" s="296"/>
      <c r="M158" s="282"/>
      <c r="N158" s="282"/>
      <c r="O158" s="282"/>
      <c r="P158" s="282"/>
      <c r="Q158" s="282"/>
      <c r="R158" s="282"/>
      <c r="S158" s="282"/>
      <c r="T158" s="294"/>
      <c r="U158" s="296"/>
      <c r="V158" s="282"/>
      <c r="W158" s="282"/>
      <c r="X158" s="282"/>
      <c r="Y158" s="282"/>
      <c r="Z158" s="282"/>
      <c r="AA158" s="282"/>
      <c r="AB158" s="282"/>
      <c r="AC158" s="294"/>
      <c r="AD158" s="296"/>
      <c r="AE158" s="282"/>
      <c r="AF158" s="282"/>
      <c r="AG158" s="282"/>
      <c r="AH158" s="282"/>
      <c r="AI158" s="282"/>
      <c r="AJ158" s="282"/>
      <c r="AK158" s="282"/>
      <c r="AL158" s="294"/>
      <c r="AM158" s="296"/>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94"/>
      <c r="BJ158" s="282"/>
      <c r="BK158" s="285"/>
      <c r="BM158" s="4">
        <f t="shared" si="2"/>
        <v>1</v>
      </c>
    </row>
    <row r="159" spans="1:65" ht="15" customHeight="1" x14ac:dyDescent="0.25">
      <c r="A159" s="284"/>
      <c r="B159" s="296"/>
      <c r="C159" s="282"/>
      <c r="D159" s="282"/>
      <c r="E159" s="282"/>
      <c r="F159" s="282"/>
      <c r="G159" s="282"/>
      <c r="H159" s="282"/>
      <c r="I159" s="282"/>
      <c r="J159" s="282"/>
      <c r="K159" s="294"/>
      <c r="L159" s="296"/>
      <c r="M159" s="282"/>
      <c r="N159" s="282"/>
      <c r="O159" s="282"/>
      <c r="P159" s="282"/>
      <c r="Q159" s="282"/>
      <c r="R159" s="282"/>
      <c r="S159" s="282"/>
      <c r="T159" s="294"/>
      <c r="U159" s="296"/>
      <c r="V159" s="282"/>
      <c r="W159" s="282"/>
      <c r="X159" s="282"/>
      <c r="Y159" s="282"/>
      <c r="Z159" s="282"/>
      <c r="AA159" s="282"/>
      <c r="AB159" s="282"/>
      <c r="AC159" s="294"/>
      <c r="AD159" s="296"/>
      <c r="AE159" s="282"/>
      <c r="AF159" s="282"/>
      <c r="AG159" s="282"/>
      <c r="AH159" s="282"/>
      <c r="AI159" s="282"/>
      <c r="AJ159" s="282"/>
      <c r="AK159" s="282"/>
      <c r="AL159" s="294"/>
      <c r="AM159" s="296"/>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94"/>
      <c r="BJ159" s="282"/>
      <c r="BK159" s="285"/>
      <c r="BM159" s="4">
        <f t="shared" si="2"/>
        <v>2</v>
      </c>
    </row>
    <row r="160" spans="1:65" ht="15" customHeight="1" x14ac:dyDescent="0.25">
      <c r="A160" s="284"/>
      <c r="B160" s="296"/>
      <c r="C160" s="282"/>
      <c r="D160" s="282"/>
      <c r="E160" s="282"/>
      <c r="F160" s="282"/>
      <c r="G160" s="282"/>
      <c r="H160" s="282"/>
      <c r="I160" s="282"/>
      <c r="J160" s="282"/>
      <c r="K160" s="294"/>
      <c r="L160" s="296"/>
      <c r="M160" s="282"/>
      <c r="N160" s="282"/>
      <c r="O160" s="282"/>
      <c r="P160" s="282"/>
      <c r="Q160" s="282"/>
      <c r="R160" s="282"/>
      <c r="S160" s="282"/>
      <c r="T160" s="294"/>
      <c r="U160" s="296"/>
      <c r="V160" s="282"/>
      <c r="W160" s="282"/>
      <c r="X160" s="282"/>
      <c r="Y160" s="282"/>
      <c r="Z160" s="282"/>
      <c r="AA160" s="282"/>
      <c r="AB160" s="282"/>
      <c r="AC160" s="294"/>
      <c r="AD160" s="296"/>
      <c r="AE160" s="282"/>
      <c r="AF160" s="282"/>
      <c r="AG160" s="282"/>
      <c r="AH160" s="282"/>
      <c r="AI160" s="282"/>
      <c r="AJ160" s="282"/>
      <c r="AK160" s="282"/>
      <c r="AL160" s="294"/>
      <c r="AM160" s="296"/>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94"/>
      <c r="BJ160" s="282"/>
      <c r="BK160" s="285"/>
      <c r="BM160" s="4">
        <f t="shared" si="2"/>
        <v>3</v>
      </c>
    </row>
    <row r="161" spans="1:65" ht="15" customHeight="1" x14ac:dyDescent="0.25">
      <c r="A161" s="284"/>
      <c r="B161" s="296"/>
      <c r="C161" s="282"/>
      <c r="D161" s="282"/>
      <c r="E161" s="282"/>
      <c r="F161" s="282"/>
      <c r="G161" s="282"/>
      <c r="H161" s="282"/>
      <c r="I161" s="282"/>
      <c r="J161" s="282"/>
      <c r="K161" s="294"/>
      <c r="L161" s="296"/>
      <c r="M161" s="282"/>
      <c r="N161" s="282"/>
      <c r="O161" s="282"/>
      <c r="P161" s="282"/>
      <c r="Q161" s="282"/>
      <c r="R161" s="282"/>
      <c r="S161" s="282"/>
      <c r="T161" s="294"/>
      <c r="U161" s="296"/>
      <c r="V161" s="282"/>
      <c r="W161" s="282"/>
      <c r="X161" s="282"/>
      <c r="Y161" s="282"/>
      <c r="Z161" s="282"/>
      <c r="AA161" s="282"/>
      <c r="AB161" s="282"/>
      <c r="AC161" s="294"/>
      <c r="AD161" s="296"/>
      <c r="AE161" s="282"/>
      <c r="AF161" s="282"/>
      <c r="AG161" s="282"/>
      <c r="AH161" s="282"/>
      <c r="AI161" s="282"/>
      <c r="AJ161" s="282"/>
      <c r="AK161" s="282"/>
      <c r="AL161" s="294"/>
      <c r="AM161" s="296"/>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94"/>
      <c r="BJ161" s="282"/>
      <c r="BK161" s="285"/>
      <c r="BM161" s="4">
        <f t="shared" si="2"/>
        <v>4</v>
      </c>
    </row>
    <row r="162" spans="1:65" ht="15" customHeight="1" x14ac:dyDescent="0.25">
      <c r="A162" s="284"/>
      <c r="B162" s="296"/>
      <c r="C162" s="282"/>
      <c r="D162" s="282"/>
      <c r="E162" s="282"/>
      <c r="F162" s="282"/>
      <c r="G162" s="282"/>
      <c r="H162" s="282"/>
      <c r="I162" s="282"/>
      <c r="J162" s="282"/>
      <c r="K162" s="294"/>
      <c r="L162" s="296"/>
      <c r="M162" s="282"/>
      <c r="N162" s="282"/>
      <c r="O162" s="282"/>
      <c r="P162" s="282"/>
      <c r="Q162" s="282"/>
      <c r="R162" s="282"/>
      <c r="S162" s="282"/>
      <c r="T162" s="294"/>
      <c r="U162" s="296"/>
      <c r="V162" s="282"/>
      <c r="W162" s="282"/>
      <c r="X162" s="282"/>
      <c r="Y162" s="282"/>
      <c r="Z162" s="282"/>
      <c r="AA162" s="282"/>
      <c r="AB162" s="282"/>
      <c r="AC162" s="294"/>
      <c r="AD162" s="296"/>
      <c r="AE162" s="282"/>
      <c r="AF162" s="282"/>
      <c r="AG162" s="282"/>
      <c r="AH162" s="282"/>
      <c r="AI162" s="282"/>
      <c r="AJ162" s="282"/>
      <c r="AK162" s="282"/>
      <c r="AL162" s="294"/>
      <c r="AM162" s="296"/>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94"/>
      <c r="BJ162" s="282"/>
      <c r="BK162" s="285"/>
      <c r="BM162" s="4">
        <f t="shared" si="2"/>
        <v>5</v>
      </c>
    </row>
    <row r="163" spans="1:65" ht="15" customHeight="1" x14ac:dyDescent="0.25">
      <c r="A163" s="284"/>
      <c r="B163" s="296"/>
      <c r="C163" s="282"/>
      <c r="D163" s="282"/>
      <c r="E163" s="282"/>
      <c r="F163" s="282"/>
      <c r="G163" s="282"/>
      <c r="H163" s="282"/>
      <c r="I163" s="282"/>
      <c r="J163" s="282"/>
      <c r="K163" s="294"/>
      <c r="L163" s="296"/>
      <c r="M163" s="282"/>
      <c r="N163" s="282"/>
      <c r="O163" s="282"/>
      <c r="P163" s="282"/>
      <c r="Q163" s="282"/>
      <c r="R163" s="282"/>
      <c r="S163" s="282"/>
      <c r="T163" s="294"/>
      <c r="U163" s="296"/>
      <c r="V163" s="282"/>
      <c r="W163" s="282"/>
      <c r="X163" s="282"/>
      <c r="Y163" s="282"/>
      <c r="Z163" s="282"/>
      <c r="AA163" s="282"/>
      <c r="AB163" s="282"/>
      <c r="AC163" s="294"/>
      <c r="AD163" s="296"/>
      <c r="AE163" s="282"/>
      <c r="AF163" s="282"/>
      <c r="AG163" s="282"/>
      <c r="AH163" s="282"/>
      <c r="AI163" s="282"/>
      <c r="AJ163" s="282"/>
      <c r="AK163" s="282"/>
      <c r="AL163" s="294"/>
      <c r="AM163" s="296"/>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94"/>
      <c r="BJ163" s="282"/>
      <c r="BK163" s="285"/>
      <c r="BM163" s="4">
        <f t="shared" si="2"/>
        <v>6</v>
      </c>
    </row>
    <row r="164" spans="1:65" ht="15" customHeight="1" x14ac:dyDescent="0.25">
      <c r="A164" s="284"/>
      <c r="B164" s="296"/>
      <c r="C164" s="282"/>
      <c r="D164" s="282"/>
      <c r="E164" s="282"/>
      <c r="F164" s="282"/>
      <c r="G164" s="282"/>
      <c r="H164" s="282"/>
      <c r="I164" s="282"/>
      <c r="J164" s="282"/>
      <c r="K164" s="294"/>
      <c r="L164" s="296"/>
      <c r="M164" s="282"/>
      <c r="N164" s="282"/>
      <c r="O164" s="282"/>
      <c r="P164" s="282"/>
      <c r="Q164" s="282"/>
      <c r="R164" s="282"/>
      <c r="S164" s="282"/>
      <c r="T164" s="294"/>
      <c r="U164" s="296"/>
      <c r="V164" s="282"/>
      <c r="W164" s="282"/>
      <c r="X164" s="282"/>
      <c r="Y164" s="282"/>
      <c r="Z164" s="282"/>
      <c r="AA164" s="282"/>
      <c r="AB164" s="282"/>
      <c r="AC164" s="294"/>
      <c r="AD164" s="296"/>
      <c r="AE164" s="282"/>
      <c r="AF164" s="282"/>
      <c r="AG164" s="282"/>
      <c r="AH164" s="282"/>
      <c r="AI164" s="282"/>
      <c r="AJ164" s="282"/>
      <c r="AK164" s="282"/>
      <c r="AL164" s="294"/>
      <c r="AM164" s="296"/>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94"/>
      <c r="BJ164" s="282"/>
      <c r="BK164" s="285"/>
      <c r="BM164" s="4">
        <f t="shared" si="2"/>
        <v>7</v>
      </c>
    </row>
    <row r="165" spans="1:65" ht="15" customHeight="1" x14ac:dyDescent="0.25">
      <c r="A165" s="284"/>
      <c r="B165" s="296"/>
      <c r="C165" s="282"/>
      <c r="D165" s="282"/>
      <c r="E165" s="282"/>
      <c r="F165" s="282"/>
      <c r="G165" s="282"/>
      <c r="H165" s="282"/>
      <c r="I165" s="282"/>
      <c r="J165" s="282"/>
      <c r="K165" s="294"/>
      <c r="L165" s="296"/>
      <c r="M165" s="282"/>
      <c r="N165" s="282"/>
      <c r="O165" s="282"/>
      <c r="P165" s="282"/>
      <c r="Q165" s="282"/>
      <c r="R165" s="282"/>
      <c r="S165" s="282"/>
      <c r="T165" s="294"/>
      <c r="U165" s="296"/>
      <c r="V165" s="282"/>
      <c r="W165" s="282"/>
      <c r="X165" s="282"/>
      <c r="Y165" s="282"/>
      <c r="Z165" s="282"/>
      <c r="AA165" s="282"/>
      <c r="AB165" s="282"/>
      <c r="AC165" s="294"/>
      <c r="AD165" s="296"/>
      <c r="AE165" s="282"/>
      <c r="AF165" s="282"/>
      <c r="AG165" s="282"/>
      <c r="AH165" s="282"/>
      <c r="AI165" s="282"/>
      <c r="AJ165" s="282"/>
      <c r="AK165" s="282"/>
      <c r="AL165" s="294"/>
      <c r="AM165" s="296"/>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94"/>
      <c r="BJ165" s="282"/>
      <c r="BK165" s="285"/>
      <c r="BM165" s="4">
        <f t="shared" si="2"/>
        <v>8</v>
      </c>
    </row>
    <row r="166" spans="1:65" ht="15" customHeight="1" x14ac:dyDescent="0.25">
      <c r="A166" s="284"/>
      <c r="B166" s="296"/>
      <c r="C166" s="282"/>
      <c r="D166" s="282"/>
      <c r="E166" s="282"/>
      <c r="F166" s="282"/>
      <c r="G166" s="282"/>
      <c r="H166" s="282"/>
      <c r="I166" s="282"/>
      <c r="J166" s="282"/>
      <c r="K166" s="294"/>
      <c r="L166" s="296"/>
      <c r="M166" s="282"/>
      <c r="N166" s="282"/>
      <c r="O166" s="282"/>
      <c r="P166" s="282"/>
      <c r="Q166" s="282"/>
      <c r="R166" s="282"/>
      <c r="S166" s="282"/>
      <c r="T166" s="294"/>
      <c r="U166" s="296"/>
      <c r="V166" s="282"/>
      <c r="W166" s="282"/>
      <c r="X166" s="282"/>
      <c r="Y166" s="282"/>
      <c r="Z166" s="282"/>
      <c r="AA166" s="282"/>
      <c r="AB166" s="282"/>
      <c r="AC166" s="294"/>
      <c r="AD166" s="296"/>
      <c r="AE166" s="282"/>
      <c r="AF166" s="282"/>
      <c r="AG166" s="282"/>
      <c r="AH166" s="282"/>
      <c r="AI166" s="282"/>
      <c r="AJ166" s="282"/>
      <c r="AK166" s="282"/>
      <c r="AL166" s="294"/>
      <c r="AM166" s="296"/>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94"/>
      <c r="BJ166" s="282"/>
      <c r="BK166" s="285"/>
      <c r="BM166" s="4">
        <f t="shared" si="2"/>
        <v>9</v>
      </c>
    </row>
    <row r="167" spans="1:65" ht="15" customHeight="1" x14ac:dyDescent="0.25">
      <c r="A167" s="284"/>
      <c r="B167" s="296"/>
      <c r="C167" s="282"/>
      <c r="D167" s="282"/>
      <c r="E167" s="282"/>
      <c r="F167" s="282"/>
      <c r="G167" s="282"/>
      <c r="H167" s="282"/>
      <c r="I167" s="282"/>
      <c r="J167" s="282"/>
      <c r="K167" s="294"/>
      <c r="L167" s="296"/>
      <c r="M167" s="282"/>
      <c r="N167" s="282"/>
      <c r="O167" s="282"/>
      <c r="P167" s="282"/>
      <c r="Q167" s="282"/>
      <c r="R167" s="282"/>
      <c r="S167" s="282"/>
      <c r="T167" s="294"/>
      <c r="U167" s="296"/>
      <c r="V167" s="282"/>
      <c r="W167" s="282"/>
      <c r="X167" s="282"/>
      <c r="Y167" s="282"/>
      <c r="Z167" s="282"/>
      <c r="AA167" s="282"/>
      <c r="AB167" s="282"/>
      <c r="AC167" s="294"/>
      <c r="AD167" s="296"/>
      <c r="AE167" s="282"/>
      <c r="AF167" s="282"/>
      <c r="AG167" s="282"/>
      <c r="AH167" s="282"/>
      <c r="AI167" s="282"/>
      <c r="AJ167" s="282"/>
      <c r="AK167" s="282"/>
      <c r="AL167" s="294"/>
      <c r="AM167" s="296"/>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94"/>
      <c r="BJ167" s="282"/>
      <c r="BK167" s="285"/>
      <c r="BM167" s="4">
        <f t="shared" si="2"/>
        <v>10</v>
      </c>
    </row>
    <row r="168" spans="1:65" ht="15" customHeight="1" x14ac:dyDescent="0.25">
      <c r="A168" s="284"/>
      <c r="B168" s="296"/>
      <c r="C168" s="282"/>
      <c r="D168" s="282"/>
      <c r="E168" s="282"/>
      <c r="F168" s="282"/>
      <c r="G168" s="282"/>
      <c r="H168" s="282"/>
      <c r="I168" s="282"/>
      <c r="J168" s="282"/>
      <c r="K168" s="294"/>
      <c r="L168" s="296"/>
      <c r="M168" s="282"/>
      <c r="N168" s="282"/>
      <c r="O168" s="282"/>
      <c r="P168" s="282"/>
      <c r="Q168" s="282"/>
      <c r="R168" s="282"/>
      <c r="S168" s="282"/>
      <c r="T168" s="294"/>
      <c r="U168" s="296"/>
      <c r="V168" s="282"/>
      <c r="W168" s="282"/>
      <c r="X168" s="282"/>
      <c r="Y168" s="282"/>
      <c r="Z168" s="282"/>
      <c r="AA168" s="282"/>
      <c r="AB168" s="282"/>
      <c r="AC168" s="294"/>
      <c r="AD168" s="296"/>
      <c r="AE168" s="282"/>
      <c r="AF168" s="282"/>
      <c r="AG168" s="282"/>
      <c r="AH168" s="282"/>
      <c r="AI168" s="282"/>
      <c r="AJ168" s="282"/>
      <c r="AK168" s="282"/>
      <c r="AL168" s="294"/>
      <c r="AM168" s="296"/>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94"/>
      <c r="BJ168" s="282"/>
      <c r="BK168" s="285"/>
      <c r="BM168" s="4">
        <f t="shared" si="2"/>
        <v>11</v>
      </c>
    </row>
    <row r="169" spans="1:65" ht="15" customHeight="1" x14ac:dyDescent="0.25">
      <c r="A169" s="284"/>
      <c r="B169" s="296"/>
      <c r="C169" s="282"/>
      <c r="D169" s="282"/>
      <c r="E169" s="282"/>
      <c r="F169" s="282"/>
      <c r="G169" s="282"/>
      <c r="H169" s="282"/>
      <c r="I169" s="282"/>
      <c r="J169" s="282"/>
      <c r="K169" s="294"/>
      <c r="L169" s="296"/>
      <c r="M169" s="282"/>
      <c r="N169" s="282"/>
      <c r="O169" s="282"/>
      <c r="P169" s="282"/>
      <c r="Q169" s="282"/>
      <c r="R169" s="282"/>
      <c r="S169" s="282"/>
      <c r="T169" s="294"/>
      <c r="U169" s="296"/>
      <c r="V169" s="282"/>
      <c r="W169" s="282"/>
      <c r="X169" s="282"/>
      <c r="Y169" s="282"/>
      <c r="Z169" s="282"/>
      <c r="AA169" s="282"/>
      <c r="AB169" s="282"/>
      <c r="AC169" s="294"/>
      <c r="AD169" s="296"/>
      <c r="AE169" s="282"/>
      <c r="AF169" s="282"/>
      <c r="AG169" s="282"/>
      <c r="AH169" s="282"/>
      <c r="AI169" s="282"/>
      <c r="AJ169" s="282"/>
      <c r="AK169" s="282"/>
      <c r="AL169" s="294"/>
      <c r="AM169" s="296"/>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94"/>
      <c r="BJ169" s="282"/>
      <c r="BK169" s="285"/>
      <c r="BM169" s="4">
        <f t="shared" si="2"/>
        <v>12</v>
      </c>
    </row>
    <row r="170" spans="1:65" ht="15" customHeight="1" x14ac:dyDescent="0.25">
      <c r="A170" s="284"/>
      <c r="B170" s="296"/>
      <c r="C170" s="282"/>
      <c r="D170" s="282"/>
      <c r="E170" s="282"/>
      <c r="F170" s="282"/>
      <c r="G170" s="282"/>
      <c r="H170" s="282"/>
      <c r="I170" s="282"/>
      <c r="J170" s="282"/>
      <c r="K170" s="294"/>
      <c r="L170" s="296"/>
      <c r="M170" s="282"/>
      <c r="N170" s="282"/>
      <c r="O170" s="282"/>
      <c r="P170" s="282"/>
      <c r="Q170" s="282"/>
      <c r="R170" s="282"/>
      <c r="S170" s="282"/>
      <c r="T170" s="294"/>
      <c r="U170" s="296"/>
      <c r="V170" s="282"/>
      <c r="W170" s="282"/>
      <c r="X170" s="282"/>
      <c r="Y170" s="282"/>
      <c r="Z170" s="282"/>
      <c r="AA170" s="282"/>
      <c r="AB170" s="282"/>
      <c r="AC170" s="294"/>
      <c r="AD170" s="296"/>
      <c r="AE170" s="282"/>
      <c r="AF170" s="282"/>
      <c r="AG170" s="282"/>
      <c r="AH170" s="282"/>
      <c r="AI170" s="282"/>
      <c r="AJ170" s="282"/>
      <c r="AK170" s="282"/>
      <c r="AL170" s="294"/>
      <c r="AM170" s="296"/>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94"/>
      <c r="BJ170" s="282"/>
      <c r="BK170" s="285"/>
      <c r="BM170" s="4">
        <f t="shared" si="2"/>
        <v>13</v>
      </c>
    </row>
    <row r="171" spans="1:65" ht="15" customHeight="1" x14ac:dyDescent="0.25">
      <c r="A171" s="284"/>
      <c r="B171" s="297" t="s">
        <v>38</v>
      </c>
      <c r="C171" s="298"/>
      <c r="D171" s="298"/>
      <c r="E171" s="298"/>
      <c r="F171" s="298"/>
      <c r="G171" s="298"/>
      <c r="H171" s="298"/>
      <c r="I171" s="298"/>
      <c r="J171" s="298"/>
      <c r="K171" s="299"/>
      <c r="L171" s="297"/>
      <c r="M171" s="298"/>
      <c r="N171" s="298"/>
      <c r="O171" s="298"/>
      <c r="P171" s="298"/>
      <c r="Q171" s="298"/>
      <c r="R171" s="298"/>
      <c r="S171" s="298"/>
      <c r="T171" s="299"/>
      <c r="U171" s="297"/>
      <c r="V171" s="298"/>
      <c r="W171" s="298"/>
      <c r="X171" s="298"/>
      <c r="Y171" s="298"/>
      <c r="Z171" s="298"/>
      <c r="AA171" s="298"/>
      <c r="AB171" s="298"/>
      <c r="AC171" s="299"/>
      <c r="AD171" s="297"/>
      <c r="AE171" s="298"/>
      <c r="AF171" s="298"/>
      <c r="AG171" s="298"/>
      <c r="AH171" s="298"/>
      <c r="AI171" s="298"/>
      <c r="AJ171" s="298"/>
      <c r="AK171" s="298"/>
      <c r="AL171" s="299"/>
      <c r="AM171" s="297"/>
      <c r="AN171" s="298"/>
      <c r="AO171" s="298"/>
      <c r="AP171" s="298"/>
      <c r="AQ171" s="298"/>
      <c r="AR171" s="298"/>
      <c r="AS171" s="298"/>
      <c r="AT171" s="298"/>
      <c r="AU171" s="298"/>
      <c r="AV171" s="298"/>
      <c r="AW171" s="298"/>
      <c r="AX171" s="298"/>
      <c r="AY171" s="298"/>
      <c r="AZ171" s="298"/>
      <c r="BA171" s="298"/>
      <c r="BB171" s="298"/>
      <c r="BC171" s="298"/>
      <c r="BD171" s="298"/>
      <c r="BE171" s="298"/>
      <c r="BF171" s="298"/>
      <c r="BG171" s="298"/>
      <c r="BH171" s="298"/>
      <c r="BI171" s="299"/>
      <c r="BJ171" s="298"/>
      <c r="BK171" s="285"/>
      <c r="BM171" s="4">
        <f t="shared" si="2"/>
        <v>14</v>
      </c>
    </row>
    <row r="172" spans="1:65" ht="15" customHeight="1" x14ac:dyDescent="0.25">
      <c r="A172" s="284"/>
      <c r="B172" s="296"/>
      <c r="C172" s="282"/>
      <c r="D172" s="282"/>
      <c r="E172" s="282"/>
      <c r="F172" s="282"/>
      <c r="G172" s="282"/>
      <c r="H172" s="282"/>
      <c r="I172" s="282"/>
      <c r="J172" s="282"/>
      <c r="K172" s="294"/>
      <c r="L172" s="296"/>
      <c r="M172" s="282"/>
      <c r="N172" s="282"/>
      <c r="O172" s="282"/>
      <c r="P172" s="282"/>
      <c r="Q172" s="282"/>
      <c r="R172" s="282"/>
      <c r="S172" s="282"/>
      <c r="T172" s="294"/>
      <c r="U172" s="296"/>
      <c r="V172" s="282"/>
      <c r="W172" s="282"/>
      <c r="X172" s="282"/>
      <c r="Y172" s="282"/>
      <c r="Z172" s="282"/>
      <c r="AA172" s="282"/>
      <c r="AB172" s="282"/>
      <c r="AC172" s="294"/>
      <c r="AD172" s="296"/>
      <c r="AE172" s="282"/>
      <c r="AF172" s="282"/>
      <c r="AG172" s="282"/>
      <c r="AH172" s="282"/>
      <c r="AI172" s="282"/>
      <c r="AJ172" s="282"/>
      <c r="AK172" s="282"/>
      <c r="AL172" s="294"/>
      <c r="AM172" s="296"/>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94"/>
      <c r="BJ172" s="282"/>
      <c r="BK172" s="285"/>
      <c r="BM172" s="4">
        <f t="shared" si="2"/>
        <v>15</v>
      </c>
    </row>
    <row r="173" spans="1:65" ht="15" customHeight="1" x14ac:dyDescent="0.25">
      <c r="A173" s="284"/>
      <c r="B173" s="296"/>
      <c r="C173" s="282"/>
      <c r="D173" s="282"/>
      <c r="E173" s="282"/>
      <c r="F173" s="282"/>
      <c r="G173" s="282"/>
      <c r="H173" s="282"/>
      <c r="I173" s="282"/>
      <c r="J173" s="282"/>
      <c r="K173" s="294"/>
      <c r="L173" s="296"/>
      <c r="M173" s="282"/>
      <c r="N173" s="282"/>
      <c r="O173" s="282"/>
      <c r="P173" s="282"/>
      <c r="Q173" s="282"/>
      <c r="R173" s="282"/>
      <c r="S173" s="282"/>
      <c r="T173" s="294"/>
      <c r="U173" s="296"/>
      <c r="V173" s="282"/>
      <c r="W173" s="282"/>
      <c r="X173" s="282"/>
      <c r="Y173" s="282"/>
      <c r="Z173" s="282"/>
      <c r="AA173" s="282"/>
      <c r="AB173" s="282"/>
      <c r="AC173" s="294"/>
      <c r="AD173" s="296"/>
      <c r="AE173" s="282"/>
      <c r="AF173" s="282"/>
      <c r="AG173" s="282"/>
      <c r="AH173" s="282"/>
      <c r="AI173" s="282"/>
      <c r="AJ173" s="282"/>
      <c r="AK173" s="282"/>
      <c r="AL173" s="294"/>
      <c r="AM173" s="296"/>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94"/>
      <c r="BJ173" s="282"/>
      <c r="BK173" s="285"/>
      <c r="BM173" s="4">
        <f t="shared" si="2"/>
        <v>16</v>
      </c>
    </row>
    <row r="174" spans="1:65" ht="15" customHeight="1" x14ac:dyDescent="0.25">
      <c r="A174" s="284"/>
      <c r="B174" s="296"/>
      <c r="C174" s="282"/>
      <c r="D174" s="282"/>
      <c r="E174" s="282"/>
      <c r="F174" s="282"/>
      <c r="G174" s="282"/>
      <c r="H174" s="282"/>
      <c r="I174" s="282"/>
      <c r="J174" s="282"/>
      <c r="K174" s="294"/>
      <c r="L174" s="296"/>
      <c r="M174" s="282"/>
      <c r="N174" s="282"/>
      <c r="O174" s="282"/>
      <c r="P174" s="282"/>
      <c r="Q174" s="282"/>
      <c r="R174" s="282"/>
      <c r="S174" s="282"/>
      <c r="T174" s="294"/>
      <c r="U174" s="296"/>
      <c r="V174" s="282"/>
      <c r="W174" s="282"/>
      <c r="X174" s="282"/>
      <c r="Y174" s="282"/>
      <c r="Z174" s="282"/>
      <c r="AA174" s="282"/>
      <c r="AB174" s="282"/>
      <c r="AC174" s="294"/>
      <c r="AD174" s="296"/>
      <c r="AE174" s="282"/>
      <c r="AF174" s="282"/>
      <c r="AG174" s="282"/>
      <c r="AH174" s="282"/>
      <c r="AI174" s="282"/>
      <c r="AJ174" s="282"/>
      <c r="AK174" s="282"/>
      <c r="AL174" s="294"/>
      <c r="AM174" s="296"/>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94"/>
      <c r="BJ174" s="282"/>
      <c r="BK174" s="285"/>
      <c r="BM174" s="4">
        <f t="shared" si="2"/>
        <v>17</v>
      </c>
    </row>
    <row r="175" spans="1:65" ht="15" customHeight="1" x14ac:dyDescent="0.25">
      <c r="A175" s="284"/>
      <c r="B175" s="296"/>
      <c r="C175" s="282"/>
      <c r="D175" s="282"/>
      <c r="E175" s="282"/>
      <c r="F175" s="282"/>
      <c r="G175" s="282"/>
      <c r="H175" s="282"/>
      <c r="I175" s="282"/>
      <c r="J175" s="282"/>
      <c r="K175" s="294"/>
      <c r="L175" s="296"/>
      <c r="M175" s="282"/>
      <c r="N175" s="282"/>
      <c r="O175" s="282"/>
      <c r="P175" s="282"/>
      <c r="Q175" s="282"/>
      <c r="R175" s="282"/>
      <c r="S175" s="282"/>
      <c r="T175" s="294"/>
      <c r="U175" s="296"/>
      <c r="V175" s="282"/>
      <c r="W175" s="282"/>
      <c r="X175" s="282"/>
      <c r="Y175" s="282"/>
      <c r="Z175" s="282"/>
      <c r="AA175" s="282"/>
      <c r="AB175" s="282"/>
      <c r="AC175" s="294"/>
      <c r="AD175" s="296"/>
      <c r="AE175" s="282"/>
      <c r="AF175" s="282"/>
      <c r="AG175" s="282"/>
      <c r="AH175" s="282"/>
      <c r="AI175" s="282"/>
      <c r="AJ175" s="282"/>
      <c r="AK175" s="282"/>
      <c r="AL175" s="294"/>
      <c r="AM175" s="296"/>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94"/>
      <c r="BJ175" s="282"/>
      <c r="BK175" s="285"/>
      <c r="BM175" s="4">
        <f t="shared" si="2"/>
        <v>18</v>
      </c>
    </row>
    <row r="176" spans="1:65" ht="15" customHeight="1" x14ac:dyDescent="0.25">
      <c r="A176" s="284"/>
      <c r="B176" s="296"/>
      <c r="C176" s="282"/>
      <c r="D176" s="282"/>
      <c r="E176" s="282"/>
      <c r="F176" s="282"/>
      <c r="G176" s="282"/>
      <c r="H176" s="282"/>
      <c r="I176" s="282"/>
      <c r="J176" s="282"/>
      <c r="K176" s="294"/>
      <c r="L176" s="296"/>
      <c r="M176" s="282"/>
      <c r="N176" s="282"/>
      <c r="O176" s="282"/>
      <c r="P176" s="282"/>
      <c r="Q176" s="282"/>
      <c r="R176" s="282"/>
      <c r="S176" s="282"/>
      <c r="T176" s="294"/>
      <c r="U176" s="296"/>
      <c r="V176" s="282"/>
      <c r="W176" s="282"/>
      <c r="X176" s="282"/>
      <c r="Y176" s="282"/>
      <c r="Z176" s="282"/>
      <c r="AA176" s="282"/>
      <c r="AB176" s="282"/>
      <c r="AC176" s="294"/>
      <c r="AD176" s="296"/>
      <c r="AE176" s="282"/>
      <c r="AF176" s="282"/>
      <c r="AG176" s="282"/>
      <c r="AH176" s="282"/>
      <c r="AI176" s="282"/>
      <c r="AJ176" s="282"/>
      <c r="AK176" s="282"/>
      <c r="AL176" s="294"/>
      <c r="AM176" s="296"/>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94"/>
      <c r="BJ176" s="282"/>
      <c r="BK176" s="285"/>
      <c r="BM176" s="4">
        <f t="shared" si="2"/>
        <v>19</v>
      </c>
    </row>
    <row r="177" spans="1:65" ht="15" customHeight="1" x14ac:dyDescent="0.25">
      <c r="A177" s="284"/>
      <c r="B177" s="296"/>
      <c r="C177" s="282"/>
      <c r="D177" s="282"/>
      <c r="E177" s="282"/>
      <c r="F177" s="282"/>
      <c r="G177" s="282"/>
      <c r="H177" s="282"/>
      <c r="I177" s="282"/>
      <c r="J177" s="282"/>
      <c r="K177" s="294"/>
      <c r="L177" s="296"/>
      <c r="M177" s="282"/>
      <c r="N177" s="282"/>
      <c r="O177" s="282"/>
      <c r="P177" s="282"/>
      <c r="Q177" s="282"/>
      <c r="R177" s="282"/>
      <c r="S177" s="282"/>
      <c r="T177" s="294"/>
      <c r="U177" s="296"/>
      <c r="V177" s="282"/>
      <c r="W177" s="282"/>
      <c r="X177" s="282"/>
      <c r="Y177" s="282"/>
      <c r="Z177" s="282"/>
      <c r="AA177" s="282"/>
      <c r="AB177" s="282"/>
      <c r="AC177" s="294"/>
      <c r="AD177" s="296"/>
      <c r="AE177" s="282"/>
      <c r="AF177" s="282"/>
      <c r="AG177" s="282"/>
      <c r="AH177" s="282"/>
      <c r="AI177" s="282"/>
      <c r="AJ177" s="282"/>
      <c r="AK177" s="282"/>
      <c r="AL177" s="294"/>
      <c r="AM177" s="296"/>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94"/>
      <c r="BJ177" s="282"/>
      <c r="BK177" s="285"/>
      <c r="BM177" s="4">
        <f t="shared" si="2"/>
        <v>20</v>
      </c>
    </row>
    <row r="178" spans="1:65" ht="15" customHeight="1" x14ac:dyDescent="0.25">
      <c r="A178" s="284"/>
      <c r="B178" s="296"/>
      <c r="C178" s="282"/>
      <c r="D178" s="282"/>
      <c r="E178" s="282"/>
      <c r="F178" s="282"/>
      <c r="G178" s="282"/>
      <c r="H178" s="282"/>
      <c r="I178" s="282"/>
      <c r="J178" s="282"/>
      <c r="K178" s="294"/>
      <c r="L178" s="296"/>
      <c r="M178" s="282"/>
      <c r="N178" s="282"/>
      <c r="O178" s="282"/>
      <c r="P178" s="282"/>
      <c r="Q178" s="282"/>
      <c r="R178" s="282"/>
      <c r="S178" s="282"/>
      <c r="T178" s="294"/>
      <c r="U178" s="296"/>
      <c r="V178" s="282"/>
      <c r="W178" s="282"/>
      <c r="X178" s="282"/>
      <c r="Y178" s="282"/>
      <c r="Z178" s="282"/>
      <c r="AA178" s="282"/>
      <c r="AB178" s="282"/>
      <c r="AC178" s="294"/>
      <c r="AD178" s="296"/>
      <c r="AE178" s="282"/>
      <c r="AF178" s="282"/>
      <c r="AG178" s="282"/>
      <c r="AH178" s="282"/>
      <c r="AI178" s="282"/>
      <c r="AJ178" s="282"/>
      <c r="AK178" s="282"/>
      <c r="AL178" s="294"/>
      <c r="AM178" s="296"/>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94"/>
      <c r="BJ178" s="282"/>
      <c r="BK178" s="285"/>
      <c r="BM178" s="4">
        <f t="shared" si="2"/>
        <v>21</v>
      </c>
    </row>
    <row r="179" spans="1:65" ht="15" customHeight="1" x14ac:dyDescent="0.25">
      <c r="A179" s="284"/>
      <c r="B179" s="296"/>
      <c r="C179" s="282"/>
      <c r="D179" s="282"/>
      <c r="E179" s="282"/>
      <c r="F179" s="282"/>
      <c r="G179" s="282"/>
      <c r="H179" s="282"/>
      <c r="I179" s="282"/>
      <c r="J179" s="282"/>
      <c r="K179" s="294"/>
      <c r="L179" s="296"/>
      <c r="M179" s="282"/>
      <c r="N179" s="282"/>
      <c r="O179" s="282"/>
      <c r="P179" s="282"/>
      <c r="Q179" s="282"/>
      <c r="R179" s="282"/>
      <c r="S179" s="282"/>
      <c r="T179" s="294"/>
      <c r="U179" s="296"/>
      <c r="V179" s="282"/>
      <c r="W179" s="282"/>
      <c r="X179" s="282"/>
      <c r="Y179" s="282"/>
      <c r="Z179" s="282"/>
      <c r="AA179" s="282"/>
      <c r="AB179" s="282"/>
      <c r="AC179" s="294"/>
      <c r="AD179" s="296"/>
      <c r="AE179" s="282"/>
      <c r="AF179" s="282"/>
      <c r="AG179" s="282"/>
      <c r="AH179" s="282"/>
      <c r="AI179" s="282"/>
      <c r="AJ179" s="282"/>
      <c r="AK179" s="282"/>
      <c r="AL179" s="294"/>
      <c r="AM179" s="296"/>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94"/>
      <c r="BJ179" s="282"/>
      <c r="BK179" s="285"/>
      <c r="BM179" s="4">
        <f t="shared" si="2"/>
        <v>22</v>
      </c>
    </row>
    <row r="180" spans="1:65" ht="15" customHeight="1" x14ac:dyDescent="0.25">
      <c r="A180" s="284"/>
      <c r="B180" s="296"/>
      <c r="C180" s="282"/>
      <c r="D180" s="282"/>
      <c r="E180" s="282"/>
      <c r="F180" s="282"/>
      <c r="G180" s="282"/>
      <c r="H180" s="282"/>
      <c r="I180" s="282"/>
      <c r="J180" s="282"/>
      <c r="K180" s="294"/>
      <c r="L180" s="296"/>
      <c r="M180" s="282"/>
      <c r="N180" s="282"/>
      <c r="O180" s="282"/>
      <c r="P180" s="282"/>
      <c r="Q180" s="282"/>
      <c r="R180" s="282"/>
      <c r="S180" s="282"/>
      <c r="T180" s="294"/>
      <c r="U180" s="296"/>
      <c r="V180" s="282"/>
      <c r="W180" s="282"/>
      <c r="X180" s="282"/>
      <c r="Y180" s="282"/>
      <c r="Z180" s="282"/>
      <c r="AA180" s="282"/>
      <c r="AB180" s="282"/>
      <c r="AC180" s="294"/>
      <c r="AD180" s="296"/>
      <c r="AE180" s="282"/>
      <c r="AF180" s="282"/>
      <c r="AG180" s="282"/>
      <c r="AH180" s="282"/>
      <c r="AI180" s="282"/>
      <c r="AJ180" s="282"/>
      <c r="AK180" s="282"/>
      <c r="AL180" s="294"/>
      <c r="AM180" s="296"/>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94"/>
      <c r="BJ180" s="282"/>
      <c r="BK180" s="285"/>
      <c r="BM180" s="4">
        <f t="shared" si="2"/>
        <v>23</v>
      </c>
    </row>
    <row r="181" spans="1:65" ht="15" customHeight="1" x14ac:dyDescent="0.25">
      <c r="A181" s="284"/>
      <c r="B181" s="296"/>
      <c r="C181" s="282"/>
      <c r="D181" s="282"/>
      <c r="E181" s="282"/>
      <c r="F181" s="282"/>
      <c r="G181" s="282"/>
      <c r="H181" s="282"/>
      <c r="I181" s="282"/>
      <c r="J181" s="282"/>
      <c r="K181" s="294"/>
      <c r="L181" s="296"/>
      <c r="M181" s="282"/>
      <c r="N181" s="282"/>
      <c r="O181" s="282"/>
      <c r="P181" s="282"/>
      <c r="Q181" s="282"/>
      <c r="R181" s="282"/>
      <c r="S181" s="282"/>
      <c r="T181" s="294"/>
      <c r="U181" s="296"/>
      <c r="V181" s="282"/>
      <c r="W181" s="282"/>
      <c r="X181" s="282"/>
      <c r="Y181" s="282"/>
      <c r="Z181" s="282"/>
      <c r="AA181" s="282"/>
      <c r="AB181" s="282"/>
      <c r="AC181" s="294"/>
      <c r="AD181" s="296"/>
      <c r="AE181" s="282"/>
      <c r="AF181" s="282"/>
      <c r="AG181" s="282"/>
      <c r="AH181" s="282"/>
      <c r="AI181" s="282"/>
      <c r="AJ181" s="282"/>
      <c r="AK181" s="282"/>
      <c r="AL181" s="294"/>
      <c r="AM181" s="296"/>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94"/>
      <c r="BJ181" s="282"/>
      <c r="BK181" s="285"/>
      <c r="BM181" s="4">
        <f t="shared" si="2"/>
        <v>24</v>
      </c>
    </row>
    <row r="182" spans="1:65" ht="15" customHeight="1" x14ac:dyDescent="0.25">
      <c r="A182" s="284"/>
      <c r="B182" s="296"/>
      <c r="C182" s="282"/>
      <c r="D182" s="282"/>
      <c r="E182" s="282"/>
      <c r="F182" s="282"/>
      <c r="G182" s="282"/>
      <c r="H182" s="282"/>
      <c r="I182" s="282"/>
      <c r="J182" s="282"/>
      <c r="K182" s="294"/>
      <c r="L182" s="296"/>
      <c r="M182" s="282"/>
      <c r="N182" s="282"/>
      <c r="O182" s="282"/>
      <c r="P182" s="282"/>
      <c r="Q182" s="282"/>
      <c r="R182" s="282"/>
      <c r="S182" s="282"/>
      <c r="T182" s="294"/>
      <c r="U182" s="296"/>
      <c r="V182" s="282"/>
      <c r="W182" s="282"/>
      <c r="X182" s="282"/>
      <c r="Y182" s="282"/>
      <c r="Z182" s="282"/>
      <c r="AA182" s="282"/>
      <c r="AB182" s="282"/>
      <c r="AC182" s="294"/>
      <c r="AD182" s="296"/>
      <c r="AE182" s="282"/>
      <c r="AF182" s="282"/>
      <c r="AG182" s="282"/>
      <c r="AH182" s="282"/>
      <c r="AI182" s="282"/>
      <c r="AJ182" s="282"/>
      <c r="AK182" s="282"/>
      <c r="AL182" s="294"/>
      <c r="AM182" s="296"/>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94"/>
      <c r="BJ182" s="282"/>
      <c r="BK182" s="285"/>
      <c r="BM182" s="4">
        <f t="shared" si="2"/>
        <v>25</v>
      </c>
    </row>
    <row r="183" spans="1:65" ht="15" customHeight="1" x14ac:dyDescent="0.25">
      <c r="A183" s="284"/>
      <c r="B183" s="296"/>
      <c r="C183" s="282"/>
      <c r="D183" s="282"/>
      <c r="E183" s="282"/>
      <c r="F183" s="282"/>
      <c r="G183" s="282"/>
      <c r="H183" s="282"/>
      <c r="I183" s="282"/>
      <c r="J183" s="282"/>
      <c r="K183" s="294"/>
      <c r="L183" s="296"/>
      <c r="M183" s="282"/>
      <c r="N183" s="282"/>
      <c r="O183" s="282"/>
      <c r="P183" s="282"/>
      <c r="Q183" s="282"/>
      <c r="R183" s="282"/>
      <c r="S183" s="282"/>
      <c r="T183" s="294"/>
      <c r="U183" s="296"/>
      <c r="V183" s="282"/>
      <c r="W183" s="282"/>
      <c r="X183" s="282"/>
      <c r="Y183" s="282"/>
      <c r="Z183" s="282"/>
      <c r="AA183" s="282"/>
      <c r="AB183" s="282"/>
      <c r="AC183" s="294"/>
      <c r="AD183" s="296"/>
      <c r="AE183" s="282"/>
      <c r="AF183" s="282"/>
      <c r="AG183" s="282"/>
      <c r="AH183" s="282"/>
      <c r="AI183" s="282"/>
      <c r="AJ183" s="282"/>
      <c r="AK183" s="282"/>
      <c r="AL183" s="294"/>
      <c r="AM183" s="296"/>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94"/>
      <c r="BJ183" s="282"/>
      <c r="BK183" s="285"/>
      <c r="BM183" s="4">
        <f t="shared" si="2"/>
        <v>26</v>
      </c>
    </row>
    <row r="184" spans="1:65" ht="15" customHeight="1" x14ac:dyDescent="0.25">
      <c r="A184" s="284"/>
      <c r="B184" s="296"/>
      <c r="C184" s="282"/>
      <c r="D184" s="282"/>
      <c r="E184" s="282"/>
      <c r="F184" s="282"/>
      <c r="G184" s="282"/>
      <c r="H184" s="282"/>
      <c r="I184" s="282"/>
      <c r="J184" s="282"/>
      <c r="K184" s="294"/>
      <c r="L184" s="296"/>
      <c r="M184" s="282"/>
      <c r="N184" s="282"/>
      <c r="O184" s="282"/>
      <c r="P184" s="282"/>
      <c r="Q184" s="282"/>
      <c r="R184" s="282"/>
      <c r="S184" s="282"/>
      <c r="T184" s="294"/>
      <c r="U184" s="296"/>
      <c r="V184" s="282"/>
      <c r="W184" s="282"/>
      <c r="X184" s="282"/>
      <c r="Y184" s="282"/>
      <c r="Z184" s="282"/>
      <c r="AA184" s="282"/>
      <c r="AB184" s="282"/>
      <c r="AC184" s="294"/>
      <c r="AD184" s="296"/>
      <c r="AE184" s="282"/>
      <c r="AF184" s="282"/>
      <c r="AG184" s="282"/>
      <c r="AH184" s="282"/>
      <c r="AI184" s="282"/>
      <c r="AJ184" s="282"/>
      <c r="AK184" s="282"/>
      <c r="AL184" s="294"/>
      <c r="AM184" s="296"/>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94"/>
      <c r="BJ184" s="282"/>
      <c r="BK184" s="285"/>
      <c r="BM184" s="4">
        <f t="shared" si="2"/>
        <v>27</v>
      </c>
    </row>
    <row r="185" spans="1:65" ht="15" customHeight="1" x14ac:dyDescent="0.25">
      <c r="A185" s="284"/>
      <c r="B185" s="296"/>
      <c r="C185" s="282"/>
      <c r="D185" s="282"/>
      <c r="E185" s="282"/>
      <c r="F185" s="282"/>
      <c r="G185" s="282"/>
      <c r="H185" s="282"/>
      <c r="I185" s="282"/>
      <c r="J185" s="282"/>
      <c r="K185" s="294"/>
      <c r="L185" s="296"/>
      <c r="M185" s="282"/>
      <c r="N185" s="282"/>
      <c r="O185" s="282"/>
      <c r="P185" s="282"/>
      <c r="Q185" s="282"/>
      <c r="R185" s="282"/>
      <c r="S185" s="282"/>
      <c r="T185" s="294"/>
      <c r="U185" s="296"/>
      <c r="V185" s="282"/>
      <c r="W185" s="282"/>
      <c r="X185" s="282"/>
      <c r="Y185" s="282"/>
      <c r="Z185" s="282"/>
      <c r="AA185" s="282"/>
      <c r="AB185" s="282"/>
      <c r="AC185" s="294"/>
      <c r="AD185" s="296"/>
      <c r="AE185" s="282"/>
      <c r="AF185" s="282"/>
      <c r="AG185" s="282"/>
      <c r="AH185" s="282"/>
      <c r="AI185" s="282"/>
      <c r="AJ185" s="282"/>
      <c r="AK185" s="282"/>
      <c r="AL185" s="294"/>
      <c r="AM185" s="296"/>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94"/>
      <c r="BJ185" s="282"/>
      <c r="BK185" s="285"/>
      <c r="BM185" s="4">
        <f t="shared" si="2"/>
        <v>28</v>
      </c>
    </row>
    <row r="186" spans="1:65" ht="15" customHeight="1" x14ac:dyDescent="0.25">
      <c r="A186" s="284"/>
      <c r="B186" s="296"/>
      <c r="C186" s="282"/>
      <c r="D186" s="282"/>
      <c r="E186" s="282"/>
      <c r="F186" s="282"/>
      <c r="G186" s="282"/>
      <c r="H186" s="282"/>
      <c r="I186" s="282"/>
      <c r="J186" s="282"/>
      <c r="K186" s="294"/>
      <c r="L186" s="296"/>
      <c r="M186" s="282"/>
      <c r="N186" s="282"/>
      <c r="O186" s="282"/>
      <c r="P186" s="282"/>
      <c r="Q186" s="282"/>
      <c r="R186" s="282"/>
      <c r="S186" s="282"/>
      <c r="T186" s="294"/>
      <c r="U186" s="296"/>
      <c r="V186" s="282"/>
      <c r="W186" s="282"/>
      <c r="X186" s="282"/>
      <c r="Y186" s="282"/>
      <c r="Z186" s="282"/>
      <c r="AA186" s="282"/>
      <c r="AB186" s="282"/>
      <c r="AC186" s="294"/>
      <c r="AD186" s="296"/>
      <c r="AE186" s="282"/>
      <c r="AF186" s="282"/>
      <c r="AG186" s="282"/>
      <c r="AH186" s="282"/>
      <c r="AI186" s="282"/>
      <c r="AJ186" s="282"/>
      <c r="AK186" s="282"/>
      <c r="AL186" s="294"/>
      <c r="AM186" s="296"/>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94"/>
      <c r="BJ186" s="282"/>
      <c r="BK186" s="285"/>
      <c r="BM186" s="4">
        <f t="shared" si="2"/>
        <v>29</v>
      </c>
    </row>
    <row r="187" spans="1:65" ht="15" customHeight="1" x14ac:dyDescent="0.25">
      <c r="A187" s="284"/>
      <c r="B187" s="296"/>
      <c r="C187" s="282"/>
      <c r="D187" s="282"/>
      <c r="E187" s="282"/>
      <c r="F187" s="282"/>
      <c r="G187" s="282"/>
      <c r="H187" s="282"/>
      <c r="I187" s="282"/>
      <c r="J187" s="282"/>
      <c r="K187" s="294"/>
      <c r="L187" s="296"/>
      <c r="M187" s="282"/>
      <c r="N187" s="282"/>
      <c r="O187" s="282"/>
      <c r="P187" s="282"/>
      <c r="Q187" s="282"/>
      <c r="R187" s="282"/>
      <c r="S187" s="282"/>
      <c r="T187" s="294"/>
      <c r="U187" s="296"/>
      <c r="V187" s="282"/>
      <c r="W187" s="282"/>
      <c r="X187" s="282"/>
      <c r="Y187" s="282"/>
      <c r="Z187" s="282"/>
      <c r="AA187" s="282"/>
      <c r="AB187" s="282"/>
      <c r="AC187" s="294"/>
      <c r="AD187" s="296"/>
      <c r="AE187" s="282"/>
      <c r="AF187" s="282"/>
      <c r="AG187" s="282"/>
      <c r="AH187" s="282"/>
      <c r="AI187" s="282"/>
      <c r="AJ187" s="282"/>
      <c r="AK187" s="282"/>
      <c r="AL187" s="294"/>
      <c r="AM187" s="296"/>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94"/>
      <c r="BJ187" s="282"/>
      <c r="BK187" s="285"/>
      <c r="BM187" s="4">
        <f t="shared" si="2"/>
        <v>30</v>
      </c>
    </row>
    <row r="188" spans="1:65" ht="15" customHeight="1" x14ac:dyDescent="0.25">
      <c r="A188" s="284"/>
      <c r="B188" s="296"/>
      <c r="C188" s="282"/>
      <c r="D188" s="282"/>
      <c r="E188" s="282"/>
      <c r="F188" s="282"/>
      <c r="G188" s="282"/>
      <c r="H188" s="282"/>
      <c r="I188" s="282"/>
      <c r="J188" s="282"/>
      <c r="K188" s="294"/>
      <c r="L188" s="296"/>
      <c r="M188" s="282"/>
      <c r="N188" s="282"/>
      <c r="O188" s="282"/>
      <c r="P188" s="282"/>
      <c r="Q188" s="282"/>
      <c r="R188" s="282"/>
      <c r="S188" s="282"/>
      <c r="T188" s="294"/>
      <c r="U188" s="296"/>
      <c r="V188" s="282"/>
      <c r="W188" s="282"/>
      <c r="X188" s="282"/>
      <c r="Y188" s="282"/>
      <c r="Z188" s="282"/>
      <c r="AA188" s="282"/>
      <c r="AB188" s="282"/>
      <c r="AC188" s="294"/>
      <c r="AD188" s="296"/>
      <c r="AE188" s="282"/>
      <c r="AF188" s="282"/>
      <c r="AG188" s="282"/>
      <c r="AH188" s="282"/>
      <c r="AI188" s="282"/>
      <c r="AJ188" s="282"/>
      <c r="AK188" s="282"/>
      <c r="AL188" s="294"/>
      <c r="AM188" s="296"/>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94"/>
      <c r="BJ188" s="282"/>
      <c r="BK188" s="285"/>
      <c r="BM188" s="4">
        <f t="shared" si="2"/>
        <v>31</v>
      </c>
    </row>
    <row r="189" spans="1:65" ht="15" customHeight="1" x14ac:dyDescent="0.25">
      <c r="A189" s="284"/>
      <c r="B189" s="296"/>
      <c r="C189" s="282"/>
      <c r="D189" s="282"/>
      <c r="E189" s="282"/>
      <c r="F189" s="282"/>
      <c r="G189" s="282"/>
      <c r="H189" s="282"/>
      <c r="I189" s="282"/>
      <c r="J189" s="282"/>
      <c r="K189" s="294"/>
      <c r="L189" s="296"/>
      <c r="M189" s="282"/>
      <c r="N189" s="282"/>
      <c r="O189" s="282"/>
      <c r="P189" s="282"/>
      <c r="Q189" s="282"/>
      <c r="R189" s="282"/>
      <c r="S189" s="282"/>
      <c r="T189" s="294"/>
      <c r="U189" s="296"/>
      <c r="V189" s="282"/>
      <c r="W189" s="282"/>
      <c r="X189" s="282"/>
      <c r="Y189" s="282"/>
      <c r="Z189" s="282"/>
      <c r="AA189" s="282"/>
      <c r="AB189" s="282"/>
      <c r="AC189" s="294"/>
      <c r="AD189" s="296"/>
      <c r="AE189" s="282"/>
      <c r="AF189" s="282"/>
      <c r="AG189" s="282"/>
      <c r="AH189" s="282"/>
      <c r="AI189" s="282"/>
      <c r="AJ189" s="282"/>
      <c r="AK189" s="282"/>
      <c r="AL189" s="294"/>
      <c r="AM189" s="296"/>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94"/>
      <c r="BJ189" s="282"/>
      <c r="BK189" s="285"/>
      <c r="BM189" s="4">
        <f t="shared" si="2"/>
        <v>32</v>
      </c>
    </row>
    <row r="190" spans="1:65" ht="15" customHeight="1" x14ac:dyDescent="0.25">
      <c r="A190" s="284"/>
      <c r="B190" s="296"/>
      <c r="C190" s="282"/>
      <c r="D190" s="282"/>
      <c r="E190" s="282"/>
      <c r="F190" s="282"/>
      <c r="G190" s="282"/>
      <c r="H190" s="282"/>
      <c r="I190" s="282"/>
      <c r="J190" s="282"/>
      <c r="K190" s="294"/>
      <c r="L190" s="296"/>
      <c r="M190" s="282"/>
      <c r="N190" s="282"/>
      <c r="O190" s="282"/>
      <c r="P190" s="282"/>
      <c r="Q190" s="282"/>
      <c r="R190" s="282"/>
      <c r="S190" s="282"/>
      <c r="T190" s="294"/>
      <c r="U190" s="296"/>
      <c r="V190" s="282"/>
      <c r="W190" s="282"/>
      <c r="X190" s="282"/>
      <c r="Y190" s="282"/>
      <c r="Z190" s="282"/>
      <c r="AA190" s="282"/>
      <c r="AB190" s="282"/>
      <c r="AC190" s="294"/>
      <c r="AD190" s="296"/>
      <c r="AE190" s="282"/>
      <c r="AF190" s="282"/>
      <c r="AG190" s="282"/>
      <c r="AH190" s="282"/>
      <c r="AI190" s="282"/>
      <c r="AJ190" s="282"/>
      <c r="AK190" s="282"/>
      <c r="AL190" s="294"/>
      <c r="AM190" s="296"/>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94"/>
      <c r="BJ190" s="282"/>
      <c r="BK190" s="285"/>
      <c r="BM190" s="4">
        <f t="shared" si="2"/>
        <v>33</v>
      </c>
    </row>
    <row r="191" spans="1:65" ht="15" customHeight="1" x14ac:dyDescent="0.25">
      <c r="A191" s="284"/>
      <c r="B191" s="296"/>
      <c r="C191" s="282"/>
      <c r="D191" s="282"/>
      <c r="E191" s="282"/>
      <c r="F191" s="282"/>
      <c r="G191" s="282"/>
      <c r="H191" s="282"/>
      <c r="I191" s="282"/>
      <c r="J191" s="282"/>
      <c r="K191" s="294"/>
      <c r="L191" s="296"/>
      <c r="M191" s="282"/>
      <c r="N191" s="282"/>
      <c r="O191" s="282"/>
      <c r="P191" s="282"/>
      <c r="Q191" s="282"/>
      <c r="R191" s="282"/>
      <c r="S191" s="282"/>
      <c r="T191" s="294"/>
      <c r="U191" s="296"/>
      <c r="V191" s="282"/>
      <c r="W191" s="282"/>
      <c r="X191" s="282"/>
      <c r="Y191" s="282"/>
      <c r="Z191" s="282"/>
      <c r="AA191" s="282"/>
      <c r="AB191" s="282"/>
      <c r="AC191" s="294"/>
      <c r="AD191" s="296"/>
      <c r="AE191" s="282"/>
      <c r="AF191" s="282"/>
      <c r="AG191" s="282"/>
      <c r="AH191" s="282"/>
      <c r="AI191" s="282"/>
      <c r="AJ191" s="282"/>
      <c r="AK191" s="282"/>
      <c r="AL191" s="294"/>
      <c r="AM191" s="296"/>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94"/>
      <c r="BJ191" s="282"/>
      <c r="BK191" s="285"/>
      <c r="BM191" s="4">
        <f t="shared" si="2"/>
        <v>34</v>
      </c>
    </row>
    <row r="192" spans="1:65" ht="15" customHeight="1" x14ac:dyDescent="0.25">
      <c r="A192" s="284"/>
      <c r="B192" s="296"/>
      <c r="C192" s="282"/>
      <c r="D192" s="282"/>
      <c r="E192" s="282"/>
      <c r="F192" s="282"/>
      <c r="G192" s="282"/>
      <c r="H192" s="282"/>
      <c r="I192" s="282"/>
      <c r="J192" s="282"/>
      <c r="K192" s="294"/>
      <c r="L192" s="296"/>
      <c r="M192" s="282"/>
      <c r="N192" s="282"/>
      <c r="O192" s="282"/>
      <c r="P192" s="282"/>
      <c r="Q192" s="282"/>
      <c r="R192" s="282"/>
      <c r="S192" s="282"/>
      <c r="T192" s="294"/>
      <c r="U192" s="296"/>
      <c r="V192" s="282"/>
      <c r="W192" s="282"/>
      <c r="X192" s="282"/>
      <c r="Y192" s="282"/>
      <c r="Z192" s="282"/>
      <c r="AA192" s="282"/>
      <c r="AB192" s="282"/>
      <c r="AC192" s="294"/>
      <c r="AD192" s="296"/>
      <c r="AE192" s="282"/>
      <c r="AF192" s="282"/>
      <c r="AG192" s="282"/>
      <c r="AH192" s="282"/>
      <c r="AI192" s="282"/>
      <c r="AJ192" s="282"/>
      <c r="AK192" s="282"/>
      <c r="AL192" s="294"/>
      <c r="AM192" s="296"/>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94"/>
      <c r="BJ192" s="282"/>
      <c r="BK192" s="285"/>
      <c r="BM192" s="4">
        <f t="shared" si="2"/>
        <v>35</v>
      </c>
    </row>
    <row r="193" spans="1:65" ht="15" customHeight="1" x14ac:dyDescent="0.25">
      <c r="A193" s="284"/>
      <c r="B193" s="296"/>
      <c r="C193" s="282"/>
      <c r="D193" s="282"/>
      <c r="E193" s="282"/>
      <c r="F193" s="282"/>
      <c r="G193" s="282"/>
      <c r="H193" s="282"/>
      <c r="I193" s="282"/>
      <c r="J193" s="282"/>
      <c r="K193" s="294"/>
      <c r="L193" s="296"/>
      <c r="M193" s="282"/>
      <c r="N193" s="282"/>
      <c r="O193" s="282"/>
      <c r="P193" s="282"/>
      <c r="Q193" s="282"/>
      <c r="R193" s="282"/>
      <c r="S193" s="282"/>
      <c r="T193" s="294"/>
      <c r="U193" s="296"/>
      <c r="V193" s="282"/>
      <c r="W193" s="282"/>
      <c r="X193" s="282"/>
      <c r="Y193" s="282"/>
      <c r="Z193" s="282"/>
      <c r="AA193" s="282"/>
      <c r="AB193" s="282"/>
      <c r="AC193" s="294"/>
      <c r="AD193" s="296"/>
      <c r="AE193" s="282"/>
      <c r="AF193" s="282"/>
      <c r="AG193" s="282"/>
      <c r="AH193" s="282"/>
      <c r="AI193" s="282"/>
      <c r="AJ193" s="282"/>
      <c r="AK193" s="282"/>
      <c r="AL193" s="294"/>
      <c r="AM193" s="296"/>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94"/>
      <c r="BJ193" s="282"/>
      <c r="BK193" s="285"/>
      <c r="BM193" s="4">
        <f t="shared" si="2"/>
        <v>36</v>
      </c>
    </row>
    <row r="194" spans="1:65" ht="15" customHeight="1" x14ac:dyDescent="0.25">
      <c r="A194" s="284"/>
      <c r="B194" s="296"/>
      <c r="C194" s="282"/>
      <c r="D194" s="282"/>
      <c r="E194" s="282"/>
      <c r="F194" s="282"/>
      <c r="G194" s="282"/>
      <c r="H194" s="282"/>
      <c r="I194" s="282"/>
      <c r="J194" s="282"/>
      <c r="K194" s="294"/>
      <c r="L194" s="296"/>
      <c r="M194" s="282"/>
      <c r="N194" s="282"/>
      <c r="O194" s="282"/>
      <c r="P194" s="282"/>
      <c r="Q194" s="282"/>
      <c r="R194" s="282"/>
      <c r="S194" s="282"/>
      <c r="T194" s="294"/>
      <c r="U194" s="296"/>
      <c r="V194" s="282"/>
      <c r="W194" s="282"/>
      <c r="X194" s="282"/>
      <c r="Y194" s="282"/>
      <c r="Z194" s="282"/>
      <c r="AA194" s="282"/>
      <c r="AB194" s="282"/>
      <c r="AC194" s="294"/>
      <c r="AD194" s="296"/>
      <c r="AE194" s="282"/>
      <c r="AF194" s="282"/>
      <c r="AG194" s="282"/>
      <c r="AH194" s="282"/>
      <c r="AI194" s="282"/>
      <c r="AJ194" s="282"/>
      <c r="AK194" s="282"/>
      <c r="AL194" s="294"/>
      <c r="AM194" s="296"/>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94"/>
      <c r="BJ194" s="282"/>
      <c r="BK194" s="285"/>
      <c r="BM194" s="4">
        <f t="shared" si="2"/>
        <v>37</v>
      </c>
    </row>
    <row r="195" spans="1:65" ht="15" customHeight="1" x14ac:dyDescent="0.25">
      <c r="A195" s="284"/>
      <c r="B195" s="296"/>
      <c r="C195" s="282"/>
      <c r="D195" s="282"/>
      <c r="E195" s="282"/>
      <c r="F195" s="282"/>
      <c r="G195" s="282"/>
      <c r="H195" s="282"/>
      <c r="I195" s="282"/>
      <c r="J195" s="282"/>
      <c r="K195" s="294"/>
      <c r="L195" s="296"/>
      <c r="M195" s="282"/>
      <c r="N195" s="282"/>
      <c r="O195" s="282"/>
      <c r="P195" s="282"/>
      <c r="Q195" s="282"/>
      <c r="R195" s="282"/>
      <c r="S195" s="282"/>
      <c r="T195" s="294"/>
      <c r="U195" s="296"/>
      <c r="V195" s="282"/>
      <c r="W195" s="282"/>
      <c r="X195" s="282"/>
      <c r="Y195" s="282"/>
      <c r="Z195" s="282"/>
      <c r="AA195" s="282"/>
      <c r="AB195" s="282"/>
      <c r="AC195" s="294"/>
      <c r="AD195" s="296"/>
      <c r="AE195" s="282"/>
      <c r="AF195" s="282"/>
      <c r="AG195" s="282"/>
      <c r="AH195" s="282"/>
      <c r="AI195" s="282"/>
      <c r="AJ195" s="282"/>
      <c r="AK195" s="282"/>
      <c r="AL195" s="294"/>
      <c r="AM195" s="296"/>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94"/>
      <c r="BJ195" s="282"/>
      <c r="BK195" s="285"/>
      <c r="BM195" s="4">
        <f t="shared" si="2"/>
        <v>38</v>
      </c>
    </row>
    <row r="196" spans="1:65" ht="15" customHeight="1" x14ac:dyDescent="0.25">
      <c r="A196" s="284"/>
      <c r="B196" s="296"/>
      <c r="C196" s="282"/>
      <c r="D196" s="282"/>
      <c r="E196" s="282"/>
      <c r="F196" s="282"/>
      <c r="G196" s="282"/>
      <c r="H196" s="282"/>
      <c r="I196" s="282"/>
      <c r="J196" s="282"/>
      <c r="K196" s="294"/>
      <c r="L196" s="296"/>
      <c r="M196" s="282"/>
      <c r="N196" s="282"/>
      <c r="O196" s="282"/>
      <c r="P196" s="282"/>
      <c r="Q196" s="282"/>
      <c r="R196" s="282"/>
      <c r="S196" s="282"/>
      <c r="T196" s="294"/>
      <c r="U196" s="296"/>
      <c r="V196" s="282"/>
      <c r="W196" s="282"/>
      <c r="X196" s="282"/>
      <c r="Y196" s="282"/>
      <c r="Z196" s="282"/>
      <c r="AA196" s="282"/>
      <c r="AB196" s="282"/>
      <c r="AC196" s="294"/>
      <c r="AD196" s="296"/>
      <c r="AE196" s="282"/>
      <c r="AF196" s="282"/>
      <c r="AG196" s="282"/>
      <c r="AH196" s="282"/>
      <c r="AI196" s="282"/>
      <c r="AJ196" s="282"/>
      <c r="AK196" s="282"/>
      <c r="AL196" s="294"/>
      <c r="AM196" s="296"/>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94"/>
      <c r="BJ196" s="282"/>
      <c r="BK196" s="285"/>
      <c r="BM196" s="4">
        <f t="shared" si="2"/>
        <v>39</v>
      </c>
    </row>
    <row r="197" spans="1:65" ht="15" customHeight="1" x14ac:dyDescent="0.25">
      <c r="A197" s="284"/>
      <c r="B197" s="296"/>
      <c r="C197" s="282"/>
      <c r="D197" s="282"/>
      <c r="E197" s="282"/>
      <c r="F197" s="282"/>
      <c r="G197" s="282"/>
      <c r="H197" s="282"/>
      <c r="I197" s="282"/>
      <c r="J197" s="282"/>
      <c r="K197" s="294"/>
      <c r="L197" s="296"/>
      <c r="M197" s="282"/>
      <c r="N197" s="282"/>
      <c r="O197" s="282"/>
      <c r="P197" s="282"/>
      <c r="Q197" s="282"/>
      <c r="R197" s="282"/>
      <c r="S197" s="282"/>
      <c r="T197" s="294"/>
      <c r="U197" s="296"/>
      <c r="V197" s="282"/>
      <c r="W197" s="282"/>
      <c r="X197" s="282"/>
      <c r="Y197" s="282"/>
      <c r="Z197" s="282"/>
      <c r="AA197" s="282"/>
      <c r="AB197" s="282"/>
      <c r="AC197" s="294"/>
      <c r="AD197" s="296"/>
      <c r="AE197" s="282"/>
      <c r="AF197" s="282"/>
      <c r="AG197" s="282"/>
      <c r="AH197" s="282"/>
      <c r="AI197" s="282"/>
      <c r="AJ197" s="282"/>
      <c r="AK197" s="282"/>
      <c r="AL197" s="294"/>
      <c r="AM197" s="296"/>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94"/>
      <c r="BJ197" s="282"/>
      <c r="BK197" s="285"/>
      <c r="BM197" s="4">
        <f t="shared" si="2"/>
        <v>40</v>
      </c>
    </row>
    <row r="198" spans="1:65" ht="15" customHeight="1" x14ac:dyDescent="0.25">
      <c r="A198" s="284"/>
      <c r="B198" s="296"/>
      <c r="C198" s="282"/>
      <c r="D198" s="282"/>
      <c r="E198" s="282"/>
      <c r="F198" s="282"/>
      <c r="G198" s="282"/>
      <c r="H198" s="282"/>
      <c r="I198" s="282"/>
      <c r="J198" s="282"/>
      <c r="K198" s="294"/>
      <c r="L198" s="296"/>
      <c r="M198" s="282"/>
      <c r="N198" s="282"/>
      <c r="O198" s="282"/>
      <c r="P198" s="282"/>
      <c r="Q198" s="282"/>
      <c r="R198" s="282"/>
      <c r="S198" s="282"/>
      <c r="T198" s="294"/>
      <c r="U198" s="296"/>
      <c r="V198" s="282"/>
      <c r="W198" s="282"/>
      <c r="X198" s="282"/>
      <c r="Y198" s="282"/>
      <c r="Z198" s="282"/>
      <c r="AA198" s="282"/>
      <c r="AB198" s="282"/>
      <c r="AC198" s="294"/>
      <c r="AD198" s="296"/>
      <c r="AE198" s="282"/>
      <c r="AF198" s="282"/>
      <c r="AG198" s="282"/>
      <c r="AH198" s="282"/>
      <c r="AI198" s="282"/>
      <c r="AJ198" s="282"/>
      <c r="AK198" s="282"/>
      <c r="AL198" s="294"/>
      <c r="AM198" s="296"/>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94"/>
      <c r="BJ198" s="282"/>
      <c r="BK198" s="285"/>
      <c r="BM198" s="4">
        <f t="shared" si="2"/>
        <v>41</v>
      </c>
    </row>
    <row r="199" spans="1:65" ht="15" customHeight="1" x14ac:dyDescent="0.25">
      <c r="A199" s="284"/>
      <c r="B199" s="296"/>
      <c r="C199" s="282"/>
      <c r="D199" s="282"/>
      <c r="E199" s="282"/>
      <c r="F199" s="282"/>
      <c r="G199" s="282"/>
      <c r="H199" s="282"/>
      <c r="I199" s="282"/>
      <c r="J199" s="282"/>
      <c r="K199" s="294"/>
      <c r="L199" s="296"/>
      <c r="M199" s="282"/>
      <c r="N199" s="282"/>
      <c r="O199" s="282"/>
      <c r="P199" s="282"/>
      <c r="Q199" s="282"/>
      <c r="R199" s="282"/>
      <c r="S199" s="282"/>
      <c r="T199" s="294"/>
      <c r="U199" s="296"/>
      <c r="V199" s="282"/>
      <c r="W199" s="282"/>
      <c r="X199" s="282"/>
      <c r="Y199" s="282"/>
      <c r="Z199" s="282"/>
      <c r="AA199" s="282"/>
      <c r="AB199" s="282"/>
      <c r="AC199" s="294"/>
      <c r="AD199" s="296"/>
      <c r="AE199" s="282"/>
      <c r="AF199" s="282"/>
      <c r="AG199" s="282"/>
      <c r="AH199" s="282"/>
      <c r="AI199" s="282"/>
      <c r="AJ199" s="282"/>
      <c r="AK199" s="282"/>
      <c r="AL199" s="294"/>
      <c r="AM199" s="296"/>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94"/>
      <c r="BJ199" s="282"/>
      <c r="BK199" s="285"/>
      <c r="BM199" s="4">
        <f t="shared" si="2"/>
        <v>42</v>
      </c>
    </row>
    <row r="200" spans="1:65" ht="15" customHeight="1" x14ac:dyDescent="0.25">
      <c r="A200" s="284"/>
      <c r="B200" s="296"/>
      <c r="C200" s="282"/>
      <c r="D200" s="282"/>
      <c r="E200" s="282"/>
      <c r="F200" s="282"/>
      <c r="G200" s="282"/>
      <c r="H200" s="282"/>
      <c r="I200" s="282"/>
      <c r="J200" s="282"/>
      <c r="K200" s="294"/>
      <c r="L200" s="296"/>
      <c r="M200" s="282"/>
      <c r="N200" s="282"/>
      <c r="O200" s="282"/>
      <c r="P200" s="282"/>
      <c r="Q200" s="282"/>
      <c r="R200" s="282"/>
      <c r="S200" s="282"/>
      <c r="T200" s="294"/>
      <c r="U200" s="296"/>
      <c r="V200" s="282"/>
      <c r="W200" s="282"/>
      <c r="X200" s="282"/>
      <c r="Y200" s="282"/>
      <c r="Z200" s="282"/>
      <c r="AA200" s="282"/>
      <c r="AB200" s="282"/>
      <c r="AC200" s="294"/>
      <c r="AD200" s="296"/>
      <c r="AE200" s="282"/>
      <c r="AF200" s="282"/>
      <c r="AG200" s="282"/>
      <c r="AH200" s="282"/>
      <c r="AI200" s="282"/>
      <c r="AJ200" s="282"/>
      <c r="AK200" s="282"/>
      <c r="AL200" s="294"/>
      <c r="AM200" s="296"/>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94"/>
      <c r="BJ200" s="282"/>
      <c r="BK200" s="285"/>
      <c r="BM200" s="4">
        <f t="shared" ref="BM200:BM244" si="3">IF(BM199=50,1,BM199+1)</f>
        <v>43</v>
      </c>
    </row>
    <row r="201" spans="1:65" ht="15" customHeight="1" x14ac:dyDescent="0.25">
      <c r="A201" s="284"/>
      <c r="B201" s="296"/>
      <c r="C201" s="282"/>
      <c r="D201" s="282"/>
      <c r="E201" s="282"/>
      <c r="F201" s="282"/>
      <c r="G201" s="282"/>
      <c r="H201" s="282"/>
      <c r="I201" s="282"/>
      <c r="J201" s="282"/>
      <c r="K201" s="294"/>
      <c r="L201" s="296"/>
      <c r="M201" s="282"/>
      <c r="N201" s="282"/>
      <c r="O201" s="282"/>
      <c r="P201" s="282"/>
      <c r="Q201" s="282"/>
      <c r="R201" s="282"/>
      <c r="S201" s="282"/>
      <c r="T201" s="294"/>
      <c r="U201" s="296"/>
      <c r="V201" s="282"/>
      <c r="W201" s="282"/>
      <c r="X201" s="282"/>
      <c r="Y201" s="282"/>
      <c r="Z201" s="282"/>
      <c r="AA201" s="282"/>
      <c r="AB201" s="282"/>
      <c r="AC201" s="294"/>
      <c r="AD201" s="296"/>
      <c r="AE201" s="282"/>
      <c r="AF201" s="282"/>
      <c r="AG201" s="282"/>
      <c r="AH201" s="282"/>
      <c r="AI201" s="282"/>
      <c r="AJ201" s="282"/>
      <c r="AK201" s="282"/>
      <c r="AL201" s="294"/>
      <c r="AM201" s="296"/>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94"/>
      <c r="BJ201" s="282"/>
      <c r="BK201" s="285"/>
      <c r="BM201" s="4">
        <f t="shared" si="3"/>
        <v>44</v>
      </c>
    </row>
    <row r="202" spans="1:65" ht="15" customHeight="1" x14ac:dyDescent="0.25">
      <c r="A202" s="284"/>
      <c r="B202" s="296"/>
      <c r="C202" s="282"/>
      <c r="D202" s="282"/>
      <c r="E202" s="282"/>
      <c r="F202" s="282"/>
      <c r="G202" s="282"/>
      <c r="H202" s="282"/>
      <c r="I202" s="282"/>
      <c r="J202" s="282"/>
      <c r="K202" s="294"/>
      <c r="L202" s="296"/>
      <c r="M202" s="282"/>
      <c r="N202" s="282"/>
      <c r="O202" s="282"/>
      <c r="P202" s="282"/>
      <c r="Q202" s="282"/>
      <c r="R202" s="282"/>
      <c r="S202" s="282"/>
      <c r="T202" s="294"/>
      <c r="U202" s="296"/>
      <c r="V202" s="282"/>
      <c r="W202" s="282"/>
      <c r="X202" s="282"/>
      <c r="Y202" s="282"/>
      <c r="Z202" s="282"/>
      <c r="AA202" s="282"/>
      <c r="AB202" s="282"/>
      <c r="AC202" s="294"/>
      <c r="AD202" s="296"/>
      <c r="AE202" s="282"/>
      <c r="AF202" s="282"/>
      <c r="AG202" s="282"/>
      <c r="AH202" s="282"/>
      <c r="AI202" s="282"/>
      <c r="AJ202" s="282"/>
      <c r="AK202" s="282"/>
      <c r="AL202" s="294"/>
      <c r="AM202" s="296"/>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94"/>
      <c r="BJ202" s="282"/>
      <c r="BK202" s="285"/>
      <c r="BM202" s="4">
        <f t="shared" si="3"/>
        <v>45</v>
      </c>
    </row>
    <row r="203" spans="1:65" ht="15" customHeight="1" x14ac:dyDescent="0.25">
      <c r="A203" s="284"/>
      <c r="B203" s="296"/>
      <c r="C203" s="282"/>
      <c r="D203" s="282"/>
      <c r="E203" s="282"/>
      <c r="F203" s="282"/>
      <c r="G203" s="282"/>
      <c r="H203" s="282"/>
      <c r="I203" s="282"/>
      <c r="J203" s="282"/>
      <c r="K203" s="294"/>
      <c r="L203" s="296"/>
      <c r="M203" s="282"/>
      <c r="N203" s="282"/>
      <c r="O203" s="282"/>
      <c r="P203" s="282"/>
      <c r="Q203" s="282"/>
      <c r="R203" s="282"/>
      <c r="S203" s="282"/>
      <c r="T203" s="294"/>
      <c r="U203" s="296"/>
      <c r="V203" s="282"/>
      <c r="W203" s="282"/>
      <c r="X203" s="282"/>
      <c r="Y203" s="282"/>
      <c r="Z203" s="282"/>
      <c r="AA203" s="282"/>
      <c r="AB203" s="282"/>
      <c r="AC203" s="294"/>
      <c r="AD203" s="296"/>
      <c r="AE203" s="282"/>
      <c r="AF203" s="282"/>
      <c r="AG203" s="282"/>
      <c r="AH203" s="282"/>
      <c r="AI203" s="282"/>
      <c r="AJ203" s="282"/>
      <c r="AK203" s="282"/>
      <c r="AL203" s="294"/>
      <c r="AM203" s="296"/>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94"/>
      <c r="BJ203" s="282"/>
      <c r="BK203" s="285"/>
      <c r="BM203" s="4">
        <f t="shared" si="3"/>
        <v>46</v>
      </c>
    </row>
    <row r="204" spans="1:65" ht="15" customHeight="1" x14ac:dyDescent="0.25">
      <c r="A204" s="284"/>
      <c r="B204" s="296"/>
      <c r="C204" s="282"/>
      <c r="D204" s="282"/>
      <c r="E204" s="282"/>
      <c r="F204" s="282"/>
      <c r="G204" s="282"/>
      <c r="H204" s="282"/>
      <c r="I204" s="282"/>
      <c r="J204" s="282"/>
      <c r="K204" s="294"/>
      <c r="L204" s="296"/>
      <c r="M204" s="282"/>
      <c r="N204" s="282"/>
      <c r="O204" s="282"/>
      <c r="P204" s="282"/>
      <c r="Q204" s="282"/>
      <c r="R204" s="282"/>
      <c r="S204" s="282"/>
      <c r="T204" s="294"/>
      <c r="U204" s="296"/>
      <c r="V204" s="282"/>
      <c r="W204" s="282"/>
      <c r="X204" s="282"/>
      <c r="Y204" s="282"/>
      <c r="Z204" s="282"/>
      <c r="AA204" s="282"/>
      <c r="AB204" s="282"/>
      <c r="AC204" s="294"/>
      <c r="AD204" s="296"/>
      <c r="AE204" s="282"/>
      <c r="AF204" s="282"/>
      <c r="AG204" s="282"/>
      <c r="AH204" s="282"/>
      <c r="AI204" s="282"/>
      <c r="AJ204" s="282"/>
      <c r="AK204" s="282"/>
      <c r="AL204" s="294"/>
      <c r="AM204" s="296"/>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94"/>
      <c r="BJ204" s="282"/>
      <c r="BK204" s="285"/>
      <c r="BM204" s="4">
        <f t="shared" si="3"/>
        <v>47</v>
      </c>
    </row>
    <row r="205" spans="1:65" ht="15" customHeight="1" x14ac:dyDescent="0.25">
      <c r="A205" s="284"/>
      <c r="B205" s="296"/>
      <c r="C205" s="282"/>
      <c r="D205" s="282"/>
      <c r="E205" s="282"/>
      <c r="F205" s="282"/>
      <c r="G205" s="282"/>
      <c r="H205" s="282"/>
      <c r="I205" s="282"/>
      <c r="J205" s="282"/>
      <c r="K205" s="294"/>
      <c r="L205" s="296"/>
      <c r="M205" s="282"/>
      <c r="N205" s="282"/>
      <c r="O205" s="282"/>
      <c r="P205" s="282"/>
      <c r="Q205" s="282"/>
      <c r="R205" s="282"/>
      <c r="S205" s="282"/>
      <c r="T205" s="294"/>
      <c r="U205" s="296"/>
      <c r="V205" s="282"/>
      <c r="W205" s="282"/>
      <c r="X205" s="282"/>
      <c r="Y205" s="282"/>
      <c r="Z205" s="282"/>
      <c r="AA205" s="282"/>
      <c r="AB205" s="282"/>
      <c r="AC205" s="294"/>
      <c r="AD205" s="296"/>
      <c r="AE205" s="282"/>
      <c r="AF205" s="282"/>
      <c r="AG205" s="282"/>
      <c r="AH205" s="282"/>
      <c r="AI205" s="282"/>
      <c r="AJ205" s="282"/>
      <c r="AK205" s="282"/>
      <c r="AL205" s="294"/>
      <c r="AM205" s="296"/>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94"/>
      <c r="BJ205" s="282"/>
      <c r="BK205" s="285"/>
      <c r="BM205" s="4">
        <f t="shared" si="3"/>
        <v>48</v>
      </c>
    </row>
    <row r="206" spans="1:65" ht="15" customHeight="1" x14ac:dyDescent="0.25">
      <c r="A206" s="284"/>
      <c r="B206" s="296"/>
      <c r="C206" s="282"/>
      <c r="D206" s="282"/>
      <c r="E206" s="282"/>
      <c r="F206" s="282"/>
      <c r="G206" s="282"/>
      <c r="H206" s="282"/>
      <c r="I206" s="282"/>
      <c r="J206" s="282"/>
      <c r="K206" s="294"/>
      <c r="L206" s="296"/>
      <c r="M206" s="282"/>
      <c r="N206" s="282"/>
      <c r="O206" s="282"/>
      <c r="P206" s="282"/>
      <c r="Q206" s="282"/>
      <c r="R206" s="282"/>
      <c r="S206" s="282"/>
      <c r="T206" s="294"/>
      <c r="U206" s="296"/>
      <c r="V206" s="282"/>
      <c r="W206" s="282"/>
      <c r="X206" s="282"/>
      <c r="Y206" s="282"/>
      <c r="Z206" s="282"/>
      <c r="AA206" s="282"/>
      <c r="AB206" s="282"/>
      <c r="AC206" s="294"/>
      <c r="AD206" s="296"/>
      <c r="AE206" s="282"/>
      <c r="AF206" s="282"/>
      <c r="AG206" s="282"/>
      <c r="AH206" s="282"/>
      <c r="AI206" s="282"/>
      <c r="AJ206" s="282"/>
      <c r="AK206" s="282"/>
      <c r="AL206" s="294"/>
      <c r="AM206" s="296"/>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94"/>
      <c r="BJ206" s="282"/>
      <c r="BK206" s="285"/>
      <c r="BM206" s="4">
        <f t="shared" si="3"/>
        <v>49</v>
      </c>
    </row>
    <row r="207" spans="1:65" ht="15" customHeight="1" x14ac:dyDescent="0.25">
      <c r="A207" s="284"/>
      <c r="B207" s="296"/>
      <c r="C207" s="282"/>
      <c r="D207" s="282"/>
      <c r="E207" s="282"/>
      <c r="F207" s="282"/>
      <c r="G207" s="282"/>
      <c r="H207" s="282"/>
      <c r="I207" s="282"/>
      <c r="J207" s="282"/>
      <c r="K207" s="294"/>
      <c r="L207" s="296"/>
      <c r="M207" s="282"/>
      <c r="N207" s="282"/>
      <c r="O207" s="282"/>
      <c r="P207" s="282"/>
      <c r="Q207" s="282"/>
      <c r="R207" s="282"/>
      <c r="S207" s="282"/>
      <c r="T207" s="294"/>
      <c r="U207" s="296"/>
      <c r="V207" s="282"/>
      <c r="W207" s="282"/>
      <c r="X207" s="282"/>
      <c r="Y207" s="282"/>
      <c r="Z207" s="282"/>
      <c r="AA207" s="282"/>
      <c r="AB207" s="282"/>
      <c r="AC207" s="294"/>
      <c r="AD207" s="296"/>
      <c r="AE207" s="282"/>
      <c r="AF207" s="282"/>
      <c r="AG207" s="282"/>
      <c r="AH207" s="282"/>
      <c r="AI207" s="282"/>
      <c r="AJ207" s="282"/>
      <c r="AK207" s="282"/>
      <c r="AL207" s="294"/>
      <c r="AM207" s="296"/>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94"/>
      <c r="BJ207" s="282"/>
      <c r="BK207" s="285"/>
      <c r="BM207" s="4">
        <f t="shared" si="3"/>
        <v>50</v>
      </c>
    </row>
    <row r="208" spans="1:65" ht="15" customHeight="1" x14ac:dyDescent="0.25">
      <c r="A208" s="284"/>
      <c r="B208" s="296"/>
      <c r="C208" s="282"/>
      <c r="D208" s="282"/>
      <c r="E208" s="282"/>
      <c r="F208" s="282"/>
      <c r="G208" s="282"/>
      <c r="H208" s="282"/>
      <c r="I208" s="282"/>
      <c r="J208" s="282"/>
      <c r="K208" s="294"/>
      <c r="L208" s="296"/>
      <c r="M208" s="282"/>
      <c r="N208" s="282"/>
      <c r="O208" s="282"/>
      <c r="P208" s="282"/>
      <c r="Q208" s="282"/>
      <c r="R208" s="282"/>
      <c r="S208" s="282"/>
      <c r="T208" s="294"/>
      <c r="U208" s="296"/>
      <c r="V208" s="282"/>
      <c r="W208" s="282"/>
      <c r="X208" s="282"/>
      <c r="Y208" s="282"/>
      <c r="Z208" s="282"/>
      <c r="AA208" s="282"/>
      <c r="AB208" s="282"/>
      <c r="AC208" s="294"/>
      <c r="AD208" s="296"/>
      <c r="AE208" s="282"/>
      <c r="AF208" s="282"/>
      <c r="AG208" s="282"/>
      <c r="AH208" s="282"/>
      <c r="AI208" s="282"/>
      <c r="AJ208" s="282"/>
      <c r="AK208" s="282"/>
      <c r="AL208" s="294"/>
      <c r="AM208" s="296"/>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94"/>
      <c r="BJ208" s="282"/>
      <c r="BK208" s="285"/>
      <c r="BM208" s="4">
        <f t="shared" si="3"/>
        <v>1</v>
      </c>
    </row>
    <row r="209" spans="1:65" ht="15" customHeight="1" x14ac:dyDescent="0.25">
      <c r="A209" s="284"/>
      <c r="B209" s="296"/>
      <c r="C209" s="282"/>
      <c r="D209" s="282"/>
      <c r="E209" s="282"/>
      <c r="F209" s="282"/>
      <c r="G209" s="282"/>
      <c r="H209" s="282"/>
      <c r="I209" s="282"/>
      <c r="J209" s="282"/>
      <c r="K209" s="294"/>
      <c r="L209" s="296"/>
      <c r="M209" s="282"/>
      <c r="N209" s="282"/>
      <c r="O209" s="282"/>
      <c r="P209" s="282"/>
      <c r="Q209" s="282"/>
      <c r="R209" s="282"/>
      <c r="S209" s="282"/>
      <c r="T209" s="294"/>
      <c r="U209" s="296"/>
      <c r="V209" s="282"/>
      <c r="W209" s="282"/>
      <c r="X209" s="282"/>
      <c r="Y209" s="282"/>
      <c r="Z209" s="282"/>
      <c r="AA209" s="282"/>
      <c r="AB209" s="282"/>
      <c r="AC209" s="294"/>
      <c r="AD209" s="296"/>
      <c r="AE209" s="282"/>
      <c r="AF209" s="282"/>
      <c r="AG209" s="282"/>
      <c r="AH209" s="282"/>
      <c r="AI209" s="282"/>
      <c r="AJ209" s="282"/>
      <c r="AK209" s="282"/>
      <c r="AL209" s="294"/>
      <c r="AM209" s="296"/>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94"/>
      <c r="BJ209" s="282"/>
      <c r="BK209" s="285"/>
      <c r="BM209" s="4">
        <f t="shared" si="3"/>
        <v>2</v>
      </c>
    </row>
    <row r="210" spans="1:65" ht="15" customHeight="1" x14ac:dyDescent="0.25">
      <c r="A210" s="284"/>
      <c r="B210" s="296"/>
      <c r="C210" s="282"/>
      <c r="D210" s="282"/>
      <c r="E210" s="282"/>
      <c r="F210" s="282"/>
      <c r="G210" s="282"/>
      <c r="H210" s="282"/>
      <c r="I210" s="282"/>
      <c r="J210" s="282"/>
      <c r="K210" s="294"/>
      <c r="L210" s="296"/>
      <c r="M210" s="282"/>
      <c r="N210" s="282"/>
      <c r="O210" s="282"/>
      <c r="P210" s="282"/>
      <c r="Q210" s="282"/>
      <c r="R210" s="282"/>
      <c r="S210" s="282"/>
      <c r="T210" s="294"/>
      <c r="U210" s="296"/>
      <c r="V210" s="282"/>
      <c r="W210" s="282"/>
      <c r="X210" s="282"/>
      <c r="Y210" s="282"/>
      <c r="Z210" s="282"/>
      <c r="AA210" s="282"/>
      <c r="AB210" s="282"/>
      <c r="AC210" s="294"/>
      <c r="AD210" s="296"/>
      <c r="AE210" s="282"/>
      <c r="AF210" s="282"/>
      <c r="AG210" s="282"/>
      <c r="AH210" s="282"/>
      <c r="AI210" s="282"/>
      <c r="AJ210" s="282"/>
      <c r="AK210" s="282"/>
      <c r="AL210" s="294"/>
      <c r="AM210" s="296"/>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94"/>
      <c r="BJ210" s="282"/>
      <c r="BK210" s="285"/>
      <c r="BM210" s="4">
        <f t="shared" si="3"/>
        <v>3</v>
      </c>
    </row>
    <row r="211" spans="1:65" ht="15" customHeight="1" x14ac:dyDescent="0.25">
      <c r="A211" s="284"/>
      <c r="B211" s="296"/>
      <c r="C211" s="282"/>
      <c r="D211" s="282"/>
      <c r="E211" s="282"/>
      <c r="F211" s="282"/>
      <c r="G211" s="282"/>
      <c r="H211" s="282"/>
      <c r="I211" s="282"/>
      <c r="J211" s="282"/>
      <c r="K211" s="294"/>
      <c r="L211" s="296"/>
      <c r="M211" s="282"/>
      <c r="N211" s="282"/>
      <c r="O211" s="282"/>
      <c r="P211" s="282"/>
      <c r="Q211" s="282"/>
      <c r="R211" s="282"/>
      <c r="S211" s="282"/>
      <c r="T211" s="294"/>
      <c r="U211" s="296"/>
      <c r="V211" s="282"/>
      <c r="W211" s="282"/>
      <c r="X211" s="282"/>
      <c r="Y211" s="282"/>
      <c r="Z211" s="282"/>
      <c r="AA211" s="282"/>
      <c r="AB211" s="282"/>
      <c r="AC211" s="294"/>
      <c r="AD211" s="296"/>
      <c r="AE211" s="282"/>
      <c r="AF211" s="282"/>
      <c r="AG211" s="282"/>
      <c r="AH211" s="282"/>
      <c r="AI211" s="282"/>
      <c r="AJ211" s="282"/>
      <c r="AK211" s="282"/>
      <c r="AL211" s="294"/>
      <c r="AM211" s="296"/>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94"/>
      <c r="BJ211" s="282"/>
      <c r="BK211" s="285"/>
      <c r="BM211" s="4">
        <f t="shared" si="3"/>
        <v>4</v>
      </c>
    </row>
    <row r="212" spans="1:65" ht="15" customHeight="1" x14ac:dyDescent="0.25">
      <c r="A212" s="284"/>
      <c r="B212" s="296"/>
      <c r="C212" s="282"/>
      <c r="D212" s="282"/>
      <c r="E212" s="282"/>
      <c r="F212" s="282"/>
      <c r="G212" s="282"/>
      <c r="H212" s="282"/>
      <c r="I212" s="282"/>
      <c r="J212" s="282"/>
      <c r="K212" s="294"/>
      <c r="L212" s="296"/>
      <c r="M212" s="282"/>
      <c r="N212" s="282"/>
      <c r="O212" s="282"/>
      <c r="P212" s="282"/>
      <c r="Q212" s="282"/>
      <c r="R212" s="282"/>
      <c r="S212" s="282"/>
      <c r="T212" s="294"/>
      <c r="U212" s="296"/>
      <c r="V212" s="282"/>
      <c r="W212" s="282"/>
      <c r="X212" s="282"/>
      <c r="Y212" s="282"/>
      <c r="Z212" s="282"/>
      <c r="AA212" s="282"/>
      <c r="AB212" s="282"/>
      <c r="AC212" s="294"/>
      <c r="AD212" s="296"/>
      <c r="AE212" s="282"/>
      <c r="AF212" s="282"/>
      <c r="AG212" s="282"/>
      <c r="AH212" s="282"/>
      <c r="AI212" s="282"/>
      <c r="AJ212" s="282"/>
      <c r="AK212" s="282"/>
      <c r="AL212" s="294"/>
      <c r="AM212" s="296"/>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94"/>
      <c r="BJ212" s="282"/>
      <c r="BK212" s="285"/>
      <c r="BM212" s="4">
        <f t="shared" si="3"/>
        <v>5</v>
      </c>
    </row>
    <row r="213" spans="1:65" ht="15" customHeight="1" x14ac:dyDescent="0.25">
      <c r="A213" s="284"/>
      <c r="B213" s="296"/>
      <c r="C213" s="282"/>
      <c r="D213" s="282"/>
      <c r="E213" s="282"/>
      <c r="F213" s="282"/>
      <c r="G213" s="282"/>
      <c r="H213" s="282"/>
      <c r="I213" s="282"/>
      <c r="J213" s="282"/>
      <c r="K213" s="294"/>
      <c r="L213" s="296"/>
      <c r="M213" s="282"/>
      <c r="N213" s="282"/>
      <c r="O213" s="282"/>
      <c r="P213" s="282"/>
      <c r="Q213" s="282"/>
      <c r="R213" s="282"/>
      <c r="S213" s="282"/>
      <c r="T213" s="294"/>
      <c r="U213" s="296"/>
      <c r="V213" s="282"/>
      <c r="W213" s="282"/>
      <c r="X213" s="282"/>
      <c r="Y213" s="282"/>
      <c r="Z213" s="282"/>
      <c r="AA213" s="282"/>
      <c r="AB213" s="282"/>
      <c r="AC213" s="294"/>
      <c r="AD213" s="296"/>
      <c r="AE213" s="282"/>
      <c r="AF213" s="282"/>
      <c r="AG213" s="282"/>
      <c r="AH213" s="282"/>
      <c r="AI213" s="282"/>
      <c r="AJ213" s="282"/>
      <c r="AK213" s="282"/>
      <c r="AL213" s="294"/>
      <c r="AM213" s="296"/>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94"/>
      <c r="BJ213" s="282"/>
      <c r="BK213" s="285"/>
      <c r="BM213" s="4">
        <f t="shared" si="3"/>
        <v>6</v>
      </c>
    </row>
    <row r="214" spans="1:65" ht="15" customHeight="1" x14ac:dyDescent="0.25">
      <c r="A214" s="284"/>
      <c r="B214" s="296"/>
      <c r="C214" s="282"/>
      <c r="D214" s="282"/>
      <c r="E214" s="282"/>
      <c r="F214" s="282"/>
      <c r="G214" s="282"/>
      <c r="H214" s="282"/>
      <c r="I214" s="282"/>
      <c r="J214" s="282"/>
      <c r="K214" s="294"/>
      <c r="L214" s="296"/>
      <c r="M214" s="282"/>
      <c r="N214" s="282"/>
      <c r="O214" s="282"/>
      <c r="P214" s="282"/>
      <c r="Q214" s="282"/>
      <c r="R214" s="282"/>
      <c r="S214" s="282"/>
      <c r="T214" s="294"/>
      <c r="U214" s="296"/>
      <c r="V214" s="282"/>
      <c r="W214" s="282"/>
      <c r="X214" s="282"/>
      <c r="Y214" s="282"/>
      <c r="Z214" s="282"/>
      <c r="AA214" s="282"/>
      <c r="AB214" s="282"/>
      <c r="AC214" s="294"/>
      <c r="AD214" s="296"/>
      <c r="AE214" s="282"/>
      <c r="AF214" s="282"/>
      <c r="AG214" s="282"/>
      <c r="AH214" s="282"/>
      <c r="AI214" s="282"/>
      <c r="AJ214" s="282"/>
      <c r="AK214" s="282"/>
      <c r="AL214" s="294"/>
      <c r="AM214" s="296"/>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94"/>
      <c r="BJ214" s="282"/>
      <c r="BK214" s="285"/>
      <c r="BM214" s="4">
        <f t="shared" si="3"/>
        <v>7</v>
      </c>
    </row>
    <row r="215" spans="1:65" ht="15" customHeight="1" x14ac:dyDescent="0.25">
      <c r="A215" s="284"/>
      <c r="B215" s="296"/>
      <c r="C215" s="282"/>
      <c r="D215" s="282"/>
      <c r="E215" s="282"/>
      <c r="F215" s="282"/>
      <c r="G215" s="282"/>
      <c r="H215" s="282"/>
      <c r="I215" s="282"/>
      <c r="J215" s="282"/>
      <c r="K215" s="294"/>
      <c r="L215" s="296"/>
      <c r="M215" s="282"/>
      <c r="N215" s="282"/>
      <c r="O215" s="282"/>
      <c r="P215" s="282"/>
      <c r="Q215" s="282"/>
      <c r="R215" s="282"/>
      <c r="S215" s="282"/>
      <c r="T215" s="294"/>
      <c r="U215" s="296"/>
      <c r="V215" s="282"/>
      <c r="W215" s="282"/>
      <c r="X215" s="282"/>
      <c r="Y215" s="282"/>
      <c r="Z215" s="282"/>
      <c r="AA215" s="282"/>
      <c r="AB215" s="282"/>
      <c r="AC215" s="294"/>
      <c r="AD215" s="296"/>
      <c r="AE215" s="282"/>
      <c r="AF215" s="282"/>
      <c r="AG215" s="282"/>
      <c r="AH215" s="282"/>
      <c r="AI215" s="282"/>
      <c r="AJ215" s="282"/>
      <c r="AK215" s="282"/>
      <c r="AL215" s="294"/>
      <c r="AM215" s="296"/>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94"/>
      <c r="BJ215" s="282"/>
      <c r="BK215" s="285"/>
      <c r="BM215" s="4">
        <f t="shared" si="3"/>
        <v>8</v>
      </c>
    </row>
    <row r="216" spans="1:65" ht="15" customHeight="1" x14ac:dyDescent="0.25">
      <c r="A216" s="284"/>
      <c r="B216" s="296"/>
      <c r="C216" s="282"/>
      <c r="D216" s="282"/>
      <c r="E216" s="282"/>
      <c r="F216" s="282"/>
      <c r="G216" s="282"/>
      <c r="H216" s="282"/>
      <c r="I216" s="282"/>
      <c r="J216" s="282"/>
      <c r="K216" s="294"/>
      <c r="L216" s="296"/>
      <c r="M216" s="282"/>
      <c r="N216" s="282"/>
      <c r="O216" s="282"/>
      <c r="P216" s="282"/>
      <c r="Q216" s="282"/>
      <c r="R216" s="282"/>
      <c r="S216" s="282"/>
      <c r="T216" s="294"/>
      <c r="U216" s="296"/>
      <c r="V216" s="282"/>
      <c r="W216" s="282"/>
      <c r="X216" s="282"/>
      <c r="Y216" s="282"/>
      <c r="Z216" s="282"/>
      <c r="AA216" s="282"/>
      <c r="AB216" s="282"/>
      <c r="AC216" s="294"/>
      <c r="AD216" s="296"/>
      <c r="AE216" s="282"/>
      <c r="AF216" s="282"/>
      <c r="AG216" s="282"/>
      <c r="AH216" s="282"/>
      <c r="AI216" s="282"/>
      <c r="AJ216" s="282"/>
      <c r="AK216" s="282"/>
      <c r="AL216" s="294"/>
      <c r="AM216" s="296"/>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94"/>
      <c r="BJ216" s="282"/>
      <c r="BK216" s="285"/>
      <c r="BM216" s="4">
        <f t="shared" si="3"/>
        <v>9</v>
      </c>
    </row>
    <row r="217" spans="1:65" ht="15" customHeight="1" x14ac:dyDescent="0.25">
      <c r="A217" s="284"/>
      <c r="B217" s="297" t="s">
        <v>39</v>
      </c>
      <c r="C217" s="298"/>
      <c r="D217" s="298"/>
      <c r="E217" s="298"/>
      <c r="F217" s="298"/>
      <c r="G217" s="298"/>
      <c r="H217" s="298"/>
      <c r="I217" s="298"/>
      <c r="J217" s="298"/>
      <c r="K217" s="299"/>
      <c r="L217" s="297"/>
      <c r="M217" s="298"/>
      <c r="N217" s="298"/>
      <c r="O217" s="298"/>
      <c r="P217" s="298"/>
      <c r="Q217" s="298"/>
      <c r="R217" s="298"/>
      <c r="S217" s="298"/>
      <c r="T217" s="299"/>
      <c r="U217" s="297"/>
      <c r="V217" s="298"/>
      <c r="W217" s="298"/>
      <c r="X217" s="298"/>
      <c r="Y217" s="298"/>
      <c r="Z217" s="298"/>
      <c r="AA217" s="298"/>
      <c r="AB217" s="298"/>
      <c r="AC217" s="299"/>
      <c r="AD217" s="297"/>
      <c r="AE217" s="298"/>
      <c r="AF217" s="298"/>
      <c r="AG217" s="298"/>
      <c r="AH217" s="298"/>
      <c r="AI217" s="298"/>
      <c r="AJ217" s="298"/>
      <c r="AK217" s="298"/>
      <c r="AL217" s="299"/>
      <c r="AM217" s="297"/>
      <c r="AN217" s="298"/>
      <c r="AO217" s="298"/>
      <c r="AP217" s="298"/>
      <c r="AQ217" s="298"/>
      <c r="AR217" s="298"/>
      <c r="AS217" s="298"/>
      <c r="AT217" s="298"/>
      <c r="AU217" s="298"/>
      <c r="AV217" s="298"/>
      <c r="AW217" s="298"/>
      <c r="AX217" s="298"/>
      <c r="AY217" s="298"/>
      <c r="AZ217" s="298"/>
      <c r="BA217" s="298"/>
      <c r="BB217" s="298"/>
      <c r="BC217" s="298"/>
      <c r="BD217" s="298"/>
      <c r="BE217" s="298"/>
      <c r="BF217" s="298"/>
      <c r="BG217" s="298"/>
      <c r="BH217" s="298"/>
      <c r="BI217" s="299"/>
      <c r="BJ217" s="298"/>
      <c r="BK217" s="285"/>
      <c r="BM217" s="4">
        <f t="shared" si="3"/>
        <v>10</v>
      </c>
    </row>
    <row r="218" spans="1:65" ht="15" customHeight="1" x14ac:dyDescent="0.25">
      <c r="A218" s="284"/>
      <c r="B218" s="296"/>
      <c r="C218" s="282"/>
      <c r="D218" s="282"/>
      <c r="E218" s="282"/>
      <c r="F218" s="282"/>
      <c r="G218" s="282"/>
      <c r="H218" s="282"/>
      <c r="I218" s="282"/>
      <c r="J218" s="282"/>
      <c r="K218" s="294"/>
      <c r="L218" s="296"/>
      <c r="M218" s="282"/>
      <c r="N218" s="282"/>
      <c r="O218" s="282"/>
      <c r="P218" s="282"/>
      <c r="Q218" s="282"/>
      <c r="R218" s="282"/>
      <c r="S218" s="282"/>
      <c r="T218" s="294"/>
      <c r="U218" s="296"/>
      <c r="V218" s="282"/>
      <c r="W218" s="282"/>
      <c r="X218" s="282"/>
      <c r="Y218" s="282"/>
      <c r="Z218" s="282"/>
      <c r="AA218" s="282"/>
      <c r="AB218" s="282"/>
      <c r="AC218" s="294"/>
      <c r="AD218" s="296"/>
      <c r="AE218" s="282"/>
      <c r="AF218" s="282"/>
      <c r="AG218" s="282"/>
      <c r="AH218" s="282"/>
      <c r="AI218" s="282"/>
      <c r="AJ218" s="282"/>
      <c r="AK218" s="282"/>
      <c r="AL218" s="294"/>
      <c r="AM218" s="296"/>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94"/>
      <c r="BJ218" s="282"/>
      <c r="BK218" s="285"/>
      <c r="BM218" s="4">
        <f t="shared" si="3"/>
        <v>11</v>
      </c>
    </row>
    <row r="219" spans="1:65" ht="15" customHeight="1" x14ac:dyDescent="0.25">
      <c r="A219" s="284"/>
      <c r="B219" s="296"/>
      <c r="C219" s="282"/>
      <c r="D219" s="282"/>
      <c r="E219" s="282"/>
      <c r="F219" s="282"/>
      <c r="G219" s="282"/>
      <c r="H219" s="282"/>
      <c r="I219" s="282"/>
      <c r="J219" s="282"/>
      <c r="K219" s="294"/>
      <c r="L219" s="296"/>
      <c r="M219" s="282"/>
      <c r="N219" s="282"/>
      <c r="O219" s="282"/>
      <c r="P219" s="282"/>
      <c r="Q219" s="282"/>
      <c r="R219" s="282"/>
      <c r="S219" s="282"/>
      <c r="T219" s="294"/>
      <c r="U219" s="296"/>
      <c r="V219" s="282"/>
      <c r="W219" s="282"/>
      <c r="X219" s="282"/>
      <c r="Y219" s="282"/>
      <c r="Z219" s="282"/>
      <c r="AA219" s="282"/>
      <c r="AB219" s="282"/>
      <c r="AC219" s="294"/>
      <c r="AD219" s="296"/>
      <c r="AE219" s="282"/>
      <c r="AF219" s="282"/>
      <c r="AG219" s="282"/>
      <c r="AH219" s="282"/>
      <c r="AI219" s="282"/>
      <c r="AJ219" s="282"/>
      <c r="AK219" s="282"/>
      <c r="AL219" s="294"/>
      <c r="AM219" s="296"/>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94"/>
      <c r="BJ219" s="282"/>
      <c r="BK219" s="285"/>
      <c r="BM219" s="4">
        <f t="shared" si="3"/>
        <v>12</v>
      </c>
    </row>
    <row r="220" spans="1:65" ht="15" customHeight="1" x14ac:dyDescent="0.25">
      <c r="A220" s="284"/>
      <c r="B220" s="296"/>
      <c r="C220" s="282"/>
      <c r="D220" s="282"/>
      <c r="E220" s="282"/>
      <c r="F220" s="282"/>
      <c r="G220" s="282"/>
      <c r="H220" s="282"/>
      <c r="I220" s="282"/>
      <c r="J220" s="282"/>
      <c r="K220" s="294"/>
      <c r="L220" s="296"/>
      <c r="M220" s="282"/>
      <c r="N220" s="282"/>
      <c r="O220" s="282"/>
      <c r="P220" s="282"/>
      <c r="Q220" s="282"/>
      <c r="R220" s="282"/>
      <c r="S220" s="282"/>
      <c r="T220" s="294"/>
      <c r="U220" s="296"/>
      <c r="V220" s="282"/>
      <c r="W220" s="282"/>
      <c r="X220" s="282"/>
      <c r="Y220" s="282"/>
      <c r="Z220" s="282"/>
      <c r="AA220" s="282"/>
      <c r="AB220" s="282"/>
      <c r="AC220" s="294"/>
      <c r="AD220" s="296"/>
      <c r="AE220" s="282"/>
      <c r="AF220" s="282"/>
      <c r="AG220" s="282"/>
      <c r="AH220" s="282"/>
      <c r="AI220" s="282"/>
      <c r="AJ220" s="282"/>
      <c r="AK220" s="282"/>
      <c r="AL220" s="294"/>
      <c r="AM220" s="296"/>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94"/>
      <c r="BJ220" s="282"/>
      <c r="BK220" s="285"/>
      <c r="BM220" s="4">
        <f t="shared" si="3"/>
        <v>13</v>
      </c>
    </row>
    <row r="221" spans="1:65" ht="15" customHeight="1" x14ac:dyDescent="0.25">
      <c r="A221" s="284"/>
      <c r="B221" s="296"/>
      <c r="C221" s="282"/>
      <c r="D221" s="282"/>
      <c r="E221" s="282"/>
      <c r="F221" s="282"/>
      <c r="G221" s="282"/>
      <c r="H221" s="282"/>
      <c r="I221" s="282"/>
      <c r="J221" s="282"/>
      <c r="K221" s="294"/>
      <c r="L221" s="296"/>
      <c r="M221" s="282"/>
      <c r="N221" s="282"/>
      <c r="O221" s="282"/>
      <c r="P221" s="282"/>
      <c r="Q221" s="282"/>
      <c r="R221" s="282"/>
      <c r="S221" s="282"/>
      <c r="T221" s="294"/>
      <c r="U221" s="296"/>
      <c r="V221" s="282"/>
      <c r="W221" s="282"/>
      <c r="X221" s="282"/>
      <c r="Y221" s="282"/>
      <c r="Z221" s="282"/>
      <c r="AA221" s="282"/>
      <c r="AB221" s="282"/>
      <c r="AC221" s="294"/>
      <c r="AD221" s="296"/>
      <c r="AE221" s="282"/>
      <c r="AF221" s="282"/>
      <c r="AG221" s="282"/>
      <c r="AH221" s="282"/>
      <c r="AI221" s="282"/>
      <c r="AJ221" s="282"/>
      <c r="AK221" s="282"/>
      <c r="AL221" s="294"/>
      <c r="AM221" s="296"/>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94"/>
      <c r="BJ221" s="282"/>
      <c r="BK221" s="285"/>
      <c r="BM221" s="4">
        <f t="shared" si="3"/>
        <v>14</v>
      </c>
    </row>
    <row r="222" spans="1:65" ht="15" customHeight="1" x14ac:dyDescent="0.25">
      <c r="A222" s="284"/>
      <c r="B222" s="296"/>
      <c r="C222" s="282"/>
      <c r="D222" s="282"/>
      <c r="E222" s="282"/>
      <c r="F222" s="282"/>
      <c r="G222" s="282"/>
      <c r="H222" s="282"/>
      <c r="I222" s="282"/>
      <c r="J222" s="282"/>
      <c r="K222" s="294"/>
      <c r="L222" s="296"/>
      <c r="M222" s="282"/>
      <c r="N222" s="282"/>
      <c r="O222" s="282"/>
      <c r="P222" s="282"/>
      <c r="Q222" s="282"/>
      <c r="R222" s="282"/>
      <c r="S222" s="282"/>
      <c r="T222" s="294"/>
      <c r="U222" s="296"/>
      <c r="V222" s="282"/>
      <c r="W222" s="282"/>
      <c r="X222" s="282"/>
      <c r="Y222" s="282"/>
      <c r="Z222" s="282"/>
      <c r="AA222" s="282"/>
      <c r="AB222" s="282"/>
      <c r="AC222" s="294"/>
      <c r="AD222" s="296"/>
      <c r="AE222" s="282"/>
      <c r="AF222" s="282"/>
      <c r="AG222" s="282"/>
      <c r="AH222" s="282"/>
      <c r="AI222" s="282"/>
      <c r="AJ222" s="282"/>
      <c r="AK222" s="282"/>
      <c r="AL222" s="294"/>
      <c r="AM222" s="296"/>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94"/>
      <c r="BJ222" s="282"/>
      <c r="BK222" s="285"/>
      <c r="BM222" s="4">
        <f t="shared" si="3"/>
        <v>15</v>
      </c>
    </row>
    <row r="223" spans="1:65" ht="15" customHeight="1" x14ac:dyDescent="0.25">
      <c r="A223" s="284"/>
      <c r="B223" s="296"/>
      <c r="C223" s="282"/>
      <c r="D223" s="282"/>
      <c r="E223" s="282"/>
      <c r="F223" s="282"/>
      <c r="G223" s="282"/>
      <c r="H223" s="282"/>
      <c r="I223" s="282"/>
      <c r="J223" s="282"/>
      <c r="K223" s="294"/>
      <c r="L223" s="296"/>
      <c r="M223" s="282"/>
      <c r="N223" s="282"/>
      <c r="O223" s="282"/>
      <c r="P223" s="282"/>
      <c r="Q223" s="282"/>
      <c r="R223" s="282"/>
      <c r="S223" s="282"/>
      <c r="T223" s="294"/>
      <c r="U223" s="296"/>
      <c r="V223" s="282"/>
      <c r="W223" s="282"/>
      <c r="X223" s="282"/>
      <c r="Y223" s="282"/>
      <c r="Z223" s="282"/>
      <c r="AA223" s="282"/>
      <c r="AB223" s="282"/>
      <c r="AC223" s="294"/>
      <c r="AD223" s="296"/>
      <c r="AE223" s="282"/>
      <c r="AF223" s="282"/>
      <c r="AG223" s="282"/>
      <c r="AH223" s="282"/>
      <c r="AI223" s="282"/>
      <c r="AJ223" s="282"/>
      <c r="AK223" s="282"/>
      <c r="AL223" s="294"/>
      <c r="AM223" s="296"/>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94"/>
      <c r="BJ223" s="282"/>
      <c r="BK223" s="285"/>
      <c r="BM223" s="4">
        <f t="shared" si="3"/>
        <v>16</v>
      </c>
    </row>
    <row r="224" spans="1:65" ht="15" customHeight="1" x14ac:dyDescent="0.25">
      <c r="A224" s="284"/>
      <c r="B224" s="296"/>
      <c r="C224" s="282"/>
      <c r="D224" s="282"/>
      <c r="E224" s="282"/>
      <c r="F224" s="282"/>
      <c r="G224" s="282"/>
      <c r="H224" s="282"/>
      <c r="I224" s="282"/>
      <c r="J224" s="282"/>
      <c r="K224" s="294"/>
      <c r="L224" s="296"/>
      <c r="M224" s="282"/>
      <c r="N224" s="282"/>
      <c r="O224" s="282"/>
      <c r="P224" s="282"/>
      <c r="Q224" s="282"/>
      <c r="R224" s="282"/>
      <c r="S224" s="282"/>
      <c r="T224" s="294"/>
      <c r="U224" s="296"/>
      <c r="V224" s="282"/>
      <c r="W224" s="282"/>
      <c r="X224" s="282"/>
      <c r="Y224" s="282"/>
      <c r="Z224" s="282"/>
      <c r="AA224" s="282"/>
      <c r="AB224" s="282"/>
      <c r="AC224" s="294"/>
      <c r="AD224" s="296"/>
      <c r="AE224" s="282"/>
      <c r="AF224" s="282"/>
      <c r="AG224" s="282"/>
      <c r="AH224" s="282"/>
      <c r="AI224" s="282"/>
      <c r="AJ224" s="282"/>
      <c r="AK224" s="282"/>
      <c r="AL224" s="294"/>
      <c r="AM224" s="296"/>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94"/>
      <c r="BJ224" s="282"/>
      <c r="BK224" s="285"/>
      <c r="BM224" s="4">
        <f t="shared" si="3"/>
        <v>17</v>
      </c>
    </row>
    <row r="225" spans="1:65" ht="15" customHeight="1" x14ac:dyDescent="0.25">
      <c r="A225" s="284"/>
      <c r="B225" s="296"/>
      <c r="C225" s="282"/>
      <c r="D225" s="282"/>
      <c r="E225" s="282"/>
      <c r="F225" s="282"/>
      <c r="G225" s="282"/>
      <c r="H225" s="282"/>
      <c r="I225" s="282"/>
      <c r="J225" s="282"/>
      <c r="K225" s="294"/>
      <c r="L225" s="296"/>
      <c r="M225" s="282"/>
      <c r="N225" s="282"/>
      <c r="O225" s="282"/>
      <c r="P225" s="282"/>
      <c r="Q225" s="282"/>
      <c r="R225" s="282"/>
      <c r="S225" s="282"/>
      <c r="T225" s="294"/>
      <c r="U225" s="296"/>
      <c r="V225" s="282"/>
      <c r="W225" s="282"/>
      <c r="X225" s="282"/>
      <c r="Y225" s="282"/>
      <c r="Z225" s="282"/>
      <c r="AA225" s="282"/>
      <c r="AB225" s="282"/>
      <c r="AC225" s="294"/>
      <c r="AD225" s="296"/>
      <c r="AE225" s="282"/>
      <c r="AF225" s="282"/>
      <c r="AG225" s="282"/>
      <c r="AH225" s="282"/>
      <c r="AI225" s="282"/>
      <c r="AJ225" s="282"/>
      <c r="AK225" s="282"/>
      <c r="AL225" s="294"/>
      <c r="AM225" s="296"/>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94"/>
      <c r="BJ225" s="282"/>
      <c r="BK225" s="285"/>
      <c r="BM225" s="4">
        <f t="shared" si="3"/>
        <v>18</v>
      </c>
    </row>
    <row r="226" spans="1:65" ht="15" customHeight="1" x14ac:dyDescent="0.25">
      <c r="A226" s="284"/>
      <c r="B226" s="296"/>
      <c r="C226" s="282"/>
      <c r="D226" s="282"/>
      <c r="E226" s="282"/>
      <c r="F226" s="282"/>
      <c r="G226" s="282"/>
      <c r="H226" s="282"/>
      <c r="I226" s="282"/>
      <c r="J226" s="282"/>
      <c r="K226" s="294"/>
      <c r="L226" s="296"/>
      <c r="M226" s="282"/>
      <c r="N226" s="282"/>
      <c r="O226" s="282"/>
      <c r="P226" s="282"/>
      <c r="Q226" s="282"/>
      <c r="R226" s="282"/>
      <c r="S226" s="282"/>
      <c r="T226" s="294"/>
      <c r="U226" s="296"/>
      <c r="V226" s="282"/>
      <c r="W226" s="282"/>
      <c r="X226" s="282"/>
      <c r="Y226" s="282"/>
      <c r="Z226" s="282"/>
      <c r="AA226" s="282"/>
      <c r="AB226" s="282"/>
      <c r="AC226" s="294"/>
      <c r="AD226" s="296"/>
      <c r="AE226" s="282"/>
      <c r="AF226" s="282"/>
      <c r="AG226" s="282"/>
      <c r="AH226" s="282"/>
      <c r="AI226" s="282"/>
      <c r="AJ226" s="282"/>
      <c r="AK226" s="282"/>
      <c r="AL226" s="294"/>
      <c r="AM226" s="296"/>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94"/>
      <c r="BJ226" s="282"/>
      <c r="BK226" s="285"/>
      <c r="BM226" s="4">
        <f t="shared" si="3"/>
        <v>19</v>
      </c>
    </row>
    <row r="227" spans="1:65" ht="15" customHeight="1" x14ac:dyDescent="0.25">
      <c r="A227" s="284"/>
      <c r="B227" s="296"/>
      <c r="C227" s="282"/>
      <c r="D227" s="282"/>
      <c r="E227" s="282"/>
      <c r="F227" s="282"/>
      <c r="G227" s="282"/>
      <c r="H227" s="282"/>
      <c r="I227" s="282"/>
      <c r="J227" s="282"/>
      <c r="K227" s="294"/>
      <c r="L227" s="296"/>
      <c r="M227" s="282"/>
      <c r="N227" s="282"/>
      <c r="O227" s="282"/>
      <c r="P227" s="282"/>
      <c r="Q227" s="282"/>
      <c r="R227" s="282"/>
      <c r="S227" s="282"/>
      <c r="T227" s="294"/>
      <c r="U227" s="296"/>
      <c r="V227" s="282"/>
      <c r="W227" s="282"/>
      <c r="X227" s="282"/>
      <c r="Y227" s="282"/>
      <c r="Z227" s="282"/>
      <c r="AA227" s="282"/>
      <c r="AB227" s="282"/>
      <c r="AC227" s="294"/>
      <c r="AD227" s="296"/>
      <c r="AE227" s="282"/>
      <c r="AF227" s="282"/>
      <c r="AG227" s="282"/>
      <c r="AH227" s="282"/>
      <c r="AI227" s="282"/>
      <c r="AJ227" s="282"/>
      <c r="AK227" s="282"/>
      <c r="AL227" s="294"/>
      <c r="AM227" s="296"/>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94"/>
      <c r="BJ227" s="282"/>
      <c r="BK227" s="285"/>
      <c r="BM227" s="4">
        <f t="shared" si="3"/>
        <v>20</v>
      </c>
    </row>
    <row r="228" spans="1:65" ht="15" customHeight="1" x14ac:dyDescent="0.25">
      <c r="A228" s="284"/>
      <c r="B228" s="296"/>
      <c r="C228" s="282"/>
      <c r="D228" s="282"/>
      <c r="E228" s="282"/>
      <c r="F228" s="282"/>
      <c r="G228" s="282"/>
      <c r="H228" s="282"/>
      <c r="I228" s="282"/>
      <c r="J228" s="282"/>
      <c r="K228" s="294"/>
      <c r="L228" s="296"/>
      <c r="M228" s="282"/>
      <c r="N228" s="282"/>
      <c r="O228" s="282"/>
      <c r="P228" s="282"/>
      <c r="Q228" s="282"/>
      <c r="R228" s="282"/>
      <c r="S228" s="282"/>
      <c r="T228" s="294"/>
      <c r="U228" s="296"/>
      <c r="V228" s="282"/>
      <c r="W228" s="282"/>
      <c r="X228" s="282"/>
      <c r="Y228" s="282"/>
      <c r="Z228" s="282"/>
      <c r="AA228" s="282"/>
      <c r="AB228" s="282"/>
      <c r="AC228" s="294"/>
      <c r="AD228" s="296"/>
      <c r="AE228" s="282"/>
      <c r="AF228" s="282"/>
      <c r="AG228" s="282"/>
      <c r="AH228" s="282"/>
      <c r="AI228" s="282"/>
      <c r="AJ228" s="282"/>
      <c r="AK228" s="282"/>
      <c r="AL228" s="294"/>
      <c r="AM228" s="296"/>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94"/>
      <c r="BJ228" s="282"/>
      <c r="BK228" s="285"/>
      <c r="BM228" s="4">
        <f t="shared" si="3"/>
        <v>21</v>
      </c>
    </row>
    <row r="229" spans="1:65" ht="15" customHeight="1" x14ac:dyDescent="0.25">
      <c r="A229" s="284"/>
      <c r="B229" s="296"/>
      <c r="C229" s="282"/>
      <c r="D229" s="282"/>
      <c r="E229" s="282"/>
      <c r="F229" s="282"/>
      <c r="G229" s="282"/>
      <c r="H229" s="282"/>
      <c r="I229" s="282"/>
      <c r="J229" s="282"/>
      <c r="K229" s="294"/>
      <c r="L229" s="296"/>
      <c r="M229" s="282"/>
      <c r="N229" s="282"/>
      <c r="O229" s="282"/>
      <c r="P229" s="282"/>
      <c r="Q229" s="282"/>
      <c r="R229" s="282"/>
      <c r="S229" s="282"/>
      <c r="T229" s="294"/>
      <c r="U229" s="296"/>
      <c r="V229" s="282"/>
      <c r="W229" s="282"/>
      <c r="X229" s="282"/>
      <c r="Y229" s="282"/>
      <c r="Z229" s="282"/>
      <c r="AA229" s="282"/>
      <c r="AB229" s="282"/>
      <c r="AC229" s="294"/>
      <c r="AD229" s="296"/>
      <c r="AE229" s="282"/>
      <c r="AF229" s="282"/>
      <c r="AG229" s="282"/>
      <c r="AH229" s="282"/>
      <c r="AI229" s="282"/>
      <c r="AJ229" s="282"/>
      <c r="AK229" s="282"/>
      <c r="AL229" s="294"/>
      <c r="AM229" s="296"/>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94"/>
      <c r="BJ229" s="282"/>
      <c r="BK229" s="285"/>
      <c r="BM229" s="4">
        <f t="shared" si="3"/>
        <v>22</v>
      </c>
    </row>
    <row r="230" spans="1:65" ht="15" customHeight="1" x14ac:dyDescent="0.25">
      <c r="A230" s="284"/>
      <c r="B230" s="296"/>
      <c r="C230" s="282"/>
      <c r="D230" s="282"/>
      <c r="E230" s="282"/>
      <c r="F230" s="282"/>
      <c r="G230" s="282"/>
      <c r="H230" s="282"/>
      <c r="I230" s="282"/>
      <c r="J230" s="282"/>
      <c r="K230" s="294"/>
      <c r="L230" s="296"/>
      <c r="M230" s="282"/>
      <c r="N230" s="282"/>
      <c r="O230" s="282"/>
      <c r="P230" s="282"/>
      <c r="Q230" s="282"/>
      <c r="R230" s="282"/>
      <c r="S230" s="282"/>
      <c r="T230" s="294"/>
      <c r="U230" s="296"/>
      <c r="V230" s="282"/>
      <c r="W230" s="282"/>
      <c r="X230" s="282"/>
      <c r="Y230" s="282"/>
      <c r="Z230" s="282"/>
      <c r="AA230" s="282"/>
      <c r="AB230" s="282"/>
      <c r="AC230" s="294"/>
      <c r="AD230" s="296"/>
      <c r="AE230" s="282"/>
      <c r="AF230" s="282"/>
      <c r="AG230" s="282"/>
      <c r="AH230" s="282"/>
      <c r="AI230" s="282"/>
      <c r="AJ230" s="282"/>
      <c r="AK230" s="282"/>
      <c r="AL230" s="294"/>
      <c r="AM230" s="296"/>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94"/>
      <c r="BJ230" s="282"/>
      <c r="BK230" s="285"/>
      <c r="BM230" s="4">
        <f t="shared" si="3"/>
        <v>23</v>
      </c>
    </row>
    <row r="231" spans="1:65" ht="15" customHeight="1" x14ac:dyDescent="0.25">
      <c r="A231" s="284"/>
      <c r="B231" s="297" t="s">
        <v>40</v>
      </c>
      <c r="C231" s="298"/>
      <c r="D231" s="298"/>
      <c r="E231" s="298"/>
      <c r="F231" s="298"/>
      <c r="G231" s="298"/>
      <c r="H231" s="298"/>
      <c r="I231" s="298"/>
      <c r="J231" s="298"/>
      <c r="K231" s="299"/>
      <c r="L231" s="297"/>
      <c r="M231" s="298"/>
      <c r="N231" s="298"/>
      <c r="O231" s="298"/>
      <c r="P231" s="298"/>
      <c r="Q231" s="298"/>
      <c r="R231" s="298"/>
      <c r="S231" s="298"/>
      <c r="T231" s="299"/>
      <c r="U231" s="297"/>
      <c r="V231" s="298"/>
      <c r="W231" s="298"/>
      <c r="X231" s="298"/>
      <c r="Y231" s="298"/>
      <c r="Z231" s="298"/>
      <c r="AA231" s="298"/>
      <c r="AB231" s="298"/>
      <c r="AC231" s="299"/>
      <c r="AD231" s="297"/>
      <c r="AE231" s="298"/>
      <c r="AF231" s="298"/>
      <c r="AG231" s="298"/>
      <c r="AH231" s="298"/>
      <c r="AI231" s="298"/>
      <c r="AJ231" s="298"/>
      <c r="AK231" s="298"/>
      <c r="AL231" s="299"/>
      <c r="AM231" s="297"/>
      <c r="AN231" s="298"/>
      <c r="AO231" s="298"/>
      <c r="AP231" s="298"/>
      <c r="AQ231" s="298"/>
      <c r="AR231" s="298"/>
      <c r="AS231" s="298"/>
      <c r="AT231" s="298"/>
      <c r="AU231" s="298"/>
      <c r="AV231" s="298"/>
      <c r="AW231" s="298"/>
      <c r="AX231" s="298"/>
      <c r="AY231" s="298"/>
      <c r="AZ231" s="298"/>
      <c r="BA231" s="298"/>
      <c r="BB231" s="298"/>
      <c r="BC231" s="298"/>
      <c r="BD231" s="298"/>
      <c r="BE231" s="298"/>
      <c r="BF231" s="298"/>
      <c r="BG231" s="298"/>
      <c r="BH231" s="298"/>
      <c r="BI231" s="299"/>
      <c r="BJ231" s="298"/>
      <c r="BK231" s="285"/>
      <c r="BM231" s="4">
        <f t="shared" si="3"/>
        <v>24</v>
      </c>
    </row>
    <row r="232" spans="1:65" ht="15" customHeight="1" x14ac:dyDescent="0.25">
      <c r="A232" s="284"/>
      <c r="B232" s="296"/>
      <c r="C232" s="282"/>
      <c r="D232" s="282"/>
      <c r="E232" s="282"/>
      <c r="F232" s="282"/>
      <c r="G232" s="282"/>
      <c r="H232" s="282"/>
      <c r="I232" s="282"/>
      <c r="J232" s="282"/>
      <c r="K232" s="294"/>
      <c r="L232" s="296"/>
      <c r="M232" s="282"/>
      <c r="N232" s="282"/>
      <c r="O232" s="282"/>
      <c r="P232" s="282"/>
      <c r="Q232" s="282"/>
      <c r="R232" s="282"/>
      <c r="S232" s="282"/>
      <c r="T232" s="294"/>
      <c r="U232" s="296"/>
      <c r="V232" s="282"/>
      <c r="W232" s="282"/>
      <c r="X232" s="282"/>
      <c r="Y232" s="282"/>
      <c r="Z232" s="282"/>
      <c r="AA232" s="282"/>
      <c r="AB232" s="282"/>
      <c r="AC232" s="294"/>
      <c r="AD232" s="296"/>
      <c r="AE232" s="282"/>
      <c r="AF232" s="282"/>
      <c r="AG232" s="282"/>
      <c r="AH232" s="282"/>
      <c r="AI232" s="282"/>
      <c r="AJ232" s="282"/>
      <c r="AK232" s="282"/>
      <c r="AL232" s="294"/>
      <c r="AM232" s="296"/>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94"/>
      <c r="BJ232" s="282"/>
      <c r="BK232" s="285"/>
      <c r="BM232" s="4">
        <f t="shared" si="3"/>
        <v>25</v>
      </c>
    </row>
    <row r="233" spans="1:65" ht="15" customHeight="1" x14ac:dyDescent="0.25">
      <c r="A233" s="284"/>
      <c r="B233" s="296"/>
      <c r="C233" s="282"/>
      <c r="D233" s="282"/>
      <c r="E233" s="282"/>
      <c r="F233" s="282"/>
      <c r="G233" s="282"/>
      <c r="H233" s="282"/>
      <c r="I233" s="282"/>
      <c r="J233" s="282"/>
      <c r="K233" s="294"/>
      <c r="L233" s="296"/>
      <c r="M233" s="282"/>
      <c r="N233" s="282"/>
      <c r="O233" s="282"/>
      <c r="P233" s="282"/>
      <c r="Q233" s="282"/>
      <c r="R233" s="282"/>
      <c r="S233" s="282"/>
      <c r="T233" s="294"/>
      <c r="U233" s="296"/>
      <c r="V233" s="282"/>
      <c r="W233" s="282"/>
      <c r="X233" s="282"/>
      <c r="Y233" s="282"/>
      <c r="Z233" s="282"/>
      <c r="AA233" s="282"/>
      <c r="AB233" s="282"/>
      <c r="AC233" s="294"/>
      <c r="AD233" s="296"/>
      <c r="AE233" s="282"/>
      <c r="AF233" s="282"/>
      <c r="AG233" s="282"/>
      <c r="AH233" s="282"/>
      <c r="AI233" s="282"/>
      <c r="AJ233" s="282"/>
      <c r="AK233" s="282"/>
      <c r="AL233" s="294"/>
      <c r="AM233" s="296"/>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94"/>
      <c r="BJ233" s="282"/>
      <c r="BK233" s="285"/>
      <c r="BM233" s="4">
        <f t="shared" si="3"/>
        <v>26</v>
      </c>
    </row>
    <row r="234" spans="1:65" ht="15" customHeight="1" x14ac:dyDescent="0.25">
      <c r="A234" s="284"/>
      <c r="B234" s="296"/>
      <c r="C234" s="282"/>
      <c r="D234" s="282"/>
      <c r="E234" s="282"/>
      <c r="F234" s="282"/>
      <c r="G234" s="282"/>
      <c r="H234" s="282"/>
      <c r="I234" s="282"/>
      <c r="J234" s="282"/>
      <c r="K234" s="294"/>
      <c r="L234" s="296"/>
      <c r="M234" s="282"/>
      <c r="N234" s="282"/>
      <c r="O234" s="282"/>
      <c r="P234" s="282"/>
      <c r="Q234" s="282"/>
      <c r="R234" s="282"/>
      <c r="S234" s="282"/>
      <c r="T234" s="294"/>
      <c r="U234" s="296"/>
      <c r="V234" s="282"/>
      <c r="W234" s="282"/>
      <c r="X234" s="282"/>
      <c r="Y234" s="282"/>
      <c r="Z234" s="282"/>
      <c r="AA234" s="282"/>
      <c r="AB234" s="282"/>
      <c r="AC234" s="294"/>
      <c r="AD234" s="296"/>
      <c r="AE234" s="282"/>
      <c r="AF234" s="282"/>
      <c r="AG234" s="282"/>
      <c r="AH234" s="282"/>
      <c r="AI234" s="282"/>
      <c r="AJ234" s="282"/>
      <c r="AK234" s="282"/>
      <c r="AL234" s="294"/>
      <c r="AM234" s="296"/>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94"/>
      <c r="BJ234" s="282"/>
      <c r="BK234" s="285"/>
      <c r="BM234" s="4">
        <f t="shared" si="3"/>
        <v>27</v>
      </c>
    </row>
    <row r="235" spans="1:65" ht="15" customHeight="1" x14ac:dyDescent="0.25">
      <c r="A235" s="284"/>
      <c r="B235" s="296"/>
      <c r="C235" s="282"/>
      <c r="D235" s="282"/>
      <c r="E235" s="282"/>
      <c r="F235" s="282"/>
      <c r="G235" s="282"/>
      <c r="H235" s="282"/>
      <c r="I235" s="282"/>
      <c r="J235" s="282"/>
      <c r="K235" s="294"/>
      <c r="L235" s="296"/>
      <c r="M235" s="282"/>
      <c r="N235" s="282"/>
      <c r="O235" s="282"/>
      <c r="P235" s="282"/>
      <c r="Q235" s="282"/>
      <c r="R235" s="282"/>
      <c r="S235" s="282"/>
      <c r="T235" s="294"/>
      <c r="U235" s="296"/>
      <c r="V235" s="282"/>
      <c r="W235" s="282"/>
      <c r="X235" s="282"/>
      <c r="Y235" s="282"/>
      <c r="Z235" s="282"/>
      <c r="AA235" s="282"/>
      <c r="AB235" s="282"/>
      <c r="AC235" s="294"/>
      <c r="AD235" s="296"/>
      <c r="AE235" s="282"/>
      <c r="AF235" s="282"/>
      <c r="AG235" s="282"/>
      <c r="AH235" s="282"/>
      <c r="AI235" s="282"/>
      <c r="AJ235" s="282"/>
      <c r="AK235" s="282"/>
      <c r="AL235" s="294"/>
      <c r="AM235" s="296"/>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94"/>
      <c r="BJ235" s="282"/>
      <c r="BK235" s="285"/>
      <c r="BM235" s="4">
        <f t="shared" si="3"/>
        <v>28</v>
      </c>
    </row>
    <row r="236" spans="1:65" ht="15" customHeight="1" x14ac:dyDescent="0.25">
      <c r="A236" s="284"/>
      <c r="B236" s="296"/>
      <c r="C236" s="282"/>
      <c r="D236" s="282"/>
      <c r="E236" s="282"/>
      <c r="F236" s="282"/>
      <c r="G236" s="282"/>
      <c r="H236" s="282"/>
      <c r="I236" s="282"/>
      <c r="J236" s="282"/>
      <c r="K236" s="294"/>
      <c r="L236" s="296"/>
      <c r="M236" s="282"/>
      <c r="N236" s="282"/>
      <c r="O236" s="282"/>
      <c r="P236" s="282"/>
      <c r="Q236" s="282"/>
      <c r="R236" s="282"/>
      <c r="S236" s="282"/>
      <c r="T236" s="294"/>
      <c r="U236" s="296"/>
      <c r="V236" s="282"/>
      <c r="W236" s="282"/>
      <c r="X236" s="282"/>
      <c r="Y236" s="282"/>
      <c r="Z236" s="282"/>
      <c r="AA236" s="282"/>
      <c r="AB236" s="282"/>
      <c r="AC236" s="294"/>
      <c r="AD236" s="296"/>
      <c r="AE236" s="282"/>
      <c r="AF236" s="282"/>
      <c r="AG236" s="282"/>
      <c r="AH236" s="282"/>
      <c r="AI236" s="282"/>
      <c r="AJ236" s="282"/>
      <c r="AK236" s="282"/>
      <c r="AL236" s="294"/>
      <c r="AM236" s="296"/>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94"/>
      <c r="BJ236" s="282"/>
      <c r="BK236" s="285"/>
      <c r="BM236" s="4">
        <f t="shared" si="3"/>
        <v>29</v>
      </c>
    </row>
    <row r="237" spans="1:65" ht="15" customHeight="1" x14ac:dyDescent="0.25">
      <c r="A237" s="284"/>
      <c r="B237" s="296"/>
      <c r="C237" s="282"/>
      <c r="D237" s="282"/>
      <c r="E237" s="282"/>
      <c r="F237" s="282"/>
      <c r="G237" s="282"/>
      <c r="H237" s="282"/>
      <c r="I237" s="282"/>
      <c r="J237" s="282"/>
      <c r="K237" s="294"/>
      <c r="L237" s="296"/>
      <c r="M237" s="282"/>
      <c r="N237" s="282"/>
      <c r="O237" s="282"/>
      <c r="P237" s="282"/>
      <c r="Q237" s="282"/>
      <c r="R237" s="282"/>
      <c r="S237" s="282"/>
      <c r="T237" s="294"/>
      <c r="U237" s="296"/>
      <c r="V237" s="282"/>
      <c r="W237" s="282"/>
      <c r="X237" s="282"/>
      <c r="Y237" s="282"/>
      <c r="Z237" s="282"/>
      <c r="AA237" s="282"/>
      <c r="AB237" s="282"/>
      <c r="AC237" s="294"/>
      <c r="AD237" s="296"/>
      <c r="AE237" s="282"/>
      <c r="AF237" s="282"/>
      <c r="AG237" s="282"/>
      <c r="AH237" s="282"/>
      <c r="AI237" s="282"/>
      <c r="AJ237" s="282"/>
      <c r="AK237" s="282"/>
      <c r="AL237" s="294"/>
      <c r="AM237" s="296"/>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94"/>
      <c r="BJ237" s="282"/>
      <c r="BK237" s="285"/>
      <c r="BM237" s="4">
        <f t="shared" si="3"/>
        <v>30</v>
      </c>
    </row>
    <row r="238" spans="1:65" ht="15" customHeight="1" x14ac:dyDescent="0.25">
      <c r="A238" s="284"/>
      <c r="B238" s="296"/>
      <c r="C238" s="282"/>
      <c r="D238" s="282"/>
      <c r="E238" s="282"/>
      <c r="F238" s="282"/>
      <c r="G238" s="282"/>
      <c r="H238" s="282"/>
      <c r="I238" s="282"/>
      <c r="J238" s="282"/>
      <c r="K238" s="294"/>
      <c r="L238" s="296"/>
      <c r="M238" s="282"/>
      <c r="N238" s="282"/>
      <c r="O238" s="282"/>
      <c r="P238" s="282"/>
      <c r="Q238" s="282"/>
      <c r="R238" s="282"/>
      <c r="S238" s="282"/>
      <c r="T238" s="294"/>
      <c r="U238" s="296"/>
      <c r="V238" s="282"/>
      <c r="W238" s="282"/>
      <c r="X238" s="282"/>
      <c r="Y238" s="282"/>
      <c r="Z238" s="282"/>
      <c r="AA238" s="282"/>
      <c r="AB238" s="282"/>
      <c r="AC238" s="294"/>
      <c r="AD238" s="296"/>
      <c r="AE238" s="282"/>
      <c r="AF238" s="282"/>
      <c r="AG238" s="282"/>
      <c r="AH238" s="282"/>
      <c r="AI238" s="282"/>
      <c r="AJ238" s="282"/>
      <c r="AK238" s="282"/>
      <c r="AL238" s="294"/>
      <c r="AM238" s="296"/>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94"/>
      <c r="BJ238" s="282"/>
      <c r="BK238" s="285"/>
      <c r="BM238" s="4">
        <f t="shared" si="3"/>
        <v>31</v>
      </c>
    </row>
    <row r="239" spans="1:65" ht="15" customHeight="1" x14ac:dyDescent="0.25">
      <c r="A239" s="284"/>
      <c r="B239" s="296"/>
      <c r="C239" s="282"/>
      <c r="D239" s="282"/>
      <c r="E239" s="282"/>
      <c r="F239" s="282"/>
      <c r="G239" s="282"/>
      <c r="H239" s="282"/>
      <c r="I239" s="282"/>
      <c r="J239" s="282"/>
      <c r="K239" s="294"/>
      <c r="L239" s="296"/>
      <c r="M239" s="282"/>
      <c r="N239" s="282"/>
      <c r="O239" s="282"/>
      <c r="P239" s="282"/>
      <c r="Q239" s="282"/>
      <c r="R239" s="282"/>
      <c r="S239" s="282"/>
      <c r="T239" s="294"/>
      <c r="U239" s="296"/>
      <c r="V239" s="282"/>
      <c r="W239" s="282"/>
      <c r="X239" s="282"/>
      <c r="Y239" s="282"/>
      <c r="Z239" s="282"/>
      <c r="AA239" s="282"/>
      <c r="AB239" s="282"/>
      <c r="AC239" s="294"/>
      <c r="AD239" s="296"/>
      <c r="AE239" s="282"/>
      <c r="AF239" s="282"/>
      <c r="AG239" s="282"/>
      <c r="AH239" s="282"/>
      <c r="AI239" s="282"/>
      <c r="AJ239" s="282"/>
      <c r="AK239" s="282"/>
      <c r="AL239" s="294"/>
      <c r="AM239" s="296"/>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94"/>
      <c r="BJ239" s="282"/>
      <c r="BK239" s="285"/>
      <c r="BM239" s="4">
        <f t="shared" si="3"/>
        <v>32</v>
      </c>
    </row>
    <row r="240" spans="1:65" ht="15" customHeight="1" x14ac:dyDescent="0.25">
      <c r="A240" s="284"/>
      <c r="B240" s="296"/>
      <c r="C240" s="282"/>
      <c r="D240" s="282"/>
      <c r="E240" s="282"/>
      <c r="F240" s="282"/>
      <c r="G240" s="282"/>
      <c r="H240" s="282"/>
      <c r="I240" s="282"/>
      <c r="J240" s="282"/>
      <c r="K240" s="294"/>
      <c r="L240" s="296"/>
      <c r="M240" s="282"/>
      <c r="N240" s="282"/>
      <c r="O240" s="282"/>
      <c r="P240" s="282"/>
      <c r="Q240" s="282"/>
      <c r="R240" s="282"/>
      <c r="S240" s="282"/>
      <c r="T240" s="294"/>
      <c r="U240" s="296"/>
      <c r="V240" s="282"/>
      <c r="W240" s="282"/>
      <c r="X240" s="282"/>
      <c r="Y240" s="282"/>
      <c r="Z240" s="282"/>
      <c r="AA240" s="282"/>
      <c r="AB240" s="282"/>
      <c r="AC240" s="294"/>
      <c r="AD240" s="296"/>
      <c r="AE240" s="282"/>
      <c r="AF240" s="282"/>
      <c r="AG240" s="282"/>
      <c r="AH240" s="282"/>
      <c r="AI240" s="282"/>
      <c r="AJ240" s="282"/>
      <c r="AK240" s="282"/>
      <c r="AL240" s="294"/>
      <c r="AM240" s="296"/>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94"/>
      <c r="BJ240" s="282"/>
      <c r="BK240" s="285"/>
      <c r="BM240" s="4">
        <f t="shared" si="3"/>
        <v>33</v>
      </c>
    </row>
    <row r="241" spans="1:65" ht="15" customHeight="1" x14ac:dyDescent="0.25">
      <c r="A241" s="284"/>
      <c r="B241" s="296"/>
      <c r="C241" s="282"/>
      <c r="D241" s="282"/>
      <c r="E241" s="282"/>
      <c r="F241" s="282"/>
      <c r="G241" s="282"/>
      <c r="H241" s="282"/>
      <c r="I241" s="282"/>
      <c r="J241" s="282"/>
      <c r="K241" s="294"/>
      <c r="L241" s="296"/>
      <c r="M241" s="282"/>
      <c r="N241" s="282"/>
      <c r="O241" s="282"/>
      <c r="P241" s="282"/>
      <c r="Q241" s="282"/>
      <c r="R241" s="282"/>
      <c r="S241" s="282"/>
      <c r="T241" s="294"/>
      <c r="U241" s="296"/>
      <c r="V241" s="282"/>
      <c r="W241" s="282"/>
      <c r="X241" s="282"/>
      <c r="Y241" s="282"/>
      <c r="Z241" s="282"/>
      <c r="AA241" s="282"/>
      <c r="AB241" s="282"/>
      <c r="AC241" s="294"/>
      <c r="AD241" s="296"/>
      <c r="AE241" s="282"/>
      <c r="AF241" s="282"/>
      <c r="AG241" s="282"/>
      <c r="AH241" s="282"/>
      <c r="AI241" s="282"/>
      <c r="AJ241" s="282"/>
      <c r="AK241" s="282"/>
      <c r="AL241" s="294"/>
      <c r="AM241" s="296"/>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94"/>
      <c r="BJ241" s="282"/>
      <c r="BK241" s="285"/>
      <c r="BM241" s="4">
        <f t="shared" si="3"/>
        <v>34</v>
      </c>
    </row>
    <row r="242" spans="1:65" ht="15" customHeight="1" x14ac:dyDescent="0.25">
      <c r="A242" s="284"/>
      <c r="B242" s="296"/>
      <c r="C242" s="282"/>
      <c r="D242" s="282"/>
      <c r="E242" s="282"/>
      <c r="F242" s="282"/>
      <c r="G242" s="282"/>
      <c r="H242" s="282"/>
      <c r="I242" s="282"/>
      <c r="J242" s="282"/>
      <c r="K242" s="294"/>
      <c r="L242" s="296"/>
      <c r="M242" s="282"/>
      <c r="N242" s="282"/>
      <c r="O242" s="282"/>
      <c r="P242" s="282"/>
      <c r="Q242" s="282"/>
      <c r="R242" s="282"/>
      <c r="S242" s="282"/>
      <c r="T242" s="294"/>
      <c r="U242" s="296"/>
      <c r="V242" s="282"/>
      <c r="W242" s="282"/>
      <c r="X242" s="282"/>
      <c r="Y242" s="282"/>
      <c r="Z242" s="282"/>
      <c r="AA242" s="282"/>
      <c r="AB242" s="282"/>
      <c r="AC242" s="294"/>
      <c r="AD242" s="296"/>
      <c r="AE242" s="282"/>
      <c r="AF242" s="282"/>
      <c r="AG242" s="282"/>
      <c r="AH242" s="282"/>
      <c r="AI242" s="282"/>
      <c r="AJ242" s="282"/>
      <c r="AK242" s="282"/>
      <c r="AL242" s="294"/>
      <c r="AM242" s="296"/>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94"/>
      <c r="BJ242" s="282"/>
      <c r="BK242" s="285"/>
      <c r="BM242" s="4">
        <f t="shared" si="3"/>
        <v>35</v>
      </c>
    </row>
    <row r="243" spans="1:65" ht="15" customHeight="1" x14ac:dyDescent="0.25">
      <c r="A243" s="284"/>
      <c r="B243" s="296"/>
      <c r="C243" s="282"/>
      <c r="D243" s="282"/>
      <c r="E243" s="282"/>
      <c r="F243" s="282"/>
      <c r="G243" s="282"/>
      <c r="H243" s="282"/>
      <c r="I243" s="282"/>
      <c r="J243" s="282"/>
      <c r="K243" s="294"/>
      <c r="L243" s="296"/>
      <c r="M243" s="282"/>
      <c r="N243" s="282"/>
      <c r="O243" s="282"/>
      <c r="P243" s="282"/>
      <c r="Q243" s="282"/>
      <c r="R243" s="282"/>
      <c r="S243" s="282"/>
      <c r="T243" s="294"/>
      <c r="U243" s="296"/>
      <c r="V243" s="282"/>
      <c r="W243" s="282"/>
      <c r="X243" s="282"/>
      <c r="Y243" s="282"/>
      <c r="Z243" s="282"/>
      <c r="AA243" s="282"/>
      <c r="AB243" s="282"/>
      <c r="AC243" s="294"/>
      <c r="AD243" s="296"/>
      <c r="AE243" s="282"/>
      <c r="AF243" s="282"/>
      <c r="AG243" s="282"/>
      <c r="AH243" s="282"/>
      <c r="AI243" s="282"/>
      <c r="AJ243" s="282"/>
      <c r="AK243" s="282"/>
      <c r="AL243" s="294"/>
      <c r="AM243" s="296"/>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94"/>
      <c r="BJ243" s="282"/>
      <c r="BK243" s="285"/>
      <c r="BM243" s="4">
        <f t="shared" si="3"/>
        <v>36</v>
      </c>
    </row>
    <row r="244" spans="1:65" ht="15" customHeight="1" x14ac:dyDescent="0.25">
      <c r="A244" s="286"/>
      <c r="B244" s="300"/>
      <c r="C244" s="287"/>
      <c r="D244" s="287"/>
      <c r="E244" s="287"/>
      <c r="F244" s="287"/>
      <c r="G244" s="287"/>
      <c r="H244" s="287"/>
      <c r="I244" s="287"/>
      <c r="J244" s="287"/>
      <c r="K244" s="301"/>
      <c r="L244" s="300"/>
      <c r="M244" s="287"/>
      <c r="N244" s="287"/>
      <c r="O244" s="287"/>
      <c r="P244" s="287"/>
      <c r="Q244" s="287"/>
      <c r="R244" s="287"/>
      <c r="S244" s="287"/>
      <c r="T244" s="301"/>
      <c r="U244" s="300"/>
      <c r="V244" s="287"/>
      <c r="W244" s="287"/>
      <c r="X244" s="287"/>
      <c r="Y244" s="287"/>
      <c r="Z244" s="287"/>
      <c r="AA244" s="287"/>
      <c r="AB244" s="287"/>
      <c r="AC244" s="301"/>
      <c r="AD244" s="300"/>
      <c r="AE244" s="287"/>
      <c r="AF244" s="287"/>
      <c r="AG244" s="287"/>
      <c r="AH244" s="287"/>
      <c r="AI244" s="287"/>
      <c r="AJ244" s="287"/>
      <c r="AK244" s="287"/>
      <c r="AL244" s="301"/>
      <c r="AM244" s="300"/>
      <c r="AN244" s="287"/>
      <c r="AO244" s="287"/>
      <c r="AP244" s="287"/>
      <c r="AQ244" s="287"/>
      <c r="AR244" s="287"/>
      <c r="AS244" s="287"/>
      <c r="AT244" s="287"/>
      <c r="AU244" s="287"/>
      <c r="AV244" s="287"/>
      <c r="AW244" s="287"/>
      <c r="AX244" s="287"/>
      <c r="AY244" s="287"/>
      <c r="AZ244" s="287"/>
      <c r="BA244" s="287"/>
      <c r="BB244" s="287"/>
      <c r="BC244" s="287"/>
      <c r="BD244" s="287"/>
      <c r="BE244" s="287"/>
      <c r="BF244" s="287"/>
      <c r="BG244" s="287"/>
      <c r="BH244" s="287"/>
      <c r="BI244" s="301"/>
      <c r="BJ244" s="287"/>
      <c r="BK244" s="288"/>
      <c r="BM244" s="4">
        <f t="shared" si="3"/>
        <v>37</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14"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4" customWidth="1"/>
    <col min="64" max="16384" width="10.109375" style="4"/>
  </cols>
  <sheetData>
    <row r="1" spans="1:63" ht="24.95" customHeight="1" x14ac:dyDescent="0.25">
      <c r="A1" s="302" t="s">
        <v>46</v>
      </c>
      <c r="B1" s="303"/>
      <c r="C1" s="303"/>
      <c r="D1" s="303"/>
      <c r="E1" s="303"/>
      <c r="F1" s="303"/>
      <c r="G1" s="303"/>
      <c r="H1" s="303"/>
      <c r="I1" s="303"/>
      <c r="J1" s="304"/>
      <c r="K1" s="302" t="s">
        <v>47</v>
      </c>
      <c r="L1" s="303"/>
      <c r="M1" s="303"/>
      <c r="N1" s="303"/>
      <c r="O1" s="303"/>
      <c r="P1" s="303"/>
      <c r="Q1" s="303"/>
      <c r="R1" s="303"/>
      <c r="S1" s="303"/>
      <c r="T1" s="303"/>
      <c r="U1" s="303"/>
      <c r="V1" s="304"/>
      <c r="W1" s="305" t="str">
        <f>IF(表紙!W1="","",表紙!W1)</f>
        <v>基本設計書</v>
      </c>
      <c r="X1" s="306"/>
      <c r="Y1" s="306"/>
      <c r="Z1" s="306"/>
      <c r="AA1" s="306"/>
      <c r="AB1" s="306"/>
      <c r="AC1" s="306"/>
      <c r="AD1" s="306"/>
      <c r="AE1" s="306"/>
      <c r="AF1" s="306"/>
      <c r="AG1" s="306"/>
      <c r="AH1" s="306"/>
      <c r="AI1" s="306"/>
      <c r="AJ1" s="306"/>
      <c r="AK1" s="306"/>
      <c r="AL1" s="306"/>
      <c r="AM1" s="306"/>
      <c r="AN1" s="306"/>
      <c r="AO1" s="307"/>
      <c r="AP1" s="180" t="s">
        <v>49</v>
      </c>
      <c r="AQ1" s="181"/>
      <c r="AR1" s="181"/>
      <c r="AS1" s="182"/>
      <c r="AT1" s="180" t="s">
        <v>50</v>
      </c>
      <c r="AU1" s="181"/>
      <c r="AV1" s="181"/>
      <c r="AW1" s="181"/>
      <c r="AX1" s="182"/>
      <c r="AY1" s="180" t="s">
        <v>51</v>
      </c>
      <c r="AZ1" s="181"/>
      <c r="BA1" s="181"/>
      <c r="BB1" s="182"/>
      <c r="BC1" s="180" t="s">
        <v>52</v>
      </c>
      <c r="BD1" s="181"/>
      <c r="BE1" s="181"/>
      <c r="BF1" s="181"/>
      <c r="BG1" s="182"/>
      <c r="BH1" s="180" t="s">
        <v>53</v>
      </c>
      <c r="BI1" s="181"/>
      <c r="BJ1" s="181"/>
      <c r="BK1" s="182"/>
    </row>
    <row r="2" spans="1:63" ht="15" customHeight="1" x14ac:dyDescent="0.25">
      <c r="A2" s="70" t="str">
        <f>IF(表紙!A2="","",表紙!A2)</f>
        <v>POSサーバー</v>
      </c>
      <c r="B2" s="71"/>
      <c r="C2" s="71"/>
      <c r="D2" s="71"/>
      <c r="E2" s="71"/>
      <c r="F2" s="71"/>
      <c r="G2" s="71"/>
      <c r="H2" s="71"/>
      <c r="I2" s="71"/>
      <c r="J2" s="72"/>
      <c r="K2" s="70" t="str">
        <f>IF(表紙!K2="","",表紙!K2)</f>
        <v>POSサーバ</v>
      </c>
      <c r="L2" s="71"/>
      <c r="M2" s="71"/>
      <c r="N2" s="71"/>
      <c r="O2" s="71"/>
      <c r="P2" s="71"/>
      <c r="Q2" s="71"/>
      <c r="R2" s="71"/>
      <c r="S2" s="71"/>
      <c r="T2" s="71"/>
      <c r="U2" s="71"/>
      <c r="V2" s="72"/>
      <c r="W2" s="308"/>
      <c r="X2" s="309"/>
      <c r="Y2" s="309"/>
      <c r="Z2" s="309"/>
      <c r="AA2" s="309"/>
      <c r="AB2" s="309"/>
      <c r="AC2" s="309"/>
      <c r="AD2" s="309"/>
      <c r="AE2" s="309"/>
      <c r="AF2" s="309"/>
      <c r="AG2" s="309"/>
      <c r="AH2" s="309"/>
      <c r="AI2" s="309"/>
      <c r="AJ2" s="309"/>
      <c r="AK2" s="309"/>
      <c r="AL2" s="309"/>
      <c r="AM2" s="309"/>
      <c r="AN2" s="309"/>
      <c r="AO2" s="310"/>
      <c r="AP2" s="189" t="str">
        <f>IF(表紙!AP2="","",表紙!AP2)</f>
        <v>SonMNT</v>
      </c>
      <c r="AQ2" s="187"/>
      <c r="AR2" s="187"/>
      <c r="AS2" s="188"/>
      <c r="AT2" s="193">
        <f>IF(表紙!AT2="","",表紙!AT2)</f>
        <v>45477</v>
      </c>
      <c r="AU2" s="194"/>
      <c r="AV2" s="194"/>
      <c r="AW2" s="194"/>
      <c r="AX2" s="195"/>
      <c r="AY2" s="189" t="str">
        <f>IF(表紙!AY2="","",表紙!AY2)</f>
        <v>SonMNT</v>
      </c>
      <c r="AZ2" s="187"/>
      <c r="BA2" s="187"/>
      <c r="BB2" s="188"/>
      <c r="BC2" s="193">
        <f>IF(表紙!BC2="","",表紙!BC2)</f>
        <v>45477</v>
      </c>
      <c r="BD2" s="194"/>
      <c r="BE2" s="194"/>
      <c r="BF2" s="194"/>
      <c r="BG2" s="195"/>
      <c r="BH2" s="189">
        <f>IF(表紙!BH2="","",表紙!BH2)</f>
        <v>0.1</v>
      </c>
      <c r="BI2" s="187"/>
      <c r="BJ2" s="187"/>
      <c r="BK2" s="188"/>
    </row>
    <row r="3" spans="1:63" ht="15" customHeight="1" x14ac:dyDescent="0.25">
      <c r="A3" s="73"/>
      <c r="B3" s="74"/>
      <c r="C3" s="74"/>
      <c r="D3" s="74"/>
      <c r="E3" s="74"/>
      <c r="F3" s="74"/>
      <c r="G3" s="74"/>
      <c r="H3" s="74"/>
      <c r="I3" s="74"/>
      <c r="J3" s="75"/>
      <c r="K3" s="73"/>
      <c r="L3" s="74"/>
      <c r="M3" s="74"/>
      <c r="N3" s="74"/>
      <c r="O3" s="74"/>
      <c r="P3" s="74"/>
      <c r="Q3" s="74"/>
      <c r="R3" s="74"/>
      <c r="S3" s="74"/>
      <c r="T3" s="74"/>
      <c r="U3" s="74"/>
      <c r="V3" s="75"/>
      <c r="W3" s="311"/>
      <c r="X3" s="312"/>
      <c r="Y3" s="312"/>
      <c r="Z3" s="312"/>
      <c r="AA3" s="312"/>
      <c r="AB3" s="312"/>
      <c r="AC3" s="312"/>
      <c r="AD3" s="312"/>
      <c r="AE3" s="312"/>
      <c r="AF3" s="312"/>
      <c r="AG3" s="312"/>
      <c r="AH3" s="312"/>
      <c r="AI3" s="312"/>
      <c r="AJ3" s="312"/>
      <c r="AK3" s="312"/>
      <c r="AL3" s="312"/>
      <c r="AM3" s="312"/>
      <c r="AN3" s="312"/>
      <c r="AO3" s="313"/>
      <c r="AP3" s="199"/>
      <c r="AQ3" s="200"/>
      <c r="AR3" s="200"/>
      <c r="AS3" s="201"/>
      <c r="AT3" s="205"/>
      <c r="AU3" s="206"/>
      <c r="AV3" s="206"/>
      <c r="AW3" s="206"/>
      <c r="AX3" s="207"/>
      <c r="AY3" s="199"/>
      <c r="AZ3" s="200"/>
      <c r="BA3" s="200"/>
      <c r="BB3" s="201"/>
      <c r="BC3" s="205"/>
      <c r="BD3" s="206"/>
      <c r="BE3" s="206"/>
      <c r="BF3" s="206"/>
      <c r="BG3" s="207"/>
      <c r="BH3" s="199"/>
      <c r="BI3" s="200"/>
      <c r="BJ3" s="200"/>
      <c r="BK3" s="201"/>
    </row>
    <row r="4" spans="1:63" ht="24.95" customHeight="1" x14ac:dyDescent="0.25">
      <c r="A4" s="302" t="s">
        <v>55</v>
      </c>
      <c r="B4" s="303"/>
      <c r="C4" s="303"/>
      <c r="D4" s="303"/>
      <c r="E4" s="303"/>
      <c r="F4" s="303"/>
      <c r="G4" s="304"/>
      <c r="H4" s="76" t="str">
        <f>IF(表紙!H4="","",表紙!H4)</f>
        <v>95_セットマッチ設定</v>
      </c>
      <c r="I4" s="77"/>
      <c r="J4" s="77"/>
      <c r="K4" s="77"/>
      <c r="L4" s="77"/>
      <c r="M4" s="77"/>
      <c r="N4" s="77"/>
      <c r="O4" s="77"/>
      <c r="P4" s="77"/>
      <c r="Q4" s="77"/>
      <c r="R4" s="77"/>
      <c r="S4" s="77"/>
      <c r="T4" s="78"/>
      <c r="U4" s="302" t="s">
        <v>56</v>
      </c>
      <c r="V4" s="303"/>
      <c r="W4" s="303"/>
      <c r="X4" s="303"/>
      <c r="Y4" s="304"/>
      <c r="Z4" s="76" t="str">
        <f>IF(表紙!Z4="","",表紙!Z4)</f>
        <v>概要設計</v>
      </c>
      <c r="AA4" s="77"/>
      <c r="AB4" s="77"/>
      <c r="AC4" s="77"/>
      <c r="AD4" s="77"/>
      <c r="AE4" s="77"/>
      <c r="AF4" s="77"/>
      <c r="AG4" s="77"/>
      <c r="AH4" s="77"/>
      <c r="AI4" s="77"/>
      <c r="AJ4" s="77"/>
      <c r="AK4" s="77"/>
      <c r="AL4" s="77"/>
      <c r="AM4" s="77"/>
      <c r="AN4" s="77"/>
      <c r="AO4" s="78"/>
      <c r="AP4" s="79" t="str">
        <f ca="1">MID(CELL("filename",A1),FIND("]",CELL("filename",A1))+1,255)</f>
        <v>画面設計書</v>
      </c>
      <c r="AQ4" s="77"/>
      <c r="AR4" s="77"/>
      <c r="AS4" s="77"/>
      <c r="AT4" s="77"/>
      <c r="AU4" s="77"/>
      <c r="AV4" s="77"/>
      <c r="AW4" s="77"/>
      <c r="AX4" s="77"/>
      <c r="AY4" s="77"/>
      <c r="AZ4" s="77"/>
      <c r="BA4" s="77"/>
      <c r="BB4" s="77"/>
      <c r="BC4" s="77"/>
      <c r="BD4" s="77"/>
      <c r="BE4" s="77"/>
      <c r="BF4" s="77"/>
      <c r="BG4" s="77"/>
      <c r="BH4" s="77"/>
      <c r="BI4" s="77"/>
      <c r="BJ4" s="77"/>
      <c r="BK4" s="78"/>
    </row>
    <row r="5" spans="1:63" ht="5.0999999999999996" customHeight="1" x14ac:dyDescent="0.25">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7"/>
    </row>
    <row r="6" spans="1:63" ht="15" customHeight="1" x14ac:dyDescent="0.25">
      <c r="A6" s="8"/>
      <c r="BK6" s="9"/>
    </row>
    <row r="7" spans="1:63" ht="15" customHeight="1" x14ac:dyDescent="0.25">
      <c r="A7" s="8"/>
      <c r="B7" s="314" t="s">
        <v>15</v>
      </c>
      <c r="C7" s="314"/>
      <c r="D7" s="314"/>
      <c r="E7" s="314"/>
      <c r="F7" s="314"/>
      <c r="G7" s="314"/>
      <c r="H7" s="314"/>
      <c r="I7" s="314"/>
      <c r="J7" s="314"/>
      <c r="AE7" s="10"/>
      <c r="BK7" s="9"/>
    </row>
    <row r="8" spans="1:63" ht="15" customHeight="1" x14ac:dyDescent="0.25">
      <c r="A8" s="8"/>
      <c r="BK8" s="9"/>
    </row>
    <row r="9" spans="1:63" ht="15" customHeight="1" x14ac:dyDescent="0.25">
      <c r="A9" s="8"/>
      <c r="BK9" s="9"/>
    </row>
    <row r="10" spans="1:63" ht="15" customHeight="1" x14ac:dyDescent="0.25">
      <c r="A10" s="8"/>
      <c r="BK10" s="9"/>
    </row>
    <row r="11" spans="1:63" ht="15" customHeight="1" x14ac:dyDescent="0.25">
      <c r="A11" s="8"/>
      <c r="BK11" s="9"/>
    </row>
    <row r="12" spans="1:63" ht="15" customHeight="1" x14ac:dyDescent="0.25">
      <c r="A12" s="8"/>
      <c r="BK12" s="9"/>
    </row>
    <row r="13" spans="1:63" ht="15" customHeight="1" x14ac:dyDescent="0.25">
      <c r="A13" s="8"/>
      <c r="BK13" s="9"/>
    </row>
    <row r="14" spans="1:63" ht="15" customHeight="1" x14ac:dyDescent="0.25">
      <c r="A14" s="8"/>
      <c r="BK14" s="9"/>
    </row>
    <row r="15" spans="1:63" ht="15" customHeight="1" x14ac:dyDescent="0.25">
      <c r="A15" s="8"/>
      <c r="BK15" s="9"/>
    </row>
    <row r="16" spans="1:63" ht="15" customHeight="1" x14ac:dyDescent="0.25">
      <c r="A16" s="8"/>
      <c r="BK16" s="9"/>
    </row>
    <row r="17" spans="1:63" ht="15" customHeight="1" x14ac:dyDescent="0.25">
      <c r="A17" s="8"/>
      <c r="BK17" s="9"/>
    </row>
    <row r="18" spans="1:63" ht="15" customHeight="1" x14ac:dyDescent="0.25">
      <c r="A18" s="8"/>
      <c r="BK18" s="9"/>
    </row>
    <row r="19" spans="1:63" ht="15" customHeight="1" x14ac:dyDescent="0.25">
      <c r="A19" s="8"/>
      <c r="BK19" s="9"/>
    </row>
    <row r="20" spans="1:63" ht="15" customHeight="1" x14ac:dyDescent="0.25">
      <c r="A20" s="8"/>
      <c r="BK20" s="9"/>
    </row>
    <row r="21" spans="1:63" ht="15" customHeight="1" x14ac:dyDescent="0.25">
      <c r="A21" s="8"/>
      <c r="BK21" s="9"/>
    </row>
    <row r="22" spans="1:63" ht="15" customHeight="1" x14ac:dyDescent="0.25">
      <c r="A22" s="8"/>
      <c r="BK22" s="9"/>
    </row>
    <row r="23" spans="1:63" ht="15" customHeight="1" x14ac:dyDescent="0.25">
      <c r="A23" s="8"/>
      <c r="BK23" s="9"/>
    </row>
    <row r="24" spans="1:63" ht="15" customHeight="1" x14ac:dyDescent="0.25">
      <c r="A24" s="8"/>
      <c r="BK24" s="9"/>
    </row>
    <row r="25" spans="1:63" ht="14.25" customHeight="1" x14ac:dyDescent="0.25">
      <c r="A25" s="8"/>
      <c r="BK25" s="9"/>
    </row>
    <row r="26" spans="1:63" ht="15" customHeight="1" x14ac:dyDescent="0.25">
      <c r="A26" s="8"/>
      <c r="BK26" s="9"/>
    </row>
    <row r="27" spans="1:63" ht="15" customHeight="1" x14ac:dyDescent="0.25">
      <c r="A27" s="8"/>
      <c r="BK27" s="9"/>
    </row>
    <row r="28" spans="1:63" x14ac:dyDescent="0.25">
      <c r="BK28" s="9"/>
    </row>
    <row r="29" spans="1:63" x14ac:dyDescent="0.25">
      <c r="BK29" s="9"/>
    </row>
    <row r="30" spans="1:63" x14ac:dyDescent="0.25">
      <c r="BK30" s="9"/>
    </row>
    <row r="31" spans="1:63" x14ac:dyDescent="0.25">
      <c r="BK31" s="9"/>
    </row>
    <row r="32" spans="1:63" x14ac:dyDescent="0.25">
      <c r="BK32" s="9"/>
    </row>
    <row r="33" spans="1:63" x14ac:dyDescent="0.25">
      <c r="BK33" s="9"/>
    </row>
    <row r="34" spans="1:63" x14ac:dyDescent="0.25">
      <c r="BK34" s="9"/>
    </row>
    <row r="35" spans="1:63" ht="15" customHeight="1" x14ac:dyDescent="0.25">
      <c r="A35" s="8"/>
      <c r="B35" s="10" t="s">
        <v>68</v>
      </c>
      <c r="BK35" s="9"/>
    </row>
    <row r="36" spans="1:63" x14ac:dyDescent="0.25">
      <c r="BK36" s="9"/>
    </row>
    <row r="37" spans="1:63" ht="15.75" customHeight="1" x14ac:dyDescent="0.25">
      <c r="B37" s="80" t="s">
        <v>69</v>
      </c>
      <c r="C37" s="81"/>
      <c r="D37" s="86" t="s">
        <v>70</v>
      </c>
      <c r="E37" s="87"/>
      <c r="F37" s="87"/>
      <c r="G37" s="87"/>
      <c r="H37" s="87"/>
      <c r="I37" s="87"/>
      <c r="J37" s="81"/>
      <c r="K37" s="86" t="s">
        <v>71</v>
      </c>
      <c r="L37" s="87"/>
      <c r="M37" s="81"/>
      <c r="N37" s="90" t="s">
        <v>16</v>
      </c>
      <c r="O37" s="93" t="s">
        <v>72</v>
      </c>
      <c r="P37" s="111" t="s">
        <v>73</v>
      </c>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3"/>
      <c r="AR37" s="96" t="s">
        <v>74</v>
      </c>
      <c r="AS37" s="97"/>
      <c r="AT37" s="97"/>
      <c r="AU37" s="97"/>
      <c r="AV37" s="97"/>
      <c r="AW37" s="97"/>
      <c r="AX37" s="97"/>
      <c r="AY37" s="97"/>
      <c r="AZ37" s="97"/>
      <c r="BA37" s="97"/>
      <c r="BB37" s="100"/>
      <c r="BC37" s="114" t="s">
        <v>75</v>
      </c>
      <c r="BD37" s="115"/>
      <c r="BE37" s="115"/>
      <c r="BF37" s="115"/>
      <c r="BG37" s="115"/>
      <c r="BH37" s="115"/>
      <c r="BI37" s="115"/>
      <c r="BJ37" s="116"/>
      <c r="BK37" s="9"/>
    </row>
    <row r="38" spans="1:63" ht="15.75" customHeight="1" x14ac:dyDescent="0.25">
      <c r="B38" s="82"/>
      <c r="C38" s="83"/>
      <c r="D38" s="82"/>
      <c r="E38" s="88"/>
      <c r="F38" s="88"/>
      <c r="G38" s="88"/>
      <c r="H38" s="88"/>
      <c r="I38" s="88"/>
      <c r="J38" s="83"/>
      <c r="K38" s="82"/>
      <c r="L38" s="88"/>
      <c r="M38" s="83"/>
      <c r="N38" s="91"/>
      <c r="O38" s="94"/>
      <c r="P38" s="123" t="s">
        <v>76</v>
      </c>
      <c r="Q38" s="124"/>
      <c r="R38" s="124"/>
      <c r="S38" s="124"/>
      <c r="T38" s="124"/>
      <c r="U38" s="124"/>
      <c r="V38" s="124"/>
      <c r="W38" s="125"/>
      <c r="X38" s="126" t="s">
        <v>77</v>
      </c>
      <c r="Y38" s="127"/>
      <c r="Z38" s="128"/>
      <c r="AA38" s="126" t="s">
        <v>78</v>
      </c>
      <c r="AB38" s="127"/>
      <c r="AC38" s="127"/>
      <c r="AD38" s="127"/>
      <c r="AE38" s="127"/>
      <c r="AF38" s="127"/>
      <c r="AG38" s="127"/>
      <c r="AH38" s="128"/>
      <c r="AI38" s="126" t="s">
        <v>79</v>
      </c>
      <c r="AJ38" s="127"/>
      <c r="AK38" s="127"/>
      <c r="AL38" s="127"/>
      <c r="AM38" s="127"/>
      <c r="AN38" s="127"/>
      <c r="AO38" s="127"/>
      <c r="AP38" s="127"/>
      <c r="AQ38" s="128"/>
      <c r="AR38" s="132" t="s">
        <v>17</v>
      </c>
      <c r="AS38" s="134" t="s">
        <v>80</v>
      </c>
      <c r="AT38" s="136" t="s">
        <v>81</v>
      </c>
      <c r="AU38" s="96" t="s">
        <v>76</v>
      </c>
      <c r="AV38" s="97"/>
      <c r="AW38" s="97"/>
      <c r="AX38" s="97"/>
      <c r="AY38" s="97"/>
      <c r="AZ38" s="97"/>
      <c r="BA38" s="97"/>
      <c r="BB38" s="100"/>
      <c r="BC38" s="117"/>
      <c r="BD38" s="118"/>
      <c r="BE38" s="118"/>
      <c r="BF38" s="118"/>
      <c r="BG38" s="118"/>
      <c r="BH38" s="118"/>
      <c r="BI38" s="118"/>
      <c r="BJ38" s="119"/>
      <c r="BK38" s="9"/>
    </row>
    <row r="39" spans="1:63" x14ac:dyDescent="0.25">
      <c r="B39" s="84"/>
      <c r="C39" s="85"/>
      <c r="D39" s="84"/>
      <c r="E39" s="89"/>
      <c r="F39" s="89"/>
      <c r="G39" s="89"/>
      <c r="H39" s="89"/>
      <c r="I39" s="89"/>
      <c r="J39" s="85"/>
      <c r="K39" s="84"/>
      <c r="L39" s="89"/>
      <c r="M39" s="85"/>
      <c r="N39" s="92"/>
      <c r="O39" s="95"/>
      <c r="P39" s="111" t="s">
        <v>82</v>
      </c>
      <c r="Q39" s="112"/>
      <c r="R39" s="112"/>
      <c r="S39" s="113"/>
      <c r="T39" s="111" t="s">
        <v>70</v>
      </c>
      <c r="U39" s="112"/>
      <c r="V39" s="112"/>
      <c r="W39" s="113"/>
      <c r="X39" s="129"/>
      <c r="Y39" s="130"/>
      <c r="Z39" s="131"/>
      <c r="AA39" s="129"/>
      <c r="AB39" s="130"/>
      <c r="AC39" s="130"/>
      <c r="AD39" s="130"/>
      <c r="AE39" s="130"/>
      <c r="AF39" s="130"/>
      <c r="AG39" s="130"/>
      <c r="AH39" s="131"/>
      <c r="AI39" s="129"/>
      <c r="AJ39" s="130"/>
      <c r="AK39" s="130"/>
      <c r="AL39" s="130"/>
      <c r="AM39" s="130"/>
      <c r="AN39" s="130"/>
      <c r="AO39" s="130"/>
      <c r="AP39" s="130"/>
      <c r="AQ39" s="131"/>
      <c r="AR39" s="133"/>
      <c r="AS39" s="135"/>
      <c r="AT39" s="137"/>
      <c r="AU39" s="96" t="s">
        <v>82</v>
      </c>
      <c r="AV39" s="97"/>
      <c r="AW39" s="97"/>
      <c r="AX39" s="98"/>
      <c r="AY39" s="99" t="s">
        <v>70</v>
      </c>
      <c r="AZ39" s="97"/>
      <c r="BA39" s="97"/>
      <c r="BB39" s="100"/>
      <c r="BC39" s="120"/>
      <c r="BD39" s="121"/>
      <c r="BE39" s="121"/>
      <c r="BF39" s="121"/>
      <c r="BG39" s="121"/>
      <c r="BH39" s="121"/>
      <c r="BI39" s="121"/>
      <c r="BJ39" s="122"/>
      <c r="BK39" s="9"/>
    </row>
    <row r="40" spans="1:63" ht="15.75" customHeight="1" x14ac:dyDescent="0.25">
      <c r="B40" s="101">
        <v>1</v>
      </c>
      <c r="C40" s="102"/>
      <c r="D40" s="103"/>
      <c r="E40" s="104"/>
      <c r="F40" s="104"/>
      <c r="G40" s="104"/>
      <c r="H40" s="104"/>
      <c r="I40" s="104"/>
      <c r="J40" s="105"/>
      <c r="K40" s="106" t="s">
        <v>18</v>
      </c>
      <c r="L40" s="107"/>
      <c r="M40" s="108"/>
      <c r="N40" s="11" t="s">
        <v>19</v>
      </c>
      <c r="O40" s="12" t="s">
        <v>20</v>
      </c>
      <c r="P40" s="109" t="s">
        <v>19</v>
      </c>
      <c r="Q40" s="110"/>
      <c r="R40" s="110"/>
      <c r="S40" s="102"/>
      <c r="T40" s="109" t="s">
        <v>19</v>
      </c>
      <c r="U40" s="110"/>
      <c r="V40" s="110"/>
      <c r="W40" s="102"/>
      <c r="X40" s="138" t="s">
        <v>66</v>
      </c>
      <c r="Y40" s="139"/>
      <c r="Z40" s="140"/>
      <c r="AA40" s="101" t="s">
        <v>21</v>
      </c>
      <c r="AB40" s="110"/>
      <c r="AC40" s="110"/>
      <c r="AD40" s="110"/>
      <c r="AE40" s="110"/>
      <c r="AF40" s="110"/>
      <c r="AG40" s="110"/>
      <c r="AH40" s="102"/>
      <c r="AI40" s="141" t="s">
        <v>19</v>
      </c>
      <c r="AJ40" s="142"/>
      <c r="AK40" s="142"/>
      <c r="AL40" s="142"/>
      <c r="AM40" s="142"/>
      <c r="AN40" s="142"/>
      <c r="AO40" s="142"/>
      <c r="AP40" s="142"/>
      <c r="AQ40" s="143"/>
      <c r="AR40" s="13" t="s">
        <v>19</v>
      </c>
      <c r="AS40" s="13" t="s">
        <v>21</v>
      </c>
      <c r="AT40" s="13" t="s">
        <v>21</v>
      </c>
      <c r="AU40" s="101" t="s">
        <v>22</v>
      </c>
      <c r="AV40" s="110"/>
      <c r="AW40" s="110"/>
      <c r="AX40" s="102"/>
      <c r="AY40" s="101" t="s">
        <v>21</v>
      </c>
      <c r="AZ40" s="110"/>
      <c r="BA40" s="110"/>
      <c r="BB40" s="102"/>
      <c r="BC40" s="315"/>
      <c r="BD40" s="316"/>
      <c r="BE40" s="316"/>
      <c r="BF40" s="316"/>
      <c r="BG40" s="316"/>
      <c r="BH40" s="316"/>
      <c r="BI40" s="316"/>
      <c r="BJ40" s="317"/>
      <c r="BK40" s="9"/>
    </row>
    <row r="41" spans="1:63" x14ac:dyDescent="0.25">
      <c r="B41" s="144">
        <v>2</v>
      </c>
      <c r="C41" s="145"/>
      <c r="D41" s="151"/>
      <c r="E41" s="152"/>
      <c r="F41" s="152"/>
      <c r="G41" s="152"/>
      <c r="H41" s="152"/>
      <c r="I41" s="152"/>
      <c r="J41" s="153"/>
      <c r="K41" s="106" t="s">
        <v>18</v>
      </c>
      <c r="L41" s="107"/>
      <c r="M41" s="108"/>
      <c r="N41" s="12" t="s">
        <v>23</v>
      </c>
      <c r="O41" s="12" t="s">
        <v>20</v>
      </c>
      <c r="P41" s="144" t="s">
        <v>22</v>
      </c>
      <c r="Q41" s="150"/>
      <c r="R41" s="150"/>
      <c r="S41" s="145"/>
      <c r="T41" s="144" t="s">
        <v>22</v>
      </c>
      <c r="U41" s="150"/>
      <c r="V41" s="150"/>
      <c r="W41" s="145"/>
      <c r="X41" s="161" t="s">
        <v>83</v>
      </c>
      <c r="Y41" s="162"/>
      <c r="Z41" s="163"/>
      <c r="AA41" s="144" t="s">
        <v>21</v>
      </c>
      <c r="AB41" s="150"/>
      <c r="AC41" s="150"/>
      <c r="AD41" s="150"/>
      <c r="AE41" s="150"/>
      <c r="AF41" s="150"/>
      <c r="AG41" s="150"/>
      <c r="AH41" s="145"/>
      <c r="AI41" s="157" t="s">
        <v>21</v>
      </c>
      <c r="AJ41" s="158"/>
      <c r="AK41" s="158"/>
      <c r="AL41" s="158"/>
      <c r="AM41" s="158"/>
      <c r="AN41" s="158"/>
      <c r="AO41" s="158"/>
      <c r="AP41" s="158"/>
      <c r="AQ41" s="159"/>
      <c r="AR41" s="14" t="s">
        <v>19</v>
      </c>
      <c r="AS41" s="14" t="s">
        <v>21</v>
      </c>
      <c r="AT41" s="14" t="s">
        <v>21</v>
      </c>
      <c r="AU41" s="144" t="s">
        <v>22</v>
      </c>
      <c r="AV41" s="150"/>
      <c r="AW41" s="150"/>
      <c r="AX41" s="145"/>
      <c r="AY41" s="144" t="s">
        <v>21</v>
      </c>
      <c r="AZ41" s="150"/>
      <c r="BA41" s="150"/>
      <c r="BB41" s="145"/>
      <c r="BC41" s="160"/>
      <c r="BD41" s="318"/>
      <c r="BE41" s="318"/>
      <c r="BF41" s="318"/>
      <c r="BG41" s="318"/>
      <c r="BH41" s="318"/>
      <c r="BI41" s="318"/>
      <c r="BJ41" s="319"/>
      <c r="BK41" s="9"/>
    </row>
    <row r="42" spans="1:63" x14ac:dyDescent="0.25">
      <c r="B42" s="144">
        <v>3</v>
      </c>
      <c r="C42" s="145"/>
      <c r="D42" s="146"/>
      <c r="E42" s="147"/>
      <c r="F42" s="147"/>
      <c r="G42" s="147"/>
      <c r="H42" s="147"/>
      <c r="I42" s="147"/>
      <c r="J42" s="148"/>
      <c r="K42" s="106" t="s">
        <v>18</v>
      </c>
      <c r="L42" s="107"/>
      <c r="M42" s="108"/>
      <c r="N42" s="12" t="s">
        <v>24</v>
      </c>
      <c r="O42" s="12" t="s">
        <v>19</v>
      </c>
      <c r="P42" s="149" t="s">
        <v>19</v>
      </c>
      <c r="Q42" s="150"/>
      <c r="R42" s="150"/>
      <c r="S42" s="145"/>
      <c r="T42" s="144"/>
      <c r="U42" s="150"/>
      <c r="V42" s="150"/>
      <c r="W42" s="145"/>
      <c r="X42" s="154" t="s">
        <v>19</v>
      </c>
      <c r="Y42" s="155"/>
      <c r="Z42" s="156"/>
      <c r="AA42" s="144" t="s">
        <v>21</v>
      </c>
      <c r="AB42" s="150"/>
      <c r="AC42" s="150"/>
      <c r="AD42" s="150"/>
      <c r="AE42" s="150"/>
      <c r="AF42" s="150"/>
      <c r="AG42" s="150"/>
      <c r="AH42" s="145"/>
      <c r="AI42" s="157" t="s">
        <v>21</v>
      </c>
      <c r="AJ42" s="158"/>
      <c r="AK42" s="158"/>
      <c r="AL42" s="158"/>
      <c r="AM42" s="158"/>
      <c r="AN42" s="158"/>
      <c r="AO42" s="158"/>
      <c r="AP42" s="158"/>
      <c r="AQ42" s="159"/>
      <c r="AR42" s="14" t="s">
        <v>19</v>
      </c>
      <c r="AS42" s="14" t="s">
        <v>21</v>
      </c>
      <c r="AT42" s="14" t="s">
        <v>21</v>
      </c>
      <c r="AU42" s="144" t="s">
        <v>22</v>
      </c>
      <c r="AV42" s="150"/>
      <c r="AW42" s="150"/>
      <c r="AX42" s="145"/>
      <c r="AY42" s="144" t="s">
        <v>21</v>
      </c>
      <c r="AZ42" s="150"/>
      <c r="BA42" s="150"/>
      <c r="BB42" s="145"/>
      <c r="BC42" s="320"/>
      <c r="BD42" s="318"/>
      <c r="BE42" s="318"/>
      <c r="BF42" s="318"/>
      <c r="BG42" s="318"/>
      <c r="BH42" s="318"/>
      <c r="BI42" s="318"/>
      <c r="BJ42" s="319"/>
      <c r="BK42" s="9"/>
    </row>
    <row r="43" spans="1:63" x14ac:dyDescent="0.25">
      <c r="B43" s="144">
        <v>4</v>
      </c>
      <c r="C43" s="145"/>
      <c r="D43" s="321"/>
      <c r="E43" s="322"/>
      <c r="F43" s="322"/>
      <c r="G43" s="322"/>
      <c r="H43" s="322"/>
      <c r="I43" s="322"/>
      <c r="J43" s="323"/>
      <c r="K43" s="106" t="s">
        <v>18</v>
      </c>
      <c r="L43" s="107"/>
      <c r="M43" s="108"/>
      <c r="N43" s="15" t="s">
        <v>23</v>
      </c>
      <c r="O43" s="12" t="s">
        <v>20</v>
      </c>
      <c r="P43" s="144" t="s">
        <v>22</v>
      </c>
      <c r="Q43" s="150"/>
      <c r="R43" s="150"/>
      <c r="S43" s="145"/>
      <c r="T43" s="144" t="s">
        <v>22</v>
      </c>
      <c r="U43" s="150"/>
      <c r="V43" s="150"/>
      <c r="W43" s="145"/>
      <c r="X43" s="164" t="s">
        <v>67</v>
      </c>
      <c r="Y43" s="150"/>
      <c r="Z43" s="145"/>
      <c r="AA43" s="144" t="s">
        <v>21</v>
      </c>
      <c r="AB43" s="150"/>
      <c r="AC43" s="150"/>
      <c r="AD43" s="150"/>
      <c r="AE43" s="150"/>
      <c r="AF43" s="150"/>
      <c r="AG43" s="150"/>
      <c r="AH43" s="145"/>
      <c r="AI43" s="157" t="s">
        <v>21</v>
      </c>
      <c r="AJ43" s="158"/>
      <c r="AK43" s="158"/>
      <c r="AL43" s="158"/>
      <c r="AM43" s="158"/>
      <c r="AN43" s="158"/>
      <c r="AO43" s="158"/>
      <c r="AP43" s="158"/>
      <c r="AQ43" s="159"/>
      <c r="AR43" s="14" t="s">
        <v>19</v>
      </c>
      <c r="AS43" s="14" t="s">
        <v>21</v>
      </c>
      <c r="AT43" s="14" t="s">
        <v>21</v>
      </c>
      <c r="AU43" s="144" t="s">
        <v>22</v>
      </c>
      <c r="AV43" s="150"/>
      <c r="AW43" s="150"/>
      <c r="AX43" s="145"/>
      <c r="AY43" s="144" t="s">
        <v>21</v>
      </c>
      <c r="AZ43" s="150"/>
      <c r="BA43" s="150"/>
      <c r="BB43" s="145"/>
      <c r="BC43" s="324"/>
      <c r="BD43" s="325"/>
      <c r="BE43" s="325"/>
      <c r="BF43" s="325"/>
      <c r="BG43" s="325"/>
      <c r="BH43" s="325"/>
      <c r="BI43" s="325"/>
      <c r="BJ43" s="326"/>
      <c r="BK43" s="9"/>
    </row>
    <row r="44" spans="1:63" x14ac:dyDescent="0.25">
      <c r="B44" s="144">
        <v>5</v>
      </c>
      <c r="C44" s="145"/>
      <c r="D44" s="146"/>
      <c r="E44" s="147"/>
      <c r="F44" s="147"/>
      <c r="G44" s="147"/>
      <c r="H44" s="147"/>
      <c r="I44" s="147"/>
      <c r="J44" s="148"/>
      <c r="K44" s="106" t="s">
        <v>25</v>
      </c>
      <c r="L44" s="107"/>
      <c r="M44" s="108"/>
      <c r="N44" s="15" t="s">
        <v>24</v>
      </c>
      <c r="O44" s="12" t="s">
        <v>19</v>
      </c>
      <c r="P44" s="144" t="s">
        <v>22</v>
      </c>
      <c r="Q44" s="150"/>
      <c r="R44" s="150"/>
      <c r="S44" s="145"/>
      <c r="T44" s="144" t="s">
        <v>22</v>
      </c>
      <c r="U44" s="150"/>
      <c r="V44" s="150"/>
      <c r="W44" s="145"/>
      <c r="X44" s="164" t="s">
        <v>19</v>
      </c>
      <c r="Y44" s="150"/>
      <c r="Z44" s="145"/>
      <c r="AA44" s="144" t="s">
        <v>21</v>
      </c>
      <c r="AB44" s="150"/>
      <c r="AC44" s="150"/>
      <c r="AD44" s="150"/>
      <c r="AE44" s="150"/>
      <c r="AF44" s="150"/>
      <c r="AG44" s="150"/>
      <c r="AH44" s="145"/>
      <c r="AI44" s="157" t="s">
        <v>21</v>
      </c>
      <c r="AJ44" s="158"/>
      <c r="AK44" s="158"/>
      <c r="AL44" s="158"/>
      <c r="AM44" s="158"/>
      <c r="AN44" s="158"/>
      <c r="AO44" s="158"/>
      <c r="AP44" s="158"/>
      <c r="AQ44" s="159"/>
      <c r="AR44" s="14" t="s">
        <v>19</v>
      </c>
      <c r="AS44" s="14" t="s">
        <v>21</v>
      </c>
      <c r="AT44" s="14" t="s">
        <v>21</v>
      </c>
      <c r="AU44" s="144" t="s">
        <v>22</v>
      </c>
      <c r="AV44" s="150"/>
      <c r="AW44" s="150"/>
      <c r="AX44" s="145"/>
      <c r="AY44" s="144" t="s">
        <v>21</v>
      </c>
      <c r="AZ44" s="150"/>
      <c r="BA44" s="150"/>
      <c r="BB44" s="145"/>
      <c r="BC44" s="320"/>
      <c r="BD44" s="318"/>
      <c r="BE44" s="318"/>
      <c r="BF44" s="318"/>
      <c r="BG44" s="318"/>
      <c r="BH44" s="318"/>
      <c r="BI44" s="318"/>
      <c r="BJ44" s="319"/>
      <c r="BK44" s="9"/>
    </row>
    <row r="45" spans="1:63" x14ac:dyDescent="0.25">
      <c r="B45" s="165">
        <v>6</v>
      </c>
      <c r="C45" s="167"/>
      <c r="D45" s="171"/>
      <c r="E45" s="172"/>
      <c r="F45" s="172"/>
      <c r="G45" s="172"/>
      <c r="H45" s="172"/>
      <c r="I45" s="172"/>
      <c r="J45" s="173"/>
      <c r="K45" s="174" t="s">
        <v>26</v>
      </c>
      <c r="L45" s="175"/>
      <c r="M45" s="176"/>
      <c r="N45" s="16" t="s">
        <v>24</v>
      </c>
      <c r="O45" s="16" t="s">
        <v>20</v>
      </c>
      <c r="P45" s="165" t="s">
        <v>22</v>
      </c>
      <c r="Q45" s="166"/>
      <c r="R45" s="166"/>
      <c r="S45" s="167"/>
      <c r="T45" s="165" t="s">
        <v>22</v>
      </c>
      <c r="U45" s="166"/>
      <c r="V45" s="166"/>
      <c r="W45" s="167"/>
      <c r="X45" s="177" t="s">
        <v>84</v>
      </c>
      <c r="Y45" s="178"/>
      <c r="Z45" s="179"/>
      <c r="AA45" s="165" t="s">
        <v>21</v>
      </c>
      <c r="AB45" s="166"/>
      <c r="AC45" s="166"/>
      <c r="AD45" s="166"/>
      <c r="AE45" s="166"/>
      <c r="AF45" s="166"/>
      <c r="AG45" s="166"/>
      <c r="AH45" s="167"/>
      <c r="AI45" s="168" t="s">
        <v>27</v>
      </c>
      <c r="AJ45" s="169"/>
      <c r="AK45" s="169"/>
      <c r="AL45" s="169"/>
      <c r="AM45" s="169"/>
      <c r="AN45" s="169"/>
      <c r="AO45" s="169"/>
      <c r="AP45" s="169"/>
      <c r="AQ45" s="170"/>
      <c r="AR45" s="17" t="s">
        <v>19</v>
      </c>
      <c r="AS45" s="17" t="s">
        <v>21</v>
      </c>
      <c r="AT45" s="17" t="s">
        <v>21</v>
      </c>
      <c r="AU45" s="165" t="s">
        <v>22</v>
      </c>
      <c r="AV45" s="166"/>
      <c r="AW45" s="166"/>
      <c r="AX45" s="167"/>
      <c r="AY45" s="165" t="s">
        <v>21</v>
      </c>
      <c r="AZ45" s="166"/>
      <c r="BA45" s="166"/>
      <c r="BB45" s="167"/>
      <c r="BC45" s="327" t="s">
        <v>28</v>
      </c>
      <c r="BD45" s="328"/>
      <c r="BE45" s="328"/>
      <c r="BF45" s="328"/>
      <c r="BG45" s="328"/>
      <c r="BH45" s="328"/>
      <c r="BI45" s="328"/>
      <c r="BJ45" s="329"/>
      <c r="BK45" s="9"/>
    </row>
    <row r="46" spans="1:63" x14ac:dyDescent="0.25">
      <c r="BK46" s="9"/>
    </row>
    <row r="47" spans="1:63" x14ac:dyDescent="0.25">
      <c r="BK47" s="9"/>
    </row>
    <row r="48" spans="1:63" x14ac:dyDescent="0.25">
      <c r="BK48" s="9"/>
    </row>
    <row r="49" spans="1:63" x14ac:dyDescent="0.25">
      <c r="BK49" s="9"/>
    </row>
    <row r="50" spans="1:63" x14ac:dyDescent="0.25">
      <c r="BK50" s="9"/>
    </row>
    <row r="51" spans="1:63" x14ac:dyDescent="0.25">
      <c r="BK51" s="9"/>
    </row>
    <row r="52" spans="1:63" x14ac:dyDescent="0.25">
      <c r="BK52" s="9"/>
    </row>
    <row r="53" spans="1:63" x14ac:dyDescent="0.25">
      <c r="BK53" s="9"/>
    </row>
    <row r="54" spans="1:63" x14ac:dyDescent="0.25">
      <c r="BK54" s="9"/>
    </row>
    <row r="55" spans="1:63"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7"/>
    </row>
  </sheetData>
  <mergeCells count="106">
    <mergeCell ref="AA45:AH45"/>
    <mergeCell ref="AI45:AQ45"/>
    <mergeCell ref="AU45:AX45"/>
    <mergeCell ref="AY45:BB45"/>
    <mergeCell ref="BC45:BJ45"/>
    <mergeCell ref="B45:C45"/>
    <mergeCell ref="D45:J45"/>
    <mergeCell ref="K45:M45"/>
    <mergeCell ref="P45:S45"/>
    <mergeCell ref="T45:W45"/>
    <mergeCell ref="X45:Z45"/>
    <mergeCell ref="X44:Z44"/>
    <mergeCell ref="AA44:AH44"/>
    <mergeCell ref="AI44:AQ44"/>
    <mergeCell ref="AU44:AX44"/>
    <mergeCell ref="AY44:BB44"/>
    <mergeCell ref="BC44:BJ44"/>
    <mergeCell ref="AA43:AH43"/>
    <mergeCell ref="AI43:AQ43"/>
    <mergeCell ref="AU43:AX43"/>
    <mergeCell ref="AY43:BB43"/>
    <mergeCell ref="BC43:BJ43"/>
    <mergeCell ref="X43:Z43"/>
    <mergeCell ref="B44:C44"/>
    <mergeCell ref="D44:J44"/>
    <mergeCell ref="K44:M44"/>
    <mergeCell ref="P44:S44"/>
    <mergeCell ref="T44:W44"/>
    <mergeCell ref="B43:C43"/>
    <mergeCell ref="D43:J43"/>
    <mergeCell ref="K43:M43"/>
    <mergeCell ref="P43:S43"/>
    <mergeCell ref="T43:W43"/>
    <mergeCell ref="X42:Z42"/>
    <mergeCell ref="AA42:AH42"/>
    <mergeCell ref="AI42:AQ42"/>
    <mergeCell ref="AU42:AX42"/>
    <mergeCell ref="AY42:BB42"/>
    <mergeCell ref="BC42:BJ42"/>
    <mergeCell ref="AA41:AH41"/>
    <mergeCell ref="AI41:AQ41"/>
    <mergeCell ref="AU41:AX41"/>
    <mergeCell ref="AY41:BB41"/>
    <mergeCell ref="BC41:BJ41"/>
    <mergeCell ref="X41:Z41"/>
    <mergeCell ref="B42:C42"/>
    <mergeCell ref="D42:J42"/>
    <mergeCell ref="K42:M42"/>
    <mergeCell ref="P42:S42"/>
    <mergeCell ref="T42:W42"/>
    <mergeCell ref="B41:C41"/>
    <mergeCell ref="D41:J41"/>
    <mergeCell ref="K41:M41"/>
    <mergeCell ref="P41:S41"/>
    <mergeCell ref="T41:W41"/>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A4:G4"/>
    <mergeCell ref="H4:T4"/>
    <mergeCell ref="U4:Y4"/>
    <mergeCell ref="Z4:AO4"/>
    <mergeCell ref="AP4:BK4"/>
    <mergeCell ref="B37:C39"/>
    <mergeCell ref="D37:J39"/>
    <mergeCell ref="K37:M39"/>
    <mergeCell ref="N37:N39"/>
    <mergeCell ref="O37:O39"/>
    <mergeCell ref="AU39:AX39"/>
    <mergeCell ref="AY39:BB3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186" customWidth="1"/>
    <col min="61" max="16384" width="2.77734375" style="186"/>
  </cols>
  <sheetData>
    <row r="1" spans="1:63" ht="24.95" customHeight="1" x14ac:dyDescent="0.25">
      <c r="A1" s="302" t="s">
        <v>46</v>
      </c>
      <c r="B1" s="303"/>
      <c r="C1" s="303"/>
      <c r="D1" s="303"/>
      <c r="E1" s="303"/>
      <c r="F1" s="303"/>
      <c r="G1" s="303"/>
      <c r="H1" s="303"/>
      <c r="I1" s="303"/>
      <c r="J1" s="304"/>
      <c r="K1" s="302" t="s">
        <v>47</v>
      </c>
      <c r="L1" s="303"/>
      <c r="M1" s="303"/>
      <c r="N1" s="303"/>
      <c r="O1" s="303"/>
      <c r="P1" s="303"/>
      <c r="Q1" s="303"/>
      <c r="R1" s="303"/>
      <c r="S1" s="303"/>
      <c r="T1" s="303"/>
      <c r="U1" s="303"/>
      <c r="V1" s="304"/>
      <c r="W1" s="305" t="str">
        <f>IF(表紙!W1="","",表紙!W1)</f>
        <v>基本設計書</v>
      </c>
      <c r="X1" s="306"/>
      <c r="Y1" s="306"/>
      <c r="Z1" s="306"/>
      <c r="AA1" s="306"/>
      <c r="AB1" s="306"/>
      <c r="AC1" s="306"/>
      <c r="AD1" s="306"/>
      <c r="AE1" s="306"/>
      <c r="AF1" s="306"/>
      <c r="AG1" s="306"/>
      <c r="AH1" s="306"/>
      <c r="AI1" s="306"/>
      <c r="AJ1" s="306"/>
      <c r="AK1" s="306"/>
      <c r="AL1" s="306"/>
      <c r="AM1" s="306"/>
      <c r="AN1" s="306"/>
      <c r="AO1" s="307"/>
      <c r="AP1" s="180" t="s">
        <v>49</v>
      </c>
      <c r="AQ1" s="181"/>
      <c r="AR1" s="181"/>
      <c r="AS1" s="182"/>
      <c r="AT1" s="180" t="s">
        <v>50</v>
      </c>
      <c r="AU1" s="181"/>
      <c r="AV1" s="181"/>
      <c r="AW1" s="181"/>
      <c r="AX1" s="182"/>
      <c r="AY1" s="180" t="s">
        <v>51</v>
      </c>
      <c r="AZ1" s="181"/>
      <c r="BA1" s="181"/>
      <c r="BB1" s="182"/>
      <c r="BC1" s="180" t="s">
        <v>52</v>
      </c>
      <c r="BD1" s="181"/>
      <c r="BE1" s="181"/>
      <c r="BF1" s="181"/>
      <c r="BG1" s="182"/>
      <c r="BH1" s="180" t="s">
        <v>53</v>
      </c>
      <c r="BI1" s="181"/>
      <c r="BJ1" s="181"/>
      <c r="BK1" s="182"/>
    </row>
    <row r="2" spans="1:63" ht="15" customHeight="1" x14ac:dyDescent="0.25">
      <c r="A2" s="70" t="str">
        <f>IF(表紙!A2="","",表紙!A2)</f>
        <v>POSサーバー</v>
      </c>
      <c r="B2" s="71"/>
      <c r="C2" s="71"/>
      <c r="D2" s="71"/>
      <c r="E2" s="71"/>
      <c r="F2" s="71"/>
      <c r="G2" s="71"/>
      <c r="H2" s="71"/>
      <c r="I2" s="71"/>
      <c r="J2" s="72"/>
      <c r="K2" s="70" t="str">
        <f>IF(表紙!K2="","",表紙!K2)</f>
        <v>POSサーバ</v>
      </c>
      <c r="L2" s="71"/>
      <c r="M2" s="71"/>
      <c r="N2" s="71"/>
      <c r="O2" s="71"/>
      <c r="P2" s="71"/>
      <c r="Q2" s="71"/>
      <c r="R2" s="71"/>
      <c r="S2" s="71"/>
      <c r="T2" s="71"/>
      <c r="U2" s="71"/>
      <c r="V2" s="72"/>
      <c r="W2" s="308"/>
      <c r="X2" s="309"/>
      <c r="Y2" s="309"/>
      <c r="Z2" s="309"/>
      <c r="AA2" s="309"/>
      <c r="AB2" s="309"/>
      <c r="AC2" s="309"/>
      <c r="AD2" s="309"/>
      <c r="AE2" s="309"/>
      <c r="AF2" s="309"/>
      <c r="AG2" s="309"/>
      <c r="AH2" s="309"/>
      <c r="AI2" s="309"/>
      <c r="AJ2" s="309"/>
      <c r="AK2" s="309"/>
      <c r="AL2" s="309"/>
      <c r="AM2" s="309"/>
      <c r="AN2" s="309"/>
      <c r="AO2" s="310"/>
      <c r="AP2" s="189" t="str">
        <f>IF(表紙!AP2="","",表紙!AP2)</f>
        <v>SonMNT</v>
      </c>
      <c r="AQ2" s="187"/>
      <c r="AR2" s="187"/>
      <c r="AS2" s="188"/>
      <c r="AT2" s="193">
        <f>IF(表紙!AT2="","",表紙!AT2)</f>
        <v>45477</v>
      </c>
      <c r="AU2" s="194"/>
      <c r="AV2" s="194"/>
      <c r="AW2" s="194"/>
      <c r="AX2" s="195"/>
      <c r="AY2" s="189" t="str">
        <f>IF(表紙!AY2="","",表紙!AY2)</f>
        <v>SonMNT</v>
      </c>
      <c r="AZ2" s="187"/>
      <c r="BA2" s="187"/>
      <c r="BB2" s="188"/>
      <c r="BC2" s="193">
        <f>IF(表紙!BC2="","",表紙!BC2)</f>
        <v>45477</v>
      </c>
      <c r="BD2" s="194"/>
      <c r="BE2" s="194"/>
      <c r="BF2" s="194"/>
      <c r="BG2" s="195"/>
      <c r="BH2" s="189">
        <f>IF(表紙!BH2="","",表紙!BH2)</f>
        <v>0.1</v>
      </c>
      <c r="BI2" s="187"/>
      <c r="BJ2" s="187"/>
      <c r="BK2" s="188"/>
    </row>
    <row r="3" spans="1:63" ht="15" customHeight="1" x14ac:dyDescent="0.25">
      <c r="A3" s="73"/>
      <c r="B3" s="74"/>
      <c r="C3" s="74"/>
      <c r="D3" s="74"/>
      <c r="E3" s="74"/>
      <c r="F3" s="74"/>
      <c r="G3" s="74"/>
      <c r="H3" s="74"/>
      <c r="I3" s="74"/>
      <c r="J3" s="75"/>
      <c r="K3" s="73"/>
      <c r="L3" s="74"/>
      <c r="M3" s="74"/>
      <c r="N3" s="74"/>
      <c r="O3" s="74"/>
      <c r="P3" s="74"/>
      <c r="Q3" s="74"/>
      <c r="R3" s="74"/>
      <c r="S3" s="74"/>
      <c r="T3" s="74"/>
      <c r="U3" s="74"/>
      <c r="V3" s="75"/>
      <c r="W3" s="311"/>
      <c r="X3" s="312"/>
      <c r="Y3" s="312"/>
      <c r="Z3" s="312"/>
      <c r="AA3" s="312"/>
      <c r="AB3" s="312"/>
      <c r="AC3" s="312"/>
      <c r="AD3" s="312"/>
      <c r="AE3" s="312"/>
      <c r="AF3" s="312"/>
      <c r="AG3" s="312"/>
      <c r="AH3" s="312"/>
      <c r="AI3" s="312"/>
      <c r="AJ3" s="312"/>
      <c r="AK3" s="312"/>
      <c r="AL3" s="312"/>
      <c r="AM3" s="312"/>
      <c r="AN3" s="312"/>
      <c r="AO3" s="313"/>
      <c r="AP3" s="199"/>
      <c r="AQ3" s="200"/>
      <c r="AR3" s="200"/>
      <c r="AS3" s="201"/>
      <c r="AT3" s="205"/>
      <c r="AU3" s="206"/>
      <c r="AV3" s="206"/>
      <c r="AW3" s="206"/>
      <c r="AX3" s="207"/>
      <c r="AY3" s="199"/>
      <c r="AZ3" s="200"/>
      <c r="BA3" s="200"/>
      <c r="BB3" s="201"/>
      <c r="BC3" s="205"/>
      <c r="BD3" s="206"/>
      <c r="BE3" s="206"/>
      <c r="BF3" s="206"/>
      <c r="BG3" s="207"/>
      <c r="BH3" s="199"/>
      <c r="BI3" s="200"/>
      <c r="BJ3" s="200"/>
      <c r="BK3" s="201"/>
    </row>
    <row r="4" spans="1:63" ht="24.95" customHeight="1" x14ac:dyDescent="0.25">
      <c r="A4" s="302" t="s">
        <v>55</v>
      </c>
      <c r="B4" s="303"/>
      <c r="C4" s="303"/>
      <c r="D4" s="303"/>
      <c r="E4" s="303"/>
      <c r="F4" s="303"/>
      <c r="G4" s="304"/>
      <c r="H4" s="76" t="str">
        <f>IF(表紙!H4="","",表紙!H4)</f>
        <v>95_セットマッチ設定</v>
      </c>
      <c r="I4" s="77"/>
      <c r="J4" s="77"/>
      <c r="K4" s="77"/>
      <c r="L4" s="77"/>
      <c r="M4" s="77"/>
      <c r="N4" s="77"/>
      <c r="O4" s="77"/>
      <c r="P4" s="77"/>
      <c r="Q4" s="77"/>
      <c r="R4" s="77"/>
      <c r="S4" s="77"/>
      <c r="T4" s="78"/>
      <c r="U4" s="302" t="s">
        <v>56</v>
      </c>
      <c r="V4" s="303"/>
      <c r="W4" s="303"/>
      <c r="X4" s="303"/>
      <c r="Y4" s="304"/>
      <c r="Z4" s="76" t="str">
        <f>IF(表紙!Z4="","",表紙!Z4)</f>
        <v>概要設計</v>
      </c>
      <c r="AA4" s="77"/>
      <c r="AB4" s="77"/>
      <c r="AC4" s="77"/>
      <c r="AD4" s="77"/>
      <c r="AE4" s="77"/>
      <c r="AF4" s="77"/>
      <c r="AG4" s="77"/>
      <c r="AH4" s="77"/>
      <c r="AI4" s="77"/>
      <c r="AJ4" s="77"/>
      <c r="AK4" s="77"/>
      <c r="AL4" s="77"/>
      <c r="AM4" s="77"/>
      <c r="AN4" s="77"/>
      <c r="AO4" s="78"/>
      <c r="AP4" s="79" t="str">
        <f ca="1">MID(CELL("filename",A1),FIND("]",CELL("filename",A1))+1,255)</f>
        <v>テンプレート</v>
      </c>
      <c r="AQ4" s="77"/>
      <c r="AR4" s="77"/>
      <c r="AS4" s="77"/>
      <c r="AT4" s="77"/>
      <c r="AU4" s="77"/>
      <c r="AV4" s="77"/>
      <c r="AW4" s="77"/>
      <c r="AX4" s="77"/>
      <c r="AY4" s="77"/>
      <c r="AZ4" s="77"/>
      <c r="BA4" s="77"/>
      <c r="BB4" s="77"/>
      <c r="BC4" s="77"/>
      <c r="BD4" s="77"/>
      <c r="BE4" s="77"/>
      <c r="BF4" s="77"/>
      <c r="BG4" s="77"/>
      <c r="BH4" s="77"/>
      <c r="BI4" s="77"/>
      <c r="BJ4" s="77"/>
      <c r="BK4" s="78"/>
    </row>
    <row r="5" spans="1:63" ht="5.0999999999999996" customHeight="1" x14ac:dyDescent="0.25">
      <c r="A5" s="214"/>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6"/>
    </row>
    <row r="6" spans="1:63" ht="15" customHeight="1" x14ac:dyDescent="0.25">
      <c r="A6" s="217"/>
      <c r="BK6" s="218"/>
    </row>
    <row r="7" spans="1:63" ht="15" customHeight="1" x14ac:dyDescent="0.25">
      <c r="A7" s="217"/>
      <c r="B7" s="289"/>
      <c r="C7" s="290"/>
      <c r="D7" s="291"/>
      <c r="E7" s="291"/>
      <c r="F7" s="291"/>
      <c r="G7" s="291"/>
      <c r="H7" s="291"/>
      <c r="I7" s="291"/>
      <c r="J7" s="291"/>
      <c r="K7" s="291"/>
      <c r="L7" s="291"/>
      <c r="M7" s="291"/>
      <c r="N7" s="291"/>
      <c r="O7" s="291"/>
      <c r="P7" s="291"/>
      <c r="Q7" s="291"/>
      <c r="R7" s="291"/>
      <c r="S7" s="291"/>
      <c r="T7" s="292"/>
      <c r="U7" s="290"/>
      <c r="V7" s="291"/>
      <c r="W7" s="291"/>
      <c r="X7" s="291"/>
      <c r="Y7" s="291"/>
      <c r="Z7" s="291"/>
      <c r="AA7" s="291"/>
      <c r="AB7" s="291"/>
      <c r="AC7" s="292"/>
      <c r="AD7" s="290"/>
      <c r="AE7" s="291"/>
      <c r="AF7" s="291"/>
      <c r="AG7" s="291"/>
      <c r="AH7" s="291"/>
      <c r="AI7" s="291"/>
      <c r="AJ7" s="291"/>
      <c r="AK7" s="291"/>
      <c r="AL7" s="292"/>
      <c r="AM7" s="290"/>
      <c r="AN7" s="291"/>
      <c r="AO7" s="291"/>
      <c r="AP7" s="291"/>
      <c r="AQ7" s="291"/>
      <c r="AR7" s="291"/>
      <c r="AS7" s="291"/>
      <c r="AT7" s="291"/>
      <c r="AU7" s="291"/>
      <c r="AV7" s="291"/>
      <c r="AW7" s="291"/>
      <c r="AX7" s="291"/>
      <c r="AY7" s="291"/>
      <c r="AZ7" s="291"/>
      <c r="BA7" s="291"/>
      <c r="BB7" s="291"/>
      <c r="BC7" s="291"/>
      <c r="BD7" s="291"/>
      <c r="BE7" s="291"/>
      <c r="BF7" s="291"/>
      <c r="BG7" s="291"/>
      <c r="BH7" s="291"/>
      <c r="BI7" s="292"/>
      <c r="BJ7" s="291"/>
      <c r="BK7" s="218"/>
    </row>
    <row r="8" spans="1:63" ht="15" customHeight="1" x14ac:dyDescent="0.25">
      <c r="A8" s="217"/>
      <c r="C8" s="293"/>
      <c r="U8" s="293"/>
      <c r="AD8" s="293"/>
      <c r="AM8" s="293"/>
      <c r="BI8" s="295"/>
    </row>
    <row r="9" spans="1:63" ht="15" customHeight="1" x14ac:dyDescent="0.25">
      <c r="A9" s="217"/>
      <c r="C9" s="293"/>
      <c r="U9" s="293"/>
      <c r="AD9" s="293"/>
      <c r="AM9" s="293"/>
      <c r="BI9" s="295"/>
    </row>
    <row r="10" spans="1:63" ht="15" customHeight="1" x14ac:dyDescent="0.25">
      <c r="A10" s="217"/>
      <c r="C10" s="293"/>
      <c r="U10" s="293"/>
      <c r="AD10" s="293"/>
      <c r="AM10" s="293"/>
      <c r="BI10" s="295"/>
    </row>
    <row r="11" spans="1:63" ht="15" customHeight="1" x14ac:dyDescent="0.25">
      <c r="A11" s="217"/>
      <c r="C11" s="293"/>
      <c r="U11" s="293"/>
      <c r="AD11" s="293"/>
      <c r="AM11" s="293"/>
      <c r="BI11" s="295"/>
    </row>
    <row r="12" spans="1:63" ht="15" customHeight="1" x14ac:dyDescent="0.25">
      <c r="A12" s="217"/>
      <c r="C12" s="293"/>
      <c r="U12" s="293"/>
      <c r="AD12" s="293"/>
      <c r="AM12" s="293"/>
      <c r="AX12" s="186" t="s">
        <v>29</v>
      </c>
      <c r="BI12" s="295"/>
    </row>
    <row r="13" spans="1:63" ht="15" customHeight="1" x14ac:dyDescent="0.25">
      <c r="A13" s="217"/>
      <c r="C13" s="293"/>
      <c r="U13" s="293"/>
      <c r="AD13" s="293"/>
      <c r="AM13" s="293"/>
      <c r="BI13" s="295"/>
    </row>
    <row r="14" spans="1:63" ht="15" customHeight="1" x14ac:dyDescent="0.25">
      <c r="A14" s="217"/>
      <c r="C14" s="293"/>
      <c r="U14" s="293"/>
      <c r="AD14" s="293"/>
      <c r="AM14" s="293"/>
      <c r="BI14" s="295"/>
    </row>
    <row r="15" spans="1:63" ht="15" customHeight="1" x14ac:dyDescent="0.25">
      <c r="A15" s="217"/>
      <c r="C15" s="293"/>
      <c r="U15" s="293"/>
      <c r="AD15" s="293"/>
      <c r="AM15" s="293"/>
      <c r="BI15" s="295"/>
    </row>
    <row r="16" spans="1:63" ht="15" customHeight="1" x14ac:dyDescent="0.25">
      <c r="A16" s="217"/>
      <c r="C16" s="293"/>
      <c r="U16" s="293"/>
      <c r="AD16" s="293"/>
      <c r="AM16" s="293"/>
      <c r="BI16" s="295"/>
    </row>
    <row r="17" spans="1:61" ht="15" customHeight="1" x14ac:dyDescent="0.25">
      <c r="A17" s="217"/>
      <c r="C17" s="293"/>
      <c r="U17" s="293"/>
      <c r="AD17" s="293"/>
      <c r="AM17" s="293"/>
      <c r="BI17" s="295"/>
    </row>
    <row r="18" spans="1:61" ht="15" customHeight="1" x14ac:dyDescent="0.25">
      <c r="A18" s="217"/>
      <c r="C18" s="293"/>
      <c r="U18" s="293"/>
      <c r="AD18" s="293"/>
      <c r="AM18" s="293"/>
      <c r="BI18" s="295"/>
    </row>
    <row r="19" spans="1:61" ht="15" customHeight="1" x14ac:dyDescent="0.25">
      <c r="A19" s="217"/>
      <c r="C19" s="293"/>
      <c r="U19" s="293"/>
      <c r="AD19" s="293"/>
      <c r="AM19" s="293"/>
      <c r="BI19" s="295"/>
    </row>
    <row r="20" spans="1:61" ht="15" customHeight="1" x14ac:dyDescent="0.25">
      <c r="A20" s="217"/>
      <c r="C20" s="293"/>
      <c r="U20" s="293"/>
      <c r="AD20" s="293"/>
      <c r="AM20" s="293"/>
      <c r="BI20" s="295"/>
    </row>
    <row r="21" spans="1:61" ht="15" customHeight="1" x14ac:dyDescent="0.25">
      <c r="A21" s="217"/>
      <c r="C21" s="293"/>
      <c r="U21" s="293"/>
      <c r="AD21" s="293"/>
      <c r="AM21" s="293"/>
      <c r="BI21" s="295"/>
    </row>
    <row r="22" spans="1:61" ht="15" customHeight="1" x14ac:dyDescent="0.25">
      <c r="A22" s="217"/>
      <c r="C22" s="293"/>
      <c r="U22" s="293"/>
      <c r="AD22" s="293"/>
      <c r="AM22" s="293"/>
      <c r="BI22" s="295"/>
    </row>
    <row r="23" spans="1:61" ht="15" customHeight="1" x14ac:dyDescent="0.25">
      <c r="A23" s="217"/>
      <c r="C23" s="293"/>
      <c r="U23" s="293"/>
      <c r="AD23" s="293"/>
      <c r="AM23" s="293"/>
      <c r="BI23" s="295"/>
    </row>
    <row r="24" spans="1:61" ht="15" customHeight="1" x14ac:dyDescent="0.25">
      <c r="A24" s="217"/>
      <c r="C24" s="293"/>
      <c r="U24" s="293"/>
      <c r="AD24" s="293"/>
      <c r="AM24" s="293"/>
      <c r="BI24" s="295"/>
    </row>
    <row r="25" spans="1:61" ht="15" customHeight="1" x14ac:dyDescent="0.25">
      <c r="A25" s="217"/>
      <c r="C25" s="293"/>
      <c r="U25" s="293"/>
      <c r="AD25" s="293"/>
      <c r="AM25" s="293"/>
      <c r="BI25" s="295"/>
    </row>
    <row r="26" spans="1:61" ht="15" customHeight="1" x14ac:dyDescent="0.25">
      <c r="A26" s="217"/>
      <c r="C26" s="293"/>
      <c r="U26" s="293"/>
      <c r="AD26" s="293"/>
      <c r="AM26" s="293"/>
      <c r="BI26" s="295"/>
    </row>
    <row r="27" spans="1:61" ht="15" customHeight="1" x14ac:dyDescent="0.25">
      <c r="A27" s="217"/>
      <c r="C27" s="293"/>
      <c r="U27" s="293"/>
      <c r="AD27" s="293"/>
      <c r="AM27" s="293"/>
      <c r="BI27" s="295"/>
    </row>
    <row r="28" spans="1:61" ht="15" customHeight="1" x14ac:dyDescent="0.25">
      <c r="A28" s="217"/>
      <c r="C28" s="293"/>
      <c r="U28" s="293"/>
      <c r="AD28" s="293"/>
      <c r="AM28" s="293"/>
      <c r="BI28" s="295"/>
    </row>
    <row r="29" spans="1:61" ht="15" customHeight="1" x14ac:dyDescent="0.25">
      <c r="A29" s="217"/>
      <c r="C29" s="293"/>
      <c r="U29" s="293"/>
      <c r="AD29" s="293"/>
      <c r="AM29" s="293"/>
      <c r="BI29" s="295"/>
    </row>
    <row r="30" spans="1:61" ht="15" customHeight="1" x14ac:dyDescent="0.25">
      <c r="A30" s="217"/>
      <c r="C30" s="293"/>
      <c r="U30" s="293"/>
      <c r="AD30" s="293"/>
      <c r="AM30" s="293"/>
      <c r="BI30" s="295"/>
    </row>
    <row r="31" spans="1:61" ht="15" customHeight="1" x14ac:dyDescent="0.25">
      <c r="A31" s="217"/>
      <c r="C31" s="293"/>
      <c r="U31" s="293"/>
      <c r="AD31" s="293"/>
      <c r="AM31" s="293"/>
      <c r="BI31" s="295"/>
    </row>
    <row r="32" spans="1:61" ht="15" customHeight="1" x14ac:dyDescent="0.25">
      <c r="A32" s="217"/>
      <c r="C32" s="293"/>
      <c r="U32" s="293"/>
      <c r="AD32" s="293"/>
      <c r="AM32" s="293"/>
      <c r="BI32" s="295"/>
    </row>
    <row r="33" spans="1:61" ht="15" customHeight="1" x14ac:dyDescent="0.25">
      <c r="A33" s="217"/>
      <c r="C33" s="293"/>
      <c r="U33" s="293"/>
      <c r="AD33" s="293"/>
      <c r="AM33" s="293"/>
      <c r="BI33" s="295"/>
    </row>
    <row r="34" spans="1:61" ht="15" customHeight="1" x14ac:dyDescent="0.25">
      <c r="A34" s="217"/>
      <c r="C34" s="293"/>
      <c r="U34" s="293"/>
      <c r="AD34" s="293"/>
      <c r="AM34" s="293"/>
      <c r="BI34" s="295"/>
    </row>
    <row r="35" spans="1:61" ht="15" customHeight="1" x14ac:dyDescent="0.25">
      <c r="A35" s="217"/>
      <c r="C35" s="293"/>
      <c r="U35" s="293"/>
      <c r="AD35" s="293"/>
      <c r="AM35" s="293"/>
      <c r="BI35" s="295"/>
    </row>
    <row r="36" spans="1:61" ht="15" customHeight="1" x14ac:dyDescent="0.25">
      <c r="A36" s="217"/>
      <c r="C36" s="293"/>
      <c r="U36" s="293"/>
      <c r="AD36" s="293"/>
      <c r="AM36" s="293"/>
      <c r="BI36" s="295"/>
    </row>
    <row r="37" spans="1:61" ht="15" customHeight="1" x14ac:dyDescent="0.25">
      <c r="A37" s="217"/>
      <c r="C37" s="293"/>
      <c r="U37" s="293"/>
      <c r="AD37" s="293"/>
      <c r="AM37" s="293"/>
      <c r="BI37" s="295"/>
    </row>
    <row r="38" spans="1:61" ht="15" customHeight="1" x14ac:dyDescent="0.25">
      <c r="A38" s="217"/>
      <c r="C38" s="293"/>
      <c r="U38" s="293"/>
      <c r="AD38" s="293"/>
      <c r="AM38" s="293"/>
      <c r="BI38" s="295"/>
    </row>
    <row r="39" spans="1:61" ht="15" customHeight="1" x14ac:dyDescent="0.25">
      <c r="A39" s="217"/>
      <c r="C39" s="293"/>
      <c r="U39" s="293"/>
      <c r="AD39" s="293"/>
      <c r="AM39" s="293"/>
      <c r="BI39" s="295"/>
    </row>
    <row r="40" spans="1:61" ht="15" customHeight="1" x14ac:dyDescent="0.25">
      <c r="A40" s="217"/>
      <c r="C40" s="293"/>
      <c r="U40" s="293"/>
      <c r="AD40" s="293"/>
      <c r="AM40" s="293"/>
      <c r="BI40" s="295"/>
    </row>
    <row r="41" spans="1:61" ht="15" customHeight="1" x14ac:dyDescent="0.25">
      <c r="A41" s="217"/>
      <c r="C41" s="293"/>
      <c r="U41" s="293"/>
      <c r="AD41" s="293"/>
      <c r="AM41" s="293"/>
      <c r="BI41" s="295"/>
    </row>
    <row r="42" spans="1:61" ht="15" customHeight="1" x14ac:dyDescent="0.25">
      <c r="A42" s="217"/>
      <c r="C42" s="293"/>
      <c r="U42" s="293"/>
      <c r="AD42" s="293"/>
      <c r="AM42" s="293"/>
      <c r="BI42" s="295"/>
    </row>
    <row r="43" spans="1:61" ht="15" customHeight="1" x14ac:dyDescent="0.25">
      <c r="A43" s="217"/>
      <c r="C43" s="293"/>
      <c r="U43" s="293"/>
      <c r="AD43" s="293"/>
      <c r="AM43" s="293"/>
      <c r="BI43" s="295"/>
    </row>
    <row r="44" spans="1:61" ht="15" customHeight="1" x14ac:dyDescent="0.25">
      <c r="A44" s="217"/>
      <c r="C44" s="293"/>
      <c r="U44" s="293"/>
      <c r="AD44" s="293"/>
      <c r="AM44" s="293"/>
      <c r="BI44" s="295"/>
    </row>
    <row r="45" spans="1:61" ht="15" customHeight="1" x14ac:dyDescent="0.25">
      <c r="A45" s="217"/>
      <c r="C45" s="293"/>
      <c r="U45" s="293"/>
      <c r="AD45" s="293"/>
      <c r="AM45" s="293"/>
      <c r="BI45" s="295"/>
    </row>
    <row r="46" spans="1:61" ht="15" customHeight="1" x14ac:dyDescent="0.25">
      <c r="A46" s="217"/>
      <c r="C46" s="293"/>
      <c r="U46" s="293"/>
      <c r="AD46" s="293"/>
      <c r="AM46" s="293"/>
      <c r="BI46" s="295"/>
    </row>
    <row r="47" spans="1:61" ht="15" customHeight="1" x14ac:dyDescent="0.25">
      <c r="A47" s="217"/>
      <c r="C47" s="293"/>
      <c r="U47" s="293"/>
      <c r="AD47" s="293"/>
      <c r="AM47" s="293"/>
      <c r="BI47" s="295"/>
    </row>
    <row r="48" spans="1:61" ht="15" customHeight="1" x14ac:dyDescent="0.25">
      <c r="A48" s="217"/>
      <c r="C48" s="293"/>
      <c r="U48" s="293"/>
      <c r="AD48" s="293"/>
      <c r="AM48" s="293"/>
      <c r="BI48" s="295"/>
    </row>
    <row r="49" spans="1:63" ht="15" customHeight="1" x14ac:dyDescent="0.25">
      <c r="A49" s="217"/>
      <c r="C49" s="293"/>
      <c r="U49" s="293"/>
      <c r="AD49" s="293"/>
      <c r="AM49" s="293"/>
      <c r="BI49" s="295"/>
    </row>
    <row r="50" spans="1:63" ht="15" customHeight="1" x14ac:dyDescent="0.25">
      <c r="A50" s="217"/>
      <c r="C50" s="293"/>
      <c r="U50" s="293"/>
      <c r="AD50" s="293"/>
      <c r="AM50" s="293"/>
      <c r="BI50" s="295"/>
    </row>
    <row r="51" spans="1:63" ht="15" customHeight="1" x14ac:dyDescent="0.25">
      <c r="A51" s="217"/>
      <c r="C51" s="293"/>
      <c r="U51" s="293"/>
      <c r="AD51" s="293"/>
      <c r="AM51" s="293"/>
      <c r="BI51" s="295"/>
    </row>
    <row r="52" spans="1:63" ht="15" customHeight="1" x14ac:dyDescent="0.25">
      <c r="A52" s="217"/>
      <c r="C52" s="293"/>
      <c r="U52" s="293"/>
      <c r="AD52" s="293"/>
      <c r="AM52" s="293"/>
      <c r="BI52" s="295"/>
    </row>
    <row r="53" spans="1:63" ht="15" customHeight="1" x14ac:dyDescent="0.25">
      <c r="A53" s="217"/>
      <c r="C53" s="293"/>
      <c r="U53" s="293"/>
      <c r="AD53" s="293"/>
      <c r="AM53" s="293"/>
      <c r="BI53" s="295"/>
    </row>
    <row r="54" spans="1:63" ht="15" customHeight="1" x14ac:dyDescent="0.25">
      <c r="A54" s="217"/>
      <c r="C54" s="293"/>
      <c r="U54" s="293"/>
      <c r="AD54" s="293"/>
      <c r="AM54" s="293"/>
      <c r="BI54" s="295"/>
    </row>
    <row r="55" spans="1:63" ht="15" customHeight="1" x14ac:dyDescent="0.25">
      <c r="A55" s="214"/>
      <c r="B55" s="330"/>
      <c r="C55" s="215"/>
      <c r="D55" s="215"/>
      <c r="E55" s="215"/>
      <c r="F55" s="215"/>
      <c r="G55" s="215"/>
      <c r="H55" s="215"/>
      <c r="I55" s="215"/>
      <c r="J55" s="215"/>
      <c r="K55" s="215"/>
      <c r="L55" s="215"/>
      <c r="M55" s="215"/>
      <c r="N55" s="215"/>
      <c r="O55" s="215"/>
      <c r="P55" s="215"/>
      <c r="Q55" s="215"/>
      <c r="R55" s="215"/>
      <c r="S55" s="215"/>
      <c r="T55" s="215"/>
      <c r="U55" s="330"/>
      <c r="V55" s="215"/>
      <c r="W55" s="215"/>
      <c r="X55" s="215"/>
      <c r="Y55" s="215"/>
      <c r="Z55" s="215"/>
      <c r="AA55" s="215"/>
      <c r="AB55" s="215"/>
      <c r="AC55" s="215"/>
      <c r="AD55" s="330"/>
      <c r="AE55" s="215"/>
      <c r="AF55" s="215"/>
      <c r="AG55" s="215"/>
      <c r="AH55" s="215"/>
      <c r="AI55" s="215"/>
      <c r="AJ55" s="215"/>
      <c r="AK55" s="215"/>
      <c r="AL55" s="215"/>
      <c r="AM55" s="330"/>
      <c r="AN55" s="215"/>
      <c r="AO55" s="215"/>
      <c r="AP55" s="215"/>
      <c r="AQ55" s="215"/>
      <c r="AR55" s="215"/>
      <c r="AS55" s="215"/>
      <c r="AT55" s="215"/>
      <c r="AU55" s="215"/>
      <c r="AV55" s="215"/>
      <c r="AW55" s="215"/>
      <c r="AX55" s="215"/>
      <c r="AY55" s="215"/>
      <c r="AZ55" s="215"/>
      <c r="BA55" s="215"/>
      <c r="BB55" s="215"/>
      <c r="BC55" s="215"/>
      <c r="BD55" s="215"/>
      <c r="BE55" s="215"/>
      <c r="BF55" s="215"/>
      <c r="BG55" s="215"/>
      <c r="BH55" s="215"/>
      <c r="BI55" s="331"/>
      <c r="BJ55" s="215"/>
      <c r="BK55" s="216"/>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4A99C8B-DFA8-4C2A-AD1D-1798EE4ABA01}"/>
</file>

<file path=customXml/itemProps2.xml><?xml version="1.0" encoding="utf-8"?>
<ds:datastoreItem xmlns:ds="http://schemas.openxmlformats.org/officeDocument/2006/customXml" ds:itemID="{2DB4F542-F8ED-4BF8-90EA-6EEC653C8BED}"/>
</file>

<file path=customXml/itemProps3.xml><?xml version="1.0" encoding="utf-8"?>
<ds:datastoreItem xmlns:ds="http://schemas.openxmlformats.org/officeDocument/2006/customXml" ds:itemID="{EDE06EE6-3DDA-463A-B913-4A672F4B90C8}"/>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表紙</vt:lpstr>
      <vt:lpstr>改訂履歴</vt:lpstr>
      <vt:lpstr>業務フロー</vt:lpstr>
      <vt:lpstr>機能概要説明</vt:lpstr>
      <vt:lpstr>機能概要</vt:lpstr>
      <vt:lpstr>画面設計書</vt:lpstr>
      <vt:lpstr>テンプレート</vt:lpstr>
      <vt:lpstr>テンプレート!Print_Area</vt:lpstr>
      <vt:lpstr>改訂履歴!Print_Area</vt:lpstr>
      <vt:lpstr>業務フロー!Print_Area</vt:lpstr>
      <vt:lpstr>機能概要!Print_Area</vt:lpstr>
      <vt:lpstr>機能概要説明!Print_Area</vt:lpstr>
      <vt:lpstr>表紙!Print_Area</vt:lpstr>
      <vt:lpstr>テンプレート!Print_Titles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2024-07-10T06:17:48Z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