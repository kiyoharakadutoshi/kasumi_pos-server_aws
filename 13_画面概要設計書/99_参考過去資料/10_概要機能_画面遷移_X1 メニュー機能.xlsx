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10_機能概要_画面遷移/"/>
    </mc:Choice>
  </mc:AlternateContent>
  <xr:revisionPtr revIDLastSave="698" documentId="11_AD4D066CA252ABDACC1048F7E995D65873EEDF5C" xr6:coauthVersionLast="47" xr6:coauthVersionMax="47" xr10:uidLastSave="{41B3801A-B044-42DD-98A3-25F4CDBAC84C}"/>
  <bookViews>
    <workbookView xWindow="-120" yWindow="-16320" windowWidth="29040" windowHeight="15720" firstSheet="1" activeTab="4" xr2:uid="{00000000-000D-0000-FFFF-FFFF00000000}"/>
  </bookViews>
  <sheets>
    <sheet name="表紙" sheetId="4" r:id="rId1"/>
    <sheet name="改廃履歴" sheetId="3" r:id="rId2"/>
    <sheet name="業務フロー凡例" sheetId="5" r:id="rId3"/>
    <sheet name="機能概要" sheetId="2" r:id="rId4"/>
    <sheet name="画面設計" sheetId="8" r:id="rId5"/>
    <sheet name="テンプレート" sheetId="7" r:id="rId6"/>
    <sheet name="Sheet1" sheetId="1" r:id="rId7"/>
  </sheets>
  <definedNames>
    <definedName name="_xlnm.Print_Area" localSheetId="1">改廃履歴!$A$1:$BK$55</definedName>
    <definedName name="_xlnm.Print_Area" localSheetId="0">表紙!$A$1:$BK$55</definedName>
    <definedName name="_xlnm.Print_Titles" localSheetId="5">テンプレート!$1:$5</definedName>
    <definedName name="_xlnm.Print_Titles" localSheetId="4">画面設計!$1:$5</definedName>
    <definedName name="_xlnm.Print_Titles" localSheetId="1">改廃履歴!$1:$5</definedName>
    <definedName name="_xlnm.Print_Titles" localSheetId="3">機能概要!$1:$5</definedName>
    <definedName name="_xlnm.Print_Titles" localSheetId="2">業務フロー凡例!$1:$5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5" l="1" a="1"/>
  <c r="AP4" i="5" s="1"/>
  <c r="BH2" i="5"/>
  <c r="BC2" i="5"/>
  <c r="AY2" i="5"/>
  <c r="AT2" i="5"/>
  <c r="AP2" i="5"/>
  <c r="Z4" i="5"/>
  <c r="W1" i="5"/>
  <c r="K2" i="5"/>
  <c r="H4" i="5"/>
  <c r="A2" i="5"/>
  <c r="AP4" i="8" a="1"/>
  <c r="AP4" i="8" s="1"/>
  <c r="BH2" i="8"/>
  <c r="BC2" i="8"/>
  <c r="AY2" i="8"/>
  <c r="AT2" i="8"/>
  <c r="AP2" i="8"/>
  <c r="Z4" i="8"/>
  <c r="W1" i="8"/>
  <c r="K2" i="8"/>
  <c r="H4" i="8"/>
  <c r="A2" i="8"/>
  <c r="AP4" i="7" a="1"/>
  <c r="AP4" i="7" s="1"/>
  <c r="Z4" i="7"/>
  <c r="H4" i="7"/>
  <c r="AP2" i="7"/>
  <c r="K2" i="7"/>
  <c r="A2" i="7"/>
  <c r="W1" i="7"/>
  <c r="AP4" i="2" a="1"/>
  <c r="AP4" i="2" s="1"/>
  <c r="Z4" i="2"/>
  <c r="W1" i="2"/>
  <c r="K2" i="2"/>
  <c r="H4" i="2"/>
  <c r="A2" i="2"/>
  <c r="L24" i="4"/>
  <c r="AP4" i="4" a="1"/>
  <c r="AP4" i="4" s="1"/>
  <c r="BH2" i="4"/>
  <c r="BH2" i="3" s="1"/>
  <c r="BC2" i="4"/>
  <c r="BC2" i="3" s="1"/>
  <c r="AY2" i="4"/>
  <c r="AY2" i="3" s="1"/>
  <c r="AT2" i="4"/>
  <c r="AT2" i="3" s="1"/>
  <c r="AP2" i="4"/>
  <c r="AP4" i="3" a="1"/>
  <c r="AP4" i="3" s="1"/>
  <c r="Z4" i="3"/>
  <c r="W1" i="3"/>
  <c r="K2" i="3"/>
  <c r="H4" i="3"/>
  <c r="A2" i="3"/>
  <c r="BH2" i="7" l="1"/>
  <c r="BH2" i="2"/>
  <c r="AT2" i="2"/>
  <c r="BC2" i="2"/>
  <c r="AT2" i="7"/>
  <c r="BC2" i="7"/>
  <c r="AY2" i="7"/>
  <c r="AP2" i="2"/>
  <c r="AP2" i="3"/>
  <c r="AY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C74" authorId="0" shapeId="0" xr:uid="{0F662D07-6D75-4724-A3BD-F40681E14172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Chưa có bảng danh sách các button trong menu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<sst xmlns="http://schemas.openxmlformats.org/spreadsheetml/2006/main" count="186" uniqueCount="83">
  <si>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</si>
  <si>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</si>
  <si>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</si>
  <si>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</si>
  <si>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</si>
  <si>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</si>
  <si>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</si>
  <si>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</si>
  <si>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</si>
  <si>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</si>
  <si>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</si>
  <si>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</si>
  <si>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</si>
  <si>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</si>
  <si>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 基本設計書</t>
  </si>
  <si>
    <t>承認日</t>
  </si>
  <si>
    <t>●1_レジ内</t>
    <rPh sb="5" eb="6">
      <t>ナイ</t>
    </rPh>
    <phoneticPr fontId="1"/>
  </si>
  <si>
    <t>●1_レジ周辺機器</t>
    <rPh sb="5" eb="9">
      <t>シュウヘンキキ</t>
    </rPh>
    <phoneticPr fontId="1"/>
  </si>
  <si>
    <t>●外部連携</t>
    <rPh sb="1" eb="3">
      <t>ガイブ</t>
    </rPh>
    <rPh sb="3" eb="5">
      <t>レンケイ</t>
    </rPh>
    <phoneticPr fontId="1"/>
  </si>
  <si>
    <t>●X●●_●●●●●</t>
    <phoneticPr fontId="1"/>
  </si>
  <si>
    <t>ignica POS</t>
    <phoneticPr fontId="1"/>
  </si>
  <si>
    <t>POS Server</t>
    <phoneticPr fontId="1"/>
  </si>
  <si>
    <t>基本設計書</t>
    <phoneticPr fontId="1"/>
  </si>
  <si>
    <t>概要設計</t>
    <phoneticPr fontId="1"/>
  </si>
  <si>
    <t>X1 メニュー機能</t>
    <phoneticPr fontId="1"/>
  </si>
  <si>
    <t xml:space="preserve">Thanh Nguyên </t>
    <phoneticPr fontId="1"/>
  </si>
  <si>
    <r>
      <rPr>
        <sz val="11"/>
        <color rgb="FF000000"/>
        <rFont val="Meiryo UI"/>
        <family val="3"/>
      </rPr>
      <t>■画面項目定義</t>
    </r>
  </si>
  <si>
    <r>
      <rPr>
        <sz val="11"/>
        <color rgb="FF000000"/>
        <rFont val="Meiryo UI"/>
        <family val="3"/>
      </rPr>
      <t>画面項目ID</t>
    </r>
  </si>
  <si>
    <r>
      <rPr>
        <sz val="11"/>
        <color rgb="FF000000"/>
        <rFont val="Meiryo UI"/>
        <family val="3"/>
      </rPr>
      <t>項目名</t>
    </r>
  </si>
  <si>
    <r>
      <rPr>
        <sz val="11"/>
        <color rgb="FF000000"/>
        <rFont val="Meiryo UI"/>
        <family val="3"/>
      </rPr>
      <t>タイプ</t>
    </r>
  </si>
  <si>
    <r>
      <rPr>
        <sz val="11"/>
        <color rgb="FF000000"/>
        <rFont val="Calibri"/>
        <family val="2"/>
      </rPr>
      <t>I/O</t>
    </r>
  </si>
  <si>
    <r>
      <rPr>
        <sz val="11"/>
        <color rgb="FF000000"/>
        <rFont val="Meiryo UI"/>
        <family val="3"/>
      </rPr>
      <t>多言語対象</t>
    </r>
  </si>
  <si>
    <r>
      <rPr>
        <sz val="11"/>
        <color rgb="FF000000"/>
        <rFont val="Meiryo UI"/>
        <family val="3"/>
      </rPr>
      <t>アウトプット</t>
    </r>
  </si>
  <si>
    <r>
      <rPr>
        <sz val="11"/>
        <color rgb="FF000000"/>
        <rFont val="Meiryo UI"/>
        <family val="3"/>
      </rPr>
      <t>インプット</t>
    </r>
  </si>
  <si>
    <r>
      <rPr>
        <sz val="11"/>
        <color rgb="FF000000"/>
        <rFont val="Meiryo UI"/>
        <family val="3"/>
      </rPr>
      <t>備考</t>
    </r>
  </si>
  <si>
    <r>
      <rPr>
        <sz val="11"/>
        <color rgb="FF000000"/>
        <rFont val="Meiryo UI"/>
        <family val="3"/>
      </rPr>
      <t>マッピングデータ</t>
    </r>
  </si>
  <si>
    <r>
      <rPr>
        <sz val="11"/>
        <color rgb="FF000000"/>
        <rFont val="Meiryo UI"/>
        <family val="3"/>
      </rPr>
      <t>初期値</t>
    </r>
  </si>
  <si>
    <r>
      <rPr>
        <sz val="11"/>
        <color rgb="FF000000"/>
        <rFont val="Meiryo UI"/>
        <family val="3"/>
      </rPr>
      <t>表示コントロール</t>
    </r>
  </si>
  <si>
    <r>
      <rPr>
        <sz val="11"/>
        <color rgb="FF000000"/>
        <rFont val="Meiryo UI"/>
        <family val="3"/>
      </rPr>
      <t>Control enable</t>
    </r>
  </si>
  <si>
    <r>
      <rPr>
        <sz val="11"/>
        <color rgb="FF000000"/>
        <rFont val="Calibri"/>
        <family val="2"/>
      </rPr>
      <t>必須</t>
    </r>
  </si>
  <si>
    <r>
      <rPr>
        <sz val="11"/>
        <color rgb="FF000000"/>
        <rFont val="Meiryo UI"/>
        <family val="3"/>
      </rPr>
      <t>数字</t>
    </r>
  </si>
  <si>
    <r>
      <rPr>
        <sz val="11"/>
        <color rgb="FF000000"/>
        <rFont val="Meiryo UI"/>
        <family val="3"/>
      </rPr>
      <t>文字</t>
    </r>
  </si>
  <si>
    <r>
      <rPr>
        <sz val="11"/>
        <color rgb="FF000000"/>
        <rFont val="Meiryo UI"/>
        <family val="3"/>
      </rPr>
      <t>API名</t>
    </r>
  </si>
  <si>
    <r>
      <rPr>
        <sz val="11"/>
        <color rgb="FF000000"/>
        <rFont val="Meiryo UI"/>
        <family val="3"/>
      </rPr>
      <t>タイトルヘッダー</t>
    </r>
  </si>
  <si>
    <r>
      <rPr>
        <sz val="11"/>
        <color rgb="FF000000"/>
        <rFont val="Meiryo UI"/>
        <family val="3"/>
      </rPr>
      <t>TEXT</t>
    </r>
  </si>
  <si>
    <r>
      <rPr>
        <sz val="11"/>
        <color rgb="FF000000"/>
        <rFont val="Meiryo UI"/>
        <family val="3"/>
      </rPr>
      <t>O</t>
    </r>
  </si>
  <si>
    <t>●</t>
  </si>
  <si>
    <t>－</t>
  </si>
  <si>
    <r>
      <rPr>
        <sz val="11"/>
        <color rgb="FF000000"/>
        <rFont val="Meiryo UI"/>
        <family val="3"/>
      </rPr>
      <t>メインメニュー</t>
    </r>
  </si>
  <si>
    <r>
      <rPr>
        <sz val="11"/>
        <color rgb="FF000000"/>
        <rFont val="Meiryo UI"/>
        <family val="3"/>
      </rPr>
      <t>ー</t>
    </r>
  </si>
  <si>
    <r>
      <rPr>
        <sz val="11"/>
        <color rgb="FF000000"/>
        <rFont val="Meiryo UI"/>
        <family val="3"/>
      </rPr>
      <t>担当者名</t>
    </r>
  </si>
  <si>
    <r>
      <rPr>
        <sz val="11"/>
        <color rgb="FF000000"/>
        <rFont val="Meiryo UI"/>
        <family val="3"/>
      </rPr>
      <t>EmployeeMaster[Name]</t>
    </r>
  </si>
  <si>
    <r>
      <rPr>
        <sz val="11"/>
        <color rgb="FF000000"/>
        <rFont val="Meiryo UI"/>
        <family val="3"/>
      </rPr>
      <t>ログアウト</t>
    </r>
  </si>
  <si>
    <r>
      <rPr>
        <sz val="11"/>
        <color rgb="FF000000"/>
        <rFont val="Meiryo UI"/>
        <family val="3"/>
      </rPr>
      <t>ボタン</t>
    </r>
  </si>
  <si>
    <r>
      <rPr>
        <sz val="11"/>
        <color rgb="FF000000"/>
        <rFont val="Meiryo UI"/>
        <family val="3"/>
      </rPr>
      <t>I</t>
    </r>
  </si>
  <si>
    <r>
      <rPr>
        <sz val="11"/>
        <color rgb="FF000000"/>
        <rFont val="Meiryo UI"/>
        <family val="3"/>
      </rPr>
      <t>Menu-01</t>
    </r>
  </si>
  <si>
    <r>
      <rPr>
        <sz val="11"/>
        <color rgb="FF000000"/>
        <rFont val="Meiryo UI"/>
        <family val="3"/>
      </rPr>
      <t>アイテムメニュー</t>
    </r>
  </si>
  <si>
    <r>
      <rPr>
        <sz val="11"/>
        <color rgb="FF000000"/>
        <rFont val="Meiryo UI"/>
        <family val="3"/>
      </rPr>
      <t>Menu-02/</t>
    </r>
  </si>
  <si>
    <r>
      <rPr>
        <sz val="11"/>
        <color rgb="FF000000"/>
        <rFont val="Meiryo UI"/>
        <family val="3"/>
      </rPr>
      <t>次ページ</t>
    </r>
  </si>
  <si>
    <r>
      <rPr>
        <sz val="9"/>
        <color rgb="FF000000"/>
        <rFont val="Meiryo UI"/>
        <family val="2"/>
      </rPr>
      <t>show:&gt;1 page &amp; &lt;= page size</t>
    </r>
    <r>
      <rPr>
        <sz val="9"/>
        <color rgb="FF000000"/>
        <rFont val="Meiryo UI"/>
        <family val="2"/>
      </rPr>
      <t xml:space="preserve">
</t>
    </r>
    <r>
      <rPr>
        <sz val="9"/>
        <color rgb="FF000000"/>
        <rFont val="Meiryo UI"/>
        <family val="2"/>
      </rPr>
      <t>hide: =1 page, 最後のページ</t>
    </r>
  </si>
  <si>
    <r>
      <rPr>
        <sz val="11"/>
        <color rgb="FF000000"/>
        <rFont val="Meiryo UI"/>
        <family val="3"/>
      </rPr>
      <t>Menu-03</t>
    </r>
  </si>
  <si>
    <r>
      <rPr>
        <sz val="11"/>
        <color rgb="FF000000"/>
        <rFont val="Meiryo UI"/>
        <family val="3"/>
      </rPr>
      <t>前ページ</t>
    </r>
  </si>
  <si>
    <r>
      <rPr>
        <sz val="9"/>
        <color rgb="FF000000"/>
        <rFont val="Meiryo UI"/>
        <family val="2"/>
      </rPr>
      <t>show：前あり</t>
    </r>
    <r>
      <rPr>
        <sz val="9"/>
        <color rgb="FF000000"/>
        <rFont val="Meiryo UI"/>
        <family val="2"/>
      </rPr>
      <t xml:space="preserve"> </t>
    </r>
    <r>
      <rPr>
        <sz val="9"/>
        <color rgb="FF000000"/>
        <rFont val="Meiryo UI"/>
        <family val="2"/>
      </rPr>
      <t xml:space="preserve">
</t>
    </r>
    <r>
      <rPr>
        <sz val="9"/>
        <color rgb="FF000000"/>
        <rFont val="Meiryo UI"/>
        <family val="2"/>
      </rPr>
      <t>hide：前なし</t>
    </r>
  </si>
  <si>
    <r>
      <rPr>
        <sz val="11"/>
        <color rgb="FF000000"/>
        <rFont val="Meiryo UI"/>
        <family val="3"/>
      </rPr>
      <t>Menu-04</t>
    </r>
  </si>
  <si>
    <t>■メインメニュー画面イメージ</t>
  </si>
  <si>
    <t>システム名</t>
    <phoneticPr fontId="1"/>
  </si>
  <si>
    <t>機能カテゴリ</t>
    <phoneticPr fontId="1"/>
  </si>
  <si>
    <t>システム種別</t>
    <phoneticPr fontId="1"/>
  </si>
  <si>
    <t>作成者</t>
    <phoneticPr fontId="1"/>
  </si>
  <si>
    <t>作成日</t>
    <phoneticPr fontId="1"/>
  </si>
  <si>
    <t>更新者</t>
    <phoneticPr fontId="1"/>
  </si>
  <si>
    <t>更新日</t>
    <phoneticPr fontId="1"/>
  </si>
  <si>
    <t>版数</t>
    <phoneticPr fontId="1"/>
  </si>
  <si>
    <t>項目</t>
    <phoneticPr fontId="1"/>
  </si>
  <si>
    <t>システム名</t>
    <phoneticPr fontId="1"/>
  </si>
  <si>
    <t>機能カテゴリ</t>
    <phoneticPr fontId="1"/>
  </si>
  <si>
    <t>システム種別</t>
    <phoneticPr fontId="1"/>
  </si>
  <si>
    <t>作成者</t>
    <phoneticPr fontId="1"/>
  </si>
  <si>
    <t>作成日</t>
    <phoneticPr fontId="1"/>
  </si>
  <si>
    <t>更新者</t>
    <phoneticPr fontId="1"/>
  </si>
  <si>
    <t>更新日</t>
    <phoneticPr fontId="1"/>
  </si>
  <si>
    <t>版数</t>
    <phoneticPr fontId="1"/>
  </si>
  <si>
    <t>項目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</si>
</sst>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Yu Gothic"/>
      <family val="2"/>
      <scheme val="minor"/>
    </font>
    <font>
      <sz val="11"/>
      <color rgb="FF000000"/>
      <name val="Meiryo UI"/>
      <family val="3"/>
    </font>
    <font>
      <sz val="11"/>
      <color rgb="FF000000"/>
      <name val="Calibri"/>
      <family val="2"/>
    </font>
    <font>
      <sz val="11"/>
      <name val="Meiryo UI"/>
      <family val="2"/>
    </font>
    <font>
      <strike/>
      <sz val="11"/>
      <name val="Meiryo UI"/>
      <family val="2"/>
    </font>
    <font>
      <sz val="9"/>
      <name val="Meiryo UI"/>
      <family val="2"/>
    </font>
    <font>
      <sz val="9"/>
      <color rgb="FF000000"/>
      <name val="Meiryo U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theme="0" tint="-0.499984740745262"/>
      </left>
      <right/>
      <top/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1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2" borderId="2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29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0" fillId="0" borderId="33" xfId="0" applyBorder="1"/>
    <xf numFmtId="0" fontId="0" fillId="0" borderId="32" xfId="0" applyBorder="1"/>
    <xf numFmtId="0" fontId="0" fillId="0" borderId="34" xfId="0" applyBorder="1"/>
    <xf numFmtId="0" fontId="0" fillId="0" borderId="35" xfId="0" applyBorder="1"/>
    <xf numFmtId="0" fontId="6" fillId="0" borderId="0" xfId="1" applyAlignment="1">
      <alignment vertical="center"/>
    </xf>
    <xf numFmtId="0" fontId="6" fillId="0" borderId="6" xfId="1" applyBorder="1" applyAlignment="1">
      <alignment vertical="center"/>
    </xf>
    <xf numFmtId="0" fontId="6" fillId="0" borderId="9" xfId="1" applyBorder="1" applyAlignment="1">
      <alignment vertical="center"/>
    </xf>
    <xf numFmtId="0" fontId="6" fillId="0" borderId="1" xfId="1" applyBorder="1" applyAlignment="1">
      <alignment vertical="center"/>
    </xf>
    <xf numFmtId="0" fontId="6" fillId="0" borderId="8" xfId="1" applyBorder="1" applyAlignment="1">
      <alignment vertical="center"/>
    </xf>
    <xf numFmtId="0" fontId="7" fillId="0" borderId="0" xfId="1" applyFont="1" applyAlignment="1">
      <alignment vertical="center"/>
    </xf>
    <xf numFmtId="0" fontId="9" fillId="0" borderId="41" xfId="1" applyFont="1" applyBorder="1" applyAlignment="1">
      <alignment horizontal="center" vertical="center"/>
    </xf>
    <xf numFmtId="0" fontId="6" fillId="0" borderId="41" xfId="1" applyBorder="1" applyAlignment="1">
      <alignment horizontal="center" vertical="center"/>
    </xf>
    <xf numFmtId="0" fontId="9" fillId="0" borderId="41" xfId="1" applyFont="1" applyBorder="1" applyAlignment="1">
      <alignment vertical="center"/>
    </xf>
    <xf numFmtId="0" fontId="9" fillId="0" borderId="45" xfId="1" applyFont="1" applyBorder="1" applyAlignment="1">
      <alignment horizontal="center" vertical="center"/>
    </xf>
    <xf numFmtId="0" fontId="6" fillId="0" borderId="45" xfId="1" applyBorder="1" applyAlignment="1">
      <alignment horizontal="center" vertical="center"/>
    </xf>
    <xf numFmtId="0" fontId="9" fillId="0" borderId="45" xfId="1" applyFont="1" applyBorder="1" applyAlignment="1">
      <alignment vertical="center"/>
    </xf>
    <xf numFmtId="0" fontId="9" fillId="0" borderId="46" xfId="1" applyFont="1" applyBorder="1" applyAlignment="1">
      <alignment horizontal="center" vertical="center"/>
    </xf>
    <xf numFmtId="0" fontId="6" fillId="0" borderId="46" xfId="1" applyBorder="1" applyAlignment="1">
      <alignment horizontal="center" vertical="center"/>
    </xf>
    <xf numFmtId="0" fontId="9" fillId="0" borderId="46" xfId="1" applyFont="1" applyBorder="1" applyAlignment="1">
      <alignment vertical="center"/>
    </xf>
    <xf numFmtId="0" fontId="15" fillId="0" borderId="1" xfId="1" applyFont="1" applyBorder="1" applyAlignment="1">
      <alignment vertical="center"/>
    </xf>
    <xf numFmtId="0" fontId="15" fillId="0" borderId="8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5" fillId="0" borderId="5" xfId="1" applyFont="1" applyBorder="1" applyAlignment="1">
      <alignment vertical="center"/>
    </xf>
    <xf numFmtId="0" fontId="15" fillId="0" borderId="6" xfId="1" applyFont="1" applyBorder="1" applyAlignment="1">
      <alignment vertical="center"/>
    </xf>
    <xf numFmtId="0" fontId="15" fillId="0" borderId="9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/>
    <xf numFmtId="14" fontId="0" fillId="0" borderId="2" xfId="0" applyNumberForma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3" xfId="0" applyBorder="1"/>
    <xf numFmtId="0" fontId="0" fillId="0" borderId="7" xfId="0" applyBorder="1"/>
    <xf numFmtId="0" fontId="0" fillId="0" borderId="6" xfId="0" applyBorder="1"/>
    <xf numFmtId="0" fontId="0" fillId="0" borderId="9" xfId="0" applyBorder="1"/>
    <xf numFmtId="0" fontId="0" fillId="0" borderId="2" xfId="0" applyBorder="1"/>
    <xf numFmtId="0" fontId="0" fillId="0" borderId="5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1" fillId="0" borderId="15" xfId="1" applyFont="1" applyBorder="1" applyAlignment="1">
      <alignment horizontal="left" vertical="center" wrapText="1"/>
    </xf>
    <xf numFmtId="0" fontId="11" fillId="0" borderId="16" xfId="1" applyFont="1" applyBorder="1" applyAlignment="1">
      <alignment horizontal="left" vertical="center"/>
    </xf>
    <xf numFmtId="0" fontId="11" fillId="0" borderId="17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15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9" fillId="0" borderId="15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11" fillId="0" borderId="42" xfId="1" applyFont="1" applyBorder="1" applyAlignment="1">
      <alignment horizontal="left" vertical="center" wrapText="1"/>
    </xf>
    <xf numFmtId="0" fontId="11" fillId="0" borderId="44" xfId="1" applyFont="1" applyBorder="1" applyAlignment="1">
      <alignment horizontal="left" vertical="center"/>
    </xf>
    <xf numFmtId="0" fontId="11" fillId="0" borderId="43" xfId="1" applyFont="1" applyBorder="1" applyAlignment="1">
      <alignment horizontal="left" vertical="center"/>
    </xf>
    <xf numFmtId="0" fontId="9" fillId="0" borderId="42" xfId="1" applyFont="1" applyBorder="1" applyAlignment="1">
      <alignment horizontal="left" vertical="center"/>
    </xf>
    <xf numFmtId="0" fontId="9" fillId="0" borderId="44" xfId="1" applyFont="1" applyBorder="1" applyAlignment="1">
      <alignment horizontal="left" vertical="center"/>
    </xf>
    <xf numFmtId="0" fontId="9" fillId="0" borderId="43" xfId="1" applyFont="1" applyBorder="1" applyAlignment="1">
      <alignment horizontal="left" vertical="center"/>
    </xf>
    <xf numFmtId="0" fontId="9" fillId="0" borderId="42" xfId="1" applyFont="1" applyBorder="1" applyAlignment="1">
      <alignment horizontal="center" vertical="center"/>
    </xf>
    <xf numFmtId="0" fontId="9" fillId="0" borderId="44" xfId="1" applyFont="1" applyBorder="1" applyAlignment="1">
      <alignment horizontal="center" vertical="center"/>
    </xf>
    <xf numFmtId="0" fontId="9" fillId="0" borderId="43" xfId="1" applyFont="1" applyBorder="1" applyAlignment="1">
      <alignment horizontal="center" vertical="center"/>
    </xf>
    <xf numFmtId="0" fontId="9" fillId="0" borderId="42" xfId="1" applyFont="1" applyBorder="1" applyAlignment="1">
      <alignment vertical="center"/>
    </xf>
    <xf numFmtId="0" fontId="10" fillId="0" borderId="44" xfId="1" applyFont="1" applyBorder="1" applyAlignment="1">
      <alignment vertical="center"/>
    </xf>
    <xf numFmtId="0" fontId="10" fillId="0" borderId="43" xfId="1" applyFont="1" applyBorder="1" applyAlignment="1">
      <alignment vertical="center"/>
    </xf>
    <xf numFmtId="0" fontId="9" fillId="0" borderId="44" xfId="1" applyFont="1" applyBorder="1" applyAlignment="1">
      <alignment vertical="center"/>
    </xf>
    <xf numFmtId="0" fontId="9" fillId="0" borderId="43" xfId="1" applyFont="1" applyBorder="1" applyAlignment="1">
      <alignment vertical="center"/>
    </xf>
    <xf numFmtId="0" fontId="9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2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9" fillId="0" borderId="14" xfId="1" applyFont="1" applyBorder="1" applyAlignment="1">
      <alignment horizontal="left" vertical="center"/>
    </xf>
    <xf numFmtId="0" fontId="10" fillId="0" borderId="12" xfId="1" applyFont="1" applyBorder="1" applyAlignment="1">
      <alignment vertical="center"/>
    </xf>
    <xf numFmtId="0" fontId="10" fillId="0" borderId="13" xfId="1" applyFont="1" applyBorder="1" applyAlignment="1">
      <alignment vertical="center"/>
    </xf>
    <xf numFmtId="0" fontId="10" fillId="0" borderId="14" xfId="1" applyFont="1" applyBorder="1" applyAlignment="1">
      <alignment vertical="center"/>
    </xf>
    <xf numFmtId="0" fontId="7" fillId="5" borderId="4" xfId="1" applyFont="1" applyFill="1" applyBorder="1" applyAlignment="1">
      <alignment vertical="center"/>
    </xf>
    <xf numFmtId="0" fontId="6" fillId="5" borderId="10" xfId="1" applyFill="1" applyBorder="1" applyAlignment="1">
      <alignment vertical="center"/>
    </xf>
    <xf numFmtId="0" fontId="6" fillId="5" borderId="11" xfId="1" applyFill="1" applyBorder="1" applyAlignment="1">
      <alignment vertical="center"/>
    </xf>
    <xf numFmtId="0" fontId="7" fillId="4" borderId="4" xfId="1" applyFont="1" applyFill="1" applyBorder="1" applyAlignment="1">
      <alignment vertical="center"/>
    </xf>
    <xf numFmtId="0" fontId="6" fillId="4" borderId="10" xfId="1" applyFill="1" applyBorder="1" applyAlignment="1">
      <alignment vertical="center"/>
    </xf>
    <xf numFmtId="0" fontId="6" fillId="4" borderId="11" xfId="1" applyFill="1" applyBorder="1" applyAlignment="1">
      <alignment vertical="center"/>
    </xf>
    <xf numFmtId="0" fontId="6" fillId="5" borderId="39" xfId="1" applyFill="1" applyBorder="1" applyAlignment="1">
      <alignment vertical="center"/>
    </xf>
    <xf numFmtId="0" fontId="7" fillId="5" borderId="40" xfId="1" applyFont="1" applyFill="1" applyBorder="1" applyAlignment="1">
      <alignment vertical="center"/>
    </xf>
    <xf numFmtId="0" fontId="9" fillId="0" borderId="12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9" fillId="0" borderId="14" xfId="1" applyFont="1" applyBorder="1" applyAlignment="1">
      <alignment vertical="center"/>
    </xf>
    <xf numFmtId="0" fontId="7" fillId="6" borderId="2" xfId="1" applyFont="1" applyFill="1" applyBorder="1" applyAlignment="1">
      <alignment vertical="center"/>
    </xf>
    <xf numFmtId="0" fontId="6" fillId="6" borderId="3" xfId="1" applyFill="1" applyBorder="1" applyAlignment="1">
      <alignment vertical="center"/>
    </xf>
    <xf numFmtId="0" fontId="6" fillId="6" borderId="7" xfId="1" applyFill="1" applyBorder="1" applyAlignment="1">
      <alignment vertical="center"/>
    </xf>
    <xf numFmtId="0" fontId="6" fillId="6" borderId="1" xfId="1" applyFill="1" applyBorder="1" applyAlignment="1">
      <alignment vertical="center"/>
    </xf>
    <xf numFmtId="0" fontId="6" fillId="6" borderId="0" xfId="1" applyFill="1" applyAlignment="1">
      <alignment vertical="center"/>
    </xf>
    <xf numFmtId="0" fontId="6" fillId="6" borderId="8" xfId="1" applyFill="1" applyBorder="1" applyAlignment="1">
      <alignment vertical="center"/>
    </xf>
    <xf numFmtId="0" fontId="6" fillId="6" borderId="5" xfId="1" applyFill="1" applyBorder="1" applyAlignment="1">
      <alignment vertical="center"/>
    </xf>
    <xf numFmtId="0" fontId="6" fillId="6" borderId="6" xfId="1" applyFill="1" applyBorder="1" applyAlignment="1">
      <alignment vertical="center"/>
    </xf>
    <xf numFmtId="0" fontId="6" fillId="6" borderId="9" xfId="1" applyFill="1" applyBorder="1" applyAlignment="1">
      <alignment vertical="center"/>
    </xf>
    <xf numFmtId="0" fontId="7" fillId="4" borderId="4" xfId="1" applyFont="1" applyFill="1" applyBorder="1"/>
    <xf numFmtId="0" fontId="7" fillId="4" borderId="10" xfId="1" applyFont="1" applyFill="1" applyBorder="1"/>
    <xf numFmtId="0" fontId="7" fillId="4" borderId="11" xfId="1" applyFont="1" applyFill="1" applyBorder="1"/>
    <xf numFmtId="0" fontId="7" fillId="4" borderId="2" xfId="1" applyFont="1" applyFill="1" applyBorder="1" applyAlignment="1">
      <alignment vertical="center"/>
    </xf>
    <xf numFmtId="0" fontId="6" fillId="4" borderId="3" xfId="1" applyFill="1" applyBorder="1" applyAlignment="1">
      <alignment vertical="center"/>
    </xf>
    <xf numFmtId="0" fontId="6" fillId="4" borderId="7" xfId="1" applyFill="1" applyBorder="1" applyAlignment="1">
      <alignment vertical="center"/>
    </xf>
    <xf numFmtId="0" fontId="6" fillId="4" borderId="5" xfId="1" applyFill="1" applyBorder="1" applyAlignment="1">
      <alignment vertical="center"/>
    </xf>
    <xf numFmtId="0" fontId="6" fillId="4" borderId="6" xfId="1" applyFill="1" applyBorder="1" applyAlignment="1">
      <alignment vertical="center"/>
    </xf>
    <xf numFmtId="0" fontId="6" fillId="4" borderId="9" xfId="1" applyFill="1" applyBorder="1" applyAlignment="1">
      <alignment vertical="center"/>
    </xf>
    <xf numFmtId="0" fontId="6" fillId="5" borderId="2" xfId="1" applyFill="1" applyBorder="1" applyAlignment="1">
      <alignment vertical="center" wrapText="1"/>
    </xf>
    <xf numFmtId="0" fontId="6" fillId="5" borderId="5" xfId="1" applyFill="1" applyBorder="1" applyAlignment="1">
      <alignment vertical="center" wrapText="1"/>
    </xf>
    <xf numFmtId="0" fontId="7" fillId="5" borderId="36" xfId="1" applyFont="1" applyFill="1" applyBorder="1" applyAlignment="1">
      <alignment vertical="center" wrapText="1"/>
    </xf>
    <xf numFmtId="0" fontId="7" fillId="5" borderId="38" xfId="1" applyFont="1" applyFill="1" applyBorder="1" applyAlignment="1">
      <alignment vertical="center" wrapText="1"/>
    </xf>
    <xf numFmtId="0" fontId="7" fillId="5" borderId="7" xfId="1" applyFont="1" applyFill="1" applyBorder="1" applyAlignment="1">
      <alignment vertical="center" wrapText="1"/>
    </xf>
    <xf numFmtId="0" fontId="7" fillId="5" borderId="9" xfId="1" applyFont="1" applyFill="1" applyBorder="1" applyAlignment="1">
      <alignment vertical="center" wrapText="1"/>
    </xf>
    <xf numFmtId="0" fontId="7" fillId="3" borderId="2" xfId="1" applyFont="1" applyFill="1" applyBorder="1" applyAlignment="1">
      <alignment vertical="center" wrapText="1"/>
    </xf>
    <xf numFmtId="0" fontId="6" fillId="3" borderId="7" xfId="1" applyFill="1" applyBorder="1" applyAlignment="1">
      <alignment vertical="center"/>
    </xf>
    <xf numFmtId="0" fontId="6" fillId="3" borderId="1" xfId="1" applyFill="1" applyBorder="1" applyAlignment="1">
      <alignment vertical="center"/>
    </xf>
    <xf numFmtId="0" fontId="6" fillId="3" borderId="8" xfId="1" applyFill="1" applyBorder="1" applyAlignment="1">
      <alignment vertical="center"/>
    </xf>
    <xf numFmtId="0" fontId="6" fillId="3" borderId="5" xfId="1" applyFill="1" applyBorder="1" applyAlignment="1">
      <alignment vertical="center"/>
    </xf>
    <xf numFmtId="0" fontId="6" fillId="3" borderId="9" xfId="1" applyFill="1" applyBorder="1" applyAlignment="1">
      <alignment vertical="center"/>
    </xf>
    <xf numFmtId="0" fontId="7" fillId="3" borderId="2" xfId="1" applyFont="1" applyFill="1" applyBorder="1" applyAlignment="1">
      <alignment vertical="center"/>
    </xf>
    <xf numFmtId="0" fontId="6" fillId="3" borderId="3" xfId="1" applyFill="1" applyBorder="1" applyAlignment="1">
      <alignment vertical="center"/>
    </xf>
    <xf numFmtId="0" fontId="6" fillId="3" borderId="0" xfId="1" applyFill="1" applyAlignment="1">
      <alignment vertical="center"/>
    </xf>
    <xf numFmtId="0" fontId="6" fillId="3" borderId="6" xfId="1" applyFill="1" applyBorder="1" applyAlignment="1">
      <alignment vertical="center"/>
    </xf>
    <xf numFmtId="0" fontId="6" fillId="3" borderId="36" xfId="1" applyFill="1" applyBorder="1" applyAlignment="1">
      <alignment vertical="center" shrinkToFit="1"/>
    </xf>
    <xf numFmtId="0" fontId="6" fillId="3" borderId="37" xfId="1" applyFill="1" applyBorder="1" applyAlignment="1">
      <alignment vertical="center" shrinkToFit="1"/>
    </xf>
    <xf numFmtId="0" fontId="6" fillId="3" borderId="38" xfId="1" applyFill="1" applyBorder="1" applyAlignment="1">
      <alignment vertical="center" shrinkToFit="1"/>
    </xf>
    <xf numFmtId="0" fontId="7" fillId="3" borderId="36" xfId="1" applyFont="1" applyFill="1" applyBorder="1" applyAlignment="1">
      <alignment vertical="center" wrapText="1"/>
    </xf>
    <xf numFmtId="0" fontId="7" fillId="3" borderId="37" xfId="1" applyFont="1" applyFill="1" applyBorder="1" applyAlignment="1">
      <alignment vertical="center" wrapText="1"/>
    </xf>
    <xf numFmtId="0" fontId="7" fillId="3" borderId="38" xfId="1" applyFont="1" applyFill="1" applyBorder="1" applyAlignment="1">
      <alignment vertical="center" wrapText="1"/>
    </xf>
  </cellXfs>
  <cellStyles count="2">
    <cellStyle name="標準" xfId="0" builtinId="0" customBuiltin="1"/>
    <cellStyle name="標準 2" xfId="1" xr:uid="{B730AAAD-8A70-4CF7-BEF4-0B4A9BE12B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06D1339-E162-49D0-8578-7C27754B5BC6}"/>
            </a:ext>
          </a:extLst>
        </xdr:cNvPr>
        <xdr:cNvSpPr/>
      </xdr:nvSpPr>
      <xdr:spPr>
        <a:xfrm>
          <a:off x="476250" y="1638300"/>
          <a:ext cx="142875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2536D5C6-EB73-492B-90CF-D7F581E809FF}"/>
            </a:ext>
          </a:extLst>
        </xdr:cNvPr>
        <xdr:cNvSpPr/>
      </xdr:nvSpPr>
      <xdr:spPr>
        <a:xfrm>
          <a:off x="2619375" y="1638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787C46B-0B94-4D94-AECD-59E9CEFAB3C5}"/>
            </a:ext>
          </a:extLst>
        </xdr:cNvPr>
        <xdr:cNvSpPr/>
      </xdr:nvSpPr>
      <xdr:spPr>
        <a:xfrm>
          <a:off x="476250" y="2781300"/>
          <a:ext cx="142875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FFED8CE1-CCF0-44EC-A260-9BC13926D76A}"/>
            </a:ext>
          </a:extLst>
        </xdr:cNvPr>
        <xdr:cNvSpPr/>
      </xdr:nvSpPr>
      <xdr:spPr>
        <a:xfrm>
          <a:off x="2619375" y="2781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処理機能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190AE8D-775C-494B-A49D-60A6080C34F1}"/>
            </a:ext>
          </a:extLst>
        </xdr:cNvPr>
        <xdr:cNvSpPr/>
      </xdr:nvSpPr>
      <xdr:spPr>
        <a:xfrm>
          <a:off x="476250" y="4495800"/>
          <a:ext cx="142875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セカンドディスプレイ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>
      <xdr:nvSpPr>
        <xdr:cNvPr id="7" name="吹き出し: 線 6">
          <a:extLst>
            <a:ext uri="{FF2B5EF4-FFF2-40B4-BE49-F238E27FC236}">
              <a16:creationId xmlns:a16="http://schemas.microsoft.com/office/drawing/2014/main" id="{B041B46E-672A-45B3-915D-41D84BC901C8}"/>
            </a:ext>
          </a:extLst>
        </xdr:cNvPr>
        <xdr:cNvSpPr/>
      </xdr:nvSpPr>
      <xdr:spPr>
        <a:xfrm>
          <a:off x="2619375" y="4495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83CB5ACC-BBB6-4428-B56F-263DF87FDC56}"/>
            </a:ext>
          </a:extLst>
        </xdr:cNvPr>
        <xdr:cNvSpPr/>
      </xdr:nvSpPr>
      <xdr:spPr>
        <a:xfrm>
          <a:off x="476250" y="5638800"/>
          <a:ext cx="1428750" cy="762000"/>
        </a:xfrm>
        <a:prstGeom prst="flowChartManualInput">
          <a:avLst/>
        </a:prstGeom>
        <a:solidFill>
          <a:srgbClr val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algn="ctr">
            <a:lnSpc>
              <a:spcPts val="1320"/>
            </a:lnSpc>
            <a:defRPr/>
          </a:pPr>
          <a:r>
            <a:rPr lang="en-US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自動釣銭機</a:t>
          </a:r>
        </a:p>
        <a:p>
          <a:pPr algn="ctr">
            <a:lnSpc>
              <a:spcPts val="1320"/>
            </a:lnSpc>
            <a:defRPr/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35578A30-A83F-44BA-8758-29BF56671602}"/>
            </a:ext>
          </a:extLst>
        </xdr:cNvPr>
        <xdr:cNvSpPr/>
      </xdr:nvSpPr>
      <xdr:spPr>
        <a:xfrm>
          <a:off x="2619375" y="5638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>
      <xdr:nvSpPr>
        <xdr:cNvPr id="10" name="フローチャート: 表示 9">
          <a:extLst>
            <a:ext uri="{FF2B5EF4-FFF2-40B4-BE49-F238E27FC236}">
              <a16:creationId xmlns:a16="http://schemas.microsoft.com/office/drawing/2014/main" id="{5BFB5E9E-392D-4A18-BF04-F1D75EEA827A}"/>
            </a:ext>
          </a:extLst>
        </xdr:cNvPr>
        <xdr:cNvSpPr/>
      </xdr:nvSpPr>
      <xdr:spPr>
        <a:xfrm>
          <a:off x="7620000" y="4495800"/>
          <a:ext cx="142875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スキャナー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1</xdr:colOff>
      <xdr:row>23</xdr:row>
      <xdr:rowOff>0</xdr:rowOff>
    </xdr:from>
    <xdr:to>
      <xdr:col>61</xdr:col>
      <xdr:colOff>1</xdr:colOff>
      <xdr:row>27</xdr:row>
      <xdr:rowOff>0</xdr:rowOff>
    </xdr:to>
    <xdr:sp macro="" textlink="">
      <xdr:nvSpPr>
        <xdr:cNvPr id="11" name="吹き出し: 線 10">
          <a:extLst>
            <a:ext uri="{FF2B5EF4-FFF2-40B4-BE49-F238E27FC236}">
              <a16:creationId xmlns:a16="http://schemas.microsoft.com/office/drawing/2014/main" id="{63F6FFAF-30D0-4993-8266-7521E9163C0A}"/>
            </a:ext>
          </a:extLst>
        </xdr:cNvPr>
        <xdr:cNvSpPr/>
      </xdr:nvSpPr>
      <xdr:spPr>
        <a:xfrm>
          <a:off x="9763126" y="4495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スキャナー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>
      <xdr:nvSpPr>
        <xdr:cNvPr id="12" name="フローチャート: 書類 11">
          <a:extLst>
            <a:ext uri="{FF2B5EF4-FFF2-40B4-BE49-F238E27FC236}">
              <a16:creationId xmlns:a16="http://schemas.microsoft.com/office/drawing/2014/main" id="{DB9D593F-551F-4CB3-93AC-8C3ED1ED2810}"/>
            </a:ext>
          </a:extLst>
        </xdr:cNvPr>
        <xdr:cNvSpPr/>
      </xdr:nvSpPr>
      <xdr:spPr>
        <a:xfrm>
          <a:off x="7620000" y="5638800"/>
          <a:ext cx="142875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プリンター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1</xdr:colOff>
      <xdr:row>29</xdr:row>
      <xdr:rowOff>0</xdr:rowOff>
    </xdr:from>
    <xdr:to>
      <xdr:col>61</xdr:col>
      <xdr:colOff>1</xdr:colOff>
      <xdr:row>33</xdr:row>
      <xdr:rowOff>0</xdr:rowOff>
    </xdr:to>
    <xdr:sp macro="" textlink="">
      <xdr:nvSpPr>
        <xdr:cNvPr id="13" name="吹き出し: 線 12">
          <a:extLst>
            <a:ext uri="{FF2B5EF4-FFF2-40B4-BE49-F238E27FC236}">
              <a16:creationId xmlns:a16="http://schemas.microsoft.com/office/drawing/2014/main" id="{EAE21E71-1E7A-434E-AF06-C0C725B374FA}"/>
            </a:ext>
          </a:extLst>
        </xdr:cNvPr>
        <xdr:cNvSpPr/>
      </xdr:nvSpPr>
      <xdr:spPr>
        <a:xfrm>
          <a:off x="9763126" y="5638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スキャナー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F144D50D-A346-4E0A-B98A-3EBDB0084832}"/>
            </a:ext>
          </a:extLst>
        </xdr:cNvPr>
        <xdr:cNvSpPr/>
      </xdr:nvSpPr>
      <xdr:spPr>
        <a:xfrm>
          <a:off x="476250" y="8305800"/>
          <a:ext cx="142875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>
      <xdr:nvSpPr>
        <xdr:cNvPr id="15" name="吹き出し: 線 14">
          <a:extLst>
            <a:ext uri="{FF2B5EF4-FFF2-40B4-BE49-F238E27FC236}">
              <a16:creationId xmlns:a16="http://schemas.microsoft.com/office/drawing/2014/main" id="{F59DFF18-D641-4DDD-9DB4-ACE477722D28}"/>
            </a:ext>
          </a:extLst>
        </xdr:cNvPr>
        <xdr:cNvSpPr/>
      </xdr:nvSpPr>
      <xdr:spPr>
        <a:xfrm>
          <a:off x="2619376" y="8305800"/>
          <a:ext cx="4524374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連携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本来なら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ですが、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の意味で使用しています。</a:t>
          </a:r>
        </a:p>
      </xdr:txBody>
    </xdr:sp>
    <xdr:clientData/>
  </xdr:twoCellAnchor>
  <xdr:twoCellAnchor>
    <xdr:from>
      <xdr:col>31</xdr:col>
      <xdr:colOff>15081</xdr:colOff>
      <xdr:row>14</xdr:row>
      <xdr:rowOff>0</xdr:rowOff>
    </xdr:from>
    <xdr:to>
      <xdr:col>37</xdr:col>
      <xdr:colOff>0</xdr:colOff>
      <xdr:row>17</xdr:row>
      <xdr:rowOff>166687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CED9A576-DDF3-4EB5-B5C3-03C295D26C90}"/>
            </a:ext>
          </a:extLst>
        </xdr:cNvPr>
        <xdr:cNvSpPr/>
      </xdr:nvSpPr>
      <xdr:spPr>
        <a:xfrm>
          <a:off x="7396956" y="2781300"/>
          <a:ext cx="1413669" cy="738187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40</xdr:col>
      <xdr:colOff>0</xdr:colOff>
      <xdr:row>14</xdr:row>
      <xdr:rowOff>0</xdr:rowOff>
    </xdr:from>
    <xdr:to>
      <xdr:col>59</xdr:col>
      <xdr:colOff>0</xdr:colOff>
      <xdr:row>18</xdr:row>
      <xdr:rowOff>0</xdr:rowOff>
    </xdr:to>
    <xdr:sp macro="" textlink="">
      <xdr:nvSpPr>
        <xdr:cNvPr id="17" name="吹き出し: 線 16">
          <a:extLst>
            <a:ext uri="{FF2B5EF4-FFF2-40B4-BE49-F238E27FC236}">
              <a16:creationId xmlns:a16="http://schemas.microsoft.com/office/drawing/2014/main" id="{1BF59A9E-22F1-499A-BD4C-BCC89085B523}"/>
            </a:ext>
          </a:extLst>
        </xdr:cNvPr>
        <xdr:cNvSpPr/>
      </xdr:nvSpPr>
      <xdr:spPr>
        <a:xfrm>
          <a:off x="9525000" y="2781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6AE707D8-A53B-490D-8CC1-11902F7E0628}"/>
            </a:ext>
          </a:extLst>
        </xdr:cNvPr>
        <xdr:cNvSpPr/>
      </xdr:nvSpPr>
      <xdr:spPr>
        <a:xfrm>
          <a:off x="476250" y="6781800"/>
          <a:ext cx="1428750" cy="762000"/>
        </a:xfrm>
        <a:prstGeom prst="flowChartPunchedCard">
          <a:avLst/>
        </a:prstGeom>
        <a:solidFill>
          <a:srgbClr val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磁気カードリーダー</a:t>
          </a:r>
        </a:p>
        <a:p>
          <a:pPr marL="0" indent="0" algn="ctr">
            <a:defRPr/>
          </a:pPr>
          <a:endParaRPr lang="ja-JP" altLang="en-US" sz="1100" b="0" i="0" u="non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>
      <xdr:nvSpPr>
        <xdr:cNvPr id="19" name="吹き出し: 線 18">
          <a:extLst>
            <a:ext uri="{FF2B5EF4-FFF2-40B4-BE49-F238E27FC236}">
              <a16:creationId xmlns:a16="http://schemas.microsoft.com/office/drawing/2014/main" id="{52E867C3-B76E-4B64-9A60-5BBD39887E61}"/>
            </a:ext>
          </a:extLst>
        </xdr:cNvPr>
        <xdr:cNvSpPr/>
      </xdr:nvSpPr>
      <xdr:spPr>
        <a:xfrm>
          <a:off x="2619375" y="6781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磁気カードリーダー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エフケイシステム　両面双方向読み取り 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MJR-100</a:t>
          </a: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8</xdr:row>
      <xdr:rowOff>0</xdr:rowOff>
    </xdr:from>
    <xdr:to>
      <xdr:col>37</xdr:col>
      <xdr:colOff>0</xdr:colOff>
      <xdr:row>12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89C9E9F-A1C1-455C-B8FF-2FB24FC920EC}"/>
            </a:ext>
          </a:extLst>
        </xdr:cNvPr>
        <xdr:cNvSpPr/>
      </xdr:nvSpPr>
      <xdr:spPr>
        <a:xfrm>
          <a:off x="7381875" y="1638300"/>
          <a:ext cx="142875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0</xdr:colOff>
      <xdr:row>8</xdr:row>
      <xdr:rowOff>0</xdr:rowOff>
    </xdr:from>
    <xdr:to>
      <xdr:col>59</xdr:col>
      <xdr:colOff>0</xdr:colOff>
      <xdr:row>12</xdr:row>
      <xdr:rowOff>0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5BFD1BF8-D2D6-436B-BF51-15921C2FBDF7}"/>
            </a:ext>
          </a:extLst>
        </xdr:cNvPr>
        <xdr:cNvSpPr/>
      </xdr:nvSpPr>
      <xdr:spPr>
        <a:xfrm>
          <a:off x="9525000" y="1638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E8F31F17-432D-45AE-9364-E7CA5E64F4E1}"/>
            </a:ext>
          </a:extLst>
        </xdr:cNvPr>
        <xdr:cNvSpPr/>
      </xdr:nvSpPr>
      <xdr:spPr>
        <a:xfrm>
          <a:off x="7620000" y="8305800"/>
          <a:ext cx="1429200" cy="7632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>
      <xdr:nvSpPr>
        <xdr:cNvPr id="23" name="吹き出し: 線 22">
          <a:extLst>
            <a:ext uri="{FF2B5EF4-FFF2-40B4-BE49-F238E27FC236}">
              <a16:creationId xmlns:a16="http://schemas.microsoft.com/office/drawing/2014/main" id="{B6D5ED4B-298F-4294-A603-0C9B2D952EE5}"/>
            </a:ext>
          </a:extLst>
        </xdr:cNvPr>
        <xdr:cNvSpPr/>
      </xdr:nvSpPr>
      <xdr:spPr>
        <a:xfrm>
          <a:off x="9763125" y="8305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多機能への連携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91CD5155-A246-4DFB-9088-0BD4483E8915}"/>
            </a:ext>
          </a:extLst>
        </xdr:cNvPr>
        <xdr:cNvSpPr/>
      </xdr:nvSpPr>
      <xdr:spPr>
        <a:xfrm>
          <a:off x="476250" y="9448800"/>
          <a:ext cx="142875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>
      <xdr:nvSpPr>
        <xdr:cNvPr id="25" name="吹き出し: 線 24">
          <a:extLst>
            <a:ext uri="{FF2B5EF4-FFF2-40B4-BE49-F238E27FC236}">
              <a16:creationId xmlns:a16="http://schemas.microsoft.com/office/drawing/2014/main" id="{16F2981C-8DC8-437C-BCD7-22F1A9592699}"/>
            </a:ext>
          </a:extLst>
        </xdr:cNvPr>
        <xdr:cNvSpPr/>
      </xdr:nvSpPr>
      <xdr:spPr>
        <a:xfrm>
          <a:off x="2619375" y="9448800"/>
          <a:ext cx="4527549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端末内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設定関連などの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71957333-F447-412C-B31A-32225204139C}"/>
            </a:ext>
          </a:extLst>
        </xdr:cNvPr>
        <xdr:cNvSpPr/>
      </xdr:nvSpPr>
      <xdr:spPr>
        <a:xfrm>
          <a:off x="7620000" y="9448800"/>
          <a:ext cx="577850" cy="2032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>
      <xdr:nvSpPr>
        <xdr:cNvPr id="27" name="吹き出し: 線 26">
          <a:extLst>
            <a:ext uri="{FF2B5EF4-FFF2-40B4-BE49-F238E27FC236}">
              <a16:creationId xmlns:a16="http://schemas.microsoft.com/office/drawing/2014/main" id="{E90C54DC-4633-437B-826B-4396F88D50A2}"/>
            </a:ext>
          </a:extLst>
        </xdr:cNvPr>
        <xdr:cNvSpPr/>
      </xdr:nvSpPr>
      <xdr:spPr>
        <a:xfrm>
          <a:off x="9763125" y="9448800"/>
          <a:ext cx="47625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ボタン名称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30B007AC-08D1-4B04-9C33-FAFCD63245B4}"/>
            </a:ext>
          </a:extLst>
        </xdr:cNvPr>
        <xdr:cNvSpPr/>
      </xdr:nvSpPr>
      <xdr:spPr>
        <a:xfrm>
          <a:off x="9763125" y="10020300"/>
          <a:ext cx="47625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93082EC6-4BA1-4D3D-9A70-0466704F3067}"/>
            </a:ext>
          </a:extLst>
        </xdr:cNvPr>
        <xdr:cNvSpPr/>
      </xdr:nvSpPr>
      <xdr:spPr>
        <a:xfrm>
          <a:off x="7620000" y="10020300"/>
          <a:ext cx="577850" cy="2032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7</xdr:row>
      <xdr:rowOff>190499</xdr:rowOff>
    </xdr:from>
    <xdr:to>
      <xdr:col>43</xdr:col>
      <xdr:colOff>112059</xdr:colOff>
      <xdr:row>34</xdr:row>
      <xdr:rowOff>44824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EC71B27-0319-44F2-96DD-CF5647685C45}"/>
            </a:ext>
          </a:extLst>
        </xdr:cNvPr>
        <xdr:cNvGrpSpPr>
          <a:grpSpLocks/>
        </xdr:cNvGrpSpPr>
      </xdr:nvGrpSpPr>
      <xdr:grpSpPr>
        <a:xfrm>
          <a:off x="482601" y="1650999"/>
          <a:ext cx="10005358" cy="4997825"/>
          <a:chOff x="470648" y="1636058"/>
          <a:chExt cx="9760323" cy="50762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1DFF84A2-4900-E19E-B947-B956FE92B60C}"/>
              </a:ext>
            </a:extLst>
          </xdr:cNvPr>
          <xdr:cNvGrpSpPr>
            <a:grpSpLocks/>
          </xdr:cNvGrpSpPr>
        </xdr:nvGrpSpPr>
        <xdr:grpSpPr>
          <a:xfrm>
            <a:off x="470648" y="1636058"/>
            <a:ext cx="9760323" cy="5076266"/>
            <a:chOff x="470648" y="1636059"/>
            <a:chExt cx="7357782" cy="3499882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268CF05B-C0DE-CE74-9853-7A5C427A52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70648" y="1636059"/>
              <a:ext cx="7273168" cy="3499882"/>
            </a:xfrm>
            <a:prstGeom prst="rect">
              <a:avLst/>
            </a:prstGeom>
            <a:ln>
              <a:solidFill>
                <a:srgbClr val="000000"/>
              </a:solidFill>
            </a:ln>
          </xdr:spPr>
        </xdr:pic>
        <xdr:sp macro="" textlink="" fLocksText="0">
          <xdr:nvSpPr>
            <xdr:cNvPr id="7" name="Rectangle 6">
              <a:extLst>
                <a:ext uri="{FF2B5EF4-FFF2-40B4-BE49-F238E27FC236}">
                  <a16:creationId xmlns:a16="http://schemas.microsoft.com/office/drawing/2014/main" id="{50F10BA1-2261-1711-82D0-192AD8589363}"/>
                </a:ext>
              </a:extLst>
            </xdr:cNvPr>
            <xdr:cNvSpPr/>
          </xdr:nvSpPr>
          <xdr:spPr>
            <a:xfrm>
              <a:off x="6207879" y="1647434"/>
              <a:ext cx="235449" cy="190744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800" b="0" i="0" u="none" baseline="0">
                  <a:solidFill>
                    <a:srgbClr val="000000"/>
                  </a:solidFill>
                  <a:latin typeface="Arial"/>
                  <a:ea typeface="Arial"/>
                </a:rPr>
                <a:t>2</a:t>
              </a:r>
            </a:p>
          </xdr:txBody>
        </xdr:sp>
        <xdr:sp macro="" textlink="" fLocksText="0">
          <xdr:nvSpPr>
            <xdr:cNvPr id="8" name="Rectangle 7">
              <a:extLst>
                <a:ext uri="{FF2B5EF4-FFF2-40B4-BE49-F238E27FC236}">
                  <a16:creationId xmlns:a16="http://schemas.microsoft.com/office/drawing/2014/main" id="{D1CCA0DC-913A-2229-3B3D-1AA1A290206F}"/>
                </a:ext>
              </a:extLst>
            </xdr:cNvPr>
            <xdr:cNvSpPr/>
          </xdr:nvSpPr>
          <xdr:spPr>
            <a:xfrm>
              <a:off x="470648" y="1636059"/>
              <a:ext cx="235449" cy="190744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800" b="0" i="0" u="none" baseline="0">
                  <a:solidFill>
                    <a:srgbClr val="000000"/>
                  </a:solidFill>
                  <a:latin typeface="Arial"/>
                  <a:ea typeface="Arial"/>
                </a:rPr>
                <a:t>1</a:t>
              </a:r>
            </a:p>
          </xdr:txBody>
        </xdr:sp>
        <xdr:sp macro="" textlink="" fLocksText="0">
          <xdr:nvSpPr>
            <xdr:cNvPr id="9" name="Rectangle 8">
              <a:extLst>
                <a:ext uri="{FF2B5EF4-FFF2-40B4-BE49-F238E27FC236}">
                  <a16:creationId xmlns:a16="http://schemas.microsoft.com/office/drawing/2014/main" id="{24B1F555-25BD-CDD0-7EC3-D0F80FEB936A}"/>
                </a:ext>
              </a:extLst>
            </xdr:cNvPr>
            <xdr:cNvSpPr/>
          </xdr:nvSpPr>
          <xdr:spPr>
            <a:xfrm>
              <a:off x="7592981" y="1653558"/>
              <a:ext cx="235449" cy="190744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800" b="0" i="0" u="none" baseline="0">
                  <a:solidFill>
                    <a:srgbClr val="000000"/>
                  </a:solidFill>
                  <a:latin typeface="Arial"/>
                  <a:ea typeface="Arial"/>
                </a:rPr>
                <a:t>3</a:t>
              </a:r>
            </a:p>
          </xdr:txBody>
        </xdr:sp>
      </xdr:grpSp>
      <xdr:sp macro="" textlink="" fLocksText="0">
        <xdr:nvSpPr>
          <xdr:cNvPr id="4" name="Rectangle 3">
            <a:extLst>
              <a:ext uri="{FF2B5EF4-FFF2-40B4-BE49-F238E27FC236}">
                <a16:creationId xmlns:a16="http://schemas.microsoft.com/office/drawing/2014/main" id="{CF7FAD1C-CA80-205F-155B-B6600C4681B4}"/>
              </a:ext>
            </a:extLst>
          </xdr:cNvPr>
          <xdr:cNvSpPr/>
        </xdr:nvSpPr>
        <xdr:spPr>
          <a:xfrm>
            <a:off x="8344789" y="3816314"/>
            <a:ext cx="312330" cy="276656"/>
          </a:xfrm>
          <a:prstGeom prst="rect">
            <a:avLst/>
          </a:prstGeom>
          <a:solidFill>
            <a:srgbClr val="FFFF00"/>
          </a:solidFill>
          <a:ln>
            <a:solidFill>
              <a:schemeClr val="tx1"/>
            </a:solidFill>
          </a:ln>
        </xdr:spPr>
        <xdr:style>
          <a:lnRef idx="2">
            <a:schemeClr val="tx1"/>
          </a:lnRef>
          <a:fillRef idx="1">
            <a:schemeClr val="bg1"/>
          </a:fillRef>
          <a:effectRef idx="0">
            <a:schemeClr val="tx1"/>
          </a:effectRef>
          <a:fontRef idx="minor">
            <a:schemeClr val="tx1"/>
          </a:fontRef>
        </xdr:style>
        <xdr:txBody>
          <a:bodyPr vertOverflow="clip" horzOverflow="clip" anchor="ctr"/>
          <a:lstStyle/>
          <a:p>
            <a:pPr algn="ctr"/>
            <a:r>
              <a:rPr lang="en-US" sz="800" b="0" i="0" u="none" baseline="0">
                <a:solidFill>
                  <a:srgbClr val="000000"/>
                </a:solidFill>
                <a:latin typeface="Arial"/>
                <a:ea typeface="Arial"/>
              </a:rPr>
              <a:t>4</a:t>
            </a:r>
          </a:p>
        </xdr:txBody>
      </xdr:sp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F876C923-6647-FE0F-A4F1-7BAF53CF62A5}"/>
              </a:ext>
            </a:extLst>
          </xdr:cNvPr>
          <xdr:cNvSpPr/>
        </xdr:nvSpPr>
        <xdr:spPr>
          <a:xfrm>
            <a:off x="7995857" y="6226272"/>
            <a:ext cx="312330" cy="276656"/>
          </a:xfrm>
          <a:prstGeom prst="rect">
            <a:avLst/>
          </a:prstGeom>
          <a:solidFill>
            <a:srgbClr val="FFFF00"/>
          </a:solidFill>
          <a:ln>
            <a:solidFill>
              <a:schemeClr val="tx1"/>
            </a:solidFill>
          </a:ln>
        </xdr:spPr>
        <xdr:style>
          <a:lnRef idx="2">
            <a:schemeClr val="tx1"/>
          </a:lnRef>
          <a:fillRef idx="1">
            <a:schemeClr val="bg1"/>
          </a:fillRef>
          <a:effectRef idx="0">
            <a:schemeClr val="tx1"/>
          </a:effectRef>
          <a:fontRef idx="minor">
            <a:schemeClr val="tx1"/>
          </a:fontRef>
        </xdr:style>
        <xdr:txBody>
          <a:bodyPr vertOverflow="clip" horzOverflow="clip" anchor="ctr"/>
          <a:lstStyle/>
          <a:p>
            <a:pPr algn="ctr"/>
            <a:r>
              <a:rPr lang="en-US" sz="800" b="0" i="0" u="none" baseline="0">
                <a:solidFill>
                  <a:srgbClr val="000000"/>
                </a:solidFill>
                <a:latin typeface="Arial"/>
                <a:ea typeface="Arial"/>
              </a:rPr>
              <a:t>5</a:t>
            </a:r>
          </a:p>
        </xdr:txBody>
      </xdr:sp>
    </xdr:grpSp>
    <xdr:clientData/>
  </xdr:twoCellAnchor>
  <xdr:twoCellAnchor>
    <xdr:from>
      <xdr:col>2</xdr:col>
      <xdr:colOff>11206</xdr:colOff>
      <xdr:row>37</xdr:row>
      <xdr:rowOff>156883</xdr:rowOff>
    </xdr:from>
    <xdr:to>
      <xdr:col>43</xdr:col>
      <xdr:colOff>49024</xdr:colOff>
      <xdr:row>62</xdr:row>
      <xdr:rowOff>33617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EC833745-7A67-4CC7-B436-51554ECA7151}"/>
            </a:ext>
          </a:extLst>
        </xdr:cNvPr>
        <xdr:cNvGrpSpPr>
          <a:grpSpLocks/>
        </xdr:cNvGrpSpPr>
      </xdr:nvGrpSpPr>
      <xdr:grpSpPr>
        <a:xfrm>
          <a:off x="493806" y="7332383"/>
          <a:ext cx="9931118" cy="4639234"/>
          <a:chOff x="470647" y="7440707"/>
          <a:chExt cx="9686083" cy="4706469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C469E1FD-A503-D89F-73FE-4DFC6A0365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0647" y="7440707"/>
            <a:ext cx="9686083" cy="4706469"/>
          </a:xfrm>
          <a:prstGeom prst="rect">
            <a:avLst/>
          </a:prstGeom>
        </xdr:spPr>
      </xdr:pic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CB3687A4-2552-A64B-7F10-E0962A7BC7C3}"/>
              </a:ext>
            </a:extLst>
          </xdr:cNvPr>
          <xdr:cNvSpPr/>
        </xdr:nvSpPr>
        <xdr:spPr>
          <a:xfrm>
            <a:off x="2286788" y="11676529"/>
            <a:ext cx="312376" cy="276505"/>
          </a:xfrm>
          <a:prstGeom prst="rect">
            <a:avLst/>
          </a:prstGeom>
          <a:solidFill>
            <a:srgbClr val="FFFF00"/>
          </a:solidFill>
          <a:ln>
            <a:solidFill>
              <a:schemeClr val="tx1"/>
            </a:solidFill>
          </a:ln>
        </xdr:spPr>
        <xdr:style>
          <a:lnRef idx="2">
            <a:schemeClr val="tx1"/>
          </a:lnRef>
          <a:fillRef idx="1">
            <a:schemeClr val="bg1"/>
          </a:fillRef>
          <a:effectRef idx="0">
            <a:schemeClr val="tx1"/>
          </a:effectRef>
          <a:fontRef idx="minor">
            <a:schemeClr val="tx1"/>
          </a:fontRef>
        </xdr:style>
        <xdr:txBody>
          <a:bodyPr vertOverflow="clip" horzOverflow="clip" anchor="ctr"/>
          <a:lstStyle/>
          <a:p>
            <a:pPr algn="ctr"/>
            <a:r>
              <a:rPr lang="en-US" sz="800" b="0" i="0" u="none" baseline="0">
                <a:solidFill>
                  <a:srgbClr val="000000"/>
                </a:solidFill>
                <a:latin typeface="Arial"/>
                <a:ea typeface="Arial"/>
              </a:rPr>
              <a:t>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6CBF-E803-41DD-BC73-DDAB01D27DBA}">
  <sheetPr>
    <pageSetUpPr fitToPage="1"/>
  </sheetPr>
  <dimension ref="A1:BK55"/>
  <sheetViews>
    <sheetView view="pageBreakPreview" zoomScale="75" zoomScaleNormal="75" zoomScaleSheetLayoutView="75" workbookViewId="0">
      <selection activeCell="AE8" sqref="AE8"/>
    </sheetView>
  </sheetViews>
  <sheetFormatPr defaultColWidth="2.77734375" defaultRowHeight="15" customHeight="1"/>
  <sheetData>
    <row r="1" spans="1:63" ht="24.95" customHeigh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2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0" t="s">
        <v>22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  <c r="AP1" s="61" t="s">
        <v>3</v>
      </c>
      <c r="AQ1" s="62"/>
      <c r="AR1" s="62"/>
      <c r="AS1" s="63"/>
      <c r="AT1" s="61" t="s">
        <v>4</v>
      </c>
      <c r="AU1" s="62"/>
      <c r="AV1" s="62"/>
      <c r="AW1" s="62"/>
      <c r="AX1" s="63"/>
      <c r="AY1" s="61" t="s">
        <v>5</v>
      </c>
      <c r="AZ1" s="62"/>
      <c r="BA1" s="62"/>
      <c r="BB1" s="63"/>
      <c r="BC1" s="61" t="s">
        <v>6</v>
      </c>
      <c r="BD1" s="62"/>
      <c r="BE1" s="62"/>
      <c r="BF1" s="62"/>
      <c r="BG1" s="63"/>
      <c r="BH1" s="61" t="s">
        <v>7</v>
      </c>
      <c r="BI1" s="62"/>
      <c r="BJ1" s="62"/>
      <c r="BK1" s="63"/>
    </row>
    <row r="2" spans="1:63" ht="15" customHeight="1">
      <c r="A2" s="64" t="s">
        <v>20</v>
      </c>
      <c r="B2" s="65"/>
      <c r="C2" s="65"/>
      <c r="D2" s="65"/>
      <c r="E2" s="65"/>
      <c r="F2" s="65"/>
      <c r="G2" s="65"/>
      <c r="H2" s="65"/>
      <c r="I2" s="65"/>
      <c r="J2" s="66"/>
      <c r="K2" s="64" t="s">
        <v>21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64" t="str">
        <f>改廃履歴!$H$11</f>
        <v xml:space="preserve">Thanh Nguyên </v>
      </c>
      <c r="AQ2" s="65"/>
      <c r="AR2" s="65"/>
      <c r="AS2" s="66"/>
      <c r="AT2" s="85">
        <f>改廃履歴!$B$11</f>
        <v>45336</v>
      </c>
      <c r="AU2" s="86"/>
      <c r="AV2" s="86"/>
      <c r="AW2" s="86"/>
      <c r="AX2" s="87"/>
      <c r="AY2" s="64" t="str">
        <f>LOOKUP(2,1/(改廃履歴!H11:H30000&lt;&gt;""),改廃履歴!H11:H30000)</f>
        <v xml:space="preserve">Thanh Nguyên </v>
      </c>
      <c r="AZ2" s="65"/>
      <c r="BA2" s="65"/>
      <c r="BB2" s="66"/>
      <c r="BC2" s="85">
        <f>LOOKUP(2,1/(改廃履歴!B11:B30000&lt;&gt;""),改廃履歴!B11:B30000)</f>
        <v>45336</v>
      </c>
      <c r="BD2" s="86"/>
      <c r="BE2" s="86"/>
      <c r="BF2" s="86"/>
      <c r="BG2" s="87"/>
      <c r="BH2" s="79">
        <f>LOOKUP(2,1/(改廃履歴!O11:O30000&lt;&gt;""),改廃履歴!O11:O30000)</f>
        <v>0.1</v>
      </c>
      <c r="BI2" s="80"/>
      <c r="BJ2" s="80"/>
      <c r="BK2" s="81"/>
    </row>
    <row r="3" spans="1:63" ht="15" customHeight="1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67"/>
      <c r="AQ3" s="68"/>
      <c r="AR3" s="68"/>
      <c r="AS3" s="69"/>
      <c r="AT3" s="88"/>
      <c r="AU3" s="89"/>
      <c r="AV3" s="89"/>
      <c r="AW3" s="89"/>
      <c r="AX3" s="90"/>
      <c r="AY3" s="67"/>
      <c r="AZ3" s="68"/>
      <c r="BA3" s="68"/>
      <c r="BB3" s="69"/>
      <c r="BC3" s="88"/>
      <c r="BD3" s="89"/>
      <c r="BE3" s="89"/>
      <c r="BF3" s="89"/>
      <c r="BG3" s="90"/>
      <c r="BH3" s="82"/>
      <c r="BI3" s="83"/>
      <c r="BJ3" s="83"/>
      <c r="BK3" s="84"/>
    </row>
    <row r="4" spans="1:63" ht="24.95" customHeight="1">
      <c r="A4" s="61" t="s">
        <v>1</v>
      </c>
      <c r="B4" s="62"/>
      <c r="C4" s="62"/>
      <c r="D4" s="62"/>
      <c r="E4" s="62"/>
      <c r="F4" s="62"/>
      <c r="G4" s="63"/>
      <c r="H4" s="58" t="s">
        <v>24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61" t="s">
        <v>8</v>
      </c>
      <c r="V4" s="62"/>
      <c r="W4" s="62"/>
      <c r="X4" s="62"/>
      <c r="Y4" s="63"/>
      <c r="Z4" s="58" t="s">
        <v>23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58" t="str" cm="1">
        <f t="array" aca="1" ref="AP4" ca="1">RIGHT(CELL("filename",$A$1),LEN(CELL("filename",$A$1))-FIND("]",CELL("filename",$A$1)))</f>
        <v>表紙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91" t="s">
        <v>14</v>
      </c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12"/>
      <c r="BK16" s="4"/>
    </row>
    <row r="17" spans="1:63" ht="15" customHeight="1">
      <c r="A17" s="1"/>
      <c r="K17" s="6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12"/>
      <c r="BK17" s="4"/>
    </row>
    <row r="18" spans="1:63" ht="15" customHeight="1">
      <c r="A18" s="1"/>
      <c r="K18" s="6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12"/>
      <c r="BK18" s="4"/>
    </row>
    <row r="19" spans="1:63" ht="15" customHeight="1">
      <c r="A19" s="1"/>
      <c r="K19" s="6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12"/>
      <c r="BK19" s="4"/>
    </row>
    <row r="20" spans="1:63" ht="15" customHeight="1">
      <c r="A20" s="1"/>
      <c r="K20" s="6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12"/>
      <c r="BK20" s="4"/>
    </row>
    <row r="21" spans="1:63" ht="15" customHeight="1">
      <c r="A21" s="1"/>
      <c r="K21" s="6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91" t="str">
        <f>K2&amp;"/"&amp;H4&amp;"/"&amp;Z4</f>
        <v>POS Server/X1 メニュー機能/概要設計</v>
      </c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12"/>
      <c r="BK24" s="4"/>
    </row>
    <row r="25" spans="1:63" ht="15" customHeight="1">
      <c r="A25" s="1"/>
      <c r="K25" s="6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12"/>
      <c r="BK25" s="4"/>
    </row>
    <row r="26" spans="1:63" ht="15" customHeight="1">
      <c r="A26" s="1"/>
      <c r="K26" s="6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12"/>
      <c r="BK26" s="4"/>
    </row>
    <row r="27" spans="1:63" ht="15" customHeight="1">
      <c r="A27" s="1"/>
      <c r="K27" s="6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12"/>
      <c r="BK27" s="4"/>
    </row>
    <row r="28" spans="1:63" ht="15" customHeight="1">
      <c r="A28" s="1"/>
      <c r="K28" s="6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12"/>
      <c r="BK28" s="4"/>
    </row>
    <row r="29" spans="1:63" ht="15" customHeight="1">
      <c r="A29" s="1"/>
      <c r="K29" s="6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12"/>
      <c r="BK29" s="4"/>
    </row>
    <row r="30" spans="1:63" ht="15" customHeight="1">
      <c r="A30" s="1"/>
      <c r="K30" s="6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12"/>
      <c r="BK30" s="4"/>
    </row>
    <row r="31" spans="1:63" ht="15" customHeight="1">
      <c r="A31" s="1"/>
      <c r="K31" s="6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12"/>
      <c r="BK31" s="4"/>
    </row>
    <row r="32" spans="1:63" ht="15" customHeight="1">
      <c r="A32" s="1"/>
      <c r="K32" s="6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12"/>
      <c r="BK32" s="4"/>
    </row>
    <row r="33" spans="1:63" ht="15" customHeight="1">
      <c r="A33" s="1"/>
      <c r="K33" s="6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12"/>
      <c r="BK33" s="4"/>
    </row>
    <row r="34" spans="1:63" ht="15" customHeight="1">
      <c r="A34" s="1"/>
      <c r="K34" s="6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12"/>
      <c r="BK34" s="4"/>
    </row>
    <row r="35" spans="1:63" ht="15" customHeight="1">
      <c r="A35" s="1"/>
      <c r="K35" s="6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12"/>
      <c r="BK35" s="4"/>
    </row>
    <row r="36" spans="1:63" ht="15" customHeight="1">
      <c r="A36" s="1"/>
      <c r="K36" s="6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95" t="s">
        <v>15</v>
      </c>
      <c r="R44" s="96"/>
      <c r="S44" s="96"/>
      <c r="T44" s="96"/>
      <c r="U44" s="96"/>
      <c r="V44" s="96"/>
      <c r="W44" s="96"/>
      <c r="X44" s="96"/>
      <c r="Y44" s="96"/>
      <c r="Z44" s="97"/>
      <c r="AA44" s="95" t="s">
        <v>13</v>
      </c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7"/>
      <c r="AQ44" s="95" t="s">
        <v>7</v>
      </c>
      <c r="AR44" s="96"/>
      <c r="AS44" s="96"/>
      <c r="AT44" s="96"/>
      <c r="AU44" s="97"/>
      <c r="BK44" s="4"/>
    </row>
    <row r="45" spans="1:63" ht="15" customHeight="1">
      <c r="A45" s="1"/>
      <c r="Q45" s="98"/>
      <c r="R45" s="99"/>
      <c r="S45" s="99"/>
      <c r="T45" s="99"/>
      <c r="U45" s="99"/>
      <c r="V45" s="99"/>
      <c r="W45" s="99"/>
      <c r="X45" s="99"/>
      <c r="Y45" s="99"/>
      <c r="Z45" s="100"/>
      <c r="AA45" s="98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100"/>
      <c r="AQ45" s="98"/>
      <c r="AR45" s="99"/>
      <c r="AS45" s="99"/>
      <c r="AT45" s="99"/>
      <c r="AU45" s="100"/>
      <c r="BK45" s="4"/>
    </row>
    <row r="46" spans="1:63" ht="15" customHeight="1">
      <c r="A46" s="1"/>
      <c r="Q46" s="64"/>
      <c r="R46" s="65"/>
      <c r="S46" s="65"/>
      <c r="T46" s="65"/>
      <c r="U46" s="65"/>
      <c r="V46" s="65"/>
      <c r="W46" s="65"/>
      <c r="X46" s="65"/>
      <c r="Y46" s="65"/>
      <c r="Z46" s="66"/>
      <c r="AA46" s="64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6"/>
      <c r="AQ46" s="64"/>
      <c r="AR46" s="65"/>
      <c r="AS46" s="65"/>
      <c r="AT46" s="65"/>
      <c r="AU46" s="66"/>
      <c r="BK46" s="4"/>
    </row>
    <row r="47" spans="1:63" ht="15" customHeight="1">
      <c r="A47" s="1"/>
      <c r="Q47" s="92"/>
      <c r="R47" s="93"/>
      <c r="S47" s="93"/>
      <c r="T47" s="93"/>
      <c r="U47" s="93"/>
      <c r="V47" s="93"/>
      <c r="W47" s="93"/>
      <c r="X47" s="93"/>
      <c r="Y47" s="93"/>
      <c r="Z47" s="94"/>
      <c r="AA47" s="92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4"/>
      <c r="AQ47" s="92"/>
      <c r="AR47" s="93"/>
      <c r="AS47" s="93"/>
      <c r="AT47" s="93"/>
      <c r="AU47" s="94"/>
      <c r="BK47" s="4"/>
    </row>
    <row r="48" spans="1:63" ht="15" customHeight="1">
      <c r="A48" s="1"/>
      <c r="Q48" s="92"/>
      <c r="R48" s="93"/>
      <c r="S48" s="93"/>
      <c r="T48" s="93"/>
      <c r="U48" s="93"/>
      <c r="V48" s="93"/>
      <c r="W48" s="93"/>
      <c r="X48" s="93"/>
      <c r="Y48" s="93"/>
      <c r="Z48" s="94"/>
      <c r="AA48" s="92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4"/>
      <c r="AQ48" s="92"/>
      <c r="AR48" s="93"/>
      <c r="AS48" s="93"/>
      <c r="AT48" s="93"/>
      <c r="AU48" s="94"/>
      <c r="BK48" s="4"/>
    </row>
    <row r="49" spans="1:63" ht="15" customHeight="1">
      <c r="A49" s="1"/>
      <c r="Q49" s="67"/>
      <c r="R49" s="68"/>
      <c r="S49" s="68"/>
      <c r="T49" s="68"/>
      <c r="U49" s="68"/>
      <c r="V49" s="68"/>
      <c r="W49" s="68"/>
      <c r="X49" s="68"/>
      <c r="Y49" s="68"/>
      <c r="Z49" s="69"/>
      <c r="AA49" s="67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9"/>
      <c r="AQ49" s="67"/>
      <c r="AR49" s="68"/>
      <c r="AS49" s="68"/>
      <c r="AT49" s="68"/>
      <c r="AU49" s="69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L16:AZ21"/>
    <mergeCell ref="L24:AZ36"/>
    <mergeCell ref="AQ46:AU49"/>
    <mergeCell ref="AA46:AP49"/>
    <mergeCell ref="Q46:Z49"/>
    <mergeCell ref="AQ44:AU45"/>
    <mergeCell ref="AA44:AP45"/>
    <mergeCell ref="Q44:Z45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horizont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2784-A716-4033-921C-EAE8063211A0}">
  <sheetPr>
    <pageSetUpPr fitToPage="1"/>
  </sheetPr>
  <dimension ref="A1:BK55"/>
  <sheetViews>
    <sheetView view="pageBreakPreview" zoomScale="75" zoomScaleNormal="75" zoomScaleSheetLayoutView="75" workbookViewId="0">
      <selection activeCell="O13" sqref="O13:R14"/>
    </sheetView>
  </sheetViews>
  <sheetFormatPr defaultColWidth="2.77734375" defaultRowHeight="15.75" customHeight="1"/>
  <sheetData>
    <row r="1" spans="1:63" ht="24.95" customHeigh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2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0" t="str">
        <f>IF(表紙!W1="","",表紙!W1)</f>
        <v>基本設計書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  <c r="AP1" s="61" t="s">
        <v>3</v>
      </c>
      <c r="AQ1" s="62"/>
      <c r="AR1" s="62"/>
      <c r="AS1" s="63"/>
      <c r="AT1" s="61" t="s">
        <v>4</v>
      </c>
      <c r="AU1" s="62"/>
      <c r="AV1" s="62"/>
      <c r="AW1" s="62"/>
      <c r="AX1" s="63"/>
      <c r="AY1" s="61" t="s">
        <v>5</v>
      </c>
      <c r="AZ1" s="62"/>
      <c r="BA1" s="62"/>
      <c r="BB1" s="63"/>
      <c r="BC1" s="61" t="s">
        <v>6</v>
      </c>
      <c r="BD1" s="62"/>
      <c r="BE1" s="62"/>
      <c r="BF1" s="62"/>
      <c r="BG1" s="63"/>
      <c r="BH1" s="61" t="s">
        <v>7</v>
      </c>
      <c r="BI1" s="62"/>
      <c r="BJ1" s="62"/>
      <c r="BK1" s="63"/>
    </row>
    <row r="2" spans="1:63" ht="15" customHeight="1">
      <c r="A2" s="64" t="str">
        <f>IF(表紙!A2="","",表紙!A2)</f>
        <v>ignica POS</v>
      </c>
      <c r="B2" s="65"/>
      <c r="C2" s="65"/>
      <c r="D2" s="65"/>
      <c r="E2" s="65"/>
      <c r="F2" s="65"/>
      <c r="G2" s="65"/>
      <c r="H2" s="65"/>
      <c r="I2" s="65"/>
      <c r="J2" s="66"/>
      <c r="K2" s="64" t="str">
        <f>IF(表紙!K2="","",表紙!K2)</f>
        <v>POS Server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64" t="str">
        <f>IF(表紙!AP2="","",表紙!AP2)</f>
        <v xml:space="preserve">Thanh Nguyên </v>
      </c>
      <c r="AQ2" s="65"/>
      <c r="AR2" s="65"/>
      <c r="AS2" s="66"/>
      <c r="AT2" s="85">
        <f>IF(表紙!AT2="","",表紙!AT2)</f>
        <v>45336</v>
      </c>
      <c r="AU2" s="86"/>
      <c r="AV2" s="86"/>
      <c r="AW2" s="86"/>
      <c r="AX2" s="87"/>
      <c r="AY2" s="64" t="str">
        <f>IF(表紙!AY2="","",表紙!AY2)</f>
        <v xml:space="preserve">Thanh Nguyên </v>
      </c>
      <c r="AZ2" s="65"/>
      <c r="BA2" s="65"/>
      <c r="BB2" s="66"/>
      <c r="BC2" s="85">
        <f>IF(表紙!BC2="","",表紙!BC2)</f>
        <v>45336</v>
      </c>
      <c r="BD2" s="86"/>
      <c r="BE2" s="86"/>
      <c r="BF2" s="86"/>
      <c r="BG2" s="87"/>
      <c r="BH2" s="64">
        <f>IF(表紙!BH2="","",表紙!BH2)</f>
        <v>0.1</v>
      </c>
      <c r="BI2" s="65"/>
      <c r="BJ2" s="65"/>
      <c r="BK2" s="66"/>
    </row>
    <row r="3" spans="1:63" ht="15" customHeight="1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67"/>
      <c r="AQ3" s="68"/>
      <c r="AR3" s="68"/>
      <c r="AS3" s="69"/>
      <c r="AT3" s="88"/>
      <c r="AU3" s="89"/>
      <c r="AV3" s="89"/>
      <c r="AW3" s="89"/>
      <c r="AX3" s="90"/>
      <c r="AY3" s="67"/>
      <c r="AZ3" s="68"/>
      <c r="BA3" s="68"/>
      <c r="BB3" s="69"/>
      <c r="BC3" s="88"/>
      <c r="BD3" s="89"/>
      <c r="BE3" s="89"/>
      <c r="BF3" s="89"/>
      <c r="BG3" s="90"/>
      <c r="BH3" s="67"/>
      <c r="BI3" s="68"/>
      <c r="BJ3" s="68"/>
      <c r="BK3" s="69"/>
    </row>
    <row r="4" spans="1:63" ht="24.95" customHeight="1">
      <c r="A4" s="61" t="s">
        <v>1</v>
      </c>
      <c r="B4" s="62"/>
      <c r="C4" s="62"/>
      <c r="D4" s="62"/>
      <c r="E4" s="62"/>
      <c r="F4" s="62"/>
      <c r="G4" s="63"/>
      <c r="H4" s="58" t="str">
        <f>IF(表紙!H4="","",表紙!H4)</f>
        <v>X1 メニュー機能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61" t="s">
        <v>8</v>
      </c>
      <c r="V4" s="62"/>
      <c r="W4" s="62"/>
      <c r="X4" s="62"/>
      <c r="Y4" s="63"/>
      <c r="Z4" s="58" t="str">
        <f>IF(表紙!Z4="","",表紙!Z4)</f>
        <v>概要設計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58" t="str" cm="1">
        <f t="array" aca="1" ref="AP4" ca="1">RIGHT(CELL("filename",$A$1),LEN(CELL("filename",$A$1))-FIND("]",CELL("filename",$A$1)))</f>
        <v>改廃履歴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9</v>
      </c>
      <c r="BK8" s="4"/>
    </row>
    <row r="9" spans="1:63" ht="15" customHeight="1">
      <c r="A9" s="1"/>
      <c r="BK9" s="4"/>
    </row>
    <row r="10" spans="1:63" ht="15" customHeight="1">
      <c r="A10" s="1"/>
      <c r="B10" s="101" t="s">
        <v>10</v>
      </c>
      <c r="C10" s="101"/>
      <c r="D10" s="101"/>
      <c r="E10" s="101"/>
      <c r="F10" s="101"/>
      <c r="G10" s="101"/>
      <c r="H10" s="101" t="s">
        <v>5</v>
      </c>
      <c r="I10" s="101"/>
      <c r="J10" s="101"/>
      <c r="K10" s="101"/>
      <c r="L10" s="101"/>
      <c r="M10" s="101"/>
      <c r="N10" s="101"/>
      <c r="O10" s="101" t="s">
        <v>7</v>
      </c>
      <c r="P10" s="101"/>
      <c r="Q10" s="101"/>
      <c r="R10" s="101"/>
      <c r="S10" s="101" t="s">
        <v>11</v>
      </c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 t="s">
        <v>12</v>
      </c>
      <c r="AY10" s="101"/>
      <c r="AZ10" s="101"/>
      <c r="BA10" s="101"/>
      <c r="BB10" s="101"/>
      <c r="BC10" s="101"/>
      <c r="BD10" s="101" t="s">
        <v>13</v>
      </c>
      <c r="BE10" s="101"/>
      <c r="BF10" s="101"/>
      <c r="BG10" s="101"/>
      <c r="BH10" s="101"/>
      <c r="BI10" s="101"/>
      <c r="BJ10" s="101"/>
      <c r="BK10" s="4"/>
    </row>
    <row r="11" spans="1:63" ht="15" customHeight="1">
      <c r="A11" s="1"/>
      <c r="B11" s="102">
        <v>45336</v>
      </c>
      <c r="C11" s="65"/>
      <c r="D11" s="65"/>
      <c r="E11" s="65"/>
      <c r="F11" s="65"/>
      <c r="G11" s="66"/>
      <c r="H11" s="64" t="s">
        <v>25</v>
      </c>
      <c r="I11" s="65"/>
      <c r="J11" s="65"/>
      <c r="K11" s="65"/>
      <c r="L11" s="65"/>
      <c r="M11" s="65"/>
      <c r="N11" s="66"/>
      <c r="O11" s="64">
        <v>0.1</v>
      </c>
      <c r="P11" s="65"/>
      <c r="Q11" s="65"/>
      <c r="R11" s="65"/>
      <c r="S11" s="103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5"/>
      <c r="AX11" s="106"/>
      <c r="AY11" s="106"/>
      <c r="AZ11" s="106"/>
      <c r="BA11" s="106"/>
      <c r="BB11" s="106"/>
      <c r="BC11" s="107"/>
      <c r="BD11" s="110"/>
      <c r="BE11" s="106"/>
      <c r="BF11" s="106"/>
      <c r="BG11" s="106"/>
      <c r="BH11" s="106"/>
      <c r="BI11" s="106"/>
      <c r="BJ11" s="107"/>
      <c r="BK11" s="4"/>
    </row>
    <row r="12" spans="1:63" ht="15" customHeight="1">
      <c r="A12" s="1"/>
      <c r="B12" s="67"/>
      <c r="C12" s="68"/>
      <c r="D12" s="68"/>
      <c r="E12" s="68"/>
      <c r="F12" s="68"/>
      <c r="G12" s="69"/>
      <c r="H12" s="67"/>
      <c r="I12" s="68"/>
      <c r="J12" s="68"/>
      <c r="K12" s="68"/>
      <c r="L12" s="68"/>
      <c r="M12" s="68"/>
      <c r="N12" s="69"/>
      <c r="O12" s="67"/>
      <c r="P12" s="68"/>
      <c r="Q12" s="68"/>
      <c r="R12" s="68"/>
      <c r="S12" s="112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4"/>
      <c r="AX12" s="108"/>
      <c r="AY12" s="108"/>
      <c r="AZ12" s="108"/>
      <c r="BA12" s="108"/>
      <c r="BB12" s="108"/>
      <c r="BC12" s="109"/>
      <c r="BD12" s="111"/>
      <c r="BE12" s="108"/>
      <c r="BF12" s="108"/>
      <c r="BG12" s="108"/>
      <c r="BH12" s="108"/>
      <c r="BI12" s="108"/>
      <c r="BJ12" s="109"/>
      <c r="BK12" s="4"/>
    </row>
    <row r="13" spans="1:63" ht="15" customHeight="1">
      <c r="A13" s="1"/>
      <c r="B13" s="64"/>
      <c r="C13" s="65"/>
      <c r="D13" s="65"/>
      <c r="E13" s="65"/>
      <c r="F13" s="65"/>
      <c r="G13" s="66"/>
      <c r="H13" s="64"/>
      <c r="I13" s="65"/>
      <c r="J13" s="65"/>
      <c r="K13" s="65"/>
      <c r="L13" s="65"/>
      <c r="M13" s="65"/>
      <c r="N13" s="66"/>
      <c r="O13" s="64"/>
      <c r="P13" s="65"/>
      <c r="Q13" s="65"/>
      <c r="R13" s="65"/>
      <c r="S13" s="103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5"/>
      <c r="AX13" s="106"/>
      <c r="AY13" s="106"/>
      <c r="AZ13" s="106"/>
      <c r="BA13" s="106"/>
      <c r="BB13" s="106"/>
      <c r="BC13" s="107"/>
      <c r="BD13" s="110"/>
      <c r="BE13" s="106"/>
      <c r="BF13" s="106"/>
      <c r="BG13" s="106"/>
      <c r="BH13" s="106"/>
      <c r="BI13" s="106"/>
      <c r="BJ13" s="107"/>
      <c r="BK13" s="4"/>
    </row>
    <row r="14" spans="1:63" ht="15" customHeight="1">
      <c r="A14" s="1"/>
      <c r="B14" s="67"/>
      <c r="C14" s="68"/>
      <c r="D14" s="68"/>
      <c r="E14" s="68"/>
      <c r="F14" s="68"/>
      <c r="G14" s="69"/>
      <c r="H14" s="67"/>
      <c r="I14" s="68"/>
      <c r="J14" s="68"/>
      <c r="K14" s="68"/>
      <c r="L14" s="68"/>
      <c r="M14" s="68"/>
      <c r="N14" s="69"/>
      <c r="O14" s="67"/>
      <c r="P14" s="68"/>
      <c r="Q14" s="68"/>
      <c r="R14" s="68"/>
      <c r="S14" s="112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4"/>
      <c r="AX14" s="108"/>
      <c r="AY14" s="108"/>
      <c r="AZ14" s="108"/>
      <c r="BA14" s="108"/>
      <c r="BB14" s="108"/>
      <c r="BC14" s="109"/>
      <c r="BD14" s="111"/>
      <c r="BE14" s="108"/>
      <c r="BF14" s="108"/>
      <c r="BG14" s="108"/>
      <c r="BH14" s="108"/>
      <c r="BI14" s="108"/>
      <c r="BJ14" s="109"/>
      <c r="BK14" s="4"/>
    </row>
    <row r="15" spans="1:63" ht="15" customHeight="1">
      <c r="A15" s="1"/>
      <c r="B15" s="64"/>
      <c r="C15" s="65"/>
      <c r="D15" s="65"/>
      <c r="E15" s="65"/>
      <c r="F15" s="65"/>
      <c r="G15" s="66"/>
      <c r="H15" s="64"/>
      <c r="I15" s="65"/>
      <c r="J15" s="65"/>
      <c r="K15" s="65"/>
      <c r="L15" s="65"/>
      <c r="M15" s="65"/>
      <c r="N15" s="66"/>
      <c r="O15" s="64"/>
      <c r="P15" s="65"/>
      <c r="Q15" s="65"/>
      <c r="R15" s="65"/>
      <c r="S15" s="103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5"/>
      <c r="AX15" s="106"/>
      <c r="AY15" s="106"/>
      <c r="AZ15" s="106"/>
      <c r="BA15" s="106"/>
      <c r="BB15" s="106"/>
      <c r="BC15" s="107"/>
      <c r="BD15" s="110"/>
      <c r="BE15" s="106"/>
      <c r="BF15" s="106"/>
      <c r="BG15" s="106"/>
      <c r="BH15" s="106"/>
      <c r="BI15" s="106"/>
      <c r="BJ15" s="107"/>
      <c r="BK15" s="4"/>
    </row>
    <row r="16" spans="1:63" ht="15" customHeight="1">
      <c r="A16" s="1"/>
      <c r="B16" s="67"/>
      <c r="C16" s="68"/>
      <c r="D16" s="68"/>
      <c r="E16" s="68"/>
      <c r="F16" s="68"/>
      <c r="G16" s="69"/>
      <c r="H16" s="67"/>
      <c r="I16" s="68"/>
      <c r="J16" s="68"/>
      <c r="K16" s="68"/>
      <c r="L16" s="68"/>
      <c r="M16" s="68"/>
      <c r="N16" s="69"/>
      <c r="O16" s="67"/>
      <c r="P16" s="68"/>
      <c r="Q16" s="68"/>
      <c r="R16" s="68"/>
      <c r="S16" s="112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4"/>
      <c r="AX16" s="108"/>
      <c r="AY16" s="108"/>
      <c r="AZ16" s="108"/>
      <c r="BA16" s="108"/>
      <c r="BB16" s="108"/>
      <c r="BC16" s="109"/>
      <c r="BD16" s="111"/>
      <c r="BE16" s="108"/>
      <c r="BF16" s="108"/>
      <c r="BG16" s="108"/>
      <c r="BH16" s="108"/>
      <c r="BI16" s="108"/>
      <c r="BJ16" s="109"/>
      <c r="BK16" s="4"/>
    </row>
    <row r="17" spans="1:63" ht="15" customHeight="1">
      <c r="A17" s="1"/>
      <c r="B17" s="64"/>
      <c r="C17" s="65"/>
      <c r="D17" s="65"/>
      <c r="E17" s="65"/>
      <c r="F17" s="65"/>
      <c r="G17" s="66"/>
      <c r="H17" s="64"/>
      <c r="I17" s="65"/>
      <c r="J17" s="65"/>
      <c r="K17" s="65"/>
      <c r="L17" s="65"/>
      <c r="M17" s="65"/>
      <c r="N17" s="66"/>
      <c r="O17" s="64"/>
      <c r="P17" s="65"/>
      <c r="Q17" s="65"/>
      <c r="R17" s="65"/>
      <c r="S17" s="103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5"/>
      <c r="AX17" s="106"/>
      <c r="AY17" s="106"/>
      <c r="AZ17" s="106"/>
      <c r="BA17" s="106"/>
      <c r="BB17" s="106"/>
      <c r="BC17" s="107"/>
      <c r="BD17" s="110"/>
      <c r="BE17" s="106"/>
      <c r="BF17" s="106"/>
      <c r="BG17" s="106"/>
      <c r="BH17" s="106"/>
      <c r="BI17" s="106"/>
      <c r="BJ17" s="107"/>
      <c r="BK17" s="4"/>
    </row>
    <row r="18" spans="1:63" ht="15" customHeight="1">
      <c r="A18" s="1"/>
      <c r="B18" s="67"/>
      <c r="C18" s="68"/>
      <c r="D18" s="68"/>
      <c r="E18" s="68"/>
      <c r="F18" s="68"/>
      <c r="G18" s="69"/>
      <c r="H18" s="67"/>
      <c r="I18" s="68"/>
      <c r="J18" s="68"/>
      <c r="K18" s="68"/>
      <c r="L18" s="68"/>
      <c r="M18" s="68"/>
      <c r="N18" s="69"/>
      <c r="O18" s="67"/>
      <c r="P18" s="68"/>
      <c r="Q18" s="68"/>
      <c r="R18" s="68"/>
      <c r="S18" s="112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4"/>
      <c r="AX18" s="108"/>
      <c r="AY18" s="108"/>
      <c r="AZ18" s="108"/>
      <c r="BA18" s="108"/>
      <c r="BB18" s="108"/>
      <c r="BC18" s="109"/>
      <c r="BD18" s="111"/>
      <c r="BE18" s="108"/>
      <c r="BF18" s="108"/>
      <c r="BG18" s="108"/>
      <c r="BH18" s="108"/>
      <c r="BI18" s="108"/>
      <c r="BJ18" s="109"/>
      <c r="BK18" s="4"/>
    </row>
    <row r="19" spans="1:63" ht="15" customHeight="1">
      <c r="A19" s="1"/>
      <c r="B19" s="64"/>
      <c r="C19" s="65"/>
      <c r="D19" s="65"/>
      <c r="E19" s="65"/>
      <c r="F19" s="65"/>
      <c r="G19" s="66"/>
      <c r="H19" s="64"/>
      <c r="I19" s="65"/>
      <c r="J19" s="65"/>
      <c r="K19" s="65"/>
      <c r="L19" s="65"/>
      <c r="M19" s="65"/>
      <c r="N19" s="66"/>
      <c r="O19" s="64"/>
      <c r="P19" s="65"/>
      <c r="Q19" s="65"/>
      <c r="R19" s="65"/>
      <c r="S19" s="103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5"/>
      <c r="AX19" s="106"/>
      <c r="AY19" s="106"/>
      <c r="AZ19" s="106"/>
      <c r="BA19" s="106"/>
      <c r="BB19" s="106"/>
      <c r="BC19" s="107"/>
      <c r="BD19" s="110"/>
      <c r="BE19" s="106"/>
      <c r="BF19" s="106"/>
      <c r="BG19" s="106"/>
      <c r="BH19" s="106"/>
      <c r="BI19" s="106"/>
      <c r="BJ19" s="107"/>
      <c r="BK19" s="4"/>
    </row>
    <row r="20" spans="1:63" ht="15" customHeight="1">
      <c r="A20" s="1"/>
      <c r="B20" s="67"/>
      <c r="C20" s="68"/>
      <c r="D20" s="68"/>
      <c r="E20" s="68"/>
      <c r="F20" s="68"/>
      <c r="G20" s="69"/>
      <c r="H20" s="67"/>
      <c r="I20" s="68"/>
      <c r="J20" s="68"/>
      <c r="K20" s="68"/>
      <c r="L20" s="68"/>
      <c r="M20" s="68"/>
      <c r="N20" s="69"/>
      <c r="O20" s="67"/>
      <c r="P20" s="68"/>
      <c r="Q20" s="68"/>
      <c r="R20" s="68"/>
      <c r="S20" s="112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4"/>
      <c r="AX20" s="108"/>
      <c r="AY20" s="108"/>
      <c r="AZ20" s="108"/>
      <c r="BA20" s="108"/>
      <c r="BB20" s="108"/>
      <c r="BC20" s="109"/>
      <c r="BD20" s="111"/>
      <c r="BE20" s="108"/>
      <c r="BF20" s="108"/>
      <c r="BG20" s="108"/>
      <c r="BH20" s="108"/>
      <c r="BI20" s="108"/>
      <c r="BJ20" s="109"/>
      <c r="BK20" s="4"/>
    </row>
    <row r="21" spans="1:63" ht="15" customHeight="1">
      <c r="A21" s="1"/>
      <c r="B21" s="64"/>
      <c r="C21" s="65"/>
      <c r="D21" s="65"/>
      <c r="E21" s="65"/>
      <c r="F21" s="65"/>
      <c r="G21" s="66"/>
      <c r="H21" s="64"/>
      <c r="I21" s="65"/>
      <c r="J21" s="65"/>
      <c r="K21" s="65"/>
      <c r="L21" s="65"/>
      <c r="M21" s="65"/>
      <c r="N21" s="66"/>
      <c r="O21" s="64"/>
      <c r="P21" s="65"/>
      <c r="Q21" s="65"/>
      <c r="R21" s="65"/>
      <c r="S21" s="103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5"/>
      <c r="AX21" s="106"/>
      <c r="AY21" s="106"/>
      <c r="AZ21" s="106"/>
      <c r="BA21" s="106"/>
      <c r="BB21" s="106"/>
      <c r="BC21" s="107"/>
      <c r="BD21" s="110"/>
      <c r="BE21" s="106"/>
      <c r="BF21" s="106"/>
      <c r="BG21" s="106"/>
      <c r="BH21" s="106"/>
      <c r="BI21" s="106"/>
      <c r="BJ21" s="107"/>
      <c r="BK21" s="4"/>
    </row>
    <row r="22" spans="1:63" ht="15" customHeight="1">
      <c r="A22" s="1"/>
      <c r="B22" s="67"/>
      <c r="C22" s="68"/>
      <c r="D22" s="68"/>
      <c r="E22" s="68"/>
      <c r="F22" s="68"/>
      <c r="G22" s="69"/>
      <c r="H22" s="67"/>
      <c r="I22" s="68"/>
      <c r="J22" s="68"/>
      <c r="K22" s="68"/>
      <c r="L22" s="68"/>
      <c r="M22" s="68"/>
      <c r="N22" s="69"/>
      <c r="O22" s="67"/>
      <c r="P22" s="68"/>
      <c r="Q22" s="68"/>
      <c r="R22" s="68"/>
      <c r="S22" s="112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108"/>
      <c r="AY22" s="108"/>
      <c r="AZ22" s="108"/>
      <c r="BA22" s="108"/>
      <c r="BB22" s="108"/>
      <c r="BC22" s="109"/>
      <c r="BD22" s="111"/>
      <c r="BE22" s="108"/>
      <c r="BF22" s="108"/>
      <c r="BG22" s="108"/>
      <c r="BH22" s="108"/>
      <c r="BI22" s="108"/>
      <c r="BJ22" s="109"/>
      <c r="BK22" s="4"/>
    </row>
    <row r="23" spans="1:63" ht="15" customHeight="1">
      <c r="A23" s="1"/>
      <c r="B23" s="64"/>
      <c r="C23" s="65"/>
      <c r="D23" s="65"/>
      <c r="E23" s="65"/>
      <c r="F23" s="65"/>
      <c r="G23" s="66"/>
      <c r="H23" s="64"/>
      <c r="I23" s="65"/>
      <c r="J23" s="65"/>
      <c r="K23" s="65"/>
      <c r="L23" s="65"/>
      <c r="M23" s="65"/>
      <c r="N23" s="66"/>
      <c r="O23" s="64"/>
      <c r="P23" s="65"/>
      <c r="Q23" s="65"/>
      <c r="R23" s="65"/>
      <c r="S23" s="103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5"/>
      <c r="AX23" s="106"/>
      <c r="AY23" s="106"/>
      <c r="AZ23" s="106"/>
      <c r="BA23" s="106"/>
      <c r="BB23" s="106"/>
      <c r="BC23" s="107"/>
      <c r="BD23" s="110"/>
      <c r="BE23" s="106"/>
      <c r="BF23" s="106"/>
      <c r="BG23" s="106"/>
      <c r="BH23" s="106"/>
      <c r="BI23" s="106"/>
      <c r="BJ23" s="107"/>
      <c r="BK23" s="4"/>
    </row>
    <row r="24" spans="1:63" ht="15" customHeight="1">
      <c r="A24" s="1"/>
      <c r="B24" s="67"/>
      <c r="C24" s="68"/>
      <c r="D24" s="68"/>
      <c r="E24" s="68"/>
      <c r="F24" s="68"/>
      <c r="G24" s="69"/>
      <c r="H24" s="67"/>
      <c r="I24" s="68"/>
      <c r="J24" s="68"/>
      <c r="K24" s="68"/>
      <c r="L24" s="68"/>
      <c r="M24" s="68"/>
      <c r="N24" s="69"/>
      <c r="O24" s="67"/>
      <c r="P24" s="68"/>
      <c r="Q24" s="68"/>
      <c r="R24" s="68"/>
      <c r="S24" s="112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4"/>
      <c r="AX24" s="108"/>
      <c r="AY24" s="108"/>
      <c r="AZ24" s="108"/>
      <c r="BA24" s="108"/>
      <c r="BB24" s="108"/>
      <c r="BC24" s="109"/>
      <c r="BD24" s="111"/>
      <c r="BE24" s="108"/>
      <c r="BF24" s="108"/>
      <c r="BG24" s="108"/>
      <c r="BH24" s="108"/>
      <c r="BI24" s="108"/>
      <c r="BJ24" s="109"/>
      <c r="BK24" s="4"/>
    </row>
    <row r="25" spans="1:63" ht="15" customHeight="1">
      <c r="A25" s="1"/>
      <c r="B25" s="64"/>
      <c r="C25" s="65"/>
      <c r="D25" s="65"/>
      <c r="E25" s="65"/>
      <c r="F25" s="65"/>
      <c r="G25" s="66"/>
      <c r="H25" s="64"/>
      <c r="I25" s="65"/>
      <c r="J25" s="65"/>
      <c r="K25" s="65"/>
      <c r="L25" s="65"/>
      <c r="M25" s="65"/>
      <c r="N25" s="66"/>
      <c r="O25" s="64"/>
      <c r="P25" s="65"/>
      <c r="Q25" s="65"/>
      <c r="R25" s="65"/>
      <c r="S25" s="103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5"/>
      <c r="AX25" s="106"/>
      <c r="AY25" s="106"/>
      <c r="AZ25" s="106"/>
      <c r="BA25" s="106"/>
      <c r="BB25" s="106"/>
      <c r="BC25" s="107"/>
      <c r="BD25" s="110"/>
      <c r="BE25" s="106"/>
      <c r="BF25" s="106"/>
      <c r="BG25" s="106"/>
      <c r="BH25" s="106"/>
      <c r="BI25" s="106"/>
      <c r="BJ25" s="107"/>
      <c r="BK25" s="4"/>
    </row>
    <row r="26" spans="1:63" ht="15" customHeight="1">
      <c r="A26" s="1"/>
      <c r="B26" s="67"/>
      <c r="C26" s="68"/>
      <c r="D26" s="68"/>
      <c r="E26" s="68"/>
      <c r="F26" s="68"/>
      <c r="G26" s="69"/>
      <c r="H26" s="67"/>
      <c r="I26" s="68"/>
      <c r="J26" s="68"/>
      <c r="K26" s="68"/>
      <c r="L26" s="68"/>
      <c r="M26" s="68"/>
      <c r="N26" s="69"/>
      <c r="O26" s="67"/>
      <c r="P26" s="68"/>
      <c r="Q26" s="68"/>
      <c r="R26" s="68"/>
      <c r="S26" s="112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4"/>
      <c r="AX26" s="108"/>
      <c r="AY26" s="108"/>
      <c r="AZ26" s="108"/>
      <c r="BA26" s="108"/>
      <c r="BB26" s="108"/>
      <c r="BC26" s="109"/>
      <c r="BD26" s="111"/>
      <c r="BE26" s="108"/>
      <c r="BF26" s="108"/>
      <c r="BG26" s="108"/>
      <c r="BH26" s="108"/>
      <c r="BI26" s="108"/>
      <c r="BJ26" s="109"/>
      <c r="BK26" s="4"/>
    </row>
    <row r="27" spans="1:63" ht="15" customHeight="1">
      <c r="A27" s="1"/>
      <c r="B27" s="64"/>
      <c r="C27" s="65"/>
      <c r="D27" s="65"/>
      <c r="E27" s="65"/>
      <c r="F27" s="65"/>
      <c r="G27" s="66"/>
      <c r="H27" s="64"/>
      <c r="I27" s="65"/>
      <c r="J27" s="65"/>
      <c r="K27" s="65"/>
      <c r="L27" s="65"/>
      <c r="M27" s="65"/>
      <c r="N27" s="66"/>
      <c r="O27" s="64"/>
      <c r="P27" s="65"/>
      <c r="Q27" s="65"/>
      <c r="R27" s="65"/>
      <c r="S27" s="103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5"/>
      <c r="AX27" s="106"/>
      <c r="AY27" s="106"/>
      <c r="AZ27" s="106"/>
      <c r="BA27" s="106"/>
      <c r="BB27" s="106"/>
      <c r="BC27" s="107"/>
      <c r="BD27" s="110"/>
      <c r="BE27" s="106"/>
      <c r="BF27" s="106"/>
      <c r="BG27" s="106"/>
      <c r="BH27" s="106"/>
      <c r="BI27" s="106"/>
      <c r="BJ27" s="107"/>
      <c r="BK27" s="4"/>
    </row>
    <row r="28" spans="1:63" ht="15" customHeight="1">
      <c r="A28" s="1"/>
      <c r="B28" s="67"/>
      <c r="C28" s="68"/>
      <c r="D28" s="68"/>
      <c r="E28" s="68"/>
      <c r="F28" s="68"/>
      <c r="G28" s="69"/>
      <c r="H28" s="67"/>
      <c r="I28" s="68"/>
      <c r="J28" s="68"/>
      <c r="K28" s="68"/>
      <c r="L28" s="68"/>
      <c r="M28" s="68"/>
      <c r="N28" s="69"/>
      <c r="O28" s="67"/>
      <c r="P28" s="68"/>
      <c r="Q28" s="68"/>
      <c r="R28" s="68"/>
      <c r="S28" s="112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4"/>
      <c r="AX28" s="108"/>
      <c r="AY28" s="108"/>
      <c r="AZ28" s="108"/>
      <c r="BA28" s="108"/>
      <c r="BB28" s="108"/>
      <c r="BC28" s="109"/>
      <c r="BD28" s="111"/>
      <c r="BE28" s="108"/>
      <c r="BF28" s="108"/>
      <c r="BG28" s="108"/>
      <c r="BH28" s="108"/>
      <c r="BI28" s="108"/>
      <c r="BJ28" s="109"/>
      <c r="BK28" s="4"/>
    </row>
    <row r="29" spans="1:63" ht="15" customHeight="1">
      <c r="A29" s="1"/>
      <c r="B29" s="64"/>
      <c r="C29" s="65"/>
      <c r="D29" s="65"/>
      <c r="E29" s="65"/>
      <c r="F29" s="65"/>
      <c r="G29" s="66"/>
      <c r="H29" s="64"/>
      <c r="I29" s="65"/>
      <c r="J29" s="65"/>
      <c r="K29" s="65"/>
      <c r="L29" s="65"/>
      <c r="M29" s="65"/>
      <c r="N29" s="66"/>
      <c r="O29" s="64"/>
      <c r="P29" s="65"/>
      <c r="Q29" s="65"/>
      <c r="R29" s="65"/>
      <c r="S29" s="103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5"/>
      <c r="AX29" s="106"/>
      <c r="AY29" s="106"/>
      <c r="AZ29" s="106"/>
      <c r="BA29" s="106"/>
      <c r="BB29" s="106"/>
      <c r="BC29" s="107"/>
      <c r="BD29" s="110"/>
      <c r="BE29" s="106"/>
      <c r="BF29" s="106"/>
      <c r="BG29" s="106"/>
      <c r="BH29" s="106"/>
      <c r="BI29" s="106"/>
      <c r="BJ29" s="107"/>
      <c r="BK29" s="4"/>
    </row>
    <row r="30" spans="1:63" ht="15" customHeight="1">
      <c r="A30" s="1"/>
      <c r="B30" s="67"/>
      <c r="C30" s="68"/>
      <c r="D30" s="68"/>
      <c r="E30" s="68"/>
      <c r="F30" s="68"/>
      <c r="G30" s="69"/>
      <c r="H30" s="67"/>
      <c r="I30" s="68"/>
      <c r="J30" s="68"/>
      <c r="K30" s="68"/>
      <c r="L30" s="68"/>
      <c r="M30" s="68"/>
      <c r="N30" s="69"/>
      <c r="O30" s="67"/>
      <c r="P30" s="68"/>
      <c r="Q30" s="68"/>
      <c r="R30" s="68"/>
      <c r="S30" s="112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4"/>
      <c r="AX30" s="108"/>
      <c r="AY30" s="108"/>
      <c r="AZ30" s="108"/>
      <c r="BA30" s="108"/>
      <c r="BB30" s="108"/>
      <c r="BC30" s="109"/>
      <c r="BD30" s="111"/>
      <c r="BE30" s="108"/>
      <c r="BF30" s="108"/>
      <c r="BG30" s="108"/>
      <c r="BH30" s="108"/>
      <c r="BI30" s="108"/>
      <c r="BJ30" s="109"/>
      <c r="BK30" s="4"/>
    </row>
    <row r="31" spans="1:63" ht="15" customHeight="1">
      <c r="A31" s="1"/>
      <c r="B31" s="64"/>
      <c r="C31" s="65"/>
      <c r="D31" s="65"/>
      <c r="E31" s="65"/>
      <c r="F31" s="65"/>
      <c r="G31" s="66"/>
      <c r="H31" s="64"/>
      <c r="I31" s="65"/>
      <c r="J31" s="65"/>
      <c r="K31" s="65"/>
      <c r="L31" s="65"/>
      <c r="M31" s="65"/>
      <c r="N31" s="66"/>
      <c r="O31" s="64"/>
      <c r="P31" s="65"/>
      <c r="Q31" s="65"/>
      <c r="R31" s="65"/>
      <c r="S31" s="103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5"/>
      <c r="AX31" s="106"/>
      <c r="AY31" s="106"/>
      <c r="AZ31" s="106"/>
      <c r="BA31" s="106"/>
      <c r="BB31" s="106"/>
      <c r="BC31" s="107"/>
      <c r="BD31" s="110"/>
      <c r="BE31" s="106"/>
      <c r="BF31" s="106"/>
      <c r="BG31" s="106"/>
      <c r="BH31" s="106"/>
      <c r="BI31" s="106"/>
      <c r="BJ31" s="107"/>
      <c r="BK31" s="4"/>
    </row>
    <row r="32" spans="1:63" ht="15" customHeight="1">
      <c r="A32" s="1"/>
      <c r="B32" s="67"/>
      <c r="C32" s="68"/>
      <c r="D32" s="68"/>
      <c r="E32" s="68"/>
      <c r="F32" s="68"/>
      <c r="G32" s="69"/>
      <c r="H32" s="67"/>
      <c r="I32" s="68"/>
      <c r="J32" s="68"/>
      <c r="K32" s="68"/>
      <c r="L32" s="68"/>
      <c r="M32" s="68"/>
      <c r="N32" s="69"/>
      <c r="O32" s="67"/>
      <c r="P32" s="68"/>
      <c r="Q32" s="68"/>
      <c r="R32" s="68"/>
      <c r="S32" s="112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4"/>
      <c r="AX32" s="108"/>
      <c r="AY32" s="108"/>
      <c r="AZ32" s="108"/>
      <c r="BA32" s="108"/>
      <c r="BB32" s="108"/>
      <c r="BC32" s="109"/>
      <c r="BD32" s="111"/>
      <c r="BE32" s="108"/>
      <c r="BF32" s="108"/>
      <c r="BG32" s="108"/>
      <c r="BH32" s="108"/>
      <c r="BI32" s="108"/>
      <c r="BJ32" s="109"/>
      <c r="BK32" s="4"/>
    </row>
    <row r="33" spans="1:63" ht="15" customHeight="1">
      <c r="A33" s="1"/>
      <c r="B33" s="64"/>
      <c r="C33" s="65"/>
      <c r="D33" s="65"/>
      <c r="E33" s="65"/>
      <c r="F33" s="65"/>
      <c r="G33" s="66"/>
      <c r="H33" s="64"/>
      <c r="I33" s="65"/>
      <c r="J33" s="65"/>
      <c r="K33" s="65"/>
      <c r="L33" s="65"/>
      <c r="M33" s="65"/>
      <c r="N33" s="66"/>
      <c r="O33" s="64"/>
      <c r="P33" s="65"/>
      <c r="Q33" s="65"/>
      <c r="R33" s="65"/>
      <c r="S33" s="103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5"/>
      <c r="AX33" s="106"/>
      <c r="AY33" s="106"/>
      <c r="AZ33" s="106"/>
      <c r="BA33" s="106"/>
      <c r="BB33" s="106"/>
      <c r="BC33" s="107"/>
      <c r="BD33" s="110"/>
      <c r="BE33" s="106"/>
      <c r="BF33" s="106"/>
      <c r="BG33" s="106"/>
      <c r="BH33" s="106"/>
      <c r="BI33" s="106"/>
      <c r="BJ33" s="107"/>
      <c r="BK33" s="4"/>
    </row>
    <row r="34" spans="1:63" ht="15" customHeight="1">
      <c r="A34" s="1"/>
      <c r="B34" s="67"/>
      <c r="C34" s="68"/>
      <c r="D34" s="68"/>
      <c r="E34" s="68"/>
      <c r="F34" s="68"/>
      <c r="G34" s="69"/>
      <c r="H34" s="67"/>
      <c r="I34" s="68"/>
      <c r="J34" s="68"/>
      <c r="K34" s="68"/>
      <c r="L34" s="68"/>
      <c r="M34" s="68"/>
      <c r="N34" s="69"/>
      <c r="O34" s="67"/>
      <c r="P34" s="68"/>
      <c r="Q34" s="68"/>
      <c r="R34" s="68"/>
      <c r="S34" s="112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4"/>
      <c r="AX34" s="108"/>
      <c r="AY34" s="108"/>
      <c r="AZ34" s="108"/>
      <c r="BA34" s="108"/>
      <c r="BB34" s="108"/>
      <c r="BC34" s="109"/>
      <c r="BD34" s="111"/>
      <c r="BE34" s="108"/>
      <c r="BF34" s="108"/>
      <c r="BG34" s="108"/>
      <c r="BH34" s="108"/>
      <c r="BI34" s="108"/>
      <c r="BJ34" s="109"/>
      <c r="BK34" s="4"/>
    </row>
    <row r="35" spans="1:63" ht="15" customHeight="1">
      <c r="A35" s="1"/>
      <c r="B35" s="64"/>
      <c r="C35" s="65"/>
      <c r="D35" s="65"/>
      <c r="E35" s="65"/>
      <c r="F35" s="65"/>
      <c r="G35" s="66"/>
      <c r="H35" s="64"/>
      <c r="I35" s="65"/>
      <c r="J35" s="65"/>
      <c r="K35" s="65"/>
      <c r="L35" s="65"/>
      <c r="M35" s="65"/>
      <c r="N35" s="66"/>
      <c r="O35" s="64"/>
      <c r="P35" s="65"/>
      <c r="Q35" s="65"/>
      <c r="R35" s="65"/>
      <c r="S35" s="103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5"/>
      <c r="AX35" s="106"/>
      <c r="AY35" s="106"/>
      <c r="AZ35" s="106"/>
      <c r="BA35" s="106"/>
      <c r="BB35" s="106"/>
      <c r="BC35" s="107"/>
      <c r="BD35" s="110"/>
      <c r="BE35" s="106"/>
      <c r="BF35" s="106"/>
      <c r="BG35" s="106"/>
      <c r="BH35" s="106"/>
      <c r="BI35" s="106"/>
      <c r="BJ35" s="107"/>
      <c r="BK35" s="4"/>
    </row>
    <row r="36" spans="1:63" ht="15" customHeight="1">
      <c r="A36" s="1"/>
      <c r="B36" s="67"/>
      <c r="C36" s="68"/>
      <c r="D36" s="68"/>
      <c r="E36" s="68"/>
      <c r="F36" s="68"/>
      <c r="G36" s="69"/>
      <c r="H36" s="67"/>
      <c r="I36" s="68"/>
      <c r="J36" s="68"/>
      <c r="K36" s="68"/>
      <c r="L36" s="68"/>
      <c r="M36" s="68"/>
      <c r="N36" s="69"/>
      <c r="O36" s="67"/>
      <c r="P36" s="68"/>
      <c r="Q36" s="68"/>
      <c r="R36" s="68"/>
      <c r="S36" s="112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4"/>
      <c r="AX36" s="108"/>
      <c r="AY36" s="108"/>
      <c r="AZ36" s="108"/>
      <c r="BA36" s="108"/>
      <c r="BB36" s="108"/>
      <c r="BC36" s="109"/>
      <c r="BD36" s="111"/>
      <c r="BE36" s="108"/>
      <c r="BF36" s="108"/>
      <c r="BG36" s="108"/>
      <c r="BH36" s="108"/>
      <c r="BI36" s="108"/>
      <c r="BJ36" s="109"/>
      <c r="BK36" s="4"/>
    </row>
    <row r="37" spans="1:63" ht="15" customHeight="1">
      <c r="A37" s="1"/>
      <c r="B37" s="64"/>
      <c r="C37" s="65"/>
      <c r="D37" s="65"/>
      <c r="E37" s="65"/>
      <c r="F37" s="65"/>
      <c r="G37" s="66"/>
      <c r="H37" s="64"/>
      <c r="I37" s="65"/>
      <c r="J37" s="65"/>
      <c r="K37" s="65"/>
      <c r="L37" s="65"/>
      <c r="M37" s="65"/>
      <c r="N37" s="66"/>
      <c r="O37" s="64"/>
      <c r="P37" s="65"/>
      <c r="Q37" s="65"/>
      <c r="R37" s="65"/>
      <c r="S37" s="103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5"/>
      <c r="AX37" s="106"/>
      <c r="AY37" s="106"/>
      <c r="AZ37" s="106"/>
      <c r="BA37" s="106"/>
      <c r="BB37" s="106"/>
      <c r="BC37" s="107"/>
      <c r="BD37" s="110"/>
      <c r="BE37" s="106"/>
      <c r="BF37" s="106"/>
      <c r="BG37" s="106"/>
      <c r="BH37" s="106"/>
      <c r="BI37" s="106"/>
      <c r="BJ37" s="107"/>
      <c r="BK37" s="4"/>
    </row>
    <row r="38" spans="1:63" ht="15" customHeight="1">
      <c r="A38" s="1"/>
      <c r="B38" s="67"/>
      <c r="C38" s="68"/>
      <c r="D38" s="68"/>
      <c r="E38" s="68"/>
      <c r="F38" s="68"/>
      <c r="G38" s="69"/>
      <c r="H38" s="67"/>
      <c r="I38" s="68"/>
      <c r="J38" s="68"/>
      <c r="K38" s="68"/>
      <c r="L38" s="68"/>
      <c r="M38" s="68"/>
      <c r="N38" s="69"/>
      <c r="O38" s="67"/>
      <c r="P38" s="68"/>
      <c r="Q38" s="68"/>
      <c r="R38" s="68"/>
      <c r="S38" s="112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4"/>
      <c r="AX38" s="108"/>
      <c r="AY38" s="108"/>
      <c r="AZ38" s="108"/>
      <c r="BA38" s="108"/>
      <c r="BB38" s="108"/>
      <c r="BC38" s="109"/>
      <c r="BD38" s="111"/>
      <c r="BE38" s="108"/>
      <c r="BF38" s="108"/>
      <c r="BG38" s="108"/>
      <c r="BH38" s="108"/>
      <c r="BI38" s="108"/>
      <c r="BJ38" s="109"/>
      <c r="BK38" s="4"/>
    </row>
    <row r="39" spans="1:63" ht="15" customHeight="1">
      <c r="A39" s="1"/>
      <c r="B39" s="64"/>
      <c r="C39" s="65"/>
      <c r="D39" s="65"/>
      <c r="E39" s="65"/>
      <c r="F39" s="65"/>
      <c r="G39" s="66"/>
      <c r="H39" s="64"/>
      <c r="I39" s="65"/>
      <c r="J39" s="65"/>
      <c r="K39" s="65"/>
      <c r="L39" s="65"/>
      <c r="M39" s="65"/>
      <c r="N39" s="66"/>
      <c r="O39" s="64"/>
      <c r="P39" s="65"/>
      <c r="Q39" s="65"/>
      <c r="R39" s="65"/>
      <c r="S39" s="103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5"/>
      <c r="AX39" s="106"/>
      <c r="AY39" s="106"/>
      <c r="AZ39" s="106"/>
      <c r="BA39" s="106"/>
      <c r="BB39" s="106"/>
      <c r="BC39" s="107"/>
      <c r="BD39" s="110"/>
      <c r="BE39" s="106"/>
      <c r="BF39" s="106"/>
      <c r="BG39" s="106"/>
      <c r="BH39" s="106"/>
      <c r="BI39" s="106"/>
      <c r="BJ39" s="107"/>
      <c r="BK39" s="4"/>
    </row>
    <row r="40" spans="1:63" ht="15" customHeight="1">
      <c r="A40" s="1"/>
      <c r="B40" s="67"/>
      <c r="C40" s="68"/>
      <c r="D40" s="68"/>
      <c r="E40" s="68"/>
      <c r="F40" s="68"/>
      <c r="G40" s="69"/>
      <c r="H40" s="67"/>
      <c r="I40" s="68"/>
      <c r="J40" s="68"/>
      <c r="K40" s="68"/>
      <c r="L40" s="68"/>
      <c r="M40" s="68"/>
      <c r="N40" s="69"/>
      <c r="O40" s="67"/>
      <c r="P40" s="68"/>
      <c r="Q40" s="68"/>
      <c r="R40" s="68"/>
      <c r="S40" s="112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4"/>
      <c r="AX40" s="108"/>
      <c r="AY40" s="108"/>
      <c r="AZ40" s="108"/>
      <c r="BA40" s="108"/>
      <c r="BB40" s="108"/>
      <c r="BC40" s="109"/>
      <c r="BD40" s="111"/>
      <c r="BE40" s="108"/>
      <c r="BF40" s="108"/>
      <c r="BG40" s="108"/>
      <c r="BH40" s="108"/>
      <c r="BI40" s="108"/>
      <c r="BJ40" s="109"/>
      <c r="BK40" s="4"/>
    </row>
    <row r="41" spans="1:63" ht="15" customHeight="1">
      <c r="A41" s="1"/>
      <c r="B41" s="64"/>
      <c r="C41" s="65"/>
      <c r="D41" s="65"/>
      <c r="E41" s="65"/>
      <c r="F41" s="65"/>
      <c r="G41" s="66"/>
      <c r="H41" s="64"/>
      <c r="I41" s="65"/>
      <c r="J41" s="65"/>
      <c r="K41" s="65"/>
      <c r="L41" s="65"/>
      <c r="M41" s="65"/>
      <c r="N41" s="66"/>
      <c r="O41" s="64"/>
      <c r="P41" s="65"/>
      <c r="Q41" s="65"/>
      <c r="R41" s="65"/>
      <c r="S41" s="103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5"/>
      <c r="AX41" s="106"/>
      <c r="AY41" s="106"/>
      <c r="AZ41" s="106"/>
      <c r="BA41" s="106"/>
      <c r="BB41" s="106"/>
      <c r="BC41" s="107"/>
      <c r="BD41" s="110"/>
      <c r="BE41" s="106"/>
      <c r="BF41" s="106"/>
      <c r="BG41" s="106"/>
      <c r="BH41" s="106"/>
      <c r="BI41" s="106"/>
      <c r="BJ41" s="107"/>
      <c r="BK41" s="4"/>
    </row>
    <row r="42" spans="1:63" ht="15" customHeight="1">
      <c r="A42" s="1"/>
      <c r="B42" s="67"/>
      <c r="C42" s="68"/>
      <c r="D42" s="68"/>
      <c r="E42" s="68"/>
      <c r="F42" s="68"/>
      <c r="G42" s="69"/>
      <c r="H42" s="67"/>
      <c r="I42" s="68"/>
      <c r="J42" s="68"/>
      <c r="K42" s="68"/>
      <c r="L42" s="68"/>
      <c r="M42" s="68"/>
      <c r="N42" s="69"/>
      <c r="O42" s="67"/>
      <c r="P42" s="68"/>
      <c r="Q42" s="68"/>
      <c r="R42" s="68"/>
      <c r="S42" s="112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4"/>
      <c r="AX42" s="108"/>
      <c r="AY42" s="108"/>
      <c r="AZ42" s="108"/>
      <c r="BA42" s="108"/>
      <c r="BB42" s="108"/>
      <c r="BC42" s="109"/>
      <c r="BD42" s="111"/>
      <c r="BE42" s="108"/>
      <c r="BF42" s="108"/>
      <c r="BG42" s="108"/>
      <c r="BH42" s="108"/>
      <c r="BI42" s="108"/>
      <c r="BJ42" s="109"/>
      <c r="BK42" s="4"/>
    </row>
    <row r="43" spans="1:63" ht="15" customHeight="1">
      <c r="A43" s="1"/>
      <c r="B43" s="64"/>
      <c r="C43" s="65"/>
      <c r="D43" s="65"/>
      <c r="E43" s="65"/>
      <c r="F43" s="65"/>
      <c r="G43" s="66"/>
      <c r="H43" s="64"/>
      <c r="I43" s="65"/>
      <c r="J43" s="65"/>
      <c r="K43" s="65"/>
      <c r="L43" s="65"/>
      <c r="M43" s="65"/>
      <c r="N43" s="66"/>
      <c r="O43" s="64"/>
      <c r="P43" s="65"/>
      <c r="Q43" s="65"/>
      <c r="R43" s="65"/>
      <c r="S43" s="103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5"/>
      <c r="AX43" s="106"/>
      <c r="AY43" s="106"/>
      <c r="AZ43" s="106"/>
      <c r="BA43" s="106"/>
      <c r="BB43" s="106"/>
      <c r="BC43" s="107"/>
      <c r="BD43" s="110"/>
      <c r="BE43" s="106"/>
      <c r="BF43" s="106"/>
      <c r="BG43" s="106"/>
      <c r="BH43" s="106"/>
      <c r="BI43" s="106"/>
      <c r="BJ43" s="107"/>
      <c r="BK43" s="4"/>
    </row>
    <row r="44" spans="1:63" ht="15" customHeight="1">
      <c r="A44" s="1"/>
      <c r="B44" s="67"/>
      <c r="C44" s="68"/>
      <c r="D44" s="68"/>
      <c r="E44" s="68"/>
      <c r="F44" s="68"/>
      <c r="G44" s="69"/>
      <c r="H44" s="67"/>
      <c r="I44" s="68"/>
      <c r="J44" s="68"/>
      <c r="K44" s="68"/>
      <c r="L44" s="68"/>
      <c r="M44" s="68"/>
      <c r="N44" s="69"/>
      <c r="O44" s="67"/>
      <c r="P44" s="68"/>
      <c r="Q44" s="68"/>
      <c r="R44" s="68"/>
      <c r="S44" s="112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4"/>
      <c r="AX44" s="108"/>
      <c r="AY44" s="108"/>
      <c r="AZ44" s="108"/>
      <c r="BA44" s="108"/>
      <c r="BB44" s="108"/>
      <c r="BC44" s="109"/>
      <c r="BD44" s="111"/>
      <c r="BE44" s="108"/>
      <c r="BF44" s="108"/>
      <c r="BG44" s="108"/>
      <c r="BH44" s="108"/>
      <c r="BI44" s="108"/>
      <c r="BJ44" s="109"/>
      <c r="BK44" s="4"/>
    </row>
    <row r="45" spans="1:63" ht="15" customHeight="1">
      <c r="A45" s="1"/>
      <c r="B45" s="64"/>
      <c r="C45" s="65"/>
      <c r="D45" s="65"/>
      <c r="E45" s="65"/>
      <c r="F45" s="65"/>
      <c r="G45" s="66"/>
      <c r="H45" s="64"/>
      <c r="I45" s="65"/>
      <c r="J45" s="65"/>
      <c r="K45" s="65"/>
      <c r="L45" s="65"/>
      <c r="M45" s="65"/>
      <c r="N45" s="66"/>
      <c r="O45" s="64"/>
      <c r="P45" s="65"/>
      <c r="Q45" s="65"/>
      <c r="R45" s="65"/>
      <c r="S45" s="103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5"/>
      <c r="AX45" s="106"/>
      <c r="AY45" s="106"/>
      <c r="AZ45" s="106"/>
      <c r="BA45" s="106"/>
      <c r="BB45" s="106"/>
      <c r="BC45" s="107"/>
      <c r="BD45" s="110"/>
      <c r="BE45" s="106"/>
      <c r="BF45" s="106"/>
      <c r="BG45" s="106"/>
      <c r="BH45" s="106"/>
      <c r="BI45" s="106"/>
      <c r="BJ45" s="107"/>
      <c r="BK45" s="4"/>
    </row>
    <row r="46" spans="1:63" ht="15" customHeight="1">
      <c r="A46" s="1"/>
      <c r="B46" s="67"/>
      <c r="C46" s="68"/>
      <c r="D46" s="68"/>
      <c r="E46" s="68"/>
      <c r="F46" s="68"/>
      <c r="G46" s="69"/>
      <c r="H46" s="67"/>
      <c r="I46" s="68"/>
      <c r="J46" s="68"/>
      <c r="K46" s="68"/>
      <c r="L46" s="68"/>
      <c r="M46" s="68"/>
      <c r="N46" s="69"/>
      <c r="O46" s="67"/>
      <c r="P46" s="68"/>
      <c r="Q46" s="68"/>
      <c r="R46" s="68"/>
      <c r="S46" s="112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4"/>
      <c r="AX46" s="108"/>
      <c r="AY46" s="108"/>
      <c r="AZ46" s="108"/>
      <c r="BA46" s="108"/>
      <c r="BB46" s="108"/>
      <c r="BC46" s="109"/>
      <c r="BD46" s="111"/>
      <c r="BE46" s="108"/>
      <c r="BF46" s="108"/>
      <c r="BG46" s="108"/>
      <c r="BH46" s="108"/>
      <c r="BI46" s="108"/>
      <c r="BJ46" s="109"/>
      <c r="BK46" s="4"/>
    </row>
    <row r="47" spans="1:63" ht="15" customHeight="1">
      <c r="A47" s="1"/>
      <c r="B47" s="64"/>
      <c r="C47" s="65"/>
      <c r="D47" s="65"/>
      <c r="E47" s="65"/>
      <c r="F47" s="65"/>
      <c r="G47" s="66"/>
      <c r="H47" s="64"/>
      <c r="I47" s="65"/>
      <c r="J47" s="65"/>
      <c r="K47" s="65"/>
      <c r="L47" s="65"/>
      <c r="M47" s="65"/>
      <c r="N47" s="66"/>
      <c r="O47" s="64"/>
      <c r="P47" s="65"/>
      <c r="Q47" s="65"/>
      <c r="R47" s="65"/>
      <c r="S47" s="103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5"/>
      <c r="AX47" s="106"/>
      <c r="AY47" s="106"/>
      <c r="AZ47" s="106"/>
      <c r="BA47" s="106"/>
      <c r="BB47" s="106"/>
      <c r="BC47" s="107"/>
      <c r="BD47" s="110"/>
      <c r="BE47" s="106"/>
      <c r="BF47" s="106"/>
      <c r="BG47" s="106"/>
      <c r="BH47" s="106"/>
      <c r="BI47" s="106"/>
      <c r="BJ47" s="107"/>
      <c r="BK47" s="4"/>
    </row>
    <row r="48" spans="1:63" ht="15" customHeight="1">
      <c r="A48" s="1"/>
      <c r="B48" s="67"/>
      <c r="C48" s="68"/>
      <c r="D48" s="68"/>
      <c r="E48" s="68"/>
      <c r="F48" s="68"/>
      <c r="G48" s="69"/>
      <c r="H48" s="67"/>
      <c r="I48" s="68"/>
      <c r="J48" s="68"/>
      <c r="K48" s="68"/>
      <c r="L48" s="68"/>
      <c r="M48" s="68"/>
      <c r="N48" s="69"/>
      <c r="O48" s="67"/>
      <c r="P48" s="68"/>
      <c r="Q48" s="68"/>
      <c r="R48" s="68"/>
      <c r="S48" s="112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4"/>
      <c r="AX48" s="108"/>
      <c r="AY48" s="108"/>
      <c r="AZ48" s="108"/>
      <c r="BA48" s="108"/>
      <c r="BB48" s="108"/>
      <c r="BC48" s="109"/>
      <c r="BD48" s="111"/>
      <c r="BE48" s="108"/>
      <c r="BF48" s="108"/>
      <c r="BG48" s="108"/>
      <c r="BH48" s="108"/>
      <c r="BI48" s="108"/>
      <c r="BJ48" s="109"/>
      <c r="BK48" s="4"/>
    </row>
    <row r="49" spans="1:63" ht="15" customHeight="1">
      <c r="A49" s="1"/>
      <c r="B49" s="64"/>
      <c r="C49" s="65"/>
      <c r="D49" s="65"/>
      <c r="E49" s="65"/>
      <c r="F49" s="65"/>
      <c r="G49" s="66"/>
      <c r="H49" s="64"/>
      <c r="I49" s="65"/>
      <c r="J49" s="65"/>
      <c r="K49" s="65"/>
      <c r="L49" s="65"/>
      <c r="M49" s="65"/>
      <c r="N49" s="66"/>
      <c r="O49" s="64"/>
      <c r="P49" s="65"/>
      <c r="Q49" s="65"/>
      <c r="R49" s="65"/>
      <c r="S49" s="103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5"/>
      <c r="AX49" s="106"/>
      <c r="AY49" s="106"/>
      <c r="AZ49" s="106"/>
      <c r="BA49" s="106"/>
      <c r="BB49" s="106"/>
      <c r="BC49" s="107"/>
      <c r="BD49" s="110"/>
      <c r="BE49" s="106"/>
      <c r="BF49" s="106"/>
      <c r="BG49" s="106"/>
      <c r="BH49" s="106"/>
      <c r="BI49" s="106"/>
      <c r="BJ49" s="107"/>
      <c r="BK49" s="4"/>
    </row>
    <row r="50" spans="1:63" ht="15" customHeight="1">
      <c r="A50" s="1"/>
      <c r="B50" s="67"/>
      <c r="C50" s="68"/>
      <c r="D50" s="68"/>
      <c r="E50" s="68"/>
      <c r="F50" s="68"/>
      <c r="G50" s="69"/>
      <c r="H50" s="67"/>
      <c r="I50" s="68"/>
      <c r="J50" s="68"/>
      <c r="K50" s="68"/>
      <c r="L50" s="68"/>
      <c r="M50" s="68"/>
      <c r="N50" s="69"/>
      <c r="O50" s="67"/>
      <c r="P50" s="68"/>
      <c r="Q50" s="68"/>
      <c r="R50" s="68"/>
      <c r="S50" s="112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  <c r="AV50" s="113"/>
      <c r="AW50" s="114"/>
      <c r="AX50" s="108"/>
      <c r="AY50" s="108"/>
      <c r="AZ50" s="108"/>
      <c r="BA50" s="108"/>
      <c r="BB50" s="108"/>
      <c r="BC50" s="109"/>
      <c r="BD50" s="111"/>
      <c r="BE50" s="108"/>
      <c r="BF50" s="108"/>
      <c r="BG50" s="108"/>
      <c r="BH50" s="108"/>
      <c r="BI50" s="108"/>
      <c r="BJ50" s="109"/>
      <c r="BK50" s="4"/>
    </row>
    <row r="51" spans="1:63" ht="15" customHeight="1">
      <c r="A51" s="1"/>
      <c r="B51" s="64"/>
      <c r="C51" s="65"/>
      <c r="D51" s="65"/>
      <c r="E51" s="65"/>
      <c r="F51" s="65"/>
      <c r="G51" s="66"/>
      <c r="H51" s="64"/>
      <c r="I51" s="65"/>
      <c r="J51" s="65"/>
      <c r="K51" s="65"/>
      <c r="L51" s="65"/>
      <c r="M51" s="65"/>
      <c r="N51" s="66"/>
      <c r="O51" s="64"/>
      <c r="P51" s="65"/>
      <c r="Q51" s="65"/>
      <c r="R51" s="65"/>
      <c r="S51" s="103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5"/>
      <c r="AX51" s="106"/>
      <c r="AY51" s="106"/>
      <c r="AZ51" s="106"/>
      <c r="BA51" s="106"/>
      <c r="BB51" s="106"/>
      <c r="BC51" s="107"/>
      <c r="BD51" s="110"/>
      <c r="BE51" s="106"/>
      <c r="BF51" s="106"/>
      <c r="BG51" s="106"/>
      <c r="BH51" s="106"/>
      <c r="BI51" s="106"/>
      <c r="BJ51" s="107"/>
      <c r="BK51" s="4"/>
    </row>
    <row r="52" spans="1:63" ht="15" customHeight="1">
      <c r="A52" s="1"/>
      <c r="B52" s="67"/>
      <c r="C52" s="68"/>
      <c r="D52" s="68"/>
      <c r="E52" s="68"/>
      <c r="F52" s="68"/>
      <c r="G52" s="69"/>
      <c r="H52" s="67"/>
      <c r="I52" s="68"/>
      <c r="J52" s="68"/>
      <c r="K52" s="68"/>
      <c r="L52" s="68"/>
      <c r="M52" s="68"/>
      <c r="N52" s="69"/>
      <c r="O52" s="67"/>
      <c r="P52" s="68"/>
      <c r="Q52" s="68"/>
      <c r="R52" s="68"/>
      <c r="S52" s="112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4"/>
      <c r="AX52" s="108"/>
      <c r="AY52" s="108"/>
      <c r="AZ52" s="108"/>
      <c r="BA52" s="108"/>
      <c r="BB52" s="108"/>
      <c r="BC52" s="109"/>
      <c r="BD52" s="111"/>
      <c r="BE52" s="108"/>
      <c r="BF52" s="108"/>
      <c r="BG52" s="108"/>
      <c r="BH52" s="108"/>
      <c r="BI52" s="108"/>
      <c r="BJ52" s="109"/>
      <c r="BK52" s="4"/>
    </row>
    <row r="53" spans="1:63" ht="15" customHeight="1">
      <c r="A53" s="1"/>
      <c r="B53" s="64"/>
      <c r="C53" s="65"/>
      <c r="D53" s="65"/>
      <c r="E53" s="65"/>
      <c r="F53" s="65"/>
      <c r="G53" s="66"/>
      <c r="H53" s="64"/>
      <c r="I53" s="65"/>
      <c r="J53" s="65"/>
      <c r="K53" s="65"/>
      <c r="L53" s="65"/>
      <c r="M53" s="65"/>
      <c r="N53" s="66"/>
      <c r="O53" s="64"/>
      <c r="P53" s="65"/>
      <c r="Q53" s="65"/>
      <c r="R53" s="65"/>
      <c r="S53" s="103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5"/>
      <c r="AX53" s="106"/>
      <c r="AY53" s="106"/>
      <c r="AZ53" s="106"/>
      <c r="BA53" s="106"/>
      <c r="BB53" s="106"/>
      <c r="BC53" s="107"/>
      <c r="BD53" s="110"/>
      <c r="BE53" s="106"/>
      <c r="BF53" s="106"/>
      <c r="BG53" s="106"/>
      <c r="BH53" s="106"/>
      <c r="BI53" s="106"/>
      <c r="BJ53" s="107"/>
      <c r="BK53" s="4"/>
    </row>
    <row r="54" spans="1:63" ht="15" customHeight="1">
      <c r="A54" s="1"/>
      <c r="B54" s="67"/>
      <c r="C54" s="68"/>
      <c r="D54" s="68"/>
      <c r="E54" s="68"/>
      <c r="F54" s="68"/>
      <c r="G54" s="69"/>
      <c r="H54" s="67"/>
      <c r="I54" s="68"/>
      <c r="J54" s="68"/>
      <c r="K54" s="68"/>
      <c r="L54" s="68"/>
      <c r="M54" s="68"/>
      <c r="N54" s="69"/>
      <c r="O54" s="67"/>
      <c r="P54" s="68"/>
      <c r="Q54" s="68"/>
      <c r="R54" s="68"/>
      <c r="S54" s="112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4"/>
      <c r="AX54" s="108"/>
      <c r="AY54" s="108"/>
      <c r="AZ54" s="108"/>
      <c r="BA54" s="108"/>
      <c r="BB54" s="108"/>
      <c r="BC54" s="109"/>
      <c r="BD54" s="111"/>
      <c r="BE54" s="108"/>
      <c r="BF54" s="108"/>
      <c r="BG54" s="108"/>
      <c r="BH54" s="108"/>
      <c r="BI54" s="108"/>
      <c r="BJ54" s="109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horizontalDpi="30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B67A-4EB8-4CF1-ADCE-D76B04D8EBEF}">
  <sheetPr>
    <pageSetUpPr fitToPage="1"/>
  </sheetPr>
  <dimension ref="A1:BK55"/>
  <sheetViews>
    <sheetView view="pageBreakPreview" zoomScale="75" zoomScaleNormal="75" zoomScaleSheetLayoutView="75" workbookViewId="0">
      <selection sqref="A1:XFD1048576"/>
    </sheetView>
  </sheetViews>
  <sheetFormatPr defaultColWidth="2.77734375" defaultRowHeight="15" customHeight="1"/>
  <cols>
    <col min="46" max="46" width="2.77734375" customWidth="1"/>
    <col min="55" max="55" width="2.77734375" customWidth="1"/>
    <col min="60" max="60" width="2.77734375" customWidth="1"/>
  </cols>
  <sheetData>
    <row r="1" spans="1:63" ht="24.95" customHeight="1">
      <c r="A1" s="61" t="s">
        <v>74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76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0" t="str">
        <f>IF(表紙!W1="","",表紙!W1)</f>
        <v>基本設計書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  <c r="AP1" s="61" t="s">
        <v>77</v>
      </c>
      <c r="AQ1" s="62"/>
      <c r="AR1" s="62"/>
      <c r="AS1" s="63"/>
      <c r="AT1" s="61" t="s">
        <v>78</v>
      </c>
      <c r="AU1" s="62"/>
      <c r="AV1" s="62"/>
      <c r="AW1" s="62"/>
      <c r="AX1" s="63"/>
      <c r="AY1" s="61" t="s">
        <v>79</v>
      </c>
      <c r="AZ1" s="62"/>
      <c r="BA1" s="62"/>
      <c r="BB1" s="63"/>
      <c r="BC1" s="61" t="s">
        <v>80</v>
      </c>
      <c r="BD1" s="62"/>
      <c r="BE1" s="62"/>
      <c r="BF1" s="62"/>
      <c r="BG1" s="63"/>
      <c r="BH1" s="61" t="s">
        <v>81</v>
      </c>
      <c r="BI1" s="62"/>
      <c r="BJ1" s="62"/>
      <c r="BK1" s="63"/>
    </row>
    <row r="2" spans="1:63" ht="15" customHeight="1">
      <c r="A2" s="64" t="str">
        <f>IF(表紙!A2="","",表紙!A2)</f>
        <v>ignica POS</v>
      </c>
      <c r="B2" s="65"/>
      <c r="C2" s="65"/>
      <c r="D2" s="65"/>
      <c r="E2" s="65"/>
      <c r="F2" s="65"/>
      <c r="G2" s="65"/>
      <c r="H2" s="65"/>
      <c r="I2" s="65"/>
      <c r="J2" s="66"/>
      <c r="K2" s="64" t="str">
        <f>IF(表紙!K2="","",表紙!K2)</f>
        <v>POS Server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64" t="str">
        <f>IF(表紙!AP2="","",表紙!AP2)</f>
        <v xml:space="preserve">Thanh Nguyên </v>
      </c>
      <c r="AQ2" s="65"/>
      <c r="AR2" s="65"/>
      <c r="AS2" s="66"/>
      <c r="AT2" s="85">
        <f>IF(表紙!AT2="","",表紙!AT2)</f>
        <v>45336</v>
      </c>
      <c r="AU2" s="86"/>
      <c r="AV2" s="86"/>
      <c r="AW2" s="86"/>
      <c r="AX2" s="87"/>
      <c r="AY2" s="64" t="str">
        <f>IF(表紙!AY2="","",表紙!AY2)</f>
        <v xml:space="preserve">Thanh Nguyên </v>
      </c>
      <c r="AZ2" s="65"/>
      <c r="BA2" s="65"/>
      <c r="BB2" s="66"/>
      <c r="BC2" s="85">
        <f>IF(表紙!BC2="","",表紙!BC2)</f>
        <v>45336</v>
      </c>
      <c r="BD2" s="86"/>
      <c r="BE2" s="86"/>
      <c r="BF2" s="86"/>
      <c r="BG2" s="87"/>
      <c r="BH2" s="64">
        <f>IF(表紙!BH2="","",表紙!BH2)</f>
        <v>0.1</v>
      </c>
      <c r="BI2" s="65"/>
      <c r="BJ2" s="65"/>
      <c r="BK2" s="66"/>
    </row>
    <row r="3" spans="1:63" ht="15" customHeight="1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67"/>
      <c r="AQ3" s="68"/>
      <c r="AR3" s="68"/>
      <c r="AS3" s="69"/>
      <c r="AT3" s="88"/>
      <c r="AU3" s="89"/>
      <c r="AV3" s="89"/>
      <c r="AW3" s="89"/>
      <c r="AX3" s="90"/>
      <c r="AY3" s="67"/>
      <c r="AZ3" s="68"/>
      <c r="BA3" s="68"/>
      <c r="BB3" s="69"/>
      <c r="BC3" s="88"/>
      <c r="BD3" s="89"/>
      <c r="BE3" s="89"/>
      <c r="BF3" s="89"/>
      <c r="BG3" s="90"/>
      <c r="BH3" s="67"/>
      <c r="BI3" s="68"/>
      <c r="BJ3" s="68"/>
      <c r="BK3" s="69"/>
    </row>
    <row r="4" spans="1:63" ht="24.95" customHeight="1">
      <c r="A4" s="61" t="s">
        <v>75</v>
      </c>
      <c r="B4" s="62"/>
      <c r="C4" s="62"/>
      <c r="D4" s="62"/>
      <c r="E4" s="62"/>
      <c r="F4" s="62"/>
      <c r="G4" s="63"/>
      <c r="H4" s="58" t="str">
        <f>IF(表紙!H4="","",表紙!H4)</f>
        <v>X1 メニュー機能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61" t="s">
        <v>82</v>
      </c>
      <c r="V4" s="62"/>
      <c r="W4" s="62"/>
      <c r="X4" s="62"/>
      <c r="Y4" s="63"/>
      <c r="Z4" s="58" t="str">
        <f>IF(表紙!Z4="","",表紙!Z4)</f>
        <v>概要設計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58" t="str" cm="1">
        <f t="array" aca="1" ref="AP4" ca="1">RIGHT(CELL("filename",$A$1),LEN(CELL("filename",$A$1))-FIND("]",CELL("filename",$A$1)))</f>
        <v>業務フロー凡例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48"/>
      <c r="B6" s="49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0"/>
      <c r="AF6" s="49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0"/>
      <c r="BJ6" s="57"/>
      <c r="BK6" s="51"/>
    </row>
    <row r="7" spans="1:63" ht="15" customHeight="1">
      <c r="A7" s="48"/>
      <c r="B7" s="16" t="s">
        <v>16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8"/>
      <c r="AF7" s="16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8"/>
      <c r="BJ7" s="17"/>
      <c r="BK7" s="51"/>
    </row>
    <row r="8" spans="1:63" ht="15" customHeight="1">
      <c r="A8" s="48"/>
      <c r="B8" s="49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0"/>
      <c r="AF8" s="49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0"/>
      <c r="BJ8" s="57"/>
      <c r="BK8" s="51"/>
    </row>
    <row r="9" spans="1:63" ht="15" customHeight="1">
      <c r="A9" s="48"/>
      <c r="B9" s="49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0"/>
      <c r="AF9" s="49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0"/>
      <c r="BJ9" s="57"/>
      <c r="BK9" s="51"/>
    </row>
    <row r="10" spans="1:63" ht="15" customHeight="1">
      <c r="A10" s="48"/>
      <c r="B10" s="49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0"/>
      <c r="AF10" s="49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0"/>
      <c r="BJ10" s="57"/>
      <c r="BK10" s="51"/>
    </row>
    <row r="11" spans="1:63" ht="15" customHeight="1">
      <c r="A11" s="48"/>
      <c r="B11" s="49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0"/>
      <c r="AF11" s="49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0"/>
      <c r="BJ11" s="57"/>
      <c r="BK11" s="51"/>
    </row>
    <row r="12" spans="1:63" ht="15" customHeight="1">
      <c r="A12" s="48"/>
      <c r="B12" s="49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0"/>
      <c r="AF12" s="49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0"/>
      <c r="BJ12" s="57"/>
      <c r="BK12" s="51"/>
    </row>
    <row r="13" spans="1:63" ht="15" customHeight="1">
      <c r="A13" s="48"/>
      <c r="B13" s="49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0"/>
      <c r="AF13" s="49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0"/>
      <c r="BJ13" s="57"/>
      <c r="BK13" s="51"/>
    </row>
    <row r="14" spans="1:63" ht="15" customHeight="1">
      <c r="A14" s="48"/>
      <c r="B14" s="49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0"/>
      <c r="AF14" s="49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0"/>
      <c r="BJ14" s="57"/>
      <c r="BK14" s="51"/>
    </row>
    <row r="15" spans="1:63" ht="15" customHeight="1">
      <c r="A15" s="48"/>
      <c r="B15" s="49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0"/>
      <c r="AF15" s="49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0"/>
      <c r="BJ15" s="57"/>
      <c r="BK15" s="51"/>
    </row>
    <row r="16" spans="1:63" ht="15" customHeight="1">
      <c r="A16" s="48"/>
      <c r="B16" s="49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0"/>
      <c r="AF16" s="49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0"/>
      <c r="BJ16" s="57"/>
      <c r="BK16" s="51"/>
    </row>
    <row r="17" spans="1:63" ht="15" customHeight="1">
      <c r="A17" s="48"/>
      <c r="B17" s="49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0"/>
      <c r="AF17" s="49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0"/>
      <c r="BJ17" s="57"/>
      <c r="BK17" s="51"/>
    </row>
    <row r="18" spans="1:63" ht="15" customHeight="1">
      <c r="A18" s="48"/>
      <c r="B18" s="49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0"/>
      <c r="AF18" s="49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0"/>
      <c r="BJ18" s="57"/>
      <c r="BK18" s="51"/>
    </row>
    <row r="19" spans="1:63" ht="15" customHeight="1">
      <c r="A19" s="48"/>
      <c r="B19" s="49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0"/>
      <c r="AF19" s="49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0"/>
      <c r="BJ19" s="57"/>
      <c r="BK19" s="51"/>
    </row>
    <row r="20" spans="1:63" ht="15" customHeight="1">
      <c r="A20" s="48"/>
      <c r="B20" s="49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0"/>
      <c r="AF20" s="49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0"/>
      <c r="BJ20" s="57"/>
      <c r="BK20" s="51"/>
    </row>
    <row r="21" spans="1:63" ht="15" customHeight="1">
      <c r="A21" s="48"/>
      <c r="B21" s="49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0"/>
      <c r="AF21" s="49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0"/>
      <c r="BJ21" s="57"/>
      <c r="BK21" s="51"/>
    </row>
    <row r="22" spans="1:63" ht="15" customHeight="1">
      <c r="A22" s="48"/>
      <c r="B22" s="16" t="s">
        <v>17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8"/>
      <c r="AF22" s="16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8"/>
      <c r="BJ22" s="17"/>
      <c r="BK22" s="51"/>
    </row>
    <row r="23" spans="1:63" ht="15" customHeight="1">
      <c r="A23" s="48"/>
      <c r="B23" s="4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0"/>
      <c r="AF23" s="49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0"/>
      <c r="BJ23" s="57"/>
      <c r="BK23" s="51"/>
    </row>
    <row r="24" spans="1:63" ht="15" customHeight="1">
      <c r="A24" s="48"/>
      <c r="B24" s="4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0"/>
      <c r="AF24" s="49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0"/>
      <c r="BJ24" s="57"/>
      <c r="BK24" s="51"/>
    </row>
    <row r="25" spans="1:63" ht="15" customHeight="1">
      <c r="A25" s="48"/>
      <c r="B25" s="4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0"/>
      <c r="AF25" s="49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0"/>
      <c r="BJ25" s="57"/>
      <c r="BK25" s="51"/>
    </row>
    <row r="26" spans="1:63" ht="15" customHeight="1">
      <c r="A26" s="48"/>
      <c r="B26" s="4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0"/>
      <c r="AF26" s="49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0"/>
      <c r="BJ26" s="57"/>
      <c r="BK26" s="51"/>
    </row>
    <row r="27" spans="1:63" ht="15" customHeight="1">
      <c r="A27" s="48"/>
      <c r="B27" s="4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0"/>
      <c r="AF27" s="49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0"/>
      <c r="BJ27" s="57"/>
      <c r="BK27" s="51"/>
    </row>
    <row r="28" spans="1:63" ht="15" customHeight="1">
      <c r="A28" s="48"/>
      <c r="B28" s="4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0"/>
      <c r="AF28" s="49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0"/>
      <c r="BJ28" s="57"/>
      <c r="BK28" s="51"/>
    </row>
    <row r="29" spans="1:63" ht="15" customHeight="1">
      <c r="A29" s="48"/>
      <c r="B29" s="4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0"/>
      <c r="AF29" s="49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0"/>
      <c r="BJ29" s="57"/>
      <c r="BK29" s="51"/>
    </row>
    <row r="30" spans="1:63" ht="15" customHeight="1">
      <c r="A30" s="48"/>
      <c r="B30" s="4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0"/>
      <c r="AF30" s="49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0"/>
      <c r="BJ30" s="57"/>
      <c r="BK30" s="51"/>
    </row>
    <row r="31" spans="1:63" ht="15" customHeight="1">
      <c r="A31" s="48"/>
      <c r="B31" s="4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0"/>
      <c r="AF31" s="49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0"/>
      <c r="BJ31" s="57"/>
      <c r="BK31" s="51"/>
    </row>
    <row r="32" spans="1:63" ht="15" customHeight="1">
      <c r="A32" s="48"/>
      <c r="B32" s="4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0"/>
      <c r="AF32" s="49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0"/>
      <c r="BJ32" s="57"/>
      <c r="BK32" s="51"/>
    </row>
    <row r="33" spans="1:63" ht="15" customHeight="1">
      <c r="A33" s="48"/>
      <c r="B33" s="4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0"/>
      <c r="AF33" s="49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0"/>
      <c r="BJ33" s="57"/>
      <c r="BK33" s="51"/>
    </row>
    <row r="34" spans="1:63" ht="15" customHeight="1">
      <c r="A34" s="48"/>
      <c r="B34" s="4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0"/>
      <c r="AF34" s="49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0"/>
      <c r="BJ34" s="57"/>
      <c r="BK34" s="51"/>
    </row>
    <row r="35" spans="1:63" ht="15" customHeight="1">
      <c r="A35" s="48"/>
      <c r="B35" s="4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0"/>
      <c r="AF35" s="49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0"/>
      <c r="BJ35" s="57"/>
      <c r="BK35" s="51"/>
    </row>
    <row r="36" spans="1:63" ht="15" customHeight="1">
      <c r="A36" s="48"/>
      <c r="B36" s="4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0"/>
      <c r="AF36" s="49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0"/>
      <c r="BJ36" s="57"/>
      <c r="BK36" s="51"/>
    </row>
    <row r="37" spans="1:63" ht="15" customHeight="1">
      <c r="A37" s="48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1"/>
    </row>
    <row r="38" spans="1:63" ht="15" customHeight="1">
      <c r="A38" s="48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1"/>
    </row>
    <row r="39" spans="1:63" ht="15" customHeight="1">
      <c r="A39" s="48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1"/>
    </row>
    <row r="40" spans="1:63" ht="15" customHeight="1">
      <c r="A40" s="48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1"/>
    </row>
    <row r="41" spans="1:63" ht="15" customHeight="1">
      <c r="A41" s="48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1"/>
    </row>
    <row r="42" spans="1:63" ht="15" customHeight="1">
      <c r="A42" s="48"/>
      <c r="B42" s="16" t="s">
        <v>18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8"/>
      <c r="AF42" s="16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8"/>
      <c r="BJ42" s="17"/>
      <c r="BK42" s="51"/>
    </row>
    <row r="43" spans="1:63" ht="15" customHeight="1">
      <c r="A43" s="48"/>
      <c r="B43" s="49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0"/>
      <c r="AF43" s="49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0"/>
      <c r="BJ43" s="57"/>
      <c r="BK43" s="51"/>
    </row>
    <row r="44" spans="1:63" ht="15" customHeight="1">
      <c r="A44" s="48"/>
      <c r="B44" s="49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0"/>
      <c r="AF44" s="49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0"/>
      <c r="BJ44" s="57"/>
      <c r="BK44" s="51"/>
    </row>
    <row r="45" spans="1:63" ht="15" customHeight="1">
      <c r="A45" s="48"/>
      <c r="B45" s="49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0"/>
      <c r="AF45" s="49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0"/>
      <c r="BJ45" s="57"/>
      <c r="BK45" s="51"/>
    </row>
    <row r="46" spans="1:63" ht="15" customHeight="1">
      <c r="A46" s="48"/>
      <c r="B46" s="49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0"/>
      <c r="AF46" s="49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0"/>
      <c r="BJ46" s="57"/>
      <c r="BK46" s="51"/>
    </row>
    <row r="47" spans="1:63" ht="15" customHeight="1">
      <c r="A47" s="48"/>
      <c r="B47" s="49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0"/>
      <c r="AF47" s="49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0"/>
      <c r="BJ47" s="57"/>
      <c r="BK47" s="51"/>
    </row>
    <row r="48" spans="1:63" ht="15" customHeight="1">
      <c r="A48" s="48"/>
      <c r="B48" s="49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0"/>
      <c r="AF48" s="49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0"/>
      <c r="BJ48" s="57"/>
      <c r="BK48" s="51"/>
    </row>
    <row r="49" spans="1:63" ht="15" customHeight="1">
      <c r="A49" s="48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1"/>
    </row>
    <row r="50" spans="1:63" ht="15" customHeight="1">
      <c r="A50" s="48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1"/>
    </row>
    <row r="51" spans="1:63" ht="15" customHeight="1">
      <c r="A51" s="48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1"/>
    </row>
    <row r="52" spans="1:63" ht="15" customHeight="1">
      <c r="A52" s="48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1"/>
    </row>
    <row r="53" spans="1:63" ht="15" customHeight="1">
      <c r="A53" s="48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1"/>
    </row>
    <row r="54" spans="1:63" ht="15" customHeight="1">
      <c r="A54" s="48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1"/>
    </row>
    <row r="55" spans="1:63" ht="15" customHeight="1">
      <c r="A55" s="52"/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5"/>
      <c r="AF55" s="53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5"/>
      <c r="BJ55" s="54"/>
      <c r="BK55" s="56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48F4-D8AD-443A-8E50-529BF54BC9AC}">
  <sheetPr>
    <pageSetUpPr fitToPage="1"/>
  </sheetPr>
  <dimension ref="A1:BK55"/>
  <sheetViews>
    <sheetView view="pageBreakPreview" zoomScale="75" zoomScaleNormal="75" zoomScaleSheetLayoutView="75" workbookViewId="0">
      <selection activeCell="BV38" sqref="BV38"/>
    </sheetView>
  </sheetViews>
  <sheetFormatPr defaultColWidth="2.77734375" defaultRowHeight="15" customHeight="1"/>
  <sheetData>
    <row r="1" spans="1:63" ht="24.95" customHeigh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2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0" t="str">
        <f>IF(表紙!W1="","",表紙!W1)</f>
        <v>基本設計書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  <c r="AP1" s="61" t="s">
        <v>3</v>
      </c>
      <c r="AQ1" s="62"/>
      <c r="AR1" s="62"/>
      <c r="AS1" s="63"/>
      <c r="AT1" s="61" t="s">
        <v>4</v>
      </c>
      <c r="AU1" s="62"/>
      <c r="AV1" s="62"/>
      <c r="AW1" s="62"/>
      <c r="AX1" s="63"/>
      <c r="AY1" s="61" t="s">
        <v>5</v>
      </c>
      <c r="AZ1" s="62"/>
      <c r="BA1" s="62"/>
      <c r="BB1" s="63"/>
      <c r="BC1" s="61" t="s">
        <v>6</v>
      </c>
      <c r="BD1" s="62"/>
      <c r="BE1" s="62"/>
      <c r="BF1" s="62"/>
      <c r="BG1" s="63"/>
      <c r="BH1" s="61" t="s">
        <v>7</v>
      </c>
      <c r="BI1" s="62"/>
      <c r="BJ1" s="62"/>
      <c r="BK1" s="63"/>
    </row>
    <row r="2" spans="1:63" ht="15" customHeight="1">
      <c r="A2" s="64" t="str">
        <f>IF(表紙!A2="","",表紙!A2)</f>
        <v>ignica POS</v>
      </c>
      <c r="B2" s="65"/>
      <c r="C2" s="65"/>
      <c r="D2" s="65"/>
      <c r="E2" s="65"/>
      <c r="F2" s="65"/>
      <c r="G2" s="65"/>
      <c r="H2" s="65"/>
      <c r="I2" s="65"/>
      <c r="J2" s="66"/>
      <c r="K2" s="64" t="str">
        <f>IF(表紙!K2="","",表紙!K2)</f>
        <v>POS Server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64" t="str">
        <f>IF(表紙!AP2="","",表紙!AP2)</f>
        <v xml:space="preserve">Thanh Nguyên </v>
      </c>
      <c r="AQ2" s="65"/>
      <c r="AR2" s="65"/>
      <c r="AS2" s="66"/>
      <c r="AT2" s="85">
        <f>IF(表紙!AT2="","",表紙!AT2)</f>
        <v>45336</v>
      </c>
      <c r="AU2" s="86"/>
      <c r="AV2" s="86"/>
      <c r="AW2" s="86"/>
      <c r="AX2" s="87"/>
      <c r="AY2" s="64" t="str">
        <f>IF(表紙!AY2="","",表紙!AY2)</f>
        <v xml:space="preserve">Thanh Nguyên </v>
      </c>
      <c r="AZ2" s="65"/>
      <c r="BA2" s="65"/>
      <c r="BB2" s="66"/>
      <c r="BC2" s="85">
        <f>IF(表紙!BC2="","",表紙!BC2)</f>
        <v>45336</v>
      </c>
      <c r="BD2" s="86"/>
      <c r="BE2" s="86"/>
      <c r="BF2" s="86"/>
      <c r="BG2" s="87"/>
      <c r="BH2" s="64">
        <f>IF(表紙!BH2="","",表紙!BH2)</f>
        <v>0.1</v>
      </c>
      <c r="BI2" s="65"/>
      <c r="BJ2" s="65"/>
      <c r="BK2" s="66"/>
    </row>
    <row r="3" spans="1:63" ht="15" customHeight="1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67"/>
      <c r="AQ3" s="68"/>
      <c r="AR3" s="68"/>
      <c r="AS3" s="69"/>
      <c r="AT3" s="88"/>
      <c r="AU3" s="89"/>
      <c r="AV3" s="89"/>
      <c r="AW3" s="89"/>
      <c r="AX3" s="90"/>
      <c r="AY3" s="67"/>
      <c r="AZ3" s="68"/>
      <c r="BA3" s="68"/>
      <c r="BB3" s="69"/>
      <c r="BC3" s="88"/>
      <c r="BD3" s="89"/>
      <c r="BE3" s="89"/>
      <c r="BF3" s="89"/>
      <c r="BG3" s="90"/>
      <c r="BH3" s="67"/>
      <c r="BI3" s="68"/>
      <c r="BJ3" s="68"/>
      <c r="BK3" s="69"/>
    </row>
    <row r="4" spans="1:63" ht="24.95" customHeight="1">
      <c r="A4" s="61" t="s">
        <v>1</v>
      </c>
      <c r="B4" s="62"/>
      <c r="C4" s="62"/>
      <c r="D4" s="62"/>
      <c r="E4" s="62"/>
      <c r="F4" s="62"/>
      <c r="G4" s="63"/>
      <c r="H4" s="58" t="str">
        <f>IF(表紙!H4="","",表紙!H4)</f>
        <v>X1 メニュー機能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61" t="s">
        <v>8</v>
      </c>
      <c r="V4" s="62"/>
      <c r="W4" s="62"/>
      <c r="X4" s="62"/>
      <c r="Y4" s="63"/>
      <c r="Z4" s="58" t="str">
        <f>IF(表紙!Z4="","",表紙!Z4)</f>
        <v>概要設計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58" t="str" cm="1">
        <f t="array" aca="1" ref="AP4" ca="1">RIGHT(CELL("filename",$A$1),LEN(CELL("filename",$A$1))-FIND("]",CELL("filename",$A$1)))</f>
        <v>機能概要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s="19" t="s">
        <v>19</v>
      </c>
      <c r="C7" s="20"/>
      <c r="D7" s="17"/>
      <c r="E7" s="17"/>
      <c r="F7" s="17"/>
      <c r="G7" s="17"/>
      <c r="H7" s="17"/>
      <c r="I7" s="17"/>
      <c r="J7" s="17"/>
      <c r="K7" s="21"/>
      <c r="L7" s="20"/>
      <c r="M7" s="17"/>
      <c r="N7" s="17"/>
      <c r="O7" s="17"/>
      <c r="P7" s="17"/>
      <c r="Q7" s="17"/>
      <c r="R7" s="17"/>
      <c r="S7" s="17"/>
      <c r="T7" s="21"/>
      <c r="U7" s="20"/>
      <c r="V7" s="17"/>
      <c r="W7" s="17"/>
      <c r="X7" s="17"/>
      <c r="Y7" s="17"/>
      <c r="Z7" s="17"/>
      <c r="AA7" s="17"/>
      <c r="AB7" s="17"/>
      <c r="AC7" s="21"/>
      <c r="AD7" s="20"/>
      <c r="AE7" s="17"/>
      <c r="AF7" s="17"/>
      <c r="AG7" s="17"/>
      <c r="AH7" s="17"/>
      <c r="AI7" s="17"/>
      <c r="AJ7" s="17"/>
      <c r="AK7" s="17"/>
      <c r="AL7" s="21"/>
      <c r="AM7" s="20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21"/>
      <c r="BJ7" s="20"/>
      <c r="BK7" s="4"/>
    </row>
    <row r="8" spans="1:63" ht="15" customHeight="1">
      <c r="A8" s="1"/>
      <c r="K8" s="22"/>
      <c r="L8" s="23"/>
      <c r="T8" s="22"/>
      <c r="U8" s="23"/>
      <c r="AC8" s="22"/>
      <c r="AD8" s="23"/>
      <c r="AL8" s="22"/>
      <c r="AM8" s="23"/>
      <c r="BI8" s="22"/>
      <c r="BJ8" s="23"/>
      <c r="BK8" s="4"/>
    </row>
    <row r="9" spans="1:63" ht="15" customHeight="1">
      <c r="A9" s="1"/>
      <c r="K9" s="22"/>
      <c r="L9" s="23"/>
      <c r="T9" s="22"/>
      <c r="U9" s="23"/>
      <c r="AC9" s="22"/>
      <c r="AD9" s="23"/>
      <c r="AL9" s="22"/>
      <c r="AM9" s="23"/>
      <c r="BI9" s="22"/>
      <c r="BJ9" s="23"/>
      <c r="BK9" s="4"/>
    </row>
    <row r="10" spans="1:63" ht="15" customHeight="1">
      <c r="A10" s="1"/>
      <c r="K10" s="22"/>
      <c r="L10" s="23"/>
      <c r="T10" s="22"/>
      <c r="U10" s="23"/>
      <c r="AC10" s="22"/>
      <c r="AD10" s="23"/>
      <c r="AL10" s="22"/>
      <c r="AM10" s="23"/>
      <c r="BI10" s="22"/>
      <c r="BJ10" s="23"/>
      <c r="BK10" s="4"/>
    </row>
    <row r="11" spans="1:63" ht="15" customHeight="1">
      <c r="A11" s="1"/>
      <c r="K11" s="22"/>
      <c r="L11" s="23"/>
      <c r="T11" s="22"/>
      <c r="U11" s="23"/>
      <c r="AC11" s="22"/>
      <c r="AD11" s="23"/>
      <c r="AL11" s="22"/>
      <c r="AM11" s="23"/>
      <c r="BI11" s="22"/>
      <c r="BJ11" s="23"/>
      <c r="BK11" s="4"/>
    </row>
    <row r="12" spans="1:63" ht="15" customHeight="1">
      <c r="A12" s="1"/>
      <c r="K12" s="22"/>
      <c r="L12" s="23"/>
      <c r="T12" s="22"/>
      <c r="U12" s="23"/>
      <c r="AC12" s="22"/>
      <c r="AD12" s="23"/>
      <c r="AL12" s="22"/>
      <c r="AM12" s="23"/>
      <c r="BI12" s="22"/>
      <c r="BJ12" s="23"/>
      <c r="BK12" s="4"/>
    </row>
    <row r="13" spans="1:63" ht="15" customHeight="1">
      <c r="A13" s="1"/>
      <c r="K13" s="22"/>
      <c r="L13" s="23"/>
      <c r="T13" s="22"/>
      <c r="U13" s="23"/>
      <c r="AC13" s="22"/>
      <c r="AD13" s="23"/>
      <c r="AL13" s="22"/>
      <c r="AM13" s="23"/>
      <c r="BI13" s="22"/>
      <c r="BJ13" s="23"/>
      <c r="BK13" s="4"/>
    </row>
    <row r="14" spans="1:63" ht="15" customHeight="1">
      <c r="A14" s="1"/>
      <c r="K14" s="22"/>
      <c r="L14" s="23"/>
      <c r="T14" s="22"/>
      <c r="U14" s="23"/>
      <c r="AC14" s="22"/>
      <c r="AD14" s="23"/>
      <c r="AL14" s="22"/>
      <c r="AM14" s="23"/>
      <c r="BI14" s="22"/>
      <c r="BJ14" s="23"/>
      <c r="BK14" s="4"/>
    </row>
    <row r="15" spans="1:63" ht="15" customHeight="1">
      <c r="A15" s="1"/>
      <c r="K15" s="22"/>
      <c r="L15" s="23"/>
      <c r="T15" s="22"/>
      <c r="U15" s="23"/>
      <c r="AC15" s="22"/>
      <c r="AD15" s="23"/>
      <c r="AL15" s="22"/>
      <c r="AM15" s="23"/>
      <c r="BI15" s="22"/>
      <c r="BJ15" s="23"/>
      <c r="BK15" s="4"/>
    </row>
    <row r="16" spans="1:63" ht="15" customHeight="1">
      <c r="A16" s="1"/>
      <c r="K16" s="22"/>
      <c r="L16" s="23"/>
      <c r="T16" s="22"/>
      <c r="U16" s="23"/>
      <c r="AC16" s="22"/>
      <c r="AD16" s="23"/>
      <c r="AL16" s="22"/>
      <c r="AM16" s="23"/>
      <c r="BI16" s="22"/>
      <c r="BJ16" s="23"/>
      <c r="BK16" s="4"/>
    </row>
    <row r="17" spans="1:63" ht="15" customHeight="1">
      <c r="A17" s="1"/>
      <c r="K17" s="22"/>
      <c r="L17" s="23"/>
      <c r="T17" s="22"/>
      <c r="U17" s="23"/>
      <c r="AC17" s="22"/>
      <c r="AD17" s="23"/>
      <c r="AL17" s="22"/>
      <c r="AM17" s="23"/>
      <c r="BI17" s="22"/>
      <c r="BJ17" s="23"/>
      <c r="BK17" s="4"/>
    </row>
    <row r="18" spans="1:63" ht="15" customHeight="1">
      <c r="A18" s="1"/>
      <c r="K18" s="22"/>
      <c r="L18" s="23"/>
      <c r="T18" s="22"/>
      <c r="U18" s="23"/>
      <c r="AC18" s="22"/>
      <c r="AD18" s="23"/>
      <c r="AL18" s="22"/>
      <c r="AM18" s="23"/>
      <c r="BI18" s="22"/>
      <c r="BJ18" s="23"/>
      <c r="BK18" s="4"/>
    </row>
    <row r="19" spans="1:63" ht="15" customHeight="1">
      <c r="A19" s="1"/>
      <c r="K19" s="22"/>
      <c r="L19" s="23"/>
      <c r="T19" s="22"/>
      <c r="U19" s="23"/>
      <c r="AC19" s="22"/>
      <c r="AD19" s="23"/>
      <c r="AL19" s="22"/>
      <c r="AM19" s="23"/>
      <c r="BI19" s="22"/>
      <c r="BJ19" s="23"/>
      <c r="BK19" s="4"/>
    </row>
    <row r="20" spans="1:63" ht="15" customHeight="1">
      <c r="A20" s="1"/>
      <c r="K20" s="22"/>
      <c r="L20" s="23"/>
      <c r="T20" s="22"/>
      <c r="U20" s="23"/>
      <c r="AC20" s="22"/>
      <c r="AD20" s="23"/>
      <c r="AL20" s="22"/>
      <c r="AM20" s="23"/>
      <c r="BI20" s="22"/>
      <c r="BJ20" s="23"/>
      <c r="BK20" s="4"/>
    </row>
    <row r="21" spans="1:63" ht="15" customHeight="1">
      <c r="A21" s="1"/>
      <c r="K21" s="22"/>
      <c r="L21" s="23"/>
      <c r="T21" s="22"/>
      <c r="U21" s="23"/>
      <c r="AC21" s="22"/>
      <c r="AD21" s="23"/>
      <c r="AL21" s="22"/>
      <c r="AM21" s="23"/>
      <c r="BI21" s="22"/>
      <c r="BJ21" s="23"/>
      <c r="BK21" s="4"/>
    </row>
    <row r="22" spans="1:63" ht="15" customHeight="1">
      <c r="A22" s="1"/>
      <c r="K22" s="22"/>
      <c r="L22" s="23"/>
      <c r="T22" s="22"/>
      <c r="U22" s="23"/>
      <c r="AC22" s="22"/>
      <c r="AD22" s="23"/>
      <c r="AL22" s="22"/>
      <c r="AM22" s="23"/>
      <c r="BI22" s="22"/>
      <c r="BJ22" s="23"/>
      <c r="BK22" s="4"/>
    </row>
    <row r="23" spans="1:63" ht="15" customHeight="1">
      <c r="A23" s="1"/>
      <c r="K23" s="22"/>
      <c r="L23" s="23"/>
      <c r="T23" s="22"/>
      <c r="U23" s="23"/>
      <c r="AC23" s="22"/>
      <c r="AD23" s="23"/>
      <c r="AL23" s="22"/>
      <c r="AM23" s="23"/>
      <c r="BI23" s="22"/>
      <c r="BJ23" s="23"/>
      <c r="BK23" s="4"/>
    </row>
    <row r="24" spans="1:63" ht="15" customHeight="1">
      <c r="A24" s="1"/>
      <c r="K24" s="22"/>
      <c r="L24" s="23"/>
      <c r="T24" s="22"/>
      <c r="U24" s="23"/>
      <c r="AC24" s="22"/>
      <c r="AD24" s="23"/>
      <c r="AL24" s="22"/>
      <c r="AM24" s="23"/>
      <c r="BI24" s="22"/>
      <c r="BJ24" s="23"/>
      <c r="BK24" s="4"/>
    </row>
    <row r="25" spans="1:63" ht="15" customHeight="1">
      <c r="A25" s="1"/>
      <c r="K25" s="22"/>
      <c r="L25" s="23"/>
      <c r="T25" s="22"/>
      <c r="U25" s="23"/>
      <c r="AC25" s="22"/>
      <c r="AD25" s="23"/>
      <c r="AL25" s="22"/>
      <c r="AM25" s="23"/>
      <c r="BI25" s="22"/>
      <c r="BJ25" s="23"/>
      <c r="BK25" s="4"/>
    </row>
    <row r="26" spans="1:63" ht="15" customHeight="1">
      <c r="A26" s="1"/>
      <c r="K26" s="22"/>
      <c r="L26" s="23"/>
      <c r="T26" s="22"/>
      <c r="U26" s="23"/>
      <c r="AC26" s="22"/>
      <c r="AD26" s="23"/>
      <c r="AL26" s="22"/>
      <c r="AM26" s="23"/>
      <c r="BI26" s="22"/>
      <c r="BJ26" s="23"/>
      <c r="BK26" s="4"/>
    </row>
    <row r="27" spans="1:63" ht="15" customHeight="1">
      <c r="A27" s="1"/>
      <c r="K27" s="22"/>
      <c r="L27" s="23"/>
      <c r="T27" s="22"/>
      <c r="U27" s="23"/>
      <c r="AC27" s="22"/>
      <c r="AD27" s="23"/>
      <c r="AL27" s="22"/>
      <c r="AM27" s="23"/>
      <c r="BI27" s="22"/>
      <c r="BJ27" s="23"/>
      <c r="BK27" s="4"/>
    </row>
    <row r="28" spans="1:63" ht="15" customHeight="1">
      <c r="A28" s="1"/>
      <c r="K28" s="22"/>
      <c r="L28" s="23"/>
      <c r="T28" s="22"/>
      <c r="U28" s="23"/>
      <c r="AC28" s="22"/>
      <c r="AD28" s="23"/>
      <c r="AL28" s="22"/>
      <c r="AM28" s="23"/>
      <c r="BI28" s="22"/>
      <c r="BJ28" s="23"/>
      <c r="BK28" s="4"/>
    </row>
    <row r="29" spans="1:63" ht="15" customHeight="1">
      <c r="A29" s="1"/>
      <c r="K29" s="22"/>
      <c r="L29" s="23"/>
      <c r="T29" s="22"/>
      <c r="U29" s="23"/>
      <c r="AC29" s="22"/>
      <c r="AD29" s="23"/>
      <c r="AL29" s="22"/>
      <c r="AM29" s="23"/>
      <c r="BI29" s="22"/>
      <c r="BJ29" s="23"/>
      <c r="BK29" s="4"/>
    </row>
    <row r="30" spans="1:63" ht="15" customHeight="1">
      <c r="A30" s="1"/>
      <c r="K30" s="22"/>
      <c r="L30" s="23"/>
      <c r="T30" s="22"/>
      <c r="U30" s="23"/>
      <c r="AC30" s="22"/>
      <c r="AD30" s="23"/>
      <c r="AL30" s="22"/>
      <c r="AM30" s="23"/>
      <c r="BI30" s="22"/>
      <c r="BJ30" s="23"/>
      <c r="BK30" s="4"/>
    </row>
    <row r="31" spans="1:63" ht="15" customHeight="1">
      <c r="A31" s="1"/>
      <c r="K31" s="22"/>
      <c r="L31" s="23"/>
      <c r="T31" s="22"/>
      <c r="U31" s="23"/>
      <c r="AC31" s="22"/>
      <c r="AD31" s="23"/>
      <c r="AL31" s="22"/>
      <c r="AM31" s="23"/>
      <c r="BI31" s="22"/>
      <c r="BJ31" s="23"/>
      <c r="BK31" s="4"/>
    </row>
    <row r="32" spans="1:63" ht="15" customHeight="1">
      <c r="A32" s="1"/>
      <c r="K32" s="22"/>
      <c r="L32" s="23"/>
      <c r="T32" s="22"/>
      <c r="U32" s="23"/>
      <c r="AC32" s="22"/>
      <c r="AD32" s="23"/>
      <c r="AL32" s="22"/>
      <c r="AM32" s="23"/>
      <c r="BI32" s="22"/>
      <c r="BJ32" s="23"/>
      <c r="BK32" s="4"/>
    </row>
    <row r="33" spans="1:63" ht="15" customHeight="1">
      <c r="A33" s="1"/>
      <c r="K33" s="22"/>
      <c r="L33" s="23"/>
      <c r="T33" s="22"/>
      <c r="U33" s="23"/>
      <c r="AC33" s="22"/>
      <c r="AD33" s="23"/>
      <c r="AL33" s="22"/>
      <c r="AM33" s="23"/>
      <c r="BI33" s="22"/>
      <c r="BJ33" s="23"/>
      <c r="BK33" s="4"/>
    </row>
    <row r="34" spans="1:63" ht="15" customHeight="1">
      <c r="A34" s="1"/>
      <c r="K34" s="22"/>
      <c r="L34" s="23"/>
      <c r="T34" s="22"/>
      <c r="U34" s="23"/>
      <c r="AC34" s="22"/>
      <c r="AD34" s="23"/>
      <c r="AL34" s="22"/>
      <c r="AM34" s="23"/>
      <c r="BI34" s="22"/>
      <c r="BJ34" s="23"/>
      <c r="BK34" s="4"/>
    </row>
    <row r="35" spans="1:63" ht="15" customHeight="1">
      <c r="A35" s="1"/>
      <c r="K35" s="22"/>
      <c r="L35" s="23"/>
      <c r="T35" s="22"/>
      <c r="U35" s="23"/>
      <c r="AC35" s="22"/>
      <c r="AD35" s="23"/>
      <c r="AL35" s="22"/>
      <c r="AM35" s="23"/>
      <c r="BI35" s="22"/>
      <c r="BJ35" s="23"/>
      <c r="BK35" s="4"/>
    </row>
    <row r="36" spans="1:63" ht="15" customHeight="1">
      <c r="A36" s="1"/>
      <c r="K36" s="22"/>
      <c r="L36" s="23"/>
      <c r="T36" s="22"/>
      <c r="U36" s="23"/>
      <c r="AC36" s="22"/>
      <c r="AD36" s="23"/>
      <c r="AL36" s="22"/>
      <c r="AM36" s="23"/>
      <c r="BI36" s="22"/>
      <c r="BJ36" s="23"/>
      <c r="BK36" s="4"/>
    </row>
    <row r="37" spans="1:63" ht="15" customHeight="1">
      <c r="A37" s="1"/>
      <c r="K37" s="22"/>
      <c r="L37" s="23"/>
      <c r="T37" s="22"/>
      <c r="U37" s="23"/>
      <c r="AC37" s="22"/>
      <c r="AD37" s="23"/>
      <c r="AL37" s="22"/>
      <c r="AM37" s="23"/>
      <c r="BI37" s="22"/>
      <c r="BJ37" s="23"/>
      <c r="BK37" s="4"/>
    </row>
    <row r="38" spans="1:63" ht="15" customHeight="1">
      <c r="A38" s="1"/>
      <c r="K38" s="22"/>
      <c r="L38" s="23"/>
      <c r="T38" s="22"/>
      <c r="U38" s="23"/>
      <c r="AC38" s="22"/>
      <c r="AD38" s="23"/>
      <c r="AL38" s="22"/>
      <c r="AM38" s="23"/>
      <c r="BI38" s="22"/>
      <c r="BJ38" s="23"/>
      <c r="BK38" s="4"/>
    </row>
    <row r="39" spans="1:63" ht="15" customHeight="1">
      <c r="A39" s="1"/>
      <c r="K39" s="22"/>
      <c r="L39" s="23"/>
      <c r="T39" s="22"/>
      <c r="U39" s="23"/>
      <c r="AC39" s="22"/>
      <c r="AD39" s="23"/>
      <c r="AL39" s="22"/>
      <c r="AM39" s="23"/>
      <c r="BI39" s="22"/>
      <c r="BJ39" s="23"/>
      <c r="BK39" s="4"/>
    </row>
    <row r="40" spans="1:63" ht="15" customHeight="1">
      <c r="A40" s="1"/>
      <c r="K40" s="22"/>
      <c r="L40" s="23"/>
      <c r="T40" s="22"/>
      <c r="U40" s="23"/>
      <c r="AC40" s="22"/>
      <c r="AD40" s="23"/>
      <c r="AL40" s="22"/>
      <c r="AM40" s="23"/>
      <c r="BI40" s="22"/>
      <c r="BJ40" s="23"/>
      <c r="BK40" s="4"/>
    </row>
    <row r="41" spans="1:63" ht="15" customHeight="1">
      <c r="A41" s="1"/>
      <c r="K41" s="22"/>
      <c r="L41" s="23"/>
      <c r="T41" s="22"/>
      <c r="U41" s="23"/>
      <c r="AC41" s="22"/>
      <c r="AD41" s="23"/>
      <c r="AL41" s="22"/>
      <c r="AM41" s="23"/>
      <c r="BI41" s="22"/>
      <c r="BJ41" s="23"/>
      <c r="BK41" s="4"/>
    </row>
    <row r="42" spans="1:63" ht="15" customHeight="1">
      <c r="A42" s="1"/>
      <c r="K42" s="22"/>
      <c r="L42" s="23"/>
      <c r="T42" s="22"/>
      <c r="U42" s="23"/>
      <c r="AC42" s="22"/>
      <c r="AD42" s="23"/>
      <c r="AL42" s="22"/>
      <c r="AM42" s="23"/>
      <c r="BI42" s="22"/>
      <c r="BJ42" s="23"/>
      <c r="BK42" s="4"/>
    </row>
    <row r="43" spans="1:63" ht="15" customHeight="1">
      <c r="A43" s="1"/>
      <c r="K43" s="22"/>
      <c r="L43" s="23"/>
      <c r="T43" s="22"/>
      <c r="U43" s="23"/>
      <c r="AC43" s="22"/>
      <c r="AD43" s="23"/>
      <c r="AL43" s="22"/>
      <c r="AM43" s="23"/>
      <c r="BI43" s="22"/>
      <c r="BJ43" s="23"/>
      <c r="BK43" s="4"/>
    </row>
    <row r="44" spans="1:63" ht="15" customHeight="1">
      <c r="A44" s="1"/>
      <c r="K44" s="22"/>
      <c r="L44" s="23"/>
      <c r="T44" s="22"/>
      <c r="U44" s="23"/>
      <c r="AC44" s="22"/>
      <c r="AD44" s="23"/>
      <c r="AL44" s="22"/>
      <c r="AM44" s="23"/>
      <c r="BI44" s="22"/>
      <c r="BJ44" s="23"/>
      <c r="BK44" s="4"/>
    </row>
    <row r="45" spans="1:63" ht="15" customHeight="1">
      <c r="A45" s="1"/>
      <c r="K45" s="22"/>
      <c r="L45" s="23"/>
      <c r="T45" s="22"/>
      <c r="U45" s="23"/>
      <c r="AC45" s="22"/>
      <c r="AD45" s="23"/>
      <c r="AL45" s="22"/>
      <c r="AM45" s="23"/>
      <c r="BI45" s="22"/>
      <c r="BJ45" s="23"/>
      <c r="BK45" s="4"/>
    </row>
    <row r="46" spans="1:63" ht="15" customHeight="1">
      <c r="A46" s="1"/>
      <c r="K46" s="22"/>
      <c r="L46" s="23"/>
      <c r="T46" s="22"/>
      <c r="U46" s="23"/>
      <c r="AC46" s="22"/>
      <c r="AD46" s="23"/>
      <c r="AL46" s="22"/>
      <c r="AM46" s="23"/>
      <c r="BI46" s="22"/>
      <c r="BJ46" s="23"/>
      <c r="BK46" s="4"/>
    </row>
    <row r="47" spans="1:63" ht="15" customHeight="1">
      <c r="A47" s="1"/>
      <c r="K47" s="22"/>
      <c r="L47" s="23"/>
      <c r="T47" s="22"/>
      <c r="U47" s="23"/>
      <c r="AC47" s="22"/>
      <c r="AD47" s="23"/>
      <c r="AL47" s="22"/>
      <c r="AM47" s="23"/>
      <c r="BI47" s="22"/>
      <c r="BJ47" s="23"/>
      <c r="BK47" s="4"/>
    </row>
    <row r="48" spans="1:63" ht="15" customHeight="1">
      <c r="A48" s="1"/>
      <c r="K48" s="22"/>
      <c r="L48" s="23"/>
      <c r="T48" s="22"/>
      <c r="U48" s="23"/>
      <c r="AC48" s="22"/>
      <c r="AD48" s="23"/>
      <c r="AL48" s="22"/>
      <c r="AM48" s="23"/>
      <c r="BI48" s="22"/>
      <c r="BJ48" s="23"/>
      <c r="BK48" s="4"/>
    </row>
    <row r="49" spans="1:63" ht="15" customHeight="1">
      <c r="A49" s="1"/>
      <c r="K49" s="22"/>
      <c r="L49" s="23"/>
      <c r="T49" s="22"/>
      <c r="U49" s="23"/>
      <c r="AC49" s="22"/>
      <c r="AD49" s="23"/>
      <c r="AL49" s="22"/>
      <c r="AM49" s="23"/>
      <c r="BI49" s="22"/>
      <c r="BJ49" s="23"/>
      <c r="BK49" s="4"/>
    </row>
    <row r="50" spans="1:63" ht="15" customHeight="1">
      <c r="A50" s="1"/>
      <c r="K50" s="22"/>
      <c r="L50" s="23"/>
      <c r="T50" s="22"/>
      <c r="U50" s="23"/>
      <c r="AC50" s="22"/>
      <c r="AD50" s="23"/>
      <c r="AL50" s="22"/>
      <c r="AM50" s="23"/>
      <c r="BI50" s="22"/>
      <c r="BJ50" s="23"/>
      <c r="BK50" s="4"/>
    </row>
    <row r="51" spans="1:63" ht="15" customHeight="1">
      <c r="A51" s="1"/>
      <c r="K51" s="22"/>
      <c r="L51" s="23"/>
      <c r="T51" s="22"/>
      <c r="U51" s="23"/>
      <c r="AC51" s="22"/>
      <c r="AD51" s="23"/>
      <c r="AL51" s="22"/>
      <c r="AM51" s="23"/>
      <c r="BI51" s="22"/>
      <c r="BJ51" s="23"/>
      <c r="BK51" s="4"/>
    </row>
    <row r="52" spans="1:63" ht="15" customHeight="1">
      <c r="A52" s="1"/>
      <c r="K52" s="22"/>
      <c r="L52" s="23"/>
      <c r="T52" s="22"/>
      <c r="U52" s="23"/>
      <c r="AC52" s="22"/>
      <c r="AD52" s="23"/>
      <c r="AL52" s="22"/>
      <c r="AM52" s="23"/>
      <c r="BI52" s="22"/>
      <c r="BJ52" s="23"/>
      <c r="BK52" s="4"/>
    </row>
    <row r="53" spans="1:63" ht="15" customHeight="1">
      <c r="A53" s="1"/>
      <c r="K53" s="22"/>
      <c r="L53" s="23"/>
      <c r="T53" s="22"/>
      <c r="U53" s="23"/>
      <c r="AC53" s="22"/>
      <c r="AD53" s="23"/>
      <c r="AL53" s="22"/>
      <c r="AM53" s="23"/>
      <c r="BI53" s="22"/>
      <c r="BJ53" s="23"/>
      <c r="BK53" s="4"/>
    </row>
    <row r="54" spans="1:63" ht="15" customHeight="1">
      <c r="A54" s="1"/>
      <c r="K54" s="22"/>
      <c r="L54" s="23"/>
      <c r="T54" s="22"/>
      <c r="U54" s="23"/>
      <c r="AC54" s="22"/>
      <c r="AD54" s="23"/>
      <c r="AL54" s="22"/>
      <c r="AM54" s="23"/>
      <c r="BI54" s="22"/>
      <c r="BJ54" s="23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24"/>
      <c r="L55" s="25"/>
      <c r="M55" s="3"/>
      <c r="N55" s="3"/>
      <c r="O55" s="3"/>
      <c r="P55" s="3"/>
      <c r="Q55" s="3"/>
      <c r="R55" s="3"/>
      <c r="S55" s="3"/>
      <c r="T55" s="24"/>
      <c r="U55" s="25"/>
      <c r="V55" s="3"/>
      <c r="W55" s="3"/>
      <c r="X55" s="3"/>
      <c r="Y55" s="3"/>
      <c r="Z55" s="3"/>
      <c r="AA55" s="3"/>
      <c r="AB55" s="3"/>
      <c r="AC55" s="24"/>
      <c r="AD55" s="25"/>
      <c r="AE55" s="3"/>
      <c r="AF55" s="3"/>
      <c r="AG55" s="3"/>
      <c r="AH55" s="3"/>
      <c r="AI55" s="3"/>
      <c r="AJ55" s="3"/>
      <c r="AK55" s="3"/>
      <c r="AL55" s="24"/>
      <c r="AM55" s="25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24"/>
      <c r="BJ55" s="25"/>
      <c r="BK55" s="5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horizontalDpi="300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489B-96C9-40B5-92A4-AB854A7C4DE9}">
  <sheetPr>
    <pageSetUpPr fitToPage="1"/>
  </sheetPr>
  <dimension ref="A1:BK86"/>
  <sheetViews>
    <sheetView tabSelected="1" view="pageBreakPreview" zoomScale="75" zoomScaleNormal="75" zoomScaleSheetLayoutView="75" workbookViewId="0">
      <selection activeCell="CB17" sqref="CB17"/>
    </sheetView>
  </sheetViews>
  <sheetFormatPr defaultColWidth="2.77734375" defaultRowHeight="15" customHeight="1"/>
  <cols>
    <col min="1" max="45" width="2.77734375" style="26"/>
    <col min="46" max="46" width="2.77734375" style="26" customWidth="1"/>
    <col min="47" max="54" width="2.77734375" style="26"/>
    <col min="55" max="55" width="2.77734375" style="26" customWidth="1"/>
    <col min="56" max="59" width="2.77734375" style="26"/>
    <col min="60" max="60" width="2.77734375" style="26" customWidth="1"/>
    <col min="61" max="16384" width="2.77734375" style="26"/>
  </cols>
  <sheetData>
    <row r="1" spans="1:63" customFormat="1" ht="24.95" customHeight="1">
      <c r="A1" s="61" t="s">
        <v>65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67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0" t="str">
        <f>IF(表紙!W1="","",表紙!W1)</f>
        <v>基本設計書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  <c r="AP1" s="61" t="s">
        <v>68</v>
      </c>
      <c r="AQ1" s="62"/>
      <c r="AR1" s="62"/>
      <c r="AS1" s="63"/>
      <c r="AT1" s="61" t="s">
        <v>69</v>
      </c>
      <c r="AU1" s="62"/>
      <c r="AV1" s="62"/>
      <c r="AW1" s="62"/>
      <c r="AX1" s="63"/>
      <c r="AY1" s="61" t="s">
        <v>70</v>
      </c>
      <c r="AZ1" s="62"/>
      <c r="BA1" s="62"/>
      <c r="BB1" s="63"/>
      <c r="BC1" s="61" t="s">
        <v>71</v>
      </c>
      <c r="BD1" s="62"/>
      <c r="BE1" s="62"/>
      <c r="BF1" s="62"/>
      <c r="BG1" s="63"/>
      <c r="BH1" s="61" t="s">
        <v>72</v>
      </c>
      <c r="BI1" s="62"/>
      <c r="BJ1" s="62"/>
      <c r="BK1" s="63"/>
    </row>
    <row r="2" spans="1:63" customFormat="1" ht="15" customHeight="1">
      <c r="A2" s="64" t="str">
        <f>IF(表紙!A2="","",表紙!A2)</f>
        <v>ignica POS</v>
      </c>
      <c r="B2" s="65"/>
      <c r="C2" s="65"/>
      <c r="D2" s="65"/>
      <c r="E2" s="65"/>
      <c r="F2" s="65"/>
      <c r="G2" s="65"/>
      <c r="H2" s="65"/>
      <c r="I2" s="65"/>
      <c r="J2" s="66"/>
      <c r="K2" s="64" t="str">
        <f>IF(表紙!K2="","",表紙!K2)</f>
        <v>POS Server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64" t="str">
        <f>IF(表紙!AP2="","",表紙!AP2)</f>
        <v xml:space="preserve">Thanh Nguyên </v>
      </c>
      <c r="AQ2" s="65"/>
      <c r="AR2" s="65"/>
      <c r="AS2" s="66"/>
      <c r="AT2" s="85">
        <f>IF(表紙!AT2="","",表紙!AT2)</f>
        <v>45336</v>
      </c>
      <c r="AU2" s="86"/>
      <c r="AV2" s="86"/>
      <c r="AW2" s="86"/>
      <c r="AX2" s="87"/>
      <c r="AY2" s="64" t="str">
        <f>IF(表紙!AY2="","",表紙!AY2)</f>
        <v xml:space="preserve">Thanh Nguyên </v>
      </c>
      <c r="AZ2" s="65"/>
      <c r="BA2" s="65"/>
      <c r="BB2" s="66"/>
      <c r="BC2" s="85">
        <f>IF(表紙!BC2="","",表紙!BC2)</f>
        <v>45336</v>
      </c>
      <c r="BD2" s="86"/>
      <c r="BE2" s="86"/>
      <c r="BF2" s="86"/>
      <c r="BG2" s="87"/>
      <c r="BH2" s="64">
        <f>IF(表紙!BH2="","",表紙!BH2)</f>
        <v>0.1</v>
      </c>
      <c r="BI2" s="65"/>
      <c r="BJ2" s="65"/>
      <c r="BK2" s="66"/>
    </row>
    <row r="3" spans="1:63" customFormat="1" ht="15" customHeight="1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67"/>
      <c r="AQ3" s="68"/>
      <c r="AR3" s="68"/>
      <c r="AS3" s="69"/>
      <c r="AT3" s="88"/>
      <c r="AU3" s="89"/>
      <c r="AV3" s="89"/>
      <c r="AW3" s="89"/>
      <c r="AX3" s="90"/>
      <c r="AY3" s="67"/>
      <c r="AZ3" s="68"/>
      <c r="BA3" s="68"/>
      <c r="BB3" s="69"/>
      <c r="BC3" s="88"/>
      <c r="BD3" s="89"/>
      <c r="BE3" s="89"/>
      <c r="BF3" s="89"/>
      <c r="BG3" s="90"/>
      <c r="BH3" s="67"/>
      <c r="BI3" s="68"/>
      <c r="BJ3" s="68"/>
      <c r="BK3" s="69"/>
    </row>
    <row r="4" spans="1:63" customFormat="1" ht="24.95" customHeight="1">
      <c r="A4" s="61" t="s">
        <v>66</v>
      </c>
      <c r="B4" s="62"/>
      <c r="C4" s="62"/>
      <c r="D4" s="62"/>
      <c r="E4" s="62"/>
      <c r="F4" s="62"/>
      <c r="G4" s="63"/>
      <c r="H4" s="58" t="str">
        <f>IF(表紙!H4="","",表紙!H4)</f>
        <v>X1 メニュー機能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61" t="s">
        <v>73</v>
      </c>
      <c r="V4" s="62"/>
      <c r="W4" s="62"/>
      <c r="X4" s="62"/>
      <c r="Y4" s="63"/>
      <c r="Z4" s="58" t="str">
        <f>IF(表紙!Z4="","",表紙!Z4)</f>
        <v>概要設計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58" t="str" cm="1">
        <f t="array" aca="1" ref="AP4" ca="1">RIGHT(CELL("filename",$A$1),LEN(CELL("filename",$A$1))-FIND("]",CELL("filename",$A$1)))</f>
        <v>画面設計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customFormat="1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41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2"/>
    </row>
    <row r="7" spans="1:63" ht="15" customHeight="1">
      <c r="A7" s="41"/>
      <c r="B7" s="44" t="s">
        <v>64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4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2"/>
    </row>
    <row r="8" spans="1:63" ht="15" customHeight="1">
      <c r="A8" s="41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2"/>
    </row>
    <row r="9" spans="1:63" ht="15" customHeight="1">
      <c r="A9" s="41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2"/>
    </row>
    <row r="10" spans="1:63" ht="15" customHeight="1">
      <c r="A10" s="41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2"/>
    </row>
    <row r="11" spans="1:63" ht="15" customHeight="1">
      <c r="A11" s="41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2"/>
    </row>
    <row r="12" spans="1:63" ht="15" customHeight="1">
      <c r="A12" s="41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2"/>
    </row>
    <row r="13" spans="1:63" ht="15" customHeight="1">
      <c r="A13" s="41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2"/>
    </row>
    <row r="14" spans="1:63" ht="15" customHeight="1">
      <c r="A14" s="41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2"/>
    </row>
    <row r="15" spans="1:63" ht="15" customHeight="1">
      <c r="A15" s="41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2"/>
    </row>
    <row r="16" spans="1:63" ht="15" customHeight="1">
      <c r="A16" s="41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2"/>
    </row>
    <row r="17" spans="1:63" ht="15" customHeight="1">
      <c r="A17" s="41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2"/>
    </row>
    <row r="18" spans="1:63" ht="15" customHeight="1">
      <c r="A18" s="41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2"/>
    </row>
    <row r="19" spans="1:63" ht="15" customHeight="1">
      <c r="A19" s="41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2"/>
    </row>
    <row r="20" spans="1:63" ht="15" customHeight="1">
      <c r="A20" s="41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2"/>
    </row>
    <row r="21" spans="1:63" ht="15" customHeight="1">
      <c r="A21" s="41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2"/>
    </row>
    <row r="22" spans="1:63" ht="15" customHeight="1">
      <c r="A22" s="41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2"/>
    </row>
    <row r="23" spans="1:63" ht="15" customHeight="1">
      <c r="A23" s="41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2"/>
    </row>
    <row r="24" spans="1:63" ht="15" customHeight="1">
      <c r="A24" s="41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2"/>
    </row>
    <row r="25" spans="1:63" ht="15" customHeight="1">
      <c r="A25" s="41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2"/>
    </row>
    <row r="26" spans="1:63" ht="15" customHeight="1">
      <c r="A26" s="41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2"/>
    </row>
    <row r="27" spans="1:63" ht="15" customHeight="1">
      <c r="A27" s="41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2"/>
    </row>
    <row r="28" spans="1:63" ht="15" customHeight="1">
      <c r="A28" s="41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2"/>
    </row>
    <row r="29" spans="1:63" ht="15" customHeight="1">
      <c r="A29" s="41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2"/>
    </row>
    <row r="30" spans="1:63" ht="15" customHeight="1">
      <c r="A30" s="41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2"/>
    </row>
    <row r="31" spans="1:63" ht="15" customHeight="1">
      <c r="A31" s="41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2"/>
    </row>
    <row r="32" spans="1:63" ht="15" customHeight="1">
      <c r="A32" s="41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2"/>
    </row>
    <row r="33" spans="1:63" ht="15" customHeight="1">
      <c r="A33" s="41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2"/>
    </row>
    <row r="34" spans="1:63" ht="15" customHeight="1">
      <c r="A34" s="41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2"/>
    </row>
    <row r="35" spans="1:63" ht="15" customHeight="1">
      <c r="A35" s="41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2"/>
    </row>
    <row r="36" spans="1:63" ht="15" customHeight="1">
      <c r="A36" s="41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2"/>
    </row>
    <row r="37" spans="1:63" ht="15" customHeight="1">
      <c r="A37" s="41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2"/>
    </row>
    <row r="38" spans="1:63" ht="15" customHeight="1">
      <c r="A38" s="41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2"/>
    </row>
    <row r="39" spans="1:63" ht="15" customHeight="1">
      <c r="A39" s="41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2"/>
    </row>
    <row r="40" spans="1:63" ht="15" customHeight="1">
      <c r="A40" s="41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2"/>
    </row>
    <row r="41" spans="1:63" ht="15" customHeight="1">
      <c r="A41" s="41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2"/>
    </row>
    <row r="42" spans="1:63" ht="15" customHeight="1">
      <c r="A42" s="41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2"/>
    </row>
    <row r="43" spans="1:63" ht="15" customHeight="1">
      <c r="A43" s="41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2"/>
    </row>
    <row r="44" spans="1:63" ht="15" customHeight="1">
      <c r="A44" s="41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2"/>
    </row>
    <row r="45" spans="1:63" ht="15" customHeight="1">
      <c r="A45" s="41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2"/>
    </row>
    <row r="46" spans="1:63" ht="15" customHeight="1">
      <c r="A46" s="41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2"/>
    </row>
    <row r="47" spans="1:63" ht="15" customHeight="1">
      <c r="A47" s="41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2"/>
    </row>
    <row r="48" spans="1:63" ht="15" customHeight="1">
      <c r="A48" s="41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2"/>
    </row>
    <row r="49" spans="1:63" ht="15" customHeight="1">
      <c r="A49" s="41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2"/>
    </row>
    <row r="50" spans="1:63" ht="15" customHeight="1">
      <c r="A50" s="41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2"/>
    </row>
    <row r="51" spans="1:63" ht="15" customHeight="1">
      <c r="A51" s="41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2"/>
    </row>
    <row r="52" spans="1:63" ht="15" customHeight="1">
      <c r="A52" s="41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2"/>
    </row>
    <row r="53" spans="1:63" ht="15" customHeight="1">
      <c r="A53" s="41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2"/>
    </row>
    <row r="54" spans="1:63" ht="15" customHeight="1">
      <c r="A54" s="41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2"/>
    </row>
    <row r="55" spans="1:63" ht="15" customHeight="1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  <row r="56" spans="1:63" ht="15" customHeight="1">
      <c r="BK56" s="30"/>
    </row>
    <row r="57" spans="1:63" ht="15" customHeight="1">
      <c r="BK57" s="30"/>
    </row>
    <row r="58" spans="1:63" ht="15" customHeight="1">
      <c r="BK58" s="30"/>
    </row>
    <row r="59" spans="1:63" ht="15" customHeight="1">
      <c r="BK59" s="30"/>
    </row>
    <row r="60" spans="1:63" ht="15" customHeight="1">
      <c r="BK60" s="30"/>
    </row>
    <row r="61" spans="1:63" ht="15" customHeight="1">
      <c r="BK61" s="30"/>
    </row>
    <row r="62" spans="1:63" ht="15" customHeight="1">
      <c r="BK62" s="30"/>
    </row>
    <row r="63" spans="1:63" ht="15" customHeight="1">
      <c r="BK63" s="30"/>
    </row>
    <row r="64" spans="1:63" ht="15" customHeight="1">
      <c r="BK64" s="30"/>
    </row>
    <row r="65" spans="1:63" ht="15" customHeight="1">
      <c r="A65" s="29"/>
      <c r="BK65" s="30"/>
    </row>
    <row r="66" spans="1:63" ht="15" customHeight="1">
      <c r="A66" s="29"/>
      <c r="B66" s="31" t="s">
        <v>26</v>
      </c>
      <c r="BK66" s="30"/>
    </row>
    <row r="67" spans="1:63" ht="15" customHeight="1">
      <c r="BK67" s="30"/>
    </row>
    <row r="68" spans="1:63" ht="15" customHeight="1">
      <c r="B68" s="194" t="s">
        <v>27</v>
      </c>
      <c r="C68" s="195"/>
      <c r="D68" s="200" t="s">
        <v>28</v>
      </c>
      <c r="E68" s="201"/>
      <c r="F68" s="201"/>
      <c r="G68" s="201"/>
      <c r="H68" s="201"/>
      <c r="I68" s="201"/>
      <c r="J68" s="195"/>
      <c r="K68" s="200" t="s">
        <v>29</v>
      </c>
      <c r="L68" s="201"/>
      <c r="M68" s="195"/>
      <c r="N68" s="204" t="s">
        <v>30</v>
      </c>
      <c r="O68" s="207" t="s">
        <v>31</v>
      </c>
      <c r="P68" s="162" t="s">
        <v>32</v>
      </c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4"/>
      <c r="AR68" s="159" t="s">
        <v>33</v>
      </c>
      <c r="AS68" s="160"/>
      <c r="AT68" s="160"/>
      <c r="AU68" s="160"/>
      <c r="AV68" s="160"/>
      <c r="AW68" s="160"/>
      <c r="AX68" s="160"/>
      <c r="AY68" s="160"/>
      <c r="AZ68" s="160"/>
      <c r="BA68" s="160"/>
      <c r="BB68" s="161"/>
      <c r="BC68" s="170" t="s">
        <v>34</v>
      </c>
      <c r="BD68" s="171"/>
      <c r="BE68" s="171"/>
      <c r="BF68" s="171"/>
      <c r="BG68" s="171"/>
      <c r="BH68" s="171"/>
      <c r="BI68" s="171"/>
      <c r="BJ68" s="172"/>
      <c r="BK68" s="30"/>
    </row>
    <row r="69" spans="1:63" ht="15" customHeight="1">
      <c r="B69" s="196"/>
      <c r="C69" s="197"/>
      <c r="D69" s="196"/>
      <c r="E69" s="202"/>
      <c r="F69" s="202"/>
      <c r="G69" s="202"/>
      <c r="H69" s="202"/>
      <c r="I69" s="202"/>
      <c r="J69" s="197"/>
      <c r="K69" s="196"/>
      <c r="L69" s="202"/>
      <c r="M69" s="197"/>
      <c r="N69" s="205"/>
      <c r="O69" s="208"/>
      <c r="P69" s="179" t="s">
        <v>35</v>
      </c>
      <c r="Q69" s="180"/>
      <c r="R69" s="180"/>
      <c r="S69" s="180"/>
      <c r="T69" s="180"/>
      <c r="U69" s="180"/>
      <c r="V69" s="180"/>
      <c r="W69" s="181"/>
      <c r="X69" s="182" t="s">
        <v>36</v>
      </c>
      <c r="Y69" s="183"/>
      <c r="Z69" s="184"/>
      <c r="AA69" s="182" t="s">
        <v>37</v>
      </c>
      <c r="AB69" s="183"/>
      <c r="AC69" s="183"/>
      <c r="AD69" s="183"/>
      <c r="AE69" s="183"/>
      <c r="AF69" s="183"/>
      <c r="AG69" s="183"/>
      <c r="AH69" s="184"/>
      <c r="AI69" s="182" t="s">
        <v>38</v>
      </c>
      <c r="AJ69" s="183"/>
      <c r="AK69" s="183"/>
      <c r="AL69" s="183"/>
      <c r="AM69" s="183"/>
      <c r="AN69" s="183"/>
      <c r="AO69" s="183"/>
      <c r="AP69" s="183"/>
      <c r="AQ69" s="184"/>
      <c r="AR69" s="188" t="s">
        <v>39</v>
      </c>
      <c r="AS69" s="190" t="s">
        <v>40</v>
      </c>
      <c r="AT69" s="192" t="s">
        <v>41</v>
      </c>
      <c r="AU69" s="159" t="s">
        <v>35</v>
      </c>
      <c r="AV69" s="160"/>
      <c r="AW69" s="160"/>
      <c r="AX69" s="160"/>
      <c r="AY69" s="160"/>
      <c r="AZ69" s="160"/>
      <c r="BA69" s="160"/>
      <c r="BB69" s="161"/>
      <c r="BC69" s="173"/>
      <c r="BD69" s="174"/>
      <c r="BE69" s="174"/>
      <c r="BF69" s="174"/>
      <c r="BG69" s="174"/>
      <c r="BH69" s="174"/>
      <c r="BI69" s="174"/>
      <c r="BJ69" s="175"/>
      <c r="BK69" s="30"/>
    </row>
    <row r="70" spans="1:63" ht="15" customHeight="1">
      <c r="B70" s="198"/>
      <c r="C70" s="199"/>
      <c r="D70" s="198"/>
      <c r="E70" s="203"/>
      <c r="F70" s="203"/>
      <c r="G70" s="203"/>
      <c r="H70" s="203"/>
      <c r="I70" s="203"/>
      <c r="J70" s="199"/>
      <c r="K70" s="198"/>
      <c r="L70" s="203"/>
      <c r="M70" s="199"/>
      <c r="N70" s="206"/>
      <c r="O70" s="209"/>
      <c r="P70" s="162" t="s">
        <v>42</v>
      </c>
      <c r="Q70" s="163"/>
      <c r="R70" s="163"/>
      <c r="S70" s="164"/>
      <c r="T70" s="162" t="s">
        <v>28</v>
      </c>
      <c r="U70" s="163"/>
      <c r="V70" s="163"/>
      <c r="W70" s="164"/>
      <c r="X70" s="185"/>
      <c r="Y70" s="186"/>
      <c r="Z70" s="187"/>
      <c r="AA70" s="185"/>
      <c r="AB70" s="186"/>
      <c r="AC70" s="186"/>
      <c r="AD70" s="186"/>
      <c r="AE70" s="186"/>
      <c r="AF70" s="186"/>
      <c r="AG70" s="186"/>
      <c r="AH70" s="187"/>
      <c r="AI70" s="185"/>
      <c r="AJ70" s="186"/>
      <c r="AK70" s="186"/>
      <c r="AL70" s="186"/>
      <c r="AM70" s="186"/>
      <c r="AN70" s="186"/>
      <c r="AO70" s="186"/>
      <c r="AP70" s="186"/>
      <c r="AQ70" s="187"/>
      <c r="AR70" s="189"/>
      <c r="AS70" s="191"/>
      <c r="AT70" s="193"/>
      <c r="AU70" s="159" t="s">
        <v>42</v>
      </c>
      <c r="AV70" s="160"/>
      <c r="AW70" s="160"/>
      <c r="AX70" s="165"/>
      <c r="AY70" s="166" t="s">
        <v>28</v>
      </c>
      <c r="AZ70" s="160"/>
      <c r="BA70" s="160"/>
      <c r="BB70" s="161"/>
      <c r="BC70" s="176"/>
      <c r="BD70" s="177"/>
      <c r="BE70" s="177"/>
      <c r="BF70" s="177"/>
      <c r="BG70" s="177"/>
      <c r="BH70" s="177"/>
      <c r="BI70" s="177"/>
      <c r="BJ70" s="178"/>
      <c r="BK70" s="30"/>
    </row>
    <row r="71" spans="1:63" ht="15" customHeight="1">
      <c r="B71" s="150">
        <v>1</v>
      </c>
      <c r="C71" s="152"/>
      <c r="D71" s="167" t="s">
        <v>43</v>
      </c>
      <c r="E71" s="168"/>
      <c r="F71" s="168"/>
      <c r="G71" s="168"/>
      <c r="H71" s="168"/>
      <c r="I71" s="168"/>
      <c r="J71" s="169"/>
      <c r="K71" s="167" t="s">
        <v>44</v>
      </c>
      <c r="L71" s="168"/>
      <c r="M71" s="169"/>
      <c r="N71" s="32" t="s">
        <v>45</v>
      </c>
      <c r="O71" s="33" t="s">
        <v>46</v>
      </c>
      <c r="P71" s="150" t="s">
        <v>47</v>
      </c>
      <c r="Q71" s="151"/>
      <c r="R71" s="151"/>
      <c r="S71" s="152"/>
      <c r="T71" s="150" t="s">
        <v>47</v>
      </c>
      <c r="U71" s="151"/>
      <c r="V71" s="151"/>
      <c r="W71" s="152"/>
      <c r="X71" s="147" t="s">
        <v>48</v>
      </c>
      <c r="Y71" s="148"/>
      <c r="Z71" s="149"/>
      <c r="AA71" s="150" t="s">
        <v>49</v>
      </c>
      <c r="AB71" s="151"/>
      <c r="AC71" s="151"/>
      <c r="AD71" s="151"/>
      <c r="AE71" s="151"/>
      <c r="AF71" s="151"/>
      <c r="AG71" s="151"/>
      <c r="AH71" s="152"/>
      <c r="AI71" s="153" t="s">
        <v>47</v>
      </c>
      <c r="AJ71" s="154"/>
      <c r="AK71" s="154"/>
      <c r="AL71" s="154"/>
      <c r="AM71" s="154"/>
      <c r="AN71" s="154"/>
      <c r="AO71" s="154"/>
      <c r="AP71" s="154"/>
      <c r="AQ71" s="155"/>
      <c r="AR71" s="34" t="s">
        <v>47</v>
      </c>
      <c r="AS71" s="34" t="s">
        <v>49</v>
      </c>
      <c r="AT71" s="34" t="s">
        <v>49</v>
      </c>
      <c r="AU71" s="150" t="s">
        <v>47</v>
      </c>
      <c r="AV71" s="151"/>
      <c r="AW71" s="151"/>
      <c r="AX71" s="152"/>
      <c r="AY71" s="150" t="s">
        <v>49</v>
      </c>
      <c r="AZ71" s="151"/>
      <c r="BA71" s="151"/>
      <c r="BB71" s="152"/>
      <c r="BC71" s="156"/>
      <c r="BD71" s="157"/>
      <c r="BE71" s="157"/>
      <c r="BF71" s="157"/>
      <c r="BG71" s="157"/>
      <c r="BH71" s="157"/>
      <c r="BI71" s="157"/>
      <c r="BJ71" s="158"/>
      <c r="BK71" s="30"/>
    </row>
    <row r="72" spans="1:63" ht="15" customHeight="1">
      <c r="B72" s="139">
        <v>2</v>
      </c>
      <c r="C72" s="141"/>
      <c r="D72" s="142" t="s">
        <v>50</v>
      </c>
      <c r="E72" s="145"/>
      <c r="F72" s="145"/>
      <c r="G72" s="145"/>
      <c r="H72" s="145"/>
      <c r="I72" s="145"/>
      <c r="J72" s="146"/>
      <c r="K72" s="142" t="s">
        <v>44</v>
      </c>
      <c r="L72" s="145"/>
      <c r="M72" s="146"/>
      <c r="N72" s="35" t="s">
        <v>45</v>
      </c>
      <c r="O72" s="36" t="s">
        <v>46</v>
      </c>
      <c r="P72" s="139" t="s">
        <v>47</v>
      </c>
      <c r="Q72" s="140"/>
      <c r="R72" s="140"/>
      <c r="S72" s="141"/>
      <c r="T72" s="139" t="s">
        <v>47</v>
      </c>
      <c r="U72" s="140"/>
      <c r="V72" s="140"/>
      <c r="W72" s="141"/>
      <c r="X72" s="130" t="s">
        <v>47</v>
      </c>
      <c r="Y72" s="131"/>
      <c r="Z72" s="132"/>
      <c r="AA72" s="139" t="s">
        <v>49</v>
      </c>
      <c r="AB72" s="140"/>
      <c r="AC72" s="140"/>
      <c r="AD72" s="140"/>
      <c r="AE72" s="140"/>
      <c r="AF72" s="140"/>
      <c r="AG72" s="140"/>
      <c r="AH72" s="141"/>
      <c r="AI72" s="136" t="s">
        <v>47</v>
      </c>
      <c r="AJ72" s="137"/>
      <c r="AK72" s="137"/>
      <c r="AL72" s="137"/>
      <c r="AM72" s="137"/>
      <c r="AN72" s="137"/>
      <c r="AO72" s="137"/>
      <c r="AP72" s="137"/>
      <c r="AQ72" s="138"/>
      <c r="AR72" s="37" t="s">
        <v>47</v>
      </c>
      <c r="AS72" s="37" t="s">
        <v>49</v>
      </c>
      <c r="AT72" s="37" t="s">
        <v>49</v>
      </c>
      <c r="AU72" s="139" t="s">
        <v>47</v>
      </c>
      <c r="AV72" s="140"/>
      <c r="AW72" s="140"/>
      <c r="AX72" s="141"/>
      <c r="AY72" s="139" t="s">
        <v>49</v>
      </c>
      <c r="AZ72" s="140"/>
      <c r="BA72" s="140"/>
      <c r="BB72" s="141"/>
      <c r="BC72" s="142" t="s">
        <v>51</v>
      </c>
      <c r="BD72" s="145"/>
      <c r="BE72" s="145"/>
      <c r="BF72" s="145"/>
      <c r="BG72" s="145"/>
      <c r="BH72" s="145"/>
      <c r="BI72" s="145"/>
      <c r="BJ72" s="146"/>
      <c r="BK72" s="30"/>
    </row>
    <row r="73" spans="1:63" ht="15" customHeight="1">
      <c r="B73" s="139">
        <v>3</v>
      </c>
      <c r="C73" s="141"/>
      <c r="D73" s="142" t="s">
        <v>52</v>
      </c>
      <c r="E73" s="145"/>
      <c r="F73" s="145"/>
      <c r="G73" s="145"/>
      <c r="H73" s="145"/>
      <c r="I73" s="145"/>
      <c r="J73" s="146"/>
      <c r="K73" s="142" t="s">
        <v>53</v>
      </c>
      <c r="L73" s="145"/>
      <c r="M73" s="146"/>
      <c r="N73" s="35" t="s">
        <v>54</v>
      </c>
      <c r="O73" s="36" t="s">
        <v>46</v>
      </c>
      <c r="P73" s="139" t="s">
        <v>47</v>
      </c>
      <c r="Q73" s="140"/>
      <c r="R73" s="140"/>
      <c r="S73" s="141"/>
      <c r="T73" s="139" t="s">
        <v>47</v>
      </c>
      <c r="U73" s="140"/>
      <c r="V73" s="140"/>
      <c r="W73" s="141"/>
      <c r="X73" s="130" t="s">
        <v>52</v>
      </c>
      <c r="Y73" s="131"/>
      <c r="Z73" s="132"/>
      <c r="AA73" s="139" t="s">
        <v>49</v>
      </c>
      <c r="AB73" s="140"/>
      <c r="AC73" s="140"/>
      <c r="AD73" s="140"/>
      <c r="AE73" s="140"/>
      <c r="AF73" s="140"/>
      <c r="AG73" s="140"/>
      <c r="AH73" s="141"/>
      <c r="AI73" s="136" t="s">
        <v>47</v>
      </c>
      <c r="AJ73" s="137"/>
      <c r="AK73" s="137"/>
      <c r="AL73" s="137"/>
      <c r="AM73" s="137"/>
      <c r="AN73" s="137"/>
      <c r="AO73" s="137"/>
      <c r="AP73" s="137"/>
      <c r="AQ73" s="138"/>
      <c r="AR73" s="37" t="s">
        <v>47</v>
      </c>
      <c r="AS73" s="37" t="s">
        <v>49</v>
      </c>
      <c r="AT73" s="37" t="s">
        <v>49</v>
      </c>
      <c r="AU73" s="139" t="s">
        <v>47</v>
      </c>
      <c r="AV73" s="140"/>
      <c r="AW73" s="140"/>
      <c r="AX73" s="141"/>
      <c r="AY73" s="139" t="s">
        <v>49</v>
      </c>
      <c r="AZ73" s="140"/>
      <c r="BA73" s="140"/>
      <c r="BB73" s="141"/>
      <c r="BC73" s="142" t="s">
        <v>55</v>
      </c>
      <c r="BD73" s="143"/>
      <c r="BE73" s="143"/>
      <c r="BF73" s="143"/>
      <c r="BG73" s="143"/>
      <c r="BH73" s="143"/>
      <c r="BI73" s="143"/>
      <c r="BJ73" s="144"/>
      <c r="BK73" s="30"/>
    </row>
    <row r="74" spans="1:63" ht="15" customHeight="1">
      <c r="B74" s="139">
        <v>4</v>
      </c>
      <c r="C74" s="141"/>
      <c r="D74" s="142" t="s">
        <v>56</v>
      </c>
      <c r="E74" s="145"/>
      <c r="F74" s="145"/>
      <c r="G74" s="145"/>
      <c r="H74" s="145"/>
      <c r="I74" s="145"/>
      <c r="J74" s="146"/>
      <c r="K74" s="142" t="s">
        <v>53</v>
      </c>
      <c r="L74" s="145"/>
      <c r="M74" s="146"/>
      <c r="N74" s="35" t="s">
        <v>54</v>
      </c>
      <c r="O74" s="36" t="s">
        <v>46</v>
      </c>
      <c r="P74" s="139" t="s">
        <v>47</v>
      </c>
      <c r="Q74" s="140"/>
      <c r="R74" s="140"/>
      <c r="S74" s="141"/>
      <c r="T74" s="139" t="s">
        <v>47</v>
      </c>
      <c r="U74" s="140"/>
      <c r="V74" s="140"/>
      <c r="W74" s="141"/>
      <c r="X74" s="130" t="s">
        <v>47</v>
      </c>
      <c r="Y74" s="131"/>
      <c r="Z74" s="132"/>
      <c r="AA74" s="139" t="s">
        <v>49</v>
      </c>
      <c r="AB74" s="140"/>
      <c r="AC74" s="140"/>
      <c r="AD74" s="140"/>
      <c r="AE74" s="140"/>
      <c r="AF74" s="140"/>
      <c r="AG74" s="140"/>
      <c r="AH74" s="141"/>
      <c r="AI74" s="136" t="s">
        <v>47</v>
      </c>
      <c r="AJ74" s="137"/>
      <c r="AK74" s="137"/>
      <c r="AL74" s="137"/>
      <c r="AM74" s="137"/>
      <c r="AN74" s="137"/>
      <c r="AO74" s="137"/>
      <c r="AP74" s="137"/>
      <c r="AQ74" s="138"/>
      <c r="AR74" s="37" t="s">
        <v>47</v>
      </c>
      <c r="AS74" s="37" t="s">
        <v>49</v>
      </c>
      <c r="AT74" s="37" t="s">
        <v>49</v>
      </c>
      <c r="AU74" s="139" t="s">
        <v>47</v>
      </c>
      <c r="AV74" s="140"/>
      <c r="AW74" s="140"/>
      <c r="AX74" s="141"/>
      <c r="AY74" s="139" t="s">
        <v>49</v>
      </c>
      <c r="AZ74" s="140"/>
      <c r="BA74" s="140"/>
      <c r="BB74" s="141"/>
      <c r="BC74" s="142" t="s">
        <v>57</v>
      </c>
      <c r="BD74" s="145"/>
      <c r="BE74" s="145"/>
      <c r="BF74" s="145"/>
      <c r="BG74" s="145"/>
      <c r="BH74" s="145"/>
      <c r="BI74" s="145"/>
      <c r="BJ74" s="146"/>
      <c r="BK74" s="30"/>
    </row>
    <row r="75" spans="1:63" ht="15" customHeight="1">
      <c r="B75" s="139">
        <v>5</v>
      </c>
      <c r="C75" s="141"/>
      <c r="D75" s="142" t="s">
        <v>58</v>
      </c>
      <c r="E75" s="145"/>
      <c r="F75" s="145"/>
      <c r="G75" s="145"/>
      <c r="H75" s="145"/>
      <c r="I75" s="145"/>
      <c r="J75" s="146"/>
      <c r="K75" s="142" t="s">
        <v>53</v>
      </c>
      <c r="L75" s="145"/>
      <c r="M75" s="146"/>
      <c r="N75" s="35" t="s">
        <v>54</v>
      </c>
      <c r="O75" s="36" t="s">
        <v>46</v>
      </c>
      <c r="P75" s="139" t="s">
        <v>47</v>
      </c>
      <c r="Q75" s="140"/>
      <c r="R75" s="140"/>
      <c r="S75" s="141"/>
      <c r="T75" s="139" t="s">
        <v>47</v>
      </c>
      <c r="U75" s="140"/>
      <c r="V75" s="140"/>
      <c r="W75" s="141"/>
      <c r="X75" s="130" t="s">
        <v>58</v>
      </c>
      <c r="Y75" s="131"/>
      <c r="Z75" s="132"/>
      <c r="AA75" s="133" t="s">
        <v>59</v>
      </c>
      <c r="AB75" s="134"/>
      <c r="AC75" s="134"/>
      <c r="AD75" s="134"/>
      <c r="AE75" s="134"/>
      <c r="AF75" s="134"/>
      <c r="AG75" s="134"/>
      <c r="AH75" s="135"/>
      <c r="AI75" s="136" t="s">
        <v>47</v>
      </c>
      <c r="AJ75" s="137"/>
      <c r="AK75" s="137"/>
      <c r="AL75" s="137"/>
      <c r="AM75" s="137"/>
      <c r="AN75" s="137"/>
      <c r="AO75" s="137"/>
      <c r="AP75" s="137"/>
      <c r="AQ75" s="138"/>
      <c r="AR75" s="37" t="s">
        <v>47</v>
      </c>
      <c r="AS75" s="37" t="s">
        <v>49</v>
      </c>
      <c r="AT75" s="37" t="s">
        <v>49</v>
      </c>
      <c r="AU75" s="139" t="s">
        <v>47</v>
      </c>
      <c r="AV75" s="140"/>
      <c r="AW75" s="140"/>
      <c r="AX75" s="141"/>
      <c r="AY75" s="139" t="s">
        <v>49</v>
      </c>
      <c r="AZ75" s="140"/>
      <c r="BA75" s="140"/>
      <c r="BB75" s="141"/>
      <c r="BC75" s="142" t="s">
        <v>60</v>
      </c>
      <c r="BD75" s="143"/>
      <c r="BE75" s="143"/>
      <c r="BF75" s="143"/>
      <c r="BG75" s="143"/>
      <c r="BH75" s="143"/>
      <c r="BI75" s="143"/>
      <c r="BJ75" s="144"/>
      <c r="BK75" s="30"/>
    </row>
    <row r="76" spans="1:63" ht="15" customHeight="1">
      <c r="B76" s="121">
        <v>6</v>
      </c>
      <c r="C76" s="123"/>
      <c r="D76" s="124" t="s">
        <v>61</v>
      </c>
      <c r="E76" s="125"/>
      <c r="F76" s="125"/>
      <c r="G76" s="125"/>
      <c r="H76" s="125"/>
      <c r="I76" s="125"/>
      <c r="J76" s="126"/>
      <c r="K76" s="124" t="s">
        <v>53</v>
      </c>
      <c r="L76" s="125"/>
      <c r="M76" s="126"/>
      <c r="N76" s="38" t="s">
        <v>54</v>
      </c>
      <c r="O76" s="39" t="s">
        <v>46</v>
      </c>
      <c r="P76" s="121" t="s">
        <v>47</v>
      </c>
      <c r="Q76" s="122"/>
      <c r="R76" s="122"/>
      <c r="S76" s="123"/>
      <c r="T76" s="121" t="s">
        <v>47</v>
      </c>
      <c r="U76" s="122"/>
      <c r="V76" s="122"/>
      <c r="W76" s="123"/>
      <c r="X76" s="127" t="s">
        <v>61</v>
      </c>
      <c r="Y76" s="128"/>
      <c r="Z76" s="129"/>
      <c r="AA76" s="115" t="s">
        <v>62</v>
      </c>
      <c r="AB76" s="116"/>
      <c r="AC76" s="116"/>
      <c r="AD76" s="116"/>
      <c r="AE76" s="116"/>
      <c r="AF76" s="116"/>
      <c r="AG76" s="116"/>
      <c r="AH76" s="117"/>
      <c r="AI76" s="118" t="s">
        <v>47</v>
      </c>
      <c r="AJ76" s="119"/>
      <c r="AK76" s="119"/>
      <c r="AL76" s="119"/>
      <c r="AM76" s="119"/>
      <c r="AN76" s="119"/>
      <c r="AO76" s="119"/>
      <c r="AP76" s="119"/>
      <c r="AQ76" s="120"/>
      <c r="AR76" s="40" t="s">
        <v>47</v>
      </c>
      <c r="AS76" s="40" t="s">
        <v>49</v>
      </c>
      <c r="AT76" s="40" t="s">
        <v>49</v>
      </c>
      <c r="AU76" s="121" t="s">
        <v>47</v>
      </c>
      <c r="AV76" s="122"/>
      <c r="AW76" s="122"/>
      <c r="AX76" s="123"/>
      <c r="AY76" s="121" t="s">
        <v>49</v>
      </c>
      <c r="AZ76" s="122"/>
      <c r="BA76" s="122"/>
      <c r="BB76" s="123"/>
      <c r="BC76" s="124" t="s">
        <v>63</v>
      </c>
      <c r="BD76" s="125"/>
      <c r="BE76" s="125"/>
      <c r="BF76" s="125"/>
      <c r="BG76" s="125"/>
      <c r="BH76" s="125"/>
      <c r="BI76" s="125"/>
      <c r="BJ76" s="126"/>
      <c r="BK76" s="30"/>
    </row>
    <row r="77" spans="1:63" ht="15" customHeight="1">
      <c r="BK77" s="30"/>
    </row>
    <row r="78" spans="1:63" ht="15" customHeight="1">
      <c r="BK78" s="30"/>
    </row>
    <row r="79" spans="1:63" ht="15" customHeight="1">
      <c r="BK79" s="30"/>
    </row>
    <row r="80" spans="1:63" ht="15" customHeight="1">
      <c r="BK80" s="30"/>
    </row>
    <row r="81" spans="1:63" ht="15" customHeight="1">
      <c r="BK81" s="30"/>
    </row>
    <row r="82" spans="1:63" ht="15" customHeight="1">
      <c r="BK82" s="30"/>
    </row>
    <row r="83" spans="1:63" ht="15" customHeight="1">
      <c r="BK83" s="30"/>
    </row>
    <row r="84" spans="1:63" ht="15" customHeight="1">
      <c r="BK84" s="30"/>
    </row>
    <row r="85" spans="1:63" ht="15" customHeight="1">
      <c r="BK85" s="30"/>
    </row>
    <row r="86" spans="1:63" ht="1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8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68:C70"/>
    <mergeCell ref="D68:J70"/>
    <mergeCell ref="K68:M70"/>
    <mergeCell ref="N68:N70"/>
    <mergeCell ref="O68:O70"/>
    <mergeCell ref="B71:C71"/>
    <mergeCell ref="D71:J71"/>
    <mergeCell ref="K71:M71"/>
    <mergeCell ref="P71:S71"/>
    <mergeCell ref="T71:W71"/>
    <mergeCell ref="P68:AQ68"/>
    <mergeCell ref="AR68:BB68"/>
    <mergeCell ref="BC68:BJ70"/>
    <mergeCell ref="P69:W69"/>
    <mergeCell ref="X69:Z70"/>
    <mergeCell ref="AA69:AH70"/>
    <mergeCell ref="AI69:AQ70"/>
    <mergeCell ref="AR69:AR70"/>
    <mergeCell ref="AS69:AS70"/>
    <mergeCell ref="AT69:AT70"/>
    <mergeCell ref="X71:Z71"/>
    <mergeCell ref="AA71:AH71"/>
    <mergeCell ref="AI71:AQ71"/>
    <mergeCell ref="AU71:AX71"/>
    <mergeCell ref="AY71:BB71"/>
    <mergeCell ref="BC71:BJ71"/>
    <mergeCell ref="AU69:BB69"/>
    <mergeCell ref="P70:S70"/>
    <mergeCell ref="T70:W70"/>
    <mergeCell ref="AU70:AX70"/>
    <mergeCell ref="AY70:BB70"/>
    <mergeCell ref="B73:C73"/>
    <mergeCell ref="D73:J73"/>
    <mergeCell ref="K73:M73"/>
    <mergeCell ref="P73:S73"/>
    <mergeCell ref="T73:W73"/>
    <mergeCell ref="B72:C72"/>
    <mergeCell ref="D72:J72"/>
    <mergeCell ref="K72:M72"/>
    <mergeCell ref="P72:S72"/>
    <mergeCell ref="T72:W72"/>
    <mergeCell ref="X73:Z73"/>
    <mergeCell ref="AA73:AH73"/>
    <mergeCell ref="AI73:AQ73"/>
    <mergeCell ref="AU73:AX73"/>
    <mergeCell ref="AY73:BB73"/>
    <mergeCell ref="BC73:BJ73"/>
    <mergeCell ref="AA72:AH72"/>
    <mergeCell ref="AI72:AQ72"/>
    <mergeCell ref="AU72:AX72"/>
    <mergeCell ref="AY72:BB72"/>
    <mergeCell ref="BC72:BJ72"/>
    <mergeCell ref="X72:Z72"/>
    <mergeCell ref="B75:C75"/>
    <mergeCell ref="D75:J75"/>
    <mergeCell ref="K75:M75"/>
    <mergeCell ref="P75:S75"/>
    <mergeCell ref="T75:W75"/>
    <mergeCell ref="B74:C74"/>
    <mergeCell ref="D74:J74"/>
    <mergeCell ref="K74:M74"/>
    <mergeCell ref="P74:S74"/>
    <mergeCell ref="T74:W74"/>
    <mergeCell ref="X75:Z75"/>
    <mergeCell ref="AA75:AH75"/>
    <mergeCell ref="AI75:AQ75"/>
    <mergeCell ref="AU75:AX75"/>
    <mergeCell ref="AY75:BB75"/>
    <mergeCell ref="BC75:BJ75"/>
    <mergeCell ref="AA74:AH74"/>
    <mergeCell ref="AI74:AQ74"/>
    <mergeCell ref="AU74:AX74"/>
    <mergeCell ref="AY74:BB74"/>
    <mergeCell ref="BC74:BJ74"/>
    <mergeCell ref="X74:Z74"/>
    <mergeCell ref="AA76:AH76"/>
    <mergeCell ref="AI76:AQ76"/>
    <mergeCell ref="AU76:AX76"/>
    <mergeCell ref="AY76:BB76"/>
    <mergeCell ref="BC76:BJ76"/>
    <mergeCell ref="B76:C76"/>
    <mergeCell ref="D76:J76"/>
    <mergeCell ref="K76:M76"/>
    <mergeCell ref="P76:S76"/>
    <mergeCell ref="T76:W76"/>
    <mergeCell ref="X76:Z76"/>
  </mergeCells>
  <phoneticPr fontId="1"/>
  <dataValidations count="1">
    <dataValidation type="list" allowBlank="1" showInputMessage="1" showErrorMessage="1" sqref="O71:O76" xr:uid="{615A45B8-068B-4FDB-A155-ED68777FFC28}">
      <formula1>"－,●"</formula1>
    </dataValidation>
  </dataValidations>
  <printOptions horizontalCentered="1" verticalCentered="1"/>
  <pageMargins left="0.59055118110236204" right="0.59055118110236204" top="0.39370078740157499" bottom="0.39370078740157499" header="0.31496062992126" footer="0.31496062992126"/>
  <pageSetup paperSize="9" scale="39" orientation="landscape" r:id="rId1"/>
  <headerFooter>
    <oddHeader>&amp;R&amp;F</oddHeader>
    <oddFooter>&amp;C&amp;P / &amp;N ページ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C37-BF11-4BFF-9BE7-4D457D057733}">
  <sheetPr>
    <pageSetUpPr fitToPage="1"/>
  </sheetPr>
  <dimension ref="A1:BK55"/>
  <sheetViews>
    <sheetView view="pageBreakPreview" zoomScale="75" zoomScaleNormal="75" zoomScaleSheetLayoutView="75" workbookViewId="0">
      <selection activeCell="A2" sqref="A2:J3"/>
    </sheetView>
  </sheetViews>
  <sheetFormatPr defaultColWidth="2.77734375" defaultRowHeight="15" customHeight="1"/>
  <sheetData>
    <row r="1" spans="1:63" ht="24.95" customHeigh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2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0" t="str">
        <f>IF(表紙!W1="","",表紙!W1)</f>
        <v>基本設計書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  <c r="AP1" s="61" t="s">
        <v>3</v>
      </c>
      <c r="AQ1" s="62"/>
      <c r="AR1" s="62"/>
      <c r="AS1" s="63"/>
      <c r="AT1" s="61" t="s">
        <v>4</v>
      </c>
      <c r="AU1" s="62"/>
      <c r="AV1" s="62"/>
      <c r="AW1" s="62"/>
      <c r="AX1" s="63"/>
      <c r="AY1" s="61" t="s">
        <v>5</v>
      </c>
      <c r="AZ1" s="62"/>
      <c r="BA1" s="62"/>
      <c r="BB1" s="63"/>
      <c r="BC1" s="61" t="s">
        <v>6</v>
      </c>
      <c r="BD1" s="62"/>
      <c r="BE1" s="62"/>
      <c r="BF1" s="62"/>
      <c r="BG1" s="63"/>
      <c r="BH1" s="61" t="s">
        <v>7</v>
      </c>
      <c r="BI1" s="62"/>
      <c r="BJ1" s="62"/>
      <c r="BK1" s="63"/>
    </row>
    <row r="2" spans="1:63" ht="15" customHeight="1">
      <c r="A2" s="64" t="str">
        <f>IF(表紙!A2="","",表紙!A2)</f>
        <v>ignica POS</v>
      </c>
      <c r="B2" s="65"/>
      <c r="C2" s="65"/>
      <c r="D2" s="65"/>
      <c r="E2" s="65"/>
      <c r="F2" s="65"/>
      <c r="G2" s="65"/>
      <c r="H2" s="65"/>
      <c r="I2" s="65"/>
      <c r="J2" s="66"/>
      <c r="K2" s="64" t="str">
        <f>IF(表紙!K2="","",表紙!K2)</f>
        <v>POS Server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64" t="str">
        <f>IF(表紙!AP2="","",表紙!AP2)</f>
        <v xml:space="preserve">Thanh Nguyên </v>
      </c>
      <c r="AQ2" s="65"/>
      <c r="AR2" s="65"/>
      <c r="AS2" s="66"/>
      <c r="AT2" s="85">
        <f>IF(表紙!AT2="","",表紙!AT2)</f>
        <v>45336</v>
      </c>
      <c r="AU2" s="86"/>
      <c r="AV2" s="86"/>
      <c r="AW2" s="86"/>
      <c r="AX2" s="87"/>
      <c r="AY2" s="64" t="str">
        <f>IF(表紙!AY2="","",表紙!AY2)</f>
        <v xml:space="preserve">Thanh Nguyên </v>
      </c>
      <c r="AZ2" s="65"/>
      <c r="BA2" s="65"/>
      <c r="BB2" s="66"/>
      <c r="BC2" s="85">
        <f>IF(表紙!BC2="","",表紙!BC2)</f>
        <v>45336</v>
      </c>
      <c r="BD2" s="86"/>
      <c r="BE2" s="86"/>
      <c r="BF2" s="86"/>
      <c r="BG2" s="87"/>
      <c r="BH2" s="64">
        <f>IF(表紙!BH2="","",表紙!BH2)</f>
        <v>0.1</v>
      </c>
      <c r="BI2" s="65"/>
      <c r="BJ2" s="65"/>
      <c r="BK2" s="66"/>
    </row>
    <row r="3" spans="1:63" ht="15" customHeight="1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67"/>
      <c r="AQ3" s="68"/>
      <c r="AR3" s="68"/>
      <c r="AS3" s="69"/>
      <c r="AT3" s="88"/>
      <c r="AU3" s="89"/>
      <c r="AV3" s="89"/>
      <c r="AW3" s="89"/>
      <c r="AX3" s="90"/>
      <c r="AY3" s="67"/>
      <c r="AZ3" s="68"/>
      <c r="BA3" s="68"/>
      <c r="BB3" s="69"/>
      <c r="BC3" s="88"/>
      <c r="BD3" s="89"/>
      <c r="BE3" s="89"/>
      <c r="BF3" s="89"/>
      <c r="BG3" s="90"/>
      <c r="BH3" s="67"/>
      <c r="BI3" s="68"/>
      <c r="BJ3" s="68"/>
      <c r="BK3" s="69"/>
    </row>
    <row r="4" spans="1:63" ht="24.95" customHeight="1">
      <c r="A4" s="61" t="s">
        <v>1</v>
      </c>
      <c r="B4" s="62"/>
      <c r="C4" s="62"/>
      <c r="D4" s="62"/>
      <c r="E4" s="62"/>
      <c r="F4" s="62"/>
      <c r="G4" s="63"/>
      <c r="H4" s="58" t="str">
        <f>IF(表紙!H4="","",表紙!H4)</f>
        <v>X1 メニュー機能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61" t="s">
        <v>8</v>
      </c>
      <c r="V4" s="62"/>
      <c r="W4" s="62"/>
      <c r="X4" s="62"/>
      <c r="Y4" s="63"/>
      <c r="Z4" s="58" t="str">
        <f>IF(表紙!Z4="","",表紙!Z4)</f>
        <v>概要設計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58" t="str" cm="1">
        <f t="array" aca="1" ref="AP4" ca="1">RIGHT(CELL("filename",$A$1),LEN(CELL("filename",$A$1))-FIND("]",CELL("filename",$A$1)))</f>
        <v>テンプレート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horizontalDpi="300" r:id="rId1"/>
  <headerFooter>
    <oddHeader>&amp;R&amp;F</oddHeader>
    <oddFooter>&amp;C&amp;P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表紙</vt:lpstr>
      <vt:lpstr>改廃履歴</vt:lpstr>
      <vt:lpstr>業務フロー凡例</vt:lpstr>
      <vt:lpstr>機能概要</vt:lpstr>
      <vt:lpstr>画面設計</vt:lpstr>
      <vt:lpstr>テンプレート</vt:lpstr>
      <vt:lpstr>Sheet1</vt:lpstr>
      <vt:lpstr>改廃履歴!Print_Area</vt:lpstr>
      <vt:lpstr>表紙!Print_Area</vt:lpstr>
      <vt:lpstr>テンプレート!Print_Titles</vt:lpstr>
      <vt:lpstr>画面設計!Print_Titles</vt:lpstr>
      <vt:lpstr>改廃履歴!Print_Titles</vt:lpstr>
      <vt:lpstr>機能概要!Print_Titles</vt:lpstr>
      <vt:lpstr>業務フロー凡例!Print_Titles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kiyohara kadutoshi</dc:creator>
  <cp:lastModifiedBy>Crux03_Luvina</cp:lastModifiedBy>
  <dcterms:created xsi:type="dcterms:W3CDTF">2015-06-05T18:19:34Z</dcterms:created>
  <dcterms:modified xsi:type="dcterms:W3CDTF">2024-04-03T08:10:31Z</dcterms:modified>
</cp:coreProperties>
</file>