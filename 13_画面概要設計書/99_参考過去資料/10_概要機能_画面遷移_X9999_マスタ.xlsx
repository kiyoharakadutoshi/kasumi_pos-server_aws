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10_機能概要_画面遷移/"/>
    </mc:Choice>
  </mc:AlternateContent>
  <xr:revisionPtr revIDLastSave="484" documentId="11_AD4D066CA252ABDACC1048F7E995D65873EEDF5C" xr6:coauthVersionLast="47" xr6:coauthVersionMax="47" xr10:uidLastSave="{B157CB58-C9A9-4C4C-94DC-2E33C92B3A8F}"/>
  <bookViews>
    <workbookView xWindow="28680" yWindow="-210" windowWidth="29040" windowHeight="15720" xr2:uid="{00000000-000D-0000-FFFF-FFFF00000000}"/>
  </bookViews>
  <sheets>
    <sheet name="表紙" sheetId="4" r:id="rId1"/>
    <sheet name="改廃履歴" sheetId="3" r:id="rId2"/>
    <sheet name="業務フロー凡例" sheetId="5" r:id="rId3"/>
    <sheet name="機能概要" sheetId="2" r:id="rId4"/>
    <sheet name="画面設計" sheetId="6" r:id="rId5"/>
    <sheet name="テンプレート" sheetId="7" r:id="rId6"/>
    <sheet name="Sheet1" sheetId="1" r:id="rId7"/>
  </sheets>
  <externalReferences>
    <externalReference r:id="rId8"/>
  </externalReferences>
  <definedNames>
    <definedName name="_xlnm.Print_Area" localSheetId="1">改廃履歴!$A$1:$BK$55</definedName>
    <definedName name="_xlnm.Print_Area" localSheetId="0">表紙!$A$1:$BK$55</definedName>
    <definedName name="_xlnm.Print_Titles" localSheetId="5">テンプレート!$1:$5</definedName>
    <definedName name="_xlnm.Print_Titles" localSheetId="4">画面設計!$1:$5</definedName>
    <definedName name="_xlnm.Print_Titles" localSheetId="1">改廃履歴!$1:$5</definedName>
    <definedName name="_xlnm.Print_Titles" localSheetId="3">機能概要!$1:$5</definedName>
    <definedName name="_xlnm.Print_Titles" localSheetId="2">業務フロー凡例!$1:$5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7" l="1" a="1"/>
  <c r="AP4" i="7" s="1"/>
  <c r="Z4" i="7"/>
  <c r="H4" i="7"/>
  <c r="BH2" i="7"/>
  <c r="BC2" i="7"/>
  <c r="AY2" i="7"/>
  <c r="AT2" i="7"/>
  <c r="AP2" i="7"/>
  <c r="K2" i="7"/>
  <c r="A2" i="7"/>
  <c r="W1" i="7"/>
  <c r="AP4" i="6" a="1"/>
  <c r="AP4" i="6" s="1"/>
  <c r="Z4" i="6"/>
  <c r="H4" i="6"/>
  <c r="BH2" i="6"/>
  <c r="BC2" i="6"/>
  <c r="AY2" i="6"/>
  <c r="AT2" i="6"/>
  <c r="AP2" i="6"/>
  <c r="K2" i="6"/>
  <c r="A2" i="6"/>
  <c r="W1" i="6"/>
  <c r="AP4" i="5" a="1"/>
  <c r="AP4" i="5" s="1"/>
  <c r="Z4" i="5"/>
  <c r="H4" i="5"/>
  <c r="BH2" i="5"/>
  <c r="BC2" i="5"/>
  <c r="AY2" i="5"/>
  <c r="AT2" i="5"/>
  <c r="AP2" i="5"/>
  <c r="K2" i="5"/>
  <c r="A2" i="5"/>
  <c r="W1" i="5"/>
  <c r="AP4" i="2" a="1"/>
  <c r="AP4" i="2" s="1"/>
  <c r="BH2" i="2"/>
  <c r="BC2" i="2"/>
  <c r="AY2" i="2"/>
  <c r="AT2" i="2"/>
  <c r="AP2" i="2"/>
  <c r="Z4" i="2"/>
  <c r="W1" i="2"/>
  <c r="K2" i="2"/>
  <c r="H4" i="2"/>
  <c r="A2" i="2"/>
  <c r="L24" i="4"/>
  <c r="AP4" i="4" a="1"/>
  <c r="AP4" i="4" s="1"/>
  <c r="BH2" i="4"/>
  <c r="BH2" i="3" s="1"/>
  <c r="BC2" i="4"/>
  <c r="BC2" i="3" s="1"/>
  <c r="AY2" i="4"/>
  <c r="AY2" i="3" s="1"/>
  <c r="AT2" i="4"/>
  <c r="AT2" i="3" s="1"/>
  <c r="AP2" i="4"/>
  <c r="AP4" i="3" a="1"/>
  <c r="AP4" i="3" s="1"/>
  <c r="AP2" i="3"/>
  <c r="Z4" i="3"/>
  <c r="W1" i="3"/>
  <c r="K2" i="3"/>
  <c r="H4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<sst xmlns="http://schemas.openxmlformats.org/spreadsheetml/2006/main" count="74" uniqueCount="25">
  <si>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</si>
  <si>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</si>
  <si>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</si>
  <si>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</si>
  <si>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</si>
  <si>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</si>
  <si>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</si>
  <si>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</si>
  <si>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</si>
  <si>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</si>
  <si>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</si>
  <si>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</si>
  <si>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</si>
  <si>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</si>
  <si>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 基本設計書</t>
  </si>
  <si>
    <t>承認日</t>
  </si>
  <si>
    <t>●1_レジ内</t>
    <rPh sb="5" eb="6">
      <t>ナイ</t>
    </rPh>
    <phoneticPr fontId="1"/>
  </si>
  <si>
    <t>●1_レジ周辺機器</t>
    <rPh sb="5" eb="9">
      <t>シュウヘンキキ</t>
    </rPh>
    <phoneticPr fontId="1"/>
  </si>
  <si>
    <t>●外部連携</t>
    <rPh sb="1" eb="3">
      <t>ガイブ</t>
    </rPh>
    <rPh sb="3" eb="5">
      <t>レンケイ</t>
    </rPh>
    <phoneticPr fontId="1"/>
  </si>
  <si>
    <t>●X●●_●●●●●</t>
    <phoneticPr fontId="1"/>
  </si>
  <si>
    <t>ignica POS</t>
    <phoneticPr fontId="1"/>
  </si>
  <si>
    <t>POS Server</t>
    <phoneticPr fontId="1"/>
  </si>
  <si>
    <t>基本設計書</t>
    <phoneticPr fontId="1"/>
  </si>
  <si>
    <t>概要設計</t>
    <phoneticPr fontId="1"/>
  </si>
  <si>
    <t>X9999_マスタ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</si>
</sst>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m/dd"/>
  </numFmts>
  <fonts count="6" x14ac:knownFonts="1"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theme="0" tint="-0.499984740745262"/>
      </left>
      <right/>
      <top/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Font="1" applyBorder="1"/>
    <xf numFmtId="0" fontId="0" fillId="0" borderId="1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0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9" fontId="0" fillId="0" borderId="2" xfId="0" applyNumberFormat="1" applyFont="1" applyBorder="1" applyAlignment="1">
      <alignment horizontal="center" vertical="center"/>
    </xf>
    <xf numFmtId="179" fontId="0" fillId="0" borderId="3" xfId="0" applyNumberFormat="1" applyFont="1" applyBorder="1" applyAlignment="1">
      <alignment horizontal="center" vertical="center"/>
    </xf>
    <xf numFmtId="179" fontId="0" fillId="0" borderId="7" xfId="0" applyNumberFormat="1" applyFont="1" applyBorder="1" applyAlignment="1">
      <alignment horizontal="center" vertical="center"/>
    </xf>
    <xf numFmtId="179" fontId="0" fillId="0" borderId="5" xfId="0" applyNumberFormat="1" applyFont="1" applyBorder="1" applyAlignment="1">
      <alignment horizontal="center" vertical="center"/>
    </xf>
    <xf numFmtId="179" fontId="0" fillId="0" borderId="6" xfId="0" applyNumberFormat="1" applyFont="1" applyBorder="1" applyAlignment="1">
      <alignment horizontal="center" vertical="center"/>
    </xf>
    <xf numFmtId="179" fontId="0" fillId="0" borderId="9" xfId="0" applyNumberFormat="1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2" fontId="0" fillId="0" borderId="3" xfId="0" applyNumberFormat="1" applyFont="1" applyBorder="1" applyAlignment="1">
      <alignment horizontal="center" vertical="center"/>
    </xf>
    <xf numFmtId="2" fontId="0" fillId="0" borderId="7" xfId="0" applyNumberFormat="1" applyFont="1" applyBorder="1" applyAlignment="1">
      <alignment horizontal="center" vertical="center"/>
    </xf>
    <xf numFmtId="2" fontId="0" fillId="0" borderId="5" xfId="0" applyNumberFormat="1" applyFont="1" applyBorder="1" applyAlignment="1">
      <alignment horizontal="center" vertical="center"/>
    </xf>
    <xf numFmtId="2" fontId="0" fillId="0" borderId="6" xfId="0" applyNumberFormat="1" applyFont="1" applyBorder="1" applyAlignment="1">
      <alignment horizontal="center" vertical="center"/>
    </xf>
    <xf numFmtId="2" fontId="0" fillId="0" borderId="9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9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10" xfId="0" applyNumberFormat="1" applyFont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/>
    </xf>
    <xf numFmtId="0" fontId="3" fillId="0" borderId="9" xfId="0" applyNumberFormat="1" applyFont="1" applyBorder="1" applyAlignment="1">
      <alignment horizontal="center" vertical="center"/>
    </xf>
    <xf numFmtId="0" fontId="2" fillId="2" borderId="0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9" xfId="0" applyFont="1" applyBorder="1"/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17" xfId="0" applyFont="1" applyBorder="1"/>
    <xf numFmtId="0" fontId="0" fillId="0" borderId="0" xfId="0" applyBorder="1"/>
    <xf numFmtId="0" fontId="0" fillId="0" borderId="18" xfId="0" applyFont="1" applyBorder="1"/>
    <xf numFmtId="0" fontId="0" fillId="0" borderId="19" xfId="0" applyFont="1" applyBorder="1"/>
    <xf numFmtId="0" fontId="0" fillId="0" borderId="20" xfId="0" applyFont="1" applyBorder="1"/>
    <xf numFmtId="0" fontId="0" fillId="0" borderId="21" xfId="0" applyFont="1" applyBorder="1"/>
    <xf numFmtId="0" fontId="0" fillId="0" borderId="22" xfId="0" applyFont="1" applyBorder="1"/>
    <xf numFmtId="0" fontId="0" fillId="0" borderId="23" xfId="0" applyFont="1" applyBorder="1"/>
    <xf numFmtId="0" fontId="0" fillId="0" borderId="24" xfId="0" applyFont="1" applyBorder="1"/>
    <xf numFmtId="0" fontId="0" fillId="0" borderId="25" xfId="0" applyFont="1" applyBorder="1"/>
    <xf numFmtId="0" fontId="0" fillId="0" borderId="26" xfId="0" applyFont="1" applyBorder="1"/>
    <xf numFmtId="0" fontId="0" fillId="0" borderId="27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9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32" xfId="0" applyFont="1" applyFill="1" applyBorder="1" applyAlignment="1">
      <alignment vertical="center"/>
    </xf>
    <xf numFmtId="0" fontId="2" fillId="2" borderId="33" xfId="0" applyFont="1" applyFill="1" applyBorder="1" applyAlignment="1">
      <alignment vertical="center"/>
    </xf>
    <xf numFmtId="0" fontId="0" fillId="0" borderId="33" xfId="0" applyFont="1" applyBorder="1"/>
    <xf numFmtId="0" fontId="0" fillId="0" borderId="32" xfId="0" applyFont="1" applyBorder="1"/>
    <xf numFmtId="0" fontId="0" fillId="0" borderId="34" xfId="0" applyFont="1" applyBorder="1"/>
    <xf numFmtId="0" fontId="0" fillId="0" borderId="35" xfId="0" applyFont="1" applyBorder="1"/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06D1339-E162-49D0-8578-7C27754B5BC6}"/>
            </a:ext>
          </a:extLst>
        </xdr:cNvPr>
        <xdr:cNvSpPr/>
      </xdr:nvSpPr>
      <xdr:spPr>
        <a:xfrm>
          <a:off x="476250" y="1638300"/>
          <a:ext cx="142875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2536D5C6-EB73-492B-90CF-D7F581E809FF}"/>
            </a:ext>
          </a:extLst>
        </xdr:cNvPr>
        <xdr:cNvSpPr/>
      </xdr:nvSpPr>
      <xdr:spPr>
        <a:xfrm>
          <a:off x="2619375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787C46B-0B94-4D94-AECD-59E9CEFAB3C5}"/>
            </a:ext>
          </a:extLst>
        </xdr:cNvPr>
        <xdr:cNvSpPr/>
      </xdr:nvSpPr>
      <xdr:spPr>
        <a:xfrm>
          <a:off x="476250" y="2781300"/>
          <a:ext cx="142875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FFED8CE1-CCF0-44EC-A260-9BC13926D76A}"/>
            </a:ext>
          </a:extLst>
        </xdr:cNvPr>
        <xdr:cNvSpPr/>
      </xdr:nvSpPr>
      <xdr:spPr>
        <a:xfrm>
          <a:off x="2619375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処理機能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190AE8D-775C-494B-A49D-60A6080C34F1}"/>
            </a:ext>
          </a:extLst>
        </xdr:cNvPr>
        <xdr:cNvSpPr/>
      </xdr:nvSpPr>
      <xdr:spPr>
        <a:xfrm>
          <a:off x="476250" y="4495800"/>
          <a:ext cx="142875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B041B46E-672A-45B3-915D-41D84BC901C8}"/>
            </a:ext>
          </a:extLst>
        </xdr:cNvPr>
        <xdr:cNvSpPr/>
      </xdr:nvSpPr>
      <xdr:spPr>
        <a:xfrm>
          <a:off x="2619375" y="4495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83CB5ACC-BBB6-4428-B56F-263DF87FDC56}"/>
            </a:ext>
          </a:extLst>
        </xdr:cNvPr>
        <xdr:cNvSpPr/>
      </xdr:nvSpPr>
      <xdr:spPr>
        <a:xfrm>
          <a:off x="476250" y="5638800"/>
          <a:ext cx="1428750" cy="762000"/>
        </a:xfrm>
        <a:prstGeom prst="flowChartManualInput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algn="ctr">
            <a:lnSpc>
              <a:spcPts val="1320"/>
            </a:lnSpc>
            <a:defRPr/>
          </a:pPr>
          <a:r>
            <a:rPr lang="en-US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  <a:p>
          <a:pPr algn="ctr">
            <a:lnSpc>
              <a:spcPts val="1320"/>
            </a:lnSpc>
            <a:defRPr/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35578A30-A83F-44BA-8758-29BF56671602}"/>
            </a:ext>
          </a:extLst>
        </xdr:cNvPr>
        <xdr:cNvSpPr/>
      </xdr:nvSpPr>
      <xdr:spPr>
        <a:xfrm>
          <a:off x="2619375" y="5638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>
      <xdr:nvSpPr>
        <xdr:cNvPr id="10" name="フローチャート: 表示 9">
          <a:extLst>
            <a:ext uri="{FF2B5EF4-FFF2-40B4-BE49-F238E27FC236}">
              <a16:creationId xmlns:a16="http://schemas.microsoft.com/office/drawing/2014/main" id="{5BFB5E9E-392D-4A18-BF04-F1D75EEA827A}"/>
            </a:ext>
          </a:extLst>
        </xdr:cNvPr>
        <xdr:cNvSpPr/>
      </xdr:nvSpPr>
      <xdr:spPr>
        <a:xfrm>
          <a:off x="7620000" y="4495800"/>
          <a:ext cx="142875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スキャナー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23</xdr:row>
      <xdr:rowOff>0</xdr:rowOff>
    </xdr:from>
    <xdr:to>
      <xdr:col>61</xdr:col>
      <xdr:colOff>1</xdr:colOff>
      <xdr:row>27</xdr:row>
      <xdr:rowOff>0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63F6FFAF-30D0-4993-8266-7521E9163C0A}"/>
            </a:ext>
          </a:extLst>
        </xdr:cNvPr>
        <xdr:cNvSpPr/>
      </xdr:nvSpPr>
      <xdr:spPr>
        <a:xfrm>
          <a:off x="9763126" y="449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>
      <xdr:nvSpPr>
        <xdr:cNvPr id="12" name="フローチャート: 書類 11">
          <a:extLst>
            <a:ext uri="{FF2B5EF4-FFF2-40B4-BE49-F238E27FC236}">
              <a16:creationId xmlns:a16="http://schemas.microsoft.com/office/drawing/2014/main" id="{DB9D593F-551F-4CB3-93AC-8C3ED1ED2810}"/>
            </a:ext>
          </a:extLst>
        </xdr:cNvPr>
        <xdr:cNvSpPr/>
      </xdr:nvSpPr>
      <xdr:spPr>
        <a:xfrm>
          <a:off x="7620000" y="5638800"/>
          <a:ext cx="142875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プリンター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29</xdr:row>
      <xdr:rowOff>0</xdr:rowOff>
    </xdr:from>
    <xdr:to>
      <xdr:col>61</xdr:col>
      <xdr:colOff>1</xdr:colOff>
      <xdr:row>33</xdr:row>
      <xdr:rowOff>0</xdr:rowOff>
    </xdr:to>
    <xdr:sp macro="" textlink="">
      <xdr:nvSpPr>
        <xdr:cNvPr id="13" name="吹き出し: 線 12">
          <a:extLst>
            <a:ext uri="{FF2B5EF4-FFF2-40B4-BE49-F238E27FC236}">
              <a16:creationId xmlns:a16="http://schemas.microsoft.com/office/drawing/2014/main" id="{EAE21E71-1E7A-434E-AF06-C0C725B374FA}"/>
            </a:ext>
          </a:extLst>
        </xdr:cNvPr>
        <xdr:cNvSpPr/>
      </xdr:nvSpPr>
      <xdr:spPr>
        <a:xfrm>
          <a:off x="9763126" y="5638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F144D50D-A346-4E0A-B98A-3EBDB0084832}"/>
            </a:ext>
          </a:extLst>
        </xdr:cNvPr>
        <xdr:cNvSpPr/>
      </xdr:nvSpPr>
      <xdr:spPr>
        <a:xfrm>
          <a:off x="476250" y="8305800"/>
          <a:ext cx="142875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F59DFF18-D641-4DDD-9DB4-ACE477722D28}"/>
            </a:ext>
          </a:extLst>
        </xdr:cNvPr>
        <xdr:cNvSpPr/>
      </xdr:nvSpPr>
      <xdr:spPr>
        <a:xfrm>
          <a:off x="2619376" y="8305800"/>
          <a:ext cx="4524374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ですが、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の意味で使用しています。</a:t>
          </a:r>
        </a:p>
      </xdr:txBody>
    </xdr:sp>
    <xdr:clientData/>
  </xdr:twoCellAnchor>
  <xdr:twoCellAnchor>
    <xdr:from>
      <xdr:col>31</xdr:col>
      <xdr:colOff>15081</xdr:colOff>
      <xdr:row>14</xdr:row>
      <xdr:rowOff>0</xdr:rowOff>
    </xdr:from>
    <xdr:to>
      <xdr:col>37</xdr:col>
      <xdr:colOff>0</xdr:colOff>
      <xdr:row>17</xdr:row>
      <xdr:rowOff>166687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CED9A576-DDF3-4EB5-B5C3-03C295D26C90}"/>
            </a:ext>
          </a:extLst>
        </xdr:cNvPr>
        <xdr:cNvSpPr/>
      </xdr:nvSpPr>
      <xdr:spPr>
        <a:xfrm>
          <a:off x="7396956" y="2781300"/>
          <a:ext cx="1413669" cy="738187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40</xdr:col>
      <xdr:colOff>0</xdr:colOff>
      <xdr:row>14</xdr:row>
      <xdr:rowOff>0</xdr:rowOff>
    </xdr:from>
    <xdr:to>
      <xdr:col>59</xdr:col>
      <xdr:colOff>0</xdr:colOff>
      <xdr:row>18</xdr:row>
      <xdr:rowOff>0</xdr:rowOff>
    </xdr:to>
    <xdr:sp macro="" textlink="">
      <xdr:nvSpPr>
        <xdr:cNvPr id="17" name="吹き出し: 線 16">
          <a:extLst>
            <a:ext uri="{FF2B5EF4-FFF2-40B4-BE49-F238E27FC236}">
              <a16:creationId xmlns:a16="http://schemas.microsoft.com/office/drawing/2014/main" id="{1BF59A9E-22F1-499A-BD4C-BCC89085B523}"/>
            </a:ext>
          </a:extLst>
        </xdr:cNvPr>
        <xdr:cNvSpPr/>
      </xdr:nvSpPr>
      <xdr:spPr>
        <a:xfrm>
          <a:off x="9525000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6AE707D8-A53B-490D-8CC1-11902F7E0628}"/>
            </a:ext>
          </a:extLst>
        </xdr:cNvPr>
        <xdr:cNvSpPr/>
      </xdr:nvSpPr>
      <xdr:spPr>
        <a:xfrm>
          <a:off x="476250" y="6781800"/>
          <a:ext cx="1428750" cy="762000"/>
        </a:xfrm>
        <a:prstGeom prst="flowChartPunchedCard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磁気カードリーダー</a:t>
          </a:r>
        </a:p>
        <a:p>
          <a:pPr marL="0" indent="0" algn="ctr">
            <a:defRPr/>
          </a:pPr>
          <a:endParaRPr lang="ja-JP" altLang="en-US" sz="1100" b="0" i="0" u="non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>
      <xdr:nvSpPr>
        <xdr:cNvPr id="19" name="吹き出し: 線 18">
          <a:extLst>
            <a:ext uri="{FF2B5EF4-FFF2-40B4-BE49-F238E27FC236}">
              <a16:creationId xmlns:a16="http://schemas.microsoft.com/office/drawing/2014/main" id="{52E867C3-B76E-4B64-9A60-5BBD39887E61}"/>
            </a:ext>
          </a:extLst>
        </xdr:cNvPr>
        <xdr:cNvSpPr/>
      </xdr:nvSpPr>
      <xdr:spPr>
        <a:xfrm>
          <a:off x="2619375" y="6781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磁気カードリーダー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エフケイシステム　両面双方向読み取り 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MJR-100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8</xdr:row>
      <xdr:rowOff>0</xdr:rowOff>
    </xdr:from>
    <xdr:to>
      <xdr:col>37</xdr:col>
      <xdr:colOff>0</xdr:colOff>
      <xdr:row>12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89C9E9F-A1C1-455C-B8FF-2FB24FC920EC}"/>
            </a:ext>
          </a:extLst>
        </xdr:cNvPr>
        <xdr:cNvSpPr/>
      </xdr:nvSpPr>
      <xdr:spPr>
        <a:xfrm>
          <a:off x="7381875" y="1638300"/>
          <a:ext cx="142875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0</xdr:colOff>
      <xdr:row>8</xdr:row>
      <xdr:rowOff>0</xdr:rowOff>
    </xdr:from>
    <xdr:to>
      <xdr:col>59</xdr:col>
      <xdr:colOff>0</xdr:colOff>
      <xdr:row>12</xdr:row>
      <xdr:rowOff>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5BFD1BF8-D2D6-436B-BF51-15921C2FBDF7}"/>
            </a:ext>
          </a:extLst>
        </xdr:cNvPr>
        <xdr:cNvSpPr/>
      </xdr:nvSpPr>
      <xdr:spPr>
        <a:xfrm>
          <a:off x="9525000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E8F31F17-432D-45AE-9364-E7CA5E64F4E1}"/>
            </a:ext>
          </a:extLst>
        </xdr:cNvPr>
        <xdr:cNvSpPr/>
      </xdr:nvSpPr>
      <xdr:spPr>
        <a:xfrm>
          <a:off x="7620000" y="8305800"/>
          <a:ext cx="1429200" cy="7632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>
      <xdr:nvSpPr>
        <xdr:cNvPr id="23" name="吹き出し: 線 22">
          <a:extLst>
            <a:ext uri="{FF2B5EF4-FFF2-40B4-BE49-F238E27FC236}">
              <a16:creationId xmlns:a16="http://schemas.microsoft.com/office/drawing/2014/main" id="{B6D5ED4B-298F-4294-A603-0C9B2D952EE5}"/>
            </a:ext>
          </a:extLst>
        </xdr:cNvPr>
        <xdr:cNvSpPr/>
      </xdr:nvSpPr>
      <xdr:spPr>
        <a:xfrm>
          <a:off x="9763125" y="830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多機能への連携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91CD5155-A246-4DFB-9088-0BD4483E8915}"/>
            </a:ext>
          </a:extLst>
        </xdr:cNvPr>
        <xdr:cNvSpPr/>
      </xdr:nvSpPr>
      <xdr:spPr>
        <a:xfrm>
          <a:off x="476250" y="9448800"/>
          <a:ext cx="142875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>
      <xdr:nvSpPr>
        <xdr:cNvPr id="25" name="吹き出し: 線 24">
          <a:extLst>
            <a:ext uri="{FF2B5EF4-FFF2-40B4-BE49-F238E27FC236}">
              <a16:creationId xmlns:a16="http://schemas.microsoft.com/office/drawing/2014/main" id="{16F2981C-8DC8-437C-BCD7-22F1A9592699}"/>
            </a:ext>
          </a:extLst>
        </xdr:cNvPr>
        <xdr:cNvSpPr/>
      </xdr:nvSpPr>
      <xdr:spPr>
        <a:xfrm>
          <a:off x="2619375" y="9448800"/>
          <a:ext cx="4527549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端末内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設定関連などの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71957333-F447-412C-B31A-32225204139C}"/>
            </a:ext>
          </a:extLst>
        </xdr:cNvPr>
        <xdr:cNvSpPr/>
      </xdr:nvSpPr>
      <xdr:spPr>
        <a:xfrm>
          <a:off x="7620000" y="9448800"/>
          <a:ext cx="577850" cy="2032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E90C54DC-4633-437B-826B-4396F88D50A2}"/>
            </a:ext>
          </a:extLst>
        </xdr:cNvPr>
        <xdr:cNvSpPr/>
      </xdr:nvSpPr>
      <xdr:spPr>
        <a:xfrm>
          <a:off x="9763125" y="94488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ボタン名称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30B007AC-08D1-4B04-9C33-FAFCD63245B4}"/>
            </a:ext>
          </a:extLst>
        </xdr:cNvPr>
        <xdr:cNvSpPr/>
      </xdr:nvSpPr>
      <xdr:spPr>
        <a:xfrm>
          <a:off x="9763125" y="100203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93082EC6-4BA1-4D3D-9A70-0466704F3067}"/>
            </a:ext>
          </a:extLst>
        </xdr:cNvPr>
        <xdr:cNvSpPr/>
      </xdr:nvSpPr>
      <xdr:spPr>
        <a:xfrm>
          <a:off x="7620000" y="10020300"/>
          <a:ext cx="577850" cy="203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itkat44g-my.sharepoint.com/personal/kiyohara_kadutoshi_com1/Documents/&#9679;prjs_pos_system/30_implementation/32_design/JP/02_&#27231;&#33021;&#19968;&#35239;/30_POS&#12469;&#12540;&#12496;&#12540;/POS&#12469;&#12540;&#12496;&#12540;_&#27231;&#33021;&#27010;&#35201;.xlsx" TargetMode="External"/><Relationship Id="rId1" Type="http://schemas.openxmlformats.org/officeDocument/2006/relationships/externalLinkPath" Target="/personal/kiyohara_kadutoshi_com1/Documents/&#9679;prjs_pos_system/30_implementation/32_design/JP/02_&#27231;&#33021;&#19968;&#35239;/30_POS&#12469;&#12540;&#12496;&#12540;/POS&#12469;&#12540;&#12496;&#12540;_&#27231;&#33021;&#27010;&#352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改廃履歴"/>
      <sheetName val="システム構成"/>
      <sheetName val="業務フロー凡例"/>
      <sheetName val="機能一覧"/>
      <sheetName val="Sheet2"/>
      <sheetName val="40_従業員設定"/>
      <sheetName val="テンプレート (2)"/>
      <sheetName val="マスタ"/>
      <sheetName val="Sheet3"/>
    </sheetNames>
    <sheetDataSet>
      <sheetData sheetId="0">
        <row r="1">
          <cell r="W1" t="str">
            <v>基本設計書</v>
          </cell>
        </row>
        <row r="2">
          <cell r="A2" t="str">
            <v>現金専用簡易セルフPOS</v>
          </cell>
          <cell r="K2" t="str">
            <v>POSサーバー</v>
          </cell>
          <cell r="AP2" t="str">
            <v xml:space="preserve">Thanh Nguyên </v>
          </cell>
          <cell r="AT2">
            <v>45084</v>
          </cell>
          <cell r="AY2" t="str">
            <v>Thanh Nguyên</v>
          </cell>
          <cell r="BC2">
            <v>45272</v>
          </cell>
          <cell r="BH2">
            <v>0.2</v>
          </cell>
        </row>
        <row r="4">
          <cell r="H4" t="str">
            <v>全体</v>
          </cell>
          <cell r="Z4" t="str">
            <v>業務フロー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6CBF-E803-41DD-BC73-DDAB01D27DBA}">
  <sheetPr>
    <pageSetUpPr fitToPage="1"/>
  </sheetPr>
  <dimension ref="A1:BK56"/>
  <sheetViews>
    <sheetView tabSelected="1" view="pageBreakPreview" zoomScale="75" zoomScaleNormal="75" zoomScaleSheetLayoutView="75" workbookViewId="0">
      <selection activeCell="Z11" sqref="Z11"/>
    </sheetView>
  </sheetViews>
  <sheetFormatPr defaultColWidth="2.77734375" defaultRowHeight="15" customHeight="1" x14ac:dyDescent="0.25"/>
  <sheetData>
    <row r="1" spans="1:63" ht="24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  <c r="K1" s="16" t="s">
        <v>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48" t="s">
        <v>22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50"/>
      <c r="AP1" s="16" t="s">
        <v>3</v>
      </c>
      <c r="AQ1" s="17"/>
      <c r="AR1" s="17"/>
      <c r="AS1" s="18"/>
      <c r="AT1" s="16" t="s">
        <v>4</v>
      </c>
      <c r="AU1" s="17"/>
      <c r="AV1" s="17"/>
      <c r="AW1" s="17"/>
      <c r="AX1" s="18"/>
      <c r="AY1" s="16" t="s">
        <v>5</v>
      </c>
      <c r="AZ1" s="17"/>
      <c r="BA1" s="17"/>
      <c r="BB1" s="18"/>
      <c r="BC1" s="16" t="s">
        <v>6</v>
      </c>
      <c r="BD1" s="17"/>
      <c r="BE1" s="17"/>
      <c r="BF1" s="17"/>
      <c r="BG1" s="18"/>
      <c r="BH1" s="16" t="s">
        <v>7</v>
      </c>
      <c r="BI1" s="17"/>
      <c r="BJ1" s="17"/>
      <c r="BK1" s="18"/>
    </row>
    <row r="2" spans="1:63" ht="15" customHeight="1" x14ac:dyDescent="0.25">
      <c r="A2" s="39" t="s">
        <v>20</v>
      </c>
      <c r="B2" s="40"/>
      <c r="C2" s="40"/>
      <c r="D2" s="40"/>
      <c r="E2" s="40"/>
      <c r="F2" s="40"/>
      <c r="G2" s="40"/>
      <c r="H2" s="40"/>
      <c r="I2" s="40"/>
      <c r="J2" s="41"/>
      <c r="K2" s="39" t="s">
        <v>21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  <c r="W2" s="51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3"/>
      <c r="AP2" s="39">
        <f>改廃履歴!$H$11</f>
        <v>0</v>
      </c>
      <c r="AQ2" s="40"/>
      <c r="AR2" s="40"/>
      <c r="AS2" s="41"/>
      <c r="AT2" s="27">
        <f>改廃履歴!$B$11</f>
        <v>0</v>
      </c>
      <c r="AU2" s="28"/>
      <c r="AV2" s="28"/>
      <c r="AW2" s="28"/>
      <c r="AX2" s="29"/>
      <c r="AY2" s="39" t="e">
        <f>LOOKUP(2,1/(改廃履歴!H11:H30000&lt;&gt;""),改廃履歴!H11:H30000)</f>
        <v>#N/A</v>
      </c>
      <c r="AZ2" s="40"/>
      <c r="BA2" s="40"/>
      <c r="BB2" s="41"/>
      <c r="BC2" s="27" t="e">
        <f>LOOKUP(2,1/(改廃履歴!B11:B30000&lt;&gt;""),改廃履歴!B11:B30000)</f>
        <v>#N/A</v>
      </c>
      <c r="BD2" s="28"/>
      <c r="BE2" s="28"/>
      <c r="BF2" s="28"/>
      <c r="BG2" s="29"/>
      <c r="BH2" s="33" t="e">
        <f>LOOKUP(2,1/(改廃履歴!O11:O30000&lt;&gt;""),改廃履歴!O11:O30000)</f>
        <v>#N/A</v>
      </c>
      <c r="BI2" s="34"/>
      <c r="BJ2" s="34"/>
      <c r="BK2" s="35"/>
    </row>
    <row r="3" spans="1:63" ht="15" customHeight="1" x14ac:dyDescent="0.25">
      <c r="A3" s="42"/>
      <c r="B3" s="43"/>
      <c r="C3" s="43"/>
      <c r="D3" s="43"/>
      <c r="E3" s="43"/>
      <c r="F3" s="43"/>
      <c r="G3" s="43"/>
      <c r="H3" s="43"/>
      <c r="I3" s="43"/>
      <c r="J3" s="44"/>
      <c r="K3" s="42"/>
      <c r="L3" s="43"/>
      <c r="M3" s="43"/>
      <c r="N3" s="43"/>
      <c r="O3" s="43"/>
      <c r="P3" s="43"/>
      <c r="Q3" s="43"/>
      <c r="R3" s="43"/>
      <c r="S3" s="43"/>
      <c r="T3" s="43"/>
      <c r="U3" s="43"/>
      <c r="V3" s="44"/>
      <c r="W3" s="54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6"/>
      <c r="AP3" s="42"/>
      <c r="AQ3" s="43"/>
      <c r="AR3" s="43"/>
      <c r="AS3" s="44"/>
      <c r="AT3" s="30"/>
      <c r="AU3" s="31"/>
      <c r="AV3" s="31"/>
      <c r="AW3" s="31"/>
      <c r="AX3" s="32"/>
      <c r="AY3" s="42"/>
      <c r="AZ3" s="43"/>
      <c r="BA3" s="43"/>
      <c r="BB3" s="44"/>
      <c r="BC3" s="30"/>
      <c r="BD3" s="31"/>
      <c r="BE3" s="31"/>
      <c r="BF3" s="31"/>
      <c r="BG3" s="32"/>
      <c r="BH3" s="36"/>
      <c r="BI3" s="37"/>
      <c r="BJ3" s="37"/>
      <c r="BK3" s="38"/>
    </row>
    <row r="4" spans="1:63" ht="24.95" customHeight="1" x14ac:dyDescent="0.25">
      <c r="A4" s="16" t="s">
        <v>1</v>
      </c>
      <c r="B4" s="17"/>
      <c r="C4" s="17"/>
      <c r="D4" s="17"/>
      <c r="E4" s="17"/>
      <c r="F4" s="17"/>
      <c r="G4" s="18"/>
      <c r="H4" s="45" t="s">
        <v>24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7"/>
      <c r="U4" s="16" t="s">
        <v>8</v>
      </c>
      <c r="V4" s="17"/>
      <c r="W4" s="17"/>
      <c r="X4" s="17"/>
      <c r="Y4" s="18"/>
      <c r="Z4" s="45" t="s">
        <v>23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  <c r="AP4" s="45" t="str" cm="1">
        <f t="array" aca="1" ref="AP4" ca="1">RIGHT(CELL("filename",$A$1),LEN(CELL("filename",$A$1))-FIND("]",CELL("filename",$A$1)))</f>
        <v>表紙</v>
      </c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6"/>
    </row>
    <row r="6" spans="1:63" ht="15" customHeight="1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5"/>
    </row>
    <row r="7" spans="1:63" ht="15" customHeight="1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5"/>
    </row>
    <row r="8" spans="1:63" ht="15" customHeight="1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5"/>
    </row>
    <row r="9" spans="1:63" ht="15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5"/>
    </row>
    <row r="10" spans="1:63" ht="15" customHeight="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5"/>
    </row>
    <row r="11" spans="1:63" ht="15" customHeight="1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5"/>
    </row>
    <row r="12" spans="1:63" ht="15" customHeight="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5"/>
    </row>
    <row r="13" spans="1:63" ht="15" customHeight="1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5"/>
    </row>
    <row r="14" spans="1:63" ht="15" customHeight="1" thickBot="1" x14ac:dyDescent="0.3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5"/>
    </row>
    <row r="15" spans="1:63" ht="15" customHeight="1" thickTop="1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72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6"/>
      <c r="BB15" s="1"/>
      <c r="BC15" s="1"/>
      <c r="BD15" s="1"/>
      <c r="BE15" s="1"/>
      <c r="BF15" s="1"/>
      <c r="BG15" s="1"/>
      <c r="BH15" s="1"/>
      <c r="BI15" s="1"/>
      <c r="BJ15" s="1"/>
      <c r="BK15" s="5"/>
    </row>
    <row r="16" spans="1:63" ht="15" customHeight="1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71"/>
      <c r="L16" s="82" t="s">
        <v>14</v>
      </c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77"/>
      <c r="BB16" s="1"/>
      <c r="BC16" s="1"/>
      <c r="BD16" s="1"/>
      <c r="BE16" s="1"/>
      <c r="BF16" s="1"/>
      <c r="BG16" s="1"/>
      <c r="BH16" s="1"/>
      <c r="BI16" s="1"/>
      <c r="BJ16" s="1"/>
      <c r="BK16" s="5"/>
    </row>
    <row r="17" spans="1:63" ht="15" customHeight="1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71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77"/>
      <c r="BB17" s="1"/>
      <c r="BC17" s="1"/>
      <c r="BD17" s="1"/>
      <c r="BE17" s="1"/>
      <c r="BF17" s="1"/>
      <c r="BG17" s="1"/>
      <c r="BH17" s="1"/>
      <c r="BI17" s="1"/>
      <c r="BJ17" s="1"/>
      <c r="BK17" s="5"/>
    </row>
    <row r="18" spans="1:63" ht="15" customHeight="1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71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77"/>
      <c r="BB18" s="1"/>
      <c r="BC18" s="1"/>
      <c r="BD18" s="1"/>
      <c r="BE18" s="1"/>
      <c r="BF18" s="1"/>
      <c r="BG18" s="1"/>
      <c r="BH18" s="1"/>
      <c r="BI18" s="1"/>
      <c r="BJ18" s="1"/>
      <c r="BK18" s="5"/>
    </row>
    <row r="19" spans="1:63" ht="15" customHeight="1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71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77"/>
      <c r="BB19" s="1"/>
      <c r="BC19" s="1"/>
      <c r="BD19" s="1"/>
      <c r="BE19" s="1"/>
      <c r="BF19" s="1"/>
      <c r="BG19" s="1"/>
      <c r="BH19" s="1"/>
      <c r="BI19" s="1"/>
      <c r="BJ19" s="1"/>
      <c r="BK19" s="5"/>
    </row>
    <row r="20" spans="1:63" ht="15" customHeight="1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71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T20" s="82"/>
      <c r="AU20" s="82"/>
      <c r="AV20" s="82"/>
      <c r="AW20" s="82"/>
      <c r="AX20" s="82"/>
      <c r="AY20" s="82"/>
      <c r="AZ20" s="82"/>
      <c r="BA20" s="77"/>
      <c r="BB20" s="1"/>
      <c r="BC20" s="1"/>
      <c r="BD20" s="1"/>
      <c r="BE20" s="1"/>
      <c r="BF20" s="1"/>
      <c r="BG20" s="1"/>
      <c r="BH20" s="1"/>
      <c r="BI20" s="1"/>
      <c r="BJ20" s="1"/>
      <c r="BK20" s="5"/>
    </row>
    <row r="21" spans="1:63" ht="15" customHeight="1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71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77"/>
      <c r="BB21" s="1"/>
      <c r="BC21" s="1"/>
      <c r="BD21" s="1"/>
      <c r="BE21" s="1"/>
      <c r="BF21" s="1"/>
      <c r="BG21" s="1"/>
      <c r="BH21" s="1"/>
      <c r="BI21" s="1"/>
      <c r="BJ21" s="1"/>
      <c r="BK21" s="5"/>
    </row>
    <row r="22" spans="1:63" ht="15" customHeight="1" thickBot="1" x14ac:dyDescent="0.3">
      <c r="A22" s="2"/>
      <c r="B22" s="1"/>
      <c r="C22" s="1"/>
      <c r="D22" s="1"/>
      <c r="E22" s="1"/>
      <c r="F22" s="1"/>
      <c r="G22" s="1"/>
      <c r="H22" s="1"/>
      <c r="I22" s="1"/>
      <c r="J22" s="1"/>
      <c r="K22" s="71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7"/>
      <c r="BB22" s="1"/>
      <c r="BC22" s="1"/>
      <c r="BD22" s="1"/>
      <c r="BE22" s="1"/>
      <c r="BF22" s="1"/>
      <c r="BG22" s="1"/>
      <c r="BH22" s="1"/>
      <c r="BI22" s="1"/>
      <c r="BJ22" s="1"/>
      <c r="BK22" s="5"/>
    </row>
    <row r="23" spans="1:63" ht="15" customHeight="1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71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77"/>
      <c r="BB23" s="1"/>
      <c r="BC23" s="1"/>
      <c r="BD23" s="1"/>
      <c r="BE23" s="1"/>
      <c r="BF23" s="1"/>
      <c r="BG23" s="1"/>
      <c r="BH23" s="1"/>
      <c r="BI23" s="1"/>
      <c r="BJ23" s="1"/>
      <c r="BK23" s="5"/>
    </row>
    <row r="24" spans="1:63" ht="15" customHeight="1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71"/>
      <c r="L24" s="81" t="str">
        <f>K2&amp;"/"&amp;H4&amp;"/"&amp;Z4</f>
        <v>POS Server/X9999_マスタ/概要設計</v>
      </c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77"/>
      <c r="BB24" s="1"/>
      <c r="BC24" s="1"/>
      <c r="BD24" s="1"/>
      <c r="BE24" s="1"/>
      <c r="BF24" s="1"/>
      <c r="BG24" s="1"/>
      <c r="BH24" s="1"/>
      <c r="BI24" s="1"/>
      <c r="BJ24" s="1"/>
      <c r="BK24" s="5"/>
    </row>
    <row r="25" spans="1:63" ht="15" customHeight="1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  <c r="K25" s="7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77"/>
      <c r="BB25" s="1"/>
      <c r="BC25" s="1"/>
      <c r="BD25" s="1"/>
      <c r="BE25" s="1"/>
      <c r="BF25" s="1"/>
      <c r="BG25" s="1"/>
      <c r="BH25" s="1"/>
      <c r="BI25" s="1"/>
      <c r="BJ25" s="1"/>
      <c r="BK25" s="5"/>
    </row>
    <row r="26" spans="1:63" ht="15" customHeight="1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7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77"/>
      <c r="BB26" s="1"/>
      <c r="BC26" s="1"/>
      <c r="BD26" s="1"/>
      <c r="BE26" s="1"/>
      <c r="BF26" s="1"/>
      <c r="BG26" s="1"/>
      <c r="BH26" s="1"/>
      <c r="BI26" s="1"/>
      <c r="BJ26" s="1"/>
      <c r="BK26" s="5"/>
    </row>
    <row r="27" spans="1:63" ht="15" customHeight="1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  <c r="K27" s="7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77"/>
      <c r="BB27" s="1"/>
      <c r="BC27" s="1"/>
      <c r="BD27" s="1"/>
      <c r="BE27" s="1"/>
      <c r="BF27" s="1"/>
      <c r="BG27" s="1"/>
      <c r="BH27" s="1"/>
      <c r="BI27" s="1"/>
      <c r="BJ27" s="1"/>
      <c r="BK27" s="5"/>
    </row>
    <row r="28" spans="1:63" ht="15" customHeight="1" x14ac:dyDescent="0.25">
      <c r="A28" s="2"/>
      <c r="B28" s="1"/>
      <c r="C28" s="1"/>
      <c r="D28" s="1"/>
      <c r="E28" s="1"/>
      <c r="F28" s="1"/>
      <c r="G28" s="1"/>
      <c r="H28" s="1"/>
      <c r="I28" s="1"/>
      <c r="J28" s="1"/>
      <c r="K28" s="7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77"/>
      <c r="BB28" s="1"/>
      <c r="BC28" s="1"/>
      <c r="BD28" s="1"/>
      <c r="BE28" s="1"/>
      <c r="BF28" s="1"/>
      <c r="BG28" s="1"/>
      <c r="BH28" s="1"/>
      <c r="BI28" s="1"/>
      <c r="BJ28" s="1"/>
      <c r="BK28" s="5"/>
    </row>
    <row r="29" spans="1:63" ht="15" customHeight="1" x14ac:dyDescent="0.25">
      <c r="A29" s="2"/>
      <c r="B29" s="1"/>
      <c r="C29" s="1"/>
      <c r="D29" s="1"/>
      <c r="E29" s="1"/>
      <c r="F29" s="1"/>
      <c r="G29" s="1"/>
      <c r="H29" s="1"/>
      <c r="I29" s="1"/>
      <c r="J29" s="1"/>
      <c r="K29" s="7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77"/>
      <c r="BB29" s="1"/>
      <c r="BC29" s="1"/>
      <c r="BD29" s="1"/>
      <c r="BE29" s="1"/>
      <c r="BF29" s="1"/>
      <c r="BG29" s="1"/>
      <c r="BH29" s="1"/>
      <c r="BI29" s="1"/>
      <c r="BJ29" s="1"/>
      <c r="BK29" s="5"/>
    </row>
    <row r="30" spans="1:63" ht="15" customHeight="1" x14ac:dyDescent="0.25">
      <c r="A30" s="2"/>
      <c r="B30" s="1"/>
      <c r="C30" s="1"/>
      <c r="D30" s="1"/>
      <c r="E30" s="1"/>
      <c r="F30" s="1"/>
      <c r="G30" s="1"/>
      <c r="H30" s="1"/>
      <c r="I30" s="1"/>
      <c r="J30" s="1"/>
      <c r="K30" s="7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77"/>
      <c r="BB30" s="1"/>
      <c r="BC30" s="1"/>
      <c r="BD30" s="1"/>
      <c r="BE30" s="1"/>
      <c r="BF30" s="1"/>
      <c r="BG30" s="1"/>
      <c r="BH30" s="1"/>
      <c r="BI30" s="1"/>
      <c r="BJ30" s="1"/>
      <c r="BK30" s="5"/>
    </row>
    <row r="31" spans="1:63" ht="15" customHeight="1" x14ac:dyDescent="0.25">
      <c r="A31" s="2"/>
      <c r="B31" s="1"/>
      <c r="C31" s="1"/>
      <c r="D31" s="1"/>
      <c r="E31" s="1"/>
      <c r="F31" s="1"/>
      <c r="G31" s="1"/>
      <c r="H31" s="1"/>
      <c r="I31" s="1"/>
      <c r="J31" s="1"/>
      <c r="K31" s="7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77"/>
      <c r="BB31" s="1"/>
      <c r="BC31" s="1"/>
      <c r="BD31" s="1"/>
      <c r="BE31" s="1"/>
      <c r="BF31" s="1"/>
      <c r="BG31" s="1"/>
      <c r="BH31" s="1"/>
      <c r="BI31" s="1"/>
      <c r="BJ31" s="1"/>
      <c r="BK31" s="5"/>
    </row>
    <row r="32" spans="1:63" ht="15" customHeight="1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  <c r="K32" s="7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77"/>
      <c r="BB32" s="1"/>
      <c r="BC32" s="1"/>
      <c r="BD32" s="1"/>
      <c r="BE32" s="1"/>
      <c r="BF32" s="1"/>
      <c r="BG32" s="1"/>
      <c r="BH32" s="1"/>
      <c r="BI32" s="1"/>
      <c r="BJ32" s="1"/>
      <c r="BK32" s="5"/>
    </row>
    <row r="33" spans="1:63" ht="15" customHeight="1" x14ac:dyDescent="0.25">
      <c r="A33" s="2"/>
      <c r="B33" s="1"/>
      <c r="C33" s="1"/>
      <c r="D33" s="1"/>
      <c r="E33" s="1"/>
      <c r="F33" s="1"/>
      <c r="G33" s="1"/>
      <c r="H33" s="1"/>
      <c r="I33" s="1"/>
      <c r="J33" s="1"/>
      <c r="K33" s="7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77"/>
      <c r="BB33" s="1"/>
      <c r="BC33" s="1"/>
      <c r="BD33" s="1"/>
      <c r="BE33" s="1"/>
      <c r="BF33" s="1"/>
      <c r="BG33" s="1"/>
      <c r="BH33" s="1"/>
      <c r="BI33" s="1"/>
      <c r="BJ33" s="1"/>
      <c r="BK33" s="5"/>
    </row>
    <row r="34" spans="1:63" ht="15" customHeight="1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  <c r="K34" s="7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77"/>
      <c r="BB34" s="1"/>
      <c r="BC34" s="1"/>
      <c r="BD34" s="1"/>
      <c r="BE34" s="1"/>
      <c r="BF34" s="1"/>
      <c r="BG34" s="1"/>
      <c r="BH34" s="1"/>
      <c r="BI34" s="1"/>
      <c r="BJ34" s="1"/>
      <c r="BK34" s="5"/>
    </row>
    <row r="35" spans="1:63" ht="15" customHeight="1" x14ac:dyDescent="0.25">
      <c r="A35" s="2"/>
      <c r="B35" s="1"/>
      <c r="C35" s="1"/>
      <c r="D35" s="1"/>
      <c r="E35" s="1"/>
      <c r="F35" s="1"/>
      <c r="G35" s="1"/>
      <c r="H35" s="1"/>
      <c r="I35" s="1"/>
      <c r="J35" s="1"/>
      <c r="K35" s="7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77"/>
      <c r="BB35" s="1"/>
      <c r="BC35" s="1"/>
      <c r="BD35" s="1"/>
      <c r="BE35" s="1"/>
      <c r="BF35" s="1"/>
      <c r="BG35" s="1"/>
      <c r="BH35" s="1"/>
      <c r="BI35" s="1"/>
      <c r="BJ35" s="1"/>
      <c r="BK35" s="5"/>
    </row>
    <row r="36" spans="1:63" ht="15" customHeight="1" x14ac:dyDescent="0.25">
      <c r="A36" s="2"/>
      <c r="B36" s="1"/>
      <c r="C36" s="1"/>
      <c r="D36" s="1"/>
      <c r="E36" s="1"/>
      <c r="F36" s="1"/>
      <c r="G36" s="1"/>
      <c r="H36" s="1"/>
      <c r="I36" s="1"/>
      <c r="J36" s="1"/>
      <c r="K36" s="7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77"/>
      <c r="BB36" s="1"/>
      <c r="BC36" s="1"/>
      <c r="BD36" s="1"/>
      <c r="BE36" s="1"/>
      <c r="BF36" s="1"/>
      <c r="BG36" s="1"/>
      <c r="BH36" s="1"/>
      <c r="BI36" s="1"/>
      <c r="BJ36" s="1"/>
      <c r="BK36" s="5"/>
    </row>
    <row r="37" spans="1:63" ht="15" customHeight="1" thickBot="1" x14ac:dyDescent="0.3">
      <c r="A37" s="2"/>
      <c r="B37" s="1"/>
      <c r="C37" s="1"/>
      <c r="D37" s="1"/>
      <c r="E37" s="1"/>
      <c r="F37" s="1"/>
      <c r="G37" s="1"/>
      <c r="H37" s="1"/>
      <c r="I37" s="1"/>
      <c r="J37" s="1"/>
      <c r="K37" s="74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8"/>
      <c r="BB37" s="1"/>
      <c r="BC37" s="1"/>
      <c r="BD37" s="1"/>
      <c r="BE37" s="1"/>
      <c r="BF37" s="1"/>
      <c r="BG37" s="1"/>
      <c r="BH37" s="1"/>
      <c r="BI37" s="1"/>
      <c r="BJ37" s="1"/>
      <c r="BK37" s="5"/>
    </row>
    <row r="38" spans="1:63" ht="15" customHeight="1" thickTop="1" x14ac:dyDescent="0.25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5"/>
    </row>
    <row r="39" spans="1:63" ht="15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5"/>
    </row>
    <row r="40" spans="1:63" ht="15" customHeight="1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5"/>
    </row>
    <row r="41" spans="1:63" ht="15" customHeight="1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5"/>
    </row>
    <row r="42" spans="1:63" ht="15" customHeight="1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5"/>
    </row>
    <row r="43" spans="1:63" ht="15" customHeight="1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5"/>
    </row>
    <row r="44" spans="1:63" ht="15" customHeight="1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83" t="s">
        <v>15</v>
      </c>
      <c r="R44" s="84"/>
      <c r="S44" s="84"/>
      <c r="T44" s="84"/>
      <c r="U44" s="84"/>
      <c r="V44" s="84"/>
      <c r="W44" s="84"/>
      <c r="X44" s="84"/>
      <c r="Y44" s="84"/>
      <c r="Z44" s="85"/>
      <c r="AA44" s="83" t="s">
        <v>13</v>
      </c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5"/>
      <c r="AQ44" s="83" t="s">
        <v>7</v>
      </c>
      <c r="AR44" s="84"/>
      <c r="AS44" s="84"/>
      <c r="AT44" s="84"/>
      <c r="AU44" s="85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5"/>
    </row>
    <row r="45" spans="1:63" ht="15" customHeight="1" x14ac:dyDescent="0.2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86"/>
      <c r="R45" s="87"/>
      <c r="S45" s="87"/>
      <c r="T45" s="87"/>
      <c r="U45" s="87"/>
      <c r="V45" s="87"/>
      <c r="W45" s="87"/>
      <c r="X45" s="87"/>
      <c r="Y45" s="87"/>
      <c r="Z45" s="88"/>
      <c r="AA45" s="86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8"/>
      <c r="AQ45" s="86"/>
      <c r="AR45" s="87"/>
      <c r="AS45" s="87"/>
      <c r="AT45" s="87"/>
      <c r="AU45" s="88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5"/>
    </row>
    <row r="46" spans="1:63" ht="15" customHeight="1" x14ac:dyDescent="0.2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2"/>
      <c r="R46" s="10"/>
      <c r="S46" s="10"/>
      <c r="T46" s="10"/>
      <c r="U46" s="10"/>
      <c r="V46" s="10"/>
      <c r="W46" s="10"/>
      <c r="X46" s="10"/>
      <c r="Y46" s="10"/>
      <c r="Z46" s="11"/>
      <c r="AA46" s="12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1"/>
      <c r="AQ46" s="12"/>
      <c r="AR46" s="10"/>
      <c r="AS46" s="10"/>
      <c r="AT46" s="10"/>
      <c r="AU46" s="1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5"/>
    </row>
    <row r="47" spans="1:63" ht="15" customHeight="1" x14ac:dyDescent="0.2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9"/>
      <c r="R47" s="7"/>
      <c r="S47" s="7"/>
      <c r="T47" s="7"/>
      <c r="U47" s="7"/>
      <c r="V47" s="7"/>
      <c r="W47" s="7"/>
      <c r="X47" s="7"/>
      <c r="Y47" s="7"/>
      <c r="Z47" s="8"/>
      <c r="AA47" s="9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8"/>
      <c r="AQ47" s="9"/>
      <c r="AR47" s="7"/>
      <c r="AS47" s="7"/>
      <c r="AT47" s="7"/>
      <c r="AU47" s="8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5"/>
    </row>
    <row r="48" spans="1:63" ht="15" customHeight="1" x14ac:dyDescent="0.2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9"/>
      <c r="R48" s="7"/>
      <c r="S48" s="7"/>
      <c r="T48" s="7"/>
      <c r="U48" s="7"/>
      <c r="V48" s="7"/>
      <c r="W48" s="7"/>
      <c r="X48" s="7"/>
      <c r="Y48" s="7"/>
      <c r="Z48" s="8"/>
      <c r="AA48" s="9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8"/>
      <c r="AQ48" s="9"/>
      <c r="AR48" s="7"/>
      <c r="AS48" s="7"/>
      <c r="AT48" s="7"/>
      <c r="AU48" s="8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5"/>
    </row>
    <row r="49" spans="1:63" ht="15" customHeight="1" x14ac:dyDescent="0.2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3"/>
      <c r="R49" s="14"/>
      <c r="S49" s="14"/>
      <c r="T49" s="14"/>
      <c r="U49" s="14"/>
      <c r="V49" s="14"/>
      <c r="W49" s="14"/>
      <c r="X49" s="14"/>
      <c r="Y49" s="14"/>
      <c r="Z49" s="15"/>
      <c r="AA49" s="13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5"/>
      <c r="AQ49" s="13"/>
      <c r="AR49" s="14"/>
      <c r="AS49" s="14"/>
      <c r="AT49" s="14"/>
      <c r="AU49" s="15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5"/>
    </row>
    <row r="50" spans="1:63" ht="15" customHeight="1" x14ac:dyDescent="0.2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5"/>
    </row>
    <row r="51" spans="1:63" ht="15" customHeight="1" x14ac:dyDescent="0.2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5"/>
    </row>
    <row r="52" spans="1:63" ht="15" customHeight="1" x14ac:dyDescent="0.2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5"/>
    </row>
    <row r="53" spans="1:63" ht="15" customHeight="1" x14ac:dyDescent="0.2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5"/>
    </row>
    <row r="54" spans="1:63" ht="15" customHeight="1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5"/>
    </row>
    <row r="55" spans="1:63" ht="15" customHeight="1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6"/>
    </row>
    <row r="56" spans="1:63" ht="15" customHeight="1" x14ac:dyDescent="0.25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2784-A716-4033-921C-EAE8063211A0}">
  <sheetPr>
    <pageSetUpPr fitToPage="1"/>
  </sheetPr>
  <dimension ref="A1:BK55"/>
  <sheetViews>
    <sheetView view="pageBreakPreview" zoomScale="75" zoomScaleNormal="75" zoomScaleSheetLayoutView="75" workbookViewId="0">
      <selection activeCell="A6" sqref="A6"/>
    </sheetView>
  </sheetViews>
  <sheetFormatPr defaultColWidth="2.77734375" defaultRowHeight="15.75" customHeight="1" x14ac:dyDescent="0.25"/>
  <sheetData>
    <row r="1" spans="1:63" ht="24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  <c r="K1" s="16" t="s">
        <v>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48" t="str">
        <f>IF(表紙!W1="","",表紙!W1)</f>
        <v>基本設計書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50"/>
      <c r="AP1" s="16" t="s">
        <v>3</v>
      </c>
      <c r="AQ1" s="17"/>
      <c r="AR1" s="17"/>
      <c r="AS1" s="18"/>
      <c r="AT1" s="16" t="s">
        <v>4</v>
      </c>
      <c r="AU1" s="17"/>
      <c r="AV1" s="17"/>
      <c r="AW1" s="17"/>
      <c r="AX1" s="18"/>
      <c r="AY1" s="16" t="s">
        <v>5</v>
      </c>
      <c r="AZ1" s="17"/>
      <c r="BA1" s="17"/>
      <c r="BB1" s="18"/>
      <c r="BC1" s="16" t="s">
        <v>6</v>
      </c>
      <c r="BD1" s="17"/>
      <c r="BE1" s="17"/>
      <c r="BF1" s="17"/>
      <c r="BG1" s="18"/>
      <c r="BH1" s="16" t="s">
        <v>7</v>
      </c>
      <c r="BI1" s="17"/>
      <c r="BJ1" s="17"/>
      <c r="BK1" s="18"/>
    </row>
    <row r="2" spans="1:63" ht="15" customHeight="1" x14ac:dyDescent="0.25">
      <c r="A2" s="39" t="str">
        <f>IF(表紙!A2="","",表紙!A2)</f>
        <v>ignica POS</v>
      </c>
      <c r="B2" s="40"/>
      <c r="C2" s="40"/>
      <c r="D2" s="40"/>
      <c r="E2" s="40"/>
      <c r="F2" s="40"/>
      <c r="G2" s="40"/>
      <c r="H2" s="40"/>
      <c r="I2" s="40"/>
      <c r="J2" s="41"/>
      <c r="K2" s="39" t="str">
        <f>IF(表紙!K2="","",表紙!K2)</f>
        <v>POS Server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  <c r="W2" s="51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3"/>
      <c r="AP2" s="39">
        <f>IF(表紙!AP2="","",表紙!AP2)</f>
        <v>0</v>
      </c>
      <c r="AQ2" s="40"/>
      <c r="AR2" s="40"/>
      <c r="AS2" s="41"/>
      <c r="AT2" s="27">
        <f>IF(表紙!AT2="","",表紙!AT2)</f>
        <v>0</v>
      </c>
      <c r="AU2" s="28"/>
      <c r="AV2" s="28"/>
      <c r="AW2" s="28"/>
      <c r="AX2" s="29"/>
      <c r="AY2" s="39" t="e">
        <f>IF(表紙!AY2="","",表紙!AY2)</f>
        <v>#N/A</v>
      </c>
      <c r="AZ2" s="40"/>
      <c r="BA2" s="40"/>
      <c r="BB2" s="41"/>
      <c r="BC2" s="27" t="e">
        <f>IF(表紙!BC2="","",表紙!BC2)</f>
        <v>#N/A</v>
      </c>
      <c r="BD2" s="28"/>
      <c r="BE2" s="28"/>
      <c r="BF2" s="28"/>
      <c r="BG2" s="29"/>
      <c r="BH2" s="39" t="e">
        <f>IF(表紙!BH2="","",表紙!BH2)</f>
        <v>#N/A</v>
      </c>
      <c r="BI2" s="40"/>
      <c r="BJ2" s="40"/>
      <c r="BK2" s="41"/>
    </row>
    <row r="3" spans="1:63" ht="15" customHeight="1" x14ac:dyDescent="0.25">
      <c r="A3" s="42"/>
      <c r="B3" s="43"/>
      <c r="C3" s="43"/>
      <c r="D3" s="43"/>
      <c r="E3" s="43"/>
      <c r="F3" s="43"/>
      <c r="G3" s="43"/>
      <c r="H3" s="43"/>
      <c r="I3" s="43"/>
      <c r="J3" s="44"/>
      <c r="K3" s="42"/>
      <c r="L3" s="43"/>
      <c r="M3" s="43"/>
      <c r="N3" s="43"/>
      <c r="O3" s="43"/>
      <c r="P3" s="43"/>
      <c r="Q3" s="43"/>
      <c r="R3" s="43"/>
      <c r="S3" s="43"/>
      <c r="T3" s="43"/>
      <c r="U3" s="43"/>
      <c r="V3" s="44"/>
      <c r="W3" s="54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6"/>
      <c r="AP3" s="42"/>
      <c r="AQ3" s="43"/>
      <c r="AR3" s="43"/>
      <c r="AS3" s="44"/>
      <c r="AT3" s="30"/>
      <c r="AU3" s="31"/>
      <c r="AV3" s="31"/>
      <c r="AW3" s="31"/>
      <c r="AX3" s="32"/>
      <c r="AY3" s="42"/>
      <c r="AZ3" s="43"/>
      <c r="BA3" s="43"/>
      <c r="BB3" s="44"/>
      <c r="BC3" s="30"/>
      <c r="BD3" s="31"/>
      <c r="BE3" s="31"/>
      <c r="BF3" s="31"/>
      <c r="BG3" s="32"/>
      <c r="BH3" s="42"/>
      <c r="BI3" s="43"/>
      <c r="BJ3" s="43"/>
      <c r="BK3" s="44"/>
    </row>
    <row r="4" spans="1:63" ht="24.95" customHeight="1" x14ac:dyDescent="0.25">
      <c r="A4" s="16" t="s">
        <v>1</v>
      </c>
      <c r="B4" s="17"/>
      <c r="C4" s="17"/>
      <c r="D4" s="17"/>
      <c r="E4" s="17"/>
      <c r="F4" s="17"/>
      <c r="G4" s="18"/>
      <c r="H4" s="45" t="str">
        <f>IF(表紙!H4="","",表紙!H4)</f>
        <v>X9999_マスタ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7"/>
      <c r="U4" s="16" t="s">
        <v>8</v>
      </c>
      <c r="V4" s="17"/>
      <c r="W4" s="17"/>
      <c r="X4" s="17"/>
      <c r="Y4" s="18"/>
      <c r="Z4" s="45" t="str">
        <f>IF(表紙!Z4="","",表紙!Z4)</f>
        <v>概要設計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  <c r="AP4" s="45" t="str" cm="1">
        <f t="array" aca="1" ref="AP4" ca="1">RIGHT(CELL("filename",$A$1),LEN(CELL("filename",$A$1))-FIND("]",CELL("filename",$A$1)))</f>
        <v>改廃履歴</v>
      </c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6"/>
    </row>
    <row r="6" spans="1:63" ht="15" customHeight="1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5"/>
    </row>
    <row r="7" spans="1:63" ht="15" customHeight="1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5"/>
    </row>
    <row r="8" spans="1:63" ht="15" customHeight="1" x14ac:dyDescent="0.25">
      <c r="A8" s="2"/>
      <c r="B8" s="1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5"/>
    </row>
    <row r="9" spans="1:63" ht="15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5"/>
    </row>
    <row r="10" spans="1:63" ht="15" customHeight="1" x14ac:dyDescent="0.25">
      <c r="A10" s="2"/>
      <c r="B10" s="57" t="s">
        <v>10</v>
      </c>
      <c r="C10" s="57"/>
      <c r="D10" s="57"/>
      <c r="E10" s="57"/>
      <c r="F10" s="57"/>
      <c r="G10" s="57"/>
      <c r="H10" s="57" t="s">
        <v>5</v>
      </c>
      <c r="I10" s="57"/>
      <c r="J10" s="57"/>
      <c r="K10" s="57"/>
      <c r="L10" s="57"/>
      <c r="M10" s="57"/>
      <c r="N10" s="57"/>
      <c r="O10" s="57" t="s">
        <v>7</v>
      </c>
      <c r="P10" s="57"/>
      <c r="Q10" s="57"/>
      <c r="R10" s="57"/>
      <c r="S10" s="57" t="s">
        <v>11</v>
      </c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 t="s">
        <v>12</v>
      </c>
      <c r="AY10" s="57"/>
      <c r="AZ10" s="57"/>
      <c r="BA10" s="57"/>
      <c r="BB10" s="57"/>
      <c r="BC10" s="57"/>
      <c r="BD10" s="57" t="s">
        <v>13</v>
      </c>
      <c r="BE10" s="57"/>
      <c r="BF10" s="57"/>
      <c r="BG10" s="57"/>
      <c r="BH10" s="57"/>
      <c r="BI10" s="57"/>
      <c r="BJ10" s="57"/>
      <c r="BK10" s="5"/>
    </row>
    <row r="11" spans="1:63" ht="15" customHeight="1" x14ac:dyDescent="0.25">
      <c r="A11" s="2"/>
      <c r="B11" s="12"/>
      <c r="C11" s="10"/>
      <c r="D11" s="10"/>
      <c r="E11" s="10"/>
      <c r="F11" s="10"/>
      <c r="G11" s="11"/>
      <c r="H11" s="12"/>
      <c r="I11" s="10"/>
      <c r="J11" s="10"/>
      <c r="K11" s="10"/>
      <c r="L11" s="10"/>
      <c r="M11" s="10"/>
      <c r="N11" s="11"/>
      <c r="O11" s="12"/>
      <c r="P11" s="10"/>
      <c r="Q11" s="10"/>
      <c r="R11" s="10"/>
      <c r="S11" s="64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6"/>
      <c r="AX11" s="59"/>
      <c r="AY11" s="59"/>
      <c r="AZ11" s="59"/>
      <c r="BA11" s="59"/>
      <c r="BB11" s="59"/>
      <c r="BC11" s="62"/>
      <c r="BD11" s="58"/>
      <c r="BE11" s="59"/>
      <c r="BF11" s="59"/>
      <c r="BG11" s="59"/>
      <c r="BH11" s="59"/>
      <c r="BI11" s="59"/>
      <c r="BJ11" s="62"/>
      <c r="BK11" s="5"/>
    </row>
    <row r="12" spans="1:63" ht="15" customHeight="1" x14ac:dyDescent="0.25">
      <c r="A12" s="2"/>
      <c r="B12" s="13"/>
      <c r="C12" s="14"/>
      <c r="D12" s="14"/>
      <c r="E12" s="14"/>
      <c r="F12" s="14"/>
      <c r="G12" s="15"/>
      <c r="H12" s="13"/>
      <c r="I12" s="14"/>
      <c r="J12" s="14"/>
      <c r="K12" s="14"/>
      <c r="L12" s="14"/>
      <c r="M12" s="14"/>
      <c r="N12" s="15"/>
      <c r="O12" s="13"/>
      <c r="P12" s="14"/>
      <c r="Q12" s="14"/>
      <c r="R12" s="14"/>
      <c r="S12" s="67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9"/>
      <c r="AX12" s="61"/>
      <c r="AY12" s="61"/>
      <c r="AZ12" s="61"/>
      <c r="BA12" s="61"/>
      <c r="BB12" s="61"/>
      <c r="BC12" s="63"/>
      <c r="BD12" s="60"/>
      <c r="BE12" s="61"/>
      <c r="BF12" s="61"/>
      <c r="BG12" s="61"/>
      <c r="BH12" s="61"/>
      <c r="BI12" s="61"/>
      <c r="BJ12" s="63"/>
      <c r="BK12" s="5"/>
    </row>
    <row r="13" spans="1:63" ht="15" customHeight="1" x14ac:dyDescent="0.25">
      <c r="A13" s="2"/>
      <c r="B13" s="12"/>
      <c r="C13" s="10"/>
      <c r="D13" s="10"/>
      <c r="E13" s="10"/>
      <c r="F13" s="10"/>
      <c r="G13" s="11"/>
      <c r="H13" s="12"/>
      <c r="I13" s="10"/>
      <c r="J13" s="10"/>
      <c r="K13" s="10"/>
      <c r="L13" s="10"/>
      <c r="M13" s="10"/>
      <c r="N13" s="11"/>
      <c r="O13" s="12"/>
      <c r="P13" s="10"/>
      <c r="Q13" s="10"/>
      <c r="R13" s="10"/>
      <c r="S13" s="64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6"/>
      <c r="AX13" s="59"/>
      <c r="AY13" s="59"/>
      <c r="AZ13" s="59"/>
      <c r="BA13" s="59"/>
      <c r="BB13" s="59"/>
      <c r="BC13" s="62"/>
      <c r="BD13" s="58"/>
      <c r="BE13" s="59"/>
      <c r="BF13" s="59"/>
      <c r="BG13" s="59"/>
      <c r="BH13" s="59"/>
      <c r="BI13" s="59"/>
      <c r="BJ13" s="62"/>
      <c r="BK13" s="5"/>
    </row>
    <row r="14" spans="1:63" ht="15" customHeight="1" x14ac:dyDescent="0.25">
      <c r="A14" s="2"/>
      <c r="B14" s="13"/>
      <c r="C14" s="14"/>
      <c r="D14" s="14"/>
      <c r="E14" s="14"/>
      <c r="F14" s="14"/>
      <c r="G14" s="15"/>
      <c r="H14" s="13"/>
      <c r="I14" s="14"/>
      <c r="J14" s="14"/>
      <c r="K14" s="14"/>
      <c r="L14" s="14"/>
      <c r="M14" s="14"/>
      <c r="N14" s="15"/>
      <c r="O14" s="13"/>
      <c r="P14" s="14"/>
      <c r="Q14" s="14"/>
      <c r="R14" s="14"/>
      <c r="S14" s="67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9"/>
      <c r="AX14" s="61"/>
      <c r="AY14" s="61"/>
      <c r="AZ14" s="61"/>
      <c r="BA14" s="61"/>
      <c r="BB14" s="61"/>
      <c r="BC14" s="63"/>
      <c r="BD14" s="60"/>
      <c r="BE14" s="61"/>
      <c r="BF14" s="61"/>
      <c r="BG14" s="61"/>
      <c r="BH14" s="61"/>
      <c r="BI14" s="61"/>
      <c r="BJ14" s="63"/>
      <c r="BK14" s="5"/>
    </row>
    <row r="15" spans="1:63" ht="15" customHeight="1" x14ac:dyDescent="0.25">
      <c r="A15" s="2"/>
      <c r="B15" s="12"/>
      <c r="C15" s="10"/>
      <c r="D15" s="10"/>
      <c r="E15" s="10"/>
      <c r="F15" s="10"/>
      <c r="G15" s="11"/>
      <c r="H15" s="12"/>
      <c r="I15" s="10"/>
      <c r="J15" s="10"/>
      <c r="K15" s="10"/>
      <c r="L15" s="10"/>
      <c r="M15" s="10"/>
      <c r="N15" s="11"/>
      <c r="O15" s="12"/>
      <c r="P15" s="10"/>
      <c r="Q15" s="10"/>
      <c r="R15" s="10"/>
      <c r="S15" s="64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6"/>
      <c r="AX15" s="59"/>
      <c r="AY15" s="59"/>
      <c r="AZ15" s="59"/>
      <c r="BA15" s="59"/>
      <c r="BB15" s="59"/>
      <c r="BC15" s="62"/>
      <c r="BD15" s="58"/>
      <c r="BE15" s="59"/>
      <c r="BF15" s="59"/>
      <c r="BG15" s="59"/>
      <c r="BH15" s="59"/>
      <c r="BI15" s="59"/>
      <c r="BJ15" s="62"/>
      <c r="BK15" s="5"/>
    </row>
    <row r="16" spans="1:63" ht="15" customHeight="1" x14ac:dyDescent="0.25">
      <c r="A16" s="2"/>
      <c r="B16" s="13"/>
      <c r="C16" s="14"/>
      <c r="D16" s="14"/>
      <c r="E16" s="14"/>
      <c r="F16" s="14"/>
      <c r="G16" s="15"/>
      <c r="H16" s="13"/>
      <c r="I16" s="14"/>
      <c r="J16" s="14"/>
      <c r="K16" s="14"/>
      <c r="L16" s="14"/>
      <c r="M16" s="14"/>
      <c r="N16" s="15"/>
      <c r="O16" s="13"/>
      <c r="P16" s="14"/>
      <c r="Q16" s="14"/>
      <c r="R16" s="14"/>
      <c r="S16" s="67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9"/>
      <c r="AX16" s="61"/>
      <c r="AY16" s="61"/>
      <c r="AZ16" s="61"/>
      <c r="BA16" s="61"/>
      <c r="BB16" s="61"/>
      <c r="BC16" s="63"/>
      <c r="BD16" s="60"/>
      <c r="BE16" s="61"/>
      <c r="BF16" s="61"/>
      <c r="BG16" s="61"/>
      <c r="BH16" s="61"/>
      <c r="BI16" s="61"/>
      <c r="BJ16" s="63"/>
      <c r="BK16" s="5"/>
    </row>
    <row r="17" spans="1:63" ht="15" customHeight="1" x14ac:dyDescent="0.25">
      <c r="A17" s="2"/>
      <c r="B17" s="12"/>
      <c r="C17" s="10"/>
      <c r="D17" s="10"/>
      <c r="E17" s="10"/>
      <c r="F17" s="10"/>
      <c r="G17" s="11"/>
      <c r="H17" s="12"/>
      <c r="I17" s="10"/>
      <c r="J17" s="10"/>
      <c r="K17" s="10"/>
      <c r="L17" s="10"/>
      <c r="M17" s="10"/>
      <c r="N17" s="11"/>
      <c r="O17" s="12"/>
      <c r="P17" s="10"/>
      <c r="Q17" s="10"/>
      <c r="R17" s="10"/>
      <c r="S17" s="64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6"/>
      <c r="AX17" s="59"/>
      <c r="AY17" s="59"/>
      <c r="AZ17" s="59"/>
      <c r="BA17" s="59"/>
      <c r="BB17" s="59"/>
      <c r="BC17" s="62"/>
      <c r="BD17" s="58"/>
      <c r="BE17" s="59"/>
      <c r="BF17" s="59"/>
      <c r="BG17" s="59"/>
      <c r="BH17" s="59"/>
      <c r="BI17" s="59"/>
      <c r="BJ17" s="62"/>
      <c r="BK17" s="5"/>
    </row>
    <row r="18" spans="1:63" ht="15" customHeight="1" x14ac:dyDescent="0.25">
      <c r="A18" s="2"/>
      <c r="B18" s="13"/>
      <c r="C18" s="14"/>
      <c r="D18" s="14"/>
      <c r="E18" s="14"/>
      <c r="F18" s="14"/>
      <c r="G18" s="15"/>
      <c r="H18" s="13"/>
      <c r="I18" s="14"/>
      <c r="J18" s="14"/>
      <c r="K18" s="14"/>
      <c r="L18" s="14"/>
      <c r="M18" s="14"/>
      <c r="N18" s="15"/>
      <c r="O18" s="13"/>
      <c r="P18" s="14"/>
      <c r="Q18" s="14"/>
      <c r="R18" s="14"/>
      <c r="S18" s="67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9"/>
      <c r="AX18" s="61"/>
      <c r="AY18" s="61"/>
      <c r="AZ18" s="61"/>
      <c r="BA18" s="61"/>
      <c r="BB18" s="61"/>
      <c r="BC18" s="63"/>
      <c r="BD18" s="60"/>
      <c r="BE18" s="61"/>
      <c r="BF18" s="61"/>
      <c r="BG18" s="61"/>
      <c r="BH18" s="61"/>
      <c r="BI18" s="61"/>
      <c r="BJ18" s="63"/>
      <c r="BK18" s="5"/>
    </row>
    <row r="19" spans="1:63" ht="15" customHeight="1" x14ac:dyDescent="0.25">
      <c r="A19" s="2"/>
      <c r="B19" s="12"/>
      <c r="C19" s="10"/>
      <c r="D19" s="10"/>
      <c r="E19" s="10"/>
      <c r="F19" s="10"/>
      <c r="G19" s="11"/>
      <c r="H19" s="12"/>
      <c r="I19" s="10"/>
      <c r="J19" s="10"/>
      <c r="K19" s="10"/>
      <c r="L19" s="10"/>
      <c r="M19" s="10"/>
      <c r="N19" s="11"/>
      <c r="O19" s="12"/>
      <c r="P19" s="10"/>
      <c r="Q19" s="10"/>
      <c r="R19" s="10"/>
      <c r="S19" s="64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6"/>
      <c r="AX19" s="59"/>
      <c r="AY19" s="59"/>
      <c r="AZ19" s="59"/>
      <c r="BA19" s="59"/>
      <c r="BB19" s="59"/>
      <c r="BC19" s="62"/>
      <c r="BD19" s="58"/>
      <c r="BE19" s="59"/>
      <c r="BF19" s="59"/>
      <c r="BG19" s="59"/>
      <c r="BH19" s="59"/>
      <c r="BI19" s="59"/>
      <c r="BJ19" s="62"/>
      <c r="BK19" s="5"/>
    </row>
    <row r="20" spans="1:63" ht="15" customHeight="1" x14ac:dyDescent="0.25">
      <c r="A20" s="2"/>
      <c r="B20" s="13"/>
      <c r="C20" s="14"/>
      <c r="D20" s="14"/>
      <c r="E20" s="14"/>
      <c r="F20" s="14"/>
      <c r="G20" s="15"/>
      <c r="H20" s="13"/>
      <c r="I20" s="14"/>
      <c r="J20" s="14"/>
      <c r="K20" s="14"/>
      <c r="L20" s="14"/>
      <c r="M20" s="14"/>
      <c r="N20" s="15"/>
      <c r="O20" s="13"/>
      <c r="P20" s="14"/>
      <c r="Q20" s="14"/>
      <c r="R20" s="14"/>
      <c r="S20" s="67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9"/>
      <c r="AX20" s="61"/>
      <c r="AY20" s="61"/>
      <c r="AZ20" s="61"/>
      <c r="BA20" s="61"/>
      <c r="BB20" s="61"/>
      <c r="BC20" s="63"/>
      <c r="BD20" s="60"/>
      <c r="BE20" s="61"/>
      <c r="BF20" s="61"/>
      <c r="BG20" s="61"/>
      <c r="BH20" s="61"/>
      <c r="BI20" s="61"/>
      <c r="BJ20" s="63"/>
      <c r="BK20" s="5"/>
    </row>
    <row r="21" spans="1:63" ht="15" customHeight="1" x14ac:dyDescent="0.25">
      <c r="A21" s="2"/>
      <c r="B21" s="12"/>
      <c r="C21" s="10"/>
      <c r="D21" s="10"/>
      <c r="E21" s="10"/>
      <c r="F21" s="10"/>
      <c r="G21" s="11"/>
      <c r="H21" s="12"/>
      <c r="I21" s="10"/>
      <c r="J21" s="10"/>
      <c r="K21" s="10"/>
      <c r="L21" s="10"/>
      <c r="M21" s="10"/>
      <c r="N21" s="11"/>
      <c r="O21" s="12"/>
      <c r="P21" s="10"/>
      <c r="Q21" s="10"/>
      <c r="R21" s="10"/>
      <c r="S21" s="64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6"/>
      <c r="AX21" s="59"/>
      <c r="AY21" s="59"/>
      <c r="AZ21" s="59"/>
      <c r="BA21" s="59"/>
      <c r="BB21" s="59"/>
      <c r="BC21" s="62"/>
      <c r="BD21" s="58"/>
      <c r="BE21" s="59"/>
      <c r="BF21" s="59"/>
      <c r="BG21" s="59"/>
      <c r="BH21" s="59"/>
      <c r="BI21" s="59"/>
      <c r="BJ21" s="62"/>
      <c r="BK21" s="5"/>
    </row>
    <row r="22" spans="1:63" ht="15" customHeight="1" x14ac:dyDescent="0.25">
      <c r="A22" s="2"/>
      <c r="B22" s="13"/>
      <c r="C22" s="14"/>
      <c r="D22" s="14"/>
      <c r="E22" s="14"/>
      <c r="F22" s="14"/>
      <c r="G22" s="15"/>
      <c r="H22" s="13"/>
      <c r="I22" s="14"/>
      <c r="J22" s="14"/>
      <c r="K22" s="14"/>
      <c r="L22" s="14"/>
      <c r="M22" s="14"/>
      <c r="N22" s="15"/>
      <c r="O22" s="13"/>
      <c r="P22" s="14"/>
      <c r="Q22" s="14"/>
      <c r="R22" s="14"/>
      <c r="S22" s="67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9"/>
      <c r="AX22" s="61"/>
      <c r="AY22" s="61"/>
      <c r="AZ22" s="61"/>
      <c r="BA22" s="61"/>
      <c r="BB22" s="61"/>
      <c r="BC22" s="63"/>
      <c r="BD22" s="60"/>
      <c r="BE22" s="61"/>
      <c r="BF22" s="61"/>
      <c r="BG22" s="61"/>
      <c r="BH22" s="61"/>
      <c r="BI22" s="61"/>
      <c r="BJ22" s="63"/>
      <c r="BK22" s="5"/>
    </row>
    <row r="23" spans="1:63" ht="15" customHeight="1" x14ac:dyDescent="0.25">
      <c r="A23" s="2"/>
      <c r="B23" s="12"/>
      <c r="C23" s="10"/>
      <c r="D23" s="10"/>
      <c r="E23" s="10"/>
      <c r="F23" s="10"/>
      <c r="G23" s="11"/>
      <c r="H23" s="12"/>
      <c r="I23" s="10"/>
      <c r="J23" s="10"/>
      <c r="K23" s="10"/>
      <c r="L23" s="10"/>
      <c r="M23" s="10"/>
      <c r="N23" s="11"/>
      <c r="O23" s="12"/>
      <c r="P23" s="10"/>
      <c r="Q23" s="10"/>
      <c r="R23" s="10"/>
      <c r="S23" s="64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6"/>
      <c r="AX23" s="59"/>
      <c r="AY23" s="59"/>
      <c r="AZ23" s="59"/>
      <c r="BA23" s="59"/>
      <c r="BB23" s="59"/>
      <c r="BC23" s="62"/>
      <c r="BD23" s="58"/>
      <c r="BE23" s="59"/>
      <c r="BF23" s="59"/>
      <c r="BG23" s="59"/>
      <c r="BH23" s="59"/>
      <c r="BI23" s="59"/>
      <c r="BJ23" s="62"/>
      <c r="BK23" s="5"/>
    </row>
    <row r="24" spans="1:63" ht="15" customHeight="1" x14ac:dyDescent="0.25">
      <c r="A24" s="2"/>
      <c r="B24" s="13"/>
      <c r="C24" s="14"/>
      <c r="D24" s="14"/>
      <c r="E24" s="14"/>
      <c r="F24" s="14"/>
      <c r="G24" s="15"/>
      <c r="H24" s="13"/>
      <c r="I24" s="14"/>
      <c r="J24" s="14"/>
      <c r="K24" s="14"/>
      <c r="L24" s="14"/>
      <c r="M24" s="14"/>
      <c r="N24" s="15"/>
      <c r="O24" s="13"/>
      <c r="P24" s="14"/>
      <c r="Q24" s="14"/>
      <c r="R24" s="14"/>
      <c r="S24" s="67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9"/>
      <c r="AX24" s="61"/>
      <c r="AY24" s="61"/>
      <c r="AZ24" s="61"/>
      <c r="BA24" s="61"/>
      <c r="BB24" s="61"/>
      <c r="BC24" s="63"/>
      <c r="BD24" s="60"/>
      <c r="BE24" s="61"/>
      <c r="BF24" s="61"/>
      <c r="BG24" s="61"/>
      <c r="BH24" s="61"/>
      <c r="BI24" s="61"/>
      <c r="BJ24" s="63"/>
      <c r="BK24" s="5"/>
    </row>
    <row r="25" spans="1:63" ht="15" customHeight="1" x14ac:dyDescent="0.25">
      <c r="A25" s="2"/>
      <c r="B25" s="12"/>
      <c r="C25" s="10"/>
      <c r="D25" s="10"/>
      <c r="E25" s="10"/>
      <c r="F25" s="10"/>
      <c r="G25" s="11"/>
      <c r="H25" s="12"/>
      <c r="I25" s="10"/>
      <c r="J25" s="10"/>
      <c r="K25" s="10"/>
      <c r="L25" s="10"/>
      <c r="M25" s="10"/>
      <c r="N25" s="11"/>
      <c r="O25" s="12"/>
      <c r="P25" s="10"/>
      <c r="Q25" s="10"/>
      <c r="R25" s="10"/>
      <c r="S25" s="64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6"/>
      <c r="AX25" s="59"/>
      <c r="AY25" s="59"/>
      <c r="AZ25" s="59"/>
      <c r="BA25" s="59"/>
      <c r="BB25" s="59"/>
      <c r="BC25" s="62"/>
      <c r="BD25" s="58"/>
      <c r="BE25" s="59"/>
      <c r="BF25" s="59"/>
      <c r="BG25" s="59"/>
      <c r="BH25" s="59"/>
      <c r="BI25" s="59"/>
      <c r="BJ25" s="62"/>
      <c r="BK25" s="5"/>
    </row>
    <row r="26" spans="1:63" ht="15" customHeight="1" x14ac:dyDescent="0.25">
      <c r="A26" s="2"/>
      <c r="B26" s="13"/>
      <c r="C26" s="14"/>
      <c r="D26" s="14"/>
      <c r="E26" s="14"/>
      <c r="F26" s="14"/>
      <c r="G26" s="15"/>
      <c r="H26" s="13"/>
      <c r="I26" s="14"/>
      <c r="J26" s="14"/>
      <c r="K26" s="14"/>
      <c r="L26" s="14"/>
      <c r="M26" s="14"/>
      <c r="N26" s="15"/>
      <c r="O26" s="13"/>
      <c r="P26" s="14"/>
      <c r="Q26" s="14"/>
      <c r="R26" s="14"/>
      <c r="S26" s="67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9"/>
      <c r="AX26" s="61"/>
      <c r="AY26" s="61"/>
      <c r="AZ26" s="61"/>
      <c r="BA26" s="61"/>
      <c r="BB26" s="61"/>
      <c r="BC26" s="63"/>
      <c r="BD26" s="60"/>
      <c r="BE26" s="61"/>
      <c r="BF26" s="61"/>
      <c r="BG26" s="61"/>
      <c r="BH26" s="61"/>
      <c r="BI26" s="61"/>
      <c r="BJ26" s="63"/>
      <c r="BK26" s="5"/>
    </row>
    <row r="27" spans="1:63" ht="15" customHeight="1" x14ac:dyDescent="0.25">
      <c r="A27" s="2"/>
      <c r="B27" s="12"/>
      <c r="C27" s="10"/>
      <c r="D27" s="10"/>
      <c r="E27" s="10"/>
      <c r="F27" s="10"/>
      <c r="G27" s="11"/>
      <c r="H27" s="12"/>
      <c r="I27" s="10"/>
      <c r="J27" s="10"/>
      <c r="K27" s="10"/>
      <c r="L27" s="10"/>
      <c r="M27" s="10"/>
      <c r="N27" s="11"/>
      <c r="O27" s="12"/>
      <c r="P27" s="10"/>
      <c r="Q27" s="10"/>
      <c r="R27" s="10"/>
      <c r="S27" s="64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6"/>
      <c r="AX27" s="59"/>
      <c r="AY27" s="59"/>
      <c r="AZ27" s="59"/>
      <c r="BA27" s="59"/>
      <c r="BB27" s="59"/>
      <c r="BC27" s="62"/>
      <c r="BD27" s="58"/>
      <c r="BE27" s="59"/>
      <c r="BF27" s="59"/>
      <c r="BG27" s="59"/>
      <c r="BH27" s="59"/>
      <c r="BI27" s="59"/>
      <c r="BJ27" s="62"/>
      <c r="BK27" s="5"/>
    </row>
    <row r="28" spans="1:63" ht="15" customHeight="1" x14ac:dyDescent="0.25">
      <c r="A28" s="2"/>
      <c r="B28" s="13"/>
      <c r="C28" s="14"/>
      <c r="D28" s="14"/>
      <c r="E28" s="14"/>
      <c r="F28" s="14"/>
      <c r="G28" s="15"/>
      <c r="H28" s="13"/>
      <c r="I28" s="14"/>
      <c r="J28" s="14"/>
      <c r="K28" s="14"/>
      <c r="L28" s="14"/>
      <c r="M28" s="14"/>
      <c r="N28" s="15"/>
      <c r="O28" s="13"/>
      <c r="P28" s="14"/>
      <c r="Q28" s="14"/>
      <c r="R28" s="14"/>
      <c r="S28" s="67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9"/>
      <c r="AX28" s="61"/>
      <c r="AY28" s="61"/>
      <c r="AZ28" s="61"/>
      <c r="BA28" s="61"/>
      <c r="BB28" s="61"/>
      <c r="BC28" s="63"/>
      <c r="BD28" s="60"/>
      <c r="BE28" s="61"/>
      <c r="BF28" s="61"/>
      <c r="BG28" s="61"/>
      <c r="BH28" s="61"/>
      <c r="BI28" s="61"/>
      <c r="BJ28" s="63"/>
      <c r="BK28" s="5"/>
    </row>
    <row r="29" spans="1:63" ht="15" customHeight="1" x14ac:dyDescent="0.25">
      <c r="A29" s="2"/>
      <c r="B29" s="12"/>
      <c r="C29" s="10"/>
      <c r="D29" s="10"/>
      <c r="E29" s="10"/>
      <c r="F29" s="10"/>
      <c r="G29" s="11"/>
      <c r="H29" s="12"/>
      <c r="I29" s="10"/>
      <c r="J29" s="10"/>
      <c r="K29" s="10"/>
      <c r="L29" s="10"/>
      <c r="M29" s="10"/>
      <c r="N29" s="11"/>
      <c r="O29" s="12"/>
      <c r="P29" s="10"/>
      <c r="Q29" s="10"/>
      <c r="R29" s="10"/>
      <c r="S29" s="64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6"/>
      <c r="AX29" s="59"/>
      <c r="AY29" s="59"/>
      <c r="AZ29" s="59"/>
      <c r="BA29" s="59"/>
      <c r="BB29" s="59"/>
      <c r="BC29" s="62"/>
      <c r="BD29" s="58"/>
      <c r="BE29" s="59"/>
      <c r="BF29" s="59"/>
      <c r="BG29" s="59"/>
      <c r="BH29" s="59"/>
      <c r="BI29" s="59"/>
      <c r="BJ29" s="62"/>
      <c r="BK29" s="5"/>
    </row>
    <row r="30" spans="1:63" ht="15" customHeight="1" x14ac:dyDescent="0.25">
      <c r="A30" s="2"/>
      <c r="B30" s="13"/>
      <c r="C30" s="14"/>
      <c r="D30" s="14"/>
      <c r="E30" s="14"/>
      <c r="F30" s="14"/>
      <c r="G30" s="15"/>
      <c r="H30" s="13"/>
      <c r="I30" s="14"/>
      <c r="J30" s="14"/>
      <c r="K30" s="14"/>
      <c r="L30" s="14"/>
      <c r="M30" s="14"/>
      <c r="N30" s="15"/>
      <c r="O30" s="13"/>
      <c r="P30" s="14"/>
      <c r="Q30" s="14"/>
      <c r="R30" s="14"/>
      <c r="S30" s="67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9"/>
      <c r="AX30" s="61"/>
      <c r="AY30" s="61"/>
      <c r="AZ30" s="61"/>
      <c r="BA30" s="61"/>
      <c r="BB30" s="61"/>
      <c r="BC30" s="63"/>
      <c r="BD30" s="60"/>
      <c r="BE30" s="61"/>
      <c r="BF30" s="61"/>
      <c r="BG30" s="61"/>
      <c r="BH30" s="61"/>
      <c r="BI30" s="61"/>
      <c r="BJ30" s="63"/>
      <c r="BK30" s="5"/>
    </row>
    <row r="31" spans="1:63" ht="15" customHeight="1" x14ac:dyDescent="0.25">
      <c r="A31" s="2"/>
      <c r="B31" s="12"/>
      <c r="C31" s="10"/>
      <c r="D31" s="10"/>
      <c r="E31" s="10"/>
      <c r="F31" s="10"/>
      <c r="G31" s="11"/>
      <c r="H31" s="12"/>
      <c r="I31" s="10"/>
      <c r="J31" s="10"/>
      <c r="K31" s="10"/>
      <c r="L31" s="10"/>
      <c r="M31" s="10"/>
      <c r="N31" s="11"/>
      <c r="O31" s="12"/>
      <c r="P31" s="10"/>
      <c r="Q31" s="10"/>
      <c r="R31" s="10"/>
      <c r="S31" s="64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6"/>
      <c r="AX31" s="59"/>
      <c r="AY31" s="59"/>
      <c r="AZ31" s="59"/>
      <c r="BA31" s="59"/>
      <c r="BB31" s="59"/>
      <c r="BC31" s="62"/>
      <c r="BD31" s="58"/>
      <c r="BE31" s="59"/>
      <c r="BF31" s="59"/>
      <c r="BG31" s="59"/>
      <c r="BH31" s="59"/>
      <c r="BI31" s="59"/>
      <c r="BJ31" s="62"/>
      <c r="BK31" s="5"/>
    </row>
    <row r="32" spans="1:63" ht="15" customHeight="1" x14ac:dyDescent="0.25">
      <c r="A32" s="2"/>
      <c r="B32" s="13"/>
      <c r="C32" s="14"/>
      <c r="D32" s="14"/>
      <c r="E32" s="14"/>
      <c r="F32" s="14"/>
      <c r="G32" s="15"/>
      <c r="H32" s="13"/>
      <c r="I32" s="14"/>
      <c r="J32" s="14"/>
      <c r="K32" s="14"/>
      <c r="L32" s="14"/>
      <c r="M32" s="14"/>
      <c r="N32" s="15"/>
      <c r="O32" s="13"/>
      <c r="P32" s="14"/>
      <c r="Q32" s="14"/>
      <c r="R32" s="14"/>
      <c r="S32" s="67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9"/>
      <c r="AX32" s="61"/>
      <c r="AY32" s="61"/>
      <c r="AZ32" s="61"/>
      <c r="BA32" s="61"/>
      <c r="BB32" s="61"/>
      <c r="BC32" s="63"/>
      <c r="BD32" s="60"/>
      <c r="BE32" s="61"/>
      <c r="BF32" s="61"/>
      <c r="BG32" s="61"/>
      <c r="BH32" s="61"/>
      <c r="BI32" s="61"/>
      <c r="BJ32" s="63"/>
      <c r="BK32" s="5"/>
    </row>
    <row r="33" spans="1:63" ht="15" customHeight="1" x14ac:dyDescent="0.25">
      <c r="A33" s="2"/>
      <c r="B33" s="12"/>
      <c r="C33" s="10"/>
      <c r="D33" s="10"/>
      <c r="E33" s="10"/>
      <c r="F33" s="10"/>
      <c r="G33" s="11"/>
      <c r="H33" s="12"/>
      <c r="I33" s="10"/>
      <c r="J33" s="10"/>
      <c r="K33" s="10"/>
      <c r="L33" s="10"/>
      <c r="M33" s="10"/>
      <c r="N33" s="11"/>
      <c r="O33" s="12"/>
      <c r="P33" s="10"/>
      <c r="Q33" s="10"/>
      <c r="R33" s="10"/>
      <c r="S33" s="64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6"/>
      <c r="AX33" s="59"/>
      <c r="AY33" s="59"/>
      <c r="AZ33" s="59"/>
      <c r="BA33" s="59"/>
      <c r="BB33" s="59"/>
      <c r="BC33" s="62"/>
      <c r="BD33" s="58"/>
      <c r="BE33" s="59"/>
      <c r="BF33" s="59"/>
      <c r="BG33" s="59"/>
      <c r="BH33" s="59"/>
      <c r="BI33" s="59"/>
      <c r="BJ33" s="62"/>
      <c r="BK33" s="5"/>
    </row>
    <row r="34" spans="1:63" ht="15" customHeight="1" x14ac:dyDescent="0.25">
      <c r="A34" s="2"/>
      <c r="B34" s="13"/>
      <c r="C34" s="14"/>
      <c r="D34" s="14"/>
      <c r="E34" s="14"/>
      <c r="F34" s="14"/>
      <c r="G34" s="15"/>
      <c r="H34" s="13"/>
      <c r="I34" s="14"/>
      <c r="J34" s="14"/>
      <c r="K34" s="14"/>
      <c r="L34" s="14"/>
      <c r="M34" s="14"/>
      <c r="N34" s="15"/>
      <c r="O34" s="13"/>
      <c r="P34" s="14"/>
      <c r="Q34" s="14"/>
      <c r="R34" s="14"/>
      <c r="S34" s="67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9"/>
      <c r="AX34" s="61"/>
      <c r="AY34" s="61"/>
      <c r="AZ34" s="61"/>
      <c r="BA34" s="61"/>
      <c r="BB34" s="61"/>
      <c r="BC34" s="63"/>
      <c r="BD34" s="60"/>
      <c r="BE34" s="61"/>
      <c r="BF34" s="61"/>
      <c r="BG34" s="61"/>
      <c r="BH34" s="61"/>
      <c r="BI34" s="61"/>
      <c r="BJ34" s="63"/>
      <c r="BK34" s="5"/>
    </row>
    <row r="35" spans="1:63" ht="15" customHeight="1" x14ac:dyDescent="0.25">
      <c r="A35" s="2"/>
      <c r="B35" s="12"/>
      <c r="C35" s="10"/>
      <c r="D35" s="10"/>
      <c r="E35" s="10"/>
      <c r="F35" s="10"/>
      <c r="G35" s="11"/>
      <c r="H35" s="12"/>
      <c r="I35" s="10"/>
      <c r="J35" s="10"/>
      <c r="K35" s="10"/>
      <c r="L35" s="10"/>
      <c r="M35" s="10"/>
      <c r="N35" s="11"/>
      <c r="O35" s="12"/>
      <c r="P35" s="10"/>
      <c r="Q35" s="10"/>
      <c r="R35" s="10"/>
      <c r="S35" s="64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6"/>
      <c r="AX35" s="59"/>
      <c r="AY35" s="59"/>
      <c r="AZ35" s="59"/>
      <c r="BA35" s="59"/>
      <c r="BB35" s="59"/>
      <c r="BC35" s="62"/>
      <c r="BD35" s="58"/>
      <c r="BE35" s="59"/>
      <c r="BF35" s="59"/>
      <c r="BG35" s="59"/>
      <c r="BH35" s="59"/>
      <c r="BI35" s="59"/>
      <c r="BJ35" s="62"/>
      <c r="BK35" s="5"/>
    </row>
    <row r="36" spans="1:63" ht="15" customHeight="1" x14ac:dyDescent="0.25">
      <c r="A36" s="2"/>
      <c r="B36" s="13"/>
      <c r="C36" s="14"/>
      <c r="D36" s="14"/>
      <c r="E36" s="14"/>
      <c r="F36" s="14"/>
      <c r="G36" s="15"/>
      <c r="H36" s="13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67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9"/>
      <c r="AX36" s="61"/>
      <c r="AY36" s="61"/>
      <c r="AZ36" s="61"/>
      <c r="BA36" s="61"/>
      <c r="BB36" s="61"/>
      <c r="BC36" s="63"/>
      <c r="BD36" s="60"/>
      <c r="BE36" s="61"/>
      <c r="BF36" s="61"/>
      <c r="BG36" s="61"/>
      <c r="BH36" s="61"/>
      <c r="BI36" s="61"/>
      <c r="BJ36" s="63"/>
      <c r="BK36" s="5"/>
    </row>
    <row r="37" spans="1:63" ht="15" customHeight="1" x14ac:dyDescent="0.25">
      <c r="A37" s="2"/>
      <c r="B37" s="12"/>
      <c r="C37" s="10"/>
      <c r="D37" s="10"/>
      <c r="E37" s="10"/>
      <c r="F37" s="10"/>
      <c r="G37" s="11"/>
      <c r="H37" s="12"/>
      <c r="I37" s="10"/>
      <c r="J37" s="10"/>
      <c r="K37" s="10"/>
      <c r="L37" s="10"/>
      <c r="M37" s="10"/>
      <c r="N37" s="11"/>
      <c r="O37" s="12"/>
      <c r="P37" s="10"/>
      <c r="Q37" s="10"/>
      <c r="R37" s="10"/>
      <c r="S37" s="64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6"/>
      <c r="AX37" s="59"/>
      <c r="AY37" s="59"/>
      <c r="AZ37" s="59"/>
      <c r="BA37" s="59"/>
      <c r="BB37" s="59"/>
      <c r="BC37" s="62"/>
      <c r="BD37" s="58"/>
      <c r="BE37" s="59"/>
      <c r="BF37" s="59"/>
      <c r="BG37" s="59"/>
      <c r="BH37" s="59"/>
      <c r="BI37" s="59"/>
      <c r="BJ37" s="62"/>
      <c r="BK37" s="5"/>
    </row>
    <row r="38" spans="1:63" ht="15" customHeight="1" x14ac:dyDescent="0.25">
      <c r="A38" s="2"/>
      <c r="B38" s="13"/>
      <c r="C38" s="14"/>
      <c r="D38" s="14"/>
      <c r="E38" s="14"/>
      <c r="F38" s="14"/>
      <c r="G38" s="15"/>
      <c r="H38" s="13"/>
      <c r="I38" s="14"/>
      <c r="J38" s="14"/>
      <c r="K38" s="14"/>
      <c r="L38" s="14"/>
      <c r="M38" s="14"/>
      <c r="N38" s="15"/>
      <c r="O38" s="13"/>
      <c r="P38" s="14"/>
      <c r="Q38" s="14"/>
      <c r="R38" s="14"/>
      <c r="S38" s="67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9"/>
      <c r="AX38" s="61"/>
      <c r="AY38" s="61"/>
      <c r="AZ38" s="61"/>
      <c r="BA38" s="61"/>
      <c r="BB38" s="61"/>
      <c r="BC38" s="63"/>
      <c r="BD38" s="60"/>
      <c r="BE38" s="61"/>
      <c r="BF38" s="61"/>
      <c r="BG38" s="61"/>
      <c r="BH38" s="61"/>
      <c r="BI38" s="61"/>
      <c r="BJ38" s="63"/>
      <c r="BK38" s="5"/>
    </row>
    <row r="39" spans="1:63" ht="15" customHeight="1" x14ac:dyDescent="0.25">
      <c r="A39" s="2"/>
      <c r="B39" s="12"/>
      <c r="C39" s="10"/>
      <c r="D39" s="10"/>
      <c r="E39" s="10"/>
      <c r="F39" s="10"/>
      <c r="G39" s="11"/>
      <c r="H39" s="12"/>
      <c r="I39" s="10"/>
      <c r="J39" s="10"/>
      <c r="K39" s="10"/>
      <c r="L39" s="10"/>
      <c r="M39" s="10"/>
      <c r="N39" s="11"/>
      <c r="O39" s="12"/>
      <c r="P39" s="10"/>
      <c r="Q39" s="10"/>
      <c r="R39" s="10"/>
      <c r="S39" s="64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6"/>
      <c r="AX39" s="59"/>
      <c r="AY39" s="59"/>
      <c r="AZ39" s="59"/>
      <c r="BA39" s="59"/>
      <c r="BB39" s="59"/>
      <c r="BC39" s="62"/>
      <c r="BD39" s="58"/>
      <c r="BE39" s="59"/>
      <c r="BF39" s="59"/>
      <c r="BG39" s="59"/>
      <c r="BH39" s="59"/>
      <c r="BI39" s="59"/>
      <c r="BJ39" s="62"/>
      <c r="BK39" s="5"/>
    </row>
    <row r="40" spans="1:63" ht="15" customHeight="1" x14ac:dyDescent="0.25">
      <c r="A40" s="2"/>
      <c r="B40" s="13"/>
      <c r="C40" s="14"/>
      <c r="D40" s="14"/>
      <c r="E40" s="14"/>
      <c r="F40" s="14"/>
      <c r="G40" s="15"/>
      <c r="H40" s="13"/>
      <c r="I40" s="14"/>
      <c r="J40" s="14"/>
      <c r="K40" s="14"/>
      <c r="L40" s="14"/>
      <c r="M40" s="14"/>
      <c r="N40" s="15"/>
      <c r="O40" s="13"/>
      <c r="P40" s="14"/>
      <c r="Q40" s="14"/>
      <c r="R40" s="14"/>
      <c r="S40" s="67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9"/>
      <c r="AX40" s="61"/>
      <c r="AY40" s="61"/>
      <c r="AZ40" s="61"/>
      <c r="BA40" s="61"/>
      <c r="BB40" s="61"/>
      <c r="BC40" s="63"/>
      <c r="BD40" s="60"/>
      <c r="BE40" s="61"/>
      <c r="BF40" s="61"/>
      <c r="BG40" s="61"/>
      <c r="BH40" s="61"/>
      <c r="BI40" s="61"/>
      <c r="BJ40" s="63"/>
      <c r="BK40" s="5"/>
    </row>
    <row r="41" spans="1:63" ht="15" customHeight="1" x14ac:dyDescent="0.25">
      <c r="A41" s="2"/>
      <c r="B41" s="12"/>
      <c r="C41" s="10"/>
      <c r="D41" s="10"/>
      <c r="E41" s="10"/>
      <c r="F41" s="10"/>
      <c r="G41" s="11"/>
      <c r="H41" s="12"/>
      <c r="I41" s="10"/>
      <c r="J41" s="10"/>
      <c r="K41" s="10"/>
      <c r="L41" s="10"/>
      <c r="M41" s="10"/>
      <c r="N41" s="11"/>
      <c r="O41" s="12"/>
      <c r="P41" s="10"/>
      <c r="Q41" s="10"/>
      <c r="R41" s="10"/>
      <c r="S41" s="64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6"/>
      <c r="AX41" s="59"/>
      <c r="AY41" s="59"/>
      <c r="AZ41" s="59"/>
      <c r="BA41" s="59"/>
      <c r="BB41" s="59"/>
      <c r="BC41" s="62"/>
      <c r="BD41" s="58"/>
      <c r="BE41" s="59"/>
      <c r="BF41" s="59"/>
      <c r="BG41" s="59"/>
      <c r="BH41" s="59"/>
      <c r="BI41" s="59"/>
      <c r="BJ41" s="62"/>
      <c r="BK41" s="5"/>
    </row>
    <row r="42" spans="1:63" ht="15" customHeight="1" x14ac:dyDescent="0.25">
      <c r="A42" s="2"/>
      <c r="B42" s="13"/>
      <c r="C42" s="14"/>
      <c r="D42" s="14"/>
      <c r="E42" s="14"/>
      <c r="F42" s="14"/>
      <c r="G42" s="15"/>
      <c r="H42" s="13"/>
      <c r="I42" s="14"/>
      <c r="J42" s="14"/>
      <c r="K42" s="14"/>
      <c r="L42" s="14"/>
      <c r="M42" s="14"/>
      <c r="N42" s="15"/>
      <c r="O42" s="13"/>
      <c r="P42" s="14"/>
      <c r="Q42" s="14"/>
      <c r="R42" s="14"/>
      <c r="S42" s="67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9"/>
      <c r="AX42" s="61"/>
      <c r="AY42" s="61"/>
      <c r="AZ42" s="61"/>
      <c r="BA42" s="61"/>
      <c r="BB42" s="61"/>
      <c r="BC42" s="63"/>
      <c r="BD42" s="60"/>
      <c r="BE42" s="61"/>
      <c r="BF42" s="61"/>
      <c r="BG42" s="61"/>
      <c r="BH42" s="61"/>
      <c r="BI42" s="61"/>
      <c r="BJ42" s="63"/>
      <c r="BK42" s="5"/>
    </row>
    <row r="43" spans="1:63" ht="15" customHeight="1" x14ac:dyDescent="0.25">
      <c r="A43" s="2"/>
      <c r="B43" s="12"/>
      <c r="C43" s="10"/>
      <c r="D43" s="10"/>
      <c r="E43" s="10"/>
      <c r="F43" s="10"/>
      <c r="G43" s="11"/>
      <c r="H43" s="12"/>
      <c r="I43" s="10"/>
      <c r="J43" s="10"/>
      <c r="K43" s="10"/>
      <c r="L43" s="10"/>
      <c r="M43" s="10"/>
      <c r="N43" s="11"/>
      <c r="O43" s="12"/>
      <c r="P43" s="10"/>
      <c r="Q43" s="10"/>
      <c r="R43" s="10"/>
      <c r="S43" s="64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6"/>
      <c r="AX43" s="59"/>
      <c r="AY43" s="59"/>
      <c r="AZ43" s="59"/>
      <c r="BA43" s="59"/>
      <c r="BB43" s="59"/>
      <c r="BC43" s="62"/>
      <c r="BD43" s="58"/>
      <c r="BE43" s="59"/>
      <c r="BF43" s="59"/>
      <c r="BG43" s="59"/>
      <c r="BH43" s="59"/>
      <c r="BI43" s="59"/>
      <c r="BJ43" s="62"/>
      <c r="BK43" s="5"/>
    </row>
    <row r="44" spans="1:63" ht="15" customHeight="1" x14ac:dyDescent="0.25">
      <c r="A44" s="2"/>
      <c r="B44" s="13"/>
      <c r="C44" s="14"/>
      <c r="D44" s="14"/>
      <c r="E44" s="14"/>
      <c r="F44" s="14"/>
      <c r="G44" s="15"/>
      <c r="H44" s="13"/>
      <c r="I44" s="14"/>
      <c r="J44" s="14"/>
      <c r="K44" s="14"/>
      <c r="L44" s="14"/>
      <c r="M44" s="14"/>
      <c r="N44" s="15"/>
      <c r="O44" s="13"/>
      <c r="P44" s="14"/>
      <c r="Q44" s="14"/>
      <c r="R44" s="14"/>
      <c r="S44" s="67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9"/>
      <c r="AX44" s="61"/>
      <c r="AY44" s="61"/>
      <c r="AZ44" s="61"/>
      <c r="BA44" s="61"/>
      <c r="BB44" s="61"/>
      <c r="BC44" s="63"/>
      <c r="BD44" s="60"/>
      <c r="BE44" s="61"/>
      <c r="BF44" s="61"/>
      <c r="BG44" s="61"/>
      <c r="BH44" s="61"/>
      <c r="BI44" s="61"/>
      <c r="BJ44" s="63"/>
      <c r="BK44" s="5"/>
    </row>
    <row r="45" spans="1:63" ht="15" customHeight="1" x14ac:dyDescent="0.25">
      <c r="A45" s="2"/>
      <c r="B45" s="12"/>
      <c r="C45" s="10"/>
      <c r="D45" s="10"/>
      <c r="E45" s="10"/>
      <c r="F45" s="10"/>
      <c r="G45" s="11"/>
      <c r="H45" s="12"/>
      <c r="I45" s="10"/>
      <c r="J45" s="10"/>
      <c r="K45" s="10"/>
      <c r="L45" s="10"/>
      <c r="M45" s="10"/>
      <c r="N45" s="11"/>
      <c r="O45" s="12"/>
      <c r="P45" s="10"/>
      <c r="Q45" s="10"/>
      <c r="R45" s="10"/>
      <c r="S45" s="64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6"/>
      <c r="AX45" s="59"/>
      <c r="AY45" s="59"/>
      <c r="AZ45" s="59"/>
      <c r="BA45" s="59"/>
      <c r="BB45" s="59"/>
      <c r="BC45" s="62"/>
      <c r="BD45" s="58"/>
      <c r="BE45" s="59"/>
      <c r="BF45" s="59"/>
      <c r="BG45" s="59"/>
      <c r="BH45" s="59"/>
      <c r="BI45" s="59"/>
      <c r="BJ45" s="62"/>
      <c r="BK45" s="5"/>
    </row>
    <row r="46" spans="1:63" ht="15" customHeight="1" x14ac:dyDescent="0.25">
      <c r="A46" s="2"/>
      <c r="B46" s="13"/>
      <c r="C46" s="14"/>
      <c r="D46" s="14"/>
      <c r="E46" s="14"/>
      <c r="F46" s="14"/>
      <c r="G46" s="15"/>
      <c r="H46" s="13"/>
      <c r="I46" s="14"/>
      <c r="J46" s="14"/>
      <c r="K46" s="14"/>
      <c r="L46" s="14"/>
      <c r="M46" s="14"/>
      <c r="N46" s="15"/>
      <c r="O46" s="13"/>
      <c r="P46" s="14"/>
      <c r="Q46" s="14"/>
      <c r="R46" s="14"/>
      <c r="S46" s="67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9"/>
      <c r="AX46" s="61"/>
      <c r="AY46" s="61"/>
      <c r="AZ46" s="61"/>
      <c r="BA46" s="61"/>
      <c r="BB46" s="61"/>
      <c r="BC46" s="63"/>
      <c r="BD46" s="60"/>
      <c r="BE46" s="61"/>
      <c r="BF46" s="61"/>
      <c r="BG46" s="61"/>
      <c r="BH46" s="61"/>
      <c r="BI46" s="61"/>
      <c r="BJ46" s="63"/>
      <c r="BK46" s="5"/>
    </row>
    <row r="47" spans="1:63" ht="15" customHeight="1" x14ac:dyDescent="0.25">
      <c r="A47" s="2"/>
      <c r="B47" s="12"/>
      <c r="C47" s="10"/>
      <c r="D47" s="10"/>
      <c r="E47" s="10"/>
      <c r="F47" s="10"/>
      <c r="G47" s="11"/>
      <c r="H47" s="12"/>
      <c r="I47" s="10"/>
      <c r="J47" s="10"/>
      <c r="K47" s="10"/>
      <c r="L47" s="10"/>
      <c r="M47" s="10"/>
      <c r="N47" s="11"/>
      <c r="O47" s="12"/>
      <c r="P47" s="10"/>
      <c r="Q47" s="10"/>
      <c r="R47" s="10"/>
      <c r="S47" s="64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6"/>
      <c r="AX47" s="59"/>
      <c r="AY47" s="59"/>
      <c r="AZ47" s="59"/>
      <c r="BA47" s="59"/>
      <c r="BB47" s="59"/>
      <c r="BC47" s="62"/>
      <c r="BD47" s="58"/>
      <c r="BE47" s="59"/>
      <c r="BF47" s="59"/>
      <c r="BG47" s="59"/>
      <c r="BH47" s="59"/>
      <c r="BI47" s="59"/>
      <c r="BJ47" s="62"/>
      <c r="BK47" s="5"/>
    </row>
    <row r="48" spans="1:63" ht="15" customHeight="1" x14ac:dyDescent="0.25">
      <c r="A48" s="2"/>
      <c r="B48" s="13"/>
      <c r="C48" s="14"/>
      <c r="D48" s="14"/>
      <c r="E48" s="14"/>
      <c r="F48" s="14"/>
      <c r="G48" s="15"/>
      <c r="H48" s="13"/>
      <c r="I48" s="14"/>
      <c r="J48" s="14"/>
      <c r="K48" s="14"/>
      <c r="L48" s="14"/>
      <c r="M48" s="14"/>
      <c r="N48" s="15"/>
      <c r="O48" s="13"/>
      <c r="P48" s="14"/>
      <c r="Q48" s="14"/>
      <c r="R48" s="14"/>
      <c r="S48" s="67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9"/>
      <c r="AX48" s="61"/>
      <c r="AY48" s="61"/>
      <c r="AZ48" s="61"/>
      <c r="BA48" s="61"/>
      <c r="BB48" s="61"/>
      <c r="BC48" s="63"/>
      <c r="BD48" s="60"/>
      <c r="BE48" s="61"/>
      <c r="BF48" s="61"/>
      <c r="BG48" s="61"/>
      <c r="BH48" s="61"/>
      <c r="BI48" s="61"/>
      <c r="BJ48" s="63"/>
      <c r="BK48" s="5"/>
    </row>
    <row r="49" spans="1:63" ht="15" customHeight="1" x14ac:dyDescent="0.25">
      <c r="A49" s="2"/>
      <c r="B49" s="12"/>
      <c r="C49" s="10"/>
      <c r="D49" s="10"/>
      <c r="E49" s="10"/>
      <c r="F49" s="10"/>
      <c r="G49" s="11"/>
      <c r="H49" s="12"/>
      <c r="I49" s="10"/>
      <c r="J49" s="10"/>
      <c r="K49" s="10"/>
      <c r="L49" s="10"/>
      <c r="M49" s="10"/>
      <c r="N49" s="11"/>
      <c r="O49" s="12"/>
      <c r="P49" s="10"/>
      <c r="Q49" s="10"/>
      <c r="R49" s="10"/>
      <c r="S49" s="64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6"/>
      <c r="AX49" s="59"/>
      <c r="AY49" s="59"/>
      <c r="AZ49" s="59"/>
      <c r="BA49" s="59"/>
      <c r="BB49" s="59"/>
      <c r="BC49" s="62"/>
      <c r="BD49" s="58"/>
      <c r="BE49" s="59"/>
      <c r="BF49" s="59"/>
      <c r="BG49" s="59"/>
      <c r="BH49" s="59"/>
      <c r="BI49" s="59"/>
      <c r="BJ49" s="62"/>
      <c r="BK49" s="5"/>
    </row>
    <row r="50" spans="1:63" ht="15" customHeight="1" x14ac:dyDescent="0.25">
      <c r="A50" s="2"/>
      <c r="B50" s="13"/>
      <c r="C50" s="14"/>
      <c r="D50" s="14"/>
      <c r="E50" s="14"/>
      <c r="F50" s="14"/>
      <c r="G50" s="15"/>
      <c r="H50" s="13"/>
      <c r="I50" s="14"/>
      <c r="J50" s="14"/>
      <c r="K50" s="14"/>
      <c r="L50" s="14"/>
      <c r="M50" s="14"/>
      <c r="N50" s="15"/>
      <c r="O50" s="13"/>
      <c r="P50" s="14"/>
      <c r="Q50" s="14"/>
      <c r="R50" s="14"/>
      <c r="S50" s="67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9"/>
      <c r="AX50" s="61"/>
      <c r="AY50" s="61"/>
      <c r="AZ50" s="61"/>
      <c r="BA50" s="61"/>
      <c r="BB50" s="61"/>
      <c r="BC50" s="63"/>
      <c r="BD50" s="60"/>
      <c r="BE50" s="61"/>
      <c r="BF50" s="61"/>
      <c r="BG50" s="61"/>
      <c r="BH50" s="61"/>
      <c r="BI50" s="61"/>
      <c r="BJ50" s="63"/>
      <c r="BK50" s="5"/>
    </row>
    <row r="51" spans="1:63" ht="15" customHeight="1" x14ac:dyDescent="0.25">
      <c r="A51" s="2"/>
      <c r="B51" s="12"/>
      <c r="C51" s="10"/>
      <c r="D51" s="10"/>
      <c r="E51" s="10"/>
      <c r="F51" s="10"/>
      <c r="G51" s="11"/>
      <c r="H51" s="12"/>
      <c r="I51" s="10"/>
      <c r="J51" s="10"/>
      <c r="K51" s="10"/>
      <c r="L51" s="10"/>
      <c r="M51" s="10"/>
      <c r="N51" s="11"/>
      <c r="O51" s="12"/>
      <c r="P51" s="10"/>
      <c r="Q51" s="10"/>
      <c r="R51" s="10"/>
      <c r="S51" s="64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6"/>
      <c r="AX51" s="59"/>
      <c r="AY51" s="59"/>
      <c r="AZ51" s="59"/>
      <c r="BA51" s="59"/>
      <c r="BB51" s="59"/>
      <c r="BC51" s="62"/>
      <c r="BD51" s="58"/>
      <c r="BE51" s="59"/>
      <c r="BF51" s="59"/>
      <c r="BG51" s="59"/>
      <c r="BH51" s="59"/>
      <c r="BI51" s="59"/>
      <c r="BJ51" s="62"/>
      <c r="BK51" s="5"/>
    </row>
    <row r="52" spans="1:63" ht="15" customHeight="1" x14ac:dyDescent="0.25">
      <c r="A52" s="2"/>
      <c r="B52" s="13"/>
      <c r="C52" s="14"/>
      <c r="D52" s="14"/>
      <c r="E52" s="14"/>
      <c r="F52" s="14"/>
      <c r="G52" s="15"/>
      <c r="H52" s="13"/>
      <c r="I52" s="14"/>
      <c r="J52" s="14"/>
      <c r="K52" s="14"/>
      <c r="L52" s="14"/>
      <c r="M52" s="14"/>
      <c r="N52" s="15"/>
      <c r="O52" s="13"/>
      <c r="P52" s="14"/>
      <c r="Q52" s="14"/>
      <c r="R52" s="14"/>
      <c r="S52" s="67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9"/>
      <c r="AX52" s="61"/>
      <c r="AY52" s="61"/>
      <c r="AZ52" s="61"/>
      <c r="BA52" s="61"/>
      <c r="BB52" s="61"/>
      <c r="BC52" s="63"/>
      <c r="BD52" s="60"/>
      <c r="BE52" s="61"/>
      <c r="BF52" s="61"/>
      <c r="BG52" s="61"/>
      <c r="BH52" s="61"/>
      <c r="BI52" s="61"/>
      <c r="BJ52" s="63"/>
      <c r="BK52" s="5"/>
    </row>
    <row r="53" spans="1:63" ht="15" customHeight="1" x14ac:dyDescent="0.25">
      <c r="A53" s="2"/>
      <c r="B53" s="12"/>
      <c r="C53" s="10"/>
      <c r="D53" s="10"/>
      <c r="E53" s="10"/>
      <c r="F53" s="10"/>
      <c r="G53" s="11"/>
      <c r="H53" s="12"/>
      <c r="I53" s="10"/>
      <c r="J53" s="10"/>
      <c r="K53" s="10"/>
      <c r="L53" s="10"/>
      <c r="M53" s="10"/>
      <c r="N53" s="11"/>
      <c r="O53" s="12"/>
      <c r="P53" s="10"/>
      <c r="Q53" s="10"/>
      <c r="R53" s="10"/>
      <c r="S53" s="64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6"/>
      <c r="AX53" s="59"/>
      <c r="AY53" s="59"/>
      <c r="AZ53" s="59"/>
      <c r="BA53" s="59"/>
      <c r="BB53" s="59"/>
      <c r="BC53" s="62"/>
      <c r="BD53" s="58"/>
      <c r="BE53" s="59"/>
      <c r="BF53" s="59"/>
      <c r="BG53" s="59"/>
      <c r="BH53" s="59"/>
      <c r="BI53" s="59"/>
      <c r="BJ53" s="62"/>
      <c r="BK53" s="5"/>
    </row>
    <row r="54" spans="1:63" ht="15" customHeight="1" x14ac:dyDescent="0.25">
      <c r="A54" s="2"/>
      <c r="B54" s="13"/>
      <c r="C54" s="14"/>
      <c r="D54" s="14"/>
      <c r="E54" s="14"/>
      <c r="F54" s="14"/>
      <c r="G54" s="15"/>
      <c r="H54" s="13"/>
      <c r="I54" s="14"/>
      <c r="J54" s="14"/>
      <c r="K54" s="14"/>
      <c r="L54" s="14"/>
      <c r="M54" s="14"/>
      <c r="N54" s="15"/>
      <c r="O54" s="13"/>
      <c r="P54" s="14"/>
      <c r="Q54" s="14"/>
      <c r="R54" s="14"/>
      <c r="S54" s="67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9"/>
      <c r="AX54" s="61"/>
      <c r="AY54" s="61"/>
      <c r="AZ54" s="61"/>
      <c r="BA54" s="61"/>
      <c r="BB54" s="61"/>
      <c r="BC54" s="63"/>
      <c r="BD54" s="60"/>
      <c r="BE54" s="61"/>
      <c r="BF54" s="61"/>
      <c r="BG54" s="61"/>
      <c r="BH54" s="61"/>
      <c r="BI54" s="61"/>
      <c r="BJ54" s="63"/>
      <c r="BK54" s="5"/>
    </row>
    <row r="55" spans="1:63" ht="15" customHeight="1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BB67A-4EB8-4CF1-ADCE-D76B04D8EBEF}">
  <dimension ref="A1:BK55"/>
  <sheetViews>
    <sheetView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  <c r="K1" s="16" t="s">
        <v>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19" t="str">
        <f>IF([1]表紙!W1="","",[1]表紙!W1)</f>
        <v>基本設計書</v>
      </c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1"/>
      <c r="AP1" s="16" t="s">
        <v>3</v>
      </c>
      <c r="AQ1" s="17"/>
      <c r="AR1" s="17"/>
      <c r="AS1" s="18"/>
      <c r="AT1" s="16" t="s">
        <v>4</v>
      </c>
      <c r="AU1" s="17"/>
      <c r="AV1" s="17"/>
      <c r="AW1" s="17"/>
      <c r="AX1" s="18"/>
      <c r="AY1" s="16" t="s">
        <v>5</v>
      </c>
      <c r="AZ1" s="17"/>
      <c r="BA1" s="17"/>
      <c r="BB1" s="18"/>
      <c r="BC1" s="16" t="s">
        <v>6</v>
      </c>
      <c r="BD1" s="17"/>
      <c r="BE1" s="17"/>
      <c r="BF1" s="17"/>
      <c r="BG1" s="18"/>
      <c r="BH1" s="16" t="s">
        <v>7</v>
      </c>
      <c r="BI1" s="17"/>
      <c r="BJ1" s="17"/>
      <c r="BK1" s="18"/>
    </row>
    <row r="2" spans="1:63" ht="15" customHeight="1" x14ac:dyDescent="0.25">
      <c r="A2" s="89" t="str">
        <f>IF([1]表紙!A2="","",[1]表紙!A2)</f>
        <v>現金専用簡易セルフPOS</v>
      </c>
      <c r="B2" s="90"/>
      <c r="C2" s="90"/>
      <c r="D2" s="90"/>
      <c r="E2" s="90"/>
      <c r="F2" s="90"/>
      <c r="G2" s="90"/>
      <c r="H2" s="90"/>
      <c r="I2" s="90"/>
      <c r="J2" s="91"/>
      <c r="K2" s="89" t="str">
        <f>IF([1]表紙!K2="","",[1]表紙!K2)</f>
        <v>POSサーバー</v>
      </c>
      <c r="L2" s="90"/>
      <c r="M2" s="90"/>
      <c r="N2" s="90"/>
      <c r="O2" s="90"/>
      <c r="P2" s="90"/>
      <c r="Q2" s="90"/>
      <c r="R2" s="90"/>
      <c r="S2" s="90"/>
      <c r="T2" s="90"/>
      <c r="U2" s="90"/>
      <c r="V2" s="91"/>
      <c r="W2" s="2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23"/>
      <c r="AP2" s="89" t="str">
        <f>IF([1]表紙!AP2="","",[1]表紙!AP2)</f>
        <v xml:space="preserve">Thanh Nguyên </v>
      </c>
      <c r="AQ2" s="90"/>
      <c r="AR2" s="90"/>
      <c r="AS2" s="91"/>
      <c r="AT2" s="93">
        <f>IF([1]表紙!AT2="","",[1]表紙!AT2)</f>
        <v>45084</v>
      </c>
      <c r="AU2" s="94"/>
      <c r="AV2" s="94"/>
      <c r="AW2" s="94"/>
      <c r="AX2" s="95"/>
      <c r="AY2" s="89" t="str">
        <f>IF([1]表紙!AY2="","",[1]表紙!AY2)</f>
        <v>Thanh Nguyên</v>
      </c>
      <c r="AZ2" s="90"/>
      <c r="BA2" s="90"/>
      <c r="BB2" s="91"/>
      <c r="BC2" s="93">
        <f>IF([1]表紙!BC2="","",[1]表紙!BC2)</f>
        <v>45272</v>
      </c>
      <c r="BD2" s="94"/>
      <c r="BE2" s="94"/>
      <c r="BF2" s="94"/>
      <c r="BG2" s="95"/>
      <c r="BH2" s="89">
        <f>IF([1]表紙!BH2="","",[1]表紙!BH2)</f>
        <v>0.2</v>
      </c>
      <c r="BI2" s="90"/>
      <c r="BJ2" s="90"/>
      <c r="BK2" s="91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4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6"/>
      <c r="AP3" s="96"/>
      <c r="AQ3" s="97"/>
      <c r="AR3" s="97"/>
      <c r="AS3" s="98"/>
      <c r="AT3" s="99"/>
      <c r="AU3" s="100"/>
      <c r="AV3" s="100"/>
      <c r="AW3" s="100"/>
      <c r="AX3" s="101"/>
      <c r="AY3" s="96"/>
      <c r="AZ3" s="97"/>
      <c r="BA3" s="97"/>
      <c r="BB3" s="98"/>
      <c r="BC3" s="99"/>
      <c r="BD3" s="100"/>
      <c r="BE3" s="100"/>
      <c r="BF3" s="100"/>
      <c r="BG3" s="101"/>
      <c r="BH3" s="96"/>
      <c r="BI3" s="97"/>
      <c r="BJ3" s="97"/>
      <c r="BK3" s="98"/>
    </row>
    <row r="4" spans="1:63" ht="24.95" customHeight="1" x14ac:dyDescent="0.25">
      <c r="A4" s="16" t="s">
        <v>1</v>
      </c>
      <c r="B4" s="17"/>
      <c r="C4" s="17"/>
      <c r="D4" s="17"/>
      <c r="E4" s="17"/>
      <c r="F4" s="17"/>
      <c r="G4" s="18"/>
      <c r="H4" s="102" t="str">
        <f>IF([1]表紙!H4="","",[1]表紙!H4)</f>
        <v>全体</v>
      </c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4"/>
      <c r="U4" s="16" t="s">
        <v>8</v>
      </c>
      <c r="V4" s="17"/>
      <c r="W4" s="17"/>
      <c r="X4" s="17"/>
      <c r="Y4" s="18"/>
      <c r="Z4" s="102" t="str">
        <f>IF([1]表紙!Z4="","",[1]表紙!Z4)</f>
        <v>業務フロー</v>
      </c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4"/>
      <c r="AP4" s="102" t="str" cm="1">
        <f t="array" aca="1" ref="AP4" ca="1">RIGHT(CELL("filename",$A$1),LEN(CELL("filename",$A$1))-FIND("]",CELL("filename",$A$1)))</f>
        <v>業務フロー凡例</v>
      </c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03"/>
      <c r="BG4" s="103"/>
      <c r="BH4" s="103"/>
      <c r="BI4" s="103"/>
      <c r="BJ4" s="103"/>
      <c r="BK4" s="104"/>
    </row>
    <row r="5" spans="1:63" ht="5.0999999999999996" customHeight="1" x14ac:dyDescent="0.25">
      <c r="A5" s="10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7"/>
    </row>
    <row r="6" spans="1:63" ht="15" customHeight="1" x14ac:dyDescent="0.25">
      <c r="A6" s="108"/>
      <c r="B6" s="109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1"/>
      <c r="AF6" s="109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1"/>
      <c r="BJ6" s="110"/>
      <c r="BK6" s="112"/>
    </row>
    <row r="7" spans="1:63" ht="15" customHeight="1" x14ac:dyDescent="0.25">
      <c r="A7" s="108"/>
      <c r="B7" s="113" t="s">
        <v>16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5"/>
      <c r="AF7" s="113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5"/>
      <c r="BJ7" s="114"/>
      <c r="BK7" s="112"/>
    </row>
    <row r="8" spans="1:63" ht="15" customHeight="1" x14ac:dyDescent="0.25">
      <c r="A8" s="108"/>
      <c r="B8" s="109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1"/>
      <c r="AF8" s="109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1"/>
      <c r="BJ8" s="110"/>
      <c r="BK8" s="112"/>
    </row>
    <row r="9" spans="1:63" ht="15" customHeight="1" x14ac:dyDescent="0.25">
      <c r="A9" s="108"/>
      <c r="B9" s="109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1"/>
      <c r="AF9" s="109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1"/>
      <c r="BJ9" s="110"/>
      <c r="BK9" s="112"/>
    </row>
    <row r="10" spans="1:63" ht="15" customHeight="1" x14ac:dyDescent="0.25">
      <c r="A10" s="108"/>
      <c r="B10" s="109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1"/>
      <c r="AF10" s="109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0"/>
      <c r="BI10" s="111"/>
      <c r="BJ10" s="110"/>
      <c r="BK10" s="112"/>
    </row>
    <row r="11" spans="1:63" ht="15" customHeight="1" x14ac:dyDescent="0.25">
      <c r="A11" s="108"/>
      <c r="B11" s="109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1"/>
      <c r="AF11" s="109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  <c r="BG11" s="110"/>
      <c r="BH11" s="110"/>
      <c r="BI11" s="111"/>
      <c r="BJ11" s="110"/>
      <c r="BK11" s="112"/>
    </row>
    <row r="12" spans="1:63" ht="15" customHeight="1" x14ac:dyDescent="0.25">
      <c r="A12" s="108"/>
      <c r="B12" s="109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1"/>
      <c r="AF12" s="109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1"/>
      <c r="BJ12" s="110"/>
      <c r="BK12" s="112"/>
    </row>
    <row r="13" spans="1:63" ht="15" customHeight="1" x14ac:dyDescent="0.25">
      <c r="A13" s="108"/>
      <c r="B13" s="109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1"/>
      <c r="AF13" s="109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1"/>
      <c r="BJ13" s="110"/>
      <c r="BK13" s="112"/>
    </row>
    <row r="14" spans="1:63" ht="15" customHeight="1" x14ac:dyDescent="0.25">
      <c r="A14" s="108"/>
      <c r="B14" s="109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1"/>
      <c r="AF14" s="109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1"/>
      <c r="BJ14" s="110"/>
      <c r="BK14" s="112"/>
    </row>
    <row r="15" spans="1:63" ht="15" customHeight="1" x14ac:dyDescent="0.25">
      <c r="A15" s="108"/>
      <c r="B15" s="109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1"/>
      <c r="AF15" s="109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1"/>
      <c r="BJ15" s="110"/>
      <c r="BK15" s="112"/>
    </row>
    <row r="16" spans="1:63" ht="15" customHeight="1" x14ac:dyDescent="0.25">
      <c r="A16" s="108"/>
      <c r="B16" s="109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1"/>
      <c r="AF16" s="109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1"/>
      <c r="BJ16" s="110"/>
      <c r="BK16" s="112"/>
    </row>
    <row r="17" spans="1:63" ht="15" customHeight="1" x14ac:dyDescent="0.25">
      <c r="A17" s="108"/>
      <c r="B17" s="109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1"/>
      <c r="AF17" s="109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1"/>
      <c r="BJ17" s="110"/>
      <c r="BK17" s="112"/>
    </row>
    <row r="18" spans="1:63" ht="15" customHeight="1" x14ac:dyDescent="0.25">
      <c r="A18" s="108"/>
      <c r="B18" s="109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1"/>
      <c r="AF18" s="109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  <c r="BG18" s="110"/>
      <c r="BH18" s="110"/>
      <c r="BI18" s="111"/>
      <c r="BJ18" s="110"/>
      <c r="BK18" s="112"/>
    </row>
    <row r="19" spans="1:63" ht="15" customHeight="1" x14ac:dyDescent="0.25">
      <c r="A19" s="108"/>
      <c r="B19" s="109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1"/>
      <c r="AF19" s="109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  <c r="BG19" s="110"/>
      <c r="BH19" s="110"/>
      <c r="BI19" s="111"/>
      <c r="BJ19" s="110"/>
      <c r="BK19" s="112"/>
    </row>
    <row r="20" spans="1:63" ht="15" customHeight="1" x14ac:dyDescent="0.25">
      <c r="A20" s="108"/>
      <c r="B20" s="109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1"/>
      <c r="AF20" s="109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1"/>
      <c r="BJ20" s="110"/>
      <c r="BK20" s="112"/>
    </row>
    <row r="21" spans="1:63" ht="15" customHeight="1" x14ac:dyDescent="0.25">
      <c r="A21" s="108"/>
      <c r="B21" s="109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1"/>
      <c r="AF21" s="109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1"/>
      <c r="BJ21" s="110"/>
      <c r="BK21" s="112"/>
    </row>
    <row r="22" spans="1:63" ht="15" customHeight="1" x14ac:dyDescent="0.25">
      <c r="A22" s="108"/>
      <c r="B22" s="113" t="s">
        <v>17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5"/>
      <c r="AF22" s="113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5"/>
      <c r="BJ22" s="114"/>
      <c r="BK22" s="112"/>
    </row>
    <row r="23" spans="1:63" ht="15" customHeight="1" x14ac:dyDescent="0.25">
      <c r="A23" s="108"/>
      <c r="B23" s="109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1"/>
      <c r="AF23" s="109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  <c r="BG23" s="110"/>
      <c r="BH23" s="110"/>
      <c r="BI23" s="111"/>
      <c r="BJ23" s="110"/>
      <c r="BK23" s="112"/>
    </row>
    <row r="24" spans="1:63" ht="15" customHeight="1" x14ac:dyDescent="0.25">
      <c r="A24" s="108"/>
      <c r="B24" s="109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1"/>
      <c r="AF24" s="109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  <c r="BG24" s="110"/>
      <c r="BH24" s="110"/>
      <c r="BI24" s="111"/>
      <c r="BJ24" s="110"/>
      <c r="BK24" s="112"/>
    </row>
    <row r="25" spans="1:63" ht="15" customHeight="1" x14ac:dyDescent="0.25">
      <c r="A25" s="108"/>
      <c r="B25" s="109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1"/>
      <c r="AF25" s="109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1"/>
      <c r="BJ25" s="110"/>
      <c r="BK25" s="112"/>
    </row>
    <row r="26" spans="1:63" ht="15" customHeight="1" x14ac:dyDescent="0.25">
      <c r="A26" s="108"/>
      <c r="B26" s="109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1"/>
      <c r="AF26" s="109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1"/>
      <c r="BJ26" s="110"/>
      <c r="BK26" s="112"/>
    </row>
    <row r="27" spans="1:63" ht="15" customHeight="1" x14ac:dyDescent="0.25">
      <c r="A27" s="108"/>
      <c r="B27" s="109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1"/>
      <c r="AF27" s="109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1"/>
      <c r="BJ27" s="110"/>
      <c r="BK27" s="112"/>
    </row>
    <row r="28" spans="1:63" ht="15" customHeight="1" x14ac:dyDescent="0.25">
      <c r="A28" s="108"/>
      <c r="B28" s="109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1"/>
      <c r="AF28" s="109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1"/>
      <c r="BJ28" s="110"/>
      <c r="BK28" s="112"/>
    </row>
    <row r="29" spans="1:63" ht="15" customHeight="1" x14ac:dyDescent="0.25">
      <c r="A29" s="108"/>
      <c r="B29" s="109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1"/>
      <c r="AF29" s="109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  <c r="BG29" s="110"/>
      <c r="BH29" s="110"/>
      <c r="BI29" s="111"/>
      <c r="BJ29" s="110"/>
      <c r="BK29" s="112"/>
    </row>
    <row r="30" spans="1:63" ht="15" customHeight="1" x14ac:dyDescent="0.25">
      <c r="A30" s="108"/>
      <c r="B30" s="109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1"/>
      <c r="AF30" s="109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  <c r="BG30" s="110"/>
      <c r="BH30" s="110"/>
      <c r="BI30" s="111"/>
      <c r="BJ30" s="110"/>
      <c r="BK30" s="112"/>
    </row>
    <row r="31" spans="1:63" ht="15" customHeight="1" x14ac:dyDescent="0.25">
      <c r="A31" s="108"/>
      <c r="B31" s="109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1"/>
      <c r="AF31" s="109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  <c r="BG31" s="110"/>
      <c r="BH31" s="110"/>
      <c r="BI31" s="111"/>
      <c r="BJ31" s="110"/>
      <c r="BK31" s="112"/>
    </row>
    <row r="32" spans="1:63" ht="15" customHeight="1" x14ac:dyDescent="0.25">
      <c r="A32" s="108"/>
      <c r="B32" s="109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1"/>
      <c r="AF32" s="109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1"/>
      <c r="BJ32" s="110"/>
      <c r="BK32" s="112"/>
    </row>
    <row r="33" spans="1:63" ht="15" customHeight="1" x14ac:dyDescent="0.25">
      <c r="A33" s="108"/>
      <c r="B33" s="109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1"/>
      <c r="AF33" s="109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1"/>
      <c r="BJ33" s="110"/>
      <c r="BK33" s="112"/>
    </row>
    <row r="34" spans="1:63" ht="15" customHeight="1" x14ac:dyDescent="0.25">
      <c r="A34" s="108"/>
      <c r="B34" s="109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1"/>
      <c r="AF34" s="109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  <c r="BG34" s="110"/>
      <c r="BH34" s="110"/>
      <c r="BI34" s="111"/>
      <c r="BJ34" s="110"/>
      <c r="BK34" s="112"/>
    </row>
    <row r="35" spans="1:63" ht="15" customHeight="1" x14ac:dyDescent="0.25">
      <c r="A35" s="108"/>
      <c r="B35" s="109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1"/>
      <c r="AF35" s="109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1"/>
      <c r="BJ35" s="110"/>
      <c r="BK35" s="112"/>
    </row>
    <row r="36" spans="1:63" ht="15" customHeight="1" x14ac:dyDescent="0.25">
      <c r="A36" s="108"/>
      <c r="B36" s="109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1"/>
      <c r="AF36" s="109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  <c r="BG36" s="110"/>
      <c r="BH36" s="110"/>
      <c r="BI36" s="111"/>
      <c r="BJ36" s="110"/>
      <c r="BK36" s="112"/>
    </row>
    <row r="37" spans="1:63" ht="15" customHeight="1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  <c r="BG37" s="110"/>
      <c r="BH37" s="110"/>
      <c r="BI37" s="110"/>
      <c r="BJ37" s="110"/>
      <c r="BK37" s="112"/>
    </row>
    <row r="38" spans="1:63" ht="15" customHeight="1" x14ac:dyDescent="0.25">
      <c r="A38" s="108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  <c r="BG38" s="110"/>
      <c r="BH38" s="110"/>
      <c r="BI38" s="110"/>
      <c r="BJ38" s="110"/>
      <c r="BK38" s="112"/>
    </row>
    <row r="39" spans="1:63" ht="15" customHeight="1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2"/>
    </row>
    <row r="40" spans="1:63" ht="15" customHeight="1" x14ac:dyDescent="0.25">
      <c r="A40" s="108"/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2"/>
    </row>
    <row r="41" spans="1:63" ht="15" customHeight="1" x14ac:dyDescent="0.25">
      <c r="A41" s="108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 s="110"/>
      <c r="BH41" s="110"/>
      <c r="BI41" s="110"/>
      <c r="BJ41" s="110"/>
      <c r="BK41" s="112"/>
    </row>
    <row r="42" spans="1:63" ht="15" customHeight="1" x14ac:dyDescent="0.25">
      <c r="A42" s="108"/>
      <c r="B42" s="113" t="s">
        <v>18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5"/>
      <c r="AF42" s="113"/>
      <c r="AG42" s="114"/>
      <c r="AH42" s="114"/>
      <c r="AI42" s="114"/>
      <c r="AJ42" s="114"/>
      <c r="AK42" s="114"/>
      <c r="AL42" s="114"/>
      <c r="AM42" s="114"/>
      <c r="AN42" s="114"/>
      <c r="AO42" s="114"/>
      <c r="AP42" s="114"/>
      <c r="AQ42" s="114"/>
      <c r="AR42" s="114"/>
      <c r="AS42" s="114"/>
      <c r="AT42" s="114"/>
      <c r="AU42" s="114"/>
      <c r="AV42" s="114"/>
      <c r="AW42" s="114"/>
      <c r="AX42" s="114"/>
      <c r="AY42" s="114"/>
      <c r="AZ42" s="114"/>
      <c r="BA42" s="114"/>
      <c r="BB42" s="114"/>
      <c r="BC42" s="114"/>
      <c r="BD42" s="114"/>
      <c r="BE42" s="114"/>
      <c r="BF42" s="114"/>
      <c r="BG42" s="114"/>
      <c r="BH42" s="114"/>
      <c r="BI42" s="115"/>
      <c r="BJ42" s="114"/>
      <c r="BK42" s="112"/>
    </row>
    <row r="43" spans="1:63" ht="15" customHeight="1" x14ac:dyDescent="0.25">
      <c r="A43" s="108"/>
      <c r="B43" s="109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1"/>
      <c r="AF43" s="109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  <c r="BG43" s="110"/>
      <c r="BH43" s="110"/>
      <c r="BI43" s="111"/>
      <c r="BJ43" s="110"/>
      <c r="BK43" s="112"/>
    </row>
    <row r="44" spans="1:63" ht="15" customHeight="1" x14ac:dyDescent="0.25">
      <c r="A44" s="108"/>
      <c r="B44" s="109"/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1"/>
      <c r="AF44" s="109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  <c r="BG44" s="110"/>
      <c r="BH44" s="110"/>
      <c r="BI44" s="111"/>
      <c r="BJ44" s="110"/>
      <c r="BK44" s="112"/>
    </row>
    <row r="45" spans="1:63" ht="15" customHeight="1" x14ac:dyDescent="0.25">
      <c r="A45" s="108"/>
      <c r="B45" s="109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1"/>
      <c r="AF45" s="109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  <c r="BG45" s="110"/>
      <c r="BH45" s="110"/>
      <c r="BI45" s="111"/>
      <c r="BJ45" s="110"/>
      <c r="BK45" s="112"/>
    </row>
    <row r="46" spans="1:63" ht="15" customHeight="1" x14ac:dyDescent="0.25">
      <c r="A46" s="108"/>
      <c r="B46" s="109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1"/>
      <c r="AF46" s="109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1"/>
      <c r="BJ46" s="110"/>
      <c r="BK46" s="112"/>
    </row>
    <row r="47" spans="1:63" ht="15" customHeight="1" x14ac:dyDescent="0.25">
      <c r="A47" s="108"/>
      <c r="B47" s="109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1"/>
      <c r="AF47" s="109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1"/>
      <c r="BJ47" s="110"/>
      <c r="BK47" s="112"/>
    </row>
    <row r="48" spans="1:63" ht="15" customHeight="1" x14ac:dyDescent="0.25">
      <c r="A48" s="108"/>
      <c r="B48" s="109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1"/>
      <c r="AF48" s="109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  <c r="BE48" s="110"/>
      <c r="BF48" s="110"/>
      <c r="BG48" s="110"/>
      <c r="BH48" s="110"/>
      <c r="BI48" s="111"/>
      <c r="BJ48" s="110"/>
      <c r="BK48" s="112"/>
    </row>
    <row r="49" spans="1:63" ht="15" customHeight="1" x14ac:dyDescent="0.25">
      <c r="A49" s="108"/>
      <c r="B49" s="110"/>
      <c r="C49" s="110"/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  <c r="BE49" s="110"/>
      <c r="BF49" s="110"/>
      <c r="BG49" s="110"/>
      <c r="BH49" s="110"/>
      <c r="BI49" s="110"/>
      <c r="BJ49" s="110"/>
      <c r="BK49" s="112"/>
    </row>
    <row r="50" spans="1:63" ht="15" customHeight="1" x14ac:dyDescent="0.25">
      <c r="A50" s="108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  <c r="BE50" s="110"/>
      <c r="BF50" s="110"/>
      <c r="BG50" s="110"/>
      <c r="BH50" s="110"/>
      <c r="BI50" s="110"/>
      <c r="BJ50" s="110"/>
      <c r="BK50" s="112"/>
    </row>
    <row r="51" spans="1:63" ht="15" customHeight="1" x14ac:dyDescent="0.25">
      <c r="A51" s="108"/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2"/>
    </row>
    <row r="52" spans="1:63" ht="15" customHeight="1" x14ac:dyDescent="0.25">
      <c r="A52" s="108"/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0"/>
      <c r="BI52" s="110"/>
      <c r="BJ52" s="110"/>
      <c r="BK52" s="112"/>
    </row>
    <row r="53" spans="1:63" ht="15" customHeight="1" x14ac:dyDescent="0.25">
      <c r="A53" s="108"/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0"/>
      <c r="BI53" s="110"/>
      <c r="BJ53" s="110"/>
      <c r="BK53" s="112"/>
    </row>
    <row r="54" spans="1:63" ht="15" customHeight="1" x14ac:dyDescent="0.25">
      <c r="A54" s="108"/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2"/>
    </row>
    <row r="55" spans="1:63" ht="15" customHeight="1" x14ac:dyDescent="0.25">
      <c r="A55" s="116"/>
      <c r="B55" s="117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9"/>
      <c r="AF55" s="117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9"/>
      <c r="BJ55" s="118"/>
      <c r="BK55" s="12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48F4-D8AD-443A-8E50-529BF54BC9AC}">
  <sheetPr>
    <pageSetUpPr fitToPage="1"/>
  </sheetPr>
  <dimension ref="A1:BK55"/>
  <sheetViews>
    <sheetView view="pageBreakPreview" zoomScale="75" zoomScaleNormal="75" zoomScaleSheetLayoutView="75" workbookViewId="0">
      <selection activeCell="BV38" sqref="BV38"/>
    </sheetView>
  </sheetViews>
  <sheetFormatPr defaultColWidth="2.77734375" defaultRowHeight="15" customHeight="1" x14ac:dyDescent="0.25"/>
  <sheetData>
    <row r="1" spans="1:63" ht="24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  <c r="K1" s="16" t="s">
        <v>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48" t="str">
        <f>IF(表紙!W1="","",表紙!W1)</f>
        <v>基本設計書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50"/>
      <c r="AP1" s="16" t="s">
        <v>3</v>
      </c>
      <c r="AQ1" s="17"/>
      <c r="AR1" s="17"/>
      <c r="AS1" s="18"/>
      <c r="AT1" s="16" t="s">
        <v>4</v>
      </c>
      <c r="AU1" s="17"/>
      <c r="AV1" s="17"/>
      <c r="AW1" s="17"/>
      <c r="AX1" s="18"/>
      <c r="AY1" s="16" t="s">
        <v>5</v>
      </c>
      <c r="AZ1" s="17"/>
      <c r="BA1" s="17"/>
      <c r="BB1" s="18"/>
      <c r="BC1" s="16" t="s">
        <v>6</v>
      </c>
      <c r="BD1" s="17"/>
      <c r="BE1" s="17"/>
      <c r="BF1" s="17"/>
      <c r="BG1" s="18"/>
      <c r="BH1" s="16" t="s">
        <v>7</v>
      </c>
      <c r="BI1" s="17"/>
      <c r="BJ1" s="17"/>
      <c r="BK1" s="18"/>
    </row>
    <row r="2" spans="1:63" ht="15" customHeight="1" x14ac:dyDescent="0.25">
      <c r="A2" s="39" t="str">
        <f>IF(表紙!A2="","",表紙!A2)</f>
        <v>ignica POS</v>
      </c>
      <c r="B2" s="40"/>
      <c r="C2" s="40"/>
      <c r="D2" s="40"/>
      <c r="E2" s="40"/>
      <c r="F2" s="40"/>
      <c r="G2" s="40"/>
      <c r="H2" s="40"/>
      <c r="I2" s="40"/>
      <c r="J2" s="41"/>
      <c r="K2" s="39" t="str">
        <f>IF(表紙!K2="","",表紙!K2)</f>
        <v>POS Server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  <c r="W2" s="51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3"/>
      <c r="AP2" s="39">
        <f>IF(表紙!AP2="","",表紙!AP2)</f>
        <v>0</v>
      </c>
      <c r="AQ2" s="40"/>
      <c r="AR2" s="40"/>
      <c r="AS2" s="41"/>
      <c r="AT2" s="27">
        <f>IF(表紙!AT2="","",表紙!AT2)</f>
        <v>0</v>
      </c>
      <c r="AU2" s="28"/>
      <c r="AV2" s="28"/>
      <c r="AW2" s="28"/>
      <c r="AX2" s="29"/>
      <c r="AY2" s="39" t="e">
        <f>IF(表紙!AY2="","",表紙!AY2)</f>
        <v>#N/A</v>
      </c>
      <c r="AZ2" s="40"/>
      <c r="BA2" s="40"/>
      <c r="BB2" s="41"/>
      <c r="BC2" s="27" t="e">
        <f>IF(表紙!BC2="","",表紙!BC2)</f>
        <v>#N/A</v>
      </c>
      <c r="BD2" s="28"/>
      <c r="BE2" s="28"/>
      <c r="BF2" s="28"/>
      <c r="BG2" s="29"/>
      <c r="BH2" s="39" t="e">
        <f>IF(表紙!BH2="","",表紙!BH2)</f>
        <v>#N/A</v>
      </c>
      <c r="BI2" s="40"/>
      <c r="BJ2" s="40"/>
      <c r="BK2" s="41"/>
    </row>
    <row r="3" spans="1:63" ht="15" customHeight="1" x14ac:dyDescent="0.25">
      <c r="A3" s="42"/>
      <c r="B3" s="43"/>
      <c r="C3" s="43"/>
      <c r="D3" s="43"/>
      <c r="E3" s="43"/>
      <c r="F3" s="43"/>
      <c r="G3" s="43"/>
      <c r="H3" s="43"/>
      <c r="I3" s="43"/>
      <c r="J3" s="44"/>
      <c r="K3" s="42"/>
      <c r="L3" s="43"/>
      <c r="M3" s="43"/>
      <c r="N3" s="43"/>
      <c r="O3" s="43"/>
      <c r="P3" s="43"/>
      <c r="Q3" s="43"/>
      <c r="R3" s="43"/>
      <c r="S3" s="43"/>
      <c r="T3" s="43"/>
      <c r="U3" s="43"/>
      <c r="V3" s="44"/>
      <c r="W3" s="54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6"/>
      <c r="AP3" s="42"/>
      <c r="AQ3" s="43"/>
      <c r="AR3" s="43"/>
      <c r="AS3" s="44"/>
      <c r="AT3" s="30"/>
      <c r="AU3" s="31"/>
      <c r="AV3" s="31"/>
      <c r="AW3" s="31"/>
      <c r="AX3" s="32"/>
      <c r="AY3" s="42"/>
      <c r="AZ3" s="43"/>
      <c r="BA3" s="43"/>
      <c r="BB3" s="44"/>
      <c r="BC3" s="30"/>
      <c r="BD3" s="31"/>
      <c r="BE3" s="31"/>
      <c r="BF3" s="31"/>
      <c r="BG3" s="32"/>
      <c r="BH3" s="42"/>
      <c r="BI3" s="43"/>
      <c r="BJ3" s="43"/>
      <c r="BK3" s="44"/>
    </row>
    <row r="4" spans="1:63" ht="24.95" customHeight="1" x14ac:dyDescent="0.25">
      <c r="A4" s="16" t="s">
        <v>1</v>
      </c>
      <c r="B4" s="17"/>
      <c r="C4" s="17"/>
      <c r="D4" s="17"/>
      <c r="E4" s="17"/>
      <c r="F4" s="17"/>
      <c r="G4" s="18"/>
      <c r="H4" s="45" t="str">
        <f>IF(表紙!H4="","",表紙!H4)</f>
        <v>X9999_マスタ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7"/>
      <c r="U4" s="16" t="s">
        <v>8</v>
      </c>
      <c r="V4" s="17"/>
      <c r="W4" s="17"/>
      <c r="X4" s="17"/>
      <c r="Y4" s="18"/>
      <c r="Z4" s="45" t="str">
        <f>IF(表紙!Z4="","",表紙!Z4)</f>
        <v>概要設計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  <c r="AP4" s="45" t="str" cm="1">
        <f t="array" aca="1" ref="AP4" ca="1">RIGHT(CELL("filename",$A$1),LEN(CELL("filename",$A$1))-FIND("]",CELL("filename",$A$1)))</f>
        <v>機能概要</v>
      </c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6"/>
    </row>
    <row r="6" spans="1:63" ht="15" customHeight="1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5"/>
    </row>
    <row r="7" spans="1:63" ht="15" customHeight="1" x14ac:dyDescent="0.25">
      <c r="A7" s="2"/>
      <c r="B7" s="121" t="s">
        <v>19</v>
      </c>
      <c r="C7" s="122"/>
      <c r="D7" s="114"/>
      <c r="E7" s="114"/>
      <c r="F7" s="114"/>
      <c r="G7" s="114"/>
      <c r="H7" s="114"/>
      <c r="I7" s="114"/>
      <c r="J7" s="114"/>
      <c r="K7" s="123"/>
      <c r="L7" s="122"/>
      <c r="M7" s="114"/>
      <c r="N7" s="114"/>
      <c r="O7" s="114"/>
      <c r="P7" s="114"/>
      <c r="Q7" s="114"/>
      <c r="R7" s="114"/>
      <c r="S7" s="114"/>
      <c r="T7" s="123"/>
      <c r="U7" s="122"/>
      <c r="V7" s="114"/>
      <c r="W7" s="114"/>
      <c r="X7" s="114"/>
      <c r="Y7" s="114"/>
      <c r="Z7" s="114"/>
      <c r="AA7" s="114"/>
      <c r="AB7" s="114"/>
      <c r="AC7" s="123"/>
      <c r="AD7" s="122"/>
      <c r="AE7" s="114"/>
      <c r="AF7" s="114"/>
      <c r="AG7" s="114"/>
      <c r="AH7" s="114"/>
      <c r="AI7" s="114"/>
      <c r="AJ7" s="114"/>
      <c r="AK7" s="114"/>
      <c r="AL7" s="123"/>
      <c r="AM7" s="122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23"/>
      <c r="BJ7" s="122"/>
      <c r="BK7" s="5"/>
    </row>
    <row r="8" spans="1:63" ht="15" customHeight="1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24"/>
      <c r="L8" s="125"/>
      <c r="M8" s="1"/>
      <c r="N8" s="1"/>
      <c r="O8" s="1"/>
      <c r="P8" s="1"/>
      <c r="Q8" s="1"/>
      <c r="R8" s="1"/>
      <c r="S8" s="1"/>
      <c r="T8" s="124"/>
      <c r="U8" s="125"/>
      <c r="V8" s="1"/>
      <c r="W8" s="1"/>
      <c r="X8" s="1"/>
      <c r="Y8" s="1"/>
      <c r="Z8" s="1"/>
      <c r="AA8" s="1"/>
      <c r="AB8" s="1"/>
      <c r="AC8" s="124"/>
      <c r="AD8" s="125"/>
      <c r="AE8" s="1"/>
      <c r="AF8" s="1"/>
      <c r="AG8" s="1"/>
      <c r="AH8" s="1"/>
      <c r="AI8" s="1"/>
      <c r="AJ8" s="1"/>
      <c r="AK8" s="1"/>
      <c r="AL8" s="124"/>
      <c r="AM8" s="125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24"/>
      <c r="BJ8" s="125"/>
      <c r="BK8" s="5"/>
    </row>
    <row r="9" spans="1:63" ht="15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24"/>
      <c r="L9" s="125"/>
      <c r="M9" s="1"/>
      <c r="N9" s="1"/>
      <c r="O9" s="1"/>
      <c r="P9" s="1"/>
      <c r="Q9" s="1"/>
      <c r="R9" s="1"/>
      <c r="S9" s="1"/>
      <c r="T9" s="124"/>
      <c r="U9" s="125"/>
      <c r="V9" s="1"/>
      <c r="W9" s="1"/>
      <c r="X9" s="1"/>
      <c r="Y9" s="1"/>
      <c r="Z9" s="1"/>
      <c r="AA9" s="1"/>
      <c r="AB9" s="1"/>
      <c r="AC9" s="124"/>
      <c r="AD9" s="125"/>
      <c r="AE9" s="1"/>
      <c r="AF9" s="1"/>
      <c r="AG9" s="1"/>
      <c r="AH9" s="1"/>
      <c r="AI9" s="1"/>
      <c r="AJ9" s="1"/>
      <c r="AK9" s="1"/>
      <c r="AL9" s="124"/>
      <c r="AM9" s="125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24"/>
      <c r="BJ9" s="125"/>
      <c r="BK9" s="5"/>
    </row>
    <row r="10" spans="1:63" ht="15" customHeight="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24"/>
      <c r="L10" s="125"/>
      <c r="M10" s="1"/>
      <c r="N10" s="1"/>
      <c r="O10" s="1"/>
      <c r="P10" s="1"/>
      <c r="Q10" s="1"/>
      <c r="R10" s="1"/>
      <c r="S10" s="1"/>
      <c r="T10" s="124"/>
      <c r="U10" s="125"/>
      <c r="V10" s="1"/>
      <c r="W10" s="1"/>
      <c r="X10" s="1"/>
      <c r="Y10" s="1"/>
      <c r="Z10" s="1"/>
      <c r="AA10" s="1"/>
      <c r="AB10" s="1"/>
      <c r="AC10" s="124"/>
      <c r="AD10" s="125"/>
      <c r="AE10" s="1"/>
      <c r="AF10" s="1"/>
      <c r="AG10" s="1"/>
      <c r="AH10" s="1"/>
      <c r="AI10" s="1"/>
      <c r="AJ10" s="1"/>
      <c r="AK10" s="1"/>
      <c r="AL10" s="124"/>
      <c r="AM10" s="125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24"/>
      <c r="BJ10" s="125"/>
      <c r="BK10" s="5"/>
    </row>
    <row r="11" spans="1:63" ht="15" customHeight="1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24"/>
      <c r="L11" s="125"/>
      <c r="M11" s="1"/>
      <c r="N11" s="1"/>
      <c r="O11" s="1"/>
      <c r="P11" s="1"/>
      <c r="Q11" s="1"/>
      <c r="R11" s="1"/>
      <c r="S11" s="1"/>
      <c r="T11" s="124"/>
      <c r="U11" s="125"/>
      <c r="V11" s="1"/>
      <c r="W11" s="1"/>
      <c r="X11" s="1"/>
      <c r="Y11" s="1"/>
      <c r="Z11" s="1"/>
      <c r="AA11" s="1"/>
      <c r="AB11" s="1"/>
      <c r="AC11" s="124"/>
      <c r="AD11" s="125"/>
      <c r="AE11" s="1"/>
      <c r="AF11" s="1"/>
      <c r="AG11" s="1"/>
      <c r="AH11" s="1"/>
      <c r="AI11" s="1"/>
      <c r="AJ11" s="1"/>
      <c r="AK11" s="1"/>
      <c r="AL11" s="124"/>
      <c r="AM11" s="125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24"/>
      <c r="BJ11" s="125"/>
      <c r="BK11" s="5"/>
    </row>
    <row r="12" spans="1:63" ht="15" customHeight="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24"/>
      <c r="L12" s="125"/>
      <c r="M12" s="1"/>
      <c r="N12" s="1"/>
      <c r="O12" s="1"/>
      <c r="P12" s="1"/>
      <c r="Q12" s="1"/>
      <c r="R12" s="1"/>
      <c r="S12" s="1"/>
      <c r="T12" s="124"/>
      <c r="U12" s="125"/>
      <c r="V12" s="1"/>
      <c r="W12" s="1"/>
      <c r="X12" s="1"/>
      <c r="Y12" s="1"/>
      <c r="Z12" s="1"/>
      <c r="AA12" s="1"/>
      <c r="AB12" s="1"/>
      <c r="AC12" s="124"/>
      <c r="AD12" s="125"/>
      <c r="AE12" s="1"/>
      <c r="AF12" s="1"/>
      <c r="AG12" s="1"/>
      <c r="AH12" s="1"/>
      <c r="AI12" s="1"/>
      <c r="AJ12" s="1"/>
      <c r="AK12" s="1"/>
      <c r="AL12" s="124"/>
      <c r="AM12" s="125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24"/>
      <c r="BJ12" s="125"/>
      <c r="BK12" s="5"/>
    </row>
    <row r="13" spans="1:63" ht="15" customHeight="1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24"/>
      <c r="L13" s="125"/>
      <c r="M13" s="1"/>
      <c r="N13" s="1"/>
      <c r="O13" s="1"/>
      <c r="P13" s="1"/>
      <c r="Q13" s="1"/>
      <c r="R13" s="1"/>
      <c r="S13" s="1"/>
      <c r="T13" s="124"/>
      <c r="U13" s="125"/>
      <c r="V13" s="1"/>
      <c r="W13" s="1"/>
      <c r="X13" s="1"/>
      <c r="Y13" s="1"/>
      <c r="Z13" s="1"/>
      <c r="AA13" s="1"/>
      <c r="AB13" s="1"/>
      <c r="AC13" s="124"/>
      <c r="AD13" s="125"/>
      <c r="AE13" s="1"/>
      <c r="AF13" s="1"/>
      <c r="AG13" s="1"/>
      <c r="AH13" s="1"/>
      <c r="AI13" s="1"/>
      <c r="AJ13" s="1"/>
      <c r="AK13" s="1"/>
      <c r="AL13" s="124"/>
      <c r="AM13" s="125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24"/>
      <c r="BJ13" s="125"/>
      <c r="BK13" s="5"/>
    </row>
    <row r="14" spans="1:63" ht="15" customHeight="1" x14ac:dyDescent="0.25">
      <c r="A14" s="2"/>
      <c r="B14" s="1"/>
      <c r="C14" s="1"/>
      <c r="D14" s="1"/>
      <c r="E14" s="1"/>
      <c r="F14" s="1"/>
      <c r="G14" s="1"/>
      <c r="H14" s="1"/>
      <c r="I14" s="1"/>
      <c r="J14" s="1"/>
      <c r="K14" s="124"/>
      <c r="L14" s="125"/>
      <c r="M14" s="1"/>
      <c r="N14" s="1"/>
      <c r="O14" s="1"/>
      <c r="P14" s="1"/>
      <c r="Q14" s="1"/>
      <c r="R14" s="1"/>
      <c r="S14" s="1"/>
      <c r="T14" s="124"/>
      <c r="U14" s="125"/>
      <c r="V14" s="1"/>
      <c r="W14" s="1"/>
      <c r="X14" s="1"/>
      <c r="Y14" s="1"/>
      <c r="Z14" s="1"/>
      <c r="AA14" s="1"/>
      <c r="AB14" s="1"/>
      <c r="AC14" s="124"/>
      <c r="AD14" s="125"/>
      <c r="AE14" s="1"/>
      <c r="AF14" s="1"/>
      <c r="AG14" s="1"/>
      <c r="AH14" s="1"/>
      <c r="AI14" s="1"/>
      <c r="AJ14" s="1"/>
      <c r="AK14" s="1"/>
      <c r="AL14" s="124"/>
      <c r="AM14" s="125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24"/>
      <c r="BJ14" s="125"/>
      <c r="BK14" s="5"/>
    </row>
    <row r="15" spans="1:63" ht="15" customHeight="1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24"/>
      <c r="L15" s="125"/>
      <c r="M15" s="1"/>
      <c r="N15" s="1"/>
      <c r="O15" s="1"/>
      <c r="P15" s="1"/>
      <c r="Q15" s="1"/>
      <c r="R15" s="1"/>
      <c r="S15" s="1"/>
      <c r="T15" s="124"/>
      <c r="U15" s="125"/>
      <c r="V15" s="1"/>
      <c r="W15" s="1"/>
      <c r="X15" s="1"/>
      <c r="Y15" s="1"/>
      <c r="Z15" s="1"/>
      <c r="AA15" s="1"/>
      <c r="AB15" s="1"/>
      <c r="AC15" s="124"/>
      <c r="AD15" s="125"/>
      <c r="AE15" s="1"/>
      <c r="AF15" s="1"/>
      <c r="AG15" s="1"/>
      <c r="AH15" s="1"/>
      <c r="AI15" s="1"/>
      <c r="AJ15" s="1"/>
      <c r="AK15" s="1"/>
      <c r="AL15" s="124"/>
      <c r="AM15" s="125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24"/>
      <c r="BJ15" s="125"/>
      <c r="BK15" s="5"/>
    </row>
    <row r="16" spans="1:63" ht="15" customHeight="1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24"/>
      <c r="L16" s="125"/>
      <c r="M16" s="1"/>
      <c r="N16" s="1"/>
      <c r="O16" s="1"/>
      <c r="P16" s="1"/>
      <c r="Q16" s="1"/>
      <c r="R16" s="1"/>
      <c r="S16" s="1"/>
      <c r="T16" s="124"/>
      <c r="U16" s="125"/>
      <c r="V16" s="1"/>
      <c r="W16" s="1"/>
      <c r="X16" s="1"/>
      <c r="Y16" s="1"/>
      <c r="Z16" s="1"/>
      <c r="AA16" s="1"/>
      <c r="AB16" s="1"/>
      <c r="AC16" s="124"/>
      <c r="AD16" s="125"/>
      <c r="AE16" s="1"/>
      <c r="AF16" s="1"/>
      <c r="AG16" s="1"/>
      <c r="AH16" s="1"/>
      <c r="AI16" s="1"/>
      <c r="AJ16" s="1"/>
      <c r="AK16" s="1"/>
      <c r="AL16" s="124"/>
      <c r="AM16" s="125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24"/>
      <c r="BJ16" s="125"/>
      <c r="BK16" s="5"/>
    </row>
    <row r="17" spans="1:63" ht="15" customHeight="1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124"/>
      <c r="L17" s="125"/>
      <c r="M17" s="1"/>
      <c r="N17" s="1"/>
      <c r="O17" s="1"/>
      <c r="P17" s="1"/>
      <c r="Q17" s="1"/>
      <c r="R17" s="1"/>
      <c r="S17" s="1"/>
      <c r="T17" s="124"/>
      <c r="U17" s="125"/>
      <c r="V17" s="1"/>
      <c r="W17" s="1"/>
      <c r="X17" s="1"/>
      <c r="Y17" s="1"/>
      <c r="Z17" s="1"/>
      <c r="AA17" s="1"/>
      <c r="AB17" s="1"/>
      <c r="AC17" s="124"/>
      <c r="AD17" s="125"/>
      <c r="AE17" s="1"/>
      <c r="AF17" s="1"/>
      <c r="AG17" s="1"/>
      <c r="AH17" s="1"/>
      <c r="AI17" s="1"/>
      <c r="AJ17" s="1"/>
      <c r="AK17" s="1"/>
      <c r="AL17" s="124"/>
      <c r="AM17" s="125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24"/>
      <c r="BJ17" s="125"/>
      <c r="BK17" s="5"/>
    </row>
    <row r="18" spans="1:63" ht="15" customHeight="1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124"/>
      <c r="L18" s="125"/>
      <c r="M18" s="1"/>
      <c r="N18" s="1"/>
      <c r="O18" s="1"/>
      <c r="P18" s="1"/>
      <c r="Q18" s="1"/>
      <c r="R18" s="1"/>
      <c r="S18" s="1"/>
      <c r="T18" s="124"/>
      <c r="U18" s="125"/>
      <c r="V18" s="1"/>
      <c r="W18" s="1"/>
      <c r="X18" s="1"/>
      <c r="Y18" s="1"/>
      <c r="Z18" s="1"/>
      <c r="AA18" s="1"/>
      <c r="AB18" s="1"/>
      <c r="AC18" s="124"/>
      <c r="AD18" s="125"/>
      <c r="AE18" s="1"/>
      <c r="AF18" s="1"/>
      <c r="AG18" s="1"/>
      <c r="AH18" s="1"/>
      <c r="AI18" s="1"/>
      <c r="AJ18" s="1"/>
      <c r="AK18" s="1"/>
      <c r="AL18" s="124"/>
      <c r="AM18" s="125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24"/>
      <c r="BJ18" s="125"/>
      <c r="BK18" s="5"/>
    </row>
    <row r="19" spans="1:63" ht="15" customHeight="1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24"/>
      <c r="L19" s="125"/>
      <c r="M19" s="1"/>
      <c r="N19" s="1"/>
      <c r="O19" s="1"/>
      <c r="P19" s="1"/>
      <c r="Q19" s="1"/>
      <c r="R19" s="1"/>
      <c r="S19" s="1"/>
      <c r="T19" s="124"/>
      <c r="U19" s="125"/>
      <c r="V19" s="1"/>
      <c r="W19" s="1"/>
      <c r="X19" s="1"/>
      <c r="Y19" s="1"/>
      <c r="Z19" s="1"/>
      <c r="AA19" s="1"/>
      <c r="AB19" s="1"/>
      <c r="AC19" s="124"/>
      <c r="AD19" s="125"/>
      <c r="AE19" s="1"/>
      <c r="AF19" s="1"/>
      <c r="AG19" s="1"/>
      <c r="AH19" s="1"/>
      <c r="AI19" s="1"/>
      <c r="AJ19" s="1"/>
      <c r="AK19" s="1"/>
      <c r="AL19" s="124"/>
      <c r="AM19" s="125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24"/>
      <c r="BJ19" s="125"/>
      <c r="BK19" s="5"/>
    </row>
    <row r="20" spans="1:63" ht="15" customHeight="1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24"/>
      <c r="L20" s="125"/>
      <c r="M20" s="1"/>
      <c r="N20" s="1"/>
      <c r="O20" s="1"/>
      <c r="P20" s="1"/>
      <c r="Q20" s="1"/>
      <c r="R20" s="1"/>
      <c r="S20" s="1"/>
      <c r="T20" s="124"/>
      <c r="U20" s="125"/>
      <c r="V20" s="1"/>
      <c r="W20" s="1"/>
      <c r="X20" s="1"/>
      <c r="Y20" s="1"/>
      <c r="Z20" s="1"/>
      <c r="AA20" s="1"/>
      <c r="AB20" s="1"/>
      <c r="AC20" s="124"/>
      <c r="AD20" s="125"/>
      <c r="AE20" s="1"/>
      <c r="AF20" s="1"/>
      <c r="AG20" s="1"/>
      <c r="AH20" s="1"/>
      <c r="AI20" s="1"/>
      <c r="AJ20" s="1"/>
      <c r="AK20" s="1"/>
      <c r="AL20" s="124"/>
      <c r="AM20" s="125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24"/>
      <c r="BJ20" s="125"/>
      <c r="BK20" s="5"/>
    </row>
    <row r="21" spans="1:63" ht="15" customHeight="1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24"/>
      <c r="L21" s="125"/>
      <c r="M21" s="1"/>
      <c r="N21" s="1"/>
      <c r="O21" s="1"/>
      <c r="P21" s="1"/>
      <c r="Q21" s="1"/>
      <c r="R21" s="1"/>
      <c r="S21" s="1"/>
      <c r="T21" s="124"/>
      <c r="U21" s="125"/>
      <c r="V21" s="1"/>
      <c r="W21" s="1"/>
      <c r="X21" s="1"/>
      <c r="Y21" s="1"/>
      <c r="Z21" s="1"/>
      <c r="AA21" s="1"/>
      <c r="AB21" s="1"/>
      <c r="AC21" s="124"/>
      <c r="AD21" s="125"/>
      <c r="AE21" s="1"/>
      <c r="AF21" s="1"/>
      <c r="AG21" s="1"/>
      <c r="AH21" s="1"/>
      <c r="AI21" s="1"/>
      <c r="AJ21" s="1"/>
      <c r="AK21" s="1"/>
      <c r="AL21" s="124"/>
      <c r="AM21" s="125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24"/>
      <c r="BJ21" s="125"/>
      <c r="BK21" s="5"/>
    </row>
    <row r="22" spans="1:63" ht="15" customHeight="1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24"/>
      <c r="L22" s="125"/>
      <c r="M22" s="1"/>
      <c r="N22" s="1"/>
      <c r="O22" s="1"/>
      <c r="P22" s="1"/>
      <c r="Q22" s="1"/>
      <c r="R22" s="1"/>
      <c r="S22" s="1"/>
      <c r="T22" s="124"/>
      <c r="U22" s="125"/>
      <c r="V22" s="1"/>
      <c r="W22" s="1"/>
      <c r="X22" s="1"/>
      <c r="Y22" s="1"/>
      <c r="Z22" s="1"/>
      <c r="AA22" s="1"/>
      <c r="AB22" s="1"/>
      <c r="AC22" s="124"/>
      <c r="AD22" s="125"/>
      <c r="AE22" s="1"/>
      <c r="AF22" s="1"/>
      <c r="AG22" s="1"/>
      <c r="AH22" s="1"/>
      <c r="AI22" s="1"/>
      <c r="AJ22" s="1"/>
      <c r="AK22" s="1"/>
      <c r="AL22" s="124"/>
      <c r="AM22" s="125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24"/>
      <c r="BJ22" s="125"/>
      <c r="BK22" s="5"/>
    </row>
    <row r="23" spans="1:63" ht="15" customHeight="1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124"/>
      <c r="L23" s="125"/>
      <c r="M23" s="1"/>
      <c r="N23" s="1"/>
      <c r="O23" s="1"/>
      <c r="P23" s="1"/>
      <c r="Q23" s="1"/>
      <c r="R23" s="1"/>
      <c r="S23" s="1"/>
      <c r="T23" s="124"/>
      <c r="U23" s="125"/>
      <c r="V23" s="1"/>
      <c r="W23" s="1"/>
      <c r="X23" s="1"/>
      <c r="Y23" s="1"/>
      <c r="Z23" s="1"/>
      <c r="AA23" s="1"/>
      <c r="AB23" s="1"/>
      <c r="AC23" s="124"/>
      <c r="AD23" s="125"/>
      <c r="AE23" s="1"/>
      <c r="AF23" s="1"/>
      <c r="AG23" s="1"/>
      <c r="AH23" s="1"/>
      <c r="AI23" s="1"/>
      <c r="AJ23" s="1"/>
      <c r="AK23" s="1"/>
      <c r="AL23" s="124"/>
      <c r="AM23" s="125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24"/>
      <c r="BJ23" s="125"/>
      <c r="BK23" s="5"/>
    </row>
    <row r="24" spans="1:63" ht="15" customHeight="1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24"/>
      <c r="L24" s="125"/>
      <c r="M24" s="1"/>
      <c r="N24" s="1"/>
      <c r="O24" s="1"/>
      <c r="P24" s="1"/>
      <c r="Q24" s="1"/>
      <c r="R24" s="1"/>
      <c r="S24" s="1"/>
      <c r="T24" s="124"/>
      <c r="U24" s="125"/>
      <c r="V24" s="1"/>
      <c r="W24" s="1"/>
      <c r="X24" s="1"/>
      <c r="Y24" s="1"/>
      <c r="Z24" s="1"/>
      <c r="AA24" s="1"/>
      <c r="AB24" s="1"/>
      <c r="AC24" s="124"/>
      <c r="AD24" s="125"/>
      <c r="AE24" s="1"/>
      <c r="AF24" s="1"/>
      <c r="AG24" s="1"/>
      <c r="AH24" s="1"/>
      <c r="AI24" s="1"/>
      <c r="AJ24" s="1"/>
      <c r="AK24" s="1"/>
      <c r="AL24" s="124"/>
      <c r="AM24" s="125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24"/>
      <c r="BJ24" s="125"/>
      <c r="BK24" s="5"/>
    </row>
    <row r="25" spans="1:63" ht="15" customHeight="1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  <c r="K25" s="124"/>
      <c r="L25" s="125"/>
      <c r="M25" s="1"/>
      <c r="N25" s="1"/>
      <c r="O25" s="1"/>
      <c r="P25" s="1"/>
      <c r="Q25" s="1"/>
      <c r="R25" s="1"/>
      <c r="S25" s="1"/>
      <c r="T25" s="124"/>
      <c r="U25" s="125"/>
      <c r="V25" s="1"/>
      <c r="W25" s="1"/>
      <c r="X25" s="1"/>
      <c r="Y25" s="1"/>
      <c r="Z25" s="1"/>
      <c r="AA25" s="1"/>
      <c r="AB25" s="1"/>
      <c r="AC25" s="124"/>
      <c r="AD25" s="125"/>
      <c r="AE25" s="1"/>
      <c r="AF25" s="1"/>
      <c r="AG25" s="1"/>
      <c r="AH25" s="1"/>
      <c r="AI25" s="1"/>
      <c r="AJ25" s="1"/>
      <c r="AK25" s="1"/>
      <c r="AL25" s="124"/>
      <c r="AM25" s="125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24"/>
      <c r="BJ25" s="125"/>
      <c r="BK25" s="5"/>
    </row>
    <row r="26" spans="1:63" ht="15" customHeight="1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124"/>
      <c r="L26" s="125"/>
      <c r="M26" s="1"/>
      <c r="N26" s="1"/>
      <c r="O26" s="1"/>
      <c r="P26" s="1"/>
      <c r="Q26" s="1"/>
      <c r="R26" s="1"/>
      <c r="S26" s="1"/>
      <c r="T26" s="124"/>
      <c r="U26" s="125"/>
      <c r="V26" s="1"/>
      <c r="W26" s="1"/>
      <c r="X26" s="1"/>
      <c r="Y26" s="1"/>
      <c r="Z26" s="1"/>
      <c r="AA26" s="1"/>
      <c r="AB26" s="1"/>
      <c r="AC26" s="124"/>
      <c r="AD26" s="125"/>
      <c r="AE26" s="1"/>
      <c r="AF26" s="1"/>
      <c r="AG26" s="1"/>
      <c r="AH26" s="1"/>
      <c r="AI26" s="1"/>
      <c r="AJ26" s="1"/>
      <c r="AK26" s="1"/>
      <c r="AL26" s="124"/>
      <c r="AM26" s="125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24"/>
      <c r="BJ26" s="125"/>
      <c r="BK26" s="5"/>
    </row>
    <row r="27" spans="1:63" ht="15" customHeight="1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  <c r="K27" s="124"/>
      <c r="L27" s="125"/>
      <c r="M27" s="1"/>
      <c r="N27" s="1"/>
      <c r="O27" s="1"/>
      <c r="P27" s="1"/>
      <c r="Q27" s="1"/>
      <c r="R27" s="1"/>
      <c r="S27" s="1"/>
      <c r="T27" s="124"/>
      <c r="U27" s="125"/>
      <c r="V27" s="1"/>
      <c r="W27" s="1"/>
      <c r="X27" s="1"/>
      <c r="Y27" s="1"/>
      <c r="Z27" s="1"/>
      <c r="AA27" s="1"/>
      <c r="AB27" s="1"/>
      <c r="AC27" s="124"/>
      <c r="AD27" s="125"/>
      <c r="AE27" s="1"/>
      <c r="AF27" s="1"/>
      <c r="AG27" s="1"/>
      <c r="AH27" s="1"/>
      <c r="AI27" s="1"/>
      <c r="AJ27" s="1"/>
      <c r="AK27" s="1"/>
      <c r="AL27" s="124"/>
      <c r="AM27" s="125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24"/>
      <c r="BJ27" s="125"/>
      <c r="BK27" s="5"/>
    </row>
    <row r="28" spans="1:63" ht="15" customHeight="1" x14ac:dyDescent="0.25">
      <c r="A28" s="2"/>
      <c r="B28" s="1"/>
      <c r="C28" s="1"/>
      <c r="D28" s="1"/>
      <c r="E28" s="1"/>
      <c r="F28" s="1"/>
      <c r="G28" s="1"/>
      <c r="H28" s="1"/>
      <c r="I28" s="1"/>
      <c r="J28" s="1"/>
      <c r="K28" s="124"/>
      <c r="L28" s="125"/>
      <c r="M28" s="1"/>
      <c r="N28" s="1"/>
      <c r="O28" s="1"/>
      <c r="P28" s="1"/>
      <c r="Q28" s="1"/>
      <c r="R28" s="1"/>
      <c r="S28" s="1"/>
      <c r="T28" s="124"/>
      <c r="U28" s="125"/>
      <c r="V28" s="1"/>
      <c r="W28" s="1"/>
      <c r="X28" s="1"/>
      <c r="Y28" s="1"/>
      <c r="Z28" s="1"/>
      <c r="AA28" s="1"/>
      <c r="AB28" s="1"/>
      <c r="AC28" s="124"/>
      <c r="AD28" s="125"/>
      <c r="AE28" s="1"/>
      <c r="AF28" s="1"/>
      <c r="AG28" s="1"/>
      <c r="AH28" s="1"/>
      <c r="AI28" s="1"/>
      <c r="AJ28" s="1"/>
      <c r="AK28" s="1"/>
      <c r="AL28" s="124"/>
      <c r="AM28" s="125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24"/>
      <c r="BJ28" s="125"/>
      <c r="BK28" s="5"/>
    </row>
    <row r="29" spans="1:63" ht="15" customHeight="1" x14ac:dyDescent="0.25">
      <c r="A29" s="2"/>
      <c r="B29" s="1"/>
      <c r="C29" s="1"/>
      <c r="D29" s="1"/>
      <c r="E29" s="1"/>
      <c r="F29" s="1"/>
      <c r="G29" s="1"/>
      <c r="H29" s="1"/>
      <c r="I29" s="1"/>
      <c r="J29" s="1"/>
      <c r="K29" s="124"/>
      <c r="L29" s="125"/>
      <c r="M29" s="1"/>
      <c r="N29" s="1"/>
      <c r="O29" s="1"/>
      <c r="P29" s="1"/>
      <c r="Q29" s="1"/>
      <c r="R29" s="1"/>
      <c r="S29" s="1"/>
      <c r="T29" s="124"/>
      <c r="U29" s="125"/>
      <c r="V29" s="1"/>
      <c r="W29" s="1"/>
      <c r="X29" s="1"/>
      <c r="Y29" s="1"/>
      <c r="Z29" s="1"/>
      <c r="AA29" s="1"/>
      <c r="AB29" s="1"/>
      <c r="AC29" s="124"/>
      <c r="AD29" s="125"/>
      <c r="AE29" s="1"/>
      <c r="AF29" s="1"/>
      <c r="AG29" s="1"/>
      <c r="AH29" s="1"/>
      <c r="AI29" s="1"/>
      <c r="AJ29" s="1"/>
      <c r="AK29" s="1"/>
      <c r="AL29" s="124"/>
      <c r="AM29" s="125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24"/>
      <c r="BJ29" s="125"/>
      <c r="BK29" s="5"/>
    </row>
    <row r="30" spans="1:63" ht="15" customHeight="1" x14ac:dyDescent="0.25">
      <c r="A30" s="2"/>
      <c r="B30" s="1"/>
      <c r="C30" s="1"/>
      <c r="D30" s="1"/>
      <c r="E30" s="1"/>
      <c r="F30" s="1"/>
      <c r="G30" s="1"/>
      <c r="H30" s="1"/>
      <c r="I30" s="1"/>
      <c r="J30" s="1"/>
      <c r="K30" s="124"/>
      <c r="L30" s="125"/>
      <c r="M30" s="1"/>
      <c r="N30" s="1"/>
      <c r="O30" s="1"/>
      <c r="P30" s="1"/>
      <c r="Q30" s="1"/>
      <c r="R30" s="1"/>
      <c r="S30" s="1"/>
      <c r="T30" s="124"/>
      <c r="U30" s="125"/>
      <c r="V30" s="1"/>
      <c r="W30" s="1"/>
      <c r="X30" s="1"/>
      <c r="Y30" s="1"/>
      <c r="Z30" s="1"/>
      <c r="AA30" s="1"/>
      <c r="AB30" s="1"/>
      <c r="AC30" s="124"/>
      <c r="AD30" s="125"/>
      <c r="AE30" s="1"/>
      <c r="AF30" s="1"/>
      <c r="AG30" s="1"/>
      <c r="AH30" s="1"/>
      <c r="AI30" s="1"/>
      <c r="AJ30" s="1"/>
      <c r="AK30" s="1"/>
      <c r="AL30" s="124"/>
      <c r="AM30" s="125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24"/>
      <c r="BJ30" s="125"/>
      <c r="BK30" s="5"/>
    </row>
    <row r="31" spans="1:63" ht="15" customHeight="1" x14ac:dyDescent="0.25">
      <c r="A31" s="2"/>
      <c r="B31" s="1"/>
      <c r="C31" s="1"/>
      <c r="D31" s="1"/>
      <c r="E31" s="1"/>
      <c r="F31" s="1"/>
      <c r="G31" s="1"/>
      <c r="H31" s="1"/>
      <c r="I31" s="1"/>
      <c r="J31" s="1"/>
      <c r="K31" s="124"/>
      <c r="L31" s="125"/>
      <c r="M31" s="1"/>
      <c r="N31" s="1"/>
      <c r="O31" s="1"/>
      <c r="P31" s="1"/>
      <c r="Q31" s="1"/>
      <c r="R31" s="1"/>
      <c r="S31" s="1"/>
      <c r="T31" s="124"/>
      <c r="U31" s="125"/>
      <c r="V31" s="1"/>
      <c r="W31" s="1"/>
      <c r="X31" s="1"/>
      <c r="Y31" s="1"/>
      <c r="Z31" s="1"/>
      <c r="AA31" s="1"/>
      <c r="AB31" s="1"/>
      <c r="AC31" s="124"/>
      <c r="AD31" s="125"/>
      <c r="AE31" s="1"/>
      <c r="AF31" s="1"/>
      <c r="AG31" s="1"/>
      <c r="AH31" s="1"/>
      <c r="AI31" s="1"/>
      <c r="AJ31" s="1"/>
      <c r="AK31" s="1"/>
      <c r="AL31" s="124"/>
      <c r="AM31" s="125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24"/>
      <c r="BJ31" s="125"/>
      <c r="BK31" s="5"/>
    </row>
    <row r="32" spans="1:63" ht="15" customHeight="1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  <c r="K32" s="124"/>
      <c r="L32" s="125"/>
      <c r="M32" s="1"/>
      <c r="N32" s="1"/>
      <c r="O32" s="1"/>
      <c r="P32" s="1"/>
      <c r="Q32" s="1"/>
      <c r="R32" s="1"/>
      <c r="S32" s="1"/>
      <c r="T32" s="124"/>
      <c r="U32" s="125"/>
      <c r="V32" s="1"/>
      <c r="W32" s="1"/>
      <c r="X32" s="1"/>
      <c r="Y32" s="1"/>
      <c r="Z32" s="1"/>
      <c r="AA32" s="1"/>
      <c r="AB32" s="1"/>
      <c r="AC32" s="124"/>
      <c r="AD32" s="125"/>
      <c r="AE32" s="1"/>
      <c r="AF32" s="1"/>
      <c r="AG32" s="1"/>
      <c r="AH32" s="1"/>
      <c r="AI32" s="1"/>
      <c r="AJ32" s="1"/>
      <c r="AK32" s="1"/>
      <c r="AL32" s="124"/>
      <c r="AM32" s="125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24"/>
      <c r="BJ32" s="125"/>
      <c r="BK32" s="5"/>
    </row>
    <row r="33" spans="1:63" ht="15" customHeight="1" x14ac:dyDescent="0.25">
      <c r="A33" s="2"/>
      <c r="B33" s="1"/>
      <c r="C33" s="1"/>
      <c r="D33" s="1"/>
      <c r="E33" s="1"/>
      <c r="F33" s="1"/>
      <c r="G33" s="1"/>
      <c r="H33" s="1"/>
      <c r="I33" s="1"/>
      <c r="J33" s="1"/>
      <c r="K33" s="124"/>
      <c r="L33" s="125"/>
      <c r="M33" s="1"/>
      <c r="N33" s="1"/>
      <c r="O33" s="1"/>
      <c r="P33" s="1"/>
      <c r="Q33" s="1"/>
      <c r="R33" s="1"/>
      <c r="S33" s="1"/>
      <c r="T33" s="124"/>
      <c r="U33" s="125"/>
      <c r="V33" s="1"/>
      <c r="W33" s="1"/>
      <c r="X33" s="1"/>
      <c r="Y33" s="1"/>
      <c r="Z33" s="1"/>
      <c r="AA33" s="1"/>
      <c r="AB33" s="1"/>
      <c r="AC33" s="124"/>
      <c r="AD33" s="125"/>
      <c r="AE33" s="1"/>
      <c r="AF33" s="1"/>
      <c r="AG33" s="1"/>
      <c r="AH33" s="1"/>
      <c r="AI33" s="1"/>
      <c r="AJ33" s="1"/>
      <c r="AK33" s="1"/>
      <c r="AL33" s="124"/>
      <c r="AM33" s="125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24"/>
      <c r="BJ33" s="125"/>
      <c r="BK33" s="5"/>
    </row>
    <row r="34" spans="1:63" ht="15" customHeight="1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  <c r="K34" s="124"/>
      <c r="L34" s="125"/>
      <c r="M34" s="1"/>
      <c r="N34" s="1"/>
      <c r="O34" s="1"/>
      <c r="P34" s="1"/>
      <c r="Q34" s="1"/>
      <c r="R34" s="1"/>
      <c r="S34" s="1"/>
      <c r="T34" s="124"/>
      <c r="U34" s="125"/>
      <c r="V34" s="1"/>
      <c r="W34" s="1"/>
      <c r="X34" s="1"/>
      <c r="Y34" s="1"/>
      <c r="Z34" s="1"/>
      <c r="AA34" s="1"/>
      <c r="AB34" s="1"/>
      <c r="AC34" s="124"/>
      <c r="AD34" s="125"/>
      <c r="AE34" s="1"/>
      <c r="AF34" s="1"/>
      <c r="AG34" s="1"/>
      <c r="AH34" s="1"/>
      <c r="AI34" s="1"/>
      <c r="AJ34" s="1"/>
      <c r="AK34" s="1"/>
      <c r="AL34" s="124"/>
      <c r="AM34" s="125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24"/>
      <c r="BJ34" s="125"/>
      <c r="BK34" s="5"/>
    </row>
    <row r="35" spans="1:63" ht="15" customHeight="1" x14ac:dyDescent="0.25">
      <c r="A35" s="2"/>
      <c r="B35" s="1"/>
      <c r="C35" s="1"/>
      <c r="D35" s="1"/>
      <c r="E35" s="1"/>
      <c r="F35" s="1"/>
      <c r="G35" s="1"/>
      <c r="H35" s="1"/>
      <c r="I35" s="1"/>
      <c r="J35" s="1"/>
      <c r="K35" s="124"/>
      <c r="L35" s="125"/>
      <c r="M35" s="1"/>
      <c r="N35" s="1"/>
      <c r="O35" s="1"/>
      <c r="P35" s="1"/>
      <c r="Q35" s="1"/>
      <c r="R35" s="1"/>
      <c r="S35" s="1"/>
      <c r="T35" s="124"/>
      <c r="U35" s="125"/>
      <c r="V35" s="1"/>
      <c r="W35" s="1"/>
      <c r="X35" s="1"/>
      <c r="Y35" s="1"/>
      <c r="Z35" s="1"/>
      <c r="AA35" s="1"/>
      <c r="AB35" s="1"/>
      <c r="AC35" s="124"/>
      <c r="AD35" s="125"/>
      <c r="AE35" s="1"/>
      <c r="AF35" s="1"/>
      <c r="AG35" s="1"/>
      <c r="AH35" s="1"/>
      <c r="AI35" s="1"/>
      <c r="AJ35" s="1"/>
      <c r="AK35" s="1"/>
      <c r="AL35" s="124"/>
      <c r="AM35" s="125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24"/>
      <c r="BJ35" s="125"/>
      <c r="BK35" s="5"/>
    </row>
    <row r="36" spans="1:63" ht="15" customHeight="1" x14ac:dyDescent="0.25">
      <c r="A36" s="2"/>
      <c r="B36" s="1"/>
      <c r="C36" s="1"/>
      <c r="D36" s="1"/>
      <c r="E36" s="1"/>
      <c r="F36" s="1"/>
      <c r="G36" s="1"/>
      <c r="H36" s="1"/>
      <c r="I36" s="1"/>
      <c r="J36" s="1"/>
      <c r="K36" s="124"/>
      <c r="L36" s="125"/>
      <c r="M36" s="1"/>
      <c r="N36" s="1"/>
      <c r="O36" s="1"/>
      <c r="P36" s="1"/>
      <c r="Q36" s="1"/>
      <c r="R36" s="1"/>
      <c r="S36" s="1"/>
      <c r="T36" s="124"/>
      <c r="U36" s="125"/>
      <c r="V36" s="1"/>
      <c r="W36" s="1"/>
      <c r="X36" s="1"/>
      <c r="Y36" s="1"/>
      <c r="Z36" s="1"/>
      <c r="AA36" s="1"/>
      <c r="AB36" s="1"/>
      <c r="AC36" s="124"/>
      <c r="AD36" s="125"/>
      <c r="AE36" s="1"/>
      <c r="AF36" s="1"/>
      <c r="AG36" s="1"/>
      <c r="AH36" s="1"/>
      <c r="AI36" s="1"/>
      <c r="AJ36" s="1"/>
      <c r="AK36" s="1"/>
      <c r="AL36" s="124"/>
      <c r="AM36" s="125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24"/>
      <c r="BJ36" s="125"/>
      <c r="BK36" s="5"/>
    </row>
    <row r="37" spans="1:63" ht="15" customHeight="1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  <c r="K37" s="124"/>
      <c r="L37" s="125"/>
      <c r="M37" s="1"/>
      <c r="N37" s="1"/>
      <c r="O37" s="1"/>
      <c r="P37" s="1"/>
      <c r="Q37" s="1"/>
      <c r="R37" s="1"/>
      <c r="S37" s="1"/>
      <c r="T37" s="124"/>
      <c r="U37" s="125"/>
      <c r="V37" s="1"/>
      <c r="W37" s="1"/>
      <c r="X37" s="1"/>
      <c r="Y37" s="1"/>
      <c r="Z37" s="1"/>
      <c r="AA37" s="1"/>
      <c r="AB37" s="1"/>
      <c r="AC37" s="124"/>
      <c r="AD37" s="125"/>
      <c r="AE37" s="1"/>
      <c r="AF37" s="1"/>
      <c r="AG37" s="1"/>
      <c r="AH37" s="1"/>
      <c r="AI37" s="1"/>
      <c r="AJ37" s="1"/>
      <c r="AK37" s="1"/>
      <c r="AL37" s="124"/>
      <c r="AM37" s="125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24"/>
      <c r="BJ37" s="125"/>
      <c r="BK37" s="5"/>
    </row>
    <row r="38" spans="1:63" ht="15" customHeight="1" x14ac:dyDescent="0.25">
      <c r="A38" s="2"/>
      <c r="B38" s="1"/>
      <c r="C38" s="1"/>
      <c r="D38" s="1"/>
      <c r="E38" s="1"/>
      <c r="F38" s="1"/>
      <c r="G38" s="1"/>
      <c r="H38" s="1"/>
      <c r="I38" s="1"/>
      <c r="J38" s="1"/>
      <c r="K38" s="124"/>
      <c r="L38" s="125"/>
      <c r="M38" s="1"/>
      <c r="N38" s="1"/>
      <c r="O38" s="1"/>
      <c r="P38" s="1"/>
      <c r="Q38" s="1"/>
      <c r="R38" s="1"/>
      <c r="S38" s="1"/>
      <c r="T38" s="124"/>
      <c r="U38" s="125"/>
      <c r="V38" s="1"/>
      <c r="W38" s="1"/>
      <c r="X38" s="1"/>
      <c r="Y38" s="1"/>
      <c r="Z38" s="1"/>
      <c r="AA38" s="1"/>
      <c r="AB38" s="1"/>
      <c r="AC38" s="124"/>
      <c r="AD38" s="125"/>
      <c r="AE38" s="1"/>
      <c r="AF38" s="1"/>
      <c r="AG38" s="1"/>
      <c r="AH38" s="1"/>
      <c r="AI38" s="1"/>
      <c r="AJ38" s="1"/>
      <c r="AK38" s="1"/>
      <c r="AL38" s="124"/>
      <c r="AM38" s="125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24"/>
      <c r="BJ38" s="125"/>
      <c r="BK38" s="5"/>
    </row>
    <row r="39" spans="1:63" ht="15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24"/>
      <c r="L39" s="125"/>
      <c r="M39" s="1"/>
      <c r="N39" s="1"/>
      <c r="O39" s="1"/>
      <c r="P39" s="1"/>
      <c r="Q39" s="1"/>
      <c r="R39" s="1"/>
      <c r="S39" s="1"/>
      <c r="T39" s="124"/>
      <c r="U39" s="125"/>
      <c r="V39" s="1"/>
      <c r="W39" s="1"/>
      <c r="X39" s="1"/>
      <c r="Y39" s="1"/>
      <c r="Z39" s="1"/>
      <c r="AA39" s="1"/>
      <c r="AB39" s="1"/>
      <c r="AC39" s="124"/>
      <c r="AD39" s="125"/>
      <c r="AE39" s="1"/>
      <c r="AF39" s="1"/>
      <c r="AG39" s="1"/>
      <c r="AH39" s="1"/>
      <c r="AI39" s="1"/>
      <c r="AJ39" s="1"/>
      <c r="AK39" s="1"/>
      <c r="AL39" s="124"/>
      <c r="AM39" s="125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24"/>
      <c r="BJ39" s="125"/>
      <c r="BK39" s="5"/>
    </row>
    <row r="40" spans="1:63" ht="15" customHeight="1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  <c r="K40" s="124"/>
      <c r="L40" s="125"/>
      <c r="M40" s="1"/>
      <c r="N40" s="1"/>
      <c r="O40" s="1"/>
      <c r="P40" s="1"/>
      <c r="Q40" s="1"/>
      <c r="R40" s="1"/>
      <c r="S40" s="1"/>
      <c r="T40" s="124"/>
      <c r="U40" s="125"/>
      <c r="V40" s="1"/>
      <c r="W40" s="1"/>
      <c r="X40" s="1"/>
      <c r="Y40" s="1"/>
      <c r="Z40" s="1"/>
      <c r="AA40" s="1"/>
      <c r="AB40" s="1"/>
      <c r="AC40" s="124"/>
      <c r="AD40" s="125"/>
      <c r="AE40" s="1"/>
      <c r="AF40" s="1"/>
      <c r="AG40" s="1"/>
      <c r="AH40" s="1"/>
      <c r="AI40" s="1"/>
      <c r="AJ40" s="1"/>
      <c r="AK40" s="1"/>
      <c r="AL40" s="124"/>
      <c r="AM40" s="125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24"/>
      <c r="BJ40" s="125"/>
      <c r="BK40" s="5"/>
    </row>
    <row r="41" spans="1:63" ht="15" customHeight="1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  <c r="K41" s="124"/>
      <c r="L41" s="125"/>
      <c r="M41" s="1"/>
      <c r="N41" s="1"/>
      <c r="O41" s="1"/>
      <c r="P41" s="1"/>
      <c r="Q41" s="1"/>
      <c r="R41" s="1"/>
      <c r="S41" s="1"/>
      <c r="T41" s="124"/>
      <c r="U41" s="125"/>
      <c r="V41" s="1"/>
      <c r="W41" s="1"/>
      <c r="X41" s="1"/>
      <c r="Y41" s="1"/>
      <c r="Z41" s="1"/>
      <c r="AA41" s="1"/>
      <c r="AB41" s="1"/>
      <c r="AC41" s="124"/>
      <c r="AD41" s="125"/>
      <c r="AE41" s="1"/>
      <c r="AF41" s="1"/>
      <c r="AG41" s="1"/>
      <c r="AH41" s="1"/>
      <c r="AI41" s="1"/>
      <c r="AJ41" s="1"/>
      <c r="AK41" s="1"/>
      <c r="AL41" s="124"/>
      <c r="AM41" s="125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24"/>
      <c r="BJ41" s="125"/>
      <c r="BK41" s="5"/>
    </row>
    <row r="42" spans="1:63" ht="15" customHeight="1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24"/>
      <c r="L42" s="125"/>
      <c r="M42" s="1"/>
      <c r="N42" s="1"/>
      <c r="O42" s="1"/>
      <c r="P42" s="1"/>
      <c r="Q42" s="1"/>
      <c r="R42" s="1"/>
      <c r="S42" s="1"/>
      <c r="T42" s="124"/>
      <c r="U42" s="125"/>
      <c r="V42" s="1"/>
      <c r="W42" s="1"/>
      <c r="X42" s="1"/>
      <c r="Y42" s="1"/>
      <c r="Z42" s="1"/>
      <c r="AA42" s="1"/>
      <c r="AB42" s="1"/>
      <c r="AC42" s="124"/>
      <c r="AD42" s="125"/>
      <c r="AE42" s="1"/>
      <c r="AF42" s="1"/>
      <c r="AG42" s="1"/>
      <c r="AH42" s="1"/>
      <c r="AI42" s="1"/>
      <c r="AJ42" s="1"/>
      <c r="AK42" s="1"/>
      <c r="AL42" s="124"/>
      <c r="AM42" s="125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24"/>
      <c r="BJ42" s="125"/>
      <c r="BK42" s="5"/>
    </row>
    <row r="43" spans="1:63" ht="15" customHeight="1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24"/>
      <c r="L43" s="125"/>
      <c r="M43" s="1"/>
      <c r="N43" s="1"/>
      <c r="O43" s="1"/>
      <c r="P43" s="1"/>
      <c r="Q43" s="1"/>
      <c r="R43" s="1"/>
      <c r="S43" s="1"/>
      <c r="T43" s="124"/>
      <c r="U43" s="125"/>
      <c r="V43" s="1"/>
      <c r="W43" s="1"/>
      <c r="X43" s="1"/>
      <c r="Y43" s="1"/>
      <c r="Z43" s="1"/>
      <c r="AA43" s="1"/>
      <c r="AB43" s="1"/>
      <c r="AC43" s="124"/>
      <c r="AD43" s="125"/>
      <c r="AE43" s="1"/>
      <c r="AF43" s="1"/>
      <c r="AG43" s="1"/>
      <c r="AH43" s="1"/>
      <c r="AI43" s="1"/>
      <c r="AJ43" s="1"/>
      <c r="AK43" s="1"/>
      <c r="AL43" s="124"/>
      <c r="AM43" s="125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24"/>
      <c r="BJ43" s="125"/>
      <c r="BK43" s="5"/>
    </row>
    <row r="44" spans="1:63" ht="15" customHeight="1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24"/>
      <c r="L44" s="125"/>
      <c r="M44" s="1"/>
      <c r="N44" s="1"/>
      <c r="O44" s="1"/>
      <c r="P44" s="1"/>
      <c r="Q44" s="1"/>
      <c r="R44" s="1"/>
      <c r="S44" s="1"/>
      <c r="T44" s="124"/>
      <c r="U44" s="125"/>
      <c r="V44" s="1"/>
      <c r="W44" s="1"/>
      <c r="X44" s="1"/>
      <c r="Y44" s="1"/>
      <c r="Z44" s="1"/>
      <c r="AA44" s="1"/>
      <c r="AB44" s="1"/>
      <c r="AC44" s="124"/>
      <c r="AD44" s="125"/>
      <c r="AE44" s="1"/>
      <c r="AF44" s="1"/>
      <c r="AG44" s="1"/>
      <c r="AH44" s="1"/>
      <c r="AI44" s="1"/>
      <c r="AJ44" s="1"/>
      <c r="AK44" s="1"/>
      <c r="AL44" s="124"/>
      <c r="AM44" s="125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24"/>
      <c r="BJ44" s="125"/>
      <c r="BK44" s="5"/>
    </row>
    <row r="45" spans="1:63" ht="15" customHeight="1" x14ac:dyDescent="0.25">
      <c r="A45" s="2"/>
      <c r="B45" s="1"/>
      <c r="C45" s="1"/>
      <c r="D45" s="1"/>
      <c r="E45" s="1"/>
      <c r="F45" s="1"/>
      <c r="G45" s="1"/>
      <c r="H45" s="1"/>
      <c r="I45" s="1"/>
      <c r="J45" s="1"/>
      <c r="K45" s="124"/>
      <c r="L45" s="125"/>
      <c r="M45" s="1"/>
      <c r="N45" s="1"/>
      <c r="O45" s="1"/>
      <c r="P45" s="1"/>
      <c r="Q45" s="1"/>
      <c r="R45" s="1"/>
      <c r="S45" s="1"/>
      <c r="T45" s="124"/>
      <c r="U45" s="125"/>
      <c r="V45" s="1"/>
      <c r="W45" s="1"/>
      <c r="X45" s="1"/>
      <c r="Y45" s="1"/>
      <c r="Z45" s="1"/>
      <c r="AA45" s="1"/>
      <c r="AB45" s="1"/>
      <c r="AC45" s="124"/>
      <c r="AD45" s="125"/>
      <c r="AE45" s="1"/>
      <c r="AF45" s="1"/>
      <c r="AG45" s="1"/>
      <c r="AH45" s="1"/>
      <c r="AI45" s="1"/>
      <c r="AJ45" s="1"/>
      <c r="AK45" s="1"/>
      <c r="AL45" s="124"/>
      <c r="AM45" s="125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24"/>
      <c r="BJ45" s="125"/>
      <c r="BK45" s="5"/>
    </row>
    <row r="46" spans="1:63" ht="15" customHeight="1" x14ac:dyDescent="0.25">
      <c r="A46" s="2"/>
      <c r="B46" s="1"/>
      <c r="C46" s="1"/>
      <c r="D46" s="1"/>
      <c r="E46" s="1"/>
      <c r="F46" s="1"/>
      <c r="G46" s="1"/>
      <c r="H46" s="1"/>
      <c r="I46" s="1"/>
      <c r="J46" s="1"/>
      <c r="K46" s="124"/>
      <c r="L46" s="125"/>
      <c r="M46" s="1"/>
      <c r="N46" s="1"/>
      <c r="O46" s="1"/>
      <c r="P46" s="1"/>
      <c r="Q46" s="1"/>
      <c r="R46" s="1"/>
      <c r="S46" s="1"/>
      <c r="T46" s="124"/>
      <c r="U46" s="125"/>
      <c r="V46" s="1"/>
      <c r="W46" s="1"/>
      <c r="X46" s="1"/>
      <c r="Y46" s="1"/>
      <c r="Z46" s="1"/>
      <c r="AA46" s="1"/>
      <c r="AB46" s="1"/>
      <c r="AC46" s="124"/>
      <c r="AD46" s="125"/>
      <c r="AE46" s="1"/>
      <c r="AF46" s="1"/>
      <c r="AG46" s="1"/>
      <c r="AH46" s="1"/>
      <c r="AI46" s="1"/>
      <c r="AJ46" s="1"/>
      <c r="AK46" s="1"/>
      <c r="AL46" s="124"/>
      <c r="AM46" s="125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24"/>
      <c r="BJ46" s="125"/>
      <c r="BK46" s="5"/>
    </row>
    <row r="47" spans="1:63" ht="15" customHeight="1" x14ac:dyDescent="0.25">
      <c r="A47" s="2"/>
      <c r="B47" s="1"/>
      <c r="C47" s="1"/>
      <c r="D47" s="1"/>
      <c r="E47" s="1"/>
      <c r="F47" s="1"/>
      <c r="G47" s="1"/>
      <c r="H47" s="1"/>
      <c r="I47" s="1"/>
      <c r="J47" s="1"/>
      <c r="K47" s="124"/>
      <c r="L47" s="125"/>
      <c r="M47" s="1"/>
      <c r="N47" s="1"/>
      <c r="O47" s="1"/>
      <c r="P47" s="1"/>
      <c r="Q47" s="1"/>
      <c r="R47" s="1"/>
      <c r="S47" s="1"/>
      <c r="T47" s="124"/>
      <c r="U47" s="125"/>
      <c r="V47" s="1"/>
      <c r="W47" s="1"/>
      <c r="X47" s="1"/>
      <c r="Y47" s="1"/>
      <c r="Z47" s="1"/>
      <c r="AA47" s="1"/>
      <c r="AB47" s="1"/>
      <c r="AC47" s="124"/>
      <c r="AD47" s="125"/>
      <c r="AE47" s="1"/>
      <c r="AF47" s="1"/>
      <c r="AG47" s="1"/>
      <c r="AH47" s="1"/>
      <c r="AI47" s="1"/>
      <c r="AJ47" s="1"/>
      <c r="AK47" s="1"/>
      <c r="AL47" s="124"/>
      <c r="AM47" s="125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24"/>
      <c r="BJ47" s="125"/>
      <c r="BK47" s="5"/>
    </row>
    <row r="48" spans="1:63" ht="15" customHeight="1" x14ac:dyDescent="0.25">
      <c r="A48" s="2"/>
      <c r="B48" s="1"/>
      <c r="C48" s="1"/>
      <c r="D48" s="1"/>
      <c r="E48" s="1"/>
      <c r="F48" s="1"/>
      <c r="G48" s="1"/>
      <c r="H48" s="1"/>
      <c r="I48" s="1"/>
      <c r="J48" s="1"/>
      <c r="K48" s="124"/>
      <c r="L48" s="125"/>
      <c r="M48" s="1"/>
      <c r="N48" s="1"/>
      <c r="O48" s="1"/>
      <c r="P48" s="1"/>
      <c r="Q48" s="1"/>
      <c r="R48" s="1"/>
      <c r="S48" s="1"/>
      <c r="T48" s="124"/>
      <c r="U48" s="125"/>
      <c r="V48" s="1"/>
      <c r="W48" s="1"/>
      <c r="X48" s="1"/>
      <c r="Y48" s="1"/>
      <c r="Z48" s="1"/>
      <c r="AA48" s="1"/>
      <c r="AB48" s="1"/>
      <c r="AC48" s="124"/>
      <c r="AD48" s="125"/>
      <c r="AE48" s="1"/>
      <c r="AF48" s="1"/>
      <c r="AG48" s="1"/>
      <c r="AH48" s="1"/>
      <c r="AI48" s="1"/>
      <c r="AJ48" s="1"/>
      <c r="AK48" s="1"/>
      <c r="AL48" s="124"/>
      <c r="AM48" s="125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24"/>
      <c r="BJ48" s="125"/>
      <c r="BK48" s="5"/>
    </row>
    <row r="49" spans="1:63" ht="15" customHeight="1" x14ac:dyDescent="0.25">
      <c r="A49" s="2"/>
      <c r="B49" s="1"/>
      <c r="C49" s="1"/>
      <c r="D49" s="1"/>
      <c r="E49" s="1"/>
      <c r="F49" s="1"/>
      <c r="G49" s="1"/>
      <c r="H49" s="1"/>
      <c r="I49" s="1"/>
      <c r="J49" s="1"/>
      <c r="K49" s="124"/>
      <c r="L49" s="125"/>
      <c r="M49" s="1"/>
      <c r="N49" s="1"/>
      <c r="O49" s="1"/>
      <c r="P49" s="1"/>
      <c r="Q49" s="1"/>
      <c r="R49" s="1"/>
      <c r="S49" s="1"/>
      <c r="T49" s="124"/>
      <c r="U49" s="125"/>
      <c r="V49" s="1"/>
      <c r="W49" s="1"/>
      <c r="X49" s="1"/>
      <c r="Y49" s="1"/>
      <c r="Z49" s="1"/>
      <c r="AA49" s="1"/>
      <c r="AB49" s="1"/>
      <c r="AC49" s="124"/>
      <c r="AD49" s="125"/>
      <c r="AE49" s="1"/>
      <c r="AF49" s="1"/>
      <c r="AG49" s="1"/>
      <c r="AH49" s="1"/>
      <c r="AI49" s="1"/>
      <c r="AJ49" s="1"/>
      <c r="AK49" s="1"/>
      <c r="AL49" s="124"/>
      <c r="AM49" s="125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24"/>
      <c r="BJ49" s="125"/>
      <c r="BK49" s="5"/>
    </row>
    <row r="50" spans="1:63" ht="15" customHeight="1" x14ac:dyDescent="0.25">
      <c r="A50" s="2"/>
      <c r="B50" s="1"/>
      <c r="C50" s="1"/>
      <c r="D50" s="1"/>
      <c r="E50" s="1"/>
      <c r="F50" s="1"/>
      <c r="G50" s="1"/>
      <c r="H50" s="1"/>
      <c r="I50" s="1"/>
      <c r="J50" s="1"/>
      <c r="K50" s="124"/>
      <c r="L50" s="125"/>
      <c r="M50" s="1"/>
      <c r="N50" s="1"/>
      <c r="O50" s="1"/>
      <c r="P50" s="1"/>
      <c r="Q50" s="1"/>
      <c r="R50" s="1"/>
      <c r="S50" s="1"/>
      <c r="T50" s="124"/>
      <c r="U50" s="125"/>
      <c r="V50" s="1"/>
      <c r="W50" s="1"/>
      <c r="X50" s="1"/>
      <c r="Y50" s="1"/>
      <c r="Z50" s="1"/>
      <c r="AA50" s="1"/>
      <c r="AB50" s="1"/>
      <c r="AC50" s="124"/>
      <c r="AD50" s="125"/>
      <c r="AE50" s="1"/>
      <c r="AF50" s="1"/>
      <c r="AG50" s="1"/>
      <c r="AH50" s="1"/>
      <c r="AI50" s="1"/>
      <c r="AJ50" s="1"/>
      <c r="AK50" s="1"/>
      <c r="AL50" s="124"/>
      <c r="AM50" s="125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24"/>
      <c r="BJ50" s="125"/>
      <c r="BK50" s="5"/>
    </row>
    <row r="51" spans="1:63" ht="15" customHeight="1" x14ac:dyDescent="0.25">
      <c r="A51" s="2"/>
      <c r="B51" s="1"/>
      <c r="C51" s="1"/>
      <c r="D51" s="1"/>
      <c r="E51" s="1"/>
      <c r="F51" s="1"/>
      <c r="G51" s="1"/>
      <c r="H51" s="1"/>
      <c r="I51" s="1"/>
      <c r="J51" s="1"/>
      <c r="K51" s="124"/>
      <c r="L51" s="125"/>
      <c r="M51" s="1"/>
      <c r="N51" s="1"/>
      <c r="O51" s="1"/>
      <c r="P51" s="1"/>
      <c r="Q51" s="1"/>
      <c r="R51" s="1"/>
      <c r="S51" s="1"/>
      <c r="T51" s="124"/>
      <c r="U51" s="125"/>
      <c r="V51" s="1"/>
      <c r="W51" s="1"/>
      <c r="X51" s="1"/>
      <c r="Y51" s="1"/>
      <c r="Z51" s="1"/>
      <c r="AA51" s="1"/>
      <c r="AB51" s="1"/>
      <c r="AC51" s="124"/>
      <c r="AD51" s="125"/>
      <c r="AE51" s="1"/>
      <c r="AF51" s="1"/>
      <c r="AG51" s="1"/>
      <c r="AH51" s="1"/>
      <c r="AI51" s="1"/>
      <c r="AJ51" s="1"/>
      <c r="AK51" s="1"/>
      <c r="AL51" s="124"/>
      <c r="AM51" s="125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24"/>
      <c r="BJ51" s="125"/>
      <c r="BK51" s="5"/>
    </row>
    <row r="52" spans="1:63" ht="15" customHeight="1" x14ac:dyDescent="0.25">
      <c r="A52" s="2"/>
      <c r="B52" s="1"/>
      <c r="C52" s="1"/>
      <c r="D52" s="1"/>
      <c r="E52" s="1"/>
      <c r="F52" s="1"/>
      <c r="G52" s="1"/>
      <c r="H52" s="1"/>
      <c r="I52" s="1"/>
      <c r="J52" s="1"/>
      <c r="K52" s="124"/>
      <c r="L52" s="125"/>
      <c r="M52" s="1"/>
      <c r="N52" s="1"/>
      <c r="O52" s="1"/>
      <c r="P52" s="1"/>
      <c r="Q52" s="1"/>
      <c r="R52" s="1"/>
      <c r="S52" s="1"/>
      <c r="T52" s="124"/>
      <c r="U52" s="125"/>
      <c r="V52" s="1"/>
      <c r="W52" s="1"/>
      <c r="X52" s="1"/>
      <c r="Y52" s="1"/>
      <c r="Z52" s="1"/>
      <c r="AA52" s="1"/>
      <c r="AB52" s="1"/>
      <c r="AC52" s="124"/>
      <c r="AD52" s="125"/>
      <c r="AE52" s="1"/>
      <c r="AF52" s="1"/>
      <c r="AG52" s="1"/>
      <c r="AH52" s="1"/>
      <c r="AI52" s="1"/>
      <c r="AJ52" s="1"/>
      <c r="AK52" s="1"/>
      <c r="AL52" s="124"/>
      <c r="AM52" s="125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24"/>
      <c r="BJ52" s="125"/>
      <c r="BK52" s="5"/>
    </row>
    <row r="53" spans="1:63" ht="15" customHeight="1" x14ac:dyDescent="0.25">
      <c r="A53" s="2"/>
      <c r="B53" s="1"/>
      <c r="C53" s="1"/>
      <c r="D53" s="1"/>
      <c r="E53" s="1"/>
      <c r="F53" s="1"/>
      <c r="G53" s="1"/>
      <c r="H53" s="1"/>
      <c r="I53" s="1"/>
      <c r="J53" s="1"/>
      <c r="K53" s="124"/>
      <c r="L53" s="125"/>
      <c r="M53" s="1"/>
      <c r="N53" s="1"/>
      <c r="O53" s="1"/>
      <c r="P53" s="1"/>
      <c r="Q53" s="1"/>
      <c r="R53" s="1"/>
      <c r="S53" s="1"/>
      <c r="T53" s="124"/>
      <c r="U53" s="125"/>
      <c r="V53" s="1"/>
      <c r="W53" s="1"/>
      <c r="X53" s="1"/>
      <c r="Y53" s="1"/>
      <c r="Z53" s="1"/>
      <c r="AA53" s="1"/>
      <c r="AB53" s="1"/>
      <c r="AC53" s="124"/>
      <c r="AD53" s="125"/>
      <c r="AE53" s="1"/>
      <c r="AF53" s="1"/>
      <c r="AG53" s="1"/>
      <c r="AH53" s="1"/>
      <c r="AI53" s="1"/>
      <c r="AJ53" s="1"/>
      <c r="AK53" s="1"/>
      <c r="AL53" s="124"/>
      <c r="AM53" s="125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24"/>
      <c r="BJ53" s="125"/>
      <c r="BK53" s="5"/>
    </row>
    <row r="54" spans="1:63" ht="15" customHeight="1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24"/>
      <c r="L54" s="125"/>
      <c r="M54" s="1"/>
      <c r="N54" s="1"/>
      <c r="O54" s="1"/>
      <c r="P54" s="1"/>
      <c r="Q54" s="1"/>
      <c r="R54" s="1"/>
      <c r="S54" s="1"/>
      <c r="T54" s="124"/>
      <c r="U54" s="125"/>
      <c r="V54" s="1"/>
      <c r="W54" s="1"/>
      <c r="X54" s="1"/>
      <c r="Y54" s="1"/>
      <c r="Z54" s="1"/>
      <c r="AA54" s="1"/>
      <c r="AB54" s="1"/>
      <c r="AC54" s="124"/>
      <c r="AD54" s="125"/>
      <c r="AE54" s="1"/>
      <c r="AF54" s="1"/>
      <c r="AG54" s="1"/>
      <c r="AH54" s="1"/>
      <c r="AI54" s="1"/>
      <c r="AJ54" s="1"/>
      <c r="AK54" s="1"/>
      <c r="AL54" s="124"/>
      <c r="AM54" s="125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24"/>
      <c r="BJ54" s="125"/>
      <c r="BK54" s="5"/>
    </row>
    <row r="55" spans="1:63" ht="15" customHeight="1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126"/>
      <c r="L55" s="127"/>
      <c r="M55" s="4"/>
      <c r="N55" s="4"/>
      <c r="O55" s="4"/>
      <c r="P55" s="4"/>
      <c r="Q55" s="4"/>
      <c r="R55" s="4"/>
      <c r="S55" s="4"/>
      <c r="T55" s="126"/>
      <c r="U55" s="127"/>
      <c r="V55" s="4"/>
      <c r="W55" s="4"/>
      <c r="X55" s="4"/>
      <c r="Y55" s="4"/>
      <c r="Z55" s="4"/>
      <c r="AA55" s="4"/>
      <c r="AB55" s="4"/>
      <c r="AC55" s="126"/>
      <c r="AD55" s="127"/>
      <c r="AE55" s="4"/>
      <c r="AF55" s="4"/>
      <c r="AG55" s="4"/>
      <c r="AH55" s="4"/>
      <c r="AI55" s="4"/>
      <c r="AJ55" s="4"/>
      <c r="AK55" s="4"/>
      <c r="AL55" s="126"/>
      <c r="AM55" s="127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126"/>
      <c r="BJ55" s="127"/>
      <c r="BK55" s="6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E27E-6A72-44E4-BD31-CDA47F5F786A}">
  <sheetPr>
    <pageSetUpPr fitToPage="1"/>
  </sheetPr>
  <dimension ref="A1:BK55"/>
  <sheetViews>
    <sheetView view="pageBreakPreview" zoomScale="75" zoomScaleNormal="75" zoomScaleSheetLayoutView="75" workbookViewId="0">
      <selection activeCell="A6" sqref="A6:BK55"/>
    </sheetView>
  </sheetViews>
  <sheetFormatPr defaultColWidth="2.77734375" defaultRowHeight="15" customHeight="1" x14ac:dyDescent="0.25"/>
  <sheetData>
    <row r="1" spans="1:63" ht="24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  <c r="K1" s="16" t="s">
        <v>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48" t="str">
        <f>IF(表紙!W1="","",表紙!W1)</f>
        <v>基本設計書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50"/>
      <c r="AP1" s="16" t="s">
        <v>3</v>
      </c>
      <c r="AQ1" s="17"/>
      <c r="AR1" s="17"/>
      <c r="AS1" s="18"/>
      <c r="AT1" s="16" t="s">
        <v>4</v>
      </c>
      <c r="AU1" s="17"/>
      <c r="AV1" s="17"/>
      <c r="AW1" s="17"/>
      <c r="AX1" s="18"/>
      <c r="AY1" s="16" t="s">
        <v>5</v>
      </c>
      <c r="AZ1" s="17"/>
      <c r="BA1" s="17"/>
      <c r="BB1" s="18"/>
      <c r="BC1" s="16" t="s">
        <v>6</v>
      </c>
      <c r="BD1" s="17"/>
      <c r="BE1" s="17"/>
      <c r="BF1" s="17"/>
      <c r="BG1" s="18"/>
      <c r="BH1" s="16" t="s">
        <v>7</v>
      </c>
      <c r="BI1" s="17"/>
      <c r="BJ1" s="17"/>
      <c r="BK1" s="18"/>
    </row>
    <row r="2" spans="1:63" ht="15" customHeight="1" x14ac:dyDescent="0.25">
      <c r="A2" s="39" t="str">
        <f>IF(表紙!A2="","",表紙!A2)</f>
        <v>ignica POS</v>
      </c>
      <c r="B2" s="40"/>
      <c r="C2" s="40"/>
      <c r="D2" s="40"/>
      <c r="E2" s="40"/>
      <c r="F2" s="40"/>
      <c r="G2" s="40"/>
      <c r="H2" s="40"/>
      <c r="I2" s="40"/>
      <c r="J2" s="41"/>
      <c r="K2" s="39" t="str">
        <f>IF(表紙!K2="","",表紙!K2)</f>
        <v>POS Server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  <c r="W2" s="51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3"/>
      <c r="AP2" s="39">
        <f>IF(表紙!AP2="","",表紙!AP2)</f>
        <v>0</v>
      </c>
      <c r="AQ2" s="40"/>
      <c r="AR2" s="40"/>
      <c r="AS2" s="41"/>
      <c r="AT2" s="27">
        <f>IF(表紙!AT2="","",表紙!AT2)</f>
        <v>0</v>
      </c>
      <c r="AU2" s="28"/>
      <c r="AV2" s="28"/>
      <c r="AW2" s="28"/>
      <c r="AX2" s="29"/>
      <c r="AY2" s="39" t="e">
        <f>IF(表紙!AY2="","",表紙!AY2)</f>
        <v>#N/A</v>
      </c>
      <c r="AZ2" s="40"/>
      <c r="BA2" s="40"/>
      <c r="BB2" s="41"/>
      <c r="BC2" s="27" t="e">
        <f>IF(表紙!BC2="","",表紙!BC2)</f>
        <v>#N/A</v>
      </c>
      <c r="BD2" s="28"/>
      <c r="BE2" s="28"/>
      <c r="BF2" s="28"/>
      <c r="BG2" s="29"/>
      <c r="BH2" s="39" t="e">
        <f>IF(表紙!BH2="","",表紙!BH2)</f>
        <v>#N/A</v>
      </c>
      <c r="BI2" s="40"/>
      <c r="BJ2" s="40"/>
      <c r="BK2" s="41"/>
    </row>
    <row r="3" spans="1:63" ht="15" customHeight="1" x14ac:dyDescent="0.25">
      <c r="A3" s="42"/>
      <c r="B3" s="43"/>
      <c r="C3" s="43"/>
      <c r="D3" s="43"/>
      <c r="E3" s="43"/>
      <c r="F3" s="43"/>
      <c r="G3" s="43"/>
      <c r="H3" s="43"/>
      <c r="I3" s="43"/>
      <c r="J3" s="44"/>
      <c r="K3" s="42"/>
      <c r="L3" s="43"/>
      <c r="M3" s="43"/>
      <c r="N3" s="43"/>
      <c r="O3" s="43"/>
      <c r="P3" s="43"/>
      <c r="Q3" s="43"/>
      <c r="R3" s="43"/>
      <c r="S3" s="43"/>
      <c r="T3" s="43"/>
      <c r="U3" s="43"/>
      <c r="V3" s="44"/>
      <c r="W3" s="54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6"/>
      <c r="AP3" s="42"/>
      <c r="AQ3" s="43"/>
      <c r="AR3" s="43"/>
      <c r="AS3" s="44"/>
      <c r="AT3" s="30"/>
      <c r="AU3" s="31"/>
      <c r="AV3" s="31"/>
      <c r="AW3" s="31"/>
      <c r="AX3" s="32"/>
      <c r="AY3" s="42"/>
      <c r="AZ3" s="43"/>
      <c r="BA3" s="43"/>
      <c r="BB3" s="44"/>
      <c r="BC3" s="30"/>
      <c r="BD3" s="31"/>
      <c r="BE3" s="31"/>
      <c r="BF3" s="31"/>
      <c r="BG3" s="32"/>
      <c r="BH3" s="42"/>
      <c r="BI3" s="43"/>
      <c r="BJ3" s="43"/>
      <c r="BK3" s="44"/>
    </row>
    <row r="4" spans="1:63" ht="24.95" customHeight="1" x14ac:dyDescent="0.25">
      <c r="A4" s="16" t="s">
        <v>1</v>
      </c>
      <c r="B4" s="17"/>
      <c r="C4" s="17"/>
      <c r="D4" s="17"/>
      <c r="E4" s="17"/>
      <c r="F4" s="17"/>
      <c r="G4" s="18"/>
      <c r="H4" s="45" t="str">
        <f>IF(表紙!H4="","",表紙!H4)</f>
        <v>X9999_マスタ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7"/>
      <c r="U4" s="16" t="s">
        <v>8</v>
      </c>
      <c r="V4" s="17"/>
      <c r="W4" s="17"/>
      <c r="X4" s="17"/>
      <c r="Y4" s="18"/>
      <c r="Z4" s="45" t="str">
        <f>IF(表紙!Z4="","",表紙!Z4)</f>
        <v>概要設計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  <c r="AP4" s="45" t="str" cm="1">
        <f t="array" aca="1" ref="AP4" ca="1">RIGHT(CELL("filename",$A$1),LEN(CELL("filename",$A$1))-FIND("]",CELL("filename",$A$1)))</f>
        <v>画面設計</v>
      </c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6"/>
    </row>
    <row r="6" spans="1:63" ht="15" customHeight="1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5"/>
    </row>
    <row r="7" spans="1:63" ht="15" customHeight="1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5"/>
    </row>
    <row r="8" spans="1:63" ht="15" customHeight="1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5"/>
    </row>
    <row r="9" spans="1:63" ht="15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5"/>
    </row>
    <row r="10" spans="1:63" ht="15" customHeight="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5"/>
    </row>
    <row r="11" spans="1:63" ht="15" customHeight="1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5"/>
    </row>
    <row r="12" spans="1:63" ht="15" customHeight="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5"/>
    </row>
    <row r="13" spans="1:63" ht="15" customHeight="1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5"/>
    </row>
    <row r="14" spans="1:63" ht="15" customHeight="1" x14ac:dyDescent="0.2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5"/>
    </row>
    <row r="15" spans="1:63" ht="15" customHeight="1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5"/>
    </row>
    <row r="16" spans="1:63" ht="15" customHeight="1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5"/>
    </row>
    <row r="17" spans="1:63" ht="15" customHeight="1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5"/>
    </row>
    <row r="18" spans="1:63" ht="15" customHeight="1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5"/>
    </row>
    <row r="19" spans="1:63" ht="15" customHeight="1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5"/>
    </row>
    <row r="20" spans="1:63" ht="15" customHeight="1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5"/>
    </row>
    <row r="21" spans="1:63" ht="15" customHeight="1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5"/>
    </row>
    <row r="22" spans="1:63" ht="15" customHeight="1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5"/>
    </row>
    <row r="23" spans="1:63" ht="15" customHeight="1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5"/>
    </row>
    <row r="24" spans="1:63" ht="15" customHeight="1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5"/>
    </row>
    <row r="25" spans="1:63" ht="15" customHeight="1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5"/>
    </row>
    <row r="26" spans="1:63" ht="15" customHeight="1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5"/>
    </row>
    <row r="27" spans="1:63" ht="15" customHeight="1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5"/>
    </row>
    <row r="28" spans="1:63" ht="15" customHeight="1" x14ac:dyDescent="0.25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5"/>
    </row>
    <row r="29" spans="1:63" ht="15" customHeight="1" x14ac:dyDescent="0.2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5"/>
    </row>
    <row r="30" spans="1:63" ht="15" customHeight="1" x14ac:dyDescent="0.2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5"/>
    </row>
    <row r="31" spans="1:63" ht="15" customHeight="1" x14ac:dyDescent="0.25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5"/>
    </row>
    <row r="32" spans="1:63" ht="15" customHeight="1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5"/>
    </row>
    <row r="33" spans="1:63" ht="15" customHeight="1" x14ac:dyDescent="0.25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5"/>
    </row>
    <row r="34" spans="1:63" ht="15" customHeight="1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5"/>
    </row>
    <row r="35" spans="1:63" ht="15" customHeight="1" x14ac:dyDescent="0.2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5"/>
    </row>
    <row r="36" spans="1:63" ht="15" customHeight="1" x14ac:dyDescent="0.25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5"/>
    </row>
    <row r="37" spans="1:63" ht="15" customHeight="1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5"/>
    </row>
    <row r="38" spans="1:63" ht="15" customHeight="1" x14ac:dyDescent="0.25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5"/>
    </row>
    <row r="39" spans="1:63" ht="15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5"/>
    </row>
    <row r="40" spans="1:63" ht="15" customHeight="1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5"/>
    </row>
    <row r="41" spans="1:63" ht="15" customHeight="1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5"/>
    </row>
    <row r="42" spans="1:63" ht="15" customHeight="1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5"/>
    </row>
    <row r="43" spans="1:63" ht="15" customHeight="1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5"/>
    </row>
    <row r="44" spans="1:63" ht="15" customHeight="1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5"/>
    </row>
    <row r="45" spans="1:63" ht="15" customHeight="1" x14ac:dyDescent="0.2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5"/>
    </row>
    <row r="46" spans="1:63" ht="15" customHeight="1" x14ac:dyDescent="0.2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5"/>
    </row>
    <row r="47" spans="1:63" ht="15" customHeight="1" x14ac:dyDescent="0.2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5"/>
    </row>
    <row r="48" spans="1:63" ht="15" customHeight="1" x14ac:dyDescent="0.2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5"/>
    </row>
    <row r="49" spans="1:63" ht="15" customHeight="1" x14ac:dyDescent="0.2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5"/>
    </row>
    <row r="50" spans="1:63" ht="15" customHeight="1" x14ac:dyDescent="0.2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5"/>
    </row>
    <row r="51" spans="1:63" ht="15" customHeight="1" x14ac:dyDescent="0.2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5"/>
    </row>
    <row r="52" spans="1:63" ht="15" customHeight="1" x14ac:dyDescent="0.2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5"/>
    </row>
    <row r="53" spans="1:63" ht="15" customHeight="1" x14ac:dyDescent="0.2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5"/>
    </row>
    <row r="54" spans="1:63" ht="15" customHeight="1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5"/>
    </row>
    <row r="55" spans="1:63" ht="15" customHeight="1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6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C37-BF11-4BFF-9BE7-4D457D057733}">
  <sheetPr>
    <pageSetUpPr fitToPage="1"/>
  </sheetPr>
  <dimension ref="A1:BK55"/>
  <sheetViews>
    <sheetView view="pageBreakPreview" zoomScale="75" zoomScaleNormal="75" zoomScaleSheetLayoutView="75" workbookViewId="0">
      <selection activeCell="A2" sqref="A2:J3"/>
    </sheetView>
  </sheetViews>
  <sheetFormatPr defaultColWidth="2.77734375" defaultRowHeight="15" customHeight="1" x14ac:dyDescent="0.25"/>
  <sheetData>
    <row r="1" spans="1:63" ht="24.9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8"/>
      <c r="K1" s="16" t="s">
        <v>2</v>
      </c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48" t="str">
        <f>IF(表紙!W1="","",表紙!W1)</f>
        <v>基本設計書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50"/>
      <c r="AP1" s="16" t="s">
        <v>3</v>
      </c>
      <c r="AQ1" s="17"/>
      <c r="AR1" s="17"/>
      <c r="AS1" s="18"/>
      <c r="AT1" s="16" t="s">
        <v>4</v>
      </c>
      <c r="AU1" s="17"/>
      <c r="AV1" s="17"/>
      <c r="AW1" s="17"/>
      <c r="AX1" s="18"/>
      <c r="AY1" s="16" t="s">
        <v>5</v>
      </c>
      <c r="AZ1" s="17"/>
      <c r="BA1" s="17"/>
      <c r="BB1" s="18"/>
      <c r="BC1" s="16" t="s">
        <v>6</v>
      </c>
      <c r="BD1" s="17"/>
      <c r="BE1" s="17"/>
      <c r="BF1" s="17"/>
      <c r="BG1" s="18"/>
      <c r="BH1" s="16" t="s">
        <v>7</v>
      </c>
      <c r="BI1" s="17"/>
      <c r="BJ1" s="17"/>
      <c r="BK1" s="18"/>
    </row>
    <row r="2" spans="1:63" ht="15" customHeight="1" x14ac:dyDescent="0.25">
      <c r="A2" s="39" t="str">
        <f>IF(表紙!A2="","",表紙!A2)</f>
        <v>ignica POS</v>
      </c>
      <c r="B2" s="40"/>
      <c r="C2" s="40"/>
      <c r="D2" s="40"/>
      <c r="E2" s="40"/>
      <c r="F2" s="40"/>
      <c r="G2" s="40"/>
      <c r="H2" s="40"/>
      <c r="I2" s="40"/>
      <c r="J2" s="41"/>
      <c r="K2" s="39" t="str">
        <f>IF(表紙!K2="","",表紙!K2)</f>
        <v>POS Server</v>
      </c>
      <c r="L2" s="40"/>
      <c r="M2" s="40"/>
      <c r="N2" s="40"/>
      <c r="O2" s="40"/>
      <c r="P2" s="40"/>
      <c r="Q2" s="40"/>
      <c r="R2" s="40"/>
      <c r="S2" s="40"/>
      <c r="T2" s="40"/>
      <c r="U2" s="40"/>
      <c r="V2" s="41"/>
      <c r="W2" s="51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3"/>
      <c r="AP2" s="39">
        <f>IF(表紙!AP2="","",表紙!AP2)</f>
        <v>0</v>
      </c>
      <c r="AQ2" s="40"/>
      <c r="AR2" s="40"/>
      <c r="AS2" s="41"/>
      <c r="AT2" s="27">
        <f>IF(表紙!AT2="","",表紙!AT2)</f>
        <v>0</v>
      </c>
      <c r="AU2" s="28"/>
      <c r="AV2" s="28"/>
      <c r="AW2" s="28"/>
      <c r="AX2" s="29"/>
      <c r="AY2" s="39" t="e">
        <f>IF(表紙!AY2="","",表紙!AY2)</f>
        <v>#N/A</v>
      </c>
      <c r="AZ2" s="40"/>
      <c r="BA2" s="40"/>
      <c r="BB2" s="41"/>
      <c r="BC2" s="27" t="e">
        <f>IF(表紙!BC2="","",表紙!BC2)</f>
        <v>#N/A</v>
      </c>
      <c r="BD2" s="28"/>
      <c r="BE2" s="28"/>
      <c r="BF2" s="28"/>
      <c r="BG2" s="29"/>
      <c r="BH2" s="39" t="e">
        <f>IF(表紙!BH2="","",表紙!BH2)</f>
        <v>#N/A</v>
      </c>
      <c r="BI2" s="40"/>
      <c r="BJ2" s="40"/>
      <c r="BK2" s="41"/>
    </row>
    <row r="3" spans="1:63" ht="15" customHeight="1" x14ac:dyDescent="0.25">
      <c r="A3" s="42"/>
      <c r="B3" s="43"/>
      <c r="C3" s="43"/>
      <c r="D3" s="43"/>
      <c r="E3" s="43"/>
      <c r="F3" s="43"/>
      <c r="G3" s="43"/>
      <c r="H3" s="43"/>
      <c r="I3" s="43"/>
      <c r="J3" s="44"/>
      <c r="K3" s="42"/>
      <c r="L3" s="43"/>
      <c r="M3" s="43"/>
      <c r="N3" s="43"/>
      <c r="O3" s="43"/>
      <c r="P3" s="43"/>
      <c r="Q3" s="43"/>
      <c r="R3" s="43"/>
      <c r="S3" s="43"/>
      <c r="T3" s="43"/>
      <c r="U3" s="43"/>
      <c r="V3" s="44"/>
      <c r="W3" s="54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6"/>
      <c r="AP3" s="42"/>
      <c r="AQ3" s="43"/>
      <c r="AR3" s="43"/>
      <c r="AS3" s="44"/>
      <c r="AT3" s="30"/>
      <c r="AU3" s="31"/>
      <c r="AV3" s="31"/>
      <c r="AW3" s="31"/>
      <c r="AX3" s="32"/>
      <c r="AY3" s="42"/>
      <c r="AZ3" s="43"/>
      <c r="BA3" s="43"/>
      <c r="BB3" s="44"/>
      <c r="BC3" s="30"/>
      <c r="BD3" s="31"/>
      <c r="BE3" s="31"/>
      <c r="BF3" s="31"/>
      <c r="BG3" s="32"/>
      <c r="BH3" s="42"/>
      <c r="BI3" s="43"/>
      <c r="BJ3" s="43"/>
      <c r="BK3" s="44"/>
    </row>
    <row r="4" spans="1:63" ht="24.95" customHeight="1" x14ac:dyDescent="0.25">
      <c r="A4" s="16" t="s">
        <v>1</v>
      </c>
      <c r="B4" s="17"/>
      <c r="C4" s="17"/>
      <c r="D4" s="17"/>
      <c r="E4" s="17"/>
      <c r="F4" s="17"/>
      <c r="G4" s="18"/>
      <c r="H4" s="45" t="str">
        <f>IF(表紙!H4="","",表紙!H4)</f>
        <v>X9999_マスタ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7"/>
      <c r="U4" s="16" t="s">
        <v>8</v>
      </c>
      <c r="V4" s="17"/>
      <c r="W4" s="17"/>
      <c r="X4" s="17"/>
      <c r="Y4" s="18"/>
      <c r="Z4" s="45" t="str">
        <f>IF(表紙!Z4="","",表紙!Z4)</f>
        <v>概要設計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  <c r="AP4" s="45" t="str" cm="1">
        <f t="array" aca="1" ref="AP4" ca="1">RIGHT(CELL("filename",$A$1),LEN(CELL("filename",$A$1))-FIND("]",CELL("filename",$A$1)))</f>
        <v>テンプレート</v>
      </c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7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6"/>
    </row>
    <row r="6" spans="1:63" ht="15" customHeight="1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5"/>
    </row>
    <row r="7" spans="1:63" ht="15" customHeight="1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5"/>
    </row>
    <row r="8" spans="1:63" ht="15" customHeight="1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5"/>
    </row>
    <row r="9" spans="1:63" ht="15" customHeight="1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5"/>
    </row>
    <row r="10" spans="1:63" ht="15" customHeight="1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5"/>
    </row>
    <row r="11" spans="1:63" ht="15" customHeight="1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5"/>
    </row>
    <row r="12" spans="1:63" ht="15" customHeight="1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5"/>
    </row>
    <row r="13" spans="1:63" ht="15" customHeight="1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5"/>
    </row>
    <row r="14" spans="1:63" ht="15" customHeight="1" x14ac:dyDescent="0.2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5"/>
    </row>
    <row r="15" spans="1:63" ht="15" customHeight="1" x14ac:dyDescent="0.2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5"/>
    </row>
    <row r="16" spans="1:63" ht="15" customHeight="1" x14ac:dyDescent="0.2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5"/>
    </row>
    <row r="17" spans="1:63" ht="15" customHeight="1" x14ac:dyDescent="0.2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5"/>
    </row>
    <row r="18" spans="1:63" ht="15" customHeight="1" x14ac:dyDescent="0.2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5"/>
    </row>
    <row r="19" spans="1:63" ht="15" customHeight="1" x14ac:dyDescent="0.2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5"/>
    </row>
    <row r="20" spans="1:63" ht="15" customHeight="1" x14ac:dyDescent="0.2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5"/>
    </row>
    <row r="21" spans="1:63" ht="15" customHeight="1" x14ac:dyDescent="0.2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5"/>
    </row>
    <row r="22" spans="1:63" ht="15" customHeight="1" x14ac:dyDescent="0.2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5"/>
    </row>
    <row r="23" spans="1:63" ht="15" customHeight="1" x14ac:dyDescent="0.2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5"/>
    </row>
    <row r="24" spans="1:63" ht="15" customHeight="1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5"/>
    </row>
    <row r="25" spans="1:63" ht="15" customHeight="1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5"/>
    </row>
    <row r="26" spans="1:63" ht="15" customHeight="1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5"/>
    </row>
    <row r="27" spans="1:63" ht="15" customHeight="1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5"/>
    </row>
    <row r="28" spans="1:63" ht="15" customHeight="1" x14ac:dyDescent="0.25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5"/>
    </row>
    <row r="29" spans="1:63" ht="15" customHeight="1" x14ac:dyDescent="0.2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5"/>
    </row>
    <row r="30" spans="1:63" ht="15" customHeight="1" x14ac:dyDescent="0.2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5"/>
    </row>
    <row r="31" spans="1:63" ht="15" customHeight="1" x14ac:dyDescent="0.25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5"/>
    </row>
    <row r="32" spans="1:63" ht="15" customHeight="1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5"/>
    </row>
    <row r="33" spans="1:63" ht="15" customHeight="1" x14ac:dyDescent="0.25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5"/>
    </row>
    <row r="34" spans="1:63" ht="15" customHeight="1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5"/>
    </row>
    <row r="35" spans="1:63" ht="15" customHeight="1" x14ac:dyDescent="0.2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5"/>
    </row>
    <row r="36" spans="1:63" ht="15" customHeight="1" x14ac:dyDescent="0.25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5"/>
    </row>
    <row r="37" spans="1:63" ht="15" customHeight="1" x14ac:dyDescent="0.2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5"/>
    </row>
    <row r="38" spans="1:63" ht="15" customHeight="1" x14ac:dyDescent="0.25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5"/>
    </row>
    <row r="39" spans="1:63" ht="15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5"/>
    </row>
    <row r="40" spans="1:63" ht="15" customHeight="1" x14ac:dyDescent="0.2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5"/>
    </row>
    <row r="41" spans="1:63" ht="15" customHeight="1" x14ac:dyDescent="0.2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5"/>
    </row>
    <row r="42" spans="1:63" ht="15" customHeight="1" x14ac:dyDescent="0.2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5"/>
    </row>
    <row r="43" spans="1:63" ht="15" customHeight="1" x14ac:dyDescent="0.2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5"/>
    </row>
    <row r="44" spans="1:63" ht="15" customHeight="1" x14ac:dyDescent="0.2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5"/>
    </row>
    <row r="45" spans="1:63" ht="15" customHeight="1" x14ac:dyDescent="0.2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5"/>
    </row>
    <row r="46" spans="1:63" ht="15" customHeight="1" x14ac:dyDescent="0.2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5"/>
    </row>
    <row r="47" spans="1:63" ht="15" customHeight="1" x14ac:dyDescent="0.2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5"/>
    </row>
    <row r="48" spans="1:63" ht="15" customHeight="1" x14ac:dyDescent="0.2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5"/>
    </row>
    <row r="49" spans="1:63" ht="15" customHeight="1" x14ac:dyDescent="0.2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5"/>
    </row>
    <row r="50" spans="1:63" ht="15" customHeight="1" x14ac:dyDescent="0.2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5"/>
    </row>
    <row r="51" spans="1:63" ht="15" customHeight="1" x14ac:dyDescent="0.2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5"/>
    </row>
    <row r="52" spans="1:63" ht="15" customHeight="1" x14ac:dyDescent="0.2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5"/>
    </row>
    <row r="53" spans="1:63" ht="15" customHeight="1" x14ac:dyDescent="0.2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5"/>
    </row>
    <row r="54" spans="1:63" ht="15" customHeight="1" x14ac:dyDescent="0.2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5"/>
    </row>
    <row r="55" spans="1:63" ht="15" customHeight="1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6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0" r:id="rId1"/>
  <headerFooter>
    <oddHeader>&amp;R&amp;F</oddHeader>
    <oddFooter>&amp;C&amp;P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表紙</vt:lpstr>
      <vt:lpstr>改廃履歴</vt:lpstr>
      <vt:lpstr>業務フロー凡例</vt:lpstr>
      <vt:lpstr>機能概要</vt:lpstr>
      <vt:lpstr>画面設計</vt:lpstr>
      <vt:lpstr>テンプレート</vt:lpstr>
      <vt:lpstr>Sheet1</vt:lpstr>
      <vt:lpstr>改廃履歴!Print_Area</vt:lpstr>
      <vt:lpstr>表紙!Print_Area</vt:lpstr>
      <vt:lpstr>テンプレート!Print_Titles</vt:lpstr>
      <vt:lpstr>画面設計!Print_Titles</vt:lpstr>
      <vt:lpstr>改廃履歴!Print_Titles</vt:lpstr>
      <vt:lpstr>機能概要!Print_Titles</vt:lpstr>
      <vt:lpstr>業務フロー凡例!Print_Titles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kiyohara kadutoshi</dc:creator>
  <cp:lastModifiedBy>Thanh Nguyên</cp:lastModifiedBy>
  <dcterms:created xsi:type="dcterms:W3CDTF">2015-06-05T18:19:34Z</dcterms:created>
  <dcterms:modified xsi:type="dcterms:W3CDTF">2024-02-14T05:02:01Z</dcterms:modified>
</cp:coreProperties>
</file>